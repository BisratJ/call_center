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E C7.csv" sheetId="1" r:id="rId4"/>
    <sheet state="hidden" name="AWS C9.csv" sheetId="2" r:id="rId5"/>
    <sheet state="visible" name="BE Fixed" sheetId="3" r:id="rId6"/>
    <sheet state="visible" name="AWS Fixed" sheetId="4" r:id="rId7"/>
    <sheet state="hidden" name="DA C9.csv" sheetId="5" r:id="rId8"/>
    <sheet state="visible" name="DA Fixed" sheetId="6" r:id="rId9"/>
    <sheet state="visible" name="DS Fixed" sheetId="7" r:id="rId10"/>
    <sheet state="visible" name="Yoseph" sheetId="8" r:id="rId11"/>
    <sheet state="visible" name="Abeba" sheetId="9" r:id="rId12"/>
    <sheet state="visible" name="Heyman" sheetId="10" r:id="rId13"/>
    <sheet state="visible" name="Nati" sheetId="11" r:id="rId14"/>
    <sheet state="hidden" name="DS C5.csv" sheetId="12" r:id="rId15"/>
    <sheet state="visible" name="Tsedi" sheetId="13" r:id="rId16"/>
    <sheet state="visible" name="Girum" sheetId="14" r:id="rId17"/>
    <sheet state="hidden" name="Dagmawi" sheetId="15" r:id="rId18"/>
  </sheets>
  <definedNames/>
  <calcPr/>
</workbook>
</file>

<file path=xl/sharedStrings.xml><?xml version="1.0" encoding="utf-8"?>
<sst xmlns="http://schemas.openxmlformats.org/spreadsheetml/2006/main" count="28444" uniqueCount="4301">
  <si>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</si>
  <si>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</si>
  <si>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</si>
  <si>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</si>
  <si>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</si>
  <si>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</si>
  <si>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</si>
  <si>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</si>
  <si>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</si>
  <si>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</si>
  <si>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</si>
  <si>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</si>
  <si>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</si>
  <si>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</si>
  <si>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</si>
  <si>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mekdelawitkassa6@gmail.com</t>
  </si>
  <si>
    <t>Mekdelawit</t>
  </si>
  <si>
    <t>Abadina</t>
  </si>
  <si>
    <t>Addis Ababa</t>
  </si>
  <si>
    <t>Ethiopia</t>
  </si>
  <si>
    <t>Female</t>
  </si>
  <si>
    <t>confirmed</t>
  </si>
  <si>
    <t>abdumuk89@gmail.com</t>
  </si>
  <si>
    <t>Abdulahi</t>
  </si>
  <si>
    <t>Duri</t>
  </si>
  <si>
    <t>Male</t>
  </si>
  <si>
    <t>passed</t>
  </si>
  <si>
    <t>fanp2323@gmail.com</t>
  </si>
  <si>
    <t>Amanuel</t>
  </si>
  <si>
    <t>Melese</t>
  </si>
  <si>
    <t>alemembayeh@gmail.com</t>
  </si>
  <si>
    <t>Alem</t>
  </si>
  <si>
    <t>hagos</t>
  </si>
  <si>
    <t>in progress</t>
  </si>
  <si>
    <t>Personal Information</t>
  </si>
  <si>
    <t>hebronsamuel00@gmail.com</t>
  </si>
  <si>
    <t>Hebron</t>
  </si>
  <si>
    <t>Samuel</t>
  </si>
  <si>
    <t>dabaleta775@gmail.com</t>
  </si>
  <si>
    <t>Gemechu</t>
  </si>
  <si>
    <t>leta</t>
  </si>
  <si>
    <t>olhunda140@gmail.com</t>
  </si>
  <si>
    <t>Hundaol</t>
  </si>
  <si>
    <t>medcoplc@gmail.com</t>
  </si>
  <si>
    <t>Sami</t>
  </si>
  <si>
    <t>Lemma</t>
  </si>
  <si>
    <t>yonatangetachew695@gmail.com</t>
  </si>
  <si>
    <t>yonatan</t>
  </si>
  <si>
    <t>getachew</t>
  </si>
  <si>
    <t>eshetufeleke21@gmail.com</t>
  </si>
  <si>
    <t>Feleke</t>
  </si>
  <si>
    <t>Girma</t>
  </si>
  <si>
    <t>hiyabdebesay2124@gmail.com</t>
  </si>
  <si>
    <t>Hiyab</t>
  </si>
  <si>
    <t>Zeray</t>
  </si>
  <si>
    <t>myeducanisa@gmail.com</t>
  </si>
  <si>
    <t>Abdella</t>
  </si>
  <si>
    <t>Mussa</t>
  </si>
  <si>
    <t>Dessie</t>
  </si>
  <si>
    <t>natnaeleyuel77@gmail.com</t>
  </si>
  <si>
    <t>Natnael</t>
  </si>
  <si>
    <t>Yohannies</t>
  </si>
  <si>
    <t>betifiseha0@gmail.com</t>
  </si>
  <si>
    <t>Beti</t>
  </si>
  <si>
    <t>Fiseha</t>
  </si>
  <si>
    <t>Qualification</t>
  </si>
  <si>
    <t>yabtekle12@gmail.com</t>
  </si>
  <si>
    <t>Habtamu</t>
  </si>
  <si>
    <t>Teklehimanot</t>
  </si>
  <si>
    <t>sindosle@gmail.com</t>
  </si>
  <si>
    <t>Sinodos</t>
  </si>
  <si>
    <t>Amare</t>
  </si>
  <si>
    <t>Bahir Dar</t>
  </si>
  <si>
    <t>abasgena460@gmail.com</t>
  </si>
  <si>
    <t>Abas</t>
  </si>
  <si>
    <t>Gena</t>
  </si>
  <si>
    <t>Application Consent and Agreement</t>
  </si>
  <si>
    <t>muazibnumohammed4@gmail.com</t>
  </si>
  <si>
    <t>Muaz</t>
  </si>
  <si>
    <t>Aliyi</t>
  </si>
  <si>
    <t>Nazret</t>
  </si>
  <si>
    <t>yasminaminu111@gmail.com</t>
  </si>
  <si>
    <t>Yasmin</t>
  </si>
  <si>
    <t>Abdusemed</t>
  </si>
  <si>
    <t>rodas.awgichew21@gmail.com</t>
  </si>
  <si>
    <t>Rodas</t>
  </si>
  <si>
    <t>Awgichew</t>
  </si>
  <si>
    <t>daveb4u.gets@gmail.com</t>
  </si>
  <si>
    <t>dave</t>
  </si>
  <si>
    <t>gets</t>
  </si>
  <si>
    <t>ahmednassir@gmail.com</t>
  </si>
  <si>
    <t>Ahmed</t>
  </si>
  <si>
    <t>Nassir</t>
  </si>
  <si>
    <t>Dire Dawa</t>
  </si>
  <si>
    <t>getaendaleg@gmail.com</t>
  </si>
  <si>
    <t>Getaendale</t>
  </si>
  <si>
    <t>Getachew</t>
  </si>
  <si>
    <t>t687959@gmail.com</t>
  </si>
  <si>
    <t>Tsion</t>
  </si>
  <si>
    <t>Wubshet</t>
  </si>
  <si>
    <t>henokfikadu713@gmail.com</t>
  </si>
  <si>
    <t>Henok</t>
  </si>
  <si>
    <t>Fikadu</t>
  </si>
  <si>
    <t>physicistshegitu@gamil.com</t>
  </si>
  <si>
    <t>Shegitu</t>
  </si>
  <si>
    <t>Shukuri</t>
  </si>
  <si>
    <t>gerenett+@gmail.com</t>
  </si>
  <si>
    <t>Hana</t>
  </si>
  <si>
    <t>Tesfaye</t>
  </si>
  <si>
    <t>yohannesabebo18@gmail.com</t>
  </si>
  <si>
    <t>Yohannes</t>
  </si>
  <si>
    <t>Abebo</t>
  </si>
  <si>
    <t>selamawit.shimeles-ug@aau.edu.et</t>
  </si>
  <si>
    <t>Selamawit</t>
  </si>
  <si>
    <t>Shimelis</t>
  </si>
  <si>
    <t>biniyam.trader@gmail.com</t>
  </si>
  <si>
    <t>Biniyam</t>
  </si>
  <si>
    <t>Tarekegn</t>
  </si>
  <si>
    <t>Humanitarian Status</t>
  </si>
  <si>
    <t>barnybedere@gmail.com</t>
  </si>
  <si>
    <t>Barnabas</t>
  </si>
  <si>
    <t>Tilahun</t>
  </si>
  <si>
    <t>yordabsa@gmail.com</t>
  </si>
  <si>
    <t>Yordanos</t>
  </si>
  <si>
    <t>Abay</t>
  </si>
  <si>
    <t>fantahun731@gmail.com</t>
  </si>
  <si>
    <t>Fantahun</t>
  </si>
  <si>
    <t>Bishaw</t>
  </si>
  <si>
    <t>natibirhanu55@gmail.com</t>
  </si>
  <si>
    <t>Nathnael</t>
  </si>
  <si>
    <t>Birhanu</t>
  </si>
  <si>
    <t>Harar</t>
  </si>
  <si>
    <t>bethelmengistu7@gmail.com</t>
  </si>
  <si>
    <t>Bethel</t>
  </si>
  <si>
    <t>Bedada</t>
  </si>
  <si>
    <t>mhretdesbele22@gmail.com</t>
  </si>
  <si>
    <t>Mhret</t>
  </si>
  <si>
    <t>Negash</t>
  </si>
  <si>
    <t>Jijiga</t>
  </si>
  <si>
    <t>kalidmohammed236@gmail.com</t>
  </si>
  <si>
    <t>Khalid</t>
  </si>
  <si>
    <t>Mohammed</t>
  </si>
  <si>
    <t>nejamahmud456@gmail.com</t>
  </si>
  <si>
    <t>Neja</t>
  </si>
  <si>
    <t>Mahmud</t>
  </si>
  <si>
    <t>tolee4530@gmail.com</t>
  </si>
  <si>
    <t>Tolesa</t>
  </si>
  <si>
    <t>akliluzenebe014@gmail.com</t>
  </si>
  <si>
    <t>Aklilu</t>
  </si>
  <si>
    <t>Dejene</t>
  </si>
  <si>
    <t>ermiaseyerus20@gmail.com</t>
  </si>
  <si>
    <t>Eyerusalem</t>
  </si>
  <si>
    <t>Ermias</t>
  </si>
  <si>
    <t>kidusjoseph751@gmail.com</t>
  </si>
  <si>
    <t>Yoseph</t>
  </si>
  <si>
    <t>Shikura</t>
  </si>
  <si>
    <t>bethlehemadem63@gmail.com</t>
  </si>
  <si>
    <t>Bethlehem</t>
  </si>
  <si>
    <t>Adem</t>
  </si>
  <si>
    <t>dinaolbirbirsa12@gmail.com</t>
  </si>
  <si>
    <t>Dinaol</t>
  </si>
  <si>
    <t>Birbirsa</t>
  </si>
  <si>
    <t>samiaklilu211@gmail.com</t>
  </si>
  <si>
    <t>samuel</t>
  </si>
  <si>
    <t>aklilu</t>
  </si>
  <si>
    <t>samuelaklilu2021@gmail.com</t>
  </si>
  <si>
    <t>Program Overview</t>
  </si>
  <si>
    <t>samiakliluel201@gmail.com</t>
  </si>
  <si>
    <t>samuelaklilu211@gmail.com</t>
  </si>
  <si>
    <t>aklilusamuel150@gmail.com</t>
  </si>
  <si>
    <t>pomiimulugeta27@gmail.com</t>
  </si>
  <si>
    <t>Gizaw</t>
  </si>
  <si>
    <t>efrataaklilu98@gmail.com</t>
  </si>
  <si>
    <t>Efrata</t>
  </si>
  <si>
    <t>mrferidhassen@gmail.com</t>
  </si>
  <si>
    <t>Alferid</t>
  </si>
  <si>
    <t>Hassen</t>
  </si>
  <si>
    <t>Start Your Registration</t>
  </si>
  <si>
    <t>rgetachew162@gmail.com</t>
  </si>
  <si>
    <t>Rahel</t>
  </si>
  <si>
    <t>hundetolera225@gmail.com</t>
  </si>
  <si>
    <t>Hunde</t>
  </si>
  <si>
    <t>Yadera</t>
  </si>
  <si>
    <t>nahom.lulseged10@gmail.com</t>
  </si>
  <si>
    <t>Nahom</t>
  </si>
  <si>
    <t>Lulseged</t>
  </si>
  <si>
    <t>samiaklilu602@gmail.com</t>
  </si>
  <si>
    <t>hansura2216@gmail.com</t>
  </si>
  <si>
    <t>Surafel</t>
  </si>
  <si>
    <t>Tadesse</t>
  </si>
  <si>
    <t>kabajalata@gmail.com</t>
  </si>
  <si>
    <t>Milkessa</t>
  </si>
  <si>
    <t>Tafesse</t>
  </si>
  <si>
    <t>abrham092432@gmail.com</t>
  </si>
  <si>
    <t>Abrham</t>
  </si>
  <si>
    <t>Kebede</t>
  </si>
  <si>
    <t>hiyabbayeh8@gmail.com</t>
  </si>
  <si>
    <t>Bayeh</t>
  </si>
  <si>
    <t>bethg0924@gmail.com</t>
  </si>
  <si>
    <t>kanaolbokore@gmail.com</t>
  </si>
  <si>
    <t>Kanaol</t>
  </si>
  <si>
    <t>Geme</t>
  </si>
  <si>
    <t>redumoges16@gmail.com</t>
  </si>
  <si>
    <t>Rediet</t>
  </si>
  <si>
    <t>Moges</t>
  </si>
  <si>
    <t>yaredbeby08@gmail.com</t>
  </si>
  <si>
    <t>YARED</t>
  </si>
  <si>
    <t>BODENA</t>
  </si>
  <si>
    <t>angobirra@gmail.com</t>
  </si>
  <si>
    <t>sisay</t>
  </si>
  <si>
    <t>serbesa</t>
  </si>
  <si>
    <t>hailemichaelsolomon176@gmail.com</t>
  </si>
  <si>
    <t>HaileMichael</t>
  </si>
  <si>
    <t>Solomon</t>
  </si>
  <si>
    <t>Jemo</t>
  </si>
  <si>
    <t>physicistshegitu@gmail.com</t>
  </si>
  <si>
    <t>it.nathan.demissie@gmail.com</t>
  </si>
  <si>
    <t>Nathan</t>
  </si>
  <si>
    <t>Demissie</t>
  </si>
  <si>
    <t>kedirseid48@gmail.com</t>
  </si>
  <si>
    <t>Kedir</t>
  </si>
  <si>
    <t>Seid</t>
  </si>
  <si>
    <t>bayemussie@gmail.com</t>
  </si>
  <si>
    <t>Mussie</t>
  </si>
  <si>
    <t>endy1234560@gmail.com</t>
  </si>
  <si>
    <t>Tarekegne</t>
  </si>
  <si>
    <t>haftayteklehimanot@gmail.com</t>
  </si>
  <si>
    <t>Teklehimanote</t>
  </si>
  <si>
    <t>twoo53591@gmail.com</t>
  </si>
  <si>
    <t>Tigistu</t>
  </si>
  <si>
    <t>Mugoro</t>
  </si>
  <si>
    <t>samuelaklilu998@gmail.com</t>
  </si>
  <si>
    <t>ousmanmahammedmahie902@gmail.com</t>
  </si>
  <si>
    <t>Ousman</t>
  </si>
  <si>
    <t>Mahammed mahie</t>
  </si>
  <si>
    <t>Diversity &amp; Inclusion</t>
  </si>
  <si>
    <t>sinewregasa680@gmail.com</t>
  </si>
  <si>
    <t>Sinishaw</t>
  </si>
  <si>
    <t>Regasa</t>
  </si>
  <si>
    <t>kiratom854@gmail.com</t>
  </si>
  <si>
    <t>Kirubel</t>
  </si>
  <si>
    <t>Geremew</t>
  </si>
  <si>
    <t>haftayteklaymanot@gmail.com</t>
  </si>
  <si>
    <t>Gebregziabher</t>
  </si>
  <si>
    <t>ruthamenu49@gmail.com</t>
  </si>
  <si>
    <t>Ruth</t>
  </si>
  <si>
    <t>Amenu</t>
  </si>
  <si>
    <t>rafatkedir07@gmail.com</t>
  </si>
  <si>
    <t>Rafat</t>
  </si>
  <si>
    <t>davpaulos49@gmail.com</t>
  </si>
  <si>
    <t>Dawit</t>
  </si>
  <si>
    <t>Lamboro</t>
  </si>
  <si>
    <t>gedions884@gmail.com</t>
  </si>
  <si>
    <t>Gedion</t>
  </si>
  <si>
    <t>megdela4@gmail.com</t>
  </si>
  <si>
    <t>Gebre</t>
  </si>
  <si>
    <t>yoftaraya@gmail.com</t>
  </si>
  <si>
    <t>Yoftahe</t>
  </si>
  <si>
    <t>Araya</t>
  </si>
  <si>
    <t>habtamusipara@gmail.com</t>
  </si>
  <si>
    <t>Shimels</t>
  </si>
  <si>
    <t>nattytesfa4@gmail.com</t>
  </si>
  <si>
    <t>Tesfahun</t>
  </si>
  <si>
    <t>abelkiya11@gmail.com</t>
  </si>
  <si>
    <t>Abel</t>
  </si>
  <si>
    <t>natanabee7@gmail.com</t>
  </si>
  <si>
    <t>Demisie</t>
  </si>
  <si>
    <t>ychombe@gmail.com</t>
  </si>
  <si>
    <t>semir.nesredin.1238@gmail.com</t>
  </si>
  <si>
    <t>Semir</t>
  </si>
  <si>
    <t>Raju</t>
  </si>
  <si>
    <t>firewkefalow@gmail.com</t>
  </si>
  <si>
    <t>Firew</t>
  </si>
  <si>
    <t>Gacheno</t>
  </si>
  <si>
    <t>tes.fish@hotmail.com</t>
  </si>
  <si>
    <t>Aseffa</t>
  </si>
  <si>
    <t>brilliantahmed101@gmail.com</t>
  </si>
  <si>
    <t>AHMED</t>
  </si>
  <si>
    <t>Siyum</t>
  </si>
  <si>
    <t>berehanutolosa@gmail.com</t>
  </si>
  <si>
    <t>berehanu</t>
  </si>
  <si>
    <t>tolosa</t>
  </si>
  <si>
    <t>endelibuz1@gamil.com</t>
  </si>
  <si>
    <t>Berihun</t>
  </si>
  <si>
    <t>Asefa</t>
  </si>
  <si>
    <t>yeabsira.belete@aastustudent.edu.et</t>
  </si>
  <si>
    <t>Yeabsira</t>
  </si>
  <si>
    <t>Bafa</t>
  </si>
  <si>
    <t>xussieny@gmail.com</t>
  </si>
  <si>
    <t>hussien</t>
  </si>
  <si>
    <t>yegoraw</t>
  </si>
  <si>
    <t>hanamesfin67@gmail.com</t>
  </si>
  <si>
    <t>Mesfin</t>
  </si>
  <si>
    <t>kidusefrem2@gmail.com</t>
  </si>
  <si>
    <t>Kidus</t>
  </si>
  <si>
    <t>Efrem</t>
  </si>
  <si>
    <t>mitikumelkamsew@gmail.com</t>
  </si>
  <si>
    <t>Mitiku</t>
  </si>
  <si>
    <t>Melkamsew</t>
  </si>
  <si>
    <t>diborashibeshi@gmail.com</t>
  </si>
  <si>
    <t>Diborah</t>
  </si>
  <si>
    <t>Shibeshi</t>
  </si>
  <si>
    <t>nahomteshome19@gmail.com</t>
  </si>
  <si>
    <t>Teshome</t>
  </si>
  <si>
    <t>tesgibeautysalon@gmail.com</t>
  </si>
  <si>
    <t>Taddesse</t>
  </si>
  <si>
    <t>samueltaddesse05@gmail.com</t>
  </si>
  <si>
    <t>musadsufiyan@gmail.com</t>
  </si>
  <si>
    <t>sofiyan</t>
  </si>
  <si>
    <t>gelaw</t>
  </si>
  <si>
    <t>Asosa</t>
  </si>
  <si>
    <t>ruthwoldesemait@gmail.com</t>
  </si>
  <si>
    <t>tsegayeb85@gmail.com</t>
  </si>
  <si>
    <t>Tsegaye</t>
  </si>
  <si>
    <t>berhe</t>
  </si>
  <si>
    <t>samimihretu12@gmail.com</t>
  </si>
  <si>
    <t>Beyene</t>
  </si>
  <si>
    <t>tibeyint20@gmail.com</t>
  </si>
  <si>
    <t>Tibeyin</t>
  </si>
  <si>
    <t>Tessema</t>
  </si>
  <si>
    <t>bezawitabrdom1@gmail.com</t>
  </si>
  <si>
    <t>Bezawit</t>
  </si>
  <si>
    <t>Abrdom</t>
  </si>
  <si>
    <t>amarechdesalew2@gmail.com</t>
  </si>
  <si>
    <t>Amarech</t>
  </si>
  <si>
    <t>Desalew</t>
  </si>
  <si>
    <t>bini127abebe@gmail.com</t>
  </si>
  <si>
    <t>Bini</t>
  </si>
  <si>
    <t>Abebe</t>
  </si>
  <si>
    <t>sanchman32@gmail.com</t>
  </si>
  <si>
    <t>Sanch</t>
  </si>
  <si>
    <t>Man</t>
  </si>
  <si>
    <t>geyonasgebre@gmail.com</t>
  </si>
  <si>
    <t>Yonas</t>
  </si>
  <si>
    <t>Gebrehans</t>
  </si>
  <si>
    <t>Adigrat</t>
  </si>
  <si>
    <t>yhwh.dgse@gmail.com</t>
  </si>
  <si>
    <t>Deborah</t>
  </si>
  <si>
    <t>Tefera</t>
  </si>
  <si>
    <t>abyssiniadereje97@gmail.com</t>
  </si>
  <si>
    <t>Abyssinia</t>
  </si>
  <si>
    <t>Dereje</t>
  </si>
  <si>
    <t>beamlakmuluneh1219@gmail.com</t>
  </si>
  <si>
    <t>beamlak</t>
  </si>
  <si>
    <t>wasihunyirdw495@gmail.com</t>
  </si>
  <si>
    <t>wasihun</t>
  </si>
  <si>
    <t>atalel</t>
  </si>
  <si>
    <t>sasahu.kifle930528319@gmail.com</t>
  </si>
  <si>
    <t>ESUBALEW</t>
  </si>
  <si>
    <t>GIRMA</t>
  </si>
  <si>
    <t>betelehemyonas147gamial@gmail.com</t>
  </si>
  <si>
    <t>Honja</t>
  </si>
  <si>
    <t>eyosi434082@gmail.com</t>
  </si>
  <si>
    <t>Eyosias Habtemariam</t>
  </si>
  <si>
    <t>Tereda</t>
  </si>
  <si>
    <t>melatt51demeke@gmail.com</t>
  </si>
  <si>
    <t>Tsigereda</t>
  </si>
  <si>
    <t>mussie.tarekegn.baye@gmail.com</t>
  </si>
  <si>
    <t>Baye</t>
  </si>
  <si>
    <t>szelalem08@gmail.com</t>
  </si>
  <si>
    <t>Zelalem</t>
  </si>
  <si>
    <t>Sisay</t>
  </si>
  <si>
    <t>mulugetatewabe7@gmail.com</t>
  </si>
  <si>
    <t>Mulugeta</t>
  </si>
  <si>
    <t>m0amin122333@gmail.com</t>
  </si>
  <si>
    <t>Amin</t>
  </si>
  <si>
    <t>liyatsegaye2301@gmail.com</t>
  </si>
  <si>
    <t>Liya</t>
  </si>
  <si>
    <t>Hagos</t>
  </si>
  <si>
    <t>robaalex19@gmail.com</t>
  </si>
  <si>
    <t>Robel</t>
  </si>
  <si>
    <t>Alemayehu</t>
  </si>
  <si>
    <t>ezana8282@gmail.com</t>
  </si>
  <si>
    <t>Ezana</t>
  </si>
  <si>
    <t>melaku.eneayehu@aastu.edu.et</t>
  </si>
  <si>
    <t>Melaku</t>
  </si>
  <si>
    <t>Getnet</t>
  </si>
  <si>
    <t>befikeryitaywe22@gmail.com</t>
  </si>
  <si>
    <t>Befiker</t>
  </si>
  <si>
    <t>Yitaywe</t>
  </si>
  <si>
    <t>liyadesta490@gmail.com</t>
  </si>
  <si>
    <t>liya</t>
  </si>
  <si>
    <t>akalu</t>
  </si>
  <si>
    <t>sderbe6@gmail.com</t>
  </si>
  <si>
    <t>Samrawit</t>
  </si>
  <si>
    <t>Stotaw</t>
  </si>
  <si>
    <t>safibunny9016@gmail.com</t>
  </si>
  <si>
    <t>FethiyaSafi</t>
  </si>
  <si>
    <t>UGR700713</t>
  </si>
  <si>
    <t>brookyirsaw444@gmail.com</t>
  </si>
  <si>
    <t>Brook</t>
  </si>
  <si>
    <t>Yirsaw</t>
  </si>
  <si>
    <t>Gondar</t>
  </si>
  <si>
    <t>automanospareparte@gmail.com</t>
  </si>
  <si>
    <t>Osman</t>
  </si>
  <si>
    <t>Mufti</t>
  </si>
  <si>
    <t>brukb1958@gmail.com</t>
  </si>
  <si>
    <t>Bruk</t>
  </si>
  <si>
    <t>abdisahadji11@gmail.com</t>
  </si>
  <si>
    <t>Abdisa</t>
  </si>
  <si>
    <t>Hadji</t>
  </si>
  <si>
    <t>ermiasmihertab@gmail.com</t>
  </si>
  <si>
    <t>Mihertab</t>
  </si>
  <si>
    <t>biniamtefera2u@gmail.com</t>
  </si>
  <si>
    <t>Biniam</t>
  </si>
  <si>
    <t>Tekle</t>
  </si>
  <si>
    <t>aliyyiikadiir32@gmail.com</t>
  </si>
  <si>
    <t>Kadiir</t>
  </si>
  <si>
    <t>Aliyyii</t>
  </si>
  <si>
    <t>meraman675@gmail.com</t>
  </si>
  <si>
    <t>Meheretabe</t>
  </si>
  <si>
    <t>Abayneh</t>
  </si>
  <si>
    <t>naiomiendalkachew@gmail.com</t>
  </si>
  <si>
    <t>Lulit</t>
  </si>
  <si>
    <t>Genene</t>
  </si>
  <si>
    <t>fissihamelaku1@gmail.com</t>
  </si>
  <si>
    <t>Fisiha Melaku</t>
  </si>
  <si>
    <t>Worku</t>
  </si>
  <si>
    <t>truketlema9489@gmail.com</t>
  </si>
  <si>
    <t>Truket</t>
  </si>
  <si>
    <t>Haile</t>
  </si>
  <si>
    <t>4u.aplus.tutor@gmail.com</t>
  </si>
  <si>
    <t>Gebremariam</t>
  </si>
  <si>
    <t>abrahamtegegn19@gmail.com</t>
  </si>
  <si>
    <t>Abraham</t>
  </si>
  <si>
    <t>Tegegne</t>
  </si>
  <si>
    <t>adnanabdi4961@gmail.com</t>
  </si>
  <si>
    <t>ADNAN</t>
  </si>
  <si>
    <t>ABDI YUYA</t>
  </si>
  <si>
    <t>anwarmufti2020@gmail.com</t>
  </si>
  <si>
    <t>Anwar</t>
  </si>
  <si>
    <t>sosi24898@gmail.com</t>
  </si>
  <si>
    <t>Sosina</t>
  </si>
  <si>
    <t>Mulatu</t>
  </si>
  <si>
    <t>kid2945@yahoo.com</t>
  </si>
  <si>
    <t>Kidist</t>
  </si>
  <si>
    <t>mickeyleo1210@gmail.com</t>
  </si>
  <si>
    <t>Michael</t>
  </si>
  <si>
    <t>Leul</t>
  </si>
  <si>
    <t>passionatesale@gmail.com</t>
  </si>
  <si>
    <t>Saleamlak</t>
  </si>
  <si>
    <t>Gete</t>
  </si>
  <si>
    <t>redietteklay8@gmail.com</t>
  </si>
  <si>
    <t>Teklay</t>
  </si>
  <si>
    <t>daveabrha7@gmail.com</t>
  </si>
  <si>
    <t>Abrha</t>
  </si>
  <si>
    <t>eyobteshager793@gmail.com</t>
  </si>
  <si>
    <t>Eyob</t>
  </si>
  <si>
    <t>Teshager</t>
  </si>
  <si>
    <t>amialphakennedy5@gmail.com</t>
  </si>
  <si>
    <t>alpha</t>
  </si>
  <si>
    <t>tewolde</t>
  </si>
  <si>
    <t>layfokru@gmail.com</t>
  </si>
  <si>
    <t>Ayfokru</t>
  </si>
  <si>
    <t>mubarekmohamedyasin@gmail.com</t>
  </si>
  <si>
    <t>Mubarek</t>
  </si>
  <si>
    <t>Mohamedyasin</t>
  </si>
  <si>
    <t>alazargetahun7557@gmail.com</t>
  </si>
  <si>
    <t>Alazar</t>
  </si>
  <si>
    <t>Asnakew</t>
  </si>
  <si>
    <t>betiasefa9@gmail.com</t>
  </si>
  <si>
    <t>BETELHEM</t>
  </si>
  <si>
    <t>ASEFAW</t>
  </si>
  <si>
    <t>abeldeme8872@gmail.com</t>
  </si>
  <si>
    <t>Kelbago</t>
  </si>
  <si>
    <t>kinanhamza269@gmail.com</t>
  </si>
  <si>
    <t>Kinan</t>
  </si>
  <si>
    <t>Shemsu</t>
  </si>
  <si>
    <t>beniammesfin@gmail.com</t>
  </si>
  <si>
    <t>Beniam</t>
  </si>
  <si>
    <t>Debissa</t>
  </si>
  <si>
    <t>yaikobh2011@gmail.com</t>
  </si>
  <si>
    <t>Yaikob</t>
  </si>
  <si>
    <t>abdikejela68@gmail.com</t>
  </si>
  <si>
    <t>Abdi</t>
  </si>
  <si>
    <t>Yadeta</t>
  </si>
  <si>
    <t>feyerabeki@gmail.com</t>
  </si>
  <si>
    <t>Mihiretu</t>
  </si>
  <si>
    <t>Fayera</t>
  </si>
  <si>
    <t>bettytamrat59@gmail.com</t>
  </si>
  <si>
    <t>Betelhem</t>
  </si>
  <si>
    <t>Katiso</t>
  </si>
  <si>
    <t>kaliyanaasgedom@icloud.com</t>
  </si>
  <si>
    <t>Kalkidan</t>
  </si>
  <si>
    <t>Asgedom</t>
  </si>
  <si>
    <t>mekdlawitwolde9@gmail.com</t>
  </si>
  <si>
    <t>Mekdlawit</t>
  </si>
  <si>
    <t>Wolde</t>
  </si>
  <si>
    <t>Bishoftu</t>
  </si>
  <si>
    <t>lidyaabinet8@gmail.com</t>
  </si>
  <si>
    <t>Lidya</t>
  </si>
  <si>
    <t>Eshetu</t>
  </si>
  <si>
    <t>uyalegesse@gmail.com</t>
  </si>
  <si>
    <t>simret</t>
  </si>
  <si>
    <t>lombebo</t>
  </si>
  <si>
    <t>gelilatadesse951@gmail.com</t>
  </si>
  <si>
    <t>Gelila</t>
  </si>
  <si>
    <t>Muluneh</t>
  </si>
  <si>
    <t>Eritrea</t>
  </si>
  <si>
    <t>temesgenselemon26@gmail.com</t>
  </si>
  <si>
    <t>Temesgen</t>
  </si>
  <si>
    <t>Bunaka</t>
  </si>
  <si>
    <t>mikinigussie22@gmail.com</t>
  </si>
  <si>
    <t>Mikiyas</t>
  </si>
  <si>
    <t>Dajene</t>
  </si>
  <si>
    <t>haftamuactive@gmail.com</t>
  </si>
  <si>
    <t>Haftamu</t>
  </si>
  <si>
    <t>Gebreigziabher</t>
  </si>
  <si>
    <t>eyujoel08@gmail.com</t>
  </si>
  <si>
    <t>Eyuel</t>
  </si>
  <si>
    <t>Alemu</t>
  </si>
  <si>
    <t>nahomendris2000@gmail.com</t>
  </si>
  <si>
    <t>Endris</t>
  </si>
  <si>
    <t>neverloveusabdk@gmail.com</t>
  </si>
  <si>
    <t>Selome</t>
  </si>
  <si>
    <t>Ambaw</t>
  </si>
  <si>
    <t>birukt752@gmail.com</t>
  </si>
  <si>
    <t>Biruk</t>
  </si>
  <si>
    <t>acesemir2014@gmail.com</t>
  </si>
  <si>
    <t>Selahadin</t>
  </si>
  <si>
    <t>fuadkedir1914@gmail.com</t>
  </si>
  <si>
    <t>Fuad</t>
  </si>
  <si>
    <t>Assen</t>
  </si>
  <si>
    <t>tegegndoelamo005@gmail.com</t>
  </si>
  <si>
    <t>Tegegn</t>
  </si>
  <si>
    <t>Lambebo</t>
  </si>
  <si>
    <t>samuelfantahun017@gmail.com</t>
  </si>
  <si>
    <t>SAMUEL</t>
  </si>
  <si>
    <t>ESHETU</t>
  </si>
  <si>
    <t>girmatesema636@gmail.com</t>
  </si>
  <si>
    <t>Argaw</t>
  </si>
  <si>
    <t>meleaye65@gmail.com</t>
  </si>
  <si>
    <t>Kelbore</t>
  </si>
  <si>
    <t>natnaelxceltech@gmail.com</t>
  </si>
  <si>
    <t>Hailu</t>
  </si>
  <si>
    <t>asriemelkamu994@gmail.com</t>
  </si>
  <si>
    <t>Melkamu</t>
  </si>
  <si>
    <t>Asaye</t>
  </si>
  <si>
    <t>amanuelasegid20@gmail.com</t>
  </si>
  <si>
    <t>AMANUEL</t>
  </si>
  <si>
    <t>ASEGID</t>
  </si>
  <si>
    <t>shad1991hm@gmail.com</t>
  </si>
  <si>
    <t>Sidrak</t>
  </si>
  <si>
    <t>H</t>
  </si>
  <si>
    <t>nicholasleecomer@gmail.com</t>
  </si>
  <si>
    <t>Jemal</t>
  </si>
  <si>
    <t>tokichow8@gmail.com</t>
  </si>
  <si>
    <t>Dagne</t>
  </si>
  <si>
    <t>Wakjira</t>
  </si>
  <si>
    <t>castrofdl@gmail.com</t>
  </si>
  <si>
    <t>Tarikayehu</t>
  </si>
  <si>
    <t>Untisso</t>
  </si>
  <si>
    <t>tumsa915@gmail.com</t>
  </si>
  <si>
    <t>Tumsa</t>
  </si>
  <si>
    <t>Yasin</t>
  </si>
  <si>
    <t>eyobyesuf008@gmail.com</t>
  </si>
  <si>
    <t>EYOB</t>
  </si>
  <si>
    <t>AHEMED</t>
  </si>
  <si>
    <t>bgirma494@gmail.com</t>
  </si>
  <si>
    <t>Leta</t>
  </si>
  <si>
    <t>beshegercom@gmail.com</t>
  </si>
  <si>
    <t>Mersha</t>
  </si>
  <si>
    <t>wubishetwudu1624@gmail.com</t>
  </si>
  <si>
    <t>wubishet</t>
  </si>
  <si>
    <t>wudu</t>
  </si>
  <si>
    <t>deresetefera95@gmail.com</t>
  </si>
  <si>
    <t>Derese</t>
  </si>
  <si>
    <t>robelworkie32@gmail.com</t>
  </si>
  <si>
    <t>Workie</t>
  </si>
  <si>
    <t>abdurohmanseid051@gmail.com</t>
  </si>
  <si>
    <t>Abdurohman</t>
  </si>
  <si>
    <t>Shefera</t>
  </si>
  <si>
    <t>Semera</t>
  </si>
  <si>
    <t>Afghanistan</t>
  </si>
  <si>
    <t>tsegawonda16@gmail.com</t>
  </si>
  <si>
    <t>Mognnet</t>
  </si>
  <si>
    <t>yimam7560@gmail.com</t>
  </si>
  <si>
    <t>Amir</t>
  </si>
  <si>
    <t>nathanshemsu03@gmail.com</t>
  </si>
  <si>
    <t>kedamomohammed44@gmail.com</t>
  </si>
  <si>
    <t>Kedamo</t>
  </si>
  <si>
    <t>mikimykey764@gmail.com</t>
  </si>
  <si>
    <t>Behayilu</t>
  </si>
  <si>
    <t>natnaeldress21@gmail.com</t>
  </si>
  <si>
    <t>Dress</t>
  </si>
  <si>
    <t>birukyihunie7@gmail.com</t>
  </si>
  <si>
    <t>Yihunie</t>
  </si>
  <si>
    <t>fevaleo369@gmail.com</t>
  </si>
  <si>
    <t>Feven</t>
  </si>
  <si>
    <t>Yadessa</t>
  </si>
  <si>
    <t>abaziz2712@gmail.com</t>
  </si>
  <si>
    <t>Abdulaziz</t>
  </si>
  <si>
    <t>Siraj</t>
  </si>
  <si>
    <t>tttm4545@gmail.com</t>
  </si>
  <si>
    <t>Teyba</t>
  </si>
  <si>
    <t>Assefa</t>
  </si>
  <si>
    <t>beteabbir@gmail.com</t>
  </si>
  <si>
    <t>Beteab</t>
  </si>
  <si>
    <t>demissew</t>
  </si>
  <si>
    <t>mandefro701@gmail.com</t>
  </si>
  <si>
    <t>Mandefro</t>
  </si>
  <si>
    <t>Mekonnen</t>
  </si>
  <si>
    <t>amidajemal7@gmail.com</t>
  </si>
  <si>
    <t>Kulud</t>
  </si>
  <si>
    <t>Taju</t>
  </si>
  <si>
    <t>melketheg@gmail.com</t>
  </si>
  <si>
    <t>Melkamu Meshesha</t>
  </si>
  <si>
    <t>Memiru</t>
  </si>
  <si>
    <t>mandefro.ugr-1802-17@aau.edu.et</t>
  </si>
  <si>
    <t>elizabethyonas700@gmail.com</t>
  </si>
  <si>
    <t>Elizabeth</t>
  </si>
  <si>
    <t>kibatugidey0@gmail.com</t>
  </si>
  <si>
    <t>Emebet</t>
  </si>
  <si>
    <t>Welay</t>
  </si>
  <si>
    <t>nadinaa399@gmail.com</t>
  </si>
  <si>
    <t>Nardos</t>
  </si>
  <si>
    <t>Aschalew</t>
  </si>
  <si>
    <t>mohcodes89@gmail.com</t>
  </si>
  <si>
    <t>Hussein</t>
  </si>
  <si>
    <t>danielmeseret804@gmail.com</t>
  </si>
  <si>
    <t>Daniel</t>
  </si>
  <si>
    <t>Chanie</t>
  </si>
  <si>
    <t>knesibu3@gmail.com</t>
  </si>
  <si>
    <t>Nesibu</t>
  </si>
  <si>
    <t>shalom6934@gmail.com</t>
  </si>
  <si>
    <t>Birhane</t>
  </si>
  <si>
    <t>gashawtadese78@gmail.com</t>
  </si>
  <si>
    <t>Gashaw</t>
  </si>
  <si>
    <t>bogalebantalem7@gmail.com</t>
  </si>
  <si>
    <t>Bantalem</t>
  </si>
  <si>
    <t>Bogale</t>
  </si>
  <si>
    <t>kseid237@gmail.com</t>
  </si>
  <si>
    <t>nahom.teferi-ug@aau.edu.et</t>
  </si>
  <si>
    <t>Teferi</t>
  </si>
  <si>
    <t>slemma071@gmail.com</t>
  </si>
  <si>
    <t>libasoaliyi8@gmail.com</t>
  </si>
  <si>
    <t>Libaso</t>
  </si>
  <si>
    <t>giftimulugeta7@gmail.com</t>
  </si>
  <si>
    <t>Gifti</t>
  </si>
  <si>
    <t>perezendale0@gmail.com</t>
  </si>
  <si>
    <t>Perez</t>
  </si>
  <si>
    <t>Endale</t>
  </si>
  <si>
    <t>Adan</t>
  </si>
  <si>
    <t>kirubekele02@gmail.com</t>
  </si>
  <si>
    <t>Lema</t>
  </si>
  <si>
    <t>kalkena8216@gmail.com</t>
  </si>
  <si>
    <t>Meskerem</t>
  </si>
  <si>
    <t>Bekuma</t>
  </si>
  <si>
    <t>tedlamillionyou@gmail.com</t>
  </si>
  <si>
    <t>Tadde</t>
  </si>
  <si>
    <t>melkamudires3@gmail.com</t>
  </si>
  <si>
    <t>Workineh</t>
  </si>
  <si>
    <t>baburayanjemy@gmail.com</t>
  </si>
  <si>
    <t>Rayan</t>
  </si>
  <si>
    <t>Edris</t>
  </si>
  <si>
    <t>adamkew760@gmail.com</t>
  </si>
  <si>
    <t>adamkew</t>
  </si>
  <si>
    <t>Fentie</t>
  </si>
  <si>
    <t>henokdemissie13@gmail.com</t>
  </si>
  <si>
    <t>yohannesyeneakal6@gmail.com</t>
  </si>
  <si>
    <t>dhugumaawaqjiraa@gmail.com</t>
  </si>
  <si>
    <t>Duguma</t>
  </si>
  <si>
    <t>bereketababi05@gmail.com</t>
  </si>
  <si>
    <t>Bereket</t>
  </si>
  <si>
    <t>Ababi</t>
  </si>
  <si>
    <t>esak8737@gmail.com</t>
  </si>
  <si>
    <t>ESAK</t>
  </si>
  <si>
    <t>Din</t>
  </si>
  <si>
    <t>ethiobarok@gmail.com</t>
  </si>
  <si>
    <t>Barok</t>
  </si>
  <si>
    <t>manuheoj@gmail.com</t>
  </si>
  <si>
    <t>Manuhe</t>
  </si>
  <si>
    <t>bon428841@gmail.com</t>
  </si>
  <si>
    <t>Bonny</t>
  </si>
  <si>
    <t>mhhh34880@gmail.com</t>
  </si>
  <si>
    <t>thanksmman@gmail.com</t>
  </si>
  <si>
    <t>Thanks m</t>
  </si>
  <si>
    <t>samuelmihretu12@gmail.com</t>
  </si>
  <si>
    <t>bereketfeyissa+alx@gmail.com</t>
  </si>
  <si>
    <t>Weldecherkos</t>
  </si>
  <si>
    <t>kalabalazar01@gmail.com</t>
  </si>
  <si>
    <t>KALAB</t>
  </si>
  <si>
    <t>BEYENE</t>
  </si>
  <si>
    <t>muluethio21@gmail.com</t>
  </si>
  <si>
    <t>Mulusew</t>
  </si>
  <si>
    <t>Yeshaneh</t>
  </si>
  <si>
    <t>yohannesbelete186@gmail.com</t>
  </si>
  <si>
    <t>GUGSA</t>
  </si>
  <si>
    <t>bereketgboston42@gmail.com</t>
  </si>
  <si>
    <t>Gebertsadike</t>
  </si>
  <si>
    <t>funkydanny80@gmail.com</t>
  </si>
  <si>
    <t>Gebretsadik</t>
  </si>
  <si>
    <t>mihretmekbebe15@gmail.com</t>
  </si>
  <si>
    <t>Mihret</t>
  </si>
  <si>
    <t>Mekbebe</t>
  </si>
  <si>
    <t>markosassefa22@gmail.com</t>
  </si>
  <si>
    <t>Markos</t>
  </si>
  <si>
    <t>yibrook984@gmail.com</t>
  </si>
  <si>
    <t>brook</t>
  </si>
  <si>
    <t>yi</t>
  </si>
  <si>
    <t>kaanenusdirirsa2016@gmail.com</t>
  </si>
  <si>
    <t>Kaanenus</t>
  </si>
  <si>
    <t>Dirirsa</t>
  </si>
  <si>
    <t>hailemichaelnat30@gmail.com</t>
  </si>
  <si>
    <t>Natnael Berhane</t>
  </si>
  <si>
    <t>Hailemichael</t>
  </si>
  <si>
    <t>nigusmesfin504@gmail.com</t>
  </si>
  <si>
    <t>Tadese</t>
  </si>
  <si>
    <t>gteferi2006@gmail.com</t>
  </si>
  <si>
    <t>Sintayehu</t>
  </si>
  <si>
    <t>Adam</t>
  </si>
  <si>
    <t>tewe2721@gmail.com</t>
  </si>
  <si>
    <t>Teweldemedhin</t>
  </si>
  <si>
    <t>Gebremeskel</t>
  </si>
  <si>
    <t>menge20.shiferaw@gmail.com</t>
  </si>
  <si>
    <t>mengistu</t>
  </si>
  <si>
    <t>shiferaw</t>
  </si>
  <si>
    <t>habetayilekal10@gmail.com</t>
  </si>
  <si>
    <t>Habtagiorgis</t>
  </si>
  <si>
    <t>Asrat</t>
  </si>
  <si>
    <t>tfikir143@gmail.com</t>
  </si>
  <si>
    <t>Fikremariam</t>
  </si>
  <si>
    <t>Benti</t>
  </si>
  <si>
    <t>yetsiemolla.2000@gmail.com</t>
  </si>
  <si>
    <t>Yetsedaw</t>
  </si>
  <si>
    <t>molla</t>
  </si>
  <si>
    <t>meliekteyohannes610@gmail.com</t>
  </si>
  <si>
    <t>Meliekte</t>
  </si>
  <si>
    <t>abiyhailu068@gmail.com</t>
  </si>
  <si>
    <t>Abiy</t>
  </si>
  <si>
    <t>betiasfaw9@gmail.com</t>
  </si>
  <si>
    <t>Betelham</t>
  </si>
  <si>
    <t>Asefaw</t>
  </si>
  <si>
    <t>bilisumamatewos@gmail.com</t>
  </si>
  <si>
    <t>Bilisuma</t>
  </si>
  <si>
    <t>Matewos</t>
  </si>
  <si>
    <t>misganaab.esayas@du.edu.et</t>
  </si>
  <si>
    <t>Misganaab</t>
  </si>
  <si>
    <t>Esayas</t>
  </si>
  <si>
    <t>elshadamezgebu8@gmail.com</t>
  </si>
  <si>
    <t>Elshaday</t>
  </si>
  <si>
    <t>Mezgebu</t>
  </si>
  <si>
    <t>abrehamdessalegn02@gmail.com</t>
  </si>
  <si>
    <t>Abreham</t>
  </si>
  <si>
    <t>Dessalegn</t>
  </si>
  <si>
    <t>mekides.dyh67@gmail.com</t>
  </si>
  <si>
    <t>Mekides</t>
  </si>
  <si>
    <t>bontuberhanemeskel@gmail.com</t>
  </si>
  <si>
    <t>Bontu</t>
  </si>
  <si>
    <t>mahletfentahun95@gmail.com</t>
  </si>
  <si>
    <t>Mahlet</t>
  </si>
  <si>
    <t>Fentahun</t>
  </si>
  <si>
    <t>hiwotbelay060@gmail.com</t>
  </si>
  <si>
    <t>Hiwot</t>
  </si>
  <si>
    <t>Belay Mekonnen</t>
  </si>
  <si>
    <t>etsubabebehab@gmail.com</t>
  </si>
  <si>
    <t>Etsubdink</t>
  </si>
  <si>
    <t>abenezer865@gmail.com</t>
  </si>
  <si>
    <t>Abenezer</t>
  </si>
  <si>
    <t>Temtime</t>
  </si>
  <si>
    <t>kalkidanbizuneh22@gmail.com</t>
  </si>
  <si>
    <t>kalkidan</t>
  </si>
  <si>
    <t>dagnachew</t>
  </si>
  <si>
    <t>aviationmedecine@gmail.com</t>
  </si>
  <si>
    <t>Desalegn</t>
  </si>
  <si>
    <t>mickeygessesse5@gmail.com</t>
  </si>
  <si>
    <t>116eyosi@gmail.com</t>
  </si>
  <si>
    <t>Eyosiyas</t>
  </si>
  <si>
    <t>Nigussie</t>
  </si>
  <si>
    <t>elsh12192127@gmail.com</t>
  </si>
  <si>
    <t>tarikuteshome947@gmail.com</t>
  </si>
  <si>
    <t>Tariku</t>
  </si>
  <si>
    <t>tumimtuye@gmail.com</t>
  </si>
  <si>
    <t>Trufat</t>
  </si>
  <si>
    <t>Admasu</t>
  </si>
  <si>
    <t>hebronsamuel162@gmail.com</t>
  </si>
  <si>
    <t>Gebremedhin</t>
  </si>
  <si>
    <t>redietsisay32@gmail.com</t>
  </si>
  <si>
    <t>rediet</t>
  </si>
  <si>
    <t>yeabsiraabdela@gmail.com</t>
  </si>
  <si>
    <t>Abdela</t>
  </si>
  <si>
    <t>mahletdebasu0@gmail.com</t>
  </si>
  <si>
    <t>Debasu</t>
  </si>
  <si>
    <t>abrehammn@gmail.com</t>
  </si>
  <si>
    <t>Tolcha</t>
  </si>
  <si>
    <t>binniamshiferaw@gmail.com</t>
  </si>
  <si>
    <t>biniam</t>
  </si>
  <si>
    <t>Shiferaw</t>
  </si>
  <si>
    <t>haymanoty251@gmail.com</t>
  </si>
  <si>
    <t>Mahider</t>
  </si>
  <si>
    <t>Yizengaw</t>
  </si>
  <si>
    <t>elias.derar2002@gmail.com</t>
  </si>
  <si>
    <t>Eliyas</t>
  </si>
  <si>
    <t>Abaoli</t>
  </si>
  <si>
    <t>mintesnotteshale4@gmail.com</t>
  </si>
  <si>
    <t>Mintesinot</t>
  </si>
  <si>
    <t>Teshale</t>
  </si>
  <si>
    <t>gelila.melaku111@gmail.com</t>
  </si>
  <si>
    <t>shemelesgirma2015@gmail.com</t>
  </si>
  <si>
    <t>Shemeles</t>
  </si>
  <si>
    <t>ananiyatizazu53@gmail.com</t>
  </si>
  <si>
    <t>Ananiya</t>
  </si>
  <si>
    <t>abinetsimeneh1621@gmail.com</t>
  </si>
  <si>
    <t>Abinet Simeneh</t>
  </si>
  <si>
    <t>mulugetalire89@gmail.com</t>
  </si>
  <si>
    <t>Madebo</t>
  </si>
  <si>
    <t>merhawinguse30@gmail.com</t>
  </si>
  <si>
    <t>Merhawi</t>
  </si>
  <si>
    <t>Nguse</t>
  </si>
  <si>
    <t>mikirmikirgetasew@gmail.com</t>
  </si>
  <si>
    <t>Mikir</t>
  </si>
  <si>
    <t>teddymulie08@gmail.com</t>
  </si>
  <si>
    <t>Tewodros</t>
  </si>
  <si>
    <t>Goshe</t>
  </si>
  <si>
    <t>abelagegnehu@gmail.com</t>
  </si>
  <si>
    <t>Agegnehu</t>
  </si>
  <si>
    <t>estifanosworash2@gmail.com</t>
  </si>
  <si>
    <t>Estifanos</t>
  </si>
  <si>
    <t>Worash</t>
  </si>
  <si>
    <t>kirubelsintayehu053@gmail.com</t>
  </si>
  <si>
    <t>Meshesha</t>
  </si>
  <si>
    <t>anahabtamu2@gmail.com</t>
  </si>
  <si>
    <t>Anatol</t>
  </si>
  <si>
    <t>gebremedhinendeshawe@gmail.com</t>
  </si>
  <si>
    <t>Endeshaw</t>
  </si>
  <si>
    <t>medhinbiruk832@gmail.com</t>
  </si>
  <si>
    <t>Medhin</t>
  </si>
  <si>
    <t>betemariyam1290@gmail.com</t>
  </si>
  <si>
    <t>Betemariyam</t>
  </si>
  <si>
    <t>Abate</t>
  </si>
  <si>
    <t>aberahayleabb@gmail.com</t>
  </si>
  <si>
    <t>HALIE</t>
  </si>
  <si>
    <t>ABERA WENDIE</t>
  </si>
  <si>
    <t>paulosdereje123@gmail.com</t>
  </si>
  <si>
    <t>Paulos</t>
  </si>
  <si>
    <t>firaoldugassalikassa@gmail.com</t>
  </si>
  <si>
    <t>Firaol</t>
  </si>
  <si>
    <t>Dugassa</t>
  </si>
  <si>
    <t>henokgizaw06@gmail.com</t>
  </si>
  <si>
    <t>Nigatu</t>
  </si>
  <si>
    <t>yidnemath@gmail.com</t>
  </si>
  <si>
    <t>yidnekachew</t>
  </si>
  <si>
    <t>Tamiru</t>
  </si>
  <si>
    <t>degagatadesse@gmail.com</t>
  </si>
  <si>
    <t>Degaga</t>
  </si>
  <si>
    <t>naolcrown@gmail.com</t>
  </si>
  <si>
    <t>Naol</t>
  </si>
  <si>
    <t>Zewdie</t>
  </si>
  <si>
    <t>bayabelseife@gmail.com</t>
  </si>
  <si>
    <t>seife</t>
  </si>
  <si>
    <t>Chekol</t>
  </si>
  <si>
    <t>jonathemercy1623@gmail.com</t>
  </si>
  <si>
    <t>Yonas Desta</t>
  </si>
  <si>
    <t>Ebren</t>
  </si>
  <si>
    <t>sadormehari424@gmail.com</t>
  </si>
  <si>
    <t>Sador</t>
  </si>
  <si>
    <t>Mehari</t>
  </si>
  <si>
    <t>behailubekelebabulo@gmail.com</t>
  </si>
  <si>
    <t>Behailu</t>
  </si>
  <si>
    <t>Bekele</t>
  </si>
  <si>
    <t>kernemikidane63@gmail.com</t>
  </si>
  <si>
    <t>Kernemi</t>
  </si>
  <si>
    <t>Kidane</t>
  </si>
  <si>
    <t>abel.tesfaye@aastustudent.edu.et</t>
  </si>
  <si>
    <t>ABEL</t>
  </si>
  <si>
    <t>TESFAYE</t>
  </si>
  <si>
    <t>ephremtadese7@gmail.com</t>
  </si>
  <si>
    <t>Ephrem</t>
  </si>
  <si>
    <t>abenezerhaile20@gmail.com</t>
  </si>
  <si>
    <t>abenezer</t>
  </si>
  <si>
    <t>haile</t>
  </si>
  <si>
    <t>hackghost2468@gmail.com</t>
  </si>
  <si>
    <t>Hack</t>
  </si>
  <si>
    <t>Ghost</t>
  </si>
  <si>
    <t>spongebonsa145@gmail.com</t>
  </si>
  <si>
    <t>bonsa</t>
  </si>
  <si>
    <t>edmonunu@gmail.com</t>
  </si>
  <si>
    <t>Eden</t>
  </si>
  <si>
    <t>Nunu</t>
  </si>
  <si>
    <t>silloadane@gmail.com</t>
  </si>
  <si>
    <t>Adane</t>
  </si>
  <si>
    <t>Sillo</t>
  </si>
  <si>
    <t>yosephtsige19@gmail.com</t>
  </si>
  <si>
    <t>Tsige</t>
  </si>
  <si>
    <t>mo37085825@gmail.com</t>
  </si>
  <si>
    <t>Bamud</t>
  </si>
  <si>
    <t>gatkekkuenkuen@gmail.com</t>
  </si>
  <si>
    <t>Gatkek</t>
  </si>
  <si>
    <t>Tai</t>
  </si>
  <si>
    <t>tmastewal908@gmail.com</t>
  </si>
  <si>
    <t>Marewal</t>
  </si>
  <si>
    <t>mickeyandu2@gmail.com</t>
  </si>
  <si>
    <t>yohannessintayhu11@gmail.com</t>
  </si>
  <si>
    <t>yohannes</t>
  </si>
  <si>
    <t>Getaneh</t>
  </si>
  <si>
    <t>yordanosasrat162@gmail.com</t>
  </si>
  <si>
    <t>Tesfu</t>
  </si>
  <si>
    <t>yibestbelay@gmail.com</t>
  </si>
  <si>
    <t>Yibeltal</t>
  </si>
  <si>
    <t>Zeleke</t>
  </si>
  <si>
    <t>motidejene571@gmail.com</t>
  </si>
  <si>
    <t>Moti</t>
  </si>
  <si>
    <t>dipo69555@gmail.com</t>
  </si>
  <si>
    <t>Shikur</t>
  </si>
  <si>
    <t>Muhammed</t>
  </si>
  <si>
    <t>bestberihu@gmail.com</t>
  </si>
  <si>
    <t>Best</t>
  </si>
  <si>
    <t>Berihu</t>
  </si>
  <si>
    <t>amirnebil78@gmail.com</t>
  </si>
  <si>
    <t>Semira</t>
  </si>
  <si>
    <t>Hussen</t>
  </si>
  <si>
    <t>fikremariamdebela8@gmail.com</t>
  </si>
  <si>
    <t>Fikremariam Debela</t>
  </si>
  <si>
    <t>Keacher</t>
  </si>
  <si>
    <t>robigjune8@gmail.com</t>
  </si>
  <si>
    <t>Roben</t>
  </si>
  <si>
    <t>Getu</t>
  </si>
  <si>
    <t>nuhaminemnebered@gmail.com</t>
  </si>
  <si>
    <t>Nuhamin</t>
  </si>
  <si>
    <t>Emnebered</t>
  </si>
  <si>
    <t>tesfayetwo@gmail.com</t>
  </si>
  <si>
    <t>tesfaye</t>
  </si>
  <si>
    <t>fekadie</t>
  </si>
  <si>
    <t>wogariararsa0968@gmail.com</t>
  </si>
  <si>
    <t>Wogari</t>
  </si>
  <si>
    <t>Ararsa</t>
  </si>
  <si>
    <t>teferah363@gmail.com</t>
  </si>
  <si>
    <t>sinalegesse605@gmail.com</t>
  </si>
  <si>
    <t>Sina</t>
  </si>
  <si>
    <t>Legesse</t>
  </si>
  <si>
    <t>negoebrahim25@gmail.com</t>
  </si>
  <si>
    <t>Nego</t>
  </si>
  <si>
    <t>Ebrahim</t>
  </si>
  <si>
    <t>lenjuta83@gmail.com</t>
  </si>
  <si>
    <t>Lenjisa</t>
  </si>
  <si>
    <t>Tamirat</t>
  </si>
  <si>
    <t>d04004393@gmail.com</t>
  </si>
  <si>
    <t>Yohannse</t>
  </si>
  <si>
    <t>amanyfaith7177@gmail.com</t>
  </si>
  <si>
    <t>Ammanuel</t>
  </si>
  <si>
    <t>papamahir917@gmail.com</t>
  </si>
  <si>
    <t>Ridewan</t>
  </si>
  <si>
    <t>Dergaso</t>
  </si>
  <si>
    <t>doublek414146@gmail.com</t>
  </si>
  <si>
    <t>Kaleab</t>
  </si>
  <si>
    <t>edefeke15@gmail.com</t>
  </si>
  <si>
    <t>Megen</t>
  </si>
  <si>
    <t>alimebrat12@gmail.com</t>
  </si>
  <si>
    <t>Ali</t>
  </si>
  <si>
    <t>Mebrat</t>
  </si>
  <si>
    <t>bikilaleta1@gmail.com</t>
  </si>
  <si>
    <t>Bikila</t>
  </si>
  <si>
    <t>honore8a@gmail.com</t>
  </si>
  <si>
    <t>kibresiyoum342@gmail.com</t>
  </si>
  <si>
    <t>Kibre</t>
  </si>
  <si>
    <t>abdimelaku14@gmail.com</t>
  </si>
  <si>
    <t>Getahun</t>
  </si>
  <si>
    <t>yoniteklu4@gmail.com</t>
  </si>
  <si>
    <t>Yoni</t>
  </si>
  <si>
    <t>Teklu</t>
  </si>
  <si>
    <t>tsegabogale92@gmail.com</t>
  </si>
  <si>
    <t>Tsega Bogale</t>
  </si>
  <si>
    <t>abrahamabebaw0@gmail.com</t>
  </si>
  <si>
    <t>Abebaw</t>
  </si>
  <si>
    <t>ermiyaszafu443@gmail.com</t>
  </si>
  <si>
    <t>ermiyas</t>
  </si>
  <si>
    <t>Zaze</t>
  </si>
  <si>
    <t>contacttomichael@gmail.com</t>
  </si>
  <si>
    <t>Aynalem</t>
  </si>
  <si>
    <t>zafumadebo@gmail.com</t>
  </si>
  <si>
    <t>Zenebe</t>
  </si>
  <si>
    <t>Hosaina</t>
  </si>
  <si>
    <t>r8975618@gmail.com</t>
  </si>
  <si>
    <t>Hassena</t>
  </si>
  <si>
    <t>Dubti</t>
  </si>
  <si>
    <t>tadesseesrom142@gmail.com</t>
  </si>
  <si>
    <t>Esrom</t>
  </si>
  <si>
    <t>kidstescape1995@gmail.com</t>
  </si>
  <si>
    <t>Kidst</t>
  </si>
  <si>
    <t>Nigus</t>
  </si>
  <si>
    <t>welderufaelmike@gmail.com</t>
  </si>
  <si>
    <t>Mike</t>
  </si>
  <si>
    <t>Welderufael</t>
  </si>
  <si>
    <t>yakobgezahegnekiros@gmail.com</t>
  </si>
  <si>
    <t>Yakob</t>
  </si>
  <si>
    <t>Gezahegne</t>
  </si>
  <si>
    <t>contactbluie@gmail.com</t>
  </si>
  <si>
    <t>Bluie</t>
  </si>
  <si>
    <t>Negussie</t>
  </si>
  <si>
    <t>amarsu26@gmail.com</t>
  </si>
  <si>
    <t>Amar</t>
  </si>
  <si>
    <t>Sufiyan</t>
  </si>
  <si>
    <t>imranabdella47@gmail.com</t>
  </si>
  <si>
    <t>Imran</t>
  </si>
  <si>
    <t>btmtech16@gmail.com</t>
  </si>
  <si>
    <t>Bete</t>
  </si>
  <si>
    <t>Mengistu</t>
  </si>
  <si>
    <t>amanuelgeremu@gmail.com</t>
  </si>
  <si>
    <t>Baneta</t>
  </si>
  <si>
    <t>leulmasresha5@gmail.com</t>
  </si>
  <si>
    <t>Zewdu</t>
  </si>
  <si>
    <t>elnathannigussie@gmail.com</t>
  </si>
  <si>
    <t>Elnathan</t>
  </si>
  <si>
    <t>fafibelayneh@gmail.com</t>
  </si>
  <si>
    <t>Fasika</t>
  </si>
  <si>
    <t>Belayneh</t>
  </si>
  <si>
    <t>tomatias.te@gmail.com</t>
  </si>
  <si>
    <t>Matias</t>
  </si>
  <si>
    <t>Tekeste</t>
  </si>
  <si>
    <t>yididyashimelis@gmail.com</t>
  </si>
  <si>
    <t>Jedidiah</t>
  </si>
  <si>
    <t>kidane</t>
  </si>
  <si>
    <t>b05326920@gmail.com</t>
  </si>
  <si>
    <t>Azezey</t>
  </si>
  <si>
    <t>Estonia</t>
  </si>
  <si>
    <t>bedasahika28@gmail.com</t>
  </si>
  <si>
    <t>Merera</t>
  </si>
  <si>
    <t>mekdesassefa715@gmail.com</t>
  </si>
  <si>
    <t>Mekdes</t>
  </si>
  <si>
    <t>derartuge@gmail.com</t>
  </si>
  <si>
    <t>Derartu</t>
  </si>
  <si>
    <t>Tuge</t>
  </si>
  <si>
    <t>yobsanfufa3@gmail.com</t>
  </si>
  <si>
    <t>Yobsan</t>
  </si>
  <si>
    <t>Gela</t>
  </si>
  <si>
    <t>fikremarkosmezgebu@gmail.com</t>
  </si>
  <si>
    <t>Fikremarkos</t>
  </si>
  <si>
    <t>rahelyabebal@gmail.com</t>
  </si>
  <si>
    <t>Yabebal</t>
  </si>
  <si>
    <t>kiduschess1001@gmail.com</t>
  </si>
  <si>
    <t>Habtewold</t>
  </si>
  <si>
    <t>birktkura@gmail.com</t>
  </si>
  <si>
    <t>Biruktawit</t>
  </si>
  <si>
    <t>Kurabachew</t>
  </si>
  <si>
    <t>dagiseyoum983@gmail.com</t>
  </si>
  <si>
    <t>Dagim</t>
  </si>
  <si>
    <t>Seyoum</t>
  </si>
  <si>
    <t>alephmergia@gmail.com</t>
  </si>
  <si>
    <t>aleph</t>
  </si>
  <si>
    <t>mergia</t>
  </si>
  <si>
    <t>nhattyzola243@gmail.com</t>
  </si>
  <si>
    <t>sudibrahim3@gmail.com</t>
  </si>
  <si>
    <t>Sud</t>
  </si>
  <si>
    <t>Ibrahim</t>
  </si>
  <si>
    <t>amiralx74@gmail.com</t>
  </si>
  <si>
    <t>Awel</t>
  </si>
  <si>
    <t>ehtube2020@gmail.com</t>
  </si>
  <si>
    <t>abigiyada@gmail.com</t>
  </si>
  <si>
    <t>Abigiya</t>
  </si>
  <si>
    <t>Waktole</t>
  </si>
  <si>
    <t>abenezerassefa632@gmail.com</t>
  </si>
  <si>
    <t>seidahmedmoh64@gmail.com</t>
  </si>
  <si>
    <t>Seid Ahmed</t>
  </si>
  <si>
    <t>halwam49@gmail.com</t>
  </si>
  <si>
    <t>Halwa</t>
  </si>
  <si>
    <t>amanuelkebedearega55@gmail.com</t>
  </si>
  <si>
    <t>Arega</t>
  </si>
  <si>
    <t>yishakdemsew@gmail.com</t>
  </si>
  <si>
    <t>Yishak</t>
  </si>
  <si>
    <t>Masresha</t>
  </si>
  <si>
    <t>netsanetdegu387@gmail.com</t>
  </si>
  <si>
    <t>Netsanet</t>
  </si>
  <si>
    <t>Degu</t>
  </si>
  <si>
    <t>yosephzenaw4@gmail.com</t>
  </si>
  <si>
    <t>Zenaw</t>
  </si>
  <si>
    <t>mezgebuhilinaatinkut@gmail.com</t>
  </si>
  <si>
    <t>Hilina atinkut</t>
  </si>
  <si>
    <t>dagmawigashaw1621ma@gmail.com</t>
  </si>
  <si>
    <t>Dagmawi</t>
  </si>
  <si>
    <t>Yosef</t>
  </si>
  <si>
    <t>alazara6@gmail.com</t>
  </si>
  <si>
    <t>eyobedtewodros861@gmail.com</t>
  </si>
  <si>
    <t>Eyobed</t>
  </si>
  <si>
    <t>alazarharegewaynez@gmail.com</t>
  </si>
  <si>
    <t>Haregewayne</t>
  </si>
  <si>
    <t>amanialabera098@gmail.com</t>
  </si>
  <si>
    <t>Amanial</t>
  </si>
  <si>
    <t>Abera</t>
  </si>
  <si>
    <t>samrawit458@gmail.com</t>
  </si>
  <si>
    <t>Mekuriya</t>
  </si>
  <si>
    <t>kiduswubie7110@gmail.com</t>
  </si>
  <si>
    <t>Maru</t>
  </si>
  <si>
    <t>zufanhadgu1@gmail.com</t>
  </si>
  <si>
    <t>Zufan</t>
  </si>
  <si>
    <t>Hadgu</t>
  </si>
  <si>
    <t>ayantudejene7103@gmail.com</t>
  </si>
  <si>
    <t>Ayantu</t>
  </si>
  <si>
    <t>yosefayalew46@gmail.com</t>
  </si>
  <si>
    <t>Hilme</t>
  </si>
  <si>
    <t>abeltade841@gmail.com</t>
  </si>
  <si>
    <t>Angasu</t>
  </si>
  <si>
    <t>liya_fekadu35@yahoo.com</t>
  </si>
  <si>
    <t>Fekadu</t>
  </si>
  <si>
    <t>mebremabi2020@gmail.com</t>
  </si>
  <si>
    <t>Mebratu</t>
  </si>
  <si>
    <t>dagmawilencho667@gmail.com</t>
  </si>
  <si>
    <t>Yetera</t>
  </si>
  <si>
    <t>mintesnotfikadu852@gmail.com</t>
  </si>
  <si>
    <t>Mintesnot</t>
  </si>
  <si>
    <t>mudesiraisha@gmail.com</t>
  </si>
  <si>
    <t>Aisha</t>
  </si>
  <si>
    <t>Mudesir</t>
  </si>
  <si>
    <t>mekilemma1@gmail.com</t>
  </si>
  <si>
    <t>Ayele</t>
  </si>
  <si>
    <t>tsegayeblen09@gmail.com</t>
  </si>
  <si>
    <t>Blen</t>
  </si>
  <si>
    <t>abrahamadugnaurgessa2@gmail.com</t>
  </si>
  <si>
    <t>Urgessa</t>
  </si>
  <si>
    <t>fanuelseyoum@gmail.com</t>
  </si>
  <si>
    <t>Fanuel</t>
  </si>
  <si>
    <t>Yeshitiela</t>
  </si>
  <si>
    <t>birukjeldu@gmail.com</t>
  </si>
  <si>
    <t>Jeldu</t>
  </si>
  <si>
    <t>mohammedahmedhajii@gmail.com</t>
  </si>
  <si>
    <t>Haji</t>
  </si>
  <si>
    <t>temesgensids@gmail.com</t>
  </si>
  <si>
    <t>Geda</t>
  </si>
  <si>
    <t>betemengistu16@gmail.com</t>
  </si>
  <si>
    <t>bete</t>
  </si>
  <si>
    <t>olman4jesus@gmail.com</t>
  </si>
  <si>
    <t>Olman</t>
  </si>
  <si>
    <t>yinual3@gmail.com</t>
  </si>
  <si>
    <t>YNEBEB</t>
  </si>
  <si>
    <t>ezuman00@gmail.com</t>
  </si>
  <si>
    <t>remedanfk@gmail.com</t>
  </si>
  <si>
    <t>remedan</t>
  </si>
  <si>
    <t>kulelo</t>
  </si>
  <si>
    <t>yaredddnigatu@gmail.com</t>
  </si>
  <si>
    <t>Yared</t>
  </si>
  <si>
    <t>farisabdulkadir01@gmail.com</t>
  </si>
  <si>
    <t>Faris</t>
  </si>
  <si>
    <t>Abdulkadir</t>
  </si>
  <si>
    <t>tesredeat767@gmail.com</t>
  </si>
  <si>
    <t>Redeat</t>
  </si>
  <si>
    <t>rawdaseali@gmail.com</t>
  </si>
  <si>
    <t>Rawda</t>
  </si>
  <si>
    <t>nm6410238@gmail.com</t>
  </si>
  <si>
    <t>Mahilet</t>
  </si>
  <si>
    <t>haymanotmaruhermi@gmail.com</t>
  </si>
  <si>
    <t>Hermela</t>
  </si>
  <si>
    <t>habteyes74@gmail.com</t>
  </si>
  <si>
    <t>habteyesus</t>
  </si>
  <si>
    <t>badego</t>
  </si>
  <si>
    <t>cloud.eyasu@gmail.com</t>
  </si>
  <si>
    <t>Eyasu</t>
  </si>
  <si>
    <t>lemessaa2@gmail.com</t>
  </si>
  <si>
    <t>Lemessa</t>
  </si>
  <si>
    <t>mylaandrew1@gmail.com</t>
  </si>
  <si>
    <t>Ruhama</t>
  </si>
  <si>
    <t>Zerihun</t>
  </si>
  <si>
    <t>hailelt@gmail.com</t>
  </si>
  <si>
    <t>kidusc941@gmail.com</t>
  </si>
  <si>
    <t>Kibrom</t>
  </si>
  <si>
    <t>yosephzenaw06@gmail.com</t>
  </si>
  <si>
    <t>fentish022@gmail.com</t>
  </si>
  <si>
    <t>Bitewulgn</t>
  </si>
  <si>
    <t>abebasemagn@gmail.com</t>
  </si>
  <si>
    <t>Abeba</t>
  </si>
  <si>
    <t>Semaw</t>
  </si>
  <si>
    <t>kasiye620@gmail.com</t>
  </si>
  <si>
    <t>Kasiye</t>
  </si>
  <si>
    <t>Taye</t>
  </si>
  <si>
    <t>kevenwedialex@gmail.com</t>
  </si>
  <si>
    <t>Keven</t>
  </si>
  <si>
    <t>Gebreslasie</t>
  </si>
  <si>
    <t>girmalak12@gmail.com</t>
  </si>
  <si>
    <t>Girma Moges</t>
  </si>
  <si>
    <t>Lakew</t>
  </si>
  <si>
    <t>geletamieso1398@gmail.com</t>
  </si>
  <si>
    <t>Geleta</t>
  </si>
  <si>
    <t>Mieso</t>
  </si>
  <si>
    <t>vivadanyman@gmail.com</t>
  </si>
  <si>
    <t>Tumicha</t>
  </si>
  <si>
    <t>dirsanantehun739@gmail.com</t>
  </si>
  <si>
    <t>Dirsan</t>
  </si>
  <si>
    <t>Gashu</t>
  </si>
  <si>
    <t>kaleabheyaw5@gmail.com</t>
  </si>
  <si>
    <t>negashjunior5@gmail.com</t>
  </si>
  <si>
    <t>Wendimu</t>
  </si>
  <si>
    <t>saharguyo@gmail.com</t>
  </si>
  <si>
    <t>Sahar</t>
  </si>
  <si>
    <t>Guyo</t>
  </si>
  <si>
    <t>kalusol2015@gmail.com</t>
  </si>
  <si>
    <t>abrhamsisay27@gmail.com</t>
  </si>
  <si>
    <t>miczeni09@gmail.com</t>
  </si>
  <si>
    <t>Tamene</t>
  </si>
  <si>
    <t>feredeenideg@gmail.com</t>
  </si>
  <si>
    <t>Ferede</t>
  </si>
  <si>
    <t>ibex2707@gmail.com</t>
  </si>
  <si>
    <t>gashawmulie55@gmail.com</t>
  </si>
  <si>
    <t>Damtie</t>
  </si>
  <si>
    <t>natogi500@gmail.com</t>
  </si>
  <si>
    <t>Natoli</t>
  </si>
  <si>
    <t>Gishu</t>
  </si>
  <si>
    <t>seblewongeladdisalem@gmail.com</t>
  </si>
  <si>
    <t>seblewongel</t>
  </si>
  <si>
    <t>andualem</t>
  </si>
  <si>
    <t>Australia</t>
  </si>
  <si>
    <t>habtamubrihanu124@gmail.com</t>
  </si>
  <si>
    <t>Merdasa</t>
  </si>
  <si>
    <t>mikiyasmebratu5@gmail.com</t>
  </si>
  <si>
    <t>mahletgebretekle@gmail.com</t>
  </si>
  <si>
    <t>Gebrecherkos</t>
  </si>
  <si>
    <t>mntesnotgezahegn@gmail.com</t>
  </si>
  <si>
    <t>Werkneh</t>
  </si>
  <si>
    <t>yeabzadon21@gmail.com</t>
  </si>
  <si>
    <t>YEABSRA</t>
  </si>
  <si>
    <t>KIROS</t>
  </si>
  <si>
    <t>eyoabniguise@gmail.com</t>
  </si>
  <si>
    <t>Eyoab</t>
  </si>
  <si>
    <t>Niguise</t>
  </si>
  <si>
    <t>tsehayegetu2@gmail.com</t>
  </si>
  <si>
    <t>Tsehaye</t>
  </si>
  <si>
    <t>gudeta.diriba@astu.edu.et</t>
  </si>
  <si>
    <t>Gudeta</t>
  </si>
  <si>
    <t>Diriba</t>
  </si>
  <si>
    <t>nathnaelsolomon24@gmail.com</t>
  </si>
  <si>
    <t>mfeticode@gmail.com</t>
  </si>
  <si>
    <t>solomonatlabachew3@gmail.com</t>
  </si>
  <si>
    <t>betaniayonas19@gmail.com</t>
  </si>
  <si>
    <t>Betania</t>
  </si>
  <si>
    <t>yilkalenyew092@gmail.com</t>
  </si>
  <si>
    <t>Yaschilal</t>
  </si>
  <si>
    <t>Enyew</t>
  </si>
  <si>
    <t>suratesfaye2016@gmail.com</t>
  </si>
  <si>
    <t>henokdereje061@gmail.com</t>
  </si>
  <si>
    <t>mogesbirku81@gmail.com</t>
  </si>
  <si>
    <t>mubasoftware430@gmail.com</t>
  </si>
  <si>
    <t>Beshir</t>
  </si>
  <si>
    <t>habtiearega519@gmail.com</t>
  </si>
  <si>
    <t>Habtie</t>
  </si>
  <si>
    <t>mintesnoh@gmail.com</t>
  </si>
  <si>
    <t>Leliso</t>
  </si>
  <si>
    <t>nebiladem890@gmail.com</t>
  </si>
  <si>
    <t>nebil</t>
  </si>
  <si>
    <t>Oumer</t>
  </si>
  <si>
    <t>j43619650@gmail.com</t>
  </si>
  <si>
    <t>Molla</t>
  </si>
  <si>
    <t>jevi17sun@gmail.com</t>
  </si>
  <si>
    <t>Jenbere</t>
  </si>
  <si>
    <t>lenovotablety847@gmail.com</t>
  </si>
  <si>
    <t>fikirshimelis242@gmail.com</t>
  </si>
  <si>
    <t>Fikir</t>
  </si>
  <si>
    <t>gulumawakuma3@gmail.com</t>
  </si>
  <si>
    <t>Guluma</t>
  </si>
  <si>
    <t>Wakuma</t>
  </si>
  <si>
    <t>segnigirma11@gmail.com</t>
  </si>
  <si>
    <t>Segni</t>
  </si>
  <si>
    <t>degagaemiru@gmail.com</t>
  </si>
  <si>
    <t>abdunet49@gmail.com</t>
  </si>
  <si>
    <t>Abdulhakim</t>
  </si>
  <si>
    <t>Sani</t>
  </si>
  <si>
    <t>abemhamza3@gmail.com</t>
  </si>
  <si>
    <t>Abem</t>
  </si>
  <si>
    <t>Hamza</t>
  </si>
  <si>
    <t>maykberahi171@gmail.com</t>
  </si>
  <si>
    <t>Mayk</t>
  </si>
  <si>
    <t>Goitom</t>
  </si>
  <si>
    <t>kalabduke@gmail.com</t>
  </si>
  <si>
    <t>kaleab</t>
  </si>
  <si>
    <t>Abduke</t>
  </si>
  <si>
    <t>shahongebre@gmail.com</t>
  </si>
  <si>
    <t>Shahon</t>
  </si>
  <si>
    <t>biniyambiyadge@gmail.com</t>
  </si>
  <si>
    <t>kassie</t>
  </si>
  <si>
    <t>fikerteamenu9@gmail.com</t>
  </si>
  <si>
    <t>Fikerte</t>
  </si>
  <si>
    <t>Duressa</t>
  </si>
  <si>
    <t>thadish766@gmail.com</t>
  </si>
  <si>
    <t>Tesfa michael</t>
  </si>
  <si>
    <t>Tewelday</t>
  </si>
  <si>
    <t>hawasabu8@gmail.com</t>
  </si>
  <si>
    <t>Hawas</t>
  </si>
  <si>
    <t>israelbelete14e@gmail.co</t>
  </si>
  <si>
    <t>Israel</t>
  </si>
  <si>
    <t>abdumansalih83@gmail.com</t>
  </si>
  <si>
    <t>Abdulshekur</t>
  </si>
  <si>
    <t>leulng21@gmail.com</t>
  </si>
  <si>
    <t>Negesse</t>
  </si>
  <si>
    <t>surafelyosef27@gmail.com</t>
  </si>
  <si>
    <t>Surafeal</t>
  </si>
  <si>
    <t>BELAYNEH</t>
  </si>
  <si>
    <t>ragnarrobie@gmail.com</t>
  </si>
  <si>
    <t>Robson</t>
  </si>
  <si>
    <t>hayuyonatan@gmail.com</t>
  </si>
  <si>
    <t>hayu</t>
  </si>
  <si>
    <t>birukachamyeleg@gmail.com</t>
  </si>
  <si>
    <t>ruhamamuluneh@gmail.com</t>
  </si>
  <si>
    <t>amir.mesfin136@gmail.com</t>
  </si>
  <si>
    <t>jemsseid@gmail.com</t>
  </si>
  <si>
    <t>biragirma4@gmail.com</t>
  </si>
  <si>
    <t>Bira</t>
  </si>
  <si>
    <t>birukabit@gmail.com</t>
  </si>
  <si>
    <t>Mulu</t>
  </si>
  <si>
    <t>abenezeryohannes12@gmail.com</t>
  </si>
  <si>
    <t>hailemariamgeremew16@gmail.com</t>
  </si>
  <si>
    <t>Hailemariam</t>
  </si>
  <si>
    <t>natimule2023@gmail.com</t>
  </si>
  <si>
    <t>Sifir</t>
  </si>
  <si>
    <t>gurmesakedir96@gmail.com</t>
  </si>
  <si>
    <t>Gurmesa</t>
  </si>
  <si>
    <t>Desiso</t>
  </si>
  <si>
    <t>bethelhemayalsew916@gmail.com</t>
  </si>
  <si>
    <t>Bethelhem</t>
  </si>
  <si>
    <t>Fiker</t>
  </si>
  <si>
    <t>mikiyasa1082@gmail.com</t>
  </si>
  <si>
    <t>MIKIY</t>
  </si>
  <si>
    <t>Miko</t>
  </si>
  <si>
    <t>lidilulseged@yahoo.com</t>
  </si>
  <si>
    <t>yonatansisay9664@gmail.com</t>
  </si>
  <si>
    <t>Yonatan</t>
  </si>
  <si>
    <t>hibsttemanadereje@gmail.com</t>
  </si>
  <si>
    <t>Hibst</t>
  </si>
  <si>
    <t>yordanosdesalegn527@gmail.com</t>
  </si>
  <si>
    <t>Yigrem</t>
  </si>
  <si>
    <t>hibsttemenadereje@gmail.com</t>
  </si>
  <si>
    <t>sofoniaswubshet02@gmail.com</t>
  </si>
  <si>
    <t>Sofonias</t>
  </si>
  <si>
    <t>Mekbib</t>
  </si>
  <si>
    <t>dagmawigashaw339@gmail.com</t>
  </si>
  <si>
    <t>emransadik01@gmail.com</t>
  </si>
  <si>
    <t>Juhar</t>
  </si>
  <si>
    <t>ezratamiru@gmail.com</t>
  </si>
  <si>
    <t>Ezra</t>
  </si>
  <si>
    <t>abnetabe378@gmail.com</t>
  </si>
  <si>
    <t>Abnet</t>
  </si>
  <si>
    <t>Abe</t>
  </si>
  <si>
    <t>yonasbegashaw10@gmail.com</t>
  </si>
  <si>
    <t>Begashaw</t>
  </si>
  <si>
    <t>bethlehem.mengist@gmail.com</t>
  </si>
  <si>
    <t>Tiruye</t>
  </si>
  <si>
    <t>tsegabizutedla@gmail.com</t>
  </si>
  <si>
    <t>Tsegabizu</t>
  </si>
  <si>
    <t>Tedla</t>
  </si>
  <si>
    <t>betibetelhem010@gmail.com</t>
  </si>
  <si>
    <t>Sinshaw</t>
  </si>
  <si>
    <t>abduanwarh@gmail.com</t>
  </si>
  <si>
    <t>Abdu</t>
  </si>
  <si>
    <t>Shifa</t>
  </si>
  <si>
    <t>alehegne.geta@aastustudent.edu.et</t>
  </si>
  <si>
    <t>Alehegne</t>
  </si>
  <si>
    <t>Enyewu</t>
  </si>
  <si>
    <t>qeysabaxa11@gmail.com</t>
  </si>
  <si>
    <t>Abdo</t>
  </si>
  <si>
    <t>hizikieltesfayeyilima646@gmail.com</t>
  </si>
  <si>
    <t>Hizikiel</t>
  </si>
  <si>
    <t>Yilima</t>
  </si>
  <si>
    <t>hikma0227@gmail.com</t>
  </si>
  <si>
    <t>Hikma</t>
  </si>
  <si>
    <t>haileabtesfaye11@gmail.com</t>
  </si>
  <si>
    <t>Haileab</t>
  </si>
  <si>
    <t>biniyamg74@gmail.com</t>
  </si>
  <si>
    <t>Ibsa</t>
  </si>
  <si>
    <t>fraolseboka4@gmail.com</t>
  </si>
  <si>
    <t>munirgali7@gmail.com</t>
  </si>
  <si>
    <t>Munir</t>
  </si>
  <si>
    <t>Gali</t>
  </si>
  <si>
    <t>hashubyign@gmail.com</t>
  </si>
  <si>
    <t>Abdulsemed</t>
  </si>
  <si>
    <t>anansisime7@gmail.com</t>
  </si>
  <si>
    <t>Anansi</t>
  </si>
  <si>
    <t>Sime</t>
  </si>
  <si>
    <t>birukbarba@gmail.com</t>
  </si>
  <si>
    <t>Edao</t>
  </si>
  <si>
    <t>abenazersolomon4@gmail.com</t>
  </si>
  <si>
    <t>Abeni</t>
  </si>
  <si>
    <t>robeltselottsegaye@gmail.com</t>
  </si>
  <si>
    <t>ahmeduabebe@gmail.com</t>
  </si>
  <si>
    <t>Ahmedu</t>
  </si>
  <si>
    <t>Ybru</t>
  </si>
  <si>
    <t>yordanos27tekalign@gmail.com</t>
  </si>
  <si>
    <t>Tekalign</t>
  </si>
  <si>
    <t>ansar4allmus@gmail.com</t>
  </si>
  <si>
    <t>Ansar</t>
  </si>
  <si>
    <t>Bedewi</t>
  </si>
  <si>
    <t>zenfalaye9@gmail.com</t>
  </si>
  <si>
    <t>Ashenafi</t>
  </si>
  <si>
    <t>dagimtadele01@gmail.com</t>
  </si>
  <si>
    <t>musemuliye21@gmail.com</t>
  </si>
  <si>
    <t>Muse</t>
  </si>
  <si>
    <t>Wondmnew</t>
  </si>
  <si>
    <t>tesfuman692@gmail.com</t>
  </si>
  <si>
    <t>TESFAHUN</t>
  </si>
  <si>
    <t>OLISA</t>
  </si>
  <si>
    <t>arsemannnn@gmail.com</t>
  </si>
  <si>
    <t>Arsema</t>
  </si>
  <si>
    <t>Nekre</t>
  </si>
  <si>
    <t>gebryeamare4@gmail.com</t>
  </si>
  <si>
    <t>Gebrye</t>
  </si>
  <si>
    <t>Gezahegn</t>
  </si>
  <si>
    <t>yasin870927@gmail.com</t>
  </si>
  <si>
    <t>Omer</t>
  </si>
  <si>
    <t>wendeteshome441@gmail.com</t>
  </si>
  <si>
    <t>Wondimnew</t>
  </si>
  <si>
    <t>Emagn</t>
  </si>
  <si>
    <t>xozkdlin@gmail.com</t>
  </si>
  <si>
    <t>Nezif</t>
  </si>
  <si>
    <t>abejeshibeshi21@gmail.com</t>
  </si>
  <si>
    <t>Abeje</t>
  </si>
  <si>
    <t>samuelendale052@gmail.com</t>
  </si>
  <si>
    <t>tekisura6@gmail.com</t>
  </si>
  <si>
    <t>simeraworkneh@gmail.com</t>
  </si>
  <si>
    <t>Simera</t>
  </si>
  <si>
    <t>Workneh</t>
  </si>
  <si>
    <t>abdukilove2@gmail.com</t>
  </si>
  <si>
    <t>Abdulfeta</t>
  </si>
  <si>
    <t>bikilaadmassu73@gmail.com</t>
  </si>
  <si>
    <t>Feyissa</t>
  </si>
  <si>
    <t>nebiegre@gmail.com</t>
  </si>
  <si>
    <t>Nebeyat</t>
  </si>
  <si>
    <t>Axum</t>
  </si>
  <si>
    <t>bereketmulat2005@gmail.com</t>
  </si>
  <si>
    <t>BEREKET</t>
  </si>
  <si>
    <t>TIRUNEH</t>
  </si>
  <si>
    <t>mandefroalex1201@gmail.com</t>
  </si>
  <si>
    <t>begnabile123@gmail.com</t>
  </si>
  <si>
    <t>Begna</t>
  </si>
  <si>
    <t>Bile</t>
  </si>
  <si>
    <t>undefined</t>
  </si>
  <si>
    <t>natitsgabu7@gmail.com</t>
  </si>
  <si>
    <t>Tsgabu</t>
  </si>
  <si>
    <t>mikiyasmulugeta1221@gmail.com</t>
  </si>
  <si>
    <t>kirubelgebretensay16@gmail.com</t>
  </si>
  <si>
    <t>Gebretensay</t>
  </si>
  <si>
    <t>Kemise</t>
  </si>
  <si>
    <t>motiabera9@gmail.com</t>
  </si>
  <si>
    <t>Motuma</t>
  </si>
  <si>
    <t>bemenettemesgen44@gmail.com</t>
  </si>
  <si>
    <t>Bemenet</t>
  </si>
  <si>
    <t>selihomhasu@gmail.com</t>
  </si>
  <si>
    <t>Hasset</t>
  </si>
  <si>
    <t>Kebrekidusan</t>
  </si>
  <si>
    <t>kalkalkidan497@gmail.com</t>
  </si>
  <si>
    <t>melese</t>
  </si>
  <si>
    <t>demekemoges777@gmail.com</t>
  </si>
  <si>
    <t>Demeke</t>
  </si>
  <si>
    <t>Bayinad</t>
  </si>
  <si>
    <t>noahthe2n@gmail.com</t>
  </si>
  <si>
    <t>Noah</t>
  </si>
  <si>
    <t>Ameha</t>
  </si>
  <si>
    <t>aschubabi15@gmail.com</t>
  </si>
  <si>
    <t>yetsedawn@gmail.com</t>
  </si>
  <si>
    <t>Newton</t>
  </si>
  <si>
    <t>natymesfin1924@gmail.com</t>
  </si>
  <si>
    <t>Mekonen</t>
  </si>
  <si>
    <t>yabulopez28@gmail.com</t>
  </si>
  <si>
    <t>Yeshi</t>
  </si>
  <si>
    <t>Yirdaw</t>
  </si>
  <si>
    <t>edenmengste@gmail.com</t>
  </si>
  <si>
    <t>Mengste</t>
  </si>
  <si>
    <t>bezuneshtadesse0@gmail.com</t>
  </si>
  <si>
    <t>Asegede</t>
  </si>
  <si>
    <t>Mensido</t>
  </si>
  <si>
    <t>yaredfsehatsion839@gmail.com</t>
  </si>
  <si>
    <t>Fsehatsion</t>
  </si>
  <si>
    <t>abegiya2323@gmail.com</t>
  </si>
  <si>
    <t>bmx310712@gmail.com</t>
  </si>
  <si>
    <t>Beamlak</t>
  </si>
  <si>
    <t>abdissageda@gmail.com</t>
  </si>
  <si>
    <t>Abdissa</t>
  </si>
  <si>
    <t>henokbas@gmail.com</t>
  </si>
  <si>
    <t>Debas</t>
  </si>
  <si>
    <t>mihretubelay123@gmail.com</t>
  </si>
  <si>
    <t>mihretu</t>
  </si>
  <si>
    <t>tenaw</t>
  </si>
  <si>
    <t>yishdnem7@gmail.com</t>
  </si>
  <si>
    <t>Yidnekachew</t>
  </si>
  <si>
    <t>tewodrosbaye11@gmail.com</t>
  </si>
  <si>
    <t>mabratu</t>
  </si>
  <si>
    <t>akliluwatiro@gmail.com</t>
  </si>
  <si>
    <t>Aklilu Samuel</t>
  </si>
  <si>
    <t>Watiro</t>
  </si>
  <si>
    <t>tewodrosgebeyaw00@gmail.com</t>
  </si>
  <si>
    <t>betim7995@gmail.com</t>
  </si>
  <si>
    <t>natnael4mulugeta@gmail.com</t>
  </si>
  <si>
    <t>makbeldesalegn@gmail.com</t>
  </si>
  <si>
    <t>nahom</t>
  </si>
  <si>
    <t>abetty804@gmail.com</t>
  </si>
  <si>
    <t>Alemayhu</t>
  </si>
  <si>
    <t>ethiomisgie@gmail.com</t>
  </si>
  <si>
    <t>Misganaw Aguate</t>
  </si>
  <si>
    <t>Widneh</t>
  </si>
  <si>
    <t>amanueltewodros091@gmail.com</t>
  </si>
  <si>
    <t>abenezernegash94@gmail.com</t>
  </si>
  <si>
    <t>metigemechu23@gmail.com</t>
  </si>
  <si>
    <t>Meti</t>
  </si>
  <si>
    <t>meazanigusu19@gmail.com</t>
  </si>
  <si>
    <t>Meaza</t>
  </si>
  <si>
    <t>Nigusu</t>
  </si>
  <si>
    <t>meazamamaye1@gmail.com</t>
  </si>
  <si>
    <t>Mamaye</t>
  </si>
  <si>
    <t>mikiyastekalegn@gmail.com</t>
  </si>
  <si>
    <t>Tekalegn</t>
  </si>
  <si>
    <t>hananniya1996@gmail.com</t>
  </si>
  <si>
    <t>Hanan</t>
  </si>
  <si>
    <t>Nasir</t>
  </si>
  <si>
    <t>Arba Minch</t>
  </si>
  <si>
    <t>mollatefera2025@gmail.com</t>
  </si>
  <si>
    <t>mame.534424@gmail.com</t>
  </si>
  <si>
    <t>Abrar</t>
  </si>
  <si>
    <t>yishurungetachew@gmail.com</t>
  </si>
  <si>
    <t>Yishurun</t>
  </si>
  <si>
    <t>borifanbedada83@gmail.com</t>
  </si>
  <si>
    <t>Ashetu</t>
  </si>
  <si>
    <t>Chala</t>
  </si>
  <si>
    <t>yonasabebaw01@gmail.com</t>
  </si>
  <si>
    <t>dawitoverseas@gmail.com</t>
  </si>
  <si>
    <t>Dawit Mehari</t>
  </si>
  <si>
    <t>Mebrahtu</t>
  </si>
  <si>
    <t>nahomgbr2025@gmail.com</t>
  </si>
  <si>
    <t>sumeyaakmel519@gmail.com</t>
  </si>
  <si>
    <t>Sumeya</t>
  </si>
  <si>
    <t>Akmel</t>
  </si>
  <si>
    <t>ebroamir321@gmail.com</t>
  </si>
  <si>
    <t>nathinaelmesfin@gmail.com</t>
  </si>
  <si>
    <t>Nathinael</t>
  </si>
  <si>
    <t>tebareksolomon6@gmail.com</t>
  </si>
  <si>
    <t>Tebarek</t>
  </si>
  <si>
    <t>samuelmelaku40@gmail.com</t>
  </si>
  <si>
    <t>fikerrobel889@gmail.com</t>
  </si>
  <si>
    <t>birukalx23@gmail.com</t>
  </si>
  <si>
    <t>biruk</t>
  </si>
  <si>
    <t>hailemeskel</t>
  </si>
  <si>
    <t>munirn490@gmail.com</t>
  </si>
  <si>
    <t>Nasr</t>
  </si>
  <si>
    <t>kaleabzewdu24@gmail.com</t>
  </si>
  <si>
    <t>teweldeabel14@gmail.com</t>
  </si>
  <si>
    <t>Tewelde</t>
  </si>
  <si>
    <t>jcdgqb@gmail.com</t>
  </si>
  <si>
    <t>weldish2027@gmail.com</t>
  </si>
  <si>
    <t>Weldesilassie</t>
  </si>
  <si>
    <t>fikerteyimer06@gmail.com</t>
  </si>
  <si>
    <t>Abegaz</t>
  </si>
  <si>
    <t>asre45900@gmail.com</t>
  </si>
  <si>
    <t>asregide</t>
  </si>
  <si>
    <t>amare</t>
  </si>
  <si>
    <t>bezawitesubalew88@gmail.com</t>
  </si>
  <si>
    <t>Bezawit Esubalew</t>
  </si>
  <si>
    <t>alexkalalw@gmail.com</t>
  </si>
  <si>
    <t>Kaletsidik Ayalew</t>
  </si>
  <si>
    <t>dagmawitberhanu61@gmail.com</t>
  </si>
  <si>
    <t>Dagmawit</t>
  </si>
  <si>
    <t>Berhanu</t>
  </si>
  <si>
    <t>hanatsegay19@gmail.com</t>
  </si>
  <si>
    <t>Girmay</t>
  </si>
  <si>
    <t>lebrondee20@gmail.com</t>
  </si>
  <si>
    <t>Yerosan</t>
  </si>
  <si>
    <t>hamulove170@gmail.com</t>
  </si>
  <si>
    <t>Hamid</t>
  </si>
  <si>
    <t>Mehammed</t>
  </si>
  <si>
    <t>yihenewanimut21@gmail.com</t>
  </si>
  <si>
    <t>Yihenew</t>
  </si>
  <si>
    <t>leydnek@gmail.com</t>
  </si>
  <si>
    <t>ydnekachew</t>
  </si>
  <si>
    <t>jhonians@outlook.com</t>
  </si>
  <si>
    <t>mamo</t>
  </si>
  <si>
    <t>samzuss99@gmail.com</t>
  </si>
  <si>
    <t>zekariyasamdu24@gmail.com</t>
  </si>
  <si>
    <t>Zekariyas</t>
  </si>
  <si>
    <t>Amdu</t>
  </si>
  <si>
    <t>reyann.11b@gmail.com</t>
  </si>
  <si>
    <t>reyan</t>
  </si>
  <si>
    <t>Rerhanu</t>
  </si>
  <si>
    <t>temgetie@gmail.com</t>
  </si>
  <si>
    <t>mekuriyaw</t>
  </si>
  <si>
    <t>henokayalew31@gmail.com</t>
  </si>
  <si>
    <t>Ayalew</t>
  </si>
  <si>
    <t>eleanortefera12@gmail.com</t>
  </si>
  <si>
    <t>Eleanor</t>
  </si>
  <si>
    <t>kalebbeyene23@gmail.com</t>
  </si>
  <si>
    <t>Kaleb</t>
  </si>
  <si>
    <t>migbarubelaya@gmail.com</t>
  </si>
  <si>
    <t>Migbaru Belay</t>
  </si>
  <si>
    <t>Argachew</t>
  </si>
  <si>
    <t>ansuar5254@gmail.com</t>
  </si>
  <si>
    <t>tesfayebeks@gmial.com</t>
  </si>
  <si>
    <t>alemayehubethelhem12@gmail.com</t>
  </si>
  <si>
    <t>Bethelhem Alemayehu</t>
  </si>
  <si>
    <t>Ejigu</t>
  </si>
  <si>
    <t>abrham3790@gmail.com</t>
  </si>
  <si>
    <t>salimhabeshawi@gmail.com</t>
  </si>
  <si>
    <t>Salim</t>
  </si>
  <si>
    <t>kasahunbikila8@gmail.com</t>
  </si>
  <si>
    <t>Kasahun</t>
  </si>
  <si>
    <t>tesfayebeks@gmail.com</t>
  </si>
  <si>
    <t>ebateshale40@gmail.com</t>
  </si>
  <si>
    <t>Eba</t>
  </si>
  <si>
    <t>Degea</t>
  </si>
  <si>
    <t>yohannesberihun0@gmail.com</t>
  </si>
  <si>
    <t>xoela8180@gmail.com</t>
  </si>
  <si>
    <t>Elias</t>
  </si>
  <si>
    <t>Tola</t>
  </si>
  <si>
    <t>esayyasahmed1012@gmail.com</t>
  </si>
  <si>
    <t>Esayyas</t>
  </si>
  <si>
    <t>ruthtafesse60@gmail.com</t>
  </si>
  <si>
    <t>ruth</t>
  </si>
  <si>
    <t>tafesse</t>
  </si>
  <si>
    <t>sofi123man@gmail.com</t>
  </si>
  <si>
    <t>Sofoniyas</t>
  </si>
  <si>
    <t>Alebachew</t>
  </si>
  <si>
    <t>leulmisganaw222@gmail.com</t>
  </si>
  <si>
    <t>Misganaw</t>
  </si>
  <si>
    <t>babiswe21@gmail.com</t>
  </si>
  <si>
    <t>Taklegiorgis</t>
  </si>
  <si>
    <t>mercyenah18@gmail.com</t>
  </si>
  <si>
    <t>Mihiret</t>
  </si>
  <si>
    <t>Detti</t>
  </si>
  <si>
    <t>medhintame08@gmail.com</t>
  </si>
  <si>
    <t>Medhine</t>
  </si>
  <si>
    <t>fahmirahmet@gmail.com</t>
  </si>
  <si>
    <t>Fahmi</t>
  </si>
  <si>
    <t>Rahmet</t>
  </si>
  <si>
    <t>amanmelaku1@gmail.com</t>
  </si>
  <si>
    <t>ebisaa944@gmail.com</t>
  </si>
  <si>
    <t>Ebisa</t>
  </si>
  <si>
    <t>Mihirate</t>
  </si>
  <si>
    <t>sisiyotakele1@gmail.com</t>
  </si>
  <si>
    <t>Sisiyo</t>
  </si>
  <si>
    <t>Hirpa</t>
  </si>
  <si>
    <t>amanuelmoha.official@gmail.com</t>
  </si>
  <si>
    <t>Moha</t>
  </si>
  <si>
    <t>zynassefa@gmail.com</t>
  </si>
  <si>
    <t>Dibora</t>
  </si>
  <si>
    <t>amanbitsu34@gmail.com</t>
  </si>
  <si>
    <t>Gebremariyam</t>
  </si>
  <si>
    <t>abduljelila7@gmail.com</t>
  </si>
  <si>
    <t>amir</t>
  </si>
  <si>
    <t>abduljelil</t>
  </si>
  <si>
    <t>abdurezak1100@gmail.com</t>
  </si>
  <si>
    <t>Abdurezak</t>
  </si>
  <si>
    <t>amhabink@gmail.com</t>
  </si>
  <si>
    <t>Amhasilassie Binyam</t>
  </si>
  <si>
    <t>amanuel.dereje.nv2994@gmail.com</t>
  </si>
  <si>
    <t>firomsa.girma97@gmail.com</t>
  </si>
  <si>
    <t>Fromsa</t>
  </si>
  <si>
    <t>bersabehdegafu@gmail.com</t>
  </si>
  <si>
    <t>bersabeh</t>
  </si>
  <si>
    <t>degafu</t>
  </si>
  <si>
    <t>yewedsdagne@gmail.com</t>
  </si>
  <si>
    <t>Yeweds Dagne</t>
  </si>
  <si>
    <t>Leake</t>
  </si>
  <si>
    <t>zedinglet@gmail.com</t>
  </si>
  <si>
    <t>Zedingle</t>
  </si>
  <si>
    <t>juliademissiee@gmail.com</t>
  </si>
  <si>
    <t>Julia</t>
  </si>
  <si>
    <t>Mojja</t>
  </si>
  <si>
    <t>eden.ephrem-ug@aau.edu.et</t>
  </si>
  <si>
    <t>hareg192110@gmail.com</t>
  </si>
  <si>
    <t>Haregeweyni</t>
  </si>
  <si>
    <t>Berhe</t>
  </si>
  <si>
    <t>destawge@gmail.com</t>
  </si>
  <si>
    <t>Desta</t>
  </si>
  <si>
    <t>Delesho</t>
  </si>
  <si>
    <t>issaqberhanu@gmail.com</t>
  </si>
  <si>
    <t>Yesehak</t>
  </si>
  <si>
    <t>betidag123@gmail.com</t>
  </si>
  <si>
    <t>tigist</t>
  </si>
  <si>
    <t>tufa</t>
  </si>
  <si>
    <t>gashugobana@yahoo.com</t>
  </si>
  <si>
    <t>Gashahun</t>
  </si>
  <si>
    <t>Firisa</t>
  </si>
  <si>
    <t>gsalva+prod0227pf@alxafrica.com</t>
  </si>
  <si>
    <t>sldkl</t>
  </si>
  <si>
    <t>ldfkslk</t>
  </si>
  <si>
    <t>Algeria</t>
  </si>
  <si>
    <t>tibletachew7200@gmail.com</t>
  </si>
  <si>
    <t>Tibletachew</t>
  </si>
  <si>
    <t>Sheno</t>
  </si>
  <si>
    <t>fmamo8@gmail.com</t>
  </si>
  <si>
    <t>Frehiwot</t>
  </si>
  <si>
    <t>Bora</t>
  </si>
  <si>
    <t>kukugena2010@gmail.com</t>
  </si>
  <si>
    <t>Dr Tesfaye</t>
  </si>
  <si>
    <t>Workagegnehu</t>
  </si>
  <si>
    <t>kemalamu13@gmail.com</t>
  </si>
  <si>
    <t>kemal</t>
  </si>
  <si>
    <t>Abduselam</t>
  </si>
  <si>
    <t>21edemialem@gmail.com</t>
  </si>
  <si>
    <t>Edemialem</t>
  </si>
  <si>
    <t>Wubie</t>
  </si>
  <si>
    <t>medinaendris451@gmail.com</t>
  </si>
  <si>
    <t>Medina</t>
  </si>
  <si>
    <t>medinaendris@gmail.com</t>
  </si>
  <si>
    <t>hanonalemayehu07@gmail.com</t>
  </si>
  <si>
    <t>Hanon</t>
  </si>
  <si>
    <t>abduselamm555@gmail.com</t>
  </si>
  <si>
    <t>jateni.jote@gmail.com</t>
  </si>
  <si>
    <t>Jateni</t>
  </si>
  <si>
    <t>Chimsa</t>
  </si>
  <si>
    <t>blkaddis@gmail.com</t>
  </si>
  <si>
    <t>Yedidiya</t>
  </si>
  <si>
    <t>Ambaye</t>
  </si>
  <si>
    <t>byafet3@gmail.com</t>
  </si>
  <si>
    <t>Gelelcha</t>
  </si>
  <si>
    <t>eskadimasmelaku@gmail.com</t>
  </si>
  <si>
    <t>Eskadimas</t>
  </si>
  <si>
    <t>yeablanka@gmail.com</t>
  </si>
  <si>
    <t>abadih58@gmail.com</t>
  </si>
  <si>
    <t>Abadi</t>
  </si>
  <si>
    <t>Haileselassie</t>
  </si>
  <si>
    <t>(091) 473-5466</t>
  </si>
  <si>
    <t>temusoft2012@gmail.com</t>
  </si>
  <si>
    <t>Kefie</t>
  </si>
  <si>
    <t>info.henok@gmail.com</t>
  </si>
  <si>
    <t>binitechnology@gmail.com</t>
  </si>
  <si>
    <t>nigusuuasfaw@gmail.com</t>
  </si>
  <si>
    <t>Nigusu Asfaw</t>
  </si>
  <si>
    <t>miki123mbt@gmail.com</t>
  </si>
  <si>
    <t>metibubu@gmail.com</t>
  </si>
  <si>
    <t>Dabesa</t>
  </si>
  <si>
    <t>kidusdaniel576@gmail.com</t>
  </si>
  <si>
    <t>samuelephrem2012@gmail.com</t>
  </si>
  <si>
    <t>alexeagle075@gmail.com</t>
  </si>
  <si>
    <t>Alex</t>
  </si>
  <si>
    <t>Eagle</t>
  </si>
  <si>
    <t>zemicahela@gmail.com</t>
  </si>
  <si>
    <t>zemicahel</t>
  </si>
  <si>
    <t>abraham</t>
  </si>
  <si>
    <t>gizeg33@gmail.com</t>
  </si>
  <si>
    <t>elias</t>
  </si>
  <si>
    <t>yabse.z@gmail.com</t>
  </si>
  <si>
    <t>Yabsira</t>
  </si>
  <si>
    <t>mahlettemulugeta@gmail.com</t>
  </si>
  <si>
    <t>tuahirshemsu100b@gmail.com</t>
  </si>
  <si>
    <t>shemsu</t>
  </si>
  <si>
    <t>nurye</t>
  </si>
  <si>
    <t>tadelunedi20@gmail.com</t>
  </si>
  <si>
    <t>Tadelu</t>
  </si>
  <si>
    <t>Nadi</t>
  </si>
  <si>
    <t>kalkidanabiyu@gmail.com</t>
  </si>
  <si>
    <t>kal</t>
  </si>
  <si>
    <t>Abiyu</t>
  </si>
  <si>
    <t>kal.estifanos@gmail.com</t>
  </si>
  <si>
    <t>yostenateferi12@gmail.com</t>
  </si>
  <si>
    <t>Yostena</t>
  </si>
  <si>
    <t>eyobamane09@gmail.com</t>
  </si>
  <si>
    <t>Amane</t>
  </si>
  <si>
    <t>merawitdejene55@gmail.com</t>
  </si>
  <si>
    <t>Meronawit</t>
  </si>
  <si>
    <t>Woldemichael</t>
  </si>
  <si>
    <t>tiruman7@gmail.com</t>
  </si>
  <si>
    <t>Tirusew</t>
  </si>
  <si>
    <t>naodmasresha1@gmail.com</t>
  </si>
  <si>
    <t>Naod</t>
  </si>
  <si>
    <t>amubarke@gmail.com</t>
  </si>
  <si>
    <t>abas</t>
  </si>
  <si>
    <t>mubarke</t>
  </si>
  <si>
    <t>hailemikaelasmamaw@gmail.com</t>
  </si>
  <si>
    <t>Asmamaw</t>
  </si>
  <si>
    <t>befikadusata@gmail.com</t>
  </si>
  <si>
    <t>Befikadu</t>
  </si>
  <si>
    <t>Sata</t>
  </si>
  <si>
    <t>ashenafiyeabsira@gmail.com</t>
  </si>
  <si>
    <t>yeabsira</t>
  </si>
  <si>
    <t>ashenafi</t>
  </si>
  <si>
    <t>solomonreda009@gmail.com</t>
  </si>
  <si>
    <t>solomon</t>
  </si>
  <si>
    <t>Wodaj</t>
  </si>
  <si>
    <t>abiytes251@gmail.com</t>
  </si>
  <si>
    <t>ye.aba.net@gmail.com</t>
  </si>
  <si>
    <t>Terefe</t>
  </si>
  <si>
    <t>mandemmkk@gmail.com</t>
  </si>
  <si>
    <t>major</t>
  </si>
  <si>
    <t>jacob</t>
  </si>
  <si>
    <t>ephdj12@gmail.com</t>
  </si>
  <si>
    <t>Gelan</t>
  </si>
  <si>
    <t>hasenatabdu75@gmail.com</t>
  </si>
  <si>
    <t>HASENAT</t>
  </si>
  <si>
    <t>ABDU</t>
  </si>
  <si>
    <t>binibiniyob@gmail.com</t>
  </si>
  <si>
    <t>Hadaro</t>
  </si>
  <si>
    <t>abenetadugna3@gmail.com</t>
  </si>
  <si>
    <t>Abenet</t>
  </si>
  <si>
    <t>Adugna</t>
  </si>
  <si>
    <t>tselotbeyene70@gmail.com</t>
  </si>
  <si>
    <t>Tselot</t>
  </si>
  <si>
    <t>awwalnageessoo@gmail.com</t>
  </si>
  <si>
    <t>Negesso</t>
  </si>
  <si>
    <t>Berisso</t>
  </si>
  <si>
    <t>yihelurobel609@gmail.com</t>
  </si>
  <si>
    <t>ROBEL</t>
  </si>
  <si>
    <t>LEALEM</t>
  </si>
  <si>
    <t>abdiasfaw7152@gmail.com</t>
  </si>
  <si>
    <t>Asfaw</t>
  </si>
  <si>
    <t>abd400c@gmail.com</t>
  </si>
  <si>
    <t>Mohamed</t>
  </si>
  <si>
    <t>sisayfiker06@gmail.com</t>
  </si>
  <si>
    <t>Shumye</t>
  </si>
  <si>
    <t>brahmnahom@gmail.com</t>
  </si>
  <si>
    <t>hussenfedlu2@gmail.com</t>
  </si>
  <si>
    <t>Fedlu</t>
  </si>
  <si>
    <t>niemaj323@gmail.com</t>
  </si>
  <si>
    <t>Niema</t>
  </si>
  <si>
    <t>yonasnigussie1995@gmail.com</t>
  </si>
  <si>
    <t>Sheferaw</t>
  </si>
  <si>
    <t>sifenfikru01@gmail.com</t>
  </si>
  <si>
    <t>Sifen</t>
  </si>
  <si>
    <t>mengecolife@gmail.com</t>
  </si>
  <si>
    <t>Somano</t>
  </si>
  <si>
    <t>gebreslasieyohannes36@gmail.com</t>
  </si>
  <si>
    <t>betigi2010@gmail.com</t>
  </si>
  <si>
    <t>Betigist</t>
  </si>
  <si>
    <t>dagyget@gmail.com</t>
  </si>
  <si>
    <t>Dagnachew</t>
  </si>
  <si>
    <t>byosef127@gmail.com</t>
  </si>
  <si>
    <t>yohannesguesh01@gmail.com</t>
  </si>
  <si>
    <t>Yohanns</t>
  </si>
  <si>
    <t>Gebrslassie</t>
  </si>
  <si>
    <t>gtnsea3@gmail.com</t>
  </si>
  <si>
    <t>Gerensea</t>
  </si>
  <si>
    <t>Gebrihet</t>
  </si>
  <si>
    <t>tsegabbirhanu57@gmail.com</t>
  </si>
  <si>
    <t>Tsegab</t>
  </si>
  <si>
    <t>Yacob</t>
  </si>
  <si>
    <t>gudinaasefa19@gmail.com</t>
  </si>
  <si>
    <t>Gudina</t>
  </si>
  <si>
    <t>haymanotabera50@gmail.com</t>
  </si>
  <si>
    <t>Haymanot</t>
  </si>
  <si>
    <t>esubalewtelele2@gmail.com</t>
  </si>
  <si>
    <t>Esubalew</t>
  </si>
  <si>
    <t>Telele</t>
  </si>
  <si>
    <t>tamiratkebede120@gmail.com</t>
  </si>
  <si>
    <t>kebede</t>
  </si>
  <si>
    <t>girmalemi21@gmail.com</t>
  </si>
  <si>
    <t>Lemi</t>
  </si>
  <si>
    <t>g.dereje2015@gmail.com</t>
  </si>
  <si>
    <t>Girum</t>
  </si>
  <si>
    <t>Seyfu</t>
  </si>
  <si>
    <t>sintayehufirew@mail.com</t>
  </si>
  <si>
    <t>SIntayehu</t>
  </si>
  <si>
    <t>nahomteferi442@gmail.com</t>
  </si>
  <si>
    <t>habtiet96@gmail.com</t>
  </si>
  <si>
    <t>Ayenew</t>
  </si>
  <si>
    <t>ryfgmz87@gmail.com</t>
  </si>
  <si>
    <t>Rehmet Yeshanew</t>
  </si>
  <si>
    <t>abenezer.ugr-1773-16@aau.edu.et</t>
  </si>
  <si>
    <t>Hailesilassie</t>
  </si>
  <si>
    <t>robelbaye6@gmail.com</t>
  </si>
  <si>
    <t>suphianism@gmail.com</t>
  </si>
  <si>
    <t>Suphian</t>
  </si>
  <si>
    <t>yonatanhabtamu45@gmail.com</t>
  </si>
  <si>
    <t>yabuendale12@gmail.com</t>
  </si>
  <si>
    <t>Welde yohanis</t>
  </si>
  <si>
    <t>aberadagi125@gmail.com</t>
  </si>
  <si>
    <t>degnet</t>
  </si>
  <si>
    <t>abera</t>
  </si>
  <si>
    <t>brookhabtamu297@gmail.com</t>
  </si>
  <si>
    <t>fitsum.uk@gmail.com</t>
  </si>
  <si>
    <t>Fitsum</t>
  </si>
  <si>
    <t>Yisehak</t>
  </si>
  <si>
    <t>amirbedru30@gmail.com</t>
  </si>
  <si>
    <t>Bedru</t>
  </si>
  <si>
    <t>lemmadaniel1212@gmail.com</t>
  </si>
  <si>
    <t>eng.abdurahman2@gmail.com</t>
  </si>
  <si>
    <t>abdurehman</t>
  </si>
  <si>
    <t>ghmicky@gmail.com</t>
  </si>
  <si>
    <t>Girum Woldkidan</t>
  </si>
  <si>
    <t>ashenafi.bin@gmail.com</t>
  </si>
  <si>
    <t>Gedif</t>
  </si>
  <si>
    <t>selidu361@gmail.com</t>
  </si>
  <si>
    <t>dagimawi.feyissa@gmail.com</t>
  </si>
  <si>
    <t>Dagimawi</t>
  </si>
  <si>
    <t>Bedane</t>
  </si>
  <si>
    <t>zekaryaskindalem@gmail.com</t>
  </si>
  <si>
    <t>Zekaryas</t>
  </si>
  <si>
    <t>Kindalem297</t>
  </si>
  <si>
    <t>mulatudegfie@gmail.com</t>
  </si>
  <si>
    <t>anexmass12@gmail.com</t>
  </si>
  <si>
    <t>Anmut</t>
  </si>
  <si>
    <t>nahommitikutafese@gmail.com</t>
  </si>
  <si>
    <t>chalaregassa0@gmail.com</t>
  </si>
  <si>
    <t>girum99@gmail.com</t>
  </si>
  <si>
    <t>tesfalovely@gmail.com</t>
  </si>
  <si>
    <t>addikaborntowin@gmail.com</t>
  </si>
  <si>
    <t>Addisalem</t>
  </si>
  <si>
    <t>bigdream070707@gmail.com</t>
  </si>
  <si>
    <t>clashofkirubel1991@gmail.com</t>
  </si>
  <si>
    <t>kirubel</t>
  </si>
  <si>
    <t>habte</t>
  </si>
  <si>
    <t>dtena07@gmail.com</t>
  </si>
  <si>
    <t>Dareselam</t>
  </si>
  <si>
    <t>Zemedhun</t>
  </si>
  <si>
    <t>chalamegersa5@gmail.com</t>
  </si>
  <si>
    <t>Dames</t>
  </si>
  <si>
    <t>naolcrown1@gmail.com</t>
  </si>
  <si>
    <t>variant.abdulaziz@gmail.com</t>
  </si>
  <si>
    <t>ayubhmohammed00@gmail.com</t>
  </si>
  <si>
    <t>Ayub</t>
  </si>
  <si>
    <t>yaredyilma90@gmail.com</t>
  </si>
  <si>
    <t>Yilma</t>
  </si>
  <si>
    <t>paulbeza5@gmail.com</t>
  </si>
  <si>
    <t>Pawulos</t>
  </si>
  <si>
    <t>Beza</t>
  </si>
  <si>
    <t>danieledbisa165@gmail.com</t>
  </si>
  <si>
    <t>Debisa</t>
  </si>
  <si>
    <t>zentu20@gmail.com</t>
  </si>
  <si>
    <t>Animut</t>
  </si>
  <si>
    <t>Addis</t>
  </si>
  <si>
    <t>helinatesfu19@gmail.com</t>
  </si>
  <si>
    <t>Helina</t>
  </si>
  <si>
    <t>nolanola616@gmail.com</t>
  </si>
  <si>
    <t>nolawi</t>
  </si>
  <si>
    <t>birhanu</t>
  </si>
  <si>
    <t>bamlakuhiruy4774@gmail.com</t>
  </si>
  <si>
    <t>Bamlaku</t>
  </si>
  <si>
    <t>oo626197@gmail.com</t>
  </si>
  <si>
    <t>OzilHabte2</t>
  </si>
  <si>
    <t>Ozil</t>
  </si>
  <si>
    <t>o1370380@gmail.com</t>
  </si>
  <si>
    <t>Melat</t>
  </si>
  <si>
    <t>hfuad6609@gmail.com</t>
  </si>
  <si>
    <t>gizawa7@gmail.com</t>
  </si>
  <si>
    <t>Luel</t>
  </si>
  <si>
    <t>rozaprogrammer@gmail.com</t>
  </si>
  <si>
    <t>Roza</t>
  </si>
  <si>
    <t>natnaelzemikael7@gmail.com</t>
  </si>
  <si>
    <t>natnael</t>
  </si>
  <si>
    <t>Brhane</t>
  </si>
  <si>
    <t>dejugher6@gmail.com</t>
  </si>
  <si>
    <t>Dejen</t>
  </si>
  <si>
    <t>Gher</t>
  </si>
  <si>
    <t>hermitesfu21@gmail.com</t>
  </si>
  <si>
    <t>Weldemariam</t>
  </si>
  <si>
    <t>miedanbezuayehu@gmail.com</t>
  </si>
  <si>
    <t>miedan</t>
  </si>
  <si>
    <t>muezmebrahtu15@gmail.com</t>
  </si>
  <si>
    <t>MUAZ</t>
  </si>
  <si>
    <t>GDEY</t>
  </si>
  <si>
    <t>abeniayu1324@gmail.com</t>
  </si>
  <si>
    <t>Genet</t>
  </si>
  <si>
    <t>yemaneberhan.kebede@gmail.com</t>
  </si>
  <si>
    <t>Yemaneberhan Lemma</t>
  </si>
  <si>
    <t>yunusmohammed767@gmail.com</t>
  </si>
  <si>
    <t>yunus</t>
  </si>
  <si>
    <t>mohammed</t>
  </si>
  <si>
    <t>firdausali141590@gmail.com</t>
  </si>
  <si>
    <t>Firdaus</t>
  </si>
  <si>
    <t>sisayarega21@gmail.com</t>
  </si>
  <si>
    <t>betemariam216rfa@gmail.com</t>
  </si>
  <si>
    <t>Betemariam</t>
  </si>
  <si>
    <t>Tatek</t>
  </si>
  <si>
    <t>hailemeron77@gmail.com</t>
  </si>
  <si>
    <t>Meron</t>
  </si>
  <si>
    <t>amsalukaku122@gmail.com</t>
  </si>
  <si>
    <t>Kaku</t>
  </si>
  <si>
    <t>Amsalu</t>
  </si>
  <si>
    <t>natinael911@gmail.com</t>
  </si>
  <si>
    <t>Natinael</t>
  </si>
  <si>
    <t>bmitiku2013@gmail.com</t>
  </si>
  <si>
    <t>nataddis21@gmail.com</t>
  </si>
  <si>
    <t>Natan</t>
  </si>
  <si>
    <t>aabene97@gmail.com</t>
  </si>
  <si>
    <t>Hungary</t>
  </si>
  <si>
    <t>tilahunwendimu8@gmail.com</t>
  </si>
  <si>
    <t>zemedabeje19@gmail.com</t>
  </si>
  <si>
    <t>Zemed</t>
  </si>
  <si>
    <t>abenialemayehu22@gmail.com</t>
  </si>
  <si>
    <t>gadisagutema943@gmail.com</t>
  </si>
  <si>
    <t>Gadisa</t>
  </si>
  <si>
    <t>Gutema</t>
  </si>
  <si>
    <t>bemnetbisrat1542@gmail.com</t>
  </si>
  <si>
    <t>Bemnet</t>
  </si>
  <si>
    <t>Bisrat</t>
  </si>
  <si>
    <t>danielwagaye1@gmail.com</t>
  </si>
  <si>
    <t>Walelign</t>
  </si>
  <si>
    <t>mohammed1113ok@gamil.com</t>
  </si>
  <si>
    <t>Salih</t>
  </si>
  <si>
    <t>abdidesta53@gmail.com</t>
  </si>
  <si>
    <t>Dadi</t>
  </si>
  <si>
    <t>eyuealayalew191@gmail.com</t>
  </si>
  <si>
    <t>Eyueal</t>
  </si>
  <si>
    <t>estifanosfm@gmail.com</t>
  </si>
  <si>
    <t>Fmariam</t>
  </si>
  <si>
    <t>shakirahmedsalih35756@gmail.com</t>
  </si>
  <si>
    <t>Shakir</t>
  </si>
  <si>
    <t>Muhammedsaid</t>
  </si>
  <si>
    <t>tsebrin@gmail.com</t>
  </si>
  <si>
    <t>Sebrin</t>
  </si>
  <si>
    <t>hailutekile49@gmail.com</t>
  </si>
  <si>
    <t>Tekilemariam</t>
  </si>
  <si>
    <t>zekarisadfrias@gmail.com</t>
  </si>
  <si>
    <t>zekaris</t>
  </si>
  <si>
    <t>mogesangulo@gmail.com</t>
  </si>
  <si>
    <t>Bilen</t>
  </si>
  <si>
    <t>Angulo</t>
  </si>
  <si>
    <t>eashenafi82@gmail.com</t>
  </si>
  <si>
    <t>aklilu2424@gmail.com</t>
  </si>
  <si>
    <t>tinsaeassefa25@gmail.com</t>
  </si>
  <si>
    <t>Tinsae</t>
  </si>
  <si>
    <t>eyuelgeremew581@gmail.com</t>
  </si>
  <si>
    <t>Gamie</t>
  </si>
  <si>
    <t>f9ine99@gmail.com</t>
  </si>
  <si>
    <t>firaol</t>
  </si>
  <si>
    <t>gemeda</t>
  </si>
  <si>
    <t>mdagnachew10@gmail.com</t>
  </si>
  <si>
    <t>Dagnchew</t>
  </si>
  <si>
    <t>Mellknew</t>
  </si>
  <si>
    <t>soresaman915@gmail.com</t>
  </si>
  <si>
    <t>Soresa</t>
  </si>
  <si>
    <t>mamibubu999@gmail.com</t>
  </si>
  <si>
    <t>Mohammedamin</t>
  </si>
  <si>
    <t>Abdullah</t>
  </si>
  <si>
    <t>yebboy@yahoo.com</t>
  </si>
  <si>
    <t>Yebegaeshet</t>
  </si>
  <si>
    <t>michaelaregakassa@gmail.com</t>
  </si>
  <si>
    <t>Michael Arega</t>
  </si>
  <si>
    <t>Kassa</t>
  </si>
  <si>
    <t>dawitfirew439@gmail.com</t>
  </si>
  <si>
    <t>clelisa28@gmail.com</t>
  </si>
  <si>
    <t>delilbilal74@gmail.com</t>
  </si>
  <si>
    <t>Bilal</t>
  </si>
  <si>
    <t>Delil</t>
  </si>
  <si>
    <t>yonatanalebachew7@gmail.com</t>
  </si>
  <si>
    <t>Zewde</t>
  </si>
  <si>
    <t>nebilkebede29@gmail.com</t>
  </si>
  <si>
    <t>Nebil</t>
  </si>
  <si>
    <t>mulukenashenafi84@gmail.com</t>
  </si>
  <si>
    <t>Muluken</t>
  </si>
  <si>
    <t>mahletshin@gmail.com</t>
  </si>
  <si>
    <t>halazab21@gmail.com</t>
  </si>
  <si>
    <t>Abateneh</t>
  </si>
  <si>
    <t>gizawshiferaw@gmil.com</t>
  </si>
  <si>
    <t>SHIFERAW</t>
  </si>
  <si>
    <t>GIZAW</t>
  </si>
  <si>
    <t>endrisfeysel3@gmail.com</t>
  </si>
  <si>
    <t>Feysel</t>
  </si>
  <si>
    <t>ad7161945@gmail.com</t>
  </si>
  <si>
    <t>aysanewmisganaw@gmail.com</t>
  </si>
  <si>
    <t>Aysanew</t>
  </si>
  <si>
    <t>biayewg@gmail.com</t>
  </si>
  <si>
    <t>BIAYILIGN</t>
  </si>
  <si>
    <t>Eniyew</t>
  </si>
  <si>
    <t>migbarmw@gmail.com</t>
  </si>
  <si>
    <t>Migbar</t>
  </si>
  <si>
    <t>worku</t>
  </si>
  <si>
    <t>mequanintexample@gmail.com</t>
  </si>
  <si>
    <t>Fasil</t>
  </si>
  <si>
    <t>Mequanint</t>
  </si>
  <si>
    <t>abcdman952@gmail.com</t>
  </si>
  <si>
    <t>Sultan</t>
  </si>
  <si>
    <t>nebil87@gmail.com</t>
  </si>
  <si>
    <t>ahmed</t>
  </si>
  <si>
    <t>melkamuyihun67@gmail.com</t>
  </si>
  <si>
    <t>Menkir</t>
  </si>
  <si>
    <t>sultiber58@gmail.com</t>
  </si>
  <si>
    <t>Gelgelu</t>
  </si>
  <si>
    <t>a.asresahagne2@gmail.com</t>
  </si>
  <si>
    <t>Engidasew</t>
  </si>
  <si>
    <t>beyagebriel@gmail.com</t>
  </si>
  <si>
    <t>fasikag95@gmail.com</t>
  </si>
  <si>
    <t>fasika</t>
  </si>
  <si>
    <t>leykunbi12@gmail.com</t>
  </si>
  <si>
    <t>Leykun</t>
  </si>
  <si>
    <t>natinaelfikre32@gmail.com</t>
  </si>
  <si>
    <t>Ntinael</t>
  </si>
  <si>
    <t>Daka</t>
  </si>
  <si>
    <t>bonashu1980@gmail.com</t>
  </si>
  <si>
    <t>Tagay Bona</t>
  </si>
  <si>
    <t>Shuphare</t>
  </si>
  <si>
    <t>yohanneszewge07@gmail.com</t>
  </si>
  <si>
    <t>Zewge</t>
  </si>
  <si>
    <t>mulugetaermiyas83@gmail.com</t>
  </si>
  <si>
    <t>Ermiyas</t>
  </si>
  <si>
    <t>Yenenew</t>
  </si>
  <si>
    <t>farestesfu@gmail.com</t>
  </si>
  <si>
    <t>Fares</t>
  </si>
  <si>
    <t>kaleb3451@gmail.com</t>
  </si>
  <si>
    <t>hayathamid693@gmail.com</t>
  </si>
  <si>
    <t>Hayat</t>
  </si>
  <si>
    <t>abiotyabets@gmail.com</t>
  </si>
  <si>
    <t>Yabets</t>
  </si>
  <si>
    <t>Abiot</t>
  </si>
  <si>
    <t>fanumulugeta@gmail.com</t>
  </si>
  <si>
    <t>Fanu</t>
  </si>
  <si>
    <t>ltmelese@gmail.com</t>
  </si>
  <si>
    <t>Fentu</t>
  </si>
  <si>
    <t>saadmusema3@gmail.com</t>
  </si>
  <si>
    <t>Saad</t>
  </si>
  <si>
    <t>Musema</t>
  </si>
  <si>
    <t>mekdelawitsisay06@gmail.com</t>
  </si>
  <si>
    <t>mekdelawit</t>
  </si>
  <si>
    <t>Gerbreyes</t>
  </si>
  <si>
    <t>godadawgashaw8803@gmail.com</t>
  </si>
  <si>
    <t>godadaw</t>
  </si>
  <si>
    <t>gashaw</t>
  </si>
  <si>
    <t>mahderkahsay148@gmail.com</t>
  </si>
  <si>
    <t>mahder</t>
  </si>
  <si>
    <t>Godifay</t>
  </si>
  <si>
    <t>solomonayene6@gmail.com</t>
  </si>
  <si>
    <t>Ayene</t>
  </si>
  <si>
    <t>kaleabdenbelkebede@gmail.com</t>
  </si>
  <si>
    <t>Kaleab Denbel</t>
  </si>
  <si>
    <t>fasilfast2011@gmail.com</t>
  </si>
  <si>
    <t>Kibatu</t>
  </si>
  <si>
    <t>surafelwondimagegnhailu@gmail.com</t>
  </si>
  <si>
    <t>surafel</t>
  </si>
  <si>
    <t>wondimagegn</t>
  </si>
  <si>
    <t>mypoint010@gmail.com</t>
  </si>
  <si>
    <t>kaleb</t>
  </si>
  <si>
    <t>anshiso</t>
  </si>
  <si>
    <t>zazmeraw3@gmail.com</t>
  </si>
  <si>
    <t>atnabond@gmail.com</t>
  </si>
  <si>
    <t>Atnabon</t>
  </si>
  <si>
    <t>Deressa</t>
  </si>
  <si>
    <t>mwondi99@gmail.com</t>
  </si>
  <si>
    <t>Mamo</t>
  </si>
  <si>
    <t>degmul@gmail.com</t>
  </si>
  <si>
    <t>Degesew</t>
  </si>
  <si>
    <t>senahares12@gmail.com</t>
  </si>
  <si>
    <t>eyobt1544@gmail.com</t>
  </si>
  <si>
    <t>bezaman23@gmail.com</t>
  </si>
  <si>
    <t>Fentanesh</t>
  </si>
  <si>
    <t>Yemata</t>
  </si>
  <si>
    <t>selinaabera2022@gmail.com</t>
  </si>
  <si>
    <t>samrawitgebremaryam121@gmail.com</t>
  </si>
  <si>
    <t>Gebremaryam</t>
  </si>
  <si>
    <t>haftomgerezih@gmail.com</t>
  </si>
  <si>
    <t>Haftom</t>
  </si>
  <si>
    <t>eyosiastamene4c@gmail.com</t>
  </si>
  <si>
    <t>Eyosias Tamene</t>
  </si>
  <si>
    <t>Seifu</t>
  </si>
  <si>
    <t>ft.tolera@gmail.com</t>
  </si>
  <si>
    <t>Fedasa</t>
  </si>
  <si>
    <t>Tolera</t>
  </si>
  <si>
    <t>temesgen909021@gmail.com</t>
  </si>
  <si>
    <t>ebisafeyisa2023@gmail.com</t>
  </si>
  <si>
    <t>Lemu</t>
  </si>
  <si>
    <t>rigbedadis@gmail.com</t>
  </si>
  <si>
    <t>Rigbe Gebreyohannes</t>
  </si>
  <si>
    <t>Weldegebriel</t>
  </si>
  <si>
    <t>fitsumegeremew@gmail.com</t>
  </si>
  <si>
    <t>birhanut432@gmail.com</t>
  </si>
  <si>
    <t>Berehanu</t>
  </si>
  <si>
    <t>Gebrekidan</t>
  </si>
  <si>
    <t>ayyeekoo437@gmail.com</t>
  </si>
  <si>
    <t>Yadasa</t>
  </si>
  <si>
    <t>Dachasa</t>
  </si>
  <si>
    <t>letesha894@gmail.com</t>
  </si>
  <si>
    <t>abrahammulugetaadebash@gmail.com</t>
  </si>
  <si>
    <t>Abraham Mulugeta</t>
  </si>
  <si>
    <t>Adebash</t>
  </si>
  <si>
    <t>solmatusal23@gmail.com</t>
  </si>
  <si>
    <t>Matusal Balcha</t>
  </si>
  <si>
    <t>natiephrem503@gmail.com</t>
  </si>
  <si>
    <t>henokalemneh1212@gmail.com</t>
  </si>
  <si>
    <t>henok</t>
  </si>
  <si>
    <t>alemneh</t>
  </si>
  <si>
    <t>binyam.tagel@gmail.com</t>
  </si>
  <si>
    <t>Binyam</t>
  </si>
  <si>
    <t>Tagel</t>
  </si>
  <si>
    <t>amjamal4050@gmail.com</t>
  </si>
  <si>
    <t>Abdulmanan</t>
  </si>
  <si>
    <t>axsumawit.tassew@aau.edu.et</t>
  </si>
  <si>
    <t>Axsumawit</t>
  </si>
  <si>
    <t>dagimawi.telelu@gmail.com</t>
  </si>
  <si>
    <t>nushuhu297@gmail.com</t>
  </si>
  <si>
    <t>Teshale Terefe</t>
  </si>
  <si>
    <t>robtheja@gmail.com</t>
  </si>
  <si>
    <t>gebeyehuaddisu48@gmail.com</t>
  </si>
  <si>
    <t>Gebeyehu</t>
  </si>
  <si>
    <t>Addisu</t>
  </si>
  <si>
    <t>berehan.fel@gmail.com</t>
  </si>
  <si>
    <t>Berehan</t>
  </si>
  <si>
    <t>Felegehewot</t>
  </si>
  <si>
    <t>eyoricahaile@gmail.com</t>
  </si>
  <si>
    <t>melatdev04@gmail.com</t>
  </si>
  <si>
    <t>jabdella800@gmail.com</t>
  </si>
  <si>
    <t>Hussien</t>
  </si>
  <si>
    <t>asnemare2@gmail.com</t>
  </si>
  <si>
    <t>Asnake</t>
  </si>
  <si>
    <t>asebacha5@gmail.com</t>
  </si>
  <si>
    <t>Bacha</t>
  </si>
  <si>
    <t>betelhemwondale@gmail.com</t>
  </si>
  <si>
    <t>Wondale</t>
  </si>
  <si>
    <t>natnaelephrem03@gmail.com</t>
  </si>
  <si>
    <t>naodog00@gmail.com</t>
  </si>
  <si>
    <t>mahiderngh@gmail.com</t>
  </si>
  <si>
    <t>Kifle</t>
  </si>
  <si>
    <t>wisdomwise067@gmail.com</t>
  </si>
  <si>
    <t>Nebiyeluil</t>
  </si>
  <si>
    <t>Wehibeselasie</t>
  </si>
  <si>
    <t>bbeamlakmelaku3000@gmail.com</t>
  </si>
  <si>
    <t>salemfekadu9@gmail.com</t>
  </si>
  <si>
    <t>Salem</t>
  </si>
  <si>
    <t>Gabre</t>
  </si>
  <si>
    <t>abelmulugetas23@gmail.com</t>
  </si>
  <si>
    <t>lemmalazar@gmail.com</t>
  </si>
  <si>
    <t>lidetmama@gmail.com</t>
  </si>
  <si>
    <t>Lidet</t>
  </si>
  <si>
    <t>Woldemariam</t>
  </si>
  <si>
    <t>wase0588@gmail.com</t>
  </si>
  <si>
    <t>wase</t>
  </si>
  <si>
    <t>abebe</t>
  </si>
  <si>
    <t>nahisol2121@gmail.com</t>
  </si>
  <si>
    <t>Teka</t>
  </si>
  <si>
    <t>yosefyomata@gmail.com</t>
  </si>
  <si>
    <t>Yomata</t>
  </si>
  <si>
    <t>nahusenaya.weldegerima@gmail.com</t>
  </si>
  <si>
    <t>Nahusenay</t>
  </si>
  <si>
    <t>Weldegerima</t>
  </si>
  <si>
    <t>yonastesema2010@gmail.com</t>
  </si>
  <si>
    <t>yonas</t>
  </si>
  <si>
    <t>tesema</t>
  </si>
  <si>
    <t>tsedeniaet@gmail.com</t>
  </si>
  <si>
    <t>Tsedenia Abayneh</t>
  </si>
  <si>
    <t>restin7bark@gmail.com</t>
  </si>
  <si>
    <t>Barkilign</t>
  </si>
  <si>
    <t>bezagetu5444@gmail.com</t>
  </si>
  <si>
    <t>Zena</t>
  </si>
  <si>
    <t>meklityohannes29@gmail.com</t>
  </si>
  <si>
    <t>Meklit</t>
  </si>
  <si>
    <t>yasmin.tikuye@gmail.com</t>
  </si>
  <si>
    <t>Said</t>
  </si>
  <si>
    <t>almico2005@yahoo.com</t>
  </si>
  <si>
    <t>Almaz</t>
  </si>
  <si>
    <t>Gebreyes</t>
  </si>
  <si>
    <t>badhasoali@gmail.com</t>
  </si>
  <si>
    <t>Sead</t>
  </si>
  <si>
    <t>Aman</t>
  </si>
  <si>
    <t>dagitsehay121921@gmail.com</t>
  </si>
  <si>
    <t>Dagemawie</t>
  </si>
  <si>
    <t>Tsehay</t>
  </si>
  <si>
    <t>siyanesamuel5@gmail.com</t>
  </si>
  <si>
    <t>Siyane</t>
  </si>
  <si>
    <t>gebsiy9@gmail.com</t>
  </si>
  <si>
    <t>Selomun</t>
  </si>
  <si>
    <t>aladawmulu@gmail.com</t>
  </si>
  <si>
    <t>Alador</t>
  </si>
  <si>
    <t>ermiasmezgebe@gmail.com</t>
  </si>
  <si>
    <t>Mezgebe</t>
  </si>
  <si>
    <t>gtesfa2015@gmail.com</t>
  </si>
  <si>
    <t>Yifru</t>
  </si>
  <si>
    <t>letariku@gmail.com</t>
  </si>
  <si>
    <t>yonasbeza127@gmail.com</t>
  </si>
  <si>
    <t>markoshabtegebriel@gmail.com</t>
  </si>
  <si>
    <t>Habtegebriel</t>
  </si>
  <si>
    <t>meskeremwoldegebreal1@gmail.com</t>
  </si>
  <si>
    <t>FIkiru</t>
  </si>
  <si>
    <t>Anshebo</t>
  </si>
  <si>
    <t>alemayehugudeta@gmail.com</t>
  </si>
  <si>
    <t>Jima</t>
  </si>
  <si>
    <t>lamedh222@gmail.com</t>
  </si>
  <si>
    <t>bereket</t>
  </si>
  <si>
    <t>Bahta</t>
  </si>
  <si>
    <t>belaydamto223@gmail.com</t>
  </si>
  <si>
    <t>Belay</t>
  </si>
  <si>
    <t>Damto</t>
  </si>
  <si>
    <t>zemenehabtu@gmail.com</t>
  </si>
  <si>
    <t>Zemene</t>
  </si>
  <si>
    <t>babefetene@gmail.com</t>
  </si>
  <si>
    <t>Fetene Shawil</t>
  </si>
  <si>
    <t>gideyeyerus@gmail.com</t>
  </si>
  <si>
    <t>Gidey</t>
  </si>
  <si>
    <t>ketemateshome81@gmail.com</t>
  </si>
  <si>
    <t>Ketema</t>
  </si>
  <si>
    <t>abeni8952@gmail.com</t>
  </si>
  <si>
    <t>seyfezewdu@gmail.com</t>
  </si>
  <si>
    <t>Seyfe</t>
  </si>
  <si>
    <t>Bezabih</t>
  </si>
  <si>
    <t>bedilu.shimelis@gmail.com</t>
  </si>
  <si>
    <t>Bedilu</t>
  </si>
  <si>
    <t>Shewangizaw</t>
  </si>
  <si>
    <t>zewdnehf@gmail.com</t>
  </si>
  <si>
    <t>zewdneh</t>
  </si>
  <si>
    <t>fikru</t>
  </si>
  <si>
    <t>rediat.ermias@gmail.com</t>
  </si>
  <si>
    <t>Rediate</t>
  </si>
  <si>
    <t>Fekibelu</t>
  </si>
  <si>
    <t>sariti94@gmail.com</t>
  </si>
  <si>
    <t>Sara</t>
  </si>
  <si>
    <t>nadiyaomer25@outlook.com</t>
  </si>
  <si>
    <t>Nadiya</t>
  </si>
  <si>
    <t>bisharahmed492@gmail.com</t>
  </si>
  <si>
    <t>bishar</t>
  </si>
  <si>
    <t>selammuluneh40@gmail.com</t>
  </si>
  <si>
    <t>Selam</t>
  </si>
  <si>
    <t>zenebemelikt@gmail.com</t>
  </si>
  <si>
    <t>Melikt</t>
  </si>
  <si>
    <t>ashagrieselam@gmail.com</t>
  </si>
  <si>
    <t>tsegiiitm@gmail.com</t>
  </si>
  <si>
    <t>Etsegenet</t>
  </si>
  <si>
    <t>Tmariam</t>
  </si>
  <si>
    <t>filimon19asefa@gmail.com</t>
  </si>
  <si>
    <t>Filimon</t>
  </si>
  <si>
    <t>Gebresilase</t>
  </si>
  <si>
    <t>aliabdu.va10@gmail.com</t>
  </si>
  <si>
    <t>Ali Abdu</t>
  </si>
  <si>
    <t>tsinattesfaye26@gmail.com</t>
  </si>
  <si>
    <t>Tsinat</t>
  </si>
  <si>
    <t>jemalferuza807@gmail.com</t>
  </si>
  <si>
    <t>Feyruza</t>
  </si>
  <si>
    <t>jemal</t>
  </si>
  <si>
    <t>birhanubobo079@gmail.com</t>
  </si>
  <si>
    <t>Bobo</t>
  </si>
  <si>
    <t>gech2821@gmail.com</t>
  </si>
  <si>
    <t>yosefeshetu97@gmail.com</t>
  </si>
  <si>
    <t>linalid80@gmail.com</t>
  </si>
  <si>
    <t>Lidiya</t>
  </si>
  <si>
    <t>gebeyehu.alkadir@aau.edu.et</t>
  </si>
  <si>
    <t>Alkadir</t>
  </si>
  <si>
    <t>biniambezabih@gmail.com</t>
  </si>
  <si>
    <t>Yimam</t>
  </si>
  <si>
    <t>alima8183hu@gmail.com</t>
  </si>
  <si>
    <t>Alima</t>
  </si>
  <si>
    <t>Jara</t>
  </si>
  <si>
    <t>nadiyaomer25@gmail.com</t>
  </si>
  <si>
    <t>nadiya</t>
  </si>
  <si>
    <t>barokabreham21@gmail.com</t>
  </si>
  <si>
    <t>salemjosi7@gmail.com</t>
  </si>
  <si>
    <t>abdisamideksa88@gmail.com</t>
  </si>
  <si>
    <t>metileg@gmail.com</t>
  </si>
  <si>
    <t>meti</t>
  </si>
  <si>
    <t>leggese</t>
  </si>
  <si>
    <t>yusehabb2@gmail.com</t>
  </si>
  <si>
    <t>Yusuf</t>
  </si>
  <si>
    <t>Sherefa</t>
  </si>
  <si>
    <t>ezeleke1991@gmail.com</t>
  </si>
  <si>
    <t>Detamo</t>
  </si>
  <si>
    <t>kobirodawit@17gmail.com</t>
  </si>
  <si>
    <t>Wote</t>
  </si>
  <si>
    <t>mikyasb1@gmail.com</t>
  </si>
  <si>
    <t>Mikyas</t>
  </si>
  <si>
    <t>amanuel.manutd33@gmail.com</t>
  </si>
  <si>
    <t>Ab</t>
  </si>
  <si>
    <t>mintesinot323@gmail.com</t>
  </si>
  <si>
    <t>sofonyasabreha@gmail.com</t>
  </si>
  <si>
    <t>sofanyas</t>
  </si>
  <si>
    <t>Abraha</t>
  </si>
  <si>
    <t>aberak.246@gmail.com</t>
  </si>
  <si>
    <t>addpow7@gmail.com</t>
  </si>
  <si>
    <t>ADDISU YEHUWALASHET</t>
  </si>
  <si>
    <t>WUBE</t>
  </si>
  <si>
    <t>amaremakida@gmail.com</t>
  </si>
  <si>
    <t>Makida</t>
  </si>
  <si>
    <t>Wakijra</t>
  </si>
  <si>
    <t>fentahunbikale09@gmail.com</t>
  </si>
  <si>
    <t>biftutadhi@gmail.com</t>
  </si>
  <si>
    <t>Tadi</t>
  </si>
  <si>
    <t>Konsole</t>
  </si>
  <si>
    <t>sadamsadam0135@gmail.com</t>
  </si>
  <si>
    <t>Husam</t>
  </si>
  <si>
    <t>yemiabera56@gmail.com</t>
  </si>
  <si>
    <t>Misrach</t>
  </si>
  <si>
    <t>nathanimberhanudechasa@gmail.com</t>
  </si>
  <si>
    <t>Nathanim</t>
  </si>
  <si>
    <t>Dechasa</t>
  </si>
  <si>
    <t>netsanetmekonnen329@gmail.com</t>
  </si>
  <si>
    <t>emailofsamri42@gmail.com</t>
  </si>
  <si>
    <t>Samerawit</t>
  </si>
  <si>
    <t>firehiwotambaye773@gmail.com</t>
  </si>
  <si>
    <t>Fulas</t>
  </si>
  <si>
    <t>lydiaalelign@gmail.com</t>
  </si>
  <si>
    <t>Lydia</t>
  </si>
  <si>
    <t>Alelign</t>
  </si>
  <si>
    <t>yobsanf597@gmail.com</t>
  </si>
  <si>
    <t>Yigazu</t>
  </si>
  <si>
    <t>kalebsol64@gmail.com</t>
  </si>
  <si>
    <t>tsionasmareasmare@gmail.com</t>
  </si>
  <si>
    <t>Demilew</t>
  </si>
  <si>
    <t>yeshitesfaye1994@gmail.com</t>
  </si>
  <si>
    <t>alemusis2006@gmail.com</t>
  </si>
  <si>
    <t>Tolessa</t>
  </si>
  <si>
    <t>bilenalemu422@gmail.com</t>
  </si>
  <si>
    <t>Muchena</t>
  </si>
  <si>
    <t>yasamy4556@gmail.com</t>
  </si>
  <si>
    <t>Yohannis</t>
  </si>
  <si>
    <t>temamen.thoma@gmail.com</t>
  </si>
  <si>
    <t>Thomando</t>
  </si>
  <si>
    <t>tube</t>
  </si>
  <si>
    <t>ephramg@gmail.com</t>
  </si>
  <si>
    <t>Ephram</t>
  </si>
  <si>
    <t>Geresu</t>
  </si>
  <si>
    <t>destawgm20202@gmail.com</t>
  </si>
  <si>
    <t>Destaw</t>
  </si>
  <si>
    <t>Mulachew</t>
  </si>
  <si>
    <t>linagetachew26@outlook.com</t>
  </si>
  <si>
    <t>Lina</t>
  </si>
  <si>
    <t>destayf2013@gmail.com</t>
  </si>
  <si>
    <t>Ijo</t>
  </si>
  <si>
    <t>destawgm2020@gmail.com</t>
  </si>
  <si>
    <t>Destaw Gisme</t>
  </si>
  <si>
    <t>melesfilimon5@gmail.com</t>
  </si>
  <si>
    <t>Gebru</t>
  </si>
  <si>
    <t>kalebkebede173@gmail.com</t>
  </si>
  <si>
    <t>antenehakililu002@gmail.com</t>
  </si>
  <si>
    <t>Anteneh</t>
  </si>
  <si>
    <t>Akililu</t>
  </si>
  <si>
    <t>kiduschaneyalew100@gmail.com</t>
  </si>
  <si>
    <t>Chanyalew</t>
  </si>
  <si>
    <t>abebawandualem4@gmail.com</t>
  </si>
  <si>
    <t>geachgebreyesus@gmail.com</t>
  </si>
  <si>
    <t>Embaye</t>
  </si>
  <si>
    <t>abiyabigael@gmail.com</t>
  </si>
  <si>
    <t>Abigael Abiy</t>
  </si>
  <si>
    <t>hulumbegeta1991@gmail.com</t>
  </si>
  <si>
    <t>Hulumbegeta</t>
  </si>
  <si>
    <t>Tenkair</t>
  </si>
  <si>
    <t>bogalemelese16@gmail.com</t>
  </si>
  <si>
    <t>dawitamanuel50@gmail.com</t>
  </si>
  <si>
    <t>Chibsaa</t>
  </si>
  <si>
    <t>elefachew1144@gmail.com</t>
  </si>
  <si>
    <t>Elefachew</t>
  </si>
  <si>
    <t>Adise</t>
  </si>
  <si>
    <t>abenezershimeket527@gmail.com</t>
  </si>
  <si>
    <t>Lijalem</t>
  </si>
  <si>
    <t>atnatiyostefera999@gmail.com</t>
  </si>
  <si>
    <t>atnatiyos</t>
  </si>
  <si>
    <t>tefera</t>
  </si>
  <si>
    <t>abrhamn7@gmail.com</t>
  </si>
  <si>
    <t>Niguse</t>
  </si>
  <si>
    <t>senaymu2@gmail.com</t>
  </si>
  <si>
    <t>Senay</t>
  </si>
  <si>
    <t>zewdechorfo86@gmil.com</t>
  </si>
  <si>
    <t>zewde</t>
  </si>
  <si>
    <t>chorfo</t>
  </si>
  <si>
    <t>Warder</t>
  </si>
  <si>
    <t>asguesh@gmail.com</t>
  </si>
  <si>
    <t>Kalu</t>
  </si>
  <si>
    <t>yarednigussie73@gmail.com</t>
  </si>
  <si>
    <t>behailubefekadu26@gmail.com</t>
  </si>
  <si>
    <t>Alta</t>
  </si>
  <si>
    <t>dabbogale@gmail.com</t>
  </si>
  <si>
    <t>wossene.tesfaye@gmail.com</t>
  </si>
  <si>
    <t>Wossene</t>
  </si>
  <si>
    <t>lukemorse3045@gmail.com</t>
  </si>
  <si>
    <t>Habtamu Redda</t>
  </si>
  <si>
    <t>abebegelana45@gmail.com</t>
  </si>
  <si>
    <t>Gelana</t>
  </si>
  <si>
    <t>meseretdereje111@gmail.com</t>
  </si>
  <si>
    <t>Meseret</t>
  </si>
  <si>
    <t>solomon.terefe@eep.com.et</t>
  </si>
  <si>
    <t>biniam.tesfay78@gmail.com</t>
  </si>
  <si>
    <t>assefaerko14@gmail.com</t>
  </si>
  <si>
    <t>Erkocho</t>
  </si>
  <si>
    <t>meimaleyla35@gmail.com</t>
  </si>
  <si>
    <t>Hedira</t>
  </si>
  <si>
    <t>Melkie</t>
  </si>
  <si>
    <t>ilameabukulu@gmail.com</t>
  </si>
  <si>
    <t>Atinaf</t>
  </si>
  <si>
    <t>Ireso</t>
  </si>
  <si>
    <t>heni738987@gmail.com</t>
  </si>
  <si>
    <t>kidistabreham944@gmail.com</t>
  </si>
  <si>
    <t>abebeselam639@gmail.com</t>
  </si>
  <si>
    <t>Cheru</t>
  </si>
  <si>
    <t>yeneneshasefa69@gmail.com</t>
  </si>
  <si>
    <t>Yenenesh</t>
  </si>
  <si>
    <t>tamratayele52@gmail.com</t>
  </si>
  <si>
    <t>Tamrat</t>
  </si>
  <si>
    <t>gebrewold</t>
  </si>
  <si>
    <t>sase.zeone@gmail.com</t>
  </si>
  <si>
    <t>Sase</t>
  </si>
  <si>
    <t>MS</t>
  </si>
  <si>
    <t>mesayhankebo32@gmail.com</t>
  </si>
  <si>
    <t>Mesay</t>
  </si>
  <si>
    <t>Hankebo</t>
  </si>
  <si>
    <t>yeabsirataye11@gmail.com</t>
  </si>
  <si>
    <t>hiwotabebekiyafkr@gmail.com</t>
  </si>
  <si>
    <t>Hiwot abebe</t>
  </si>
  <si>
    <t>Ethica</t>
  </si>
  <si>
    <t>American Samoa</t>
  </si>
  <si>
    <t>dadi.kidu@outlook.com</t>
  </si>
  <si>
    <t>gadissaamanuel1@gmail.com</t>
  </si>
  <si>
    <t>Gadissa</t>
  </si>
  <si>
    <t>Nagara</t>
  </si>
  <si>
    <t>haftommekonen09@gmail.com</t>
  </si>
  <si>
    <t>Mihretie</t>
  </si>
  <si>
    <t>matyasmekbib@gmail.com</t>
  </si>
  <si>
    <t>Matyas</t>
  </si>
  <si>
    <t>dagimfeyisa1@gmail.com</t>
  </si>
  <si>
    <t>emekonnen@genevaglobal.com</t>
  </si>
  <si>
    <t>kassahundemissie21@gmail.com</t>
  </si>
  <si>
    <t>Kassahun</t>
  </si>
  <si>
    <t>nigusemelese576@gmail.com</t>
  </si>
  <si>
    <t>eyosiberhanu6@gmail.com</t>
  </si>
  <si>
    <t>Eyosias</t>
  </si>
  <si>
    <t>emrenhussien@gmail.com</t>
  </si>
  <si>
    <t>Roba</t>
  </si>
  <si>
    <t>bayukemawuarc@gmail.com</t>
  </si>
  <si>
    <t>Bayu</t>
  </si>
  <si>
    <t>Biru</t>
  </si>
  <si>
    <t>meseretkastro17@gmail.com</t>
  </si>
  <si>
    <t>Kastro</t>
  </si>
  <si>
    <t>getahun2001@gmail.com</t>
  </si>
  <si>
    <t>Siyamregn</t>
  </si>
  <si>
    <t>yohannesmindahun40@gmail.com</t>
  </si>
  <si>
    <t>YOHANNES</t>
  </si>
  <si>
    <t>BESUFEKAD</t>
  </si>
  <si>
    <t>surafelmuluken2@gmail.com</t>
  </si>
  <si>
    <t>abilaabila368@gmail.com</t>
  </si>
  <si>
    <t>Besufikad</t>
  </si>
  <si>
    <t>readone2005@gmail.com</t>
  </si>
  <si>
    <t>Aragaw</t>
  </si>
  <si>
    <t>jemalgemedi16@gmail.com</t>
  </si>
  <si>
    <t>tsega.mengiste@gmail.com</t>
  </si>
  <si>
    <t>TSEGA</t>
  </si>
  <si>
    <t>DEBABE</t>
  </si>
  <si>
    <t>htariku58@gmail.com</t>
  </si>
  <si>
    <t>Helen</t>
  </si>
  <si>
    <t>Badenga</t>
  </si>
  <si>
    <t>tilahunayele237@gmail.com</t>
  </si>
  <si>
    <t>edrishirute@gmail.com</t>
  </si>
  <si>
    <t>Hiruteselassie</t>
  </si>
  <si>
    <t>ezedinadane444@gmail.com</t>
  </si>
  <si>
    <t>Ezedin</t>
  </si>
  <si>
    <t>amanueladmasu52@gmail.com</t>
  </si>
  <si>
    <t>Kassie</t>
  </si>
  <si>
    <t>mengistuzayede12@gmail.com</t>
  </si>
  <si>
    <t>tenbetdaniel303@gmail.com</t>
  </si>
  <si>
    <t>Tenbet</t>
  </si>
  <si>
    <t>Tinbit</t>
  </si>
  <si>
    <t>assefaanley20@gmail.com</t>
  </si>
  <si>
    <t>Anley</t>
  </si>
  <si>
    <t>writeforheni@gmail.com</t>
  </si>
  <si>
    <t>Henok Nigussei</t>
  </si>
  <si>
    <t>firewadila12@gmail.com</t>
  </si>
  <si>
    <t>Adila</t>
  </si>
  <si>
    <t>hailunaninani@gmail.com</t>
  </si>
  <si>
    <t>hafizaah2013@gmail.com</t>
  </si>
  <si>
    <t>Numeriy</t>
  </si>
  <si>
    <t>bkefela6@gmail.com</t>
  </si>
  <si>
    <t>Kefela</t>
  </si>
  <si>
    <t>aabayt2012@gmail.com</t>
  </si>
  <si>
    <t>Abaynesh</t>
  </si>
  <si>
    <t>tamirubirhanu88@gmail.com</t>
  </si>
  <si>
    <t>mikiyasmeshesh928487@gmail.com</t>
  </si>
  <si>
    <t>yohannesalemnew13@gmail.com</t>
  </si>
  <si>
    <t>Jon</t>
  </si>
  <si>
    <t>bereketlibona@gmail.com</t>
  </si>
  <si>
    <t>libona</t>
  </si>
  <si>
    <t>semiaseid1997@gmail.com</t>
  </si>
  <si>
    <t>Shafi</t>
  </si>
  <si>
    <t>abccomp1990@gmail.com</t>
  </si>
  <si>
    <t>Adisie</t>
  </si>
  <si>
    <t>birhanu.yeshitela@gmail.com</t>
  </si>
  <si>
    <t>Yeshitila</t>
  </si>
  <si>
    <t>kemalhamed08@gmail.com</t>
  </si>
  <si>
    <t>Tuke</t>
  </si>
  <si>
    <t>berhe709@gmail.com</t>
  </si>
  <si>
    <t>BERHE</t>
  </si>
  <si>
    <t>yilkalhunegnaw014@gmail.com</t>
  </si>
  <si>
    <t>Yilkal</t>
  </si>
  <si>
    <t>Hunegnaw</t>
  </si>
  <si>
    <t>kirubel123shesew@gmail.com</t>
  </si>
  <si>
    <t>Shesew</t>
  </si>
  <si>
    <t>hailatmulaw@gmail.com</t>
  </si>
  <si>
    <t>Debessu</t>
  </si>
  <si>
    <t>kalebxebek5@gmail.com</t>
  </si>
  <si>
    <t>fekadu1998@yahoo.com</t>
  </si>
  <si>
    <t>ethiopingpong@gmail.com</t>
  </si>
  <si>
    <t>Daniel Tadesse</t>
  </si>
  <si>
    <t>tengetnett1@yahoo.com</t>
  </si>
  <si>
    <t>Tensay</t>
  </si>
  <si>
    <t>efrembel70@gmail.com</t>
  </si>
  <si>
    <t>Belete</t>
  </si>
  <si>
    <t>danielberta018@gmail.com</t>
  </si>
  <si>
    <t>Berta</t>
  </si>
  <si>
    <t>diresgebeyawtilahun@gmail.com</t>
  </si>
  <si>
    <t>Dires</t>
  </si>
  <si>
    <t>dl241409@gmail.com</t>
  </si>
  <si>
    <t>kalkidantariku111@gmail.com</t>
  </si>
  <si>
    <t>htariku@gmail.com</t>
  </si>
  <si>
    <t>ayeleanteneh76@gmail.com</t>
  </si>
  <si>
    <t>bamlaktefera380@gmail.com</t>
  </si>
  <si>
    <t>Bamlak</t>
  </si>
  <si>
    <t>amanueltilahun93@gmail.com</t>
  </si>
  <si>
    <t>ayenewmuluye10@gmail.com</t>
  </si>
  <si>
    <t>Yeshanew</t>
  </si>
  <si>
    <t>yabsira520@gmail.com</t>
  </si>
  <si>
    <t>mogycool@gmail.com</t>
  </si>
  <si>
    <t>ammanuelgettachew@gmail.com</t>
  </si>
  <si>
    <t>GETACHEW</t>
  </si>
  <si>
    <t>agerdesalegn41@gmail.com</t>
  </si>
  <si>
    <t>Agerie</t>
  </si>
  <si>
    <t>richoshelemo@gmail.com</t>
  </si>
  <si>
    <t>Maida</t>
  </si>
  <si>
    <t>Shelemo</t>
  </si>
  <si>
    <t>aaden4432@gmail.com</t>
  </si>
  <si>
    <t>Aden</t>
  </si>
  <si>
    <t>raheldesta321@gmail.com</t>
  </si>
  <si>
    <t>rahel</t>
  </si>
  <si>
    <t>akiget015@gmail.com</t>
  </si>
  <si>
    <t>Akinahom</t>
  </si>
  <si>
    <t>gamechisdegefa@gmail.com</t>
  </si>
  <si>
    <t>Gemechis</t>
  </si>
  <si>
    <t>Degefa</t>
  </si>
  <si>
    <t>mekdie2127@gmail.com</t>
  </si>
  <si>
    <t>eshetu</t>
  </si>
  <si>
    <t>arsema.atlabachew7@gmail.com</t>
  </si>
  <si>
    <t>Atlabachew</t>
  </si>
  <si>
    <t>bettybehailu4@gmail.com</t>
  </si>
  <si>
    <t>Takele</t>
  </si>
  <si>
    <t>fikiru.nano@gmail.com</t>
  </si>
  <si>
    <t>Fikiru Degefe</t>
  </si>
  <si>
    <t>Nano</t>
  </si>
  <si>
    <t>hermonaheru24@gmail.com</t>
  </si>
  <si>
    <t>Hermona</t>
  </si>
  <si>
    <t>Horoffa</t>
  </si>
  <si>
    <t>betremengist020@gmail.com</t>
  </si>
  <si>
    <t>Betremengist</t>
  </si>
  <si>
    <t>robeltesfay85@gmail.com</t>
  </si>
  <si>
    <t>robel</t>
  </si>
  <si>
    <t>tesfay</t>
  </si>
  <si>
    <t>amanuelnuramo82@gmail.com</t>
  </si>
  <si>
    <t>SAKELO</t>
  </si>
  <si>
    <t>bethelhemfirdu48@gmail.com</t>
  </si>
  <si>
    <t>Bethelehem</t>
  </si>
  <si>
    <t>Firdu</t>
  </si>
  <si>
    <t>memoaswag@gmail.com</t>
  </si>
  <si>
    <t>dagmmarketing@gmail.com</t>
  </si>
  <si>
    <t>Meried</t>
  </si>
  <si>
    <t>aderaseniat@gmial.com</t>
  </si>
  <si>
    <t>Ribka</t>
  </si>
  <si>
    <t>Gebresellasie</t>
  </si>
  <si>
    <t>aweke611@gmail.com</t>
  </si>
  <si>
    <t>Aweke</t>
  </si>
  <si>
    <t>Agumas</t>
  </si>
  <si>
    <t>ribkaberhane7@gmail.com</t>
  </si>
  <si>
    <t>Berhane</t>
  </si>
  <si>
    <t>familyfalcon042@gmail.com</t>
  </si>
  <si>
    <t>Labata</t>
  </si>
  <si>
    <t>Desisa</t>
  </si>
  <si>
    <t>alembanteamare@gmail.com</t>
  </si>
  <si>
    <t>Alembante</t>
  </si>
  <si>
    <t>edomsorri021@gmail.com</t>
  </si>
  <si>
    <t>Edom</t>
  </si>
  <si>
    <t>seifu</t>
  </si>
  <si>
    <t>matikoo12@gmail.com</t>
  </si>
  <si>
    <t>mikyabe22@gmail.com</t>
  </si>
  <si>
    <t>Miky</t>
  </si>
  <si>
    <t>helenaaddis01@gmail.com</t>
  </si>
  <si>
    <t>tukurakutale@gmail.com</t>
  </si>
  <si>
    <t>Kutale</t>
  </si>
  <si>
    <t>Tukura</t>
  </si>
  <si>
    <t>danielmuluneh781@gmail.com</t>
  </si>
  <si>
    <t>dakkhor041@gmail.com</t>
  </si>
  <si>
    <t>khor</t>
  </si>
  <si>
    <t>Top</t>
  </si>
  <si>
    <t>kidusksg@gmail.com</t>
  </si>
  <si>
    <t>demekdan3@gmail.com</t>
  </si>
  <si>
    <t>Yirgu</t>
  </si>
  <si>
    <t>rut.workineh7@gmail.com</t>
  </si>
  <si>
    <t>Hirut</t>
  </si>
  <si>
    <t>Wondimu</t>
  </si>
  <si>
    <t>natnaeltheodros27@gmail.com</t>
  </si>
  <si>
    <t>simretalemu20@gmail.com</t>
  </si>
  <si>
    <t>Simret</t>
  </si>
  <si>
    <t>dejenafework94@gmail.com</t>
  </si>
  <si>
    <t>Afework</t>
  </si>
  <si>
    <t>ygurmessa74@gmail.com</t>
  </si>
  <si>
    <t>Gurmessa</t>
  </si>
  <si>
    <t>divoff777@gmail.com</t>
  </si>
  <si>
    <t>Divora</t>
  </si>
  <si>
    <t>endaleworku111@gmail.com</t>
  </si>
  <si>
    <t>abduuu2078@gmail.com</t>
  </si>
  <si>
    <t>Abdulmenan</t>
  </si>
  <si>
    <t>metasebiafissha@gmail.com</t>
  </si>
  <si>
    <t>Metasebia</t>
  </si>
  <si>
    <t>Fissha</t>
  </si>
  <si>
    <t>tirufat46@gmail.com</t>
  </si>
  <si>
    <t>Tirufat</t>
  </si>
  <si>
    <t>Tsegaw</t>
  </si>
  <si>
    <t>smegntesfaye1@gmail.com</t>
  </si>
  <si>
    <t>Smegn</t>
  </si>
  <si>
    <t>mamomeside37@gmail.com</t>
  </si>
  <si>
    <t>Abaginbar</t>
  </si>
  <si>
    <t>ephrwmhailu733@gmail.com</t>
  </si>
  <si>
    <t>ephremhailu733@gmail.com</t>
  </si>
  <si>
    <t>afeworky525@gmail.com</t>
  </si>
  <si>
    <t>maryone2023@gmail.com</t>
  </si>
  <si>
    <t>Maria</t>
  </si>
  <si>
    <t>sonanzewde14@gmail.com</t>
  </si>
  <si>
    <t>sonan</t>
  </si>
  <si>
    <t>emeyyene0209@gmail.com</t>
  </si>
  <si>
    <t>natnaelworkua@gmail.com</t>
  </si>
  <si>
    <t>Mekicha</t>
  </si>
  <si>
    <t>hussenabdulmenan99@gmail.com</t>
  </si>
  <si>
    <t>tomtemesgen973@gmail.com</t>
  </si>
  <si>
    <t>Erena</t>
  </si>
  <si>
    <t>motigemechu19@gmail.com</t>
  </si>
  <si>
    <t>jossialeme932@gmail.com</t>
  </si>
  <si>
    <t>meklit.amsalu@gmail.com</t>
  </si>
  <si>
    <t>elebethtess@gmail.com</t>
  </si>
  <si>
    <t>Elebethel</t>
  </si>
  <si>
    <t>tefogeta@gmail.com</t>
  </si>
  <si>
    <t>Tewofilos</t>
  </si>
  <si>
    <t>kaleab9810@gmail.com</t>
  </si>
  <si>
    <t>yidu74660@gmail.com</t>
  </si>
  <si>
    <t>Yididya</t>
  </si>
  <si>
    <t>Eshete</t>
  </si>
  <si>
    <t>nigus.wubayehu@gmail.com</t>
  </si>
  <si>
    <t>Wubayehu</t>
  </si>
  <si>
    <t>biserat0911@gmail.com</t>
  </si>
  <si>
    <t>Biserat</t>
  </si>
  <si>
    <t>Chalchisa</t>
  </si>
  <si>
    <t>etsubmandefro@gmail.com</t>
  </si>
  <si>
    <t>kalabtesfaye69@gmail.com</t>
  </si>
  <si>
    <t>Kalab</t>
  </si>
  <si>
    <t>zolazola1221@gmail.com</t>
  </si>
  <si>
    <t>Kinfe</t>
  </si>
  <si>
    <t>redietmessaytekle@gmail.com</t>
  </si>
  <si>
    <t>senaitmelike10411@gmail.com</t>
  </si>
  <si>
    <t>Senait</t>
  </si>
  <si>
    <t>edenfeke15@gmail.com</t>
  </si>
  <si>
    <t>Fekade</t>
  </si>
  <si>
    <t>alxethiopia4@gmail.com</t>
  </si>
  <si>
    <t>yabu</t>
  </si>
  <si>
    <t>lala</t>
  </si>
  <si>
    <t>wondimuashenafi23@gmail.com</t>
  </si>
  <si>
    <t>rahwasolomon48@gmail.com</t>
  </si>
  <si>
    <t>Rahwa</t>
  </si>
  <si>
    <t>Gebreselama</t>
  </si>
  <si>
    <t>akinahomgetahun@gmail.com</t>
  </si>
  <si>
    <t>meas.2021@gmail.com</t>
  </si>
  <si>
    <t>Bissa</t>
  </si>
  <si>
    <t>destawm2020@gmail.com</t>
  </si>
  <si>
    <t>odesalegn796@gmail.com</t>
  </si>
  <si>
    <t>Obsa</t>
  </si>
  <si>
    <t>bettytilahun64@gmail.com</t>
  </si>
  <si>
    <t>Betelhem Tilahun Alemu</t>
  </si>
  <si>
    <t>saribaba2223@gmail.com</t>
  </si>
  <si>
    <t>atoeyasu@gmail.com</t>
  </si>
  <si>
    <t>Abenezer Temesgen</t>
  </si>
  <si>
    <t>Denbel</t>
  </si>
  <si>
    <t>naola815@gmail.com</t>
  </si>
  <si>
    <t>naol</t>
  </si>
  <si>
    <t>belay</t>
  </si>
  <si>
    <t>lhafizabdu72@gmail.com</t>
  </si>
  <si>
    <t>Abdulhafiz</t>
  </si>
  <si>
    <t>Muhabaw</t>
  </si>
  <si>
    <t>amanuelberhe2198@gmail.com</t>
  </si>
  <si>
    <t>agenawedaye7@gmail.com</t>
  </si>
  <si>
    <t>AGENA</t>
  </si>
  <si>
    <t>UGAMO</t>
  </si>
  <si>
    <t>gzenesh123@gmail.com</t>
  </si>
  <si>
    <t>Gzenesh</t>
  </si>
  <si>
    <t>Teklegerima</t>
  </si>
  <si>
    <t>atinaf.hirpo12@gamil.com</t>
  </si>
  <si>
    <t>ATINAF</t>
  </si>
  <si>
    <t>HIRESO</t>
  </si>
  <si>
    <t>teshomehirut01@gmail.com</t>
  </si>
  <si>
    <t>Hermella</t>
  </si>
  <si>
    <t>Teshome Sahlu</t>
  </si>
  <si>
    <t>sofomrd5@gmail.com</t>
  </si>
  <si>
    <t>samiberhanuerko@gmail.com</t>
  </si>
  <si>
    <t>Erko</t>
  </si>
  <si>
    <t>wendemjr@gmail.com</t>
  </si>
  <si>
    <t>Dana</t>
  </si>
  <si>
    <t>nurafikadu78@gmail.com</t>
  </si>
  <si>
    <t>Nura</t>
  </si>
  <si>
    <t>sarabekam43@email.com</t>
  </si>
  <si>
    <t>Bekam</t>
  </si>
  <si>
    <t>bilen26d@gmail.com</t>
  </si>
  <si>
    <t>BIlen Demissie</t>
  </si>
  <si>
    <t>worknehchalchisa@gmail.com</t>
  </si>
  <si>
    <t>pthiopia@outlook.com</t>
  </si>
  <si>
    <t>Paulose</t>
  </si>
  <si>
    <t>mayubereket160@gmail.com</t>
  </si>
  <si>
    <t>wintana</t>
  </si>
  <si>
    <t>makdy2013@gmail.com</t>
  </si>
  <si>
    <t>Makda</t>
  </si>
  <si>
    <t>hmuluken747@gmail.com</t>
  </si>
  <si>
    <t>abenezerwubeshet0@gmail.com</t>
  </si>
  <si>
    <t>Wubeshet</t>
  </si>
  <si>
    <t>negeseasfawho@gmail.come</t>
  </si>
  <si>
    <t>Negese</t>
  </si>
  <si>
    <t>Shewaysma</t>
  </si>
  <si>
    <t>temesgennibret184@gmail.com</t>
  </si>
  <si>
    <t>Cherie Nibret</t>
  </si>
  <si>
    <t>matialiya@gmail.com</t>
  </si>
  <si>
    <t>afeyissakajela78@gmail.com</t>
  </si>
  <si>
    <t>Ararso</t>
  </si>
  <si>
    <t>ababuandualem22@gmail.com</t>
  </si>
  <si>
    <t>ansualem</t>
  </si>
  <si>
    <t>ababu</t>
  </si>
  <si>
    <t>abdurek90@gmail.com</t>
  </si>
  <si>
    <t>Abderehman</t>
  </si>
  <si>
    <t>Hashem</t>
  </si>
  <si>
    <t>milkesasisay681@gmail.com</t>
  </si>
  <si>
    <t>Milkesa</t>
  </si>
  <si>
    <t>mekdimekdelawit216@gmail.com</t>
  </si>
  <si>
    <t>Mideksa</t>
  </si>
  <si>
    <t>meskeremtewubo@gmail.com</t>
  </si>
  <si>
    <t>Tewubo</t>
  </si>
  <si>
    <t>mesereth2002@gmail.com</t>
  </si>
  <si>
    <t>Hailemicheal</t>
  </si>
  <si>
    <t>yosefmengistu6@gmail.com</t>
  </si>
  <si>
    <t>YOSEF</t>
  </si>
  <si>
    <t>MENGISTU</t>
  </si>
  <si>
    <t>United States</t>
  </si>
  <si>
    <t>natani12getnet@gmail.com</t>
  </si>
  <si>
    <t>Natani</t>
  </si>
  <si>
    <t>abebalijalem22@gmail.com</t>
  </si>
  <si>
    <t>Retta</t>
  </si>
  <si>
    <t>ezra242810@gmail.com</t>
  </si>
  <si>
    <t>blendebebe24@gmail.com</t>
  </si>
  <si>
    <t>Debebe</t>
  </si>
  <si>
    <t>nasrmuhamed216@gmail.com</t>
  </si>
  <si>
    <t>antenehtefera40@gmail.com</t>
  </si>
  <si>
    <t>solutionaddisu@gmail.com</t>
  </si>
  <si>
    <t>Banksira</t>
  </si>
  <si>
    <t>hlinawondwossen2022@gmail.com</t>
  </si>
  <si>
    <t>Hlina</t>
  </si>
  <si>
    <t>Wondwossen</t>
  </si>
  <si>
    <t>eyosig82@gmail.com</t>
  </si>
  <si>
    <t>M</t>
  </si>
  <si>
    <t>workudavid@yahoo.co.uk</t>
  </si>
  <si>
    <t>altagi.abdelgadir@student.aiu.edu.my</t>
  </si>
  <si>
    <t>ALTAGI ABDALLAH BAKHEIT</t>
  </si>
  <si>
    <t>ABDELGADIR</t>
  </si>
  <si>
    <t>josh2ku4@gmail.com</t>
  </si>
  <si>
    <t>Mengesha</t>
  </si>
  <si>
    <t>meyeshitella@gmail.com</t>
  </si>
  <si>
    <t>tsegaye</t>
  </si>
  <si>
    <t>Sidelil</t>
  </si>
  <si>
    <t>abdigemula21@gmail.com</t>
  </si>
  <si>
    <t>ABDI</t>
  </si>
  <si>
    <t>YADETA</t>
  </si>
  <si>
    <t>brooklegessebrook@yahoo.com</t>
  </si>
  <si>
    <t>genzebderes@gmail.com</t>
  </si>
  <si>
    <t>Genzeb</t>
  </si>
  <si>
    <t>Deres</t>
  </si>
  <si>
    <t>ismaelshukurela@gmail.com</t>
  </si>
  <si>
    <t>Ismael</t>
  </si>
  <si>
    <t>Shukurela</t>
  </si>
  <si>
    <t>esatsun@gmail.com</t>
  </si>
  <si>
    <t>Adonay</t>
  </si>
  <si>
    <t>admasuergano@wcu.edu.et</t>
  </si>
  <si>
    <t>Domago</t>
  </si>
  <si>
    <t>rekiksiyum12@gmail.com</t>
  </si>
  <si>
    <t>Rekik</t>
  </si>
  <si>
    <t>habtetsh@gmail.com</t>
  </si>
  <si>
    <t>Ariga</t>
  </si>
  <si>
    <t>hayestjob@gmail.com</t>
  </si>
  <si>
    <t>zzekeriyahashimketi@gmail.com</t>
  </si>
  <si>
    <t>ZAKARIYA</t>
  </si>
  <si>
    <t>KETI</t>
  </si>
  <si>
    <t>amanuelt26@gmail.com</t>
  </si>
  <si>
    <t>Tasew</t>
  </si>
  <si>
    <t>honeynebiyou38@gmail.com</t>
  </si>
  <si>
    <t>Honey</t>
  </si>
  <si>
    <t>Nebiyou</t>
  </si>
  <si>
    <t>ashumamay@gmail.com</t>
  </si>
  <si>
    <t>Ashebir</t>
  </si>
  <si>
    <t>Gebiru</t>
  </si>
  <si>
    <t>nugextesema@gmail.com</t>
  </si>
  <si>
    <t>Nuguse</t>
  </si>
  <si>
    <t>Dunga</t>
  </si>
  <si>
    <t>assmamawtizazugebre@gmail.com</t>
  </si>
  <si>
    <t>Tizazu</t>
  </si>
  <si>
    <t>Assmamaw</t>
  </si>
  <si>
    <t>aworkube312@gmail.com</t>
  </si>
  <si>
    <t>yimam8349@gmail.com</t>
  </si>
  <si>
    <t>temesgenageze2013@gmail.com</t>
  </si>
  <si>
    <t>Desale</t>
  </si>
  <si>
    <t>yomifjr@gmail.com</t>
  </si>
  <si>
    <t>Yomif</t>
  </si>
  <si>
    <t>Beyena</t>
  </si>
  <si>
    <t>feyselanwar2244@gmail.com</t>
  </si>
  <si>
    <t>taduna@gmail.com</t>
  </si>
  <si>
    <t>TAYE</t>
  </si>
  <si>
    <t>ARERU</t>
  </si>
  <si>
    <t>amanuel.abebaw.k@gmail.com</t>
  </si>
  <si>
    <t>hanibalgirmay@gmail.com</t>
  </si>
  <si>
    <t>Hanibal</t>
  </si>
  <si>
    <t>dollymeko33@gmail.com</t>
  </si>
  <si>
    <t>Sosiyak</t>
  </si>
  <si>
    <t>abuyassir08@gmail.com</t>
  </si>
  <si>
    <t>Menur</t>
  </si>
  <si>
    <t>ashimekach@outlook.com</t>
  </si>
  <si>
    <t>Non binary</t>
  </si>
  <si>
    <t>addisdesu3@gmail.com</t>
  </si>
  <si>
    <t>Nezhaga</t>
  </si>
  <si>
    <t>kekusegni@gmail.com</t>
  </si>
  <si>
    <t>TUJO</t>
  </si>
  <si>
    <t>kassayeatalele8@gmail.com</t>
  </si>
  <si>
    <t>Kassaye</t>
  </si>
  <si>
    <t>essaadisu@gmail.com</t>
  </si>
  <si>
    <t>Mequanent</t>
  </si>
  <si>
    <t>kd890885@gmail.com</t>
  </si>
  <si>
    <t>Kristina</t>
  </si>
  <si>
    <t>Debesay</t>
  </si>
  <si>
    <t>abaynehalta3@gmail.com</t>
  </si>
  <si>
    <t>endegenikiko@gmail.com</t>
  </si>
  <si>
    <t>Endegena</t>
  </si>
  <si>
    <t>misganamitiku09@gmail.com</t>
  </si>
  <si>
    <t>Misgana</t>
  </si>
  <si>
    <t>Ossa</t>
  </si>
  <si>
    <t>ahmedwalle94@gmail.com</t>
  </si>
  <si>
    <t>gebrelibanoshadushh@gmail.com</t>
  </si>
  <si>
    <t>Mercy</t>
  </si>
  <si>
    <t>Selamu</t>
  </si>
  <si>
    <t>melketsadiktadyos@gmail.com</t>
  </si>
  <si>
    <t>melketsadik</t>
  </si>
  <si>
    <t>tadyos</t>
  </si>
  <si>
    <t>awakenedhelina@gmail.com</t>
  </si>
  <si>
    <t>asefagimbo7k@gmail.com</t>
  </si>
  <si>
    <t>Mekisa</t>
  </si>
  <si>
    <t>nadematesfaye@gmail.com</t>
  </si>
  <si>
    <t>GADISA</t>
  </si>
  <si>
    <t>biruktawitmikiyas4@gmail.com</t>
  </si>
  <si>
    <t>habteshmelkamu0953@gmail.com</t>
  </si>
  <si>
    <t>nehemiahwubu15@gmail.com</t>
  </si>
  <si>
    <t>Nehemiah</t>
  </si>
  <si>
    <t>Aemiro</t>
  </si>
  <si>
    <t>tesfshs19@gmail.com</t>
  </si>
  <si>
    <t>Shtahun</t>
  </si>
  <si>
    <t>goshumezemir28@gmail.com</t>
  </si>
  <si>
    <t>Goshu</t>
  </si>
  <si>
    <t>akbermohammed6968@gmail.com</t>
  </si>
  <si>
    <t>Akber</t>
  </si>
  <si>
    <t>boazyohannes@gmail.com</t>
  </si>
  <si>
    <t>Boaz</t>
  </si>
  <si>
    <t>mahdiabdi45@gmail.com</t>
  </si>
  <si>
    <t>Mahdi Abdi</t>
  </si>
  <si>
    <t>Guled</t>
  </si>
  <si>
    <t>sebnum2013@gmail.com</t>
  </si>
  <si>
    <t>hiwotk2011@gmail.com</t>
  </si>
  <si>
    <t>am3324912@gmail.com</t>
  </si>
  <si>
    <t>Muhamed</t>
  </si>
  <si>
    <t>amorawgondar2127@gmail.com</t>
  </si>
  <si>
    <t>husseinurgessa123@gmail.com</t>
  </si>
  <si>
    <t>biruht42@gmail.com</t>
  </si>
  <si>
    <t>Biruh</t>
  </si>
  <si>
    <t>Tesfa</t>
  </si>
  <si>
    <t>lemiabdeta0712@gmail.com</t>
  </si>
  <si>
    <t>Abdeta</t>
  </si>
  <si>
    <t>workuyeabikal@gmail.com</t>
  </si>
  <si>
    <t>Yeabikal</t>
  </si>
  <si>
    <t>Woyimo</t>
  </si>
  <si>
    <t>amanbirhanu0979@gmail.com</t>
  </si>
  <si>
    <t>naolabebe201@gmail.com</t>
  </si>
  <si>
    <t>Naol Abebe</t>
  </si>
  <si>
    <t>Olani</t>
  </si>
  <si>
    <t>hawlamuhammed1@gmail.com</t>
  </si>
  <si>
    <t>Hawla</t>
  </si>
  <si>
    <t>Ferej</t>
  </si>
  <si>
    <t>michaeltensae300@gmail.com</t>
  </si>
  <si>
    <t>michael</t>
  </si>
  <si>
    <t>tensae</t>
  </si>
  <si>
    <t>addisutsega07@gmail.com</t>
  </si>
  <si>
    <t>hamzaasrar261@gmail.com</t>
  </si>
  <si>
    <t>Sirag</t>
  </si>
  <si>
    <t>brhaneberhe900@gmail.com</t>
  </si>
  <si>
    <t>Tekulu</t>
  </si>
  <si>
    <t>elita3tefa@gmail.com</t>
  </si>
  <si>
    <t>dagmawiyared27@gmail.com</t>
  </si>
  <si>
    <t>isodl303237@gmail.com</t>
  </si>
  <si>
    <t>Isak</t>
  </si>
  <si>
    <t>Abamecha</t>
  </si>
  <si>
    <t>berisamh23@gmail.com</t>
  </si>
  <si>
    <t>Berisa</t>
  </si>
  <si>
    <t>gadisafikadu43@gmail.com</t>
  </si>
  <si>
    <t>Ragasa</t>
  </si>
  <si>
    <t>yosefhaile43@gmail.com</t>
  </si>
  <si>
    <t>Sama</t>
  </si>
  <si>
    <t>ymegistu21@gmail.com</t>
  </si>
  <si>
    <t>Debeb</t>
  </si>
  <si>
    <t>kindu2119@gmail.com</t>
  </si>
  <si>
    <t>Yeshiwas</t>
  </si>
  <si>
    <t>kebemoge2016@gmail.com</t>
  </si>
  <si>
    <t>Mogese</t>
  </si>
  <si>
    <t>yisahakeshetu@gmail.com</t>
  </si>
  <si>
    <t>Yisahak</t>
  </si>
  <si>
    <t>esmaeladem78@gmail.com</t>
  </si>
  <si>
    <t>Esmaeal</t>
  </si>
  <si>
    <t>Demssie</t>
  </si>
  <si>
    <t>asmareadane6@gmail.com</t>
  </si>
  <si>
    <t>ADANE</t>
  </si>
  <si>
    <t>ASMARE</t>
  </si>
  <si>
    <t>teshueni@gmail.com</t>
  </si>
  <si>
    <t>yeabsirafikre23@gmail.com</t>
  </si>
  <si>
    <t>Defache</t>
  </si>
  <si>
    <t>fikadudaniel26@gmail.com</t>
  </si>
  <si>
    <t>natanteklebrhan@gmail.com</t>
  </si>
  <si>
    <t>tigistadane.berhe@gmail.com</t>
  </si>
  <si>
    <t>Tigist</t>
  </si>
  <si>
    <t>mulugetakal123@gmail.com</t>
  </si>
  <si>
    <t>tsegagebisa2340@gmail.com</t>
  </si>
  <si>
    <t>Tsega</t>
  </si>
  <si>
    <t>Beshro</t>
  </si>
  <si>
    <t>mahletkidane7@gmail.com</t>
  </si>
  <si>
    <t>beamlakabera251@gmail.com</t>
  </si>
  <si>
    <t>abel.demissie30@gmail.com</t>
  </si>
  <si>
    <t>alazarkassa06@gmail.com</t>
  </si>
  <si>
    <t>dawit4088@gmail.com</t>
  </si>
  <si>
    <t>sophistar150@gmail.com</t>
  </si>
  <si>
    <t>yabisra</t>
  </si>
  <si>
    <t>fasiltadesse315@gmail.com</t>
  </si>
  <si>
    <t>Zewudu</t>
  </si>
  <si>
    <t>meronberhanu1605@gmail.com</t>
  </si>
  <si>
    <t>Meron Berhanu</t>
  </si>
  <si>
    <t>amisiyasami2025@gmail.com</t>
  </si>
  <si>
    <t>Aboneh</t>
  </si>
  <si>
    <t>Bereda</t>
  </si>
  <si>
    <t>donmormordno@gmail.com</t>
  </si>
  <si>
    <t>BINYAM</t>
  </si>
  <si>
    <t>NIBRET</t>
  </si>
  <si>
    <t>elenigselassie@gmail.com</t>
  </si>
  <si>
    <t>Eleni</t>
  </si>
  <si>
    <t>eyasuesirael12@gmail.com</t>
  </si>
  <si>
    <t>sebleseb063@gmail.com</t>
  </si>
  <si>
    <t>Seblewengel</t>
  </si>
  <si>
    <t>belayhunadefrese4@gmail.com</t>
  </si>
  <si>
    <t>Belayhun</t>
  </si>
  <si>
    <t>Adefrese</t>
  </si>
  <si>
    <t>meklit.t@samanu.com</t>
  </si>
  <si>
    <t>Sahlu</t>
  </si>
  <si>
    <t>ashebir1972@gamil.com</t>
  </si>
  <si>
    <t>Minuye</t>
  </si>
  <si>
    <t>gechogirma540@gmail.com</t>
  </si>
  <si>
    <t>Kibneh</t>
  </si>
  <si>
    <t>edenawitbekele@gmail.com</t>
  </si>
  <si>
    <t>natimelke99@gmail.com</t>
  </si>
  <si>
    <t>Belachew</t>
  </si>
  <si>
    <t>fevenbehailu85@gmail.com</t>
  </si>
  <si>
    <t>Aferu</t>
  </si>
  <si>
    <t>bamlaknem@gmail.com</t>
  </si>
  <si>
    <t>Bantamlak</t>
  </si>
  <si>
    <t>soli02arse0398@gmail.com</t>
  </si>
  <si>
    <t>Arage</t>
  </si>
  <si>
    <t>ruhamaenyew2007@gmail.com</t>
  </si>
  <si>
    <t>Ruhama Enyew</t>
  </si>
  <si>
    <t>Mengiste</t>
  </si>
  <si>
    <t>mamowubayehu@gmail.com</t>
  </si>
  <si>
    <t>Agonafir</t>
  </si>
  <si>
    <t>mercywondu21@gmail.com</t>
  </si>
  <si>
    <t>Wondu</t>
  </si>
  <si>
    <t>abrahamk.1710@gmail.com</t>
  </si>
  <si>
    <t>Korsa</t>
  </si>
  <si>
    <t>hwondale42@gmail.com</t>
  </si>
  <si>
    <t>asma405maw@gmail.com</t>
  </si>
  <si>
    <t>tedda.adane@gmail.com</t>
  </si>
  <si>
    <t>saronbbehailu@gmail.com</t>
  </si>
  <si>
    <t>Saron</t>
  </si>
  <si>
    <t>tolepharma@gmail.com</t>
  </si>
  <si>
    <t>betselotdemirew16@gmail.com</t>
  </si>
  <si>
    <t>Betselot</t>
  </si>
  <si>
    <t>Demerew</t>
  </si>
  <si>
    <t>yeabiteka@gmail.com</t>
  </si>
  <si>
    <t>Wendimtekahu</t>
  </si>
  <si>
    <t>kalasefa101@gmail.com</t>
  </si>
  <si>
    <t>Kalkidan Assefa</t>
  </si>
  <si>
    <t>Gessesse</t>
  </si>
  <si>
    <t>abeltatek17@gmail.com</t>
  </si>
  <si>
    <t>habib114.as@gmail.com</t>
  </si>
  <si>
    <t>Sharif</t>
  </si>
  <si>
    <t>waqo.dj@gmail.com</t>
  </si>
  <si>
    <t>Waqo</t>
  </si>
  <si>
    <t>Jattani</t>
  </si>
  <si>
    <t>brookgetu2@gmail.com</t>
  </si>
  <si>
    <t>kaleabsolomon128@gmail.com</t>
  </si>
  <si>
    <t>raheladisu19@gmail.com</t>
  </si>
  <si>
    <t>abel.demissie35@gmail.com</t>
  </si>
  <si>
    <t>bettytadesse19@gmail.com</t>
  </si>
  <si>
    <t>mikepun23@gmail.com</t>
  </si>
  <si>
    <t>Pun</t>
  </si>
  <si>
    <t>Mekele</t>
  </si>
  <si>
    <t>ephremtora34@gmail.com</t>
  </si>
  <si>
    <t>Tora</t>
  </si>
  <si>
    <t>tjemal440@gmail.com</t>
  </si>
  <si>
    <t>Tofik</t>
  </si>
  <si>
    <t>deborahydemie@gmail.com</t>
  </si>
  <si>
    <t>Demie</t>
  </si>
  <si>
    <t>semsanta95@gmail.com</t>
  </si>
  <si>
    <t>Marta</t>
  </si>
  <si>
    <t>Teweldebrhan</t>
  </si>
  <si>
    <t>umerabdi2018@gmail.com</t>
  </si>
  <si>
    <t>Umer</t>
  </si>
  <si>
    <t>miliongm28@gmail.com</t>
  </si>
  <si>
    <t>Million</t>
  </si>
  <si>
    <t>wondejan7@gmail.com</t>
  </si>
  <si>
    <t>watalabereket319@gmail.com</t>
  </si>
  <si>
    <t>Watala</t>
  </si>
  <si>
    <t>zelalembetelhem7@gmail.com</t>
  </si>
  <si>
    <t>zewdua50@gmail.com</t>
  </si>
  <si>
    <t>abel</t>
  </si>
  <si>
    <t>zewdu</t>
  </si>
  <si>
    <t>betaniyafit@gmail.com</t>
  </si>
  <si>
    <t>Betaniya</t>
  </si>
  <si>
    <t>Areya</t>
  </si>
  <si>
    <t>kidanabayneh@gmail.com</t>
  </si>
  <si>
    <t>Kidan</t>
  </si>
  <si>
    <t>yonatan2wakjira@gmail.com</t>
  </si>
  <si>
    <t>Lemecha</t>
  </si>
  <si>
    <t>ousmanhussein217@gmail.com</t>
  </si>
  <si>
    <t>goitomgt@gmail.com</t>
  </si>
  <si>
    <t>Goitom Tukue</t>
  </si>
  <si>
    <t>Hadugu</t>
  </si>
  <si>
    <t>edom.3e@gmail.com</t>
  </si>
  <si>
    <t>arsemamuligeta@gmail.com</t>
  </si>
  <si>
    <t>sosinask23@gmail.com</t>
  </si>
  <si>
    <t>Kuru</t>
  </si>
  <si>
    <t>amanuelzn25@gmail.com</t>
  </si>
  <si>
    <t>getachewambachew17@gmail.com</t>
  </si>
  <si>
    <t>ambachew</t>
  </si>
  <si>
    <t>konchoriwakodiko5@gmail.com</t>
  </si>
  <si>
    <t>Konchori</t>
  </si>
  <si>
    <t>Diko</t>
  </si>
  <si>
    <t>dr.mami.ali@gmail.com</t>
  </si>
  <si>
    <t>Dr Mohammed</t>
  </si>
  <si>
    <t>Abubaker</t>
  </si>
  <si>
    <t>selymahmd@gmail.com</t>
  </si>
  <si>
    <t>Abdellah</t>
  </si>
  <si>
    <t>tibeshabew@gmail.com</t>
  </si>
  <si>
    <t>Tibebe</t>
  </si>
  <si>
    <t>Sahlemariam</t>
  </si>
  <si>
    <t>imranabdurazak11@gmail.com</t>
  </si>
  <si>
    <t>imran</t>
  </si>
  <si>
    <t>usman</t>
  </si>
  <si>
    <t>Saudi Arabia</t>
  </si>
  <si>
    <t>sagoshu@gmail.com</t>
  </si>
  <si>
    <t>Tsege</t>
  </si>
  <si>
    <t>firomsatesfaye31@gmail.com</t>
  </si>
  <si>
    <t>Firomsa</t>
  </si>
  <si>
    <t>simonberhanu@gmail.com</t>
  </si>
  <si>
    <t>Simon</t>
  </si>
  <si>
    <t>melaku.yab.m@gmail.com</t>
  </si>
  <si>
    <t>yabsira</t>
  </si>
  <si>
    <t>melaku</t>
  </si>
  <si>
    <t>meronhmhs@gmail.com</t>
  </si>
  <si>
    <t>Hailemicael</t>
  </si>
  <si>
    <t>adech.tor@gmail.com</t>
  </si>
  <si>
    <t>Toma</t>
  </si>
  <si>
    <t>bassamnew@gmail.com</t>
  </si>
  <si>
    <t>Bekalu</t>
  </si>
  <si>
    <t>Andargie</t>
  </si>
  <si>
    <t>mekyoh007@gmail.com</t>
  </si>
  <si>
    <t>tamiratbezabih84@gmail.com</t>
  </si>
  <si>
    <t>TAMIRAT</t>
  </si>
  <si>
    <t>GETAHUN</t>
  </si>
  <si>
    <t>lovayteshale08@gmail.com</t>
  </si>
  <si>
    <t>Lubay</t>
  </si>
  <si>
    <t>elsabetteferi96@gmail.com</t>
  </si>
  <si>
    <t>Elsabet</t>
  </si>
  <si>
    <t>workunatnael21@gmail.com</t>
  </si>
  <si>
    <t>gizyof@gmail.com</t>
  </si>
  <si>
    <t>lensadesalegn78@gmail.com</t>
  </si>
  <si>
    <t>Lensa</t>
  </si>
  <si>
    <t>Wakeyo</t>
  </si>
  <si>
    <t>solozewidneh@gmail.com</t>
  </si>
  <si>
    <t>zewidneh</t>
  </si>
  <si>
    <t>chuffa</t>
  </si>
  <si>
    <t>wallesentie@gmail.com</t>
  </si>
  <si>
    <t>Wale Sintie</t>
  </si>
  <si>
    <t>Lake</t>
  </si>
  <si>
    <t>helinaemshaw@gmail.com</t>
  </si>
  <si>
    <t>nathnael.da@yahoo.com</t>
  </si>
  <si>
    <t>Selewondem</t>
  </si>
  <si>
    <t>zackinvestor23@gmail.com</t>
  </si>
  <si>
    <t>Zekarias</t>
  </si>
  <si>
    <t>Woreket</t>
  </si>
  <si>
    <t>selemonmelese024@gmail.com</t>
  </si>
  <si>
    <t>selemon</t>
  </si>
  <si>
    <t>muluneh</t>
  </si>
  <si>
    <t>desalegnlulu@gmail.com</t>
  </si>
  <si>
    <t>Bekedami</t>
  </si>
  <si>
    <t>kbresearch@gmail.com</t>
  </si>
  <si>
    <t>Kibret</t>
  </si>
  <si>
    <t>eliyasmelkamu.d@gmail.com</t>
  </si>
  <si>
    <t>Dugasa</t>
  </si>
  <si>
    <t>eyerusalemdereje123@gmail.com</t>
  </si>
  <si>
    <t>ibnubedewi39@gmail.com</t>
  </si>
  <si>
    <t>Abdirsemed</t>
  </si>
  <si>
    <t>haileeyerusalem238@gmail.com</t>
  </si>
  <si>
    <t>abebawpaulos2@gmail.com</t>
  </si>
  <si>
    <t>mintesnotkebedehanka@gmail.com</t>
  </si>
  <si>
    <t>habtamubedane21.27@gmail.com</t>
  </si>
  <si>
    <t>Zewudie</t>
  </si>
  <si>
    <t>noreasonmesfin26@gmail.com</t>
  </si>
  <si>
    <t>zednig2017@gmail.com</t>
  </si>
  <si>
    <t>Zegeye</t>
  </si>
  <si>
    <t>mihrettedros78@gmail.com</t>
  </si>
  <si>
    <t>Biyazenelegn</t>
  </si>
  <si>
    <t>gashawwolde16@gmail.com</t>
  </si>
  <si>
    <t>wolde</t>
  </si>
  <si>
    <t>yared0abebe07@gmail.com</t>
  </si>
  <si>
    <t>kebromengida@gmail.com</t>
  </si>
  <si>
    <t>kebrom</t>
  </si>
  <si>
    <t>engida</t>
  </si>
  <si>
    <t>bezawitbayou21@gmail.com</t>
  </si>
  <si>
    <t>habtemaryambedane8@gmail.com</t>
  </si>
  <si>
    <t>habtamu</t>
  </si>
  <si>
    <t>zewudie</t>
  </si>
  <si>
    <t>redumona885@gmail.com</t>
  </si>
  <si>
    <t>Redeit</t>
  </si>
  <si>
    <t>Wube</t>
  </si>
  <si>
    <t>yeabsirahailum@gmail.com</t>
  </si>
  <si>
    <t>Yeabsira Hailu</t>
  </si>
  <si>
    <t>Merga</t>
  </si>
  <si>
    <t>aberaeshetu468@gmail.com</t>
  </si>
  <si>
    <t>MOLLA</t>
  </si>
  <si>
    <t>eyodaephrem15@gmail.com</t>
  </si>
  <si>
    <t>Eyoda</t>
  </si>
  <si>
    <t>5101986fin@gmail.com</t>
  </si>
  <si>
    <t>kira.hordofa@gmail.com</t>
  </si>
  <si>
    <t>Kirubel Desta</t>
  </si>
  <si>
    <t>Hordofa</t>
  </si>
  <si>
    <t>yosefsamuel87@gmail.com</t>
  </si>
  <si>
    <t>tesfabera@gmail.com</t>
  </si>
  <si>
    <t>Bokoro</t>
  </si>
  <si>
    <t>chotihakim8@gmail.com</t>
  </si>
  <si>
    <t>Shoti</t>
  </si>
  <si>
    <t>Hakim</t>
  </si>
  <si>
    <t>erkyihun9@gmail.com</t>
  </si>
  <si>
    <t>kefyalewshiferaw53@gmail.com</t>
  </si>
  <si>
    <t>Reta</t>
  </si>
  <si>
    <t>malemayehu24@gmail.com</t>
  </si>
  <si>
    <t>tomtseba@gmail.comt</t>
  </si>
  <si>
    <t>Thomas</t>
  </si>
  <si>
    <t>estifanossetie21@gmail.com</t>
  </si>
  <si>
    <t>Setie</t>
  </si>
  <si>
    <t>haileysuszelalem@gmail.com</t>
  </si>
  <si>
    <t>Hayleysuse</t>
  </si>
  <si>
    <t>Mengstu</t>
  </si>
  <si>
    <t>abaynehcheklie.com@gmail.com</t>
  </si>
  <si>
    <t>Nurie</t>
  </si>
  <si>
    <t>magarsab2012@gmail.com</t>
  </si>
  <si>
    <t>Megersa</t>
  </si>
  <si>
    <t>Buchure</t>
  </si>
  <si>
    <t>useyminzeynu6@gmail.com</t>
  </si>
  <si>
    <t>Useyminzeynugmailcom</t>
  </si>
  <si>
    <t>Kemal</t>
  </si>
  <si>
    <t>selahadinfadilessa@gmail.com</t>
  </si>
  <si>
    <t>Selahadin Fadil</t>
  </si>
  <si>
    <t>Essa</t>
  </si>
  <si>
    <t>digitaleducation1+@gmail.com</t>
  </si>
  <si>
    <t>mustutory@gmail.com</t>
  </si>
  <si>
    <t>Mustefa</t>
  </si>
  <si>
    <t>Muktar</t>
  </si>
  <si>
    <t>teabealze23@gmail.com</t>
  </si>
  <si>
    <t>manmame066@gmail.com</t>
  </si>
  <si>
    <t>tibebut78@gmail.com</t>
  </si>
  <si>
    <t>Tibebu</t>
  </si>
  <si>
    <t>Mulat</t>
  </si>
  <si>
    <t>abeha2005@gmail.com</t>
  </si>
  <si>
    <t>paulosbay27@gmail.com</t>
  </si>
  <si>
    <t>PAULOS</t>
  </si>
  <si>
    <t>ANELEY</t>
  </si>
  <si>
    <t>natnaeldeyas26@gmail.com</t>
  </si>
  <si>
    <t>Deyas</t>
  </si>
  <si>
    <t>gammeelammii2@gmail.com</t>
  </si>
  <si>
    <t>nardosdubale1000@gmail.com</t>
  </si>
  <si>
    <t>Dubale</t>
  </si>
  <si>
    <t>tibebuayantu@gmail.com</t>
  </si>
  <si>
    <t>terefefiraol423@gmail.com</t>
  </si>
  <si>
    <t>abrhamyeabkal@gmail.com</t>
  </si>
  <si>
    <t>Yeabkal</t>
  </si>
  <si>
    <t>haymiaberham87@gmail.com</t>
  </si>
  <si>
    <t>mahletseyoumamerga@gmail.com</t>
  </si>
  <si>
    <t>jobkebede47@gmail.com</t>
  </si>
  <si>
    <t>issrafilmussa@gmail.com</t>
  </si>
  <si>
    <t>issrafil</t>
  </si>
  <si>
    <t>yibekalkassahun21@gmail.com</t>
  </si>
  <si>
    <t>Yibekal</t>
  </si>
  <si>
    <t>itan93natnael@gmail.com</t>
  </si>
  <si>
    <t>bentibultu@gmail.com</t>
  </si>
  <si>
    <t>Bultu</t>
  </si>
  <si>
    <t>epheratashenkute@gmail.com</t>
  </si>
  <si>
    <t>Epherata</t>
  </si>
  <si>
    <t>Shenkute</t>
  </si>
  <si>
    <t>nabiltobiasalemumadebo@gmail.com</t>
  </si>
  <si>
    <t>Nabiltobias</t>
  </si>
  <si>
    <t>helinatesfaye21@gmail.com</t>
  </si>
  <si>
    <t>nahomdires@gmail.com</t>
  </si>
  <si>
    <t>tadesesime988@gmail.com</t>
  </si>
  <si>
    <t>SIME</t>
  </si>
  <si>
    <t>DENU</t>
  </si>
  <si>
    <t>gudetahakebas@gmail.com</t>
  </si>
  <si>
    <t>Hakebas</t>
  </si>
  <si>
    <t>fayyisaahasan8@gmail.com</t>
  </si>
  <si>
    <t>Fayyisaa</t>
  </si>
  <si>
    <t>Hasan</t>
  </si>
  <si>
    <t>olanakenea25@gmail.com</t>
  </si>
  <si>
    <t>Olana</t>
  </si>
  <si>
    <t>Kenea</t>
  </si>
  <si>
    <t>abdisa.bedane@astu.edu.et</t>
  </si>
  <si>
    <t>Shuko</t>
  </si>
  <si>
    <t>danielabera2082@gmail.com</t>
  </si>
  <si>
    <t>bhdaric@gmail.com</t>
  </si>
  <si>
    <t>Hardelo</t>
  </si>
  <si>
    <t>zednig2023@gmail.com</t>
  </si>
  <si>
    <t>dawitisrael799@gmail.com</t>
  </si>
  <si>
    <t>Taresa</t>
  </si>
  <si>
    <t>musahabib2019@gmail.com</t>
  </si>
  <si>
    <t>MUSA</t>
  </si>
  <si>
    <t>FERDIYO</t>
  </si>
  <si>
    <t>firaoltesfahun7@gmail.com</t>
  </si>
  <si>
    <t>melakumehary7@gmail.com</t>
  </si>
  <si>
    <t>Sewunet</t>
  </si>
  <si>
    <t>behailumisganaw7@gmail.com</t>
  </si>
  <si>
    <t>BEHAILU</t>
  </si>
  <si>
    <t>ZENEBE</t>
  </si>
  <si>
    <t>filera311@gmail.com</t>
  </si>
  <si>
    <t>Filera</t>
  </si>
  <si>
    <t>Tafara</t>
  </si>
  <si>
    <t>fasikanets24@gmail.com</t>
  </si>
  <si>
    <t>wubwagaalemayehu@gmail.com</t>
  </si>
  <si>
    <t>Wubwaga</t>
  </si>
  <si>
    <t>Wondabeku</t>
  </si>
  <si>
    <t>saba.leulk@gmail.com</t>
  </si>
  <si>
    <t>Saba Leul</t>
  </si>
  <si>
    <t>Kahsay</t>
  </si>
  <si>
    <t>yordanoshaylemaryam1@gmail.com</t>
  </si>
  <si>
    <t>esubalewaragaw19@gmail.com</t>
  </si>
  <si>
    <t>yohaneshafa@gmail.com</t>
  </si>
  <si>
    <t>Hafa</t>
  </si>
  <si>
    <t>almazgide95@gmail.com</t>
  </si>
  <si>
    <t>bamequa@gmail.com</t>
  </si>
  <si>
    <t>wondwesenseifu659@gmail.com</t>
  </si>
  <si>
    <t>Wondwesen</t>
  </si>
  <si>
    <t>Shailu</t>
  </si>
  <si>
    <t>mukettseheyu@gmail.com</t>
  </si>
  <si>
    <t>Muket</t>
  </si>
  <si>
    <t>Tseheyu</t>
  </si>
  <si>
    <t>mikitesfaye781@gmail.com</t>
  </si>
  <si>
    <t>birukgetaneh37@gmail.com</t>
  </si>
  <si>
    <t>ebisa4753@gmail.com</t>
  </si>
  <si>
    <t>Maka</t>
  </si>
  <si>
    <t>bizuneh07@gmail.com</t>
  </si>
  <si>
    <t>Bizuneh</t>
  </si>
  <si>
    <t>abebemengist22@gmail.com</t>
  </si>
  <si>
    <t>addisutsehayd@gmail.com</t>
  </si>
  <si>
    <t>ADDISU</t>
  </si>
  <si>
    <t>TSEHAY</t>
  </si>
  <si>
    <t>ezedinmohammedzizu@gmail.com</t>
  </si>
  <si>
    <t>Abdosh</t>
  </si>
  <si>
    <t>eshetugezahegn37@gmail.com</t>
  </si>
  <si>
    <t>Shahebo</t>
  </si>
  <si>
    <t>eyosias643@gmail.com</t>
  </si>
  <si>
    <t>EYOSIYAS</t>
  </si>
  <si>
    <t>Dawed</t>
  </si>
  <si>
    <t>nahomtekie125@gmail.com</t>
  </si>
  <si>
    <t>tekie</t>
  </si>
  <si>
    <t>surafelmekonen70@gmail.com</t>
  </si>
  <si>
    <t>tesfayebirhanu326@gmail.com</t>
  </si>
  <si>
    <t>haileshiferaw26@gmail.com</t>
  </si>
  <si>
    <t>tadesse</t>
  </si>
  <si>
    <t>birhanuabdii7@gmail.com</t>
  </si>
  <si>
    <t>tamirugetachew20@gmail.com</t>
  </si>
  <si>
    <t>Gazan</t>
  </si>
  <si>
    <t>tagel2011@gmail.com</t>
  </si>
  <si>
    <t>Taggle</t>
  </si>
  <si>
    <t>WOLDMICHEAL</t>
  </si>
  <si>
    <t>yosefdaniel4@gmail.com</t>
  </si>
  <si>
    <t>wondimnehbethelihem@gmail.com</t>
  </si>
  <si>
    <t>Bethelihem</t>
  </si>
  <si>
    <t>Wondimneh</t>
  </si>
  <si>
    <t>ah0979075074@gmail.com</t>
  </si>
  <si>
    <t>s1649514@gmail.com</t>
  </si>
  <si>
    <t>Fikru</t>
  </si>
  <si>
    <t>helenamihertab1@gmail.com</t>
  </si>
  <si>
    <t>Helena</t>
  </si>
  <si>
    <t>fevente91@gmail.com</t>
  </si>
  <si>
    <t>mikimiko304@gmail.com</t>
  </si>
  <si>
    <t>nahomdskjn@gmail.com</t>
  </si>
  <si>
    <t>shimels</t>
  </si>
  <si>
    <t>ermiasbirhanebabi@gmail.com</t>
  </si>
  <si>
    <t>sifenmesfin10@gmail.com</t>
  </si>
  <si>
    <t>kirs212709@gmail.com</t>
  </si>
  <si>
    <t>Kirsnesh</t>
  </si>
  <si>
    <t>zewdieworkneh1942@gmail.com</t>
  </si>
  <si>
    <t>nahombossnahom@gmail.com</t>
  </si>
  <si>
    <t>kgirmay2015@gmail.com</t>
  </si>
  <si>
    <t>Gebreamlak</t>
  </si>
  <si>
    <t>eyobgetachew161921@gmail.com</t>
  </si>
  <si>
    <t>getnetalemneh00@gmail.com</t>
  </si>
  <si>
    <t>abebechane71@gmail.com</t>
  </si>
  <si>
    <t>Yalew</t>
  </si>
  <si>
    <t>amensisagizachew1@gmail.com</t>
  </si>
  <si>
    <t>Amensisa</t>
  </si>
  <si>
    <t>Tesema</t>
  </si>
  <si>
    <t>habtuashagrie85@gmail.com</t>
  </si>
  <si>
    <t>Habtu</t>
  </si>
  <si>
    <t>Ashagrie</t>
  </si>
  <si>
    <t>getnetdaniel3@gmail.com</t>
  </si>
  <si>
    <t>Merd</t>
  </si>
  <si>
    <t>yoftahegetachew6@gmail.com</t>
  </si>
  <si>
    <t>Mokuriya</t>
  </si>
  <si>
    <t>ruthhani93@gmail.com</t>
  </si>
  <si>
    <t>lisanm201024@gmail.com</t>
  </si>
  <si>
    <t>Mola</t>
  </si>
  <si>
    <t>bereketadugna3@gmail.com</t>
  </si>
  <si>
    <t>musasalih892@gmail.com</t>
  </si>
  <si>
    <t>salih</t>
  </si>
  <si>
    <t>masreshashumye6@gmail.con</t>
  </si>
  <si>
    <t>amanuelyemane826@gmail.com</t>
  </si>
  <si>
    <t>abraham212912@gmail.com</t>
  </si>
  <si>
    <t>ABRAHAM</t>
  </si>
  <si>
    <t>GUDINA</t>
  </si>
  <si>
    <t>gechtesfaye980@gmail.com</t>
  </si>
  <si>
    <t>Getaadanew</t>
  </si>
  <si>
    <t>hanielgutema@gmail.com</t>
  </si>
  <si>
    <t>Ware</t>
  </si>
  <si>
    <t>babadaddy864@gmail.com</t>
  </si>
  <si>
    <t>Baba</t>
  </si>
  <si>
    <t>Daddy</t>
  </si>
  <si>
    <t>goldyalew17@gmail.com</t>
  </si>
  <si>
    <t>cnew2604@gmail.com</t>
  </si>
  <si>
    <t>Wagari</t>
  </si>
  <si>
    <t>henakanon15@gmail.com</t>
  </si>
  <si>
    <t>demisseabiti7@gmail.com</t>
  </si>
  <si>
    <t>Demisse</t>
  </si>
  <si>
    <t>devax.sol@gmail.com</t>
  </si>
  <si>
    <t>hermelahermi67@gmail.com</t>
  </si>
  <si>
    <t>Tesfahunegn</t>
  </si>
  <si>
    <t>gechadamu607@gmail.com</t>
  </si>
  <si>
    <t>Shega</t>
  </si>
  <si>
    <t>mulunehaynalem21@gmail.com</t>
  </si>
  <si>
    <t>chalafufa@gmail.com</t>
  </si>
  <si>
    <t>Fufa</t>
  </si>
  <si>
    <t>techanes39@gmail.com</t>
  </si>
  <si>
    <t>Techane</t>
  </si>
  <si>
    <t>tsenardi0@gmail.com</t>
  </si>
  <si>
    <t>haylemariamabneh@gmail.com</t>
  </si>
  <si>
    <t>Haylemariam</t>
  </si>
  <si>
    <t>tsegaab04@gmail.com</t>
  </si>
  <si>
    <t>Zeyede</t>
  </si>
  <si>
    <t>richmanjoshua09@gmail.com</t>
  </si>
  <si>
    <t>Soromo</t>
  </si>
  <si>
    <t>anegaw27@gmail.com</t>
  </si>
  <si>
    <t>Anegaw</t>
  </si>
  <si>
    <t>Sisay Tesfaye</t>
  </si>
  <si>
    <t>seidadem32@gmail.com</t>
  </si>
  <si>
    <t>furgasamelese@yahoo.com</t>
  </si>
  <si>
    <t>Dhaba</t>
  </si>
  <si>
    <t>kkaradayi394@gmail.com</t>
  </si>
  <si>
    <t>yared4061@gmail.com</t>
  </si>
  <si>
    <t>yared</t>
  </si>
  <si>
    <t>dereje</t>
  </si>
  <si>
    <t>soloasefa6603@gmail.com</t>
  </si>
  <si>
    <t>mami.mickey@gmail.com</t>
  </si>
  <si>
    <t>Milkias</t>
  </si>
  <si>
    <t>adanadinka.ade1@gmail.com</t>
  </si>
  <si>
    <t>Adana</t>
  </si>
  <si>
    <t>lalisadereje2@gmail.com</t>
  </si>
  <si>
    <t>Lalisa</t>
  </si>
  <si>
    <t>ketitemesgen2@gmail.com</t>
  </si>
  <si>
    <t>Koket</t>
  </si>
  <si>
    <t>Neme</t>
  </si>
  <si>
    <t>addisada810@gmail.com</t>
  </si>
  <si>
    <t>Adune</t>
  </si>
  <si>
    <t>ermiasalemayehu512@gmail.com</t>
  </si>
  <si>
    <t>Alemayehu Beriso</t>
  </si>
  <si>
    <t>dejendemeke57@gmail.com</t>
  </si>
  <si>
    <t>Tibiti</t>
  </si>
  <si>
    <t>beekancmg0393@gmail.com</t>
  </si>
  <si>
    <t>Bakana</t>
  </si>
  <si>
    <t>inaya357@protonmail.com</t>
  </si>
  <si>
    <t>hnktefera@gmail.com</t>
  </si>
  <si>
    <t>helinakindu@gmail.com</t>
  </si>
  <si>
    <t>Kindu</t>
  </si>
  <si>
    <t>tsiyonalamirew@gmail.com</t>
  </si>
  <si>
    <t>Tsiyon</t>
  </si>
  <si>
    <t>bezewolassa@gmail.com</t>
  </si>
  <si>
    <t>Bezahegn</t>
  </si>
  <si>
    <t>Bua</t>
  </si>
  <si>
    <t>bikilahika41@gmail.com</t>
  </si>
  <si>
    <t>Burayu</t>
  </si>
  <si>
    <t>kiduyasi@gmail.com</t>
  </si>
  <si>
    <t>Yeamlack</t>
  </si>
  <si>
    <t>michielghirmay@gmail.com</t>
  </si>
  <si>
    <t>Michiel</t>
  </si>
  <si>
    <t>natanaba8@gmail.com</t>
  </si>
  <si>
    <t>22kall222@gmail.com</t>
  </si>
  <si>
    <t>bementendazenew@gmail.com</t>
  </si>
  <si>
    <t>Bement</t>
  </si>
  <si>
    <t>Endazenew</t>
  </si>
  <si>
    <t>fasika.girma@mmc-edu.net</t>
  </si>
  <si>
    <t>yonastadesse159@gmail.com</t>
  </si>
  <si>
    <t>amaniabdu2017@gmail.com</t>
  </si>
  <si>
    <t>Amani</t>
  </si>
  <si>
    <t>muradamin186@gmail.com</t>
  </si>
  <si>
    <t>Murad</t>
  </si>
  <si>
    <t>Imer</t>
  </si>
  <si>
    <t>amdecourse@gmail.com</t>
  </si>
  <si>
    <t>Amdebirhan</t>
  </si>
  <si>
    <t>miatips2121@gmail.com</t>
  </si>
  <si>
    <t>Abeynur</t>
  </si>
  <si>
    <t>kotaaabeytt@gmail.com</t>
  </si>
  <si>
    <t>Fetawake</t>
  </si>
  <si>
    <t>adisumeles00@gmail.com</t>
  </si>
  <si>
    <t>adisu</t>
  </si>
  <si>
    <t>meles</t>
  </si>
  <si>
    <t>yosephalemayehu1.0@gmail.com</t>
  </si>
  <si>
    <t>dagmawiletarik@gmail.com</t>
  </si>
  <si>
    <t>dagmawi</t>
  </si>
  <si>
    <t>letarik</t>
  </si>
  <si>
    <t>natnaelbet@gmail.com</t>
  </si>
  <si>
    <t>NATNAEL</t>
  </si>
  <si>
    <t>girmabekele25@gmail.com</t>
  </si>
  <si>
    <t>Girma Bekele</t>
  </si>
  <si>
    <t>Demo</t>
  </si>
  <si>
    <t>ntmulugeta@gmail.com</t>
  </si>
  <si>
    <t>gebrekirstos</t>
  </si>
  <si>
    <t>wwoldisha@gmail.com</t>
  </si>
  <si>
    <t>Woldetensay</t>
  </si>
  <si>
    <t>Woldie</t>
  </si>
  <si>
    <t>birukwoldemariam2024@gmail.com</t>
  </si>
  <si>
    <t>eyakemf@gmail.com</t>
  </si>
  <si>
    <t>Eyakem</t>
  </si>
  <si>
    <t>Tegegen</t>
  </si>
  <si>
    <t>rikeabiy@gmail.com</t>
  </si>
  <si>
    <t>Rike</t>
  </si>
  <si>
    <t>terefeephrem8@gmail.com</t>
  </si>
  <si>
    <t>seshetu31@gmail.com</t>
  </si>
  <si>
    <t>melksh29@gmail.com</t>
  </si>
  <si>
    <t>MELKAMU</t>
  </si>
  <si>
    <t>SIMEGN</t>
  </si>
  <si>
    <t>yosefaddisu777@gmail.com</t>
  </si>
  <si>
    <t>Oljira</t>
  </si>
  <si>
    <t>wuditlema@gmail.com</t>
  </si>
  <si>
    <t>Widnew</t>
  </si>
  <si>
    <t>milaatghebru@gmail.com</t>
  </si>
  <si>
    <t>Milaat</t>
  </si>
  <si>
    <t>Ghebru</t>
  </si>
  <si>
    <t>mandebeshah@gmail.com</t>
  </si>
  <si>
    <t>abelzeleke5173@gmail.com</t>
  </si>
  <si>
    <t>beimnetdesalegn20@gmail.com</t>
  </si>
  <si>
    <t>Beimnet</t>
  </si>
  <si>
    <t>Fitawek</t>
  </si>
  <si>
    <t>tadekaldas1992@gmail.com</t>
  </si>
  <si>
    <t>Tadele</t>
  </si>
  <si>
    <t>Menaso</t>
  </si>
  <si>
    <t>mykomilkiyas@gmail.com</t>
  </si>
  <si>
    <t>Milkiyas</t>
  </si>
  <si>
    <t>Myko</t>
  </si>
  <si>
    <t>aye2011was@gmail.com</t>
  </si>
  <si>
    <t>Ayenew Washelegne</t>
  </si>
  <si>
    <t>mntsnt.career@gmail.com</t>
  </si>
  <si>
    <t>MINTESNOT</t>
  </si>
  <si>
    <t>DESTA</t>
  </si>
  <si>
    <t>engdasewmisgan2119@gmail.com</t>
  </si>
  <si>
    <t>Engdasew</t>
  </si>
  <si>
    <t>kidusbizuneh4@proton.me</t>
  </si>
  <si>
    <t>tayeabebekassie@gmail.com</t>
  </si>
  <si>
    <t>betelhemzerihun10@gmail.com</t>
  </si>
  <si>
    <t>betsegawmedan@gmail.com</t>
  </si>
  <si>
    <t>BETSEGAW</t>
  </si>
  <si>
    <t>ZULA</t>
  </si>
  <si>
    <t>miesahassen7@gmail.com</t>
  </si>
  <si>
    <t>Miesa</t>
  </si>
  <si>
    <t>Tekari</t>
  </si>
  <si>
    <t>biruksew2@gmail.com</t>
  </si>
  <si>
    <t>Beruk</t>
  </si>
  <si>
    <t>Asheber</t>
  </si>
  <si>
    <t>fenan.woldegebriel@gmail.com</t>
  </si>
  <si>
    <t>Fenan</t>
  </si>
  <si>
    <t>elroekassu@gmail.com</t>
  </si>
  <si>
    <t>Elroe</t>
  </si>
  <si>
    <t>Kassu</t>
  </si>
  <si>
    <t>fikeabej12@gmail.com</t>
  </si>
  <si>
    <t>tekabalod@gmail.com</t>
  </si>
  <si>
    <t>Tekalgn</t>
  </si>
  <si>
    <t>Lodiso</t>
  </si>
  <si>
    <t>halefom.yohannes@gmail.com</t>
  </si>
  <si>
    <t>Halefom</t>
  </si>
  <si>
    <t>desalegnetana0@gmail.com</t>
  </si>
  <si>
    <t>Jirata</t>
  </si>
  <si>
    <t>yelibsewkunu@outlook.com</t>
  </si>
  <si>
    <t>Yelibsew</t>
  </si>
  <si>
    <t>Abula</t>
  </si>
  <si>
    <t>kbresearch2022@gmail.com</t>
  </si>
  <si>
    <t>tirusewcheru@gmail.com</t>
  </si>
  <si>
    <t>Tirusew Ayenew</t>
  </si>
  <si>
    <t>tamenes21@gmail.com</t>
  </si>
  <si>
    <t>Gelaye</t>
  </si>
  <si>
    <t>tekleabalemayehu251@gmail.com</t>
  </si>
  <si>
    <t>Tekleab</t>
  </si>
  <si>
    <t>abel.tesf2112@gmail.com</t>
  </si>
  <si>
    <t>brobera22@gmail.com</t>
  </si>
  <si>
    <t>Robera</t>
  </si>
  <si>
    <t>temesgendirbaba@gmail.com</t>
  </si>
  <si>
    <t>Wayesa</t>
  </si>
  <si>
    <t>getahuntalaku@gmail.com</t>
  </si>
  <si>
    <t>Talaku</t>
  </si>
  <si>
    <t>henokgirmateshome@gmail.com</t>
  </si>
  <si>
    <t>abayamare59@gmail.com</t>
  </si>
  <si>
    <t>michaeltegegn1@gmail.com</t>
  </si>
  <si>
    <t>yalemhana@gmail.com</t>
  </si>
  <si>
    <t>mulukenadugnaw030@gmail.com</t>
  </si>
  <si>
    <t>Adugnaw</t>
  </si>
  <si>
    <t>tesami315@gmail.com</t>
  </si>
  <si>
    <t>tolasatulu2015@gmail.com</t>
  </si>
  <si>
    <t>Tolosa</t>
  </si>
  <si>
    <t>Bedad</t>
  </si>
  <si>
    <t>mikiyasmulualem76@gmail.com</t>
  </si>
  <si>
    <t>MIKIYAS</t>
  </si>
  <si>
    <t>MULUALEM</t>
  </si>
  <si>
    <t>tessamuel91@gmail.com</t>
  </si>
  <si>
    <t>awolmuhye4@gmail.com</t>
  </si>
  <si>
    <t>Awol</t>
  </si>
  <si>
    <t>htesfaye641@gmail.com</t>
  </si>
  <si>
    <t>Kebeda</t>
  </si>
  <si>
    <t>damefekede11@gmail.com</t>
  </si>
  <si>
    <t>Dame</t>
  </si>
  <si>
    <t>Tasisa</t>
  </si>
  <si>
    <t>nhattyalemu39@gmail.com</t>
  </si>
  <si>
    <t>woldiekassie78@gmail.com</t>
  </si>
  <si>
    <t>bekerju@gmail.com</t>
  </si>
  <si>
    <t>Abubeker</t>
  </si>
  <si>
    <t>Sherifo</t>
  </si>
  <si>
    <t>wuletedi1100@gmail.com</t>
  </si>
  <si>
    <t>Wuletaw</t>
  </si>
  <si>
    <t>yenus@addistransformer.com</t>
  </si>
  <si>
    <t>Yenus</t>
  </si>
  <si>
    <t>Heramo</t>
  </si>
  <si>
    <t>kalidfuad2@gmail.com</t>
  </si>
  <si>
    <t>Kalid</t>
  </si>
  <si>
    <t>kumish1000@gmail.com</t>
  </si>
  <si>
    <t>Kumaa</t>
  </si>
  <si>
    <t>Tikure</t>
  </si>
  <si>
    <t>habteyohannes41@gmail.com</t>
  </si>
  <si>
    <t>binipeter52@gmail.com</t>
  </si>
  <si>
    <t>Mirkeno</t>
  </si>
  <si>
    <t>golobinzapata@gmail.com</t>
  </si>
  <si>
    <t>Semun</t>
  </si>
  <si>
    <t>Lebeta</t>
  </si>
  <si>
    <t>basazin3@gmail.com</t>
  </si>
  <si>
    <t>medhanyehaftamu2@gmail.com</t>
  </si>
  <si>
    <t>Medhanye</t>
  </si>
  <si>
    <t>sisayshimelash@gmail.com</t>
  </si>
  <si>
    <t>Fentaw</t>
  </si>
  <si>
    <t>kaleb.dereje@aastustudent.edu.et</t>
  </si>
  <si>
    <t>yasinawol923@gmail.com</t>
  </si>
  <si>
    <t>YASIN</t>
  </si>
  <si>
    <t>abebehanna511@gmail.com</t>
  </si>
  <si>
    <t>Hanna</t>
  </si>
  <si>
    <t>Habte</t>
  </si>
  <si>
    <t>samuraga44@gmail.com</t>
  </si>
  <si>
    <t>Nado</t>
  </si>
  <si>
    <t>kadirhamza148@gmail.com</t>
  </si>
  <si>
    <t>Hamu</t>
  </si>
  <si>
    <t>yaregalmengistu@gmail.com</t>
  </si>
  <si>
    <t>mastewalgiza@gmail.com</t>
  </si>
  <si>
    <t>Mastewal</t>
  </si>
  <si>
    <t>Amera</t>
  </si>
  <si>
    <t>chalagetachew30@gmail.com</t>
  </si>
  <si>
    <t>getkennyo@gmail.com</t>
  </si>
  <si>
    <t>Kenesa</t>
  </si>
  <si>
    <t>Bedasa</t>
  </si>
  <si>
    <t>hailemariamzeleke21@gmail.com</t>
  </si>
  <si>
    <t>yohannesbereket929@gmail.com</t>
  </si>
  <si>
    <t>safayiareri@gmail.com</t>
  </si>
  <si>
    <t>Safayi</t>
  </si>
  <si>
    <t>Gumi</t>
  </si>
  <si>
    <t>yosefterfa03@gmail.com</t>
  </si>
  <si>
    <t>Terfa</t>
  </si>
  <si>
    <t>admneguw@gmail.com</t>
  </si>
  <si>
    <t>kitesasekata13@gmail.com</t>
  </si>
  <si>
    <t>KITESA</t>
  </si>
  <si>
    <t>KENEA</t>
  </si>
  <si>
    <t>zeamanuel09@gmail.com</t>
  </si>
  <si>
    <t>jackpot.3910@gmail.com</t>
  </si>
  <si>
    <t>Misgina</t>
  </si>
  <si>
    <t>paulosabebaw2@gmail.com</t>
  </si>
  <si>
    <t>paulos</t>
  </si>
  <si>
    <t>tagayalemu5@gmail.com</t>
  </si>
  <si>
    <t>Tagay</t>
  </si>
  <si>
    <t>Alati</t>
  </si>
  <si>
    <t>bekialtae12@gmail.com</t>
  </si>
  <si>
    <t>ASHANGO</t>
  </si>
  <si>
    <t>datakiltie@gmail.com</t>
  </si>
  <si>
    <t>biruksolomon2013@gmail.com</t>
  </si>
  <si>
    <t>yasinhasen9562@gmail.com</t>
  </si>
  <si>
    <t>yeabsirakifle0@gmail.com</t>
  </si>
  <si>
    <t>YEABSIRA</t>
  </si>
  <si>
    <t>SISAY</t>
  </si>
  <si>
    <t>admasu681@gmail.com</t>
  </si>
  <si>
    <t>tekalignyehualawork14@gmail.com</t>
  </si>
  <si>
    <t>Gebresilassie</t>
  </si>
  <si>
    <t>hamuda496@gmail.com</t>
  </si>
  <si>
    <t>mamehussu963@gmail.com</t>
  </si>
  <si>
    <t>biyanaga2484@gmail.com</t>
  </si>
  <si>
    <t>Biyensa</t>
  </si>
  <si>
    <t>Negera</t>
  </si>
  <si>
    <t>mkadire2017@gmail.com</t>
  </si>
  <si>
    <t>Muhammednur</t>
  </si>
  <si>
    <t>Qadire</t>
  </si>
  <si>
    <t>melkamu.chaki@gmail.com</t>
  </si>
  <si>
    <t>Chagasha</t>
  </si>
  <si>
    <t>nebiyuesays77@gmail.com</t>
  </si>
  <si>
    <t>Nebiyu</t>
  </si>
  <si>
    <t>esubalewkunta59@gmail.com</t>
  </si>
  <si>
    <t>Awash</t>
  </si>
  <si>
    <t>abrhamabel19@gmail.com</t>
  </si>
  <si>
    <t>worktalk2022@gmail.com</t>
  </si>
  <si>
    <t>berisotadege8@gmail.com</t>
  </si>
  <si>
    <t>Beriso</t>
  </si>
  <si>
    <t>Tadege</t>
  </si>
  <si>
    <t>kaleabtariku96@gmail.com</t>
  </si>
  <si>
    <t>tariku</t>
  </si>
  <si>
    <t>abeltibbeshana@gmail.com</t>
  </si>
  <si>
    <t>Abelti</t>
  </si>
  <si>
    <t>Beshana</t>
  </si>
  <si>
    <t>yasin38389545@gmail.com</t>
  </si>
  <si>
    <t>kalukassahun29@gmail.com</t>
  </si>
  <si>
    <t>sacademic342@gmail.com</t>
  </si>
  <si>
    <t>b35mdem@gmail.com</t>
  </si>
  <si>
    <t>Beneyam</t>
  </si>
  <si>
    <t>Demessie</t>
  </si>
  <si>
    <t>betelehempetros77@gmail.com</t>
  </si>
  <si>
    <t>Betelehem</t>
  </si>
  <si>
    <t>Petros</t>
  </si>
  <si>
    <t>jemaladnan@gmail.com</t>
  </si>
  <si>
    <t>adnan</t>
  </si>
  <si>
    <t>xwt950idvwj@yahoo.com</t>
  </si>
  <si>
    <t>Waza</t>
  </si>
  <si>
    <t>kalebayele2001@gmail.com</t>
  </si>
  <si>
    <t>eyoramm@gmail.com</t>
  </si>
  <si>
    <t>Eyoram</t>
  </si>
  <si>
    <t>Lefebo</t>
  </si>
  <si>
    <t>abiyasefa4@gmail.com</t>
  </si>
  <si>
    <t>Dangeso</t>
  </si>
  <si>
    <t>he498ok@gmail.com</t>
  </si>
  <si>
    <t>HENOK</t>
  </si>
  <si>
    <t>yeterayeneta@gmail.com</t>
  </si>
  <si>
    <t>Yeneta</t>
  </si>
  <si>
    <t>Maraso</t>
  </si>
  <si>
    <t>bendalew672@gmail.com</t>
  </si>
  <si>
    <t>Endalew</t>
  </si>
  <si>
    <t>Tulashala</t>
  </si>
  <si>
    <t>abdulahendris12@gmail.com</t>
  </si>
  <si>
    <t>Abdulah</t>
  </si>
  <si>
    <t>bentisileshi2000@gmail.com</t>
  </si>
  <si>
    <t>Banti</t>
  </si>
  <si>
    <t>Sileshi</t>
  </si>
  <si>
    <t>azenekebede068@gmail.com</t>
  </si>
  <si>
    <t>Azene</t>
  </si>
  <si>
    <t>abduahmedbushira2013@gmail.com</t>
  </si>
  <si>
    <t>Bushira</t>
  </si>
  <si>
    <t>samif3443@gmail.com</t>
  </si>
  <si>
    <t>abelatilaw4@gmail.com</t>
  </si>
  <si>
    <t>Atilaw</t>
  </si>
  <si>
    <t>haileteferifanuel@gmail.com</t>
  </si>
  <si>
    <t>semhalestif02@gmail.com</t>
  </si>
  <si>
    <t>Semhal</t>
  </si>
  <si>
    <t>wakodame8@gmail.com</t>
  </si>
  <si>
    <t>Wakgari</t>
  </si>
  <si>
    <t>abinetgiza@gmail.com</t>
  </si>
  <si>
    <t>Abinet</t>
  </si>
  <si>
    <t>kirubel9597@gmail.com</t>
  </si>
  <si>
    <t>dagmawittsebelu2112@gmail.com</t>
  </si>
  <si>
    <t>eibrahimbelayneh2398@gmail.com</t>
  </si>
  <si>
    <t>Eibrahim</t>
  </si>
  <si>
    <t>henokhm2@gmail.com</t>
  </si>
  <si>
    <t>rahelassefa120@gmail.com</t>
  </si>
  <si>
    <t>yidedyanigussie@gmail.com</t>
  </si>
  <si>
    <t>yidedya</t>
  </si>
  <si>
    <t>philimonkidu@gmail.com</t>
  </si>
  <si>
    <t>Fili</t>
  </si>
  <si>
    <t>Seye</t>
  </si>
  <si>
    <t>ruhamaber@gmail.com</t>
  </si>
  <si>
    <t>Tegicho</t>
  </si>
  <si>
    <t>betelhemmulugeta85@gmail.com</t>
  </si>
  <si>
    <t>berihunaddisu9@gmail.com</t>
  </si>
  <si>
    <t>Ademe</t>
  </si>
  <si>
    <t>tsionalemu286@gmail.com</t>
  </si>
  <si>
    <t>abduselamosama@gmail.com</t>
  </si>
  <si>
    <t>Osama Mohammed</t>
  </si>
  <si>
    <t>abdiabdisa2023@gmail.com</t>
  </si>
  <si>
    <t>Meka</t>
  </si>
  <si>
    <t>andrwej53@gmail.com</t>
  </si>
  <si>
    <t>PENIEL</t>
  </si>
  <si>
    <t>YIRBA</t>
  </si>
  <si>
    <t>hiluabel18@gmail.com</t>
  </si>
  <si>
    <t>Hilena</t>
  </si>
  <si>
    <t>meralex3939@gmail.com</t>
  </si>
  <si>
    <t>Meraol</t>
  </si>
  <si>
    <t>abdumehammed@gmail.com</t>
  </si>
  <si>
    <t>Abdulhamid</t>
  </si>
  <si>
    <t>solomontemesgen491@gmail.com</t>
  </si>
  <si>
    <t>amare.alex26@gmail.com</t>
  </si>
  <si>
    <t>esubalewmengistu7@gmail.com</t>
  </si>
  <si>
    <t>getanib1978@gmail.com</t>
  </si>
  <si>
    <t>Getasew</t>
  </si>
  <si>
    <t>Yirdew</t>
  </si>
  <si>
    <t>michaelgirma754@gmail.com</t>
  </si>
  <si>
    <t>ashenafitesfayetegene@gmail.com</t>
  </si>
  <si>
    <t>Tegene</t>
  </si>
  <si>
    <t>biniyamtadesse4444@gmail.com</t>
  </si>
  <si>
    <t>ruthalexbaya@gmail.com</t>
  </si>
  <si>
    <t>dawimela@gmail.com</t>
  </si>
  <si>
    <t>abebe21nigus@gmail.com</t>
  </si>
  <si>
    <t>Tafere</t>
  </si>
  <si>
    <t>leulymamo@gmail.com</t>
  </si>
  <si>
    <t>leul</t>
  </si>
  <si>
    <t>endalkzemen9@gmail.com</t>
  </si>
  <si>
    <t>Endalkachew</t>
  </si>
  <si>
    <t>Buayalew</t>
  </si>
  <si>
    <t>yosefalemse@gmail.com</t>
  </si>
  <si>
    <t>asayemekete747@gmail.com</t>
  </si>
  <si>
    <t>yyona0061@gmail.com</t>
  </si>
  <si>
    <t>Yona</t>
  </si>
  <si>
    <t>cherenetse@gmail.com</t>
  </si>
  <si>
    <t>Cherenet</t>
  </si>
  <si>
    <t>jarsokane221@gmail.com</t>
  </si>
  <si>
    <t>Jarso</t>
  </si>
  <si>
    <t>Kane</t>
  </si>
  <si>
    <t>kirubelgrace@gmail.com</t>
  </si>
  <si>
    <t>czareyu7@gmail.com</t>
  </si>
  <si>
    <t>smfysa@gmail.com</t>
  </si>
  <si>
    <t>bereketkideye@gmail.com</t>
  </si>
  <si>
    <t>Amha</t>
  </si>
  <si>
    <t>phanimu33@gmail.com</t>
  </si>
  <si>
    <t>yisakora@gmail.com</t>
  </si>
  <si>
    <t>Yisakor</t>
  </si>
  <si>
    <t>yeabyerufael13@gmail.com</t>
  </si>
  <si>
    <t>yordanoshaylemaryam22@gmail.com</t>
  </si>
  <si>
    <t>dhabte79@gmail.com</t>
  </si>
  <si>
    <t>Dibaba</t>
  </si>
  <si>
    <t>segayija366@gmail.com</t>
  </si>
  <si>
    <t>bezawitmichael99@gmail.com</t>
  </si>
  <si>
    <t>hawiterefe539@gmail.com</t>
  </si>
  <si>
    <t>Hawi</t>
  </si>
  <si>
    <t>franolgeleta5@gmail.com</t>
  </si>
  <si>
    <t>franol</t>
  </si>
  <si>
    <t>andomkidu@gmail.com</t>
  </si>
  <si>
    <t>Andom</t>
  </si>
  <si>
    <t>Dagnew</t>
  </si>
  <si>
    <t>wegeneargow@gmail.com</t>
  </si>
  <si>
    <t>Wegene</t>
  </si>
  <si>
    <t>temesgenbahlbi12@gmail.com</t>
  </si>
  <si>
    <t>temesgen</t>
  </si>
  <si>
    <t>bahlbi</t>
  </si>
  <si>
    <t>kalabtesfaye2112@gmail.com</t>
  </si>
  <si>
    <t>hubgeb@gmail.com</t>
  </si>
  <si>
    <t>andu.import@gmail.com</t>
  </si>
  <si>
    <t>Andualem</t>
  </si>
  <si>
    <t>abeladdise2119@gmail.com</t>
  </si>
  <si>
    <t>Addise</t>
  </si>
  <si>
    <t>abaynehabenezer5@gmail.com</t>
  </si>
  <si>
    <t>adoniatem@gmail.com</t>
  </si>
  <si>
    <t>Adonias</t>
  </si>
  <si>
    <t>jocdangebre@gmail.com</t>
  </si>
  <si>
    <t>sisayyeamlack@gmail.com</t>
  </si>
  <si>
    <t>fendebu@gmail.com</t>
  </si>
  <si>
    <t>Endebu</t>
  </si>
  <si>
    <t>yonasyirga349@gmail.com</t>
  </si>
  <si>
    <t>Yirga</t>
  </si>
  <si>
    <t>yeabsirayitayeh@gmail.com</t>
  </si>
  <si>
    <t>Yeabsira Yitayeh</t>
  </si>
  <si>
    <t>dawitmelkamu2019@gmail.com</t>
  </si>
  <si>
    <t>Yaregal</t>
  </si>
  <si>
    <t>chalachew49@gmail.com</t>
  </si>
  <si>
    <t>CHALACHEW</t>
  </si>
  <si>
    <t>AYELE</t>
  </si>
  <si>
    <t>ngdrg9636@gmail.com</t>
  </si>
  <si>
    <t>Negede</t>
  </si>
  <si>
    <t>naticode.378@gmail.com</t>
  </si>
  <si>
    <t>bekelewakjira@gmail.com</t>
  </si>
  <si>
    <t>Tufa</t>
  </si>
  <si>
    <t>kalkidanzelalem75@gmail.com</t>
  </si>
  <si>
    <t>kalabtesfaye25@gmail.com</t>
  </si>
  <si>
    <t>kalab</t>
  </si>
  <si>
    <t>fuadfafituma@gmail.com</t>
  </si>
  <si>
    <t>bisratemariam1@gmail.com</t>
  </si>
  <si>
    <t>Bisratemariam</t>
  </si>
  <si>
    <t>Gebrehiwot</t>
  </si>
  <si>
    <t>mikiyasgizachew385@gmail.com</t>
  </si>
  <si>
    <t>meskeremtariku43@gmail.com</t>
  </si>
  <si>
    <t>Urege</t>
  </si>
  <si>
    <t>anileyeskeziaw@gmail.com</t>
  </si>
  <si>
    <t>Eskeziaw</t>
  </si>
  <si>
    <t>Aniley</t>
  </si>
  <si>
    <t>alemuderseh06@gmail.com</t>
  </si>
  <si>
    <t>Adnew</t>
  </si>
  <si>
    <t>natnaelnegussie4@gmail.com</t>
  </si>
  <si>
    <t>Natnael Negussie</t>
  </si>
  <si>
    <t>terefeabraham6@gmail.com</t>
  </si>
  <si>
    <t>misterwond1122@gmail.com</t>
  </si>
  <si>
    <t>Mister</t>
  </si>
  <si>
    <t>Wondwosen</t>
  </si>
  <si>
    <t>imirubanti2014@gmail.com</t>
  </si>
  <si>
    <t>Imiru</t>
  </si>
  <si>
    <t>abdisaibrahim143@gmail.com</t>
  </si>
  <si>
    <t>Ahmad</t>
  </si>
  <si>
    <t>abeltariku43@gmail.com</t>
  </si>
  <si>
    <t>Able</t>
  </si>
  <si>
    <t>Urge</t>
  </si>
  <si>
    <t>arupop0203@gmail.com</t>
  </si>
  <si>
    <t>Aron</t>
  </si>
  <si>
    <t>Gesesew</t>
  </si>
  <si>
    <t>asmarestu12@gmail.com</t>
  </si>
  <si>
    <t>Asmare</t>
  </si>
  <si>
    <t>asmareaau@gmail.com</t>
  </si>
  <si>
    <t>Hibistu</t>
  </si>
  <si>
    <t>nathinaboch@gmail.com</t>
  </si>
  <si>
    <t>nathina</t>
  </si>
  <si>
    <t>boch</t>
  </si>
  <si>
    <t>gelilaweb@gmail.com</t>
  </si>
  <si>
    <t>Werotaw</t>
  </si>
  <si>
    <t>kakuwakisrael@gmail.com</t>
  </si>
  <si>
    <t>Kakuwak</t>
  </si>
  <si>
    <t>injifanotu@gmail.com</t>
  </si>
  <si>
    <t>Enjifano Tamiru</t>
  </si>
  <si>
    <t>sifengetachew550@gmail.com</t>
  </si>
  <si>
    <t>teshomegebeyehu446@gmail.com</t>
  </si>
  <si>
    <t>Yimer</t>
  </si>
  <si>
    <t>robelzeradawit23@gmail.com</t>
  </si>
  <si>
    <t>Zeradawit</t>
  </si>
  <si>
    <t>eyob.gsr-8491-17@aau.edu.et</t>
  </si>
  <si>
    <t>princesamuelosei@gmail.com</t>
  </si>
  <si>
    <t>Prince Samuel</t>
  </si>
  <si>
    <t>Osei</t>
  </si>
  <si>
    <t>mollaandebet80@gmail.com</t>
  </si>
  <si>
    <t>Andebet</t>
  </si>
  <si>
    <t>contactnardos@gmail.com</t>
  </si>
  <si>
    <t>tesfaye.ngatu123@gmail.com</t>
  </si>
  <si>
    <t>Derbe</t>
  </si>
  <si>
    <t>merrytberhanu@gmail.com</t>
  </si>
  <si>
    <t>mseidebrahim1@gmail.com</t>
  </si>
  <si>
    <t>kibretyilak2005@gmail.com</t>
  </si>
  <si>
    <t>hermelagirma069@gmail.com</t>
  </si>
  <si>
    <t>melakufetene00@gmail.com</t>
  </si>
  <si>
    <t>yohanskindie472@gmail.com</t>
  </si>
  <si>
    <t>Yohans</t>
  </si>
  <si>
    <t>Ayaliew</t>
  </si>
  <si>
    <t>analytics.eyasu@gmail.com</t>
  </si>
  <si>
    <t>datascience.eyasu@gmail.com</t>
  </si>
  <si>
    <t>nejatseid842@gmail.com</t>
  </si>
  <si>
    <t>Nejat</t>
  </si>
  <si>
    <t>ahmeden</t>
  </si>
  <si>
    <t>samuelsakata4@gmail.com</t>
  </si>
  <si>
    <t>SAKATA</t>
  </si>
  <si>
    <t>abebebesobela08@gmail.com</t>
  </si>
  <si>
    <t>bekele</t>
  </si>
  <si>
    <t>sekina1k1@gmail.com</t>
  </si>
  <si>
    <t>Sekina</t>
  </si>
  <si>
    <t>Asma</t>
  </si>
  <si>
    <t>mulukenbimrew@gmail.com</t>
  </si>
  <si>
    <t>alexsdesta007@gmail.com</t>
  </si>
  <si>
    <t>Abiyo</t>
  </si>
  <si>
    <t>danbekalu1221@gmail.com</t>
  </si>
  <si>
    <t>Mulatie</t>
  </si>
  <si>
    <t>Nigusie</t>
  </si>
  <si>
    <t>jorgetamrat3751@gmail.com</t>
  </si>
  <si>
    <t>Jorge</t>
  </si>
  <si>
    <t>Fanta</t>
  </si>
  <si>
    <t>hlinaalemu366@gmail.com</t>
  </si>
  <si>
    <t>ridwanabdu95@gmail.com</t>
  </si>
  <si>
    <t>ridwan</t>
  </si>
  <si>
    <t>abdu</t>
  </si>
  <si>
    <t>solomonmesfin579@gmail.com</t>
  </si>
  <si>
    <t>anasimossolomon7@gmail.com</t>
  </si>
  <si>
    <t>Anasimos</t>
  </si>
  <si>
    <t>metiassefa4@gmail.com</t>
  </si>
  <si>
    <t>dawitasnakew333@gmail.com</t>
  </si>
  <si>
    <t>kalkidanbehailu677@gmail.com</t>
  </si>
  <si>
    <t>dev.yabe12@gmail.com</t>
  </si>
  <si>
    <t>behailu</t>
  </si>
  <si>
    <t>edengossafele@gmail.com</t>
  </si>
  <si>
    <t>Gossa</t>
  </si>
  <si>
    <t>muzeyen3239@gmail.com</t>
  </si>
  <si>
    <t>Muzeyen</t>
  </si>
  <si>
    <t>Geleto</t>
  </si>
  <si>
    <t>lenchosuleman589@gmail.com</t>
  </si>
  <si>
    <t>Lencho</t>
  </si>
  <si>
    <t>Suleman</t>
  </si>
  <si>
    <t>awashhusen98@gmail.com</t>
  </si>
  <si>
    <t>Gediyye</t>
  </si>
  <si>
    <t>tomasendriyas1921@gmail.com</t>
  </si>
  <si>
    <t>Tomas</t>
  </si>
  <si>
    <t>aliyasin5568@gmail.com</t>
  </si>
  <si>
    <t>bereketabdesalegn7@gmail.com</t>
  </si>
  <si>
    <t>Bereketab</t>
  </si>
  <si>
    <t>Desalegn Kuma</t>
  </si>
  <si>
    <t>hanihuncho@gmail.com</t>
  </si>
  <si>
    <t>Hani</t>
  </si>
  <si>
    <t>Huncho</t>
  </si>
  <si>
    <t>edeoyusuf2@gmail.com</t>
  </si>
  <si>
    <t>Edeo</t>
  </si>
  <si>
    <t>morisamri529@gmail.com</t>
  </si>
  <si>
    <t>ASMERA</t>
  </si>
  <si>
    <t>BAYE</t>
  </si>
  <si>
    <t>eagledemies@gmail.com</t>
  </si>
  <si>
    <t>kidanegenetu33@gmail.com</t>
  </si>
  <si>
    <t>Kidanemariam</t>
  </si>
  <si>
    <t>Assmare</t>
  </si>
  <si>
    <t>mebrihitaraya70@gmail.com</t>
  </si>
  <si>
    <t>mebrihit</t>
  </si>
  <si>
    <t>araya</t>
  </si>
  <si>
    <t>tesfishgebrewold@gmail.com</t>
  </si>
  <si>
    <t>GWold</t>
  </si>
  <si>
    <t>abalab335@gmail.com</t>
  </si>
  <si>
    <t>ABDULMEJID</t>
  </si>
  <si>
    <t>ABDULFETTAH</t>
  </si>
  <si>
    <t>dunalotadesse@gmail.com</t>
  </si>
  <si>
    <t>Dunalo</t>
  </si>
  <si>
    <t>Hebote</t>
  </si>
  <si>
    <t>nigusmov16@gmail.com</t>
  </si>
  <si>
    <t>akotet2123@gmail.com</t>
  </si>
  <si>
    <t>abdidamtew265@gmail.com</t>
  </si>
  <si>
    <t>Bezu</t>
  </si>
  <si>
    <t>gebretsadikk19@gmail.com</t>
  </si>
  <si>
    <t>Yehuala</t>
  </si>
  <si>
    <t>agmasie89@gmail.com</t>
  </si>
  <si>
    <t>Agmasie</t>
  </si>
  <si>
    <t>Walle</t>
  </si>
  <si>
    <t>kindu.kumilign629@gmail.com</t>
  </si>
  <si>
    <t>Kumilign</t>
  </si>
  <si>
    <t>imranaddis8@gmail.com</t>
  </si>
  <si>
    <t>esmaeladem98@gmail.com</t>
  </si>
  <si>
    <t>Esmael</t>
  </si>
  <si>
    <t>ADEM</t>
  </si>
  <si>
    <t>khalidsani3535@gmail.com</t>
  </si>
  <si>
    <t>Ibro</t>
  </si>
  <si>
    <t>hayatahmed667@gmail.com</t>
  </si>
  <si>
    <t>messaymoges16@gmail.com</t>
  </si>
  <si>
    <t>messay</t>
  </si>
  <si>
    <t>Dechassa</t>
  </si>
  <si>
    <t>khalidabdulahmed@gmail.com</t>
  </si>
  <si>
    <t>isakdelil@gmail.com</t>
  </si>
  <si>
    <t>bilisaayale20@gmail.com</t>
  </si>
  <si>
    <t>bilisa</t>
  </si>
  <si>
    <t>siyoum</t>
  </si>
  <si>
    <t>getumolla88@gmail.com</t>
  </si>
  <si>
    <t>Tezera</t>
  </si>
  <si>
    <t>gechacha2721@gmail.com</t>
  </si>
  <si>
    <t>Gedefaw</t>
  </si>
  <si>
    <t>mameshifera75@gmail.com</t>
  </si>
  <si>
    <t>Mame</t>
  </si>
  <si>
    <t>Emana</t>
  </si>
  <si>
    <t>tenaanatoli0@gmail.com</t>
  </si>
  <si>
    <t>Anatoli</t>
  </si>
  <si>
    <t>Tena</t>
  </si>
  <si>
    <t>henokmeseret50@gmail.com</t>
  </si>
  <si>
    <t>lealemtelay351@gmail.com</t>
  </si>
  <si>
    <t>Telay</t>
  </si>
  <si>
    <t>fetsebekiiat@gmail.com</t>
  </si>
  <si>
    <t>Fetsum</t>
  </si>
  <si>
    <t>fikirseyoum084@gmail.com</t>
  </si>
  <si>
    <t>useyminzeynu@gmail.com</t>
  </si>
  <si>
    <t>Useymin</t>
  </si>
  <si>
    <t>elhamazher53@gmail.com</t>
  </si>
  <si>
    <t>Elham</t>
  </si>
  <si>
    <t>Azher</t>
  </si>
  <si>
    <t>davetips13@gmail.com</t>
  </si>
  <si>
    <t>samuelabebea380@gmail.com</t>
  </si>
  <si>
    <t>mussiekalayutekle@gmail.com</t>
  </si>
  <si>
    <t>Musie</t>
  </si>
  <si>
    <t>Teklehaymanot</t>
  </si>
  <si>
    <t>genenesisay4@gmail.com</t>
  </si>
  <si>
    <t>GENENE</t>
  </si>
  <si>
    <t>TOLA</t>
  </si>
  <si>
    <t>ztefera10@gmail.com</t>
  </si>
  <si>
    <t>degukefalec@gmail.com</t>
  </si>
  <si>
    <t>eyobadgeh5@gmail.com</t>
  </si>
  <si>
    <t>Gedfew</t>
  </si>
  <si>
    <t>yonas9433@gmail.com</t>
  </si>
  <si>
    <t>alsadirebrahim100@gmail.com</t>
  </si>
  <si>
    <t>Alsadir</t>
  </si>
  <si>
    <t>kemriahussein@gmail.com</t>
  </si>
  <si>
    <t>Ferhan</t>
  </si>
  <si>
    <t>Tibesso</t>
  </si>
  <si>
    <t>yonasgirma1045@gmail.com</t>
  </si>
  <si>
    <t>girma</t>
  </si>
  <si>
    <t>tewodros.setargew@gmail.com</t>
  </si>
  <si>
    <t>Birle</t>
  </si>
  <si>
    <t>ybeabsira@gmail.com</t>
  </si>
  <si>
    <t>Beabsira</t>
  </si>
  <si>
    <t>Yenezer</t>
  </si>
  <si>
    <t>yeabsirazerihun75@gmail.com</t>
  </si>
  <si>
    <t>aregawiwelyergs@gmail.com</t>
  </si>
  <si>
    <t>Aregawi</t>
  </si>
  <si>
    <t>Welyergs</t>
  </si>
  <si>
    <t>danielalayushewaye@gmail.com</t>
  </si>
  <si>
    <t>Shewaye</t>
  </si>
  <si>
    <t>fasilshambel@gmail.com</t>
  </si>
  <si>
    <t>Dr Fasil</t>
  </si>
  <si>
    <t>Shambel</t>
  </si>
  <si>
    <t>negestatf@gmail.com</t>
  </si>
  <si>
    <t>Kone</t>
  </si>
  <si>
    <t>dukemam80@gmail.com</t>
  </si>
  <si>
    <t>teyiba.aman-ug@aau.edu.et</t>
  </si>
  <si>
    <t>Teyiba</t>
  </si>
  <si>
    <t>Kojila</t>
  </si>
  <si>
    <t>kiikmare7@gmail.com</t>
  </si>
  <si>
    <t>kidus</t>
  </si>
  <si>
    <t>amanuel</t>
  </si>
  <si>
    <t>mekhluqat@gmail.com</t>
  </si>
  <si>
    <t>Mekhluqat</t>
  </si>
  <si>
    <t>Abdulwehab</t>
  </si>
  <si>
    <t>yshifferaw@gmail.com</t>
  </si>
  <si>
    <t>Shifferaw</t>
  </si>
  <si>
    <t>elshadiegirma@gmail.com</t>
  </si>
  <si>
    <t>Elshadi</t>
  </si>
  <si>
    <t>michaelalemtsehay@gmail.com</t>
  </si>
  <si>
    <t>Alemtsehay</t>
  </si>
  <si>
    <t>tumebodesalegn104@gmail.com</t>
  </si>
  <si>
    <t>DESALEGN</t>
  </si>
  <si>
    <t>TUMEBO MASEBO</t>
  </si>
  <si>
    <t>tsena2583@gmail.com</t>
  </si>
  <si>
    <t>sena</t>
  </si>
  <si>
    <t>mreabje145@gmail.com</t>
  </si>
  <si>
    <t>samishoidire2@gmail.com</t>
  </si>
  <si>
    <t>IDANE</t>
  </si>
  <si>
    <t>IMALO</t>
  </si>
  <si>
    <t>yohanaking2021@gmail.com</t>
  </si>
  <si>
    <t>Yohana</t>
  </si>
  <si>
    <t>destabereket20@gmail.com</t>
  </si>
  <si>
    <t>natinew9@gmail.com</t>
  </si>
  <si>
    <t>Nathanael</t>
  </si>
  <si>
    <t>Fenta</t>
  </si>
  <si>
    <t>abelatesh171@gmail.com</t>
  </si>
  <si>
    <t>Abiel Teshome</t>
  </si>
  <si>
    <t>Kefale</t>
  </si>
  <si>
    <t>tibebuhabte21@gmail.com</t>
  </si>
  <si>
    <t>parveensalih33@gmail.com</t>
  </si>
  <si>
    <t>Parveen</t>
  </si>
  <si>
    <t>kaliaklilu@gmail.com</t>
  </si>
  <si>
    <t>ermias0966836444@gmail.com</t>
  </si>
  <si>
    <t>ERMIAS</t>
  </si>
  <si>
    <t>mekuria</t>
  </si>
  <si>
    <t>kotemesgen2@gmail.com</t>
  </si>
  <si>
    <t>koket</t>
  </si>
  <si>
    <t>mikotilahun104@gmail.com</t>
  </si>
  <si>
    <t>Mikias</t>
  </si>
  <si>
    <t>endeshad@gmail.com</t>
  </si>
  <si>
    <t>tedoaba@gmail.com</t>
  </si>
  <si>
    <t>Tadesse Abateneh</t>
  </si>
  <si>
    <t>amanuellulie@gmail.com</t>
  </si>
  <si>
    <t>Wassie</t>
  </si>
  <si>
    <t>mifman345@gmail.com</t>
  </si>
  <si>
    <t>mifta</t>
  </si>
  <si>
    <t>mihretbizuayehu777@gmail.com</t>
  </si>
  <si>
    <t>Bizuayehu</t>
  </si>
  <si>
    <t>minatannsk@gmail.com</t>
  </si>
  <si>
    <t>natanim</t>
  </si>
  <si>
    <t>tsiyebalcha@gmail.com</t>
  </si>
  <si>
    <t>Balcha</t>
  </si>
  <si>
    <t>wossensaba@gmail.com</t>
  </si>
  <si>
    <t>Saba</t>
  </si>
  <si>
    <t>kalhaile094155@gmail.com</t>
  </si>
  <si>
    <t>Kaleab Hailemariam</t>
  </si>
  <si>
    <t>sof.swt@gmail.com</t>
  </si>
  <si>
    <t>Kedirkan</t>
  </si>
  <si>
    <t>legesse2002@gmail.com</t>
  </si>
  <si>
    <t>habtamuwhm@gmail.com</t>
  </si>
  <si>
    <t>Woldeamanuel</t>
  </si>
  <si>
    <t>williammacademy@gmail.com</t>
  </si>
  <si>
    <t>William</t>
  </si>
  <si>
    <t>Tesfay</t>
  </si>
  <si>
    <t>natnaelateklay@gmail.com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</si>
  <si>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</si>
  <si>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</si>
  <si>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</si>
  <si>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</si>
  <si>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</si>
  <si>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</si>
  <si>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</si>
  <si>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</si>
  <si>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</si>
  <si>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</si>
  <si>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</si>
  <si>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</si>
  <si>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</si>
  <si>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</si>
  <si>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</si>
  <si>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</si>
  <si>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</si>
  <si>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</si>
  <si>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Data Analytics</t>
  </si>
  <si>
    <t>Wrong Person</t>
  </si>
  <si>
    <t>Wrong Number</t>
  </si>
  <si>
    <t>Reached</t>
  </si>
  <si>
    <t>NO</t>
  </si>
  <si>
    <t>Not interested anymore</t>
  </si>
  <si>
    <t>Not interested at the moment</t>
  </si>
  <si>
    <t>Won't Attend</t>
  </si>
  <si>
    <t>Not Interested</t>
  </si>
  <si>
    <t>busy sceduled</t>
  </si>
  <si>
    <t xml:space="preserve">he needs inperson </t>
  </si>
  <si>
    <t>Aready Finished</t>
  </si>
  <si>
    <t>Done</t>
  </si>
  <si>
    <t>Already Finished</t>
  </si>
  <si>
    <t>she already started the class</t>
  </si>
  <si>
    <t>This Week</t>
  </si>
  <si>
    <t>In person</t>
  </si>
  <si>
    <t>Friday</t>
  </si>
  <si>
    <t>They Will Finish</t>
  </si>
  <si>
    <t>he will come tommorow to hub</t>
  </si>
  <si>
    <t>YES</t>
  </si>
  <si>
    <t>she know the process</t>
  </si>
  <si>
    <t xml:space="preserve">Immediately </t>
  </si>
  <si>
    <t>Phone call</t>
  </si>
  <si>
    <t>Today</t>
  </si>
  <si>
    <t>done</t>
  </si>
  <si>
    <t>someone picked her phone</t>
  </si>
  <si>
    <t>They will pass the messagee</t>
  </si>
  <si>
    <t>he is not sure</t>
  </si>
  <si>
    <t>Not sure</t>
  </si>
  <si>
    <t>he is in taxi</t>
  </si>
  <si>
    <t>Unable to Talk</t>
  </si>
  <si>
    <t>he will call back</t>
  </si>
  <si>
    <t>not sure</t>
  </si>
  <si>
    <t>Can't Afford</t>
  </si>
  <si>
    <t>unable to talk</t>
  </si>
  <si>
    <t>he may call back</t>
  </si>
  <si>
    <t>he is at work</t>
  </si>
  <si>
    <t>Later Today</t>
  </si>
  <si>
    <t>she is at  work</t>
  </si>
  <si>
    <t>she is at work</t>
  </si>
  <si>
    <t>he needs to be sure</t>
  </si>
  <si>
    <t>she knows the process</t>
  </si>
  <si>
    <t>he already finished the course</t>
  </si>
  <si>
    <t xml:space="preserve">he is at work </t>
  </si>
  <si>
    <t>Wanted Other Cource</t>
  </si>
  <si>
    <t>Phone Not Working</t>
  </si>
  <si>
    <t>Not Picking Up</t>
  </si>
  <si>
    <t xml:space="preserve">Busy </t>
  </si>
  <si>
    <t xml:space="preserve">not sure yet </t>
  </si>
  <si>
    <t xml:space="preserve">forgot about it </t>
  </si>
  <si>
    <t xml:space="preserve">he is busy </t>
  </si>
  <si>
    <t xml:space="preserve">she is in the library </t>
  </si>
  <si>
    <t xml:space="preserve">Not interested </t>
  </si>
  <si>
    <t xml:space="preserve">can't afford </t>
  </si>
  <si>
    <t xml:space="preserve">not interested </t>
  </si>
  <si>
    <t xml:space="preserve">very busy </t>
  </si>
  <si>
    <t>can't afford</t>
  </si>
  <si>
    <t xml:space="preserve">thought it was free </t>
  </si>
  <si>
    <t xml:space="preserve">she is busy </t>
  </si>
  <si>
    <t xml:space="preserve">she has no connection </t>
  </si>
  <si>
    <t>Haemnen</t>
  </si>
  <si>
    <t xml:space="preserve">busy </t>
  </si>
  <si>
    <t xml:space="preserve">forget about it </t>
  </si>
  <si>
    <t>will apply</t>
  </si>
  <si>
    <t xml:space="preserve">nothing </t>
  </si>
  <si>
    <t>nothing</t>
  </si>
  <si>
    <t>no interent access</t>
  </si>
  <si>
    <t xml:space="preserve">age limit </t>
  </si>
  <si>
    <t>not intrested</t>
  </si>
  <si>
    <t>not intersted</t>
  </si>
  <si>
    <t xml:space="preserve">unable to talk </t>
  </si>
  <si>
    <t>not  intersted</t>
  </si>
  <si>
    <t>sales force</t>
  </si>
  <si>
    <t>Nati</t>
  </si>
  <si>
    <t>Data Science</t>
  </si>
  <si>
    <t>Not interested</t>
  </si>
  <si>
    <t>Too busy schedule</t>
  </si>
  <si>
    <t>Busy</t>
  </si>
  <si>
    <t>Wednesday</t>
  </si>
  <si>
    <t>Email confirmation</t>
  </si>
  <si>
    <t>Enrolled with another email</t>
  </si>
  <si>
    <t>Family Issue</t>
  </si>
  <si>
    <t>Internet access</t>
  </si>
  <si>
    <t>Can't afford</t>
  </si>
  <si>
    <t>Applied with another email</t>
  </si>
  <si>
    <t>Not in a comfortable situation</t>
  </si>
  <si>
    <t>Applied by mistake</t>
  </si>
  <si>
    <t>Will join the next cohort</t>
  </si>
  <si>
    <t>Wants to come in person</t>
  </si>
  <si>
    <t>Enrolled</t>
  </si>
  <si>
    <t>Enrolled may cohort</t>
  </si>
  <si>
    <t>Knows the process</t>
  </si>
  <si>
    <t>Personal reason and will apply for the next cohort</t>
  </si>
  <si>
    <t>Not in a comofortable situation</t>
  </si>
  <si>
    <t xml:space="preserve">Personal reason </t>
  </si>
  <si>
    <t>Tepi</t>
  </si>
  <si>
    <t>Faroe Islands</t>
  </si>
  <si>
    <t>Ghana</t>
  </si>
  <si>
    <t>South Sudan</t>
  </si>
  <si>
    <t>Mojo</t>
  </si>
  <si>
    <t>Gambela</t>
  </si>
  <si>
    <t>Hawassa</t>
  </si>
  <si>
    <t xml:space="preserve">he's very busy </t>
  </si>
  <si>
    <t>Tsedenia</t>
  </si>
  <si>
    <t xml:space="preserve">he's not sure </t>
  </si>
  <si>
    <t xml:space="preserve">no wifi connection </t>
  </si>
  <si>
    <t>he's at the road</t>
  </si>
  <si>
    <t>he's in taxi</t>
  </si>
  <si>
    <t>he's busy</t>
  </si>
  <si>
    <t xml:space="preserve">he's at work </t>
  </si>
  <si>
    <t>he's not at comfortable place</t>
  </si>
  <si>
    <t>he's not sure</t>
  </si>
  <si>
    <t xml:space="preserve">he's busy </t>
  </si>
  <si>
    <t xml:space="preserve">hes busy </t>
  </si>
  <si>
    <t>he's not comfortable place</t>
  </si>
  <si>
    <t xml:space="preserve">he's  busy </t>
  </si>
  <si>
    <t>someone has already talked with him</t>
  </si>
  <si>
    <t xml:space="preserve">she's in library </t>
  </si>
  <si>
    <t>enrolled</t>
  </si>
  <si>
    <t>Other</t>
  </si>
  <si>
    <t>has enorlled by another email</t>
  </si>
  <si>
    <t xml:space="preserve">no internet </t>
  </si>
  <si>
    <t xml:space="preserve">he forgot about it </t>
  </si>
  <si>
    <t xml:space="preserve">he's not at comfortable place </t>
  </si>
  <si>
    <t>not sure if he wants to continue the course</t>
  </si>
  <si>
    <t>no internet connection</t>
  </si>
  <si>
    <t>he's very busy</t>
  </si>
  <si>
    <t>she's not sure</t>
  </si>
  <si>
    <t xml:space="preserve">she's very busy </t>
  </si>
  <si>
    <t>she's taking another course</t>
  </si>
  <si>
    <t>not interested</t>
  </si>
  <si>
    <t>thought it was free</t>
  </si>
  <si>
    <t>Girumsew</t>
  </si>
  <si>
    <t>Back-end</t>
  </si>
  <si>
    <t xml:space="preserve">alredy finnshed the class </t>
  </si>
  <si>
    <t>is taking the cours now</t>
  </si>
  <si>
    <t xml:space="preserve">no pc </t>
  </si>
  <si>
    <t xml:space="preserve">next week </t>
  </si>
  <si>
    <t xml:space="preserve">he applied by mistake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</si>
</sst>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407051.0</v>
      </c>
      <c r="B2" s="1" t="s">
        <v>15</v>
      </c>
      <c r="C2" s="1" t="b">
        <v>1</v>
      </c>
      <c r="D2" s="1" t="b">
        <v>1</v>
      </c>
      <c r="E2" s="1" t="s">
        <v>16</v>
      </c>
      <c r="F2" s="1" t="s">
        <v>17</v>
      </c>
      <c r="G2" s="2">
        <f>+251946751152</f>
        <v>251946751152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20.99</v>
      </c>
      <c r="M2" s="1" t="s">
        <v>21</v>
      </c>
      <c r="O2" s="1">
        <v>9244361.0</v>
      </c>
    </row>
    <row r="3">
      <c r="A3" s="1">
        <v>2643454.0</v>
      </c>
      <c r="B3" s="1" t="s">
        <v>22</v>
      </c>
      <c r="C3" s="1" t="b">
        <v>1</v>
      </c>
      <c r="D3" s="1" t="b">
        <v>1</v>
      </c>
      <c r="E3" s="1" t="s">
        <v>23</v>
      </c>
      <c r="F3" s="1" t="s">
        <v>24</v>
      </c>
      <c r="G3" s="2">
        <f>+251932086173</f>
        <v>251932086173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30.19</v>
      </c>
      <c r="M3" s="1" t="s">
        <v>26</v>
      </c>
      <c r="O3" s="1">
        <v>2.3466687E7</v>
      </c>
    </row>
    <row r="4">
      <c r="A4" s="1">
        <v>1753225.0</v>
      </c>
      <c r="B4" s="1" t="s">
        <v>27</v>
      </c>
      <c r="C4" s="1" t="b">
        <v>1</v>
      </c>
      <c r="D4" s="1" t="b">
        <v>1</v>
      </c>
      <c r="E4" s="1" t="s">
        <v>28</v>
      </c>
      <c r="F4" s="1" t="s">
        <v>29</v>
      </c>
      <c r="G4" s="1">
        <v>9.77773818E8</v>
      </c>
      <c r="H4" s="1" t="s">
        <v>18</v>
      </c>
      <c r="I4" s="1" t="s">
        <v>19</v>
      </c>
      <c r="J4" s="1" t="s">
        <v>19</v>
      </c>
      <c r="K4" s="1" t="s">
        <v>25</v>
      </c>
      <c r="L4" s="1">
        <v>26.12</v>
      </c>
      <c r="M4" s="1" t="s">
        <v>21</v>
      </c>
      <c r="O4" s="1">
        <v>5184216.0</v>
      </c>
    </row>
    <row r="5">
      <c r="A5" s="1">
        <v>2510088.0</v>
      </c>
      <c r="B5" s="1" t="s">
        <v>30</v>
      </c>
      <c r="C5" s="1" t="b">
        <v>1</v>
      </c>
      <c r="D5" s="1" t="b">
        <v>1</v>
      </c>
      <c r="E5" s="1" t="s">
        <v>31</v>
      </c>
      <c r="F5" s="1" t="s">
        <v>32</v>
      </c>
      <c r="G5" s="2">
        <f>+251914197868</f>
        <v>251914197868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29.48</v>
      </c>
      <c r="M5" s="1" t="s">
        <v>33</v>
      </c>
      <c r="N5" s="1" t="s">
        <v>34</v>
      </c>
      <c r="O5" s="1">
        <v>1.43166183663E11</v>
      </c>
    </row>
    <row r="6">
      <c r="A6" s="1">
        <v>2652243.0</v>
      </c>
      <c r="B6" s="1" t="s">
        <v>35</v>
      </c>
      <c r="C6" s="1" t="b">
        <v>1</v>
      </c>
      <c r="D6" s="1" t="b">
        <v>1</v>
      </c>
      <c r="E6" s="1" t="s">
        <v>36</v>
      </c>
      <c r="F6" s="1" t="s">
        <v>37</v>
      </c>
      <c r="G6" s="2">
        <f>+251900304597</f>
        <v>251900304597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20.26</v>
      </c>
      <c r="M6" s="1" t="s">
        <v>21</v>
      </c>
      <c r="O6" s="1">
        <v>2.09514306772E11</v>
      </c>
    </row>
    <row r="7">
      <c r="A7" s="1">
        <v>2653765.0</v>
      </c>
      <c r="B7" s="1" t="s">
        <v>38</v>
      </c>
      <c r="C7" s="1" t="b">
        <v>1</v>
      </c>
      <c r="D7" s="1" t="b">
        <v>1</v>
      </c>
      <c r="E7" s="1" t="s">
        <v>39</v>
      </c>
      <c r="F7" s="1" t="s">
        <v>40</v>
      </c>
      <c r="G7" s="2">
        <f>+251944784553</f>
        <v>251944784553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22.62</v>
      </c>
      <c r="M7" s="1" t="s">
        <v>21</v>
      </c>
    </row>
    <row r="8">
      <c r="A8" s="1">
        <v>2653883.0</v>
      </c>
      <c r="B8" s="1" t="s">
        <v>41</v>
      </c>
      <c r="C8" s="1" t="b">
        <v>1</v>
      </c>
      <c r="D8" s="1" t="b">
        <v>1</v>
      </c>
      <c r="E8" s="1" t="s">
        <v>42</v>
      </c>
      <c r="F8" s="1" t="s">
        <v>39</v>
      </c>
      <c r="G8" s="2">
        <f>+251903180601</f>
        <v>251903180601</v>
      </c>
      <c r="H8" s="1" t="s">
        <v>18</v>
      </c>
      <c r="I8" s="1" t="s">
        <v>19</v>
      </c>
      <c r="J8" s="1" t="s">
        <v>19</v>
      </c>
      <c r="K8" s="1" t="s">
        <v>25</v>
      </c>
      <c r="L8" s="1">
        <v>23.03</v>
      </c>
      <c r="M8" s="1" t="s">
        <v>21</v>
      </c>
      <c r="O8" s="1">
        <v>2.1009718604E11</v>
      </c>
    </row>
    <row r="9">
      <c r="A9" s="1">
        <v>2654016.0</v>
      </c>
      <c r="B9" s="1" t="s">
        <v>43</v>
      </c>
      <c r="C9" s="1" t="b">
        <v>1</v>
      </c>
      <c r="D9" s="1" t="b">
        <v>1</v>
      </c>
      <c r="E9" s="1" t="s">
        <v>44</v>
      </c>
      <c r="F9" s="1" t="s">
        <v>45</v>
      </c>
      <c r="G9" s="2">
        <f>+251901525354</f>
        <v>251901525354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35.66</v>
      </c>
      <c r="M9" s="1" t="s">
        <v>21</v>
      </c>
      <c r="O9" s="1">
        <v>2.10166415551E11</v>
      </c>
    </row>
    <row r="10">
      <c r="A10" s="1">
        <v>2654214.0</v>
      </c>
      <c r="B10" s="1" t="s">
        <v>46</v>
      </c>
      <c r="C10" s="1" t="b">
        <v>1</v>
      </c>
      <c r="D10" s="1" t="b">
        <v>1</v>
      </c>
      <c r="E10" s="1" t="s">
        <v>47</v>
      </c>
      <c r="F10" s="1" t="s">
        <v>48</v>
      </c>
      <c r="G10" s="2">
        <f>+251989709867</f>
        <v>251989709867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24.25</v>
      </c>
      <c r="M10" s="1" t="s">
        <v>21</v>
      </c>
    </row>
    <row r="11">
      <c r="A11" s="1">
        <v>1742625.0</v>
      </c>
      <c r="B11" s="1" t="s">
        <v>49</v>
      </c>
      <c r="C11" s="1" t="b">
        <v>1</v>
      </c>
      <c r="D11" s="1" t="b">
        <v>1</v>
      </c>
      <c r="E11" s="1" t="s">
        <v>50</v>
      </c>
      <c r="F11" s="1" t="s">
        <v>51</v>
      </c>
      <c r="G11" s="2">
        <f>+251992752075</f>
        <v>251992752075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22.73</v>
      </c>
      <c r="M11" s="1" t="s">
        <v>21</v>
      </c>
      <c r="O11" s="1">
        <v>2.3188606146E10</v>
      </c>
    </row>
    <row r="12">
      <c r="A12" s="1">
        <v>2654463.0</v>
      </c>
      <c r="B12" s="1" t="s">
        <v>52</v>
      </c>
      <c r="C12" s="1" t="b">
        <v>1</v>
      </c>
      <c r="D12" s="1" t="b">
        <v>1</v>
      </c>
      <c r="E12" s="1" t="s">
        <v>53</v>
      </c>
      <c r="F12" s="1" t="s">
        <v>54</v>
      </c>
      <c r="G12" s="2">
        <f>+251940123164</f>
        <v>251940123164</v>
      </c>
      <c r="H12" s="1" t="s">
        <v>18</v>
      </c>
      <c r="I12" s="1" t="s">
        <v>19</v>
      </c>
      <c r="J12" s="1" t="s">
        <v>19</v>
      </c>
      <c r="K12" s="1" t="s">
        <v>20</v>
      </c>
      <c r="L12" s="1">
        <v>21.2</v>
      </c>
      <c r="M12" s="1" t="s">
        <v>21</v>
      </c>
      <c r="O12" s="1">
        <v>2.10248189169E11</v>
      </c>
    </row>
    <row r="13">
      <c r="A13" s="1">
        <v>2654702.0</v>
      </c>
      <c r="B13" s="1" t="s">
        <v>55</v>
      </c>
      <c r="C13" s="1" t="b">
        <v>1</v>
      </c>
      <c r="D13" s="1" t="b">
        <v>1</v>
      </c>
      <c r="E13" s="1" t="s">
        <v>56</v>
      </c>
      <c r="F13" s="1" t="s">
        <v>57</v>
      </c>
      <c r="G13" s="2">
        <f>+251914058104</f>
        <v>251914058104</v>
      </c>
      <c r="H13" s="1" t="s">
        <v>58</v>
      </c>
      <c r="I13" s="1" t="s">
        <v>19</v>
      </c>
      <c r="J13" s="1" t="s">
        <v>19</v>
      </c>
      <c r="K13" s="1" t="s">
        <v>25</v>
      </c>
      <c r="L13" s="1">
        <v>38.59</v>
      </c>
      <c r="M13" s="1" t="s">
        <v>21</v>
      </c>
    </row>
    <row r="14">
      <c r="A14" s="1">
        <v>2654846.0</v>
      </c>
      <c r="B14" s="1" t="s">
        <v>59</v>
      </c>
      <c r="C14" s="1" t="b">
        <v>1</v>
      </c>
      <c r="D14" s="1" t="b">
        <v>1</v>
      </c>
      <c r="E14" s="1" t="s">
        <v>60</v>
      </c>
      <c r="F14" s="1" t="s">
        <v>61</v>
      </c>
      <c r="G14" s="1">
        <v>9.21535412E8</v>
      </c>
      <c r="H14" s="1" t="s">
        <v>18</v>
      </c>
      <c r="I14" s="1" t="s">
        <v>19</v>
      </c>
      <c r="J14" s="1" t="s">
        <v>19</v>
      </c>
      <c r="K14" s="1" t="s">
        <v>25</v>
      </c>
      <c r="L14" s="1">
        <v>21.77</v>
      </c>
      <c r="M14" s="1" t="s">
        <v>21</v>
      </c>
      <c r="O14" s="1">
        <v>2.10377809097E11</v>
      </c>
    </row>
    <row r="15">
      <c r="A15" s="1">
        <v>2654913.0</v>
      </c>
      <c r="B15" s="1" t="s">
        <v>62</v>
      </c>
      <c r="C15" s="1" t="b">
        <v>1</v>
      </c>
      <c r="D15" s="1" t="b">
        <v>1</v>
      </c>
      <c r="E15" s="1" t="s">
        <v>63</v>
      </c>
      <c r="F15" s="1" t="s">
        <v>64</v>
      </c>
      <c r="G15" s="2">
        <f>+251966341928</f>
        <v>251966341928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18.76</v>
      </c>
      <c r="M15" s="1" t="s">
        <v>33</v>
      </c>
      <c r="N15" s="1" t="s">
        <v>65</v>
      </c>
    </row>
    <row r="16">
      <c r="A16" s="1">
        <v>2464861.0</v>
      </c>
      <c r="B16" s="1" t="s">
        <v>66</v>
      </c>
      <c r="C16" s="1" t="b">
        <v>1</v>
      </c>
      <c r="D16" s="1" t="b">
        <v>1</v>
      </c>
      <c r="E16" s="1" t="s">
        <v>67</v>
      </c>
      <c r="F16" s="1" t="s">
        <v>68</v>
      </c>
      <c r="G16" s="2">
        <f>+251910897338</f>
        <v>251910897338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21.3</v>
      </c>
      <c r="M16" s="1" t="s">
        <v>21</v>
      </c>
      <c r="O16" s="1">
        <v>1.12044255475E11</v>
      </c>
    </row>
    <row r="17">
      <c r="A17" s="1">
        <v>61015.0</v>
      </c>
      <c r="B17" s="1" t="s">
        <v>69</v>
      </c>
      <c r="C17" s="1" t="b">
        <v>1</v>
      </c>
      <c r="D17" s="1" t="b">
        <v>1</v>
      </c>
      <c r="E17" s="1" t="s">
        <v>70</v>
      </c>
      <c r="F17" s="1" t="s">
        <v>71</v>
      </c>
      <c r="G17" s="2">
        <f>+251919547495</f>
        <v>251919547495</v>
      </c>
      <c r="H17" s="1" t="s">
        <v>72</v>
      </c>
      <c r="I17" s="1" t="s">
        <v>19</v>
      </c>
      <c r="J17" s="1" t="s">
        <v>19</v>
      </c>
      <c r="K17" s="1" t="s">
        <v>25</v>
      </c>
      <c r="L17" s="1">
        <v>32.36</v>
      </c>
      <c r="M17" s="1" t="s">
        <v>21</v>
      </c>
      <c r="O17" s="1">
        <v>768486.0</v>
      </c>
    </row>
    <row r="18">
      <c r="A18" s="1">
        <v>5225.0</v>
      </c>
      <c r="B18" s="1" t="s">
        <v>73</v>
      </c>
      <c r="C18" s="1" t="b">
        <v>1</v>
      </c>
      <c r="D18" s="1" t="b">
        <v>1</v>
      </c>
      <c r="E18" s="1" t="s">
        <v>74</v>
      </c>
      <c r="F18" s="1" t="s">
        <v>75</v>
      </c>
      <c r="G18" s="2">
        <f>+251939142806</f>
        <v>251939142806</v>
      </c>
      <c r="H18" s="1" t="s">
        <v>18</v>
      </c>
      <c r="I18" s="1" t="s">
        <v>19</v>
      </c>
      <c r="J18" s="1" t="s">
        <v>19</v>
      </c>
      <c r="K18" s="1" t="s">
        <v>25</v>
      </c>
      <c r="L18" s="1">
        <v>28.52</v>
      </c>
      <c r="M18" s="1" t="s">
        <v>33</v>
      </c>
      <c r="N18" s="1" t="s">
        <v>76</v>
      </c>
      <c r="O18" s="1">
        <v>4990250.0</v>
      </c>
    </row>
    <row r="19">
      <c r="A19" s="1">
        <v>2268445.0</v>
      </c>
      <c r="B19" s="1" t="s">
        <v>77</v>
      </c>
      <c r="C19" s="1" t="b">
        <v>1</v>
      </c>
      <c r="D19" s="1" t="b">
        <v>1</v>
      </c>
      <c r="E19" s="1" t="s">
        <v>78</v>
      </c>
      <c r="F19" s="1" t="s">
        <v>79</v>
      </c>
      <c r="G19" s="2">
        <f>+251935486868</f>
        <v>251935486868</v>
      </c>
      <c r="H19" s="1" t="s">
        <v>80</v>
      </c>
      <c r="I19" s="1" t="s">
        <v>19</v>
      </c>
      <c r="J19" s="1" t="s">
        <v>19</v>
      </c>
      <c r="K19" s="1" t="s">
        <v>25</v>
      </c>
      <c r="L19" s="1">
        <v>22.24</v>
      </c>
      <c r="M19" s="1" t="s">
        <v>21</v>
      </c>
      <c r="O19" s="1">
        <v>3.4953168374E10</v>
      </c>
    </row>
    <row r="20">
      <c r="A20" s="1">
        <v>2656406.0</v>
      </c>
      <c r="B20" s="1" t="s">
        <v>81</v>
      </c>
      <c r="C20" s="1" t="b">
        <v>1</v>
      </c>
      <c r="D20" s="1" t="b">
        <v>1</v>
      </c>
      <c r="E20" s="1" t="s">
        <v>82</v>
      </c>
      <c r="F20" s="1" t="s">
        <v>83</v>
      </c>
      <c r="G20" s="2">
        <f>+251930294653</f>
        <v>251930294653</v>
      </c>
      <c r="H20" s="1" t="s">
        <v>18</v>
      </c>
      <c r="I20" s="1" t="s">
        <v>19</v>
      </c>
      <c r="J20" s="1" t="s">
        <v>19</v>
      </c>
      <c r="K20" s="1" t="s">
        <v>20</v>
      </c>
      <c r="L20" s="1">
        <v>20.59</v>
      </c>
      <c r="M20" s="1" t="s">
        <v>21</v>
      </c>
      <c r="O20" s="1">
        <v>2.11074495717E11</v>
      </c>
    </row>
    <row r="21">
      <c r="A21" s="1">
        <v>2656618.0</v>
      </c>
      <c r="B21" s="1" t="s">
        <v>84</v>
      </c>
      <c r="C21" s="1" t="b">
        <v>1</v>
      </c>
      <c r="D21" s="1" t="b">
        <v>1</v>
      </c>
      <c r="E21" s="1" t="s">
        <v>85</v>
      </c>
      <c r="F21" s="1" t="s">
        <v>86</v>
      </c>
      <c r="G21" s="2">
        <f>+251993386838</f>
        <v>251993386838</v>
      </c>
      <c r="H21" s="1" t="s">
        <v>18</v>
      </c>
      <c r="I21" s="1" t="s">
        <v>19</v>
      </c>
      <c r="J21" s="1" t="s">
        <v>19</v>
      </c>
      <c r="K21" s="1" t="s">
        <v>20</v>
      </c>
      <c r="L21" s="1">
        <v>20.76</v>
      </c>
      <c r="M21" s="1" t="s">
        <v>21</v>
      </c>
      <c r="O21" s="1">
        <v>2.11102223578E11</v>
      </c>
    </row>
    <row r="22">
      <c r="A22" s="1">
        <v>1114137.0</v>
      </c>
      <c r="B22" s="1" t="s">
        <v>87</v>
      </c>
      <c r="C22" s="1" t="b">
        <v>1</v>
      </c>
      <c r="D22" s="1" t="b">
        <v>1</v>
      </c>
      <c r="E22" s="1" t="s">
        <v>88</v>
      </c>
      <c r="F22" s="1" t="s">
        <v>89</v>
      </c>
      <c r="G22" s="2">
        <f>+251992008407</f>
        <v>251992008407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30.25</v>
      </c>
      <c r="M22" s="1" t="s">
        <v>21</v>
      </c>
      <c r="O22" s="1">
        <v>7.359257567E9</v>
      </c>
    </row>
    <row r="23">
      <c r="A23" s="1">
        <v>2657117.0</v>
      </c>
      <c r="B23" s="1" t="s">
        <v>90</v>
      </c>
      <c r="C23" s="1" t="b">
        <v>0</v>
      </c>
      <c r="D23" s="1" t="b">
        <v>1</v>
      </c>
      <c r="E23" s="1" t="s">
        <v>91</v>
      </c>
      <c r="F23" s="1" t="s">
        <v>92</v>
      </c>
      <c r="G23" s="2">
        <f>+251914520001</f>
        <v>251914520001</v>
      </c>
      <c r="H23" s="1" t="s">
        <v>93</v>
      </c>
      <c r="I23" s="1" t="s">
        <v>19</v>
      </c>
      <c r="J23" s="1" t="s">
        <v>19</v>
      </c>
      <c r="K23" s="1" t="s">
        <v>25</v>
      </c>
      <c r="L23" s="1">
        <v>26.35</v>
      </c>
      <c r="M23" s="1" t="s">
        <v>33</v>
      </c>
      <c r="N23" s="1" t="s">
        <v>34</v>
      </c>
      <c r="O23" s="1">
        <v>2.11225634019E11</v>
      </c>
    </row>
    <row r="24">
      <c r="A24" s="1">
        <v>581023.0</v>
      </c>
      <c r="B24" s="1" t="s">
        <v>94</v>
      </c>
      <c r="C24" s="1" t="b">
        <v>1</v>
      </c>
      <c r="D24" s="1" t="b">
        <v>1</v>
      </c>
      <c r="E24" s="1" t="s">
        <v>95</v>
      </c>
      <c r="F24" s="1" t="s">
        <v>96</v>
      </c>
      <c r="G24" s="2">
        <f>+251968838617</f>
        <v>251968838617</v>
      </c>
      <c r="H24" s="1" t="s">
        <v>93</v>
      </c>
      <c r="I24" s="1" t="s">
        <v>19</v>
      </c>
      <c r="J24" s="1" t="s">
        <v>19</v>
      </c>
      <c r="K24" s="1" t="s">
        <v>25</v>
      </c>
      <c r="L24" s="1">
        <v>21.67</v>
      </c>
      <c r="M24" s="1" t="s">
        <v>21</v>
      </c>
      <c r="O24" s="1">
        <v>1.0685195E7</v>
      </c>
    </row>
    <row r="25">
      <c r="A25" s="1">
        <v>2657800.0</v>
      </c>
      <c r="B25" s="1" t="s">
        <v>97</v>
      </c>
      <c r="C25" s="1" t="b">
        <v>1</v>
      </c>
      <c r="D25" s="1" t="b">
        <v>1</v>
      </c>
      <c r="E25" s="1" t="s">
        <v>98</v>
      </c>
      <c r="F25" s="1" t="s">
        <v>99</v>
      </c>
      <c r="G25" s="2">
        <f>+251969936391</f>
        <v>251969936391</v>
      </c>
      <c r="H25" s="1" t="s">
        <v>18</v>
      </c>
      <c r="I25" s="1" t="s">
        <v>19</v>
      </c>
      <c r="J25" s="1" t="s">
        <v>19</v>
      </c>
      <c r="K25" s="1" t="s">
        <v>20</v>
      </c>
      <c r="L25" s="1">
        <v>21.3</v>
      </c>
      <c r="M25" s="1" t="s">
        <v>21</v>
      </c>
      <c r="O25" s="1">
        <v>4.5655201237E10</v>
      </c>
    </row>
    <row r="26">
      <c r="A26" s="1">
        <v>1057019.0</v>
      </c>
      <c r="B26" s="1" t="s">
        <v>100</v>
      </c>
      <c r="C26" s="1" t="b">
        <v>1</v>
      </c>
      <c r="D26" s="1" t="b">
        <v>1</v>
      </c>
      <c r="E26" s="1" t="s">
        <v>101</v>
      </c>
      <c r="F26" s="1" t="s">
        <v>102</v>
      </c>
      <c r="G26" s="2">
        <f>+251922106161</f>
        <v>251922106161</v>
      </c>
      <c r="H26" s="1" t="s">
        <v>18</v>
      </c>
      <c r="I26" s="1" t="s">
        <v>19</v>
      </c>
      <c r="J26" s="1" t="s">
        <v>19</v>
      </c>
      <c r="K26" s="1" t="s">
        <v>25</v>
      </c>
      <c r="L26" s="1">
        <v>22.77</v>
      </c>
      <c r="M26" s="1" t="s">
        <v>21</v>
      </c>
      <c r="O26" s="1">
        <v>3398888.0</v>
      </c>
    </row>
    <row r="27">
      <c r="A27" s="1">
        <v>2658173.0</v>
      </c>
      <c r="B27" s="1" t="s">
        <v>103</v>
      </c>
      <c r="C27" s="1" t="b">
        <v>0</v>
      </c>
      <c r="D27" s="1" t="b">
        <v>1</v>
      </c>
      <c r="E27" s="1" t="s">
        <v>104</v>
      </c>
      <c r="F27" s="1" t="s">
        <v>105</v>
      </c>
      <c r="G27" s="2">
        <f>+251994370886</f>
        <v>251994370886</v>
      </c>
      <c r="H27" s="1" t="s">
        <v>18</v>
      </c>
      <c r="I27" s="1" t="s">
        <v>19</v>
      </c>
      <c r="J27" s="1" t="s">
        <v>19</v>
      </c>
      <c r="K27" s="1" t="s">
        <v>20</v>
      </c>
      <c r="L27" s="1">
        <v>21.28</v>
      </c>
      <c r="M27" s="1" t="s">
        <v>33</v>
      </c>
      <c r="N27" s="1" t="s">
        <v>65</v>
      </c>
      <c r="O27" s="1">
        <v>2.11853377768E11</v>
      </c>
    </row>
    <row r="28">
      <c r="A28" s="1">
        <v>2658646.0</v>
      </c>
      <c r="B28" s="1" t="s">
        <v>106</v>
      </c>
      <c r="C28" s="1" t="b">
        <v>1</v>
      </c>
      <c r="D28" s="1" t="b">
        <v>0</v>
      </c>
      <c r="E28" s="1" t="s">
        <v>107</v>
      </c>
      <c r="F28" s="1" t="s">
        <v>108</v>
      </c>
      <c r="G28" s="2">
        <f>+251919190988</f>
        <v>251919190988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27.74</v>
      </c>
      <c r="M28" s="1" t="s">
        <v>21</v>
      </c>
      <c r="O28" s="1">
        <v>2.11956065513E11</v>
      </c>
    </row>
    <row r="29">
      <c r="A29" s="1">
        <v>2658652.0</v>
      </c>
      <c r="B29" s="1" t="s">
        <v>109</v>
      </c>
      <c r="C29" s="1" t="b">
        <v>1</v>
      </c>
      <c r="D29" s="1" t="b">
        <v>1</v>
      </c>
      <c r="E29" s="1" t="s">
        <v>110</v>
      </c>
      <c r="F29" s="1" t="s">
        <v>111</v>
      </c>
      <c r="G29" s="2">
        <f>+251952513908</f>
        <v>251952513908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21.41</v>
      </c>
      <c r="M29" s="1" t="s">
        <v>33</v>
      </c>
      <c r="N29" s="1" t="s">
        <v>65</v>
      </c>
      <c r="O29" s="1">
        <v>2.1196652051E11</v>
      </c>
    </row>
    <row r="30">
      <c r="A30" s="1">
        <v>2659018.0</v>
      </c>
      <c r="B30" s="1" t="s">
        <v>112</v>
      </c>
      <c r="C30" s="1" t="b">
        <v>1</v>
      </c>
      <c r="D30" s="1" t="b">
        <v>1</v>
      </c>
      <c r="E30" s="1" t="s">
        <v>113</v>
      </c>
      <c r="F30" s="1" t="s">
        <v>114</v>
      </c>
      <c r="G30" s="2">
        <f>+251992790709</f>
        <v>251992790709</v>
      </c>
      <c r="H30" s="1" t="s">
        <v>18</v>
      </c>
      <c r="I30" s="1" t="s">
        <v>19</v>
      </c>
      <c r="J30" s="1" t="s">
        <v>19</v>
      </c>
      <c r="K30" s="1" t="s">
        <v>20</v>
      </c>
      <c r="L30" s="1">
        <v>21.42</v>
      </c>
      <c r="M30" s="1" t="s">
        <v>21</v>
      </c>
      <c r="O30" s="1">
        <v>2.12122024185E11</v>
      </c>
    </row>
    <row r="31">
      <c r="A31" s="1">
        <v>2659115.0</v>
      </c>
      <c r="B31" s="1" t="s">
        <v>115</v>
      </c>
      <c r="C31" s="1" t="b">
        <v>1</v>
      </c>
      <c r="D31" s="1" t="b">
        <v>1</v>
      </c>
      <c r="E31" s="1" t="s">
        <v>116</v>
      </c>
      <c r="F31" s="1" t="s">
        <v>117</v>
      </c>
      <c r="G31" s="2">
        <f>+251976561371</f>
        <v>251976561371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26.95</v>
      </c>
      <c r="M31" s="1" t="s">
        <v>33</v>
      </c>
      <c r="N31" s="1" t="s">
        <v>118</v>
      </c>
      <c r="O31" s="1">
        <v>2.12128163041E11</v>
      </c>
    </row>
    <row r="32">
      <c r="A32" s="1">
        <v>2660210.0</v>
      </c>
      <c r="B32" s="1" t="s">
        <v>119</v>
      </c>
      <c r="C32" s="1" t="b">
        <v>1</v>
      </c>
      <c r="D32" s="1" t="b">
        <v>1</v>
      </c>
      <c r="E32" s="1" t="s">
        <v>120</v>
      </c>
      <c r="F32" s="1" t="s">
        <v>121</v>
      </c>
      <c r="G32" s="2">
        <f>+251912373577</f>
        <v>251912373577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29.8</v>
      </c>
      <c r="M32" s="1" t="s">
        <v>21</v>
      </c>
    </row>
    <row r="33">
      <c r="A33" s="1">
        <v>2615206.0</v>
      </c>
      <c r="B33" s="1" t="s">
        <v>122</v>
      </c>
      <c r="C33" s="1" t="b">
        <v>1</v>
      </c>
      <c r="D33" s="1" t="b">
        <v>1</v>
      </c>
      <c r="E33" s="1" t="s">
        <v>123</v>
      </c>
      <c r="F33" s="1" t="s">
        <v>124</v>
      </c>
      <c r="G33" s="2">
        <f>+251960370216</f>
        <v>251960370216</v>
      </c>
      <c r="H33" s="1" t="s">
        <v>18</v>
      </c>
      <c r="I33" s="1" t="s">
        <v>19</v>
      </c>
      <c r="J33" s="1" t="s">
        <v>19</v>
      </c>
      <c r="K33" s="1" t="s">
        <v>20</v>
      </c>
      <c r="L33" s="1">
        <v>21.25</v>
      </c>
      <c r="M33" s="1" t="s">
        <v>21</v>
      </c>
      <c r="O33" s="1">
        <v>1.9291065778E11</v>
      </c>
    </row>
    <row r="34">
      <c r="A34" s="1">
        <v>224988.0</v>
      </c>
      <c r="B34" s="1" t="s">
        <v>125</v>
      </c>
      <c r="C34" s="1" t="b">
        <v>1</v>
      </c>
      <c r="D34" s="1" t="b">
        <v>1</v>
      </c>
      <c r="E34" s="1" t="s">
        <v>126</v>
      </c>
      <c r="F34" s="1" t="s">
        <v>127</v>
      </c>
      <c r="G34" s="2">
        <f>+251934997054</f>
        <v>251934997054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27.11</v>
      </c>
      <c r="M34" s="1" t="s">
        <v>21</v>
      </c>
      <c r="O34" s="1">
        <v>703417.0</v>
      </c>
    </row>
    <row r="35">
      <c r="A35" s="1">
        <v>2412204.0</v>
      </c>
      <c r="B35" s="1" t="s">
        <v>128</v>
      </c>
      <c r="C35" s="1" t="b">
        <v>1</v>
      </c>
      <c r="D35" s="1" t="b">
        <v>1</v>
      </c>
      <c r="E35" s="1" t="s">
        <v>129</v>
      </c>
      <c r="F35" s="1" t="s">
        <v>130</v>
      </c>
      <c r="G35" s="2">
        <f>+251942241543</f>
        <v>251942241543</v>
      </c>
      <c r="H35" s="1" t="s">
        <v>131</v>
      </c>
      <c r="I35" s="1" t="s">
        <v>19</v>
      </c>
      <c r="J35" s="1" t="s">
        <v>19</v>
      </c>
      <c r="K35" s="1" t="s">
        <v>25</v>
      </c>
      <c r="L35" s="1">
        <v>24.29</v>
      </c>
      <c r="M35" s="1" t="s">
        <v>21</v>
      </c>
      <c r="O35" s="1">
        <v>7.6163301579E10</v>
      </c>
    </row>
    <row r="36">
      <c r="A36" s="1">
        <v>2510121.0</v>
      </c>
      <c r="B36" s="1" t="s">
        <v>132</v>
      </c>
      <c r="C36" s="1" t="b">
        <v>1</v>
      </c>
      <c r="D36" s="1" t="b">
        <v>1</v>
      </c>
      <c r="E36" s="1" t="s">
        <v>133</v>
      </c>
      <c r="F36" s="1" t="s">
        <v>134</v>
      </c>
      <c r="G36" s="2">
        <f>+251977502411</f>
        <v>251977502411</v>
      </c>
      <c r="H36" s="1" t="s">
        <v>18</v>
      </c>
      <c r="I36" s="1" t="s">
        <v>19</v>
      </c>
      <c r="J36" s="1" t="s">
        <v>19</v>
      </c>
      <c r="K36" s="1" t="s">
        <v>20</v>
      </c>
      <c r="L36" s="1">
        <v>23.72</v>
      </c>
      <c r="M36" s="1" t="s">
        <v>21</v>
      </c>
      <c r="O36" s="1">
        <v>1.43172649189E11</v>
      </c>
    </row>
    <row r="37">
      <c r="A37" s="1">
        <v>2662519.0</v>
      </c>
      <c r="B37" s="1" t="s">
        <v>135</v>
      </c>
      <c r="C37" s="1" t="b">
        <v>1</v>
      </c>
      <c r="D37" s="1" t="b">
        <v>1</v>
      </c>
      <c r="E37" s="1" t="s">
        <v>136</v>
      </c>
      <c r="F37" s="1" t="s">
        <v>137</v>
      </c>
      <c r="G37" s="2">
        <f>+251987974365</f>
        <v>251987974365</v>
      </c>
      <c r="H37" s="1" t="s">
        <v>138</v>
      </c>
      <c r="I37" s="1" t="s">
        <v>19</v>
      </c>
      <c r="J37" s="1" t="s">
        <v>19</v>
      </c>
      <c r="K37" s="1" t="s">
        <v>20</v>
      </c>
      <c r="L37" s="1">
        <v>31.57</v>
      </c>
      <c r="M37" s="1" t="s">
        <v>33</v>
      </c>
      <c r="N37" s="1" t="s">
        <v>65</v>
      </c>
      <c r="O37" s="1">
        <v>2.13679987923E11</v>
      </c>
    </row>
    <row r="38">
      <c r="A38" s="1">
        <v>1230674.0</v>
      </c>
      <c r="B38" s="1" t="s">
        <v>139</v>
      </c>
      <c r="C38" s="1" t="b">
        <v>1</v>
      </c>
      <c r="D38" s="1" t="b">
        <v>1</v>
      </c>
      <c r="E38" s="1" t="s">
        <v>140</v>
      </c>
      <c r="F38" s="1" t="s">
        <v>141</v>
      </c>
      <c r="G38" s="2">
        <f>+251929105137</f>
        <v>251929105137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30.95</v>
      </c>
      <c r="M38" s="1" t="s">
        <v>21</v>
      </c>
      <c r="O38" s="1">
        <v>9.510202577E9</v>
      </c>
    </row>
    <row r="39">
      <c r="A39" s="1">
        <v>2477535.0</v>
      </c>
      <c r="B39" s="1" t="s">
        <v>142</v>
      </c>
      <c r="C39" s="1" t="b">
        <v>1</v>
      </c>
      <c r="D39" s="1" t="b">
        <v>1</v>
      </c>
      <c r="E39" s="1" t="s">
        <v>143</v>
      </c>
      <c r="F39" s="1" t="s">
        <v>144</v>
      </c>
      <c r="G39" s="2">
        <f>+251973942371</f>
        <v>251973942371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20.95</v>
      </c>
      <c r="M39" s="1" t="s">
        <v>33</v>
      </c>
      <c r="N39" s="1" t="s">
        <v>65</v>
      </c>
      <c r="O39" s="1">
        <v>1.17142789349E11</v>
      </c>
    </row>
    <row r="40">
      <c r="A40" s="1">
        <v>2663197.0</v>
      </c>
      <c r="B40" s="1" t="s">
        <v>145</v>
      </c>
      <c r="C40" s="1" t="b">
        <v>1</v>
      </c>
      <c r="D40" s="1" t="b">
        <v>1</v>
      </c>
      <c r="E40" s="1" t="s">
        <v>146</v>
      </c>
      <c r="F40" s="1" t="s">
        <v>102</v>
      </c>
      <c r="G40" s="2">
        <f>+251931656707</f>
        <v>251931656707</v>
      </c>
      <c r="H40" s="1" t="s">
        <v>18</v>
      </c>
      <c r="I40" s="1" t="s">
        <v>19</v>
      </c>
      <c r="J40" s="1" t="s">
        <v>19</v>
      </c>
      <c r="K40" s="1" t="s">
        <v>25</v>
      </c>
      <c r="L40" s="1">
        <v>28.03</v>
      </c>
      <c r="M40" s="1" t="s">
        <v>21</v>
      </c>
      <c r="O40" s="1">
        <v>787570.0</v>
      </c>
    </row>
    <row r="41">
      <c r="A41" s="1">
        <v>2663254.0</v>
      </c>
      <c r="B41" s="1" t="s">
        <v>147</v>
      </c>
      <c r="C41" s="1" t="b">
        <v>1</v>
      </c>
      <c r="D41" s="1" t="b">
        <v>1</v>
      </c>
      <c r="E41" s="1" t="s">
        <v>148</v>
      </c>
      <c r="F41" s="1" t="s">
        <v>149</v>
      </c>
      <c r="G41" s="2">
        <f>+251965611282</f>
        <v>251965611282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25.61</v>
      </c>
      <c r="M41" s="1" t="s">
        <v>21</v>
      </c>
    </row>
    <row r="42">
      <c r="A42" s="1">
        <v>2663367.0</v>
      </c>
      <c r="B42" s="1" t="s">
        <v>150</v>
      </c>
      <c r="C42" s="1" t="b">
        <v>1</v>
      </c>
      <c r="D42" s="1" t="b">
        <v>1</v>
      </c>
      <c r="E42" s="1" t="s">
        <v>151</v>
      </c>
      <c r="F42" s="1" t="s">
        <v>152</v>
      </c>
      <c r="G42" s="2">
        <f>+251946434367</f>
        <v>251946434367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21.53</v>
      </c>
      <c r="M42" s="1" t="s">
        <v>21</v>
      </c>
      <c r="O42" s="1">
        <v>2.1391650121E11</v>
      </c>
    </row>
    <row r="43">
      <c r="A43" s="1">
        <v>2565129.0</v>
      </c>
      <c r="B43" s="1" t="s">
        <v>153</v>
      </c>
      <c r="C43" s="1" t="b">
        <v>1</v>
      </c>
      <c r="D43" s="1" t="b">
        <v>1</v>
      </c>
      <c r="E43" s="1" t="s">
        <v>154</v>
      </c>
      <c r="F43" s="1" t="s">
        <v>155</v>
      </c>
      <c r="G43" s="2">
        <f>+251925677922</f>
        <v>251925677922</v>
      </c>
      <c r="H43" s="1" t="s">
        <v>18</v>
      </c>
      <c r="I43" s="1" t="s">
        <v>19</v>
      </c>
      <c r="J43" s="1" t="s">
        <v>19</v>
      </c>
      <c r="K43" s="1" t="s">
        <v>25</v>
      </c>
      <c r="L43" s="1">
        <v>25.28</v>
      </c>
      <c r="M43" s="1" t="s">
        <v>21</v>
      </c>
      <c r="O43" s="1">
        <v>1.70219475152E11</v>
      </c>
    </row>
    <row r="44">
      <c r="A44" s="1">
        <v>2041876.0</v>
      </c>
      <c r="B44" s="1" t="s">
        <v>156</v>
      </c>
      <c r="C44" s="1" t="b">
        <v>1</v>
      </c>
      <c r="D44" s="1" t="b">
        <v>1</v>
      </c>
      <c r="E44" s="1" t="s">
        <v>157</v>
      </c>
      <c r="F44" s="1" t="s">
        <v>158</v>
      </c>
      <c r="G44" s="2">
        <f>+251991215368</f>
        <v>251991215368</v>
      </c>
      <c r="H44" s="1" t="s">
        <v>18</v>
      </c>
      <c r="I44" s="1" t="s">
        <v>19</v>
      </c>
      <c r="J44" s="1" t="s">
        <v>19</v>
      </c>
      <c r="K44" s="1" t="s">
        <v>20</v>
      </c>
      <c r="L44" s="1">
        <v>22.87</v>
      </c>
      <c r="M44" s="1" t="s">
        <v>33</v>
      </c>
      <c r="N44" s="1" t="s">
        <v>76</v>
      </c>
      <c r="O44" s="1">
        <v>2.9405520366E10</v>
      </c>
    </row>
    <row r="45">
      <c r="A45" s="1">
        <v>2664097.0</v>
      </c>
      <c r="B45" s="1" t="s">
        <v>159</v>
      </c>
      <c r="C45" s="1" t="b">
        <v>1</v>
      </c>
      <c r="D45" s="1" t="b">
        <v>1</v>
      </c>
      <c r="E45" s="1" t="s">
        <v>160</v>
      </c>
      <c r="F45" s="1" t="s">
        <v>161</v>
      </c>
      <c r="G45" s="2">
        <f>+251912030493</f>
        <v>251912030493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36.03</v>
      </c>
      <c r="M45" s="1" t="s">
        <v>21</v>
      </c>
    </row>
    <row r="46">
      <c r="A46" s="1">
        <v>2664387.0</v>
      </c>
      <c r="B46" s="1" t="s">
        <v>162</v>
      </c>
      <c r="C46" s="1" t="b">
        <v>0</v>
      </c>
      <c r="D46" s="1" t="b">
        <v>1</v>
      </c>
      <c r="E46" s="1" t="s">
        <v>163</v>
      </c>
      <c r="F46" s="1" t="s">
        <v>164</v>
      </c>
      <c r="G46" s="2">
        <f>+251969811708</f>
        <v>251969811708</v>
      </c>
      <c r="H46" s="1" t="s">
        <v>80</v>
      </c>
      <c r="I46" s="1" t="s">
        <v>19</v>
      </c>
      <c r="J46" s="1" t="s">
        <v>19</v>
      </c>
      <c r="K46" s="1" t="s">
        <v>25</v>
      </c>
      <c r="L46" s="1">
        <v>22.25</v>
      </c>
      <c r="M46" s="1" t="s">
        <v>26</v>
      </c>
      <c r="O46" s="1">
        <v>2.14162234585E11</v>
      </c>
    </row>
    <row r="47">
      <c r="A47" s="1">
        <v>194089.0</v>
      </c>
      <c r="B47" s="1" t="s">
        <v>165</v>
      </c>
      <c r="C47" s="1" t="b">
        <v>1</v>
      </c>
      <c r="D47" s="1" t="b">
        <v>1</v>
      </c>
      <c r="E47" s="1" t="s">
        <v>37</v>
      </c>
      <c r="F47" s="1" t="s">
        <v>148</v>
      </c>
      <c r="G47" s="2">
        <f>+251921103845</f>
        <v>251921103845</v>
      </c>
      <c r="H47" s="1" t="s">
        <v>18</v>
      </c>
      <c r="I47" s="1" t="s">
        <v>19</v>
      </c>
      <c r="J47" s="1" t="s">
        <v>19</v>
      </c>
      <c r="K47" s="1" t="s">
        <v>25</v>
      </c>
      <c r="L47" s="1">
        <v>32.6</v>
      </c>
      <c r="M47" s="1" t="s">
        <v>33</v>
      </c>
      <c r="N47" s="1" t="s">
        <v>166</v>
      </c>
      <c r="O47" s="1">
        <v>68942.0</v>
      </c>
    </row>
    <row r="48">
      <c r="A48" s="1">
        <v>2664904.0</v>
      </c>
      <c r="B48" s="1" t="s">
        <v>167</v>
      </c>
      <c r="C48" s="1" t="b">
        <v>0</v>
      </c>
      <c r="D48" s="1" t="b">
        <v>1</v>
      </c>
      <c r="E48" s="1" t="s">
        <v>163</v>
      </c>
      <c r="F48" s="1" t="s">
        <v>164</v>
      </c>
      <c r="G48" s="2">
        <f>+251969811708</f>
        <v>251969811708</v>
      </c>
      <c r="H48" s="1" t="s">
        <v>80</v>
      </c>
      <c r="I48" s="1" t="s">
        <v>19</v>
      </c>
      <c r="J48" s="1" t="s">
        <v>19</v>
      </c>
      <c r="K48" s="1" t="s">
        <v>25</v>
      </c>
      <c r="L48" s="1">
        <v>22.22</v>
      </c>
      <c r="M48" s="1" t="s">
        <v>26</v>
      </c>
      <c r="O48" s="1">
        <v>2.1427126294E11</v>
      </c>
    </row>
    <row r="49">
      <c r="A49" s="1">
        <v>2664920.0</v>
      </c>
      <c r="B49" s="1" t="s">
        <v>168</v>
      </c>
      <c r="C49" s="1" t="b">
        <v>1</v>
      </c>
      <c r="D49" s="1" t="b">
        <v>1</v>
      </c>
      <c r="E49" s="1" t="s">
        <v>37</v>
      </c>
      <c r="F49" s="1" t="s">
        <v>148</v>
      </c>
      <c r="G49" s="2">
        <f>+251904137274</f>
        <v>251904137274</v>
      </c>
      <c r="H49" s="1" t="s">
        <v>80</v>
      </c>
      <c r="I49" s="1" t="s">
        <v>19</v>
      </c>
      <c r="J49" s="1" t="s">
        <v>19</v>
      </c>
      <c r="K49" s="1" t="s">
        <v>25</v>
      </c>
      <c r="L49" s="1">
        <v>21.66</v>
      </c>
      <c r="M49" s="1" t="s">
        <v>21</v>
      </c>
    </row>
    <row r="50">
      <c r="A50" s="1">
        <v>2664956.0</v>
      </c>
      <c r="B50" s="1" t="s">
        <v>169</v>
      </c>
      <c r="C50" s="1" t="b">
        <v>0</v>
      </c>
      <c r="D50" s="1" t="b">
        <v>1</v>
      </c>
      <c r="E50" s="1" t="s">
        <v>163</v>
      </c>
      <c r="F50" s="1" t="s">
        <v>164</v>
      </c>
      <c r="G50" s="2">
        <f>+251969811708</f>
        <v>251969811708</v>
      </c>
      <c r="H50" s="1" t="s">
        <v>80</v>
      </c>
      <c r="I50" s="1" t="s">
        <v>19</v>
      </c>
      <c r="J50" s="1" t="s">
        <v>19</v>
      </c>
      <c r="K50" s="1" t="s">
        <v>25</v>
      </c>
      <c r="L50" s="1">
        <v>22.45</v>
      </c>
      <c r="M50" s="1" t="s">
        <v>26</v>
      </c>
      <c r="O50" s="1">
        <v>2.14278761718E11</v>
      </c>
    </row>
    <row r="51">
      <c r="A51" s="1">
        <v>1956698.0</v>
      </c>
      <c r="B51" s="1" t="s">
        <v>170</v>
      </c>
      <c r="C51" s="1" t="b">
        <v>1</v>
      </c>
      <c r="D51" s="1" t="b">
        <v>1</v>
      </c>
      <c r="E51" s="1" t="s">
        <v>107</v>
      </c>
      <c r="F51" s="1" t="s">
        <v>171</v>
      </c>
      <c r="G51" s="2">
        <f>+251913247307</f>
        <v>251913247307</v>
      </c>
      <c r="H51" s="1" t="s">
        <v>18</v>
      </c>
      <c r="I51" s="1" t="s">
        <v>19</v>
      </c>
      <c r="J51" s="1" t="s">
        <v>19</v>
      </c>
      <c r="K51" s="1" t="s">
        <v>20</v>
      </c>
      <c r="L51" s="1">
        <v>30.62</v>
      </c>
      <c r="M51" s="1" t="s">
        <v>21</v>
      </c>
      <c r="O51" s="1">
        <v>2.762006753E10</v>
      </c>
    </row>
    <row r="52">
      <c r="A52" s="1">
        <v>2665292.0</v>
      </c>
      <c r="B52" s="1" t="s">
        <v>172</v>
      </c>
      <c r="C52" s="1" t="b">
        <v>1</v>
      </c>
      <c r="D52" s="1" t="b">
        <v>1</v>
      </c>
      <c r="E52" s="1" t="s">
        <v>173</v>
      </c>
      <c r="F52" s="1" t="s">
        <v>148</v>
      </c>
      <c r="G52" s="2">
        <f>+251986351031</f>
        <v>251986351031</v>
      </c>
      <c r="H52" s="1" t="s">
        <v>18</v>
      </c>
      <c r="I52" s="1" t="s">
        <v>19</v>
      </c>
      <c r="J52" s="1" t="s">
        <v>19</v>
      </c>
      <c r="K52" s="1" t="s">
        <v>20</v>
      </c>
      <c r="L52" s="1">
        <v>19.73</v>
      </c>
      <c r="M52" s="1" t="s">
        <v>21</v>
      </c>
      <c r="O52" s="1">
        <v>2.14492302527E11</v>
      </c>
    </row>
    <row r="53">
      <c r="A53" s="1">
        <v>2665502.0</v>
      </c>
      <c r="B53" s="1" t="s">
        <v>174</v>
      </c>
      <c r="C53" s="1" t="b">
        <v>1</v>
      </c>
      <c r="D53" s="1" t="b">
        <v>0</v>
      </c>
      <c r="E53" s="1" t="s">
        <v>175</v>
      </c>
      <c r="F53" s="1" t="s">
        <v>176</v>
      </c>
      <c r="G53" s="2">
        <f>+251912903167</f>
        <v>251912903167</v>
      </c>
      <c r="H53" s="1" t="s">
        <v>18</v>
      </c>
      <c r="I53" s="1" t="s">
        <v>19</v>
      </c>
      <c r="J53" s="1" t="s">
        <v>19</v>
      </c>
      <c r="K53" s="1" t="s">
        <v>25</v>
      </c>
      <c r="L53" s="1">
        <v>22.71</v>
      </c>
      <c r="M53" s="1" t="s">
        <v>33</v>
      </c>
      <c r="N53" s="1" t="s">
        <v>177</v>
      </c>
      <c r="O53" s="1">
        <v>2.14602904817E11</v>
      </c>
    </row>
    <row r="54">
      <c r="A54" s="1">
        <v>2656786.0</v>
      </c>
      <c r="B54" s="1" t="s">
        <v>178</v>
      </c>
      <c r="C54" s="1" t="b">
        <v>1</v>
      </c>
      <c r="D54" s="1" t="b">
        <v>1</v>
      </c>
      <c r="E54" s="1" t="s">
        <v>179</v>
      </c>
      <c r="F54" s="1" t="s">
        <v>96</v>
      </c>
      <c r="G54" s="2">
        <f>+251940804589</f>
        <v>251940804589</v>
      </c>
      <c r="H54" s="1" t="s">
        <v>18</v>
      </c>
      <c r="I54" s="1" t="s">
        <v>19</v>
      </c>
      <c r="J54" s="1" t="s">
        <v>19</v>
      </c>
      <c r="K54" s="1" t="s">
        <v>20</v>
      </c>
      <c r="L54" s="1">
        <v>21.62</v>
      </c>
      <c r="M54" s="1" t="s">
        <v>21</v>
      </c>
    </row>
    <row r="55">
      <c r="A55" s="1">
        <v>2665988.0</v>
      </c>
      <c r="B55" s="1" t="s">
        <v>180</v>
      </c>
      <c r="C55" s="1" t="b">
        <v>1</v>
      </c>
      <c r="D55" s="1" t="b">
        <v>1</v>
      </c>
      <c r="E55" s="1" t="s">
        <v>181</v>
      </c>
      <c r="F55" s="1" t="s">
        <v>182</v>
      </c>
      <c r="G55" s="2">
        <f>+251988967021</f>
        <v>251988967021</v>
      </c>
      <c r="H55" s="1" t="s">
        <v>80</v>
      </c>
      <c r="I55" s="1" t="s">
        <v>19</v>
      </c>
      <c r="J55" s="1" t="s">
        <v>19</v>
      </c>
      <c r="K55" s="1" t="s">
        <v>25</v>
      </c>
      <c r="L55" s="1">
        <v>23.32</v>
      </c>
      <c r="M55" s="1" t="s">
        <v>21</v>
      </c>
      <c r="O55" s="1">
        <v>2.14725665017E11</v>
      </c>
    </row>
    <row r="56">
      <c r="A56" s="1">
        <v>1893605.0</v>
      </c>
      <c r="B56" s="1" t="s">
        <v>183</v>
      </c>
      <c r="C56" s="1" t="b">
        <v>1</v>
      </c>
      <c r="D56" s="1" t="b">
        <v>1</v>
      </c>
      <c r="E56" s="1" t="s">
        <v>184</v>
      </c>
      <c r="F56" s="1" t="s">
        <v>185</v>
      </c>
      <c r="G56" s="1">
        <v>9.27986205E8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27.99</v>
      </c>
      <c r="M56" s="1" t="s">
        <v>21</v>
      </c>
      <c r="O56" s="1">
        <v>3261516.0</v>
      </c>
    </row>
    <row r="57">
      <c r="A57" s="1">
        <v>2666249.0</v>
      </c>
      <c r="B57" s="1" t="s">
        <v>186</v>
      </c>
      <c r="C57" s="1" t="b">
        <v>1</v>
      </c>
      <c r="D57" s="1" t="b">
        <v>1</v>
      </c>
      <c r="E57" s="1" t="s">
        <v>37</v>
      </c>
      <c r="F57" s="1" t="s">
        <v>148</v>
      </c>
      <c r="G57" s="2">
        <f>+251969811708</f>
        <v>251969811708</v>
      </c>
      <c r="H57" s="1" t="s">
        <v>80</v>
      </c>
      <c r="I57" s="1" t="s">
        <v>19</v>
      </c>
      <c r="J57" s="1" t="s">
        <v>19</v>
      </c>
      <c r="K57" s="1" t="s">
        <v>25</v>
      </c>
      <c r="L57" s="1">
        <v>21.66</v>
      </c>
      <c r="M57" s="1" t="s">
        <v>21</v>
      </c>
      <c r="O57" s="1">
        <v>2.14764465359E11</v>
      </c>
    </row>
    <row r="58">
      <c r="A58" s="1">
        <v>1338298.0</v>
      </c>
      <c r="B58" s="1" t="s">
        <v>187</v>
      </c>
      <c r="C58" s="1" t="b">
        <v>1</v>
      </c>
      <c r="D58" s="1" t="b">
        <v>1</v>
      </c>
      <c r="E58" s="1" t="s">
        <v>188</v>
      </c>
      <c r="F58" s="1" t="s">
        <v>189</v>
      </c>
      <c r="G58" s="2">
        <f>+251977423120</f>
        <v>251977423120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27.8</v>
      </c>
      <c r="M58" s="1" t="s">
        <v>21</v>
      </c>
      <c r="O58" s="1">
        <v>28806.0</v>
      </c>
    </row>
    <row r="59">
      <c r="A59" s="1">
        <v>2666389.0</v>
      </c>
      <c r="B59" s="1" t="s">
        <v>190</v>
      </c>
      <c r="C59" s="1" t="b">
        <v>1</v>
      </c>
      <c r="D59" s="1" t="b">
        <v>1</v>
      </c>
      <c r="E59" s="1" t="s">
        <v>191</v>
      </c>
      <c r="F59" s="1" t="s">
        <v>192</v>
      </c>
      <c r="G59" s="2">
        <f>+251901690127</f>
        <v>251901690127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21.93</v>
      </c>
      <c r="M59" s="1" t="s">
        <v>21</v>
      </c>
    </row>
    <row r="60">
      <c r="A60" s="1">
        <v>2666502.0</v>
      </c>
      <c r="B60" s="1" t="s">
        <v>193</v>
      </c>
      <c r="C60" s="1" t="b">
        <v>1</v>
      </c>
      <c r="D60" s="1" t="b">
        <v>1</v>
      </c>
      <c r="E60" s="1" t="s">
        <v>194</v>
      </c>
      <c r="F60" s="1" t="s">
        <v>195</v>
      </c>
      <c r="G60" s="2">
        <f>+251924328213</f>
        <v>251924328213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28.14</v>
      </c>
      <c r="M60" s="1" t="s">
        <v>21</v>
      </c>
      <c r="O60" s="1">
        <v>8869480.0</v>
      </c>
    </row>
    <row r="61">
      <c r="A61" s="1">
        <v>2667569.0</v>
      </c>
      <c r="B61" s="1" t="s">
        <v>196</v>
      </c>
      <c r="C61" s="1" t="b">
        <v>1</v>
      </c>
      <c r="D61" s="1" t="b">
        <v>1</v>
      </c>
      <c r="E61" s="1" t="s">
        <v>53</v>
      </c>
      <c r="F61" s="1" t="s">
        <v>197</v>
      </c>
      <c r="G61" s="2">
        <f>+251900910226</f>
        <v>251900910226</v>
      </c>
      <c r="H61" s="1" t="s">
        <v>72</v>
      </c>
      <c r="I61" s="1" t="s">
        <v>19</v>
      </c>
      <c r="J61" s="1" t="s">
        <v>19</v>
      </c>
      <c r="K61" s="1" t="s">
        <v>20</v>
      </c>
      <c r="L61" s="1">
        <v>20.87</v>
      </c>
      <c r="M61" s="1" t="s">
        <v>21</v>
      </c>
      <c r="O61" s="1">
        <v>2.15247209676E11</v>
      </c>
    </row>
    <row r="62">
      <c r="A62" s="1">
        <v>69486.0</v>
      </c>
      <c r="B62" s="1" t="s">
        <v>198</v>
      </c>
      <c r="C62" s="1" t="b">
        <v>1</v>
      </c>
      <c r="D62" s="1" t="b">
        <v>1</v>
      </c>
      <c r="E62" s="1" t="s">
        <v>157</v>
      </c>
      <c r="F62" s="1" t="s">
        <v>45</v>
      </c>
      <c r="G62" s="1">
        <v>9.46428897E8</v>
      </c>
      <c r="H62" s="1" t="s">
        <v>18</v>
      </c>
      <c r="I62" s="1" t="s">
        <v>19</v>
      </c>
      <c r="J62" s="1" t="s">
        <v>19</v>
      </c>
      <c r="K62" s="1" t="s">
        <v>20</v>
      </c>
      <c r="L62" s="1">
        <v>25.33</v>
      </c>
      <c r="M62" s="1" t="s">
        <v>33</v>
      </c>
      <c r="N62" s="1" t="s">
        <v>65</v>
      </c>
      <c r="O62" s="1">
        <v>8807167.0</v>
      </c>
    </row>
    <row r="63">
      <c r="A63" s="1">
        <v>2668191.0</v>
      </c>
      <c r="B63" s="1" t="s">
        <v>199</v>
      </c>
      <c r="C63" s="1" t="b">
        <v>0</v>
      </c>
      <c r="D63" s="1" t="b">
        <v>1</v>
      </c>
      <c r="E63" s="1" t="s">
        <v>200</v>
      </c>
      <c r="F63" s="1" t="s">
        <v>201</v>
      </c>
      <c r="G63" s="2">
        <f>+251912006765</f>
        <v>251912006765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26.43</v>
      </c>
      <c r="M63" s="1" t="s">
        <v>33</v>
      </c>
      <c r="N63" s="1" t="s">
        <v>65</v>
      </c>
      <c r="O63" s="1">
        <v>2.15551396036E11</v>
      </c>
    </row>
    <row r="64">
      <c r="A64" s="1">
        <v>2668657.0</v>
      </c>
      <c r="B64" s="1" t="s">
        <v>202</v>
      </c>
      <c r="C64" s="1" t="b">
        <v>0</v>
      </c>
      <c r="D64" s="1" t="b">
        <v>1</v>
      </c>
      <c r="E64" s="1" t="s">
        <v>203</v>
      </c>
      <c r="F64" s="1" t="s">
        <v>204</v>
      </c>
      <c r="G64" s="2">
        <f>+251977313790</f>
        <v>251977313790</v>
      </c>
      <c r="H64" s="1" t="s">
        <v>18</v>
      </c>
      <c r="I64" s="1" t="s">
        <v>19</v>
      </c>
      <c r="J64" s="1" t="s">
        <v>19</v>
      </c>
      <c r="K64" s="1" t="s">
        <v>20</v>
      </c>
      <c r="L64" s="1">
        <v>17.45</v>
      </c>
      <c r="M64" s="1" t="s">
        <v>33</v>
      </c>
      <c r="N64" s="1" t="s">
        <v>65</v>
      </c>
      <c r="O64" s="1">
        <v>2.15683688658E11</v>
      </c>
    </row>
    <row r="65">
      <c r="A65" s="1">
        <v>2668934.0</v>
      </c>
      <c r="B65" s="1" t="s">
        <v>205</v>
      </c>
      <c r="C65" s="1" t="b">
        <v>1</v>
      </c>
      <c r="D65" s="1" t="b">
        <v>1</v>
      </c>
      <c r="E65" s="1" t="s">
        <v>206</v>
      </c>
      <c r="F65" s="1" t="s">
        <v>207</v>
      </c>
      <c r="G65" s="2">
        <f>+251948078990</f>
        <v>251948078990</v>
      </c>
      <c r="H65" s="1" t="s">
        <v>18</v>
      </c>
      <c r="I65" s="1" t="s">
        <v>19</v>
      </c>
      <c r="J65" s="1" t="s">
        <v>19</v>
      </c>
      <c r="K65" s="1" t="s">
        <v>25</v>
      </c>
      <c r="L65" s="1">
        <v>25.44</v>
      </c>
      <c r="M65" s="1" t="s">
        <v>21</v>
      </c>
    </row>
    <row r="66">
      <c r="A66" s="1">
        <v>346761.0</v>
      </c>
      <c r="B66" s="1" t="s">
        <v>208</v>
      </c>
      <c r="C66" s="1" t="b">
        <v>1</v>
      </c>
      <c r="D66" s="1" t="b">
        <v>1</v>
      </c>
      <c r="E66" s="1" t="s">
        <v>209</v>
      </c>
      <c r="F66" s="1" t="s">
        <v>210</v>
      </c>
      <c r="G66" s="2">
        <f>+251923000050</f>
        <v>251923000050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38.09</v>
      </c>
      <c r="M66" s="1" t="s">
        <v>21</v>
      </c>
      <c r="O66" s="1">
        <v>561356.0</v>
      </c>
    </row>
    <row r="67">
      <c r="A67" s="1">
        <v>1793471.0</v>
      </c>
      <c r="B67" s="1" t="s">
        <v>211</v>
      </c>
      <c r="C67" s="1" t="b">
        <v>1</v>
      </c>
      <c r="D67" s="1" t="b">
        <v>1</v>
      </c>
      <c r="E67" s="1" t="s">
        <v>212</v>
      </c>
      <c r="F67" s="1" t="s">
        <v>213</v>
      </c>
      <c r="G67" s="2">
        <f>+251931503581</f>
        <v>251931503581</v>
      </c>
      <c r="H67" s="1" t="s">
        <v>214</v>
      </c>
      <c r="I67" s="1" t="s">
        <v>19</v>
      </c>
      <c r="J67" s="1" t="s">
        <v>19</v>
      </c>
      <c r="K67" s="1" t="s">
        <v>25</v>
      </c>
      <c r="L67" s="1">
        <v>21.69</v>
      </c>
      <c r="M67" s="1" t="s">
        <v>21</v>
      </c>
      <c r="O67" s="1">
        <v>2.4270677231E10</v>
      </c>
    </row>
    <row r="68">
      <c r="A68" s="1">
        <v>1695947.0</v>
      </c>
      <c r="B68" s="1" t="s">
        <v>215</v>
      </c>
      <c r="C68" s="1" t="b">
        <v>1</v>
      </c>
      <c r="D68" s="1" t="b">
        <v>1</v>
      </c>
      <c r="E68" s="1" t="s">
        <v>104</v>
      </c>
      <c r="F68" s="1" t="s">
        <v>105</v>
      </c>
      <c r="G68" s="2">
        <f>+251994370886</f>
        <v>251994370886</v>
      </c>
      <c r="H68" s="1" t="s">
        <v>18</v>
      </c>
      <c r="I68" s="1" t="s">
        <v>19</v>
      </c>
      <c r="J68" s="1" t="s">
        <v>19</v>
      </c>
      <c r="K68" s="1" t="s">
        <v>20</v>
      </c>
      <c r="L68" s="1">
        <v>21.28</v>
      </c>
      <c r="M68" s="1" t="s">
        <v>21</v>
      </c>
      <c r="O68" s="1">
        <v>2.1897562323E10</v>
      </c>
    </row>
    <row r="69">
      <c r="A69" s="1">
        <v>2670515.0</v>
      </c>
      <c r="B69" s="1" t="s">
        <v>216</v>
      </c>
      <c r="C69" s="1" t="b">
        <v>1</v>
      </c>
      <c r="D69" s="1" t="b">
        <v>0</v>
      </c>
      <c r="E69" s="1" t="s">
        <v>217</v>
      </c>
      <c r="F69" s="1" t="s">
        <v>218</v>
      </c>
      <c r="G69" s="1">
        <v>2.51922079552E11</v>
      </c>
      <c r="H69" s="1" t="s">
        <v>18</v>
      </c>
      <c r="I69" s="1" t="s">
        <v>19</v>
      </c>
      <c r="J69" s="1" t="s">
        <v>19</v>
      </c>
      <c r="K69" s="1" t="s">
        <v>25</v>
      </c>
      <c r="L69" s="1">
        <v>25.33</v>
      </c>
      <c r="M69" s="1" t="s">
        <v>21</v>
      </c>
      <c r="O69" s="1">
        <v>1899466.0</v>
      </c>
    </row>
    <row r="70">
      <c r="A70" s="1">
        <v>2670624.0</v>
      </c>
      <c r="B70" s="1" t="s">
        <v>219</v>
      </c>
      <c r="C70" s="1" t="b">
        <v>1</v>
      </c>
      <c r="D70" s="1" t="b">
        <v>0</v>
      </c>
      <c r="E70" s="1" t="s">
        <v>220</v>
      </c>
      <c r="F70" s="1" t="s">
        <v>221</v>
      </c>
      <c r="G70" s="2">
        <f>+251938823882</f>
        <v>251938823882</v>
      </c>
      <c r="H70" s="1" t="s">
        <v>18</v>
      </c>
      <c r="I70" s="1" t="s">
        <v>19</v>
      </c>
      <c r="J70" s="1" t="s">
        <v>19</v>
      </c>
      <c r="K70" s="1" t="s">
        <v>25</v>
      </c>
      <c r="L70" s="1">
        <v>24.41</v>
      </c>
      <c r="M70" s="1" t="s">
        <v>33</v>
      </c>
      <c r="N70" s="1" t="s">
        <v>34</v>
      </c>
      <c r="O70" s="1">
        <v>5180060.0</v>
      </c>
    </row>
    <row r="71">
      <c r="A71" s="1">
        <v>1554312.0</v>
      </c>
      <c r="B71" s="1" t="s">
        <v>222</v>
      </c>
      <c r="C71" s="1" t="b">
        <v>1</v>
      </c>
      <c r="D71" s="1" t="b">
        <v>1</v>
      </c>
      <c r="E71" s="1" t="s">
        <v>223</v>
      </c>
      <c r="F71" s="1" t="s">
        <v>117</v>
      </c>
      <c r="G71" s="2">
        <f>+251942858885</f>
        <v>251942858885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20.75</v>
      </c>
      <c r="M71" s="1" t="s">
        <v>33</v>
      </c>
      <c r="N71" s="1" t="s">
        <v>34</v>
      </c>
      <c r="O71" s="1">
        <v>1.8550550498E10</v>
      </c>
    </row>
    <row r="72">
      <c r="A72" s="1">
        <v>2493356.0</v>
      </c>
      <c r="B72" s="1" t="s">
        <v>224</v>
      </c>
      <c r="C72" s="1" t="b">
        <v>1</v>
      </c>
      <c r="D72" s="1" t="b">
        <v>1</v>
      </c>
      <c r="E72" s="1" t="s">
        <v>60</v>
      </c>
      <c r="F72" s="1" t="s">
        <v>225</v>
      </c>
      <c r="G72" s="2">
        <f>+251940250708</f>
        <v>251940250708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20.42</v>
      </c>
      <c r="M72" s="1" t="s">
        <v>33</v>
      </c>
      <c r="N72" s="1" t="s">
        <v>166</v>
      </c>
      <c r="O72" s="1">
        <v>1.51328830713E11</v>
      </c>
    </row>
    <row r="73">
      <c r="A73" s="1">
        <v>2462426.0</v>
      </c>
      <c r="B73" s="1" t="s">
        <v>226</v>
      </c>
      <c r="C73" s="1" t="b">
        <v>1</v>
      </c>
      <c r="D73" s="1" t="b">
        <v>1</v>
      </c>
      <c r="E73" s="1" t="s">
        <v>67</v>
      </c>
      <c r="F73" s="1" t="s">
        <v>227</v>
      </c>
      <c r="G73" s="2">
        <f>+251948390432</f>
        <v>251948390432</v>
      </c>
      <c r="H73" s="1" t="s">
        <v>18</v>
      </c>
      <c r="I73" s="1" t="s">
        <v>19</v>
      </c>
      <c r="J73" s="1" t="s">
        <v>19</v>
      </c>
      <c r="K73" s="1" t="s">
        <v>25</v>
      </c>
      <c r="L73" s="1">
        <v>19.29</v>
      </c>
      <c r="M73" s="1" t="s">
        <v>21</v>
      </c>
      <c r="O73" s="1">
        <v>1.1160047231E11</v>
      </c>
    </row>
    <row r="74">
      <c r="A74" s="1">
        <v>2671554.0</v>
      </c>
      <c r="B74" s="1" t="s">
        <v>228</v>
      </c>
      <c r="C74" s="1" t="b">
        <v>1</v>
      </c>
      <c r="D74" s="1" t="b">
        <v>1</v>
      </c>
      <c r="E74" s="1" t="s">
        <v>229</v>
      </c>
      <c r="F74" s="1" t="s">
        <v>230</v>
      </c>
      <c r="G74" s="2">
        <f>+251706511480</f>
        <v>251706511480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23.13</v>
      </c>
      <c r="M74" s="1" t="s">
        <v>21</v>
      </c>
    </row>
    <row r="75">
      <c r="A75" s="1">
        <v>8761.0</v>
      </c>
      <c r="B75" s="1" t="s">
        <v>231</v>
      </c>
      <c r="C75" s="1" t="b">
        <v>1</v>
      </c>
      <c r="D75" s="1" t="b">
        <v>1</v>
      </c>
      <c r="E75" s="1" t="s">
        <v>37</v>
      </c>
      <c r="F75" s="1" t="s">
        <v>148</v>
      </c>
      <c r="G75" s="1">
        <v>9.4047913E8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32.6</v>
      </c>
      <c r="M75" s="1" t="s">
        <v>21</v>
      </c>
      <c r="O75" s="1">
        <v>1.9797911E7</v>
      </c>
    </row>
    <row r="76">
      <c r="A76" s="1">
        <v>2671764.0</v>
      </c>
      <c r="B76" s="1" t="s">
        <v>232</v>
      </c>
      <c r="C76" s="1" t="b">
        <v>1</v>
      </c>
      <c r="D76" s="1" t="b">
        <v>0</v>
      </c>
      <c r="E76" s="1" t="s">
        <v>233</v>
      </c>
      <c r="F76" s="1" t="s">
        <v>234</v>
      </c>
      <c r="G76" s="2">
        <f>+251926719091</f>
        <v>251926719091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36.41</v>
      </c>
      <c r="M76" s="1" t="s">
        <v>33</v>
      </c>
      <c r="N76" s="1" t="s">
        <v>235</v>
      </c>
    </row>
    <row r="77">
      <c r="A77" s="1">
        <v>2438067.0</v>
      </c>
      <c r="B77" s="1" t="s">
        <v>236</v>
      </c>
      <c r="C77" s="1" t="b">
        <v>1</v>
      </c>
      <c r="D77" s="1" t="b">
        <v>1</v>
      </c>
      <c r="E77" s="1" t="s">
        <v>237</v>
      </c>
      <c r="F77" s="1" t="s">
        <v>238</v>
      </c>
      <c r="G77" s="2">
        <f>+251929925224</f>
        <v>251929925224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21.85</v>
      </c>
      <c r="M77" s="1" t="s">
        <v>33</v>
      </c>
      <c r="N77" s="1" t="s">
        <v>118</v>
      </c>
      <c r="O77" s="1">
        <v>1.03584392423E11</v>
      </c>
    </row>
    <row r="78">
      <c r="A78" s="1">
        <v>2673959.0</v>
      </c>
      <c r="B78" s="1" t="s">
        <v>239</v>
      </c>
      <c r="C78" s="1" t="b">
        <v>1</v>
      </c>
      <c r="D78" s="1" t="b">
        <v>1</v>
      </c>
      <c r="E78" s="1" t="s">
        <v>240</v>
      </c>
      <c r="F78" s="1" t="s">
        <v>241</v>
      </c>
      <c r="G78" s="2">
        <f>+251909909563</f>
        <v>251909909563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21.7</v>
      </c>
      <c r="M78" s="1" t="s">
        <v>21</v>
      </c>
      <c r="O78" s="1">
        <v>3252329.0</v>
      </c>
    </row>
    <row r="79">
      <c r="A79" s="1">
        <v>2674045.0</v>
      </c>
      <c r="B79" s="1" t="s">
        <v>242</v>
      </c>
      <c r="C79" s="1" t="b">
        <v>1</v>
      </c>
      <c r="D79" s="1" t="b">
        <v>1</v>
      </c>
      <c r="E79" s="1" t="s">
        <v>67</v>
      </c>
      <c r="F79" s="1" t="s">
        <v>243</v>
      </c>
      <c r="G79" s="2">
        <f>+251948390432</f>
        <v>251948390432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21.3</v>
      </c>
      <c r="M79" s="1" t="s">
        <v>21</v>
      </c>
      <c r="O79" s="1">
        <v>2.18451751144E11</v>
      </c>
    </row>
    <row r="80">
      <c r="A80" s="1">
        <v>1510278.0</v>
      </c>
      <c r="B80" s="1" t="s">
        <v>244</v>
      </c>
      <c r="C80" s="1" t="b">
        <v>1</v>
      </c>
      <c r="D80" s="1" t="b">
        <v>1</v>
      </c>
      <c r="E80" s="1" t="s">
        <v>245</v>
      </c>
      <c r="F80" s="1" t="s">
        <v>246</v>
      </c>
      <c r="G80" s="1">
        <v>9.23457892E8</v>
      </c>
      <c r="H80" s="1" t="s">
        <v>18</v>
      </c>
      <c r="I80" s="1" t="s">
        <v>19</v>
      </c>
      <c r="J80" s="1" t="s">
        <v>19</v>
      </c>
      <c r="K80" s="1" t="s">
        <v>20</v>
      </c>
      <c r="L80" s="1">
        <v>23.43</v>
      </c>
      <c r="M80" s="1" t="s">
        <v>33</v>
      </c>
      <c r="N80" s="1" t="s">
        <v>65</v>
      </c>
      <c r="O80" s="1">
        <v>6563158.0</v>
      </c>
    </row>
    <row r="81">
      <c r="A81" s="1">
        <v>2675288.0</v>
      </c>
      <c r="B81" s="1" t="s">
        <v>247</v>
      </c>
      <c r="C81" s="1" t="b">
        <v>1</v>
      </c>
      <c r="D81" s="1" t="b">
        <v>1</v>
      </c>
      <c r="E81" s="1" t="s">
        <v>248</v>
      </c>
      <c r="F81" s="1" t="s">
        <v>220</v>
      </c>
      <c r="G81" s="2">
        <f>+251938137052</f>
        <v>251938137052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19.33</v>
      </c>
      <c r="M81" s="1" t="s">
        <v>21</v>
      </c>
      <c r="O81" s="1">
        <v>2.18835905763E11</v>
      </c>
    </row>
    <row r="82">
      <c r="A82" s="1">
        <v>2471393.0</v>
      </c>
      <c r="B82" s="1" t="s">
        <v>249</v>
      </c>
      <c r="C82" s="1" t="b">
        <v>1</v>
      </c>
      <c r="D82" s="1" t="b">
        <v>1</v>
      </c>
      <c r="E82" s="1" t="s">
        <v>250</v>
      </c>
      <c r="F82" s="1" t="s">
        <v>251</v>
      </c>
      <c r="G82" s="2">
        <f>+251976032509</f>
        <v>251976032509</v>
      </c>
      <c r="H82" s="1" t="s">
        <v>18</v>
      </c>
      <c r="I82" s="1" t="s">
        <v>19</v>
      </c>
      <c r="J82" s="1" t="s">
        <v>19</v>
      </c>
      <c r="K82" s="1" t="s">
        <v>25</v>
      </c>
      <c r="L82" s="1">
        <v>21.73</v>
      </c>
      <c r="M82" s="1" t="s">
        <v>21</v>
      </c>
      <c r="O82" s="1">
        <v>1.14150317266E11</v>
      </c>
    </row>
    <row r="83">
      <c r="A83" s="1">
        <v>2676092.0</v>
      </c>
      <c r="B83" s="1" t="s">
        <v>252</v>
      </c>
      <c r="C83" s="1" t="b">
        <v>1</v>
      </c>
      <c r="D83" s="1" t="b">
        <v>1</v>
      </c>
      <c r="E83" s="1" t="s">
        <v>253</v>
      </c>
      <c r="F83" s="1" t="s">
        <v>37</v>
      </c>
      <c r="G83" s="2">
        <f>+251902884540</f>
        <v>251902884540</v>
      </c>
      <c r="H83" s="1" t="s">
        <v>18</v>
      </c>
      <c r="I83" s="1" t="s">
        <v>19</v>
      </c>
      <c r="J83" s="1" t="s">
        <v>19</v>
      </c>
      <c r="K83" s="1" t="s">
        <v>25</v>
      </c>
      <c r="L83" s="1">
        <v>20.53</v>
      </c>
      <c r="M83" s="1" t="s">
        <v>33</v>
      </c>
      <c r="N83" s="1" t="s">
        <v>34</v>
      </c>
      <c r="O83" s="1">
        <v>2.19065766083E11</v>
      </c>
    </row>
    <row r="84">
      <c r="A84" s="1">
        <v>2677317.0</v>
      </c>
      <c r="B84" s="1" t="s">
        <v>254</v>
      </c>
      <c r="C84" s="1" t="b">
        <v>1</v>
      </c>
      <c r="D84" s="1" t="b">
        <v>1</v>
      </c>
      <c r="E84" s="1" t="s">
        <v>16</v>
      </c>
      <c r="F84" s="1" t="s">
        <v>255</v>
      </c>
      <c r="G84" s="2">
        <f>+251902503952</f>
        <v>251902503952</v>
      </c>
      <c r="H84" s="1" t="s">
        <v>18</v>
      </c>
      <c r="I84" s="1" t="s">
        <v>19</v>
      </c>
      <c r="J84" s="1" t="s">
        <v>19</v>
      </c>
      <c r="K84" s="1" t="s">
        <v>20</v>
      </c>
      <c r="L84" s="1">
        <v>21.04</v>
      </c>
      <c r="M84" s="1" t="s">
        <v>21</v>
      </c>
      <c r="O84" s="1">
        <v>2.19448021214E11</v>
      </c>
    </row>
    <row r="85">
      <c r="A85" s="1">
        <v>1846254.0</v>
      </c>
      <c r="B85" s="1" t="s">
        <v>256</v>
      </c>
      <c r="C85" s="1" t="b">
        <v>1</v>
      </c>
      <c r="D85" s="1" t="b">
        <v>1</v>
      </c>
      <c r="E85" s="1" t="s">
        <v>257</v>
      </c>
      <c r="F85" s="1" t="s">
        <v>258</v>
      </c>
      <c r="G85" s="2">
        <f>+251915771277</f>
        <v>251915771277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20.12</v>
      </c>
      <c r="M85" s="1" t="s">
        <v>21</v>
      </c>
      <c r="O85" s="1">
        <v>2.5286627285E10</v>
      </c>
    </row>
    <row r="86">
      <c r="A86" s="1">
        <v>1992603.0</v>
      </c>
      <c r="B86" s="1" t="s">
        <v>259</v>
      </c>
      <c r="C86" s="1" t="b">
        <v>1</v>
      </c>
      <c r="D86" s="1" t="b">
        <v>1</v>
      </c>
      <c r="E86" s="1" t="s">
        <v>67</v>
      </c>
      <c r="F86" s="1" t="s">
        <v>260</v>
      </c>
      <c r="G86" s="1">
        <v>9.39796328E8</v>
      </c>
      <c r="H86" s="1" t="s">
        <v>58</v>
      </c>
      <c r="I86" s="1" t="s">
        <v>19</v>
      </c>
      <c r="J86" s="1" t="s">
        <v>19</v>
      </c>
      <c r="K86" s="1" t="s">
        <v>25</v>
      </c>
      <c r="L86" s="1">
        <v>41.05</v>
      </c>
      <c r="M86" s="1" t="s">
        <v>33</v>
      </c>
      <c r="N86" s="1" t="s">
        <v>65</v>
      </c>
      <c r="O86" s="1">
        <v>3.1171841989E10</v>
      </c>
    </row>
    <row r="87">
      <c r="A87" s="1">
        <v>2678320.0</v>
      </c>
      <c r="B87" s="1" t="s">
        <v>261</v>
      </c>
      <c r="C87" s="1" t="b">
        <v>1</v>
      </c>
      <c r="D87" s="1" t="b">
        <v>1</v>
      </c>
      <c r="E87" s="1" t="s">
        <v>60</v>
      </c>
      <c r="F87" s="1" t="s">
        <v>262</v>
      </c>
      <c r="G87" s="2">
        <f>+251925654056</f>
        <v>251925654056</v>
      </c>
      <c r="H87" s="1" t="s">
        <v>18</v>
      </c>
      <c r="I87" s="1" t="s">
        <v>19</v>
      </c>
      <c r="J87" s="1" t="s">
        <v>19</v>
      </c>
      <c r="K87" s="1" t="s">
        <v>25</v>
      </c>
      <c r="L87" s="1">
        <v>24.76</v>
      </c>
      <c r="M87" s="1" t="s">
        <v>21</v>
      </c>
      <c r="O87" s="1">
        <v>1170538.0</v>
      </c>
    </row>
    <row r="88">
      <c r="A88" s="1">
        <v>2679236.0</v>
      </c>
      <c r="B88" s="1" t="s">
        <v>263</v>
      </c>
      <c r="C88" s="1" t="b">
        <v>0</v>
      </c>
      <c r="D88" s="1" t="b">
        <v>1</v>
      </c>
      <c r="E88" s="1" t="s">
        <v>264</v>
      </c>
      <c r="F88" s="1" t="s">
        <v>149</v>
      </c>
      <c r="G88" s="2">
        <f>+251984031238</f>
        <v>251984031238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19.98</v>
      </c>
      <c r="M88" s="1" t="s">
        <v>26</v>
      </c>
      <c r="O88" s="1">
        <v>2.20152482034E11</v>
      </c>
    </row>
    <row r="89">
      <c r="A89" s="1">
        <v>2679678.0</v>
      </c>
      <c r="B89" s="1" t="s">
        <v>265</v>
      </c>
      <c r="C89" s="1" t="b">
        <v>1</v>
      </c>
      <c r="D89" s="1" t="b">
        <v>1</v>
      </c>
      <c r="E89" s="1" t="s">
        <v>60</v>
      </c>
      <c r="F89" s="1" t="s">
        <v>266</v>
      </c>
      <c r="G89" s="2">
        <f>+251983315117</f>
        <v>251983315117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25.1</v>
      </c>
      <c r="M89" s="1" t="s">
        <v>21</v>
      </c>
      <c r="O89" s="1">
        <v>2.20283189435E11</v>
      </c>
    </row>
    <row r="90">
      <c r="A90" s="1">
        <v>65505.0</v>
      </c>
      <c r="B90" s="1" t="s">
        <v>267</v>
      </c>
      <c r="C90" s="1" t="b">
        <v>1</v>
      </c>
      <c r="D90" s="1" t="b">
        <v>1</v>
      </c>
      <c r="E90" s="1" t="s">
        <v>204</v>
      </c>
      <c r="F90" s="1" t="s">
        <v>108</v>
      </c>
      <c r="G90" s="2">
        <f>+251960129451</f>
        <v>251960129451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35.99</v>
      </c>
      <c r="M90" s="1" t="s">
        <v>21</v>
      </c>
      <c r="O90" s="1">
        <v>1850111.0</v>
      </c>
    </row>
    <row r="91">
      <c r="A91" s="1">
        <v>2681016.0</v>
      </c>
      <c r="B91" s="1" t="s">
        <v>268</v>
      </c>
      <c r="C91" s="1" t="b">
        <v>1</v>
      </c>
      <c r="D91" s="1" t="b">
        <v>1</v>
      </c>
      <c r="E91" s="1" t="s">
        <v>269</v>
      </c>
      <c r="F91" s="1" t="s">
        <v>270</v>
      </c>
      <c r="G91" s="2">
        <f>+251993848707</f>
        <v>251993848707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23.15</v>
      </c>
      <c r="M91" s="1" t="s">
        <v>21</v>
      </c>
    </row>
    <row r="92">
      <c r="A92" s="1">
        <v>2325719.0</v>
      </c>
      <c r="B92" s="1" t="s">
        <v>271</v>
      </c>
      <c r="C92" s="1" t="b">
        <v>1</v>
      </c>
      <c r="D92" s="1" t="b">
        <v>1</v>
      </c>
      <c r="E92" s="1" t="s">
        <v>272</v>
      </c>
      <c r="F92" s="1" t="s">
        <v>273</v>
      </c>
      <c r="G92" s="2">
        <f>+251928733095</f>
        <v>251928733095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29.96</v>
      </c>
      <c r="M92" s="1" t="s">
        <v>21</v>
      </c>
      <c r="O92" s="1">
        <v>762110.0</v>
      </c>
    </row>
    <row r="93">
      <c r="A93" s="1">
        <v>2682078.0</v>
      </c>
      <c r="B93" s="1" t="s">
        <v>274</v>
      </c>
      <c r="C93" s="1" t="b">
        <v>1</v>
      </c>
      <c r="D93" s="1" t="b">
        <v>1</v>
      </c>
      <c r="E93" s="1" t="s">
        <v>108</v>
      </c>
      <c r="F93" s="1" t="s">
        <v>275</v>
      </c>
      <c r="G93" s="2">
        <f>+251911917106</f>
        <v>251911917106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42.83</v>
      </c>
      <c r="M93" s="1" t="s">
        <v>33</v>
      </c>
      <c r="N93" s="1" t="s">
        <v>76</v>
      </c>
      <c r="O93" s="1">
        <v>2.20850945239E11</v>
      </c>
    </row>
    <row r="94">
      <c r="A94" s="1">
        <v>2626900.0</v>
      </c>
      <c r="B94" s="1" t="s">
        <v>276</v>
      </c>
      <c r="C94" s="1" t="b">
        <v>1</v>
      </c>
      <c r="D94" s="1" t="b">
        <v>1</v>
      </c>
      <c r="E94" s="1" t="s">
        <v>277</v>
      </c>
      <c r="F94" s="1" t="s">
        <v>278</v>
      </c>
      <c r="G94" s="2">
        <f>+251982174331</f>
        <v>251982174331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19.35</v>
      </c>
      <c r="M94" s="1" t="s">
        <v>33</v>
      </c>
      <c r="N94" s="1" t="s">
        <v>166</v>
      </c>
      <c r="O94" s="1">
        <v>1.97532822753E11</v>
      </c>
    </row>
    <row r="95">
      <c r="A95" s="1">
        <v>2682893.0</v>
      </c>
      <c r="B95" s="1" t="s">
        <v>279</v>
      </c>
      <c r="C95" s="1" t="b">
        <v>1</v>
      </c>
      <c r="D95" s="1" t="b">
        <v>1</v>
      </c>
      <c r="E95" s="1" t="s">
        <v>280</v>
      </c>
      <c r="F95" s="1" t="s">
        <v>281</v>
      </c>
      <c r="G95" s="2">
        <f>+251986541642</f>
        <v>251986541642</v>
      </c>
      <c r="H95" s="1" t="s">
        <v>18</v>
      </c>
      <c r="I95" s="1" t="s">
        <v>19</v>
      </c>
      <c r="J95" s="1" t="s">
        <v>19</v>
      </c>
      <c r="K95" s="1" t="s">
        <v>25</v>
      </c>
      <c r="L95" s="1">
        <v>21.51</v>
      </c>
      <c r="M95" s="1" t="s">
        <v>21</v>
      </c>
      <c r="O95" s="1">
        <v>2.21095197935E11</v>
      </c>
    </row>
    <row r="96">
      <c r="A96" s="1">
        <v>2683147.0</v>
      </c>
      <c r="B96" s="1" t="s">
        <v>282</v>
      </c>
      <c r="C96" s="1" t="b">
        <v>0</v>
      </c>
      <c r="D96" s="1" t="b">
        <v>1</v>
      </c>
      <c r="E96" s="1" t="s">
        <v>283</v>
      </c>
      <c r="F96" s="1" t="s">
        <v>284</v>
      </c>
      <c r="G96" s="2">
        <f>+251922253372</f>
        <v>251922253372</v>
      </c>
      <c r="H96" s="1" t="s">
        <v>18</v>
      </c>
      <c r="I96" s="1" t="s">
        <v>19</v>
      </c>
      <c r="J96" s="1" t="s">
        <v>19</v>
      </c>
      <c r="K96" s="1" t="s">
        <v>25</v>
      </c>
      <c r="L96" s="1">
        <v>34.2</v>
      </c>
      <c r="M96" s="1" t="s">
        <v>33</v>
      </c>
      <c r="N96" s="1" t="s">
        <v>177</v>
      </c>
      <c r="O96" s="1">
        <v>2.21217172714E11</v>
      </c>
    </row>
    <row r="97">
      <c r="A97" s="1">
        <v>2684282.0</v>
      </c>
      <c r="B97" s="1" t="s">
        <v>285</v>
      </c>
      <c r="C97" s="1" t="b">
        <v>1</v>
      </c>
      <c r="D97" s="1" t="b">
        <v>1</v>
      </c>
      <c r="E97" s="1" t="s">
        <v>286</v>
      </c>
      <c r="F97" s="1" t="s">
        <v>287</v>
      </c>
      <c r="G97" s="2">
        <f>+251996845924</f>
        <v>251996845924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20.05</v>
      </c>
      <c r="M97" s="1" t="s">
        <v>21</v>
      </c>
      <c r="O97" s="1">
        <v>7.9482776793E10</v>
      </c>
    </row>
    <row r="98">
      <c r="A98" s="1">
        <v>484678.0</v>
      </c>
      <c r="B98" s="1" t="s">
        <v>288</v>
      </c>
      <c r="C98" s="1" t="b">
        <v>1</v>
      </c>
      <c r="D98" s="1" t="b">
        <v>1</v>
      </c>
      <c r="E98" s="1" t="s">
        <v>289</v>
      </c>
      <c r="F98" s="1" t="s">
        <v>290</v>
      </c>
      <c r="G98" s="2">
        <f>+251987023118</f>
        <v>251987023118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30.01</v>
      </c>
      <c r="M98" s="1" t="s">
        <v>33</v>
      </c>
      <c r="N98" s="1" t="s">
        <v>118</v>
      </c>
      <c r="O98" s="1">
        <v>8739044.0</v>
      </c>
    </row>
    <row r="99">
      <c r="A99" s="1">
        <v>8183.0</v>
      </c>
      <c r="B99" s="1" t="s">
        <v>291</v>
      </c>
      <c r="C99" s="1" t="b">
        <v>1</v>
      </c>
      <c r="D99" s="1" t="b">
        <v>1</v>
      </c>
      <c r="E99" s="1" t="s">
        <v>107</v>
      </c>
      <c r="F99" s="1" t="s">
        <v>292</v>
      </c>
      <c r="G99" s="2">
        <f>+251977246553</f>
        <v>251977246553</v>
      </c>
      <c r="H99" s="1" t="s">
        <v>18</v>
      </c>
      <c r="I99" s="1" t="s">
        <v>19</v>
      </c>
      <c r="J99" s="1" t="s">
        <v>19</v>
      </c>
      <c r="K99" s="1" t="s">
        <v>20</v>
      </c>
      <c r="L99" s="1">
        <v>21.63</v>
      </c>
      <c r="M99" s="1" t="s">
        <v>21</v>
      </c>
      <c r="O99" s="1">
        <v>1.0172401E7</v>
      </c>
    </row>
    <row r="100">
      <c r="A100" s="1">
        <v>371024.0</v>
      </c>
      <c r="B100" s="1" t="s">
        <v>293</v>
      </c>
      <c r="C100" s="1" t="b">
        <v>1</v>
      </c>
      <c r="D100" s="1" t="b">
        <v>1</v>
      </c>
      <c r="E100" s="1" t="s">
        <v>294</v>
      </c>
      <c r="F100" s="1" t="s">
        <v>295</v>
      </c>
      <c r="G100" s="2">
        <f>+251911934232</f>
        <v>251911934232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21.33</v>
      </c>
      <c r="M100" s="1" t="s">
        <v>21</v>
      </c>
      <c r="O100" s="1">
        <v>761826.0</v>
      </c>
    </row>
    <row r="101">
      <c r="A101" s="1">
        <v>200536.0</v>
      </c>
      <c r="B101" s="1" t="s">
        <v>296</v>
      </c>
      <c r="C101" s="1" t="b">
        <v>1</v>
      </c>
      <c r="D101" s="1" t="b">
        <v>1</v>
      </c>
      <c r="E101" s="1" t="s">
        <v>297</v>
      </c>
      <c r="F101" s="1" t="s">
        <v>298</v>
      </c>
      <c r="G101" s="2">
        <f>+251984025634</f>
        <v>251984025634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23.54</v>
      </c>
      <c r="M101" s="1" t="s">
        <v>33</v>
      </c>
      <c r="N101" s="1" t="s">
        <v>76</v>
      </c>
      <c r="O101" s="1">
        <v>2.4639547E7</v>
      </c>
    </row>
    <row r="102">
      <c r="A102" s="1">
        <v>2686722.0</v>
      </c>
      <c r="B102" s="1" t="s">
        <v>299</v>
      </c>
      <c r="C102" s="1" t="b">
        <v>1</v>
      </c>
      <c r="D102" s="1" t="b">
        <v>1</v>
      </c>
      <c r="E102" s="1" t="s">
        <v>300</v>
      </c>
      <c r="F102" s="1" t="s">
        <v>301</v>
      </c>
      <c r="G102" s="1">
        <v>9.36982573E8</v>
      </c>
      <c r="H102" s="1" t="s">
        <v>18</v>
      </c>
      <c r="I102" s="1" t="s">
        <v>19</v>
      </c>
      <c r="J102" s="1" t="s">
        <v>19</v>
      </c>
      <c r="K102" s="1" t="s">
        <v>20</v>
      </c>
      <c r="L102" s="1">
        <v>21.88</v>
      </c>
      <c r="M102" s="1" t="s">
        <v>21</v>
      </c>
      <c r="O102" s="1">
        <v>926340.0</v>
      </c>
    </row>
    <row r="103">
      <c r="A103" s="1">
        <v>1600887.0</v>
      </c>
      <c r="B103" s="1" t="s">
        <v>302</v>
      </c>
      <c r="C103" s="1" t="b">
        <v>1</v>
      </c>
      <c r="D103" s="1" t="b">
        <v>1</v>
      </c>
      <c r="E103" s="1" t="s">
        <v>184</v>
      </c>
      <c r="F103" s="1" t="s">
        <v>303</v>
      </c>
      <c r="G103" s="2">
        <f>+251984807517</f>
        <v>251984807517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22.64</v>
      </c>
      <c r="M103" s="1" t="s">
        <v>21</v>
      </c>
      <c r="O103" s="1">
        <v>378106.0</v>
      </c>
    </row>
    <row r="104">
      <c r="A104" s="1">
        <v>2687836.0</v>
      </c>
      <c r="B104" s="1" t="s">
        <v>304</v>
      </c>
      <c r="C104" s="1" t="b">
        <v>0</v>
      </c>
      <c r="D104" s="1" t="b">
        <v>1</v>
      </c>
      <c r="E104" s="1" t="s">
        <v>37</v>
      </c>
      <c r="F104" s="1" t="s">
        <v>305</v>
      </c>
      <c r="G104" s="2">
        <f t="shared" ref="G104:G105" si="1">+251911614251</f>
        <v>251911614251</v>
      </c>
      <c r="H104" s="1" t="s">
        <v>18</v>
      </c>
      <c r="I104" s="1" t="s">
        <v>19</v>
      </c>
      <c r="J104" s="1" t="s">
        <v>19</v>
      </c>
      <c r="K104" s="1" t="s">
        <v>25</v>
      </c>
      <c r="L104" s="1">
        <v>19.09</v>
      </c>
      <c r="M104" s="1" t="s">
        <v>26</v>
      </c>
      <c r="O104" s="1">
        <v>2.22969725115E11</v>
      </c>
    </row>
    <row r="105">
      <c r="A105" s="1">
        <v>2687864.0</v>
      </c>
      <c r="B105" s="1" t="s">
        <v>306</v>
      </c>
      <c r="C105" s="1" t="b">
        <v>1</v>
      </c>
      <c r="D105" s="1" t="b">
        <v>1</v>
      </c>
      <c r="E105" s="1" t="s">
        <v>37</v>
      </c>
      <c r="F105" s="1" t="s">
        <v>305</v>
      </c>
      <c r="G105" s="2">
        <f t="shared" si="1"/>
        <v>251911614251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19.09</v>
      </c>
      <c r="M105" s="1" t="s">
        <v>21</v>
      </c>
      <c r="O105" s="1">
        <v>2.23156412609E11</v>
      </c>
    </row>
    <row r="106">
      <c r="A106" s="1">
        <v>2687875.0</v>
      </c>
      <c r="B106" s="1" t="s">
        <v>307</v>
      </c>
      <c r="C106" s="1" t="b">
        <v>1</v>
      </c>
      <c r="D106" s="1" t="b">
        <v>1</v>
      </c>
      <c r="E106" s="1" t="s">
        <v>308</v>
      </c>
      <c r="F106" s="1" t="s">
        <v>309</v>
      </c>
      <c r="G106" s="1">
        <v>9.21257175E8</v>
      </c>
      <c r="H106" s="1" t="s">
        <v>310</v>
      </c>
      <c r="I106" s="1" t="s">
        <v>19</v>
      </c>
      <c r="J106" s="1" t="s">
        <v>19</v>
      </c>
      <c r="K106" s="1" t="s">
        <v>25</v>
      </c>
      <c r="L106" s="1">
        <v>32.64</v>
      </c>
      <c r="M106" s="1" t="s">
        <v>21</v>
      </c>
      <c r="O106" s="1">
        <v>2.23156528373E11</v>
      </c>
    </row>
    <row r="107">
      <c r="A107" s="1">
        <v>1985847.0</v>
      </c>
      <c r="B107" s="1" t="s">
        <v>311</v>
      </c>
      <c r="C107" s="1" t="b">
        <v>1</v>
      </c>
      <c r="D107" s="1" t="b">
        <v>1</v>
      </c>
      <c r="E107" s="1" t="s">
        <v>245</v>
      </c>
      <c r="F107" s="1" t="s">
        <v>213</v>
      </c>
      <c r="G107" s="2">
        <f>+251935974321</f>
        <v>251935974321</v>
      </c>
      <c r="H107" s="1" t="s">
        <v>18</v>
      </c>
      <c r="I107" s="1" t="s">
        <v>19</v>
      </c>
      <c r="J107" s="1" t="s">
        <v>19</v>
      </c>
      <c r="K107" s="1" t="s">
        <v>20</v>
      </c>
      <c r="L107" s="1">
        <v>22.35</v>
      </c>
      <c r="M107" s="1" t="s">
        <v>21</v>
      </c>
      <c r="O107" s="1">
        <v>2.8150390715E10</v>
      </c>
    </row>
    <row r="108">
      <c r="A108" s="1">
        <v>2688369.0</v>
      </c>
      <c r="B108" s="1" t="s">
        <v>312</v>
      </c>
      <c r="C108" s="1" t="b">
        <v>1</v>
      </c>
      <c r="D108" s="1" t="b">
        <v>1</v>
      </c>
      <c r="E108" s="1" t="s">
        <v>313</v>
      </c>
      <c r="F108" s="1" t="s">
        <v>314</v>
      </c>
      <c r="G108" s="2">
        <f>+251985151696</f>
        <v>251985151696</v>
      </c>
      <c r="H108" s="1" t="s">
        <v>18</v>
      </c>
      <c r="I108" s="1" t="s">
        <v>19</v>
      </c>
      <c r="J108" s="1" t="s">
        <v>19</v>
      </c>
      <c r="K108" s="1" t="s">
        <v>25</v>
      </c>
      <c r="L108" s="1">
        <v>23.32</v>
      </c>
      <c r="M108" s="1" t="s">
        <v>21</v>
      </c>
      <c r="O108" s="1">
        <v>2.23260310723E11</v>
      </c>
    </row>
    <row r="109">
      <c r="A109" s="1">
        <v>2688526.0</v>
      </c>
      <c r="B109" s="1" t="s">
        <v>315</v>
      </c>
      <c r="C109" s="1" t="b">
        <v>0</v>
      </c>
      <c r="D109" s="1" t="b">
        <v>1</v>
      </c>
      <c r="E109" s="1" t="s">
        <v>37</v>
      </c>
      <c r="F109" s="1" t="s">
        <v>316</v>
      </c>
      <c r="G109" s="1">
        <v>9.14614787E8</v>
      </c>
      <c r="H109" s="1" t="s">
        <v>58</v>
      </c>
      <c r="I109" s="1" t="s">
        <v>19</v>
      </c>
      <c r="J109" s="1" t="s">
        <v>19</v>
      </c>
      <c r="K109" s="1" t="s">
        <v>25</v>
      </c>
      <c r="L109" s="1">
        <v>25.36</v>
      </c>
      <c r="M109" s="1" t="s">
        <v>33</v>
      </c>
      <c r="N109" s="1" t="s">
        <v>65</v>
      </c>
      <c r="O109" s="1">
        <v>2.23298516168E11</v>
      </c>
    </row>
    <row r="110">
      <c r="A110" s="1">
        <v>948328.0</v>
      </c>
      <c r="B110" s="1" t="s">
        <v>317</v>
      </c>
      <c r="C110" s="1" t="b">
        <v>1</v>
      </c>
      <c r="D110" s="1" t="b">
        <v>1</v>
      </c>
      <c r="E110" s="1" t="s">
        <v>318</v>
      </c>
      <c r="F110" s="1" t="s">
        <v>319</v>
      </c>
      <c r="G110" s="2">
        <f>+251987160077</f>
        <v>251987160077</v>
      </c>
      <c r="H110" s="1" t="s">
        <v>18</v>
      </c>
      <c r="I110" s="1" t="s">
        <v>19</v>
      </c>
      <c r="J110" s="1" t="s">
        <v>19</v>
      </c>
      <c r="K110" s="1" t="s">
        <v>20</v>
      </c>
      <c r="L110" s="1">
        <v>23.38</v>
      </c>
      <c r="M110" s="1" t="s">
        <v>21</v>
      </c>
      <c r="O110" s="1">
        <v>4.81233352E9</v>
      </c>
    </row>
    <row r="111">
      <c r="A111" s="1">
        <v>2689027.0</v>
      </c>
      <c r="B111" s="1" t="s">
        <v>320</v>
      </c>
      <c r="C111" s="1" t="b">
        <v>1</v>
      </c>
      <c r="D111" s="1" t="b">
        <v>1</v>
      </c>
      <c r="E111" s="1" t="s">
        <v>321</v>
      </c>
      <c r="F111" s="1" t="s">
        <v>322</v>
      </c>
      <c r="G111" s="2">
        <f>+251913247586</f>
        <v>251913247586</v>
      </c>
      <c r="H111" s="1" t="s">
        <v>18</v>
      </c>
      <c r="I111" s="1" t="s">
        <v>19</v>
      </c>
      <c r="J111" s="1" t="s">
        <v>19</v>
      </c>
      <c r="K111" s="1" t="s">
        <v>20</v>
      </c>
      <c r="L111" s="1">
        <v>19.18</v>
      </c>
      <c r="M111" s="1" t="s">
        <v>21</v>
      </c>
      <c r="O111" s="1">
        <v>2.23441340605E11</v>
      </c>
    </row>
    <row r="112">
      <c r="A112" s="1">
        <v>2689526.0</v>
      </c>
      <c r="B112" s="1" t="s">
        <v>323</v>
      </c>
      <c r="C112" s="1" t="b">
        <v>1</v>
      </c>
      <c r="D112" s="1" t="b">
        <v>1</v>
      </c>
      <c r="E112" s="1" t="s">
        <v>324</v>
      </c>
      <c r="F112" s="1" t="s">
        <v>325</v>
      </c>
      <c r="G112" s="2">
        <f>+251991267058</f>
        <v>251991267058</v>
      </c>
      <c r="H112" s="1" t="s">
        <v>72</v>
      </c>
      <c r="I112" s="1" t="s">
        <v>19</v>
      </c>
      <c r="J112" s="1" t="s">
        <v>19</v>
      </c>
      <c r="K112" s="1" t="s">
        <v>20</v>
      </c>
      <c r="L112" s="1">
        <v>13.25</v>
      </c>
      <c r="M112" s="1" t="s">
        <v>33</v>
      </c>
      <c r="N112" s="1" t="s">
        <v>65</v>
      </c>
      <c r="O112" s="1">
        <v>2.23618285756E11</v>
      </c>
    </row>
    <row r="113">
      <c r="A113" s="1">
        <v>2689782.0</v>
      </c>
      <c r="B113" s="1" t="s">
        <v>326</v>
      </c>
      <c r="C113" s="1" t="b">
        <v>1</v>
      </c>
      <c r="D113" s="1" t="b">
        <v>1</v>
      </c>
      <c r="E113" s="1" t="s">
        <v>327</v>
      </c>
      <c r="F113" s="1" t="s">
        <v>328</v>
      </c>
      <c r="G113" s="2">
        <f>+251927740282</f>
        <v>251927740282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22.39</v>
      </c>
      <c r="M113" s="1" t="s">
        <v>26</v>
      </c>
      <c r="O113" s="1">
        <v>6028093.0</v>
      </c>
    </row>
    <row r="114">
      <c r="A114" s="1">
        <v>2689825.0</v>
      </c>
      <c r="B114" s="1" t="s">
        <v>329</v>
      </c>
      <c r="C114" s="1" t="b">
        <v>1</v>
      </c>
      <c r="D114" s="1" t="b">
        <v>1</v>
      </c>
      <c r="E114" s="1" t="s">
        <v>330</v>
      </c>
      <c r="F114" s="1" t="s">
        <v>331</v>
      </c>
      <c r="G114" s="2">
        <f>+251954157259</f>
        <v>251954157259</v>
      </c>
      <c r="H114" s="1" t="s">
        <v>18</v>
      </c>
      <c r="I114" s="1" t="s">
        <v>19</v>
      </c>
      <c r="J114" s="1" t="s">
        <v>19</v>
      </c>
      <c r="K114" s="1" t="s">
        <v>25</v>
      </c>
      <c r="L114" s="1">
        <v>31.25</v>
      </c>
      <c r="M114" s="1" t="s">
        <v>21</v>
      </c>
    </row>
    <row r="115">
      <c r="A115" s="1">
        <v>155216.0</v>
      </c>
      <c r="B115" s="1" t="s">
        <v>332</v>
      </c>
      <c r="C115" s="1" t="b">
        <v>1</v>
      </c>
      <c r="D115" s="1" t="b">
        <v>1</v>
      </c>
      <c r="E115" s="1" t="s">
        <v>333</v>
      </c>
      <c r="F115" s="1" t="s">
        <v>334</v>
      </c>
      <c r="G115" s="2">
        <f>+251939969681</f>
        <v>251939969681</v>
      </c>
      <c r="H115" s="1" t="s">
        <v>335</v>
      </c>
      <c r="I115" s="1" t="s">
        <v>19</v>
      </c>
      <c r="J115" s="1" t="s">
        <v>19</v>
      </c>
      <c r="K115" s="1" t="s">
        <v>25</v>
      </c>
      <c r="L115" s="1">
        <v>27.44</v>
      </c>
      <c r="M115" s="1" t="s">
        <v>21</v>
      </c>
      <c r="O115" s="1">
        <v>2.6356173E7</v>
      </c>
    </row>
    <row r="116">
      <c r="A116" s="1">
        <v>2690226.0</v>
      </c>
      <c r="B116" s="1" t="s">
        <v>336</v>
      </c>
      <c r="C116" s="1" t="b">
        <v>1</v>
      </c>
      <c r="D116" s="1" t="b">
        <v>1</v>
      </c>
      <c r="E116" s="1" t="s">
        <v>337</v>
      </c>
      <c r="F116" s="1" t="s">
        <v>338</v>
      </c>
      <c r="G116" s="2">
        <f>+251912406308</f>
        <v>251912406308</v>
      </c>
      <c r="H116" s="1" t="s">
        <v>18</v>
      </c>
      <c r="I116" s="1" t="s">
        <v>19</v>
      </c>
      <c r="J116" s="1" t="s">
        <v>19</v>
      </c>
      <c r="K116" s="1" t="s">
        <v>20</v>
      </c>
      <c r="L116" s="1">
        <v>26.16</v>
      </c>
      <c r="M116" s="1" t="s">
        <v>21</v>
      </c>
    </row>
    <row r="117">
      <c r="A117" s="1">
        <v>1196245.0</v>
      </c>
      <c r="B117" s="1" t="s">
        <v>339</v>
      </c>
      <c r="C117" s="1" t="b">
        <v>1</v>
      </c>
      <c r="D117" s="1" t="b">
        <v>0</v>
      </c>
      <c r="E117" s="1" t="s">
        <v>340</v>
      </c>
      <c r="F117" s="1" t="s">
        <v>341</v>
      </c>
      <c r="G117" s="2">
        <f>+251983916884</f>
        <v>251983916884</v>
      </c>
      <c r="H117" s="1" t="s">
        <v>18</v>
      </c>
      <c r="I117" s="1" t="s">
        <v>19</v>
      </c>
      <c r="J117" s="1" t="s">
        <v>19</v>
      </c>
      <c r="K117" s="1" t="s">
        <v>20</v>
      </c>
      <c r="L117" s="1">
        <v>23.72</v>
      </c>
      <c r="M117" s="1" t="s">
        <v>21</v>
      </c>
      <c r="O117" s="1">
        <v>1.8210251E7</v>
      </c>
    </row>
    <row r="118">
      <c r="A118" s="1">
        <v>2692041.0</v>
      </c>
      <c r="B118" s="1" t="s">
        <v>342</v>
      </c>
      <c r="C118" s="1" t="b">
        <v>1</v>
      </c>
      <c r="D118" s="1" t="b">
        <v>1</v>
      </c>
      <c r="E118" s="1" t="s">
        <v>343</v>
      </c>
      <c r="F118" s="1" t="s">
        <v>328</v>
      </c>
      <c r="G118" s="2">
        <f>+251983072917</f>
        <v>251983072917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20.63</v>
      </c>
      <c r="M118" s="1" t="s">
        <v>21</v>
      </c>
      <c r="O118" s="1">
        <v>3.1156840649E10</v>
      </c>
    </row>
    <row r="119">
      <c r="A119" s="1">
        <v>2692057.0</v>
      </c>
      <c r="B119" s="1" t="s">
        <v>344</v>
      </c>
      <c r="C119" s="1" t="b">
        <v>0</v>
      </c>
      <c r="D119" s="1" t="b">
        <v>1</v>
      </c>
      <c r="E119" s="1" t="s">
        <v>345</v>
      </c>
      <c r="F119" s="1" t="s">
        <v>346</v>
      </c>
      <c r="G119" s="2">
        <f>+251984859948</f>
        <v>251984859948</v>
      </c>
      <c r="H119" s="1" t="s">
        <v>72</v>
      </c>
      <c r="I119" s="1" t="s">
        <v>19</v>
      </c>
      <c r="J119" s="1" t="s">
        <v>19</v>
      </c>
      <c r="K119" s="1" t="s">
        <v>25</v>
      </c>
      <c r="L119" s="1">
        <v>29.26</v>
      </c>
      <c r="M119" s="1" t="s">
        <v>26</v>
      </c>
      <c r="O119" s="1">
        <v>2.24466638043E11</v>
      </c>
    </row>
    <row r="120">
      <c r="A120" s="1">
        <v>2679304.0</v>
      </c>
      <c r="B120" s="1" t="s">
        <v>347</v>
      </c>
      <c r="C120" s="1" t="b">
        <v>1</v>
      </c>
      <c r="D120" s="1" t="b">
        <v>1</v>
      </c>
      <c r="E120" s="1" t="s">
        <v>348</v>
      </c>
      <c r="F120" s="1" t="s">
        <v>349</v>
      </c>
      <c r="G120" s="2">
        <f>+251922352740</f>
        <v>251922352740</v>
      </c>
      <c r="H120" s="1" t="s">
        <v>18</v>
      </c>
      <c r="I120" s="1" t="s">
        <v>19</v>
      </c>
      <c r="J120" s="1" t="s">
        <v>19</v>
      </c>
      <c r="K120" s="1" t="s">
        <v>25</v>
      </c>
      <c r="L120" s="1">
        <v>21.32</v>
      </c>
      <c r="M120" s="1" t="s">
        <v>21</v>
      </c>
      <c r="O120" s="1">
        <v>2.20115556595E11</v>
      </c>
    </row>
    <row r="121">
      <c r="A121" s="1">
        <v>2693569.0</v>
      </c>
      <c r="B121" s="1" t="s">
        <v>350</v>
      </c>
      <c r="C121" s="1" t="b">
        <v>0</v>
      </c>
      <c r="D121" s="1" t="b">
        <v>1</v>
      </c>
      <c r="E121" s="1" t="s">
        <v>157</v>
      </c>
      <c r="F121" s="1" t="s">
        <v>351</v>
      </c>
      <c r="G121" s="2">
        <f>+251977440107</f>
        <v>251977440107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20.73</v>
      </c>
      <c r="M121" s="1" t="s">
        <v>33</v>
      </c>
      <c r="N121" s="1" t="s">
        <v>166</v>
      </c>
      <c r="O121" s="1">
        <v>2.25223605452E11</v>
      </c>
    </row>
    <row r="122">
      <c r="A122" s="1">
        <v>2694093.0</v>
      </c>
      <c r="B122" s="1" t="s">
        <v>352</v>
      </c>
      <c r="C122" s="1" t="b">
        <v>1</v>
      </c>
      <c r="D122" s="1" t="b">
        <v>1</v>
      </c>
      <c r="E122" s="1" t="s">
        <v>353</v>
      </c>
      <c r="F122" s="1" t="s">
        <v>354</v>
      </c>
      <c r="G122" s="2">
        <f>+251911087603</f>
        <v>251911087603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38.46</v>
      </c>
      <c r="M122" s="1" t="s">
        <v>21</v>
      </c>
      <c r="O122" s="1">
        <v>2.25263492312E11</v>
      </c>
    </row>
    <row r="123">
      <c r="A123" s="1">
        <v>2694863.0</v>
      </c>
      <c r="B123" s="1" t="s">
        <v>355</v>
      </c>
      <c r="C123" s="1" t="b">
        <v>1</v>
      </c>
      <c r="D123" s="1" t="b">
        <v>1</v>
      </c>
      <c r="E123" s="1" t="s">
        <v>356</v>
      </c>
      <c r="F123" s="1" t="s">
        <v>255</v>
      </c>
      <c r="G123" s="2">
        <f>+251991123995</f>
        <v>251991123995</v>
      </c>
      <c r="H123" s="1" t="s">
        <v>18</v>
      </c>
      <c r="I123" s="1" t="s">
        <v>19</v>
      </c>
      <c r="J123" s="1" t="s">
        <v>19</v>
      </c>
      <c r="K123" s="1" t="s">
        <v>20</v>
      </c>
      <c r="L123" s="1">
        <v>20.79</v>
      </c>
      <c r="M123" s="1" t="s">
        <v>21</v>
      </c>
      <c r="O123" s="1">
        <v>4.129008864E10</v>
      </c>
    </row>
    <row r="124">
      <c r="A124" s="1">
        <v>2695066.0</v>
      </c>
      <c r="B124" s="1" t="s">
        <v>357</v>
      </c>
      <c r="C124" s="1" t="b">
        <v>1</v>
      </c>
      <c r="D124" s="1" t="b">
        <v>1</v>
      </c>
      <c r="E124" s="1" t="s">
        <v>223</v>
      </c>
      <c r="F124" s="1" t="s">
        <v>358</v>
      </c>
      <c r="G124" s="2">
        <f>+251942858885</f>
        <v>251942858885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20.59</v>
      </c>
      <c r="M124" s="1" t="s">
        <v>21</v>
      </c>
      <c r="O124" s="1">
        <v>2.25784407279E11</v>
      </c>
    </row>
    <row r="125">
      <c r="A125" s="1">
        <v>2695787.0</v>
      </c>
      <c r="B125" s="1" t="s">
        <v>359</v>
      </c>
      <c r="C125" s="1" t="b">
        <v>1</v>
      </c>
      <c r="D125" s="1" t="b">
        <v>1</v>
      </c>
      <c r="E125" s="1" t="s">
        <v>360</v>
      </c>
      <c r="F125" s="1" t="s">
        <v>361</v>
      </c>
      <c r="G125" s="2">
        <f>+251922628092</f>
        <v>251922628092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33.05</v>
      </c>
      <c r="M125" s="1" t="s">
        <v>33</v>
      </c>
      <c r="N125" s="1" t="s">
        <v>65</v>
      </c>
      <c r="O125" s="1">
        <v>2.26053607611E11</v>
      </c>
    </row>
    <row r="126">
      <c r="A126" s="1">
        <v>2695850.0</v>
      </c>
      <c r="B126" s="1" t="s">
        <v>362</v>
      </c>
      <c r="C126" s="1" t="b">
        <v>1</v>
      </c>
      <c r="D126" s="1" t="b">
        <v>1</v>
      </c>
      <c r="E126" s="1" t="s">
        <v>363</v>
      </c>
      <c r="F126" s="1" t="s">
        <v>218</v>
      </c>
      <c r="G126" s="2">
        <f>+251995851802</f>
        <v>251995851802</v>
      </c>
      <c r="H126" s="1" t="s">
        <v>72</v>
      </c>
      <c r="I126" s="1" t="s">
        <v>19</v>
      </c>
      <c r="J126" s="1" t="s">
        <v>19</v>
      </c>
      <c r="K126" s="1" t="s">
        <v>25</v>
      </c>
      <c r="L126" s="1">
        <v>25.25</v>
      </c>
      <c r="M126" s="1" t="s">
        <v>21</v>
      </c>
      <c r="O126" s="1">
        <v>4.3836207313E10</v>
      </c>
    </row>
    <row r="127">
      <c r="A127" s="1">
        <v>2696837.0</v>
      </c>
      <c r="B127" s="1" t="s">
        <v>364</v>
      </c>
      <c r="C127" s="1" t="b">
        <v>1</v>
      </c>
      <c r="D127" s="1" t="b">
        <v>0</v>
      </c>
      <c r="E127" s="1" t="s">
        <v>141</v>
      </c>
      <c r="F127" s="1" t="s">
        <v>365</v>
      </c>
      <c r="G127" s="2">
        <f>+251934483481</f>
        <v>251934483481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25.77</v>
      </c>
      <c r="M127" s="1" t="s">
        <v>21</v>
      </c>
    </row>
    <row r="128">
      <c r="A128" s="1">
        <v>771839.0</v>
      </c>
      <c r="B128" s="1" t="s">
        <v>366</v>
      </c>
      <c r="C128" s="1" t="b">
        <v>1</v>
      </c>
      <c r="D128" s="1" t="b">
        <v>1</v>
      </c>
      <c r="E128" s="1" t="s">
        <v>367</v>
      </c>
      <c r="F128" s="1" t="s">
        <v>368</v>
      </c>
      <c r="G128" s="2">
        <f>+251960066854</f>
        <v>251960066854</v>
      </c>
      <c r="H128" s="1" t="s">
        <v>18</v>
      </c>
      <c r="I128" s="1" t="s">
        <v>19</v>
      </c>
      <c r="J128" s="1" t="s">
        <v>19</v>
      </c>
      <c r="K128" s="1" t="s">
        <v>20</v>
      </c>
      <c r="L128" s="1">
        <v>22.44</v>
      </c>
      <c r="M128" s="1" t="s">
        <v>33</v>
      </c>
      <c r="N128" s="1" t="s">
        <v>177</v>
      </c>
      <c r="O128" s="1">
        <v>2.9820324E7</v>
      </c>
    </row>
    <row r="129">
      <c r="A129" s="1">
        <v>388436.0</v>
      </c>
      <c r="B129" s="1" t="s">
        <v>369</v>
      </c>
      <c r="C129" s="1" t="b">
        <v>1</v>
      </c>
      <c r="D129" s="1" t="b">
        <v>0</v>
      </c>
      <c r="E129" s="1" t="s">
        <v>370</v>
      </c>
      <c r="F129" s="1" t="s">
        <v>371</v>
      </c>
      <c r="G129" s="1">
        <v>9.8853369E8</v>
      </c>
      <c r="H129" s="1" t="s">
        <v>18</v>
      </c>
      <c r="I129" s="1" t="s">
        <v>19</v>
      </c>
      <c r="J129" s="1" t="s">
        <v>19</v>
      </c>
      <c r="K129" s="1" t="s">
        <v>25</v>
      </c>
      <c r="L129" s="1">
        <v>20.76</v>
      </c>
      <c r="M129" s="1" t="s">
        <v>21</v>
      </c>
      <c r="O129" s="1">
        <v>8786902.0</v>
      </c>
    </row>
    <row r="130">
      <c r="A130" s="1">
        <v>156952.0</v>
      </c>
      <c r="B130" s="1" t="s">
        <v>372</v>
      </c>
      <c r="C130" s="1" t="b">
        <v>1</v>
      </c>
      <c r="D130" s="1" t="b">
        <v>1</v>
      </c>
      <c r="E130" s="1" t="s">
        <v>373</v>
      </c>
      <c r="F130" s="1" t="s">
        <v>108</v>
      </c>
      <c r="G130" s="2">
        <f>+251988985963</f>
        <v>251988985963</v>
      </c>
      <c r="H130" s="1" t="s">
        <v>18</v>
      </c>
      <c r="I130" s="1" t="s">
        <v>19</v>
      </c>
      <c r="J130" s="1" t="s">
        <v>19</v>
      </c>
      <c r="K130" s="1" t="s">
        <v>25</v>
      </c>
      <c r="L130" s="1">
        <v>22.75</v>
      </c>
      <c r="M130" s="1" t="s">
        <v>21</v>
      </c>
      <c r="O130" s="1">
        <v>1258826.0</v>
      </c>
    </row>
    <row r="131">
      <c r="A131" s="1">
        <v>2698694.0</v>
      </c>
      <c r="B131" s="1" t="s">
        <v>374</v>
      </c>
      <c r="C131" s="1" t="b">
        <v>1</v>
      </c>
      <c r="D131" s="1" t="b">
        <v>1</v>
      </c>
      <c r="E131" s="1" t="s">
        <v>375</v>
      </c>
      <c r="F131" s="1" t="s">
        <v>376</v>
      </c>
      <c r="G131" s="2">
        <f>+251928996488</f>
        <v>251928996488</v>
      </c>
      <c r="H131" s="1" t="s">
        <v>18</v>
      </c>
      <c r="I131" s="1" t="s">
        <v>19</v>
      </c>
      <c r="J131" s="1" t="s">
        <v>19</v>
      </c>
      <c r="K131" s="1" t="s">
        <v>25</v>
      </c>
      <c r="L131" s="1">
        <v>31.86</v>
      </c>
      <c r="M131" s="1" t="s">
        <v>21</v>
      </c>
      <c r="O131" s="1">
        <v>2.26898024682E11</v>
      </c>
    </row>
    <row r="132">
      <c r="A132" s="1">
        <v>2698783.0</v>
      </c>
      <c r="B132" s="1" t="s">
        <v>377</v>
      </c>
      <c r="C132" s="1" t="b">
        <v>1</v>
      </c>
      <c r="D132" s="1" t="b">
        <v>1</v>
      </c>
      <c r="E132" s="1" t="s">
        <v>378</v>
      </c>
      <c r="F132" s="1" t="s">
        <v>379</v>
      </c>
      <c r="G132" s="2">
        <f>+251904434627</f>
        <v>251904434627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24.12</v>
      </c>
      <c r="M132" s="1" t="s">
        <v>21</v>
      </c>
      <c r="O132" s="1">
        <v>2.27028874454E11</v>
      </c>
    </row>
    <row r="133">
      <c r="A133" s="1">
        <v>2698788.0</v>
      </c>
      <c r="B133" s="1" t="s">
        <v>380</v>
      </c>
      <c r="C133" s="1" t="b">
        <v>1</v>
      </c>
      <c r="D133" s="1" t="b">
        <v>1</v>
      </c>
      <c r="E133" s="1" t="s">
        <v>381</v>
      </c>
      <c r="F133" s="1" t="s">
        <v>382</v>
      </c>
      <c r="G133" s="2">
        <f>+251961986063</f>
        <v>251961986063</v>
      </c>
      <c r="H133" s="1" t="s">
        <v>18</v>
      </c>
      <c r="I133" s="1" t="s">
        <v>19</v>
      </c>
      <c r="J133" s="1" t="s">
        <v>19</v>
      </c>
      <c r="K133" s="1" t="s">
        <v>20</v>
      </c>
      <c r="L133" s="1">
        <v>26.66</v>
      </c>
      <c r="M133" s="1" t="s">
        <v>21</v>
      </c>
      <c r="O133" s="1">
        <v>2.27025372373E11</v>
      </c>
    </row>
    <row r="134">
      <c r="A134" s="1">
        <v>2698793.0</v>
      </c>
      <c r="B134" s="1" t="s">
        <v>383</v>
      </c>
      <c r="C134" s="1" t="b">
        <v>0</v>
      </c>
      <c r="D134" s="1" t="b">
        <v>1</v>
      </c>
      <c r="E134" s="1" t="s">
        <v>384</v>
      </c>
      <c r="F134" s="1" t="s">
        <v>385</v>
      </c>
      <c r="G134" s="2">
        <f>+251914257760</f>
        <v>251914257760</v>
      </c>
      <c r="H134" s="1" t="s">
        <v>18</v>
      </c>
      <c r="I134" s="1" t="s">
        <v>19</v>
      </c>
      <c r="J134" s="1" t="s">
        <v>19</v>
      </c>
      <c r="K134" s="1" t="s">
        <v>20</v>
      </c>
      <c r="L134" s="1">
        <v>28.41</v>
      </c>
      <c r="M134" s="1" t="s">
        <v>33</v>
      </c>
      <c r="N134" s="1" t="s">
        <v>118</v>
      </c>
      <c r="O134" s="1">
        <v>8719292.0</v>
      </c>
    </row>
    <row r="135">
      <c r="A135" s="1">
        <v>193514.0</v>
      </c>
      <c r="B135" s="1" t="s">
        <v>386</v>
      </c>
      <c r="C135" s="1" t="b">
        <v>1</v>
      </c>
      <c r="D135" s="1" t="b">
        <v>1</v>
      </c>
      <c r="E135" s="1" t="s">
        <v>387</v>
      </c>
      <c r="F135" s="1" t="s">
        <v>388</v>
      </c>
      <c r="G135" s="2">
        <f>+251974402390</f>
        <v>251974402390</v>
      </c>
      <c r="H135" s="1" t="s">
        <v>18</v>
      </c>
      <c r="I135" s="1" t="s">
        <v>19</v>
      </c>
      <c r="J135" s="1" t="s">
        <v>19</v>
      </c>
      <c r="K135" s="1" t="s">
        <v>20</v>
      </c>
      <c r="L135" s="1">
        <v>23.13</v>
      </c>
      <c r="M135" s="1" t="s">
        <v>21</v>
      </c>
      <c r="O135" s="1">
        <v>8876319.0</v>
      </c>
    </row>
    <row r="136">
      <c r="A136" s="1">
        <v>2698967.0</v>
      </c>
      <c r="B136" s="1" t="s">
        <v>389</v>
      </c>
      <c r="C136" s="1" t="b">
        <v>1</v>
      </c>
      <c r="D136" s="1" t="b">
        <v>1</v>
      </c>
      <c r="E136" s="1" t="s">
        <v>390</v>
      </c>
      <c r="F136" s="1" t="s">
        <v>391</v>
      </c>
      <c r="G136" s="2">
        <f>+251970720301</f>
        <v>251970720301</v>
      </c>
      <c r="H136" s="1" t="s">
        <v>392</v>
      </c>
      <c r="I136" s="1" t="s">
        <v>19</v>
      </c>
      <c r="J136" s="1" t="s">
        <v>19</v>
      </c>
      <c r="K136" s="1" t="s">
        <v>25</v>
      </c>
      <c r="L136" s="1">
        <v>20.62</v>
      </c>
      <c r="M136" s="1" t="s">
        <v>21</v>
      </c>
    </row>
    <row r="137">
      <c r="A137" s="1">
        <v>2699153.0</v>
      </c>
      <c r="B137" s="1" t="s">
        <v>393</v>
      </c>
      <c r="C137" s="1" t="b">
        <v>1</v>
      </c>
      <c r="D137" s="1" t="b">
        <v>1</v>
      </c>
      <c r="E137" s="1" t="s">
        <v>394</v>
      </c>
      <c r="F137" s="1" t="s">
        <v>395</v>
      </c>
      <c r="G137" s="2">
        <f>+251913918821</f>
        <v>251913918821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26.62</v>
      </c>
      <c r="M137" s="1" t="s">
        <v>26</v>
      </c>
      <c r="O137" s="1">
        <v>2.27252216056E11</v>
      </c>
    </row>
    <row r="138">
      <c r="A138" s="1">
        <v>270028.0</v>
      </c>
      <c r="B138" s="1" t="s">
        <v>396</v>
      </c>
      <c r="C138" s="1" t="b">
        <v>1</v>
      </c>
      <c r="D138" s="1" t="b">
        <v>1</v>
      </c>
      <c r="E138" s="1" t="s">
        <v>397</v>
      </c>
      <c r="F138" s="1" t="s">
        <v>238</v>
      </c>
      <c r="G138" s="2">
        <f>+251947140471</f>
        <v>251947140471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23.01</v>
      </c>
      <c r="M138" s="1" t="s">
        <v>21</v>
      </c>
      <c r="O138" s="1">
        <v>2.5795562E7</v>
      </c>
    </row>
    <row r="139">
      <c r="A139" s="1">
        <v>2701594.0</v>
      </c>
      <c r="B139" s="1" t="s">
        <v>398</v>
      </c>
      <c r="C139" s="1" t="b">
        <v>1</v>
      </c>
      <c r="D139" s="1" t="b">
        <v>1</v>
      </c>
      <c r="E139" s="1" t="s">
        <v>399</v>
      </c>
      <c r="F139" s="1" t="s">
        <v>400</v>
      </c>
      <c r="G139" s="2">
        <f>+251938348342</f>
        <v>251938348342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22.02</v>
      </c>
      <c r="M139" s="1" t="s">
        <v>21</v>
      </c>
      <c r="O139" s="1">
        <v>2.28220858599E11</v>
      </c>
    </row>
    <row r="140">
      <c r="A140" s="1">
        <v>257843.0</v>
      </c>
      <c r="B140" s="1" t="s">
        <v>401</v>
      </c>
      <c r="C140" s="1" t="b">
        <v>1</v>
      </c>
      <c r="D140" s="1" t="b">
        <v>1</v>
      </c>
      <c r="E140" s="1" t="s">
        <v>402</v>
      </c>
      <c r="F140" s="1" t="s">
        <v>152</v>
      </c>
      <c r="G140" s="2">
        <f>+251911068554</f>
        <v>251911068554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32.72</v>
      </c>
      <c r="M140" s="1" t="s">
        <v>21</v>
      </c>
      <c r="O140" s="1">
        <v>6026237.0</v>
      </c>
    </row>
    <row r="141">
      <c r="A141" s="1">
        <v>912641.0</v>
      </c>
      <c r="B141" s="1" t="s">
        <v>403</v>
      </c>
      <c r="C141" s="1" t="b">
        <v>1</v>
      </c>
      <c r="D141" s="1" t="b">
        <v>1</v>
      </c>
      <c r="E141" s="1" t="s">
        <v>404</v>
      </c>
      <c r="F141" s="1" t="s">
        <v>405</v>
      </c>
      <c r="G141" s="1">
        <v>9.54271746E8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30.21</v>
      </c>
      <c r="M141" s="1" t="s">
        <v>21</v>
      </c>
      <c r="O141" s="1">
        <v>1224467.0</v>
      </c>
    </row>
    <row r="142">
      <c r="A142" s="1">
        <v>2702871.0</v>
      </c>
      <c r="B142" s="1" t="s">
        <v>406</v>
      </c>
      <c r="C142" s="1" t="b">
        <v>0</v>
      </c>
      <c r="D142" s="1" t="b">
        <v>1</v>
      </c>
      <c r="E142" s="1" t="s">
        <v>407</v>
      </c>
      <c r="F142" s="1" t="s">
        <v>408</v>
      </c>
      <c r="G142" s="2">
        <f>+251972672029</f>
        <v>251972672029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44.49</v>
      </c>
      <c r="M142" s="1" t="s">
        <v>26</v>
      </c>
      <c r="O142" s="1">
        <v>2.2876652565E11</v>
      </c>
    </row>
    <row r="143">
      <c r="A143" s="1">
        <v>2704473.0</v>
      </c>
      <c r="B143" s="1" t="s">
        <v>409</v>
      </c>
      <c r="C143" s="1" t="b">
        <v>1</v>
      </c>
      <c r="D143" s="1" t="b">
        <v>1</v>
      </c>
      <c r="E143" s="1" t="s">
        <v>410</v>
      </c>
      <c r="F143" s="1" t="s">
        <v>411</v>
      </c>
      <c r="G143" s="2">
        <f>+251979061639</f>
        <v>251979061639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20.85</v>
      </c>
      <c r="M143" s="1" t="s">
        <v>21</v>
      </c>
    </row>
    <row r="144">
      <c r="A144" s="1">
        <v>2704527.0</v>
      </c>
      <c r="B144" s="1" t="s">
        <v>412</v>
      </c>
      <c r="C144" s="1" t="b">
        <v>1</v>
      </c>
      <c r="D144" s="1" t="b">
        <v>1</v>
      </c>
      <c r="E144" s="1" t="s">
        <v>413</v>
      </c>
      <c r="F144" s="1" t="s">
        <v>414</v>
      </c>
      <c r="G144" s="2">
        <f>+251920474440</f>
        <v>251920474440</v>
      </c>
      <c r="H144" s="1" t="s">
        <v>18</v>
      </c>
      <c r="I144" s="1" t="s">
        <v>19</v>
      </c>
      <c r="J144" s="1" t="s">
        <v>19</v>
      </c>
      <c r="K144" s="1" t="s">
        <v>20</v>
      </c>
      <c r="L144" s="1">
        <v>19.24</v>
      </c>
      <c r="M144" s="1" t="s">
        <v>21</v>
      </c>
    </row>
    <row r="145">
      <c r="A145" s="1">
        <v>198888.0</v>
      </c>
      <c r="B145" s="1" t="s">
        <v>415</v>
      </c>
      <c r="C145" s="1" t="b">
        <v>1</v>
      </c>
      <c r="D145" s="1" t="b">
        <v>1</v>
      </c>
      <c r="E145" s="1" t="s">
        <v>416</v>
      </c>
      <c r="F145" s="1" t="s">
        <v>417</v>
      </c>
      <c r="G145" s="2">
        <f>+251918022935</f>
        <v>251918022935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27.33</v>
      </c>
      <c r="M145" s="1" t="s">
        <v>21</v>
      </c>
      <c r="O145" s="1">
        <v>6180340.0</v>
      </c>
    </row>
    <row r="146">
      <c r="A146" s="1">
        <v>1713557.0</v>
      </c>
      <c r="B146" s="1" t="s">
        <v>418</v>
      </c>
      <c r="C146" s="1" t="b">
        <v>1</v>
      </c>
      <c r="D146" s="1" t="b">
        <v>1</v>
      </c>
      <c r="E146" s="1" t="s">
        <v>419</v>
      </c>
      <c r="F146" s="1" t="s">
        <v>420</v>
      </c>
      <c r="G146" s="2">
        <f>+251949630199</f>
        <v>251949630199</v>
      </c>
      <c r="H146" s="1" t="s">
        <v>18</v>
      </c>
      <c r="I146" s="1" t="s">
        <v>19</v>
      </c>
      <c r="J146" s="1" t="s">
        <v>19</v>
      </c>
      <c r="K146" s="1" t="s">
        <v>20</v>
      </c>
      <c r="L146" s="1">
        <v>21.1</v>
      </c>
      <c r="M146" s="1" t="s">
        <v>21</v>
      </c>
      <c r="O146" s="1">
        <v>2.3684353485E10</v>
      </c>
    </row>
    <row r="147">
      <c r="A147" s="1">
        <v>2684093.0</v>
      </c>
      <c r="B147" s="1" t="s">
        <v>421</v>
      </c>
      <c r="C147" s="1" t="b">
        <v>1</v>
      </c>
      <c r="D147" s="1" t="b">
        <v>1</v>
      </c>
      <c r="E147" s="1" t="s">
        <v>151</v>
      </c>
      <c r="F147" s="1" t="s">
        <v>422</v>
      </c>
      <c r="G147" s="2">
        <f>+251989188046</f>
        <v>251989188046</v>
      </c>
      <c r="H147" s="1" t="s">
        <v>18</v>
      </c>
      <c r="I147" s="1" t="s">
        <v>19</v>
      </c>
      <c r="J147" s="1" t="s">
        <v>19</v>
      </c>
      <c r="K147" s="1" t="s">
        <v>20</v>
      </c>
      <c r="L147" s="1">
        <v>20.7</v>
      </c>
      <c r="M147" s="1" t="s">
        <v>21</v>
      </c>
      <c r="O147" s="1">
        <v>2.2970438168E11</v>
      </c>
    </row>
    <row r="148">
      <c r="A148" s="1">
        <v>2187409.0</v>
      </c>
      <c r="B148" s="1" t="s">
        <v>423</v>
      </c>
      <c r="C148" s="1" t="b">
        <v>1</v>
      </c>
      <c r="D148" s="1" t="b">
        <v>1</v>
      </c>
      <c r="E148" s="1" t="s">
        <v>424</v>
      </c>
      <c r="F148" s="1" t="s">
        <v>425</v>
      </c>
      <c r="G148" s="2">
        <f>+251918669936</f>
        <v>251918669936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32.78</v>
      </c>
      <c r="M148" s="1" t="s">
        <v>21</v>
      </c>
      <c r="O148" s="1">
        <v>8902575.0</v>
      </c>
    </row>
    <row r="149">
      <c r="A149" s="1">
        <v>2410248.0</v>
      </c>
      <c r="B149" s="1" t="s">
        <v>426</v>
      </c>
      <c r="C149" s="1" t="b">
        <v>1</v>
      </c>
      <c r="D149" s="1" t="b">
        <v>1</v>
      </c>
      <c r="E149" s="1" t="s">
        <v>427</v>
      </c>
      <c r="F149" s="1" t="s">
        <v>428</v>
      </c>
      <c r="G149" s="2">
        <f>+251927884961</f>
        <v>251927884961</v>
      </c>
      <c r="H149" s="1" t="s">
        <v>93</v>
      </c>
      <c r="I149" s="1" t="s">
        <v>19</v>
      </c>
      <c r="J149" s="1" t="s">
        <v>19</v>
      </c>
      <c r="K149" s="1" t="s">
        <v>25</v>
      </c>
      <c r="L149" s="1">
        <v>25.44</v>
      </c>
      <c r="M149" s="1" t="s">
        <v>21</v>
      </c>
    </row>
    <row r="150">
      <c r="A150" s="1">
        <v>2706625.0</v>
      </c>
      <c r="B150" s="1" t="s">
        <v>429</v>
      </c>
      <c r="C150" s="1" t="b">
        <v>1</v>
      </c>
      <c r="D150" s="1" t="b">
        <v>1</v>
      </c>
      <c r="E150" s="1" t="s">
        <v>430</v>
      </c>
      <c r="F150" s="1" t="s">
        <v>395</v>
      </c>
      <c r="G150" s="2">
        <f>+251977319881</f>
        <v>251977319881</v>
      </c>
      <c r="H150" s="1" t="s">
        <v>131</v>
      </c>
      <c r="I150" s="1" t="s">
        <v>19</v>
      </c>
      <c r="J150" s="1" t="s">
        <v>19</v>
      </c>
      <c r="K150" s="1" t="s">
        <v>25</v>
      </c>
      <c r="L150" s="1">
        <v>25.4</v>
      </c>
      <c r="M150" s="1" t="s">
        <v>21</v>
      </c>
      <c r="O150" s="1">
        <v>8886915.0</v>
      </c>
    </row>
    <row r="151">
      <c r="A151" s="1">
        <v>1820640.0</v>
      </c>
      <c r="B151" s="1" t="s">
        <v>431</v>
      </c>
      <c r="C151" s="1" t="b">
        <v>1</v>
      </c>
      <c r="D151" s="1" t="b">
        <v>1</v>
      </c>
      <c r="E151" s="1" t="s">
        <v>432</v>
      </c>
      <c r="F151" s="1" t="s">
        <v>433</v>
      </c>
      <c r="G151" s="2">
        <f>+251973038649</f>
        <v>251973038649</v>
      </c>
      <c r="H151" s="1" t="s">
        <v>18</v>
      </c>
      <c r="I151" s="1" t="s">
        <v>19</v>
      </c>
      <c r="J151" s="1" t="s">
        <v>19</v>
      </c>
      <c r="K151" s="1" t="s">
        <v>20</v>
      </c>
      <c r="L151" s="1">
        <v>22.09</v>
      </c>
      <c r="M151" s="1" t="s">
        <v>21</v>
      </c>
      <c r="O151" s="1">
        <v>2.4702819517E10</v>
      </c>
    </row>
    <row r="152">
      <c r="A152" s="1">
        <v>332960.0</v>
      </c>
      <c r="B152" s="1" t="s">
        <v>434</v>
      </c>
      <c r="C152" s="1" t="b">
        <v>1</v>
      </c>
      <c r="D152" s="1" t="b">
        <v>1</v>
      </c>
      <c r="E152" s="1" t="s">
        <v>435</v>
      </c>
      <c r="F152" s="1" t="s">
        <v>420</v>
      </c>
      <c r="G152" s="2">
        <f>+251911720837</f>
        <v>251911720837</v>
      </c>
      <c r="H152" s="1" t="s">
        <v>18</v>
      </c>
      <c r="I152" s="1" t="s">
        <v>19</v>
      </c>
      <c r="J152" s="1" t="s">
        <v>19</v>
      </c>
      <c r="K152" s="1" t="s">
        <v>20</v>
      </c>
      <c r="L152" s="1">
        <v>38.36</v>
      </c>
      <c r="M152" s="1" t="s">
        <v>33</v>
      </c>
      <c r="N152" s="1" t="s">
        <v>34</v>
      </c>
      <c r="O152" s="1">
        <v>5948026.0</v>
      </c>
    </row>
    <row r="153">
      <c r="A153" s="1">
        <v>2708470.0</v>
      </c>
      <c r="B153" s="1" t="s">
        <v>436</v>
      </c>
      <c r="C153" s="1" t="b">
        <v>1</v>
      </c>
      <c r="D153" s="1" t="b">
        <v>1</v>
      </c>
      <c r="E153" s="1" t="s">
        <v>437</v>
      </c>
      <c r="F153" s="1" t="s">
        <v>438</v>
      </c>
      <c r="G153" s="2">
        <f>+251932196604</f>
        <v>251932196604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22.98</v>
      </c>
      <c r="M153" s="1" t="s">
        <v>21</v>
      </c>
      <c r="O153" s="1">
        <v>1044610.0</v>
      </c>
    </row>
    <row r="154">
      <c r="A154" s="1">
        <v>2539073.0</v>
      </c>
      <c r="B154" s="1" t="s">
        <v>439</v>
      </c>
      <c r="C154" s="1" t="b">
        <v>1</v>
      </c>
      <c r="D154" s="1" t="b">
        <v>1</v>
      </c>
      <c r="E154" s="1" t="s">
        <v>440</v>
      </c>
      <c r="F154" s="1" t="s">
        <v>441</v>
      </c>
      <c r="G154" s="2">
        <f>+251977475527</f>
        <v>251977475527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21.35</v>
      </c>
      <c r="M154" s="1" t="s">
        <v>33</v>
      </c>
      <c r="N154" s="1" t="s">
        <v>65</v>
      </c>
    </row>
    <row r="155">
      <c r="A155" s="1">
        <v>224497.0</v>
      </c>
      <c r="B155" s="1" t="s">
        <v>442</v>
      </c>
      <c r="C155" s="1" t="b">
        <v>1</v>
      </c>
      <c r="D155" s="1" t="b">
        <v>1</v>
      </c>
      <c r="E155" s="1" t="s">
        <v>203</v>
      </c>
      <c r="F155" s="1" t="s">
        <v>443</v>
      </c>
      <c r="G155" s="2">
        <f>+251707321554</f>
        <v>251707321554</v>
      </c>
      <c r="H155" s="1" t="s">
        <v>18</v>
      </c>
      <c r="I155" s="1" t="s">
        <v>19</v>
      </c>
      <c r="J155" s="1" t="s">
        <v>19</v>
      </c>
      <c r="K155" s="1" t="s">
        <v>20</v>
      </c>
      <c r="L155" s="1">
        <v>22.54</v>
      </c>
      <c r="M155" s="1" t="s">
        <v>21</v>
      </c>
    </row>
    <row r="156">
      <c r="A156" s="1">
        <v>1652247.0</v>
      </c>
      <c r="B156" s="1" t="s">
        <v>444</v>
      </c>
      <c r="C156" s="1" t="b">
        <v>1</v>
      </c>
      <c r="D156" s="1" t="b">
        <v>1</v>
      </c>
      <c r="E156" s="1" t="s">
        <v>250</v>
      </c>
      <c r="F156" s="1" t="s">
        <v>445</v>
      </c>
      <c r="G156" s="2">
        <f>+251985020106</f>
        <v>251985020106</v>
      </c>
      <c r="H156" s="1" t="s">
        <v>335</v>
      </c>
      <c r="I156" s="1" t="s">
        <v>19</v>
      </c>
      <c r="J156" s="1" t="s">
        <v>19</v>
      </c>
      <c r="K156" s="1" t="s">
        <v>25</v>
      </c>
      <c r="L156" s="1">
        <v>23.32</v>
      </c>
      <c r="M156" s="1" t="s">
        <v>33</v>
      </c>
      <c r="N156" s="1" t="s">
        <v>76</v>
      </c>
      <c r="O156" s="1">
        <v>2.0858432202E10</v>
      </c>
    </row>
    <row r="157">
      <c r="A157" s="1">
        <v>2083630.0</v>
      </c>
      <c r="B157" s="1" t="s">
        <v>446</v>
      </c>
      <c r="C157" s="1" t="b">
        <v>1</v>
      </c>
      <c r="D157" s="1" t="b">
        <v>1</v>
      </c>
      <c r="E157" s="1" t="s">
        <v>447</v>
      </c>
      <c r="F157" s="1" t="s">
        <v>448</v>
      </c>
      <c r="G157" s="2">
        <f>+251965708418</f>
        <v>251965708418</v>
      </c>
      <c r="H157" s="1" t="s">
        <v>392</v>
      </c>
      <c r="I157" s="1" t="s">
        <v>19</v>
      </c>
      <c r="J157" s="1" t="s">
        <v>19</v>
      </c>
      <c r="K157" s="1" t="s">
        <v>25</v>
      </c>
      <c r="L157" s="1">
        <v>22.99</v>
      </c>
      <c r="M157" s="1" t="s">
        <v>21</v>
      </c>
      <c r="O157" s="1">
        <v>9819552.0</v>
      </c>
    </row>
    <row r="158">
      <c r="A158" s="1">
        <v>2713543.0</v>
      </c>
      <c r="B158" s="1" t="s">
        <v>449</v>
      </c>
      <c r="C158" s="1" t="b">
        <v>1</v>
      </c>
      <c r="D158" s="1" t="b">
        <v>1</v>
      </c>
      <c r="E158" s="1" t="s">
        <v>450</v>
      </c>
      <c r="F158" s="1" t="s">
        <v>451</v>
      </c>
      <c r="G158" s="2">
        <f>+251901098484</f>
        <v>251901098484</v>
      </c>
      <c r="H158" s="1" t="s">
        <v>18</v>
      </c>
      <c r="I158" s="1" t="s">
        <v>19</v>
      </c>
      <c r="J158" s="1" t="s">
        <v>19</v>
      </c>
      <c r="K158" s="1" t="s">
        <v>20</v>
      </c>
      <c r="L158" s="1">
        <v>21.6</v>
      </c>
      <c r="M158" s="1" t="s">
        <v>21</v>
      </c>
    </row>
    <row r="159">
      <c r="A159" s="1">
        <v>2714593.0</v>
      </c>
      <c r="B159" s="1" t="s">
        <v>452</v>
      </c>
      <c r="C159" s="1" t="b">
        <v>1</v>
      </c>
      <c r="D159" s="1" t="b">
        <v>1</v>
      </c>
      <c r="E159" s="1" t="s">
        <v>438</v>
      </c>
      <c r="F159" s="1" t="s">
        <v>453</v>
      </c>
      <c r="G159" s="2">
        <f>+251963889227</f>
        <v>251963889227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18.34</v>
      </c>
      <c r="M159" s="1" t="s">
        <v>21</v>
      </c>
      <c r="O159" s="1">
        <v>2.33943275757E11</v>
      </c>
    </row>
    <row r="160">
      <c r="A160" s="1">
        <v>2068712.0</v>
      </c>
      <c r="B160" s="1" t="s">
        <v>454</v>
      </c>
      <c r="C160" s="1" t="b">
        <v>1</v>
      </c>
      <c r="D160" s="1" t="b">
        <v>1</v>
      </c>
      <c r="E160" s="1" t="s">
        <v>455</v>
      </c>
      <c r="F160" s="1" t="s">
        <v>456</v>
      </c>
      <c r="G160" s="2">
        <f>+251960220451</f>
        <v>251960220451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22.74</v>
      </c>
      <c r="M160" s="1" t="s">
        <v>21</v>
      </c>
      <c r="O160" s="1">
        <v>3.0032216512E10</v>
      </c>
    </row>
    <row r="161">
      <c r="A161" s="1">
        <v>2715431.0</v>
      </c>
      <c r="B161" s="1" t="s">
        <v>457</v>
      </c>
      <c r="C161" s="1" t="b">
        <v>1</v>
      </c>
      <c r="D161" s="1" t="b">
        <v>1</v>
      </c>
      <c r="E161" s="1" t="s">
        <v>458</v>
      </c>
      <c r="F161" s="1" t="s">
        <v>459</v>
      </c>
      <c r="G161" s="2">
        <f>+251975576584</f>
        <v>251975576584</v>
      </c>
      <c r="H161" s="1" t="s">
        <v>72</v>
      </c>
      <c r="I161" s="1" t="s">
        <v>19</v>
      </c>
      <c r="J161" s="1" t="s">
        <v>19</v>
      </c>
      <c r="K161" s="1" t="s">
        <v>25</v>
      </c>
      <c r="L161" s="1">
        <v>22.65</v>
      </c>
      <c r="M161" s="1" t="s">
        <v>21</v>
      </c>
      <c r="O161" s="1">
        <v>2.3569034E7</v>
      </c>
    </row>
    <row r="162">
      <c r="A162" s="1">
        <v>2715432.0</v>
      </c>
      <c r="B162" s="1" t="s">
        <v>460</v>
      </c>
      <c r="C162" s="1" t="b">
        <v>0</v>
      </c>
      <c r="D162" s="1" t="b">
        <v>1</v>
      </c>
      <c r="E162" s="1" t="s">
        <v>461</v>
      </c>
      <c r="F162" s="1" t="s">
        <v>462</v>
      </c>
      <c r="G162" s="1">
        <v>2.51934427167E11</v>
      </c>
      <c r="H162" s="1" t="s">
        <v>18</v>
      </c>
      <c r="I162" s="1" t="s">
        <v>19</v>
      </c>
      <c r="J162" s="1" t="s">
        <v>19</v>
      </c>
      <c r="K162" s="1" t="s">
        <v>20</v>
      </c>
      <c r="L162" s="1">
        <v>19.93</v>
      </c>
      <c r="M162" s="1" t="s">
        <v>33</v>
      </c>
      <c r="N162" s="1" t="s">
        <v>65</v>
      </c>
      <c r="O162" s="1">
        <v>2.34182908112E11</v>
      </c>
    </row>
    <row r="163">
      <c r="A163" s="1">
        <v>2715545.0</v>
      </c>
      <c r="B163" s="1" t="s">
        <v>463</v>
      </c>
      <c r="C163" s="1" t="b">
        <v>1</v>
      </c>
      <c r="D163" s="1" t="b">
        <v>1</v>
      </c>
      <c r="E163" s="1" t="s">
        <v>264</v>
      </c>
      <c r="F163" s="1" t="s">
        <v>464</v>
      </c>
      <c r="G163" s="2">
        <f>+251988723723</f>
        <v>251988723723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21.1</v>
      </c>
      <c r="M163" s="1" t="s">
        <v>21</v>
      </c>
      <c r="O163" s="1">
        <v>2.4780211E7</v>
      </c>
    </row>
    <row r="164">
      <c r="A164" s="1">
        <v>2715624.0</v>
      </c>
      <c r="B164" s="1" t="s">
        <v>465</v>
      </c>
      <c r="C164" s="1" t="b">
        <v>1</v>
      </c>
      <c r="D164" s="1" t="b">
        <v>1</v>
      </c>
      <c r="E164" s="1" t="s">
        <v>466</v>
      </c>
      <c r="F164" s="1" t="s">
        <v>467</v>
      </c>
      <c r="G164" s="2">
        <f>+251905078365</f>
        <v>251905078365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23.22</v>
      </c>
      <c r="M164" s="1" t="s">
        <v>21</v>
      </c>
      <c r="O164" s="1">
        <v>2.34147181813E11</v>
      </c>
    </row>
    <row r="165">
      <c r="A165" s="1">
        <v>2715695.0</v>
      </c>
      <c r="B165" s="1" t="s">
        <v>468</v>
      </c>
      <c r="C165" s="1" t="b">
        <v>1</v>
      </c>
      <c r="D165" s="1" t="b">
        <v>1</v>
      </c>
      <c r="E165" s="1" t="s">
        <v>469</v>
      </c>
      <c r="F165" s="1" t="s">
        <v>470</v>
      </c>
      <c r="G165" s="2">
        <f>+251929008604</f>
        <v>251929008604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38.88</v>
      </c>
      <c r="M165" s="1" t="s">
        <v>21</v>
      </c>
      <c r="O165" s="1">
        <v>2.34193283295E11</v>
      </c>
    </row>
    <row r="166">
      <c r="A166" s="1">
        <v>2715771.0</v>
      </c>
      <c r="B166" s="1" t="s">
        <v>471</v>
      </c>
      <c r="C166" s="1" t="b">
        <v>1</v>
      </c>
      <c r="D166" s="1" t="b">
        <v>1</v>
      </c>
      <c r="E166" s="1" t="s">
        <v>472</v>
      </c>
      <c r="F166" s="1" t="s">
        <v>420</v>
      </c>
      <c r="G166" s="2">
        <f>+251960749609</f>
        <v>251960749609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25.47</v>
      </c>
      <c r="M166" s="1" t="s">
        <v>21</v>
      </c>
      <c r="O166" s="1">
        <v>2.34290163943E11</v>
      </c>
    </row>
    <row r="167">
      <c r="A167" s="1">
        <v>2715372.0</v>
      </c>
      <c r="B167" s="1" t="s">
        <v>473</v>
      </c>
      <c r="C167" s="1" t="b">
        <v>1</v>
      </c>
      <c r="D167" s="1" t="b">
        <v>1</v>
      </c>
      <c r="E167" s="1" t="s">
        <v>474</v>
      </c>
      <c r="F167" s="1" t="s">
        <v>475</v>
      </c>
      <c r="G167" s="2">
        <f>+251917580778</f>
        <v>251917580778</v>
      </c>
      <c r="H167" s="1" t="s">
        <v>18</v>
      </c>
      <c r="I167" s="1" t="s">
        <v>19</v>
      </c>
      <c r="J167" s="1" t="s">
        <v>19</v>
      </c>
      <c r="K167" s="1" t="s">
        <v>25</v>
      </c>
      <c r="L167" s="1">
        <v>21.37</v>
      </c>
      <c r="M167" s="1" t="s">
        <v>21</v>
      </c>
      <c r="O167" s="1">
        <v>2.34160258256E11</v>
      </c>
    </row>
    <row r="168">
      <c r="A168" s="1">
        <v>2716251.0</v>
      </c>
      <c r="B168" s="1" t="s">
        <v>476</v>
      </c>
      <c r="C168" s="1" t="b">
        <v>1</v>
      </c>
      <c r="D168" s="1" t="b">
        <v>1</v>
      </c>
      <c r="E168" s="1" t="s">
        <v>477</v>
      </c>
      <c r="F168" s="1" t="s">
        <v>478</v>
      </c>
      <c r="G168" s="2">
        <f>+251978283531</f>
        <v>251978283531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21.97</v>
      </c>
      <c r="M168" s="1" t="s">
        <v>21</v>
      </c>
      <c r="O168" s="1">
        <v>2.34376692946E11</v>
      </c>
    </row>
    <row r="169">
      <c r="A169" s="1">
        <v>2715769.0</v>
      </c>
      <c r="B169" s="1" t="s">
        <v>479</v>
      </c>
      <c r="C169" s="1" t="b">
        <v>1</v>
      </c>
      <c r="D169" s="1" t="b">
        <v>1</v>
      </c>
      <c r="E169" s="1" t="s">
        <v>480</v>
      </c>
      <c r="F169" s="1" t="s">
        <v>481</v>
      </c>
      <c r="G169" s="2">
        <f>+251931359501</f>
        <v>251931359501</v>
      </c>
      <c r="H169" s="1" t="s">
        <v>18</v>
      </c>
      <c r="I169" s="1" t="s">
        <v>19</v>
      </c>
      <c r="J169" s="1" t="s">
        <v>19</v>
      </c>
      <c r="K169" s="1" t="s">
        <v>20</v>
      </c>
      <c r="L169" s="1">
        <v>26.51</v>
      </c>
      <c r="M169" s="1" t="s">
        <v>21</v>
      </c>
      <c r="O169" s="1">
        <v>2.34220511471E11</v>
      </c>
    </row>
    <row r="170">
      <c r="A170" s="1">
        <v>2716527.0</v>
      </c>
      <c r="B170" s="1" t="s">
        <v>482</v>
      </c>
      <c r="C170" s="1" t="b">
        <v>1</v>
      </c>
      <c r="D170" s="1" t="b">
        <v>1</v>
      </c>
      <c r="E170" s="1" t="s">
        <v>483</v>
      </c>
      <c r="F170" s="1" t="s">
        <v>484</v>
      </c>
      <c r="G170" s="2">
        <f>+251911626334</f>
        <v>251911626334</v>
      </c>
      <c r="H170" s="1" t="s">
        <v>18</v>
      </c>
      <c r="I170" s="1" t="s">
        <v>19</v>
      </c>
      <c r="J170" s="1" t="s">
        <v>19</v>
      </c>
      <c r="K170" s="1" t="s">
        <v>20</v>
      </c>
      <c r="L170" s="1">
        <v>21.36</v>
      </c>
      <c r="M170" s="1" t="s">
        <v>33</v>
      </c>
      <c r="N170" s="1" t="s">
        <v>34</v>
      </c>
      <c r="O170" s="1">
        <v>2.34500237498E11</v>
      </c>
    </row>
    <row r="171">
      <c r="A171" s="1">
        <v>2717034.0</v>
      </c>
      <c r="B171" s="1" t="s">
        <v>485</v>
      </c>
      <c r="C171" s="1" t="b">
        <v>1</v>
      </c>
      <c r="D171" s="1" t="b">
        <v>1</v>
      </c>
      <c r="E171" s="1" t="s">
        <v>486</v>
      </c>
      <c r="F171" s="1" t="s">
        <v>487</v>
      </c>
      <c r="G171" s="2">
        <f>+251935372477</f>
        <v>251935372477</v>
      </c>
      <c r="H171" s="1" t="s">
        <v>488</v>
      </c>
      <c r="I171" s="1" t="s">
        <v>19</v>
      </c>
      <c r="J171" s="1" t="s">
        <v>19</v>
      </c>
      <c r="K171" s="1" t="s">
        <v>20</v>
      </c>
      <c r="L171" s="1">
        <v>19.55</v>
      </c>
      <c r="M171" s="1" t="s">
        <v>21</v>
      </c>
    </row>
    <row r="172">
      <c r="A172" s="1">
        <v>2717164.0</v>
      </c>
      <c r="B172" s="1" t="s">
        <v>489</v>
      </c>
      <c r="C172" s="1" t="b">
        <v>1</v>
      </c>
      <c r="D172" s="1" t="b">
        <v>1</v>
      </c>
      <c r="E172" s="1" t="s">
        <v>490</v>
      </c>
      <c r="F172" s="1" t="s">
        <v>491</v>
      </c>
      <c r="G172" s="2">
        <f>+251912670640</f>
        <v>251912670640</v>
      </c>
      <c r="H172" s="1" t="s">
        <v>18</v>
      </c>
      <c r="I172" s="1" t="s">
        <v>19</v>
      </c>
      <c r="J172" s="1" t="s">
        <v>19</v>
      </c>
      <c r="K172" s="1" t="s">
        <v>20</v>
      </c>
      <c r="L172" s="1">
        <v>26.58</v>
      </c>
      <c r="M172" s="1" t="s">
        <v>21</v>
      </c>
      <c r="O172" s="1">
        <v>2.34545688771E11</v>
      </c>
    </row>
    <row r="173">
      <c r="A173" s="1">
        <v>2717256.0</v>
      </c>
      <c r="B173" s="1" t="s">
        <v>492</v>
      </c>
      <c r="C173" s="1" t="b">
        <v>1</v>
      </c>
      <c r="D173" s="1" t="b">
        <v>1</v>
      </c>
      <c r="E173" s="1" t="s">
        <v>493</v>
      </c>
      <c r="F173" s="1" t="s">
        <v>494</v>
      </c>
      <c r="G173" s="2">
        <f>+251961099715</f>
        <v>251961099715</v>
      </c>
      <c r="H173" s="1" t="s">
        <v>18</v>
      </c>
      <c r="I173" s="1" t="s">
        <v>19</v>
      </c>
      <c r="J173" s="1" t="s">
        <v>19</v>
      </c>
      <c r="K173" s="1" t="s">
        <v>20</v>
      </c>
      <c r="L173" s="1">
        <v>27.97</v>
      </c>
      <c r="M173" s="1" t="s">
        <v>21</v>
      </c>
      <c r="O173" s="1">
        <v>2.3562865E7</v>
      </c>
    </row>
    <row r="174">
      <c r="A174" s="1">
        <v>2717548.0</v>
      </c>
      <c r="B174" s="1" t="s">
        <v>495</v>
      </c>
      <c r="C174" s="1" t="b">
        <v>1</v>
      </c>
      <c r="D174" s="1" t="b">
        <v>1</v>
      </c>
      <c r="E174" s="1" t="s">
        <v>496</v>
      </c>
      <c r="F174" s="1" t="s">
        <v>497</v>
      </c>
      <c r="G174" s="2">
        <f>+251988303153</f>
        <v>251988303153</v>
      </c>
      <c r="H174" s="1" t="s">
        <v>18</v>
      </c>
      <c r="I174" s="1" t="s">
        <v>19</v>
      </c>
      <c r="J174" s="1" t="s">
        <v>498</v>
      </c>
      <c r="K174" s="1" t="s">
        <v>20</v>
      </c>
      <c r="L174" s="1">
        <v>18.78</v>
      </c>
      <c r="M174" s="1" t="s">
        <v>21</v>
      </c>
      <c r="O174" s="1">
        <v>2.34625788094E11</v>
      </c>
    </row>
    <row r="175">
      <c r="A175" s="1">
        <v>592707.0</v>
      </c>
      <c r="B175" s="1" t="s">
        <v>499</v>
      </c>
      <c r="C175" s="1" t="b">
        <v>1</v>
      </c>
      <c r="D175" s="1" t="b">
        <v>1</v>
      </c>
      <c r="E175" s="1" t="s">
        <v>500</v>
      </c>
      <c r="F175" s="1" t="s">
        <v>501</v>
      </c>
      <c r="G175" s="2">
        <f>+251924845543</f>
        <v>251924845543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22.83</v>
      </c>
      <c r="M175" s="1" t="s">
        <v>21</v>
      </c>
      <c r="O175" s="1">
        <v>2.8860962E7</v>
      </c>
    </row>
    <row r="176">
      <c r="A176" s="1">
        <v>2717684.0</v>
      </c>
      <c r="B176" s="1" t="s">
        <v>502</v>
      </c>
      <c r="C176" s="1" t="b">
        <v>1</v>
      </c>
      <c r="D176" s="1" t="b">
        <v>1</v>
      </c>
      <c r="E176" s="1" t="s">
        <v>503</v>
      </c>
      <c r="F176" s="1" t="s">
        <v>504</v>
      </c>
      <c r="G176" s="2">
        <f>+251962032133</f>
        <v>251962032133</v>
      </c>
      <c r="H176" s="1" t="s">
        <v>18</v>
      </c>
      <c r="I176" s="1" t="s">
        <v>19</v>
      </c>
      <c r="J176" s="1" t="s">
        <v>19</v>
      </c>
      <c r="K176" s="1" t="s">
        <v>25</v>
      </c>
      <c r="L176" s="1">
        <v>32.92</v>
      </c>
      <c r="M176" s="1" t="s">
        <v>21</v>
      </c>
      <c r="O176" s="1">
        <v>8699764.0</v>
      </c>
    </row>
    <row r="177">
      <c r="A177" s="1">
        <v>2718050.0</v>
      </c>
      <c r="B177" s="1" t="s">
        <v>505</v>
      </c>
      <c r="C177" s="1" t="b">
        <v>1</v>
      </c>
      <c r="D177" s="1" t="b">
        <v>1</v>
      </c>
      <c r="E177" s="1" t="s">
        <v>506</v>
      </c>
      <c r="F177" s="1" t="s">
        <v>507</v>
      </c>
      <c r="G177" s="1">
        <v>9.92457591E8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21.79</v>
      </c>
      <c r="M177" s="1" t="s">
        <v>33</v>
      </c>
      <c r="N177" s="1" t="s">
        <v>118</v>
      </c>
      <c r="O177" s="1">
        <v>2.34735413445E11</v>
      </c>
    </row>
    <row r="178">
      <c r="A178" s="1">
        <v>2718166.0</v>
      </c>
      <c r="B178" s="1" t="s">
        <v>508</v>
      </c>
      <c r="C178" s="1" t="b">
        <v>1</v>
      </c>
      <c r="D178" s="1" t="b">
        <v>1</v>
      </c>
      <c r="E178" s="1" t="s">
        <v>509</v>
      </c>
      <c r="F178" s="1" t="s">
        <v>510</v>
      </c>
      <c r="G178" s="2">
        <f>+251953340876</f>
        <v>251953340876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21.72</v>
      </c>
      <c r="M178" s="1" t="s">
        <v>33</v>
      </c>
      <c r="N178" s="1" t="s">
        <v>118</v>
      </c>
      <c r="O178" s="1">
        <v>1.00215229651E11</v>
      </c>
    </row>
    <row r="179">
      <c r="A179" s="1">
        <v>2694921.0</v>
      </c>
      <c r="B179" s="1" t="s">
        <v>511</v>
      </c>
      <c r="C179" s="1" t="b">
        <v>1</v>
      </c>
      <c r="D179" s="1" t="b">
        <v>1</v>
      </c>
      <c r="E179" s="1" t="s">
        <v>184</v>
      </c>
      <c r="F179" s="1" t="s">
        <v>512</v>
      </c>
      <c r="G179" s="2">
        <f>+251909239943</f>
        <v>251909239943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25.42</v>
      </c>
      <c r="M179" s="1" t="s">
        <v>21</v>
      </c>
      <c r="O179" s="1">
        <v>6034278.0</v>
      </c>
    </row>
    <row r="180">
      <c r="A180" s="1">
        <v>2718266.0</v>
      </c>
      <c r="B180" s="1" t="s">
        <v>513</v>
      </c>
      <c r="C180" s="1" t="b">
        <v>1</v>
      </c>
      <c r="D180" s="1" t="b">
        <v>1</v>
      </c>
      <c r="E180" s="1" t="s">
        <v>514</v>
      </c>
      <c r="F180" s="1" t="s">
        <v>515</v>
      </c>
      <c r="G180" s="2">
        <f>+251713298174</f>
        <v>251713298174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27.99</v>
      </c>
      <c r="M180" s="1" t="s">
        <v>21</v>
      </c>
      <c r="O180" s="1">
        <v>2.34775243989E11</v>
      </c>
    </row>
    <row r="181">
      <c r="A181" s="1">
        <v>1713282.0</v>
      </c>
      <c r="B181" s="1" t="s">
        <v>516</v>
      </c>
      <c r="C181" s="1" t="b">
        <v>1</v>
      </c>
      <c r="D181" s="1" t="b">
        <v>1</v>
      </c>
      <c r="E181" s="1" t="s">
        <v>517</v>
      </c>
      <c r="F181" s="1" t="s">
        <v>313</v>
      </c>
      <c r="G181" s="2">
        <f>+251939974739</f>
        <v>251939974739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23.82</v>
      </c>
      <c r="M181" s="1" t="s">
        <v>33</v>
      </c>
      <c r="N181" s="1" t="s">
        <v>177</v>
      </c>
      <c r="O181" s="1">
        <v>8768568.0</v>
      </c>
    </row>
    <row r="182">
      <c r="A182" s="1">
        <v>819993.0</v>
      </c>
      <c r="B182" s="1" t="s">
        <v>518</v>
      </c>
      <c r="C182" s="1" t="b">
        <v>1</v>
      </c>
      <c r="D182" s="1" t="b">
        <v>1</v>
      </c>
      <c r="E182" s="1" t="s">
        <v>519</v>
      </c>
      <c r="F182" s="1" t="s">
        <v>328</v>
      </c>
      <c r="G182" s="2">
        <f>+251966826324</f>
        <v>251966826324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23.51</v>
      </c>
      <c r="M182" s="1" t="s">
        <v>21</v>
      </c>
      <c r="O182" s="1">
        <v>800414.0</v>
      </c>
    </row>
    <row r="183">
      <c r="A183" s="1">
        <v>2718600.0</v>
      </c>
      <c r="B183" s="1" t="s">
        <v>520</v>
      </c>
      <c r="C183" s="1" t="b">
        <v>1</v>
      </c>
      <c r="D183" s="1" t="b">
        <v>1</v>
      </c>
      <c r="E183" s="1" t="s">
        <v>521</v>
      </c>
      <c r="F183" s="1" t="s">
        <v>522</v>
      </c>
      <c r="G183" s="2">
        <f>+251914063678</f>
        <v>251914063678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28.19</v>
      </c>
      <c r="M183" s="1" t="s">
        <v>21</v>
      </c>
      <c r="O183" s="1">
        <v>2.3515061E7</v>
      </c>
    </row>
    <row r="184">
      <c r="A184" s="1">
        <v>2718790.0</v>
      </c>
      <c r="B184" s="1" t="s">
        <v>523</v>
      </c>
      <c r="C184" s="1" t="b">
        <v>1</v>
      </c>
      <c r="D184" s="1" t="b">
        <v>1</v>
      </c>
      <c r="E184" s="1" t="s">
        <v>524</v>
      </c>
      <c r="F184" s="1" t="s">
        <v>525</v>
      </c>
      <c r="G184" s="2">
        <f>+251913303661</f>
        <v>251913303661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40.27</v>
      </c>
      <c r="M184" s="1" t="s">
        <v>21</v>
      </c>
      <c r="O184" s="1">
        <v>2.34841368768E11</v>
      </c>
    </row>
    <row r="185">
      <c r="A185" s="1">
        <v>2719128.0</v>
      </c>
      <c r="B185" s="1" t="s">
        <v>526</v>
      </c>
      <c r="C185" s="1" t="b">
        <v>0</v>
      </c>
      <c r="D185" s="1" t="b">
        <v>1</v>
      </c>
      <c r="E185" s="1" t="s">
        <v>527</v>
      </c>
      <c r="F185" s="1" t="s">
        <v>528</v>
      </c>
      <c r="G185" s="2">
        <f>+251931020324</f>
        <v>251931020324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19.35</v>
      </c>
      <c r="M185" s="1" t="s">
        <v>33</v>
      </c>
      <c r="N185" s="1" t="s">
        <v>34</v>
      </c>
      <c r="O185" s="1">
        <v>2.34922477805E11</v>
      </c>
    </row>
    <row r="186">
      <c r="A186" s="1">
        <v>2719333.0</v>
      </c>
      <c r="B186" s="1" t="s">
        <v>529</v>
      </c>
      <c r="C186" s="1" t="b">
        <v>1</v>
      </c>
      <c r="D186" s="1" t="b">
        <v>1</v>
      </c>
      <c r="E186" s="1" t="s">
        <v>51</v>
      </c>
      <c r="F186" s="1" t="s">
        <v>530</v>
      </c>
      <c r="G186" s="2">
        <f>+251919599958</f>
        <v>251919599958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31.75</v>
      </c>
      <c r="M186" s="1" t="s">
        <v>21</v>
      </c>
      <c r="O186" s="1">
        <v>8773871.0</v>
      </c>
    </row>
    <row r="187">
      <c r="A187" s="1">
        <v>2719374.0</v>
      </c>
      <c r="B187" s="1" t="s">
        <v>531</v>
      </c>
      <c r="C187" s="1" t="b">
        <v>1</v>
      </c>
      <c r="D187" s="1" t="b">
        <v>1</v>
      </c>
      <c r="E187" s="1" t="s">
        <v>375</v>
      </c>
      <c r="F187" s="1" t="s">
        <v>532</v>
      </c>
      <c r="G187" s="2">
        <f>+251995597887</f>
        <v>251995597887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24.55</v>
      </c>
      <c r="M187" s="1" t="s">
        <v>33</v>
      </c>
      <c r="N187" s="1" t="s">
        <v>65</v>
      </c>
      <c r="O187" s="1">
        <v>2.34985312491E11</v>
      </c>
    </row>
    <row r="188">
      <c r="A188" s="1">
        <v>2719593.0</v>
      </c>
      <c r="B188" s="1" t="s">
        <v>533</v>
      </c>
      <c r="C188" s="1" t="b">
        <v>1</v>
      </c>
      <c r="D188" s="1" t="b">
        <v>1</v>
      </c>
      <c r="E188" s="1" t="s">
        <v>60</v>
      </c>
      <c r="F188" s="1" t="s">
        <v>534</v>
      </c>
      <c r="G188" s="2">
        <f>+251920745188</f>
        <v>251920745188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27.2</v>
      </c>
      <c r="M188" s="1" t="s">
        <v>21</v>
      </c>
    </row>
    <row r="189">
      <c r="A189" s="1">
        <v>47866.0</v>
      </c>
      <c r="B189" s="1" t="s">
        <v>535</v>
      </c>
      <c r="C189" s="1" t="b">
        <v>1</v>
      </c>
      <c r="D189" s="1" t="b">
        <v>1</v>
      </c>
      <c r="E189" s="1" t="s">
        <v>536</v>
      </c>
      <c r="F189" s="1" t="s">
        <v>537</v>
      </c>
      <c r="G189" s="2">
        <f>+251923222911</f>
        <v>251923222911</v>
      </c>
      <c r="H189" s="1" t="s">
        <v>18</v>
      </c>
      <c r="I189" s="1" t="s">
        <v>19</v>
      </c>
      <c r="J189" s="1" t="s">
        <v>19</v>
      </c>
      <c r="K189" s="1" t="s">
        <v>25</v>
      </c>
      <c r="L189" s="1">
        <v>32.73</v>
      </c>
      <c r="M189" s="1" t="s">
        <v>21</v>
      </c>
      <c r="O189" s="1">
        <v>776933.0</v>
      </c>
    </row>
    <row r="190">
      <c r="A190" s="1">
        <v>2696991.0</v>
      </c>
      <c r="B190" s="1" t="s">
        <v>538</v>
      </c>
      <c r="C190" s="1" t="b">
        <v>1</v>
      </c>
      <c r="D190" s="1" t="b">
        <v>1</v>
      </c>
      <c r="E190" s="1" t="s">
        <v>539</v>
      </c>
      <c r="F190" s="1" t="s">
        <v>540</v>
      </c>
      <c r="G190" s="2">
        <f>+251923799711</f>
        <v>251923799711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22.81</v>
      </c>
      <c r="M190" s="1" t="s">
        <v>21</v>
      </c>
      <c r="O190" s="1">
        <v>2.26368207089E11</v>
      </c>
    </row>
    <row r="191">
      <c r="A191" s="1">
        <v>1573634.0</v>
      </c>
      <c r="B191" s="1" t="s">
        <v>541</v>
      </c>
      <c r="C191" s="1" t="b">
        <v>1</v>
      </c>
      <c r="D191" s="1" t="b">
        <v>1</v>
      </c>
      <c r="E191" s="1" t="s">
        <v>542</v>
      </c>
      <c r="F191" s="1" t="s">
        <v>543</v>
      </c>
      <c r="G191" s="2">
        <f>+251923271060</f>
        <v>251923271060</v>
      </c>
      <c r="H191" s="1" t="s">
        <v>18</v>
      </c>
      <c r="I191" s="1" t="s">
        <v>19</v>
      </c>
      <c r="J191" s="1" t="s">
        <v>19</v>
      </c>
      <c r="K191" s="1" t="s">
        <v>25</v>
      </c>
      <c r="L191" s="1">
        <v>34.31</v>
      </c>
      <c r="M191" s="1" t="s">
        <v>33</v>
      </c>
      <c r="N191" s="1" t="s">
        <v>177</v>
      </c>
      <c r="O191" s="1">
        <v>768868.0</v>
      </c>
    </row>
    <row r="192">
      <c r="A192" s="1">
        <v>2720338.0</v>
      </c>
      <c r="B192" s="1" t="s">
        <v>544</v>
      </c>
      <c r="C192" s="1" t="b">
        <v>1</v>
      </c>
      <c r="D192" s="1" t="b">
        <v>1</v>
      </c>
      <c r="E192" s="1" t="s">
        <v>141</v>
      </c>
      <c r="F192" s="1" t="s">
        <v>545</v>
      </c>
      <c r="G192" s="2">
        <f>+251946510733</f>
        <v>251946510733</v>
      </c>
      <c r="H192" s="1" t="s">
        <v>93</v>
      </c>
      <c r="I192" s="1" t="s">
        <v>19</v>
      </c>
      <c r="J192" s="1" t="s">
        <v>19</v>
      </c>
      <c r="K192" s="1" t="s">
        <v>25</v>
      </c>
      <c r="L192" s="1">
        <v>24.98</v>
      </c>
      <c r="M192" s="1" t="s">
        <v>33</v>
      </c>
      <c r="N192" s="1" t="s">
        <v>34</v>
      </c>
      <c r="O192" s="1">
        <v>2.3511786208E11</v>
      </c>
    </row>
    <row r="193">
      <c r="A193" s="1">
        <v>2720530.0</v>
      </c>
      <c r="B193" s="1" t="s">
        <v>546</v>
      </c>
      <c r="C193" s="1" t="b">
        <v>1</v>
      </c>
      <c r="D193" s="1" t="b">
        <v>1</v>
      </c>
      <c r="E193" s="1" t="s">
        <v>547</v>
      </c>
      <c r="F193" s="1" t="s">
        <v>548</v>
      </c>
      <c r="G193" s="2">
        <f>+251913140219</f>
        <v>251913140219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29.63</v>
      </c>
      <c r="M193" s="1" t="s">
        <v>21</v>
      </c>
      <c r="O193" s="1">
        <v>8253551.0</v>
      </c>
    </row>
    <row r="194">
      <c r="A194" s="1">
        <v>2720627.0</v>
      </c>
      <c r="B194" s="1" t="s">
        <v>549</v>
      </c>
      <c r="C194" s="1" t="b">
        <v>1</v>
      </c>
      <c r="D194" s="1" t="b">
        <v>1</v>
      </c>
      <c r="E194" s="1" t="s">
        <v>550</v>
      </c>
      <c r="F194" s="1" t="s">
        <v>551</v>
      </c>
      <c r="G194" s="2">
        <f>+251967315958</f>
        <v>251967315958</v>
      </c>
      <c r="H194" s="1" t="s">
        <v>18</v>
      </c>
      <c r="I194" s="1" t="s">
        <v>19</v>
      </c>
      <c r="J194" s="1" t="s">
        <v>19</v>
      </c>
      <c r="K194" s="1" t="s">
        <v>25</v>
      </c>
      <c r="L194" s="1">
        <v>36.67</v>
      </c>
      <c r="M194" s="1" t="s">
        <v>21</v>
      </c>
      <c r="O194" s="1">
        <v>8769166.0</v>
      </c>
    </row>
    <row r="195">
      <c r="A195" s="1">
        <v>2720783.0</v>
      </c>
      <c r="B195" s="1" t="s">
        <v>552</v>
      </c>
      <c r="C195" s="1" t="b">
        <v>1</v>
      </c>
      <c r="D195" s="1" t="b">
        <v>1</v>
      </c>
      <c r="E195" s="1" t="s">
        <v>553</v>
      </c>
      <c r="F195" s="1" t="s">
        <v>554</v>
      </c>
      <c r="G195" s="2">
        <f>+251910197061</f>
        <v>251910197061</v>
      </c>
      <c r="H195" s="1" t="s">
        <v>131</v>
      </c>
      <c r="I195" s="1" t="s">
        <v>19</v>
      </c>
      <c r="J195" s="1" t="s">
        <v>19</v>
      </c>
      <c r="K195" s="1" t="s">
        <v>25</v>
      </c>
      <c r="L195" s="1">
        <v>28.38</v>
      </c>
      <c r="M195" s="1" t="s">
        <v>21</v>
      </c>
      <c r="O195" s="1">
        <v>5175733.0</v>
      </c>
    </row>
    <row r="196">
      <c r="A196" s="1">
        <v>2704413.0</v>
      </c>
      <c r="B196" s="1" t="s">
        <v>555</v>
      </c>
      <c r="C196" s="1" t="b">
        <v>1</v>
      </c>
      <c r="D196" s="1" t="b">
        <v>1</v>
      </c>
      <c r="E196" s="1" t="s">
        <v>556</v>
      </c>
      <c r="F196" s="1" t="s">
        <v>557</v>
      </c>
      <c r="G196" s="2">
        <f>+251984742787</f>
        <v>251984742787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28.87</v>
      </c>
      <c r="M196" s="1" t="s">
        <v>21</v>
      </c>
      <c r="O196" s="1">
        <v>8905134.0</v>
      </c>
    </row>
    <row r="197">
      <c r="A197" s="1">
        <v>2721208.0</v>
      </c>
      <c r="B197" s="1" t="s">
        <v>558</v>
      </c>
      <c r="C197" s="1" t="b">
        <v>1</v>
      </c>
      <c r="D197" s="1" t="b">
        <v>1</v>
      </c>
      <c r="E197" s="1" t="s">
        <v>116</v>
      </c>
      <c r="F197" s="1" t="s">
        <v>559</v>
      </c>
      <c r="G197" s="2">
        <f>+251961997391</f>
        <v>251961997391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24.05</v>
      </c>
      <c r="M197" s="1" t="s">
        <v>21</v>
      </c>
    </row>
    <row r="198">
      <c r="A198" s="1">
        <v>2509213.0</v>
      </c>
      <c r="B198" s="1" t="s">
        <v>560</v>
      </c>
      <c r="C198" s="1" t="b">
        <v>1</v>
      </c>
      <c r="D198" s="1" t="b">
        <v>1</v>
      </c>
      <c r="E198" s="1" t="s">
        <v>110</v>
      </c>
      <c r="F198" s="1" t="s">
        <v>561</v>
      </c>
      <c r="G198" s="2">
        <f>+251938948155</f>
        <v>251938948155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31.66</v>
      </c>
      <c r="M198" s="1" t="s">
        <v>21</v>
      </c>
      <c r="O198" s="1">
        <v>8862800.0</v>
      </c>
    </row>
    <row r="199">
      <c r="A199" s="1">
        <v>2624865.0</v>
      </c>
      <c r="B199" s="1" t="s">
        <v>562</v>
      </c>
      <c r="C199" s="1" t="b">
        <v>1</v>
      </c>
      <c r="D199" s="1" t="b">
        <v>1</v>
      </c>
      <c r="E199" s="1" t="s">
        <v>563</v>
      </c>
      <c r="F199" s="1" t="s">
        <v>564</v>
      </c>
      <c r="G199" s="2">
        <f>+251902417162</f>
        <v>251902417162</v>
      </c>
      <c r="H199" s="1" t="s">
        <v>72</v>
      </c>
      <c r="I199" s="1" t="s">
        <v>19</v>
      </c>
      <c r="J199" s="1" t="s">
        <v>19</v>
      </c>
      <c r="K199" s="1" t="s">
        <v>25</v>
      </c>
      <c r="L199" s="1">
        <v>23.21</v>
      </c>
      <c r="M199" s="1" t="s">
        <v>21</v>
      </c>
      <c r="O199" s="1">
        <v>9206744.0</v>
      </c>
    </row>
    <row r="200">
      <c r="A200" s="1">
        <v>2721949.0</v>
      </c>
      <c r="B200" s="1" t="s">
        <v>565</v>
      </c>
      <c r="C200" s="1" t="b">
        <v>1</v>
      </c>
      <c r="D200" s="1" t="b">
        <v>0</v>
      </c>
      <c r="E200" s="1" t="s">
        <v>566</v>
      </c>
      <c r="F200" s="1" t="s">
        <v>338</v>
      </c>
      <c r="G200" s="2">
        <f>+251926260129</f>
        <v>251926260129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25.25</v>
      </c>
      <c r="M200" s="1" t="s">
        <v>21</v>
      </c>
      <c r="O200" s="1">
        <v>2.35488969916E11</v>
      </c>
    </row>
    <row r="201">
      <c r="A201" s="1">
        <v>2722102.0</v>
      </c>
      <c r="B201" s="1" t="s">
        <v>567</v>
      </c>
      <c r="C201" s="1" t="b">
        <v>1</v>
      </c>
      <c r="D201" s="1" t="b">
        <v>1</v>
      </c>
      <c r="E201" s="1" t="s">
        <v>370</v>
      </c>
      <c r="F201" s="1" t="s">
        <v>568</v>
      </c>
      <c r="G201" s="2">
        <f>+251995355004</f>
        <v>251995355004</v>
      </c>
      <c r="H201" s="1" t="s">
        <v>18</v>
      </c>
      <c r="I201" s="1" t="s">
        <v>19</v>
      </c>
      <c r="J201" s="1" t="s">
        <v>19</v>
      </c>
      <c r="K201" s="1" t="s">
        <v>25</v>
      </c>
      <c r="L201" s="1">
        <v>24.62</v>
      </c>
      <c r="M201" s="1" t="s">
        <v>21</v>
      </c>
      <c r="O201" s="1">
        <v>2.35499418839E11</v>
      </c>
    </row>
    <row r="202">
      <c r="A202" s="1">
        <v>1852525.0</v>
      </c>
      <c r="B202" s="1" t="s">
        <v>569</v>
      </c>
      <c r="C202" s="1" t="b">
        <v>1</v>
      </c>
      <c r="D202" s="1" t="b">
        <v>1</v>
      </c>
      <c r="E202" s="1" t="s">
        <v>570</v>
      </c>
      <c r="F202" s="1" t="s">
        <v>571</v>
      </c>
      <c r="G202" s="2">
        <f>+251945153615</f>
        <v>251945153615</v>
      </c>
      <c r="H202" s="1" t="s">
        <v>572</v>
      </c>
      <c r="I202" s="1" t="s">
        <v>19</v>
      </c>
      <c r="J202" s="1" t="s">
        <v>573</v>
      </c>
      <c r="K202" s="1" t="s">
        <v>25</v>
      </c>
      <c r="L202" s="1">
        <v>26.44</v>
      </c>
      <c r="M202" s="1" t="s">
        <v>33</v>
      </c>
      <c r="N202" s="1" t="s">
        <v>65</v>
      </c>
      <c r="O202" s="1">
        <v>2.5374407649E10</v>
      </c>
    </row>
    <row r="203">
      <c r="A203" s="1">
        <v>2722278.0</v>
      </c>
      <c r="B203" s="1" t="s">
        <v>574</v>
      </c>
      <c r="C203" s="1" t="b">
        <v>1</v>
      </c>
      <c r="D203" s="1" t="b">
        <v>1</v>
      </c>
      <c r="E203" s="1" t="s">
        <v>313</v>
      </c>
      <c r="F203" s="1" t="s">
        <v>575</v>
      </c>
      <c r="G203" s="2">
        <f>+251912880778</f>
        <v>251912880778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28.88</v>
      </c>
      <c r="M203" s="1" t="s">
        <v>21</v>
      </c>
      <c r="O203" s="1">
        <v>2.35508790485E11</v>
      </c>
    </row>
    <row r="204">
      <c r="A204" s="1">
        <v>2721834.0</v>
      </c>
      <c r="B204" s="1" t="s">
        <v>576</v>
      </c>
      <c r="C204" s="1" t="b">
        <v>1</v>
      </c>
      <c r="D204" s="1" t="b">
        <v>1</v>
      </c>
      <c r="E204" s="1" t="s">
        <v>577</v>
      </c>
      <c r="F204" s="1" t="s">
        <v>491</v>
      </c>
      <c r="G204" s="2">
        <f>+251995856987</f>
        <v>251995856987</v>
      </c>
      <c r="H204" s="1" t="s">
        <v>18</v>
      </c>
      <c r="I204" s="1" t="s">
        <v>19</v>
      </c>
      <c r="J204" s="1" t="s">
        <v>19</v>
      </c>
      <c r="K204" s="1" t="s">
        <v>25</v>
      </c>
      <c r="L204" s="1">
        <v>20.76</v>
      </c>
      <c r="M204" s="1" t="s">
        <v>21</v>
      </c>
      <c r="O204" s="1">
        <v>2.35439426751E11</v>
      </c>
    </row>
    <row r="205">
      <c r="A205" s="1">
        <v>2722598.0</v>
      </c>
      <c r="B205" s="1" t="s">
        <v>578</v>
      </c>
      <c r="C205" s="1" t="b">
        <v>1</v>
      </c>
      <c r="D205" s="1" t="b">
        <v>1</v>
      </c>
      <c r="E205" s="1" t="s">
        <v>217</v>
      </c>
      <c r="F205" s="1" t="s">
        <v>467</v>
      </c>
      <c r="G205" s="2">
        <f>+251937360668</f>
        <v>251937360668</v>
      </c>
      <c r="H205" s="1" t="s">
        <v>18</v>
      </c>
      <c r="I205" s="1" t="s">
        <v>19</v>
      </c>
      <c r="J205" s="1" t="s">
        <v>19</v>
      </c>
      <c r="K205" s="1" t="s">
        <v>25</v>
      </c>
      <c r="L205" s="1">
        <v>18.92</v>
      </c>
      <c r="M205" s="1" t="s">
        <v>21</v>
      </c>
      <c r="O205" s="1">
        <v>2.35535135974E11</v>
      </c>
    </row>
    <row r="206">
      <c r="A206" s="1">
        <v>2722626.0</v>
      </c>
      <c r="B206" s="1" t="s">
        <v>579</v>
      </c>
      <c r="C206" s="1" t="b">
        <v>1</v>
      </c>
      <c r="D206" s="1" t="b">
        <v>1</v>
      </c>
      <c r="E206" s="1" t="s">
        <v>580</v>
      </c>
      <c r="F206" s="1" t="s">
        <v>220</v>
      </c>
      <c r="G206" s="2">
        <f>+251910089936</f>
        <v>251910089936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27.22</v>
      </c>
      <c r="M206" s="1" t="s">
        <v>21</v>
      </c>
      <c r="O206" s="1">
        <v>7130858.0</v>
      </c>
    </row>
    <row r="207">
      <c r="A207" s="1">
        <v>2326623.0</v>
      </c>
      <c r="B207" s="1" t="s">
        <v>581</v>
      </c>
      <c r="C207" s="1" t="b">
        <v>1</v>
      </c>
      <c r="D207" s="1" t="b">
        <v>1</v>
      </c>
      <c r="E207" s="1" t="s">
        <v>503</v>
      </c>
      <c r="F207" s="1" t="s">
        <v>582</v>
      </c>
      <c r="G207" s="2">
        <f>+251989005824</f>
        <v>251989005824</v>
      </c>
      <c r="H207" s="1" t="s">
        <v>18</v>
      </c>
      <c r="I207" s="1" t="s">
        <v>19</v>
      </c>
      <c r="J207" s="1" t="s">
        <v>19</v>
      </c>
      <c r="K207" s="1" t="s">
        <v>25</v>
      </c>
      <c r="L207" s="1">
        <v>22.98</v>
      </c>
      <c r="M207" s="1" t="s">
        <v>21</v>
      </c>
      <c r="O207" s="1">
        <v>6549776.0</v>
      </c>
    </row>
    <row r="208">
      <c r="A208" s="1">
        <v>2722991.0</v>
      </c>
      <c r="B208" s="1" t="s">
        <v>583</v>
      </c>
      <c r="C208" s="1" t="b">
        <v>1</v>
      </c>
      <c r="D208" s="1" t="b">
        <v>1</v>
      </c>
      <c r="E208" s="1" t="s">
        <v>60</v>
      </c>
      <c r="F208" s="1" t="s">
        <v>584</v>
      </c>
      <c r="G208" s="2">
        <f>+251954895118</f>
        <v>251954895118</v>
      </c>
      <c r="H208" s="1" t="s">
        <v>18</v>
      </c>
      <c r="I208" s="1" t="s">
        <v>19</v>
      </c>
      <c r="J208" s="1" t="s">
        <v>19</v>
      </c>
      <c r="K208" s="1" t="s">
        <v>20</v>
      </c>
      <c r="L208" s="1">
        <v>19.24</v>
      </c>
      <c r="M208" s="1" t="s">
        <v>21</v>
      </c>
      <c r="O208" s="1">
        <v>2.35614102771E11</v>
      </c>
    </row>
    <row r="209">
      <c r="A209" s="1">
        <v>2723070.0</v>
      </c>
      <c r="B209" s="1" t="s">
        <v>585</v>
      </c>
      <c r="C209" s="1" t="b">
        <v>1</v>
      </c>
      <c r="D209" s="1" t="b">
        <v>1</v>
      </c>
      <c r="E209" s="1" t="s">
        <v>517</v>
      </c>
      <c r="F209" s="1" t="s">
        <v>586</v>
      </c>
      <c r="G209" s="2">
        <f>+251918073436</f>
        <v>251918073436</v>
      </c>
      <c r="H209" s="1" t="s">
        <v>72</v>
      </c>
      <c r="I209" s="1" t="s">
        <v>19</v>
      </c>
      <c r="J209" s="1" t="s">
        <v>19</v>
      </c>
      <c r="K209" s="1" t="s">
        <v>25</v>
      </c>
      <c r="L209" s="1">
        <v>18.32</v>
      </c>
      <c r="M209" s="1" t="s">
        <v>21</v>
      </c>
    </row>
    <row r="210">
      <c r="A210" s="1">
        <v>2723073.0</v>
      </c>
      <c r="B210" s="1" t="s">
        <v>587</v>
      </c>
      <c r="C210" s="1" t="b">
        <v>1</v>
      </c>
      <c r="D210" s="1" t="b">
        <v>1</v>
      </c>
      <c r="E210" s="1" t="s">
        <v>588</v>
      </c>
      <c r="F210" s="1" t="s">
        <v>589</v>
      </c>
      <c r="G210" s="2">
        <f>+251920751322</f>
        <v>251920751322</v>
      </c>
      <c r="H210" s="1" t="s">
        <v>18</v>
      </c>
      <c r="I210" s="1" t="s">
        <v>19</v>
      </c>
      <c r="J210" s="1" t="s">
        <v>19</v>
      </c>
      <c r="K210" s="1" t="s">
        <v>20</v>
      </c>
      <c r="L210" s="1">
        <v>19.86</v>
      </c>
      <c r="M210" s="1" t="s">
        <v>21</v>
      </c>
    </row>
    <row r="211">
      <c r="A211" s="1">
        <v>2723214.0</v>
      </c>
      <c r="B211" s="1" t="s">
        <v>590</v>
      </c>
      <c r="C211" s="1" t="b">
        <v>1</v>
      </c>
      <c r="D211" s="1" t="b">
        <v>1</v>
      </c>
      <c r="E211" s="1" t="s">
        <v>591</v>
      </c>
      <c r="F211" s="1" t="s">
        <v>592</v>
      </c>
      <c r="G211" s="2">
        <f>+251939261723</f>
        <v>251939261723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27.13</v>
      </c>
      <c r="M211" s="1" t="s">
        <v>21</v>
      </c>
      <c r="O211" s="1">
        <v>2.35661569232E11</v>
      </c>
    </row>
    <row r="212">
      <c r="A212" s="1">
        <v>2723509.0</v>
      </c>
      <c r="B212" s="1" t="s">
        <v>593</v>
      </c>
      <c r="C212" s="1" t="b">
        <v>1</v>
      </c>
      <c r="D212" s="1" t="b">
        <v>1</v>
      </c>
      <c r="E212" s="1" t="s">
        <v>594</v>
      </c>
      <c r="F212" s="1" t="s">
        <v>595</v>
      </c>
      <c r="G212" s="2">
        <f>+251904214621</f>
        <v>251904214621</v>
      </c>
      <c r="H212" s="1" t="s">
        <v>72</v>
      </c>
      <c r="I212" s="1" t="s">
        <v>19</v>
      </c>
      <c r="J212" s="1" t="s">
        <v>19</v>
      </c>
      <c r="K212" s="1" t="s">
        <v>20</v>
      </c>
      <c r="L212" s="1">
        <v>26.35</v>
      </c>
      <c r="M212" s="1" t="s">
        <v>21</v>
      </c>
    </row>
    <row r="213">
      <c r="A213" s="1">
        <v>2539271.0</v>
      </c>
      <c r="B213" s="1" t="s">
        <v>596</v>
      </c>
      <c r="C213" s="1" t="b">
        <v>1</v>
      </c>
      <c r="D213" s="1" t="b">
        <v>1</v>
      </c>
      <c r="E213" s="1" t="s">
        <v>597</v>
      </c>
      <c r="F213" s="1" t="s">
        <v>598</v>
      </c>
      <c r="G213" s="2">
        <f>+251910501803</f>
        <v>251910501803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18.46</v>
      </c>
      <c r="M213" s="1" t="s">
        <v>33</v>
      </c>
      <c r="N213" s="1" t="s">
        <v>34</v>
      </c>
    </row>
    <row r="214">
      <c r="A214" s="1">
        <v>2723531.0</v>
      </c>
      <c r="B214" s="1" t="s">
        <v>599</v>
      </c>
      <c r="C214" s="1" t="b">
        <v>1</v>
      </c>
      <c r="D214" s="1" t="b">
        <v>1</v>
      </c>
      <c r="E214" s="1" t="s">
        <v>600</v>
      </c>
      <c r="F214" s="1" t="s">
        <v>601</v>
      </c>
      <c r="G214" s="2">
        <f>+251977078082</f>
        <v>251977078082</v>
      </c>
      <c r="H214" s="1" t="s">
        <v>18</v>
      </c>
      <c r="I214" s="1" t="s">
        <v>19</v>
      </c>
      <c r="J214" s="1" t="s">
        <v>19</v>
      </c>
      <c r="K214" s="1" t="s">
        <v>25</v>
      </c>
      <c r="L214" s="1">
        <v>19.45</v>
      </c>
      <c r="M214" s="1" t="s">
        <v>21</v>
      </c>
      <c r="O214" s="1">
        <v>2.35680540908E11</v>
      </c>
    </row>
    <row r="215">
      <c r="A215" s="1">
        <v>2723672.0</v>
      </c>
      <c r="B215" s="1" t="s">
        <v>602</v>
      </c>
      <c r="C215" s="1" t="b">
        <v>1</v>
      </c>
      <c r="D215" s="1" t="b">
        <v>1</v>
      </c>
      <c r="E215" s="1" t="s">
        <v>603</v>
      </c>
      <c r="F215" s="1" t="s">
        <v>604</v>
      </c>
      <c r="G215" s="2">
        <f>+251919189080</f>
        <v>251919189080</v>
      </c>
      <c r="H215" s="1" t="s">
        <v>18</v>
      </c>
      <c r="I215" s="1" t="s">
        <v>19</v>
      </c>
      <c r="J215" s="1" t="s">
        <v>19</v>
      </c>
      <c r="K215" s="1" t="s">
        <v>20</v>
      </c>
      <c r="L215" s="1">
        <v>19.12</v>
      </c>
      <c r="M215" s="1" t="s">
        <v>21</v>
      </c>
      <c r="O215" s="1">
        <v>2.35821401314E11</v>
      </c>
    </row>
    <row r="216">
      <c r="A216" s="1">
        <v>2723695.0</v>
      </c>
      <c r="B216" s="1" t="s">
        <v>605</v>
      </c>
      <c r="C216" s="1" t="b">
        <v>1</v>
      </c>
      <c r="D216" s="1" t="b">
        <v>1</v>
      </c>
      <c r="E216" s="1" t="s">
        <v>606</v>
      </c>
      <c r="F216" s="1" t="s">
        <v>607</v>
      </c>
      <c r="G216" s="2">
        <f>+251986496153</f>
        <v>251986496153</v>
      </c>
      <c r="H216" s="1" t="s">
        <v>18</v>
      </c>
      <c r="I216" s="1" t="s">
        <v>19</v>
      </c>
      <c r="J216" s="1" t="s">
        <v>19</v>
      </c>
      <c r="K216" s="1" t="s">
        <v>25</v>
      </c>
      <c r="L216" s="1">
        <v>23.25</v>
      </c>
      <c r="M216" s="1" t="s">
        <v>21</v>
      </c>
      <c r="O216" s="1">
        <v>2.3569841381E11</v>
      </c>
    </row>
    <row r="217">
      <c r="A217" s="1">
        <v>2723699.0</v>
      </c>
      <c r="B217" s="1" t="s">
        <v>608</v>
      </c>
      <c r="C217" s="1" t="b">
        <v>1</v>
      </c>
      <c r="D217" s="1" t="b">
        <v>1</v>
      </c>
      <c r="E217" s="1" t="s">
        <v>600</v>
      </c>
      <c r="F217" s="1" t="s">
        <v>601</v>
      </c>
      <c r="G217" s="2">
        <f>+251977078082</f>
        <v>251977078082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20.12</v>
      </c>
      <c r="M217" s="1" t="s">
        <v>21</v>
      </c>
      <c r="O217" s="1">
        <v>2.35697480941E11</v>
      </c>
    </row>
    <row r="218">
      <c r="A218" s="1">
        <v>200549.0</v>
      </c>
      <c r="B218" s="1" t="s">
        <v>609</v>
      </c>
      <c r="C218" s="1" t="b">
        <v>1</v>
      </c>
      <c r="D218" s="1" t="b">
        <v>1</v>
      </c>
      <c r="E218" s="1" t="s">
        <v>610</v>
      </c>
      <c r="F218" s="1" t="s">
        <v>333</v>
      </c>
      <c r="G218" s="2">
        <f>+251991753080</f>
        <v>251991753080</v>
      </c>
      <c r="H218" s="1" t="s">
        <v>18</v>
      </c>
      <c r="I218" s="1" t="s">
        <v>19</v>
      </c>
      <c r="J218" s="1" t="s">
        <v>19</v>
      </c>
      <c r="K218" s="1" t="s">
        <v>20</v>
      </c>
      <c r="L218" s="1">
        <v>21.69</v>
      </c>
      <c r="M218" s="1" t="s">
        <v>21</v>
      </c>
      <c r="O218" s="1">
        <v>1171291.0</v>
      </c>
    </row>
    <row r="219">
      <c r="A219" s="1">
        <v>2724964.0</v>
      </c>
      <c r="B219" s="1" t="s">
        <v>611</v>
      </c>
      <c r="C219" s="1" t="b">
        <v>1</v>
      </c>
      <c r="D219" s="1" t="b">
        <v>1</v>
      </c>
      <c r="E219" s="1" t="s">
        <v>612</v>
      </c>
      <c r="F219" s="1" t="s">
        <v>613</v>
      </c>
      <c r="G219" s="2">
        <f>+251989975662</f>
        <v>251989975662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22.62</v>
      </c>
      <c r="M219" s="1" t="s">
        <v>21</v>
      </c>
      <c r="O219" s="1">
        <v>2513122.0</v>
      </c>
    </row>
    <row r="220">
      <c r="A220" s="1">
        <v>2724787.0</v>
      </c>
      <c r="B220" s="1" t="s">
        <v>614</v>
      </c>
      <c r="C220" s="1" t="b">
        <v>1</v>
      </c>
      <c r="D220" s="1" t="b">
        <v>1</v>
      </c>
      <c r="E220" s="1" t="s">
        <v>615</v>
      </c>
      <c r="F220" s="1" t="s">
        <v>616</v>
      </c>
      <c r="G220" s="2">
        <f>+251970673846</f>
        <v>251970673846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21.81</v>
      </c>
      <c r="M220" s="1" t="s">
        <v>21</v>
      </c>
      <c r="O220" s="1">
        <v>2.36173398265E11</v>
      </c>
    </row>
    <row r="221">
      <c r="A221" s="1">
        <v>2725046.0</v>
      </c>
      <c r="B221" s="1" t="s">
        <v>617</v>
      </c>
      <c r="C221" s="1" t="b">
        <v>1</v>
      </c>
      <c r="D221" s="1" t="b">
        <v>1</v>
      </c>
      <c r="E221" s="1" t="s">
        <v>141</v>
      </c>
      <c r="F221" s="1" t="s">
        <v>618</v>
      </c>
      <c r="G221" s="2">
        <f>+251940058995</f>
        <v>251940058995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21.77</v>
      </c>
      <c r="M221" s="1" t="s">
        <v>21</v>
      </c>
    </row>
    <row r="222">
      <c r="A222" s="1">
        <v>2725337.0</v>
      </c>
      <c r="B222" s="1" t="s">
        <v>619</v>
      </c>
      <c r="C222" s="1" t="b">
        <v>1</v>
      </c>
      <c r="D222" s="1" t="b">
        <v>1</v>
      </c>
      <c r="E222" s="1" t="s">
        <v>620</v>
      </c>
      <c r="F222" s="1" t="s">
        <v>621</v>
      </c>
      <c r="G222" s="2">
        <f>+251907559221</f>
        <v>251907559221</v>
      </c>
      <c r="H222" s="1" t="s">
        <v>72</v>
      </c>
      <c r="I222" s="1" t="s">
        <v>19</v>
      </c>
      <c r="J222" s="1" t="s">
        <v>19</v>
      </c>
      <c r="K222" s="1" t="s">
        <v>25</v>
      </c>
      <c r="L222" s="1">
        <v>18.45</v>
      </c>
      <c r="M222" s="1" t="s">
        <v>33</v>
      </c>
      <c r="N222" s="1" t="s">
        <v>166</v>
      </c>
    </row>
    <row r="223">
      <c r="A223" s="1">
        <v>96029.0</v>
      </c>
      <c r="B223" s="1" t="s">
        <v>622</v>
      </c>
      <c r="C223" s="1" t="b">
        <v>1</v>
      </c>
      <c r="D223" s="1" t="b">
        <v>1</v>
      </c>
      <c r="E223" s="1" t="s">
        <v>294</v>
      </c>
      <c r="F223" s="1" t="s">
        <v>623</v>
      </c>
      <c r="G223" s="2">
        <f>+251929784808</f>
        <v>251929784808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20.56</v>
      </c>
      <c r="M223" s="1" t="s">
        <v>21</v>
      </c>
      <c r="O223" s="1">
        <v>821526.0</v>
      </c>
    </row>
    <row r="224">
      <c r="A224" s="1">
        <v>2725695.0</v>
      </c>
      <c r="B224" s="1" t="s">
        <v>624</v>
      </c>
      <c r="C224" s="1" t="b">
        <v>0</v>
      </c>
      <c r="D224" s="1" t="b">
        <v>1</v>
      </c>
      <c r="E224" s="1" t="s">
        <v>110</v>
      </c>
      <c r="F224" s="1" t="s">
        <v>625</v>
      </c>
      <c r="G224" s="2">
        <f>+251946747400</f>
        <v>251946747400</v>
      </c>
      <c r="H224" s="1" t="s">
        <v>72</v>
      </c>
      <c r="I224" s="1" t="s">
        <v>19</v>
      </c>
      <c r="J224" s="1" t="s">
        <v>19</v>
      </c>
      <c r="K224" s="1" t="s">
        <v>25</v>
      </c>
      <c r="L224" s="1">
        <v>20.75</v>
      </c>
      <c r="M224" s="1" t="s">
        <v>33</v>
      </c>
      <c r="N224" s="1" t="s">
        <v>166</v>
      </c>
      <c r="O224" s="1">
        <v>2.36447385814E11</v>
      </c>
    </row>
    <row r="225">
      <c r="A225" s="1">
        <v>2725821.0</v>
      </c>
      <c r="B225" s="1" t="s">
        <v>626</v>
      </c>
      <c r="C225" s="1" t="b">
        <v>1</v>
      </c>
      <c r="D225" s="1" t="b">
        <v>1</v>
      </c>
      <c r="E225" s="1" t="s">
        <v>627</v>
      </c>
      <c r="F225" s="1" t="s">
        <v>189</v>
      </c>
      <c r="G225" s="2">
        <f>+251963135028</f>
        <v>251963135028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30.94</v>
      </c>
      <c r="M225" s="1" t="s">
        <v>33</v>
      </c>
      <c r="N225" s="1" t="s">
        <v>235</v>
      </c>
      <c r="O225" s="1">
        <v>2.36389077186E11</v>
      </c>
    </row>
    <row r="226">
      <c r="A226" s="1">
        <v>2726421.0</v>
      </c>
      <c r="B226" s="1" t="s">
        <v>628</v>
      </c>
      <c r="C226" s="1" t="b">
        <v>1</v>
      </c>
      <c r="D226" s="1" t="b">
        <v>1</v>
      </c>
      <c r="E226" s="1" t="s">
        <v>629</v>
      </c>
      <c r="F226" s="1" t="s">
        <v>630</v>
      </c>
      <c r="G226" s="2">
        <f>+251942139059</f>
        <v>251942139059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30.43</v>
      </c>
      <c r="M226" s="1" t="s">
        <v>21</v>
      </c>
      <c r="O226" s="1">
        <v>2.36571347192E11</v>
      </c>
    </row>
    <row r="227">
      <c r="A227" s="1">
        <v>2726518.0</v>
      </c>
      <c r="B227" s="1" t="s">
        <v>631</v>
      </c>
      <c r="C227" s="1" t="b">
        <v>1</v>
      </c>
      <c r="D227" s="1" t="b">
        <v>1</v>
      </c>
      <c r="E227" s="1" t="s">
        <v>220</v>
      </c>
      <c r="F227" s="1" t="s">
        <v>141</v>
      </c>
      <c r="G227" s="2">
        <f>+251910022212</f>
        <v>251910022212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25.71</v>
      </c>
      <c r="M227" s="1" t="s">
        <v>21</v>
      </c>
      <c r="O227" s="1">
        <v>1855157.0</v>
      </c>
    </row>
    <row r="228">
      <c r="A228" s="1">
        <v>2726594.0</v>
      </c>
      <c r="B228" s="1" t="s">
        <v>632</v>
      </c>
      <c r="C228" s="1" t="b">
        <v>1</v>
      </c>
      <c r="D228" s="1" t="b">
        <v>1</v>
      </c>
      <c r="E228" s="1" t="s">
        <v>184</v>
      </c>
      <c r="F228" s="1" t="s">
        <v>633</v>
      </c>
      <c r="G228" s="2">
        <f>+251967232610</f>
        <v>251967232610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21.14</v>
      </c>
      <c r="M228" s="1" t="s">
        <v>21</v>
      </c>
    </row>
    <row r="229">
      <c r="A229" s="1">
        <v>234769.0</v>
      </c>
      <c r="B229" s="1" t="s">
        <v>634</v>
      </c>
      <c r="C229" s="1" t="b">
        <v>1</v>
      </c>
      <c r="D229" s="1" t="b">
        <v>1</v>
      </c>
      <c r="E229" s="1" t="s">
        <v>37</v>
      </c>
      <c r="F229" s="1" t="s">
        <v>45</v>
      </c>
      <c r="G229" s="1">
        <v>9.79011378E8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26.49</v>
      </c>
      <c r="M229" s="1" t="s">
        <v>33</v>
      </c>
      <c r="N229" s="1" t="s">
        <v>34</v>
      </c>
      <c r="O229" s="1">
        <v>766174.0</v>
      </c>
    </row>
    <row r="230">
      <c r="A230" s="1">
        <v>2727499.0</v>
      </c>
      <c r="B230" s="1" t="s">
        <v>635</v>
      </c>
      <c r="C230" s="1" t="b">
        <v>1</v>
      </c>
      <c r="D230" s="1" t="b">
        <v>1</v>
      </c>
      <c r="E230" s="1" t="s">
        <v>636</v>
      </c>
      <c r="F230" s="1" t="s">
        <v>23</v>
      </c>
      <c r="G230" s="2">
        <f>+251985096509</f>
        <v>251985096509</v>
      </c>
      <c r="H230" s="1" t="s">
        <v>131</v>
      </c>
      <c r="I230" s="1" t="s">
        <v>19</v>
      </c>
      <c r="J230" s="1" t="s">
        <v>19</v>
      </c>
      <c r="K230" s="1" t="s">
        <v>25</v>
      </c>
      <c r="L230" s="1">
        <v>20.74</v>
      </c>
      <c r="M230" s="1" t="s">
        <v>21</v>
      </c>
      <c r="O230" s="1">
        <v>2.36928120006E11</v>
      </c>
    </row>
    <row r="231">
      <c r="A231" s="1">
        <v>2728209.0</v>
      </c>
      <c r="B231" s="1" t="s">
        <v>637</v>
      </c>
      <c r="C231" s="1" t="b">
        <v>1</v>
      </c>
      <c r="D231" s="1" t="b">
        <v>0</v>
      </c>
      <c r="E231" s="1" t="s">
        <v>638</v>
      </c>
      <c r="F231" s="1" t="s">
        <v>363</v>
      </c>
      <c r="G231" s="2">
        <f>+251993645760</f>
        <v>251993645760</v>
      </c>
      <c r="H231" s="1" t="s">
        <v>18</v>
      </c>
      <c r="I231" s="1" t="s">
        <v>19</v>
      </c>
      <c r="J231" s="1" t="s">
        <v>19</v>
      </c>
      <c r="K231" s="1" t="s">
        <v>20</v>
      </c>
      <c r="L231" s="1">
        <v>24.56</v>
      </c>
      <c r="M231" s="1" t="s">
        <v>21</v>
      </c>
      <c r="O231" s="1">
        <v>2.4419852489E10</v>
      </c>
    </row>
    <row r="232">
      <c r="A232" s="1">
        <v>1501470.0</v>
      </c>
      <c r="B232" s="1" t="s">
        <v>639</v>
      </c>
      <c r="C232" s="1" t="b">
        <v>1</v>
      </c>
      <c r="D232" s="1" t="b">
        <v>1</v>
      </c>
      <c r="E232" s="1" t="s">
        <v>640</v>
      </c>
      <c r="F232" s="1" t="s">
        <v>641</v>
      </c>
      <c r="G232" s="2">
        <f>+251967655584</f>
        <v>251967655584</v>
      </c>
      <c r="H232" s="1" t="s">
        <v>642</v>
      </c>
      <c r="I232" s="1" t="s">
        <v>19</v>
      </c>
      <c r="J232" s="1" t="s">
        <v>19</v>
      </c>
      <c r="K232" s="1" t="s">
        <v>25</v>
      </c>
      <c r="L232" s="1">
        <v>20.85</v>
      </c>
      <c r="M232" s="1" t="s">
        <v>21</v>
      </c>
      <c r="O232" s="1">
        <v>1445034.0</v>
      </c>
    </row>
    <row r="233">
      <c r="A233" s="1">
        <v>2728378.0</v>
      </c>
      <c r="B233" s="1" t="s">
        <v>643</v>
      </c>
      <c r="C233" s="1" t="b">
        <v>1</v>
      </c>
      <c r="D233" s="1" t="b">
        <v>1</v>
      </c>
      <c r="E233" s="1" t="s">
        <v>240</v>
      </c>
      <c r="F233" s="1" t="s">
        <v>644</v>
      </c>
      <c r="G233" s="2">
        <f>+251922488069</f>
        <v>251922488069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24.35</v>
      </c>
      <c r="M233" s="1" t="s">
        <v>21</v>
      </c>
    </row>
    <row r="234">
      <c r="A234" s="1">
        <v>2728598.0</v>
      </c>
      <c r="B234" s="1" t="s">
        <v>645</v>
      </c>
      <c r="C234" s="1" t="b">
        <v>1</v>
      </c>
      <c r="D234" s="1" t="b">
        <v>1</v>
      </c>
      <c r="E234" s="1" t="s">
        <v>646</v>
      </c>
      <c r="F234" s="1" t="s">
        <v>647</v>
      </c>
      <c r="G234" s="2">
        <f>+251982165411</f>
        <v>251982165411</v>
      </c>
      <c r="H234" s="1" t="s">
        <v>18</v>
      </c>
      <c r="I234" s="1" t="s">
        <v>19</v>
      </c>
      <c r="J234" s="1" t="s">
        <v>19</v>
      </c>
      <c r="K234" s="1" t="s">
        <v>20</v>
      </c>
      <c r="L234" s="1">
        <v>20.75</v>
      </c>
      <c r="M234" s="1" t="s">
        <v>21</v>
      </c>
      <c r="O234" s="1">
        <v>2.37269890279E11</v>
      </c>
    </row>
    <row r="235">
      <c r="A235" s="1">
        <v>314188.0</v>
      </c>
      <c r="B235" s="1" t="s">
        <v>648</v>
      </c>
      <c r="C235" s="1" t="b">
        <v>1</v>
      </c>
      <c r="D235" s="1" t="b">
        <v>1</v>
      </c>
      <c r="E235" s="1" t="s">
        <v>649</v>
      </c>
      <c r="F235" s="1" t="s">
        <v>45</v>
      </c>
      <c r="G235" s="1">
        <v>9.39847277E8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24.03</v>
      </c>
      <c r="M235" s="1" t="s">
        <v>21</v>
      </c>
      <c r="O235" s="1">
        <v>8809690.0</v>
      </c>
    </row>
    <row r="236">
      <c r="A236" s="1">
        <v>2729070.0</v>
      </c>
      <c r="B236" s="1" t="s">
        <v>650</v>
      </c>
      <c r="C236" s="1" t="b">
        <v>1</v>
      </c>
      <c r="D236" s="1" t="b">
        <v>1</v>
      </c>
      <c r="E236" s="1" t="s">
        <v>536</v>
      </c>
      <c r="F236" s="1" t="s">
        <v>651</v>
      </c>
      <c r="G236" s="2">
        <f>+251937344324</f>
        <v>251937344324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28.24</v>
      </c>
      <c r="M236" s="1" t="s">
        <v>21</v>
      </c>
      <c r="O236" s="1">
        <v>2.37323990246E11</v>
      </c>
    </row>
    <row r="237">
      <c r="A237" s="1">
        <v>2729407.0</v>
      </c>
      <c r="B237" s="1" t="s">
        <v>652</v>
      </c>
      <c r="C237" s="1" t="b">
        <v>1</v>
      </c>
      <c r="D237" s="1" t="b">
        <v>1</v>
      </c>
      <c r="E237" s="1" t="s">
        <v>653</v>
      </c>
      <c r="F237" s="1" t="s">
        <v>654</v>
      </c>
      <c r="G237" s="2">
        <f>+251976186627</f>
        <v>251976186627</v>
      </c>
      <c r="H237" s="1" t="s">
        <v>131</v>
      </c>
      <c r="I237" s="1" t="s">
        <v>19</v>
      </c>
      <c r="J237" s="1" t="s">
        <v>19</v>
      </c>
      <c r="K237" s="1" t="s">
        <v>25</v>
      </c>
      <c r="L237" s="1">
        <v>20.65</v>
      </c>
      <c r="M237" s="1" t="s">
        <v>33</v>
      </c>
      <c r="N237" s="1" t="s">
        <v>166</v>
      </c>
      <c r="O237" s="1">
        <v>2.37491076301E11</v>
      </c>
    </row>
    <row r="238">
      <c r="A238" s="1">
        <v>2729883.0</v>
      </c>
      <c r="B238" s="1" t="s">
        <v>655</v>
      </c>
      <c r="C238" s="1" t="b">
        <v>1</v>
      </c>
      <c r="D238" s="1" t="b">
        <v>1</v>
      </c>
      <c r="E238" s="1" t="s">
        <v>656</v>
      </c>
      <c r="F238" s="1" t="s">
        <v>657</v>
      </c>
      <c r="G238" s="2">
        <f>+251918458757</f>
        <v>251918458757</v>
      </c>
      <c r="H238" s="1" t="s">
        <v>72</v>
      </c>
      <c r="I238" s="1" t="s">
        <v>19</v>
      </c>
      <c r="J238" s="1" t="s">
        <v>19</v>
      </c>
      <c r="K238" s="1" t="s">
        <v>25</v>
      </c>
      <c r="L238" s="1">
        <v>32.64</v>
      </c>
      <c r="M238" s="1" t="s">
        <v>21</v>
      </c>
      <c r="O238" s="1">
        <v>2.37619658994E11</v>
      </c>
    </row>
    <row r="239">
      <c r="A239" s="1">
        <v>533970.0</v>
      </c>
      <c r="B239" s="1" t="s">
        <v>658</v>
      </c>
      <c r="C239" s="1" t="b">
        <v>1</v>
      </c>
      <c r="D239" s="1" t="b">
        <v>1</v>
      </c>
      <c r="E239" s="1" t="s">
        <v>101</v>
      </c>
      <c r="F239" s="1" t="s">
        <v>218</v>
      </c>
      <c r="G239" s="1">
        <v>9.45309092E8</v>
      </c>
      <c r="H239" s="1" t="s">
        <v>80</v>
      </c>
      <c r="I239" s="1" t="s">
        <v>19</v>
      </c>
      <c r="J239" s="1" t="s">
        <v>19</v>
      </c>
      <c r="K239" s="1" t="s">
        <v>25</v>
      </c>
      <c r="L239" s="1">
        <v>23.65</v>
      </c>
      <c r="M239" s="1" t="s">
        <v>21</v>
      </c>
      <c r="O239" s="1">
        <v>6031426.0</v>
      </c>
    </row>
    <row r="240">
      <c r="A240" s="1">
        <v>2730411.0</v>
      </c>
      <c r="B240" s="1" t="s">
        <v>659</v>
      </c>
      <c r="C240" s="1" t="b">
        <v>0</v>
      </c>
      <c r="D240" s="1" t="b">
        <v>1</v>
      </c>
      <c r="E240" s="1" t="s">
        <v>110</v>
      </c>
      <c r="F240" s="1" t="s">
        <v>303</v>
      </c>
      <c r="G240" s="2">
        <f>+251987294511</f>
        <v>251987294511</v>
      </c>
      <c r="H240" s="1" t="s">
        <v>72</v>
      </c>
      <c r="I240" s="1" t="s">
        <v>19</v>
      </c>
      <c r="J240" s="1" t="s">
        <v>19</v>
      </c>
      <c r="K240" s="1" t="s">
        <v>25</v>
      </c>
      <c r="L240" s="1">
        <v>23.21</v>
      </c>
      <c r="M240" s="1" t="s">
        <v>33</v>
      </c>
      <c r="N240" s="1" t="s">
        <v>118</v>
      </c>
      <c r="O240" s="1">
        <v>2.37690645715E11</v>
      </c>
    </row>
    <row r="241">
      <c r="A241" s="1">
        <v>2731167.0</v>
      </c>
      <c r="B241" s="1" t="s">
        <v>660</v>
      </c>
      <c r="C241" s="1" t="b">
        <v>1</v>
      </c>
      <c r="D241" s="1" t="b">
        <v>1</v>
      </c>
      <c r="E241" s="1" t="s">
        <v>661</v>
      </c>
      <c r="F241" s="1" t="s">
        <v>297</v>
      </c>
      <c r="G241" s="2">
        <f>+251920061644</f>
        <v>251920061644</v>
      </c>
      <c r="H241" s="1" t="s">
        <v>18</v>
      </c>
      <c r="I241" s="1" t="s">
        <v>19</v>
      </c>
      <c r="J241" s="1" t="s">
        <v>19</v>
      </c>
      <c r="K241" s="1" t="s">
        <v>25</v>
      </c>
      <c r="L241" s="1">
        <v>35.31</v>
      </c>
      <c r="M241" s="1" t="s">
        <v>21</v>
      </c>
    </row>
    <row r="242">
      <c r="A242" s="1">
        <v>1084386.0</v>
      </c>
      <c r="B242" s="1" t="s">
        <v>662</v>
      </c>
      <c r="C242" s="1" t="b">
        <v>1</v>
      </c>
      <c r="D242" s="1" t="b">
        <v>1</v>
      </c>
      <c r="E242" s="1" t="s">
        <v>663</v>
      </c>
      <c r="F242" s="1" t="s">
        <v>664</v>
      </c>
      <c r="G242" s="2">
        <f>+251941247882</f>
        <v>251941247882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31.38</v>
      </c>
      <c r="M242" s="1" t="s">
        <v>21</v>
      </c>
    </row>
    <row r="243">
      <c r="A243" s="1">
        <v>2731525.0</v>
      </c>
      <c r="B243" s="1" t="s">
        <v>665</v>
      </c>
      <c r="C243" s="1" t="b">
        <v>1</v>
      </c>
      <c r="D243" s="1" t="b">
        <v>1</v>
      </c>
      <c r="E243" s="1" t="s">
        <v>666</v>
      </c>
      <c r="F243" s="1" t="s">
        <v>667</v>
      </c>
      <c r="G243" s="2">
        <f>+251968082738</f>
        <v>251968082738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23.09</v>
      </c>
      <c r="M243" s="1" t="s">
        <v>21</v>
      </c>
      <c r="O243" s="1">
        <v>2.38214858991E11</v>
      </c>
    </row>
    <row r="244">
      <c r="A244" s="1">
        <v>948649.0</v>
      </c>
      <c r="B244" s="1" t="s">
        <v>668</v>
      </c>
      <c r="C244" s="1" t="b">
        <v>1</v>
      </c>
      <c r="D244" s="1" t="b">
        <v>0</v>
      </c>
      <c r="E244" s="1" t="s">
        <v>669</v>
      </c>
      <c r="F244" s="1" t="s">
        <v>213</v>
      </c>
      <c r="G244" s="2">
        <f>+251913121866</f>
        <v>251913121866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35.96</v>
      </c>
      <c r="M244" s="1" t="s">
        <v>33</v>
      </c>
      <c r="N244" s="1" t="s">
        <v>76</v>
      </c>
      <c r="O244" s="1">
        <v>2.3475526E7</v>
      </c>
    </row>
    <row r="245">
      <c r="A245" s="1">
        <v>2731681.0</v>
      </c>
      <c r="B245" s="1" t="s">
        <v>670</v>
      </c>
      <c r="C245" s="1" t="b">
        <v>1</v>
      </c>
      <c r="D245" s="1" t="b">
        <v>1</v>
      </c>
      <c r="E245" s="1" t="s">
        <v>671</v>
      </c>
      <c r="F245" s="1" t="s">
        <v>67</v>
      </c>
      <c r="G245" s="2">
        <f>+251945867091</f>
        <v>251945867091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20.9</v>
      </c>
      <c r="M245" s="1" t="s">
        <v>21</v>
      </c>
      <c r="O245" s="1">
        <v>2.38252925134E11</v>
      </c>
    </row>
    <row r="246">
      <c r="A246" s="1">
        <v>2731934.0</v>
      </c>
      <c r="B246" s="1" t="s">
        <v>672</v>
      </c>
      <c r="C246" s="1" t="b">
        <v>1</v>
      </c>
      <c r="D246" s="1" t="b">
        <v>1</v>
      </c>
      <c r="E246" s="1" t="s">
        <v>673</v>
      </c>
      <c r="F246" s="1" t="s">
        <v>121</v>
      </c>
      <c r="G246" s="2">
        <f>+251953299416</f>
        <v>251953299416</v>
      </c>
      <c r="H246" s="1" t="s">
        <v>80</v>
      </c>
      <c r="I246" s="1" t="s">
        <v>19</v>
      </c>
      <c r="J246" s="1" t="s">
        <v>19</v>
      </c>
      <c r="K246" s="1" t="s">
        <v>25</v>
      </c>
      <c r="L246" s="1">
        <v>22.31</v>
      </c>
      <c r="M246" s="1" t="s">
        <v>21</v>
      </c>
      <c r="O246" s="1">
        <v>2.38347968711E11</v>
      </c>
    </row>
    <row r="247">
      <c r="A247" s="1">
        <v>2731986.0</v>
      </c>
      <c r="B247" s="1" t="s">
        <v>674</v>
      </c>
      <c r="C247" s="1" t="b">
        <v>1</v>
      </c>
      <c r="D247" s="1" t="b">
        <v>1</v>
      </c>
      <c r="E247" s="1" t="s">
        <v>141</v>
      </c>
      <c r="F247" s="1" t="s">
        <v>554</v>
      </c>
      <c r="G247" s="2">
        <f>+251913100761</f>
        <v>251913100761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23.94</v>
      </c>
      <c r="M247" s="1" t="s">
        <v>21</v>
      </c>
    </row>
    <row r="248">
      <c r="A248" s="1">
        <v>2732219.0</v>
      </c>
      <c r="B248" s="1" t="s">
        <v>675</v>
      </c>
      <c r="C248" s="1" t="b">
        <v>1</v>
      </c>
      <c r="D248" s="1" t="b">
        <v>1</v>
      </c>
      <c r="E248" s="1" t="s">
        <v>676</v>
      </c>
      <c r="F248" s="1" t="s">
        <v>331</v>
      </c>
      <c r="G248" s="2">
        <f>+251919668531</f>
        <v>251919668531</v>
      </c>
      <c r="H248" s="1" t="s">
        <v>18</v>
      </c>
      <c r="I248" s="1" t="s">
        <v>19</v>
      </c>
      <c r="J248" s="1" t="s">
        <v>19</v>
      </c>
      <c r="K248" s="1" t="s">
        <v>25</v>
      </c>
      <c r="L248" s="1">
        <v>13.25</v>
      </c>
      <c r="M248" s="1" t="s">
        <v>33</v>
      </c>
      <c r="N248" s="1" t="s">
        <v>65</v>
      </c>
    </row>
    <row r="249">
      <c r="A249" s="1">
        <v>2732360.0</v>
      </c>
      <c r="B249" s="1" t="s">
        <v>677</v>
      </c>
      <c r="C249" s="1" t="b">
        <v>0</v>
      </c>
      <c r="D249" s="1" t="b">
        <v>1</v>
      </c>
      <c r="E249" s="1" t="s">
        <v>37</v>
      </c>
      <c r="F249" s="1" t="s">
        <v>316</v>
      </c>
      <c r="G249" s="2">
        <f>+251914614787</f>
        <v>251914614787</v>
      </c>
      <c r="H249" s="1" t="s">
        <v>58</v>
      </c>
      <c r="I249" s="1" t="s">
        <v>19</v>
      </c>
      <c r="J249" s="1" t="s">
        <v>19</v>
      </c>
      <c r="K249" s="1" t="s">
        <v>25</v>
      </c>
      <c r="L249" s="1">
        <v>25.53</v>
      </c>
      <c r="M249" s="1" t="s">
        <v>26</v>
      </c>
      <c r="O249" s="1">
        <v>2.38429100257E11</v>
      </c>
    </row>
    <row r="250">
      <c r="A250" s="1">
        <v>2526815.0</v>
      </c>
      <c r="B250" s="1" t="s">
        <v>678</v>
      </c>
      <c r="C250" s="1" t="b">
        <v>1</v>
      </c>
      <c r="D250" s="1" t="b">
        <v>1</v>
      </c>
      <c r="E250" s="1" t="s">
        <v>663</v>
      </c>
      <c r="F250" s="1" t="s">
        <v>679</v>
      </c>
      <c r="G250" s="2">
        <f>+251916681616</f>
        <v>251916681616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27.95</v>
      </c>
      <c r="M250" s="1" t="s">
        <v>21</v>
      </c>
      <c r="O250" s="1">
        <v>14244.0</v>
      </c>
    </row>
    <row r="251">
      <c r="A251" s="1">
        <v>2732426.0</v>
      </c>
      <c r="B251" s="1" t="s">
        <v>680</v>
      </c>
      <c r="C251" s="1" t="b">
        <v>1</v>
      </c>
      <c r="D251" s="1" t="b">
        <v>1</v>
      </c>
      <c r="E251" s="1" t="s">
        <v>681</v>
      </c>
      <c r="F251" s="1" t="s">
        <v>682</v>
      </c>
      <c r="G251" s="2">
        <f>+251900039299</f>
        <v>251900039299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27.45</v>
      </c>
      <c r="M251" s="1" t="s">
        <v>21</v>
      </c>
      <c r="O251" s="1">
        <v>2.38450182359E11</v>
      </c>
    </row>
    <row r="252">
      <c r="A252" s="1">
        <v>2732558.0</v>
      </c>
      <c r="B252" s="1" t="s">
        <v>683</v>
      </c>
      <c r="C252" s="1" t="b">
        <v>1</v>
      </c>
      <c r="D252" s="1" t="b">
        <v>1</v>
      </c>
      <c r="E252" s="1" t="s">
        <v>684</v>
      </c>
      <c r="F252" s="1" t="s">
        <v>685</v>
      </c>
      <c r="G252" s="2">
        <f>+251923553097</f>
        <v>251923553097</v>
      </c>
      <c r="H252" s="1" t="s">
        <v>18</v>
      </c>
      <c r="I252" s="1" t="s">
        <v>19</v>
      </c>
      <c r="J252" s="1" t="s">
        <v>19</v>
      </c>
      <c r="K252" s="1" t="s">
        <v>25</v>
      </c>
      <c r="L252" s="1">
        <v>30.92</v>
      </c>
      <c r="M252" s="1" t="s">
        <v>33</v>
      </c>
      <c r="N252" s="1" t="s">
        <v>76</v>
      </c>
      <c r="O252" s="1">
        <v>837335.0</v>
      </c>
    </row>
    <row r="253">
      <c r="A253" s="1">
        <v>2732594.0</v>
      </c>
      <c r="B253" s="1" t="s">
        <v>686</v>
      </c>
      <c r="C253" s="1" t="b">
        <v>1</v>
      </c>
      <c r="D253" s="1" t="b">
        <v>1</v>
      </c>
      <c r="E253" s="1" t="s">
        <v>110</v>
      </c>
      <c r="F253" s="1" t="s">
        <v>687</v>
      </c>
      <c r="G253" s="2">
        <f>+251940371968</f>
        <v>251940371968</v>
      </c>
      <c r="H253" s="1" t="s">
        <v>18</v>
      </c>
      <c r="I253" s="1" t="s">
        <v>19</v>
      </c>
      <c r="J253" s="1" t="s">
        <v>19</v>
      </c>
      <c r="K253" s="1" t="s">
        <v>25</v>
      </c>
      <c r="L253" s="1">
        <v>22.36</v>
      </c>
      <c r="M253" s="1" t="s">
        <v>21</v>
      </c>
      <c r="O253" s="1">
        <v>2.3850223333E11</v>
      </c>
    </row>
    <row r="254">
      <c r="A254" s="1">
        <v>774451.0</v>
      </c>
      <c r="B254" s="1" t="s">
        <v>688</v>
      </c>
      <c r="C254" s="1" t="b">
        <v>1</v>
      </c>
      <c r="D254" s="1" t="b">
        <v>1</v>
      </c>
      <c r="E254" s="1" t="s">
        <v>663</v>
      </c>
      <c r="F254" s="1" t="s">
        <v>689</v>
      </c>
      <c r="G254" s="1">
        <v>9.75044242E8</v>
      </c>
      <c r="H254" s="1" t="s">
        <v>93</v>
      </c>
      <c r="I254" s="1" t="s">
        <v>19</v>
      </c>
      <c r="J254" s="1" t="s">
        <v>19</v>
      </c>
      <c r="K254" s="1" t="s">
        <v>25</v>
      </c>
      <c r="L254" s="1">
        <v>33.92</v>
      </c>
      <c r="M254" s="1" t="s">
        <v>33</v>
      </c>
      <c r="N254" s="1" t="s">
        <v>34</v>
      </c>
      <c r="O254" s="1">
        <v>2.9835491E7</v>
      </c>
    </row>
    <row r="255">
      <c r="A255" s="1">
        <v>1781708.0</v>
      </c>
      <c r="B255" s="1" t="s">
        <v>690</v>
      </c>
      <c r="C255" s="1" t="b">
        <v>1</v>
      </c>
      <c r="D255" s="1" t="b">
        <v>1</v>
      </c>
      <c r="E255" s="1" t="s">
        <v>620</v>
      </c>
      <c r="F255" s="1" t="s">
        <v>691</v>
      </c>
      <c r="G255" s="2">
        <f>+251975509834</f>
        <v>251975509834</v>
      </c>
      <c r="H255" s="1" t="s">
        <v>18</v>
      </c>
      <c r="I255" s="1" t="s">
        <v>19</v>
      </c>
      <c r="J255" s="1" t="s">
        <v>19</v>
      </c>
      <c r="K255" s="1" t="s">
        <v>25</v>
      </c>
      <c r="L255" s="1">
        <v>23.13</v>
      </c>
      <c r="M255" s="1" t="s">
        <v>21</v>
      </c>
      <c r="O255" s="1">
        <v>2.4070138071E10</v>
      </c>
    </row>
    <row r="256">
      <c r="A256" s="1">
        <v>2317567.0</v>
      </c>
      <c r="B256" s="1" t="s">
        <v>692</v>
      </c>
      <c r="C256" s="1" t="b">
        <v>1</v>
      </c>
      <c r="D256" s="1" t="b">
        <v>1</v>
      </c>
      <c r="E256" s="1" t="s">
        <v>693</v>
      </c>
      <c r="F256" s="1" t="s">
        <v>694</v>
      </c>
      <c r="G256" s="1">
        <v>2.51967435801E11</v>
      </c>
      <c r="H256" s="1" t="s">
        <v>18</v>
      </c>
      <c r="I256" s="1" t="s">
        <v>19</v>
      </c>
      <c r="J256" s="1" t="s">
        <v>19</v>
      </c>
      <c r="K256" s="1" t="s">
        <v>20</v>
      </c>
      <c r="L256" s="1">
        <v>24.88</v>
      </c>
      <c r="M256" s="1" t="s">
        <v>21</v>
      </c>
      <c r="O256" s="1">
        <v>2211276.0</v>
      </c>
    </row>
    <row r="257">
      <c r="A257" s="1">
        <v>1174962.0</v>
      </c>
      <c r="B257" s="1" t="s">
        <v>695</v>
      </c>
      <c r="C257" s="1" t="b">
        <v>1</v>
      </c>
      <c r="D257" s="1" t="b">
        <v>1</v>
      </c>
      <c r="E257" s="1" t="s">
        <v>696</v>
      </c>
      <c r="F257" s="1" t="s">
        <v>595</v>
      </c>
      <c r="G257" s="2">
        <f>+251973094578</f>
        <v>251973094578</v>
      </c>
      <c r="H257" s="1" t="s">
        <v>18</v>
      </c>
      <c r="I257" s="1" t="s">
        <v>19</v>
      </c>
      <c r="J257" s="1" t="s">
        <v>19</v>
      </c>
      <c r="K257" s="1" t="s">
        <v>25</v>
      </c>
      <c r="L257" s="1">
        <v>23.42</v>
      </c>
      <c r="M257" s="1" t="s">
        <v>33</v>
      </c>
      <c r="N257" s="1" t="s">
        <v>76</v>
      </c>
      <c r="O257" s="1">
        <v>1844123.0</v>
      </c>
    </row>
    <row r="258">
      <c r="A258" s="1">
        <v>2734361.0</v>
      </c>
      <c r="B258" s="1" t="s">
        <v>697</v>
      </c>
      <c r="C258" s="1" t="b">
        <v>1</v>
      </c>
      <c r="D258" s="1" t="b">
        <v>1</v>
      </c>
      <c r="E258" s="1" t="s">
        <v>698</v>
      </c>
      <c r="F258" s="1" t="s">
        <v>699</v>
      </c>
      <c r="G258" s="2">
        <f>+251970720301</f>
        <v>251970720301</v>
      </c>
      <c r="H258" s="1" t="s">
        <v>18</v>
      </c>
      <c r="I258" s="1" t="s">
        <v>19</v>
      </c>
      <c r="J258" s="1" t="s">
        <v>19</v>
      </c>
      <c r="K258" s="1" t="s">
        <v>25</v>
      </c>
      <c r="L258" s="1">
        <v>20.62</v>
      </c>
      <c r="M258" s="1" t="s">
        <v>21</v>
      </c>
    </row>
    <row r="259">
      <c r="A259" s="1">
        <v>63713.0</v>
      </c>
      <c r="B259" s="1" t="s">
        <v>700</v>
      </c>
      <c r="C259" s="1" t="b">
        <v>1</v>
      </c>
      <c r="D259" s="1" t="b">
        <v>1</v>
      </c>
      <c r="E259" s="1" t="s">
        <v>701</v>
      </c>
      <c r="F259" s="1" t="s">
        <v>702</v>
      </c>
      <c r="G259" s="2">
        <f>+251912896989</f>
        <v>251912896989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30.55</v>
      </c>
      <c r="M259" s="1" t="s">
        <v>21</v>
      </c>
      <c r="O259" s="1">
        <v>1886272.0</v>
      </c>
    </row>
    <row r="260">
      <c r="A260" s="1">
        <v>204597.0</v>
      </c>
      <c r="B260" s="1" t="s">
        <v>703</v>
      </c>
      <c r="C260" s="1" t="b">
        <v>1</v>
      </c>
      <c r="D260" s="1" t="b">
        <v>0</v>
      </c>
      <c r="E260" s="1" t="s">
        <v>704</v>
      </c>
      <c r="F260" s="1" t="s">
        <v>705</v>
      </c>
      <c r="G260" s="2">
        <f>+251912409644</f>
        <v>251912409644</v>
      </c>
      <c r="H260" s="1" t="s">
        <v>18</v>
      </c>
      <c r="I260" s="1" t="s">
        <v>19</v>
      </c>
      <c r="J260" s="1" t="s">
        <v>19</v>
      </c>
      <c r="K260" s="1" t="s">
        <v>25</v>
      </c>
      <c r="L260" s="1">
        <v>31.47</v>
      </c>
      <c r="M260" s="1" t="s">
        <v>21</v>
      </c>
      <c r="O260" s="1">
        <v>27664.0</v>
      </c>
    </row>
    <row r="261">
      <c r="A261" s="1">
        <v>2735118.0</v>
      </c>
      <c r="B261" s="1" t="s">
        <v>706</v>
      </c>
      <c r="C261" s="1" t="b">
        <v>1</v>
      </c>
      <c r="D261" s="1" t="b">
        <v>1</v>
      </c>
      <c r="E261" s="1" t="s">
        <v>292</v>
      </c>
      <c r="F261" s="1" t="s">
        <v>707</v>
      </c>
      <c r="G261" s="2">
        <f>+251937367655</f>
        <v>251937367655</v>
      </c>
      <c r="H261" s="1" t="s">
        <v>335</v>
      </c>
      <c r="I261" s="1" t="s">
        <v>19</v>
      </c>
      <c r="J261" s="1" t="s">
        <v>19</v>
      </c>
      <c r="K261" s="1" t="s">
        <v>25</v>
      </c>
      <c r="L261" s="1">
        <v>16.73</v>
      </c>
      <c r="M261" s="1" t="s">
        <v>33</v>
      </c>
      <c r="N261" s="1" t="s">
        <v>65</v>
      </c>
      <c r="O261" s="1">
        <v>2.39347994871E11</v>
      </c>
    </row>
    <row r="262">
      <c r="A262" s="1">
        <v>2735258.0</v>
      </c>
      <c r="B262" s="1" t="s">
        <v>708</v>
      </c>
      <c r="C262" s="1" t="b">
        <v>1</v>
      </c>
      <c r="D262" s="1" t="b">
        <v>1</v>
      </c>
      <c r="E262" s="1" t="s">
        <v>709</v>
      </c>
      <c r="F262" s="1" t="s">
        <v>710</v>
      </c>
      <c r="G262" s="1">
        <v>9.00351461E8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26.77</v>
      </c>
      <c r="M262" s="1" t="s">
        <v>21</v>
      </c>
      <c r="O262" s="1">
        <v>180448.0</v>
      </c>
    </row>
    <row r="263">
      <c r="A263" s="1">
        <v>2735416.0</v>
      </c>
      <c r="B263" s="1" t="s">
        <v>711</v>
      </c>
      <c r="C263" s="1" t="b">
        <v>1</v>
      </c>
      <c r="D263" s="1" t="b">
        <v>1</v>
      </c>
      <c r="E263" s="1" t="s">
        <v>712</v>
      </c>
      <c r="F263" s="1" t="s">
        <v>713</v>
      </c>
      <c r="G263" s="2">
        <f>+251914416508</f>
        <v>251914416508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35.43</v>
      </c>
      <c r="M263" s="1" t="s">
        <v>21</v>
      </c>
      <c r="O263" s="1">
        <v>1856000.0</v>
      </c>
    </row>
    <row r="264">
      <c r="A264" s="1">
        <v>2736164.0</v>
      </c>
      <c r="B264" s="1" t="s">
        <v>714</v>
      </c>
      <c r="C264" s="1" t="b">
        <v>1</v>
      </c>
      <c r="D264" s="1" t="b">
        <v>1</v>
      </c>
      <c r="E264" s="1" t="s">
        <v>715</v>
      </c>
      <c r="F264" s="1" t="s">
        <v>716</v>
      </c>
      <c r="G264" s="1">
        <v>9.48858092E8</v>
      </c>
      <c r="H264" s="1" t="s">
        <v>18</v>
      </c>
      <c r="I264" s="1" t="s">
        <v>19</v>
      </c>
      <c r="J264" s="1" t="s">
        <v>19</v>
      </c>
      <c r="K264" s="1" t="s">
        <v>25</v>
      </c>
      <c r="L264" s="1">
        <v>35.28</v>
      </c>
      <c r="M264" s="1" t="s">
        <v>21</v>
      </c>
    </row>
    <row r="265">
      <c r="A265" s="1">
        <v>2020316.0</v>
      </c>
      <c r="B265" s="1" t="s">
        <v>717</v>
      </c>
      <c r="C265" s="1" t="b">
        <v>1</v>
      </c>
      <c r="D265" s="1" t="b">
        <v>1</v>
      </c>
      <c r="E265" s="1" t="s">
        <v>718</v>
      </c>
      <c r="F265" s="1" t="s">
        <v>719</v>
      </c>
      <c r="G265" s="2">
        <f>+251934591954</f>
        <v>251934591954</v>
      </c>
      <c r="H265" s="1" t="s">
        <v>18</v>
      </c>
      <c r="I265" s="1" t="s">
        <v>19</v>
      </c>
      <c r="J265" s="1" t="s">
        <v>19</v>
      </c>
      <c r="K265" s="1" t="s">
        <v>25</v>
      </c>
      <c r="L265" s="1">
        <v>27.37</v>
      </c>
      <c r="M265" s="1" t="s">
        <v>21</v>
      </c>
      <c r="O265" s="1">
        <v>763725.0</v>
      </c>
    </row>
    <row r="266">
      <c r="A266" s="1">
        <v>2736340.0</v>
      </c>
      <c r="B266" s="1" t="s">
        <v>720</v>
      </c>
      <c r="C266" s="1" t="b">
        <v>1</v>
      </c>
      <c r="D266" s="1" t="b">
        <v>1</v>
      </c>
      <c r="E266" s="1" t="s">
        <v>721</v>
      </c>
      <c r="F266" s="1" t="s">
        <v>722</v>
      </c>
      <c r="G266" s="2">
        <f>+251921624575</f>
        <v>251921624575</v>
      </c>
      <c r="H266" s="1" t="s">
        <v>18</v>
      </c>
      <c r="I266" s="1" t="s">
        <v>19</v>
      </c>
      <c r="J266" s="1" t="s">
        <v>19</v>
      </c>
      <c r="K266" s="1" t="s">
        <v>25</v>
      </c>
      <c r="L266" s="1">
        <v>33.8</v>
      </c>
      <c r="M266" s="1" t="s">
        <v>21</v>
      </c>
      <c r="O266" s="1">
        <v>1357202.0</v>
      </c>
    </row>
    <row r="267">
      <c r="A267" s="1">
        <v>2736354.0</v>
      </c>
      <c r="B267" s="1" t="s">
        <v>723</v>
      </c>
      <c r="C267" s="1" t="b">
        <v>1</v>
      </c>
      <c r="D267" s="1" t="b">
        <v>1</v>
      </c>
      <c r="E267" s="1" t="s">
        <v>724</v>
      </c>
      <c r="F267" s="1" t="s">
        <v>725</v>
      </c>
      <c r="G267" s="2">
        <f>+2519065398</f>
        <v>2519065398</v>
      </c>
      <c r="H267" s="1" t="s">
        <v>392</v>
      </c>
      <c r="I267" s="1" t="s">
        <v>19</v>
      </c>
      <c r="J267" s="1" t="s">
        <v>19</v>
      </c>
      <c r="K267" s="1" t="s">
        <v>25</v>
      </c>
      <c r="L267" s="1">
        <v>13.21</v>
      </c>
      <c r="M267" s="1" t="s">
        <v>33</v>
      </c>
      <c r="N267" s="1" t="s">
        <v>65</v>
      </c>
      <c r="O267" s="1">
        <v>6040217.0</v>
      </c>
    </row>
    <row r="268">
      <c r="A268" s="1">
        <v>2737213.0</v>
      </c>
      <c r="B268" s="1" t="s">
        <v>726</v>
      </c>
      <c r="C268" s="1" t="b">
        <v>1</v>
      </c>
      <c r="D268" s="1" t="b">
        <v>1</v>
      </c>
      <c r="E268" s="1" t="s">
        <v>727</v>
      </c>
      <c r="F268" s="1" t="s">
        <v>110</v>
      </c>
      <c r="G268" s="2">
        <f>+251927072759</f>
        <v>251927072759</v>
      </c>
      <c r="H268" s="1" t="s">
        <v>18</v>
      </c>
      <c r="I268" s="1" t="s">
        <v>19</v>
      </c>
      <c r="J268" s="1" t="s">
        <v>19</v>
      </c>
      <c r="K268" s="1" t="s">
        <v>25</v>
      </c>
      <c r="L268" s="1">
        <v>21.2</v>
      </c>
      <c r="M268" s="1" t="s">
        <v>21</v>
      </c>
      <c r="O268" s="1">
        <v>2.39873721543E11</v>
      </c>
    </row>
    <row r="269">
      <c r="A269" s="1">
        <v>2737258.0</v>
      </c>
      <c r="B269" s="1" t="s">
        <v>728</v>
      </c>
      <c r="C269" s="1" t="b">
        <v>1</v>
      </c>
      <c r="D269" s="1" t="b">
        <v>1</v>
      </c>
      <c r="E269" s="1" t="s">
        <v>729</v>
      </c>
      <c r="F269" s="1" t="s">
        <v>96</v>
      </c>
      <c r="G269" s="2">
        <f>+251929501645</f>
        <v>251929501645</v>
      </c>
      <c r="H269" s="1" t="s">
        <v>18</v>
      </c>
      <c r="I269" s="1" t="s">
        <v>19</v>
      </c>
      <c r="J269" s="1" t="s">
        <v>19</v>
      </c>
      <c r="K269" s="1" t="s">
        <v>25</v>
      </c>
      <c r="L269" s="1">
        <v>20.86</v>
      </c>
      <c r="M269" s="1" t="s">
        <v>21</v>
      </c>
    </row>
    <row r="270">
      <c r="A270" s="1">
        <v>2737392.0</v>
      </c>
      <c r="B270" s="1" t="s">
        <v>730</v>
      </c>
      <c r="C270" s="1" t="b">
        <v>0</v>
      </c>
      <c r="D270" s="1" t="b">
        <v>1</v>
      </c>
      <c r="E270" s="1" t="s">
        <v>731</v>
      </c>
      <c r="F270" s="1" t="s">
        <v>732</v>
      </c>
      <c r="G270" s="2">
        <f>+251934427167</f>
        <v>251934427167</v>
      </c>
      <c r="H270" s="1" t="s">
        <v>18</v>
      </c>
      <c r="I270" s="1" t="s">
        <v>19</v>
      </c>
      <c r="J270" s="1" t="s">
        <v>19</v>
      </c>
      <c r="K270" s="1" t="s">
        <v>20</v>
      </c>
      <c r="L270" s="1">
        <v>18.93</v>
      </c>
      <c r="M270" s="1" t="s">
        <v>26</v>
      </c>
      <c r="O270" s="1">
        <v>2.39961553101E11</v>
      </c>
    </row>
    <row r="271">
      <c r="A271" s="1">
        <v>134442.0</v>
      </c>
      <c r="B271" s="1" t="s">
        <v>733</v>
      </c>
      <c r="C271" s="1" t="b">
        <v>1</v>
      </c>
      <c r="D271" s="1" t="b">
        <v>1</v>
      </c>
      <c r="E271" s="1" t="s">
        <v>734</v>
      </c>
      <c r="F271" s="1" t="s">
        <v>735</v>
      </c>
      <c r="G271" s="2">
        <f>+251905318316</f>
        <v>251905318316</v>
      </c>
      <c r="H271" s="1" t="s">
        <v>18</v>
      </c>
      <c r="I271" s="1" t="s">
        <v>19</v>
      </c>
      <c r="J271" s="1" t="s">
        <v>19</v>
      </c>
      <c r="K271" s="1" t="s">
        <v>25</v>
      </c>
      <c r="L271" s="1">
        <v>28.71</v>
      </c>
      <c r="M271" s="1" t="s">
        <v>33</v>
      </c>
      <c r="N271" s="1" t="s">
        <v>65</v>
      </c>
      <c r="O271" s="1">
        <v>21356.0</v>
      </c>
    </row>
    <row r="272">
      <c r="A272" s="1">
        <v>2671317.0</v>
      </c>
      <c r="B272" s="1" t="s">
        <v>736</v>
      </c>
      <c r="C272" s="1" t="b">
        <v>1</v>
      </c>
      <c r="D272" s="1" t="b">
        <v>1</v>
      </c>
      <c r="E272" s="1" t="s">
        <v>737</v>
      </c>
      <c r="F272" s="1" t="s">
        <v>738</v>
      </c>
      <c r="G272" s="2">
        <f>+251902931808</f>
        <v>251902931808</v>
      </c>
      <c r="H272" s="1" t="s">
        <v>18</v>
      </c>
      <c r="I272" s="1" t="s">
        <v>19</v>
      </c>
      <c r="J272" s="1" t="s">
        <v>19</v>
      </c>
      <c r="K272" s="1" t="s">
        <v>25</v>
      </c>
      <c r="L272" s="1">
        <v>21.98</v>
      </c>
      <c r="M272" s="1" t="s">
        <v>21</v>
      </c>
      <c r="O272" s="1">
        <v>2.17324605634E11</v>
      </c>
    </row>
    <row r="273">
      <c r="A273" s="1">
        <v>2738960.0</v>
      </c>
      <c r="B273" s="1" t="s">
        <v>739</v>
      </c>
      <c r="C273" s="1" t="b">
        <v>0</v>
      </c>
      <c r="D273" s="1" t="b">
        <v>1</v>
      </c>
      <c r="E273" s="1" t="s">
        <v>740</v>
      </c>
      <c r="F273" s="1" t="s">
        <v>741</v>
      </c>
      <c r="G273" s="2">
        <f>+251954834023</f>
        <v>251954834023</v>
      </c>
      <c r="H273" s="1" t="s">
        <v>18</v>
      </c>
      <c r="I273" s="1" t="s">
        <v>19</v>
      </c>
      <c r="J273" s="1" t="s">
        <v>19</v>
      </c>
      <c r="K273" s="1" t="s">
        <v>25</v>
      </c>
      <c r="L273" s="1">
        <v>22.17</v>
      </c>
      <c r="M273" s="1" t="s">
        <v>33</v>
      </c>
      <c r="N273" s="1" t="s">
        <v>34</v>
      </c>
      <c r="O273" s="1">
        <v>2.40391097583E11</v>
      </c>
    </row>
    <row r="274">
      <c r="A274" s="1">
        <v>2434090.0</v>
      </c>
      <c r="B274" s="1" t="s">
        <v>742</v>
      </c>
      <c r="C274" s="1" t="b">
        <v>1</v>
      </c>
      <c r="D274" s="1" t="b">
        <v>1</v>
      </c>
      <c r="E274" s="1" t="s">
        <v>743</v>
      </c>
      <c r="F274" s="1" t="s">
        <v>744</v>
      </c>
      <c r="G274" s="2">
        <f>+251991174136</f>
        <v>251991174136</v>
      </c>
      <c r="H274" s="1" t="s">
        <v>18</v>
      </c>
      <c r="I274" s="1" t="s">
        <v>19</v>
      </c>
      <c r="J274" s="1" t="s">
        <v>19</v>
      </c>
      <c r="K274" s="1" t="s">
        <v>25</v>
      </c>
      <c r="L274" s="1">
        <v>21.13</v>
      </c>
      <c r="M274" s="1" t="s">
        <v>21</v>
      </c>
      <c r="O274" s="1">
        <v>1.0268316E7</v>
      </c>
    </row>
    <row r="275">
      <c r="A275" s="1">
        <v>2411178.0</v>
      </c>
      <c r="B275" s="1" t="s">
        <v>745</v>
      </c>
      <c r="C275" s="1" t="b">
        <v>1</v>
      </c>
      <c r="D275" s="1" t="b">
        <v>1</v>
      </c>
      <c r="E275" s="1" t="s">
        <v>746</v>
      </c>
      <c r="F275" s="1" t="s">
        <v>371</v>
      </c>
      <c r="G275" s="2">
        <f>+251931578867</f>
        <v>251931578867</v>
      </c>
      <c r="H275" s="1" t="s">
        <v>18</v>
      </c>
      <c r="I275" s="1" t="s">
        <v>19</v>
      </c>
      <c r="J275" s="1" t="s">
        <v>19</v>
      </c>
      <c r="K275" s="1" t="s">
        <v>20</v>
      </c>
      <c r="L275" s="1">
        <v>30.03</v>
      </c>
      <c r="M275" s="1" t="s">
        <v>21</v>
      </c>
    </row>
    <row r="276">
      <c r="A276" s="1">
        <v>1107454.0</v>
      </c>
      <c r="B276" s="1" t="s">
        <v>747</v>
      </c>
      <c r="C276" s="1" t="b">
        <v>1</v>
      </c>
      <c r="D276" s="1" t="b">
        <v>1</v>
      </c>
      <c r="E276" s="1" t="s">
        <v>748</v>
      </c>
      <c r="F276" s="1" t="s">
        <v>195</v>
      </c>
      <c r="G276" s="2">
        <f>+251911100050</f>
        <v>251911100050</v>
      </c>
      <c r="H276" s="1" t="s">
        <v>18</v>
      </c>
      <c r="I276" s="1" t="s">
        <v>19</v>
      </c>
      <c r="J276" s="1" t="s">
        <v>19</v>
      </c>
      <c r="K276" s="1" t="s">
        <v>20</v>
      </c>
      <c r="L276" s="1">
        <v>19.84</v>
      </c>
      <c r="M276" s="1" t="s">
        <v>21</v>
      </c>
      <c r="O276" s="1">
        <v>7.248183755E9</v>
      </c>
    </row>
    <row r="277">
      <c r="A277" s="1">
        <v>2739654.0</v>
      </c>
      <c r="B277" s="1" t="s">
        <v>749</v>
      </c>
      <c r="C277" s="1" t="b">
        <v>1</v>
      </c>
      <c r="D277" s="1" t="b">
        <v>1</v>
      </c>
      <c r="E277" s="1" t="s">
        <v>750</v>
      </c>
      <c r="F277" s="1" t="s">
        <v>751</v>
      </c>
      <c r="G277" s="2">
        <f>+251964649402</f>
        <v>251964649402</v>
      </c>
      <c r="H277" s="1" t="s">
        <v>72</v>
      </c>
      <c r="I277" s="1" t="s">
        <v>19</v>
      </c>
      <c r="J277" s="1" t="s">
        <v>19</v>
      </c>
      <c r="K277" s="1" t="s">
        <v>20</v>
      </c>
      <c r="L277" s="1">
        <v>22.45</v>
      </c>
      <c r="M277" s="1" t="s">
        <v>21</v>
      </c>
      <c r="O277" s="1">
        <v>2.40578035954E11</v>
      </c>
    </row>
    <row r="278">
      <c r="A278" s="1">
        <v>2030434.0</v>
      </c>
      <c r="B278" s="1" t="s">
        <v>752</v>
      </c>
      <c r="C278" s="1" t="b">
        <v>1</v>
      </c>
      <c r="D278" s="1" t="b">
        <v>1</v>
      </c>
      <c r="E278" s="1" t="s">
        <v>753</v>
      </c>
      <c r="F278" s="1" t="s">
        <v>754</v>
      </c>
      <c r="G278" s="2">
        <f>+251946561519</f>
        <v>251946561519</v>
      </c>
      <c r="H278" s="1" t="s">
        <v>72</v>
      </c>
      <c r="I278" s="1" t="s">
        <v>19</v>
      </c>
      <c r="J278" s="1" t="s">
        <v>19</v>
      </c>
      <c r="K278" s="1" t="s">
        <v>20</v>
      </c>
      <c r="L278" s="1">
        <v>21.23</v>
      </c>
      <c r="M278" s="1" t="s">
        <v>21</v>
      </c>
      <c r="O278" s="1">
        <v>2.3512698E7</v>
      </c>
    </row>
    <row r="279">
      <c r="A279" s="1">
        <v>2739904.0</v>
      </c>
      <c r="B279" s="1" t="s">
        <v>755</v>
      </c>
      <c r="C279" s="1" t="b">
        <v>1</v>
      </c>
      <c r="D279" s="1" t="b">
        <v>1</v>
      </c>
      <c r="E279" s="1" t="s">
        <v>756</v>
      </c>
      <c r="F279" s="1" t="s">
        <v>328</v>
      </c>
      <c r="G279" s="2">
        <f>+251944052844</f>
        <v>251944052844</v>
      </c>
      <c r="H279" s="1" t="s">
        <v>18</v>
      </c>
      <c r="I279" s="1" t="s">
        <v>19</v>
      </c>
      <c r="J279" s="1" t="s">
        <v>19</v>
      </c>
      <c r="K279" s="1" t="s">
        <v>20</v>
      </c>
      <c r="L279" s="1">
        <v>24.32</v>
      </c>
      <c r="M279" s="1" t="s">
        <v>21</v>
      </c>
    </row>
    <row r="280">
      <c r="A280" s="1">
        <v>2731719.0</v>
      </c>
      <c r="B280" s="1" t="s">
        <v>757</v>
      </c>
      <c r="C280" s="1" t="b">
        <v>1</v>
      </c>
      <c r="D280" s="1" t="b">
        <v>1</v>
      </c>
      <c r="E280" s="1" t="s">
        <v>758</v>
      </c>
      <c r="F280" s="1" t="s">
        <v>759</v>
      </c>
      <c r="G280" s="2">
        <f>+251712036569</f>
        <v>251712036569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22.57</v>
      </c>
      <c r="M280" s="1" t="s">
        <v>33</v>
      </c>
      <c r="N280" s="1" t="s">
        <v>34</v>
      </c>
      <c r="O280" s="1">
        <v>2.38317213906E11</v>
      </c>
    </row>
    <row r="281">
      <c r="A281" s="1">
        <v>2476024.0</v>
      </c>
      <c r="B281" s="1" t="s">
        <v>760</v>
      </c>
      <c r="C281" s="1" t="b">
        <v>1</v>
      </c>
      <c r="D281" s="1" t="b">
        <v>1</v>
      </c>
      <c r="E281" s="1" t="s">
        <v>761</v>
      </c>
      <c r="F281" s="1" t="s">
        <v>762</v>
      </c>
      <c r="G281" s="2">
        <f>+251988138164</f>
        <v>251988138164</v>
      </c>
      <c r="H281" s="1" t="s">
        <v>18</v>
      </c>
      <c r="I281" s="1" t="s">
        <v>19</v>
      </c>
      <c r="J281" s="1" t="s">
        <v>19</v>
      </c>
      <c r="K281" s="1" t="s">
        <v>20</v>
      </c>
      <c r="L281" s="1">
        <v>25.32</v>
      </c>
      <c r="M281" s="1" t="s">
        <v>21</v>
      </c>
      <c r="O281" s="1">
        <v>8777955.0</v>
      </c>
    </row>
    <row r="282">
      <c r="A282" s="1">
        <v>2130050.0</v>
      </c>
      <c r="B282" s="1" t="s">
        <v>763</v>
      </c>
      <c r="C282" s="1" t="b">
        <v>1</v>
      </c>
      <c r="D282" s="1" t="b">
        <v>1</v>
      </c>
      <c r="E282" s="1" t="s">
        <v>491</v>
      </c>
      <c r="F282" s="1" t="s">
        <v>764</v>
      </c>
      <c r="G282" s="2">
        <f>+251911956724</f>
        <v>251911956724</v>
      </c>
      <c r="H282" s="1" t="s">
        <v>488</v>
      </c>
      <c r="I282" s="1" t="s">
        <v>19</v>
      </c>
      <c r="J282" s="1" t="s">
        <v>19</v>
      </c>
      <c r="K282" s="1" t="s">
        <v>25</v>
      </c>
      <c r="L282" s="1">
        <v>44.8</v>
      </c>
      <c r="M282" s="1" t="s">
        <v>21</v>
      </c>
      <c r="O282" s="1">
        <v>3.2109644739E10</v>
      </c>
    </row>
    <row r="283">
      <c r="A283" s="1">
        <v>2740169.0</v>
      </c>
      <c r="B283" s="1" t="s">
        <v>765</v>
      </c>
      <c r="C283" s="1" t="b">
        <v>1</v>
      </c>
      <c r="D283" s="1" t="b">
        <v>1</v>
      </c>
      <c r="E283" s="1" t="s">
        <v>437</v>
      </c>
      <c r="F283" s="1" t="s">
        <v>328</v>
      </c>
      <c r="G283" s="2">
        <f>+251922348170</f>
        <v>251922348170</v>
      </c>
      <c r="H283" s="1" t="s">
        <v>18</v>
      </c>
      <c r="I283" s="1" t="s">
        <v>19</v>
      </c>
      <c r="J283" s="1" t="s">
        <v>19</v>
      </c>
      <c r="K283" s="1" t="s">
        <v>25</v>
      </c>
      <c r="L283" s="1">
        <v>20.9</v>
      </c>
      <c r="M283" s="1" t="s">
        <v>21</v>
      </c>
      <c r="O283" s="1">
        <v>2.40791776443E11</v>
      </c>
    </row>
    <row r="284">
      <c r="A284" s="1">
        <v>2740244.0</v>
      </c>
      <c r="B284" s="1" t="s">
        <v>766</v>
      </c>
      <c r="C284" s="1" t="b">
        <v>1</v>
      </c>
      <c r="D284" s="1" t="b">
        <v>1</v>
      </c>
      <c r="E284" s="1" t="s">
        <v>767</v>
      </c>
      <c r="F284" s="1" t="s">
        <v>768</v>
      </c>
      <c r="G284" s="2">
        <f>+251941265013</f>
        <v>251941265013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26.03</v>
      </c>
      <c r="M284" s="1" t="s">
        <v>21</v>
      </c>
      <c r="O284" s="1">
        <v>6073958.0</v>
      </c>
    </row>
    <row r="285">
      <c r="A285" s="1">
        <v>2740539.0</v>
      </c>
      <c r="B285" s="1" t="s">
        <v>769</v>
      </c>
      <c r="C285" s="1" t="b">
        <v>1</v>
      </c>
      <c r="D285" s="1" t="b">
        <v>1</v>
      </c>
      <c r="E285" s="1" t="s">
        <v>740</v>
      </c>
      <c r="F285" s="1" t="s">
        <v>741</v>
      </c>
      <c r="G285" s="2">
        <f>+251954834023</f>
        <v>251954834023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13.2</v>
      </c>
      <c r="M285" s="1" t="s">
        <v>33</v>
      </c>
      <c r="N285" s="1" t="s">
        <v>65</v>
      </c>
    </row>
    <row r="286">
      <c r="A286" s="1">
        <v>775874.0</v>
      </c>
      <c r="B286" s="1" t="s">
        <v>770</v>
      </c>
      <c r="C286" s="1" t="b">
        <v>1</v>
      </c>
      <c r="D286" s="1" t="b">
        <v>1</v>
      </c>
      <c r="E286" s="1" t="s">
        <v>771</v>
      </c>
      <c r="F286" s="1" t="s">
        <v>303</v>
      </c>
      <c r="G286" s="2">
        <f>+251918501325</f>
        <v>251918501325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21.37</v>
      </c>
      <c r="M286" s="1" t="s">
        <v>21</v>
      </c>
      <c r="O286" s="1">
        <v>1.4185586874E10</v>
      </c>
    </row>
    <row r="287">
      <c r="A287" s="1">
        <v>2726536.0</v>
      </c>
      <c r="B287" s="1" t="s">
        <v>772</v>
      </c>
      <c r="C287" s="1" t="b">
        <v>1</v>
      </c>
      <c r="D287" s="1" t="b">
        <v>1</v>
      </c>
      <c r="E287" s="1" t="s">
        <v>773</v>
      </c>
      <c r="F287" s="1" t="s">
        <v>774</v>
      </c>
      <c r="G287" s="2">
        <f>+251992359513</f>
        <v>251992359513</v>
      </c>
      <c r="H287" s="1" t="s">
        <v>18</v>
      </c>
      <c r="I287" s="1" t="s">
        <v>19</v>
      </c>
      <c r="J287" s="1" t="s">
        <v>19</v>
      </c>
      <c r="K287" s="1" t="s">
        <v>20</v>
      </c>
      <c r="L287" s="1">
        <v>20.09</v>
      </c>
      <c r="M287" s="1" t="s">
        <v>21</v>
      </c>
      <c r="O287" s="1">
        <v>2.36541135067E11</v>
      </c>
    </row>
    <row r="288">
      <c r="A288" s="1">
        <v>1665265.0</v>
      </c>
      <c r="B288" s="1" t="s">
        <v>775</v>
      </c>
      <c r="C288" s="1" t="b">
        <v>1</v>
      </c>
      <c r="D288" s="1" t="b">
        <v>1</v>
      </c>
      <c r="E288" s="1" t="s">
        <v>36</v>
      </c>
      <c r="F288" s="1" t="s">
        <v>776</v>
      </c>
      <c r="G288" s="2">
        <f>+251900304597</f>
        <v>251900304597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20.26</v>
      </c>
      <c r="M288" s="1" t="s">
        <v>33</v>
      </c>
      <c r="N288" s="1" t="s">
        <v>65</v>
      </c>
      <c r="O288" s="1">
        <v>2.1167737336E10</v>
      </c>
    </row>
    <row r="289">
      <c r="A289" s="1">
        <v>2742722.0</v>
      </c>
      <c r="B289" s="1" t="s">
        <v>777</v>
      </c>
      <c r="C289" s="1" t="b">
        <v>1</v>
      </c>
      <c r="D289" s="1" t="b">
        <v>1</v>
      </c>
      <c r="E289" s="1" t="s">
        <v>778</v>
      </c>
      <c r="F289" s="1" t="s">
        <v>108</v>
      </c>
      <c r="G289" s="2">
        <f>+251935115911</f>
        <v>251935115911</v>
      </c>
      <c r="H289" s="1" t="s">
        <v>18</v>
      </c>
      <c r="I289" s="1" t="s">
        <v>19</v>
      </c>
      <c r="J289" s="1" t="s">
        <v>19</v>
      </c>
      <c r="K289" s="1" t="s">
        <v>20</v>
      </c>
      <c r="L289" s="1">
        <v>20.63</v>
      </c>
      <c r="M289" s="1" t="s">
        <v>21</v>
      </c>
      <c r="O289" s="1">
        <v>4712797.0</v>
      </c>
    </row>
    <row r="290">
      <c r="A290" s="1">
        <v>2725736.0</v>
      </c>
      <c r="B290" s="1" t="s">
        <v>779</v>
      </c>
      <c r="C290" s="1" t="b">
        <v>1</v>
      </c>
      <c r="D290" s="1" t="b">
        <v>1</v>
      </c>
      <c r="E290" s="1" t="s">
        <v>286</v>
      </c>
      <c r="F290" s="1" t="s">
        <v>780</v>
      </c>
      <c r="G290" s="2">
        <f>+251951302554</f>
        <v>251951302554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17.19</v>
      </c>
      <c r="M290" s="1" t="s">
        <v>33</v>
      </c>
      <c r="N290" s="1" t="s">
        <v>65</v>
      </c>
      <c r="O290" s="1">
        <v>5.3755280625E10</v>
      </c>
    </row>
    <row r="291">
      <c r="A291" s="1">
        <v>2743147.0</v>
      </c>
      <c r="B291" s="1" t="s">
        <v>781</v>
      </c>
      <c r="C291" s="1" t="b">
        <v>1</v>
      </c>
      <c r="D291" s="1" t="b">
        <v>1</v>
      </c>
      <c r="E291" s="1" t="s">
        <v>750</v>
      </c>
      <c r="F291" s="1" t="s">
        <v>782</v>
      </c>
      <c r="G291" s="2">
        <f>+251912712660</f>
        <v>251912712660</v>
      </c>
      <c r="H291" s="1" t="s">
        <v>72</v>
      </c>
      <c r="I291" s="1" t="s">
        <v>19</v>
      </c>
      <c r="J291" s="1" t="s">
        <v>19</v>
      </c>
      <c r="K291" s="1" t="s">
        <v>20</v>
      </c>
      <c r="L291" s="1">
        <v>21.86</v>
      </c>
      <c r="M291" s="1" t="s">
        <v>21</v>
      </c>
      <c r="O291" s="1">
        <v>2.41767491822E11</v>
      </c>
    </row>
    <row r="292">
      <c r="A292" s="1">
        <v>2743164.0</v>
      </c>
      <c r="B292" s="1" t="s">
        <v>783</v>
      </c>
      <c r="C292" s="1" t="b">
        <v>1</v>
      </c>
      <c r="D292" s="1" t="b">
        <v>1</v>
      </c>
      <c r="E292" s="1" t="s">
        <v>743</v>
      </c>
      <c r="F292" s="1" t="s">
        <v>784</v>
      </c>
      <c r="G292" s="2">
        <f>+251973434428</f>
        <v>251973434428</v>
      </c>
      <c r="H292" s="1" t="s">
        <v>18</v>
      </c>
      <c r="I292" s="1" t="s">
        <v>19</v>
      </c>
      <c r="J292" s="1" t="s">
        <v>19</v>
      </c>
      <c r="K292" s="1" t="s">
        <v>25</v>
      </c>
      <c r="L292" s="1">
        <v>22.67</v>
      </c>
      <c r="M292" s="1" t="s">
        <v>26</v>
      </c>
      <c r="O292" s="1">
        <v>2.41773722835E11</v>
      </c>
    </row>
    <row r="293">
      <c r="A293" s="1">
        <v>2743452.0</v>
      </c>
      <c r="B293" s="1" t="s">
        <v>785</v>
      </c>
      <c r="C293" s="1" t="b">
        <v>1</v>
      </c>
      <c r="D293" s="1" t="b">
        <v>1</v>
      </c>
      <c r="E293" s="1" t="s">
        <v>786</v>
      </c>
      <c r="F293" s="1" t="s">
        <v>787</v>
      </c>
      <c r="G293" s="2">
        <f>+251911976588</f>
        <v>251911976588</v>
      </c>
      <c r="H293" s="1" t="s">
        <v>18</v>
      </c>
      <c r="I293" s="1" t="s">
        <v>19</v>
      </c>
      <c r="J293" s="1" t="s">
        <v>19</v>
      </c>
      <c r="K293" s="1" t="s">
        <v>25</v>
      </c>
      <c r="L293" s="1">
        <v>34.73</v>
      </c>
      <c r="M293" s="1" t="s">
        <v>33</v>
      </c>
      <c r="N293" s="1" t="s">
        <v>166</v>
      </c>
      <c r="O293" s="1">
        <v>2.41905469632E11</v>
      </c>
    </row>
    <row r="294">
      <c r="A294" s="1">
        <v>2743662.0</v>
      </c>
      <c r="B294" s="1" t="s">
        <v>788</v>
      </c>
      <c r="C294" s="1" t="b">
        <v>1</v>
      </c>
      <c r="D294" s="1" t="b">
        <v>1</v>
      </c>
      <c r="E294" s="1" t="s">
        <v>789</v>
      </c>
      <c r="F294" s="1" t="s">
        <v>790</v>
      </c>
      <c r="G294" s="2">
        <f>+251905569751</f>
        <v>251905569751</v>
      </c>
      <c r="H294" s="1" t="s">
        <v>18</v>
      </c>
      <c r="I294" s="1" t="s">
        <v>19</v>
      </c>
      <c r="J294" s="1" t="s">
        <v>19</v>
      </c>
      <c r="K294" s="1" t="s">
        <v>25</v>
      </c>
      <c r="L294" s="1">
        <v>22.86</v>
      </c>
      <c r="M294" s="1" t="s">
        <v>21</v>
      </c>
      <c r="O294" s="1">
        <v>2.41886652611E11</v>
      </c>
    </row>
    <row r="295">
      <c r="A295" s="1">
        <v>2743733.0</v>
      </c>
      <c r="B295" s="1" t="s">
        <v>791</v>
      </c>
      <c r="C295" s="1" t="b">
        <v>1</v>
      </c>
      <c r="D295" s="1" t="b">
        <v>1</v>
      </c>
      <c r="E295" s="1" t="s">
        <v>792</v>
      </c>
      <c r="F295" s="1" t="s">
        <v>793</v>
      </c>
      <c r="G295" s="2">
        <f>+251917015489</f>
        <v>251917015489</v>
      </c>
      <c r="H295" s="1" t="s">
        <v>18</v>
      </c>
      <c r="I295" s="1" t="s">
        <v>19</v>
      </c>
      <c r="J295" s="1" t="s">
        <v>19</v>
      </c>
      <c r="K295" s="1" t="s">
        <v>25</v>
      </c>
      <c r="L295" s="1">
        <v>34.53</v>
      </c>
      <c r="M295" s="1" t="s">
        <v>21</v>
      </c>
      <c r="O295" s="1">
        <v>1614860.0</v>
      </c>
    </row>
    <row r="296">
      <c r="A296" s="1">
        <v>2017994.0</v>
      </c>
      <c r="B296" s="1" t="s">
        <v>794</v>
      </c>
      <c r="C296" s="1" t="b">
        <v>1</v>
      </c>
      <c r="D296" s="1" t="b">
        <v>1</v>
      </c>
      <c r="E296" s="1" t="s">
        <v>795</v>
      </c>
      <c r="F296" s="1" t="s">
        <v>796</v>
      </c>
      <c r="G296" s="2">
        <f>+251910312565</f>
        <v>251910312565</v>
      </c>
      <c r="H296" s="1" t="s">
        <v>18</v>
      </c>
      <c r="I296" s="1" t="s">
        <v>19</v>
      </c>
      <c r="J296" s="1" t="s">
        <v>19</v>
      </c>
      <c r="K296" s="1" t="s">
        <v>25</v>
      </c>
      <c r="L296" s="1">
        <v>22.65</v>
      </c>
      <c r="M296" s="1" t="s">
        <v>21</v>
      </c>
      <c r="O296" s="1">
        <v>2662360.0</v>
      </c>
    </row>
    <row r="297">
      <c r="A297" s="1">
        <v>2711591.0</v>
      </c>
      <c r="B297" s="1" t="s">
        <v>797</v>
      </c>
      <c r="C297" s="1" t="b">
        <v>1</v>
      </c>
      <c r="D297" s="1" t="b">
        <v>1</v>
      </c>
      <c r="E297" s="1" t="s">
        <v>496</v>
      </c>
      <c r="F297" s="1" t="s">
        <v>375</v>
      </c>
      <c r="G297" s="2">
        <f>+251987616747</f>
        <v>251987616747</v>
      </c>
      <c r="H297" s="1" t="s">
        <v>18</v>
      </c>
      <c r="I297" s="1" t="s">
        <v>19</v>
      </c>
      <c r="J297" s="1" t="s">
        <v>19</v>
      </c>
      <c r="K297" s="1" t="s">
        <v>20</v>
      </c>
      <c r="L297" s="1">
        <v>19.3</v>
      </c>
      <c r="M297" s="1" t="s">
        <v>21</v>
      </c>
      <c r="O297" s="1">
        <v>2.32944910566E11</v>
      </c>
    </row>
    <row r="298">
      <c r="A298" s="1">
        <v>1421286.0</v>
      </c>
      <c r="B298" s="1" t="s">
        <v>798</v>
      </c>
      <c r="C298" s="1" t="b">
        <v>1</v>
      </c>
      <c r="D298" s="1" t="b">
        <v>1</v>
      </c>
      <c r="E298" s="1" t="s">
        <v>799</v>
      </c>
      <c r="F298" s="1" t="s">
        <v>51</v>
      </c>
      <c r="G298" s="2">
        <f>+251923085155</f>
        <v>251923085155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30.05</v>
      </c>
      <c r="M298" s="1" t="s">
        <v>21</v>
      </c>
      <c r="O298" s="1">
        <v>1.3887801E7</v>
      </c>
    </row>
    <row r="299">
      <c r="A299" s="1">
        <v>2449943.0</v>
      </c>
      <c r="B299" s="1" t="s">
        <v>800</v>
      </c>
      <c r="C299" s="1" t="b">
        <v>1</v>
      </c>
      <c r="D299" s="1" t="b">
        <v>1</v>
      </c>
      <c r="E299" s="1" t="s">
        <v>801</v>
      </c>
      <c r="F299" s="1" t="s">
        <v>420</v>
      </c>
      <c r="G299" s="2">
        <f>+251944285827</f>
        <v>251944285827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23.2</v>
      </c>
      <c r="M299" s="1" t="s">
        <v>21</v>
      </c>
    </row>
    <row r="300">
      <c r="A300" s="1">
        <v>2745573.0</v>
      </c>
      <c r="B300" s="1" t="s">
        <v>802</v>
      </c>
      <c r="C300" s="1" t="b">
        <v>1</v>
      </c>
      <c r="D300" s="1" t="b">
        <v>1</v>
      </c>
      <c r="E300" s="1" t="s">
        <v>803</v>
      </c>
      <c r="F300" s="1" t="s">
        <v>417</v>
      </c>
      <c r="G300" s="2">
        <f>+251963647076</f>
        <v>251963647076</v>
      </c>
      <c r="H300" s="1" t="s">
        <v>18</v>
      </c>
      <c r="I300" s="1" t="s">
        <v>19</v>
      </c>
      <c r="J300" s="1" t="s">
        <v>19</v>
      </c>
      <c r="K300" s="1" t="s">
        <v>20</v>
      </c>
      <c r="L300" s="1">
        <v>19.08</v>
      </c>
      <c r="M300" s="1" t="s">
        <v>21</v>
      </c>
      <c r="O300" s="1">
        <v>2.4248752459E11</v>
      </c>
    </row>
    <row r="301">
      <c r="A301" s="1">
        <v>2745883.0</v>
      </c>
      <c r="B301" s="1" t="s">
        <v>804</v>
      </c>
      <c r="C301" s="1" t="b">
        <v>1</v>
      </c>
      <c r="D301" s="1" t="b">
        <v>1</v>
      </c>
      <c r="E301" s="1" t="s">
        <v>363</v>
      </c>
      <c r="F301" s="1" t="s">
        <v>805</v>
      </c>
      <c r="G301" s="2">
        <f>+251960387236</f>
        <v>251960387236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20.73</v>
      </c>
      <c r="M301" s="1" t="s">
        <v>21</v>
      </c>
    </row>
    <row r="302">
      <c r="A302" s="1">
        <v>2745972.0</v>
      </c>
      <c r="B302" s="1" t="s">
        <v>806</v>
      </c>
      <c r="C302" s="1" t="b">
        <v>1</v>
      </c>
      <c r="D302" s="1" t="b">
        <v>1</v>
      </c>
      <c r="E302" s="1" t="s">
        <v>807</v>
      </c>
      <c r="F302" s="1" t="s">
        <v>808</v>
      </c>
      <c r="G302" s="2">
        <f>+251987983880</f>
        <v>251987983880</v>
      </c>
      <c r="H302" s="1" t="s">
        <v>18</v>
      </c>
      <c r="I302" s="1" t="s">
        <v>19</v>
      </c>
      <c r="J302" s="1" t="s">
        <v>19</v>
      </c>
      <c r="K302" s="1" t="s">
        <v>25</v>
      </c>
      <c r="L302" s="1">
        <v>23.27</v>
      </c>
      <c r="M302" s="1" t="s">
        <v>21</v>
      </c>
    </row>
    <row r="303">
      <c r="A303" s="1">
        <v>2746011.0</v>
      </c>
      <c r="B303" s="1" t="s">
        <v>809</v>
      </c>
      <c r="C303" s="1" t="b">
        <v>1</v>
      </c>
      <c r="D303" s="1" t="b">
        <v>1</v>
      </c>
      <c r="E303" s="1" t="s">
        <v>810</v>
      </c>
      <c r="F303" s="1" t="s">
        <v>297</v>
      </c>
      <c r="G303" s="2">
        <f>+25194746718</f>
        <v>25194746718</v>
      </c>
      <c r="H303" s="1" t="s">
        <v>72</v>
      </c>
      <c r="I303" s="1" t="s">
        <v>19</v>
      </c>
      <c r="J303" s="1" t="s">
        <v>19</v>
      </c>
      <c r="K303" s="1" t="s">
        <v>25</v>
      </c>
      <c r="L303" s="1">
        <v>20.78</v>
      </c>
      <c r="M303" s="1" t="s">
        <v>21</v>
      </c>
    </row>
    <row r="304">
      <c r="A304" s="1">
        <v>2746754.0</v>
      </c>
      <c r="B304" s="1" t="s">
        <v>811</v>
      </c>
      <c r="C304" s="1" t="b">
        <v>1</v>
      </c>
      <c r="D304" s="1" t="b">
        <v>1</v>
      </c>
      <c r="E304" s="1" t="s">
        <v>812</v>
      </c>
      <c r="F304" s="1" t="s">
        <v>813</v>
      </c>
      <c r="G304" s="2">
        <f>+251940236004</f>
        <v>251940236004</v>
      </c>
      <c r="H304" s="1" t="s">
        <v>18</v>
      </c>
      <c r="I304" s="1" t="s">
        <v>19</v>
      </c>
      <c r="J304" s="1" t="s">
        <v>19</v>
      </c>
      <c r="K304" s="1" t="s">
        <v>25</v>
      </c>
      <c r="L304" s="1">
        <v>25.01</v>
      </c>
      <c r="M304" s="1" t="s">
        <v>21</v>
      </c>
    </row>
    <row r="305">
      <c r="A305" s="1">
        <v>2746949.0</v>
      </c>
      <c r="B305" s="1" t="s">
        <v>814</v>
      </c>
      <c r="C305" s="1" t="b">
        <v>1</v>
      </c>
      <c r="D305" s="1" t="b">
        <v>1</v>
      </c>
      <c r="E305" s="1" t="s">
        <v>264</v>
      </c>
      <c r="F305" s="1" t="s">
        <v>815</v>
      </c>
      <c r="G305" s="2">
        <f>+251922866987</f>
        <v>251922866987</v>
      </c>
      <c r="H305" s="1" t="s">
        <v>18</v>
      </c>
      <c r="I305" s="1" t="s">
        <v>19</v>
      </c>
      <c r="J305" s="1" t="s">
        <v>19</v>
      </c>
      <c r="K305" s="1" t="s">
        <v>25</v>
      </c>
      <c r="L305" s="1">
        <v>29.71</v>
      </c>
      <c r="M305" s="1" t="s">
        <v>21</v>
      </c>
    </row>
    <row r="306">
      <c r="A306" s="1">
        <v>28802.0</v>
      </c>
      <c r="B306" s="1" t="s">
        <v>816</v>
      </c>
      <c r="C306" s="1" t="b">
        <v>1</v>
      </c>
      <c r="D306" s="1" t="b">
        <v>1</v>
      </c>
      <c r="E306" s="1" t="s">
        <v>817</v>
      </c>
      <c r="F306" s="1" t="s">
        <v>818</v>
      </c>
      <c r="G306" s="2">
        <f>+251921742027</f>
        <v>251921742027</v>
      </c>
      <c r="H306" s="1" t="s">
        <v>18</v>
      </c>
      <c r="I306" s="1" t="s">
        <v>19</v>
      </c>
      <c r="J306" s="1" t="s">
        <v>19</v>
      </c>
      <c r="K306" s="1" t="s">
        <v>25</v>
      </c>
      <c r="L306" s="1">
        <v>26.99</v>
      </c>
      <c r="M306" s="1" t="s">
        <v>21</v>
      </c>
      <c r="O306" s="1">
        <v>1.5573301E7</v>
      </c>
    </row>
    <row r="307">
      <c r="A307" s="1">
        <v>2747310.0</v>
      </c>
      <c r="B307" s="1" t="s">
        <v>819</v>
      </c>
      <c r="C307" s="1" t="b">
        <v>1</v>
      </c>
      <c r="D307" s="1" t="b">
        <v>1</v>
      </c>
      <c r="E307" s="1" t="s">
        <v>240</v>
      </c>
      <c r="F307" s="1" t="s">
        <v>820</v>
      </c>
      <c r="G307" s="2">
        <f>+251912682952</f>
        <v>251912682952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22.65</v>
      </c>
      <c r="M307" s="1" t="s">
        <v>21</v>
      </c>
      <c r="O307" s="1">
        <v>1.2802269E7</v>
      </c>
    </row>
    <row r="308">
      <c r="A308" s="1">
        <v>2747400.0</v>
      </c>
      <c r="B308" s="1" t="s">
        <v>821</v>
      </c>
      <c r="C308" s="1" t="b">
        <v>1</v>
      </c>
      <c r="D308" s="1" t="b">
        <v>1</v>
      </c>
      <c r="E308" s="1" t="s">
        <v>822</v>
      </c>
      <c r="F308" s="1" t="s">
        <v>67</v>
      </c>
      <c r="G308" s="2">
        <f>+251955083418</f>
        <v>251955083418</v>
      </c>
      <c r="H308" s="1" t="s">
        <v>18</v>
      </c>
      <c r="I308" s="1" t="s">
        <v>19</v>
      </c>
      <c r="J308" s="1" t="s">
        <v>19</v>
      </c>
      <c r="K308" s="1" t="s">
        <v>25</v>
      </c>
      <c r="L308" s="1">
        <v>13.23</v>
      </c>
      <c r="M308" s="1" t="s">
        <v>33</v>
      </c>
      <c r="N308" s="1" t="s">
        <v>65</v>
      </c>
      <c r="O308" s="1">
        <v>2.4310658272E11</v>
      </c>
    </row>
    <row r="309">
      <c r="A309" s="1">
        <v>2747536.0</v>
      </c>
      <c r="B309" s="1" t="s">
        <v>823</v>
      </c>
      <c r="C309" s="1" t="b">
        <v>1</v>
      </c>
      <c r="D309" s="1" t="b">
        <v>1</v>
      </c>
      <c r="E309" s="1" t="s">
        <v>776</v>
      </c>
      <c r="F309" s="1" t="s">
        <v>824</v>
      </c>
      <c r="G309" s="2">
        <f>+251948232719</f>
        <v>251948232719</v>
      </c>
      <c r="H309" s="1" t="s">
        <v>18</v>
      </c>
      <c r="I309" s="1" t="s">
        <v>19</v>
      </c>
      <c r="J309" s="1" t="s">
        <v>19</v>
      </c>
      <c r="K309" s="1" t="s">
        <v>25</v>
      </c>
      <c r="L309" s="1">
        <v>22.44</v>
      </c>
      <c r="M309" s="1" t="s">
        <v>21</v>
      </c>
    </row>
    <row r="310">
      <c r="A310" s="1">
        <v>2372527.0</v>
      </c>
      <c r="B310" s="1" t="s">
        <v>825</v>
      </c>
      <c r="C310" s="1" t="b">
        <v>1</v>
      </c>
      <c r="D310" s="1" t="b">
        <v>0</v>
      </c>
      <c r="E310" s="1" t="s">
        <v>517</v>
      </c>
      <c r="F310" s="1" t="s">
        <v>826</v>
      </c>
      <c r="G310" s="2">
        <f>+251963324177</f>
        <v>251963324177</v>
      </c>
      <c r="H310" s="1" t="s">
        <v>18</v>
      </c>
      <c r="I310" s="1" t="s">
        <v>19</v>
      </c>
      <c r="J310" s="1" t="s">
        <v>19</v>
      </c>
      <c r="K310" s="1" t="s">
        <v>25</v>
      </c>
      <c r="L310" s="1">
        <v>23.4</v>
      </c>
      <c r="M310" s="1" t="s">
        <v>21</v>
      </c>
      <c r="O310" s="1">
        <v>2.3561411E7</v>
      </c>
    </row>
    <row r="311">
      <c r="A311" s="1">
        <v>2748232.0</v>
      </c>
      <c r="B311" s="1" t="s">
        <v>827</v>
      </c>
      <c r="C311" s="1" t="b">
        <v>1</v>
      </c>
      <c r="D311" s="1" t="b">
        <v>1</v>
      </c>
      <c r="E311" s="1" t="s">
        <v>828</v>
      </c>
      <c r="F311" s="1" t="s">
        <v>829</v>
      </c>
      <c r="G311" s="2">
        <f>+251974975778</f>
        <v>251974975778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19.88</v>
      </c>
      <c r="M311" s="1" t="s">
        <v>21</v>
      </c>
      <c r="O311" s="1">
        <v>2.43564896504E11</v>
      </c>
    </row>
    <row r="312">
      <c r="A312" s="1">
        <v>1615191.0</v>
      </c>
      <c r="B312" s="1" t="s">
        <v>830</v>
      </c>
      <c r="C312" s="1" t="b">
        <v>1</v>
      </c>
      <c r="D312" s="1" t="b">
        <v>1</v>
      </c>
      <c r="E312" s="1" t="s">
        <v>831</v>
      </c>
      <c r="F312" s="1" t="s">
        <v>832</v>
      </c>
      <c r="G312" s="2">
        <f>+251940212294</f>
        <v>251940212294</v>
      </c>
      <c r="H312" s="1" t="s">
        <v>18</v>
      </c>
      <c r="I312" s="1" t="s">
        <v>19</v>
      </c>
      <c r="J312" s="1" t="s">
        <v>19</v>
      </c>
      <c r="K312" s="1" t="s">
        <v>25</v>
      </c>
      <c r="L312" s="1">
        <v>24.58</v>
      </c>
      <c r="M312" s="1" t="s">
        <v>33</v>
      </c>
      <c r="N312" s="1" t="s">
        <v>118</v>
      </c>
      <c r="O312" s="1">
        <v>2.0000788425E10</v>
      </c>
    </row>
    <row r="313">
      <c r="A313" s="1">
        <v>2617692.0</v>
      </c>
      <c r="B313" s="1" t="s">
        <v>833</v>
      </c>
      <c r="C313" s="1" t="b">
        <v>1</v>
      </c>
      <c r="D313" s="1" t="b">
        <v>1</v>
      </c>
      <c r="E313" s="1" t="s">
        <v>834</v>
      </c>
      <c r="F313" s="1" t="s">
        <v>341</v>
      </c>
      <c r="G313" s="2">
        <f>+251904177020</f>
        <v>251904177020</v>
      </c>
      <c r="H313" s="1" t="s">
        <v>18</v>
      </c>
      <c r="I313" s="1" t="s">
        <v>19</v>
      </c>
      <c r="J313" s="1" t="s">
        <v>19</v>
      </c>
      <c r="K313" s="1" t="s">
        <v>25</v>
      </c>
      <c r="L313" s="1">
        <v>23.9</v>
      </c>
      <c r="M313" s="1" t="s">
        <v>33</v>
      </c>
      <c r="N313" s="1" t="s">
        <v>34</v>
      </c>
      <c r="O313" s="1">
        <v>1904206.0</v>
      </c>
    </row>
    <row r="314">
      <c r="A314" s="1">
        <v>2749644.0</v>
      </c>
      <c r="B314" s="1" t="s">
        <v>835</v>
      </c>
      <c r="C314" s="1" t="b">
        <v>1</v>
      </c>
      <c r="D314" s="1" t="b">
        <v>1</v>
      </c>
      <c r="E314" s="1" t="s">
        <v>836</v>
      </c>
      <c r="F314" s="1" t="s">
        <v>837</v>
      </c>
      <c r="G314" s="2">
        <f>+251961242949</f>
        <v>251961242949</v>
      </c>
      <c r="H314" s="1" t="s">
        <v>18</v>
      </c>
      <c r="I314" s="1" t="s">
        <v>19</v>
      </c>
      <c r="J314" s="1" t="s">
        <v>19</v>
      </c>
      <c r="K314" s="1" t="s">
        <v>25</v>
      </c>
      <c r="L314" s="1">
        <v>22.45</v>
      </c>
      <c r="M314" s="1" t="s">
        <v>21</v>
      </c>
      <c r="O314" s="1">
        <v>5204450.0</v>
      </c>
    </row>
    <row r="315">
      <c r="A315" s="1">
        <v>1856109.0</v>
      </c>
      <c r="B315" s="1" t="s">
        <v>838</v>
      </c>
      <c r="C315" s="1" t="b">
        <v>1</v>
      </c>
      <c r="D315" s="1" t="b">
        <v>1</v>
      </c>
      <c r="E315" s="1" t="s">
        <v>101</v>
      </c>
      <c r="F315" s="1" t="s">
        <v>839</v>
      </c>
      <c r="G315" s="1">
        <v>9.83930035E8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20.36</v>
      </c>
      <c r="M315" s="1" t="s">
        <v>21</v>
      </c>
      <c r="O315" s="1">
        <v>2.5426851521E10</v>
      </c>
    </row>
    <row r="316">
      <c r="A316" s="1">
        <v>196702.0</v>
      </c>
      <c r="B316" s="1" t="s">
        <v>840</v>
      </c>
      <c r="C316" s="1" t="b">
        <v>1</v>
      </c>
      <c r="D316" s="1" t="b">
        <v>1</v>
      </c>
      <c r="E316" s="1" t="s">
        <v>841</v>
      </c>
      <c r="F316" s="1" t="s">
        <v>842</v>
      </c>
      <c r="G316" s="2">
        <f>+251967429353</f>
        <v>251967429353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24.59</v>
      </c>
      <c r="M316" s="1" t="s">
        <v>21</v>
      </c>
      <c r="O316" s="1">
        <v>1913835.0</v>
      </c>
    </row>
    <row r="317">
      <c r="A317" s="1">
        <v>706340.0</v>
      </c>
      <c r="B317" s="1" t="s">
        <v>843</v>
      </c>
      <c r="C317" s="1" t="b">
        <v>1</v>
      </c>
      <c r="D317" s="1" t="b">
        <v>1</v>
      </c>
      <c r="E317" s="1" t="s">
        <v>844</v>
      </c>
      <c r="F317" s="1" t="s">
        <v>189</v>
      </c>
      <c r="G317" s="2">
        <f>+251917784455</f>
        <v>251917784455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23.93</v>
      </c>
      <c r="M317" s="1" t="s">
        <v>21</v>
      </c>
      <c r="O317" s="1">
        <v>8757268.0</v>
      </c>
    </row>
    <row r="318">
      <c r="A318" s="1">
        <v>2751135.0</v>
      </c>
      <c r="B318" s="1" t="s">
        <v>845</v>
      </c>
      <c r="C318" s="1" t="b">
        <v>1</v>
      </c>
      <c r="D318" s="1" t="b">
        <v>1</v>
      </c>
      <c r="E318" s="1" t="s">
        <v>846</v>
      </c>
      <c r="F318" s="1" t="s">
        <v>847</v>
      </c>
      <c r="G318" s="2">
        <f>+251903053038</f>
        <v>251903053038</v>
      </c>
      <c r="H318" s="1" t="s">
        <v>18</v>
      </c>
      <c r="I318" s="1" t="s">
        <v>19</v>
      </c>
      <c r="J318" s="1" t="s">
        <v>19</v>
      </c>
      <c r="K318" s="1" t="s">
        <v>25</v>
      </c>
      <c r="L318" s="1">
        <v>24.09</v>
      </c>
      <c r="M318" s="1" t="s">
        <v>21</v>
      </c>
      <c r="O318" s="1">
        <v>2.450109913E11</v>
      </c>
    </row>
    <row r="319">
      <c r="A319" s="1">
        <v>2751253.0</v>
      </c>
      <c r="B319" s="1" t="s">
        <v>848</v>
      </c>
      <c r="C319" s="1" t="b">
        <v>1</v>
      </c>
      <c r="D319" s="1" t="b">
        <v>1</v>
      </c>
      <c r="E319" s="1" t="s">
        <v>849</v>
      </c>
      <c r="F319" s="1" t="s">
        <v>850</v>
      </c>
      <c r="G319" s="2">
        <f>+251962403450</f>
        <v>251962403450</v>
      </c>
      <c r="H319" s="1" t="s">
        <v>72</v>
      </c>
      <c r="I319" s="1" t="s">
        <v>19</v>
      </c>
      <c r="J319" s="1" t="s">
        <v>19</v>
      </c>
      <c r="K319" s="1" t="s">
        <v>25</v>
      </c>
      <c r="L319" s="1">
        <v>31.88</v>
      </c>
      <c r="M319" s="1" t="s">
        <v>21</v>
      </c>
      <c r="O319" s="1">
        <v>2.45048520951E11</v>
      </c>
    </row>
    <row r="320">
      <c r="A320" s="1">
        <v>141178.0</v>
      </c>
      <c r="B320" s="1" t="s">
        <v>851</v>
      </c>
      <c r="C320" s="1" t="b">
        <v>1</v>
      </c>
      <c r="D320" s="1" t="b">
        <v>1</v>
      </c>
      <c r="E320" s="1" t="s">
        <v>852</v>
      </c>
      <c r="F320" s="1" t="s">
        <v>853</v>
      </c>
      <c r="G320" s="2">
        <f>+10933714972</f>
        <v>10933714972</v>
      </c>
      <c r="H320" s="1" t="s">
        <v>18</v>
      </c>
      <c r="I320" s="1" t="s">
        <v>19</v>
      </c>
      <c r="J320" s="1" t="s">
        <v>19</v>
      </c>
      <c r="K320" s="1" t="s">
        <v>25</v>
      </c>
      <c r="L320" s="1">
        <v>31.23</v>
      </c>
      <c r="M320" s="1" t="s">
        <v>21</v>
      </c>
      <c r="O320" s="1">
        <v>761091.0</v>
      </c>
    </row>
    <row r="321">
      <c r="A321" s="1">
        <v>2751377.0</v>
      </c>
      <c r="B321" s="1" t="s">
        <v>854</v>
      </c>
      <c r="C321" s="1" t="b">
        <v>0</v>
      </c>
      <c r="D321" s="1" t="b">
        <v>1</v>
      </c>
      <c r="E321" s="1" t="s">
        <v>855</v>
      </c>
      <c r="F321" s="1" t="s">
        <v>856</v>
      </c>
      <c r="G321" s="2">
        <f>+251992258585</f>
        <v>251992258585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21.44</v>
      </c>
      <c r="M321" s="1" t="s">
        <v>33</v>
      </c>
      <c r="N321" s="1" t="s">
        <v>34</v>
      </c>
      <c r="O321" s="1">
        <v>2.45120864442E11</v>
      </c>
    </row>
    <row r="322">
      <c r="A322" s="1">
        <v>2751402.0</v>
      </c>
      <c r="B322" s="1" t="s">
        <v>857</v>
      </c>
      <c r="C322" s="1" t="b">
        <v>1</v>
      </c>
      <c r="D322" s="1" t="b">
        <v>1</v>
      </c>
      <c r="E322" s="1" t="s">
        <v>858</v>
      </c>
      <c r="F322" s="1" t="s">
        <v>859</v>
      </c>
      <c r="G322" s="2">
        <f>+251962228962</f>
        <v>251962228962</v>
      </c>
      <c r="H322" s="1" t="s">
        <v>18</v>
      </c>
      <c r="I322" s="1" t="s">
        <v>19</v>
      </c>
      <c r="J322" s="1" t="s">
        <v>19</v>
      </c>
      <c r="K322" s="1" t="s">
        <v>25</v>
      </c>
      <c r="L322" s="1">
        <v>20.69</v>
      </c>
      <c r="M322" s="1" t="s">
        <v>21</v>
      </c>
    </row>
    <row r="323">
      <c r="A323" s="1">
        <v>2499346.0</v>
      </c>
      <c r="B323" s="1" t="s">
        <v>860</v>
      </c>
      <c r="C323" s="1" t="b">
        <v>1</v>
      </c>
      <c r="D323" s="1" t="b">
        <v>1</v>
      </c>
      <c r="E323" s="1" t="s">
        <v>861</v>
      </c>
      <c r="F323" s="1" t="s">
        <v>862</v>
      </c>
      <c r="G323" s="2">
        <f>+251911128217</f>
        <v>251911128217</v>
      </c>
      <c r="H323" s="1" t="s">
        <v>18</v>
      </c>
      <c r="I323" s="1" t="s">
        <v>19</v>
      </c>
      <c r="J323" s="1" t="s">
        <v>19</v>
      </c>
      <c r="K323" s="1" t="s">
        <v>20</v>
      </c>
      <c r="L323" s="1">
        <v>20.87</v>
      </c>
      <c r="M323" s="1" t="s">
        <v>33</v>
      </c>
      <c r="N323" s="1" t="s">
        <v>166</v>
      </c>
    </row>
    <row r="324">
      <c r="A324" s="1">
        <v>2623348.0</v>
      </c>
      <c r="B324" s="1" t="s">
        <v>863</v>
      </c>
      <c r="C324" s="1" t="b">
        <v>1</v>
      </c>
      <c r="D324" s="1" t="b">
        <v>1</v>
      </c>
      <c r="E324" s="1" t="s">
        <v>864</v>
      </c>
      <c r="F324" s="1" t="s">
        <v>865</v>
      </c>
      <c r="G324" s="2">
        <f>+251972822998</f>
        <v>251972822998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20.62</v>
      </c>
      <c r="M324" s="1" t="s">
        <v>21</v>
      </c>
    </row>
    <row r="325">
      <c r="A325" s="1">
        <v>2216392.0</v>
      </c>
      <c r="B325" s="1" t="s">
        <v>866</v>
      </c>
      <c r="C325" s="1" t="b">
        <v>1</v>
      </c>
      <c r="D325" s="1" t="b">
        <v>1</v>
      </c>
      <c r="E325" s="1" t="s">
        <v>867</v>
      </c>
      <c r="F325" s="1" t="s">
        <v>189</v>
      </c>
      <c r="G325" s="2">
        <f>+251940952884</f>
        <v>251940952884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29.76</v>
      </c>
      <c r="M325" s="1" t="s">
        <v>21</v>
      </c>
      <c r="O325" s="1">
        <v>3.3398925304E10</v>
      </c>
    </row>
    <row r="326">
      <c r="A326" s="1">
        <v>1995505.0</v>
      </c>
      <c r="B326" s="1" t="s">
        <v>868</v>
      </c>
      <c r="C326" s="1" t="b">
        <v>1</v>
      </c>
      <c r="D326" s="1" t="b">
        <v>1</v>
      </c>
      <c r="E326" s="1" t="s">
        <v>869</v>
      </c>
      <c r="F326" s="1" t="s">
        <v>870</v>
      </c>
      <c r="G326" s="2">
        <f>+251985859749</f>
        <v>251985859749</v>
      </c>
      <c r="H326" s="1" t="s">
        <v>18</v>
      </c>
      <c r="I326" s="1" t="s">
        <v>19</v>
      </c>
      <c r="J326" s="1" t="s">
        <v>19</v>
      </c>
      <c r="K326" s="1" t="s">
        <v>25</v>
      </c>
      <c r="L326" s="1">
        <v>37.19</v>
      </c>
      <c r="M326" s="1" t="s">
        <v>21</v>
      </c>
      <c r="O326" s="1">
        <v>2.8370057714E10</v>
      </c>
    </row>
    <row r="327">
      <c r="A327" s="1">
        <v>2754794.0</v>
      </c>
      <c r="B327" s="1" t="s">
        <v>871</v>
      </c>
      <c r="C327" s="1" t="b">
        <v>1</v>
      </c>
      <c r="D327" s="1" t="b">
        <v>1</v>
      </c>
      <c r="E327" s="1" t="s">
        <v>872</v>
      </c>
      <c r="F327" s="1" t="s">
        <v>873</v>
      </c>
      <c r="G327" s="2">
        <f>+251928605934</f>
        <v>251928605934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25.29</v>
      </c>
      <c r="M327" s="1" t="s">
        <v>21</v>
      </c>
      <c r="O327" s="1">
        <v>8828181.0</v>
      </c>
    </row>
    <row r="328">
      <c r="A328" s="1">
        <v>2755009.0</v>
      </c>
      <c r="B328" s="1" t="s">
        <v>874</v>
      </c>
      <c r="C328" s="1" t="b">
        <v>1</v>
      </c>
      <c r="D328" s="1" t="b">
        <v>1</v>
      </c>
      <c r="E328" s="1" t="s">
        <v>875</v>
      </c>
      <c r="F328" s="1" t="s">
        <v>48</v>
      </c>
      <c r="G328" s="2">
        <f>+251904618776</f>
        <v>251904618776</v>
      </c>
      <c r="H328" s="1" t="s">
        <v>18</v>
      </c>
      <c r="I328" s="1" t="s">
        <v>19</v>
      </c>
      <c r="J328" s="1" t="s">
        <v>19</v>
      </c>
      <c r="K328" s="1" t="s">
        <v>25</v>
      </c>
      <c r="L328" s="1">
        <v>22.22</v>
      </c>
      <c r="M328" s="1" t="s">
        <v>21</v>
      </c>
      <c r="O328" s="1">
        <v>784781.0</v>
      </c>
    </row>
    <row r="329">
      <c r="A329" s="1">
        <v>2755493.0</v>
      </c>
      <c r="B329" s="1" t="s">
        <v>876</v>
      </c>
      <c r="C329" s="1" t="b">
        <v>1</v>
      </c>
      <c r="D329" s="1" t="b">
        <v>1</v>
      </c>
      <c r="E329" s="1" t="s">
        <v>877</v>
      </c>
      <c r="F329" s="1" t="s">
        <v>878</v>
      </c>
      <c r="G329" s="2">
        <f>+251933230986</f>
        <v>251933230986</v>
      </c>
      <c r="H329" s="1" t="s">
        <v>488</v>
      </c>
      <c r="I329" s="1" t="s">
        <v>19</v>
      </c>
      <c r="J329" s="1" t="s">
        <v>19</v>
      </c>
      <c r="K329" s="1" t="s">
        <v>20</v>
      </c>
      <c r="L329" s="1">
        <v>20.62</v>
      </c>
      <c r="M329" s="1" t="s">
        <v>21</v>
      </c>
      <c r="O329" s="1">
        <v>2.46380888272E11</v>
      </c>
    </row>
    <row r="330">
      <c r="A330" s="1">
        <v>2755689.0</v>
      </c>
      <c r="B330" s="1" t="s">
        <v>879</v>
      </c>
      <c r="C330" s="1" t="b">
        <v>1</v>
      </c>
      <c r="D330" s="1" t="b">
        <v>1</v>
      </c>
      <c r="E330" s="1" t="s">
        <v>880</v>
      </c>
      <c r="F330" s="1" t="s">
        <v>881</v>
      </c>
      <c r="G330" s="2">
        <f>+251934931665</f>
        <v>251934931665</v>
      </c>
      <c r="H330" s="1" t="s">
        <v>18</v>
      </c>
      <c r="I330" s="1" t="s">
        <v>19</v>
      </c>
      <c r="J330" s="1" t="s">
        <v>19</v>
      </c>
      <c r="K330" s="1" t="s">
        <v>25</v>
      </c>
      <c r="L330" s="1">
        <v>20.4</v>
      </c>
      <c r="M330" s="1" t="s">
        <v>26</v>
      </c>
      <c r="O330" s="1">
        <v>2.46401979628E11</v>
      </c>
    </row>
    <row r="331">
      <c r="A331" s="1">
        <v>2755750.0</v>
      </c>
      <c r="B331" s="1" t="s">
        <v>882</v>
      </c>
      <c r="C331" s="1" t="b">
        <v>1</v>
      </c>
      <c r="D331" s="1" t="b">
        <v>1</v>
      </c>
      <c r="E331" s="1" t="s">
        <v>154</v>
      </c>
      <c r="F331" s="1" t="s">
        <v>883</v>
      </c>
      <c r="G331" s="2">
        <f>+251904636875</f>
        <v>251904636875</v>
      </c>
      <c r="H331" s="1" t="s">
        <v>18</v>
      </c>
      <c r="I331" s="1" t="s">
        <v>19</v>
      </c>
      <c r="J331" s="1" t="s">
        <v>19</v>
      </c>
      <c r="K331" s="1" t="s">
        <v>25</v>
      </c>
      <c r="L331" s="1">
        <v>32.35</v>
      </c>
      <c r="M331" s="1" t="s">
        <v>21</v>
      </c>
      <c r="O331" s="1">
        <v>2.46457449676E11</v>
      </c>
    </row>
    <row r="332">
      <c r="A332" s="1">
        <v>2755790.0</v>
      </c>
      <c r="B332" s="1" t="s">
        <v>884</v>
      </c>
      <c r="C332" s="1" t="b">
        <v>1</v>
      </c>
      <c r="D332" s="1" t="b">
        <v>1</v>
      </c>
      <c r="E332" s="1" t="s">
        <v>141</v>
      </c>
      <c r="F332" s="1" t="s">
        <v>885</v>
      </c>
      <c r="G332" s="2">
        <f>+251925580837</f>
        <v>251925580837</v>
      </c>
      <c r="H332" s="1" t="s">
        <v>18</v>
      </c>
      <c r="I332" s="1" t="s">
        <v>19</v>
      </c>
      <c r="J332" s="1" t="s">
        <v>19</v>
      </c>
      <c r="K332" s="1" t="s">
        <v>25</v>
      </c>
      <c r="L332" s="1">
        <v>25.4</v>
      </c>
      <c r="M332" s="1" t="s">
        <v>21</v>
      </c>
      <c r="O332" s="1">
        <v>2.46453046503E11</v>
      </c>
    </row>
    <row r="333">
      <c r="A333" s="1">
        <v>2549121.0</v>
      </c>
      <c r="B333" s="1" t="s">
        <v>886</v>
      </c>
      <c r="C333" s="1" t="b">
        <v>1</v>
      </c>
      <c r="D333" s="1" t="b">
        <v>1</v>
      </c>
      <c r="E333" s="1" t="s">
        <v>887</v>
      </c>
      <c r="F333" s="1" t="s">
        <v>888</v>
      </c>
      <c r="G333" s="2">
        <f>+251977484312</f>
        <v>251977484312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27.11</v>
      </c>
      <c r="M333" s="1" t="s">
        <v>21</v>
      </c>
      <c r="O333" s="1">
        <v>1873618.0</v>
      </c>
    </row>
    <row r="334">
      <c r="A334" s="1">
        <v>2018284.0</v>
      </c>
      <c r="B334" s="1" t="s">
        <v>889</v>
      </c>
      <c r="C334" s="1" t="b">
        <v>1</v>
      </c>
      <c r="D334" s="1" t="b">
        <v>1</v>
      </c>
      <c r="E334" s="1" t="s">
        <v>890</v>
      </c>
      <c r="F334" s="1" t="s">
        <v>108</v>
      </c>
      <c r="G334" s="2">
        <f>+251995188679</f>
        <v>251995188679</v>
      </c>
      <c r="H334" s="1" t="s">
        <v>18</v>
      </c>
      <c r="I334" s="1" t="s">
        <v>19</v>
      </c>
      <c r="J334" s="1" t="s">
        <v>19</v>
      </c>
      <c r="K334" s="1" t="s">
        <v>20</v>
      </c>
      <c r="L334" s="1">
        <v>25.22</v>
      </c>
      <c r="M334" s="1" t="s">
        <v>21</v>
      </c>
      <c r="O334" s="1">
        <v>2706134.0</v>
      </c>
    </row>
    <row r="335">
      <c r="A335" s="1">
        <v>1316253.0</v>
      </c>
      <c r="B335" s="1" t="s">
        <v>891</v>
      </c>
      <c r="C335" s="1" t="b">
        <v>1</v>
      </c>
      <c r="D335" s="1" t="b">
        <v>0</v>
      </c>
      <c r="E335" s="1" t="s">
        <v>437</v>
      </c>
      <c r="F335" s="1" t="s">
        <v>303</v>
      </c>
      <c r="G335" s="2">
        <f>+251936650202</f>
        <v>251936650202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21.71</v>
      </c>
      <c r="M335" s="1" t="s">
        <v>21</v>
      </c>
      <c r="O335" s="1">
        <v>1.1975740399E10</v>
      </c>
    </row>
    <row r="336">
      <c r="A336" s="1">
        <v>2757840.0</v>
      </c>
      <c r="B336" s="1" t="s">
        <v>892</v>
      </c>
      <c r="C336" s="1" t="b">
        <v>1</v>
      </c>
      <c r="D336" s="1" t="b">
        <v>1</v>
      </c>
      <c r="E336" s="1" t="s">
        <v>893</v>
      </c>
      <c r="F336" s="1" t="s">
        <v>894</v>
      </c>
      <c r="G336" s="2">
        <f>+251922558743</f>
        <v>251922558743</v>
      </c>
      <c r="H336" s="1" t="s">
        <v>18</v>
      </c>
      <c r="I336" s="1" t="s">
        <v>19</v>
      </c>
      <c r="J336" s="1" t="s">
        <v>19</v>
      </c>
      <c r="K336" s="1" t="s">
        <v>25</v>
      </c>
      <c r="L336" s="1">
        <v>26.98</v>
      </c>
      <c r="M336" s="1" t="s">
        <v>21</v>
      </c>
    </row>
    <row r="337">
      <c r="A337" s="1">
        <v>2757850.0</v>
      </c>
      <c r="B337" s="1" t="s">
        <v>895</v>
      </c>
      <c r="C337" s="1" t="b">
        <v>1</v>
      </c>
      <c r="D337" s="1" t="b">
        <v>1</v>
      </c>
      <c r="E337" s="1" t="s">
        <v>123</v>
      </c>
      <c r="F337" s="1" t="s">
        <v>896</v>
      </c>
      <c r="G337" s="2">
        <f>+251921474355</f>
        <v>251921474355</v>
      </c>
      <c r="H337" s="1" t="s">
        <v>131</v>
      </c>
      <c r="I337" s="1" t="s">
        <v>19</v>
      </c>
      <c r="J337" s="1" t="s">
        <v>19</v>
      </c>
      <c r="K337" s="1" t="s">
        <v>25</v>
      </c>
      <c r="L337" s="1">
        <v>23.29</v>
      </c>
      <c r="M337" s="1" t="s">
        <v>21</v>
      </c>
      <c r="O337" s="1">
        <v>2.47214486733E11</v>
      </c>
    </row>
    <row r="338">
      <c r="A338" s="1">
        <v>2758342.0</v>
      </c>
      <c r="B338" s="1" t="s">
        <v>897</v>
      </c>
      <c r="C338" s="1" t="b">
        <v>1</v>
      </c>
      <c r="D338" s="1" t="b">
        <v>1</v>
      </c>
      <c r="E338" s="1" t="s">
        <v>898</v>
      </c>
      <c r="F338" s="1" t="s">
        <v>899</v>
      </c>
      <c r="G338" s="2">
        <f>+251961874438</f>
        <v>251961874438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23.89</v>
      </c>
      <c r="M338" s="1" t="s">
        <v>21</v>
      </c>
      <c r="O338" s="1">
        <v>8915189.0</v>
      </c>
    </row>
    <row r="339">
      <c r="A339" s="1">
        <v>2758403.0</v>
      </c>
      <c r="B339" s="1" t="s">
        <v>900</v>
      </c>
      <c r="C339" s="1" t="b">
        <v>1</v>
      </c>
      <c r="D339" s="1" t="b">
        <v>1</v>
      </c>
      <c r="E339" s="1" t="s">
        <v>901</v>
      </c>
      <c r="F339" s="1" t="s">
        <v>149</v>
      </c>
      <c r="G339" s="2">
        <f>+251911952969</f>
        <v>251911952969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20.12</v>
      </c>
      <c r="M339" s="1" t="s">
        <v>21</v>
      </c>
      <c r="O339" s="1">
        <v>2.47331387604E11</v>
      </c>
    </row>
    <row r="340">
      <c r="A340" s="1">
        <v>2758622.0</v>
      </c>
      <c r="B340" s="1" t="s">
        <v>902</v>
      </c>
      <c r="C340" s="1" t="b">
        <v>1</v>
      </c>
      <c r="D340" s="1" t="b">
        <v>1</v>
      </c>
      <c r="E340" s="1" t="s">
        <v>903</v>
      </c>
      <c r="F340" s="1" t="s">
        <v>904</v>
      </c>
      <c r="G340" s="2">
        <f>+251904174741</f>
        <v>251904174741</v>
      </c>
      <c r="H340" s="1" t="s">
        <v>72</v>
      </c>
      <c r="I340" s="1" t="s">
        <v>19</v>
      </c>
      <c r="J340" s="1" t="s">
        <v>19</v>
      </c>
      <c r="K340" s="1" t="s">
        <v>25</v>
      </c>
      <c r="L340" s="1">
        <v>21.52</v>
      </c>
      <c r="M340" s="1" t="s">
        <v>21</v>
      </c>
      <c r="O340" s="1">
        <v>2.47283704019E11</v>
      </c>
    </row>
    <row r="341">
      <c r="A341" s="1">
        <v>2758658.0</v>
      </c>
      <c r="B341" s="1" t="s">
        <v>905</v>
      </c>
      <c r="C341" s="1" t="b">
        <v>1</v>
      </c>
      <c r="D341" s="1" t="b">
        <v>1</v>
      </c>
      <c r="E341" s="1" t="s">
        <v>906</v>
      </c>
      <c r="F341" s="1" t="s">
        <v>907</v>
      </c>
      <c r="G341" s="2">
        <f>+251937014776</f>
        <v>251937014776</v>
      </c>
      <c r="H341" s="1" t="s">
        <v>335</v>
      </c>
      <c r="I341" s="1" t="s">
        <v>19</v>
      </c>
      <c r="J341" s="1" t="s">
        <v>19</v>
      </c>
      <c r="K341" s="1" t="s">
        <v>20</v>
      </c>
      <c r="L341" s="1">
        <v>19.61</v>
      </c>
      <c r="M341" s="1" t="s">
        <v>21</v>
      </c>
      <c r="O341" s="1">
        <v>2.47285649626E11</v>
      </c>
    </row>
    <row r="342">
      <c r="A342" s="1">
        <v>2758667.0</v>
      </c>
      <c r="B342" s="1" t="s">
        <v>908</v>
      </c>
      <c r="C342" s="1" t="b">
        <v>0</v>
      </c>
      <c r="D342" s="1" t="b">
        <v>1</v>
      </c>
      <c r="E342" s="1" t="s">
        <v>909</v>
      </c>
      <c r="F342" s="1" t="s">
        <v>910</v>
      </c>
      <c r="G342" s="2">
        <f>+251994307095</f>
        <v>251994307095</v>
      </c>
      <c r="H342" s="1" t="s">
        <v>18</v>
      </c>
      <c r="I342" s="1" t="s">
        <v>19</v>
      </c>
      <c r="J342" s="1" t="s">
        <v>19</v>
      </c>
      <c r="K342" s="1" t="s">
        <v>20</v>
      </c>
      <c r="L342" s="1">
        <v>20.15</v>
      </c>
      <c r="M342" s="1" t="s">
        <v>26</v>
      </c>
      <c r="O342" s="1">
        <v>2.4728772834E11</v>
      </c>
    </row>
    <row r="343">
      <c r="A343" s="1">
        <v>2758697.0</v>
      </c>
      <c r="B343" s="1" t="s">
        <v>911</v>
      </c>
      <c r="C343" s="1" t="b">
        <v>1</v>
      </c>
      <c r="D343" s="1" t="b">
        <v>1</v>
      </c>
      <c r="E343" s="1" t="s">
        <v>912</v>
      </c>
      <c r="F343" s="1" t="s">
        <v>913</v>
      </c>
      <c r="G343" s="2">
        <f>+251950265476</f>
        <v>251950265476</v>
      </c>
      <c r="H343" s="1" t="s">
        <v>18</v>
      </c>
      <c r="I343" s="1" t="s">
        <v>19</v>
      </c>
      <c r="J343" s="1" t="s">
        <v>19</v>
      </c>
      <c r="K343" s="1" t="s">
        <v>25</v>
      </c>
      <c r="L343" s="1">
        <v>20.64</v>
      </c>
      <c r="M343" s="1" t="s">
        <v>21</v>
      </c>
    </row>
    <row r="344">
      <c r="A344" s="1">
        <v>2758799.0</v>
      </c>
      <c r="B344" s="1" t="s">
        <v>914</v>
      </c>
      <c r="C344" s="1" t="b">
        <v>1</v>
      </c>
      <c r="D344" s="1" t="b">
        <v>1</v>
      </c>
      <c r="E344" s="1" t="s">
        <v>915</v>
      </c>
      <c r="F344" s="1" t="s">
        <v>916</v>
      </c>
      <c r="G344" s="2">
        <f>+251929000800</f>
        <v>251929000800</v>
      </c>
      <c r="H344" s="1" t="s">
        <v>18</v>
      </c>
      <c r="I344" s="1" t="s">
        <v>19</v>
      </c>
      <c r="J344" s="1" t="s">
        <v>19</v>
      </c>
      <c r="K344" s="1" t="s">
        <v>25</v>
      </c>
      <c r="L344" s="1">
        <v>21.01</v>
      </c>
      <c r="M344" s="1" t="s">
        <v>21</v>
      </c>
    </row>
    <row r="345">
      <c r="A345" s="1">
        <v>1508647.0</v>
      </c>
      <c r="B345" s="1" t="s">
        <v>917</v>
      </c>
      <c r="C345" s="1" t="b">
        <v>1</v>
      </c>
      <c r="D345" s="1" t="b">
        <v>1</v>
      </c>
      <c r="E345" s="1" t="s">
        <v>918</v>
      </c>
      <c r="F345" s="1" t="s">
        <v>919</v>
      </c>
      <c r="G345" s="2">
        <f>+251914594919</f>
        <v>251914594919</v>
      </c>
      <c r="H345" s="1" t="s">
        <v>18</v>
      </c>
      <c r="I345" s="1" t="s">
        <v>19</v>
      </c>
      <c r="J345" s="1" t="s">
        <v>19</v>
      </c>
      <c r="K345" s="1" t="s">
        <v>20</v>
      </c>
      <c r="L345" s="1">
        <v>22.17</v>
      </c>
      <c r="M345" s="1" t="s">
        <v>21</v>
      </c>
      <c r="O345" s="1">
        <v>5688399.0</v>
      </c>
    </row>
    <row r="346">
      <c r="A346" s="1">
        <v>2742208.0</v>
      </c>
      <c r="B346" s="1" t="s">
        <v>920</v>
      </c>
      <c r="C346" s="1" t="b">
        <v>1</v>
      </c>
      <c r="D346" s="1" t="b">
        <v>1</v>
      </c>
      <c r="E346" s="1" t="s">
        <v>921</v>
      </c>
      <c r="F346" s="1" t="s">
        <v>922</v>
      </c>
      <c r="G346" s="1">
        <v>9.65205383E8</v>
      </c>
      <c r="H346" s="1" t="s">
        <v>18</v>
      </c>
      <c r="I346" s="1" t="s">
        <v>19</v>
      </c>
      <c r="J346" s="1" t="s">
        <v>19</v>
      </c>
      <c r="K346" s="1" t="s">
        <v>25</v>
      </c>
      <c r="L346" s="1">
        <v>22.29</v>
      </c>
      <c r="M346" s="1" t="s">
        <v>21</v>
      </c>
      <c r="O346" s="1">
        <v>2.41491650746E11</v>
      </c>
    </row>
    <row r="347">
      <c r="A347" s="1">
        <v>2759308.0</v>
      </c>
      <c r="B347" s="1" t="s">
        <v>923</v>
      </c>
      <c r="C347" s="1" t="b">
        <v>1</v>
      </c>
      <c r="D347" s="1" t="b">
        <v>1</v>
      </c>
      <c r="E347" s="1" t="s">
        <v>924</v>
      </c>
      <c r="F347" s="1" t="s">
        <v>925</v>
      </c>
      <c r="G347" s="2">
        <f>+251968778471</f>
        <v>251968778471</v>
      </c>
      <c r="H347" s="1" t="s">
        <v>18</v>
      </c>
      <c r="I347" s="1" t="s">
        <v>19</v>
      </c>
      <c r="J347" s="1" t="s">
        <v>19</v>
      </c>
      <c r="K347" s="1" t="s">
        <v>25</v>
      </c>
      <c r="L347" s="1">
        <v>20.35</v>
      </c>
      <c r="M347" s="1" t="s">
        <v>21</v>
      </c>
      <c r="O347" s="1">
        <v>2.47402858682E11</v>
      </c>
    </row>
    <row r="348">
      <c r="A348" s="1">
        <v>2759789.0</v>
      </c>
      <c r="B348" s="1" t="s">
        <v>926</v>
      </c>
      <c r="C348" s="1" t="b">
        <v>1</v>
      </c>
      <c r="D348" s="1" t="b">
        <v>1</v>
      </c>
      <c r="E348" s="1" t="s">
        <v>107</v>
      </c>
      <c r="F348" s="1" t="s">
        <v>338</v>
      </c>
      <c r="G348" s="2">
        <f>+251973154452</f>
        <v>251973154452</v>
      </c>
      <c r="H348" s="1" t="s">
        <v>18</v>
      </c>
      <c r="I348" s="1" t="s">
        <v>19</v>
      </c>
      <c r="J348" s="1" t="s">
        <v>19</v>
      </c>
      <c r="K348" s="1" t="s">
        <v>20</v>
      </c>
      <c r="L348" s="1">
        <v>33.76</v>
      </c>
      <c r="M348" s="1" t="s">
        <v>21</v>
      </c>
      <c r="O348" s="1">
        <v>2.47510109382E11</v>
      </c>
    </row>
    <row r="349">
      <c r="A349" s="1">
        <v>2760282.0</v>
      </c>
      <c r="B349" s="1" t="s">
        <v>927</v>
      </c>
      <c r="C349" s="1" t="b">
        <v>1</v>
      </c>
      <c r="D349" s="1" t="b">
        <v>1</v>
      </c>
      <c r="E349" s="1" t="s">
        <v>928</v>
      </c>
      <c r="F349" s="1" t="s">
        <v>929</v>
      </c>
      <c r="G349" s="2">
        <f>+251906515048</f>
        <v>251906515048</v>
      </c>
      <c r="H349" s="1" t="s">
        <v>18</v>
      </c>
      <c r="I349" s="1" t="s">
        <v>19</v>
      </c>
      <c r="J349" s="1" t="s">
        <v>19</v>
      </c>
      <c r="K349" s="1" t="s">
        <v>20</v>
      </c>
      <c r="L349" s="1">
        <v>19.03</v>
      </c>
      <c r="M349" s="1" t="s">
        <v>26</v>
      </c>
      <c r="O349" s="1">
        <v>2.47706289393E11</v>
      </c>
    </row>
    <row r="350">
      <c r="A350" s="1">
        <v>2760542.0</v>
      </c>
      <c r="B350" s="1" t="s">
        <v>930</v>
      </c>
      <c r="C350" s="1" t="b">
        <v>0</v>
      </c>
      <c r="D350" s="1" t="b">
        <v>1</v>
      </c>
      <c r="E350" s="1" t="s">
        <v>931</v>
      </c>
      <c r="F350" s="1" t="s">
        <v>932</v>
      </c>
      <c r="G350" s="2">
        <f>+251910021088</f>
        <v>251910021088</v>
      </c>
      <c r="H350" s="1" t="s">
        <v>18</v>
      </c>
      <c r="I350" s="1" t="s">
        <v>19</v>
      </c>
      <c r="J350" s="1" t="s">
        <v>19</v>
      </c>
      <c r="K350" s="1" t="s">
        <v>25</v>
      </c>
      <c r="L350" s="1">
        <v>35.0</v>
      </c>
      <c r="M350" s="1" t="s">
        <v>26</v>
      </c>
      <c r="O350" s="1">
        <v>2.47727127777E11</v>
      </c>
    </row>
    <row r="351">
      <c r="A351" s="1">
        <v>2760593.0</v>
      </c>
      <c r="B351" s="1" t="s">
        <v>933</v>
      </c>
      <c r="C351" s="1" t="b">
        <v>1</v>
      </c>
      <c r="D351" s="1" t="b">
        <v>1</v>
      </c>
      <c r="E351" s="1" t="s">
        <v>934</v>
      </c>
      <c r="F351" s="1" t="s">
        <v>935</v>
      </c>
      <c r="G351" s="2">
        <f>+251974611432</f>
        <v>251974611432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19.2</v>
      </c>
      <c r="M351" s="1" t="s">
        <v>33</v>
      </c>
      <c r="N351" s="1" t="s">
        <v>118</v>
      </c>
      <c r="O351" s="1">
        <v>2.47782251756E11</v>
      </c>
    </row>
    <row r="352">
      <c r="A352" s="1">
        <v>2760635.0</v>
      </c>
      <c r="B352" s="1" t="s">
        <v>936</v>
      </c>
      <c r="C352" s="1" t="b">
        <v>0</v>
      </c>
      <c r="D352" s="1" t="b">
        <v>1</v>
      </c>
      <c r="E352" s="1" t="s">
        <v>250</v>
      </c>
      <c r="F352" s="1" t="s">
        <v>937</v>
      </c>
      <c r="G352" s="2">
        <f>+251905167513</f>
        <v>251905167513</v>
      </c>
      <c r="H352" s="1" t="s">
        <v>72</v>
      </c>
      <c r="I352" s="1" t="s">
        <v>19</v>
      </c>
      <c r="J352" s="1" t="s">
        <v>19</v>
      </c>
      <c r="K352" s="1" t="s">
        <v>25</v>
      </c>
      <c r="L352" s="1">
        <v>19.7</v>
      </c>
      <c r="M352" s="1" t="s">
        <v>26</v>
      </c>
      <c r="O352" s="1">
        <v>2.47740233942E11</v>
      </c>
    </row>
    <row r="353">
      <c r="A353" s="1">
        <v>2760825.0</v>
      </c>
      <c r="B353" s="1" t="s">
        <v>938</v>
      </c>
      <c r="C353" s="1" t="b">
        <v>1</v>
      </c>
      <c r="D353" s="1" t="b">
        <v>1</v>
      </c>
      <c r="E353" s="1" t="s">
        <v>939</v>
      </c>
      <c r="F353" s="1" t="s">
        <v>363</v>
      </c>
      <c r="G353" s="2">
        <f>+251909607177</f>
        <v>251909607177</v>
      </c>
      <c r="H353" s="1" t="s">
        <v>18</v>
      </c>
      <c r="I353" s="1" t="s">
        <v>19</v>
      </c>
      <c r="J353" s="1" t="s">
        <v>19</v>
      </c>
      <c r="K353" s="1" t="s">
        <v>25</v>
      </c>
      <c r="L353" s="1">
        <v>24.38</v>
      </c>
      <c r="M353" s="1" t="s">
        <v>21</v>
      </c>
      <c r="O353" s="1">
        <v>2.47870531772E11</v>
      </c>
    </row>
    <row r="354">
      <c r="A354" s="1">
        <v>2761202.0</v>
      </c>
      <c r="B354" s="1" t="s">
        <v>940</v>
      </c>
      <c r="C354" s="1" t="b">
        <v>0</v>
      </c>
      <c r="D354" s="1" t="b">
        <v>1</v>
      </c>
      <c r="E354" s="1" t="s">
        <v>941</v>
      </c>
      <c r="F354" s="1" t="s">
        <v>942</v>
      </c>
      <c r="G354" s="2">
        <f>+251948036685</f>
        <v>251948036685</v>
      </c>
      <c r="H354" s="1" t="s">
        <v>18</v>
      </c>
      <c r="I354" s="1" t="s">
        <v>19</v>
      </c>
      <c r="J354" s="1" t="s">
        <v>19</v>
      </c>
      <c r="K354" s="1" t="s">
        <v>25</v>
      </c>
      <c r="L354" s="1">
        <v>21.99</v>
      </c>
      <c r="M354" s="1" t="s">
        <v>33</v>
      </c>
      <c r="N354" s="1" t="s">
        <v>118</v>
      </c>
      <c r="O354" s="1">
        <v>2.47977518266E11</v>
      </c>
    </row>
    <row r="355">
      <c r="A355" s="1">
        <v>2761479.0</v>
      </c>
      <c r="B355" s="1" t="s">
        <v>943</v>
      </c>
      <c r="C355" s="1" t="b">
        <v>1</v>
      </c>
      <c r="D355" s="1" t="b">
        <v>1</v>
      </c>
      <c r="E355" s="1" t="s">
        <v>944</v>
      </c>
      <c r="F355" s="1" t="s">
        <v>195</v>
      </c>
      <c r="G355" s="2">
        <f>+251941414699</f>
        <v>251941414699</v>
      </c>
      <c r="H355" s="1" t="s">
        <v>18</v>
      </c>
      <c r="I355" s="1" t="s">
        <v>19</v>
      </c>
      <c r="J355" s="1" t="s">
        <v>19</v>
      </c>
      <c r="K355" s="1" t="s">
        <v>25</v>
      </c>
      <c r="L355" s="1">
        <v>21.01</v>
      </c>
      <c r="M355" s="1" t="s">
        <v>21</v>
      </c>
      <c r="O355" s="1">
        <v>2.480865006E11</v>
      </c>
    </row>
    <row r="356">
      <c r="A356" s="1">
        <v>2761637.0</v>
      </c>
      <c r="B356" s="1" t="s">
        <v>945</v>
      </c>
      <c r="C356" s="1" t="b">
        <v>1</v>
      </c>
      <c r="D356" s="1" t="b">
        <v>1</v>
      </c>
      <c r="E356" s="1" t="s">
        <v>877</v>
      </c>
      <c r="F356" s="1" t="s">
        <v>946</v>
      </c>
      <c r="G356" s="2">
        <f>+251972958008</f>
        <v>251972958008</v>
      </c>
      <c r="H356" s="1" t="s">
        <v>18</v>
      </c>
      <c r="I356" s="1" t="s">
        <v>19</v>
      </c>
      <c r="J356" s="1" t="s">
        <v>19</v>
      </c>
      <c r="K356" s="1" t="s">
        <v>20</v>
      </c>
      <c r="L356" s="1">
        <v>28.99</v>
      </c>
      <c r="M356" s="1" t="s">
        <v>33</v>
      </c>
      <c r="N356" s="1" t="s">
        <v>65</v>
      </c>
      <c r="O356" s="1">
        <v>2.48103853285E11</v>
      </c>
    </row>
    <row r="357">
      <c r="A357" s="1">
        <v>1737442.0</v>
      </c>
      <c r="B357" s="1" t="s">
        <v>947</v>
      </c>
      <c r="C357" s="1" t="b">
        <v>1</v>
      </c>
      <c r="D357" s="1" t="b">
        <v>1</v>
      </c>
      <c r="E357" s="1" t="s">
        <v>948</v>
      </c>
      <c r="F357" s="1" t="s">
        <v>949</v>
      </c>
      <c r="G357" s="2">
        <f>+251949650508</f>
        <v>251949650508</v>
      </c>
      <c r="H357" s="1" t="s">
        <v>18</v>
      </c>
      <c r="I357" s="1" t="s">
        <v>19</v>
      </c>
      <c r="J357" s="1" t="s">
        <v>19</v>
      </c>
      <c r="K357" s="1" t="s">
        <v>25</v>
      </c>
      <c r="L357" s="1">
        <v>30.02</v>
      </c>
      <c r="M357" s="1" t="s">
        <v>21</v>
      </c>
    </row>
    <row r="358">
      <c r="A358" s="1">
        <v>2764075.0</v>
      </c>
      <c r="B358" s="1" t="s">
        <v>950</v>
      </c>
      <c r="C358" s="1" t="b">
        <v>1</v>
      </c>
      <c r="D358" s="1" t="b">
        <v>1</v>
      </c>
      <c r="E358" s="1" t="s">
        <v>951</v>
      </c>
      <c r="F358" s="1" t="s">
        <v>559</v>
      </c>
      <c r="G358" s="2">
        <f>+251941101677</f>
        <v>251941101677</v>
      </c>
      <c r="H358" s="1" t="s">
        <v>18</v>
      </c>
      <c r="I358" s="1" t="s">
        <v>19</v>
      </c>
      <c r="J358" s="1" t="s">
        <v>19</v>
      </c>
      <c r="K358" s="1" t="s">
        <v>25</v>
      </c>
      <c r="L358" s="1">
        <v>24.64</v>
      </c>
      <c r="M358" s="1" t="s">
        <v>33</v>
      </c>
      <c r="N358" s="1" t="s">
        <v>166</v>
      </c>
      <c r="O358" s="1">
        <v>2.311056E7</v>
      </c>
    </row>
    <row r="359">
      <c r="A359" s="1">
        <v>2764315.0</v>
      </c>
      <c r="B359" s="1" t="s">
        <v>952</v>
      </c>
      <c r="C359" s="1" t="b">
        <v>1</v>
      </c>
      <c r="D359" s="1" t="b">
        <v>1</v>
      </c>
      <c r="E359" s="1" t="s">
        <v>447</v>
      </c>
      <c r="F359" s="1" t="s">
        <v>108</v>
      </c>
      <c r="G359" s="2">
        <f>+251940600895</f>
        <v>251940600895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20.6</v>
      </c>
      <c r="M359" s="1" t="s">
        <v>21</v>
      </c>
      <c r="O359" s="1">
        <v>2.48991432925E11</v>
      </c>
    </row>
    <row r="360">
      <c r="A360" s="1">
        <v>2704012.0</v>
      </c>
      <c r="B360" s="1" t="s">
        <v>953</v>
      </c>
      <c r="C360" s="1" t="b">
        <v>1</v>
      </c>
      <c r="D360" s="1" t="b">
        <v>1</v>
      </c>
      <c r="E360" s="1" t="s">
        <v>954</v>
      </c>
      <c r="F360" s="1" t="s">
        <v>195</v>
      </c>
      <c r="G360" s="2">
        <f>+251947141787</f>
        <v>251947141787</v>
      </c>
      <c r="H360" s="1" t="s">
        <v>18</v>
      </c>
      <c r="I360" s="1" t="s">
        <v>19</v>
      </c>
      <c r="J360" s="1" t="s">
        <v>19</v>
      </c>
      <c r="K360" s="1" t="s">
        <v>25</v>
      </c>
      <c r="L360" s="1">
        <v>20.51</v>
      </c>
      <c r="M360" s="1" t="s">
        <v>21</v>
      </c>
    </row>
    <row r="361">
      <c r="A361" s="1">
        <v>2764968.0</v>
      </c>
      <c r="B361" s="1" t="s">
        <v>955</v>
      </c>
      <c r="C361" s="1" t="b">
        <v>1</v>
      </c>
      <c r="D361" s="1" t="b">
        <v>1</v>
      </c>
      <c r="E361" s="1" t="s">
        <v>474</v>
      </c>
      <c r="F361" s="1" t="s">
        <v>956</v>
      </c>
      <c r="G361" s="2">
        <f>+251949523826</f>
        <v>251949523826</v>
      </c>
      <c r="H361" s="1" t="s">
        <v>18</v>
      </c>
      <c r="I361" s="1" t="s">
        <v>19</v>
      </c>
      <c r="J361" s="1" t="s">
        <v>19</v>
      </c>
      <c r="K361" s="1" t="s">
        <v>25</v>
      </c>
      <c r="L361" s="1">
        <v>24.67</v>
      </c>
      <c r="M361" s="1" t="s">
        <v>33</v>
      </c>
      <c r="N361" s="1" t="s">
        <v>118</v>
      </c>
      <c r="O361" s="1">
        <v>2.49080052968E11</v>
      </c>
    </row>
    <row r="362">
      <c r="A362" s="1">
        <v>2765531.0</v>
      </c>
      <c r="B362" s="1" t="s">
        <v>957</v>
      </c>
      <c r="C362" s="1" t="b">
        <v>1</v>
      </c>
      <c r="D362" s="1" t="b">
        <v>1</v>
      </c>
      <c r="E362" s="1" t="s">
        <v>958</v>
      </c>
      <c r="F362" s="1" t="s">
        <v>959</v>
      </c>
      <c r="G362" s="2">
        <f>+10973448281</f>
        <v>10973448281</v>
      </c>
      <c r="H362" s="1" t="s">
        <v>18</v>
      </c>
      <c r="I362" s="1" t="s">
        <v>19</v>
      </c>
      <c r="J362" s="1" t="s">
        <v>19</v>
      </c>
      <c r="K362" s="1" t="s">
        <v>25</v>
      </c>
      <c r="L362" s="1">
        <v>25.17</v>
      </c>
      <c r="M362" s="1" t="s">
        <v>21</v>
      </c>
      <c r="O362" s="1">
        <v>2.3547035E7</v>
      </c>
    </row>
    <row r="363">
      <c r="A363" s="1">
        <v>2374639.0</v>
      </c>
      <c r="B363" s="1" t="s">
        <v>960</v>
      </c>
      <c r="C363" s="1" t="b">
        <v>1</v>
      </c>
      <c r="D363" s="1" t="b">
        <v>1</v>
      </c>
      <c r="E363" s="1" t="s">
        <v>961</v>
      </c>
      <c r="F363" s="1" t="s">
        <v>744</v>
      </c>
      <c r="G363" s="2">
        <f>+251980196647</f>
        <v>251980196647</v>
      </c>
      <c r="H363" s="1" t="s">
        <v>18</v>
      </c>
      <c r="I363" s="1" t="s">
        <v>19</v>
      </c>
      <c r="J363" s="1" t="s">
        <v>19</v>
      </c>
      <c r="K363" s="1" t="s">
        <v>20</v>
      </c>
      <c r="L363" s="1">
        <v>21.55</v>
      </c>
      <c r="M363" s="1" t="s">
        <v>21</v>
      </c>
      <c r="O363" s="1">
        <v>1870071.0</v>
      </c>
    </row>
    <row r="364">
      <c r="A364" s="1">
        <v>2765941.0</v>
      </c>
      <c r="B364" s="1" t="s">
        <v>962</v>
      </c>
      <c r="C364" s="1" t="b">
        <v>1</v>
      </c>
      <c r="D364" s="1" t="b">
        <v>1</v>
      </c>
      <c r="E364" s="1" t="s">
        <v>194</v>
      </c>
      <c r="F364" s="1" t="s">
        <v>963</v>
      </c>
      <c r="G364" s="2">
        <f>+251960334872</f>
        <v>251960334872</v>
      </c>
      <c r="H364" s="1" t="s">
        <v>72</v>
      </c>
      <c r="I364" s="1" t="s">
        <v>19</v>
      </c>
      <c r="J364" s="1" t="s">
        <v>19</v>
      </c>
      <c r="K364" s="1" t="s">
        <v>25</v>
      </c>
      <c r="L364" s="1">
        <v>22.66</v>
      </c>
      <c r="M364" s="1" t="s">
        <v>21</v>
      </c>
      <c r="O364" s="1">
        <v>2.49297548525E11</v>
      </c>
    </row>
    <row r="365">
      <c r="A365" s="1">
        <v>2766839.0</v>
      </c>
      <c r="B365" s="1" t="s">
        <v>964</v>
      </c>
      <c r="C365" s="1" t="b">
        <v>1</v>
      </c>
      <c r="D365" s="1" t="b">
        <v>1</v>
      </c>
      <c r="E365" s="1" t="s">
        <v>965</v>
      </c>
      <c r="F365" s="1" t="s">
        <v>966</v>
      </c>
      <c r="G365" s="2">
        <f>+251941164875</f>
        <v>251941164875</v>
      </c>
      <c r="H365" s="1" t="s">
        <v>18</v>
      </c>
      <c r="I365" s="1" t="s">
        <v>19</v>
      </c>
      <c r="J365" s="1" t="s">
        <v>19</v>
      </c>
      <c r="K365" s="1" t="s">
        <v>25</v>
      </c>
      <c r="L365" s="1">
        <v>21.48</v>
      </c>
      <c r="M365" s="1" t="s">
        <v>33</v>
      </c>
      <c r="N365" s="1" t="s">
        <v>34</v>
      </c>
      <c r="O365" s="1">
        <v>8896598.0</v>
      </c>
    </row>
    <row r="366">
      <c r="A366" s="1">
        <v>2767306.0</v>
      </c>
      <c r="B366" s="1" t="s">
        <v>967</v>
      </c>
      <c r="C366" s="1" t="b">
        <v>1</v>
      </c>
      <c r="D366" s="1" t="b">
        <v>0</v>
      </c>
      <c r="E366" s="1" t="s">
        <v>437</v>
      </c>
      <c r="F366" s="1" t="s">
        <v>968</v>
      </c>
      <c r="G366" s="2">
        <f>+251940519846</f>
        <v>251940519846</v>
      </c>
      <c r="H366" s="1" t="s">
        <v>18</v>
      </c>
      <c r="I366" s="1" t="s">
        <v>19</v>
      </c>
      <c r="J366" s="1" t="s">
        <v>19</v>
      </c>
      <c r="K366" s="1" t="s">
        <v>25</v>
      </c>
      <c r="L366" s="1">
        <v>20.47</v>
      </c>
      <c r="M366" s="1" t="s">
        <v>33</v>
      </c>
      <c r="N366" s="1" t="s">
        <v>65</v>
      </c>
    </row>
    <row r="367">
      <c r="A367" s="1">
        <v>2488.0</v>
      </c>
      <c r="B367" s="1" t="s">
        <v>969</v>
      </c>
      <c r="C367" s="1" t="b">
        <v>1</v>
      </c>
      <c r="D367" s="1" t="b">
        <v>1</v>
      </c>
      <c r="E367" s="1" t="s">
        <v>970</v>
      </c>
      <c r="F367" s="1" t="s">
        <v>805</v>
      </c>
      <c r="G367" s="2">
        <f>+251935492135</f>
        <v>251935492135</v>
      </c>
      <c r="H367" s="1" t="s">
        <v>971</v>
      </c>
      <c r="I367" s="1" t="s">
        <v>19</v>
      </c>
      <c r="J367" s="1" t="s">
        <v>19</v>
      </c>
      <c r="K367" s="1" t="s">
        <v>25</v>
      </c>
      <c r="L367" s="1">
        <v>28.75</v>
      </c>
      <c r="M367" s="1" t="s">
        <v>21</v>
      </c>
      <c r="O367" s="1">
        <v>5718229.0</v>
      </c>
    </row>
    <row r="368">
      <c r="A368" s="1">
        <v>2745899.0</v>
      </c>
      <c r="B368" s="1" t="s">
        <v>972</v>
      </c>
      <c r="C368" s="1" t="b">
        <v>1</v>
      </c>
      <c r="D368" s="1" t="b">
        <v>1</v>
      </c>
      <c r="E368" s="1" t="s">
        <v>370</v>
      </c>
      <c r="F368" s="1" t="s">
        <v>973</v>
      </c>
      <c r="G368" s="2">
        <f>+251711688022</f>
        <v>251711688022</v>
      </c>
      <c r="H368" s="1" t="s">
        <v>974</v>
      </c>
      <c r="I368" s="1" t="s">
        <v>19</v>
      </c>
      <c r="J368" s="1" t="s">
        <v>19</v>
      </c>
      <c r="K368" s="1" t="s">
        <v>25</v>
      </c>
      <c r="L368" s="1">
        <v>16.85</v>
      </c>
      <c r="M368" s="1" t="s">
        <v>33</v>
      </c>
      <c r="N368" s="1" t="s">
        <v>65</v>
      </c>
      <c r="O368" s="1">
        <v>2.5338736E7</v>
      </c>
    </row>
    <row r="369">
      <c r="A369" s="1">
        <v>2768914.0</v>
      </c>
      <c r="B369" s="1" t="s">
        <v>975</v>
      </c>
      <c r="C369" s="1" t="b">
        <v>1</v>
      </c>
      <c r="D369" s="1" t="b">
        <v>1</v>
      </c>
      <c r="E369" s="1" t="s">
        <v>976</v>
      </c>
      <c r="F369" s="1" t="s">
        <v>189</v>
      </c>
      <c r="G369" s="2">
        <f>+251909113830</f>
        <v>251909113830</v>
      </c>
      <c r="H369" s="1" t="s">
        <v>18</v>
      </c>
      <c r="I369" s="1" t="s">
        <v>19</v>
      </c>
      <c r="J369" s="1" t="s">
        <v>19</v>
      </c>
      <c r="K369" s="1" t="s">
        <v>25</v>
      </c>
      <c r="L369" s="1">
        <v>20.53</v>
      </c>
      <c r="M369" s="1" t="s">
        <v>21</v>
      </c>
      <c r="O369" s="1">
        <v>2.50198640859E11</v>
      </c>
    </row>
    <row r="370">
      <c r="A370" s="1">
        <v>2769743.0</v>
      </c>
      <c r="B370" s="1" t="s">
        <v>977</v>
      </c>
      <c r="C370" s="1" t="b">
        <v>1</v>
      </c>
      <c r="D370" s="1" t="b">
        <v>1</v>
      </c>
      <c r="E370" s="1" t="s">
        <v>978</v>
      </c>
      <c r="F370" s="1" t="s">
        <v>979</v>
      </c>
      <c r="G370" s="2">
        <f>+251930180642</f>
        <v>251930180642</v>
      </c>
      <c r="H370" s="1" t="s">
        <v>18</v>
      </c>
      <c r="I370" s="1" t="s">
        <v>19</v>
      </c>
      <c r="J370" s="1" t="s">
        <v>19</v>
      </c>
      <c r="K370" s="1" t="s">
        <v>20</v>
      </c>
      <c r="L370" s="1">
        <v>21.75</v>
      </c>
      <c r="M370" s="1" t="s">
        <v>33</v>
      </c>
      <c r="N370" s="1" t="s">
        <v>166</v>
      </c>
      <c r="O370" s="1">
        <v>2.50583794885E11</v>
      </c>
    </row>
    <row r="371">
      <c r="A371" s="1">
        <v>2604010.0</v>
      </c>
      <c r="B371" s="1" t="s">
        <v>980</v>
      </c>
      <c r="C371" s="1" t="b">
        <v>1</v>
      </c>
      <c r="D371" s="1" t="b">
        <v>1</v>
      </c>
      <c r="E371" s="1" t="s">
        <v>981</v>
      </c>
      <c r="F371" s="1" t="s">
        <v>982</v>
      </c>
      <c r="G371" s="2">
        <f>+251937227650</f>
        <v>251937227650</v>
      </c>
      <c r="H371" s="1" t="s">
        <v>18</v>
      </c>
      <c r="I371" s="1" t="s">
        <v>19</v>
      </c>
      <c r="J371" s="1" t="s">
        <v>498</v>
      </c>
      <c r="K371" s="1" t="s">
        <v>25</v>
      </c>
      <c r="L371" s="1">
        <v>22.6</v>
      </c>
      <c r="M371" s="1" t="s">
        <v>21</v>
      </c>
      <c r="O371" s="1">
        <v>1.87820965089E11</v>
      </c>
    </row>
    <row r="372">
      <c r="A372" s="1">
        <v>1678865.0</v>
      </c>
      <c r="B372" s="1" t="s">
        <v>983</v>
      </c>
      <c r="C372" s="1" t="b">
        <v>1</v>
      </c>
      <c r="D372" s="1" t="b">
        <v>0</v>
      </c>
      <c r="E372" s="1" t="s">
        <v>984</v>
      </c>
      <c r="F372" s="1" t="s">
        <v>985</v>
      </c>
      <c r="G372" s="1">
        <v>2.51910804076E11</v>
      </c>
      <c r="H372" s="1" t="s">
        <v>18</v>
      </c>
      <c r="I372" s="1" t="s">
        <v>19</v>
      </c>
      <c r="J372" s="1" t="s">
        <v>19</v>
      </c>
      <c r="K372" s="1" t="s">
        <v>25</v>
      </c>
      <c r="L372" s="1">
        <v>22.63</v>
      </c>
      <c r="M372" s="1" t="s">
        <v>21</v>
      </c>
      <c r="O372" s="1">
        <v>2.1496290258E10</v>
      </c>
    </row>
    <row r="373">
      <c r="A373" s="1">
        <v>2770341.0</v>
      </c>
      <c r="B373" s="1" t="s">
        <v>986</v>
      </c>
      <c r="C373" s="1" t="b">
        <v>1</v>
      </c>
      <c r="D373" s="1" t="b">
        <v>0</v>
      </c>
      <c r="E373" s="1" t="s">
        <v>987</v>
      </c>
      <c r="F373" s="1" t="s">
        <v>988</v>
      </c>
      <c r="G373" s="2">
        <f>+251944303251</f>
        <v>251944303251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34.67</v>
      </c>
      <c r="M373" s="1" t="s">
        <v>21</v>
      </c>
      <c r="O373" s="1">
        <v>6027998.0</v>
      </c>
    </row>
    <row r="374">
      <c r="A374" s="1">
        <v>2401837.0</v>
      </c>
      <c r="B374" s="1" t="s">
        <v>989</v>
      </c>
      <c r="C374" s="1" t="b">
        <v>1</v>
      </c>
      <c r="D374" s="1" t="b">
        <v>1</v>
      </c>
      <c r="E374" s="1" t="s">
        <v>990</v>
      </c>
      <c r="F374" s="1" t="s">
        <v>991</v>
      </c>
      <c r="G374" s="2">
        <f>+251938345876</f>
        <v>251938345876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20.06</v>
      </c>
      <c r="M374" s="1" t="s">
        <v>21</v>
      </c>
    </row>
    <row r="375">
      <c r="A375" s="1">
        <v>2771219.0</v>
      </c>
      <c r="B375" s="1" t="s">
        <v>992</v>
      </c>
      <c r="C375" s="1" t="b">
        <v>1</v>
      </c>
      <c r="D375" s="1" t="b">
        <v>1</v>
      </c>
      <c r="E375" s="1" t="s">
        <v>993</v>
      </c>
      <c r="F375" s="1" t="s">
        <v>56</v>
      </c>
      <c r="G375" s="2">
        <f>+251251945751422</f>
        <v>251251945751422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19.01</v>
      </c>
      <c r="M375" s="1" t="s">
        <v>21</v>
      </c>
    </row>
    <row r="376">
      <c r="A376" s="1">
        <v>917495.0</v>
      </c>
      <c r="B376" s="1" t="s">
        <v>994</v>
      </c>
      <c r="C376" s="1" t="b">
        <v>1</v>
      </c>
      <c r="D376" s="1" t="b">
        <v>1</v>
      </c>
      <c r="E376" s="1" t="s">
        <v>995</v>
      </c>
      <c r="F376" s="1" t="s">
        <v>996</v>
      </c>
      <c r="G376" s="2">
        <f>+12519471261765</f>
        <v>12519471261765</v>
      </c>
      <c r="H376" s="1" t="s">
        <v>18</v>
      </c>
      <c r="I376" s="1" t="s">
        <v>19</v>
      </c>
      <c r="J376" s="1" t="s">
        <v>19</v>
      </c>
      <c r="K376" s="1" t="s">
        <v>25</v>
      </c>
      <c r="L376" s="1">
        <v>27.22</v>
      </c>
      <c r="M376" s="1" t="s">
        <v>21</v>
      </c>
      <c r="O376" s="1">
        <v>2.2254501E7</v>
      </c>
    </row>
    <row r="377">
      <c r="A377" s="1">
        <v>2772225.0</v>
      </c>
      <c r="B377" s="1" t="s">
        <v>997</v>
      </c>
      <c r="C377" s="1" t="b">
        <v>0</v>
      </c>
      <c r="D377" s="1" t="b">
        <v>1</v>
      </c>
      <c r="E377" s="1" t="s">
        <v>28</v>
      </c>
      <c r="F377" s="1" t="s">
        <v>998</v>
      </c>
      <c r="G377" s="2">
        <f>+251901113812</f>
        <v>251901113812</v>
      </c>
      <c r="H377" s="1" t="s">
        <v>80</v>
      </c>
      <c r="I377" s="1" t="s">
        <v>19</v>
      </c>
      <c r="J377" s="1" t="s">
        <v>19</v>
      </c>
      <c r="K377" s="1" t="s">
        <v>25</v>
      </c>
      <c r="L377" s="1">
        <v>20.85</v>
      </c>
      <c r="M377" s="1" t="s">
        <v>33</v>
      </c>
      <c r="N377" s="1" t="s">
        <v>65</v>
      </c>
      <c r="O377" s="1">
        <v>2.51518551267E11</v>
      </c>
    </row>
    <row r="378">
      <c r="A378" s="1">
        <v>244605.0</v>
      </c>
      <c r="B378" s="1" t="s">
        <v>999</v>
      </c>
      <c r="C378" s="1" t="b">
        <v>1</v>
      </c>
      <c r="D378" s="1" t="b">
        <v>1</v>
      </c>
      <c r="E378" s="1" t="s">
        <v>438</v>
      </c>
      <c r="F378" s="1" t="s">
        <v>1000</v>
      </c>
      <c r="G378" s="1">
        <v>9.68593917E8</v>
      </c>
      <c r="H378" s="1" t="s">
        <v>18</v>
      </c>
      <c r="I378" s="1" t="s">
        <v>19</v>
      </c>
      <c r="J378" s="1" t="s">
        <v>19</v>
      </c>
      <c r="K378" s="1" t="s">
        <v>25</v>
      </c>
      <c r="L378" s="1">
        <v>26.06</v>
      </c>
      <c r="M378" s="1" t="s">
        <v>33</v>
      </c>
      <c r="N378" s="1" t="s">
        <v>65</v>
      </c>
      <c r="O378" s="1">
        <v>2.3527388E7</v>
      </c>
    </row>
    <row r="379">
      <c r="A379" s="1">
        <v>2075721.0</v>
      </c>
      <c r="B379" s="1" t="s">
        <v>1001</v>
      </c>
      <c r="C379" s="1" t="b">
        <v>1</v>
      </c>
      <c r="D379" s="1" t="b">
        <v>1</v>
      </c>
      <c r="E379" s="1" t="s">
        <v>1002</v>
      </c>
      <c r="F379" s="1" t="s">
        <v>768</v>
      </c>
      <c r="G379" s="2">
        <f>+251988522584</f>
        <v>251988522584</v>
      </c>
      <c r="H379" s="1" t="s">
        <v>18</v>
      </c>
      <c r="I379" s="1" t="s">
        <v>19</v>
      </c>
      <c r="J379" s="1" t="s">
        <v>19</v>
      </c>
      <c r="K379" s="1" t="s">
        <v>20</v>
      </c>
      <c r="L379" s="1">
        <v>20.32</v>
      </c>
      <c r="M379" s="1" t="s">
        <v>21</v>
      </c>
      <c r="O379" s="1">
        <v>3.023003822E10</v>
      </c>
    </row>
    <row r="380">
      <c r="A380" s="1">
        <v>136648.0</v>
      </c>
      <c r="B380" s="1" t="s">
        <v>1003</v>
      </c>
      <c r="C380" s="1" t="b">
        <v>1</v>
      </c>
      <c r="D380" s="1" t="b">
        <v>1</v>
      </c>
      <c r="E380" s="1" t="s">
        <v>1004</v>
      </c>
      <c r="F380" s="1" t="s">
        <v>1005</v>
      </c>
      <c r="G380" s="2">
        <f>+251912860139</f>
        <v>251912860139</v>
      </c>
      <c r="H380" s="1" t="s">
        <v>72</v>
      </c>
      <c r="I380" s="1" t="s">
        <v>19</v>
      </c>
      <c r="J380" s="1" t="s">
        <v>19</v>
      </c>
      <c r="K380" s="1" t="s">
        <v>20</v>
      </c>
      <c r="L380" s="1">
        <v>25.49</v>
      </c>
      <c r="M380" s="1" t="s">
        <v>21</v>
      </c>
      <c r="O380" s="1">
        <v>25201.0</v>
      </c>
    </row>
    <row r="381">
      <c r="A381" s="1">
        <v>2773832.0</v>
      </c>
      <c r="B381" s="1" t="s">
        <v>1006</v>
      </c>
      <c r="C381" s="1" t="b">
        <v>1</v>
      </c>
      <c r="D381" s="1" t="b">
        <v>1</v>
      </c>
      <c r="E381" s="1" t="s">
        <v>1007</v>
      </c>
      <c r="F381" s="1" t="s">
        <v>1008</v>
      </c>
      <c r="G381" s="2">
        <f>+251901926313</f>
        <v>251901926313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27.34</v>
      </c>
      <c r="M381" s="1" t="s">
        <v>21</v>
      </c>
      <c r="O381" s="1">
        <v>2.52208654555E11</v>
      </c>
    </row>
    <row r="382">
      <c r="A382" s="1">
        <v>2773918.0</v>
      </c>
      <c r="B382" s="1" t="s">
        <v>1009</v>
      </c>
      <c r="C382" s="1" t="b">
        <v>1</v>
      </c>
      <c r="D382" s="1" t="b">
        <v>1</v>
      </c>
      <c r="E382" s="1" t="s">
        <v>1010</v>
      </c>
      <c r="F382" s="1" t="s">
        <v>1011</v>
      </c>
      <c r="G382" s="2">
        <f>+251987952670</f>
        <v>251987952670</v>
      </c>
      <c r="H382" s="1" t="s">
        <v>18</v>
      </c>
      <c r="I382" s="1" t="s">
        <v>19</v>
      </c>
      <c r="J382" s="1" t="s">
        <v>19</v>
      </c>
      <c r="K382" s="1" t="s">
        <v>25</v>
      </c>
      <c r="L382" s="1">
        <v>20.68</v>
      </c>
      <c r="M382" s="1" t="s">
        <v>21</v>
      </c>
      <c r="O382" s="1">
        <v>2.52384536824E11</v>
      </c>
    </row>
    <row r="383">
      <c r="A383" s="1">
        <v>2774090.0</v>
      </c>
      <c r="B383" s="1" t="s">
        <v>1012</v>
      </c>
      <c r="C383" s="1" t="b">
        <v>1</v>
      </c>
      <c r="D383" s="1" t="b">
        <v>1</v>
      </c>
      <c r="E383" s="1" t="s">
        <v>1013</v>
      </c>
      <c r="F383" s="1" t="s">
        <v>376</v>
      </c>
      <c r="G383" s="2">
        <f>+251941440286</f>
        <v>251941440286</v>
      </c>
      <c r="H383" s="1" t="s">
        <v>18</v>
      </c>
      <c r="I383" s="1" t="s">
        <v>19</v>
      </c>
      <c r="J383" s="1" t="s">
        <v>1014</v>
      </c>
      <c r="K383" s="1" t="s">
        <v>20</v>
      </c>
      <c r="L383" s="1">
        <v>20.27</v>
      </c>
      <c r="M383" s="1" t="s">
        <v>33</v>
      </c>
      <c r="N383" s="1" t="s">
        <v>118</v>
      </c>
      <c r="O383" s="1">
        <v>2.52402261221E11</v>
      </c>
    </row>
    <row r="384">
      <c r="A384" s="1">
        <v>2774482.0</v>
      </c>
      <c r="B384" s="1" t="s">
        <v>1015</v>
      </c>
      <c r="C384" s="1" t="b">
        <v>0</v>
      </c>
      <c r="D384" s="1" t="b">
        <v>1</v>
      </c>
      <c r="E384" s="1" t="s">
        <v>217</v>
      </c>
      <c r="F384" s="1" t="s">
        <v>1016</v>
      </c>
      <c r="G384" s="2">
        <f>+251931577111</f>
        <v>251931577111</v>
      </c>
      <c r="H384" s="1" t="s">
        <v>18</v>
      </c>
      <c r="I384" s="1" t="s">
        <v>19</v>
      </c>
      <c r="J384" s="1" t="s">
        <v>19</v>
      </c>
      <c r="K384" s="1" t="s">
        <v>25</v>
      </c>
      <c r="L384" s="1">
        <v>26.39</v>
      </c>
      <c r="M384" s="1" t="s">
        <v>26</v>
      </c>
      <c r="O384" s="1">
        <v>2.52505273578E11</v>
      </c>
    </row>
    <row r="385">
      <c r="A385" s="1">
        <v>2264152.0</v>
      </c>
      <c r="B385" s="1" t="s">
        <v>1017</v>
      </c>
      <c r="C385" s="1" t="b">
        <v>1</v>
      </c>
      <c r="D385" s="1" t="b">
        <v>0</v>
      </c>
      <c r="E385" s="1" t="s">
        <v>1018</v>
      </c>
      <c r="F385" s="1" t="s">
        <v>595</v>
      </c>
      <c r="G385" s="2">
        <f>+251954596095</f>
        <v>251954596095</v>
      </c>
      <c r="H385" s="1" t="s">
        <v>18</v>
      </c>
      <c r="I385" s="1" t="s">
        <v>19</v>
      </c>
      <c r="J385" s="1" t="s">
        <v>19</v>
      </c>
      <c r="K385" s="1" t="s">
        <v>20</v>
      </c>
      <c r="L385" s="1">
        <v>21.21</v>
      </c>
      <c r="M385" s="1" t="s">
        <v>21</v>
      </c>
      <c r="O385" s="1">
        <v>3.4747845821E10</v>
      </c>
    </row>
    <row r="386">
      <c r="A386" s="1">
        <v>2774611.0</v>
      </c>
      <c r="B386" s="1" t="s">
        <v>1019</v>
      </c>
      <c r="C386" s="1" t="b">
        <v>0</v>
      </c>
      <c r="D386" s="1" t="b">
        <v>1</v>
      </c>
      <c r="E386" s="1" t="s">
        <v>1020</v>
      </c>
      <c r="F386" s="1" t="s">
        <v>1021</v>
      </c>
      <c r="G386" s="2">
        <f>+251932220014</f>
        <v>251932220014</v>
      </c>
      <c r="H386" s="1" t="s">
        <v>18</v>
      </c>
      <c r="I386" s="1" t="s">
        <v>19</v>
      </c>
      <c r="J386" s="1" t="s">
        <v>19</v>
      </c>
      <c r="K386" s="1" t="s">
        <v>20</v>
      </c>
      <c r="L386" s="1">
        <v>20.91</v>
      </c>
      <c r="M386" s="1" t="s">
        <v>33</v>
      </c>
      <c r="N386" s="1" t="s">
        <v>76</v>
      </c>
      <c r="O386" s="1">
        <v>2.52543342839E11</v>
      </c>
    </row>
    <row r="387">
      <c r="A387" s="1">
        <v>2774733.0</v>
      </c>
      <c r="B387" s="1" t="s">
        <v>1022</v>
      </c>
      <c r="C387" s="1" t="b">
        <v>1</v>
      </c>
      <c r="D387" s="1" t="b">
        <v>1</v>
      </c>
      <c r="E387" s="1" t="s">
        <v>1023</v>
      </c>
      <c r="F387" s="1" t="s">
        <v>1024</v>
      </c>
      <c r="G387" s="2">
        <f>+251921875653</f>
        <v>251921875653</v>
      </c>
      <c r="H387" s="1" t="s">
        <v>18</v>
      </c>
      <c r="I387" s="1" t="s">
        <v>19</v>
      </c>
      <c r="J387" s="1" t="s">
        <v>19</v>
      </c>
      <c r="K387" s="1" t="s">
        <v>25</v>
      </c>
      <c r="L387" s="1">
        <v>20.15</v>
      </c>
      <c r="M387" s="1" t="s">
        <v>21</v>
      </c>
    </row>
    <row r="388">
      <c r="A388" s="1">
        <v>2058152.0</v>
      </c>
      <c r="B388" s="1" t="s">
        <v>1025</v>
      </c>
      <c r="C388" s="1" t="b">
        <v>1</v>
      </c>
      <c r="D388" s="1" t="b">
        <v>1</v>
      </c>
      <c r="E388" s="1" t="s">
        <v>1026</v>
      </c>
      <c r="F388" s="1" t="s">
        <v>741</v>
      </c>
      <c r="G388" s="2">
        <f>+251902759738</f>
        <v>251902759738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20.36</v>
      </c>
      <c r="M388" s="1" t="s">
        <v>21</v>
      </c>
      <c r="O388" s="1">
        <v>2.9783572699E10</v>
      </c>
    </row>
    <row r="389">
      <c r="A389" s="1">
        <v>2774964.0</v>
      </c>
      <c r="B389" s="1" t="s">
        <v>1027</v>
      </c>
      <c r="C389" s="1" t="b">
        <v>1</v>
      </c>
      <c r="D389" s="1" t="b">
        <v>1</v>
      </c>
      <c r="E389" s="1" t="s">
        <v>179</v>
      </c>
      <c r="F389" s="1" t="s">
        <v>1028</v>
      </c>
      <c r="G389" s="2">
        <f>+251986359687</f>
        <v>251986359687</v>
      </c>
      <c r="H389" s="1" t="s">
        <v>18</v>
      </c>
      <c r="I389" s="1" t="s">
        <v>19</v>
      </c>
      <c r="J389" s="1" t="s">
        <v>19</v>
      </c>
      <c r="K389" s="1" t="s">
        <v>20</v>
      </c>
      <c r="L389" s="1">
        <v>21.36</v>
      </c>
      <c r="M389" s="1" t="s">
        <v>21</v>
      </c>
      <c r="O389" s="1">
        <v>3.0873761723E10</v>
      </c>
    </row>
    <row r="390">
      <c r="A390" s="1">
        <v>2775292.0</v>
      </c>
      <c r="B390" s="1" t="s">
        <v>1029</v>
      </c>
      <c r="C390" s="1" t="b">
        <v>1</v>
      </c>
      <c r="D390" s="1" t="b">
        <v>1</v>
      </c>
      <c r="E390" s="1" t="s">
        <v>294</v>
      </c>
      <c r="F390" s="1" t="s">
        <v>1030</v>
      </c>
      <c r="G390" s="2">
        <f>+251993459234</f>
        <v>251993459234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22.64</v>
      </c>
      <c r="M390" s="1" t="s">
        <v>21</v>
      </c>
      <c r="O390" s="1">
        <v>2.52662122734E11</v>
      </c>
    </row>
    <row r="391">
      <c r="A391" s="1">
        <v>1537186.0</v>
      </c>
      <c r="B391" s="1" t="s">
        <v>1031</v>
      </c>
      <c r="C391" s="1" t="b">
        <v>1</v>
      </c>
      <c r="D391" s="1" t="b">
        <v>1</v>
      </c>
      <c r="E391" s="1" t="s">
        <v>1032</v>
      </c>
      <c r="F391" s="1" t="s">
        <v>1033</v>
      </c>
      <c r="G391" s="2">
        <f>+251912684646</f>
        <v>251912684646</v>
      </c>
      <c r="H391" s="1" t="s">
        <v>18</v>
      </c>
      <c r="I391" s="1" t="s">
        <v>19</v>
      </c>
      <c r="J391" s="1" t="s">
        <v>19</v>
      </c>
      <c r="K391" s="1" t="s">
        <v>20</v>
      </c>
      <c r="L391" s="1">
        <v>23.64</v>
      </c>
      <c r="M391" s="1" t="s">
        <v>33</v>
      </c>
      <c r="N391" s="1" t="s">
        <v>166</v>
      </c>
      <c r="O391" s="1">
        <v>1.787553327E10</v>
      </c>
    </row>
    <row r="392">
      <c r="A392" s="1">
        <v>2776523.0</v>
      </c>
      <c r="B392" s="1" t="s">
        <v>1034</v>
      </c>
      <c r="C392" s="1" t="b">
        <v>1</v>
      </c>
      <c r="D392" s="1" t="b">
        <v>1</v>
      </c>
      <c r="E392" s="1" t="s">
        <v>1035</v>
      </c>
      <c r="F392" s="1" t="s">
        <v>1036</v>
      </c>
      <c r="G392" s="2">
        <f>+251987078361</f>
        <v>251987078361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22.15</v>
      </c>
      <c r="M392" s="1" t="s">
        <v>21</v>
      </c>
      <c r="O392" s="1">
        <v>2.5355310817E11</v>
      </c>
    </row>
    <row r="393">
      <c r="A393" s="1">
        <v>2777404.0</v>
      </c>
      <c r="B393" s="1" t="s">
        <v>1037</v>
      </c>
      <c r="C393" s="1" t="b">
        <v>1</v>
      </c>
      <c r="D393" s="1" t="b">
        <v>1</v>
      </c>
      <c r="E393" s="1" t="s">
        <v>1038</v>
      </c>
      <c r="F393" s="1" t="s">
        <v>1039</v>
      </c>
      <c r="G393" s="2">
        <f>+251965170064</f>
        <v>251965170064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23.01</v>
      </c>
      <c r="M393" s="1" t="s">
        <v>21</v>
      </c>
    </row>
    <row r="394">
      <c r="A394" s="1">
        <v>2722832.0</v>
      </c>
      <c r="B394" s="1" t="s">
        <v>1040</v>
      </c>
      <c r="C394" s="1" t="b">
        <v>1</v>
      </c>
      <c r="D394" s="1" t="b">
        <v>1</v>
      </c>
      <c r="E394" s="1" t="s">
        <v>60</v>
      </c>
      <c r="F394" s="1" t="s">
        <v>360</v>
      </c>
      <c r="G394" s="2">
        <f>+251931697444</f>
        <v>251931697444</v>
      </c>
      <c r="H394" s="1" t="s">
        <v>18</v>
      </c>
      <c r="I394" s="1" t="s">
        <v>19</v>
      </c>
      <c r="J394" s="1" t="s">
        <v>19</v>
      </c>
      <c r="K394" s="1" t="s">
        <v>25</v>
      </c>
      <c r="L394" s="1">
        <v>24.27</v>
      </c>
      <c r="M394" s="1" t="s">
        <v>21</v>
      </c>
      <c r="O394" s="1">
        <v>2.35602727145E11</v>
      </c>
    </row>
    <row r="395">
      <c r="A395" s="1">
        <v>2779409.0</v>
      </c>
      <c r="B395" s="1" t="s">
        <v>1041</v>
      </c>
      <c r="C395" s="1" t="b">
        <v>1</v>
      </c>
      <c r="D395" s="1" t="b">
        <v>1</v>
      </c>
      <c r="E395" s="1" t="s">
        <v>1042</v>
      </c>
      <c r="F395" s="1" t="s">
        <v>1043</v>
      </c>
      <c r="G395" s="2">
        <f>+251900614016</f>
        <v>251900614016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21.69</v>
      </c>
      <c r="M395" s="1" t="s">
        <v>33</v>
      </c>
      <c r="N395" s="1" t="s">
        <v>76</v>
      </c>
    </row>
    <row r="396">
      <c r="A396" s="1">
        <v>2779703.0</v>
      </c>
      <c r="B396" s="1" t="s">
        <v>1044</v>
      </c>
      <c r="C396" s="1" t="b">
        <v>1</v>
      </c>
      <c r="D396" s="1" t="b">
        <v>1</v>
      </c>
      <c r="E396" s="1" t="s">
        <v>577</v>
      </c>
      <c r="F396" s="1" t="s">
        <v>1045</v>
      </c>
      <c r="G396" s="2">
        <f>+251712185238</f>
        <v>251712185238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19.66</v>
      </c>
      <c r="M396" s="1" t="s">
        <v>21</v>
      </c>
    </row>
    <row r="397">
      <c r="A397" s="1">
        <v>417252.0</v>
      </c>
      <c r="B397" s="1" t="s">
        <v>1046</v>
      </c>
      <c r="C397" s="1" t="b">
        <v>1</v>
      </c>
      <c r="D397" s="1" t="b">
        <v>1</v>
      </c>
      <c r="E397" s="1" t="s">
        <v>447</v>
      </c>
      <c r="F397" s="1" t="s">
        <v>361</v>
      </c>
      <c r="G397" s="2">
        <f>+251973312171</f>
        <v>251973312171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32.49</v>
      </c>
      <c r="M397" s="1" t="s">
        <v>33</v>
      </c>
      <c r="N397" s="1" t="s">
        <v>177</v>
      </c>
      <c r="O397" s="1">
        <v>3261799.0</v>
      </c>
    </row>
    <row r="398">
      <c r="A398" s="1">
        <v>2780408.0</v>
      </c>
      <c r="B398" s="1" t="s">
        <v>1047</v>
      </c>
      <c r="C398" s="1" t="b">
        <v>1</v>
      </c>
      <c r="D398" s="1" t="b">
        <v>1</v>
      </c>
      <c r="E398" s="1" t="s">
        <v>1048</v>
      </c>
      <c r="F398" s="1" t="s">
        <v>1049</v>
      </c>
      <c r="G398" s="2">
        <f>+251909540418</f>
        <v>251909540418</v>
      </c>
      <c r="H398" s="1" t="s">
        <v>18</v>
      </c>
      <c r="I398" s="1" t="s">
        <v>19</v>
      </c>
      <c r="J398" s="1" t="s">
        <v>19</v>
      </c>
      <c r="K398" s="1" t="s">
        <v>20</v>
      </c>
      <c r="L398" s="1">
        <v>20.87</v>
      </c>
      <c r="M398" s="1" t="s">
        <v>33</v>
      </c>
      <c r="N398" s="1" t="s">
        <v>34</v>
      </c>
    </row>
    <row r="399">
      <c r="A399" s="1">
        <v>2780684.0</v>
      </c>
      <c r="B399" s="1" t="s">
        <v>1050</v>
      </c>
      <c r="C399" s="1" t="b">
        <v>1</v>
      </c>
      <c r="D399" s="1" t="b">
        <v>1</v>
      </c>
      <c r="E399" s="1" t="s">
        <v>758</v>
      </c>
      <c r="F399" s="1" t="s">
        <v>595</v>
      </c>
      <c r="G399" s="2">
        <f>+251973110333</f>
        <v>251973110333</v>
      </c>
      <c r="H399" s="1" t="s">
        <v>18</v>
      </c>
      <c r="I399" s="1" t="s">
        <v>19</v>
      </c>
      <c r="J399" s="1" t="s">
        <v>19</v>
      </c>
      <c r="K399" s="1" t="s">
        <v>25</v>
      </c>
      <c r="L399" s="1">
        <v>20.08</v>
      </c>
      <c r="M399" s="1" t="s">
        <v>21</v>
      </c>
      <c r="O399" s="1">
        <v>2.54819184869E11</v>
      </c>
    </row>
    <row r="400">
      <c r="A400" s="1">
        <v>2551844.0</v>
      </c>
      <c r="B400" s="1" t="s">
        <v>1051</v>
      </c>
      <c r="C400" s="1" t="b">
        <v>1</v>
      </c>
      <c r="D400" s="1" t="b">
        <v>1</v>
      </c>
      <c r="E400" s="1" t="s">
        <v>1052</v>
      </c>
      <c r="F400" s="1" t="s">
        <v>141</v>
      </c>
      <c r="G400" s="2">
        <f>+251979450063</f>
        <v>251979450063</v>
      </c>
      <c r="H400" s="1" t="s">
        <v>18</v>
      </c>
      <c r="I400" s="1" t="s">
        <v>19</v>
      </c>
      <c r="J400" s="1" t="s">
        <v>19</v>
      </c>
      <c r="K400" s="1" t="s">
        <v>25</v>
      </c>
      <c r="L400" s="1">
        <v>25.72</v>
      </c>
      <c r="M400" s="1" t="s">
        <v>33</v>
      </c>
      <c r="N400" s="1" t="s">
        <v>65</v>
      </c>
      <c r="O400" s="1">
        <v>2.5105514E7</v>
      </c>
    </row>
    <row r="401">
      <c r="A401" s="1">
        <v>2781109.0</v>
      </c>
      <c r="B401" s="1" t="s">
        <v>1053</v>
      </c>
      <c r="C401" s="1" t="b">
        <v>1</v>
      </c>
      <c r="D401" s="1" t="b">
        <v>1</v>
      </c>
      <c r="E401" s="1" t="s">
        <v>1054</v>
      </c>
      <c r="F401" s="1" t="s">
        <v>141</v>
      </c>
      <c r="G401" s="2">
        <f>+251922266725</f>
        <v>251922266725</v>
      </c>
      <c r="H401" s="1" t="s">
        <v>18</v>
      </c>
      <c r="I401" s="1" t="s">
        <v>19</v>
      </c>
      <c r="J401" s="1" t="s">
        <v>19</v>
      </c>
      <c r="K401" s="1" t="s">
        <v>20</v>
      </c>
      <c r="L401" s="1">
        <v>20.78</v>
      </c>
      <c r="M401" s="1" t="s">
        <v>21</v>
      </c>
      <c r="O401" s="1">
        <v>2.54944896229E11</v>
      </c>
    </row>
    <row r="402">
      <c r="A402" s="1">
        <v>2782542.0</v>
      </c>
      <c r="B402" s="1" t="s">
        <v>1055</v>
      </c>
      <c r="C402" s="1" t="b">
        <v>0</v>
      </c>
      <c r="D402" s="1" t="b">
        <v>0</v>
      </c>
      <c r="E402" s="1" t="s">
        <v>28</v>
      </c>
      <c r="F402" s="1" t="s">
        <v>1056</v>
      </c>
      <c r="G402" s="2">
        <f>+251925416738</f>
        <v>251925416738</v>
      </c>
      <c r="H402" s="1" t="s">
        <v>18</v>
      </c>
      <c r="I402" s="1" t="s">
        <v>19</v>
      </c>
      <c r="J402" s="1" t="s">
        <v>19</v>
      </c>
      <c r="K402" s="1" t="s">
        <v>25</v>
      </c>
      <c r="L402" s="1">
        <v>29.43</v>
      </c>
      <c r="M402" s="1" t="s">
        <v>33</v>
      </c>
      <c r="N402" s="1" t="s">
        <v>76</v>
      </c>
      <c r="O402" s="1">
        <v>2.55408714961E11</v>
      </c>
    </row>
    <row r="403">
      <c r="A403" s="1">
        <v>257534.0</v>
      </c>
      <c r="B403" s="1" t="s">
        <v>1057</v>
      </c>
      <c r="C403" s="1" t="b">
        <v>1</v>
      </c>
      <c r="D403" s="1" t="b">
        <v>1</v>
      </c>
      <c r="E403" s="1" t="s">
        <v>1058</v>
      </c>
      <c r="F403" s="1" t="s">
        <v>1059</v>
      </c>
      <c r="G403" s="1">
        <v>9.96913437E8</v>
      </c>
      <c r="H403" s="1" t="s">
        <v>58</v>
      </c>
      <c r="I403" s="1" t="s">
        <v>19</v>
      </c>
      <c r="J403" s="1" t="s">
        <v>19</v>
      </c>
      <c r="K403" s="1" t="s">
        <v>25</v>
      </c>
      <c r="L403" s="1">
        <v>29.13</v>
      </c>
      <c r="M403" s="1" t="s">
        <v>21</v>
      </c>
      <c r="O403" s="1">
        <v>2.4697765E7</v>
      </c>
    </row>
    <row r="404">
      <c r="A404" s="1">
        <v>2724664.0</v>
      </c>
      <c r="B404" s="1" t="s">
        <v>1060</v>
      </c>
      <c r="C404" s="1" t="b">
        <v>1</v>
      </c>
      <c r="D404" s="1" t="b">
        <v>1</v>
      </c>
      <c r="E404" s="1" t="s">
        <v>1061</v>
      </c>
      <c r="F404" s="1" t="s">
        <v>1062</v>
      </c>
      <c r="G404" s="2">
        <f>+251918072093</f>
        <v>251918072093</v>
      </c>
      <c r="H404" s="1" t="s">
        <v>18</v>
      </c>
      <c r="I404" s="1" t="s">
        <v>19</v>
      </c>
      <c r="J404" s="1" t="s">
        <v>19</v>
      </c>
      <c r="K404" s="1" t="s">
        <v>25</v>
      </c>
      <c r="L404" s="1">
        <v>23.22</v>
      </c>
      <c r="M404" s="1" t="s">
        <v>21</v>
      </c>
      <c r="O404" s="1">
        <v>2.36129047793E11</v>
      </c>
    </row>
    <row r="405">
      <c r="A405" s="1">
        <v>2783457.0</v>
      </c>
      <c r="B405" s="1" t="s">
        <v>1063</v>
      </c>
      <c r="C405" s="1" t="b">
        <v>0</v>
      </c>
      <c r="D405" s="1" t="b">
        <v>1</v>
      </c>
      <c r="E405" s="1" t="s">
        <v>154</v>
      </c>
      <c r="F405" s="1" t="s">
        <v>1064</v>
      </c>
      <c r="G405" s="2">
        <f>+251907340078</f>
        <v>251907340078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22.16</v>
      </c>
      <c r="M405" s="1" t="s">
        <v>33</v>
      </c>
      <c r="N405" s="1" t="s">
        <v>177</v>
      </c>
      <c r="O405" s="1">
        <v>8836842.0</v>
      </c>
    </row>
    <row r="406">
      <c r="A406" s="1">
        <v>2783476.0</v>
      </c>
      <c r="B406" s="1" t="s">
        <v>1065</v>
      </c>
      <c r="C406" s="1" t="b">
        <v>1</v>
      </c>
      <c r="D406" s="1" t="b">
        <v>1</v>
      </c>
      <c r="E406" s="1" t="s">
        <v>1066</v>
      </c>
      <c r="F406" s="1" t="s">
        <v>741</v>
      </c>
      <c r="G406" s="2">
        <f>+251974978807</f>
        <v>251974978807</v>
      </c>
      <c r="H406" s="1" t="s">
        <v>18</v>
      </c>
      <c r="I406" s="1" t="s">
        <v>19</v>
      </c>
      <c r="J406" s="1" t="s">
        <v>19</v>
      </c>
      <c r="K406" s="1" t="s">
        <v>20</v>
      </c>
      <c r="L406" s="1">
        <v>19.96</v>
      </c>
      <c r="M406" s="1" t="s">
        <v>21</v>
      </c>
    </row>
    <row r="407">
      <c r="A407" s="1">
        <v>2783859.0</v>
      </c>
      <c r="B407" s="1" t="s">
        <v>1067</v>
      </c>
      <c r="C407" s="1" t="b">
        <v>1</v>
      </c>
      <c r="D407" s="1" t="b">
        <v>1</v>
      </c>
      <c r="E407" s="1" t="s">
        <v>1068</v>
      </c>
      <c r="F407" s="1" t="s">
        <v>1069</v>
      </c>
      <c r="G407" s="2">
        <f>+251989992409</f>
        <v>251989992409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20.3</v>
      </c>
      <c r="M407" s="1" t="s">
        <v>33</v>
      </c>
      <c r="N407" s="1" t="s">
        <v>235</v>
      </c>
    </row>
    <row r="408">
      <c r="A408" s="1">
        <v>2783894.0</v>
      </c>
      <c r="B408" s="1" t="s">
        <v>1070</v>
      </c>
      <c r="C408" s="1" t="b">
        <v>1</v>
      </c>
      <c r="D408" s="1" t="b">
        <v>1</v>
      </c>
      <c r="E408" s="1" t="s">
        <v>458</v>
      </c>
      <c r="F408" s="1" t="s">
        <v>181</v>
      </c>
      <c r="G408" s="2">
        <f>+251911773613</f>
        <v>251911773613</v>
      </c>
      <c r="H408" s="1" t="s">
        <v>392</v>
      </c>
      <c r="I408" s="1" t="s">
        <v>19</v>
      </c>
      <c r="J408" s="1" t="s">
        <v>19</v>
      </c>
      <c r="K408" s="1" t="s">
        <v>25</v>
      </c>
      <c r="L408" s="1">
        <v>31.83</v>
      </c>
      <c r="M408" s="1" t="s">
        <v>21</v>
      </c>
      <c r="O408" s="1">
        <v>2.3521582E7</v>
      </c>
    </row>
    <row r="409">
      <c r="A409" s="1">
        <v>2783937.0</v>
      </c>
      <c r="B409" s="1" t="s">
        <v>1071</v>
      </c>
      <c r="C409" s="1" t="b">
        <v>1</v>
      </c>
      <c r="D409" s="1" t="b">
        <v>1</v>
      </c>
      <c r="E409" s="1" t="s">
        <v>1072</v>
      </c>
      <c r="F409" s="1" t="s">
        <v>812</v>
      </c>
      <c r="G409" s="2">
        <f>+251986136990</f>
        <v>251986136990</v>
      </c>
      <c r="H409" s="1" t="s">
        <v>18</v>
      </c>
      <c r="I409" s="1" t="s">
        <v>19</v>
      </c>
      <c r="J409" s="1" t="s">
        <v>19</v>
      </c>
      <c r="K409" s="1" t="s">
        <v>25</v>
      </c>
      <c r="L409" s="1">
        <v>29.13</v>
      </c>
      <c r="M409" s="1" t="s">
        <v>21</v>
      </c>
      <c r="O409" s="1">
        <v>2.55755668725E11</v>
      </c>
    </row>
    <row r="410">
      <c r="A410" s="1">
        <v>1649857.0</v>
      </c>
      <c r="B410" s="1" t="s">
        <v>1073</v>
      </c>
      <c r="C410" s="1" t="b">
        <v>1</v>
      </c>
      <c r="D410" s="1" t="b">
        <v>1</v>
      </c>
      <c r="E410" s="1" t="s">
        <v>458</v>
      </c>
      <c r="F410" s="1" t="s">
        <v>1074</v>
      </c>
      <c r="G410" s="2">
        <f>+251900643679</f>
        <v>251900643679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23.24</v>
      </c>
      <c r="M410" s="1" t="s">
        <v>21</v>
      </c>
      <c r="O410" s="1">
        <v>2.0806278619E10</v>
      </c>
    </row>
    <row r="411">
      <c r="A411" s="1">
        <v>2784471.0</v>
      </c>
      <c r="B411" s="1" t="s">
        <v>1075</v>
      </c>
      <c r="C411" s="1" t="b">
        <v>1</v>
      </c>
      <c r="D411" s="1" t="b">
        <v>1</v>
      </c>
      <c r="E411" s="1" t="s">
        <v>1076</v>
      </c>
      <c r="F411" s="1" t="s">
        <v>1077</v>
      </c>
      <c r="G411" s="2">
        <f>+251956728619</f>
        <v>251956728619</v>
      </c>
      <c r="H411" s="1" t="s">
        <v>72</v>
      </c>
      <c r="I411" s="1" t="s">
        <v>19</v>
      </c>
      <c r="J411" s="1" t="s">
        <v>19</v>
      </c>
      <c r="K411" s="1" t="s">
        <v>25</v>
      </c>
      <c r="L411" s="1">
        <v>20.58</v>
      </c>
      <c r="M411" s="1" t="s">
        <v>33</v>
      </c>
      <c r="N411" s="1" t="s">
        <v>118</v>
      </c>
    </row>
    <row r="412">
      <c r="A412" s="1">
        <v>2784555.0</v>
      </c>
      <c r="B412" s="1" t="s">
        <v>1078</v>
      </c>
      <c r="C412" s="1" t="b">
        <v>1</v>
      </c>
      <c r="D412" s="1" t="b">
        <v>1</v>
      </c>
      <c r="E412" s="1" t="s">
        <v>384</v>
      </c>
      <c r="F412" s="1" t="s">
        <v>1079</v>
      </c>
      <c r="G412" s="2">
        <f>+251941230136</f>
        <v>251941230136</v>
      </c>
      <c r="H412" s="1" t="s">
        <v>18</v>
      </c>
      <c r="I412" s="1" t="s">
        <v>19</v>
      </c>
      <c r="J412" s="1" t="s">
        <v>19</v>
      </c>
      <c r="K412" s="1" t="s">
        <v>20</v>
      </c>
      <c r="L412" s="1">
        <v>21.65</v>
      </c>
      <c r="M412" s="1" t="s">
        <v>21</v>
      </c>
      <c r="O412" s="1">
        <v>2.54600303831E11</v>
      </c>
    </row>
    <row r="413">
      <c r="A413" s="1">
        <v>1445603.0</v>
      </c>
      <c r="B413" s="1" t="s">
        <v>1080</v>
      </c>
      <c r="C413" s="1" t="b">
        <v>1</v>
      </c>
      <c r="D413" s="1" t="b">
        <v>1</v>
      </c>
      <c r="E413" s="1" t="s">
        <v>294</v>
      </c>
      <c r="F413" s="1" t="s">
        <v>1081</v>
      </c>
      <c r="G413" s="2">
        <f>+251913566234</f>
        <v>251913566234</v>
      </c>
      <c r="H413" s="1" t="s">
        <v>18</v>
      </c>
      <c r="I413" s="1" t="s">
        <v>19</v>
      </c>
      <c r="J413" s="1" t="s">
        <v>19</v>
      </c>
      <c r="K413" s="1" t="s">
        <v>25</v>
      </c>
      <c r="L413" s="1">
        <v>21.79</v>
      </c>
      <c r="M413" s="1" t="s">
        <v>21</v>
      </c>
      <c r="O413" s="1">
        <v>8778178.0</v>
      </c>
    </row>
    <row r="414">
      <c r="A414" s="1">
        <v>723342.0</v>
      </c>
      <c r="B414" s="1" t="s">
        <v>1082</v>
      </c>
      <c r="C414" s="1" t="b">
        <v>1</v>
      </c>
      <c r="D414" s="1" t="b">
        <v>1</v>
      </c>
      <c r="E414" s="1" t="s">
        <v>1083</v>
      </c>
      <c r="F414" s="1" t="s">
        <v>1084</v>
      </c>
      <c r="G414" s="1">
        <v>9.5153392E8</v>
      </c>
      <c r="H414" s="1" t="s">
        <v>18</v>
      </c>
      <c r="I414" s="1" t="s">
        <v>19</v>
      </c>
      <c r="J414" s="1" t="s">
        <v>19</v>
      </c>
      <c r="K414" s="1" t="s">
        <v>20</v>
      </c>
      <c r="L414" s="1">
        <v>20.92</v>
      </c>
      <c r="M414" s="1" t="s">
        <v>33</v>
      </c>
      <c r="N414" s="1" t="s">
        <v>177</v>
      </c>
      <c r="O414" s="1">
        <v>2.9577988E7</v>
      </c>
    </row>
    <row r="415">
      <c r="A415" s="1">
        <v>2737542.0</v>
      </c>
      <c r="B415" s="1" t="s">
        <v>1085</v>
      </c>
      <c r="C415" s="1" t="b">
        <v>1</v>
      </c>
      <c r="D415" s="1" t="b">
        <v>1</v>
      </c>
      <c r="E415" s="1" t="s">
        <v>1086</v>
      </c>
      <c r="F415" s="1" t="s">
        <v>149</v>
      </c>
      <c r="G415" s="2">
        <f>+251904801305</f>
        <v>251904801305</v>
      </c>
      <c r="H415" s="1" t="s">
        <v>18</v>
      </c>
      <c r="I415" s="1" t="s">
        <v>19</v>
      </c>
      <c r="J415" s="1" t="s">
        <v>19</v>
      </c>
      <c r="K415" s="1" t="s">
        <v>20</v>
      </c>
      <c r="L415" s="1">
        <v>23.92</v>
      </c>
      <c r="M415" s="1" t="s">
        <v>21</v>
      </c>
      <c r="O415" s="1">
        <v>8747608.0</v>
      </c>
    </row>
    <row r="416">
      <c r="A416" s="1">
        <v>2786127.0</v>
      </c>
      <c r="B416" s="1" t="s">
        <v>1087</v>
      </c>
      <c r="C416" s="1" t="b">
        <v>1</v>
      </c>
      <c r="D416" s="1" t="b">
        <v>1</v>
      </c>
      <c r="E416" s="1" t="s">
        <v>1088</v>
      </c>
      <c r="F416" s="1" t="s">
        <v>1069</v>
      </c>
      <c r="G416" s="2">
        <f>+251934425259</f>
        <v>251934425259</v>
      </c>
      <c r="H416" s="1" t="s">
        <v>18</v>
      </c>
      <c r="I416" s="1" t="s">
        <v>19</v>
      </c>
      <c r="J416" s="1" t="s">
        <v>19</v>
      </c>
      <c r="K416" s="1" t="s">
        <v>20</v>
      </c>
      <c r="L416" s="1">
        <v>20.44</v>
      </c>
      <c r="M416" s="1" t="s">
        <v>21</v>
      </c>
      <c r="O416" s="1">
        <v>2.56232974551E11</v>
      </c>
    </row>
    <row r="417">
      <c r="A417" s="1">
        <v>2689212.0</v>
      </c>
      <c r="B417" s="1" t="s">
        <v>1089</v>
      </c>
      <c r="C417" s="1" t="b">
        <v>1</v>
      </c>
      <c r="D417" s="1" t="b">
        <v>1</v>
      </c>
      <c r="E417" s="1" t="s">
        <v>264</v>
      </c>
      <c r="F417" s="1" t="s">
        <v>1090</v>
      </c>
      <c r="G417" s="2">
        <f>+251973053816</f>
        <v>251973053816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19.49</v>
      </c>
      <c r="M417" s="1" t="s">
        <v>21</v>
      </c>
      <c r="O417" s="1">
        <v>2.23584813256E11</v>
      </c>
    </row>
    <row r="418">
      <c r="A418" s="1">
        <v>2663379.0</v>
      </c>
      <c r="B418" s="1" t="s">
        <v>1091</v>
      </c>
      <c r="C418" s="1" t="b">
        <v>1</v>
      </c>
      <c r="D418" s="1" t="b">
        <v>1</v>
      </c>
      <c r="E418" s="1" t="s">
        <v>367</v>
      </c>
      <c r="F418" s="1" t="s">
        <v>1092</v>
      </c>
      <c r="G418" s="2">
        <f>+251931565926</f>
        <v>251931565926</v>
      </c>
      <c r="H418" s="1" t="s">
        <v>18</v>
      </c>
      <c r="I418" s="1" t="s">
        <v>19</v>
      </c>
      <c r="J418" s="1" t="s">
        <v>19</v>
      </c>
      <c r="K418" s="1" t="s">
        <v>20</v>
      </c>
      <c r="L418" s="1">
        <v>41.19</v>
      </c>
      <c r="M418" s="1" t="s">
        <v>21</v>
      </c>
      <c r="O418" s="1">
        <v>2.13915417818E11</v>
      </c>
    </row>
    <row r="419">
      <c r="A419" s="1">
        <v>2789109.0</v>
      </c>
      <c r="B419" s="1" t="s">
        <v>1093</v>
      </c>
      <c r="C419" s="1" t="b">
        <v>1</v>
      </c>
      <c r="D419" s="1" t="b">
        <v>1</v>
      </c>
      <c r="E419" s="1" t="s">
        <v>1094</v>
      </c>
      <c r="F419" s="1" t="s">
        <v>149</v>
      </c>
      <c r="G419" s="2">
        <f>+251968729313</f>
        <v>251968729313</v>
      </c>
      <c r="H419" s="1" t="s">
        <v>18</v>
      </c>
      <c r="I419" s="1" t="s">
        <v>19</v>
      </c>
      <c r="J419" s="1" t="s">
        <v>19</v>
      </c>
      <c r="K419" s="1" t="s">
        <v>25</v>
      </c>
      <c r="L419" s="1">
        <v>24.24</v>
      </c>
      <c r="M419" s="1" t="s">
        <v>21</v>
      </c>
      <c r="O419" s="1">
        <v>1.5712151E7</v>
      </c>
    </row>
    <row r="420">
      <c r="A420" s="1">
        <v>2791800.0</v>
      </c>
      <c r="B420" s="1" t="s">
        <v>1095</v>
      </c>
      <c r="C420" s="1" t="b">
        <v>1</v>
      </c>
      <c r="D420" s="1" t="b">
        <v>1</v>
      </c>
      <c r="E420" s="1" t="s">
        <v>1068</v>
      </c>
      <c r="F420" s="1" t="s">
        <v>1096</v>
      </c>
      <c r="G420" s="2">
        <f>+251956548443</f>
        <v>251956548443</v>
      </c>
      <c r="H420" s="1" t="s">
        <v>18</v>
      </c>
      <c r="I420" s="1" t="s">
        <v>19</v>
      </c>
      <c r="J420" s="1" t="s">
        <v>19</v>
      </c>
      <c r="K420" s="1" t="s">
        <v>25</v>
      </c>
      <c r="L420" s="1">
        <v>19.78</v>
      </c>
      <c r="M420" s="1" t="s">
        <v>21</v>
      </c>
      <c r="O420" s="1">
        <v>2.5759848672E11</v>
      </c>
    </row>
    <row r="421">
      <c r="A421" s="1">
        <v>2791883.0</v>
      </c>
      <c r="B421" s="1" t="s">
        <v>1097</v>
      </c>
      <c r="C421" s="1" t="b">
        <v>1</v>
      </c>
      <c r="D421" s="1" t="b">
        <v>1</v>
      </c>
      <c r="E421" s="1" t="s">
        <v>1098</v>
      </c>
      <c r="F421" s="1" t="s">
        <v>625</v>
      </c>
      <c r="G421" s="2">
        <f>+251907315145</f>
        <v>251907315145</v>
      </c>
      <c r="H421" s="1" t="s">
        <v>18</v>
      </c>
      <c r="I421" s="1" t="s">
        <v>19</v>
      </c>
      <c r="J421" s="1" t="s">
        <v>19</v>
      </c>
      <c r="K421" s="1" t="s">
        <v>25</v>
      </c>
      <c r="L421" s="1">
        <v>19.45</v>
      </c>
      <c r="M421" s="1" t="s">
        <v>21</v>
      </c>
      <c r="O421" s="1">
        <v>2.57712923846E11</v>
      </c>
    </row>
    <row r="422">
      <c r="A422" s="1">
        <v>2586964.0</v>
      </c>
      <c r="B422" s="1" t="s">
        <v>1099</v>
      </c>
      <c r="C422" s="1" t="b">
        <v>1</v>
      </c>
      <c r="D422" s="1" t="b">
        <v>1</v>
      </c>
      <c r="E422" s="1" t="s">
        <v>1100</v>
      </c>
      <c r="F422" s="1" t="s">
        <v>1101</v>
      </c>
      <c r="G422" s="2">
        <f>+251973997714</f>
        <v>251973997714</v>
      </c>
      <c r="H422" s="1" t="s">
        <v>18</v>
      </c>
      <c r="I422" s="1" t="s">
        <v>19</v>
      </c>
      <c r="J422" s="1" t="s">
        <v>19</v>
      </c>
      <c r="K422" s="1" t="s">
        <v>20</v>
      </c>
      <c r="L422" s="1">
        <v>23.15</v>
      </c>
      <c r="M422" s="1" t="s">
        <v>21</v>
      </c>
      <c r="O422" s="1">
        <v>5690452.0</v>
      </c>
    </row>
    <row r="423">
      <c r="A423" s="1">
        <v>2792614.0</v>
      </c>
      <c r="B423" s="1" t="s">
        <v>1102</v>
      </c>
      <c r="C423" s="1" t="b">
        <v>1</v>
      </c>
      <c r="D423" s="1" t="b">
        <v>1</v>
      </c>
      <c r="E423" s="1" t="s">
        <v>1018</v>
      </c>
      <c r="F423" s="1" t="s">
        <v>1103</v>
      </c>
      <c r="G423" s="1">
        <v>9.85325046E8</v>
      </c>
      <c r="H423" s="1" t="s">
        <v>18</v>
      </c>
      <c r="I423" s="1" t="s">
        <v>19</v>
      </c>
      <c r="J423" s="1" t="s">
        <v>19</v>
      </c>
      <c r="K423" s="1" t="s">
        <v>20</v>
      </c>
      <c r="L423" s="1">
        <v>26.07</v>
      </c>
      <c r="M423" s="1" t="s">
        <v>33</v>
      </c>
      <c r="N423" s="1" t="s">
        <v>76</v>
      </c>
      <c r="O423" s="1">
        <v>4.6394898374E10</v>
      </c>
    </row>
    <row r="424">
      <c r="A424" s="1">
        <v>2792814.0</v>
      </c>
      <c r="B424" s="1" t="s">
        <v>1104</v>
      </c>
      <c r="C424" s="1" t="b">
        <v>1</v>
      </c>
      <c r="D424" s="1" t="b">
        <v>1</v>
      </c>
      <c r="E424" s="1" t="s">
        <v>1105</v>
      </c>
      <c r="F424" s="1" t="s">
        <v>313</v>
      </c>
      <c r="G424" s="2">
        <f>+251965791704</f>
        <v>251965791704</v>
      </c>
      <c r="H424" s="1" t="s">
        <v>488</v>
      </c>
      <c r="I424" s="1" t="s">
        <v>19</v>
      </c>
      <c r="J424" s="1" t="s">
        <v>19</v>
      </c>
      <c r="K424" s="1" t="s">
        <v>20</v>
      </c>
      <c r="L424" s="1">
        <v>21.03</v>
      </c>
      <c r="M424" s="1" t="s">
        <v>21</v>
      </c>
      <c r="O424" s="1">
        <v>2.5793032829E11</v>
      </c>
    </row>
    <row r="425">
      <c r="A425" s="1">
        <v>496321.0</v>
      </c>
      <c r="B425" s="1" t="s">
        <v>1106</v>
      </c>
      <c r="C425" s="1" t="b">
        <v>1</v>
      </c>
      <c r="D425" s="1" t="b">
        <v>1</v>
      </c>
      <c r="E425" s="1" t="s">
        <v>424</v>
      </c>
      <c r="F425" s="1" t="s">
        <v>1107</v>
      </c>
      <c r="G425" s="2">
        <f>+251910420021</f>
        <v>251910420021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33.4</v>
      </c>
      <c r="M425" s="1" t="s">
        <v>21</v>
      </c>
      <c r="O425" s="1">
        <v>750754.0</v>
      </c>
    </row>
    <row r="426">
      <c r="A426" s="1">
        <v>2795218.0</v>
      </c>
      <c r="B426" s="1" t="s">
        <v>1108</v>
      </c>
      <c r="C426" s="1" t="b">
        <v>1</v>
      </c>
      <c r="D426" s="1" t="b">
        <v>1</v>
      </c>
      <c r="E426" s="1" t="s">
        <v>1109</v>
      </c>
      <c r="F426" s="1" t="s">
        <v>1110</v>
      </c>
      <c r="G426" s="2">
        <f>+251911288937</f>
        <v>251911288937</v>
      </c>
      <c r="H426" s="1" t="s">
        <v>18</v>
      </c>
      <c r="I426" s="1" t="s">
        <v>19</v>
      </c>
      <c r="J426" s="1" t="s">
        <v>19</v>
      </c>
      <c r="K426" s="1" t="s">
        <v>25</v>
      </c>
      <c r="L426" s="1">
        <v>33.49</v>
      </c>
      <c r="M426" s="1" t="s">
        <v>33</v>
      </c>
      <c r="N426" s="1" t="s">
        <v>65</v>
      </c>
      <c r="O426" s="1">
        <v>3261794.0</v>
      </c>
    </row>
    <row r="427">
      <c r="A427" s="1">
        <v>2795266.0</v>
      </c>
      <c r="B427" s="1" t="s">
        <v>1111</v>
      </c>
      <c r="C427" s="1" t="b">
        <v>1</v>
      </c>
      <c r="D427" s="1" t="b">
        <v>0</v>
      </c>
      <c r="E427" s="1" t="s">
        <v>517</v>
      </c>
      <c r="F427" s="1" t="s">
        <v>1112</v>
      </c>
      <c r="G427" s="2">
        <f>+251945020129</f>
        <v>251945020129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24.2</v>
      </c>
      <c r="M427" s="1" t="s">
        <v>21</v>
      </c>
      <c r="O427" s="1">
        <v>926615.0</v>
      </c>
    </row>
    <row r="428">
      <c r="A428" s="1">
        <v>1692770.0</v>
      </c>
      <c r="B428" s="1" t="s">
        <v>1113</v>
      </c>
      <c r="C428" s="1" t="b">
        <v>1</v>
      </c>
      <c r="D428" s="1" t="b">
        <v>1</v>
      </c>
      <c r="E428" s="1" t="s">
        <v>141</v>
      </c>
      <c r="F428" s="1" t="s">
        <v>1114</v>
      </c>
      <c r="G428" s="2">
        <f>+251932282275</f>
        <v>251932282275</v>
      </c>
      <c r="H428" s="1" t="s">
        <v>18</v>
      </c>
      <c r="I428" s="1" t="s">
        <v>19</v>
      </c>
      <c r="J428" s="1" t="s">
        <v>19</v>
      </c>
      <c r="K428" s="1" t="s">
        <v>25</v>
      </c>
      <c r="L428" s="1">
        <v>26.16</v>
      </c>
      <c r="M428" s="1" t="s">
        <v>21</v>
      </c>
      <c r="O428" s="1">
        <v>1594688.0</v>
      </c>
    </row>
    <row r="429">
      <c r="A429" s="1">
        <v>2461002.0</v>
      </c>
      <c r="B429" s="1" t="s">
        <v>1115</v>
      </c>
      <c r="C429" s="1" t="b">
        <v>1</v>
      </c>
      <c r="D429" s="1" t="b">
        <v>1</v>
      </c>
      <c r="E429" s="1" t="s">
        <v>500</v>
      </c>
      <c r="F429" s="1" t="s">
        <v>1116</v>
      </c>
      <c r="G429" s="2">
        <f>+251996797774</f>
        <v>251996797774</v>
      </c>
      <c r="H429" s="1" t="s">
        <v>80</v>
      </c>
      <c r="I429" s="1" t="s">
        <v>19</v>
      </c>
      <c r="J429" s="1" t="s">
        <v>19</v>
      </c>
      <c r="K429" s="1" t="s">
        <v>25</v>
      </c>
      <c r="L429" s="1">
        <v>21.43</v>
      </c>
      <c r="M429" s="1" t="s">
        <v>21</v>
      </c>
    </row>
    <row r="430">
      <c r="A430" s="1">
        <v>645058.0</v>
      </c>
      <c r="B430" s="1" t="s">
        <v>1117</v>
      </c>
      <c r="C430" s="1" t="b">
        <v>1</v>
      </c>
      <c r="D430" s="1" t="b">
        <v>1</v>
      </c>
      <c r="E430" s="1" t="s">
        <v>1118</v>
      </c>
      <c r="F430" s="1" t="s">
        <v>715</v>
      </c>
      <c r="G430" s="2">
        <f>+251947126176</f>
        <v>251947126176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27.22</v>
      </c>
      <c r="M430" s="1" t="s">
        <v>21</v>
      </c>
      <c r="O430" s="1">
        <v>2.9170644E7</v>
      </c>
    </row>
    <row r="431">
      <c r="A431" s="1">
        <v>246218.0</v>
      </c>
      <c r="B431" s="1" t="s">
        <v>1119</v>
      </c>
      <c r="C431" s="1" t="b">
        <v>1</v>
      </c>
      <c r="D431" s="1" t="b">
        <v>0</v>
      </c>
      <c r="E431" s="1" t="s">
        <v>1120</v>
      </c>
      <c r="F431" s="1" t="s">
        <v>39</v>
      </c>
      <c r="G431" s="2">
        <f>+251967467842</f>
        <v>251967467842</v>
      </c>
      <c r="H431" s="1" t="s">
        <v>18</v>
      </c>
      <c r="I431" s="1" t="s">
        <v>19</v>
      </c>
      <c r="J431" s="1" t="s">
        <v>19</v>
      </c>
      <c r="K431" s="1" t="s">
        <v>25</v>
      </c>
      <c r="L431" s="1">
        <v>23.17</v>
      </c>
      <c r="M431" s="1" t="s">
        <v>21</v>
      </c>
      <c r="O431" s="1">
        <v>8904001.0</v>
      </c>
    </row>
    <row r="432">
      <c r="A432" s="1">
        <v>2780479.0</v>
      </c>
      <c r="B432" s="1" t="s">
        <v>1121</v>
      </c>
      <c r="C432" s="1" t="b">
        <v>1</v>
      </c>
      <c r="D432" s="1" t="b">
        <v>1</v>
      </c>
      <c r="E432" s="1" t="s">
        <v>1122</v>
      </c>
      <c r="F432" s="1" t="s">
        <v>328</v>
      </c>
      <c r="G432" s="2">
        <f>+251921188140</f>
        <v>251921188140</v>
      </c>
      <c r="H432" s="1" t="s">
        <v>72</v>
      </c>
      <c r="I432" s="1" t="s">
        <v>19</v>
      </c>
      <c r="J432" s="1" t="s">
        <v>19</v>
      </c>
      <c r="K432" s="1" t="s">
        <v>25</v>
      </c>
      <c r="L432" s="1">
        <v>23.04</v>
      </c>
      <c r="M432" s="1" t="s">
        <v>33</v>
      </c>
      <c r="N432" s="1" t="s">
        <v>76</v>
      </c>
      <c r="O432" s="1">
        <v>2.54813190376E11</v>
      </c>
    </row>
    <row r="433">
      <c r="A433" s="1">
        <v>2798159.0</v>
      </c>
      <c r="B433" s="1" t="s">
        <v>1123</v>
      </c>
      <c r="C433" s="1" t="b">
        <v>1</v>
      </c>
      <c r="D433" s="1" t="b">
        <v>1</v>
      </c>
      <c r="E433" s="1" t="s">
        <v>373</v>
      </c>
      <c r="F433" s="1" t="s">
        <v>433</v>
      </c>
      <c r="G433" s="2">
        <f>+251908744473</f>
        <v>251908744473</v>
      </c>
      <c r="H433" s="1" t="s">
        <v>18</v>
      </c>
      <c r="I433" s="1" t="s">
        <v>19</v>
      </c>
      <c r="J433" s="1" t="s">
        <v>19</v>
      </c>
      <c r="K433" s="1" t="s">
        <v>25</v>
      </c>
      <c r="L433" s="1">
        <v>19.62</v>
      </c>
      <c r="M433" s="1" t="s">
        <v>21</v>
      </c>
      <c r="O433" s="1">
        <v>2.59292093631E11</v>
      </c>
    </row>
    <row r="434">
      <c r="A434" s="1">
        <v>2798258.0</v>
      </c>
      <c r="B434" s="1" t="s">
        <v>1124</v>
      </c>
      <c r="C434" s="1" t="b">
        <v>1</v>
      </c>
      <c r="D434" s="1" t="b">
        <v>1</v>
      </c>
      <c r="E434" s="1" t="s">
        <v>1125</v>
      </c>
      <c r="F434" s="1" t="s">
        <v>1126</v>
      </c>
      <c r="G434" s="2">
        <f>+251949338068</f>
        <v>251949338068</v>
      </c>
      <c r="H434" s="1" t="s">
        <v>18</v>
      </c>
      <c r="I434" s="1" t="s">
        <v>19</v>
      </c>
      <c r="J434" s="1" t="s">
        <v>19</v>
      </c>
      <c r="K434" s="1" t="s">
        <v>25</v>
      </c>
      <c r="L434" s="1">
        <v>21.7</v>
      </c>
      <c r="M434" s="1" t="s">
        <v>21</v>
      </c>
      <c r="O434" s="1">
        <v>2.59293481173E11</v>
      </c>
    </row>
    <row r="435">
      <c r="A435" s="1">
        <v>2798665.0</v>
      </c>
      <c r="B435" s="1" t="s">
        <v>1127</v>
      </c>
      <c r="C435" s="1" t="b">
        <v>1</v>
      </c>
      <c r="D435" s="1" t="b">
        <v>1</v>
      </c>
      <c r="E435" s="1" t="s">
        <v>1128</v>
      </c>
      <c r="F435" s="1" t="s">
        <v>839</v>
      </c>
      <c r="G435" s="2">
        <f>+251966462684</f>
        <v>251966462684</v>
      </c>
      <c r="H435" s="1" t="s">
        <v>18</v>
      </c>
      <c r="I435" s="1" t="s">
        <v>19</v>
      </c>
      <c r="J435" s="1" t="s">
        <v>19</v>
      </c>
      <c r="K435" s="1" t="s">
        <v>25</v>
      </c>
      <c r="L435" s="1">
        <v>23.03</v>
      </c>
      <c r="M435" s="1" t="s">
        <v>21</v>
      </c>
      <c r="O435" s="1">
        <v>2.59423962298E11</v>
      </c>
    </row>
    <row r="436">
      <c r="A436" s="1">
        <v>171518.0</v>
      </c>
      <c r="B436" s="1" t="s">
        <v>1129</v>
      </c>
      <c r="C436" s="1" t="b">
        <v>1</v>
      </c>
      <c r="D436" s="1" t="b">
        <v>1</v>
      </c>
      <c r="E436" s="1" t="s">
        <v>1130</v>
      </c>
      <c r="F436" s="1" t="s">
        <v>1131</v>
      </c>
      <c r="G436" s="2">
        <f>+251713129818</f>
        <v>251713129818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19.44</v>
      </c>
      <c r="M436" s="1" t="s">
        <v>33</v>
      </c>
      <c r="N436" s="1" t="s">
        <v>65</v>
      </c>
      <c r="O436" s="1">
        <v>2.7540936E7</v>
      </c>
    </row>
    <row r="437">
      <c r="A437" s="1">
        <v>1686078.0</v>
      </c>
      <c r="B437" s="1" t="s">
        <v>1132</v>
      </c>
      <c r="C437" s="1" t="b">
        <v>1</v>
      </c>
      <c r="D437" s="1" t="b">
        <v>1</v>
      </c>
      <c r="E437" s="1" t="s">
        <v>1133</v>
      </c>
      <c r="F437" s="1" t="s">
        <v>601</v>
      </c>
      <c r="G437" s="2">
        <f>+251967294375</f>
        <v>251967294375</v>
      </c>
      <c r="H437" s="1" t="s">
        <v>18</v>
      </c>
      <c r="I437" s="1" t="s">
        <v>19</v>
      </c>
      <c r="J437" s="1" t="s">
        <v>19</v>
      </c>
      <c r="K437" s="1" t="s">
        <v>20</v>
      </c>
      <c r="L437" s="1">
        <v>20.09</v>
      </c>
      <c r="M437" s="1" t="s">
        <v>33</v>
      </c>
      <c r="N437" s="1" t="s">
        <v>177</v>
      </c>
      <c r="O437" s="1">
        <v>2.4788052E7</v>
      </c>
    </row>
    <row r="438">
      <c r="A438" s="1">
        <v>2799653.0</v>
      </c>
      <c r="B438" s="1" t="s">
        <v>1134</v>
      </c>
      <c r="C438" s="1" t="b">
        <v>1</v>
      </c>
      <c r="D438" s="1" t="b">
        <v>1</v>
      </c>
      <c r="E438" s="1" t="s">
        <v>1135</v>
      </c>
      <c r="F438" s="1" t="s">
        <v>948</v>
      </c>
      <c r="G438" s="2">
        <f>+251988936428</f>
        <v>251988936428</v>
      </c>
      <c r="H438" s="1" t="s">
        <v>72</v>
      </c>
      <c r="I438" s="1" t="s">
        <v>19</v>
      </c>
      <c r="J438" s="1" t="s">
        <v>19</v>
      </c>
      <c r="K438" s="1" t="s">
        <v>20</v>
      </c>
      <c r="L438" s="1">
        <v>21.53</v>
      </c>
      <c r="M438" s="1" t="s">
        <v>21</v>
      </c>
      <c r="O438" s="1">
        <v>2.5972423293E11</v>
      </c>
    </row>
    <row r="439">
      <c r="A439" s="1">
        <v>2799745.0</v>
      </c>
      <c r="B439" s="1" t="s">
        <v>1136</v>
      </c>
      <c r="C439" s="1" t="b">
        <v>1</v>
      </c>
      <c r="D439" s="1" t="b">
        <v>1</v>
      </c>
      <c r="E439" s="1" t="s">
        <v>1137</v>
      </c>
      <c r="F439" s="1" t="s">
        <v>338</v>
      </c>
      <c r="G439" s="2">
        <f>+251978075392</f>
        <v>251978075392</v>
      </c>
      <c r="H439" s="1" t="s">
        <v>18</v>
      </c>
      <c r="I439" s="1" t="s">
        <v>19</v>
      </c>
      <c r="J439" s="1" t="s">
        <v>19</v>
      </c>
      <c r="K439" s="1" t="s">
        <v>20</v>
      </c>
      <c r="L439" s="1">
        <v>22.54</v>
      </c>
      <c r="M439" s="1" t="s">
        <v>21</v>
      </c>
      <c r="O439" s="1">
        <v>2.5977025251E11</v>
      </c>
    </row>
    <row r="440">
      <c r="A440" s="1">
        <v>2800491.0</v>
      </c>
      <c r="B440" s="1" t="s">
        <v>1138</v>
      </c>
      <c r="C440" s="1" t="b">
        <v>1</v>
      </c>
      <c r="D440" s="1" t="b">
        <v>1</v>
      </c>
      <c r="E440" s="1" t="s">
        <v>1139</v>
      </c>
      <c r="F440" s="1" t="s">
        <v>420</v>
      </c>
      <c r="G440" s="2">
        <f>+251948035993</f>
        <v>251948035993</v>
      </c>
      <c r="H440" s="1" t="s">
        <v>18</v>
      </c>
      <c r="I440" s="1" t="s">
        <v>19</v>
      </c>
      <c r="J440" s="1" t="s">
        <v>19</v>
      </c>
      <c r="K440" s="1" t="s">
        <v>20</v>
      </c>
      <c r="L440" s="1">
        <v>21.66</v>
      </c>
      <c r="M440" s="1" t="s">
        <v>33</v>
      </c>
      <c r="N440" s="1" t="s">
        <v>177</v>
      </c>
      <c r="O440" s="1">
        <v>2.59936387281E11</v>
      </c>
    </row>
    <row r="441">
      <c r="A441" s="1">
        <v>2801108.0</v>
      </c>
      <c r="B441" s="1" t="s">
        <v>1140</v>
      </c>
      <c r="C441" s="1" t="b">
        <v>1</v>
      </c>
      <c r="D441" s="1" t="b">
        <v>1</v>
      </c>
      <c r="E441" s="1" t="s">
        <v>1141</v>
      </c>
      <c r="F441" s="1" t="s">
        <v>1142</v>
      </c>
      <c r="G441" s="2">
        <f>+251985407242</f>
        <v>251985407242</v>
      </c>
      <c r="H441" s="1" t="s">
        <v>18</v>
      </c>
      <c r="I441" s="1" t="s">
        <v>19</v>
      </c>
      <c r="J441" s="1" t="s">
        <v>19</v>
      </c>
      <c r="K441" s="1" t="s">
        <v>25</v>
      </c>
      <c r="L441" s="1">
        <v>24.72</v>
      </c>
      <c r="M441" s="1" t="s">
        <v>21</v>
      </c>
      <c r="O441" s="1">
        <v>9208454.0</v>
      </c>
    </row>
    <row r="442">
      <c r="A442" s="1">
        <v>1445090.0</v>
      </c>
      <c r="B442" s="1" t="s">
        <v>1143</v>
      </c>
      <c r="C442" s="1" t="b">
        <v>1</v>
      </c>
      <c r="D442" s="1" t="b">
        <v>1</v>
      </c>
      <c r="E442" s="1" t="s">
        <v>1144</v>
      </c>
      <c r="F442" s="1" t="s">
        <v>363</v>
      </c>
      <c r="G442" s="2">
        <f>+251927182804</f>
        <v>251927182804</v>
      </c>
      <c r="H442" s="1" t="s">
        <v>18</v>
      </c>
      <c r="I442" s="1" t="s">
        <v>19</v>
      </c>
      <c r="J442" s="1" t="s">
        <v>19</v>
      </c>
      <c r="K442" s="1" t="s">
        <v>25</v>
      </c>
      <c r="L442" s="1">
        <v>32.62</v>
      </c>
      <c r="M442" s="1" t="s">
        <v>33</v>
      </c>
      <c r="N442" s="1" t="s">
        <v>65</v>
      </c>
      <c r="O442" s="1">
        <v>1.4979152113E10</v>
      </c>
    </row>
    <row r="443">
      <c r="A443" s="1">
        <v>2801955.0</v>
      </c>
      <c r="B443" s="1" t="s">
        <v>1145</v>
      </c>
      <c r="C443" s="1" t="b">
        <v>1</v>
      </c>
      <c r="D443" s="1" t="b">
        <v>1</v>
      </c>
      <c r="E443" s="1" t="s">
        <v>1146</v>
      </c>
      <c r="F443" s="1" t="s">
        <v>141</v>
      </c>
      <c r="G443" s="2">
        <f>+251934086836</f>
        <v>251934086836</v>
      </c>
      <c r="H443" s="1" t="s">
        <v>131</v>
      </c>
      <c r="I443" s="1" t="s">
        <v>19</v>
      </c>
      <c r="J443" s="1" t="s">
        <v>19</v>
      </c>
      <c r="K443" s="1" t="s">
        <v>25</v>
      </c>
      <c r="L443" s="1">
        <v>21.19</v>
      </c>
      <c r="M443" s="1" t="s">
        <v>21</v>
      </c>
    </row>
    <row r="444">
      <c r="A444" s="1">
        <v>2776287.0</v>
      </c>
      <c r="B444" s="1" t="s">
        <v>1147</v>
      </c>
      <c r="C444" s="1" t="b">
        <v>1</v>
      </c>
      <c r="D444" s="1" t="b">
        <v>1</v>
      </c>
      <c r="E444" s="1" t="s">
        <v>1148</v>
      </c>
      <c r="F444" s="1" t="s">
        <v>1149</v>
      </c>
      <c r="G444" s="1">
        <v>9.73331458E8</v>
      </c>
      <c r="H444" s="1" t="s">
        <v>18</v>
      </c>
      <c r="I444" s="1" t="s">
        <v>19</v>
      </c>
      <c r="J444" s="1" t="s">
        <v>19</v>
      </c>
      <c r="K444" s="1" t="s">
        <v>20</v>
      </c>
      <c r="L444" s="1">
        <v>20.16</v>
      </c>
      <c r="M444" s="1" t="s">
        <v>21</v>
      </c>
      <c r="O444" s="1">
        <v>2.5335022717E11</v>
      </c>
    </row>
    <row r="445">
      <c r="A445" s="1">
        <v>2802999.0</v>
      </c>
      <c r="B445" s="1" t="s">
        <v>1150</v>
      </c>
      <c r="C445" s="1" t="b">
        <v>1</v>
      </c>
      <c r="D445" s="1" t="b">
        <v>1</v>
      </c>
      <c r="E445" s="1" t="s">
        <v>750</v>
      </c>
      <c r="F445" s="1" t="s">
        <v>137</v>
      </c>
      <c r="G445" s="2">
        <f>+251912623018</f>
        <v>251912623018</v>
      </c>
      <c r="H445" s="1" t="s">
        <v>18</v>
      </c>
      <c r="I445" s="1" t="s">
        <v>19</v>
      </c>
      <c r="J445" s="1" t="s">
        <v>19</v>
      </c>
      <c r="K445" s="1" t="s">
        <v>20</v>
      </c>
      <c r="L445" s="1">
        <v>32.53</v>
      </c>
      <c r="M445" s="1" t="s">
        <v>21</v>
      </c>
      <c r="O445" s="1">
        <v>2.60372385008E11</v>
      </c>
    </row>
    <row r="446">
      <c r="A446" s="1">
        <v>2803474.0</v>
      </c>
      <c r="B446" s="1" t="s">
        <v>1151</v>
      </c>
      <c r="C446" s="1" t="b">
        <v>1</v>
      </c>
      <c r="D446" s="1" t="b">
        <v>0</v>
      </c>
      <c r="E446" s="1" t="s">
        <v>294</v>
      </c>
      <c r="F446" s="1" t="s">
        <v>1152</v>
      </c>
      <c r="G446" s="2">
        <f>+251941917486</f>
        <v>251941917486</v>
      </c>
      <c r="H446" s="1" t="s">
        <v>18</v>
      </c>
      <c r="I446" s="1" t="s">
        <v>19</v>
      </c>
      <c r="J446" s="1" t="s">
        <v>19</v>
      </c>
      <c r="K446" s="1" t="s">
        <v>25</v>
      </c>
      <c r="L446" s="1">
        <v>23.64</v>
      </c>
      <c r="M446" s="1" t="s">
        <v>21</v>
      </c>
      <c r="O446" s="1">
        <v>2.60480977087E11</v>
      </c>
    </row>
    <row r="447">
      <c r="A447" s="1">
        <v>2804260.0</v>
      </c>
      <c r="B447" s="1" t="s">
        <v>1153</v>
      </c>
      <c r="C447" s="1" t="b">
        <v>1</v>
      </c>
      <c r="D447" s="1" t="b">
        <v>1</v>
      </c>
      <c r="E447" s="1" t="s">
        <v>154</v>
      </c>
      <c r="F447" s="1" t="s">
        <v>1064</v>
      </c>
      <c r="G447" s="2">
        <f>+251907340078</f>
        <v>251907340078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22.16</v>
      </c>
      <c r="M447" s="1" t="s">
        <v>21</v>
      </c>
      <c r="O447" s="1">
        <v>2.60825659603E11</v>
      </c>
    </row>
    <row r="448">
      <c r="A448" s="1">
        <v>2804069.0</v>
      </c>
      <c r="B448" s="1" t="s">
        <v>1154</v>
      </c>
      <c r="C448" s="1" t="b">
        <v>1</v>
      </c>
      <c r="D448" s="1" t="b">
        <v>1</v>
      </c>
      <c r="E448" s="1" t="s">
        <v>751</v>
      </c>
      <c r="F448" s="1" t="s">
        <v>1155</v>
      </c>
      <c r="G448" s="2">
        <f>+251943455363</f>
        <v>251943455363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27.38</v>
      </c>
      <c r="M448" s="1" t="s">
        <v>21</v>
      </c>
      <c r="O448" s="1">
        <v>6027828.0</v>
      </c>
    </row>
    <row r="449">
      <c r="A449" s="1">
        <v>2804891.0</v>
      </c>
      <c r="B449" s="1" t="s">
        <v>1156</v>
      </c>
      <c r="C449" s="1" t="b">
        <v>1</v>
      </c>
      <c r="D449" s="1" t="b">
        <v>1</v>
      </c>
      <c r="E449" s="1" t="s">
        <v>1157</v>
      </c>
      <c r="F449" s="1" t="s">
        <v>1158</v>
      </c>
      <c r="G449" s="2">
        <f>+1904626201</f>
        <v>1904626201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18.65</v>
      </c>
      <c r="M449" s="1" t="s">
        <v>33</v>
      </c>
      <c r="N449" s="1" t="s">
        <v>34</v>
      </c>
    </row>
    <row r="450">
      <c r="A450" s="1">
        <v>818404.0</v>
      </c>
      <c r="B450" s="1" t="s">
        <v>1159</v>
      </c>
      <c r="C450" s="1" t="b">
        <v>1</v>
      </c>
      <c r="D450" s="1" t="b">
        <v>1</v>
      </c>
      <c r="E450" s="1" t="s">
        <v>1160</v>
      </c>
      <c r="F450" s="1" t="s">
        <v>1161</v>
      </c>
      <c r="G450" s="2">
        <f>+251945305180</f>
        <v>251945305180</v>
      </c>
      <c r="H450" s="1" t="s">
        <v>18</v>
      </c>
      <c r="I450" s="1" t="s">
        <v>19</v>
      </c>
      <c r="J450" s="1" t="s">
        <v>19</v>
      </c>
      <c r="K450" s="1" t="s">
        <v>25</v>
      </c>
      <c r="L450" s="1">
        <v>32.35</v>
      </c>
      <c r="M450" s="1" t="s">
        <v>21</v>
      </c>
      <c r="O450" s="1">
        <v>801939.0</v>
      </c>
    </row>
    <row r="451">
      <c r="A451" s="1">
        <v>2805243.0</v>
      </c>
      <c r="B451" s="1" t="s">
        <v>1162</v>
      </c>
      <c r="C451" s="1" t="b">
        <v>1</v>
      </c>
      <c r="D451" s="1" t="b">
        <v>1</v>
      </c>
      <c r="E451" s="1" t="s">
        <v>1163</v>
      </c>
      <c r="F451" s="1" t="s">
        <v>1164</v>
      </c>
      <c r="G451" s="2">
        <f>+251986777178</f>
        <v>251986777178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21.83</v>
      </c>
      <c r="M451" s="1" t="s">
        <v>26</v>
      </c>
      <c r="O451" s="1">
        <v>2.6107842374E11</v>
      </c>
    </row>
    <row r="452">
      <c r="A452" s="1">
        <v>2805255.0</v>
      </c>
      <c r="B452" s="1" t="s">
        <v>1165</v>
      </c>
      <c r="C452" s="1" t="b">
        <v>1</v>
      </c>
      <c r="D452" s="1" t="b">
        <v>1</v>
      </c>
      <c r="E452" s="1" t="s">
        <v>1166</v>
      </c>
      <c r="F452" s="1" t="s">
        <v>1167</v>
      </c>
      <c r="G452" s="2">
        <f>+251904019460</f>
        <v>251904019460</v>
      </c>
      <c r="H452" s="1" t="s">
        <v>18</v>
      </c>
      <c r="I452" s="1" t="s">
        <v>19</v>
      </c>
      <c r="J452" s="1" t="s">
        <v>19</v>
      </c>
      <c r="K452" s="1" t="s">
        <v>25</v>
      </c>
      <c r="L452" s="1">
        <v>27.34</v>
      </c>
      <c r="M452" s="1" t="s">
        <v>21</v>
      </c>
      <c r="O452" s="1">
        <v>2.61103482093E11</v>
      </c>
    </row>
    <row r="453">
      <c r="A453" s="1">
        <v>2805471.0</v>
      </c>
      <c r="B453" s="1" t="s">
        <v>1168</v>
      </c>
      <c r="C453" s="1" t="b">
        <v>0</v>
      </c>
      <c r="D453" s="1" t="b">
        <v>1</v>
      </c>
      <c r="E453" s="1" t="s">
        <v>1169</v>
      </c>
      <c r="F453" s="1" t="s">
        <v>1170</v>
      </c>
      <c r="G453" s="2">
        <f>+251963498569</f>
        <v>251963498569</v>
      </c>
      <c r="H453" s="1" t="s">
        <v>18</v>
      </c>
      <c r="I453" s="1" t="s">
        <v>19</v>
      </c>
      <c r="J453" s="1" t="s">
        <v>19</v>
      </c>
      <c r="K453" s="1" t="s">
        <v>25</v>
      </c>
      <c r="L453" s="1">
        <v>24.1</v>
      </c>
      <c r="M453" s="1" t="s">
        <v>33</v>
      </c>
      <c r="N453" s="1" t="s">
        <v>235</v>
      </c>
      <c r="O453" s="1">
        <v>2.61157124283E11</v>
      </c>
    </row>
    <row r="454">
      <c r="A454" s="1">
        <v>2805707.0</v>
      </c>
      <c r="B454" s="1" t="s">
        <v>1171</v>
      </c>
      <c r="C454" s="1" t="b">
        <v>1</v>
      </c>
      <c r="D454" s="1" t="b">
        <v>1</v>
      </c>
      <c r="E454" s="1" t="s">
        <v>620</v>
      </c>
      <c r="F454" s="1" t="s">
        <v>1172</v>
      </c>
      <c r="G454" s="2">
        <f>+251934608783</f>
        <v>251934608783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20.88</v>
      </c>
      <c r="M454" s="1" t="s">
        <v>33</v>
      </c>
      <c r="N454" s="1" t="s">
        <v>76</v>
      </c>
      <c r="O454" s="1">
        <v>2.61180046522E11</v>
      </c>
    </row>
    <row r="455">
      <c r="A455" s="1">
        <v>2805764.0</v>
      </c>
      <c r="B455" s="1" t="s">
        <v>1173</v>
      </c>
      <c r="C455" s="1" t="b">
        <v>0</v>
      </c>
      <c r="D455" s="1" t="b">
        <v>1</v>
      </c>
      <c r="E455" s="1" t="s">
        <v>1174</v>
      </c>
      <c r="F455" s="1" t="s">
        <v>1175</v>
      </c>
      <c r="G455" s="2">
        <f>+251943599259</f>
        <v>251943599259</v>
      </c>
      <c r="H455" s="1" t="s">
        <v>72</v>
      </c>
      <c r="I455" s="1" t="s">
        <v>19</v>
      </c>
      <c r="J455" s="1" t="s">
        <v>19</v>
      </c>
      <c r="K455" s="1" t="s">
        <v>25</v>
      </c>
      <c r="L455" s="1">
        <v>22.84</v>
      </c>
      <c r="M455" s="1" t="s">
        <v>26</v>
      </c>
      <c r="O455" s="1">
        <v>2.61187349703E11</v>
      </c>
    </row>
    <row r="456">
      <c r="A456" s="1">
        <v>2805926.0</v>
      </c>
      <c r="B456" s="1" t="s">
        <v>1176</v>
      </c>
      <c r="C456" s="1" t="b">
        <v>0</v>
      </c>
      <c r="D456" s="1" t="b">
        <v>1</v>
      </c>
      <c r="E456" s="1" t="s">
        <v>944</v>
      </c>
      <c r="F456" s="1" t="s">
        <v>405</v>
      </c>
      <c r="G456" s="2">
        <f>+251951152891</f>
        <v>251951152891</v>
      </c>
      <c r="H456" s="1" t="s">
        <v>93</v>
      </c>
      <c r="I456" s="1" t="s">
        <v>19</v>
      </c>
      <c r="J456" s="1" t="s">
        <v>19</v>
      </c>
      <c r="K456" s="1" t="s">
        <v>25</v>
      </c>
      <c r="L456" s="1">
        <v>22.17</v>
      </c>
      <c r="M456" s="1" t="s">
        <v>33</v>
      </c>
      <c r="N456" s="1" t="s">
        <v>34</v>
      </c>
      <c r="O456" s="1">
        <v>2.6123474558E11</v>
      </c>
    </row>
    <row r="457">
      <c r="A457" s="1">
        <v>2805964.0</v>
      </c>
      <c r="B457" s="1" t="s">
        <v>1177</v>
      </c>
      <c r="C457" s="1" t="b">
        <v>0</v>
      </c>
      <c r="D457" s="1" t="b">
        <v>1</v>
      </c>
      <c r="E457" s="1" t="s">
        <v>321</v>
      </c>
      <c r="F457" s="1" t="s">
        <v>1178</v>
      </c>
      <c r="G457" s="2">
        <f>+251995449410</f>
        <v>251995449410</v>
      </c>
      <c r="H457" s="1" t="s">
        <v>18</v>
      </c>
      <c r="I457" s="1" t="s">
        <v>19</v>
      </c>
      <c r="J457" s="1" t="s">
        <v>19</v>
      </c>
      <c r="K457" s="1" t="s">
        <v>20</v>
      </c>
      <c r="L457" s="1">
        <v>18.15</v>
      </c>
      <c r="M457" s="1" t="s">
        <v>26</v>
      </c>
      <c r="O457" s="1">
        <v>2.61195221185E11</v>
      </c>
    </row>
    <row r="458">
      <c r="A458" s="1">
        <v>2805968.0</v>
      </c>
      <c r="B458" s="1" t="s">
        <v>1179</v>
      </c>
      <c r="C458" s="1" t="b">
        <v>1</v>
      </c>
      <c r="D458" s="1" t="b">
        <v>1</v>
      </c>
      <c r="E458" s="1" t="s">
        <v>1180</v>
      </c>
      <c r="F458" s="1" t="s">
        <v>1181</v>
      </c>
      <c r="G458" s="2">
        <f>+251929149533</f>
        <v>251929149533</v>
      </c>
      <c r="H458" s="1" t="s">
        <v>131</v>
      </c>
      <c r="I458" s="1" t="s">
        <v>19</v>
      </c>
      <c r="J458" s="1" t="s">
        <v>19</v>
      </c>
      <c r="K458" s="1" t="s">
        <v>25</v>
      </c>
      <c r="L458" s="1">
        <v>18.92</v>
      </c>
      <c r="M458" s="1" t="s">
        <v>33</v>
      </c>
      <c r="N458" s="1" t="s">
        <v>166</v>
      </c>
      <c r="O458" s="1">
        <v>2.61199856842E11</v>
      </c>
    </row>
    <row r="459">
      <c r="A459" s="1">
        <v>570601.0</v>
      </c>
      <c r="B459" s="1" t="s">
        <v>1182</v>
      </c>
      <c r="C459" s="1" t="b">
        <v>1</v>
      </c>
      <c r="D459" s="1" t="b">
        <v>1</v>
      </c>
      <c r="E459" s="1" t="s">
        <v>944</v>
      </c>
      <c r="F459" s="1" t="s">
        <v>213</v>
      </c>
      <c r="G459" s="2">
        <f>+251939214704</f>
        <v>251939214704</v>
      </c>
      <c r="H459" s="1" t="s">
        <v>80</v>
      </c>
      <c r="I459" s="1" t="s">
        <v>19</v>
      </c>
      <c r="J459" s="1" t="s">
        <v>19</v>
      </c>
      <c r="K459" s="1" t="s">
        <v>25</v>
      </c>
      <c r="L459" s="1">
        <v>25.54</v>
      </c>
      <c r="M459" s="1" t="s">
        <v>21</v>
      </c>
      <c r="O459" s="1">
        <v>8885457.0</v>
      </c>
    </row>
    <row r="460">
      <c r="A460" s="1">
        <v>2806114.0</v>
      </c>
      <c r="B460" s="1" t="s">
        <v>1183</v>
      </c>
      <c r="C460" s="1" t="b">
        <v>1</v>
      </c>
      <c r="D460" s="1" t="b">
        <v>1</v>
      </c>
      <c r="E460" s="1" t="s">
        <v>194</v>
      </c>
      <c r="F460" s="1" t="s">
        <v>361</v>
      </c>
      <c r="G460" s="2">
        <f>+251982536419</f>
        <v>251982536419</v>
      </c>
      <c r="H460" s="1" t="s">
        <v>392</v>
      </c>
      <c r="I460" s="1" t="s">
        <v>19</v>
      </c>
      <c r="J460" s="1" t="s">
        <v>19</v>
      </c>
      <c r="K460" s="1" t="s">
        <v>25</v>
      </c>
      <c r="L460" s="1">
        <v>19.58</v>
      </c>
      <c r="M460" s="1" t="s">
        <v>21</v>
      </c>
    </row>
    <row r="461">
      <c r="A461" s="1">
        <v>2806184.0</v>
      </c>
      <c r="B461" s="1" t="s">
        <v>1184</v>
      </c>
      <c r="C461" s="1" t="b">
        <v>1</v>
      </c>
      <c r="D461" s="1" t="b">
        <v>1</v>
      </c>
      <c r="E461" s="1" t="s">
        <v>437</v>
      </c>
      <c r="F461" s="1" t="s">
        <v>1185</v>
      </c>
      <c r="G461" s="2">
        <f>+251939969702</f>
        <v>251939969702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29.06</v>
      </c>
      <c r="M461" s="1" t="s">
        <v>21</v>
      </c>
      <c r="O461" s="1">
        <v>1893665.0</v>
      </c>
    </row>
    <row r="462">
      <c r="A462" s="1">
        <v>2806158.0</v>
      </c>
      <c r="B462" s="1" t="s">
        <v>1186</v>
      </c>
      <c r="C462" s="1" t="b">
        <v>0</v>
      </c>
      <c r="D462" s="1" t="b">
        <v>1</v>
      </c>
      <c r="E462" s="1" t="s">
        <v>483</v>
      </c>
      <c r="F462" s="1" t="s">
        <v>1187</v>
      </c>
      <c r="G462" s="2">
        <f>+251923460145</f>
        <v>251923460145</v>
      </c>
      <c r="H462" s="1" t="s">
        <v>18</v>
      </c>
      <c r="I462" s="1" t="s">
        <v>19</v>
      </c>
      <c r="J462" s="1" t="s">
        <v>19</v>
      </c>
      <c r="K462" s="1" t="s">
        <v>20</v>
      </c>
      <c r="L462" s="1">
        <v>18.29</v>
      </c>
      <c r="M462" s="1" t="s">
        <v>33</v>
      </c>
      <c r="N462" s="1" t="s">
        <v>34</v>
      </c>
      <c r="O462" s="1">
        <v>2.61215635697E11</v>
      </c>
    </row>
    <row r="463">
      <c r="A463" s="1">
        <v>2805485.0</v>
      </c>
      <c r="B463" s="1" t="s">
        <v>1188</v>
      </c>
      <c r="C463" s="1" t="b">
        <v>1</v>
      </c>
      <c r="D463" s="1" t="b">
        <v>1</v>
      </c>
      <c r="E463" s="1" t="s">
        <v>517</v>
      </c>
      <c r="F463" s="1" t="s">
        <v>768</v>
      </c>
      <c r="G463" s="2">
        <f>+251985909030</f>
        <v>251985909030</v>
      </c>
      <c r="H463" s="1" t="s">
        <v>18</v>
      </c>
      <c r="I463" s="1" t="s">
        <v>19</v>
      </c>
      <c r="J463" s="1" t="s">
        <v>19</v>
      </c>
      <c r="K463" s="1" t="s">
        <v>25</v>
      </c>
      <c r="L463" s="1">
        <v>23.67</v>
      </c>
      <c r="M463" s="1" t="s">
        <v>33</v>
      </c>
      <c r="N463" s="1" t="s">
        <v>65</v>
      </c>
      <c r="O463" s="1">
        <v>2.61150224618E11</v>
      </c>
    </row>
    <row r="464">
      <c r="A464" s="1">
        <v>2806296.0</v>
      </c>
      <c r="B464" s="1" t="s">
        <v>1189</v>
      </c>
      <c r="C464" s="1" t="b">
        <v>1</v>
      </c>
      <c r="D464" s="1" t="b">
        <v>1</v>
      </c>
      <c r="E464" s="1" t="s">
        <v>627</v>
      </c>
      <c r="F464" s="1" t="s">
        <v>1190</v>
      </c>
      <c r="G464" s="2">
        <f>+251989822789</f>
        <v>251989822789</v>
      </c>
      <c r="H464" s="1" t="s">
        <v>392</v>
      </c>
      <c r="I464" s="1" t="s">
        <v>19</v>
      </c>
      <c r="J464" s="1" t="s">
        <v>19</v>
      </c>
      <c r="K464" s="1" t="s">
        <v>25</v>
      </c>
      <c r="L464" s="1">
        <v>30.45</v>
      </c>
      <c r="M464" s="1" t="s">
        <v>21</v>
      </c>
      <c r="O464" s="1">
        <v>2.6126511738E11</v>
      </c>
    </row>
    <row r="465">
      <c r="A465" s="1">
        <v>2806803.0</v>
      </c>
      <c r="B465" s="1" t="s">
        <v>1191</v>
      </c>
      <c r="C465" s="1" t="b">
        <v>0</v>
      </c>
      <c r="D465" s="1" t="b">
        <v>1</v>
      </c>
      <c r="E465" s="1" t="s">
        <v>1192</v>
      </c>
      <c r="F465" s="1" t="s">
        <v>1193</v>
      </c>
      <c r="G465" s="2">
        <f>+251914215073</f>
        <v>251914215073</v>
      </c>
      <c r="H465" s="1" t="s">
        <v>18</v>
      </c>
      <c r="I465" s="1" t="s">
        <v>19</v>
      </c>
      <c r="J465" s="1" t="s">
        <v>19</v>
      </c>
      <c r="K465" s="1" t="s">
        <v>25</v>
      </c>
      <c r="L465" s="1">
        <v>20.79</v>
      </c>
      <c r="M465" s="1" t="s">
        <v>33</v>
      </c>
      <c r="N465" s="1" t="s">
        <v>65</v>
      </c>
      <c r="O465" s="1">
        <v>2.61337930998E11</v>
      </c>
    </row>
    <row r="466">
      <c r="A466" s="1">
        <v>2026951.0</v>
      </c>
      <c r="B466" s="1" t="s">
        <v>1194</v>
      </c>
      <c r="C466" s="1" t="b">
        <v>1</v>
      </c>
      <c r="D466" s="1" t="b">
        <v>1</v>
      </c>
      <c r="E466" s="1" t="s">
        <v>1195</v>
      </c>
      <c r="F466" s="1" t="s">
        <v>1196</v>
      </c>
      <c r="G466" s="2">
        <f>+251966731122</f>
        <v>251966731122</v>
      </c>
      <c r="H466" s="1" t="s">
        <v>18</v>
      </c>
      <c r="I466" s="1" t="s">
        <v>19</v>
      </c>
      <c r="J466" s="1" t="s">
        <v>1197</v>
      </c>
      <c r="K466" s="1" t="s">
        <v>20</v>
      </c>
      <c r="L466" s="1">
        <v>25.7</v>
      </c>
      <c r="M466" s="1" t="s">
        <v>21</v>
      </c>
      <c r="O466" s="1">
        <v>7780601.0</v>
      </c>
    </row>
    <row r="467">
      <c r="A467" s="1">
        <v>2807136.0</v>
      </c>
      <c r="B467" s="1" t="s">
        <v>1198</v>
      </c>
      <c r="C467" s="1" t="b">
        <v>1</v>
      </c>
      <c r="D467" s="1" t="b">
        <v>1</v>
      </c>
      <c r="E467" s="1" t="s">
        <v>67</v>
      </c>
      <c r="F467" s="1" t="s">
        <v>1199</v>
      </c>
      <c r="G467" s="2">
        <f>+251910163193</f>
        <v>251910163193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24.18</v>
      </c>
      <c r="M467" s="1" t="s">
        <v>21</v>
      </c>
      <c r="O467" s="1">
        <v>2.61359893746E11</v>
      </c>
    </row>
    <row r="468">
      <c r="A468" s="1">
        <v>15925.0</v>
      </c>
      <c r="B468" s="1" t="s">
        <v>1200</v>
      </c>
      <c r="C468" s="1" t="b">
        <v>1</v>
      </c>
      <c r="D468" s="1" t="b">
        <v>1</v>
      </c>
      <c r="E468" s="1" t="s">
        <v>503</v>
      </c>
      <c r="F468" s="1" t="s">
        <v>1094</v>
      </c>
      <c r="G468" s="2">
        <f>+251924858899</f>
        <v>251924858899</v>
      </c>
      <c r="H468" s="1" t="s">
        <v>18</v>
      </c>
      <c r="I468" s="1" t="s">
        <v>19</v>
      </c>
      <c r="J468" s="1" t="s">
        <v>19</v>
      </c>
      <c r="K468" s="1" t="s">
        <v>25</v>
      </c>
      <c r="L468" s="1">
        <v>21.9</v>
      </c>
      <c r="M468" s="1" t="s">
        <v>21</v>
      </c>
      <c r="O468" s="1">
        <v>1908053.0</v>
      </c>
    </row>
    <row r="469">
      <c r="A469" s="1">
        <v>2807215.0</v>
      </c>
      <c r="B469" s="1" t="s">
        <v>1201</v>
      </c>
      <c r="C469" s="1" t="b">
        <v>1</v>
      </c>
      <c r="D469" s="1" t="b">
        <v>1</v>
      </c>
      <c r="E469" s="1" t="s">
        <v>750</v>
      </c>
      <c r="F469" s="1" t="s">
        <v>1202</v>
      </c>
      <c r="G469" s="2">
        <f>+251974730457</f>
        <v>251974730457</v>
      </c>
      <c r="H469" s="1" t="s">
        <v>18</v>
      </c>
      <c r="I469" s="1" t="s">
        <v>19</v>
      </c>
      <c r="J469" s="1" t="s">
        <v>19</v>
      </c>
      <c r="K469" s="1" t="s">
        <v>20</v>
      </c>
      <c r="L469" s="1">
        <v>17.21</v>
      </c>
      <c r="M469" s="1" t="s">
        <v>33</v>
      </c>
      <c r="N469" s="1" t="s">
        <v>65</v>
      </c>
    </row>
    <row r="470">
      <c r="A470" s="1">
        <v>2807427.0</v>
      </c>
      <c r="B470" s="1" t="s">
        <v>1203</v>
      </c>
      <c r="C470" s="1" t="b">
        <v>0</v>
      </c>
      <c r="D470" s="1" t="b">
        <v>1</v>
      </c>
      <c r="E470" s="1" t="s">
        <v>1098</v>
      </c>
      <c r="F470" s="1" t="s">
        <v>1204</v>
      </c>
      <c r="G470" s="2">
        <f>+251915762514</f>
        <v>251915762514</v>
      </c>
      <c r="H470" s="1" t="s">
        <v>93</v>
      </c>
      <c r="I470" s="1" t="s">
        <v>19</v>
      </c>
      <c r="J470" s="1" t="s">
        <v>19</v>
      </c>
      <c r="K470" s="1" t="s">
        <v>25</v>
      </c>
      <c r="L470" s="1">
        <v>17.5</v>
      </c>
      <c r="M470" s="1" t="s">
        <v>33</v>
      </c>
      <c r="N470" s="1" t="s">
        <v>65</v>
      </c>
      <c r="O470" s="1">
        <v>2.6141681787E11</v>
      </c>
    </row>
    <row r="471">
      <c r="A471" s="1">
        <v>2807507.0</v>
      </c>
      <c r="B471" s="1" t="s">
        <v>1205</v>
      </c>
      <c r="C471" s="1" t="b">
        <v>1</v>
      </c>
      <c r="D471" s="1" t="b">
        <v>1</v>
      </c>
      <c r="E471" s="1" t="s">
        <v>1206</v>
      </c>
      <c r="F471" s="1" t="s">
        <v>1207</v>
      </c>
      <c r="G471" s="2">
        <f>+251992798771</f>
        <v>251992798771</v>
      </c>
      <c r="H471" s="1" t="s">
        <v>18</v>
      </c>
      <c r="I471" s="1" t="s">
        <v>19</v>
      </c>
      <c r="J471" s="1" t="s">
        <v>19</v>
      </c>
      <c r="K471" s="1" t="s">
        <v>25</v>
      </c>
      <c r="L471" s="1">
        <v>23.46</v>
      </c>
      <c r="M471" s="1" t="s">
        <v>21</v>
      </c>
      <c r="O471" s="1">
        <v>2.61368611041E11</v>
      </c>
    </row>
    <row r="472">
      <c r="A472" s="1">
        <v>2808003.0</v>
      </c>
      <c r="B472" s="1" t="s">
        <v>1208</v>
      </c>
      <c r="C472" s="1" t="b">
        <v>1</v>
      </c>
      <c r="D472" s="1" t="b">
        <v>1</v>
      </c>
      <c r="E472" s="1" t="s">
        <v>1209</v>
      </c>
      <c r="F472" s="1" t="s">
        <v>1210</v>
      </c>
      <c r="G472" s="2">
        <f>+251967727865</f>
        <v>251967727865</v>
      </c>
      <c r="H472" s="1" t="s">
        <v>18</v>
      </c>
      <c r="I472" s="1" t="s">
        <v>19</v>
      </c>
      <c r="J472" s="1" t="s">
        <v>19</v>
      </c>
      <c r="K472" s="1" t="s">
        <v>25</v>
      </c>
      <c r="L472" s="1">
        <v>20.66</v>
      </c>
      <c r="M472" s="1" t="s">
        <v>33</v>
      </c>
      <c r="N472" s="1" t="s">
        <v>118</v>
      </c>
    </row>
    <row r="473">
      <c r="A473" s="1">
        <v>2807989.0</v>
      </c>
      <c r="B473" s="1" t="s">
        <v>1211</v>
      </c>
      <c r="C473" s="1" t="b">
        <v>0</v>
      </c>
      <c r="D473" s="1" t="b">
        <v>1</v>
      </c>
      <c r="E473" s="1" t="s">
        <v>1212</v>
      </c>
      <c r="F473" s="1" t="s">
        <v>916</v>
      </c>
      <c r="G473" s="2">
        <f>+251940816644</f>
        <v>251940816644</v>
      </c>
      <c r="H473" s="1" t="s">
        <v>18</v>
      </c>
      <c r="I473" s="1" t="s">
        <v>19</v>
      </c>
      <c r="J473" s="1" t="s">
        <v>19</v>
      </c>
      <c r="K473" s="1" t="s">
        <v>25</v>
      </c>
      <c r="L473" s="1">
        <v>25.36</v>
      </c>
      <c r="M473" s="1" t="s">
        <v>33</v>
      </c>
      <c r="N473" s="1" t="s">
        <v>76</v>
      </c>
      <c r="O473" s="1">
        <v>2.61477729518E11</v>
      </c>
    </row>
    <row r="474">
      <c r="A474" s="1">
        <v>2808044.0</v>
      </c>
      <c r="B474" s="1" t="s">
        <v>1213</v>
      </c>
      <c r="C474" s="1" t="b">
        <v>1</v>
      </c>
      <c r="D474" s="1" t="b">
        <v>1</v>
      </c>
      <c r="E474" s="1" t="s">
        <v>1214</v>
      </c>
      <c r="F474" s="1" t="s">
        <v>1215</v>
      </c>
      <c r="G474" s="2">
        <f>+25109091066</f>
        <v>25109091066</v>
      </c>
      <c r="H474" s="1" t="s">
        <v>18</v>
      </c>
      <c r="I474" s="1" t="s">
        <v>19</v>
      </c>
      <c r="J474" s="1" t="s">
        <v>19</v>
      </c>
      <c r="K474" s="1" t="s">
        <v>25</v>
      </c>
      <c r="L474" s="1">
        <v>21.44</v>
      </c>
      <c r="M474" s="1" t="s">
        <v>33</v>
      </c>
      <c r="N474" s="1" t="s">
        <v>118</v>
      </c>
    </row>
    <row r="475">
      <c r="A475" s="1">
        <v>2808383.0</v>
      </c>
      <c r="B475" s="1" t="s">
        <v>1216</v>
      </c>
      <c r="C475" s="1" t="b">
        <v>1</v>
      </c>
      <c r="D475" s="1" t="b">
        <v>1</v>
      </c>
      <c r="E475" s="1" t="s">
        <v>129</v>
      </c>
      <c r="F475" s="1" t="s">
        <v>213</v>
      </c>
      <c r="G475" s="2">
        <f>+251911064717</f>
        <v>251911064717</v>
      </c>
      <c r="H475" s="1" t="s">
        <v>18</v>
      </c>
      <c r="I475" s="1" t="s">
        <v>19</v>
      </c>
      <c r="J475" s="1" t="s">
        <v>19</v>
      </c>
      <c r="K475" s="1" t="s">
        <v>25</v>
      </c>
      <c r="L475" s="1">
        <v>27.98</v>
      </c>
      <c r="M475" s="1" t="s">
        <v>21</v>
      </c>
      <c r="O475" s="1">
        <v>3871993.0</v>
      </c>
    </row>
    <row r="476">
      <c r="A476" s="1">
        <v>2808873.0</v>
      </c>
      <c r="B476" s="1" t="s">
        <v>1217</v>
      </c>
      <c r="C476" s="1" t="b">
        <v>1</v>
      </c>
      <c r="D476" s="1" t="b">
        <v>1</v>
      </c>
      <c r="E476" s="1" t="s">
        <v>141</v>
      </c>
      <c r="F476" s="1" t="s">
        <v>91</v>
      </c>
      <c r="G476" s="2">
        <f>+251941565157</f>
        <v>251941565157</v>
      </c>
      <c r="H476" s="1" t="s">
        <v>18</v>
      </c>
      <c r="I476" s="1" t="s">
        <v>19</v>
      </c>
      <c r="J476" s="1" t="s">
        <v>19</v>
      </c>
      <c r="K476" s="1" t="s">
        <v>25</v>
      </c>
      <c r="L476" s="1">
        <v>24.15</v>
      </c>
      <c r="M476" s="1" t="s">
        <v>21</v>
      </c>
      <c r="O476" s="1">
        <v>2.61757149408E11</v>
      </c>
    </row>
    <row r="477">
      <c r="A477" s="1">
        <v>2808938.0</v>
      </c>
      <c r="B477" s="1" t="s">
        <v>1218</v>
      </c>
      <c r="C477" s="1" t="b">
        <v>1</v>
      </c>
      <c r="D477" s="1" t="b">
        <v>1</v>
      </c>
      <c r="E477" s="1" t="s">
        <v>213</v>
      </c>
      <c r="F477" s="1" t="s">
        <v>303</v>
      </c>
      <c r="G477" s="2">
        <f>+251943068306</f>
        <v>251943068306</v>
      </c>
      <c r="H477" s="1" t="s">
        <v>18</v>
      </c>
      <c r="I477" s="1" t="s">
        <v>19</v>
      </c>
      <c r="J477" s="1" t="s">
        <v>19</v>
      </c>
      <c r="K477" s="1" t="s">
        <v>25</v>
      </c>
      <c r="L477" s="1">
        <v>22.54</v>
      </c>
      <c r="M477" s="1" t="s">
        <v>21</v>
      </c>
      <c r="O477" s="1">
        <v>2.61765489867E11</v>
      </c>
    </row>
    <row r="478">
      <c r="A478" s="1">
        <v>2808983.0</v>
      </c>
      <c r="B478" s="1" t="s">
        <v>1219</v>
      </c>
      <c r="C478" s="1" t="b">
        <v>1</v>
      </c>
      <c r="D478" s="1" t="b">
        <v>1</v>
      </c>
      <c r="E478" s="1" t="s">
        <v>1220</v>
      </c>
      <c r="F478" s="1" t="s">
        <v>189</v>
      </c>
      <c r="G478" s="2">
        <f>+251939396289</f>
        <v>251939396289</v>
      </c>
      <c r="H478" s="1" t="s">
        <v>18</v>
      </c>
      <c r="I478" s="1" t="s">
        <v>19</v>
      </c>
      <c r="J478" s="1" t="s">
        <v>19</v>
      </c>
      <c r="K478" s="1" t="s">
        <v>20</v>
      </c>
      <c r="L478" s="1">
        <v>19.31</v>
      </c>
      <c r="M478" s="1" t="s">
        <v>33</v>
      </c>
      <c r="N478" s="1" t="s">
        <v>65</v>
      </c>
      <c r="O478" s="1">
        <v>2.61802209502E11</v>
      </c>
    </row>
    <row r="479">
      <c r="A479" s="1">
        <v>2809079.0</v>
      </c>
      <c r="B479" s="1" t="s">
        <v>1221</v>
      </c>
      <c r="C479" s="1" t="b">
        <v>1</v>
      </c>
      <c r="D479" s="1" t="b">
        <v>1</v>
      </c>
      <c r="E479" s="1" t="s">
        <v>1222</v>
      </c>
      <c r="F479" s="1" t="s">
        <v>1223</v>
      </c>
      <c r="G479" s="2">
        <f>+251919978449</f>
        <v>251919978449</v>
      </c>
      <c r="H479" s="1" t="s">
        <v>72</v>
      </c>
      <c r="I479" s="1" t="s">
        <v>19</v>
      </c>
      <c r="J479" s="1" t="s">
        <v>19</v>
      </c>
      <c r="K479" s="1" t="s">
        <v>25</v>
      </c>
      <c r="L479" s="1">
        <v>21.6</v>
      </c>
      <c r="M479" s="1" t="s">
        <v>21</v>
      </c>
      <c r="O479" s="1">
        <v>2.61807262945E11</v>
      </c>
    </row>
    <row r="480">
      <c r="A480" s="1">
        <v>2809429.0</v>
      </c>
      <c r="B480" s="1" t="s">
        <v>1224</v>
      </c>
      <c r="C480" s="1" t="b">
        <v>1</v>
      </c>
      <c r="D480" s="1" t="b">
        <v>1</v>
      </c>
      <c r="E480" s="1" t="s">
        <v>188</v>
      </c>
      <c r="F480" s="1" t="s">
        <v>108</v>
      </c>
      <c r="G480" s="2">
        <f>+251969699980</f>
        <v>251969699980</v>
      </c>
      <c r="H480" s="1" t="s">
        <v>18</v>
      </c>
      <c r="I480" s="1" t="s">
        <v>19</v>
      </c>
      <c r="J480" s="1" t="s">
        <v>19</v>
      </c>
      <c r="K480" s="1" t="s">
        <v>25</v>
      </c>
      <c r="L480" s="1">
        <v>23.17</v>
      </c>
      <c r="M480" s="1" t="s">
        <v>21</v>
      </c>
      <c r="O480" s="1">
        <v>2.61909357771E11</v>
      </c>
    </row>
    <row r="481">
      <c r="A481" s="1">
        <v>1823435.0</v>
      </c>
      <c r="B481" s="1" t="s">
        <v>1225</v>
      </c>
      <c r="C481" s="1" t="b">
        <v>1</v>
      </c>
      <c r="D481" s="1" t="b">
        <v>1</v>
      </c>
      <c r="E481" s="1" t="s">
        <v>101</v>
      </c>
      <c r="F481" s="1" t="s">
        <v>341</v>
      </c>
      <c r="G481" s="2">
        <f>+251954530610</f>
        <v>251954530610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20.85</v>
      </c>
      <c r="M481" s="1" t="s">
        <v>21</v>
      </c>
      <c r="O481" s="1">
        <v>2.4941074E7</v>
      </c>
    </row>
    <row r="482">
      <c r="A482" s="1">
        <v>2809571.0</v>
      </c>
      <c r="B482" s="1" t="s">
        <v>1226</v>
      </c>
      <c r="C482" s="1" t="b">
        <v>1</v>
      </c>
      <c r="D482" s="1" t="b">
        <v>1</v>
      </c>
      <c r="E482" s="1" t="s">
        <v>204</v>
      </c>
      <c r="F482" s="1" t="s">
        <v>425</v>
      </c>
      <c r="G482" s="2">
        <f>+251945777725</f>
        <v>251945777725</v>
      </c>
      <c r="H482" s="1" t="s">
        <v>72</v>
      </c>
      <c r="I482" s="1" t="s">
        <v>19</v>
      </c>
      <c r="J482" s="1" t="s">
        <v>19</v>
      </c>
      <c r="K482" s="1" t="s">
        <v>25</v>
      </c>
      <c r="L482" s="1">
        <v>34.15</v>
      </c>
      <c r="M482" s="1" t="s">
        <v>21</v>
      </c>
      <c r="O482" s="1">
        <v>2.61912310971E11</v>
      </c>
    </row>
    <row r="483">
      <c r="A483" s="1">
        <v>2810159.0</v>
      </c>
      <c r="B483" s="1" t="s">
        <v>1227</v>
      </c>
      <c r="C483" s="1" t="b">
        <v>0</v>
      </c>
      <c r="D483" s="1" t="b">
        <v>1</v>
      </c>
      <c r="E483" s="1" t="s">
        <v>455</v>
      </c>
      <c r="F483" s="1" t="s">
        <v>1228</v>
      </c>
      <c r="G483" s="2">
        <f>+251926817550</f>
        <v>251926817550</v>
      </c>
      <c r="H483" s="1" t="s">
        <v>18</v>
      </c>
      <c r="I483" s="1" t="s">
        <v>19</v>
      </c>
      <c r="J483" s="1" t="s">
        <v>19</v>
      </c>
      <c r="K483" s="1" t="s">
        <v>25</v>
      </c>
      <c r="L483" s="1">
        <v>31.37</v>
      </c>
      <c r="M483" s="1" t="s">
        <v>33</v>
      </c>
      <c r="N483" s="1" t="s">
        <v>34</v>
      </c>
      <c r="O483" s="1">
        <v>2.62034947315E11</v>
      </c>
    </row>
    <row r="484">
      <c r="A484" s="1">
        <v>2810169.0</v>
      </c>
      <c r="B484" s="1" t="s">
        <v>1229</v>
      </c>
      <c r="C484" s="1" t="b">
        <v>1</v>
      </c>
      <c r="D484" s="1" t="b">
        <v>1</v>
      </c>
      <c r="E484" s="1" t="s">
        <v>1230</v>
      </c>
      <c r="F484" s="1" t="s">
        <v>1056</v>
      </c>
      <c r="G484" s="2">
        <f>+251963634813</f>
        <v>251963634813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22.97</v>
      </c>
      <c r="M484" s="1" t="s">
        <v>21</v>
      </c>
    </row>
    <row r="485">
      <c r="A485" s="1">
        <v>2507640.0</v>
      </c>
      <c r="B485" s="1" t="s">
        <v>1231</v>
      </c>
      <c r="C485" s="1" t="b">
        <v>1</v>
      </c>
      <c r="D485" s="1" t="b">
        <v>1</v>
      </c>
      <c r="E485" s="1" t="s">
        <v>1098</v>
      </c>
      <c r="F485" s="1" t="s">
        <v>1232</v>
      </c>
      <c r="G485" s="2">
        <f>+251976065993</f>
        <v>251976065993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19.03</v>
      </c>
      <c r="M485" s="1" t="s">
        <v>33</v>
      </c>
      <c r="N485" s="1" t="s">
        <v>118</v>
      </c>
    </row>
    <row r="486">
      <c r="A486" s="1">
        <v>2810289.0</v>
      </c>
      <c r="B486" s="1" t="s">
        <v>1233</v>
      </c>
      <c r="C486" s="1" t="b">
        <v>1</v>
      </c>
      <c r="D486" s="1" t="b">
        <v>1</v>
      </c>
      <c r="E486" s="1" t="s">
        <v>1234</v>
      </c>
      <c r="F486" s="1" t="s">
        <v>1235</v>
      </c>
      <c r="G486" s="2">
        <f>+251939208863</f>
        <v>251939208863</v>
      </c>
      <c r="H486" s="1" t="s">
        <v>18</v>
      </c>
      <c r="I486" s="1" t="s">
        <v>19</v>
      </c>
      <c r="J486" s="1" t="s">
        <v>19</v>
      </c>
      <c r="K486" s="1" t="s">
        <v>25</v>
      </c>
      <c r="L486" s="1">
        <v>21.57</v>
      </c>
      <c r="M486" s="1" t="s">
        <v>21</v>
      </c>
      <c r="O486" s="1">
        <v>8522916.0</v>
      </c>
    </row>
    <row r="487">
      <c r="A487" s="1">
        <v>2810399.0</v>
      </c>
      <c r="B487" s="1" t="s">
        <v>1236</v>
      </c>
      <c r="C487" s="1" t="b">
        <v>1</v>
      </c>
      <c r="D487" s="1" t="b">
        <v>0</v>
      </c>
      <c r="E487" s="1" t="s">
        <v>110</v>
      </c>
      <c r="F487" s="1" t="s">
        <v>1237</v>
      </c>
      <c r="G487" s="2">
        <f>+251930125489</f>
        <v>251930125489</v>
      </c>
      <c r="H487" s="1" t="s">
        <v>58</v>
      </c>
      <c r="I487" s="1" t="s">
        <v>19</v>
      </c>
      <c r="J487" s="1" t="s">
        <v>19</v>
      </c>
      <c r="K487" s="1" t="s">
        <v>25</v>
      </c>
      <c r="L487" s="1">
        <v>19.75</v>
      </c>
      <c r="M487" s="1" t="s">
        <v>21</v>
      </c>
      <c r="O487" s="1">
        <v>2.62053889268E11</v>
      </c>
    </row>
    <row r="488">
      <c r="A488" s="1">
        <v>2810445.0</v>
      </c>
      <c r="B488" s="1" t="s">
        <v>1238</v>
      </c>
      <c r="C488" s="1" t="b">
        <v>1</v>
      </c>
      <c r="D488" s="1" t="b">
        <v>1</v>
      </c>
      <c r="E488" s="1" t="s">
        <v>1239</v>
      </c>
      <c r="F488" s="1" t="s">
        <v>459</v>
      </c>
      <c r="G488" s="2">
        <f>+251913163232</f>
        <v>251913163232</v>
      </c>
      <c r="H488" s="1" t="s">
        <v>392</v>
      </c>
      <c r="I488" s="1" t="s">
        <v>19</v>
      </c>
      <c r="J488" s="1" t="s">
        <v>19</v>
      </c>
      <c r="K488" s="1" t="s">
        <v>25</v>
      </c>
      <c r="L488" s="1">
        <v>30.41</v>
      </c>
      <c r="M488" s="1" t="s">
        <v>21</v>
      </c>
      <c r="O488" s="1">
        <v>2.620915192E11</v>
      </c>
    </row>
    <row r="489">
      <c r="A489" s="1">
        <v>2810689.0</v>
      </c>
      <c r="B489" s="1" t="s">
        <v>1240</v>
      </c>
      <c r="C489" s="1" t="b">
        <v>1</v>
      </c>
      <c r="D489" s="1" t="b">
        <v>1</v>
      </c>
      <c r="E489" s="1" t="s">
        <v>1068</v>
      </c>
      <c r="F489" s="1" t="s">
        <v>896</v>
      </c>
      <c r="G489" s="2">
        <f>+251937941316</f>
        <v>251937941316</v>
      </c>
      <c r="H489" s="1" t="s">
        <v>18</v>
      </c>
      <c r="I489" s="1" t="s">
        <v>19</v>
      </c>
      <c r="J489" s="1" t="s">
        <v>19</v>
      </c>
      <c r="K489" s="1" t="s">
        <v>25</v>
      </c>
      <c r="L489" s="1">
        <v>18.61</v>
      </c>
      <c r="M489" s="1" t="s">
        <v>21</v>
      </c>
      <c r="O489" s="1">
        <v>2.62142854342E11</v>
      </c>
    </row>
    <row r="490">
      <c r="A490" s="1">
        <v>2811108.0</v>
      </c>
      <c r="B490" s="1" t="s">
        <v>1241</v>
      </c>
      <c r="C490" s="1" t="b">
        <v>1</v>
      </c>
      <c r="D490" s="1" t="b">
        <v>1</v>
      </c>
      <c r="E490" s="1" t="s">
        <v>1242</v>
      </c>
      <c r="F490" s="1" t="s">
        <v>114</v>
      </c>
      <c r="G490" s="2">
        <f>+251940563589</f>
        <v>251940563589</v>
      </c>
      <c r="H490" s="1" t="s">
        <v>18</v>
      </c>
      <c r="I490" s="1" t="s">
        <v>19</v>
      </c>
      <c r="J490" s="1" t="s">
        <v>19</v>
      </c>
      <c r="K490" s="1" t="s">
        <v>25</v>
      </c>
      <c r="L490" s="1">
        <v>20.02</v>
      </c>
      <c r="M490" s="1" t="s">
        <v>33</v>
      </c>
      <c r="N490" s="1" t="s">
        <v>65</v>
      </c>
    </row>
    <row r="491">
      <c r="A491" s="1">
        <v>2811258.0</v>
      </c>
      <c r="B491" s="1" t="s">
        <v>1243</v>
      </c>
      <c r="C491" s="1" t="b">
        <v>1</v>
      </c>
      <c r="D491" s="1" t="b">
        <v>1</v>
      </c>
      <c r="E491" s="1" t="s">
        <v>1244</v>
      </c>
      <c r="F491" s="1" t="s">
        <v>1245</v>
      </c>
      <c r="G491" s="2">
        <f>+251934437389</f>
        <v>251934437389</v>
      </c>
      <c r="H491" s="1" t="s">
        <v>18</v>
      </c>
      <c r="I491" s="1" t="s">
        <v>19</v>
      </c>
      <c r="J491" s="1" t="s">
        <v>19</v>
      </c>
      <c r="K491" s="1" t="s">
        <v>25</v>
      </c>
      <c r="L491" s="1">
        <v>26.19</v>
      </c>
      <c r="M491" s="1" t="s">
        <v>21</v>
      </c>
    </row>
    <row r="492">
      <c r="A492" s="1">
        <v>288443.0</v>
      </c>
      <c r="B492" s="1" t="s">
        <v>1246</v>
      </c>
      <c r="C492" s="1" t="b">
        <v>1</v>
      </c>
      <c r="D492" s="1" t="b">
        <v>1</v>
      </c>
      <c r="E492" s="1" t="s">
        <v>1247</v>
      </c>
      <c r="F492" s="1" t="s">
        <v>51</v>
      </c>
      <c r="G492" s="1">
        <v>9.30070644E8</v>
      </c>
      <c r="H492" s="1" t="s">
        <v>18</v>
      </c>
      <c r="I492" s="1" t="s">
        <v>19</v>
      </c>
      <c r="J492" s="1" t="s">
        <v>19</v>
      </c>
      <c r="K492" s="1" t="s">
        <v>25</v>
      </c>
      <c r="L492" s="1">
        <v>22.98</v>
      </c>
      <c r="M492" s="1" t="s">
        <v>33</v>
      </c>
      <c r="N492" s="1" t="s">
        <v>34</v>
      </c>
      <c r="O492" s="1">
        <v>8871536.0</v>
      </c>
    </row>
    <row r="493">
      <c r="A493" s="1">
        <v>1192378.0</v>
      </c>
      <c r="B493" s="1" t="s">
        <v>1248</v>
      </c>
      <c r="C493" s="1" t="b">
        <v>1</v>
      </c>
      <c r="D493" s="1" t="b">
        <v>1</v>
      </c>
      <c r="E493" s="1" t="s">
        <v>844</v>
      </c>
      <c r="F493" s="1" t="s">
        <v>829</v>
      </c>
      <c r="G493" s="2">
        <f>+251943091493</f>
        <v>251943091493</v>
      </c>
      <c r="H493" s="1" t="s">
        <v>18</v>
      </c>
      <c r="I493" s="1" t="s">
        <v>19</v>
      </c>
      <c r="J493" s="1" t="s">
        <v>19</v>
      </c>
      <c r="K493" s="1" t="s">
        <v>25</v>
      </c>
      <c r="L493" s="1">
        <v>21.58</v>
      </c>
      <c r="M493" s="1" t="s">
        <v>21</v>
      </c>
      <c r="O493" s="1">
        <v>8.664590798E9</v>
      </c>
    </row>
    <row r="494">
      <c r="A494" s="1">
        <v>2811504.0</v>
      </c>
      <c r="B494" s="1" t="s">
        <v>1249</v>
      </c>
      <c r="C494" s="1" t="b">
        <v>1</v>
      </c>
      <c r="D494" s="1" t="b">
        <v>1</v>
      </c>
      <c r="E494" s="1" t="s">
        <v>1250</v>
      </c>
      <c r="F494" s="1" t="s">
        <v>1251</v>
      </c>
      <c r="G494" s="2">
        <f>+251944194430</f>
        <v>251944194430</v>
      </c>
      <c r="H494" s="1" t="s">
        <v>18</v>
      </c>
      <c r="I494" s="1" t="s">
        <v>19</v>
      </c>
      <c r="J494" s="1" t="s">
        <v>19</v>
      </c>
      <c r="K494" s="1" t="s">
        <v>25</v>
      </c>
      <c r="L494" s="1">
        <v>25.97</v>
      </c>
      <c r="M494" s="1" t="s">
        <v>21</v>
      </c>
      <c r="O494" s="1">
        <v>8831565.0</v>
      </c>
    </row>
    <row r="495">
      <c r="A495" s="1">
        <v>2811685.0</v>
      </c>
      <c r="B495" s="1" t="s">
        <v>1252</v>
      </c>
      <c r="C495" s="1" t="b">
        <v>1</v>
      </c>
      <c r="D495" s="1" t="b">
        <v>1</v>
      </c>
      <c r="E495" s="1" t="s">
        <v>1253</v>
      </c>
      <c r="F495" s="1" t="s">
        <v>1254</v>
      </c>
      <c r="G495" s="2">
        <f>+251960759400</f>
        <v>251960759400</v>
      </c>
      <c r="H495" s="1" t="s">
        <v>18</v>
      </c>
      <c r="I495" s="1" t="s">
        <v>19</v>
      </c>
      <c r="J495" s="1" t="s">
        <v>19</v>
      </c>
      <c r="K495" s="1" t="s">
        <v>25</v>
      </c>
      <c r="L495" s="1">
        <v>18.4</v>
      </c>
      <c r="M495" s="1" t="s">
        <v>21</v>
      </c>
    </row>
    <row r="496">
      <c r="A496" s="1">
        <v>2812125.0</v>
      </c>
      <c r="B496" s="1" t="s">
        <v>1255</v>
      </c>
      <c r="C496" s="1" t="b">
        <v>1</v>
      </c>
      <c r="D496" s="1" t="b">
        <v>1</v>
      </c>
      <c r="E496" s="1" t="s">
        <v>1256</v>
      </c>
      <c r="F496" s="1" t="s">
        <v>1257</v>
      </c>
      <c r="G496" s="2">
        <f>+251993200690</f>
        <v>251993200690</v>
      </c>
      <c r="H496" s="1" t="s">
        <v>18</v>
      </c>
      <c r="I496" s="1" t="s">
        <v>19</v>
      </c>
      <c r="J496" s="1" t="s">
        <v>19</v>
      </c>
      <c r="K496" s="1" t="s">
        <v>25</v>
      </c>
      <c r="L496" s="1">
        <v>21.01</v>
      </c>
      <c r="M496" s="1" t="s">
        <v>21</v>
      </c>
      <c r="O496" s="1">
        <v>2.62350076108E11</v>
      </c>
    </row>
    <row r="497">
      <c r="A497" s="1">
        <v>1936067.0</v>
      </c>
      <c r="B497" s="1" t="s">
        <v>1258</v>
      </c>
      <c r="C497" s="1" t="b">
        <v>1</v>
      </c>
      <c r="D497" s="1" t="b">
        <v>1</v>
      </c>
      <c r="E497" s="1" t="s">
        <v>1259</v>
      </c>
      <c r="F497" s="1" t="s">
        <v>1260</v>
      </c>
      <c r="G497" s="2">
        <f>+251973872703</f>
        <v>251973872703</v>
      </c>
      <c r="H497" s="1" t="s">
        <v>18</v>
      </c>
      <c r="I497" s="1" t="s">
        <v>19</v>
      </c>
      <c r="J497" s="1" t="s">
        <v>19</v>
      </c>
      <c r="K497" s="1" t="s">
        <v>25</v>
      </c>
      <c r="L497" s="1">
        <v>23.33</v>
      </c>
      <c r="M497" s="1" t="s">
        <v>21</v>
      </c>
      <c r="O497" s="1">
        <v>2.7049448691E10</v>
      </c>
    </row>
    <row r="498">
      <c r="A498" s="1">
        <v>2812220.0</v>
      </c>
      <c r="B498" s="1" t="s">
        <v>1261</v>
      </c>
      <c r="C498" s="1" t="b">
        <v>1</v>
      </c>
      <c r="D498" s="1" t="b">
        <v>0</v>
      </c>
      <c r="E498" s="1" t="s">
        <v>1262</v>
      </c>
      <c r="F498" s="1" t="s">
        <v>255</v>
      </c>
      <c r="G498" s="2">
        <f>+251923480799</f>
        <v>251923480799</v>
      </c>
      <c r="H498" s="1" t="s">
        <v>18</v>
      </c>
      <c r="I498" s="1" t="s">
        <v>19</v>
      </c>
      <c r="J498" s="1" t="s">
        <v>19</v>
      </c>
      <c r="K498" s="1" t="s">
        <v>25</v>
      </c>
      <c r="L498" s="1">
        <v>19.76</v>
      </c>
      <c r="M498" s="1" t="s">
        <v>33</v>
      </c>
      <c r="N498" s="1" t="s">
        <v>177</v>
      </c>
      <c r="O498" s="1">
        <v>2.54520673496E11</v>
      </c>
    </row>
    <row r="499">
      <c r="A499" s="1">
        <v>2811688.0</v>
      </c>
      <c r="B499" s="1" t="s">
        <v>1263</v>
      </c>
      <c r="C499" s="1" t="b">
        <v>1</v>
      </c>
      <c r="D499" s="1" t="b">
        <v>1</v>
      </c>
      <c r="E499" s="1" t="s">
        <v>116</v>
      </c>
      <c r="F499" s="1" t="s">
        <v>1264</v>
      </c>
      <c r="G499" s="2">
        <f>+251993592990</f>
        <v>251993592990</v>
      </c>
      <c r="H499" s="1" t="s">
        <v>18</v>
      </c>
      <c r="I499" s="1" t="s">
        <v>19</v>
      </c>
      <c r="J499" s="1" t="s">
        <v>19</v>
      </c>
      <c r="K499" s="1" t="s">
        <v>25</v>
      </c>
      <c r="L499" s="1">
        <v>23.98</v>
      </c>
      <c r="M499" s="1" t="s">
        <v>33</v>
      </c>
      <c r="N499" s="1" t="s">
        <v>166</v>
      </c>
      <c r="O499" s="1">
        <v>2.62268060873E11</v>
      </c>
    </row>
    <row r="500">
      <c r="A500" s="1">
        <v>2812350.0</v>
      </c>
      <c r="B500" s="1" t="s">
        <v>1265</v>
      </c>
      <c r="C500" s="1" t="b">
        <v>1</v>
      </c>
      <c r="D500" s="1" t="b">
        <v>1</v>
      </c>
      <c r="E500" s="1" t="s">
        <v>1266</v>
      </c>
      <c r="F500" s="1" t="s">
        <v>1267</v>
      </c>
      <c r="G500" s="2">
        <f>+251903110946</f>
        <v>251903110946</v>
      </c>
      <c r="H500" s="1" t="s">
        <v>18</v>
      </c>
      <c r="I500" s="1" t="s">
        <v>19</v>
      </c>
      <c r="J500" s="1" t="s">
        <v>19</v>
      </c>
      <c r="K500" s="1" t="s">
        <v>20</v>
      </c>
      <c r="L500" s="1">
        <v>22.5</v>
      </c>
      <c r="M500" s="1" t="s">
        <v>21</v>
      </c>
      <c r="O500" s="1">
        <v>2.62318894281E11</v>
      </c>
    </row>
    <row r="501">
      <c r="A501" s="1">
        <v>2812362.0</v>
      </c>
      <c r="B501" s="1" t="s">
        <v>1268</v>
      </c>
      <c r="C501" s="1" t="b">
        <v>0</v>
      </c>
      <c r="D501" s="1" t="b">
        <v>1</v>
      </c>
      <c r="E501" s="1" t="s">
        <v>1269</v>
      </c>
      <c r="F501" s="1" t="s">
        <v>1270</v>
      </c>
      <c r="G501" s="2">
        <f>+251996868720</f>
        <v>251996868720</v>
      </c>
      <c r="H501" s="1" t="s">
        <v>18</v>
      </c>
      <c r="I501" s="1" t="s">
        <v>19</v>
      </c>
      <c r="J501" s="1" t="s">
        <v>19</v>
      </c>
      <c r="K501" s="1" t="s">
        <v>25</v>
      </c>
      <c r="L501" s="1">
        <v>20.22</v>
      </c>
      <c r="M501" s="1" t="s">
        <v>33</v>
      </c>
      <c r="N501" s="1" t="s">
        <v>177</v>
      </c>
      <c r="O501" s="1">
        <v>2.6232132936E11</v>
      </c>
    </row>
    <row r="502">
      <c r="A502" s="1">
        <v>2812590.0</v>
      </c>
      <c r="B502" s="1" t="s">
        <v>1271</v>
      </c>
      <c r="C502" s="1" t="b">
        <v>1</v>
      </c>
      <c r="D502" s="1" t="b">
        <v>1</v>
      </c>
      <c r="E502" s="1" t="s">
        <v>1272</v>
      </c>
      <c r="F502" s="1" t="s">
        <v>1116</v>
      </c>
      <c r="G502" s="2">
        <f>+251938730295</f>
        <v>251938730295</v>
      </c>
      <c r="H502" s="1" t="s">
        <v>18</v>
      </c>
      <c r="I502" s="1" t="s">
        <v>19</v>
      </c>
      <c r="J502" s="1" t="s">
        <v>19</v>
      </c>
      <c r="K502" s="1" t="s">
        <v>25</v>
      </c>
      <c r="L502" s="1">
        <v>24.47</v>
      </c>
      <c r="M502" s="1" t="s">
        <v>33</v>
      </c>
      <c r="N502" s="1" t="s">
        <v>34</v>
      </c>
      <c r="O502" s="1">
        <v>2.62328114416E11</v>
      </c>
    </row>
    <row r="503">
      <c r="A503" s="1">
        <v>2812646.0</v>
      </c>
      <c r="B503" s="1" t="s">
        <v>1273</v>
      </c>
      <c r="C503" s="1" t="b">
        <v>0</v>
      </c>
      <c r="D503" s="1" t="b">
        <v>1</v>
      </c>
      <c r="E503" s="1" t="s">
        <v>1274</v>
      </c>
      <c r="F503" s="1" t="s">
        <v>487</v>
      </c>
      <c r="G503" s="2">
        <f>+251941175699</f>
        <v>251941175699</v>
      </c>
      <c r="H503" s="1" t="s">
        <v>18</v>
      </c>
      <c r="I503" s="1" t="s">
        <v>19</v>
      </c>
      <c r="J503" s="1" t="s">
        <v>19</v>
      </c>
      <c r="K503" s="1" t="s">
        <v>25</v>
      </c>
      <c r="L503" s="1">
        <v>23.15</v>
      </c>
      <c r="M503" s="1" t="s">
        <v>26</v>
      </c>
      <c r="O503" s="1">
        <v>2.62394216678E11</v>
      </c>
    </row>
    <row r="504">
      <c r="A504" s="1">
        <v>2812695.0</v>
      </c>
      <c r="B504" s="1" t="s">
        <v>1275</v>
      </c>
      <c r="C504" s="1" t="b">
        <v>1</v>
      </c>
      <c r="D504" s="1" t="b">
        <v>1</v>
      </c>
      <c r="E504" s="1" t="s">
        <v>1276</v>
      </c>
      <c r="F504" s="1" t="s">
        <v>141</v>
      </c>
      <c r="G504" s="2">
        <f>+251706608353</f>
        <v>251706608353</v>
      </c>
      <c r="H504" s="1" t="s">
        <v>18</v>
      </c>
      <c r="I504" s="1" t="s">
        <v>19</v>
      </c>
      <c r="J504" s="1" t="s">
        <v>19</v>
      </c>
      <c r="K504" s="1" t="s">
        <v>25</v>
      </c>
      <c r="L504" s="1">
        <v>22.55</v>
      </c>
      <c r="M504" s="1" t="s">
        <v>21</v>
      </c>
      <c r="O504" s="1">
        <v>2.6233639959E11</v>
      </c>
    </row>
    <row r="505">
      <c r="A505" s="1">
        <v>2810318.0</v>
      </c>
      <c r="B505" s="1" t="s">
        <v>1277</v>
      </c>
      <c r="C505" s="1" t="b">
        <v>1</v>
      </c>
      <c r="D505" s="1" t="b">
        <v>1</v>
      </c>
      <c r="E505" s="1" t="s">
        <v>438</v>
      </c>
      <c r="F505" s="1" t="s">
        <v>1278</v>
      </c>
      <c r="G505" s="2">
        <f>+251966000223</f>
        <v>251966000223</v>
      </c>
      <c r="H505" s="1" t="s">
        <v>488</v>
      </c>
      <c r="I505" s="1" t="s">
        <v>19</v>
      </c>
      <c r="J505" s="1" t="s">
        <v>19</v>
      </c>
      <c r="K505" s="1" t="s">
        <v>25</v>
      </c>
      <c r="L505" s="1">
        <v>22.56</v>
      </c>
      <c r="M505" s="1" t="s">
        <v>21</v>
      </c>
      <c r="O505" s="1">
        <v>2.62075202751E11</v>
      </c>
    </row>
    <row r="506">
      <c r="A506" s="1">
        <v>1473070.0</v>
      </c>
      <c r="B506" s="1" t="s">
        <v>1279</v>
      </c>
      <c r="C506" s="1" t="b">
        <v>1</v>
      </c>
      <c r="D506" s="1" t="b">
        <v>1</v>
      </c>
      <c r="E506" s="1" t="s">
        <v>1280</v>
      </c>
      <c r="F506" s="1" t="s">
        <v>1281</v>
      </c>
      <c r="G506" s="2">
        <f>+251969470224</f>
        <v>251969470224</v>
      </c>
      <c r="H506" s="1" t="s">
        <v>18</v>
      </c>
      <c r="I506" s="1" t="s">
        <v>19</v>
      </c>
      <c r="J506" s="1" t="s">
        <v>19</v>
      </c>
      <c r="K506" s="1" t="s">
        <v>25</v>
      </c>
      <c r="L506" s="1">
        <v>25.44</v>
      </c>
      <c r="M506" s="1" t="s">
        <v>33</v>
      </c>
      <c r="N506" s="1" t="s">
        <v>76</v>
      </c>
      <c r="O506" s="1">
        <v>5867827.0</v>
      </c>
    </row>
    <row r="507">
      <c r="A507" s="1">
        <v>1650492.0</v>
      </c>
      <c r="B507" s="1" t="s">
        <v>1282</v>
      </c>
      <c r="C507" s="1" t="b">
        <v>1</v>
      </c>
      <c r="D507" s="1" t="b">
        <v>1</v>
      </c>
      <c r="E507" s="1" t="s">
        <v>1283</v>
      </c>
      <c r="F507" s="1" t="s">
        <v>1161</v>
      </c>
      <c r="G507" s="2">
        <f>+251953987869</f>
        <v>251953987869</v>
      </c>
      <c r="H507" s="1" t="s">
        <v>18</v>
      </c>
      <c r="I507" s="1" t="s">
        <v>19</v>
      </c>
      <c r="J507" s="1" t="s">
        <v>19</v>
      </c>
      <c r="K507" s="1" t="s">
        <v>25</v>
      </c>
      <c r="L507" s="1">
        <v>22.26</v>
      </c>
      <c r="M507" s="1" t="s">
        <v>21</v>
      </c>
      <c r="O507" s="1">
        <v>2.0817441988E10</v>
      </c>
    </row>
    <row r="508">
      <c r="A508" s="1">
        <v>2444851.0</v>
      </c>
      <c r="B508" s="1" t="s">
        <v>1284</v>
      </c>
      <c r="C508" s="1" t="b">
        <v>1</v>
      </c>
      <c r="D508" s="1" t="b">
        <v>1</v>
      </c>
      <c r="E508" s="1" t="s">
        <v>1285</v>
      </c>
      <c r="F508" s="1" t="s">
        <v>47</v>
      </c>
      <c r="G508" s="2">
        <f>+251924555706</f>
        <v>251924555706</v>
      </c>
      <c r="H508" s="1" t="s">
        <v>18</v>
      </c>
      <c r="I508" s="1" t="s">
        <v>19</v>
      </c>
      <c r="J508" s="1" t="s">
        <v>19</v>
      </c>
      <c r="K508" s="1" t="s">
        <v>25</v>
      </c>
      <c r="L508" s="1">
        <v>22.44</v>
      </c>
      <c r="M508" s="1" t="s">
        <v>33</v>
      </c>
      <c r="N508" s="1" t="s">
        <v>34</v>
      </c>
      <c r="O508" s="1">
        <v>1.06001687765E11</v>
      </c>
    </row>
    <row r="509">
      <c r="A509" s="1">
        <v>2814113.0</v>
      </c>
      <c r="B509" s="1" t="s">
        <v>1286</v>
      </c>
      <c r="C509" s="1" t="b">
        <v>1</v>
      </c>
      <c r="D509" s="1" t="b">
        <v>1</v>
      </c>
      <c r="E509" s="1" t="s">
        <v>517</v>
      </c>
      <c r="F509" s="1" t="s">
        <v>510</v>
      </c>
      <c r="G509" s="2">
        <f>+251993943189</f>
        <v>251993943189</v>
      </c>
      <c r="H509" s="1" t="s">
        <v>18</v>
      </c>
      <c r="I509" s="1" t="s">
        <v>19</v>
      </c>
      <c r="J509" s="1" t="s">
        <v>19</v>
      </c>
      <c r="K509" s="1" t="s">
        <v>25</v>
      </c>
      <c r="L509" s="1">
        <v>22.97</v>
      </c>
      <c r="M509" s="1" t="s">
        <v>21</v>
      </c>
    </row>
    <row r="510">
      <c r="A510" s="1">
        <v>1267014.0</v>
      </c>
      <c r="B510" s="1" t="s">
        <v>1287</v>
      </c>
      <c r="C510" s="1" t="b">
        <v>1</v>
      </c>
      <c r="D510" s="1" t="b">
        <v>1</v>
      </c>
      <c r="E510" s="1" t="s">
        <v>1148</v>
      </c>
      <c r="F510" s="1" t="s">
        <v>497</v>
      </c>
      <c r="G510" s="2">
        <f>+251943142667</f>
        <v>251943142667</v>
      </c>
      <c r="H510" s="1" t="s">
        <v>18</v>
      </c>
      <c r="I510" s="1" t="s">
        <v>19</v>
      </c>
      <c r="J510" s="1" t="s">
        <v>19</v>
      </c>
      <c r="K510" s="1" t="s">
        <v>20</v>
      </c>
      <c r="L510" s="1">
        <v>23.11</v>
      </c>
      <c r="M510" s="1" t="s">
        <v>33</v>
      </c>
      <c r="N510" s="1" t="s">
        <v>177</v>
      </c>
      <c r="O510" s="1">
        <v>3765038.0</v>
      </c>
    </row>
    <row r="511">
      <c r="A511" s="1">
        <v>1266150.0</v>
      </c>
      <c r="B511" s="1" t="s">
        <v>1288</v>
      </c>
      <c r="C511" s="1" t="b">
        <v>1</v>
      </c>
      <c r="D511" s="1" t="b">
        <v>1</v>
      </c>
      <c r="E511" s="1" t="s">
        <v>577</v>
      </c>
      <c r="F511" s="1" t="s">
        <v>292</v>
      </c>
      <c r="G511" s="2">
        <f>+251976211773</f>
        <v>251976211773</v>
      </c>
      <c r="H511" s="1" t="s">
        <v>58</v>
      </c>
      <c r="I511" s="1" t="s">
        <v>19</v>
      </c>
      <c r="J511" s="1" t="s">
        <v>19</v>
      </c>
      <c r="K511" s="1" t="s">
        <v>25</v>
      </c>
      <c r="L511" s="1">
        <v>20.76</v>
      </c>
      <c r="M511" s="1" t="s">
        <v>33</v>
      </c>
      <c r="N511" s="1" t="s">
        <v>76</v>
      </c>
      <c r="O511" s="1">
        <v>1.0420480218E10</v>
      </c>
    </row>
    <row r="512">
      <c r="A512" s="1">
        <v>2814633.0</v>
      </c>
      <c r="B512" s="1" t="s">
        <v>1289</v>
      </c>
      <c r="C512" s="1" t="b">
        <v>1</v>
      </c>
      <c r="D512" s="1" t="b">
        <v>1</v>
      </c>
      <c r="E512" s="1" t="s">
        <v>545</v>
      </c>
      <c r="F512" s="1" t="s">
        <v>221</v>
      </c>
      <c r="G512" s="2">
        <f>+251913771737</f>
        <v>251913771737</v>
      </c>
      <c r="H512" s="1" t="s">
        <v>18</v>
      </c>
      <c r="I512" s="1" t="s">
        <v>19</v>
      </c>
      <c r="J512" s="1" t="s">
        <v>19</v>
      </c>
      <c r="K512" s="1" t="s">
        <v>25</v>
      </c>
      <c r="L512" s="1">
        <v>36.96</v>
      </c>
      <c r="M512" s="1" t="s">
        <v>21</v>
      </c>
      <c r="O512" s="1">
        <v>1230931.0</v>
      </c>
    </row>
    <row r="513">
      <c r="A513" s="1">
        <v>798463.0</v>
      </c>
      <c r="B513" s="1" t="s">
        <v>1290</v>
      </c>
      <c r="C513" s="1" t="b">
        <v>1</v>
      </c>
      <c r="D513" s="1" t="b">
        <v>1</v>
      </c>
      <c r="E513" s="1" t="s">
        <v>1291</v>
      </c>
      <c r="F513" s="1" t="s">
        <v>51</v>
      </c>
      <c r="G513" s="2">
        <f>+251972788430</f>
        <v>251972788430</v>
      </c>
      <c r="H513" s="1" t="s">
        <v>18</v>
      </c>
      <c r="I513" s="1" t="s">
        <v>19</v>
      </c>
      <c r="J513" s="1" t="s">
        <v>19</v>
      </c>
      <c r="K513" s="1" t="s">
        <v>25</v>
      </c>
      <c r="L513" s="1">
        <v>21.44</v>
      </c>
      <c r="M513" s="1" t="s">
        <v>33</v>
      </c>
      <c r="N513" s="1" t="s">
        <v>34</v>
      </c>
      <c r="O513" s="1">
        <v>3.06345824E9</v>
      </c>
    </row>
    <row r="514">
      <c r="A514" s="1">
        <v>2816363.0</v>
      </c>
      <c r="B514" s="1" t="s">
        <v>1292</v>
      </c>
      <c r="C514" s="1" t="b">
        <v>1</v>
      </c>
      <c r="D514" s="1" t="b">
        <v>1</v>
      </c>
      <c r="E514" s="1" t="s">
        <v>721</v>
      </c>
      <c r="F514" s="1" t="s">
        <v>1293</v>
      </c>
      <c r="G514" s="2">
        <f>+251944056736</f>
        <v>251944056736</v>
      </c>
      <c r="H514" s="1" t="s">
        <v>18</v>
      </c>
      <c r="I514" s="1" t="s">
        <v>19</v>
      </c>
      <c r="J514" s="1" t="s">
        <v>19</v>
      </c>
      <c r="K514" s="1" t="s">
        <v>25</v>
      </c>
      <c r="L514" s="1">
        <v>20.64</v>
      </c>
      <c r="M514" s="1" t="s">
        <v>21</v>
      </c>
    </row>
    <row r="515">
      <c r="A515" s="1">
        <v>2817078.0</v>
      </c>
      <c r="B515" s="1" t="s">
        <v>1294</v>
      </c>
      <c r="C515" s="1" t="b">
        <v>1</v>
      </c>
      <c r="D515" s="1" t="b">
        <v>1</v>
      </c>
      <c r="E515" s="1" t="s">
        <v>758</v>
      </c>
      <c r="F515" s="1" t="s">
        <v>110</v>
      </c>
      <c r="G515" s="2">
        <f>+251985082505</f>
        <v>251985082505</v>
      </c>
      <c r="H515" s="1" t="s">
        <v>131</v>
      </c>
      <c r="I515" s="1" t="s">
        <v>19</v>
      </c>
      <c r="J515" s="1" t="s">
        <v>19</v>
      </c>
      <c r="K515" s="1" t="s">
        <v>25</v>
      </c>
      <c r="L515" s="1">
        <v>24.5</v>
      </c>
      <c r="M515" s="1" t="s">
        <v>21</v>
      </c>
      <c r="O515" s="1">
        <v>2.63068178662E11</v>
      </c>
    </row>
    <row r="516">
      <c r="A516" s="1">
        <v>2817105.0</v>
      </c>
      <c r="B516" s="1" t="s">
        <v>1295</v>
      </c>
      <c r="C516" s="1" t="b">
        <v>1</v>
      </c>
      <c r="D516" s="1" t="b">
        <v>1</v>
      </c>
      <c r="E516" s="1" t="s">
        <v>1296</v>
      </c>
      <c r="F516" s="1" t="s">
        <v>189</v>
      </c>
      <c r="G516" s="2">
        <f>+251935729384</f>
        <v>251935729384</v>
      </c>
      <c r="H516" s="1" t="s">
        <v>72</v>
      </c>
      <c r="I516" s="1" t="s">
        <v>19</v>
      </c>
      <c r="J516" s="1" t="s">
        <v>19</v>
      </c>
      <c r="K516" s="1" t="s">
        <v>25</v>
      </c>
      <c r="L516" s="1">
        <v>22.92</v>
      </c>
      <c r="M516" s="1" t="s">
        <v>21</v>
      </c>
      <c r="O516" s="1">
        <v>2.63074284749E11</v>
      </c>
    </row>
    <row r="517">
      <c r="A517" s="1">
        <v>2817620.0</v>
      </c>
      <c r="B517" s="1" t="s">
        <v>1297</v>
      </c>
      <c r="C517" s="1" t="b">
        <v>1</v>
      </c>
      <c r="D517" s="1" t="b">
        <v>1</v>
      </c>
      <c r="E517" s="1" t="s">
        <v>60</v>
      </c>
      <c r="F517" s="1" t="s">
        <v>1298</v>
      </c>
      <c r="G517" s="2">
        <f>+251945510203</f>
        <v>251945510203</v>
      </c>
      <c r="H517" s="1" t="s">
        <v>18</v>
      </c>
      <c r="I517" s="1" t="s">
        <v>19</v>
      </c>
      <c r="J517" s="1" t="s">
        <v>19</v>
      </c>
      <c r="K517" s="1" t="s">
        <v>25</v>
      </c>
      <c r="L517" s="1">
        <v>18.52</v>
      </c>
      <c r="M517" s="1" t="s">
        <v>21</v>
      </c>
      <c r="O517" s="1">
        <v>2.63155215596E11</v>
      </c>
    </row>
    <row r="518">
      <c r="A518" s="1">
        <v>2817937.0</v>
      </c>
      <c r="B518" s="1" t="s">
        <v>1299</v>
      </c>
      <c r="C518" s="1" t="b">
        <v>0</v>
      </c>
      <c r="D518" s="1" t="b">
        <v>1</v>
      </c>
      <c r="E518" s="1" t="s">
        <v>1300</v>
      </c>
      <c r="F518" s="1" t="s">
        <v>1301</v>
      </c>
      <c r="G518" s="2">
        <f>+251965698844</f>
        <v>251965698844</v>
      </c>
      <c r="H518" s="1" t="s">
        <v>18</v>
      </c>
      <c r="I518" s="1" t="s">
        <v>19</v>
      </c>
      <c r="J518" s="1" t="s">
        <v>19</v>
      </c>
      <c r="K518" s="1" t="s">
        <v>25</v>
      </c>
      <c r="L518" s="1">
        <v>22.15</v>
      </c>
      <c r="M518" s="1" t="s">
        <v>33</v>
      </c>
      <c r="N518" s="1" t="s">
        <v>34</v>
      </c>
      <c r="O518" s="1">
        <v>2.63206360277E11</v>
      </c>
    </row>
    <row r="519">
      <c r="A519" s="1">
        <v>2819098.0</v>
      </c>
      <c r="B519" s="1" t="s">
        <v>1302</v>
      </c>
      <c r="C519" s="1" t="b">
        <v>1</v>
      </c>
      <c r="D519" s="1" t="b">
        <v>1</v>
      </c>
      <c r="E519" s="1" t="s">
        <v>1303</v>
      </c>
      <c r="F519" s="1" t="s">
        <v>1304</v>
      </c>
      <c r="G519" s="2">
        <f>+251983458865</f>
        <v>251983458865</v>
      </c>
      <c r="H519" s="1" t="s">
        <v>335</v>
      </c>
      <c r="I519" s="1" t="s">
        <v>19</v>
      </c>
      <c r="J519" s="1" t="s">
        <v>19</v>
      </c>
      <c r="K519" s="1" t="s">
        <v>20</v>
      </c>
      <c r="L519" s="1">
        <v>18.21</v>
      </c>
      <c r="M519" s="1" t="s">
        <v>21</v>
      </c>
    </row>
    <row r="520">
      <c r="A520" s="1">
        <v>2651136.0</v>
      </c>
      <c r="B520" s="1" t="s">
        <v>1305</v>
      </c>
      <c r="C520" s="1" t="b">
        <v>1</v>
      </c>
      <c r="D520" s="1" t="b">
        <v>1</v>
      </c>
      <c r="E520" s="1" t="s">
        <v>1306</v>
      </c>
      <c r="F520" s="1" t="s">
        <v>1307</v>
      </c>
      <c r="G520" s="2">
        <f>+251910824247</f>
        <v>251910824247</v>
      </c>
      <c r="H520" s="1" t="s">
        <v>18</v>
      </c>
      <c r="I520" s="1" t="s">
        <v>19</v>
      </c>
      <c r="J520" s="1" t="s">
        <v>19</v>
      </c>
      <c r="K520" s="1" t="s">
        <v>25</v>
      </c>
      <c r="L520" s="1">
        <v>13.29</v>
      </c>
      <c r="M520" s="1" t="s">
        <v>33</v>
      </c>
      <c r="N520" s="1" t="s">
        <v>65</v>
      </c>
    </row>
    <row r="521">
      <c r="A521" s="1">
        <v>2809053.0</v>
      </c>
      <c r="B521" s="1" t="s">
        <v>1308</v>
      </c>
      <c r="C521" s="1" t="b">
        <v>1</v>
      </c>
      <c r="D521" s="1" t="b">
        <v>1</v>
      </c>
      <c r="E521" s="1" t="s">
        <v>490</v>
      </c>
      <c r="F521" s="1" t="s">
        <v>185</v>
      </c>
      <c r="G521" s="2">
        <f>+251910518684</f>
        <v>251910518684</v>
      </c>
      <c r="H521" s="1" t="s">
        <v>18</v>
      </c>
      <c r="I521" s="1" t="s">
        <v>19</v>
      </c>
      <c r="J521" s="1" t="s">
        <v>19</v>
      </c>
      <c r="K521" s="1" t="s">
        <v>20</v>
      </c>
      <c r="L521" s="1">
        <v>18.98</v>
      </c>
      <c r="M521" s="1" t="s">
        <v>21</v>
      </c>
      <c r="O521" s="1">
        <v>2.61806782682E11</v>
      </c>
    </row>
    <row r="522">
      <c r="A522" s="1">
        <v>2819871.0</v>
      </c>
      <c r="B522" s="1" t="s">
        <v>1309</v>
      </c>
      <c r="C522" s="1" t="b">
        <v>1</v>
      </c>
      <c r="D522" s="1" t="b">
        <v>0</v>
      </c>
      <c r="E522" s="1" t="s">
        <v>1310</v>
      </c>
      <c r="F522" s="1" t="s">
        <v>218</v>
      </c>
      <c r="G522" s="2">
        <f>+251929137972</f>
        <v>251929137972</v>
      </c>
      <c r="H522" s="1" t="s">
        <v>18</v>
      </c>
      <c r="I522" s="1" t="s">
        <v>19</v>
      </c>
      <c r="J522" s="1" t="s">
        <v>19</v>
      </c>
      <c r="K522" s="1" t="s">
        <v>25</v>
      </c>
      <c r="L522" s="1">
        <v>18.66</v>
      </c>
      <c r="M522" s="1" t="s">
        <v>33</v>
      </c>
      <c r="N522" s="1" t="s">
        <v>34</v>
      </c>
      <c r="O522" s="1">
        <v>2.6365681786E11</v>
      </c>
    </row>
    <row r="523">
      <c r="A523" s="1">
        <v>2820296.0</v>
      </c>
      <c r="B523" s="1" t="s">
        <v>1311</v>
      </c>
      <c r="C523" s="1" t="b">
        <v>0</v>
      </c>
      <c r="D523" s="1" t="b">
        <v>1</v>
      </c>
      <c r="E523" s="1" t="s">
        <v>1312</v>
      </c>
      <c r="F523" s="1" t="s">
        <v>1092</v>
      </c>
      <c r="G523" s="2">
        <f>+251988135756</f>
        <v>251988135756</v>
      </c>
      <c r="H523" s="1" t="s">
        <v>18</v>
      </c>
      <c r="I523" s="1" t="s">
        <v>19</v>
      </c>
      <c r="J523" s="1" t="s">
        <v>19</v>
      </c>
      <c r="K523" s="1" t="s">
        <v>20</v>
      </c>
      <c r="L523" s="1">
        <v>21.05</v>
      </c>
      <c r="M523" s="1" t="s">
        <v>26</v>
      </c>
      <c r="O523" s="1">
        <v>2.63713970367E11</v>
      </c>
    </row>
    <row r="524">
      <c r="A524" s="1">
        <v>2820327.0</v>
      </c>
      <c r="B524" s="1" t="s">
        <v>1313</v>
      </c>
      <c r="C524" s="1" t="b">
        <v>1</v>
      </c>
      <c r="D524" s="1" t="b">
        <v>1</v>
      </c>
      <c r="E524" s="1" t="s">
        <v>123</v>
      </c>
      <c r="F524" s="1" t="s">
        <v>1314</v>
      </c>
      <c r="G524" s="1">
        <v>9.39732711E8</v>
      </c>
      <c r="H524" s="1" t="s">
        <v>18</v>
      </c>
      <c r="I524" s="1" t="s">
        <v>19</v>
      </c>
      <c r="J524" s="1" t="s">
        <v>19</v>
      </c>
      <c r="K524" s="1" t="s">
        <v>20</v>
      </c>
      <c r="L524" s="1">
        <v>21.27</v>
      </c>
      <c r="M524" s="1" t="s">
        <v>21</v>
      </c>
      <c r="O524" s="1">
        <v>2.63711132884E11</v>
      </c>
    </row>
    <row r="525">
      <c r="A525" s="1">
        <v>2807852.0</v>
      </c>
      <c r="B525" s="1" t="s">
        <v>1315</v>
      </c>
      <c r="C525" s="1" t="b">
        <v>1</v>
      </c>
      <c r="D525" s="1" t="b">
        <v>1</v>
      </c>
      <c r="E525" s="1" t="s">
        <v>1312</v>
      </c>
      <c r="F525" s="1" t="s">
        <v>1092</v>
      </c>
      <c r="G525" s="2">
        <f>+251988135756</f>
        <v>251988135756</v>
      </c>
      <c r="H525" s="1" t="s">
        <v>18</v>
      </c>
      <c r="I525" s="1" t="s">
        <v>19</v>
      </c>
      <c r="J525" s="1" t="s">
        <v>19</v>
      </c>
      <c r="K525" s="1" t="s">
        <v>20</v>
      </c>
      <c r="L525" s="1">
        <v>21.05</v>
      </c>
      <c r="M525" s="1" t="s">
        <v>21</v>
      </c>
      <c r="O525" s="1">
        <v>2.61443126459E11</v>
      </c>
    </row>
    <row r="526">
      <c r="A526" s="1">
        <v>2820719.0</v>
      </c>
      <c r="B526" s="1" t="s">
        <v>1316</v>
      </c>
      <c r="C526" s="1" t="b">
        <v>1</v>
      </c>
      <c r="D526" s="1" t="b">
        <v>1</v>
      </c>
      <c r="E526" s="1" t="s">
        <v>1317</v>
      </c>
      <c r="F526" s="1" t="s">
        <v>1318</v>
      </c>
      <c r="G526" s="2">
        <f>+251951776042</f>
        <v>251951776042</v>
      </c>
      <c r="H526" s="1" t="s">
        <v>18</v>
      </c>
      <c r="I526" s="1" t="s">
        <v>19</v>
      </c>
      <c r="J526" s="1" t="s">
        <v>19</v>
      </c>
      <c r="K526" s="1" t="s">
        <v>25</v>
      </c>
      <c r="L526" s="1">
        <v>20.5</v>
      </c>
      <c r="M526" s="1" t="s">
        <v>21</v>
      </c>
    </row>
    <row r="527">
      <c r="A527" s="1">
        <v>2820741.0</v>
      </c>
      <c r="B527" s="1" t="s">
        <v>1319</v>
      </c>
      <c r="C527" s="1" t="b">
        <v>1</v>
      </c>
      <c r="D527" s="1" t="b">
        <v>1</v>
      </c>
      <c r="E527" s="1" t="s">
        <v>1068</v>
      </c>
      <c r="F527" s="1" t="s">
        <v>627</v>
      </c>
      <c r="G527" s="2">
        <f>+251989992409</f>
        <v>251989992409</v>
      </c>
      <c r="H527" s="1" t="s">
        <v>18</v>
      </c>
      <c r="I527" s="1" t="s">
        <v>19</v>
      </c>
      <c r="J527" s="1" t="s">
        <v>19</v>
      </c>
      <c r="K527" s="1" t="s">
        <v>25</v>
      </c>
      <c r="L527" s="1">
        <v>20.3</v>
      </c>
      <c r="M527" s="1" t="s">
        <v>21</v>
      </c>
      <c r="O527" s="1">
        <v>2.63812885704E11</v>
      </c>
    </row>
    <row r="528">
      <c r="A528" s="1">
        <v>2820802.0</v>
      </c>
      <c r="B528" s="1" t="s">
        <v>1320</v>
      </c>
      <c r="C528" s="1" t="b">
        <v>1</v>
      </c>
      <c r="D528" s="1" t="b">
        <v>1</v>
      </c>
      <c r="E528" s="1" t="s">
        <v>993</v>
      </c>
      <c r="F528" s="1" t="s">
        <v>1321</v>
      </c>
      <c r="G528" s="2">
        <f>+251953147324</f>
        <v>251953147324</v>
      </c>
      <c r="H528" s="1" t="s">
        <v>18</v>
      </c>
      <c r="I528" s="1" t="s">
        <v>19</v>
      </c>
      <c r="J528" s="1" t="s">
        <v>19</v>
      </c>
      <c r="K528" s="1" t="s">
        <v>25</v>
      </c>
      <c r="L528" s="1">
        <v>19.79</v>
      </c>
      <c r="M528" s="1" t="s">
        <v>21</v>
      </c>
      <c r="O528" s="1">
        <v>2.63775218936E11</v>
      </c>
    </row>
    <row r="529">
      <c r="A529" s="1">
        <v>2820812.0</v>
      </c>
      <c r="B529" s="1" t="s">
        <v>1322</v>
      </c>
      <c r="C529" s="1" t="b">
        <v>1</v>
      </c>
      <c r="D529" s="1" t="b">
        <v>1</v>
      </c>
      <c r="E529" s="1" t="s">
        <v>1323</v>
      </c>
      <c r="F529" s="1" t="s">
        <v>189</v>
      </c>
      <c r="G529" s="2">
        <f>+251947410387</f>
        <v>251947410387</v>
      </c>
      <c r="H529" s="1" t="s">
        <v>18</v>
      </c>
      <c r="I529" s="1" t="s">
        <v>19</v>
      </c>
      <c r="J529" s="1" t="s">
        <v>19</v>
      </c>
      <c r="K529" s="1" t="s">
        <v>25</v>
      </c>
      <c r="L529" s="1">
        <v>23.27</v>
      </c>
      <c r="M529" s="1" t="s">
        <v>21</v>
      </c>
      <c r="O529" s="1">
        <v>8910118.0</v>
      </c>
    </row>
    <row r="530">
      <c r="A530" s="1">
        <v>2820913.0</v>
      </c>
      <c r="B530" s="1" t="s">
        <v>1324</v>
      </c>
      <c r="C530" s="1" t="b">
        <v>1</v>
      </c>
      <c r="D530" s="1" t="b">
        <v>1</v>
      </c>
      <c r="E530" s="1" t="s">
        <v>1325</v>
      </c>
      <c r="F530" s="1" t="s">
        <v>1326</v>
      </c>
      <c r="G530" s="2">
        <f>+251996312524</f>
        <v>251996312524</v>
      </c>
      <c r="H530" s="1" t="s">
        <v>131</v>
      </c>
      <c r="I530" s="1" t="s">
        <v>19</v>
      </c>
      <c r="J530" s="1" t="s">
        <v>19</v>
      </c>
      <c r="K530" s="1" t="s">
        <v>25</v>
      </c>
      <c r="L530" s="1">
        <v>21.93</v>
      </c>
      <c r="M530" s="1" t="s">
        <v>21</v>
      </c>
    </row>
    <row r="531">
      <c r="A531" s="1">
        <v>2821281.0</v>
      </c>
      <c r="B531" s="1" t="s">
        <v>1327</v>
      </c>
      <c r="C531" s="1" t="b">
        <v>1</v>
      </c>
      <c r="D531" s="1" t="b">
        <v>1</v>
      </c>
      <c r="E531" s="1" t="s">
        <v>333</v>
      </c>
      <c r="F531" s="1" t="s">
        <v>1328</v>
      </c>
      <c r="G531" s="2">
        <f>+251975360713</f>
        <v>251975360713</v>
      </c>
      <c r="H531" s="1" t="s">
        <v>18</v>
      </c>
      <c r="I531" s="1" t="s">
        <v>19</v>
      </c>
      <c r="J531" s="1" t="s">
        <v>19</v>
      </c>
      <c r="K531" s="1" t="s">
        <v>25</v>
      </c>
      <c r="L531" s="1">
        <v>20.06</v>
      </c>
      <c r="M531" s="1" t="s">
        <v>21</v>
      </c>
    </row>
    <row r="532">
      <c r="A532" s="1">
        <v>2821396.0</v>
      </c>
      <c r="B532" s="1" t="s">
        <v>1329</v>
      </c>
      <c r="C532" s="1" t="b">
        <v>1</v>
      </c>
      <c r="D532" s="1" t="b">
        <v>1</v>
      </c>
      <c r="E532" s="1" t="s">
        <v>157</v>
      </c>
      <c r="F532" s="1" t="s">
        <v>1330</v>
      </c>
      <c r="G532" s="2">
        <f>+251920294603</f>
        <v>251920294603</v>
      </c>
      <c r="H532" s="1" t="s">
        <v>18</v>
      </c>
      <c r="I532" s="1" t="s">
        <v>19</v>
      </c>
      <c r="J532" s="1" t="s">
        <v>19</v>
      </c>
      <c r="K532" s="1" t="s">
        <v>20</v>
      </c>
      <c r="L532" s="1">
        <v>23.04</v>
      </c>
      <c r="M532" s="1" t="s">
        <v>21</v>
      </c>
    </row>
    <row r="533">
      <c r="A533" s="1">
        <v>1780584.0</v>
      </c>
      <c r="B533" s="1" t="s">
        <v>1331</v>
      </c>
      <c r="C533" s="1" t="b">
        <v>1</v>
      </c>
      <c r="D533" s="1" t="b">
        <v>1</v>
      </c>
      <c r="E533" s="1" t="s">
        <v>1332</v>
      </c>
      <c r="F533" s="1" t="s">
        <v>1333</v>
      </c>
      <c r="G533" s="2">
        <f>+251968436120</f>
        <v>251968436120</v>
      </c>
      <c r="H533" s="1" t="s">
        <v>18</v>
      </c>
      <c r="I533" s="1" t="s">
        <v>19</v>
      </c>
      <c r="J533" s="1" t="s">
        <v>19</v>
      </c>
      <c r="K533" s="1" t="s">
        <v>25</v>
      </c>
      <c r="L533" s="1">
        <v>25.6</v>
      </c>
      <c r="M533" s="1" t="s">
        <v>21</v>
      </c>
      <c r="O533" s="1">
        <v>8789084.0</v>
      </c>
    </row>
    <row r="534">
      <c r="A534" s="1">
        <v>2474923.0</v>
      </c>
      <c r="B534" s="1" t="s">
        <v>1334</v>
      </c>
      <c r="C534" s="1" t="b">
        <v>1</v>
      </c>
      <c r="D534" s="1" t="b">
        <v>1</v>
      </c>
      <c r="E534" s="1" t="s">
        <v>1303</v>
      </c>
      <c r="F534" s="1" t="s">
        <v>1335</v>
      </c>
      <c r="G534" s="2">
        <f>+251991968686</f>
        <v>251991968686</v>
      </c>
      <c r="H534" s="1" t="s">
        <v>18</v>
      </c>
      <c r="I534" s="1" t="s">
        <v>19</v>
      </c>
      <c r="J534" s="1" t="s">
        <v>19</v>
      </c>
      <c r="K534" s="1" t="s">
        <v>20</v>
      </c>
      <c r="L534" s="1">
        <v>20.33</v>
      </c>
      <c r="M534" s="1" t="s">
        <v>21</v>
      </c>
      <c r="O534" s="1">
        <v>1.15806497001E11</v>
      </c>
    </row>
    <row r="535">
      <c r="A535" s="1">
        <v>2580647.0</v>
      </c>
      <c r="B535" s="1" t="s">
        <v>1336</v>
      </c>
      <c r="C535" s="1" t="b">
        <v>1</v>
      </c>
      <c r="D535" s="1" t="b">
        <v>1</v>
      </c>
      <c r="E535" s="1" t="s">
        <v>1337</v>
      </c>
      <c r="F535" s="1" t="s">
        <v>1338</v>
      </c>
      <c r="G535" s="2">
        <f>+251917017368</f>
        <v>251917017368</v>
      </c>
      <c r="H535" s="1" t="s">
        <v>18</v>
      </c>
      <c r="I535" s="1" t="s">
        <v>19</v>
      </c>
      <c r="J535" s="1" t="s">
        <v>19</v>
      </c>
      <c r="K535" s="1" t="s">
        <v>25</v>
      </c>
      <c r="L535" s="1">
        <v>24.71</v>
      </c>
      <c r="M535" s="1" t="s">
        <v>21</v>
      </c>
    </row>
    <row r="536">
      <c r="A536" s="1">
        <v>2822773.0</v>
      </c>
      <c r="B536" s="1" t="s">
        <v>1339</v>
      </c>
      <c r="C536" s="1" t="b">
        <v>1</v>
      </c>
      <c r="D536" s="1" t="b">
        <v>1</v>
      </c>
      <c r="E536" s="1" t="s">
        <v>1340</v>
      </c>
      <c r="F536" s="1" t="s">
        <v>1341</v>
      </c>
      <c r="G536" s="2">
        <f>+251923344022</f>
        <v>251923344022</v>
      </c>
      <c r="H536" s="1" t="s">
        <v>18</v>
      </c>
      <c r="I536" s="1" t="s">
        <v>19</v>
      </c>
      <c r="J536" s="1" t="s">
        <v>19</v>
      </c>
      <c r="K536" s="1" t="s">
        <v>25</v>
      </c>
      <c r="L536" s="1">
        <v>22.39</v>
      </c>
      <c r="M536" s="1" t="s">
        <v>21</v>
      </c>
      <c r="O536" s="1">
        <v>2.6427166945E11</v>
      </c>
    </row>
    <row r="537">
      <c r="A537" s="1">
        <v>2514304.0</v>
      </c>
      <c r="B537" s="1" t="s">
        <v>1342</v>
      </c>
      <c r="C537" s="1" t="b">
        <v>1</v>
      </c>
      <c r="D537" s="1" t="b">
        <v>1</v>
      </c>
      <c r="E537" s="1" t="s">
        <v>1343</v>
      </c>
      <c r="F537" s="1" t="s">
        <v>1343</v>
      </c>
      <c r="G537" s="2">
        <f>+251937848785</f>
        <v>251937848785</v>
      </c>
      <c r="H537" s="1" t="s">
        <v>18</v>
      </c>
      <c r="I537" s="1" t="s">
        <v>19</v>
      </c>
      <c r="J537" s="1" t="s">
        <v>19</v>
      </c>
      <c r="K537" s="1" t="s">
        <v>25</v>
      </c>
      <c r="L537" s="1">
        <v>19.45</v>
      </c>
      <c r="M537" s="1" t="s">
        <v>21</v>
      </c>
      <c r="O537" s="1">
        <v>3294012.0</v>
      </c>
    </row>
    <row r="538">
      <c r="A538" s="1">
        <v>2822955.0</v>
      </c>
      <c r="B538" s="1" t="s">
        <v>1344</v>
      </c>
      <c r="C538" s="1" t="b">
        <v>0</v>
      </c>
      <c r="D538" s="1" t="b">
        <v>1</v>
      </c>
      <c r="E538" s="1" t="s">
        <v>1345</v>
      </c>
      <c r="F538" s="1" t="s">
        <v>1346</v>
      </c>
      <c r="G538" s="2">
        <f>+251940123530</f>
        <v>251940123530</v>
      </c>
      <c r="H538" s="1" t="s">
        <v>18</v>
      </c>
      <c r="I538" s="1" t="s">
        <v>19</v>
      </c>
      <c r="J538" s="1" t="s">
        <v>19</v>
      </c>
      <c r="K538" s="1" t="s">
        <v>25</v>
      </c>
      <c r="L538" s="1">
        <v>23.82</v>
      </c>
      <c r="M538" s="1" t="s">
        <v>26</v>
      </c>
      <c r="O538" s="1">
        <v>2.64395547875E11</v>
      </c>
    </row>
    <row r="539">
      <c r="A539" s="1">
        <v>2248452.0</v>
      </c>
      <c r="B539" s="1" t="s">
        <v>1347</v>
      </c>
      <c r="C539" s="1" t="b">
        <v>1</v>
      </c>
      <c r="D539" s="1" t="b">
        <v>1</v>
      </c>
      <c r="E539" s="1" t="s">
        <v>1348</v>
      </c>
      <c r="F539" s="1" t="s">
        <v>1043</v>
      </c>
      <c r="G539" s="2">
        <f>+251966303020</f>
        <v>251966303020</v>
      </c>
      <c r="H539" s="1" t="s">
        <v>72</v>
      </c>
      <c r="I539" s="1" t="s">
        <v>19</v>
      </c>
      <c r="J539" s="1" t="s">
        <v>19</v>
      </c>
      <c r="K539" s="1" t="s">
        <v>25</v>
      </c>
      <c r="L539" s="1">
        <v>18.17</v>
      </c>
      <c r="M539" s="1" t="s">
        <v>33</v>
      </c>
      <c r="N539" s="1" t="s">
        <v>118</v>
      </c>
      <c r="O539" s="1">
        <v>1.0292128E7</v>
      </c>
    </row>
    <row r="540">
      <c r="A540" s="1">
        <v>1350858.0</v>
      </c>
      <c r="B540" s="1" t="s">
        <v>1349</v>
      </c>
      <c r="C540" s="1" t="b">
        <v>1</v>
      </c>
      <c r="D540" s="1" t="b">
        <v>1</v>
      </c>
      <c r="E540" s="1" t="s">
        <v>1350</v>
      </c>
      <c r="F540" s="1" t="s">
        <v>108</v>
      </c>
      <c r="G540" s="2">
        <f>+251903661500</f>
        <v>251903661500</v>
      </c>
      <c r="H540" s="1" t="s">
        <v>18</v>
      </c>
      <c r="I540" s="1" t="s">
        <v>19</v>
      </c>
      <c r="J540" s="1" t="s">
        <v>19</v>
      </c>
      <c r="K540" s="1" t="s">
        <v>25</v>
      </c>
      <c r="L540" s="1">
        <v>22.92</v>
      </c>
      <c r="M540" s="1" t="s">
        <v>21</v>
      </c>
      <c r="O540" s="1">
        <v>1329018.0</v>
      </c>
    </row>
    <row r="541">
      <c r="A541" s="1">
        <v>2717510.0</v>
      </c>
      <c r="B541" s="1" t="s">
        <v>1351</v>
      </c>
      <c r="C541" s="1" t="b">
        <v>1</v>
      </c>
      <c r="D541" s="1" t="b">
        <v>1</v>
      </c>
      <c r="E541" s="1" t="s">
        <v>116</v>
      </c>
      <c r="F541" s="1" t="s">
        <v>1352</v>
      </c>
      <c r="G541" s="2">
        <f>+251923423044</f>
        <v>251923423044</v>
      </c>
      <c r="H541" s="1" t="s">
        <v>18</v>
      </c>
      <c r="I541" s="1" t="s">
        <v>19</v>
      </c>
      <c r="J541" s="1" t="s">
        <v>19</v>
      </c>
      <c r="K541" s="1" t="s">
        <v>25</v>
      </c>
      <c r="L541" s="1">
        <v>25.56</v>
      </c>
      <c r="M541" s="1" t="s">
        <v>21</v>
      </c>
    </row>
    <row r="542">
      <c r="A542" s="1">
        <v>2823342.0</v>
      </c>
      <c r="B542" s="1" t="s">
        <v>1353</v>
      </c>
      <c r="C542" s="1" t="b">
        <v>1</v>
      </c>
      <c r="D542" s="1" t="b">
        <v>1</v>
      </c>
      <c r="E542" s="1" t="s">
        <v>836</v>
      </c>
      <c r="F542" s="1" t="s">
        <v>1077</v>
      </c>
      <c r="G542" s="2">
        <f>+251907685184</f>
        <v>251907685184</v>
      </c>
      <c r="H542" s="1" t="s">
        <v>18</v>
      </c>
      <c r="I542" s="1" t="s">
        <v>19</v>
      </c>
      <c r="J542" s="1" t="s">
        <v>19</v>
      </c>
      <c r="K542" s="1" t="s">
        <v>25</v>
      </c>
      <c r="L542" s="1">
        <v>19.03</v>
      </c>
      <c r="M542" s="1" t="s">
        <v>33</v>
      </c>
      <c r="N542" s="1" t="s">
        <v>65</v>
      </c>
      <c r="O542" s="1">
        <v>2.64449255625E11</v>
      </c>
    </row>
    <row r="543">
      <c r="A543" s="1">
        <v>2812419.0</v>
      </c>
      <c r="B543" s="1" t="s">
        <v>1354</v>
      </c>
      <c r="C543" s="1" t="b">
        <v>1</v>
      </c>
      <c r="D543" s="1" t="b">
        <v>1</v>
      </c>
      <c r="E543" s="1" t="s">
        <v>1355</v>
      </c>
      <c r="F543" s="1" t="s">
        <v>1356</v>
      </c>
      <c r="G543" s="2">
        <f>+251989335536</f>
        <v>251989335536</v>
      </c>
      <c r="H543" s="1" t="s">
        <v>18</v>
      </c>
      <c r="I543" s="1" t="s">
        <v>19</v>
      </c>
      <c r="J543" s="1" t="s">
        <v>19</v>
      </c>
      <c r="K543" s="1" t="s">
        <v>25</v>
      </c>
      <c r="L543" s="1">
        <v>19.5</v>
      </c>
      <c r="M543" s="1" t="s">
        <v>33</v>
      </c>
      <c r="N543" s="1" t="s">
        <v>65</v>
      </c>
      <c r="O543" s="1">
        <v>2.62379091148E11</v>
      </c>
    </row>
    <row r="544">
      <c r="A544" s="1">
        <v>2823602.0</v>
      </c>
      <c r="B544" s="1" t="s">
        <v>1357</v>
      </c>
      <c r="C544" s="1" t="b">
        <v>1</v>
      </c>
      <c r="D544" s="1" t="b">
        <v>1</v>
      </c>
      <c r="E544" s="1" t="s">
        <v>1358</v>
      </c>
      <c r="F544" s="1" t="s">
        <v>430</v>
      </c>
      <c r="G544" s="2">
        <f>+251945228200</f>
        <v>251945228200</v>
      </c>
      <c r="H544" s="1" t="s">
        <v>18</v>
      </c>
      <c r="I544" s="1" t="s">
        <v>19</v>
      </c>
      <c r="J544" s="1" t="s">
        <v>19</v>
      </c>
      <c r="K544" s="1" t="s">
        <v>25</v>
      </c>
      <c r="L544" s="1">
        <v>29.27</v>
      </c>
      <c r="M544" s="1" t="s">
        <v>21</v>
      </c>
      <c r="O544" s="1">
        <v>4345798.0</v>
      </c>
    </row>
    <row r="545">
      <c r="A545" s="1">
        <v>889841.0</v>
      </c>
      <c r="B545" s="1" t="s">
        <v>1359</v>
      </c>
      <c r="C545" s="1" t="b">
        <v>1</v>
      </c>
      <c r="D545" s="1" t="b">
        <v>1</v>
      </c>
      <c r="E545" s="1" t="s">
        <v>1360</v>
      </c>
      <c r="F545" s="1" t="s">
        <v>1361</v>
      </c>
      <c r="G545" s="2">
        <f>+251953027921</f>
        <v>251953027921</v>
      </c>
      <c r="H545" s="1" t="s">
        <v>18</v>
      </c>
      <c r="I545" s="1" t="s">
        <v>19</v>
      </c>
      <c r="J545" s="1" t="s">
        <v>19</v>
      </c>
      <c r="K545" s="1" t="s">
        <v>20</v>
      </c>
      <c r="L545" s="1">
        <v>20.91</v>
      </c>
      <c r="M545" s="1" t="s">
        <v>33</v>
      </c>
      <c r="N545" s="1" t="s">
        <v>76</v>
      </c>
      <c r="O545" s="1">
        <v>5190403.0</v>
      </c>
    </row>
    <row r="546">
      <c r="A546" s="1">
        <v>2824049.0</v>
      </c>
      <c r="B546" s="1" t="s">
        <v>1362</v>
      </c>
      <c r="C546" s="1" t="b">
        <v>1</v>
      </c>
      <c r="D546" s="1" t="b">
        <v>1</v>
      </c>
      <c r="E546" s="1" t="s">
        <v>517</v>
      </c>
      <c r="F546" s="1" t="s">
        <v>1363</v>
      </c>
      <c r="G546" s="2">
        <f>+251913041325</f>
        <v>251913041325</v>
      </c>
      <c r="H546" s="1" t="s">
        <v>18</v>
      </c>
      <c r="I546" s="1" t="s">
        <v>19</v>
      </c>
      <c r="J546" s="1" t="s">
        <v>19</v>
      </c>
      <c r="K546" s="1" t="s">
        <v>25</v>
      </c>
      <c r="L546" s="1">
        <v>28.48</v>
      </c>
      <c r="M546" s="1" t="s">
        <v>21</v>
      </c>
      <c r="O546" s="1">
        <v>8842127.0</v>
      </c>
    </row>
    <row r="547">
      <c r="A547" s="1">
        <v>2824064.0</v>
      </c>
      <c r="B547" s="1" t="s">
        <v>1364</v>
      </c>
      <c r="C547" s="1" t="b">
        <v>1</v>
      </c>
      <c r="D547" s="1" t="b">
        <v>1</v>
      </c>
      <c r="E547" s="1" t="s">
        <v>758</v>
      </c>
      <c r="F547" s="1" t="s">
        <v>1365</v>
      </c>
      <c r="G547" s="2">
        <f>+251900195452</f>
        <v>251900195452</v>
      </c>
      <c r="H547" s="1" t="s">
        <v>18</v>
      </c>
      <c r="I547" s="1" t="s">
        <v>19</v>
      </c>
      <c r="J547" s="1" t="s">
        <v>19</v>
      </c>
      <c r="K547" s="1" t="s">
        <v>25</v>
      </c>
      <c r="L547" s="1">
        <v>19.95</v>
      </c>
      <c r="M547" s="1" t="s">
        <v>21</v>
      </c>
      <c r="O547" s="1">
        <v>2.64629707972E11</v>
      </c>
    </row>
    <row r="548">
      <c r="A548" s="1">
        <v>227322.0</v>
      </c>
      <c r="B548" s="1" t="s">
        <v>1366</v>
      </c>
      <c r="C548" s="1" t="b">
        <v>1</v>
      </c>
      <c r="D548" s="1" t="b">
        <v>1</v>
      </c>
      <c r="E548" s="1" t="s">
        <v>370</v>
      </c>
      <c r="F548" s="1" t="s">
        <v>313</v>
      </c>
      <c r="G548" s="1">
        <v>9.42079327E8</v>
      </c>
      <c r="H548" s="1" t="s">
        <v>18</v>
      </c>
      <c r="I548" s="1" t="s">
        <v>19</v>
      </c>
      <c r="J548" s="1" t="s">
        <v>19</v>
      </c>
      <c r="K548" s="1" t="s">
        <v>25</v>
      </c>
      <c r="L548" s="1">
        <v>23.21</v>
      </c>
      <c r="M548" s="1" t="s">
        <v>33</v>
      </c>
      <c r="N548" s="1" t="s">
        <v>34</v>
      </c>
      <c r="O548" s="1">
        <v>8786258.0</v>
      </c>
    </row>
    <row r="549">
      <c r="A549" s="1">
        <v>2807040.0</v>
      </c>
      <c r="B549" s="1" t="s">
        <v>1367</v>
      </c>
      <c r="C549" s="1" t="b">
        <v>1</v>
      </c>
      <c r="D549" s="1" t="b">
        <v>1</v>
      </c>
      <c r="E549" s="1" t="s">
        <v>1368</v>
      </c>
      <c r="F549" s="1" t="s">
        <v>1369</v>
      </c>
      <c r="G549" s="2">
        <f>+251960837615</f>
        <v>251960837615</v>
      </c>
      <c r="H549" s="1" t="s">
        <v>18</v>
      </c>
      <c r="I549" s="1" t="s">
        <v>19</v>
      </c>
      <c r="J549" s="1" t="s">
        <v>19</v>
      </c>
      <c r="K549" s="1" t="s">
        <v>25</v>
      </c>
      <c r="L549" s="1">
        <v>26.21</v>
      </c>
      <c r="M549" s="1" t="s">
        <v>21</v>
      </c>
      <c r="O549" s="1">
        <v>2.61352688855E11</v>
      </c>
    </row>
    <row r="550">
      <c r="A550" s="1">
        <v>1938277.0</v>
      </c>
      <c r="B550" s="1" t="s">
        <v>1370</v>
      </c>
      <c r="C550" s="1" t="b">
        <v>1</v>
      </c>
      <c r="D550" s="1" t="b">
        <v>1</v>
      </c>
      <c r="E550" s="1" t="s">
        <v>123</v>
      </c>
      <c r="F550" s="1" t="s">
        <v>1371</v>
      </c>
      <c r="G550" s="2">
        <f>+251993677291</f>
        <v>251993677291</v>
      </c>
      <c r="H550" s="1" t="s">
        <v>18</v>
      </c>
      <c r="I550" s="1" t="s">
        <v>19</v>
      </c>
      <c r="J550" s="1" t="s">
        <v>19</v>
      </c>
      <c r="K550" s="1" t="s">
        <v>20</v>
      </c>
      <c r="L550" s="1">
        <v>21.62</v>
      </c>
      <c r="M550" s="1" t="s">
        <v>33</v>
      </c>
      <c r="N550" s="1" t="s">
        <v>118</v>
      </c>
      <c r="O550" s="1">
        <v>2.7119752912E10</v>
      </c>
    </row>
    <row r="551">
      <c r="A551" s="1">
        <v>107806.0</v>
      </c>
      <c r="B551" s="1" t="s">
        <v>1372</v>
      </c>
      <c r="C551" s="1" t="b">
        <v>1</v>
      </c>
      <c r="D551" s="1" t="b">
        <v>1</v>
      </c>
      <c r="E551" s="1" t="s">
        <v>1373</v>
      </c>
      <c r="F551" s="1" t="s">
        <v>1374</v>
      </c>
      <c r="G551" s="2">
        <f>+251908080912</f>
        <v>251908080912</v>
      </c>
      <c r="H551" s="1" t="s">
        <v>18</v>
      </c>
      <c r="I551" s="1" t="s">
        <v>19</v>
      </c>
      <c r="J551" s="1" t="s">
        <v>19</v>
      </c>
      <c r="K551" s="1" t="s">
        <v>25</v>
      </c>
      <c r="L551" s="1">
        <v>22.75</v>
      </c>
      <c r="M551" s="1" t="s">
        <v>21</v>
      </c>
      <c r="O551" s="1">
        <v>1227297.0</v>
      </c>
    </row>
    <row r="552">
      <c r="A552" s="1">
        <v>2825178.0</v>
      </c>
      <c r="B552" s="1" t="s">
        <v>1375</v>
      </c>
      <c r="C552" s="1" t="b">
        <v>1</v>
      </c>
      <c r="D552" s="1" t="b">
        <v>1</v>
      </c>
      <c r="E552" s="1" t="s">
        <v>141</v>
      </c>
      <c r="F552" s="1" t="s">
        <v>1376</v>
      </c>
      <c r="G552" s="2">
        <f>+251979019271</f>
        <v>251979019271</v>
      </c>
      <c r="H552" s="1" t="s">
        <v>18</v>
      </c>
      <c r="I552" s="1" t="s">
        <v>19</v>
      </c>
      <c r="J552" s="1" t="s">
        <v>19</v>
      </c>
      <c r="K552" s="1" t="s">
        <v>25</v>
      </c>
      <c r="L552" s="1">
        <v>22.77</v>
      </c>
      <c r="M552" s="1" t="s">
        <v>21</v>
      </c>
    </row>
    <row r="553">
      <c r="A553" s="1">
        <v>2825263.0</v>
      </c>
      <c r="B553" s="1" t="s">
        <v>1377</v>
      </c>
      <c r="C553" s="1" t="b">
        <v>1</v>
      </c>
      <c r="D553" s="1" t="b">
        <v>1</v>
      </c>
      <c r="E553" s="1" t="s">
        <v>1035</v>
      </c>
      <c r="F553" s="1" t="s">
        <v>847</v>
      </c>
      <c r="G553" s="2">
        <f>+251935492949</f>
        <v>251935492949</v>
      </c>
      <c r="H553" s="1" t="s">
        <v>18</v>
      </c>
      <c r="I553" s="1" t="s">
        <v>19</v>
      </c>
      <c r="J553" s="1" t="s">
        <v>19</v>
      </c>
      <c r="K553" s="1" t="s">
        <v>25</v>
      </c>
      <c r="L553" s="1">
        <v>20.17</v>
      </c>
      <c r="M553" s="1" t="s">
        <v>21</v>
      </c>
      <c r="O553" s="1">
        <v>2.64808147137E11</v>
      </c>
    </row>
    <row r="554">
      <c r="A554" s="1">
        <v>352567.0</v>
      </c>
      <c r="B554" s="1" t="s">
        <v>1378</v>
      </c>
      <c r="C554" s="1" t="b">
        <v>1</v>
      </c>
      <c r="D554" s="1" t="b">
        <v>0</v>
      </c>
      <c r="E554" s="1" t="s">
        <v>1379</v>
      </c>
      <c r="F554" s="1" t="s">
        <v>1380</v>
      </c>
      <c r="G554" s="2">
        <f>+251934839877</f>
        <v>251934839877</v>
      </c>
      <c r="H554" s="1" t="s">
        <v>18</v>
      </c>
      <c r="I554" s="1" t="s">
        <v>19</v>
      </c>
      <c r="J554" s="1" t="s">
        <v>19</v>
      </c>
      <c r="K554" s="1" t="s">
        <v>25</v>
      </c>
      <c r="L554" s="1">
        <v>26.58</v>
      </c>
      <c r="M554" s="1" t="s">
        <v>33</v>
      </c>
      <c r="N554" s="1" t="s">
        <v>76</v>
      </c>
      <c r="O554" s="1">
        <v>8877054.0</v>
      </c>
    </row>
    <row r="555">
      <c r="A555" s="1">
        <v>2825365.0</v>
      </c>
      <c r="B555" s="1" t="s">
        <v>1381</v>
      </c>
      <c r="C555" s="1" t="b">
        <v>0</v>
      </c>
      <c r="D555" s="1" t="b">
        <v>1</v>
      </c>
      <c r="E555" s="1" t="s">
        <v>1382</v>
      </c>
      <c r="F555" s="1" t="s">
        <v>1383</v>
      </c>
      <c r="G555" s="2">
        <f>+251927967597</f>
        <v>251927967597</v>
      </c>
      <c r="H555" s="1" t="s">
        <v>18</v>
      </c>
      <c r="I555" s="1" t="s">
        <v>19</v>
      </c>
      <c r="J555" s="1" t="s">
        <v>19</v>
      </c>
      <c r="K555" s="1" t="s">
        <v>25</v>
      </c>
      <c r="L555" s="1">
        <v>21.19</v>
      </c>
      <c r="M555" s="1" t="s">
        <v>26</v>
      </c>
      <c r="O555" s="1">
        <v>2.64823731442E11</v>
      </c>
    </row>
    <row r="556">
      <c r="A556" s="1">
        <v>1279071.0</v>
      </c>
      <c r="B556" s="1" t="s">
        <v>1384</v>
      </c>
      <c r="C556" s="1" t="b">
        <v>1</v>
      </c>
      <c r="D556" s="1" t="b">
        <v>1</v>
      </c>
      <c r="E556" s="1" t="s">
        <v>1385</v>
      </c>
      <c r="F556" s="1" t="s">
        <v>1386</v>
      </c>
      <c r="G556" s="2">
        <f>+251937563953</f>
        <v>251937563953</v>
      </c>
      <c r="H556" s="1" t="s">
        <v>18</v>
      </c>
      <c r="I556" s="1" t="s">
        <v>19</v>
      </c>
      <c r="J556" s="1" t="s">
        <v>19</v>
      </c>
      <c r="K556" s="1" t="s">
        <v>20</v>
      </c>
      <c r="L556" s="1">
        <v>19.88</v>
      </c>
      <c r="M556" s="1" t="s">
        <v>21</v>
      </c>
      <c r="O556" s="1">
        <v>1.0847859426E10</v>
      </c>
    </row>
    <row r="557">
      <c r="A557" s="1">
        <v>2825611.0</v>
      </c>
      <c r="B557" s="1" t="s">
        <v>1387</v>
      </c>
      <c r="C557" s="1" t="b">
        <v>1</v>
      </c>
      <c r="D557" s="1" t="b">
        <v>1</v>
      </c>
      <c r="E557" s="1" t="s">
        <v>1388</v>
      </c>
      <c r="F557" s="1" t="s">
        <v>1389</v>
      </c>
      <c r="G557" s="2">
        <f>+251918763378</f>
        <v>251918763378</v>
      </c>
      <c r="H557" s="1" t="s">
        <v>58</v>
      </c>
      <c r="I557" s="1" t="s">
        <v>19</v>
      </c>
      <c r="J557" s="1" t="s">
        <v>19</v>
      </c>
      <c r="K557" s="1" t="s">
        <v>25</v>
      </c>
      <c r="L557" s="1">
        <v>23.01</v>
      </c>
      <c r="M557" s="1" t="s">
        <v>21</v>
      </c>
      <c r="O557" s="1">
        <v>2.64844156146E11</v>
      </c>
    </row>
    <row r="558">
      <c r="A558" s="1">
        <v>2825647.0</v>
      </c>
      <c r="B558" s="1" t="s">
        <v>1390</v>
      </c>
      <c r="C558" s="1" t="b">
        <v>1</v>
      </c>
      <c r="D558" s="1" t="b">
        <v>1</v>
      </c>
      <c r="E558" s="1" t="s">
        <v>91</v>
      </c>
      <c r="F558" s="1" t="s">
        <v>1391</v>
      </c>
      <c r="G558" s="2">
        <f>+251900978705</f>
        <v>251900978705</v>
      </c>
      <c r="H558" s="1" t="s">
        <v>18</v>
      </c>
      <c r="I558" s="1" t="s">
        <v>19</v>
      </c>
      <c r="J558" s="1" t="s">
        <v>19</v>
      </c>
      <c r="K558" s="1" t="s">
        <v>25</v>
      </c>
      <c r="L558" s="1">
        <v>26.04</v>
      </c>
      <c r="M558" s="1" t="s">
        <v>21</v>
      </c>
      <c r="O558" s="1">
        <v>2.64847902938E11</v>
      </c>
    </row>
    <row r="559">
      <c r="A559" s="1">
        <v>2825657.0</v>
      </c>
      <c r="B559" s="1" t="s">
        <v>1392</v>
      </c>
      <c r="C559" s="1" t="b">
        <v>1</v>
      </c>
      <c r="D559" s="1" t="b">
        <v>1</v>
      </c>
      <c r="E559" s="1" t="s">
        <v>1393</v>
      </c>
      <c r="F559" s="1" t="s">
        <v>1394</v>
      </c>
      <c r="G559" s="1">
        <v>9.55057242E8</v>
      </c>
      <c r="H559" s="1" t="s">
        <v>72</v>
      </c>
      <c r="I559" s="1" t="s">
        <v>19</v>
      </c>
      <c r="J559" s="1" t="s">
        <v>19</v>
      </c>
      <c r="K559" s="1" t="s">
        <v>25</v>
      </c>
      <c r="L559" s="1">
        <v>24.34</v>
      </c>
      <c r="M559" s="1" t="s">
        <v>21</v>
      </c>
      <c r="O559" s="1">
        <v>2.64846259433E11</v>
      </c>
    </row>
    <row r="560">
      <c r="A560" s="1">
        <v>2685934.0</v>
      </c>
      <c r="B560" s="1" t="s">
        <v>1395</v>
      </c>
      <c r="C560" s="1" t="b">
        <v>1</v>
      </c>
      <c r="D560" s="1" t="b">
        <v>1</v>
      </c>
      <c r="E560" s="1" t="s">
        <v>1396</v>
      </c>
      <c r="F560" s="1" t="s">
        <v>92</v>
      </c>
      <c r="G560" s="2">
        <f>+251905689938</f>
        <v>251905689938</v>
      </c>
      <c r="H560" s="1" t="s">
        <v>18</v>
      </c>
      <c r="I560" s="1" t="s">
        <v>19</v>
      </c>
      <c r="J560" s="1" t="s">
        <v>19</v>
      </c>
      <c r="K560" s="1" t="s">
        <v>25</v>
      </c>
      <c r="L560" s="1">
        <v>21.85</v>
      </c>
      <c r="M560" s="1" t="s">
        <v>21</v>
      </c>
      <c r="O560" s="1">
        <v>2.22115762408E11</v>
      </c>
    </row>
    <row r="561">
      <c r="A561" s="1">
        <v>2826024.0</v>
      </c>
      <c r="B561" s="1" t="s">
        <v>1397</v>
      </c>
      <c r="C561" s="1" t="b">
        <v>1</v>
      </c>
      <c r="D561" s="1" t="b">
        <v>1</v>
      </c>
      <c r="E561" s="1" t="s">
        <v>1398</v>
      </c>
      <c r="F561" s="1" t="s">
        <v>1185</v>
      </c>
      <c r="G561" s="2">
        <f>+251983160036</f>
        <v>251983160036</v>
      </c>
      <c r="H561" s="1" t="s">
        <v>18</v>
      </c>
      <c r="I561" s="1" t="s">
        <v>19</v>
      </c>
      <c r="J561" s="1" t="s">
        <v>19</v>
      </c>
      <c r="K561" s="1" t="s">
        <v>25</v>
      </c>
      <c r="L561" s="1">
        <v>20.04</v>
      </c>
      <c r="M561" s="1" t="s">
        <v>21</v>
      </c>
      <c r="O561" s="1">
        <v>2.64863399099E11</v>
      </c>
    </row>
    <row r="562">
      <c r="A562" s="1">
        <v>2826072.0</v>
      </c>
      <c r="B562" s="1" t="s">
        <v>1399</v>
      </c>
      <c r="C562" s="1" t="b">
        <v>1</v>
      </c>
      <c r="D562" s="1" t="b">
        <v>1</v>
      </c>
      <c r="E562" s="1" t="s">
        <v>37</v>
      </c>
      <c r="F562" s="1" t="s">
        <v>641</v>
      </c>
      <c r="G562" s="2">
        <f>+251907007851</f>
        <v>251907007851</v>
      </c>
      <c r="H562" s="1" t="s">
        <v>18</v>
      </c>
      <c r="I562" s="1" t="s">
        <v>19</v>
      </c>
      <c r="J562" s="1" t="s">
        <v>19</v>
      </c>
      <c r="K562" s="1" t="s">
        <v>25</v>
      </c>
      <c r="L562" s="1">
        <v>20.98</v>
      </c>
      <c r="M562" s="1" t="s">
        <v>33</v>
      </c>
      <c r="N562" s="1" t="s">
        <v>65</v>
      </c>
      <c r="O562" s="1">
        <v>2.64859838691E11</v>
      </c>
    </row>
    <row r="563">
      <c r="A563" s="1">
        <v>2821813.0</v>
      </c>
      <c r="B563" s="1" t="s">
        <v>1400</v>
      </c>
      <c r="C563" s="1" t="b">
        <v>1</v>
      </c>
      <c r="D563" s="1" t="b">
        <v>1</v>
      </c>
      <c r="E563" s="1" t="s">
        <v>188</v>
      </c>
      <c r="F563" s="1" t="s">
        <v>1000</v>
      </c>
      <c r="G563" s="2">
        <f>+1973110596</f>
        <v>1973110596</v>
      </c>
      <c r="H563" s="1" t="s">
        <v>18</v>
      </c>
      <c r="I563" s="1" t="s">
        <v>19</v>
      </c>
      <c r="J563" s="1" t="s">
        <v>19</v>
      </c>
      <c r="K563" s="1" t="s">
        <v>25</v>
      </c>
      <c r="L563" s="1">
        <v>35.18</v>
      </c>
      <c r="M563" s="1" t="s">
        <v>21</v>
      </c>
      <c r="O563" s="1">
        <v>2.63909723334E11</v>
      </c>
    </row>
    <row r="564">
      <c r="A564" s="1">
        <v>2826750.0</v>
      </c>
      <c r="B564" s="1" t="s">
        <v>1401</v>
      </c>
      <c r="C564" s="1" t="b">
        <v>1</v>
      </c>
      <c r="D564" s="1" t="b">
        <v>1</v>
      </c>
      <c r="E564" s="1" t="s">
        <v>1402</v>
      </c>
      <c r="F564" s="1" t="s">
        <v>1403</v>
      </c>
      <c r="G564" s="2">
        <f>+25190967463525</f>
        <v>25190967463525</v>
      </c>
      <c r="H564" s="1" t="s">
        <v>18</v>
      </c>
      <c r="I564" s="1" t="s">
        <v>19</v>
      </c>
      <c r="J564" s="1" t="s">
        <v>19</v>
      </c>
      <c r="K564" s="1" t="s">
        <v>20</v>
      </c>
      <c r="L564" s="1">
        <v>20.14</v>
      </c>
      <c r="M564" s="1" t="s">
        <v>21</v>
      </c>
    </row>
    <row r="565">
      <c r="A565" s="1">
        <v>2826881.0</v>
      </c>
      <c r="B565" s="1" t="s">
        <v>1404</v>
      </c>
      <c r="C565" s="1" t="b">
        <v>1</v>
      </c>
      <c r="D565" s="1" t="b">
        <v>1</v>
      </c>
      <c r="E565" s="1" t="s">
        <v>1405</v>
      </c>
      <c r="F565" s="1" t="s">
        <v>1321</v>
      </c>
      <c r="G565" s="2">
        <f>+251941877058</f>
        <v>251941877058</v>
      </c>
      <c r="H565" s="1" t="s">
        <v>18</v>
      </c>
      <c r="I565" s="1" t="s">
        <v>19</v>
      </c>
      <c r="J565" s="1" t="s">
        <v>19</v>
      </c>
      <c r="K565" s="1" t="s">
        <v>25</v>
      </c>
      <c r="L565" s="1">
        <v>23.42</v>
      </c>
      <c r="M565" s="1" t="s">
        <v>21</v>
      </c>
      <c r="O565" s="1">
        <v>5740130.0</v>
      </c>
    </row>
    <row r="566">
      <c r="A566" s="1">
        <v>2826984.0</v>
      </c>
      <c r="B566" s="1" t="s">
        <v>1406</v>
      </c>
      <c r="C566" s="1" t="b">
        <v>0</v>
      </c>
      <c r="D566" s="1" t="b">
        <v>1</v>
      </c>
      <c r="E566" s="1" t="s">
        <v>951</v>
      </c>
      <c r="F566" s="1" t="s">
        <v>1407</v>
      </c>
      <c r="G566" s="2">
        <f>+251930745012</f>
        <v>251930745012</v>
      </c>
      <c r="H566" s="1" t="s">
        <v>18</v>
      </c>
      <c r="I566" s="1" t="s">
        <v>19</v>
      </c>
      <c r="J566" s="1" t="s">
        <v>19</v>
      </c>
      <c r="K566" s="1" t="s">
        <v>25</v>
      </c>
      <c r="L566" s="1">
        <v>18.53</v>
      </c>
      <c r="M566" s="1" t="s">
        <v>33</v>
      </c>
      <c r="N566" s="1" t="s">
        <v>177</v>
      </c>
      <c r="O566" s="1">
        <v>2.6513086794E11</v>
      </c>
    </row>
    <row r="567">
      <c r="A567" s="1">
        <v>2827200.0</v>
      </c>
      <c r="B567" s="1" t="s">
        <v>1408</v>
      </c>
      <c r="C567" s="1" t="b">
        <v>1</v>
      </c>
      <c r="D567" s="1" t="b">
        <v>1</v>
      </c>
      <c r="E567" s="1" t="s">
        <v>1409</v>
      </c>
      <c r="F567" s="1" t="s">
        <v>258</v>
      </c>
      <c r="G567" s="2">
        <f>+251953496727</f>
        <v>251953496727</v>
      </c>
      <c r="H567" s="1" t="s">
        <v>1410</v>
      </c>
      <c r="I567" s="1" t="s">
        <v>19</v>
      </c>
      <c r="J567" s="1" t="s">
        <v>19</v>
      </c>
      <c r="K567" s="1" t="s">
        <v>25</v>
      </c>
      <c r="L567" s="1">
        <v>26.39</v>
      </c>
      <c r="M567" s="1" t="s">
        <v>21</v>
      </c>
    </row>
    <row r="568">
      <c r="A568" s="1">
        <v>2827737.0</v>
      </c>
      <c r="B568" s="1" t="s">
        <v>1411</v>
      </c>
      <c r="C568" s="1" t="b">
        <v>1</v>
      </c>
      <c r="D568" s="1" t="b">
        <v>1</v>
      </c>
      <c r="E568" s="1" t="s">
        <v>1412</v>
      </c>
      <c r="F568" s="1" t="s">
        <v>1413</v>
      </c>
      <c r="G568" s="2">
        <f>+251931049191</f>
        <v>251931049191</v>
      </c>
      <c r="H568" s="1" t="s">
        <v>18</v>
      </c>
      <c r="I568" s="1" t="s">
        <v>19</v>
      </c>
      <c r="J568" s="1" t="s">
        <v>19</v>
      </c>
      <c r="K568" s="1" t="s">
        <v>25</v>
      </c>
      <c r="L568" s="1">
        <v>19.97</v>
      </c>
      <c r="M568" s="1" t="s">
        <v>21</v>
      </c>
      <c r="O568" s="1">
        <v>2.6562707991E11</v>
      </c>
    </row>
    <row r="569">
      <c r="A569" s="1">
        <v>2827780.0</v>
      </c>
      <c r="B569" s="1" t="s">
        <v>1414</v>
      </c>
      <c r="C569" s="1" t="b">
        <v>1</v>
      </c>
      <c r="D569" s="1" t="b">
        <v>1</v>
      </c>
      <c r="E569" s="1" t="s">
        <v>510</v>
      </c>
      <c r="F569" s="1" t="s">
        <v>29</v>
      </c>
      <c r="G569" s="2">
        <f>+251907735469</f>
        <v>251907735469</v>
      </c>
      <c r="H569" s="1" t="s">
        <v>93</v>
      </c>
      <c r="I569" s="1" t="s">
        <v>19</v>
      </c>
      <c r="J569" s="1" t="s">
        <v>19</v>
      </c>
      <c r="K569" s="1" t="s">
        <v>25</v>
      </c>
      <c r="L569" s="1">
        <v>25.16</v>
      </c>
      <c r="M569" s="1" t="s">
        <v>21</v>
      </c>
      <c r="O569" s="1">
        <v>2.3355676E7</v>
      </c>
    </row>
    <row r="570">
      <c r="A570" s="1">
        <v>410080.0</v>
      </c>
      <c r="B570" s="1" t="s">
        <v>1415</v>
      </c>
      <c r="C570" s="1" t="b">
        <v>1</v>
      </c>
      <c r="D570" s="1" t="b">
        <v>1</v>
      </c>
      <c r="E570" s="1" t="s">
        <v>1416</v>
      </c>
      <c r="F570" s="1" t="s">
        <v>1417</v>
      </c>
      <c r="G570" s="2">
        <f>+251935443209</f>
        <v>251935443209</v>
      </c>
      <c r="H570" s="1" t="s">
        <v>18</v>
      </c>
      <c r="I570" s="1" t="s">
        <v>19</v>
      </c>
      <c r="J570" s="1" t="s">
        <v>19</v>
      </c>
      <c r="K570" s="1" t="s">
        <v>1418</v>
      </c>
      <c r="L570" s="1">
        <v>25.91</v>
      </c>
      <c r="M570" s="1" t="s">
        <v>21</v>
      </c>
      <c r="O570" s="1">
        <v>2743975.0</v>
      </c>
    </row>
    <row r="571">
      <c r="A571" s="1">
        <v>2827790.0</v>
      </c>
      <c r="B571" s="1" t="s">
        <v>1419</v>
      </c>
      <c r="C571" s="1" t="b">
        <v>1</v>
      </c>
      <c r="D571" s="1" t="b">
        <v>1</v>
      </c>
      <c r="E571" s="1" t="s">
        <v>60</v>
      </c>
      <c r="F571" s="1" t="s">
        <v>1420</v>
      </c>
      <c r="G571" s="2">
        <f>+251942671257</f>
        <v>251942671257</v>
      </c>
      <c r="H571" s="1" t="s">
        <v>335</v>
      </c>
      <c r="I571" s="1" t="s">
        <v>19</v>
      </c>
      <c r="J571" s="1" t="s">
        <v>19</v>
      </c>
      <c r="K571" s="1" t="s">
        <v>25</v>
      </c>
      <c r="L571" s="1">
        <v>25.88</v>
      </c>
      <c r="M571" s="1" t="s">
        <v>21</v>
      </c>
      <c r="O571" s="1">
        <v>1.1355603E7</v>
      </c>
    </row>
    <row r="572">
      <c r="A572" s="1">
        <v>2827995.0</v>
      </c>
      <c r="B572" s="1" t="s">
        <v>1421</v>
      </c>
      <c r="C572" s="1" t="b">
        <v>1</v>
      </c>
      <c r="D572" s="1" t="b">
        <v>1</v>
      </c>
      <c r="E572" s="1" t="s">
        <v>503</v>
      </c>
      <c r="F572" s="1" t="s">
        <v>303</v>
      </c>
      <c r="G572" s="2">
        <f>+251972903535</f>
        <v>251972903535</v>
      </c>
      <c r="H572" s="1" t="s">
        <v>18</v>
      </c>
      <c r="I572" s="1" t="s">
        <v>19</v>
      </c>
      <c r="J572" s="1" t="s">
        <v>19</v>
      </c>
      <c r="K572" s="1" t="s">
        <v>25</v>
      </c>
      <c r="L572" s="1">
        <v>21.6</v>
      </c>
      <c r="M572" s="1" t="s">
        <v>33</v>
      </c>
      <c r="N572" s="1" t="s">
        <v>235</v>
      </c>
      <c r="O572" s="1">
        <v>2.65776295161E11</v>
      </c>
    </row>
    <row r="573">
      <c r="A573" s="1">
        <v>2095092.0</v>
      </c>
      <c r="B573" s="1" t="s">
        <v>1422</v>
      </c>
      <c r="C573" s="1" t="b">
        <v>1</v>
      </c>
      <c r="D573" s="1" t="b">
        <v>1</v>
      </c>
      <c r="E573" s="1" t="s">
        <v>240</v>
      </c>
      <c r="F573" s="1" t="s">
        <v>1423</v>
      </c>
      <c r="G573" s="2">
        <f>+251967947857</f>
        <v>251967947857</v>
      </c>
      <c r="H573" s="1" t="s">
        <v>1424</v>
      </c>
      <c r="I573" s="1" t="s">
        <v>19</v>
      </c>
      <c r="J573" s="1" t="s">
        <v>19</v>
      </c>
      <c r="K573" s="1" t="s">
        <v>25</v>
      </c>
      <c r="L573" s="1">
        <v>24.83</v>
      </c>
      <c r="M573" s="1" t="s">
        <v>21</v>
      </c>
      <c r="O573" s="1">
        <v>3.0628802778E10</v>
      </c>
    </row>
    <row r="574">
      <c r="A574" s="1">
        <v>1139893.0</v>
      </c>
      <c r="B574" s="1" t="s">
        <v>1425</v>
      </c>
      <c r="C574" s="1" t="b">
        <v>1</v>
      </c>
      <c r="D574" s="1" t="b">
        <v>1</v>
      </c>
      <c r="E574" s="1" t="s">
        <v>1426</v>
      </c>
      <c r="F574" s="1" t="s">
        <v>1077</v>
      </c>
      <c r="G574" s="2">
        <f>+251919757356</f>
        <v>251919757356</v>
      </c>
      <c r="H574" s="1" t="s">
        <v>18</v>
      </c>
      <c r="I574" s="1" t="s">
        <v>19</v>
      </c>
      <c r="J574" s="1" t="s">
        <v>19</v>
      </c>
      <c r="K574" s="1" t="s">
        <v>25</v>
      </c>
      <c r="L574" s="1">
        <v>29.44</v>
      </c>
      <c r="M574" s="1" t="s">
        <v>21</v>
      </c>
      <c r="O574" s="1">
        <v>8871912.0</v>
      </c>
    </row>
    <row r="575">
      <c r="A575" s="1">
        <v>2035112.0</v>
      </c>
      <c r="B575" s="1" t="s">
        <v>1427</v>
      </c>
      <c r="C575" s="1" t="b">
        <v>1</v>
      </c>
      <c r="D575" s="1" t="b">
        <v>1</v>
      </c>
      <c r="E575" s="1" t="s">
        <v>1428</v>
      </c>
      <c r="F575" s="1" t="s">
        <v>500</v>
      </c>
      <c r="G575" s="2">
        <f>+251909841480</f>
        <v>251909841480</v>
      </c>
      <c r="H575" s="1" t="s">
        <v>18</v>
      </c>
      <c r="I575" s="1" t="s">
        <v>19</v>
      </c>
      <c r="J575" s="1" t="s">
        <v>19</v>
      </c>
      <c r="K575" s="1" t="s">
        <v>25</v>
      </c>
      <c r="L575" s="1">
        <v>24.83</v>
      </c>
      <c r="M575" s="1" t="s">
        <v>21</v>
      </c>
      <c r="O575" s="1">
        <v>2.9274302447E10</v>
      </c>
    </row>
    <row r="576">
      <c r="A576" s="1">
        <v>1997260.0</v>
      </c>
      <c r="B576" s="1" t="s">
        <v>1429</v>
      </c>
      <c r="C576" s="1" t="b">
        <v>1</v>
      </c>
      <c r="D576" s="1" t="b">
        <v>1</v>
      </c>
      <c r="E576" s="1" t="s">
        <v>1430</v>
      </c>
      <c r="F576" s="1" t="s">
        <v>1431</v>
      </c>
      <c r="G576" s="2">
        <f>+251942170225</f>
        <v>251942170225</v>
      </c>
      <c r="H576" s="1" t="s">
        <v>18</v>
      </c>
      <c r="I576" s="1" t="s">
        <v>19</v>
      </c>
      <c r="J576" s="1" t="s">
        <v>19</v>
      </c>
      <c r="K576" s="1" t="s">
        <v>20</v>
      </c>
      <c r="L576" s="1">
        <v>19.14</v>
      </c>
      <c r="M576" s="1" t="s">
        <v>33</v>
      </c>
      <c r="N576" s="1" t="s">
        <v>166</v>
      </c>
      <c r="O576" s="1">
        <v>2.8388026848E10</v>
      </c>
    </row>
    <row r="577">
      <c r="A577" s="1">
        <v>2053386.0</v>
      </c>
      <c r="B577" s="1" t="s">
        <v>1432</v>
      </c>
      <c r="C577" s="1" t="b">
        <v>1</v>
      </c>
      <c r="D577" s="1" t="b">
        <v>1</v>
      </c>
      <c r="E577" s="1" t="s">
        <v>483</v>
      </c>
      <c r="F577" s="1" t="s">
        <v>1433</v>
      </c>
      <c r="G577" s="2">
        <f>+251918461548</f>
        <v>251918461548</v>
      </c>
      <c r="H577" s="1" t="s">
        <v>72</v>
      </c>
      <c r="I577" s="1" t="s">
        <v>19</v>
      </c>
      <c r="J577" s="1" t="s">
        <v>19</v>
      </c>
      <c r="K577" s="1" t="s">
        <v>25</v>
      </c>
      <c r="L577" s="1">
        <v>13.83</v>
      </c>
      <c r="M577" s="1" t="s">
        <v>33</v>
      </c>
      <c r="N577" s="1" t="s">
        <v>65</v>
      </c>
      <c r="O577" s="1">
        <v>2.9683883462E10</v>
      </c>
    </row>
    <row r="578">
      <c r="A578" s="1">
        <v>2828368.0</v>
      </c>
      <c r="B578" s="1" t="s">
        <v>1434</v>
      </c>
      <c r="C578" s="1" t="b">
        <v>1</v>
      </c>
      <c r="D578" s="1" t="b">
        <v>1</v>
      </c>
      <c r="E578" s="1" t="s">
        <v>1435</v>
      </c>
      <c r="F578" s="1" t="s">
        <v>1436</v>
      </c>
      <c r="G578" s="2">
        <f>+251919944591</f>
        <v>251919944591</v>
      </c>
      <c r="H578" s="1" t="s">
        <v>18</v>
      </c>
      <c r="I578" s="1" t="s">
        <v>19</v>
      </c>
      <c r="J578" s="1" t="s">
        <v>19</v>
      </c>
      <c r="K578" s="1" t="s">
        <v>25</v>
      </c>
      <c r="L578" s="1">
        <v>28.39</v>
      </c>
      <c r="M578" s="1" t="s">
        <v>21</v>
      </c>
      <c r="O578" s="1">
        <v>8807796.0</v>
      </c>
    </row>
    <row r="579">
      <c r="A579" s="1">
        <v>2828387.0</v>
      </c>
      <c r="B579" s="1" t="s">
        <v>1437</v>
      </c>
      <c r="C579" s="1" t="b">
        <v>1</v>
      </c>
      <c r="D579" s="1" t="b">
        <v>1</v>
      </c>
      <c r="E579" s="1" t="s">
        <v>1438</v>
      </c>
      <c r="F579" s="1" t="s">
        <v>1439</v>
      </c>
      <c r="G579" s="2">
        <f>+251900815171</f>
        <v>251900815171</v>
      </c>
      <c r="H579" s="1" t="s">
        <v>18</v>
      </c>
      <c r="I579" s="1" t="s">
        <v>19</v>
      </c>
      <c r="J579" s="1" t="s">
        <v>19</v>
      </c>
      <c r="K579" s="1" t="s">
        <v>25</v>
      </c>
      <c r="L579" s="1">
        <v>19.78</v>
      </c>
      <c r="M579" s="1" t="s">
        <v>21</v>
      </c>
      <c r="O579" s="1">
        <v>2.66090633444E11</v>
      </c>
    </row>
    <row r="580">
      <c r="A580" s="1">
        <v>2827773.0</v>
      </c>
      <c r="B580" s="1" t="s">
        <v>1440</v>
      </c>
      <c r="C580" s="1" t="b">
        <v>1</v>
      </c>
      <c r="D580" s="1" t="b">
        <v>1</v>
      </c>
      <c r="E580" s="1" t="s">
        <v>101</v>
      </c>
      <c r="F580" s="1" t="s">
        <v>616</v>
      </c>
      <c r="G580" s="2">
        <f>+251955732737</f>
        <v>251955732737</v>
      </c>
      <c r="H580" s="1" t="s">
        <v>18</v>
      </c>
      <c r="I580" s="1" t="s">
        <v>19</v>
      </c>
      <c r="J580" s="1" t="s">
        <v>19</v>
      </c>
      <c r="K580" s="1" t="s">
        <v>25</v>
      </c>
      <c r="L580" s="1">
        <v>19.04</v>
      </c>
      <c r="M580" s="1" t="s">
        <v>21</v>
      </c>
      <c r="O580" s="1">
        <v>807265.0</v>
      </c>
    </row>
    <row r="581">
      <c r="A581" s="1">
        <v>2828489.0</v>
      </c>
      <c r="B581" s="1" t="s">
        <v>1441</v>
      </c>
      <c r="C581" s="1" t="b">
        <v>1</v>
      </c>
      <c r="D581" s="1" t="b">
        <v>0</v>
      </c>
      <c r="E581" s="1" t="s">
        <v>1442</v>
      </c>
      <c r="F581" s="1" t="s">
        <v>724</v>
      </c>
      <c r="G581" s="2">
        <f>+251931559554</f>
        <v>251931559554</v>
      </c>
      <c r="H581" s="1" t="s">
        <v>72</v>
      </c>
      <c r="I581" s="1" t="s">
        <v>19</v>
      </c>
      <c r="J581" s="1" t="s">
        <v>19</v>
      </c>
      <c r="K581" s="1" t="s">
        <v>25</v>
      </c>
      <c r="L581" s="1">
        <v>20.96</v>
      </c>
      <c r="M581" s="1" t="s">
        <v>33</v>
      </c>
      <c r="N581" s="1" t="s">
        <v>65</v>
      </c>
      <c r="O581" s="1">
        <v>2.6612351204E11</v>
      </c>
    </row>
    <row r="582">
      <c r="A582" s="1">
        <v>2828510.0</v>
      </c>
      <c r="B582" s="1" t="s">
        <v>1443</v>
      </c>
      <c r="C582" s="1" t="b">
        <v>1</v>
      </c>
      <c r="D582" s="1" t="b">
        <v>1</v>
      </c>
      <c r="E582" s="1" t="s">
        <v>60</v>
      </c>
      <c r="F582" s="1" t="s">
        <v>1444</v>
      </c>
      <c r="G582" s="2">
        <f>+251938839586</f>
        <v>251938839586</v>
      </c>
      <c r="H582" s="1" t="s">
        <v>72</v>
      </c>
      <c r="I582" s="1" t="s">
        <v>19</v>
      </c>
      <c r="J582" s="1" t="s">
        <v>19</v>
      </c>
      <c r="K582" s="1" t="s">
        <v>25</v>
      </c>
      <c r="L582" s="1">
        <v>24.44</v>
      </c>
      <c r="M582" s="1" t="s">
        <v>33</v>
      </c>
      <c r="N582" s="1" t="s">
        <v>235</v>
      </c>
    </row>
    <row r="583">
      <c r="A583" s="1">
        <v>2828461.0</v>
      </c>
      <c r="B583" s="1" t="s">
        <v>1445</v>
      </c>
      <c r="C583" s="1" t="b">
        <v>1</v>
      </c>
      <c r="D583" s="1" t="b">
        <v>1</v>
      </c>
      <c r="E583" s="1" t="s">
        <v>1446</v>
      </c>
      <c r="F583" s="1" t="s">
        <v>1447</v>
      </c>
      <c r="G583" s="2">
        <f>+251904000846</f>
        <v>251904000846</v>
      </c>
      <c r="H583" s="1" t="s">
        <v>18</v>
      </c>
      <c r="I583" s="1" t="s">
        <v>19</v>
      </c>
      <c r="J583" s="1" t="s">
        <v>19</v>
      </c>
      <c r="K583" s="1" t="s">
        <v>20</v>
      </c>
      <c r="L583" s="1">
        <v>19.06</v>
      </c>
      <c r="M583" s="1" t="s">
        <v>33</v>
      </c>
      <c r="N583" s="1" t="s">
        <v>118</v>
      </c>
      <c r="O583" s="1">
        <v>2.66107854023E11</v>
      </c>
    </row>
    <row r="584">
      <c r="A584" s="1">
        <v>1768235.0</v>
      </c>
      <c r="B584" s="1" t="s">
        <v>1448</v>
      </c>
      <c r="C584" s="1" t="b">
        <v>1</v>
      </c>
      <c r="D584" s="1" t="b">
        <v>1</v>
      </c>
      <c r="E584" s="1" t="s">
        <v>877</v>
      </c>
      <c r="F584" s="1" t="s">
        <v>1449</v>
      </c>
      <c r="G584" s="2">
        <f>+251911527642</f>
        <v>251911527642</v>
      </c>
      <c r="H584" s="1" t="s">
        <v>18</v>
      </c>
      <c r="I584" s="1" t="s">
        <v>19</v>
      </c>
      <c r="J584" s="1" t="s">
        <v>19</v>
      </c>
      <c r="K584" s="1" t="s">
        <v>20</v>
      </c>
      <c r="L584" s="1">
        <v>20.42</v>
      </c>
      <c r="M584" s="1" t="s">
        <v>21</v>
      </c>
      <c r="O584" s="1">
        <v>2.3782216185E10</v>
      </c>
    </row>
    <row r="585">
      <c r="A585" s="1">
        <v>2828966.0</v>
      </c>
      <c r="B585" s="1" t="s">
        <v>1450</v>
      </c>
      <c r="C585" s="1" t="b">
        <v>1</v>
      </c>
      <c r="D585" s="1" t="b">
        <v>1</v>
      </c>
      <c r="E585" s="1" t="s">
        <v>1451</v>
      </c>
      <c r="F585" s="1" t="s">
        <v>1452</v>
      </c>
      <c r="G585" s="2">
        <f>+251970948134</f>
        <v>251970948134</v>
      </c>
      <c r="H585" s="1" t="s">
        <v>18</v>
      </c>
      <c r="I585" s="1" t="s">
        <v>19</v>
      </c>
      <c r="J585" s="1" t="s">
        <v>19</v>
      </c>
      <c r="K585" s="1" t="s">
        <v>25</v>
      </c>
      <c r="L585" s="1">
        <v>22.28</v>
      </c>
      <c r="M585" s="1" t="s">
        <v>21</v>
      </c>
      <c r="O585" s="1">
        <v>2.66239089851E11</v>
      </c>
    </row>
    <row r="586">
      <c r="A586" s="1">
        <v>2829154.0</v>
      </c>
      <c r="B586" s="1" t="s">
        <v>1453</v>
      </c>
      <c r="C586" s="1" t="b">
        <v>1</v>
      </c>
      <c r="D586" s="1" t="b">
        <v>1</v>
      </c>
      <c r="E586" s="1" t="s">
        <v>1128</v>
      </c>
      <c r="F586" s="1" t="s">
        <v>1454</v>
      </c>
      <c r="G586" s="2">
        <f>+251933082993</f>
        <v>251933082993</v>
      </c>
      <c r="H586" s="1" t="s">
        <v>1410</v>
      </c>
      <c r="I586" s="1" t="s">
        <v>19</v>
      </c>
      <c r="J586" s="1" t="s">
        <v>19</v>
      </c>
      <c r="K586" s="1" t="s">
        <v>25</v>
      </c>
      <c r="L586" s="1">
        <v>25.65</v>
      </c>
      <c r="M586" s="1" t="s">
        <v>33</v>
      </c>
      <c r="N586" s="1" t="s">
        <v>65</v>
      </c>
      <c r="O586" s="1">
        <v>2.66356088055E11</v>
      </c>
    </row>
    <row r="587">
      <c r="A587" s="1">
        <v>2829318.0</v>
      </c>
      <c r="B587" s="1" t="s">
        <v>1455</v>
      </c>
      <c r="C587" s="1" t="b">
        <v>1</v>
      </c>
      <c r="D587" s="1" t="b">
        <v>1</v>
      </c>
      <c r="E587" s="1" t="s">
        <v>500</v>
      </c>
      <c r="F587" s="1" t="s">
        <v>916</v>
      </c>
      <c r="G587" s="2">
        <f>+251992327207</f>
        <v>251992327207</v>
      </c>
      <c r="H587" s="1" t="s">
        <v>72</v>
      </c>
      <c r="I587" s="1" t="s">
        <v>19</v>
      </c>
      <c r="J587" s="1" t="s">
        <v>19</v>
      </c>
      <c r="K587" s="1" t="s">
        <v>25</v>
      </c>
      <c r="L587" s="1">
        <v>23.13</v>
      </c>
      <c r="M587" s="1" t="s">
        <v>21</v>
      </c>
      <c r="O587" s="1">
        <v>2.66479358179E11</v>
      </c>
    </row>
    <row r="588">
      <c r="A588" s="1">
        <v>2829430.0</v>
      </c>
      <c r="B588" s="1" t="s">
        <v>1456</v>
      </c>
      <c r="C588" s="1" t="b">
        <v>0</v>
      </c>
      <c r="D588" s="1" t="b">
        <v>0</v>
      </c>
      <c r="E588" s="1" t="s">
        <v>1457</v>
      </c>
      <c r="F588" s="1" t="s">
        <v>328</v>
      </c>
      <c r="G588" s="2">
        <f>+251924097574</f>
        <v>251924097574</v>
      </c>
      <c r="H588" s="1" t="s">
        <v>18</v>
      </c>
      <c r="I588" s="1" t="s">
        <v>19</v>
      </c>
      <c r="J588" s="1" t="s">
        <v>19</v>
      </c>
      <c r="K588" s="1" t="s">
        <v>25</v>
      </c>
      <c r="L588" s="1">
        <v>19.49</v>
      </c>
      <c r="M588" s="1" t="s">
        <v>33</v>
      </c>
      <c r="N588" s="1" t="s">
        <v>65</v>
      </c>
      <c r="O588" s="1">
        <v>2.66494373102E11</v>
      </c>
    </row>
    <row r="589">
      <c r="A589" s="1">
        <v>2559055.0</v>
      </c>
      <c r="B589" s="1" t="s">
        <v>1458</v>
      </c>
      <c r="C589" s="1" t="b">
        <v>1</v>
      </c>
      <c r="D589" s="1" t="b">
        <v>1</v>
      </c>
      <c r="E589" s="1" t="s">
        <v>1459</v>
      </c>
      <c r="F589" s="1" t="s">
        <v>1116</v>
      </c>
      <c r="G589" s="2">
        <f>+251946670244</f>
        <v>251946670244</v>
      </c>
      <c r="H589" s="1" t="s">
        <v>18</v>
      </c>
      <c r="I589" s="1" t="s">
        <v>19</v>
      </c>
      <c r="J589" s="1" t="s">
        <v>19</v>
      </c>
      <c r="K589" s="1" t="s">
        <v>25</v>
      </c>
      <c r="L589" s="1">
        <v>20.3</v>
      </c>
      <c r="M589" s="1" t="s">
        <v>21</v>
      </c>
      <c r="O589" s="1">
        <v>1.0199879E7</v>
      </c>
    </row>
    <row r="590">
      <c r="A590" s="1">
        <v>276085.0</v>
      </c>
      <c r="B590" s="1" t="s">
        <v>1460</v>
      </c>
      <c r="C590" s="1" t="b">
        <v>1</v>
      </c>
      <c r="D590" s="1" t="b">
        <v>1</v>
      </c>
      <c r="E590" s="1" t="s">
        <v>101</v>
      </c>
      <c r="F590" s="1" t="s">
        <v>1461</v>
      </c>
      <c r="G590" s="2">
        <f>+251911854857</f>
        <v>251911854857</v>
      </c>
      <c r="H590" s="1" t="s">
        <v>18</v>
      </c>
      <c r="I590" s="1" t="s">
        <v>19</v>
      </c>
      <c r="J590" s="1" t="s">
        <v>19</v>
      </c>
      <c r="K590" s="1" t="s">
        <v>25</v>
      </c>
      <c r="L590" s="1">
        <v>40.84</v>
      </c>
      <c r="M590" s="1" t="s">
        <v>21</v>
      </c>
      <c r="O590" s="1">
        <v>7890358.0</v>
      </c>
    </row>
    <row r="591">
      <c r="A591" s="1">
        <v>2830246.0</v>
      </c>
      <c r="B591" s="1" t="s">
        <v>1462</v>
      </c>
      <c r="C591" s="1" t="b">
        <v>1</v>
      </c>
      <c r="D591" s="1" t="b">
        <v>1</v>
      </c>
      <c r="E591" s="1" t="s">
        <v>1463</v>
      </c>
      <c r="F591" s="1" t="s">
        <v>1464</v>
      </c>
      <c r="G591" s="2">
        <f>+251913222798</f>
        <v>251913222798</v>
      </c>
      <c r="H591" s="1" t="s">
        <v>72</v>
      </c>
      <c r="I591" s="1" t="s">
        <v>19</v>
      </c>
      <c r="J591" s="1" t="s">
        <v>19</v>
      </c>
      <c r="K591" s="1" t="s">
        <v>25</v>
      </c>
      <c r="L591" s="1">
        <v>24.74</v>
      </c>
      <c r="M591" s="1" t="s">
        <v>33</v>
      </c>
      <c r="N591" s="1" t="s">
        <v>65</v>
      </c>
    </row>
    <row r="592">
      <c r="A592" s="1">
        <v>2724564.0</v>
      </c>
      <c r="B592" s="1" t="s">
        <v>1465</v>
      </c>
      <c r="C592" s="1" t="b">
        <v>1</v>
      </c>
      <c r="D592" s="1" t="b">
        <v>1</v>
      </c>
      <c r="E592" s="1" t="s">
        <v>1466</v>
      </c>
      <c r="F592" s="1" t="s">
        <v>1149</v>
      </c>
      <c r="G592" s="2">
        <f>+251901156180</f>
        <v>251901156180</v>
      </c>
      <c r="H592" s="1" t="s">
        <v>18</v>
      </c>
      <c r="I592" s="1" t="s">
        <v>19</v>
      </c>
      <c r="J592" s="1" t="s">
        <v>19</v>
      </c>
      <c r="K592" s="1" t="s">
        <v>25</v>
      </c>
      <c r="L592" s="1">
        <v>20.44</v>
      </c>
      <c r="M592" s="1" t="s">
        <v>21</v>
      </c>
      <c r="O592" s="1">
        <v>2.36067271924E11</v>
      </c>
    </row>
    <row r="593">
      <c r="A593" s="1">
        <v>2806759.0</v>
      </c>
      <c r="B593" s="1" t="s">
        <v>1467</v>
      </c>
      <c r="C593" s="1" t="b">
        <v>1</v>
      </c>
      <c r="D593" s="1" t="b">
        <v>1</v>
      </c>
      <c r="E593" s="1" t="s">
        <v>812</v>
      </c>
      <c r="F593" s="1" t="s">
        <v>1468</v>
      </c>
      <c r="G593" s="2">
        <f>+251943232903</f>
        <v>251943232903</v>
      </c>
      <c r="H593" s="1" t="s">
        <v>18</v>
      </c>
      <c r="I593" s="1" t="s">
        <v>19</v>
      </c>
      <c r="J593" s="1" t="s">
        <v>19</v>
      </c>
      <c r="K593" s="1" t="s">
        <v>25</v>
      </c>
      <c r="L593" s="1">
        <v>32.73</v>
      </c>
      <c r="M593" s="1" t="s">
        <v>21</v>
      </c>
      <c r="O593" s="1">
        <v>2.61380767958E11</v>
      </c>
    </row>
    <row r="594">
      <c r="A594" s="1">
        <v>2224438.0</v>
      </c>
      <c r="B594" s="1" t="s">
        <v>1469</v>
      </c>
      <c r="C594" s="1" t="b">
        <v>1</v>
      </c>
      <c r="D594" s="1" t="b">
        <v>1</v>
      </c>
      <c r="E594" s="1" t="s">
        <v>1470</v>
      </c>
      <c r="F594" s="1" t="s">
        <v>1471</v>
      </c>
      <c r="G594" s="2">
        <f>+251977346862</f>
        <v>251977346862</v>
      </c>
      <c r="H594" s="1" t="s">
        <v>18</v>
      </c>
      <c r="I594" s="1" t="s">
        <v>19</v>
      </c>
      <c r="J594" s="1" t="s">
        <v>19</v>
      </c>
      <c r="K594" s="1" t="s">
        <v>25</v>
      </c>
      <c r="L594" s="1">
        <v>33.01</v>
      </c>
      <c r="M594" s="1" t="s">
        <v>33</v>
      </c>
      <c r="N594" s="1" t="s">
        <v>65</v>
      </c>
      <c r="O594" s="1">
        <v>726733.0</v>
      </c>
    </row>
    <row r="595">
      <c r="A595" s="1">
        <v>2831010.0</v>
      </c>
      <c r="B595" s="1" t="s">
        <v>1472</v>
      </c>
      <c r="C595" s="1" t="b">
        <v>1</v>
      </c>
      <c r="D595" s="1" t="b">
        <v>1</v>
      </c>
      <c r="E595" s="1" t="s">
        <v>812</v>
      </c>
      <c r="F595" s="1" t="s">
        <v>601</v>
      </c>
      <c r="G595" s="2">
        <f>+251953224474</f>
        <v>251953224474</v>
      </c>
      <c r="H595" s="1" t="s">
        <v>72</v>
      </c>
      <c r="I595" s="1" t="s">
        <v>19</v>
      </c>
      <c r="J595" s="1" t="s">
        <v>19</v>
      </c>
      <c r="K595" s="1" t="s">
        <v>25</v>
      </c>
      <c r="L595" s="1">
        <v>22.41</v>
      </c>
      <c r="M595" s="1" t="s">
        <v>33</v>
      </c>
      <c r="N595" s="1" t="s">
        <v>118</v>
      </c>
      <c r="O595" s="1">
        <v>767493.0</v>
      </c>
    </row>
    <row r="596">
      <c r="A596" s="1">
        <v>1753310.0</v>
      </c>
      <c r="B596" s="1" t="s">
        <v>1473</v>
      </c>
      <c r="C596" s="1" t="b">
        <v>1</v>
      </c>
      <c r="D596" s="1" t="b">
        <v>1</v>
      </c>
      <c r="E596" s="1" t="s">
        <v>1303</v>
      </c>
      <c r="F596" s="1" t="s">
        <v>375</v>
      </c>
      <c r="G596" s="2">
        <f>+251967723944</f>
        <v>251967723944</v>
      </c>
      <c r="H596" s="1" t="s">
        <v>131</v>
      </c>
      <c r="I596" s="1" t="s">
        <v>19</v>
      </c>
      <c r="J596" s="1" t="s">
        <v>19</v>
      </c>
      <c r="K596" s="1" t="s">
        <v>20</v>
      </c>
      <c r="L596" s="1">
        <v>19.84</v>
      </c>
      <c r="M596" s="1" t="s">
        <v>21</v>
      </c>
      <c r="O596" s="1">
        <v>2.3447838942E10</v>
      </c>
    </row>
    <row r="597">
      <c r="A597" s="1">
        <v>2831031.0</v>
      </c>
      <c r="B597" s="1" t="s">
        <v>1474</v>
      </c>
      <c r="C597" s="1" t="b">
        <v>0</v>
      </c>
      <c r="D597" s="1" t="b">
        <v>1</v>
      </c>
      <c r="E597" s="1" t="s">
        <v>60</v>
      </c>
      <c r="F597" s="1" t="s">
        <v>534</v>
      </c>
      <c r="G597" s="2">
        <f>+251978097269</f>
        <v>251978097269</v>
      </c>
      <c r="H597" s="1" t="s">
        <v>18</v>
      </c>
      <c r="I597" s="1" t="s">
        <v>19</v>
      </c>
      <c r="J597" s="1" t="s">
        <v>19</v>
      </c>
      <c r="K597" s="1" t="s">
        <v>25</v>
      </c>
      <c r="L597" s="1">
        <v>19.86</v>
      </c>
      <c r="M597" s="1" t="s">
        <v>26</v>
      </c>
      <c r="O597" s="1">
        <v>2.67259257035E11</v>
      </c>
    </row>
    <row r="598">
      <c r="A598" s="1">
        <v>74989.0</v>
      </c>
      <c r="B598" s="1" t="s">
        <v>1475</v>
      </c>
      <c r="C598" s="1" t="b">
        <v>1</v>
      </c>
      <c r="D598" s="1" t="b">
        <v>1</v>
      </c>
      <c r="E598" s="1" t="s">
        <v>1476</v>
      </c>
      <c r="F598" s="1" t="s">
        <v>764</v>
      </c>
      <c r="G598" s="2">
        <f>+251925037347</f>
        <v>251925037347</v>
      </c>
      <c r="H598" s="1" t="s">
        <v>1424</v>
      </c>
      <c r="I598" s="1" t="s">
        <v>19</v>
      </c>
      <c r="J598" s="1" t="s">
        <v>19</v>
      </c>
      <c r="K598" s="1" t="s">
        <v>25</v>
      </c>
      <c r="L598" s="1">
        <v>30.87</v>
      </c>
      <c r="M598" s="1" t="s">
        <v>21</v>
      </c>
      <c r="O598" s="1">
        <v>4235851.0</v>
      </c>
    </row>
    <row r="599">
      <c r="A599" s="1">
        <v>2407522.0</v>
      </c>
      <c r="B599" s="1" t="s">
        <v>1477</v>
      </c>
      <c r="C599" s="1" t="b">
        <v>1</v>
      </c>
      <c r="D599" s="1" t="b">
        <v>1</v>
      </c>
      <c r="E599" s="1" t="s">
        <v>480</v>
      </c>
      <c r="F599" s="1" t="s">
        <v>1478</v>
      </c>
      <c r="G599" s="1">
        <v>2.51921733708E11</v>
      </c>
      <c r="H599" s="1" t="s">
        <v>18</v>
      </c>
      <c r="I599" s="1" t="s">
        <v>19</v>
      </c>
      <c r="J599" s="1" t="s">
        <v>19</v>
      </c>
      <c r="K599" s="1" t="s">
        <v>20</v>
      </c>
      <c r="L599" s="1">
        <v>25.89</v>
      </c>
      <c r="M599" s="1" t="s">
        <v>21</v>
      </c>
      <c r="O599" s="1">
        <v>905149.0</v>
      </c>
    </row>
    <row r="600">
      <c r="A600" s="1">
        <v>2831260.0</v>
      </c>
      <c r="B600" s="1" t="s">
        <v>1479</v>
      </c>
      <c r="C600" s="1" t="b">
        <v>1</v>
      </c>
      <c r="D600" s="1" t="b">
        <v>0</v>
      </c>
      <c r="E600" s="1" t="s">
        <v>1480</v>
      </c>
      <c r="F600" s="1" t="s">
        <v>1481</v>
      </c>
      <c r="G600" s="1">
        <v>9.23065189E8</v>
      </c>
      <c r="H600" s="1" t="s">
        <v>72</v>
      </c>
      <c r="I600" s="1" t="s">
        <v>19</v>
      </c>
      <c r="J600" s="1" t="s">
        <v>19</v>
      </c>
      <c r="K600" s="1" t="s">
        <v>25</v>
      </c>
      <c r="L600" s="1">
        <v>33.11</v>
      </c>
      <c r="M600" s="1" t="s">
        <v>21</v>
      </c>
      <c r="O600" s="1">
        <v>2.6714338735E11</v>
      </c>
    </row>
    <row r="601">
      <c r="A601" s="1">
        <v>1834622.0</v>
      </c>
      <c r="B601" s="1" t="s">
        <v>1482</v>
      </c>
      <c r="C601" s="1" t="b">
        <v>1</v>
      </c>
      <c r="D601" s="1" t="b">
        <v>1</v>
      </c>
      <c r="E601" s="1" t="s">
        <v>28</v>
      </c>
      <c r="F601" s="1" t="s">
        <v>812</v>
      </c>
      <c r="G601" s="2">
        <f>+251963134310</f>
        <v>251963134310</v>
      </c>
      <c r="H601" s="1" t="s">
        <v>18</v>
      </c>
      <c r="I601" s="1" t="s">
        <v>19</v>
      </c>
      <c r="J601" s="1" t="s">
        <v>19</v>
      </c>
      <c r="K601" s="1" t="s">
        <v>25</v>
      </c>
      <c r="L601" s="1">
        <v>21.93</v>
      </c>
      <c r="M601" s="1" t="s">
        <v>21</v>
      </c>
      <c r="O601" s="1">
        <v>2.5061586903E10</v>
      </c>
    </row>
    <row r="602">
      <c r="A602" s="1">
        <v>2831508.0</v>
      </c>
      <c r="B602" s="1" t="s">
        <v>1483</v>
      </c>
      <c r="C602" s="1" t="b">
        <v>1</v>
      </c>
      <c r="D602" s="1" t="b">
        <v>1</v>
      </c>
      <c r="E602" s="1" t="s">
        <v>758</v>
      </c>
      <c r="F602" s="1" t="s">
        <v>137</v>
      </c>
      <c r="G602" s="2">
        <f>+251982790974</f>
        <v>251982790974</v>
      </c>
      <c r="H602" s="1" t="s">
        <v>18</v>
      </c>
      <c r="I602" s="1" t="s">
        <v>19</v>
      </c>
      <c r="J602" s="1" t="s">
        <v>19</v>
      </c>
      <c r="K602" s="1" t="s">
        <v>25</v>
      </c>
      <c r="L602" s="1">
        <v>22.16</v>
      </c>
      <c r="M602" s="1" t="s">
        <v>21</v>
      </c>
    </row>
    <row r="603">
      <c r="A603" s="1">
        <v>2831767.0</v>
      </c>
      <c r="B603" s="1" t="s">
        <v>1484</v>
      </c>
      <c r="C603" s="1" t="b">
        <v>1</v>
      </c>
      <c r="D603" s="1" t="b">
        <v>1</v>
      </c>
      <c r="E603" s="1" t="s">
        <v>1485</v>
      </c>
      <c r="F603" s="1" t="s">
        <v>39</v>
      </c>
      <c r="G603" s="2">
        <f>+2519662084</f>
        <v>2519662084</v>
      </c>
      <c r="H603" s="1" t="s">
        <v>18</v>
      </c>
      <c r="I603" s="1" t="s">
        <v>19</v>
      </c>
      <c r="J603" s="1" t="s">
        <v>19</v>
      </c>
      <c r="K603" s="1" t="s">
        <v>20</v>
      </c>
      <c r="L603" s="1">
        <v>19.16</v>
      </c>
      <c r="M603" s="1" t="s">
        <v>21</v>
      </c>
      <c r="O603" s="1">
        <v>4.1723764704E10</v>
      </c>
    </row>
    <row r="604">
      <c r="A604" s="1">
        <v>2832001.0</v>
      </c>
      <c r="B604" s="1" t="s">
        <v>1486</v>
      </c>
      <c r="C604" s="1" t="b">
        <v>1</v>
      </c>
      <c r="D604" s="1" t="b">
        <v>1</v>
      </c>
      <c r="E604" s="1" t="s">
        <v>1487</v>
      </c>
      <c r="F604" s="1" t="s">
        <v>1488</v>
      </c>
      <c r="G604" s="2">
        <f>+971556263426</f>
        <v>971556263426</v>
      </c>
      <c r="H604" s="1" t="s">
        <v>18</v>
      </c>
      <c r="I604" s="1" t="s">
        <v>19</v>
      </c>
      <c r="J604" s="1" t="s">
        <v>19</v>
      </c>
      <c r="K604" s="1" t="s">
        <v>20</v>
      </c>
      <c r="L604" s="1">
        <v>26.01</v>
      </c>
      <c r="M604" s="1" t="s">
        <v>33</v>
      </c>
      <c r="N604" s="1" t="s">
        <v>166</v>
      </c>
      <c r="O604" s="1">
        <v>9.404592837E9</v>
      </c>
    </row>
    <row r="605">
      <c r="A605" s="1">
        <v>2518457.0</v>
      </c>
      <c r="B605" s="1" t="s">
        <v>1489</v>
      </c>
      <c r="C605" s="1" t="b">
        <v>1</v>
      </c>
      <c r="D605" s="1" t="b">
        <v>1</v>
      </c>
      <c r="E605" s="1" t="s">
        <v>1487</v>
      </c>
      <c r="F605" s="1" t="s">
        <v>1490</v>
      </c>
      <c r="G605" s="2">
        <f>+251988222261</f>
        <v>251988222261</v>
      </c>
      <c r="H605" s="1" t="s">
        <v>18</v>
      </c>
      <c r="I605" s="1" t="s">
        <v>19</v>
      </c>
      <c r="J605" s="1" t="s">
        <v>19</v>
      </c>
      <c r="K605" s="1" t="s">
        <v>20</v>
      </c>
      <c r="L605" s="1">
        <v>20.42</v>
      </c>
      <c r="M605" s="1" t="s">
        <v>21</v>
      </c>
      <c r="O605" s="1">
        <v>1.48183900406E11</v>
      </c>
    </row>
    <row r="606">
      <c r="A606" s="1">
        <v>2832557.0</v>
      </c>
      <c r="B606" s="1" t="s">
        <v>1491</v>
      </c>
      <c r="C606" s="1" t="b">
        <v>1</v>
      </c>
      <c r="D606" s="1" t="b">
        <v>0</v>
      </c>
      <c r="E606" s="1" t="s">
        <v>503</v>
      </c>
      <c r="F606" s="1" t="s">
        <v>1492</v>
      </c>
      <c r="G606" s="2">
        <f>+251964671948</f>
        <v>251964671948</v>
      </c>
      <c r="H606" s="1" t="s">
        <v>18</v>
      </c>
      <c r="I606" s="1" t="s">
        <v>19</v>
      </c>
      <c r="J606" s="1" t="s">
        <v>19</v>
      </c>
      <c r="K606" s="1" t="s">
        <v>25</v>
      </c>
      <c r="L606" s="1">
        <v>24.97</v>
      </c>
      <c r="M606" s="1" t="s">
        <v>33</v>
      </c>
      <c r="N606" s="1" t="s">
        <v>34</v>
      </c>
      <c r="O606" s="1">
        <v>771119.0</v>
      </c>
    </row>
    <row r="607">
      <c r="A607" s="1">
        <v>33683.0</v>
      </c>
      <c r="B607" s="1" t="s">
        <v>1493</v>
      </c>
      <c r="C607" s="1" t="b">
        <v>1</v>
      </c>
      <c r="D607" s="1" t="b">
        <v>1</v>
      </c>
      <c r="E607" s="1" t="s">
        <v>1494</v>
      </c>
      <c r="F607" s="1" t="s">
        <v>1495</v>
      </c>
      <c r="G607" s="2">
        <f>+251933620339</f>
        <v>251933620339</v>
      </c>
      <c r="H607" s="1" t="s">
        <v>1496</v>
      </c>
      <c r="I607" s="1" t="s">
        <v>19</v>
      </c>
      <c r="J607" s="1" t="s">
        <v>19</v>
      </c>
      <c r="K607" s="1" t="s">
        <v>20</v>
      </c>
      <c r="L607" s="1">
        <v>20.74</v>
      </c>
      <c r="M607" s="1" t="s">
        <v>33</v>
      </c>
      <c r="N607" s="1" t="s">
        <v>76</v>
      </c>
      <c r="O607" s="1">
        <v>1012753.0</v>
      </c>
    </row>
    <row r="608">
      <c r="A608" s="1">
        <v>2832939.0</v>
      </c>
      <c r="B608" s="1" t="s">
        <v>1497</v>
      </c>
      <c r="C608" s="1" t="b">
        <v>1</v>
      </c>
      <c r="D608" s="1" t="b">
        <v>1</v>
      </c>
      <c r="E608" s="1" t="s">
        <v>1237</v>
      </c>
      <c r="F608" s="1" t="s">
        <v>189</v>
      </c>
      <c r="G608" s="2">
        <f>+251913339939</f>
        <v>251913339939</v>
      </c>
      <c r="H608" s="1" t="s">
        <v>18</v>
      </c>
      <c r="I608" s="1" t="s">
        <v>19</v>
      </c>
      <c r="J608" s="1" t="s">
        <v>19</v>
      </c>
      <c r="K608" s="1" t="s">
        <v>25</v>
      </c>
      <c r="L608" s="1">
        <v>40.45</v>
      </c>
      <c r="M608" s="1" t="s">
        <v>33</v>
      </c>
      <c r="N608" s="1" t="s">
        <v>65</v>
      </c>
      <c r="O608" s="1">
        <v>2.68011267312E11</v>
      </c>
    </row>
    <row r="609">
      <c r="A609" s="1">
        <v>2687756.0</v>
      </c>
      <c r="B609" s="1" t="s">
        <v>1498</v>
      </c>
      <c r="C609" s="1" t="b">
        <v>1</v>
      </c>
      <c r="D609" s="1" t="b">
        <v>1</v>
      </c>
      <c r="E609" s="1" t="s">
        <v>141</v>
      </c>
      <c r="F609" s="1" t="s">
        <v>1499</v>
      </c>
      <c r="G609" s="2">
        <f>+251953442423</f>
        <v>251953442423</v>
      </c>
      <c r="H609" s="1" t="s">
        <v>18</v>
      </c>
      <c r="I609" s="1" t="s">
        <v>19</v>
      </c>
      <c r="J609" s="1" t="s">
        <v>19</v>
      </c>
      <c r="K609" s="1" t="s">
        <v>25</v>
      </c>
      <c r="L609" s="1">
        <v>20.68</v>
      </c>
      <c r="M609" s="1" t="s">
        <v>21</v>
      </c>
    </row>
    <row r="610">
      <c r="A610" s="1">
        <v>805237.0</v>
      </c>
      <c r="B610" s="1" t="s">
        <v>1500</v>
      </c>
      <c r="C610" s="1" t="b">
        <v>1</v>
      </c>
      <c r="D610" s="1" t="b">
        <v>1</v>
      </c>
      <c r="E610" s="1" t="s">
        <v>1501</v>
      </c>
      <c r="F610" s="1" t="s">
        <v>96</v>
      </c>
      <c r="G610" s="2">
        <f>+251985116850</f>
        <v>251985116850</v>
      </c>
      <c r="H610" s="1" t="s">
        <v>18</v>
      </c>
      <c r="I610" s="1" t="s">
        <v>19</v>
      </c>
      <c r="J610" s="1" t="s">
        <v>19</v>
      </c>
      <c r="K610" s="1" t="s">
        <v>20</v>
      </c>
      <c r="L610" s="1">
        <v>21.38</v>
      </c>
      <c r="M610" s="1" t="s">
        <v>21</v>
      </c>
      <c r="O610" s="1">
        <v>2.4970759E7</v>
      </c>
    </row>
    <row r="611">
      <c r="A611" s="1">
        <v>2833093.0</v>
      </c>
      <c r="B611" s="1" t="s">
        <v>1502</v>
      </c>
      <c r="C611" s="1" t="b">
        <v>1</v>
      </c>
      <c r="D611" s="1" t="b">
        <v>1</v>
      </c>
      <c r="E611" s="1" t="s">
        <v>1503</v>
      </c>
      <c r="F611" s="1" t="s">
        <v>1504</v>
      </c>
      <c r="G611" s="2">
        <f>+251914678082</f>
        <v>251914678082</v>
      </c>
      <c r="H611" s="1" t="s">
        <v>18</v>
      </c>
      <c r="I611" s="1" t="s">
        <v>19</v>
      </c>
      <c r="J611" s="1" t="s">
        <v>19</v>
      </c>
      <c r="K611" s="1" t="s">
        <v>25</v>
      </c>
      <c r="L611" s="1">
        <v>23.0</v>
      </c>
      <c r="M611" s="1" t="s">
        <v>26</v>
      </c>
      <c r="O611" s="1">
        <v>2.68116306134E11</v>
      </c>
    </row>
    <row r="612">
      <c r="A612" s="1">
        <v>2370554.0</v>
      </c>
      <c r="B612" s="1" t="s">
        <v>1505</v>
      </c>
      <c r="C612" s="1" t="b">
        <v>1</v>
      </c>
      <c r="D612" s="1" t="b">
        <v>1</v>
      </c>
      <c r="E612" s="1" t="s">
        <v>333</v>
      </c>
      <c r="F612" s="1" t="s">
        <v>963</v>
      </c>
      <c r="G612" s="2">
        <f>+251901121188</f>
        <v>251901121188</v>
      </c>
      <c r="H612" s="1" t="s">
        <v>18</v>
      </c>
      <c r="I612" s="1" t="s">
        <v>19</v>
      </c>
      <c r="J612" s="1" t="s">
        <v>19</v>
      </c>
      <c r="K612" s="1" t="s">
        <v>25</v>
      </c>
      <c r="L612" s="1">
        <v>19.2</v>
      </c>
      <c r="M612" s="1" t="s">
        <v>33</v>
      </c>
      <c r="N612" s="1" t="s">
        <v>166</v>
      </c>
      <c r="O612" s="1">
        <v>1.7859255229E10</v>
      </c>
    </row>
    <row r="613">
      <c r="A613" s="1">
        <v>2833446.0</v>
      </c>
      <c r="B613" s="1" t="s">
        <v>1506</v>
      </c>
      <c r="C613" s="1" t="b">
        <v>1</v>
      </c>
      <c r="D613" s="1" t="b">
        <v>0</v>
      </c>
      <c r="E613" s="1" t="s">
        <v>1507</v>
      </c>
      <c r="F613" s="1" t="s">
        <v>1508</v>
      </c>
      <c r="G613" s="2">
        <f>+251986770773</f>
        <v>251986770773</v>
      </c>
      <c r="H613" s="1" t="s">
        <v>18</v>
      </c>
      <c r="I613" s="1" t="s">
        <v>19</v>
      </c>
      <c r="J613" s="1" t="s">
        <v>19</v>
      </c>
      <c r="K613" s="1" t="s">
        <v>25</v>
      </c>
      <c r="L613" s="1">
        <v>20.43</v>
      </c>
      <c r="M613" s="1" t="s">
        <v>21</v>
      </c>
      <c r="O613" s="1">
        <v>2.68475974868E11</v>
      </c>
    </row>
    <row r="614">
      <c r="A614" s="1">
        <v>2833545.0</v>
      </c>
      <c r="B614" s="1" t="s">
        <v>1509</v>
      </c>
      <c r="C614" s="1" t="b">
        <v>1</v>
      </c>
      <c r="D614" s="1" t="b">
        <v>1</v>
      </c>
      <c r="E614" s="1" t="s">
        <v>184</v>
      </c>
      <c r="F614" s="1" t="s">
        <v>255</v>
      </c>
      <c r="G614" s="2">
        <f>+251950064611</f>
        <v>251950064611</v>
      </c>
      <c r="H614" s="1" t="s">
        <v>18</v>
      </c>
      <c r="I614" s="1" t="s">
        <v>19</v>
      </c>
      <c r="J614" s="1" t="s">
        <v>19</v>
      </c>
      <c r="K614" s="1" t="s">
        <v>25</v>
      </c>
      <c r="L614" s="1">
        <v>20.77</v>
      </c>
      <c r="M614" s="1" t="s">
        <v>21</v>
      </c>
      <c r="O614" s="1">
        <v>2.68576309494E11</v>
      </c>
    </row>
    <row r="615">
      <c r="A615" s="1">
        <v>1827812.0</v>
      </c>
      <c r="B615" s="1" t="s">
        <v>1510</v>
      </c>
      <c r="C615" s="1" t="b">
        <v>1</v>
      </c>
      <c r="D615" s="1" t="b">
        <v>1</v>
      </c>
      <c r="E615" s="1" t="s">
        <v>1511</v>
      </c>
      <c r="F615" s="1" t="s">
        <v>1512</v>
      </c>
      <c r="G615" s="2">
        <f>+251954896787</f>
        <v>251954896787</v>
      </c>
      <c r="H615" s="1" t="s">
        <v>18</v>
      </c>
      <c r="I615" s="1" t="s">
        <v>19</v>
      </c>
      <c r="J615" s="1" t="s">
        <v>19</v>
      </c>
      <c r="K615" s="1" t="s">
        <v>20</v>
      </c>
      <c r="L615" s="1">
        <v>21.51</v>
      </c>
      <c r="M615" s="1" t="s">
        <v>21</v>
      </c>
      <c r="O615" s="1">
        <v>2.4928878272E10</v>
      </c>
    </row>
    <row r="616">
      <c r="A616" s="1">
        <v>2705975.0</v>
      </c>
      <c r="B616" s="1" t="s">
        <v>1513</v>
      </c>
      <c r="C616" s="1" t="b">
        <v>1</v>
      </c>
      <c r="D616" s="1" t="b">
        <v>1</v>
      </c>
      <c r="E616" s="1" t="s">
        <v>1043</v>
      </c>
      <c r="F616" s="1" t="s">
        <v>577</v>
      </c>
      <c r="G616" s="2">
        <f>+251968558638</f>
        <v>251968558638</v>
      </c>
      <c r="H616" s="1" t="s">
        <v>18</v>
      </c>
      <c r="I616" s="1" t="s">
        <v>19</v>
      </c>
      <c r="J616" s="1" t="s">
        <v>19</v>
      </c>
      <c r="K616" s="1" t="s">
        <v>25</v>
      </c>
      <c r="L616" s="1">
        <v>20.5</v>
      </c>
      <c r="M616" s="1" t="s">
        <v>21</v>
      </c>
    </row>
    <row r="617">
      <c r="A617" s="1">
        <v>2833556.0</v>
      </c>
      <c r="B617" s="1" t="s">
        <v>1514</v>
      </c>
      <c r="C617" s="1" t="b">
        <v>1</v>
      </c>
      <c r="D617" s="1" t="b">
        <v>1</v>
      </c>
      <c r="E617" s="1" t="s">
        <v>1515</v>
      </c>
      <c r="F617" s="1" t="s">
        <v>292</v>
      </c>
      <c r="G617" s="2">
        <f>+251925287377</f>
        <v>251925287377</v>
      </c>
      <c r="H617" s="1" t="s">
        <v>18</v>
      </c>
      <c r="I617" s="1" t="s">
        <v>19</v>
      </c>
      <c r="J617" s="1" t="s">
        <v>19</v>
      </c>
      <c r="K617" s="1" t="s">
        <v>25</v>
      </c>
      <c r="L617" s="1">
        <v>31.33</v>
      </c>
      <c r="M617" s="1" t="s">
        <v>21</v>
      </c>
      <c r="O617" s="1">
        <v>1844938.0</v>
      </c>
    </row>
    <row r="618">
      <c r="A618" s="1">
        <v>2834161.0</v>
      </c>
      <c r="B618" s="1" t="s">
        <v>1516</v>
      </c>
      <c r="C618" s="1" t="b">
        <v>1</v>
      </c>
      <c r="D618" s="1" t="b">
        <v>1</v>
      </c>
      <c r="E618" s="1" t="s">
        <v>1517</v>
      </c>
      <c r="F618" s="1" t="s">
        <v>213</v>
      </c>
      <c r="G618" s="2">
        <f>+251939072306</f>
        <v>251939072306</v>
      </c>
      <c r="H618" s="1" t="s">
        <v>18</v>
      </c>
      <c r="I618" s="1" t="s">
        <v>19</v>
      </c>
      <c r="J618" s="1" t="s">
        <v>19</v>
      </c>
      <c r="K618" s="1" t="s">
        <v>25</v>
      </c>
      <c r="L618" s="1">
        <v>22.66</v>
      </c>
      <c r="M618" s="1" t="s">
        <v>21</v>
      </c>
      <c r="O618" s="1">
        <v>4358636.0</v>
      </c>
    </row>
    <row r="619">
      <c r="A619" s="1">
        <v>2834460.0</v>
      </c>
      <c r="B619" s="1" t="s">
        <v>1518</v>
      </c>
      <c r="C619" s="1" t="b">
        <v>1</v>
      </c>
      <c r="D619" s="1" t="b">
        <v>1</v>
      </c>
      <c r="E619" s="1" t="s">
        <v>37</v>
      </c>
      <c r="F619" s="1" t="s">
        <v>375</v>
      </c>
      <c r="G619" s="2">
        <f>+251912042912</f>
        <v>251912042912</v>
      </c>
      <c r="H619" s="1" t="s">
        <v>18</v>
      </c>
      <c r="I619" s="1" t="s">
        <v>19</v>
      </c>
      <c r="J619" s="1" t="s">
        <v>19</v>
      </c>
      <c r="K619" s="1" t="s">
        <v>25</v>
      </c>
      <c r="L619" s="1">
        <v>22.36</v>
      </c>
      <c r="M619" s="1" t="s">
        <v>26</v>
      </c>
      <c r="O619" s="1">
        <v>2.69133782259E11</v>
      </c>
    </row>
    <row r="620">
      <c r="A620" s="1">
        <v>2688429.0</v>
      </c>
      <c r="B620" s="1" t="s">
        <v>1519</v>
      </c>
      <c r="C620" s="1" t="b">
        <v>1</v>
      </c>
      <c r="D620" s="1" t="b">
        <v>1</v>
      </c>
      <c r="E620" s="1" t="s">
        <v>1304</v>
      </c>
      <c r="F620" s="1" t="s">
        <v>842</v>
      </c>
      <c r="G620" s="2">
        <f>+251908786909</f>
        <v>251908786909</v>
      </c>
      <c r="H620" s="1" t="s">
        <v>18</v>
      </c>
      <c r="I620" s="1" t="s">
        <v>19</v>
      </c>
      <c r="J620" s="1" t="s">
        <v>19</v>
      </c>
      <c r="K620" s="1" t="s">
        <v>20</v>
      </c>
      <c r="L620" s="1">
        <v>19.46</v>
      </c>
      <c r="M620" s="1" t="s">
        <v>21</v>
      </c>
      <c r="O620" s="1">
        <v>2.23306172639E11</v>
      </c>
    </row>
    <row r="621">
      <c r="A621" s="1">
        <v>2834675.0</v>
      </c>
      <c r="B621" s="1" t="s">
        <v>1520</v>
      </c>
      <c r="C621" s="1" t="b">
        <v>1</v>
      </c>
      <c r="D621" s="1" t="b">
        <v>1</v>
      </c>
      <c r="E621" s="1" t="s">
        <v>1521</v>
      </c>
      <c r="F621" s="1" t="s">
        <v>1522</v>
      </c>
      <c r="G621" s="2">
        <f>+251965362362</f>
        <v>251965362362</v>
      </c>
      <c r="H621" s="1" t="s">
        <v>18</v>
      </c>
      <c r="I621" s="1" t="s">
        <v>19</v>
      </c>
      <c r="J621" s="1" t="s">
        <v>19</v>
      </c>
      <c r="K621" s="1" t="s">
        <v>25</v>
      </c>
      <c r="L621" s="1">
        <v>21.28</v>
      </c>
      <c r="M621" s="1" t="s">
        <v>26</v>
      </c>
      <c r="O621" s="1">
        <v>2.69245059286E11</v>
      </c>
    </row>
    <row r="622">
      <c r="A622" s="1">
        <v>764783.0</v>
      </c>
      <c r="B622" s="1" t="s">
        <v>1523</v>
      </c>
      <c r="C622" s="1" t="b">
        <v>1</v>
      </c>
      <c r="D622" s="1" t="b">
        <v>1</v>
      </c>
      <c r="E622" s="1" t="s">
        <v>1355</v>
      </c>
      <c r="F622" s="1" t="s">
        <v>1524</v>
      </c>
      <c r="G622" s="2">
        <f>+251939654186</f>
        <v>251939654186</v>
      </c>
      <c r="H622" s="1" t="s">
        <v>335</v>
      </c>
      <c r="I622" s="1" t="s">
        <v>19</v>
      </c>
      <c r="J622" s="1" t="s">
        <v>19</v>
      </c>
      <c r="K622" s="1" t="s">
        <v>25</v>
      </c>
      <c r="L622" s="1">
        <v>28.54</v>
      </c>
      <c r="M622" s="1" t="s">
        <v>33</v>
      </c>
      <c r="N622" s="1" t="s">
        <v>166</v>
      </c>
    </row>
    <row r="623">
      <c r="A623" s="1">
        <v>280784.0</v>
      </c>
      <c r="B623" s="1" t="s">
        <v>1525</v>
      </c>
      <c r="C623" s="1" t="b">
        <v>1</v>
      </c>
      <c r="D623" s="1" t="b">
        <v>1</v>
      </c>
      <c r="E623" s="1" t="s">
        <v>944</v>
      </c>
      <c r="F623" s="1" t="s">
        <v>1000</v>
      </c>
      <c r="G623" s="2">
        <f>+251920160236</f>
        <v>251920160236</v>
      </c>
      <c r="H623" s="1" t="s">
        <v>18</v>
      </c>
      <c r="I623" s="1" t="s">
        <v>19</v>
      </c>
      <c r="J623" s="1" t="s">
        <v>19</v>
      </c>
      <c r="K623" s="1" t="s">
        <v>25</v>
      </c>
      <c r="L623" s="1">
        <v>27.98</v>
      </c>
      <c r="M623" s="1" t="s">
        <v>33</v>
      </c>
      <c r="N623" s="1" t="s">
        <v>166</v>
      </c>
      <c r="O623" s="1">
        <v>2.715666E7</v>
      </c>
    </row>
    <row r="624">
      <c r="A624" s="1">
        <v>1858959.0</v>
      </c>
      <c r="B624" s="1" t="s">
        <v>1526</v>
      </c>
      <c r="C624" s="1" t="b">
        <v>1</v>
      </c>
      <c r="D624" s="1" t="b">
        <v>1</v>
      </c>
      <c r="E624" s="1" t="s">
        <v>264</v>
      </c>
      <c r="F624" s="1" t="s">
        <v>1527</v>
      </c>
      <c r="G624" s="2">
        <f>+251938308521</f>
        <v>251938308521</v>
      </c>
      <c r="H624" s="1" t="s">
        <v>18</v>
      </c>
      <c r="I624" s="1" t="s">
        <v>19</v>
      </c>
      <c r="J624" s="1" t="s">
        <v>19</v>
      </c>
      <c r="K624" s="1" t="s">
        <v>25</v>
      </c>
      <c r="L624" s="1">
        <v>18.69</v>
      </c>
      <c r="M624" s="1" t="s">
        <v>33</v>
      </c>
      <c r="N624" s="1" t="s">
        <v>235</v>
      </c>
      <c r="O624" s="1">
        <v>2.3701236179E10</v>
      </c>
    </row>
    <row r="625">
      <c r="A625" s="1">
        <v>2691313.0</v>
      </c>
      <c r="B625" s="1" t="s">
        <v>1528</v>
      </c>
      <c r="C625" s="1" t="b">
        <v>1</v>
      </c>
      <c r="D625" s="1" t="b">
        <v>1</v>
      </c>
      <c r="E625" s="1" t="s">
        <v>337</v>
      </c>
      <c r="F625" s="1" t="s">
        <v>338</v>
      </c>
      <c r="G625" s="2">
        <f>+251912406308</f>
        <v>251912406308</v>
      </c>
      <c r="H625" s="1" t="s">
        <v>18</v>
      </c>
      <c r="I625" s="1" t="s">
        <v>19</v>
      </c>
      <c r="J625" s="1" t="s">
        <v>19</v>
      </c>
      <c r="K625" s="1" t="s">
        <v>20</v>
      </c>
      <c r="L625" s="1">
        <v>26.16</v>
      </c>
      <c r="M625" s="1" t="s">
        <v>33</v>
      </c>
      <c r="N625" s="1" t="s">
        <v>177</v>
      </c>
    </row>
    <row r="626">
      <c r="A626" s="1">
        <v>2823590.0</v>
      </c>
      <c r="B626" s="1" t="s">
        <v>1529</v>
      </c>
      <c r="C626" s="1" t="b">
        <v>1</v>
      </c>
      <c r="D626" s="1" t="b">
        <v>1</v>
      </c>
      <c r="E626" s="1" t="s">
        <v>1530</v>
      </c>
      <c r="F626" s="1" t="s">
        <v>534</v>
      </c>
      <c r="G626" s="2">
        <f>+251993849440</f>
        <v>251993849440</v>
      </c>
      <c r="H626" s="1" t="s">
        <v>18</v>
      </c>
      <c r="I626" s="1" t="s">
        <v>19</v>
      </c>
      <c r="J626" s="1" t="s">
        <v>19</v>
      </c>
      <c r="K626" s="1" t="s">
        <v>25</v>
      </c>
      <c r="L626" s="1">
        <v>23.5</v>
      </c>
      <c r="M626" s="1" t="s">
        <v>21</v>
      </c>
      <c r="O626" s="1">
        <v>2.64594094269E11</v>
      </c>
    </row>
    <row r="627">
      <c r="A627" s="1">
        <v>2688263.0</v>
      </c>
      <c r="B627" s="1" t="s">
        <v>1531</v>
      </c>
      <c r="C627" s="1" t="b">
        <v>1</v>
      </c>
      <c r="D627" s="1" t="b">
        <v>1</v>
      </c>
      <c r="E627" s="1" t="s">
        <v>1266</v>
      </c>
      <c r="F627" s="1" t="s">
        <v>1532</v>
      </c>
      <c r="G627" s="2">
        <f>+251996414856</f>
        <v>251996414856</v>
      </c>
      <c r="H627" s="1" t="s">
        <v>58</v>
      </c>
      <c r="I627" s="1" t="s">
        <v>19</v>
      </c>
      <c r="J627" s="1" t="s">
        <v>19</v>
      </c>
      <c r="K627" s="1" t="s">
        <v>20</v>
      </c>
      <c r="L627" s="1">
        <v>21.05</v>
      </c>
      <c r="M627" s="1" t="s">
        <v>21</v>
      </c>
      <c r="O627" s="1">
        <v>2.2324163297E11</v>
      </c>
    </row>
    <row r="628">
      <c r="A628" s="1">
        <v>2542673.0</v>
      </c>
      <c r="B628" s="1" t="s">
        <v>1533</v>
      </c>
      <c r="C628" s="1" t="b">
        <v>1</v>
      </c>
      <c r="D628" s="1" t="b">
        <v>1</v>
      </c>
      <c r="E628" s="1" t="s">
        <v>1534</v>
      </c>
      <c r="F628" s="1" t="s">
        <v>1535</v>
      </c>
      <c r="G628" s="2">
        <f>+251943753120</f>
        <v>251943753120</v>
      </c>
      <c r="H628" s="1" t="s">
        <v>18</v>
      </c>
      <c r="I628" s="1" t="s">
        <v>19</v>
      </c>
      <c r="J628" s="1" t="s">
        <v>19</v>
      </c>
      <c r="K628" s="1" t="s">
        <v>25</v>
      </c>
      <c r="L628" s="1">
        <v>25.6</v>
      </c>
      <c r="M628" s="1" t="s">
        <v>21</v>
      </c>
      <c r="O628" s="1">
        <v>1.60472909026E11</v>
      </c>
    </row>
    <row r="629">
      <c r="A629" s="1">
        <v>1683103.0</v>
      </c>
      <c r="B629" s="1" t="s">
        <v>1536</v>
      </c>
      <c r="C629" s="1" t="b">
        <v>1</v>
      </c>
      <c r="D629" s="1" t="b">
        <v>1</v>
      </c>
      <c r="E629" s="1" t="s">
        <v>1537</v>
      </c>
      <c r="F629" s="1" t="s">
        <v>1398</v>
      </c>
      <c r="G629" s="2">
        <f>+251912276736</f>
        <v>251912276736</v>
      </c>
      <c r="H629" s="1" t="s">
        <v>18</v>
      </c>
      <c r="I629" s="1" t="s">
        <v>19</v>
      </c>
      <c r="J629" s="1" t="s">
        <v>19</v>
      </c>
      <c r="K629" s="1" t="s">
        <v>20</v>
      </c>
      <c r="L629" s="1">
        <v>21.4</v>
      </c>
      <c r="M629" s="1" t="s">
        <v>21</v>
      </c>
      <c r="O629" s="1">
        <v>6451368.0</v>
      </c>
    </row>
    <row r="630">
      <c r="A630" s="1">
        <v>2391611.0</v>
      </c>
      <c r="B630" s="1" t="s">
        <v>1538</v>
      </c>
      <c r="C630" s="1" t="b">
        <v>1</v>
      </c>
      <c r="D630" s="1" t="b">
        <v>1</v>
      </c>
      <c r="E630" s="1" t="s">
        <v>1539</v>
      </c>
      <c r="F630" s="1" t="s">
        <v>601</v>
      </c>
      <c r="G630" s="2">
        <f>+251909146096</f>
        <v>251909146096</v>
      </c>
      <c r="H630" s="1" t="s">
        <v>18</v>
      </c>
      <c r="I630" s="1" t="s">
        <v>19</v>
      </c>
      <c r="J630" s="1" t="s">
        <v>19</v>
      </c>
      <c r="K630" s="1" t="s">
        <v>25</v>
      </c>
      <c r="L630" s="1">
        <v>24.28</v>
      </c>
      <c r="M630" s="1" t="s">
        <v>33</v>
      </c>
      <c r="N630" s="1" t="s">
        <v>65</v>
      </c>
      <c r="O630" s="1">
        <v>1.3860511E7</v>
      </c>
    </row>
    <row r="631">
      <c r="A631" s="1">
        <v>1462011.0</v>
      </c>
      <c r="B631" s="1" t="s">
        <v>1540</v>
      </c>
      <c r="C631" s="1" t="b">
        <v>1</v>
      </c>
      <c r="D631" s="1" t="b">
        <v>1</v>
      </c>
      <c r="E631" s="1" t="s">
        <v>1541</v>
      </c>
      <c r="F631" s="1" t="s">
        <v>1542</v>
      </c>
      <c r="G631" s="2">
        <f>+251940542932</f>
        <v>251940542932</v>
      </c>
      <c r="H631" s="1" t="s">
        <v>18</v>
      </c>
      <c r="I631" s="1" t="s">
        <v>19</v>
      </c>
      <c r="J631" s="1" t="s">
        <v>19</v>
      </c>
      <c r="K631" s="1" t="s">
        <v>20</v>
      </c>
      <c r="L631" s="1">
        <v>19.26</v>
      </c>
      <c r="M631" s="1" t="s">
        <v>21</v>
      </c>
      <c r="O631" s="1">
        <v>2.9521078E7</v>
      </c>
    </row>
    <row r="632">
      <c r="A632" s="1">
        <v>2836400.0</v>
      </c>
      <c r="B632" s="1" t="s">
        <v>1543</v>
      </c>
      <c r="C632" s="1" t="b">
        <v>1</v>
      </c>
      <c r="D632" s="1" t="b">
        <v>1</v>
      </c>
      <c r="E632" s="1" t="s">
        <v>107</v>
      </c>
      <c r="F632" s="1" t="s">
        <v>1544</v>
      </c>
      <c r="G632" s="2">
        <f>+251919792989</f>
        <v>251919792989</v>
      </c>
      <c r="H632" s="1" t="s">
        <v>1410</v>
      </c>
      <c r="I632" s="1" t="s">
        <v>19</v>
      </c>
      <c r="J632" s="1" t="s">
        <v>19</v>
      </c>
      <c r="K632" s="1" t="s">
        <v>20</v>
      </c>
      <c r="L632" s="1">
        <v>21.27</v>
      </c>
      <c r="M632" s="1" t="s">
        <v>21</v>
      </c>
    </row>
    <row r="633">
      <c r="A633" s="1">
        <v>2836555.0</v>
      </c>
      <c r="B633" s="1" t="s">
        <v>1545</v>
      </c>
      <c r="C633" s="1" t="b">
        <v>1</v>
      </c>
      <c r="D633" s="1" t="b">
        <v>1</v>
      </c>
      <c r="E633" s="1" t="s">
        <v>1546</v>
      </c>
      <c r="F633" s="1" t="s">
        <v>859</v>
      </c>
      <c r="G633" s="2">
        <f>+251993349888</f>
        <v>251993349888</v>
      </c>
      <c r="H633" s="1" t="s">
        <v>18</v>
      </c>
      <c r="I633" s="1" t="s">
        <v>19</v>
      </c>
      <c r="J633" s="1" t="s">
        <v>19</v>
      </c>
      <c r="K633" s="1" t="s">
        <v>25</v>
      </c>
      <c r="L633" s="1">
        <v>21.85</v>
      </c>
      <c r="M633" s="1" t="s">
        <v>21</v>
      </c>
      <c r="O633" s="1">
        <v>2.3437206E7</v>
      </c>
    </row>
    <row r="634">
      <c r="A634" s="1">
        <v>2836729.0</v>
      </c>
      <c r="B634" s="1" t="s">
        <v>1547</v>
      </c>
      <c r="C634" s="1" t="b">
        <v>1</v>
      </c>
      <c r="D634" s="1" t="b">
        <v>0</v>
      </c>
      <c r="E634" s="1" t="s">
        <v>1548</v>
      </c>
      <c r="F634" s="1" t="s">
        <v>1549</v>
      </c>
      <c r="G634" s="2">
        <f>+251916255375</f>
        <v>251916255375</v>
      </c>
      <c r="H634" s="1" t="s">
        <v>18</v>
      </c>
      <c r="I634" s="1" t="s">
        <v>19</v>
      </c>
      <c r="J634" s="1" t="s">
        <v>19</v>
      </c>
      <c r="K634" s="1" t="s">
        <v>25</v>
      </c>
      <c r="L634" s="1">
        <v>22.13</v>
      </c>
      <c r="M634" s="1" t="s">
        <v>33</v>
      </c>
      <c r="N634" s="1" t="s">
        <v>34</v>
      </c>
      <c r="O634" s="1">
        <v>2.71130640608E11</v>
      </c>
    </row>
    <row r="635">
      <c r="A635" s="1">
        <v>2836808.0</v>
      </c>
      <c r="B635" s="1" t="s">
        <v>1550</v>
      </c>
      <c r="C635" s="1" t="b">
        <v>1</v>
      </c>
      <c r="D635" s="1" t="b">
        <v>1</v>
      </c>
      <c r="E635" s="1" t="s">
        <v>1551</v>
      </c>
      <c r="F635" s="1" t="s">
        <v>1293</v>
      </c>
      <c r="G635" s="2">
        <f>+251913065038</f>
        <v>251913065038</v>
      </c>
      <c r="H635" s="1" t="s">
        <v>18</v>
      </c>
      <c r="I635" s="1" t="s">
        <v>19</v>
      </c>
      <c r="J635" s="1" t="s">
        <v>19</v>
      </c>
      <c r="K635" s="1" t="s">
        <v>25</v>
      </c>
      <c r="L635" s="1">
        <v>22.68</v>
      </c>
      <c r="M635" s="1" t="s">
        <v>21</v>
      </c>
      <c r="O635" s="1">
        <v>2.71310138586E11</v>
      </c>
    </row>
    <row r="636">
      <c r="A636" s="1">
        <v>2836866.0</v>
      </c>
      <c r="B636" s="1" t="s">
        <v>1552</v>
      </c>
      <c r="C636" s="1" t="b">
        <v>1</v>
      </c>
      <c r="D636" s="1" t="b">
        <v>1</v>
      </c>
      <c r="E636" s="1" t="s">
        <v>1553</v>
      </c>
      <c r="F636" s="1" t="s">
        <v>716</v>
      </c>
      <c r="G636" s="2">
        <f>+251936635548</f>
        <v>251936635548</v>
      </c>
      <c r="H636" s="1" t="s">
        <v>18</v>
      </c>
      <c r="I636" s="1" t="s">
        <v>19</v>
      </c>
      <c r="J636" s="1" t="s">
        <v>19</v>
      </c>
      <c r="K636" s="1" t="s">
        <v>25</v>
      </c>
      <c r="L636" s="1">
        <v>27.4</v>
      </c>
      <c r="M636" s="1" t="s">
        <v>33</v>
      </c>
      <c r="N636" s="1" t="s">
        <v>166</v>
      </c>
      <c r="O636" s="1">
        <v>2.7135048621E11</v>
      </c>
    </row>
    <row r="637">
      <c r="A637" s="1">
        <v>2609730.0</v>
      </c>
      <c r="B637" s="1" t="s">
        <v>1554</v>
      </c>
      <c r="C637" s="1" t="b">
        <v>1</v>
      </c>
      <c r="D637" s="1" t="b">
        <v>1</v>
      </c>
      <c r="E637" s="1" t="s">
        <v>893</v>
      </c>
      <c r="F637" s="1" t="s">
        <v>1555</v>
      </c>
      <c r="G637" s="2">
        <f>+251986589983</f>
        <v>251986589983</v>
      </c>
      <c r="H637" s="1" t="s">
        <v>18</v>
      </c>
      <c r="I637" s="1" t="s">
        <v>19</v>
      </c>
      <c r="J637" s="1" t="s">
        <v>19</v>
      </c>
      <c r="K637" s="1" t="s">
        <v>25</v>
      </c>
      <c r="L637" s="1">
        <v>25.32</v>
      </c>
      <c r="M637" s="1" t="s">
        <v>33</v>
      </c>
      <c r="N637" s="1" t="s">
        <v>65</v>
      </c>
      <c r="O637" s="1">
        <v>1.90235715809E11</v>
      </c>
    </row>
    <row r="638">
      <c r="A638" s="1">
        <v>2419863.0</v>
      </c>
      <c r="B638" s="1" t="s">
        <v>1556</v>
      </c>
      <c r="C638" s="1" t="b">
        <v>1</v>
      </c>
      <c r="D638" s="1" t="b">
        <v>1</v>
      </c>
      <c r="E638" s="1" t="s">
        <v>37</v>
      </c>
      <c r="F638" s="1" t="s">
        <v>663</v>
      </c>
      <c r="G638" s="2">
        <f>+251931585894</f>
        <v>251931585894</v>
      </c>
      <c r="H638" s="1" t="s">
        <v>18</v>
      </c>
      <c r="I638" s="1" t="s">
        <v>19</v>
      </c>
      <c r="J638" s="1" t="s">
        <v>19</v>
      </c>
      <c r="K638" s="1" t="s">
        <v>25</v>
      </c>
      <c r="L638" s="1">
        <v>20.61</v>
      </c>
      <c r="M638" s="1" t="s">
        <v>21</v>
      </c>
      <c r="O638" s="1">
        <v>9.6996852958E10</v>
      </c>
    </row>
    <row r="639">
      <c r="A639" s="1">
        <v>2795740.0</v>
      </c>
      <c r="B639" s="1" t="s">
        <v>1557</v>
      </c>
      <c r="C639" s="1" t="b">
        <v>1</v>
      </c>
      <c r="D639" s="1" t="b">
        <v>1</v>
      </c>
      <c r="E639" s="1" t="s">
        <v>1558</v>
      </c>
      <c r="F639" s="1" t="s">
        <v>1559</v>
      </c>
      <c r="G639" s="2">
        <f>+251954898573</f>
        <v>251954898573</v>
      </c>
      <c r="H639" s="1" t="s">
        <v>18</v>
      </c>
      <c r="I639" s="1" t="s">
        <v>19</v>
      </c>
      <c r="J639" s="1" t="s">
        <v>19</v>
      </c>
      <c r="K639" s="1" t="s">
        <v>25</v>
      </c>
      <c r="L639" s="1">
        <v>19.6</v>
      </c>
      <c r="M639" s="1" t="s">
        <v>33</v>
      </c>
      <c r="N639" s="1" t="s">
        <v>34</v>
      </c>
    </row>
    <row r="640">
      <c r="A640" s="1">
        <v>2793587.0</v>
      </c>
      <c r="B640" s="1" t="s">
        <v>1560</v>
      </c>
      <c r="C640" s="1" t="b">
        <v>1</v>
      </c>
      <c r="D640" s="1" t="b">
        <v>1</v>
      </c>
      <c r="E640" s="1" t="s">
        <v>1561</v>
      </c>
      <c r="F640" s="1" t="s">
        <v>1562</v>
      </c>
      <c r="G640" s="2">
        <f>+251978344283</f>
        <v>251978344283</v>
      </c>
      <c r="H640" s="1" t="s">
        <v>18</v>
      </c>
      <c r="I640" s="1" t="s">
        <v>19</v>
      </c>
      <c r="J640" s="1" t="s">
        <v>19</v>
      </c>
      <c r="K640" s="1" t="s">
        <v>25</v>
      </c>
      <c r="L640" s="1">
        <v>20.57</v>
      </c>
      <c r="M640" s="1" t="s">
        <v>21</v>
      </c>
    </row>
    <row r="641">
      <c r="A641" s="1">
        <v>2837543.0</v>
      </c>
      <c r="B641" s="1" t="s">
        <v>1563</v>
      </c>
      <c r="C641" s="1" t="b">
        <v>0</v>
      </c>
      <c r="D641" s="1" t="b">
        <v>1</v>
      </c>
      <c r="E641" s="1" t="s">
        <v>500</v>
      </c>
      <c r="F641" s="1" t="s">
        <v>1564</v>
      </c>
      <c r="G641" s="2">
        <f>+251948707633</f>
        <v>251948707633</v>
      </c>
      <c r="H641" s="1" t="s">
        <v>18</v>
      </c>
      <c r="I641" s="1" t="s">
        <v>19</v>
      </c>
      <c r="J641" s="1" t="s">
        <v>19</v>
      </c>
      <c r="K641" s="1" t="s">
        <v>25</v>
      </c>
      <c r="L641" s="1">
        <v>24.96</v>
      </c>
      <c r="M641" s="1" t="s">
        <v>26</v>
      </c>
      <c r="O641" s="1">
        <v>2.71891139827E11</v>
      </c>
    </row>
    <row r="642">
      <c r="A642" s="1">
        <v>2095654.0</v>
      </c>
      <c r="B642" s="1" t="s">
        <v>1565</v>
      </c>
      <c r="C642" s="1" t="b">
        <v>1</v>
      </c>
      <c r="D642" s="1" t="b">
        <v>1</v>
      </c>
      <c r="E642" s="1" t="s">
        <v>101</v>
      </c>
      <c r="F642" s="1" t="s">
        <v>1566</v>
      </c>
      <c r="G642" s="2">
        <f>+251930958877</f>
        <v>251930958877</v>
      </c>
      <c r="H642" s="1" t="s">
        <v>72</v>
      </c>
      <c r="I642" s="1" t="s">
        <v>19</v>
      </c>
      <c r="J642" s="1" t="s">
        <v>19</v>
      </c>
      <c r="K642" s="1" t="s">
        <v>25</v>
      </c>
      <c r="L642" s="1">
        <v>23.53</v>
      </c>
      <c r="M642" s="1" t="s">
        <v>33</v>
      </c>
      <c r="N642" s="1" t="s">
        <v>76</v>
      </c>
    </row>
    <row r="643">
      <c r="A643" s="1">
        <v>2406701.0</v>
      </c>
      <c r="B643" s="1" t="s">
        <v>1567</v>
      </c>
      <c r="C643" s="1" t="b">
        <v>1</v>
      </c>
      <c r="D643" s="1" t="b">
        <v>1</v>
      </c>
      <c r="E643" s="1" t="s">
        <v>1568</v>
      </c>
      <c r="F643" s="1" t="s">
        <v>338</v>
      </c>
      <c r="G643" s="2">
        <f>+251948897804</f>
        <v>251948897804</v>
      </c>
      <c r="H643" s="1" t="s">
        <v>18</v>
      </c>
      <c r="I643" s="1" t="s">
        <v>19</v>
      </c>
      <c r="J643" s="1" t="s">
        <v>19</v>
      </c>
      <c r="K643" s="1" t="s">
        <v>20</v>
      </c>
      <c r="L643" s="1">
        <v>24.7</v>
      </c>
      <c r="M643" s="1" t="s">
        <v>21</v>
      </c>
    </row>
    <row r="644">
      <c r="A644" s="1">
        <v>2243900.0</v>
      </c>
      <c r="B644" s="1" t="s">
        <v>1569</v>
      </c>
      <c r="C644" s="1" t="b">
        <v>1</v>
      </c>
      <c r="D644" s="1" t="b">
        <v>1</v>
      </c>
      <c r="E644" s="1" t="s">
        <v>1570</v>
      </c>
      <c r="F644" s="1" t="s">
        <v>316</v>
      </c>
      <c r="G644" s="2">
        <f>+251909267912</f>
        <v>251909267912</v>
      </c>
      <c r="H644" s="1" t="s">
        <v>214</v>
      </c>
      <c r="I644" s="1" t="s">
        <v>19</v>
      </c>
      <c r="J644" s="1" t="s">
        <v>19</v>
      </c>
      <c r="K644" s="1" t="s">
        <v>25</v>
      </c>
      <c r="L644" s="1">
        <v>25.33</v>
      </c>
      <c r="M644" s="1" t="s">
        <v>33</v>
      </c>
      <c r="N644" s="1" t="s">
        <v>76</v>
      </c>
    </row>
    <row r="645">
      <c r="A645" s="1">
        <v>1889691.0</v>
      </c>
      <c r="B645" s="1" t="s">
        <v>1571</v>
      </c>
      <c r="C645" s="1" t="b">
        <v>1</v>
      </c>
      <c r="D645" s="1" t="b">
        <v>1</v>
      </c>
      <c r="E645" s="1" t="s">
        <v>1572</v>
      </c>
      <c r="F645" s="1" t="s">
        <v>1573</v>
      </c>
      <c r="G645" s="2">
        <f>+251923551855</f>
        <v>251923551855</v>
      </c>
      <c r="H645" s="1" t="s">
        <v>18</v>
      </c>
      <c r="I645" s="1" t="s">
        <v>19</v>
      </c>
      <c r="J645" s="1" t="s">
        <v>19</v>
      </c>
      <c r="K645" s="1" t="s">
        <v>25</v>
      </c>
      <c r="L645" s="1">
        <v>20.99</v>
      </c>
      <c r="M645" s="1" t="s">
        <v>21</v>
      </c>
      <c r="O645" s="1">
        <v>6.931312345E9</v>
      </c>
    </row>
    <row r="646">
      <c r="A646" s="1">
        <v>2838398.0</v>
      </c>
      <c r="B646" s="1" t="s">
        <v>1574</v>
      </c>
      <c r="C646" s="1" t="b">
        <v>1</v>
      </c>
      <c r="D646" s="1" t="b">
        <v>1</v>
      </c>
      <c r="E646" s="1" t="s">
        <v>904</v>
      </c>
      <c r="F646" s="1" t="s">
        <v>948</v>
      </c>
      <c r="G646" s="2">
        <f>+251938525499</f>
        <v>251938525499</v>
      </c>
      <c r="H646" s="1" t="s">
        <v>18</v>
      </c>
      <c r="I646" s="1" t="s">
        <v>19</v>
      </c>
      <c r="J646" s="1" t="s">
        <v>19</v>
      </c>
      <c r="K646" s="1" t="s">
        <v>25</v>
      </c>
      <c r="L646" s="1">
        <v>20.84</v>
      </c>
      <c r="M646" s="1" t="s">
        <v>21</v>
      </c>
      <c r="O646" s="1">
        <v>2.73065991399E11</v>
      </c>
    </row>
    <row r="647">
      <c r="A647" s="1">
        <v>2838429.0</v>
      </c>
      <c r="B647" s="1" t="s">
        <v>1575</v>
      </c>
      <c r="C647" s="1" t="b">
        <v>0</v>
      </c>
      <c r="D647" s="1" t="b">
        <v>1</v>
      </c>
      <c r="E647" s="1" t="s">
        <v>663</v>
      </c>
      <c r="F647" s="1" t="s">
        <v>108</v>
      </c>
      <c r="G647" s="2">
        <f>+251983510700</f>
        <v>251983510700</v>
      </c>
      <c r="H647" s="1" t="s">
        <v>18</v>
      </c>
      <c r="I647" s="1" t="s">
        <v>19</v>
      </c>
      <c r="J647" s="1" t="s">
        <v>19</v>
      </c>
      <c r="K647" s="1" t="s">
        <v>25</v>
      </c>
      <c r="L647" s="1">
        <v>22.01</v>
      </c>
      <c r="M647" s="1" t="s">
        <v>26</v>
      </c>
      <c r="O647" s="1">
        <v>2.73182784711E11</v>
      </c>
    </row>
    <row r="648">
      <c r="A648" s="1">
        <v>245310.0</v>
      </c>
      <c r="B648" s="1" t="s">
        <v>1576</v>
      </c>
      <c r="C648" s="1" t="b">
        <v>1</v>
      </c>
      <c r="D648" s="1" t="b">
        <v>1</v>
      </c>
      <c r="E648" s="1" t="s">
        <v>1577</v>
      </c>
      <c r="F648" s="1" t="s">
        <v>1578</v>
      </c>
      <c r="G648" s="2">
        <f>+251955098708</f>
        <v>251955098708</v>
      </c>
      <c r="H648" s="1" t="s">
        <v>310</v>
      </c>
      <c r="I648" s="1" t="s">
        <v>19</v>
      </c>
      <c r="J648" s="1" t="s">
        <v>19</v>
      </c>
      <c r="K648" s="1" t="s">
        <v>20</v>
      </c>
      <c r="L648" s="1">
        <v>20.67</v>
      </c>
      <c r="M648" s="1" t="s">
        <v>33</v>
      </c>
      <c r="N648" s="1" t="s">
        <v>166</v>
      </c>
      <c r="O648" s="1">
        <v>1.3261483E7</v>
      </c>
    </row>
    <row r="649">
      <c r="A649" s="1">
        <v>2838470.0</v>
      </c>
      <c r="B649" s="1" t="s">
        <v>1579</v>
      </c>
      <c r="C649" s="1" t="b">
        <v>1</v>
      </c>
      <c r="D649" s="1" t="b">
        <v>1</v>
      </c>
      <c r="E649" s="1" t="s">
        <v>194</v>
      </c>
      <c r="F649" s="1" t="s">
        <v>328</v>
      </c>
      <c r="G649" s="2">
        <f>+251923667917</f>
        <v>251923667917</v>
      </c>
      <c r="H649" s="1" t="s">
        <v>18</v>
      </c>
      <c r="I649" s="1" t="s">
        <v>19</v>
      </c>
      <c r="J649" s="1" t="s">
        <v>19</v>
      </c>
      <c r="K649" s="1" t="s">
        <v>25</v>
      </c>
      <c r="L649" s="1">
        <v>24.91</v>
      </c>
      <c r="M649" s="1" t="s">
        <v>21</v>
      </c>
      <c r="O649" s="1">
        <v>2.73091857612E11</v>
      </c>
    </row>
    <row r="650">
      <c r="A650" s="1">
        <v>2838483.0</v>
      </c>
      <c r="B650" s="1" t="s">
        <v>1580</v>
      </c>
      <c r="C650" s="1" t="b">
        <v>1</v>
      </c>
      <c r="D650" s="1" t="b">
        <v>1</v>
      </c>
      <c r="E650" s="1" t="s">
        <v>1581</v>
      </c>
      <c r="F650" s="1" t="s">
        <v>91</v>
      </c>
      <c r="G650" s="2">
        <f>+251986164265</f>
        <v>251986164265</v>
      </c>
      <c r="H650" s="1" t="s">
        <v>18</v>
      </c>
      <c r="I650" s="1" t="s">
        <v>19</v>
      </c>
      <c r="J650" s="1" t="s">
        <v>19</v>
      </c>
      <c r="K650" s="1" t="s">
        <v>25</v>
      </c>
      <c r="L650" s="1">
        <v>20.84</v>
      </c>
      <c r="M650" s="1" t="s">
        <v>21</v>
      </c>
    </row>
    <row r="651">
      <c r="A651" s="1">
        <v>351913.0</v>
      </c>
      <c r="B651" s="1" t="s">
        <v>1582</v>
      </c>
      <c r="C651" s="1" t="b">
        <v>1</v>
      </c>
      <c r="D651" s="1" t="b">
        <v>1</v>
      </c>
      <c r="E651" s="1" t="s">
        <v>1583</v>
      </c>
      <c r="F651" s="1" t="s">
        <v>951</v>
      </c>
      <c r="G651" s="2">
        <f>+251910936769</f>
        <v>251910936769</v>
      </c>
      <c r="H651" s="1" t="s">
        <v>18</v>
      </c>
      <c r="I651" s="1" t="s">
        <v>19</v>
      </c>
      <c r="J651" s="1" t="s">
        <v>19</v>
      </c>
      <c r="K651" s="1" t="s">
        <v>25</v>
      </c>
      <c r="L651" s="1">
        <v>24.78</v>
      </c>
      <c r="M651" s="1" t="s">
        <v>33</v>
      </c>
      <c r="N651" s="1" t="s">
        <v>76</v>
      </c>
      <c r="O651" s="1">
        <v>8812026.0</v>
      </c>
    </row>
    <row r="652">
      <c r="A652" s="1">
        <v>2838510.0</v>
      </c>
      <c r="B652" s="1" t="s">
        <v>1584</v>
      </c>
      <c r="C652" s="1" t="b">
        <v>1</v>
      </c>
      <c r="D652" s="1" t="b">
        <v>1</v>
      </c>
      <c r="E652" s="1" t="s">
        <v>663</v>
      </c>
      <c r="F652" s="1" t="s">
        <v>108</v>
      </c>
      <c r="G652" s="2">
        <f>+251983510007</f>
        <v>251983510007</v>
      </c>
      <c r="H652" s="1" t="s">
        <v>18</v>
      </c>
      <c r="I652" s="1" t="s">
        <v>19</v>
      </c>
      <c r="J652" s="1" t="s">
        <v>19</v>
      </c>
      <c r="K652" s="1" t="s">
        <v>25</v>
      </c>
      <c r="L652" s="1">
        <v>22.01</v>
      </c>
      <c r="M652" s="1" t="s">
        <v>21</v>
      </c>
      <c r="O652" s="1">
        <v>2.73172200684E11</v>
      </c>
    </row>
    <row r="653">
      <c r="A653" s="1">
        <v>1661588.0</v>
      </c>
      <c r="B653" s="1" t="s">
        <v>1585</v>
      </c>
      <c r="C653" s="1" t="b">
        <v>1</v>
      </c>
      <c r="D653" s="1" t="b">
        <v>1</v>
      </c>
      <c r="E653" s="1" t="s">
        <v>1586</v>
      </c>
      <c r="F653" s="1" t="s">
        <v>1587</v>
      </c>
      <c r="G653" s="2">
        <f>+251908421889</f>
        <v>251908421889</v>
      </c>
      <c r="H653" s="1" t="s">
        <v>18</v>
      </c>
      <c r="I653" s="1" t="s">
        <v>19</v>
      </c>
      <c r="J653" s="1" t="s">
        <v>19</v>
      </c>
      <c r="K653" s="1" t="s">
        <v>25</v>
      </c>
      <c r="L653" s="1">
        <v>22.71</v>
      </c>
      <c r="M653" s="1" t="s">
        <v>21</v>
      </c>
      <c r="O653" s="1">
        <v>2.1099221699E10</v>
      </c>
    </row>
    <row r="654">
      <c r="A654" s="1">
        <v>2838687.0</v>
      </c>
      <c r="B654" s="1" t="s">
        <v>1588</v>
      </c>
      <c r="C654" s="1" t="b">
        <v>1</v>
      </c>
      <c r="D654" s="1" t="b">
        <v>1</v>
      </c>
      <c r="E654" s="1" t="s">
        <v>110</v>
      </c>
      <c r="F654" s="1" t="s">
        <v>283</v>
      </c>
      <c r="G654" s="2">
        <f>+251960162050</f>
        <v>251960162050</v>
      </c>
      <c r="H654" s="1" t="s">
        <v>18</v>
      </c>
      <c r="I654" s="1" t="s">
        <v>19</v>
      </c>
      <c r="J654" s="1" t="s">
        <v>19</v>
      </c>
      <c r="K654" s="1" t="s">
        <v>25</v>
      </c>
      <c r="L654" s="1">
        <v>25.18</v>
      </c>
      <c r="M654" s="1" t="s">
        <v>26</v>
      </c>
      <c r="O654" s="1">
        <v>2.73462489299E11</v>
      </c>
    </row>
    <row r="655">
      <c r="A655" s="1">
        <v>2836035.0</v>
      </c>
      <c r="B655" s="1" t="s">
        <v>1589</v>
      </c>
      <c r="C655" s="1" t="b">
        <v>1</v>
      </c>
      <c r="D655" s="1" t="b">
        <v>1</v>
      </c>
      <c r="E655" s="1" t="s">
        <v>1590</v>
      </c>
      <c r="F655" s="1" t="s">
        <v>1591</v>
      </c>
      <c r="G655" s="2">
        <f>+251927919556</f>
        <v>251927919556</v>
      </c>
      <c r="H655" s="1" t="s">
        <v>18</v>
      </c>
      <c r="I655" s="1" t="s">
        <v>19</v>
      </c>
      <c r="J655" s="1" t="s">
        <v>19</v>
      </c>
      <c r="K655" s="1" t="s">
        <v>25</v>
      </c>
      <c r="L655" s="1">
        <v>19.74</v>
      </c>
      <c r="M655" s="1" t="s">
        <v>33</v>
      </c>
      <c r="N655" s="1" t="s">
        <v>177</v>
      </c>
      <c r="O655" s="1">
        <v>2.70435151091E11</v>
      </c>
    </row>
    <row r="656">
      <c r="A656" s="1">
        <v>1461925.0</v>
      </c>
      <c r="B656" s="1" t="s">
        <v>1592</v>
      </c>
      <c r="C656" s="1" t="b">
        <v>1</v>
      </c>
      <c r="D656" s="1" t="b">
        <v>1</v>
      </c>
      <c r="E656" s="1" t="s">
        <v>1593</v>
      </c>
      <c r="F656" s="1" t="s">
        <v>91</v>
      </c>
      <c r="G656" s="2">
        <f>+251984812005</f>
        <v>251984812005</v>
      </c>
      <c r="H656" s="1" t="s">
        <v>18</v>
      </c>
      <c r="I656" s="1" t="s">
        <v>19</v>
      </c>
      <c r="J656" s="1" t="s">
        <v>19</v>
      </c>
      <c r="K656" s="1" t="s">
        <v>25</v>
      </c>
      <c r="L656" s="1">
        <v>26.97</v>
      </c>
      <c r="M656" s="1" t="s">
        <v>33</v>
      </c>
      <c r="N656" s="1" t="s">
        <v>166</v>
      </c>
      <c r="O656" s="1">
        <v>1376672.0</v>
      </c>
    </row>
    <row r="657">
      <c r="A657" s="1">
        <v>2621713.0</v>
      </c>
      <c r="B657" s="1" t="s">
        <v>1594</v>
      </c>
      <c r="C657" s="1" t="b">
        <v>1</v>
      </c>
      <c r="D657" s="1" t="b">
        <v>1</v>
      </c>
      <c r="E657" s="1" t="s">
        <v>1595</v>
      </c>
      <c r="F657" s="1" t="s">
        <v>1596</v>
      </c>
      <c r="G657" s="2">
        <f>+251938558429</f>
        <v>251938558429</v>
      </c>
      <c r="H657" s="1" t="s">
        <v>18</v>
      </c>
      <c r="I657" s="1" t="s">
        <v>19</v>
      </c>
      <c r="J657" s="1" t="s">
        <v>19</v>
      </c>
      <c r="K657" s="1" t="s">
        <v>20</v>
      </c>
      <c r="L657" s="1">
        <v>21.22</v>
      </c>
      <c r="M657" s="1" t="s">
        <v>21</v>
      </c>
      <c r="O657" s="1">
        <v>1.96120335596E11</v>
      </c>
    </row>
    <row r="658">
      <c r="A658" s="1">
        <v>1172484.0</v>
      </c>
      <c r="B658" s="1" t="s">
        <v>1597</v>
      </c>
      <c r="C658" s="1" t="b">
        <v>1</v>
      </c>
      <c r="D658" s="1" t="b">
        <v>1</v>
      </c>
      <c r="E658" s="1" t="s">
        <v>1598</v>
      </c>
      <c r="F658" s="1" t="s">
        <v>1599</v>
      </c>
      <c r="G658" s="1">
        <v>9.39194822E8</v>
      </c>
      <c r="H658" s="1" t="s">
        <v>18</v>
      </c>
      <c r="I658" s="1" t="s">
        <v>19</v>
      </c>
      <c r="J658" s="1" t="s">
        <v>19</v>
      </c>
      <c r="K658" s="1" t="s">
        <v>25</v>
      </c>
      <c r="L658" s="1">
        <v>19.96</v>
      </c>
      <c r="M658" s="1" t="s">
        <v>21</v>
      </c>
      <c r="O658" s="1">
        <v>8.162617278E9</v>
      </c>
    </row>
    <row r="659">
      <c r="A659" s="1">
        <v>114978.0</v>
      </c>
      <c r="B659" s="1" t="s">
        <v>1600</v>
      </c>
      <c r="C659" s="1" t="b">
        <v>1</v>
      </c>
      <c r="D659" s="1" t="b">
        <v>1</v>
      </c>
      <c r="E659" s="1" t="s">
        <v>438</v>
      </c>
      <c r="F659" s="1" t="s">
        <v>1601</v>
      </c>
      <c r="G659" s="2">
        <f>+251960038947</f>
        <v>251960038947</v>
      </c>
      <c r="H659" s="1" t="s">
        <v>18</v>
      </c>
      <c r="I659" s="1" t="s">
        <v>19</v>
      </c>
      <c r="J659" s="1" t="s">
        <v>19</v>
      </c>
      <c r="K659" s="1" t="s">
        <v>25</v>
      </c>
      <c r="L659" s="1">
        <v>20.37</v>
      </c>
      <c r="M659" s="1" t="s">
        <v>21</v>
      </c>
    </row>
    <row r="660">
      <c r="A660" s="1">
        <v>2442153.0</v>
      </c>
      <c r="B660" s="1" t="s">
        <v>1602</v>
      </c>
      <c r="C660" s="1" t="b">
        <v>1</v>
      </c>
      <c r="D660" s="1" t="b">
        <v>1</v>
      </c>
      <c r="E660" s="1" t="s">
        <v>437</v>
      </c>
      <c r="F660" s="1" t="s">
        <v>1603</v>
      </c>
      <c r="G660" s="2">
        <f>+251924089720</f>
        <v>251924089720</v>
      </c>
      <c r="H660" s="1" t="s">
        <v>131</v>
      </c>
      <c r="I660" s="1" t="s">
        <v>19</v>
      </c>
      <c r="J660" s="1" t="s">
        <v>19</v>
      </c>
      <c r="K660" s="1" t="s">
        <v>25</v>
      </c>
      <c r="L660" s="1">
        <v>20.8</v>
      </c>
      <c r="M660" s="1" t="s">
        <v>21</v>
      </c>
      <c r="O660" s="1">
        <v>1.05074576571E11</v>
      </c>
    </row>
    <row r="661">
      <c r="A661" s="1">
        <v>2505601.0</v>
      </c>
      <c r="B661" s="1" t="s">
        <v>1604</v>
      </c>
      <c r="C661" s="1" t="b">
        <v>1</v>
      </c>
      <c r="D661" s="1" t="b">
        <v>1</v>
      </c>
      <c r="E661" s="1" t="s">
        <v>1605</v>
      </c>
      <c r="F661" s="1" t="s">
        <v>1606</v>
      </c>
      <c r="G661" s="2">
        <f>+251926480574</f>
        <v>251926480574</v>
      </c>
      <c r="H661" s="1" t="s">
        <v>18</v>
      </c>
      <c r="I661" s="1" t="s">
        <v>19</v>
      </c>
      <c r="J661" s="1" t="s">
        <v>19</v>
      </c>
      <c r="K661" s="1" t="s">
        <v>20</v>
      </c>
      <c r="L661" s="1">
        <v>21.16</v>
      </c>
      <c r="M661" s="1" t="s">
        <v>21</v>
      </c>
      <c r="O661" s="1">
        <v>1.51419263212E11</v>
      </c>
    </row>
    <row r="662">
      <c r="A662" s="1">
        <v>2839407.0</v>
      </c>
      <c r="B662" s="1" t="s">
        <v>1607</v>
      </c>
      <c r="C662" s="1" t="b">
        <v>1</v>
      </c>
      <c r="D662" s="1" t="b">
        <v>1</v>
      </c>
      <c r="E662" s="1" t="s">
        <v>1608</v>
      </c>
      <c r="F662" s="1" t="s">
        <v>243</v>
      </c>
      <c r="G662" s="2">
        <f>+251924108992</f>
        <v>251924108992</v>
      </c>
      <c r="H662" s="1" t="s">
        <v>18</v>
      </c>
      <c r="I662" s="1" t="s">
        <v>19</v>
      </c>
      <c r="J662" s="1" t="s">
        <v>19</v>
      </c>
      <c r="K662" s="1" t="s">
        <v>20</v>
      </c>
      <c r="L662" s="1">
        <v>30.02</v>
      </c>
      <c r="M662" s="1" t="s">
        <v>26</v>
      </c>
      <c r="O662" s="1">
        <v>2.73964982499E11</v>
      </c>
    </row>
    <row r="663">
      <c r="A663" s="1">
        <v>2839448.0</v>
      </c>
      <c r="B663" s="1" t="s">
        <v>1609</v>
      </c>
      <c r="C663" s="1" t="b">
        <v>1</v>
      </c>
      <c r="D663" s="1" t="b">
        <v>1</v>
      </c>
      <c r="E663" s="1" t="s">
        <v>1610</v>
      </c>
      <c r="F663" s="1" t="s">
        <v>1611</v>
      </c>
      <c r="G663" s="2">
        <f>+251905338431</f>
        <v>251905338431</v>
      </c>
      <c r="H663" s="1" t="s">
        <v>18</v>
      </c>
      <c r="I663" s="1" t="s">
        <v>19</v>
      </c>
      <c r="J663" s="1" t="s">
        <v>19</v>
      </c>
      <c r="K663" s="1" t="s">
        <v>25</v>
      </c>
      <c r="L663" s="1">
        <v>20.54</v>
      </c>
      <c r="M663" s="1" t="s">
        <v>21</v>
      </c>
      <c r="O663" s="1">
        <v>2.74054700227E11</v>
      </c>
    </row>
    <row r="664">
      <c r="A664" s="1">
        <v>1853380.0</v>
      </c>
      <c r="B664" s="1" t="s">
        <v>1612</v>
      </c>
      <c r="C664" s="1" t="b">
        <v>1</v>
      </c>
      <c r="D664" s="1" t="b">
        <v>1</v>
      </c>
      <c r="E664" s="1" t="s">
        <v>28</v>
      </c>
      <c r="F664" s="1" t="s">
        <v>375</v>
      </c>
      <c r="G664" s="2">
        <f>+251978835342</f>
        <v>251978835342</v>
      </c>
      <c r="H664" s="1" t="s">
        <v>18</v>
      </c>
      <c r="I664" s="1" t="s">
        <v>19</v>
      </c>
      <c r="J664" s="1" t="s">
        <v>19</v>
      </c>
      <c r="K664" s="1" t="s">
        <v>25</v>
      </c>
      <c r="L664" s="1">
        <v>23.67</v>
      </c>
      <c r="M664" s="1" t="s">
        <v>21</v>
      </c>
      <c r="O664" s="1">
        <v>8910952.0</v>
      </c>
    </row>
    <row r="665">
      <c r="A665" s="1">
        <v>2506927.0</v>
      </c>
      <c r="B665" s="1" t="s">
        <v>1613</v>
      </c>
      <c r="C665" s="1" t="b">
        <v>1</v>
      </c>
      <c r="D665" s="1" t="b">
        <v>1</v>
      </c>
      <c r="E665" s="1" t="s">
        <v>1614</v>
      </c>
      <c r="F665" s="1" t="s">
        <v>1615</v>
      </c>
      <c r="G665" s="2">
        <f>+251996572740</f>
        <v>251996572740</v>
      </c>
      <c r="H665" s="1" t="s">
        <v>18</v>
      </c>
      <c r="I665" s="1" t="s">
        <v>19</v>
      </c>
      <c r="J665" s="1" t="s">
        <v>19</v>
      </c>
      <c r="K665" s="1" t="s">
        <v>25</v>
      </c>
      <c r="L665" s="1">
        <v>25.12</v>
      </c>
      <c r="M665" s="1" t="s">
        <v>33</v>
      </c>
      <c r="N665" s="1" t="s">
        <v>166</v>
      </c>
    </row>
    <row r="666">
      <c r="A666" s="1">
        <v>2839834.0</v>
      </c>
      <c r="B666" s="1" t="s">
        <v>1616</v>
      </c>
      <c r="C666" s="1" t="b">
        <v>1</v>
      </c>
      <c r="D666" s="1" t="b">
        <v>1</v>
      </c>
      <c r="E666" s="1" t="s">
        <v>1617</v>
      </c>
      <c r="F666" s="1" t="s">
        <v>1618</v>
      </c>
      <c r="G666" s="2">
        <f>+251989443746</f>
        <v>251989443746</v>
      </c>
      <c r="H666" s="1" t="s">
        <v>18</v>
      </c>
      <c r="I666" s="1" t="s">
        <v>19</v>
      </c>
      <c r="J666" s="1" t="s">
        <v>19</v>
      </c>
      <c r="K666" s="1" t="s">
        <v>25</v>
      </c>
      <c r="L666" s="1">
        <v>21.79</v>
      </c>
      <c r="M666" s="1" t="s">
        <v>21</v>
      </c>
      <c r="O666" s="1">
        <v>2.74573173949E11</v>
      </c>
    </row>
    <row r="667">
      <c r="A667" s="1">
        <v>1494076.0</v>
      </c>
      <c r="B667" s="1" t="s">
        <v>1619</v>
      </c>
      <c r="C667" s="1" t="b">
        <v>1</v>
      </c>
      <c r="D667" s="1" t="b">
        <v>1</v>
      </c>
      <c r="E667" s="1" t="s">
        <v>28</v>
      </c>
      <c r="F667" s="1" t="s">
        <v>1620</v>
      </c>
      <c r="G667" s="1">
        <v>9.19202342E8</v>
      </c>
      <c r="H667" s="1" t="s">
        <v>18</v>
      </c>
      <c r="I667" s="1" t="s">
        <v>19</v>
      </c>
      <c r="J667" s="1" t="s">
        <v>19</v>
      </c>
      <c r="K667" s="1" t="s">
        <v>25</v>
      </c>
      <c r="L667" s="1">
        <v>25.93</v>
      </c>
      <c r="M667" s="1" t="s">
        <v>21</v>
      </c>
      <c r="O667" s="1">
        <v>1.4157689275E10</v>
      </c>
    </row>
    <row r="668">
      <c r="A668" s="1">
        <v>2819510.0</v>
      </c>
      <c r="B668" s="1" t="s">
        <v>1621</v>
      </c>
      <c r="C668" s="1" t="b">
        <v>1</v>
      </c>
      <c r="D668" s="1" t="b">
        <v>1</v>
      </c>
      <c r="E668" s="1" t="s">
        <v>1622</v>
      </c>
      <c r="F668" s="1" t="s">
        <v>595</v>
      </c>
      <c r="G668" s="2">
        <f>+251940318395</f>
        <v>251940318395</v>
      </c>
      <c r="H668" s="1" t="s">
        <v>18</v>
      </c>
      <c r="I668" s="1" t="s">
        <v>19</v>
      </c>
      <c r="J668" s="1" t="s">
        <v>19</v>
      </c>
      <c r="K668" s="1" t="s">
        <v>20</v>
      </c>
      <c r="L668" s="1">
        <v>19.88</v>
      </c>
      <c r="M668" s="1" t="s">
        <v>21</v>
      </c>
    </row>
    <row r="669">
      <c r="A669" s="1">
        <v>1219661.0</v>
      </c>
      <c r="B669" s="1" t="s">
        <v>1623</v>
      </c>
      <c r="C669" s="1" t="b">
        <v>1</v>
      </c>
      <c r="D669" s="1" t="b">
        <v>0</v>
      </c>
      <c r="E669" s="1" t="s">
        <v>28</v>
      </c>
      <c r="F669" s="1" t="s">
        <v>1624</v>
      </c>
      <c r="G669" s="2">
        <f>+251927709856</f>
        <v>251927709856</v>
      </c>
      <c r="H669" s="1" t="s">
        <v>18</v>
      </c>
      <c r="I669" s="1" t="s">
        <v>19</v>
      </c>
      <c r="J669" s="1" t="s">
        <v>19</v>
      </c>
      <c r="K669" s="1" t="s">
        <v>25</v>
      </c>
      <c r="L669" s="1">
        <v>25.48</v>
      </c>
      <c r="M669" s="1" t="s">
        <v>21</v>
      </c>
      <c r="O669" s="1">
        <v>8718884.0</v>
      </c>
    </row>
    <row r="670">
      <c r="A670" s="1">
        <v>2840246.0</v>
      </c>
      <c r="B670" s="1" t="s">
        <v>1625</v>
      </c>
      <c r="C670" s="1" t="b">
        <v>1</v>
      </c>
      <c r="D670" s="1" t="b">
        <v>1</v>
      </c>
      <c r="E670" s="1" t="s">
        <v>1626</v>
      </c>
      <c r="F670" s="1" t="s">
        <v>1627</v>
      </c>
      <c r="G670" s="2">
        <f>+251984551937</f>
        <v>251984551937</v>
      </c>
      <c r="H670" s="1" t="s">
        <v>18</v>
      </c>
      <c r="I670" s="1" t="s">
        <v>19</v>
      </c>
      <c r="J670" s="1" t="s">
        <v>19</v>
      </c>
      <c r="K670" s="1" t="s">
        <v>25</v>
      </c>
      <c r="L670" s="1">
        <v>21.29</v>
      </c>
      <c r="M670" s="1" t="s">
        <v>26</v>
      </c>
    </row>
    <row r="671">
      <c r="A671" s="1">
        <v>2582682.0</v>
      </c>
      <c r="B671" s="1" t="s">
        <v>1628</v>
      </c>
      <c r="C671" s="1" t="b">
        <v>1</v>
      </c>
      <c r="D671" s="1" t="b">
        <v>1</v>
      </c>
      <c r="E671" s="1" t="s">
        <v>1629</v>
      </c>
      <c r="F671" s="1" t="s">
        <v>1499</v>
      </c>
      <c r="G671" s="2">
        <f>+251964764442</f>
        <v>251964764442</v>
      </c>
      <c r="H671" s="1" t="s">
        <v>18</v>
      </c>
      <c r="I671" s="1" t="s">
        <v>19</v>
      </c>
      <c r="J671" s="1" t="s">
        <v>19</v>
      </c>
      <c r="K671" s="1" t="s">
        <v>25</v>
      </c>
      <c r="L671" s="1">
        <v>21.55</v>
      </c>
      <c r="M671" s="1" t="s">
        <v>21</v>
      </c>
      <c r="O671" s="1">
        <v>1.77024975095E11</v>
      </c>
    </row>
    <row r="672">
      <c r="A672" s="1">
        <v>1664410.0</v>
      </c>
      <c r="B672" s="1" t="s">
        <v>1630</v>
      </c>
      <c r="C672" s="1" t="b">
        <v>1</v>
      </c>
      <c r="D672" s="1" t="b">
        <v>0</v>
      </c>
      <c r="E672" s="1" t="s">
        <v>1631</v>
      </c>
      <c r="F672" s="1" t="s">
        <v>195</v>
      </c>
      <c r="G672" s="2">
        <f>+251945252900</f>
        <v>251945252900</v>
      </c>
      <c r="H672" s="1" t="s">
        <v>18</v>
      </c>
      <c r="I672" s="1" t="s">
        <v>19</v>
      </c>
      <c r="J672" s="1" t="s">
        <v>19</v>
      </c>
      <c r="K672" s="1" t="s">
        <v>25</v>
      </c>
      <c r="L672" s="1">
        <v>27.58</v>
      </c>
      <c r="M672" s="1" t="s">
        <v>21</v>
      </c>
      <c r="O672" s="1">
        <v>4813597.0</v>
      </c>
    </row>
    <row r="673">
      <c r="A673" s="1">
        <v>2823701.0</v>
      </c>
      <c r="B673" s="1" t="s">
        <v>1632</v>
      </c>
      <c r="C673" s="1" t="b">
        <v>1</v>
      </c>
      <c r="D673" s="1" t="b">
        <v>1</v>
      </c>
      <c r="E673" s="1" t="s">
        <v>28</v>
      </c>
      <c r="F673" s="1" t="s">
        <v>341</v>
      </c>
      <c r="G673" s="2">
        <f>+251944142258</f>
        <v>251944142258</v>
      </c>
      <c r="H673" s="1" t="s">
        <v>18</v>
      </c>
      <c r="I673" s="1" t="s">
        <v>19</v>
      </c>
      <c r="J673" s="1" t="s">
        <v>19</v>
      </c>
      <c r="K673" s="1" t="s">
        <v>25</v>
      </c>
      <c r="L673" s="1">
        <v>27.82</v>
      </c>
      <c r="M673" s="1" t="s">
        <v>33</v>
      </c>
      <c r="N673" s="1" t="s">
        <v>65</v>
      </c>
      <c r="O673" s="1">
        <v>2.64556236999E11</v>
      </c>
    </row>
    <row r="674">
      <c r="A674" s="1">
        <v>2806584.0</v>
      </c>
      <c r="B674" s="1" t="s">
        <v>1633</v>
      </c>
      <c r="C674" s="1" t="b">
        <v>1</v>
      </c>
      <c r="D674" s="1" t="b">
        <v>1</v>
      </c>
      <c r="E674" s="1" t="s">
        <v>1634</v>
      </c>
      <c r="F674" s="1" t="s">
        <v>51</v>
      </c>
      <c r="G674" s="2">
        <f>+251967955159</f>
        <v>251967955159</v>
      </c>
      <c r="H674" s="1" t="s">
        <v>18</v>
      </c>
      <c r="I674" s="1" t="s">
        <v>19</v>
      </c>
      <c r="J674" s="1" t="s">
        <v>19</v>
      </c>
      <c r="K674" s="1" t="s">
        <v>25</v>
      </c>
      <c r="L674" s="1">
        <v>20.22</v>
      </c>
      <c r="M674" s="1" t="s">
        <v>21</v>
      </c>
      <c r="O674" s="1">
        <v>2.61322857678E11</v>
      </c>
    </row>
    <row r="675">
      <c r="A675" s="1">
        <v>282704.0</v>
      </c>
      <c r="B675" s="1" t="s">
        <v>1635</v>
      </c>
      <c r="C675" s="1" t="b">
        <v>1</v>
      </c>
      <c r="D675" s="1" t="b">
        <v>1</v>
      </c>
      <c r="E675" s="1" t="s">
        <v>1636</v>
      </c>
      <c r="F675" s="1" t="s">
        <v>1637</v>
      </c>
      <c r="G675" s="2">
        <f>+251951036715</f>
        <v>251951036715</v>
      </c>
      <c r="H675" s="1" t="s">
        <v>18</v>
      </c>
      <c r="I675" s="1" t="s">
        <v>19</v>
      </c>
      <c r="J675" s="1" t="s">
        <v>19</v>
      </c>
      <c r="K675" s="1" t="s">
        <v>20</v>
      </c>
      <c r="L675" s="1">
        <v>21.1</v>
      </c>
      <c r="M675" s="1" t="s">
        <v>21</v>
      </c>
      <c r="O675" s="1">
        <v>2.7167804E7</v>
      </c>
    </row>
    <row r="676">
      <c r="A676" s="1">
        <v>933313.0</v>
      </c>
      <c r="B676" s="1" t="s">
        <v>1638</v>
      </c>
      <c r="C676" s="1" t="b">
        <v>1</v>
      </c>
      <c r="D676" s="1" t="b">
        <v>1</v>
      </c>
      <c r="E676" s="1" t="s">
        <v>1639</v>
      </c>
      <c r="F676" s="1" t="s">
        <v>1640</v>
      </c>
      <c r="G676" s="2">
        <f>+251923735867</f>
        <v>251923735867</v>
      </c>
      <c r="H676" s="1" t="s">
        <v>18</v>
      </c>
      <c r="I676" s="1" t="s">
        <v>19</v>
      </c>
      <c r="J676" s="1" t="s">
        <v>19</v>
      </c>
      <c r="K676" s="1" t="s">
        <v>25</v>
      </c>
      <c r="L676" s="1">
        <v>30.58</v>
      </c>
      <c r="M676" s="1" t="s">
        <v>33</v>
      </c>
      <c r="N676" s="1" t="s">
        <v>65</v>
      </c>
      <c r="O676" s="1">
        <v>5179445.0</v>
      </c>
    </row>
    <row r="677">
      <c r="A677" s="1">
        <v>2671082.0</v>
      </c>
      <c r="B677" s="1" t="s">
        <v>1641</v>
      </c>
      <c r="C677" s="1" t="b">
        <v>1</v>
      </c>
      <c r="D677" s="1" t="b">
        <v>1</v>
      </c>
      <c r="E677" s="1" t="s">
        <v>1642</v>
      </c>
      <c r="F677" s="1" t="s">
        <v>108</v>
      </c>
      <c r="G677" s="1">
        <v>9.47355515E8</v>
      </c>
      <c r="H677" s="1" t="s">
        <v>18</v>
      </c>
      <c r="I677" s="1" t="s">
        <v>19</v>
      </c>
      <c r="J677" s="1" t="s">
        <v>19</v>
      </c>
      <c r="K677" s="1" t="s">
        <v>25</v>
      </c>
      <c r="L677" s="1">
        <v>19.96</v>
      </c>
      <c r="M677" s="1" t="s">
        <v>33</v>
      </c>
      <c r="N677" s="1" t="s">
        <v>34</v>
      </c>
      <c r="O677" s="1">
        <v>1.6374401E7</v>
      </c>
    </row>
    <row r="678">
      <c r="A678" s="1">
        <v>2841269.0</v>
      </c>
      <c r="B678" s="1" t="s">
        <v>1643</v>
      </c>
      <c r="C678" s="1" t="b">
        <v>1</v>
      </c>
      <c r="D678" s="1" t="b">
        <v>1</v>
      </c>
      <c r="E678" s="1" t="s">
        <v>1644</v>
      </c>
      <c r="F678" s="1" t="s">
        <v>1645</v>
      </c>
      <c r="G678" s="2">
        <f>+251912355232</f>
        <v>251912355232</v>
      </c>
      <c r="H678" s="1" t="s">
        <v>18</v>
      </c>
      <c r="I678" s="1" t="s">
        <v>19</v>
      </c>
      <c r="J678" s="1" t="s">
        <v>19</v>
      </c>
      <c r="K678" s="1" t="s">
        <v>20</v>
      </c>
      <c r="L678" s="1">
        <v>21.37</v>
      </c>
      <c r="M678" s="1" t="s">
        <v>26</v>
      </c>
      <c r="O678" s="1">
        <v>2.75280839869E11</v>
      </c>
    </row>
    <row r="679">
      <c r="A679" s="1">
        <v>2841375.0</v>
      </c>
      <c r="B679" s="1" t="s">
        <v>1646</v>
      </c>
      <c r="C679" s="1" t="b">
        <v>1</v>
      </c>
      <c r="D679" s="1" t="b">
        <v>0</v>
      </c>
      <c r="E679" s="1" t="s">
        <v>877</v>
      </c>
      <c r="F679" s="1" t="s">
        <v>867</v>
      </c>
      <c r="G679" s="2">
        <f>+251919188509</f>
        <v>251919188509</v>
      </c>
      <c r="H679" s="1" t="s">
        <v>18</v>
      </c>
      <c r="I679" s="1" t="s">
        <v>19</v>
      </c>
      <c r="J679" s="1" t="s">
        <v>19</v>
      </c>
      <c r="K679" s="1" t="s">
        <v>20</v>
      </c>
      <c r="L679" s="1">
        <v>21.57</v>
      </c>
      <c r="M679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2655109.0</v>
      </c>
      <c r="B2" s="1" t="s">
        <v>1647</v>
      </c>
      <c r="C2" s="1" t="b">
        <v>1</v>
      </c>
      <c r="D2" s="1" t="b">
        <v>1</v>
      </c>
      <c r="E2" s="1" t="s">
        <v>1648</v>
      </c>
      <c r="F2" s="1" t="s">
        <v>1649</v>
      </c>
      <c r="G2" s="2">
        <f>+251965039124</f>
        <v>251965039124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37.43</v>
      </c>
      <c r="M2" s="1" t="s">
        <v>21</v>
      </c>
      <c r="O2" s="1">
        <v>2.10487683312E11</v>
      </c>
    </row>
    <row r="3">
      <c r="A3" s="1">
        <v>2655610.0</v>
      </c>
      <c r="B3" s="1" t="s">
        <v>1650</v>
      </c>
      <c r="C3" s="1" t="b">
        <v>0</v>
      </c>
      <c r="D3" s="1" t="b">
        <v>1</v>
      </c>
      <c r="E3" s="1" t="s">
        <v>1651</v>
      </c>
      <c r="F3" s="1" t="s">
        <v>1652</v>
      </c>
      <c r="G3" s="2">
        <f>+251927166084</f>
        <v>251927166084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27.23</v>
      </c>
      <c r="M3" s="1" t="s">
        <v>26</v>
      </c>
      <c r="O3" s="1">
        <v>861568.0</v>
      </c>
    </row>
    <row r="4">
      <c r="A4" s="1">
        <v>1445644.0</v>
      </c>
      <c r="B4" s="1" t="s">
        <v>1653</v>
      </c>
      <c r="C4" s="1" t="b">
        <v>1</v>
      </c>
      <c r="D4" s="1" t="b">
        <v>0</v>
      </c>
      <c r="E4" s="1" t="s">
        <v>1654</v>
      </c>
      <c r="F4" s="1" t="s">
        <v>1542</v>
      </c>
      <c r="G4" s="1">
        <v>9.42201314E8</v>
      </c>
      <c r="H4" s="1" t="s">
        <v>18</v>
      </c>
      <c r="I4" s="1" t="s">
        <v>19</v>
      </c>
      <c r="J4" s="1" t="s">
        <v>19</v>
      </c>
      <c r="K4" s="1" t="s">
        <v>25</v>
      </c>
      <c r="L4" s="1">
        <v>26.65</v>
      </c>
      <c r="M4" s="1" t="s">
        <v>21</v>
      </c>
      <c r="O4" s="1">
        <v>1.4987941868E10</v>
      </c>
    </row>
    <row r="5">
      <c r="A5" s="1">
        <v>2658321.0</v>
      </c>
      <c r="B5" s="1" t="s">
        <v>1655</v>
      </c>
      <c r="C5" s="1" t="b">
        <v>0</v>
      </c>
      <c r="D5" s="1" t="b">
        <v>1</v>
      </c>
      <c r="E5" s="1" t="s">
        <v>1656</v>
      </c>
      <c r="F5" s="1" t="s">
        <v>1657</v>
      </c>
      <c r="G5" s="2">
        <f>+251912412368</f>
        <v>251912412368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34.21</v>
      </c>
      <c r="M5" s="1" t="s">
        <v>26</v>
      </c>
      <c r="O5" s="1">
        <v>2.11908321518E11</v>
      </c>
    </row>
    <row r="6">
      <c r="A6" s="1">
        <v>2658358.0</v>
      </c>
      <c r="B6" s="1" t="s">
        <v>1658</v>
      </c>
      <c r="C6" s="1" t="b">
        <v>1</v>
      </c>
      <c r="D6" s="1" t="b">
        <v>1</v>
      </c>
      <c r="E6" s="1" t="s">
        <v>1659</v>
      </c>
      <c r="F6" s="1" t="s">
        <v>1660</v>
      </c>
      <c r="G6" s="2">
        <f>+251910736415</f>
        <v>251910736415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35.35</v>
      </c>
      <c r="M6" s="1" t="s">
        <v>21</v>
      </c>
      <c r="O6" s="1">
        <v>2.11714150588E11</v>
      </c>
    </row>
    <row r="7">
      <c r="A7" s="1">
        <v>2658962.0</v>
      </c>
      <c r="B7" s="1" t="s">
        <v>1661</v>
      </c>
      <c r="C7" s="1" t="b">
        <v>1</v>
      </c>
      <c r="D7" s="1" t="b">
        <v>0</v>
      </c>
      <c r="E7" s="1" t="s">
        <v>1662</v>
      </c>
      <c r="F7" s="1" t="s">
        <v>1663</v>
      </c>
      <c r="G7" s="2">
        <f>+112121212</f>
        <v>112121212</v>
      </c>
      <c r="H7" s="1" t="s">
        <v>18</v>
      </c>
      <c r="I7" s="1" t="s">
        <v>19</v>
      </c>
      <c r="J7" s="1" t="s">
        <v>1664</v>
      </c>
      <c r="K7" s="1" t="s">
        <v>25</v>
      </c>
      <c r="L7" s="1">
        <v>25.58</v>
      </c>
      <c r="M7" s="1" t="s">
        <v>21</v>
      </c>
      <c r="O7" s="1">
        <v>2.12020361463E11</v>
      </c>
    </row>
    <row r="8">
      <c r="A8" s="1">
        <v>9719.0</v>
      </c>
      <c r="B8" s="1" t="s">
        <v>1665</v>
      </c>
      <c r="C8" s="1" t="b">
        <v>1</v>
      </c>
      <c r="D8" s="1" t="b">
        <v>0</v>
      </c>
      <c r="E8" s="1" t="s">
        <v>1666</v>
      </c>
      <c r="F8" s="1" t="s">
        <v>422</v>
      </c>
      <c r="G8" s="2">
        <f>+251911514380</f>
        <v>251911514380</v>
      </c>
      <c r="H8" s="1" t="s">
        <v>1667</v>
      </c>
      <c r="I8" s="1" t="s">
        <v>19</v>
      </c>
      <c r="J8" s="1" t="s">
        <v>19</v>
      </c>
      <c r="K8" s="1" t="s">
        <v>20</v>
      </c>
      <c r="L8" s="1">
        <v>34.48</v>
      </c>
      <c r="M8" s="1" t="s">
        <v>33</v>
      </c>
      <c r="N8" s="1" t="s">
        <v>118</v>
      </c>
      <c r="O8" s="1">
        <v>2.5761046E7</v>
      </c>
    </row>
    <row r="9">
      <c r="A9" s="1">
        <v>2660699.0</v>
      </c>
      <c r="B9" s="1" t="s">
        <v>1668</v>
      </c>
      <c r="C9" s="1" t="b">
        <v>1</v>
      </c>
      <c r="D9" s="1" t="b">
        <v>1</v>
      </c>
      <c r="E9" s="1" t="s">
        <v>1669</v>
      </c>
      <c r="F9" s="1" t="s">
        <v>1670</v>
      </c>
      <c r="G9" s="2">
        <f>+251917066443</f>
        <v>251917066443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36.39</v>
      </c>
      <c r="M9" s="1" t="s">
        <v>21</v>
      </c>
    </row>
    <row r="10">
      <c r="A10" s="1">
        <v>2518264.0</v>
      </c>
      <c r="B10" s="1" t="s">
        <v>1671</v>
      </c>
      <c r="C10" s="1" t="b">
        <v>1</v>
      </c>
      <c r="D10" s="1" t="b">
        <v>1</v>
      </c>
      <c r="E10" s="1" t="s">
        <v>1672</v>
      </c>
      <c r="F10" s="1" t="s">
        <v>1673</v>
      </c>
      <c r="G10" s="2">
        <f>+251921305689</f>
        <v>251921305689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52.57</v>
      </c>
      <c r="M10" s="1" t="s">
        <v>21</v>
      </c>
      <c r="O10" s="1">
        <v>6224610.0</v>
      </c>
    </row>
    <row r="11">
      <c r="A11" s="1">
        <v>2203659.0</v>
      </c>
      <c r="B11" s="1" t="s">
        <v>1674</v>
      </c>
      <c r="C11" s="1" t="b">
        <v>1</v>
      </c>
      <c r="D11" s="1" t="b">
        <v>1</v>
      </c>
      <c r="E11" s="1" t="s">
        <v>1675</v>
      </c>
      <c r="F11" s="1" t="s">
        <v>1676</v>
      </c>
      <c r="G11" s="2">
        <f>+251965343635</f>
        <v>251965343635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21.92</v>
      </c>
      <c r="M11" s="1" t="s">
        <v>33</v>
      </c>
      <c r="N11" s="1" t="s">
        <v>65</v>
      </c>
      <c r="O11" s="1">
        <v>8837751.0</v>
      </c>
    </row>
    <row r="12">
      <c r="A12" s="1">
        <v>2663419.0</v>
      </c>
      <c r="B12" s="1" t="s">
        <v>1677</v>
      </c>
      <c r="C12" s="1" t="b">
        <v>1</v>
      </c>
      <c r="D12" s="1" t="b">
        <v>1</v>
      </c>
      <c r="E12" s="1" t="s">
        <v>1678</v>
      </c>
      <c r="F12" s="1" t="s">
        <v>1679</v>
      </c>
      <c r="G12" s="2">
        <f>+251934372002</f>
        <v>251934372002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29.79</v>
      </c>
      <c r="M12" s="1" t="s">
        <v>21</v>
      </c>
      <c r="O12" s="1">
        <v>1892493.0</v>
      </c>
    </row>
    <row r="13">
      <c r="A13" s="1">
        <v>2664704.0</v>
      </c>
      <c r="B13" s="1" t="s">
        <v>1680</v>
      </c>
      <c r="C13" s="1" t="b">
        <v>0</v>
      </c>
      <c r="D13" s="1" t="b">
        <v>1</v>
      </c>
      <c r="E13" s="1" t="s">
        <v>1681</v>
      </c>
      <c r="F13" s="1" t="s">
        <v>141</v>
      </c>
      <c r="G13" s="2">
        <f t="shared" ref="G13:G14" si="1">+251949931778</f>
        <v>251949931778</v>
      </c>
      <c r="H13" s="1" t="s">
        <v>572</v>
      </c>
      <c r="I13" s="1" t="s">
        <v>19</v>
      </c>
      <c r="J13" s="1" t="s">
        <v>19</v>
      </c>
      <c r="K13" s="1" t="s">
        <v>20</v>
      </c>
      <c r="L13" s="1">
        <v>26.22</v>
      </c>
      <c r="M13" s="1" t="s">
        <v>33</v>
      </c>
      <c r="N13" s="1" t="s">
        <v>166</v>
      </c>
      <c r="O13" s="1">
        <v>2.14214655203E11</v>
      </c>
    </row>
    <row r="14">
      <c r="A14" s="1">
        <v>2664818.0</v>
      </c>
      <c r="B14" s="1" t="s">
        <v>1682</v>
      </c>
      <c r="C14" s="1" t="b">
        <v>0</v>
      </c>
      <c r="D14" s="1" t="b">
        <v>1</v>
      </c>
      <c r="E14" s="1" t="s">
        <v>1681</v>
      </c>
      <c r="F14" s="1" t="s">
        <v>141</v>
      </c>
      <c r="G14" s="2">
        <f t="shared" si="1"/>
        <v>251949931778</v>
      </c>
      <c r="H14" s="1" t="s">
        <v>572</v>
      </c>
      <c r="I14" s="1" t="s">
        <v>19</v>
      </c>
      <c r="J14" s="1" t="s">
        <v>19</v>
      </c>
      <c r="K14" s="1" t="s">
        <v>20</v>
      </c>
      <c r="L14" s="1">
        <v>26.22</v>
      </c>
      <c r="M14" s="1" t="s">
        <v>26</v>
      </c>
      <c r="O14" s="1">
        <v>2.14227850462E11</v>
      </c>
    </row>
    <row r="15">
      <c r="A15" s="1">
        <v>2666236.0</v>
      </c>
      <c r="B15" s="1" t="s">
        <v>1683</v>
      </c>
      <c r="C15" s="1" t="b">
        <v>1</v>
      </c>
      <c r="D15" s="1" t="b">
        <v>1</v>
      </c>
      <c r="E15" s="1" t="s">
        <v>1684</v>
      </c>
      <c r="F15" s="1" t="s">
        <v>707</v>
      </c>
      <c r="G15" s="1">
        <v>2.51983944225E11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25.68</v>
      </c>
      <c r="M15" s="1" t="s">
        <v>21</v>
      </c>
      <c r="O15" s="1">
        <v>2.14764179647E11</v>
      </c>
    </row>
    <row r="16">
      <c r="A16" s="1">
        <v>127718.0</v>
      </c>
      <c r="B16" s="1" t="s">
        <v>1685</v>
      </c>
      <c r="C16" s="1" t="b">
        <v>1</v>
      </c>
      <c r="D16" s="1" t="b">
        <v>1</v>
      </c>
      <c r="E16" s="1" t="s">
        <v>1676</v>
      </c>
      <c r="F16" s="1" t="s">
        <v>1676</v>
      </c>
      <c r="G16" s="1">
        <v>9.25962096E8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23.98</v>
      </c>
      <c r="M16" s="1" t="s">
        <v>21</v>
      </c>
      <c r="O16" s="1">
        <v>2.5665413E7</v>
      </c>
    </row>
    <row r="17">
      <c r="A17" s="1">
        <v>2667664.0</v>
      </c>
      <c r="B17" s="1" t="s">
        <v>1686</v>
      </c>
      <c r="C17" s="1" t="b">
        <v>1</v>
      </c>
      <c r="D17" s="1" t="b">
        <v>1</v>
      </c>
      <c r="E17" s="1" t="s">
        <v>1687</v>
      </c>
      <c r="F17" s="1" t="s">
        <v>1688</v>
      </c>
      <c r="G17" s="1">
        <v>2.51939071736E11</v>
      </c>
      <c r="H17" s="1" t="s">
        <v>18</v>
      </c>
      <c r="I17" s="1" t="s">
        <v>19</v>
      </c>
      <c r="J17" s="1" t="s">
        <v>19</v>
      </c>
      <c r="K17" s="1" t="s">
        <v>25</v>
      </c>
      <c r="L17" s="1">
        <v>35.62</v>
      </c>
      <c r="M17" s="1" t="s">
        <v>21</v>
      </c>
      <c r="O17" s="1">
        <v>1857851.0</v>
      </c>
    </row>
    <row r="18">
      <c r="A18" s="1">
        <v>1292136.0</v>
      </c>
      <c r="B18" s="1" t="s">
        <v>1689</v>
      </c>
      <c r="C18" s="1" t="b">
        <v>1</v>
      </c>
      <c r="D18" s="1" t="b">
        <v>1</v>
      </c>
      <c r="E18" s="1" t="s">
        <v>1690</v>
      </c>
      <c r="F18" s="1" t="s">
        <v>1691</v>
      </c>
      <c r="G18" s="2">
        <f>+251910934708</f>
        <v>251910934708</v>
      </c>
      <c r="H18" s="1" t="s">
        <v>18</v>
      </c>
      <c r="I18" s="1" t="s">
        <v>19</v>
      </c>
      <c r="J18" s="1" t="s">
        <v>19</v>
      </c>
      <c r="K18" s="1" t="s">
        <v>25</v>
      </c>
      <c r="L18" s="1">
        <v>30.65</v>
      </c>
      <c r="M18" s="1" t="s">
        <v>21</v>
      </c>
      <c r="O18" s="1">
        <v>924436.0</v>
      </c>
    </row>
    <row r="19">
      <c r="A19" s="1">
        <v>253175.0</v>
      </c>
      <c r="B19" s="1" t="s">
        <v>1692</v>
      </c>
      <c r="C19" s="1" t="b">
        <v>1</v>
      </c>
      <c r="D19" s="1" t="b">
        <v>1</v>
      </c>
      <c r="E19" s="1" t="s">
        <v>517</v>
      </c>
      <c r="F19" s="1" t="s">
        <v>1693</v>
      </c>
      <c r="G19" s="2">
        <f>+251921926998</f>
        <v>251921926998</v>
      </c>
      <c r="H19" s="1" t="s">
        <v>18</v>
      </c>
      <c r="I19" s="1" t="s">
        <v>19</v>
      </c>
      <c r="J19" s="1" t="s">
        <v>19</v>
      </c>
      <c r="K19" s="1" t="s">
        <v>25</v>
      </c>
      <c r="L19" s="1">
        <v>29.07</v>
      </c>
      <c r="M19" s="1" t="s">
        <v>33</v>
      </c>
      <c r="N19" s="1" t="s">
        <v>177</v>
      </c>
      <c r="O19" s="1">
        <v>5286452.0</v>
      </c>
    </row>
    <row r="20">
      <c r="A20" s="1">
        <v>1282051.0</v>
      </c>
      <c r="B20" s="1" t="s">
        <v>1694</v>
      </c>
      <c r="C20" s="1" t="b">
        <v>1</v>
      </c>
      <c r="D20" s="1" t="b">
        <v>1</v>
      </c>
      <c r="E20" s="1" t="s">
        <v>1695</v>
      </c>
      <c r="F20" s="1" t="s">
        <v>375</v>
      </c>
      <c r="G20" s="1">
        <v>9.54906244E8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31.44</v>
      </c>
      <c r="M20" s="1" t="s">
        <v>21</v>
      </c>
      <c r="O20" s="1">
        <v>3261024.0</v>
      </c>
    </row>
    <row r="21">
      <c r="A21" s="1">
        <v>2670152.0</v>
      </c>
      <c r="B21" s="1" t="s">
        <v>1696</v>
      </c>
      <c r="C21" s="1" t="b">
        <v>1</v>
      </c>
      <c r="D21" s="1" t="b">
        <v>1</v>
      </c>
      <c r="E21" s="1" t="s">
        <v>286</v>
      </c>
      <c r="F21" s="1" t="s">
        <v>859</v>
      </c>
      <c r="G21" s="2">
        <f>+251986092139</f>
        <v>251986092139</v>
      </c>
      <c r="H21" s="1" t="s">
        <v>18</v>
      </c>
      <c r="I21" s="1" t="s">
        <v>19</v>
      </c>
      <c r="J21" s="1" t="s">
        <v>19</v>
      </c>
      <c r="K21" s="1" t="s">
        <v>20</v>
      </c>
      <c r="L21" s="1">
        <v>20.74</v>
      </c>
      <c r="M21" s="1" t="s">
        <v>21</v>
      </c>
      <c r="O21" s="1">
        <v>2.16608861393E11</v>
      </c>
    </row>
    <row r="22">
      <c r="A22" s="1">
        <v>2456096.0</v>
      </c>
      <c r="B22" s="1" t="s">
        <v>1697</v>
      </c>
      <c r="C22" s="1" t="b">
        <v>1</v>
      </c>
      <c r="D22" s="1" t="b">
        <v>1</v>
      </c>
      <c r="E22" s="1" t="s">
        <v>1698</v>
      </c>
      <c r="F22" s="1" t="s">
        <v>1699</v>
      </c>
      <c r="G22" s="1" t="s">
        <v>1700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56.29</v>
      </c>
      <c r="M22" s="1" t="s">
        <v>21</v>
      </c>
      <c r="O22" s="1">
        <v>2.17119392991E11</v>
      </c>
    </row>
    <row r="23">
      <c r="A23" s="1">
        <v>2672264.0</v>
      </c>
      <c r="B23" s="1" t="s">
        <v>1701</v>
      </c>
      <c r="C23" s="1" t="b">
        <v>1</v>
      </c>
      <c r="D23" s="1" t="b">
        <v>0</v>
      </c>
      <c r="E23" s="1" t="s">
        <v>500</v>
      </c>
      <c r="F23" s="1" t="s">
        <v>1702</v>
      </c>
      <c r="G23" s="2">
        <f>+251945556927</f>
        <v>251945556927</v>
      </c>
      <c r="H23" s="1" t="s">
        <v>72</v>
      </c>
      <c r="I23" s="1" t="s">
        <v>19</v>
      </c>
      <c r="J23" s="1" t="s">
        <v>19</v>
      </c>
      <c r="K23" s="1" t="s">
        <v>25</v>
      </c>
      <c r="L23" s="1">
        <v>27.02</v>
      </c>
      <c r="M23" s="1" t="s">
        <v>33</v>
      </c>
      <c r="N23" s="1" t="s">
        <v>118</v>
      </c>
      <c r="O23" s="1">
        <v>8731143.0</v>
      </c>
    </row>
    <row r="24">
      <c r="A24" s="1">
        <v>2671261.0</v>
      </c>
      <c r="B24" s="1" t="s">
        <v>1703</v>
      </c>
      <c r="C24" s="1" t="b">
        <v>1</v>
      </c>
      <c r="D24" s="1" t="b">
        <v>1</v>
      </c>
      <c r="E24" s="1" t="s">
        <v>101</v>
      </c>
      <c r="F24" s="1" t="s">
        <v>361</v>
      </c>
      <c r="G24" s="2">
        <f>+251911739506</f>
        <v>251911739506</v>
      </c>
      <c r="H24" s="1" t="s">
        <v>18</v>
      </c>
      <c r="I24" s="1" t="s">
        <v>19</v>
      </c>
      <c r="J24" s="1" t="s">
        <v>19</v>
      </c>
      <c r="K24" s="1" t="s">
        <v>25</v>
      </c>
      <c r="L24" s="1">
        <v>40.56</v>
      </c>
      <c r="M24" s="1" t="s">
        <v>21</v>
      </c>
      <c r="O24" s="1">
        <v>2.17321608378E11</v>
      </c>
    </row>
    <row r="25">
      <c r="A25" s="1">
        <v>2673501.0</v>
      </c>
      <c r="B25" s="1" t="s">
        <v>1704</v>
      </c>
      <c r="C25" s="1" t="b">
        <v>1</v>
      </c>
      <c r="D25" s="1" t="b">
        <v>1</v>
      </c>
      <c r="E25" s="1" t="s">
        <v>935</v>
      </c>
      <c r="F25" s="1" t="s">
        <v>108</v>
      </c>
      <c r="G25" s="2">
        <f>+251936657024</f>
        <v>251936657024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24.68</v>
      </c>
      <c r="M25" s="1" t="s">
        <v>21</v>
      </c>
      <c r="O25" s="1">
        <v>2.18251372764E11</v>
      </c>
    </row>
    <row r="26">
      <c r="A26" s="1">
        <v>2255993.0</v>
      </c>
      <c r="B26" s="1" t="s">
        <v>1705</v>
      </c>
      <c r="C26" s="1" t="b">
        <v>1</v>
      </c>
      <c r="D26" s="1" t="b">
        <v>1</v>
      </c>
      <c r="E26" s="1" t="s">
        <v>1706</v>
      </c>
      <c r="F26" s="1" t="s">
        <v>195</v>
      </c>
      <c r="G26" s="2">
        <f>+251934734658</f>
        <v>251934734658</v>
      </c>
      <c r="H26" s="1" t="s">
        <v>80</v>
      </c>
      <c r="I26" s="1" t="s">
        <v>19</v>
      </c>
      <c r="J26" s="1" t="s">
        <v>19</v>
      </c>
      <c r="K26" s="1" t="s">
        <v>25</v>
      </c>
      <c r="L26" s="1">
        <v>25.73</v>
      </c>
      <c r="M26" s="1" t="s">
        <v>21</v>
      </c>
      <c r="O26" s="1">
        <v>2.8820880323E10</v>
      </c>
    </row>
    <row r="27">
      <c r="A27" s="1">
        <v>2676653.0</v>
      </c>
      <c r="B27" s="1" t="s">
        <v>1707</v>
      </c>
      <c r="C27" s="1" t="b">
        <v>1</v>
      </c>
      <c r="D27" s="1" t="b">
        <v>1</v>
      </c>
      <c r="E27" s="1" t="s">
        <v>503</v>
      </c>
      <c r="F27" s="1" t="s">
        <v>258</v>
      </c>
      <c r="G27" s="2">
        <f>+251984163441</f>
        <v>251984163441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21.2</v>
      </c>
      <c r="M27" s="1" t="s">
        <v>33</v>
      </c>
      <c r="N27" s="1" t="s">
        <v>166</v>
      </c>
      <c r="O27" s="1">
        <v>2.19300336859E11</v>
      </c>
    </row>
    <row r="28">
      <c r="A28" s="1">
        <v>2676025.0</v>
      </c>
      <c r="B28" s="1" t="s">
        <v>1708</v>
      </c>
      <c r="C28" s="1" t="b">
        <v>1</v>
      </c>
      <c r="D28" s="1" t="b">
        <v>1</v>
      </c>
      <c r="E28" s="1" t="s">
        <v>1485</v>
      </c>
      <c r="F28" s="1" t="s">
        <v>1709</v>
      </c>
      <c r="G28" s="2">
        <f>+251911416417</f>
        <v>251911416417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25.71</v>
      </c>
      <c r="M28" s="1" t="s">
        <v>33</v>
      </c>
      <c r="N28" s="1" t="s">
        <v>177</v>
      </c>
      <c r="O28" s="1">
        <v>2.4991427E7</v>
      </c>
    </row>
    <row r="29">
      <c r="A29" s="1">
        <v>179367.0</v>
      </c>
      <c r="B29" s="1" t="s">
        <v>1710</v>
      </c>
      <c r="C29" s="1" t="b">
        <v>1</v>
      </c>
      <c r="D29" s="1" t="b">
        <v>1</v>
      </c>
      <c r="E29" s="1" t="s">
        <v>294</v>
      </c>
      <c r="F29" s="1" t="s">
        <v>620</v>
      </c>
      <c r="G29" s="2">
        <f>+251931713621</f>
        <v>251931713621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26.28</v>
      </c>
      <c r="M29" s="1" t="s">
        <v>21</v>
      </c>
      <c r="O29" s="1">
        <v>3261906.0</v>
      </c>
    </row>
    <row r="30">
      <c r="A30" s="1">
        <v>385576.0</v>
      </c>
      <c r="B30" s="1" t="s">
        <v>1711</v>
      </c>
      <c r="C30" s="1" t="b">
        <v>1</v>
      </c>
      <c r="D30" s="1" t="b">
        <v>1</v>
      </c>
      <c r="E30" s="1" t="s">
        <v>37</v>
      </c>
      <c r="F30" s="1" t="s">
        <v>867</v>
      </c>
      <c r="G30" s="1">
        <v>9.83094987E8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24.15</v>
      </c>
      <c r="M30" s="1" t="s">
        <v>21</v>
      </c>
      <c r="O30" s="1">
        <v>3262036.0</v>
      </c>
    </row>
    <row r="31">
      <c r="A31" s="1">
        <v>2679784.0</v>
      </c>
      <c r="B31" s="1" t="s">
        <v>1712</v>
      </c>
      <c r="C31" s="1" t="b">
        <v>1</v>
      </c>
      <c r="D31" s="1" t="b">
        <v>1</v>
      </c>
      <c r="E31" s="1" t="s">
        <v>1713</v>
      </c>
      <c r="F31" s="1" t="s">
        <v>1714</v>
      </c>
      <c r="G31" s="2">
        <f>+251963190677</f>
        <v>251963190677</v>
      </c>
      <c r="H31" s="1" t="s">
        <v>392</v>
      </c>
      <c r="I31" s="1" t="s">
        <v>19</v>
      </c>
      <c r="J31" s="1" t="s">
        <v>19</v>
      </c>
      <c r="K31" s="1" t="s">
        <v>25</v>
      </c>
      <c r="L31" s="1">
        <v>20.87</v>
      </c>
      <c r="M31" s="1" t="s">
        <v>21</v>
      </c>
    </row>
    <row r="32">
      <c r="A32" s="1">
        <v>2682030.0</v>
      </c>
      <c r="B32" s="1" t="s">
        <v>1715</v>
      </c>
      <c r="C32" s="1" t="b">
        <v>1</v>
      </c>
      <c r="D32" s="1" t="b">
        <v>1</v>
      </c>
      <c r="E32" s="1" t="s">
        <v>1716</v>
      </c>
      <c r="F32" s="1" t="s">
        <v>1717</v>
      </c>
      <c r="G32" s="2">
        <f>+251938047624</f>
        <v>251938047624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25.23</v>
      </c>
      <c r="M32" s="1" t="s">
        <v>21</v>
      </c>
    </row>
    <row r="33">
      <c r="A33" s="1">
        <v>2682688.0</v>
      </c>
      <c r="B33" s="1" t="s">
        <v>1718</v>
      </c>
      <c r="C33" s="1" t="b">
        <v>1</v>
      </c>
      <c r="D33" s="1" t="b">
        <v>1</v>
      </c>
      <c r="E33" s="1" t="s">
        <v>437</v>
      </c>
      <c r="F33" s="1" t="s">
        <v>1719</v>
      </c>
      <c r="G33" s="2">
        <f>+251925356981</f>
        <v>251925356981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26.55</v>
      </c>
      <c r="M33" s="1" t="s">
        <v>33</v>
      </c>
      <c r="N33" s="1" t="s">
        <v>34</v>
      </c>
    </row>
    <row r="34">
      <c r="A34" s="1">
        <v>1239804.0</v>
      </c>
      <c r="B34" s="1" t="s">
        <v>1720</v>
      </c>
      <c r="C34" s="1" t="b">
        <v>1</v>
      </c>
      <c r="D34" s="1" t="b">
        <v>1</v>
      </c>
      <c r="E34" s="1" t="s">
        <v>1721</v>
      </c>
      <c r="F34" s="1" t="s">
        <v>847</v>
      </c>
      <c r="G34" s="2">
        <f>+251966887801</f>
        <v>251966887801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22.1</v>
      </c>
      <c r="M34" s="1" t="s">
        <v>33</v>
      </c>
      <c r="N34" s="1" t="s">
        <v>177</v>
      </c>
      <c r="O34" s="1">
        <v>7284001.0</v>
      </c>
    </row>
    <row r="35">
      <c r="A35" s="1">
        <v>1134113.0</v>
      </c>
      <c r="B35" s="1" t="s">
        <v>1722</v>
      </c>
      <c r="C35" s="1" t="b">
        <v>1</v>
      </c>
      <c r="D35" s="1" t="b">
        <v>1</v>
      </c>
      <c r="E35" s="1" t="s">
        <v>750</v>
      </c>
      <c r="F35" s="1" t="s">
        <v>363</v>
      </c>
      <c r="G35" s="2">
        <f>+251915941020</f>
        <v>251915941020</v>
      </c>
      <c r="H35" s="1" t="s">
        <v>18</v>
      </c>
      <c r="I35" s="1" t="s">
        <v>19</v>
      </c>
      <c r="J35" s="1" t="s">
        <v>19</v>
      </c>
      <c r="K35" s="1" t="s">
        <v>20</v>
      </c>
      <c r="L35" s="1">
        <v>23.69</v>
      </c>
      <c r="M35" s="1" t="s">
        <v>21</v>
      </c>
      <c r="O35" s="1">
        <v>2.9599679E7</v>
      </c>
    </row>
    <row r="36">
      <c r="A36" s="1">
        <v>107241.0</v>
      </c>
      <c r="B36" s="1" t="s">
        <v>1723</v>
      </c>
      <c r="C36" s="1" t="b">
        <v>1</v>
      </c>
      <c r="D36" s="1" t="b">
        <v>1</v>
      </c>
      <c r="E36" s="1" t="s">
        <v>1724</v>
      </c>
      <c r="F36" s="1" t="s">
        <v>1725</v>
      </c>
      <c r="G36" s="2">
        <f>+251938334197</f>
        <v>251938334197</v>
      </c>
      <c r="H36" s="1" t="s">
        <v>18</v>
      </c>
      <c r="I36" s="1" t="s">
        <v>19</v>
      </c>
      <c r="J36" s="1" t="s">
        <v>19</v>
      </c>
      <c r="K36" s="1" t="s">
        <v>25</v>
      </c>
      <c r="L36" s="1">
        <v>22.12</v>
      </c>
      <c r="M36" s="1" t="s">
        <v>21</v>
      </c>
      <c r="O36" s="1">
        <v>2.5222661E7</v>
      </c>
    </row>
    <row r="37">
      <c r="A37" s="1">
        <v>25521.0</v>
      </c>
      <c r="B37" s="1" t="s">
        <v>1726</v>
      </c>
      <c r="C37" s="1" t="b">
        <v>1</v>
      </c>
      <c r="D37" s="1" t="b">
        <v>1</v>
      </c>
      <c r="E37" s="1" t="s">
        <v>1727</v>
      </c>
      <c r="F37" s="1" t="s">
        <v>1728</v>
      </c>
      <c r="G37" s="2">
        <f>+251989686984</f>
        <v>251989686984</v>
      </c>
      <c r="H37" s="1" t="s">
        <v>18</v>
      </c>
      <c r="I37" s="1" t="s">
        <v>19</v>
      </c>
      <c r="J37" s="1" t="s">
        <v>19</v>
      </c>
      <c r="K37" s="1" t="s">
        <v>20</v>
      </c>
      <c r="L37" s="1">
        <v>26.04</v>
      </c>
      <c r="M37" s="1" t="s">
        <v>21</v>
      </c>
      <c r="O37" s="1">
        <v>741734.0</v>
      </c>
    </row>
    <row r="38">
      <c r="A38" s="1">
        <v>288445.0</v>
      </c>
      <c r="B38" s="1" t="s">
        <v>1729</v>
      </c>
      <c r="C38" s="1" t="b">
        <v>1</v>
      </c>
      <c r="D38" s="1" t="b">
        <v>1</v>
      </c>
      <c r="E38" s="1" t="s">
        <v>1730</v>
      </c>
      <c r="F38" s="1" t="s">
        <v>1731</v>
      </c>
      <c r="G38" s="2">
        <f>+251912461642</f>
        <v>251912461642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35.1</v>
      </c>
      <c r="M38" s="1" t="s">
        <v>21</v>
      </c>
      <c r="O38" s="1">
        <v>755394.0</v>
      </c>
    </row>
    <row r="39">
      <c r="A39" s="1">
        <v>275271.0</v>
      </c>
      <c r="B39" s="1" t="s">
        <v>1732</v>
      </c>
      <c r="C39" s="1" t="b">
        <v>1</v>
      </c>
      <c r="D39" s="1" t="b">
        <v>1</v>
      </c>
      <c r="E39" s="1" t="s">
        <v>944</v>
      </c>
      <c r="F39" s="1" t="s">
        <v>817</v>
      </c>
      <c r="G39" s="2">
        <f>+251945808838</f>
        <v>251945808838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33.33</v>
      </c>
      <c r="M39" s="1" t="s">
        <v>21</v>
      </c>
      <c r="O39" s="1">
        <v>2.8619981E7</v>
      </c>
    </row>
    <row r="40">
      <c r="A40" s="1">
        <v>1515029.0</v>
      </c>
      <c r="B40" s="1" t="s">
        <v>1733</v>
      </c>
      <c r="C40" s="1" t="b">
        <v>1</v>
      </c>
      <c r="D40" s="1" t="b">
        <v>0</v>
      </c>
      <c r="E40" s="1" t="s">
        <v>1734</v>
      </c>
      <c r="F40" s="1" t="s">
        <v>633</v>
      </c>
      <c r="G40" s="2">
        <f>+251923644694</f>
        <v>251923644694</v>
      </c>
      <c r="H40" s="1" t="s">
        <v>18</v>
      </c>
      <c r="I40" s="1" t="s">
        <v>19</v>
      </c>
      <c r="J40" s="1" t="s">
        <v>19</v>
      </c>
      <c r="K40" s="1" t="s">
        <v>20</v>
      </c>
      <c r="L40" s="1">
        <v>27.26</v>
      </c>
      <c r="M40" s="1" t="s">
        <v>21</v>
      </c>
      <c r="O40" s="1">
        <v>4814086.0</v>
      </c>
    </row>
    <row r="41">
      <c r="A41" s="1">
        <v>2693998.0</v>
      </c>
      <c r="B41" s="1" t="s">
        <v>1735</v>
      </c>
      <c r="C41" s="1" t="b">
        <v>1</v>
      </c>
      <c r="D41" s="1" t="b">
        <v>0</v>
      </c>
      <c r="E41" s="1" t="s">
        <v>447</v>
      </c>
      <c r="F41" s="1" t="s">
        <v>1736</v>
      </c>
      <c r="G41" s="2">
        <f>+25191202044</f>
        <v>25191202044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25.44</v>
      </c>
      <c r="M41" s="1" t="s">
        <v>21</v>
      </c>
      <c r="O41" s="1">
        <v>8922117.0</v>
      </c>
    </row>
    <row r="42">
      <c r="A42" s="1">
        <v>2694401.0</v>
      </c>
      <c r="B42" s="1" t="s">
        <v>1737</v>
      </c>
      <c r="C42" s="1" t="b">
        <v>1</v>
      </c>
      <c r="D42" s="1" t="b">
        <v>1</v>
      </c>
      <c r="E42" s="1" t="s">
        <v>1738</v>
      </c>
      <c r="F42" s="1" t="s">
        <v>1739</v>
      </c>
      <c r="G42" s="2">
        <f>+251955403258</f>
        <v>251955403258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22.66</v>
      </c>
      <c r="M42" s="1" t="s">
        <v>33</v>
      </c>
      <c r="N42" s="1" t="s">
        <v>166</v>
      </c>
      <c r="O42" s="1">
        <v>2.25556029657E11</v>
      </c>
    </row>
    <row r="43">
      <c r="A43" s="1">
        <v>2324534.0</v>
      </c>
      <c r="B43" s="1" t="s">
        <v>1740</v>
      </c>
      <c r="C43" s="1" t="b">
        <v>1</v>
      </c>
      <c r="D43" s="1" t="b">
        <v>1</v>
      </c>
      <c r="E43" s="1" t="s">
        <v>1741</v>
      </c>
      <c r="F43" s="1" t="s">
        <v>363</v>
      </c>
      <c r="G43" s="2">
        <f>+251964033339</f>
        <v>251964033339</v>
      </c>
      <c r="H43" s="1" t="s">
        <v>18</v>
      </c>
      <c r="I43" s="1" t="s">
        <v>19</v>
      </c>
      <c r="J43" s="1" t="s">
        <v>19</v>
      </c>
      <c r="K43" s="1" t="s">
        <v>25</v>
      </c>
      <c r="L43" s="1">
        <v>29.48</v>
      </c>
      <c r="M43" s="1" t="s">
        <v>21</v>
      </c>
      <c r="O43" s="1">
        <v>5180223.0</v>
      </c>
    </row>
    <row r="44">
      <c r="A44" s="1">
        <v>2694888.0</v>
      </c>
      <c r="B44" s="1" t="s">
        <v>1742</v>
      </c>
      <c r="C44" s="1" t="b">
        <v>1</v>
      </c>
      <c r="D44" s="1" t="b">
        <v>1</v>
      </c>
      <c r="E44" s="1" t="s">
        <v>1743</v>
      </c>
      <c r="F44" s="1" t="s">
        <v>189</v>
      </c>
      <c r="G44" s="2">
        <f>+251947892090</f>
        <v>251947892090</v>
      </c>
      <c r="H44" s="1" t="s">
        <v>18</v>
      </c>
      <c r="I44" s="1" t="s">
        <v>19</v>
      </c>
      <c r="J44" s="1" t="s">
        <v>19</v>
      </c>
      <c r="K44" s="1" t="s">
        <v>25</v>
      </c>
      <c r="L44" s="1">
        <v>22.49</v>
      </c>
      <c r="M44" s="1" t="s">
        <v>21</v>
      </c>
    </row>
    <row r="45">
      <c r="A45" s="1">
        <v>18370.0</v>
      </c>
      <c r="B45" s="1" t="s">
        <v>1744</v>
      </c>
      <c r="C45" s="1" t="b">
        <v>1</v>
      </c>
      <c r="D45" s="1" t="b">
        <v>1</v>
      </c>
      <c r="E45" s="1" t="s">
        <v>1745</v>
      </c>
      <c r="F45" s="1" t="s">
        <v>1746</v>
      </c>
      <c r="G45" s="2">
        <f>+251930626364</f>
        <v>251930626364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32.29</v>
      </c>
      <c r="M45" s="1" t="s">
        <v>21</v>
      </c>
      <c r="O45" s="1">
        <v>1844207.0</v>
      </c>
    </row>
    <row r="46">
      <c r="A46" s="1">
        <v>2702289.0</v>
      </c>
      <c r="B46" s="1" t="s">
        <v>1747</v>
      </c>
      <c r="C46" s="1" t="b">
        <v>1</v>
      </c>
      <c r="D46" s="1" t="b">
        <v>1</v>
      </c>
      <c r="E46" s="1" t="s">
        <v>420</v>
      </c>
      <c r="F46" s="1" t="s">
        <v>1748</v>
      </c>
      <c r="G46" s="2">
        <f>+251938826782</f>
        <v>251938826782</v>
      </c>
      <c r="H46" s="1" t="s">
        <v>18</v>
      </c>
      <c r="I46" s="1" t="s">
        <v>19</v>
      </c>
      <c r="J46" s="1" t="s">
        <v>19</v>
      </c>
      <c r="K46" s="1" t="s">
        <v>25</v>
      </c>
      <c r="L46" s="1">
        <v>23.16</v>
      </c>
      <c r="M46" s="1" t="s">
        <v>21</v>
      </c>
      <c r="O46" s="1">
        <v>8732792.0</v>
      </c>
    </row>
    <row r="47">
      <c r="A47" s="1">
        <v>2706256.0</v>
      </c>
      <c r="B47" s="1" t="s">
        <v>1749</v>
      </c>
      <c r="C47" s="1" t="b">
        <v>1</v>
      </c>
      <c r="D47" s="1" t="b">
        <v>0</v>
      </c>
      <c r="E47" s="1" t="s">
        <v>1750</v>
      </c>
      <c r="F47" s="1" t="s">
        <v>1751</v>
      </c>
      <c r="G47" s="2">
        <f>+251991136096</f>
        <v>251991136096</v>
      </c>
      <c r="H47" s="1" t="s">
        <v>18</v>
      </c>
      <c r="I47" s="1" t="s">
        <v>19</v>
      </c>
      <c r="J47" s="1" t="s">
        <v>19</v>
      </c>
      <c r="K47" s="1" t="s">
        <v>25</v>
      </c>
      <c r="L47" s="1">
        <v>31.03</v>
      </c>
      <c r="M47" s="1" t="s">
        <v>21</v>
      </c>
    </row>
    <row r="48">
      <c r="A48" s="1">
        <v>417051.0</v>
      </c>
      <c r="B48" s="1" t="s">
        <v>1752</v>
      </c>
      <c r="C48" s="1" t="b">
        <v>1</v>
      </c>
      <c r="D48" s="1" t="b">
        <v>0</v>
      </c>
      <c r="E48" s="1" t="s">
        <v>1753</v>
      </c>
      <c r="F48" s="1" t="s">
        <v>1754</v>
      </c>
      <c r="G48" s="1">
        <v>9.12634556E8</v>
      </c>
      <c r="H48" s="1" t="s">
        <v>18</v>
      </c>
      <c r="I48" s="1" t="s">
        <v>19</v>
      </c>
      <c r="J48" s="1" t="s">
        <v>19</v>
      </c>
      <c r="K48" s="1" t="s">
        <v>25</v>
      </c>
      <c r="L48" s="1">
        <v>26.72</v>
      </c>
      <c r="M48" s="1" t="s">
        <v>21</v>
      </c>
      <c r="O48" s="1">
        <v>2319933.0</v>
      </c>
    </row>
    <row r="49">
      <c r="A49" s="1">
        <v>2711198.0</v>
      </c>
      <c r="B49" s="1" t="s">
        <v>1755</v>
      </c>
      <c r="C49" s="1" t="b">
        <v>0</v>
      </c>
      <c r="D49" s="1" t="b">
        <v>1</v>
      </c>
      <c r="E49" s="1" t="s">
        <v>1756</v>
      </c>
      <c r="F49" s="1" t="s">
        <v>1757</v>
      </c>
      <c r="G49" s="2">
        <f>+251930559786</f>
        <v>251930559786</v>
      </c>
      <c r="H49" s="1" t="s">
        <v>18</v>
      </c>
      <c r="I49" s="1" t="s">
        <v>19</v>
      </c>
      <c r="J49" s="1" t="s">
        <v>19</v>
      </c>
      <c r="K49" s="1" t="s">
        <v>25</v>
      </c>
      <c r="L49" s="1">
        <v>24.16</v>
      </c>
      <c r="M49" s="1" t="s">
        <v>26</v>
      </c>
      <c r="O49" s="1">
        <v>2.32537602266E11</v>
      </c>
    </row>
    <row r="50">
      <c r="A50" s="1">
        <v>2712109.0</v>
      </c>
      <c r="B50" s="1" t="s">
        <v>1758</v>
      </c>
      <c r="C50" s="1" t="b">
        <v>1</v>
      </c>
      <c r="D50" s="1" t="b">
        <v>1</v>
      </c>
      <c r="E50" s="1" t="s">
        <v>729</v>
      </c>
      <c r="F50" s="1" t="s">
        <v>319</v>
      </c>
      <c r="G50" s="2">
        <f>+251961549525</f>
        <v>251961549525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35.64</v>
      </c>
      <c r="M50" s="1" t="s">
        <v>21</v>
      </c>
      <c r="O50" s="1">
        <v>2.33133424859E11</v>
      </c>
    </row>
    <row r="51">
      <c r="A51" s="1">
        <v>2713764.0</v>
      </c>
      <c r="B51" s="1" t="s">
        <v>1759</v>
      </c>
      <c r="C51" s="1" t="b">
        <v>1</v>
      </c>
      <c r="D51" s="1" t="b">
        <v>1</v>
      </c>
      <c r="E51" s="1" t="s">
        <v>286</v>
      </c>
      <c r="F51" s="1" t="s">
        <v>1760</v>
      </c>
      <c r="G51" s="2">
        <f>+251985353099</f>
        <v>251985353099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22.52</v>
      </c>
      <c r="M51" s="1" t="s">
        <v>21</v>
      </c>
      <c r="O51" s="1">
        <v>5994397.0</v>
      </c>
    </row>
    <row r="52">
      <c r="A52" s="1">
        <v>2715312.0</v>
      </c>
      <c r="B52" s="1" t="s">
        <v>1761</v>
      </c>
      <c r="C52" s="1" t="b">
        <v>0</v>
      </c>
      <c r="D52" s="1" t="b">
        <v>1</v>
      </c>
      <c r="E52" s="1" t="s">
        <v>1762</v>
      </c>
      <c r="F52" s="1" t="s">
        <v>1763</v>
      </c>
      <c r="G52" s="2">
        <f>+251911760040</f>
        <v>251911760040</v>
      </c>
      <c r="H52" s="1" t="s">
        <v>18</v>
      </c>
      <c r="I52" s="1" t="s">
        <v>19</v>
      </c>
      <c r="J52" s="1" t="s">
        <v>19</v>
      </c>
      <c r="K52" s="1" t="s">
        <v>25</v>
      </c>
      <c r="L52" s="1">
        <v>24.26</v>
      </c>
      <c r="M52" s="1" t="s">
        <v>26</v>
      </c>
      <c r="O52" s="1">
        <v>2.34178003143E11</v>
      </c>
    </row>
    <row r="53">
      <c r="A53" s="1">
        <v>2715257.0</v>
      </c>
      <c r="B53" s="1" t="s">
        <v>1764</v>
      </c>
      <c r="C53" s="1" t="b">
        <v>1</v>
      </c>
      <c r="D53" s="1" t="b">
        <v>1</v>
      </c>
      <c r="E53" s="1" t="s">
        <v>867</v>
      </c>
      <c r="F53" s="1" t="s">
        <v>1765</v>
      </c>
      <c r="G53" s="1">
        <v>9.60282207E8</v>
      </c>
      <c r="H53" s="1" t="s">
        <v>18</v>
      </c>
      <c r="I53" s="1" t="s">
        <v>19</v>
      </c>
      <c r="J53" s="1" t="s">
        <v>19</v>
      </c>
      <c r="K53" s="1" t="s">
        <v>25</v>
      </c>
      <c r="L53" s="1">
        <v>26.39</v>
      </c>
      <c r="M53" s="1" t="s">
        <v>21</v>
      </c>
      <c r="O53" s="1">
        <v>2.34167413962E11</v>
      </c>
    </row>
    <row r="54">
      <c r="A54" s="1">
        <v>2715784.0</v>
      </c>
      <c r="B54" s="1" t="s">
        <v>1766</v>
      </c>
      <c r="C54" s="1" t="b">
        <v>1</v>
      </c>
      <c r="D54" s="1" t="b">
        <v>1</v>
      </c>
      <c r="E54" s="1" t="s">
        <v>1767</v>
      </c>
      <c r="F54" s="1" t="s">
        <v>1768</v>
      </c>
      <c r="G54" s="2">
        <f>+251968918465</f>
        <v>251968918465</v>
      </c>
      <c r="H54" s="1" t="s">
        <v>18</v>
      </c>
      <c r="I54" s="1" t="s">
        <v>19</v>
      </c>
      <c r="J54" s="1" t="s">
        <v>19</v>
      </c>
      <c r="K54" s="1" t="s">
        <v>20</v>
      </c>
      <c r="L54" s="1">
        <v>20.59</v>
      </c>
      <c r="M54" s="1" t="s">
        <v>21</v>
      </c>
      <c r="O54" s="1">
        <v>2.34243471582E11</v>
      </c>
    </row>
    <row r="55">
      <c r="A55" s="1">
        <v>2715801.0</v>
      </c>
      <c r="B55" s="1" t="s">
        <v>1769</v>
      </c>
      <c r="C55" s="1" t="b">
        <v>1</v>
      </c>
      <c r="D55" s="1" t="b">
        <v>1</v>
      </c>
      <c r="E55" s="1" t="s">
        <v>116</v>
      </c>
      <c r="F55" s="1" t="s">
        <v>1770</v>
      </c>
      <c r="G55" s="2">
        <f>+251928058005</f>
        <v>251928058005</v>
      </c>
      <c r="H55" s="1" t="s">
        <v>18</v>
      </c>
      <c r="I55" s="1" t="s">
        <v>19</v>
      </c>
      <c r="J55" s="1" t="s">
        <v>19</v>
      </c>
      <c r="K55" s="1" t="s">
        <v>25</v>
      </c>
      <c r="L55" s="1">
        <v>20.17</v>
      </c>
      <c r="M55" s="1" t="s">
        <v>21</v>
      </c>
    </row>
    <row r="56">
      <c r="A56" s="1">
        <v>2716110.0</v>
      </c>
      <c r="B56" s="1" t="s">
        <v>1771</v>
      </c>
      <c r="C56" s="1" t="b">
        <v>1</v>
      </c>
      <c r="D56" s="1" t="b">
        <v>1</v>
      </c>
      <c r="E56" s="1" t="s">
        <v>1772</v>
      </c>
      <c r="F56" s="1" t="s">
        <v>1773</v>
      </c>
      <c r="G56" s="2">
        <f>+251925906061</f>
        <v>251925906061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22.8</v>
      </c>
      <c r="M56" s="1" t="s">
        <v>33</v>
      </c>
      <c r="N56" s="1" t="s">
        <v>65</v>
      </c>
      <c r="O56" s="1">
        <v>535729.0</v>
      </c>
    </row>
    <row r="57">
      <c r="A57" s="1">
        <v>613603.0</v>
      </c>
      <c r="B57" s="1" t="s">
        <v>1774</v>
      </c>
      <c r="C57" s="1" t="b">
        <v>1</v>
      </c>
      <c r="D57" s="1" t="b">
        <v>1</v>
      </c>
      <c r="E57" s="1" t="s">
        <v>1775</v>
      </c>
      <c r="F57" s="1" t="s">
        <v>316</v>
      </c>
      <c r="G57" s="2">
        <f>+251936679199</f>
        <v>251936679199</v>
      </c>
      <c r="H57" s="1" t="s">
        <v>18</v>
      </c>
      <c r="I57" s="1" t="s">
        <v>19</v>
      </c>
      <c r="J57" s="1" t="s">
        <v>19</v>
      </c>
      <c r="K57" s="1" t="s">
        <v>20</v>
      </c>
      <c r="L57" s="1">
        <v>26.43</v>
      </c>
      <c r="M57" s="1" t="s">
        <v>21</v>
      </c>
      <c r="O57" s="1">
        <v>8749417.0</v>
      </c>
    </row>
    <row r="58">
      <c r="A58" s="1">
        <v>2716627.0</v>
      </c>
      <c r="B58" s="1" t="s">
        <v>1776</v>
      </c>
      <c r="C58" s="1" t="b">
        <v>0</v>
      </c>
      <c r="D58" s="1" t="b">
        <v>1</v>
      </c>
      <c r="E58" s="1" t="s">
        <v>1777</v>
      </c>
      <c r="F58" s="1" t="s">
        <v>1778</v>
      </c>
      <c r="G58" s="2">
        <f>+251921110650</f>
        <v>251921110650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44.51</v>
      </c>
      <c r="M58" s="1" t="s">
        <v>26</v>
      </c>
      <c r="O58" s="1">
        <v>2.34498371776E11</v>
      </c>
    </row>
    <row r="59">
      <c r="A59" s="1">
        <v>2717488.0</v>
      </c>
      <c r="B59" s="1" t="s">
        <v>1779</v>
      </c>
      <c r="C59" s="1" t="b">
        <v>1</v>
      </c>
      <c r="D59" s="1" t="b">
        <v>1</v>
      </c>
      <c r="E59" s="1" t="s">
        <v>1780</v>
      </c>
      <c r="F59" s="1" t="s">
        <v>1781</v>
      </c>
      <c r="G59" s="2">
        <f>+251953606092</f>
        <v>251953606092</v>
      </c>
      <c r="H59" s="1" t="s">
        <v>72</v>
      </c>
      <c r="I59" s="1" t="s">
        <v>19</v>
      </c>
      <c r="J59" s="1" t="s">
        <v>19</v>
      </c>
      <c r="K59" s="1" t="s">
        <v>25</v>
      </c>
      <c r="L59" s="1">
        <v>20.57</v>
      </c>
      <c r="M59" s="1" t="s">
        <v>21</v>
      </c>
      <c r="O59" s="1">
        <v>2.34608963827E11</v>
      </c>
    </row>
    <row r="60">
      <c r="A60" s="1">
        <v>2717554.0</v>
      </c>
      <c r="B60" s="1" t="s">
        <v>1782</v>
      </c>
      <c r="C60" s="1" t="b">
        <v>1</v>
      </c>
      <c r="D60" s="1" t="b">
        <v>1</v>
      </c>
      <c r="E60" s="1" t="s">
        <v>474</v>
      </c>
      <c r="F60" s="1" t="s">
        <v>1783</v>
      </c>
      <c r="G60" s="2">
        <f>+251917128077</f>
        <v>251917128077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18.69</v>
      </c>
      <c r="M60" s="1" t="s">
        <v>21</v>
      </c>
      <c r="O60" s="1">
        <v>2.34615699679E11</v>
      </c>
    </row>
    <row r="61">
      <c r="A61" s="1">
        <v>2717884.0</v>
      </c>
      <c r="B61" s="1" t="s">
        <v>1784</v>
      </c>
      <c r="C61" s="1" t="b">
        <v>1</v>
      </c>
      <c r="D61" s="1" t="b">
        <v>1</v>
      </c>
      <c r="E61" s="1" t="s">
        <v>23</v>
      </c>
      <c r="F61" s="1" t="s">
        <v>1785</v>
      </c>
      <c r="G61" s="2">
        <f>+251915755444</f>
        <v>251915755444</v>
      </c>
      <c r="H61" s="1" t="s">
        <v>138</v>
      </c>
      <c r="I61" s="1" t="s">
        <v>19</v>
      </c>
      <c r="J61" s="1" t="s">
        <v>19</v>
      </c>
      <c r="K61" s="1" t="s">
        <v>25</v>
      </c>
      <c r="L61" s="1">
        <v>27.64</v>
      </c>
      <c r="M61" s="1" t="s">
        <v>21</v>
      </c>
      <c r="O61" s="1">
        <v>2.34670054613E11</v>
      </c>
    </row>
    <row r="62">
      <c r="A62" s="1">
        <v>2717992.0</v>
      </c>
      <c r="B62" s="1" t="s">
        <v>1786</v>
      </c>
      <c r="C62" s="1" t="b">
        <v>1</v>
      </c>
      <c r="D62" s="1" t="b">
        <v>1</v>
      </c>
      <c r="E62" s="1" t="s">
        <v>1304</v>
      </c>
      <c r="F62" s="1" t="s">
        <v>1787</v>
      </c>
      <c r="G62" s="2">
        <f>+251930611597</f>
        <v>251930611597</v>
      </c>
      <c r="H62" s="1" t="s">
        <v>58</v>
      </c>
      <c r="I62" s="1" t="s">
        <v>19</v>
      </c>
      <c r="J62" s="1" t="s">
        <v>19</v>
      </c>
      <c r="K62" s="1" t="s">
        <v>25</v>
      </c>
      <c r="L62" s="1">
        <v>23.07</v>
      </c>
      <c r="M62" s="1" t="s">
        <v>21</v>
      </c>
      <c r="O62" s="1">
        <v>2.34677980401E11</v>
      </c>
    </row>
    <row r="63">
      <c r="A63" s="1">
        <v>433052.0</v>
      </c>
      <c r="B63" s="1" t="s">
        <v>1788</v>
      </c>
      <c r="C63" s="1" t="b">
        <v>1</v>
      </c>
      <c r="D63" s="1" t="b">
        <v>1</v>
      </c>
      <c r="E63" s="1" t="s">
        <v>184</v>
      </c>
      <c r="F63" s="1" t="s">
        <v>424</v>
      </c>
      <c r="G63" s="1">
        <v>9.01231362E8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21.81</v>
      </c>
      <c r="M63" s="1" t="s">
        <v>21</v>
      </c>
      <c r="O63" s="1">
        <v>2.808633E7</v>
      </c>
    </row>
    <row r="64">
      <c r="A64" s="1">
        <v>2718693.0</v>
      </c>
      <c r="B64" s="1" t="s">
        <v>1789</v>
      </c>
      <c r="C64" s="1" t="b">
        <v>1</v>
      </c>
      <c r="D64" s="1" t="b">
        <v>1</v>
      </c>
      <c r="E64" s="1" t="s">
        <v>910</v>
      </c>
      <c r="F64" s="1" t="s">
        <v>1790</v>
      </c>
      <c r="G64" s="2">
        <f>+251929649207</f>
        <v>251929649207</v>
      </c>
      <c r="H64" s="1" t="s">
        <v>93</v>
      </c>
      <c r="I64" s="1" t="s">
        <v>19</v>
      </c>
      <c r="J64" s="1" t="s">
        <v>19</v>
      </c>
      <c r="K64" s="1" t="s">
        <v>25</v>
      </c>
      <c r="L64" s="1">
        <v>21.37</v>
      </c>
      <c r="M64" s="1" t="s">
        <v>21</v>
      </c>
    </row>
    <row r="65">
      <c r="A65" s="1">
        <v>2719060.0</v>
      </c>
      <c r="B65" s="1" t="s">
        <v>1791</v>
      </c>
      <c r="C65" s="1" t="b">
        <v>1</v>
      </c>
      <c r="D65" s="1" t="b">
        <v>1</v>
      </c>
      <c r="E65" s="1" t="s">
        <v>1792</v>
      </c>
      <c r="F65" s="1" t="s">
        <v>545</v>
      </c>
      <c r="G65" s="2">
        <f>+251993094185</f>
        <v>251993094185</v>
      </c>
      <c r="H65" s="1" t="s">
        <v>1410</v>
      </c>
      <c r="I65" s="1" t="s">
        <v>19</v>
      </c>
      <c r="J65" s="1" t="s">
        <v>19</v>
      </c>
      <c r="K65" s="1" t="s">
        <v>20</v>
      </c>
      <c r="L65" s="1">
        <v>22.04</v>
      </c>
      <c r="M65" s="1" t="s">
        <v>33</v>
      </c>
      <c r="N65" s="1" t="s">
        <v>65</v>
      </c>
      <c r="O65" s="1">
        <v>2.34943486171E11</v>
      </c>
    </row>
    <row r="66">
      <c r="A66" s="1">
        <v>2719046.0</v>
      </c>
      <c r="B66" s="1" t="s">
        <v>1793</v>
      </c>
      <c r="C66" s="1" t="b">
        <v>1</v>
      </c>
      <c r="D66" s="1" t="b">
        <v>1</v>
      </c>
      <c r="E66" s="1" t="s">
        <v>333</v>
      </c>
      <c r="F66" s="1" t="s">
        <v>1794</v>
      </c>
      <c r="G66" s="2">
        <f>+251970593635</f>
        <v>251970593635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29.71</v>
      </c>
      <c r="M66" s="1" t="s">
        <v>21</v>
      </c>
      <c r="O66" s="1">
        <v>579948.0</v>
      </c>
    </row>
    <row r="67">
      <c r="A67" s="1">
        <v>2719281.0</v>
      </c>
      <c r="B67" s="1" t="s">
        <v>1795</v>
      </c>
      <c r="C67" s="1" t="b">
        <v>1</v>
      </c>
      <c r="D67" s="1" t="b">
        <v>1</v>
      </c>
      <c r="E67" s="1" t="s">
        <v>1796</v>
      </c>
      <c r="F67" s="1" t="s">
        <v>238</v>
      </c>
      <c r="G67" s="2">
        <f>+251996578420</f>
        <v>251996578420</v>
      </c>
      <c r="H67" s="1" t="s">
        <v>488</v>
      </c>
      <c r="I67" s="1" t="s">
        <v>19</v>
      </c>
      <c r="J67" s="1" t="s">
        <v>19</v>
      </c>
      <c r="K67" s="1" t="s">
        <v>20</v>
      </c>
      <c r="L67" s="1">
        <v>20.52</v>
      </c>
      <c r="M67" s="1" t="s">
        <v>21</v>
      </c>
      <c r="O67" s="1">
        <v>2.34977246402E11</v>
      </c>
    </row>
    <row r="68">
      <c r="A68" s="1">
        <v>2719422.0</v>
      </c>
      <c r="B68" s="1" t="s">
        <v>1797</v>
      </c>
      <c r="C68" s="1" t="b">
        <v>1</v>
      </c>
      <c r="D68" s="1" t="b">
        <v>1</v>
      </c>
      <c r="E68" s="1" t="s">
        <v>996</v>
      </c>
      <c r="F68" s="1" t="s">
        <v>1798</v>
      </c>
      <c r="G68" s="2">
        <f>+251910980990</f>
        <v>251910980990</v>
      </c>
      <c r="H68" s="1" t="s">
        <v>18</v>
      </c>
      <c r="I68" s="1" t="s">
        <v>19</v>
      </c>
      <c r="J68" s="1" t="s">
        <v>19</v>
      </c>
      <c r="K68" s="1" t="s">
        <v>25</v>
      </c>
      <c r="L68" s="1">
        <v>34.07</v>
      </c>
      <c r="M68" s="1" t="s">
        <v>21</v>
      </c>
      <c r="O68" s="1">
        <v>2.3498479538E11</v>
      </c>
    </row>
    <row r="69">
      <c r="A69" s="1">
        <v>2719426.0</v>
      </c>
      <c r="B69" s="1" t="s">
        <v>1799</v>
      </c>
      <c r="C69" s="1" t="b">
        <v>0</v>
      </c>
      <c r="D69" s="1" t="b">
        <v>1</v>
      </c>
      <c r="E69" s="1" t="s">
        <v>110</v>
      </c>
      <c r="F69" s="1" t="s">
        <v>1164</v>
      </c>
      <c r="G69" s="2">
        <f>+251925834665</f>
        <v>251925834665</v>
      </c>
      <c r="H69" s="1" t="s">
        <v>58</v>
      </c>
      <c r="I69" s="1" t="s">
        <v>19</v>
      </c>
      <c r="J69" s="1" t="s">
        <v>19</v>
      </c>
      <c r="K69" s="1" t="s">
        <v>25</v>
      </c>
      <c r="L69" s="1">
        <v>21.87</v>
      </c>
      <c r="M69" s="1" t="s">
        <v>26</v>
      </c>
      <c r="O69" s="1">
        <v>2.34985588984E11</v>
      </c>
    </row>
    <row r="70">
      <c r="A70" s="1">
        <v>2719668.0</v>
      </c>
      <c r="B70" s="1" t="s">
        <v>1800</v>
      </c>
      <c r="C70" s="1" t="b">
        <v>1</v>
      </c>
      <c r="D70" s="1" t="b">
        <v>1</v>
      </c>
      <c r="E70" s="1" t="s">
        <v>1801</v>
      </c>
      <c r="F70" s="1" t="s">
        <v>815</v>
      </c>
      <c r="G70" s="2">
        <f>+251934360209</f>
        <v>251934360209</v>
      </c>
      <c r="H70" s="1" t="s">
        <v>18</v>
      </c>
      <c r="I70" s="1" t="s">
        <v>19</v>
      </c>
      <c r="J70" s="1" t="s">
        <v>19</v>
      </c>
      <c r="K70" s="1" t="s">
        <v>20</v>
      </c>
      <c r="L70" s="1">
        <v>24.1</v>
      </c>
      <c r="M70" s="1" t="s">
        <v>21</v>
      </c>
      <c r="O70" s="1">
        <v>2.35067252934E11</v>
      </c>
    </row>
    <row r="71">
      <c r="A71" s="1">
        <v>1066710.0</v>
      </c>
      <c r="B71" s="1" t="s">
        <v>1802</v>
      </c>
      <c r="C71" s="1" t="b">
        <v>1</v>
      </c>
      <c r="D71" s="1" t="b">
        <v>1</v>
      </c>
      <c r="E71" s="1" t="s">
        <v>1803</v>
      </c>
      <c r="F71" s="1" t="s">
        <v>130</v>
      </c>
      <c r="G71" s="2">
        <f>+251918593663</f>
        <v>251918593663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31.89</v>
      </c>
      <c r="M71" s="1" t="s">
        <v>21</v>
      </c>
      <c r="O71" s="1">
        <v>6.475176914E9</v>
      </c>
    </row>
    <row r="72">
      <c r="A72" s="1">
        <v>2721329.0</v>
      </c>
      <c r="B72" s="1" t="s">
        <v>1804</v>
      </c>
      <c r="C72" s="1" t="b">
        <v>0</v>
      </c>
      <c r="D72" s="1" t="b">
        <v>1</v>
      </c>
      <c r="E72" s="1" t="s">
        <v>1069</v>
      </c>
      <c r="F72" s="1" t="s">
        <v>859</v>
      </c>
      <c r="G72" s="2">
        <f>+251938825245</f>
        <v>251938825245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22.06</v>
      </c>
      <c r="M72" s="1" t="s">
        <v>33</v>
      </c>
      <c r="N72" s="1" t="s">
        <v>235</v>
      </c>
      <c r="O72" s="1">
        <v>2.35337634015E11</v>
      </c>
    </row>
    <row r="73">
      <c r="A73" s="1">
        <v>2721366.0</v>
      </c>
      <c r="B73" s="1" t="s">
        <v>1805</v>
      </c>
      <c r="C73" s="1" t="b">
        <v>1</v>
      </c>
      <c r="D73" s="1" t="b">
        <v>1</v>
      </c>
      <c r="E73" s="1" t="s">
        <v>1806</v>
      </c>
      <c r="F73" s="1" t="s">
        <v>1807</v>
      </c>
      <c r="G73" s="2">
        <f>+251983525923</f>
        <v>251983525923</v>
      </c>
      <c r="H73" s="1" t="s">
        <v>335</v>
      </c>
      <c r="I73" s="1" t="s">
        <v>19</v>
      </c>
      <c r="J73" s="1" t="s">
        <v>19</v>
      </c>
      <c r="K73" s="1" t="s">
        <v>25</v>
      </c>
      <c r="L73" s="1">
        <v>24.86</v>
      </c>
      <c r="M73" s="1" t="s">
        <v>21</v>
      </c>
      <c r="O73" s="1">
        <v>6852003.0</v>
      </c>
    </row>
    <row r="74">
      <c r="A74" s="1">
        <v>2721585.0</v>
      </c>
      <c r="B74" s="1" t="s">
        <v>1808</v>
      </c>
      <c r="C74" s="1" t="b">
        <v>1</v>
      </c>
      <c r="D74" s="1" t="b">
        <v>1</v>
      </c>
      <c r="E74" s="1" t="s">
        <v>1809</v>
      </c>
      <c r="F74" s="1" t="s">
        <v>1810</v>
      </c>
      <c r="G74" s="2">
        <f>+251919388772</f>
        <v>251919388772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24.25</v>
      </c>
      <c r="M74" s="1" t="s">
        <v>21</v>
      </c>
      <c r="O74" s="1">
        <v>2.35410774215E11</v>
      </c>
    </row>
    <row r="75">
      <c r="A75" s="1">
        <v>2721620.0</v>
      </c>
      <c r="B75" s="1" t="s">
        <v>1811</v>
      </c>
      <c r="C75" s="1" t="b">
        <v>1</v>
      </c>
      <c r="D75" s="1" t="b">
        <v>1</v>
      </c>
      <c r="E75" s="1" t="s">
        <v>1812</v>
      </c>
      <c r="F75" s="1" t="s">
        <v>1813</v>
      </c>
      <c r="G75" s="2">
        <f>+251916517057</f>
        <v>251916517057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26.44</v>
      </c>
      <c r="M75" s="1" t="s">
        <v>33</v>
      </c>
      <c r="N75" s="1" t="s">
        <v>177</v>
      </c>
    </row>
    <row r="76">
      <c r="A76" s="1">
        <v>2356213.0</v>
      </c>
      <c r="B76" s="1" t="s">
        <v>1814</v>
      </c>
      <c r="C76" s="1" t="b">
        <v>1</v>
      </c>
      <c r="D76" s="1" t="b">
        <v>1</v>
      </c>
      <c r="E76" s="1" t="s">
        <v>1815</v>
      </c>
      <c r="F76" s="1" t="s">
        <v>328</v>
      </c>
      <c r="G76" s="2">
        <f>+251703516609</f>
        <v>251703516609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23.23</v>
      </c>
      <c r="M76" s="1" t="s">
        <v>21</v>
      </c>
      <c r="O76" s="1">
        <v>3.9483577058E10</v>
      </c>
    </row>
    <row r="77">
      <c r="A77" s="1">
        <v>1515323.0</v>
      </c>
      <c r="B77" s="1" t="s">
        <v>1816</v>
      </c>
      <c r="C77" s="1" t="b">
        <v>1</v>
      </c>
      <c r="D77" s="1" t="b">
        <v>1</v>
      </c>
      <c r="E77" s="1" t="s">
        <v>1817</v>
      </c>
      <c r="F77" s="1" t="s">
        <v>1077</v>
      </c>
      <c r="G77" s="2">
        <f>+251904628732</f>
        <v>251904628732</v>
      </c>
      <c r="H77" s="1" t="s">
        <v>18</v>
      </c>
      <c r="I77" s="1" t="s">
        <v>19</v>
      </c>
      <c r="J77" s="1" t="s">
        <v>19</v>
      </c>
      <c r="K77" s="1" t="s">
        <v>20</v>
      </c>
      <c r="L77" s="1">
        <v>26.47</v>
      </c>
      <c r="M77" s="1" t="s">
        <v>21</v>
      </c>
      <c r="O77" s="1">
        <v>1.1822173E7</v>
      </c>
    </row>
    <row r="78">
      <c r="A78" s="1">
        <v>375561.0</v>
      </c>
      <c r="B78" s="1" t="s">
        <v>1818</v>
      </c>
      <c r="C78" s="1" t="b">
        <v>1</v>
      </c>
      <c r="D78" s="1" t="b">
        <v>1</v>
      </c>
      <c r="E78" s="1" t="s">
        <v>1819</v>
      </c>
      <c r="F78" s="1" t="s">
        <v>1820</v>
      </c>
      <c r="G78" s="2">
        <f>+251941388340</f>
        <v>251941388340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23.36</v>
      </c>
      <c r="M78" s="1" t="s">
        <v>21</v>
      </c>
      <c r="O78" s="1">
        <v>755246.0</v>
      </c>
    </row>
    <row r="79">
      <c r="A79" s="1">
        <v>2404284.0</v>
      </c>
      <c r="B79" s="1" t="s">
        <v>1821</v>
      </c>
      <c r="C79" s="1" t="b">
        <v>1</v>
      </c>
      <c r="D79" s="1" t="b">
        <v>1</v>
      </c>
      <c r="E79" s="1" t="s">
        <v>935</v>
      </c>
      <c r="F79" s="1" t="s">
        <v>1822</v>
      </c>
      <c r="G79" s="1">
        <v>9.31088792E8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24.3</v>
      </c>
      <c r="M79" s="1" t="s">
        <v>21</v>
      </c>
      <c r="O79" s="1">
        <v>595307.0</v>
      </c>
    </row>
    <row r="80">
      <c r="A80" s="1">
        <v>2722825.0</v>
      </c>
      <c r="B80" s="1" t="s">
        <v>1823</v>
      </c>
      <c r="C80" s="1" t="b">
        <v>1</v>
      </c>
      <c r="D80" s="1" t="b">
        <v>1</v>
      </c>
      <c r="E80" s="1" t="s">
        <v>51</v>
      </c>
      <c r="F80" s="1" t="s">
        <v>1824</v>
      </c>
      <c r="G80" s="2">
        <f>+251910255822</f>
        <v>251910255822</v>
      </c>
      <c r="H80" s="1" t="s">
        <v>18</v>
      </c>
      <c r="I80" s="1" t="s">
        <v>19</v>
      </c>
      <c r="J80" s="1" t="s">
        <v>19</v>
      </c>
      <c r="K80" s="1" t="s">
        <v>25</v>
      </c>
      <c r="L80" s="1">
        <v>28.22</v>
      </c>
      <c r="M80" s="1" t="s">
        <v>33</v>
      </c>
      <c r="N80" s="1" t="s">
        <v>235</v>
      </c>
      <c r="O80" s="1">
        <v>2.35600901329E11</v>
      </c>
    </row>
    <row r="81">
      <c r="A81" s="1">
        <v>2723929.0</v>
      </c>
      <c r="B81" s="1" t="s">
        <v>1825</v>
      </c>
      <c r="C81" s="1" t="b">
        <v>1</v>
      </c>
      <c r="D81" s="1" t="b">
        <v>1</v>
      </c>
      <c r="E81" s="1" t="s">
        <v>1826</v>
      </c>
      <c r="F81" s="1" t="s">
        <v>1827</v>
      </c>
      <c r="G81" s="2">
        <f>+251913597407</f>
        <v>251913597407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38.94</v>
      </c>
      <c r="M81" s="1" t="s">
        <v>21</v>
      </c>
      <c r="O81" s="1">
        <v>2.35850366185E11</v>
      </c>
    </row>
    <row r="82">
      <c r="A82" s="1">
        <v>2724885.0</v>
      </c>
      <c r="B82" s="1" t="s">
        <v>1828</v>
      </c>
      <c r="C82" s="1" t="b">
        <v>0</v>
      </c>
      <c r="D82" s="1" t="b">
        <v>1</v>
      </c>
      <c r="E82" s="1" t="s">
        <v>1829</v>
      </c>
      <c r="F82" s="1" t="s">
        <v>272</v>
      </c>
      <c r="G82" s="2">
        <f>+251975304998</f>
        <v>251975304998</v>
      </c>
      <c r="H82" s="1" t="s">
        <v>72</v>
      </c>
      <c r="I82" s="1" t="s">
        <v>19</v>
      </c>
      <c r="J82" s="1" t="s">
        <v>19</v>
      </c>
      <c r="K82" s="1" t="s">
        <v>25</v>
      </c>
      <c r="L82" s="1">
        <v>20.52</v>
      </c>
      <c r="M82" s="1" t="s">
        <v>33</v>
      </c>
      <c r="N82" s="1" t="s">
        <v>118</v>
      </c>
      <c r="O82" s="1">
        <v>2.36188745925E11</v>
      </c>
    </row>
    <row r="83">
      <c r="A83" s="1">
        <v>2725035.0</v>
      </c>
      <c r="B83" s="1" t="s">
        <v>1830</v>
      </c>
      <c r="C83" s="1" t="b">
        <v>1</v>
      </c>
      <c r="D83" s="1" t="b">
        <v>1</v>
      </c>
      <c r="E83" s="1" t="s">
        <v>184</v>
      </c>
      <c r="F83" s="1" t="s">
        <v>633</v>
      </c>
      <c r="G83" s="2">
        <f>+251967232610</f>
        <v>251967232610</v>
      </c>
      <c r="H83" s="1" t="s">
        <v>18</v>
      </c>
      <c r="I83" s="1" t="s">
        <v>19</v>
      </c>
      <c r="J83" s="1" t="s">
        <v>19</v>
      </c>
      <c r="K83" s="1" t="s">
        <v>25</v>
      </c>
      <c r="L83" s="1">
        <v>21.14</v>
      </c>
      <c r="M83" s="1" t="s">
        <v>21</v>
      </c>
    </row>
    <row r="84">
      <c r="A84" s="1">
        <v>2725173.0</v>
      </c>
      <c r="B84" s="1" t="s">
        <v>1831</v>
      </c>
      <c r="C84" s="1" t="b">
        <v>1</v>
      </c>
      <c r="D84" s="1" t="b">
        <v>1</v>
      </c>
      <c r="E84" s="1" t="s">
        <v>1230</v>
      </c>
      <c r="F84" s="1" t="s">
        <v>1832</v>
      </c>
      <c r="G84" s="2">
        <f>+251938649925</f>
        <v>251938649925</v>
      </c>
      <c r="H84" s="1" t="s">
        <v>18</v>
      </c>
      <c r="I84" s="1" t="s">
        <v>19</v>
      </c>
      <c r="J84" s="1" t="s">
        <v>19</v>
      </c>
      <c r="K84" s="1" t="s">
        <v>25</v>
      </c>
      <c r="L84" s="1">
        <v>24.37</v>
      </c>
      <c r="M84" s="1" t="s">
        <v>21</v>
      </c>
      <c r="O84" s="1">
        <v>2.3197067E7</v>
      </c>
    </row>
    <row r="85">
      <c r="A85" s="1">
        <v>2725311.0</v>
      </c>
      <c r="B85" s="1" t="s">
        <v>1833</v>
      </c>
      <c r="C85" s="1" t="b">
        <v>1</v>
      </c>
      <c r="D85" s="1" t="b">
        <v>1</v>
      </c>
      <c r="E85" s="1" t="s">
        <v>1834</v>
      </c>
      <c r="F85" s="1" t="s">
        <v>543</v>
      </c>
      <c r="G85" s="2">
        <f>+251922147859</f>
        <v>251922147859</v>
      </c>
      <c r="H85" s="1" t="s">
        <v>18</v>
      </c>
      <c r="I85" s="1" t="s">
        <v>19</v>
      </c>
      <c r="J85" s="1" t="s">
        <v>19</v>
      </c>
      <c r="K85" s="1" t="s">
        <v>20</v>
      </c>
      <c r="L85" s="1">
        <v>26.13</v>
      </c>
      <c r="M85" s="1" t="s">
        <v>21</v>
      </c>
    </row>
    <row r="86">
      <c r="A86" s="1">
        <v>2725434.0</v>
      </c>
      <c r="B86" s="1" t="s">
        <v>1835</v>
      </c>
      <c r="C86" s="1" t="b">
        <v>1</v>
      </c>
      <c r="D86" s="1" t="b">
        <v>1</v>
      </c>
      <c r="E86" s="1" t="s">
        <v>758</v>
      </c>
      <c r="F86" s="1" t="s">
        <v>1836</v>
      </c>
      <c r="G86" s="2">
        <f>+251938182708</f>
        <v>251938182708</v>
      </c>
      <c r="H86" s="1" t="s">
        <v>18</v>
      </c>
      <c r="I86" s="1" t="s">
        <v>19</v>
      </c>
      <c r="J86" s="1" t="s">
        <v>19</v>
      </c>
      <c r="K86" s="1" t="s">
        <v>25</v>
      </c>
      <c r="L86" s="1">
        <v>20.99</v>
      </c>
      <c r="M86" s="1" t="s">
        <v>21</v>
      </c>
    </row>
    <row r="87">
      <c r="A87" s="1">
        <v>2725922.0</v>
      </c>
      <c r="B87" s="1" t="s">
        <v>1837</v>
      </c>
      <c r="C87" s="1" t="b">
        <v>1</v>
      </c>
      <c r="D87" s="1" t="b">
        <v>1</v>
      </c>
      <c r="E87" s="1" t="s">
        <v>370</v>
      </c>
      <c r="F87" s="1" t="s">
        <v>358</v>
      </c>
      <c r="G87" s="2">
        <f>+251927689249</f>
        <v>251927689249</v>
      </c>
      <c r="H87" s="1" t="s">
        <v>392</v>
      </c>
      <c r="I87" s="1" t="s">
        <v>19</v>
      </c>
      <c r="J87" s="1" t="s">
        <v>19</v>
      </c>
      <c r="K87" s="1" t="s">
        <v>25</v>
      </c>
      <c r="L87" s="1">
        <v>30.4</v>
      </c>
      <c r="M87" s="1" t="s">
        <v>21</v>
      </c>
      <c r="O87" s="1">
        <v>8734599.0</v>
      </c>
    </row>
    <row r="88">
      <c r="A88" s="1">
        <v>228750.0</v>
      </c>
      <c r="B88" s="1" t="s">
        <v>1838</v>
      </c>
      <c r="C88" s="1" t="b">
        <v>1</v>
      </c>
      <c r="D88" s="1" t="b">
        <v>1</v>
      </c>
      <c r="E88" s="1" t="s">
        <v>1839</v>
      </c>
      <c r="F88" s="1" t="s">
        <v>141</v>
      </c>
      <c r="G88" s="2">
        <f>+971501230556</f>
        <v>971501230556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29.03</v>
      </c>
      <c r="M88" s="1" t="s">
        <v>21</v>
      </c>
      <c r="O88" s="1">
        <v>3387549.0</v>
      </c>
    </row>
    <row r="89">
      <c r="A89" s="1">
        <v>2728186.0</v>
      </c>
      <c r="B89" s="1" t="s">
        <v>1840</v>
      </c>
      <c r="C89" s="1" t="b">
        <v>1</v>
      </c>
      <c r="D89" s="1" t="b">
        <v>1</v>
      </c>
      <c r="E89" s="1" t="s">
        <v>67</v>
      </c>
      <c r="F89" s="1" t="s">
        <v>1310</v>
      </c>
      <c r="G89" s="2">
        <f>+251940136911</f>
        <v>251940136911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21.94</v>
      </c>
      <c r="M89" s="1" t="s">
        <v>21</v>
      </c>
    </row>
    <row r="90">
      <c r="A90" s="1">
        <v>2721089.0</v>
      </c>
      <c r="B90" s="1" t="s">
        <v>1841</v>
      </c>
      <c r="C90" s="1" t="b">
        <v>1</v>
      </c>
      <c r="D90" s="1" t="b">
        <v>1</v>
      </c>
      <c r="E90" s="1" t="s">
        <v>286</v>
      </c>
      <c r="F90" s="1" t="s">
        <v>1842</v>
      </c>
      <c r="G90" s="2">
        <f>+251940534835</f>
        <v>251940534835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25.86</v>
      </c>
      <c r="M90" s="1" t="s">
        <v>33</v>
      </c>
      <c r="N90" s="1" t="s">
        <v>65</v>
      </c>
      <c r="O90" s="1">
        <v>1848941.0</v>
      </c>
    </row>
    <row r="91">
      <c r="A91" s="1">
        <v>2727843.0</v>
      </c>
      <c r="B91" s="1" t="s">
        <v>1843</v>
      </c>
      <c r="C91" s="1" t="b">
        <v>0</v>
      </c>
      <c r="D91" s="1" t="b">
        <v>1</v>
      </c>
      <c r="E91" s="1" t="s">
        <v>1844</v>
      </c>
      <c r="F91" s="1" t="s">
        <v>1845</v>
      </c>
      <c r="G91" s="2">
        <f>+251961420449</f>
        <v>251961420449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26.63</v>
      </c>
      <c r="M91" s="1" t="s">
        <v>26</v>
      </c>
      <c r="O91" s="1">
        <v>2.36992952555E11</v>
      </c>
    </row>
    <row r="92">
      <c r="A92" s="1">
        <v>2729603.0</v>
      </c>
      <c r="B92" s="1" t="s">
        <v>1846</v>
      </c>
      <c r="C92" s="1" t="b">
        <v>1</v>
      </c>
      <c r="D92" s="1" t="b">
        <v>1</v>
      </c>
      <c r="E92" s="1" t="s">
        <v>390</v>
      </c>
      <c r="F92" s="1" t="s">
        <v>601</v>
      </c>
      <c r="G92" s="2">
        <f>+251948041248</f>
        <v>251948041248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18.22</v>
      </c>
      <c r="M92" s="1" t="s">
        <v>33</v>
      </c>
      <c r="N92" s="1" t="s">
        <v>34</v>
      </c>
    </row>
    <row r="93">
      <c r="A93" s="1">
        <v>147376.0</v>
      </c>
      <c r="B93" s="1" t="s">
        <v>1847</v>
      </c>
      <c r="C93" s="1" t="b">
        <v>1</v>
      </c>
      <c r="D93" s="1" t="b">
        <v>1</v>
      </c>
      <c r="E93" s="1" t="s">
        <v>1848</v>
      </c>
      <c r="F93" s="1" t="s">
        <v>1849</v>
      </c>
      <c r="G93" s="1">
        <v>9.70368767E8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33.04</v>
      </c>
      <c r="M93" s="1" t="s">
        <v>21</v>
      </c>
      <c r="O93" s="1">
        <v>755216.0</v>
      </c>
    </row>
    <row r="94">
      <c r="A94" s="1">
        <v>2720657.0</v>
      </c>
      <c r="B94" s="1" t="s">
        <v>1850</v>
      </c>
      <c r="C94" s="1" t="b">
        <v>1</v>
      </c>
      <c r="D94" s="1" t="b">
        <v>1</v>
      </c>
      <c r="E94" s="1" t="s">
        <v>577</v>
      </c>
      <c r="F94" s="1" t="s">
        <v>1851</v>
      </c>
      <c r="G94" s="2">
        <f>+251936176491</f>
        <v>251936176491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13.22</v>
      </c>
      <c r="M94" s="1" t="s">
        <v>33</v>
      </c>
      <c r="N94" s="1" t="s">
        <v>65</v>
      </c>
      <c r="O94" s="1">
        <v>2.34566487233E11</v>
      </c>
    </row>
    <row r="95">
      <c r="A95" s="1">
        <v>2732389.0</v>
      </c>
      <c r="B95" s="1" t="s">
        <v>1852</v>
      </c>
      <c r="C95" s="1" t="b">
        <v>1</v>
      </c>
      <c r="D95" s="1" t="b">
        <v>1</v>
      </c>
      <c r="E95" s="1" t="s">
        <v>620</v>
      </c>
      <c r="F95" s="1" t="s">
        <v>45</v>
      </c>
      <c r="G95" s="2">
        <f>+251964349075</f>
        <v>251964349075</v>
      </c>
      <c r="H95" s="1" t="s">
        <v>18</v>
      </c>
      <c r="I95" s="1" t="s">
        <v>19</v>
      </c>
      <c r="J95" s="1" t="s">
        <v>19</v>
      </c>
      <c r="K95" s="1" t="s">
        <v>25</v>
      </c>
      <c r="L95" s="1">
        <v>26.95</v>
      </c>
      <c r="M95" s="1" t="s">
        <v>21</v>
      </c>
      <c r="O95" s="1">
        <v>8739734.0</v>
      </c>
    </row>
    <row r="96">
      <c r="A96" s="1">
        <v>2457755.0</v>
      </c>
      <c r="B96" s="1" t="s">
        <v>1853</v>
      </c>
      <c r="C96" s="1" t="b">
        <v>1</v>
      </c>
      <c r="D96" s="1" t="b">
        <v>1</v>
      </c>
      <c r="E96" s="1" t="s">
        <v>1854</v>
      </c>
      <c r="F96" s="1" t="s">
        <v>233</v>
      </c>
      <c r="G96" s="2">
        <f>+251946688717</f>
        <v>251946688717</v>
      </c>
      <c r="H96" s="1" t="s">
        <v>18</v>
      </c>
      <c r="I96" s="1" t="s">
        <v>19</v>
      </c>
      <c r="J96" s="1" t="s">
        <v>19</v>
      </c>
      <c r="K96" s="1" t="s">
        <v>25</v>
      </c>
      <c r="L96" s="1">
        <v>35.39</v>
      </c>
      <c r="M96" s="1" t="s">
        <v>21</v>
      </c>
    </row>
    <row r="97">
      <c r="A97" s="1">
        <v>2058604.0</v>
      </c>
      <c r="B97" s="1" t="s">
        <v>1855</v>
      </c>
      <c r="C97" s="1" t="b">
        <v>1</v>
      </c>
      <c r="D97" s="1" t="b">
        <v>1</v>
      </c>
      <c r="E97" s="1" t="s">
        <v>1856</v>
      </c>
      <c r="F97" s="1" t="s">
        <v>1651</v>
      </c>
      <c r="G97" s="2">
        <f>+251912767469</f>
        <v>251912767469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35.23</v>
      </c>
      <c r="M97" s="1" t="s">
        <v>33</v>
      </c>
      <c r="N97" s="1" t="s">
        <v>118</v>
      </c>
      <c r="O97" s="1">
        <v>1876577.0</v>
      </c>
    </row>
    <row r="98">
      <c r="A98" s="1">
        <v>2733883.0</v>
      </c>
      <c r="B98" s="1" t="s">
        <v>1857</v>
      </c>
      <c r="C98" s="1" t="b">
        <v>1</v>
      </c>
      <c r="D98" s="1" t="b">
        <v>1</v>
      </c>
      <c r="E98" s="1" t="s">
        <v>1376</v>
      </c>
      <c r="F98" s="1" t="s">
        <v>1858</v>
      </c>
      <c r="G98" s="2">
        <f>+251949209892</f>
        <v>251949209892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25.01</v>
      </c>
      <c r="M98" s="1" t="s">
        <v>21</v>
      </c>
      <c r="O98" s="1">
        <v>2.38999888064E11</v>
      </c>
    </row>
    <row r="99">
      <c r="A99" s="1">
        <v>327615.0</v>
      </c>
      <c r="B99" s="1" t="s">
        <v>1859</v>
      </c>
      <c r="C99" s="1" t="b">
        <v>1</v>
      </c>
      <c r="D99" s="1" t="b">
        <v>1</v>
      </c>
      <c r="E99" s="1" t="s">
        <v>490</v>
      </c>
      <c r="F99" s="1" t="s">
        <v>189</v>
      </c>
      <c r="G99" s="1">
        <v>9.33709148E8</v>
      </c>
      <c r="H99" s="1" t="s">
        <v>18</v>
      </c>
      <c r="I99" s="1" t="s">
        <v>19</v>
      </c>
      <c r="J99" s="1" t="s">
        <v>19</v>
      </c>
      <c r="K99" s="1" t="s">
        <v>20</v>
      </c>
      <c r="L99" s="1">
        <v>24.28</v>
      </c>
      <c r="M99" s="1" t="s">
        <v>21</v>
      </c>
      <c r="O99" s="1">
        <v>2.7435024E7</v>
      </c>
    </row>
    <row r="100">
      <c r="A100" s="1">
        <v>1279972.0</v>
      </c>
      <c r="B100" s="1" t="s">
        <v>1860</v>
      </c>
      <c r="C100" s="1" t="b">
        <v>1</v>
      </c>
      <c r="D100" s="1" t="b">
        <v>1</v>
      </c>
      <c r="E100" s="1" t="s">
        <v>1861</v>
      </c>
      <c r="F100" s="1" t="s">
        <v>1862</v>
      </c>
      <c r="G100" s="2">
        <f>+251983396303</f>
        <v>251983396303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27.25</v>
      </c>
      <c r="M100" s="1" t="s">
        <v>33</v>
      </c>
      <c r="N100" s="1" t="s">
        <v>177</v>
      </c>
      <c r="O100" s="1">
        <v>1845657.0</v>
      </c>
    </row>
    <row r="101">
      <c r="A101" s="1">
        <v>2736240.0</v>
      </c>
      <c r="B101" s="1" t="s">
        <v>1863</v>
      </c>
      <c r="C101" s="1" t="b">
        <v>1</v>
      </c>
      <c r="D101" s="1" t="b">
        <v>1</v>
      </c>
      <c r="E101" s="1" t="s">
        <v>1864</v>
      </c>
      <c r="F101" s="1" t="s">
        <v>1865</v>
      </c>
      <c r="G101" s="2">
        <f>+251904408470</f>
        <v>251904408470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22.01</v>
      </c>
      <c r="M101" s="1" t="s">
        <v>21</v>
      </c>
    </row>
    <row r="102">
      <c r="A102" s="1">
        <v>2736956.0</v>
      </c>
      <c r="B102" s="1" t="s">
        <v>1866</v>
      </c>
      <c r="C102" s="1" t="b">
        <v>1</v>
      </c>
      <c r="D102" s="1" t="b">
        <v>1</v>
      </c>
      <c r="E102" s="1" t="s">
        <v>433</v>
      </c>
      <c r="F102" s="1" t="s">
        <v>510</v>
      </c>
      <c r="G102" s="2">
        <f>+251907264226</f>
        <v>251907264226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23.8</v>
      </c>
      <c r="M102" s="1" t="s">
        <v>21</v>
      </c>
      <c r="O102" s="1">
        <v>2.39857316048E11</v>
      </c>
    </row>
    <row r="103">
      <c r="A103" s="1">
        <v>2736959.0</v>
      </c>
      <c r="B103" s="1" t="s">
        <v>1867</v>
      </c>
      <c r="C103" s="1" t="b">
        <v>1</v>
      </c>
      <c r="D103" s="1" t="b">
        <v>1</v>
      </c>
      <c r="E103" s="1" t="s">
        <v>1868</v>
      </c>
      <c r="F103" s="1" t="s">
        <v>1059</v>
      </c>
      <c r="G103" s="2">
        <f>+251920767880</f>
        <v>251920767880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37.4</v>
      </c>
      <c r="M103" s="1" t="s">
        <v>33</v>
      </c>
      <c r="N103" s="1" t="s">
        <v>65</v>
      </c>
      <c r="O103" s="1">
        <v>2.39852516545E11</v>
      </c>
    </row>
    <row r="104">
      <c r="A104" s="1">
        <v>192688.0</v>
      </c>
      <c r="B104" s="1" t="s">
        <v>1869</v>
      </c>
      <c r="C104" s="1" t="b">
        <v>1</v>
      </c>
      <c r="D104" s="1" t="b">
        <v>1</v>
      </c>
      <c r="E104" s="1" t="s">
        <v>184</v>
      </c>
      <c r="F104" s="1" t="s">
        <v>297</v>
      </c>
      <c r="G104" s="2">
        <f>+251976166204</f>
        <v>251976166204</v>
      </c>
      <c r="H104" s="1" t="s">
        <v>18</v>
      </c>
      <c r="I104" s="1" t="s">
        <v>19</v>
      </c>
      <c r="J104" s="1" t="s">
        <v>19</v>
      </c>
      <c r="K104" s="1" t="s">
        <v>25</v>
      </c>
      <c r="L104" s="1">
        <v>23.79</v>
      </c>
      <c r="M104" s="1" t="s">
        <v>21</v>
      </c>
      <c r="O104" s="1">
        <v>8781923.0</v>
      </c>
    </row>
    <row r="105">
      <c r="A105" s="1">
        <v>2737168.0</v>
      </c>
      <c r="B105" s="1" t="s">
        <v>1870</v>
      </c>
      <c r="C105" s="1" t="b">
        <v>1</v>
      </c>
      <c r="D105" s="1" t="b">
        <v>1</v>
      </c>
      <c r="E105" s="1" t="s">
        <v>1504</v>
      </c>
      <c r="F105" s="1" t="s">
        <v>238</v>
      </c>
      <c r="G105" s="2">
        <f>+251932940286</f>
        <v>251932940286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21.17</v>
      </c>
      <c r="M105" s="1" t="s">
        <v>21</v>
      </c>
      <c r="O105" s="1">
        <v>2.39945921778E11</v>
      </c>
    </row>
    <row r="106">
      <c r="A106" s="1">
        <v>2738447.0</v>
      </c>
      <c r="B106" s="1" t="s">
        <v>1871</v>
      </c>
      <c r="C106" s="1" t="b">
        <v>1</v>
      </c>
      <c r="D106" s="1" t="b">
        <v>1</v>
      </c>
      <c r="E106" s="1" t="s">
        <v>1826</v>
      </c>
      <c r="F106" s="1" t="s">
        <v>67</v>
      </c>
      <c r="G106" s="2">
        <f>+251911011289</f>
        <v>251911011289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36.09</v>
      </c>
      <c r="M106" s="1" t="s">
        <v>21</v>
      </c>
      <c r="O106" s="1">
        <v>2.4788061E7</v>
      </c>
    </row>
    <row r="107">
      <c r="A107" s="1">
        <v>2738785.0</v>
      </c>
      <c r="B107" s="1" t="s">
        <v>1872</v>
      </c>
      <c r="C107" s="1" t="b">
        <v>1</v>
      </c>
      <c r="D107" s="1" t="b">
        <v>1</v>
      </c>
      <c r="E107" s="1" t="s">
        <v>812</v>
      </c>
      <c r="F107" s="1" t="s">
        <v>108</v>
      </c>
      <c r="G107" s="2">
        <f>+251911525943</f>
        <v>251911525943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35.83</v>
      </c>
      <c r="M107" s="1" t="s">
        <v>21</v>
      </c>
    </row>
    <row r="108">
      <c r="A108" s="1">
        <v>238781.0</v>
      </c>
      <c r="B108" s="1" t="s">
        <v>1873</v>
      </c>
      <c r="C108" s="1" t="b">
        <v>1</v>
      </c>
      <c r="D108" s="1" t="b">
        <v>1</v>
      </c>
      <c r="E108" s="1" t="s">
        <v>1874</v>
      </c>
      <c r="F108" s="1" t="s">
        <v>839</v>
      </c>
      <c r="G108" s="2">
        <f>+251964345563</f>
        <v>251964345563</v>
      </c>
      <c r="H108" s="1" t="s">
        <v>18</v>
      </c>
      <c r="I108" s="1" t="s">
        <v>19</v>
      </c>
      <c r="J108" s="1" t="s">
        <v>19</v>
      </c>
      <c r="K108" s="1" t="s">
        <v>20</v>
      </c>
      <c r="L108" s="1">
        <v>28.74</v>
      </c>
      <c r="M108" s="1" t="s">
        <v>33</v>
      </c>
      <c r="N108" s="1" t="s">
        <v>177</v>
      </c>
      <c r="O108" s="1">
        <v>1857075.0</v>
      </c>
    </row>
    <row r="109">
      <c r="A109" s="1">
        <v>188703.0</v>
      </c>
      <c r="B109" s="1" t="s">
        <v>1875</v>
      </c>
      <c r="C109" s="1" t="b">
        <v>1</v>
      </c>
      <c r="D109" s="1" t="b">
        <v>1</v>
      </c>
      <c r="E109" s="1" t="s">
        <v>503</v>
      </c>
      <c r="F109" s="1" t="s">
        <v>1103</v>
      </c>
      <c r="G109" s="2">
        <f>+251933773934</f>
        <v>251933773934</v>
      </c>
      <c r="H109" s="1" t="s">
        <v>80</v>
      </c>
      <c r="I109" s="1" t="s">
        <v>19</v>
      </c>
      <c r="J109" s="1" t="s">
        <v>19</v>
      </c>
      <c r="K109" s="1" t="s">
        <v>25</v>
      </c>
      <c r="L109" s="1">
        <v>23.53</v>
      </c>
      <c r="M109" s="1" t="s">
        <v>33</v>
      </c>
      <c r="N109" s="1" t="s">
        <v>65</v>
      </c>
      <c r="O109" s="1">
        <v>2.6583235E7</v>
      </c>
    </row>
    <row r="110">
      <c r="A110" s="1">
        <v>1714285.0</v>
      </c>
      <c r="B110" s="1" t="s">
        <v>1876</v>
      </c>
      <c r="C110" s="1" t="b">
        <v>1</v>
      </c>
      <c r="D110" s="1" t="b">
        <v>1</v>
      </c>
      <c r="E110" s="1" t="s">
        <v>1877</v>
      </c>
      <c r="F110" s="1" t="s">
        <v>1878</v>
      </c>
      <c r="G110" s="2">
        <f>+251946900689</f>
        <v>251946900689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26.68</v>
      </c>
      <c r="M110" s="1" t="s">
        <v>21</v>
      </c>
    </row>
    <row r="111">
      <c r="A111" s="1">
        <v>2733812.0</v>
      </c>
      <c r="B111" s="1" t="s">
        <v>1879</v>
      </c>
      <c r="C111" s="1" t="b">
        <v>1</v>
      </c>
      <c r="D111" s="1" t="b">
        <v>1</v>
      </c>
      <c r="E111" s="1" t="s">
        <v>1880</v>
      </c>
      <c r="F111" s="1" t="s">
        <v>1881</v>
      </c>
      <c r="G111" s="2">
        <f>+251911420552</f>
        <v>251911420552</v>
      </c>
      <c r="H111" s="1" t="s">
        <v>18</v>
      </c>
      <c r="I111" s="1" t="s">
        <v>19</v>
      </c>
      <c r="J111" s="1" t="s">
        <v>19</v>
      </c>
      <c r="K111" s="1" t="s">
        <v>20</v>
      </c>
      <c r="L111" s="1">
        <v>38.49</v>
      </c>
      <c r="M111" s="1" t="s">
        <v>21</v>
      </c>
      <c r="O111" s="1">
        <v>2.38823424241E11</v>
      </c>
    </row>
    <row r="112">
      <c r="A112" s="1">
        <v>192188.0</v>
      </c>
      <c r="B112" s="1" t="s">
        <v>1882</v>
      </c>
      <c r="C112" s="1" t="b">
        <v>1</v>
      </c>
      <c r="D112" s="1" t="b">
        <v>0</v>
      </c>
      <c r="E112" s="1" t="s">
        <v>1504</v>
      </c>
      <c r="F112" s="1" t="s">
        <v>1883</v>
      </c>
      <c r="G112" s="2">
        <f>+251967434568</f>
        <v>251967434568</v>
      </c>
      <c r="H112" s="1" t="s">
        <v>18</v>
      </c>
      <c r="I112" s="1" t="s">
        <v>19</v>
      </c>
      <c r="J112" s="1" t="s">
        <v>19</v>
      </c>
      <c r="K112" s="1" t="s">
        <v>25</v>
      </c>
      <c r="L112" s="1">
        <v>28.19</v>
      </c>
      <c r="M112" s="1" t="s">
        <v>21</v>
      </c>
      <c r="O112" s="1">
        <v>2.096641E7</v>
      </c>
    </row>
    <row r="113">
      <c r="A113" s="1">
        <v>2741923.0</v>
      </c>
      <c r="B113" s="1" t="s">
        <v>1884</v>
      </c>
      <c r="C113" s="1" t="b">
        <v>1</v>
      </c>
      <c r="D113" s="1" t="b">
        <v>1</v>
      </c>
      <c r="E113" s="1" t="s">
        <v>846</v>
      </c>
      <c r="F113" s="1" t="s">
        <v>847</v>
      </c>
      <c r="G113" s="2">
        <f>+251919699666</f>
        <v>251919699666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24.09</v>
      </c>
      <c r="M113" s="1" t="s">
        <v>21</v>
      </c>
      <c r="O113" s="1">
        <v>2.41381338357E11</v>
      </c>
    </row>
    <row r="114">
      <c r="A114" s="1">
        <v>1831247.0</v>
      </c>
      <c r="B114" s="1" t="s">
        <v>1885</v>
      </c>
      <c r="C114" s="1" t="b">
        <v>1</v>
      </c>
      <c r="D114" s="1" t="b">
        <v>1</v>
      </c>
      <c r="E114" s="1" t="s">
        <v>591</v>
      </c>
      <c r="F114" s="1" t="s">
        <v>948</v>
      </c>
      <c r="G114" s="2">
        <f>+251982682879</f>
        <v>251982682879</v>
      </c>
      <c r="H114" s="1" t="s">
        <v>18</v>
      </c>
      <c r="I114" s="1" t="s">
        <v>19</v>
      </c>
      <c r="J114" s="1" t="s">
        <v>19</v>
      </c>
      <c r="K114" s="1" t="s">
        <v>25</v>
      </c>
      <c r="L114" s="1">
        <v>24.41</v>
      </c>
      <c r="M114" s="1" t="s">
        <v>21</v>
      </c>
      <c r="O114" s="1">
        <v>1628325.0</v>
      </c>
    </row>
    <row r="115">
      <c r="A115" s="1">
        <v>2742507.0</v>
      </c>
      <c r="B115" s="1" t="s">
        <v>1886</v>
      </c>
      <c r="C115" s="1" t="b">
        <v>1</v>
      </c>
      <c r="D115" s="1" t="b">
        <v>1</v>
      </c>
      <c r="E115" s="1" t="s">
        <v>1887</v>
      </c>
      <c r="F115" s="1" t="s">
        <v>141</v>
      </c>
      <c r="G115" s="2">
        <f>+251939587074</f>
        <v>251939587074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24.44</v>
      </c>
      <c r="M115" s="1" t="s">
        <v>33</v>
      </c>
      <c r="N115" s="1" t="s">
        <v>34</v>
      </c>
      <c r="O115" s="1">
        <v>2.41557849313E11</v>
      </c>
    </row>
    <row r="116">
      <c r="A116" s="1">
        <v>2743435.0</v>
      </c>
      <c r="B116" s="1" t="s">
        <v>1888</v>
      </c>
      <c r="C116" s="1" t="b">
        <v>0</v>
      </c>
      <c r="D116" s="1" t="b">
        <v>1</v>
      </c>
      <c r="E116" s="1" t="s">
        <v>1128</v>
      </c>
      <c r="F116" s="1" t="s">
        <v>1889</v>
      </c>
      <c r="G116" s="2">
        <f>+251978118074</f>
        <v>251978118074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22.71</v>
      </c>
      <c r="M116" s="1" t="s">
        <v>33</v>
      </c>
      <c r="N116" s="1" t="s">
        <v>166</v>
      </c>
      <c r="O116" s="1">
        <v>2.41831891159E11</v>
      </c>
    </row>
    <row r="117">
      <c r="A117" s="1">
        <v>2743544.0</v>
      </c>
      <c r="B117" s="1" t="s">
        <v>1890</v>
      </c>
      <c r="C117" s="1" t="b">
        <v>0</v>
      </c>
      <c r="D117" s="1" t="b">
        <v>1</v>
      </c>
      <c r="E117" s="1" t="s">
        <v>1891</v>
      </c>
      <c r="F117" s="1" t="s">
        <v>1892</v>
      </c>
      <c r="G117" s="2">
        <f>+251910575080</f>
        <v>251910575080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31.29</v>
      </c>
      <c r="M117" s="1" t="s">
        <v>26</v>
      </c>
      <c r="O117" s="1">
        <v>2.41877682391E11</v>
      </c>
    </row>
    <row r="118">
      <c r="A118" s="1">
        <v>2744769.0</v>
      </c>
      <c r="B118" s="1" t="s">
        <v>1893</v>
      </c>
      <c r="C118" s="1" t="b">
        <v>0</v>
      </c>
      <c r="D118" s="1" t="b">
        <v>1</v>
      </c>
      <c r="E118" s="1" t="s">
        <v>620</v>
      </c>
      <c r="F118" s="1" t="s">
        <v>1894</v>
      </c>
      <c r="G118" s="2">
        <f>+251900877473</f>
        <v>251900877473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19.4</v>
      </c>
      <c r="M118" s="1" t="s">
        <v>33</v>
      </c>
      <c r="N118" s="1" t="s">
        <v>65</v>
      </c>
      <c r="O118" s="1">
        <v>2.42217305309E11</v>
      </c>
    </row>
    <row r="119">
      <c r="A119" s="1">
        <v>2745174.0</v>
      </c>
      <c r="B119" s="1" t="s">
        <v>1895</v>
      </c>
      <c r="C119" s="1" t="b">
        <v>1</v>
      </c>
      <c r="D119" s="1" t="b">
        <v>1</v>
      </c>
      <c r="E119" s="1" t="s">
        <v>1896</v>
      </c>
      <c r="F119" s="1" t="s">
        <v>1897</v>
      </c>
      <c r="G119" s="2">
        <f>+251911648826</f>
        <v>251911648826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31.36</v>
      </c>
      <c r="M119" s="1" t="s">
        <v>21</v>
      </c>
      <c r="O119" s="1">
        <v>2.42326122713E11</v>
      </c>
    </row>
    <row r="120">
      <c r="A120" s="1">
        <v>2502509.0</v>
      </c>
      <c r="B120" s="1" t="s">
        <v>1898</v>
      </c>
      <c r="C120" s="1" t="b">
        <v>1</v>
      </c>
      <c r="D120" s="1" t="b">
        <v>1</v>
      </c>
      <c r="E120" s="1" t="s">
        <v>1899</v>
      </c>
      <c r="F120" s="1" t="s">
        <v>896</v>
      </c>
      <c r="G120" s="2">
        <f>+251912339736</f>
        <v>251912339736</v>
      </c>
      <c r="H120" s="1" t="s">
        <v>18</v>
      </c>
      <c r="I120" s="1" t="s">
        <v>19</v>
      </c>
      <c r="J120" s="1" t="s">
        <v>19</v>
      </c>
      <c r="K120" s="1" t="s">
        <v>20</v>
      </c>
      <c r="L120" s="1">
        <v>23.41</v>
      </c>
      <c r="M120" s="1" t="s">
        <v>21</v>
      </c>
      <c r="O120" s="1">
        <v>1449433.0</v>
      </c>
    </row>
    <row r="121">
      <c r="A121" s="1">
        <v>2750151.0</v>
      </c>
      <c r="B121" s="1" t="s">
        <v>1900</v>
      </c>
      <c r="C121" s="1" t="b">
        <v>0</v>
      </c>
      <c r="D121" s="1" t="b">
        <v>1</v>
      </c>
      <c r="E121" s="1" t="s">
        <v>1901</v>
      </c>
      <c r="F121" s="1" t="s">
        <v>1902</v>
      </c>
      <c r="G121" s="2">
        <f>+251921421804</f>
        <v>251921421804</v>
      </c>
      <c r="H121" s="1" t="s">
        <v>18</v>
      </c>
      <c r="I121" s="1" t="s">
        <v>19</v>
      </c>
      <c r="J121" s="1" t="s">
        <v>19</v>
      </c>
      <c r="K121" s="1" t="s">
        <v>25</v>
      </c>
      <c r="L121" s="1">
        <v>13.94</v>
      </c>
      <c r="M121" s="1" t="s">
        <v>33</v>
      </c>
      <c r="N121" s="1" t="s">
        <v>65</v>
      </c>
      <c r="O121" s="1">
        <v>2.44685361379E11</v>
      </c>
    </row>
    <row r="122">
      <c r="A122" s="1">
        <v>2750202.0</v>
      </c>
      <c r="B122" s="1" t="s">
        <v>1903</v>
      </c>
      <c r="C122" s="1" t="b">
        <v>1</v>
      </c>
      <c r="D122" s="1" t="b">
        <v>1</v>
      </c>
      <c r="E122" s="1" t="s">
        <v>1904</v>
      </c>
      <c r="F122" s="1" t="s">
        <v>1532</v>
      </c>
      <c r="G122" s="2">
        <f>+251946461157</f>
        <v>251946461157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23.83</v>
      </c>
      <c r="M122" s="1" t="s">
        <v>21</v>
      </c>
      <c r="O122" s="1">
        <v>2.44701426897E11</v>
      </c>
    </row>
    <row r="123">
      <c r="A123" s="1">
        <v>2751140.0</v>
      </c>
      <c r="B123" s="1" t="s">
        <v>1905</v>
      </c>
      <c r="C123" s="1" t="b">
        <v>1</v>
      </c>
      <c r="D123" s="1" t="b">
        <v>1</v>
      </c>
      <c r="E123" s="1" t="s">
        <v>1906</v>
      </c>
      <c r="F123" s="1" t="s">
        <v>1907</v>
      </c>
      <c r="G123" s="2">
        <f>+12047468628</f>
        <v>12047468628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33.19</v>
      </c>
      <c r="M123" s="1" t="s">
        <v>33</v>
      </c>
      <c r="N123" s="1" t="s">
        <v>34</v>
      </c>
    </row>
    <row r="124">
      <c r="A124" s="1">
        <v>2751301.0</v>
      </c>
      <c r="B124" s="1" t="s">
        <v>1908</v>
      </c>
      <c r="C124" s="1" t="b">
        <v>1</v>
      </c>
      <c r="D124" s="1" t="b">
        <v>1</v>
      </c>
      <c r="E124" s="1" t="s">
        <v>1909</v>
      </c>
      <c r="F124" s="1" t="s">
        <v>862</v>
      </c>
      <c r="G124" s="2">
        <f>+251716983899</f>
        <v>251716983899</v>
      </c>
      <c r="H124" s="1" t="s">
        <v>18</v>
      </c>
      <c r="I124" s="1" t="s">
        <v>19</v>
      </c>
      <c r="J124" s="1" t="s">
        <v>19</v>
      </c>
      <c r="K124" s="1" t="s">
        <v>20</v>
      </c>
      <c r="L124" s="1">
        <v>22.4</v>
      </c>
      <c r="M124" s="1" t="s">
        <v>21</v>
      </c>
      <c r="O124" s="1">
        <v>2.45073457359E11</v>
      </c>
    </row>
    <row r="125">
      <c r="A125" s="1">
        <v>2753936.0</v>
      </c>
      <c r="B125" s="1" t="s">
        <v>1910</v>
      </c>
      <c r="C125" s="1" t="b">
        <v>1</v>
      </c>
      <c r="D125" s="1" t="b">
        <v>1</v>
      </c>
      <c r="E125" s="1" t="s">
        <v>521</v>
      </c>
      <c r="F125" s="1" t="s">
        <v>137</v>
      </c>
      <c r="G125" s="2">
        <f>+251973995478</f>
        <v>251973995478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22.36</v>
      </c>
      <c r="M125" s="1" t="s">
        <v>21</v>
      </c>
      <c r="O125" s="1">
        <v>2.4593157859E11</v>
      </c>
    </row>
    <row r="126">
      <c r="A126" s="1">
        <v>2755629.0</v>
      </c>
      <c r="B126" s="1" t="s">
        <v>1911</v>
      </c>
      <c r="C126" s="1" t="b">
        <v>1</v>
      </c>
      <c r="D126" s="1" t="b">
        <v>1</v>
      </c>
      <c r="E126" s="1" t="s">
        <v>1912</v>
      </c>
      <c r="F126" s="1" t="s">
        <v>1056</v>
      </c>
      <c r="G126" s="2">
        <f>+251955930735</f>
        <v>251955930735</v>
      </c>
      <c r="H126" s="1" t="s">
        <v>214</v>
      </c>
      <c r="I126" s="1" t="s">
        <v>19</v>
      </c>
      <c r="J126" s="1" t="s">
        <v>19</v>
      </c>
      <c r="K126" s="1" t="s">
        <v>25</v>
      </c>
      <c r="L126" s="1">
        <v>19.02</v>
      </c>
      <c r="M126" s="1" t="s">
        <v>21</v>
      </c>
      <c r="O126" s="1">
        <v>2.46394005701E11</v>
      </c>
    </row>
    <row r="127">
      <c r="A127" s="1">
        <v>2757157.0</v>
      </c>
      <c r="B127" s="1" t="s">
        <v>1913</v>
      </c>
      <c r="C127" s="1" t="b">
        <v>1</v>
      </c>
      <c r="D127" s="1" t="b">
        <v>1</v>
      </c>
      <c r="E127" s="1" t="s">
        <v>1914</v>
      </c>
      <c r="F127" s="1" t="s">
        <v>1527</v>
      </c>
      <c r="G127" s="2">
        <f>+251977515097</f>
        <v>251977515097</v>
      </c>
      <c r="H127" s="1" t="s">
        <v>18</v>
      </c>
      <c r="I127" s="1" t="s">
        <v>19</v>
      </c>
      <c r="J127" s="1" t="s">
        <v>498</v>
      </c>
      <c r="K127" s="1" t="s">
        <v>20</v>
      </c>
      <c r="L127" s="1">
        <v>23.06</v>
      </c>
      <c r="M127" s="1" t="s">
        <v>21</v>
      </c>
    </row>
    <row r="128">
      <c r="A128" s="1">
        <v>2002137.0</v>
      </c>
      <c r="B128" s="1" t="s">
        <v>1915</v>
      </c>
      <c r="C128" s="1" t="b">
        <v>1</v>
      </c>
      <c r="D128" s="1" t="b">
        <v>1</v>
      </c>
      <c r="E128" s="1" t="s">
        <v>1916</v>
      </c>
      <c r="F128" s="1" t="s">
        <v>1917</v>
      </c>
      <c r="G128" s="2">
        <f>+251962632525</f>
        <v>251962632525</v>
      </c>
      <c r="H128" s="1" t="s">
        <v>1410</v>
      </c>
      <c r="I128" s="1" t="s">
        <v>19</v>
      </c>
      <c r="J128" s="1" t="s">
        <v>19</v>
      </c>
      <c r="K128" s="1" t="s">
        <v>25</v>
      </c>
      <c r="L128" s="1">
        <v>23.68</v>
      </c>
      <c r="M128" s="1" t="s">
        <v>21</v>
      </c>
      <c r="O128" s="1">
        <v>2.8516368843E10</v>
      </c>
    </row>
    <row r="129">
      <c r="A129" s="1">
        <v>2759231.0</v>
      </c>
      <c r="B129" s="1" t="s">
        <v>1918</v>
      </c>
      <c r="C129" s="1" t="b">
        <v>0</v>
      </c>
      <c r="D129" s="1" t="b">
        <v>1</v>
      </c>
      <c r="E129" s="1" t="s">
        <v>1919</v>
      </c>
      <c r="F129" s="1" t="s">
        <v>1920</v>
      </c>
      <c r="G129" s="2">
        <f>+251908296580</f>
        <v>251908296580</v>
      </c>
      <c r="H129" s="1" t="s">
        <v>18</v>
      </c>
      <c r="I129" s="1" t="s">
        <v>19</v>
      </c>
      <c r="J129" s="1" t="s">
        <v>19</v>
      </c>
      <c r="K129" s="1" t="s">
        <v>20</v>
      </c>
      <c r="L129" s="1">
        <v>20.84</v>
      </c>
      <c r="M129" s="1" t="s">
        <v>33</v>
      </c>
      <c r="N129" s="1" t="s">
        <v>166</v>
      </c>
      <c r="O129" s="1">
        <v>2.47430943985E11</v>
      </c>
    </row>
    <row r="130">
      <c r="A130" s="1">
        <v>2759440.0</v>
      </c>
      <c r="B130" s="1" t="s">
        <v>1921</v>
      </c>
      <c r="C130" s="1" t="b">
        <v>1</v>
      </c>
      <c r="D130" s="1" t="b">
        <v>1</v>
      </c>
      <c r="E130" s="1" t="s">
        <v>1139</v>
      </c>
      <c r="F130" s="1" t="s">
        <v>1922</v>
      </c>
      <c r="G130" s="2">
        <f>+251991127597</f>
        <v>251991127597</v>
      </c>
      <c r="H130" s="1" t="s">
        <v>18</v>
      </c>
      <c r="I130" s="1" t="s">
        <v>19</v>
      </c>
      <c r="J130" s="1" t="s">
        <v>498</v>
      </c>
      <c r="K130" s="1" t="s">
        <v>20</v>
      </c>
      <c r="L130" s="1">
        <v>23.9</v>
      </c>
      <c r="M130" s="1" t="s">
        <v>21</v>
      </c>
      <c r="O130" s="1">
        <v>2.47447908586E11</v>
      </c>
    </row>
    <row r="131">
      <c r="A131" s="1">
        <v>2759456.0</v>
      </c>
      <c r="B131" s="1" t="s">
        <v>1923</v>
      </c>
      <c r="C131" s="1" t="b">
        <v>1</v>
      </c>
      <c r="D131" s="1" t="b">
        <v>1</v>
      </c>
      <c r="E131" s="1" t="s">
        <v>1924</v>
      </c>
      <c r="F131" s="1" t="s">
        <v>338</v>
      </c>
      <c r="G131" s="2">
        <f>+251911390562</f>
        <v>251911390562</v>
      </c>
      <c r="H131" s="1" t="s">
        <v>18</v>
      </c>
      <c r="I131" s="1" t="s">
        <v>19</v>
      </c>
      <c r="J131" s="1" t="s">
        <v>19</v>
      </c>
      <c r="K131" s="1" t="s">
        <v>20</v>
      </c>
      <c r="L131" s="1">
        <v>24.21</v>
      </c>
      <c r="M131" s="1" t="s">
        <v>21</v>
      </c>
      <c r="O131" s="1">
        <v>5179579.0</v>
      </c>
    </row>
    <row r="132">
      <c r="A132" s="1">
        <v>2760817.0</v>
      </c>
      <c r="B132" s="1" t="s">
        <v>1925</v>
      </c>
      <c r="C132" s="1" t="b">
        <v>1</v>
      </c>
      <c r="D132" s="1" t="b">
        <v>1</v>
      </c>
      <c r="E132" s="1" t="s">
        <v>1926</v>
      </c>
      <c r="F132" s="1" t="s">
        <v>1927</v>
      </c>
      <c r="G132" s="2">
        <f>+251900718848</f>
        <v>251900718848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23.02</v>
      </c>
      <c r="M132" s="1" t="s">
        <v>33</v>
      </c>
      <c r="N132" s="1" t="s">
        <v>65</v>
      </c>
      <c r="O132" s="1">
        <v>2.47825529047E11</v>
      </c>
    </row>
    <row r="133">
      <c r="A133" s="1">
        <v>2761110.0</v>
      </c>
      <c r="B133" s="1" t="s">
        <v>1928</v>
      </c>
      <c r="C133" s="1" t="b">
        <v>1</v>
      </c>
      <c r="D133" s="1" t="b">
        <v>1</v>
      </c>
      <c r="E133" s="1" t="s">
        <v>758</v>
      </c>
      <c r="F133" s="1" t="s">
        <v>1929</v>
      </c>
      <c r="G133" s="2">
        <f>+251941179368</f>
        <v>251941179368</v>
      </c>
      <c r="H133" s="1" t="s">
        <v>18</v>
      </c>
      <c r="I133" s="1" t="s">
        <v>19</v>
      </c>
      <c r="J133" s="1" t="s">
        <v>19</v>
      </c>
      <c r="K133" s="1" t="s">
        <v>25</v>
      </c>
      <c r="L133" s="1">
        <v>21.3</v>
      </c>
      <c r="M133" s="1" t="s">
        <v>21</v>
      </c>
      <c r="O133" s="1">
        <v>4.6226780097E10</v>
      </c>
    </row>
    <row r="134">
      <c r="A134" s="1">
        <v>2762654.0</v>
      </c>
      <c r="B134" s="1" t="s">
        <v>1930</v>
      </c>
      <c r="C134" s="1" t="b">
        <v>1</v>
      </c>
      <c r="D134" s="1" t="b">
        <v>1</v>
      </c>
      <c r="E134" s="1" t="s">
        <v>1931</v>
      </c>
      <c r="F134" s="1" t="s">
        <v>195</v>
      </c>
      <c r="G134" s="2">
        <f>+251911921648</f>
        <v>251911921648</v>
      </c>
      <c r="H134" s="1" t="s">
        <v>18</v>
      </c>
      <c r="I134" s="1" t="s">
        <v>19</v>
      </c>
      <c r="J134" s="1" t="s">
        <v>19</v>
      </c>
      <c r="K134" s="1" t="s">
        <v>25</v>
      </c>
      <c r="L134" s="1">
        <v>39.28</v>
      </c>
      <c r="M134" s="1" t="s">
        <v>21</v>
      </c>
      <c r="O134" s="1">
        <v>2.48340997358E11</v>
      </c>
    </row>
    <row r="135">
      <c r="A135" s="1">
        <v>2762661.0</v>
      </c>
      <c r="B135" s="1" t="s">
        <v>1932</v>
      </c>
      <c r="C135" s="1" t="b">
        <v>1</v>
      </c>
      <c r="D135" s="1" t="b">
        <v>1</v>
      </c>
      <c r="E135" s="1" t="s">
        <v>1933</v>
      </c>
      <c r="F135" s="1" t="s">
        <v>1934</v>
      </c>
      <c r="G135" s="2">
        <f>+251975861812</f>
        <v>251975861812</v>
      </c>
      <c r="H135" s="1" t="s">
        <v>18</v>
      </c>
      <c r="I135" s="1" t="s">
        <v>19</v>
      </c>
      <c r="J135" s="1" t="s">
        <v>19</v>
      </c>
      <c r="K135" s="1" t="s">
        <v>25</v>
      </c>
      <c r="L135" s="1">
        <v>22.72</v>
      </c>
      <c r="M135" s="1" t="s">
        <v>33</v>
      </c>
      <c r="N135" s="1" t="s">
        <v>65</v>
      </c>
      <c r="O135" s="1">
        <v>763925.0</v>
      </c>
    </row>
    <row r="136">
      <c r="A136" s="1">
        <v>1579721.0</v>
      </c>
      <c r="B136" s="1" t="s">
        <v>1935</v>
      </c>
      <c r="C136" s="1" t="b">
        <v>1</v>
      </c>
      <c r="D136" s="1" t="b">
        <v>1</v>
      </c>
      <c r="E136" s="1" t="s">
        <v>1936</v>
      </c>
      <c r="F136" s="1" t="s">
        <v>948</v>
      </c>
      <c r="G136" s="2">
        <f>+251914159021</f>
        <v>251914159021</v>
      </c>
      <c r="H136" s="1" t="s">
        <v>18</v>
      </c>
      <c r="I136" s="1" t="s">
        <v>19</v>
      </c>
      <c r="J136" s="1" t="s">
        <v>19</v>
      </c>
      <c r="K136" s="1" t="s">
        <v>20</v>
      </c>
      <c r="L136" s="1">
        <v>23.12</v>
      </c>
      <c r="M136" s="1" t="s">
        <v>33</v>
      </c>
      <c r="N136" s="1" t="s">
        <v>166</v>
      </c>
      <c r="O136" s="1">
        <v>1.9349256896E10</v>
      </c>
    </row>
    <row r="137">
      <c r="A137" s="1">
        <v>2765394.0</v>
      </c>
      <c r="B137" s="1" t="s">
        <v>1937</v>
      </c>
      <c r="C137" s="1" t="b">
        <v>1</v>
      </c>
      <c r="D137" s="1" t="b">
        <v>1</v>
      </c>
      <c r="E137" s="1" t="s">
        <v>361</v>
      </c>
      <c r="F137" s="1" t="s">
        <v>525</v>
      </c>
      <c r="G137" s="2">
        <f>+251900614699</f>
        <v>251900614699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28.97</v>
      </c>
      <c r="M137" s="1" t="s">
        <v>21</v>
      </c>
      <c r="O137" s="1">
        <v>8895881.0</v>
      </c>
    </row>
    <row r="138">
      <c r="A138" s="1">
        <v>2767743.0</v>
      </c>
      <c r="B138" s="1" t="s">
        <v>1938</v>
      </c>
      <c r="C138" s="1" t="b">
        <v>1</v>
      </c>
      <c r="D138" s="1" t="b">
        <v>0</v>
      </c>
      <c r="E138" s="1" t="s">
        <v>1939</v>
      </c>
      <c r="F138" s="1" t="s">
        <v>1940</v>
      </c>
      <c r="G138" s="2">
        <f>+251967259678</f>
        <v>251967259678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26.14</v>
      </c>
      <c r="M138" s="1" t="s">
        <v>21</v>
      </c>
      <c r="O138" s="1">
        <v>1607628.0</v>
      </c>
    </row>
    <row r="139">
      <c r="A139" s="1">
        <v>16011.0</v>
      </c>
      <c r="B139" s="1" t="s">
        <v>1941</v>
      </c>
      <c r="C139" s="1" t="b">
        <v>1</v>
      </c>
      <c r="D139" s="1" t="b">
        <v>1</v>
      </c>
      <c r="E139" s="1" t="s">
        <v>1942</v>
      </c>
      <c r="F139" s="1" t="s">
        <v>420</v>
      </c>
      <c r="G139" s="2">
        <f>+251923091711</f>
        <v>251923091711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30.63</v>
      </c>
      <c r="M139" s="1" t="s">
        <v>33</v>
      </c>
      <c r="N139" s="1" t="s">
        <v>118</v>
      </c>
      <c r="O139" s="1">
        <v>1223231.0</v>
      </c>
    </row>
    <row r="140">
      <c r="A140" s="1">
        <v>1286570.0</v>
      </c>
      <c r="B140" s="1" t="s">
        <v>1943</v>
      </c>
      <c r="C140" s="1" t="b">
        <v>1</v>
      </c>
      <c r="D140" s="1" t="b">
        <v>1</v>
      </c>
      <c r="E140" s="1" t="s">
        <v>1944</v>
      </c>
      <c r="F140" s="1" t="s">
        <v>1945</v>
      </c>
      <c r="G140" s="2">
        <f>+251972489050</f>
        <v>251972489050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20.51</v>
      </c>
      <c r="M140" s="1" t="s">
        <v>21</v>
      </c>
      <c r="O140" s="1">
        <v>391352.0</v>
      </c>
    </row>
    <row r="141">
      <c r="A141" s="1">
        <v>2768982.0</v>
      </c>
      <c r="B141" s="1" t="s">
        <v>1946</v>
      </c>
      <c r="C141" s="1" t="b">
        <v>1</v>
      </c>
      <c r="D141" s="1" t="b">
        <v>0</v>
      </c>
      <c r="E141" s="1" t="s">
        <v>1947</v>
      </c>
      <c r="F141" s="1" t="s">
        <v>108</v>
      </c>
      <c r="G141" s="2">
        <f>+251940940809</f>
        <v>251940940809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22.78</v>
      </c>
      <c r="M141" s="1" t="s">
        <v>21</v>
      </c>
      <c r="O141" s="1">
        <v>8781838.0</v>
      </c>
    </row>
    <row r="142">
      <c r="A142" s="1">
        <v>2769846.0</v>
      </c>
      <c r="B142" s="1" t="s">
        <v>1948</v>
      </c>
      <c r="C142" s="1" t="b">
        <v>1</v>
      </c>
      <c r="D142" s="1" t="b">
        <v>1</v>
      </c>
      <c r="E142" s="1" t="s">
        <v>951</v>
      </c>
      <c r="F142" s="1" t="s">
        <v>1077</v>
      </c>
      <c r="G142" s="2">
        <f>+251919772022</f>
        <v>251919772022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26.5</v>
      </c>
      <c r="M142" s="1" t="s">
        <v>26</v>
      </c>
      <c r="O142" s="1">
        <v>2.50735231192E11</v>
      </c>
    </row>
    <row r="143">
      <c r="A143" s="1">
        <v>876911.0</v>
      </c>
      <c r="B143" s="1" t="s">
        <v>1949</v>
      </c>
      <c r="C143" s="1" t="b">
        <v>1</v>
      </c>
      <c r="D143" s="1" t="b">
        <v>1</v>
      </c>
      <c r="E143" s="1" t="s">
        <v>1950</v>
      </c>
      <c r="F143" s="1" t="s">
        <v>1897</v>
      </c>
      <c r="G143" s="2">
        <f>+251979202894</f>
        <v>251979202894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22.85</v>
      </c>
      <c r="M143" s="1" t="s">
        <v>21</v>
      </c>
      <c r="O143" s="1">
        <v>1865739.0</v>
      </c>
    </row>
    <row r="144">
      <c r="A144" s="1">
        <v>2130912.0</v>
      </c>
      <c r="B144" s="1" t="s">
        <v>1951</v>
      </c>
      <c r="C144" s="1" t="b">
        <v>1</v>
      </c>
      <c r="D144" s="1" t="b">
        <v>1</v>
      </c>
      <c r="E144" s="1" t="s">
        <v>1376</v>
      </c>
      <c r="F144" s="1" t="s">
        <v>893</v>
      </c>
      <c r="G144" s="2">
        <f>+251915852591</f>
        <v>251915852591</v>
      </c>
      <c r="H144" s="1" t="s">
        <v>18</v>
      </c>
      <c r="I144" s="1" t="s">
        <v>19</v>
      </c>
      <c r="J144" s="1" t="s">
        <v>1952</v>
      </c>
      <c r="K144" s="1" t="s">
        <v>25</v>
      </c>
      <c r="L144" s="1">
        <v>44.41</v>
      </c>
      <c r="M144" s="1" t="s">
        <v>21</v>
      </c>
    </row>
    <row r="145">
      <c r="A145" s="1">
        <v>2771808.0</v>
      </c>
      <c r="B145" s="1" t="s">
        <v>1953</v>
      </c>
      <c r="C145" s="1" t="b">
        <v>1</v>
      </c>
      <c r="D145" s="1" t="b">
        <v>1</v>
      </c>
      <c r="E145" s="1" t="s">
        <v>121</v>
      </c>
      <c r="F145" s="1" t="s">
        <v>1178</v>
      </c>
      <c r="G145" s="2">
        <f>+251935545233</f>
        <v>251935545233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23.6</v>
      </c>
      <c r="M145" s="1" t="s">
        <v>21</v>
      </c>
      <c r="O145" s="1">
        <v>4.3044297152E10</v>
      </c>
    </row>
    <row r="146">
      <c r="A146" s="1">
        <v>2773203.0</v>
      </c>
      <c r="B146" s="1" t="s">
        <v>1954</v>
      </c>
      <c r="C146" s="1" t="b">
        <v>1</v>
      </c>
      <c r="D146" s="1" t="b">
        <v>1</v>
      </c>
      <c r="E146" s="1" t="s">
        <v>1955</v>
      </c>
      <c r="F146" s="1" t="s">
        <v>899</v>
      </c>
      <c r="G146" s="2">
        <f>+251956123417</f>
        <v>251956123417</v>
      </c>
      <c r="H146" s="1" t="s">
        <v>72</v>
      </c>
      <c r="I146" s="1" t="s">
        <v>19</v>
      </c>
      <c r="J146" s="1" t="s">
        <v>19</v>
      </c>
      <c r="K146" s="1" t="s">
        <v>25</v>
      </c>
      <c r="L146" s="1">
        <v>24.52</v>
      </c>
      <c r="M146" s="1" t="s">
        <v>21</v>
      </c>
    </row>
    <row r="147">
      <c r="A147" s="1">
        <v>2774587.0</v>
      </c>
      <c r="B147" s="1" t="s">
        <v>1956</v>
      </c>
      <c r="C147" s="1" t="b">
        <v>1</v>
      </c>
      <c r="D147" s="1" t="b">
        <v>1</v>
      </c>
      <c r="E147" s="1" t="s">
        <v>758</v>
      </c>
      <c r="F147" s="1" t="s">
        <v>371</v>
      </c>
      <c r="G147" s="2">
        <f>+251982390694</f>
        <v>251982390694</v>
      </c>
      <c r="H147" s="1" t="s">
        <v>18</v>
      </c>
      <c r="I147" s="1" t="s">
        <v>19</v>
      </c>
      <c r="J147" s="1" t="s">
        <v>19</v>
      </c>
      <c r="K147" s="1" t="s">
        <v>25</v>
      </c>
      <c r="L147" s="1">
        <v>20.65</v>
      </c>
      <c r="M147" s="1" t="s">
        <v>21</v>
      </c>
      <c r="O147" s="1">
        <v>2.5255553249E11</v>
      </c>
    </row>
    <row r="148">
      <c r="A148" s="1">
        <v>1511705.0</v>
      </c>
      <c r="B148" s="1" t="s">
        <v>1957</v>
      </c>
      <c r="C148" s="1" t="b">
        <v>1</v>
      </c>
      <c r="D148" s="1" t="b">
        <v>1</v>
      </c>
      <c r="E148" s="1" t="s">
        <v>1958</v>
      </c>
      <c r="F148" s="1" t="s">
        <v>1959</v>
      </c>
      <c r="G148" s="2">
        <f>+251994635037</f>
        <v>251994635037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21.61</v>
      </c>
      <c r="M148" s="1" t="s">
        <v>33</v>
      </c>
      <c r="N148" s="1" t="s">
        <v>166</v>
      </c>
      <c r="O148" s="1">
        <v>8794737.0</v>
      </c>
    </row>
    <row r="149">
      <c r="A149" s="1">
        <v>2775069.0</v>
      </c>
      <c r="B149" s="1" t="s">
        <v>1960</v>
      </c>
      <c r="C149" s="1" t="b">
        <v>1</v>
      </c>
      <c r="D149" s="1" t="b">
        <v>1</v>
      </c>
      <c r="E149" s="1" t="s">
        <v>1961</v>
      </c>
      <c r="F149" s="1" t="s">
        <v>1962</v>
      </c>
      <c r="G149" s="2">
        <f>+251939499298</f>
        <v>251939499298</v>
      </c>
      <c r="H149" s="1" t="s">
        <v>18</v>
      </c>
      <c r="I149" s="1" t="s">
        <v>19</v>
      </c>
      <c r="J149" s="1" t="s">
        <v>19</v>
      </c>
      <c r="K149" s="1" t="s">
        <v>20</v>
      </c>
      <c r="L149" s="1">
        <v>21.18</v>
      </c>
      <c r="M149" s="1" t="s">
        <v>33</v>
      </c>
      <c r="N149" s="1" t="s">
        <v>34</v>
      </c>
      <c r="O149" s="1">
        <v>2.5263381934E11</v>
      </c>
    </row>
    <row r="150">
      <c r="A150" s="1">
        <v>2776127.0</v>
      </c>
      <c r="B150" s="1" t="s">
        <v>1963</v>
      </c>
      <c r="C150" s="1" t="b">
        <v>1</v>
      </c>
      <c r="D150" s="1" t="b">
        <v>1</v>
      </c>
      <c r="E150" s="1" t="s">
        <v>620</v>
      </c>
      <c r="F150" s="1" t="s">
        <v>1964</v>
      </c>
      <c r="G150" s="2">
        <f>+251924570285</f>
        <v>251924570285</v>
      </c>
      <c r="H150" s="1" t="s">
        <v>18</v>
      </c>
      <c r="I150" s="1" t="s">
        <v>19</v>
      </c>
      <c r="J150" s="1" t="s">
        <v>19</v>
      </c>
      <c r="K150" s="1" t="s">
        <v>25</v>
      </c>
      <c r="L150" s="1">
        <v>20.93</v>
      </c>
      <c r="M150" s="1" t="s">
        <v>21</v>
      </c>
    </row>
    <row r="151">
      <c r="A151" s="1">
        <v>2774662.0</v>
      </c>
      <c r="B151" s="1" t="s">
        <v>1965</v>
      </c>
      <c r="C151" s="1" t="b">
        <v>0</v>
      </c>
      <c r="D151" s="1" t="b">
        <v>1</v>
      </c>
      <c r="E151" s="1" t="s">
        <v>141</v>
      </c>
      <c r="F151" s="1" t="s">
        <v>1966</v>
      </c>
      <c r="G151" s="2">
        <f>+251966074050</f>
        <v>251966074050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20.52</v>
      </c>
      <c r="M151" s="1" t="s">
        <v>26</v>
      </c>
      <c r="O151" s="1">
        <v>1.35505996007E11</v>
      </c>
    </row>
    <row r="152">
      <c r="A152" s="1">
        <v>2776637.0</v>
      </c>
      <c r="B152" s="1" t="s">
        <v>1967</v>
      </c>
      <c r="C152" s="1" t="b">
        <v>0</v>
      </c>
      <c r="D152" s="1" t="b">
        <v>1</v>
      </c>
      <c r="E152" s="1" t="s">
        <v>474</v>
      </c>
      <c r="F152" s="1" t="s">
        <v>1968</v>
      </c>
      <c r="G152" s="2">
        <f>+251956145036</f>
        <v>251956145036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27.95</v>
      </c>
      <c r="M152" s="1" t="s">
        <v>26</v>
      </c>
      <c r="O152" s="1">
        <v>2.53583945922E11</v>
      </c>
    </row>
    <row r="153">
      <c r="A153" s="1">
        <v>1977867.0</v>
      </c>
      <c r="B153" s="1" t="s">
        <v>1969</v>
      </c>
      <c r="C153" s="1" t="b">
        <v>1</v>
      </c>
      <c r="D153" s="1" t="b">
        <v>1</v>
      </c>
      <c r="E153" s="1" t="s">
        <v>1970</v>
      </c>
      <c r="F153" s="1" t="s">
        <v>1566</v>
      </c>
      <c r="G153" s="2">
        <f>+251909040610</f>
        <v>251909040610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24.75</v>
      </c>
      <c r="M153" s="1" t="s">
        <v>21</v>
      </c>
      <c r="O153" s="1">
        <v>2.8013007345E10</v>
      </c>
    </row>
    <row r="154">
      <c r="A154" s="1">
        <v>2782739.0</v>
      </c>
      <c r="B154" s="1" t="s">
        <v>1971</v>
      </c>
      <c r="C154" s="1" t="b">
        <v>1</v>
      </c>
      <c r="D154" s="1" t="b">
        <v>0</v>
      </c>
      <c r="E154" s="1" t="s">
        <v>817</v>
      </c>
      <c r="F154" s="1" t="s">
        <v>1972</v>
      </c>
      <c r="G154" s="2">
        <f>+251984004521</f>
        <v>251984004521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26.13</v>
      </c>
      <c r="M154" s="1" t="s">
        <v>21</v>
      </c>
      <c r="O154" s="1">
        <v>6029350.0</v>
      </c>
    </row>
    <row r="155">
      <c r="A155" s="1">
        <v>461895.0</v>
      </c>
      <c r="B155" s="1" t="s">
        <v>1973</v>
      </c>
      <c r="C155" s="1" t="b">
        <v>1</v>
      </c>
      <c r="D155" s="1" t="b">
        <v>1</v>
      </c>
      <c r="E155" s="1" t="s">
        <v>1974</v>
      </c>
      <c r="F155" s="1" t="s">
        <v>1975</v>
      </c>
      <c r="G155" s="2">
        <f>+251941414360</f>
        <v>251941414360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25.66</v>
      </c>
      <c r="M155" s="1" t="s">
        <v>33</v>
      </c>
      <c r="N155" s="1" t="s">
        <v>76</v>
      </c>
      <c r="O155" s="1">
        <v>782782.0</v>
      </c>
    </row>
    <row r="156">
      <c r="A156" s="1">
        <v>2755855.0</v>
      </c>
      <c r="B156" s="1" t="s">
        <v>1976</v>
      </c>
      <c r="C156" s="1" t="b">
        <v>1</v>
      </c>
      <c r="D156" s="1" t="b">
        <v>1</v>
      </c>
      <c r="E156" s="1" t="s">
        <v>1977</v>
      </c>
      <c r="F156" s="1" t="s">
        <v>141</v>
      </c>
      <c r="G156" s="2">
        <f>+251991848781</f>
        <v>251991848781</v>
      </c>
      <c r="H156" s="1" t="s">
        <v>18</v>
      </c>
      <c r="I156" s="1" t="s">
        <v>19</v>
      </c>
      <c r="J156" s="1" t="s">
        <v>19</v>
      </c>
      <c r="K156" s="1" t="s">
        <v>20</v>
      </c>
      <c r="L156" s="1">
        <v>20.08</v>
      </c>
      <c r="M156" s="1" t="s">
        <v>21</v>
      </c>
      <c r="O156" s="1">
        <v>2.46410545388E11</v>
      </c>
    </row>
    <row r="157">
      <c r="A157" s="1">
        <v>2784575.0</v>
      </c>
      <c r="B157" s="1" t="s">
        <v>1978</v>
      </c>
      <c r="C157" s="1" t="b">
        <v>0</v>
      </c>
      <c r="D157" s="1" t="b">
        <v>1</v>
      </c>
      <c r="E157" s="1" t="s">
        <v>534</v>
      </c>
      <c r="F157" s="1" t="s">
        <v>1979</v>
      </c>
      <c r="G157" s="2">
        <f>+251970793273</f>
        <v>251970793273</v>
      </c>
      <c r="H157" s="1" t="s">
        <v>18</v>
      </c>
      <c r="I157" s="1" t="s">
        <v>19</v>
      </c>
      <c r="J157" s="1" t="s">
        <v>19</v>
      </c>
      <c r="K157" s="1" t="s">
        <v>25</v>
      </c>
      <c r="L157" s="1">
        <v>20.53</v>
      </c>
      <c r="M157" s="1" t="s">
        <v>33</v>
      </c>
      <c r="N157" s="1" t="s">
        <v>34</v>
      </c>
      <c r="O157" s="1">
        <v>2.55873250538E11</v>
      </c>
    </row>
    <row r="158">
      <c r="A158" s="1">
        <v>2185607.0</v>
      </c>
      <c r="B158" s="1" t="s">
        <v>1980</v>
      </c>
      <c r="C158" s="1" t="b">
        <v>1</v>
      </c>
      <c r="D158" s="1" t="b">
        <v>1</v>
      </c>
      <c r="E158" s="1" t="s">
        <v>1981</v>
      </c>
      <c r="F158" s="1" t="s">
        <v>189</v>
      </c>
      <c r="G158" s="2">
        <f>+251977230623</f>
        <v>251977230623</v>
      </c>
      <c r="H158" s="1" t="s">
        <v>18</v>
      </c>
      <c r="I158" s="1" t="s">
        <v>19</v>
      </c>
      <c r="J158" s="1" t="s">
        <v>19</v>
      </c>
      <c r="K158" s="1" t="s">
        <v>25</v>
      </c>
      <c r="L158" s="1">
        <v>19.71</v>
      </c>
      <c r="M158" s="1" t="s">
        <v>21</v>
      </c>
      <c r="O158" s="1">
        <v>3.2819348429E10</v>
      </c>
    </row>
    <row r="159">
      <c r="A159" s="1">
        <v>2785859.0</v>
      </c>
      <c r="B159" s="1" t="s">
        <v>1982</v>
      </c>
      <c r="C159" s="1" t="b">
        <v>1</v>
      </c>
      <c r="D159" s="1" t="b">
        <v>1</v>
      </c>
      <c r="E159" s="1" t="s">
        <v>1983</v>
      </c>
      <c r="F159" s="1" t="s">
        <v>1984</v>
      </c>
      <c r="G159" s="2">
        <f>+251902923434</f>
        <v>251902923434</v>
      </c>
      <c r="H159" s="1" t="s">
        <v>18</v>
      </c>
      <c r="I159" s="1" t="s">
        <v>19</v>
      </c>
      <c r="J159" s="1" t="s">
        <v>19</v>
      </c>
      <c r="K159" s="1" t="s">
        <v>20</v>
      </c>
      <c r="L159" s="1">
        <v>17.76</v>
      </c>
      <c r="M159" s="1" t="s">
        <v>33</v>
      </c>
      <c r="N159" s="1" t="s">
        <v>65</v>
      </c>
    </row>
    <row r="160">
      <c r="A160" s="1">
        <v>2787026.0</v>
      </c>
      <c r="B160" s="1" t="s">
        <v>1985</v>
      </c>
      <c r="C160" s="1" t="b">
        <v>0</v>
      </c>
      <c r="D160" s="1" t="b">
        <v>1</v>
      </c>
      <c r="E160" s="1" t="s">
        <v>509</v>
      </c>
      <c r="F160" s="1" t="s">
        <v>899</v>
      </c>
      <c r="G160" s="2">
        <f>+251705989982</f>
        <v>251705989982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19.91</v>
      </c>
      <c r="M160" s="1" t="s">
        <v>26</v>
      </c>
      <c r="O160" s="1">
        <v>2.56349965504E11</v>
      </c>
    </row>
    <row r="161">
      <c r="A161" s="1">
        <v>2790858.0</v>
      </c>
      <c r="B161" s="1" t="s">
        <v>1986</v>
      </c>
      <c r="C161" s="1" t="b">
        <v>1</v>
      </c>
      <c r="D161" s="1" t="b">
        <v>1</v>
      </c>
      <c r="E161" s="1" t="s">
        <v>148</v>
      </c>
      <c r="F161" s="1" t="s">
        <v>316</v>
      </c>
      <c r="G161" s="2">
        <f>+251980642442</f>
        <v>251980642442</v>
      </c>
      <c r="H161" s="1" t="s">
        <v>18</v>
      </c>
      <c r="I161" s="1" t="s">
        <v>19</v>
      </c>
      <c r="J161" s="1" t="s">
        <v>19</v>
      </c>
      <c r="K161" s="1" t="s">
        <v>25</v>
      </c>
      <c r="L161" s="1">
        <v>25.42</v>
      </c>
      <c r="M161" s="1" t="s">
        <v>21</v>
      </c>
      <c r="O161" s="1">
        <v>8744652.0</v>
      </c>
    </row>
    <row r="162">
      <c r="A162" s="1">
        <v>2433626.0</v>
      </c>
      <c r="B162" s="1" t="s">
        <v>1987</v>
      </c>
      <c r="C162" s="1" t="b">
        <v>1</v>
      </c>
      <c r="D162" s="1" t="b">
        <v>1</v>
      </c>
      <c r="E162" s="1" t="s">
        <v>1988</v>
      </c>
      <c r="F162" s="1" t="s">
        <v>595</v>
      </c>
      <c r="G162" s="1">
        <v>9.46353834E8</v>
      </c>
      <c r="H162" s="1" t="s">
        <v>18</v>
      </c>
      <c r="I162" s="1" t="s">
        <v>19</v>
      </c>
      <c r="J162" s="1" t="s">
        <v>19</v>
      </c>
      <c r="K162" s="1" t="s">
        <v>25</v>
      </c>
      <c r="L162" s="1">
        <v>31.12</v>
      </c>
      <c r="M162" s="1" t="s">
        <v>33</v>
      </c>
      <c r="N162" s="1" t="s">
        <v>177</v>
      </c>
    </row>
    <row r="163">
      <c r="A163" s="1">
        <v>1665140.0</v>
      </c>
      <c r="B163" s="1" t="s">
        <v>1989</v>
      </c>
      <c r="C163" s="1" t="b">
        <v>1</v>
      </c>
      <c r="D163" s="1" t="b">
        <v>1</v>
      </c>
      <c r="E163" s="1" t="s">
        <v>509</v>
      </c>
      <c r="F163" s="1" t="s">
        <v>1990</v>
      </c>
      <c r="G163" s="2">
        <f>+251941877830</f>
        <v>251941877830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20.85</v>
      </c>
      <c r="M163" s="1" t="s">
        <v>33</v>
      </c>
      <c r="N163" s="1" t="s">
        <v>65</v>
      </c>
      <c r="O163" s="1">
        <v>8478515.0</v>
      </c>
    </row>
    <row r="164">
      <c r="A164" s="1">
        <v>188865.0</v>
      </c>
      <c r="B164" s="1" t="s">
        <v>1991</v>
      </c>
      <c r="C164" s="1" t="b">
        <v>1</v>
      </c>
      <c r="D164" s="1" t="b">
        <v>1</v>
      </c>
      <c r="E164" s="1" t="s">
        <v>1992</v>
      </c>
      <c r="F164" s="1" t="s">
        <v>1993</v>
      </c>
      <c r="G164" s="1">
        <v>9.47636542E8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21.83</v>
      </c>
      <c r="M164" s="1" t="s">
        <v>21</v>
      </c>
      <c r="O164" s="1">
        <v>720143.0</v>
      </c>
    </row>
    <row r="165">
      <c r="A165" s="1">
        <v>757730.0</v>
      </c>
      <c r="B165" s="1" t="s">
        <v>1994</v>
      </c>
      <c r="C165" s="1" t="b">
        <v>1</v>
      </c>
      <c r="D165" s="1" t="b">
        <v>1</v>
      </c>
      <c r="E165" s="1" t="s">
        <v>1995</v>
      </c>
      <c r="F165" s="1" t="s">
        <v>1996</v>
      </c>
      <c r="G165" s="2">
        <f>+251912393549</f>
        <v>251912393549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29.04</v>
      </c>
      <c r="M165" s="1" t="s">
        <v>33</v>
      </c>
      <c r="N165" s="1" t="s">
        <v>118</v>
      </c>
      <c r="O165" s="1">
        <v>3123406.0</v>
      </c>
    </row>
    <row r="166">
      <c r="A166" s="1">
        <v>2494545.0</v>
      </c>
      <c r="B166" s="1" t="s">
        <v>1997</v>
      </c>
      <c r="C166" s="1" t="b">
        <v>1</v>
      </c>
      <c r="D166" s="1" t="b">
        <v>1</v>
      </c>
      <c r="E166" s="1" t="s">
        <v>1998</v>
      </c>
      <c r="F166" s="1" t="s">
        <v>96</v>
      </c>
      <c r="G166" s="2">
        <f>+251994575145</f>
        <v>251994575145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18.97</v>
      </c>
      <c r="M166" s="1" t="s">
        <v>21</v>
      </c>
      <c r="O166" s="1">
        <v>1668790.0</v>
      </c>
    </row>
    <row r="167">
      <c r="A167" s="1">
        <v>2795684.0</v>
      </c>
      <c r="B167" s="1" t="s">
        <v>1999</v>
      </c>
      <c r="C167" s="1" t="b">
        <v>1</v>
      </c>
      <c r="D167" s="1" t="b">
        <v>0</v>
      </c>
      <c r="E167" s="1" t="s">
        <v>2000</v>
      </c>
      <c r="F167" s="1" t="s">
        <v>2001</v>
      </c>
      <c r="G167" s="2">
        <f>+251929232033</f>
        <v>251929232033</v>
      </c>
      <c r="H167" s="1" t="s">
        <v>18</v>
      </c>
      <c r="I167" s="1" t="s">
        <v>19</v>
      </c>
      <c r="J167" s="1" t="s">
        <v>19</v>
      </c>
      <c r="K167" s="1" t="s">
        <v>25</v>
      </c>
      <c r="L167" s="1">
        <v>25.62</v>
      </c>
      <c r="M167" s="1" t="s">
        <v>21</v>
      </c>
    </row>
    <row r="168">
      <c r="A168" s="1">
        <v>1520376.0</v>
      </c>
      <c r="B168" s="1" t="s">
        <v>2002</v>
      </c>
      <c r="C168" s="1" t="b">
        <v>1</v>
      </c>
      <c r="D168" s="1" t="b">
        <v>1</v>
      </c>
      <c r="E168" s="1" t="s">
        <v>2003</v>
      </c>
      <c r="F168" s="1" t="s">
        <v>751</v>
      </c>
      <c r="G168" s="2">
        <f>+251912430402</f>
        <v>251912430402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35.56</v>
      </c>
      <c r="M168" s="1" t="s">
        <v>21</v>
      </c>
      <c r="O168" s="1">
        <v>1.7201568233E10</v>
      </c>
    </row>
    <row r="169">
      <c r="A169" s="1">
        <v>1132057.0</v>
      </c>
      <c r="B169" s="1" t="s">
        <v>2004</v>
      </c>
      <c r="C169" s="1" t="b">
        <v>1</v>
      </c>
      <c r="D169" s="1" t="b">
        <v>1</v>
      </c>
      <c r="E169" s="1" t="s">
        <v>2005</v>
      </c>
      <c r="F169" s="1" t="s">
        <v>2006</v>
      </c>
      <c r="G169" s="2">
        <f>+251926440922</f>
        <v>251926440922</v>
      </c>
      <c r="H169" s="1" t="s">
        <v>18</v>
      </c>
      <c r="I169" s="1" t="s">
        <v>19</v>
      </c>
      <c r="J169" s="1" t="s">
        <v>19</v>
      </c>
      <c r="K169" s="1" t="s">
        <v>25</v>
      </c>
      <c r="L169" s="1">
        <v>28.05</v>
      </c>
      <c r="M169" s="1" t="s">
        <v>21</v>
      </c>
      <c r="O169" s="1">
        <v>633627.0</v>
      </c>
    </row>
    <row r="170">
      <c r="A170" s="1">
        <v>2435249.0</v>
      </c>
      <c r="B170" s="1" t="s">
        <v>2007</v>
      </c>
      <c r="C170" s="1" t="b">
        <v>1</v>
      </c>
      <c r="D170" s="1" t="b">
        <v>1</v>
      </c>
      <c r="E170" s="1" t="s">
        <v>250</v>
      </c>
      <c r="F170" s="1" t="s">
        <v>272</v>
      </c>
      <c r="G170" s="2">
        <f>+251994781417</f>
        <v>251994781417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22.46</v>
      </c>
      <c r="M170" s="1" t="s">
        <v>33</v>
      </c>
      <c r="N170" s="1" t="s">
        <v>65</v>
      </c>
      <c r="O170" s="1">
        <v>1.0254518604E11</v>
      </c>
    </row>
    <row r="171">
      <c r="A171" s="1">
        <v>130373.0</v>
      </c>
      <c r="B171" s="1" t="s">
        <v>2008</v>
      </c>
      <c r="C171" s="1" t="b">
        <v>1</v>
      </c>
      <c r="D171" s="1" t="b">
        <v>1</v>
      </c>
      <c r="E171" s="1" t="s">
        <v>1504</v>
      </c>
      <c r="F171" s="1" t="s">
        <v>1504</v>
      </c>
      <c r="G171" s="1">
        <v>9.1104044E8</v>
      </c>
      <c r="H171" s="1" t="s">
        <v>18</v>
      </c>
      <c r="I171" s="1" t="s">
        <v>19</v>
      </c>
      <c r="J171" s="1" t="s">
        <v>19</v>
      </c>
      <c r="K171" s="1" t="s">
        <v>25</v>
      </c>
      <c r="L171" s="1">
        <v>34.16</v>
      </c>
      <c r="M171" s="1" t="s">
        <v>21</v>
      </c>
      <c r="O171" s="1">
        <v>765889.0</v>
      </c>
    </row>
    <row r="172">
      <c r="A172" s="1">
        <v>2800665.0</v>
      </c>
      <c r="B172" s="1" t="s">
        <v>2009</v>
      </c>
      <c r="C172" s="1" t="b">
        <v>1</v>
      </c>
      <c r="D172" s="1" t="b">
        <v>1</v>
      </c>
      <c r="E172" s="1" t="s">
        <v>2010</v>
      </c>
      <c r="F172" s="1" t="s">
        <v>2011</v>
      </c>
      <c r="G172" s="2">
        <f>+251908725199</f>
        <v>251908725199</v>
      </c>
      <c r="H172" s="1" t="s">
        <v>18</v>
      </c>
      <c r="I172" s="1" t="s">
        <v>19</v>
      </c>
      <c r="J172" s="1" t="s">
        <v>19</v>
      </c>
      <c r="K172" s="1" t="s">
        <v>25</v>
      </c>
      <c r="L172" s="1">
        <v>23.06</v>
      </c>
      <c r="M172" s="1" t="s">
        <v>21</v>
      </c>
    </row>
    <row r="173">
      <c r="A173" s="1">
        <v>2800710.0</v>
      </c>
      <c r="B173" s="1" t="s">
        <v>2012</v>
      </c>
      <c r="C173" s="1" t="b">
        <v>0</v>
      </c>
      <c r="D173" s="1" t="b">
        <v>1</v>
      </c>
      <c r="E173" s="1" t="s">
        <v>1310</v>
      </c>
      <c r="F173" s="1" t="s">
        <v>2013</v>
      </c>
      <c r="G173" s="2">
        <f>+251920995077</f>
        <v>251920995077</v>
      </c>
      <c r="H173" s="1" t="s">
        <v>18</v>
      </c>
      <c r="I173" s="1" t="s">
        <v>19</v>
      </c>
      <c r="J173" s="1" t="s">
        <v>19</v>
      </c>
      <c r="K173" s="1" t="s">
        <v>25</v>
      </c>
      <c r="L173" s="1">
        <v>23.63</v>
      </c>
      <c r="M173" s="1" t="s">
        <v>33</v>
      </c>
      <c r="N173" s="1" t="s">
        <v>34</v>
      </c>
      <c r="O173" s="1">
        <v>4.0413059802E10</v>
      </c>
    </row>
    <row r="174">
      <c r="A174" s="1">
        <v>2234445.0</v>
      </c>
      <c r="B174" s="1" t="s">
        <v>2014</v>
      </c>
      <c r="C174" s="1" t="b">
        <v>1</v>
      </c>
      <c r="D174" s="1" t="b">
        <v>1</v>
      </c>
      <c r="E174" s="1" t="s">
        <v>2015</v>
      </c>
      <c r="F174" s="1" t="s">
        <v>195</v>
      </c>
      <c r="G174" s="2">
        <f>+251716290733</f>
        <v>251716290733</v>
      </c>
      <c r="H174" s="1" t="s">
        <v>1424</v>
      </c>
      <c r="I174" s="1" t="s">
        <v>19</v>
      </c>
      <c r="J174" s="1" t="s">
        <v>19</v>
      </c>
      <c r="K174" s="1" t="s">
        <v>25</v>
      </c>
      <c r="L174" s="1">
        <v>20.14</v>
      </c>
      <c r="M174" s="1" t="s">
        <v>33</v>
      </c>
      <c r="N174" s="1" t="s">
        <v>65</v>
      </c>
      <c r="O174" s="1">
        <v>3.3713106899E10</v>
      </c>
    </row>
    <row r="175">
      <c r="A175" s="1">
        <v>1569946.0</v>
      </c>
      <c r="B175" s="1" t="s">
        <v>2016</v>
      </c>
      <c r="C175" s="1" t="b">
        <v>1</v>
      </c>
      <c r="D175" s="1" t="b">
        <v>1</v>
      </c>
      <c r="E175" s="1" t="s">
        <v>2017</v>
      </c>
      <c r="F175" s="1" t="s">
        <v>1376</v>
      </c>
      <c r="G175" s="2">
        <f>+251919597733</f>
        <v>251919597733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24.25</v>
      </c>
      <c r="M175" s="1" t="s">
        <v>33</v>
      </c>
      <c r="N175" s="1" t="s">
        <v>65</v>
      </c>
    </row>
    <row r="176">
      <c r="A176" s="1">
        <v>2802910.0</v>
      </c>
      <c r="B176" s="1" t="s">
        <v>2018</v>
      </c>
      <c r="C176" s="1" t="b">
        <v>0</v>
      </c>
      <c r="D176" s="1" t="b">
        <v>1</v>
      </c>
      <c r="E176" s="1" t="s">
        <v>750</v>
      </c>
      <c r="F176" s="1" t="s">
        <v>137</v>
      </c>
      <c r="G176" s="2">
        <f>+251912623018</f>
        <v>251912623018</v>
      </c>
      <c r="H176" s="1" t="s">
        <v>18</v>
      </c>
      <c r="I176" s="1" t="s">
        <v>19</v>
      </c>
      <c r="J176" s="1" t="s">
        <v>19</v>
      </c>
      <c r="K176" s="1" t="s">
        <v>20</v>
      </c>
      <c r="L176" s="1">
        <v>35.53</v>
      </c>
      <c r="M176" s="1" t="s">
        <v>26</v>
      </c>
      <c r="O176" s="1">
        <v>2.60361806061E11</v>
      </c>
    </row>
    <row r="177">
      <c r="A177" s="1">
        <v>2803565.0</v>
      </c>
      <c r="B177" s="1" t="s">
        <v>2019</v>
      </c>
      <c r="C177" s="1" t="b">
        <v>1</v>
      </c>
      <c r="D177" s="1" t="b">
        <v>1</v>
      </c>
      <c r="E177" s="1" t="s">
        <v>420</v>
      </c>
      <c r="F177" s="1" t="s">
        <v>2020</v>
      </c>
      <c r="G177" s="2">
        <f>+251905901815</f>
        <v>251905901815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20.45</v>
      </c>
      <c r="M177" s="1" t="s">
        <v>21</v>
      </c>
      <c r="O177" s="1">
        <v>2.60563194074E11</v>
      </c>
    </row>
    <row r="178">
      <c r="A178" s="1">
        <v>2805979.0</v>
      </c>
      <c r="B178" s="1" t="s">
        <v>2021</v>
      </c>
      <c r="C178" s="1" t="b">
        <v>0</v>
      </c>
      <c r="D178" s="1" t="b">
        <v>1</v>
      </c>
      <c r="E178" s="1" t="s">
        <v>2022</v>
      </c>
      <c r="F178" s="1" t="s">
        <v>2023</v>
      </c>
      <c r="G178" s="2">
        <f>+251966145450</f>
        <v>251966145450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52.89</v>
      </c>
      <c r="M178" s="1" t="s">
        <v>26</v>
      </c>
      <c r="O178" s="1">
        <v>2.61202308285E11</v>
      </c>
    </row>
    <row r="179">
      <c r="A179" s="1">
        <v>2806205.0</v>
      </c>
      <c r="B179" s="1" t="s">
        <v>2024</v>
      </c>
      <c r="C179" s="1" t="b">
        <v>1</v>
      </c>
      <c r="D179" s="1" t="b">
        <v>1</v>
      </c>
      <c r="E179" s="1" t="s">
        <v>2025</v>
      </c>
      <c r="F179" s="1" t="s">
        <v>91</v>
      </c>
      <c r="G179" s="2">
        <f>+251960308181</f>
        <v>251960308181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27.74</v>
      </c>
      <c r="M179" s="1" t="s">
        <v>33</v>
      </c>
      <c r="N179" s="1" t="s">
        <v>166</v>
      </c>
    </row>
    <row r="180">
      <c r="A180" s="1">
        <v>2806286.0</v>
      </c>
      <c r="B180" s="1" t="s">
        <v>2026</v>
      </c>
      <c r="C180" s="1" t="b">
        <v>1</v>
      </c>
      <c r="D180" s="1" t="b">
        <v>1</v>
      </c>
      <c r="E180" s="1" t="s">
        <v>620</v>
      </c>
      <c r="F180" s="1" t="s">
        <v>829</v>
      </c>
      <c r="G180" s="2">
        <f>+251903078915</f>
        <v>251903078915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20.49</v>
      </c>
      <c r="M180" s="1" t="s">
        <v>21</v>
      </c>
      <c r="O180" s="1">
        <v>2.6127414807E11</v>
      </c>
    </row>
    <row r="181">
      <c r="A181" s="1">
        <v>2806433.0</v>
      </c>
      <c r="B181" s="1" t="s">
        <v>2027</v>
      </c>
      <c r="C181" s="1" t="b">
        <v>1</v>
      </c>
      <c r="D181" s="1" t="b">
        <v>1</v>
      </c>
      <c r="E181" s="1" t="s">
        <v>2028</v>
      </c>
      <c r="F181" s="1" t="s">
        <v>1601</v>
      </c>
      <c r="G181" s="2">
        <f>+251969691452</f>
        <v>251969691452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22.39</v>
      </c>
      <c r="M181" s="1" t="s">
        <v>33</v>
      </c>
      <c r="N181" s="1" t="s">
        <v>34</v>
      </c>
    </row>
    <row r="182">
      <c r="A182" s="1">
        <v>2806531.0</v>
      </c>
      <c r="B182" s="1" t="s">
        <v>2029</v>
      </c>
      <c r="C182" s="1" t="b">
        <v>1</v>
      </c>
      <c r="D182" s="1" t="b">
        <v>1</v>
      </c>
      <c r="E182" s="1" t="s">
        <v>2030</v>
      </c>
      <c r="F182" s="1" t="s">
        <v>2031</v>
      </c>
      <c r="G182" s="2">
        <f>+251965322579</f>
        <v>251965322579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27.1</v>
      </c>
      <c r="M182" s="1" t="s">
        <v>21</v>
      </c>
      <c r="O182" s="1">
        <v>2.6128466863E11</v>
      </c>
    </row>
    <row r="183">
      <c r="A183" s="1">
        <v>2381385.0</v>
      </c>
      <c r="B183" s="1" t="s">
        <v>2032</v>
      </c>
      <c r="C183" s="1" t="b">
        <v>1</v>
      </c>
      <c r="D183" s="1" t="b">
        <v>1</v>
      </c>
      <c r="E183" s="1" t="s">
        <v>2033</v>
      </c>
      <c r="F183" s="1" t="s">
        <v>2034</v>
      </c>
      <c r="G183" s="2">
        <f>+251707978811</f>
        <v>251707978811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19.39</v>
      </c>
      <c r="M183" s="1" t="s">
        <v>21</v>
      </c>
    </row>
    <row r="184">
      <c r="A184" s="1">
        <v>2807501.0</v>
      </c>
      <c r="B184" s="1" t="s">
        <v>2035</v>
      </c>
      <c r="C184" s="1" t="b">
        <v>1</v>
      </c>
      <c r="D184" s="1" t="b">
        <v>1</v>
      </c>
      <c r="E184" s="1" t="s">
        <v>2036</v>
      </c>
      <c r="F184" s="1" t="s">
        <v>2037</v>
      </c>
      <c r="G184" s="2">
        <f>+251984386262</f>
        <v>251984386262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21.2</v>
      </c>
      <c r="M184" s="1" t="s">
        <v>33</v>
      </c>
      <c r="N184" s="1" t="s">
        <v>177</v>
      </c>
      <c r="O184" s="1">
        <v>2.61408074959E11</v>
      </c>
    </row>
    <row r="185">
      <c r="A185" s="1">
        <v>2174117.0</v>
      </c>
      <c r="B185" s="1" t="s">
        <v>2038</v>
      </c>
      <c r="C185" s="1" t="b">
        <v>1</v>
      </c>
      <c r="D185" s="1" t="b">
        <v>1</v>
      </c>
      <c r="E185" s="1" t="s">
        <v>399</v>
      </c>
      <c r="F185" s="1" t="s">
        <v>2039</v>
      </c>
      <c r="G185" s="2">
        <f>+251994286802</f>
        <v>251994286802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22.53</v>
      </c>
      <c r="M185" s="1" t="s">
        <v>21</v>
      </c>
      <c r="O185" s="1">
        <v>3.2582046697E10</v>
      </c>
    </row>
    <row r="186">
      <c r="A186" s="1">
        <v>2807944.0</v>
      </c>
      <c r="B186" s="1" t="s">
        <v>2040</v>
      </c>
      <c r="C186" s="1" t="b">
        <v>1</v>
      </c>
      <c r="D186" s="1" t="b">
        <v>1</v>
      </c>
      <c r="E186" s="1" t="s">
        <v>2015</v>
      </c>
      <c r="F186" s="1" t="s">
        <v>2041</v>
      </c>
      <c r="G186" s="2">
        <f>+251911181134</f>
        <v>251911181134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35.12</v>
      </c>
      <c r="M186" s="1" t="s">
        <v>21</v>
      </c>
      <c r="O186" s="1">
        <v>8781595.0</v>
      </c>
    </row>
    <row r="187">
      <c r="A187" s="1">
        <v>2808948.0</v>
      </c>
      <c r="B187" s="1" t="s">
        <v>2042</v>
      </c>
      <c r="C187" s="1" t="b">
        <v>1</v>
      </c>
      <c r="D187" s="1" t="b">
        <v>1</v>
      </c>
      <c r="E187" s="1" t="s">
        <v>536</v>
      </c>
      <c r="F187" s="1" t="s">
        <v>2043</v>
      </c>
      <c r="G187" s="2">
        <f>+251930417869</f>
        <v>251930417869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25.47</v>
      </c>
      <c r="M187" s="1" t="s">
        <v>21</v>
      </c>
      <c r="O187" s="1">
        <v>2.61757662453E11</v>
      </c>
    </row>
    <row r="188">
      <c r="A188" s="1">
        <v>2811884.0</v>
      </c>
      <c r="B188" s="1" t="s">
        <v>2044</v>
      </c>
      <c r="C188" s="1" t="b">
        <v>1</v>
      </c>
      <c r="D188" s="1" t="b">
        <v>1</v>
      </c>
      <c r="E188" s="1" t="s">
        <v>2039</v>
      </c>
      <c r="F188" s="1" t="s">
        <v>2045</v>
      </c>
      <c r="G188" s="2">
        <f>+251932571957</f>
        <v>251932571957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25.08</v>
      </c>
      <c r="M188" s="1" t="s">
        <v>26</v>
      </c>
      <c r="O188" s="1">
        <v>2.62342072531E11</v>
      </c>
    </row>
    <row r="189">
      <c r="A189" s="1">
        <v>2426890.0</v>
      </c>
      <c r="B189" s="1" t="s">
        <v>2046</v>
      </c>
      <c r="C189" s="1" t="b">
        <v>1</v>
      </c>
      <c r="D189" s="1" t="b">
        <v>1</v>
      </c>
      <c r="E189" s="1" t="s">
        <v>1103</v>
      </c>
      <c r="F189" s="1" t="s">
        <v>2047</v>
      </c>
      <c r="G189" s="2">
        <f>+251911464772</f>
        <v>251911464772</v>
      </c>
      <c r="H189" s="1" t="s">
        <v>18</v>
      </c>
      <c r="I189" s="1" t="s">
        <v>19</v>
      </c>
      <c r="J189" s="1" t="s">
        <v>19</v>
      </c>
      <c r="K189" s="1" t="s">
        <v>25</v>
      </c>
      <c r="L189" s="1">
        <v>39.11</v>
      </c>
      <c r="M189" s="1" t="s">
        <v>21</v>
      </c>
      <c r="O189" s="1">
        <v>1.00261772521E11</v>
      </c>
    </row>
    <row r="190">
      <c r="A190" s="1">
        <v>2813747.0</v>
      </c>
      <c r="B190" s="1" t="s">
        <v>2048</v>
      </c>
      <c r="C190" s="1" t="b">
        <v>1</v>
      </c>
      <c r="D190" s="1" t="b">
        <v>1</v>
      </c>
      <c r="E190" s="1" t="s">
        <v>858</v>
      </c>
      <c r="F190" s="1" t="s">
        <v>1144</v>
      </c>
      <c r="G190" s="2">
        <f>+251953908677</f>
        <v>251953908677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22.85</v>
      </c>
      <c r="M190" s="1" t="s">
        <v>21</v>
      </c>
      <c r="O190" s="1">
        <v>2.62556660934E11</v>
      </c>
    </row>
    <row r="191">
      <c r="A191" s="1">
        <v>2813968.0</v>
      </c>
      <c r="B191" s="1" t="s">
        <v>2049</v>
      </c>
      <c r="C191" s="1" t="b">
        <v>1</v>
      </c>
      <c r="D191" s="1" t="b">
        <v>1</v>
      </c>
      <c r="E191" s="1" t="s">
        <v>2050</v>
      </c>
      <c r="F191" s="1" t="s">
        <v>1822</v>
      </c>
      <c r="G191" s="2">
        <f>+251954701961</f>
        <v>251954701961</v>
      </c>
      <c r="H191" s="1" t="s">
        <v>18</v>
      </c>
      <c r="I191" s="1" t="s">
        <v>19</v>
      </c>
      <c r="J191" s="1" t="s">
        <v>19</v>
      </c>
      <c r="K191" s="1" t="s">
        <v>25</v>
      </c>
      <c r="L191" s="1">
        <v>25.15</v>
      </c>
      <c r="M191" s="1" t="s">
        <v>21</v>
      </c>
      <c r="O191" s="1">
        <v>8795738.0</v>
      </c>
    </row>
    <row r="192">
      <c r="A192" s="1">
        <v>298804.0</v>
      </c>
      <c r="B192" s="1" t="s">
        <v>2051</v>
      </c>
      <c r="C192" s="1" t="b">
        <v>1</v>
      </c>
      <c r="D192" s="1" t="b">
        <v>1</v>
      </c>
      <c r="E192" s="1" t="s">
        <v>2052</v>
      </c>
      <c r="F192" s="1" t="s">
        <v>130</v>
      </c>
      <c r="G192" s="1">
        <v>9.68608134E8</v>
      </c>
      <c r="H192" s="1" t="s">
        <v>18</v>
      </c>
      <c r="I192" s="1" t="s">
        <v>19</v>
      </c>
      <c r="J192" s="1" t="s">
        <v>19</v>
      </c>
      <c r="K192" s="1" t="s">
        <v>25</v>
      </c>
      <c r="L192" s="1">
        <v>22.61</v>
      </c>
      <c r="M192" s="1" t="s">
        <v>33</v>
      </c>
      <c r="N192" s="1" t="s">
        <v>166</v>
      </c>
      <c r="O192" s="1">
        <v>2.5110289E7</v>
      </c>
    </row>
    <row r="193">
      <c r="A193" s="1">
        <v>2814387.0</v>
      </c>
      <c r="B193" s="1" t="s">
        <v>2053</v>
      </c>
      <c r="C193" s="1" t="b">
        <v>1</v>
      </c>
      <c r="D193" s="1" t="b">
        <v>1</v>
      </c>
      <c r="E193" s="1" t="s">
        <v>2054</v>
      </c>
      <c r="F193" s="1" t="s">
        <v>2055</v>
      </c>
      <c r="G193" s="2">
        <f>+251945837272</f>
        <v>251945837272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20.94</v>
      </c>
      <c r="M193" s="1" t="s">
        <v>33</v>
      </c>
      <c r="N193" s="1" t="s">
        <v>118</v>
      </c>
      <c r="O193" s="1">
        <v>2.62731164883E11</v>
      </c>
    </row>
    <row r="194">
      <c r="A194" s="1">
        <v>2814665.0</v>
      </c>
      <c r="B194" s="1" t="s">
        <v>2056</v>
      </c>
      <c r="C194" s="1" t="b">
        <v>1</v>
      </c>
      <c r="D194" s="1" t="b">
        <v>1</v>
      </c>
      <c r="E194" s="1" t="s">
        <v>2057</v>
      </c>
      <c r="F194" s="1" t="s">
        <v>2058</v>
      </c>
      <c r="G194" s="2">
        <f>+251912037178</f>
        <v>251912037178</v>
      </c>
      <c r="H194" s="1" t="s">
        <v>18</v>
      </c>
      <c r="I194" s="1" t="s">
        <v>19</v>
      </c>
      <c r="J194" s="1" t="s">
        <v>19</v>
      </c>
      <c r="K194" s="1" t="s">
        <v>25</v>
      </c>
      <c r="L194" s="1">
        <v>44.67</v>
      </c>
      <c r="M194" s="1" t="s">
        <v>33</v>
      </c>
      <c r="N194" s="1" t="s">
        <v>65</v>
      </c>
    </row>
    <row r="195">
      <c r="A195" s="1">
        <v>1614615.0</v>
      </c>
      <c r="B195" s="1" t="s">
        <v>2059</v>
      </c>
      <c r="C195" s="1" t="b">
        <v>1</v>
      </c>
      <c r="D195" s="1" t="b">
        <v>1</v>
      </c>
      <c r="E195" s="1" t="s">
        <v>110</v>
      </c>
      <c r="F195" s="1" t="s">
        <v>2060</v>
      </c>
      <c r="G195" s="1">
        <v>9.21308429E8</v>
      </c>
      <c r="H195" s="1" t="s">
        <v>18</v>
      </c>
      <c r="I195" s="1" t="s">
        <v>19</v>
      </c>
      <c r="J195" s="1" t="s">
        <v>19</v>
      </c>
      <c r="K195" s="1" t="s">
        <v>25</v>
      </c>
      <c r="L195" s="1">
        <v>24.73</v>
      </c>
      <c r="M195" s="1" t="s">
        <v>21</v>
      </c>
    </row>
    <row r="196">
      <c r="A196" s="1">
        <v>2817277.0</v>
      </c>
      <c r="B196" s="1" t="s">
        <v>2061</v>
      </c>
      <c r="C196" s="1" t="b">
        <v>1</v>
      </c>
      <c r="D196" s="1" t="b">
        <v>1</v>
      </c>
      <c r="E196" s="1" t="s">
        <v>2062</v>
      </c>
      <c r="F196" s="1" t="s">
        <v>2063</v>
      </c>
      <c r="G196" s="2">
        <f>+251940109167</f>
        <v>251940109167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28.43</v>
      </c>
      <c r="M196" s="1" t="s">
        <v>21</v>
      </c>
      <c r="O196" s="1">
        <v>2.63083230451E11</v>
      </c>
    </row>
    <row r="197">
      <c r="A197" s="1">
        <v>2819217.0</v>
      </c>
      <c r="B197" s="1" t="s">
        <v>2064</v>
      </c>
      <c r="C197" s="1" t="b">
        <v>1</v>
      </c>
      <c r="D197" s="1" t="b">
        <v>1</v>
      </c>
      <c r="E197" s="1" t="s">
        <v>2065</v>
      </c>
      <c r="F197" s="1" t="s">
        <v>896</v>
      </c>
      <c r="G197" s="2">
        <f>+251946411534</f>
        <v>251946411534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20.1</v>
      </c>
      <c r="M197" s="1" t="s">
        <v>33</v>
      </c>
      <c r="N197" s="1" t="s">
        <v>34</v>
      </c>
    </row>
    <row r="198">
      <c r="A198" s="1">
        <v>2820124.0</v>
      </c>
      <c r="B198" s="1" t="s">
        <v>2066</v>
      </c>
      <c r="C198" s="1" t="b">
        <v>1</v>
      </c>
      <c r="D198" s="1" t="b">
        <v>1</v>
      </c>
      <c r="E198" s="1" t="s">
        <v>1570</v>
      </c>
      <c r="F198" s="1" t="s">
        <v>1274</v>
      </c>
      <c r="G198" s="2">
        <f>+251951159631</f>
        <v>251951159631</v>
      </c>
      <c r="H198" s="1" t="s">
        <v>131</v>
      </c>
      <c r="I198" s="1" t="s">
        <v>19</v>
      </c>
      <c r="J198" s="1" t="s">
        <v>19</v>
      </c>
      <c r="K198" s="1" t="s">
        <v>25</v>
      </c>
      <c r="L198" s="1">
        <v>22.92</v>
      </c>
      <c r="M198" s="1" t="s">
        <v>21</v>
      </c>
    </row>
    <row r="199">
      <c r="A199" s="1">
        <v>2820762.0</v>
      </c>
      <c r="B199" s="1" t="s">
        <v>2067</v>
      </c>
      <c r="C199" s="1" t="b">
        <v>1</v>
      </c>
      <c r="D199" s="1" t="b">
        <v>1</v>
      </c>
      <c r="E199" s="1" t="s">
        <v>2068</v>
      </c>
      <c r="F199" s="1" t="s">
        <v>91</v>
      </c>
      <c r="G199" s="2">
        <f>+251923043667</f>
        <v>251923043667</v>
      </c>
      <c r="H199" s="1" t="s">
        <v>18</v>
      </c>
      <c r="I199" s="1" t="s">
        <v>19</v>
      </c>
      <c r="J199" s="1" t="s">
        <v>19</v>
      </c>
      <c r="K199" s="1" t="s">
        <v>20</v>
      </c>
      <c r="L199" s="1">
        <v>29.26</v>
      </c>
      <c r="M199" s="1" t="s">
        <v>21</v>
      </c>
      <c r="O199" s="1">
        <v>1841334.0</v>
      </c>
    </row>
    <row r="200">
      <c r="A200" s="1">
        <v>2820853.0</v>
      </c>
      <c r="B200" s="1" t="s">
        <v>2069</v>
      </c>
      <c r="C200" s="1" t="b">
        <v>1</v>
      </c>
      <c r="D200" s="1" t="b">
        <v>1</v>
      </c>
      <c r="E200" s="1" t="s">
        <v>2070</v>
      </c>
      <c r="F200" s="1" t="s">
        <v>2071</v>
      </c>
      <c r="G200" s="2">
        <f>+251943321944</f>
        <v>251943321944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26.28</v>
      </c>
      <c r="M200" s="1" t="s">
        <v>33</v>
      </c>
      <c r="N200" s="1" t="s">
        <v>65</v>
      </c>
    </row>
    <row r="201">
      <c r="A201" s="1">
        <v>2823077.0</v>
      </c>
      <c r="B201" s="1" t="s">
        <v>2072</v>
      </c>
      <c r="C201" s="1" t="b">
        <v>1</v>
      </c>
      <c r="D201" s="1" t="b">
        <v>1</v>
      </c>
      <c r="E201" s="1" t="s">
        <v>2073</v>
      </c>
      <c r="F201" s="1" t="s">
        <v>328</v>
      </c>
      <c r="G201" s="2">
        <f>+251979495017</f>
        <v>251979495017</v>
      </c>
      <c r="H201" s="1" t="s">
        <v>18</v>
      </c>
      <c r="I201" s="1" t="s">
        <v>19</v>
      </c>
      <c r="J201" s="1" t="s">
        <v>19</v>
      </c>
      <c r="K201" s="1" t="s">
        <v>20</v>
      </c>
      <c r="L201" s="1">
        <v>18.75</v>
      </c>
      <c r="M201" s="1" t="s">
        <v>21</v>
      </c>
    </row>
    <row r="202">
      <c r="A202" s="1">
        <v>1124969.0</v>
      </c>
      <c r="B202" s="1" t="s">
        <v>2074</v>
      </c>
      <c r="C202" s="1" t="b">
        <v>1</v>
      </c>
      <c r="D202" s="1" t="b">
        <v>1</v>
      </c>
      <c r="E202" s="1" t="s">
        <v>29</v>
      </c>
      <c r="F202" s="1" t="s">
        <v>2075</v>
      </c>
      <c r="G202" s="2">
        <f>+251923989880</f>
        <v>251923989880</v>
      </c>
      <c r="H202" s="1" t="s">
        <v>18</v>
      </c>
      <c r="I202" s="1" t="s">
        <v>19</v>
      </c>
      <c r="J202" s="1" t="s">
        <v>19</v>
      </c>
      <c r="K202" s="1" t="s">
        <v>25</v>
      </c>
      <c r="L202" s="1">
        <v>25.24</v>
      </c>
      <c r="M202" s="1" t="s">
        <v>33</v>
      </c>
      <c r="N202" s="1" t="s">
        <v>177</v>
      </c>
      <c r="O202" s="1">
        <v>7.481115892E9</v>
      </c>
    </row>
    <row r="203">
      <c r="A203" s="1">
        <v>2823975.0</v>
      </c>
      <c r="B203" s="1" t="s">
        <v>2076</v>
      </c>
      <c r="C203" s="1" t="b">
        <v>1</v>
      </c>
      <c r="D203" s="1" t="b">
        <v>1</v>
      </c>
      <c r="E203" s="1" t="s">
        <v>2077</v>
      </c>
      <c r="F203" s="1" t="s">
        <v>2078</v>
      </c>
      <c r="G203" s="2">
        <f>+251900478653</f>
        <v>251900478653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21.97</v>
      </c>
      <c r="M203" s="1" t="s">
        <v>21</v>
      </c>
      <c r="O203" s="1">
        <v>3366612.0</v>
      </c>
    </row>
    <row r="204">
      <c r="A204" s="1">
        <v>2824399.0</v>
      </c>
      <c r="B204" s="1" t="s">
        <v>2079</v>
      </c>
      <c r="C204" s="1" t="b">
        <v>1</v>
      </c>
      <c r="D204" s="1" t="b">
        <v>1</v>
      </c>
      <c r="E204" s="1" t="s">
        <v>2080</v>
      </c>
      <c r="F204" s="1" t="s">
        <v>2081</v>
      </c>
      <c r="G204" s="2">
        <f>+251928072970</f>
        <v>251928072970</v>
      </c>
      <c r="H204" s="1" t="s">
        <v>18</v>
      </c>
      <c r="I204" s="1" t="s">
        <v>19</v>
      </c>
      <c r="J204" s="1" t="s">
        <v>19</v>
      </c>
      <c r="K204" s="1" t="s">
        <v>20</v>
      </c>
      <c r="L204" s="1">
        <v>19.32</v>
      </c>
      <c r="M204" s="1" t="s">
        <v>33</v>
      </c>
      <c r="N204" s="1" t="s">
        <v>177</v>
      </c>
    </row>
    <row r="205">
      <c r="A205" s="1">
        <v>1228587.0</v>
      </c>
      <c r="B205" s="1" t="s">
        <v>2082</v>
      </c>
      <c r="C205" s="1" t="b">
        <v>1</v>
      </c>
      <c r="D205" s="1" t="b">
        <v>1</v>
      </c>
      <c r="E205" s="1" t="s">
        <v>2083</v>
      </c>
      <c r="F205" s="1" t="s">
        <v>2084</v>
      </c>
      <c r="G205" s="2">
        <f>+251945278803</f>
        <v>251945278803</v>
      </c>
      <c r="H205" s="1" t="s">
        <v>392</v>
      </c>
      <c r="I205" s="1" t="s">
        <v>19</v>
      </c>
      <c r="J205" s="1" t="s">
        <v>19</v>
      </c>
      <c r="K205" s="1" t="s">
        <v>25</v>
      </c>
      <c r="L205" s="1">
        <v>27.02</v>
      </c>
      <c r="M205" s="1" t="s">
        <v>21</v>
      </c>
      <c r="O205" s="1">
        <v>8774465.0</v>
      </c>
    </row>
    <row r="206">
      <c r="A206" s="1">
        <v>2718480.0</v>
      </c>
      <c r="B206" s="1" t="s">
        <v>2085</v>
      </c>
      <c r="C206" s="1" t="b">
        <v>1</v>
      </c>
      <c r="D206" s="1" t="b">
        <v>1</v>
      </c>
      <c r="E206" s="1" t="s">
        <v>2086</v>
      </c>
      <c r="F206" s="1" t="s">
        <v>2087</v>
      </c>
      <c r="G206" s="2">
        <f>+251939909569</f>
        <v>251939909569</v>
      </c>
      <c r="H206" s="1" t="s">
        <v>18</v>
      </c>
      <c r="I206" s="1" t="s">
        <v>19</v>
      </c>
      <c r="J206" s="1" t="s">
        <v>19</v>
      </c>
      <c r="K206" s="1" t="s">
        <v>20</v>
      </c>
      <c r="L206" s="1">
        <v>18.15</v>
      </c>
      <c r="M206" s="1" t="s">
        <v>21</v>
      </c>
      <c r="O206" s="1">
        <v>2.34812674251E11</v>
      </c>
    </row>
    <row r="207">
      <c r="A207" s="1">
        <v>2455067.0</v>
      </c>
      <c r="B207" s="1" t="s">
        <v>2088</v>
      </c>
      <c r="C207" s="1" t="b">
        <v>1</v>
      </c>
      <c r="D207" s="1" t="b">
        <v>1</v>
      </c>
      <c r="E207" s="1" t="s">
        <v>213</v>
      </c>
      <c r="F207" s="1" t="s">
        <v>2089</v>
      </c>
      <c r="G207" s="2">
        <f>+251927211608</f>
        <v>251927211608</v>
      </c>
      <c r="H207" s="1" t="s">
        <v>18</v>
      </c>
      <c r="I207" s="1" t="s">
        <v>19</v>
      </c>
      <c r="J207" s="1" t="s">
        <v>19</v>
      </c>
      <c r="K207" s="1" t="s">
        <v>25</v>
      </c>
      <c r="L207" s="1">
        <v>31.17</v>
      </c>
      <c r="M207" s="1" t="s">
        <v>33</v>
      </c>
      <c r="N207" s="1" t="s">
        <v>65</v>
      </c>
      <c r="O207" s="1">
        <v>1.09635460325E11</v>
      </c>
    </row>
    <row r="208">
      <c r="A208" s="1">
        <v>2264941.0</v>
      </c>
      <c r="B208" s="1" t="s">
        <v>2090</v>
      </c>
      <c r="C208" s="1" t="b">
        <v>1</v>
      </c>
      <c r="D208" s="1" t="b">
        <v>1</v>
      </c>
      <c r="E208" s="1" t="s">
        <v>2091</v>
      </c>
      <c r="F208" s="1" t="s">
        <v>195</v>
      </c>
      <c r="G208" s="2">
        <f>+251988815914</f>
        <v>251988815914</v>
      </c>
      <c r="H208" s="1" t="s">
        <v>18</v>
      </c>
      <c r="I208" s="1" t="s">
        <v>19</v>
      </c>
      <c r="J208" s="1" t="s">
        <v>19</v>
      </c>
      <c r="K208" s="1" t="s">
        <v>25</v>
      </c>
      <c r="L208" s="1">
        <v>18.75</v>
      </c>
      <c r="M208" s="1" t="s">
        <v>21</v>
      </c>
      <c r="O208" s="1">
        <v>3.483477373E10</v>
      </c>
    </row>
    <row r="209">
      <c r="A209" s="1">
        <v>2825947.0</v>
      </c>
      <c r="B209" s="1" t="s">
        <v>2092</v>
      </c>
      <c r="C209" s="1" t="b">
        <v>1</v>
      </c>
      <c r="D209" s="1" t="b">
        <v>1</v>
      </c>
      <c r="E209" s="1" t="s">
        <v>2036</v>
      </c>
      <c r="F209" s="1" t="s">
        <v>2093</v>
      </c>
      <c r="G209" s="2">
        <f>+251931340050</f>
        <v>251931340050</v>
      </c>
      <c r="H209" s="1" t="s">
        <v>18</v>
      </c>
      <c r="I209" s="1" t="s">
        <v>19</v>
      </c>
      <c r="J209" s="1" t="s">
        <v>19</v>
      </c>
      <c r="K209" s="1" t="s">
        <v>25</v>
      </c>
      <c r="L209" s="1">
        <v>33.07</v>
      </c>
      <c r="M209" s="1" t="s">
        <v>21</v>
      </c>
    </row>
    <row r="210">
      <c r="A210" s="1">
        <v>2826549.0</v>
      </c>
      <c r="B210" s="1" t="s">
        <v>2094</v>
      </c>
      <c r="C210" s="1" t="b">
        <v>1</v>
      </c>
      <c r="D210" s="1" t="b">
        <v>1</v>
      </c>
      <c r="E210" s="1" t="s">
        <v>2095</v>
      </c>
      <c r="F210" s="1" t="s">
        <v>2096</v>
      </c>
      <c r="G210" s="2">
        <f>+251935323332</f>
        <v>251935323332</v>
      </c>
      <c r="H210" s="1" t="s">
        <v>18</v>
      </c>
      <c r="I210" s="1" t="s">
        <v>19</v>
      </c>
      <c r="J210" s="1" t="s">
        <v>19</v>
      </c>
      <c r="K210" s="1" t="s">
        <v>25</v>
      </c>
      <c r="L210" s="1">
        <v>24.99</v>
      </c>
      <c r="M210" s="1" t="s">
        <v>21</v>
      </c>
      <c r="O210" s="1">
        <v>4.3393882843E10</v>
      </c>
    </row>
    <row r="211">
      <c r="A211" s="1">
        <v>2744511.0</v>
      </c>
      <c r="B211" s="1" t="s">
        <v>2097</v>
      </c>
      <c r="C211" s="1" t="b">
        <v>1</v>
      </c>
      <c r="D211" s="1" t="b">
        <v>1</v>
      </c>
      <c r="E211" s="1" t="s">
        <v>2098</v>
      </c>
      <c r="F211" s="1" t="s">
        <v>2099</v>
      </c>
      <c r="G211" s="2">
        <f>+251922456862</f>
        <v>251922456862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21.35</v>
      </c>
      <c r="M211" s="1" t="s">
        <v>21</v>
      </c>
      <c r="O211" s="1">
        <v>2.42192733382E11</v>
      </c>
    </row>
    <row r="212">
      <c r="A212" s="1">
        <v>2827758.0</v>
      </c>
      <c r="B212" s="1" t="s">
        <v>2100</v>
      </c>
      <c r="C212" s="1" t="b">
        <v>1</v>
      </c>
      <c r="D212" s="1" t="b">
        <v>1</v>
      </c>
      <c r="E212" s="1" t="s">
        <v>360</v>
      </c>
      <c r="F212" s="1" t="s">
        <v>29</v>
      </c>
      <c r="G212" s="2">
        <f>+251900397679</f>
        <v>251900397679</v>
      </c>
      <c r="H212" s="1" t="s">
        <v>18</v>
      </c>
      <c r="I212" s="1" t="s">
        <v>19</v>
      </c>
      <c r="J212" s="1" t="s">
        <v>19</v>
      </c>
      <c r="K212" s="1" t="s">
        <v>25</v>
      </c>
      <c r="L212" s="1">
        <v>23.43</v>
      </c>
      <c r="M212" s="1" t="s">
        <v>21</v>
      </c>
      <c r="O212" s="1">
        <v>2.65731413182E11</v>
      </c>
    </row>
    <row r="213">
      <c r="A213" s="1">
        <v>272683.0</v>
      </c>
      <c r="B213" s="1" t="s">
        <v>2101</v>
      </c>
      <c r="C213" s="1" t="b">
        <v>1</v>
      </c>
      <c r="D213" s="1" t="b">
        <v>1</v>
      </c>
      <c r="E213" s="1" t="s">
        <v>2102</v>
      </c>
      <c r="F213" s="1" t="s">
        <v>2103</v>
      </c>
      <c r="G213" s="1">
        <v>9.18967758E8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23.87</v>
      </c>
      <c r="M213" s="1" t="s">
        <v>33</v>
      </c>
      <c r="N213" s="1" t="s">
        <v>65</v>
      </c>
      <c r="O213" s="1">
        <v>686129.0</v>
      </c>
    </row>
    <row r="214">
      <c r="A214" s="1">
        <v>2828718.0</v>
      </c>
      <c r="B214" s="1" t="s">
        <v>2104</v>
      </c>
      <c r="C214" s="1" t="b">
        <v>1</v>
      </c>
      <c r="D214" s="1" t="b">
        <v>1</v>
      </c>
      <c r="E214" s="1" t="s">
        <v>771</v>
      </c>
      <c r="F214" s="1" t="s">
        <v>2105</v>
      </c>
      <c r="G214" s="2">
        <f>+251985726964</f>
        <v>251985726964</v>
      </c>
      <c r="H214" s="1" t="s">
        <v>18</v>
      </c>
      <c r="I214" s="1" t="s">
        <v>19</v>
      </c>
      <c r="J214" s="1" t="s">
        <v>19</v>
      </c>
      <c r="K214" s="1" t="s">
        <v>25</v>
      </c>
      <c r="L214" s="1">
        <v>21.43</v>
      </c>
      <c r="M214" s="1" t="s">
        <v>33</v>
      </c>
      <c r="N214" s="1" t="s">
        <v>76</v>
      </c>
    </row>
    <row r="215">
      <c r="A215" s="1">
        <v>2727701.0</v>
      </c>
      <c r="B215" s="1" t="s">
        <v>2106</v>
      </c>
      <c r="C215" s="1" t="b">
        <v>1</v>
      </c>
      <c r="D215" s="1" t="b">
        <v>1</v>
      </c>
      <c r="E215" s="1" t="s">
        <v>2107</v>
      </c>
      <c r="F215" s="1" t="s">
        <v>744</v>
      </c>
      <c r="G215" s="2">
        <f>+251923043154</f>
        <v>251923043154</v>
      </c>
      <c r="H215" s="1" t="s">
        <v>18</v>
      </c>
      <c r="I215" s="1" t="s">
        <v>19</v>
      </c>
      <c r="J215" s="1" t="s">
        <v>19</v>
      </c>
      <c r="K215" s="1" t="s">
        <v>25</v>
      </c>
      <c r="L215" s="1">
        <v>32.09</v>
      </c>
      <c r="M215" s="1" t="s">
        <v>33</v>
      </c>
      <c r="N215" s="1" t="s">
        <v>166</v>
      </c>
      <c r="O215" s="1">
        <v>1124828.0</v>
      </c>
    </row>
    <row r="216">
      <c r="A216" s="1">
        <v>2829716.0</v>
      </c>
      <c r="B216" s="1" t="s">
        <v>2108</v>
      </c>
      <c r="C216" s="1" t="b">
        <v>0</v>
      </c>
      <c r="D216" s="1" t="b">
        <v>1</v>
      </c>
      <c r="E216" s="1" t="s">
        <v>625</v>
      </c>
      <c r="F216" s="1" t="s">
        <v>316</v>
      </c>
      <c r="G216" s="2">
        <f>+251949332733</f>
        <v>251949332733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20.53</v>
      </c>
      <c r="M216" s="1" t="s">
        <v>26</v>
      </c>
      <c r="O216" s="1">
        <v>2.66528868582E11</v>
      </c>
    </row>
    <row r="217">
      <c r="A217" s="1">
        <v>2806718.0</v>
      </c>
      <c r="B217" s="1" t="s">
        <v>2109</v>
      </c>
      <c r="C217" s="1" t="b">
        <v>1</v>
      </c>
      <c r="D217" s="1" t="b">
        <v>1</v>
      </c>
      <c r="E217" s="1" t="s">
        <v>447</v>
      </c>
      <c r="F217" s="1" t="s">
        <v>601</v>
      </c>
      <c r="G217" s="2">
        <f>+251977882532</f>
        <v>251977882532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22.7</v>
      </c>
      <c r="M217" s="1" t="s">
        <v>21</v>
      </c>
      <c r="O217" s="1">
        <v>2.61376794867E11</v>
      </c>
    </row>
    <row r="218">
      <c r="A218" s="1">
        <v>2829955.0</v>
      </c>
      <c r="B218" s="1" t="s">
        <v>2110</v>
      </c>
      <c r="C218" s="1" t="b">
        <v>1</v>
      </c>
      <c r="D218" s="1" t="b">
        <v>1</v>
      </c>
      <c r="E218" s="1" t="s">
        <v>2111</v>
      </c>
      <c r="F218" s="1" t="s">
        <v>2112</v>
      </c>
      <c r="G218" s="2">
        <f>+251905146563</f>
        <v>251905146563</v>
      </c>
      <c r="H218" s="1" t="s">
        <v>72</v>
      </c>
      <c r="I218" s="1" t="s">
        <v>19</v>
      </c>
      <c r="J218" s="1" t="s">
        <v>19</v>
      </c>
      <c r="K218" s="1" t="s">
        <v>20</v>
      </c>
      <c r="L218" s="1">
        <v>37.53</v>
      </c>
      <c r="M218" s="1" t="s">
        <v>33</v>
      </c>
      <c r="N218" s="1" t="s">
        <v>65</v>
      </c>
      <c r="O218" s="1">
        <v>8899111.0</v>
      </c>
    </row>
    <row r="219">
      <c r="A219" s="1">
        <v>1893303.0</v>
      </c>
      <c r="B219" s="1" t="s">
        <v>2113</v>
      </c>
      <c r="C219" s="1" t="b">
        <v>1</v>
      </c>
      <c r="D219" s="1" t="b">
        <v>1</v>
      </c>
      <c r="E219" s="1" t="s">
        <v>113</v>
      </c>
      <c r="F219" s="1" t="s">
        <v>1077</v>
      </c>
      <c r="G219" s="2">
        <f>+251946691282</f>
        <v>251946691282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29.36</v>
      </c>
      <c r="M219" s="1" t="s">
        <v>21</v>
      </c>
      <c r="O219" s="1">
        <v>1672144.0</v>
      </c>
    </row>
    <row r="220">
      <c r="A220" s="1">
        <v>877907.0</v>
      </c>
      <c r="B220" s="1" t="s">
        <v>2114</v>
      </c>
      <c r="C220" s="1" t="b">
        <v>1</v>
      </c>
      <c r="D220" s="1" t="b">
        <v>0</v>
      </c>
      <c r="E220" s="1" t="s">
        <v>384</v>
      </c>
      <c r="F220" s="1" t="s">
        <v>2115</v>
      </c>
      <c r="G220" s="2">
        <f>+251989985456</f>
        <v>251989985456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22.74</v>
      </c>
      <c r="M220" s="1" t="s">
        <v>21</v>
      </c>
      <c r="O220" s="1">
        <v>6026813.0</v>
      </c>
    </row>
    <row r="221">
      <c r="A221" s="1">
        <v>2831437.0</v>
      </c>
      <c r="B221" s="1" t="s">
        <v>2116</v>
      </c>
      <c r="C221" s="1" t="b">
        <v>1</v>
      </c>
      <c r="D221" s="1" t="b">
        <v>1</v>
      </c>
      <c r="E221" s="1" t="s">
        <v>2117</v>
      </c>
      <c r="F221" s="1" t="s">
        <v>405</v>
      </c>
      <c r="G221" s="2">
        <f>+251979382872</f>
        <v>251979382872</v>
      </c>
      <c r="H221" s="1" t="s">
        <v>335</v>
      </c>
      <c r="I221" s="1" t="s">
        <v>19</v>
      </c>
      <c r="J221" s="1" t="s">
        <v>19</v>
      </c>
      <c r="K221" s="1" t="s">
        <v>25</v>
      </c>
      <c r="L221" s="1">
        <v>20.82</v>
      </c>
      <c r="M221" s="1" t="s">
        <v>33</v>
      </c>
      <c r="N221" s="1" t="s">
        <v>166</v>
      </c>
      <c r="O221" s="1">
        <v>2.67443444963E11</v>
      </c>
    </row>
    <row r="222">
      <c r="A222" s="1">
        <v>86249.0</v>
      </c>
      <c r="B222" s="1" t="s">
        <v>2118</v>
      </c>
      <c r="C222" s="1" t="b">
        <v>1</v>
      </c>
      <c r="D222" s="1" t="b">
        <v>1</v>
      </c>
      <c r="E222" s="1" t="s">
        <v>2119</v>
      </c>
      <c r="F222" s="1" t="s">
        <v>2120</v>
      </c>
      <c r="G222" s="2">
        <f>+251942029245</f>
        <v>251942029245</v>
      </c>
      <c r="H222" s="1" t="s">
        <v>18</v>
      </c>
      <c r="I222" s="1" t="s">
        <v>19</v>
      </c>
      <c r="J222" s="1" t="s">
        <v>19</v>
      </c>
      <c r="K222" s="1" t="s">
        <v>25</v>
      </c>
      <c r="L222" s="1">
        <v>24.06</v>
      </c>
      <c r="M222" s="1" t="s">
        <v>21</v>
      </c>
      <c r="O222" s="1">
        <v>1745207.0</v>
      </c>
    </row>
    <row r="223">
      <c r="A223" s="1">
        <v>2144859.0</v>
      </c>
      <c r="B223" s="1" t="s">
        <v>2121</v>
      </c>
      <c r="C223" s="1" t="b">
        <v>1</v>
      </c>
      <c r="D223" s="1" t="b">
        <v>1</v>
      </c>
      <c r="E223" s="1" t="s">
        <v>2122</v>
      </c>
      <c r="F223" s="1" t="s">
        <v>2123</v>
      </c>
      <c r="G223" s="2">
        <f>+251995074162</f>
        <v>251995074162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32.39</v>
      </c>
      <c r="M223" s="1" t="s">
        <v>21</v>
      </c>
      <c r="O223" s="1">
        <v>3.926161684E10</v>
      </c>
    </row>
    <row r="224">
      <c r="A224" s="1">
        <v>2831631.0</v>
      </c>
      <c r="B224" s="1" t="s">
        <v>2124</v>
      </c>
      <c r="C224" s="1" t="b">
        <v>1</v>
      </c>
      <c r="D224" s="1" t="b">
        <v>1</v>
      </c>
      <c r="E224" s="1" t="s">
        <v>500</v>
      </c>
      <c r="F224" s="1" t="s">
        <v>328</v>
      </c>
      <c r="G224" s="2">
        <f>+251985962697</f>
        <v>251985962697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22.83</v>
      </c>
      <c r="M224" s="1" t="s">
        <v>33</v>
      </c>
      <c r="N224" s="1" t="s">
        <v>34</v>
      </c>
      <c r="O224" s="1">
        <v>7657351.0</v>
      </c>
    </row>
    <row r="225">
      <c r="A225" s="1">
        <v>2832192.0</v>
      </c>
      <c r="B225" s="1" t="s">
        <v>2125</v>
      </c>
      <c r="C225" s="1" t="b">
        <v>1</v>
      </c>
      <c r="D225" s="1" t="b">
        <v>1</v>
      </c>
      <c r="E225" s="1" t="s">
        <v>1614</v>
      </c>
      <c r="F225" s="1" t="s">
        <v>2126</v>
      </c>
      <c r="G225" s="2">
        <f>+251934317457</f>
        <v>251934317457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24.11</v>
      </c>
      <c r="M225" s="1" t="s">
        <v>21</v>
      </c>
      <c r="O225" s="1">
        <v>2.67731798222E11</v>
      </c>
    </row>
    <row r="226">
      <c r="A226" s="1">
        <v>741868.0</v>
      </c>
      <c r="B226" s="1" t="s">
        <v>2127</v>
      </c>
      <c r="C226" s="1" t="b">
        <v>1</v>
      </c>
      <c r="D226" s="1" t="b">
        <v>0</v>
      </c>
      <c r="E226" s="1" t="s">
        <v>2128</v>
      </c>
      <c r="F226" s="1" t="s">
        <v>2129</v>
      </c>
      <c r="G226" s="2">
        <f>+251902031546</f>
        <v>251902031546</v>
      </c>
      <c r="H226" s="1" t="s">
        <v>335</v>
      </c>
      <c r="I226" s="1" t="s">
        <v>19</v>
      </c>
      <c r="J226" s="1" t="s">
        <v>19</v>
      </c>
      <c r="K226" s="1" t="s">
        <v>20</v>
      </c>
      <c r="L226" s="1">
        <v>26.86</v>
      </c>
      <c r="M226" s="1" t="s">
        <v>21</v>
      </c>
      <c r="O226" s="1">
        <v>1266639.0</v>
      </c>
    </row>
    <row r="227">
      <c r="A227" s="1">
        <v>2648877.0</v>
      </c>
      <c r="B227" s="1" t="s">
        <v>2130</v>
      </c>
      <c r="C227" s="1" t="b">
        <v>1</v>
      </c>
      <c r="D227" s="1" t="b">
        <v>1</v>
      </c>
      <c r="E227" s="1" t="s">
        <v>1848</v>
      </c>
      <c r="F227" s="1" t="s">
        <v>241</v>
      </c>
      <c r="G227" s="2">
        <f>+251985914476</f>
        <v>251985914476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20.56</v>
      </c>
      <c r="M227" s="1" t="s">
        <v>33</v>
      </c>
      <c r="N227" s="1" t="s">
        <v>65</v>
      </c>
      <c r="O227" s="1">
        <v>2.07917539524E11</v>
      </c>
    </row>
    <row r="228">
      <c r="A228" s="1">
        <v>2832581.0</v>
      </c>
      <c r="B228" s="1" t="s">
        <v>2131</v>
      </c>
      <c r="C228" s="1" t="b">
        <v>0</v>
      </c>
      <c r="D228" s="1" t="b">
        <v>0</v>
      </c>
      <c r="E228" s="1" t="s">
        <v>2132</v>
      </c>
      <c r="F228" s="1" t="s">
        <v>2133</v>
      </c>
      <c r="G228" s="2">
        <f>+251993595228</f>
        <v>251993595228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22.12</v>
      </c>
      <c r="M228" s="1" t="s">
        <v>26</v>
      </c>
      <c r="O228" s="1">
        <v>2.67891837162E11</v>
      </c>
    </row>
    <row r="229">
      <c r="A229" s="1">
        <v>2832926.0</v>
      </c>
      <c r="B229" s="1" t="s">
        <v>2134</v>
      </c>
      <c r="C229" s="1" t="b">
        <v>1</v>
      </c>
      <c r="D229" s="1" t="b">
        <v>1</v>
      </c>
      <c r="E229" s="1" t="s">
        <v>2135</v>
      </c>
      <c r="F229" s="1" t="s">
        <v>2136</v>
      </c>
      <c r="G229" s="2">
        <f>+251927463201</f>
        <v>251927463201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24.61</v>
      </c>
      <c r="M229" s="1" t="s">
        <v>21</v>
      </c>
      <c r="O229" s="1">
        <v>8871910.0</v>
      </c>
    </row>
    <row r="230">
      <c r="A230" s="1">
        <v>2792355.0</v>
      </c>
      <c r="B230" s="1" t="s">
        <v>2137</v>
      </c>
      <c r="C230" s="1" t="b">
        <v>1</v>
      </c>
      <c r="D230" s="1" t="b">
        <v>1</v>
      </c>
      <c r="E230" s="1" t="s">
        <v>37</v>
      </c>
      <c r="F230" s="1" t="s">
        <v>1760</v>
      </c>
      <c r="G230" s="2">
        <f>+251925396586</f>
        <v>251925396586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23.13</v>
      </c>
      <c r="M230" s="1" t="s">
        <v>21</v>
      </c>
      <c r="O230" s="1">
        <v>2.57950390482E11</v>
      </c>
    </row>
    <row r="231">
      <c r="A231" s="1">
        <v>2251916.0</v>
      </c>
      <c r="B231" s="1" t="s">
        <v>2138</v>
      </c>
      <c r="C231" s="1" t="b">
        <v>1</v>
      </c>
      <c r="D231" s="1" t="b">
        <v>1</v>
      </c>
      <c r="E231" s="1" t="s">
        <v>2139</v>
      </c>
      <c r="F231" s="1" t="s">
        <v>2140</v>
      </c>
      <c r="G231" s="2">
        <f>+251918968852</f>
        <v>251918968852</v>
      </c>
      <c r="H231" s="1" t="s">
        <v>18</v>
      </c>
      <c r="I231" s="1" t="s">
        <v>19</v>
      </c>
      <c r="J231" s="1" t="s">
        <v>19</v>
      </c>
      <c r="K231" s="1" t="s">
        <v>25</v>
      </c>
      <c r="L231" s="1">
        <v>18.35</v>
      </c>
      <c r="M231" s="1" t="s">
        <v>21</v>
      </c>
    </row>
    <row r="232">
      <c r="A232" s="1">
        <v>2833932.0</v>
      </c>
      <c r="B232" s="1" t="s">
        <v>2141</v>
      </c>
      <c r="C232" s="1" t="b">
        <v>1</v>
      </c>
      <c r="D232" s="1" t="b">
        <v>1</v>
      </c>
      <c r="E232" s="1" t="s">
        <v>213</v>
      </c>
      <c r="F232" s="1" t="s">
        <v>2142</v>
      </c>
      <c r="G232" s="2">
        <f>+251939262613</f>
        <v>251939262613</v>
      </c>
      <c r="H232" s="1" t="s">
        <v>18</v>
      </c>
      <c r="I232" s="1" t="s">
        <v>19</v>
      </c>
      <c r="J232" s="1" t="s">
        <v>19</v>
      </c>
      <c r="K232" s="1" t="s">
        <v>25</v>
      </c>
      <c r="L232" s="1">
        <v>20.09</v>
      </c>
      <c r="M232" s="1" t="s">
        <v>26</v>
      </c>
      <c r="O232" s="1">
        <v>2.68836489451E11</v>
      </c>
    </row>
    <row r="233">
      <c r="A233" s="1">
        <v>2833943.0</v>
      </c>
      <c r="B233" s="1" t="s">
        <v>2143</v>
      </c>
      <c r="C233" s="1" t="b">
        <v>1</v>
      </c>
      <c r="D233" s="1" t="b">
        <v>1</v>
      </c>
      <c r="E233" s="1" t="s">
        <v>60</v>
      </c>
      <c r="F233" s="1" t="s">
        <v>1827</v>
      </c>
      <c r="G233" s="2">
        <f>+251988168953</f>
        <v>251988168953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22.24</v>
      </c>
      <c r="M233" s="1" t="s">
        <v>33</v>
      </c>
      <c r="N233" s="1" t="s">
        <v>65</v>
      </c>
    </row>
    <row r="234">
      <c r="A234" s="1">
        <v>2834119.0</v>
      </c>
      <c r="B234" s="1" t="s">
        <v>2144</v>
      </c>
      <c r="C234" s="1" t="b">
        <v>1</v>
      </c>
      <c r="D234" s="1" t="b">
        <v>1</v>
      </c>
      <c r="E234" s="1" t="s">
        <v>2145</v>
      </c>
      <c r="F234" s="1" t="s">
        <v>2146</v>
      </c>
      <c r="G234" s="2">
        <f>+251927236157</f>
        <v>251927236157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20.8</v>
      </c>
      <c r="M234" s="1" t="s">
        <v>21</v>
      </c>
    </row>
    <row r="235">
      <c r="A235" s="1">
        <v>207731.0</v>
      </c>
      <c r="B235" s="1" t="s">
        <v>2147</v>
      </c>
      <c r="C235" s="1" t="b">
        <v>1</v>
      </c>
      <c r="D235" s="1" t="b">
        <v>1</v>
      </c>
      <c r="E235" s="1" t="s">
        <v>2148</v>
      </c>
      <c r="F235" s="1" t="s">
        <v>2149</v>
      </c>
      <c r="G235" s="2">
        <f>+251987076362</f>
        <v>251987076362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23.8</v>
      </c>
      <c r="M235" s="1" t="s">
        <v>21</v>
      </c>
      <c r="O235" s="1">
        <v>1231063.0</v>
      </c>
    </row>
    <row r="236">
      <c r="A236" s="1">
        <v>2622561.0</v>
      </c>
      <c r="B236" s="1" t="s">
        <v>2150</v>
      </c>
      <c r="C236" s="1" t="b">
        <v>1</v>
      </c>
      <c r="D236" s="1" t="b">
        <v>1</v>
      </c>
      <c r="E236" s="1" t="s">
        <v>2151</v>
      </c>
      <c r="F236" s="1" t="s">
        <v>141</v>
      </c>
      <c r="G236" s="2">
        <f>+251904602220</f>
        <v>251904602220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25.32</v>
      </c>
      <c r="M236" s="1" t="s">
        <v>21</v>
      </c>
      <c r="O236" s="1">
        <v>1.96497897705E11</v>
      </c>
    </row>
    <row r="237">
      <c r="A237" s="1">
        <v>2835494.0</v>
      </c>
      <c r="B237" s="1" t="s">
        <v>2152</v>
      </c>
      <c r="C237" s="1" t="b">
        <v>1</v>
      </c>
      <c r="D237" s="1" t="b">
        <v>1</v>
      </c>
      <c r="E237" s="1" t="s">
        <v>2153</v>
      </c>
      <c r="F237" s="1" t="s">
        <v>29</v>
      </c>
      <c r="G237" s="2">
        <f>+251911196708</f>
        <v>251911196708</v>
      </c>
      <c r="H237" s="1" t="s">
        <v>18</v>
      </c>
      <c r="I237" s="1" t="s">
        <v>19</v>
      </c>
      <c r="J237" s="1" t="s">
        <v>19</v>
      </c>
      <c r="K237" s="1" t="s">
        <v>20</v>
      </c>
      <c r="L237" s="1">
        <v>38.33</v>
      </c>
      <c r="M237" s="1" t="s">
        <v>21</v>
      </c>
      <c r="O237" s="1">
        <v>2.6925715946E10</v>
      </c>
    </row>
    <row r="238">
      <c r="A238" s="1">
        <v>141178.0</v>
      </c>
      <c r="B238" s="1" t="s">
        <v>851</v>
      </c>
      <c r="C238" s="1" t="b">
        <v>1</v>
      </c>
      <c r="D238" s="1" t="b">
        <v>1</v>
      </c>
      <c r="E238" s="1" t="s">
        <v>852</v>
      </c>
      <c r="F238" s="1" t="s">
        <v>853</v>
      </c>
      <c r="G238" s="2">
        <f>+10933714972</f>
        <v>10933714972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31.23</v>
      </c>
      <c r="M238" s="1" t="s">
        <v>21</v>
      </c>
      <c r="O238" s="1">
        <v>761091.0</v>
      </c>
    </row>
    <row r="239">
      <c r="A239" s="1">
        <v>2835846.0</v>
      </c>
      <c r="B239" s="1" t="s">
        <v>2154</v>
      </c>
      <c r="C239" s="1" t="b">
        <v>1</v>
      </c>
      <c r="D239" s="1" t="b">
        <v>1</v>
      </c>
      <c r="E239" s="1" t="s">
        <v>1861</v>
      </c>
      <c r="F239" s="1" t="s">
        <v>1862</v>
      </c>
      <c r="G239" s="2">
        <f>+251910067624</f>
        <v>251910067624</v>
      </c>
      <c r="H239" s="1" t="s">
        <v>18</v>
      </c>
      <c r="I239" s="1" t="s">
        <v>19</v>
      </c>
      <c r="J239" s="1" t="s">
        <v>19</v>
      </c>
      <c r="K239" s="1" t="s">
        <v>25</v>
      </c>
      <c r="L239" s="1">
        <v>27.25</v>
      </c>
      <c r="M239" s="1" t="s">
        <v>21</v>
      </c>
      <c r="O239" s="1">
        <v>2.70381369551E11</v>
      </c>
    </row>
    <row r="240">
      <c r="A240" s="1">
        <v>2836866.0</v>
      </c>
      <c r="B240" s="1" t="s">
        <v>1552</v>
      </c>
      <c r="C240" s="1" t="b">
        <v>1</v>
      </c>
      <c r="D240" s="1" t="b">
        <v>1</v>
      </c>
      <c r="E240" s="1" t="s">
        <v>1553</v>
      </c>
      <c r="F240" s="1" t="s">
        <v>716</v>
      </c>
      <c r="G240" s="2">
        <f>+251936635548</f>
        <v>251936635548</v>
      </c>
      <c r="H240" s="1" t="s">
        <v>18</v>
      </c>
      <c r="I240" s="1" t="s">
        <v>19</v>
      </c>
      <c r="J240" s="1" t="s">
        <v>19</v>
      </c>
      <c r="K240" s="1" t="s">
        <v>25</v>
      </c>
      <c r="L240" s="1">
        <v>27.4</v>
      </c>
      <c r="M240" s="1" t="s">
        <v>33</v>
      </c>
      <c r="N240" s="1" t="s">
        <v>65</v>
      </c>
      <c r="O240" s="1">
        <v>2.7135048621E11</v>
      </c>
    </row>
    <row r="241">
      <c r="A241" s="1">
        <v>2486906.0</v>
      </c>
      <c r="B241" s="1" t="s">
        <v>2155</v>
      </c>
      <c r="C241" s="1" t="b">
        <v>1</v>
      </c>
      <c r="D241" s="1" t="b">
        <v>1</v>
      </c>
      <c r="E241" s="1" t="s">
        <v>37</v>
      </c>
      <c r="F241" s="1" t="s">
        <v>2156</v>
      </c>
      <c r="G241" s="2">
        <f>+251925396586</f>
        <v>251925396586</v>
      </c>
      <c r="H241" s="1" t="s">
        <v>392</v>
      </c>
      <c r="I241" s="1" t="s">
        <v>19</v>
      </c>
      <c r="J241" s="1" t="s">
        <v>19</v>
      </c>
      <c r="K241" s="1" t="s">
        <v>25</v>
      </c>
      <c r="L241" s="1">
        <v>23.13</v>
      </c>
      <c r="M241" s="1" t="s">
        <v>21</v>
      </c>
      <c r="O241" s="1">
        <v>1.24036346069E11</v>
      </c>
    </row>
    <row r="242">
      <c r="A242" s="1">
        <v>2827479.0</v>
      </c>
      <c r="B242" s="1" t="s">
        <v>2157</v>
      </c>
      <c r="C242" s="1" t="b">
        <v>1</v>
      </c>
      <c r="D242" s="1" t="b">
        <v>1</v>
      </c>
      <c r="E242" s="1" t="s">
        <v>370</v>
      </c>
      <c r="F242" s="1" t="s">
        <v>616</v>
      </c>
      <c r="G242" s="2">
        <f>+251920751809</f>
        <v>251920751809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25.05</v>
      </c>
      <c r="M242" s="1" t="s">
        <v>21</v>
      </c>
      <c r="O242" s="1">
        <v>2.65495987439E11</v>
      </c>
    </row>
    <row r="243">
      <c r="A243" s="1">
        <v>1757224.0</v>
      </c>
      <c r="B243" s="1" t="s">
        <v>2158</v>
      </c>
      <c r="C243" s="1" t="b">
        <v>1</v>
      </c>
      <c r="D243" s="1" t="b">
        <v>1</v>
      </c>
      <c r="E243" s="1" t="s">
        <v>2159</v>
      </c>
      <c r="F243" s="1" t="s">
        <v>2160</v>
      </c>
      <c r="G243" s="2">
        <f>+251932019838</f>
        <v>251932019838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29.59</v>
      </c>
      <c r="M243" s="1" t="s">
        <v>21</v>
      </c>
      <c r="O243" s="1">
        <v>2.3266235E7</v>
      </c>
    </row>
    <row r="244">
      <c r="A244" s="1">
        <v>2526875.0</v>
      </c>
      <c r="B244" s="1" t="s">
        <v>2161</v>
      </c>
      <c r="C244" s="1" t="b">
        <v>1</v>
      </c>
      <c r="D244" s="1" t="b">
        <v>1</v>
      </c>
      <c r="E244" s="1" t="s">
        <v>2162</v>
      </c>
      <c r="F244" s="1" t="s">
        <v>2163</v>
      </c>
      <c r="G244" s="2">
        <f>+251927250691</f>
        <v>251927250691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27.06</v>
      </c>
      <c r="M244" s="1" t="s">
        <v>21</v>
      </c>
    </row>
    <row r="245">
      <c r="A245" s="1">
        <v>23202.0</v>
      </c>
      <c r="B245" s="1" t="s">
        <v>2164</v>
      </c>
      <c r="C245" s="1" t="b">
        <v>1</v>
      </c>
      <c r="D245" s="1" t="b">
        <v>1</v>
      </c>
      <c r="E245" s="1" t="s">
        <v>151</v>
      </c>
      <c r="F245" s="1" t="s">
        <v>1296</v>
      </c>
      <c r="G245" s="1">
        <v>9.82760198E8</v>
      </c>
      <c r="H245" s="1" t="s">
        <v>18</v>
      </c>
      <c r="I245" s="1" t="s">
        <v>19</v>
      </c>
      <c r="J245" s="1" t="s">
        <v>19</v>
      </c>
      <c r="K245" s="1" t="s">
        <v>20</v>
      </c>
      <c r="L245" s="1">
        <v>22.68</v>
      </c>
      <c r="M245" s="1" t="s">
        <v>21</v>
      </c>
      <c r="O245" s="1">
        <v>764347.0</v>
      </c>
    </row>
    <row r="246">
      <c r="A246" s="1">
        <v>2838990.0</v>
      </c>
      <c r="B246" s="1" t="s">
        <v>2165</v>
      </c>
      <c r="C246" s="1" t="b">
        <v>1</v>
      </c>
      <c r="D246" s="1" t="b">
        <v>1</v>
      </c>
      <c r="E246" s="1" t="s">
        <v>1909</v>
      </c>
      <c r="F246" s="1" t="s">
        <v>420</v>
      </c>
      <c r="G246" s="2">
        <f>+251992160469</f>
        <v>251992160469</v>
      </c>
      <c r="H246" s="1" t="s">
        <v>18</v>
      </c>
      <c r="I246" s="1" t="s">
        <v>19</v>
      </c>
      <c r="J246" s="1" t="s">
        <v>19</v>
      </c>
      <c r="K246" s="1" t="s">
        <v>20</v>
      </c>
      <c r="L246" s="1">
        <v>28.0</v>
      </c>
      <c r="M246" s="1" t="s">
        <v>33</v>
      </c>
      <c r="N246" s="1" t="s">
        <v>76</v>
      </c>
      <c r="O246" s="1">
        <v>2.73782967512E11</v>
      </c>
    </row>
    <row r="247">
      <c r="A247" s="1">
        <v>2719654.0</v>
      </c>
      <c r="B247" s="1" t="s">
        <v>2166</v>
      </c>
      <c r="C247" s="1" t="b">
        <v>1</v>
      </c>
      <c r="D247" s="1" t="b">
        <v>1</v>
      </c>
      <c r="E247" s="1" t="s">
        <v>545</v>
      </c>
      <c r="F247" s="1" t="s">
        <v>2167</v>
      </c>
      <c r="G247" s="2">
        <f>+251924806134</f>
        <v>251924806134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23.22</v>
      </c>
      <c r="M247" s="1" t="s">
        <v>21</v>
      </c>
      <c r="O247" s="1">
        <v>2.3407999E7</v>
      </c>
    </row>
    <row r="248">
      <c r="A248" s="1">
        <v>2291025.0</v>
      </c>
      <c r="B248" s="1" t="s">
        <v>2168</v>
      </c>
      <c r="C248" s="1" t="b">
        <v>1</v>
      </c>
      <c r="D248" s="1" t="b">
        <v>1</v>
      </c>
      <c r="E248" s="1" t="s">
        <v>2169</v>
      </c>
      <c r="F248" s="1" t="s">
        <v>1591</v>
      </c>
      <c r="G248" s="2">
        <f>+251919901822</f>
        <v>251919901822</v>
      </c>
      <c r="H248" s="1" t="s">
        <v>18</v>
      </c>
      <c r="I248" s="1" t="s">
        <v>19</v>
      </c>
      <c r="J248" s="1" t="s">
        <v>19</v>
      </c>
      <c r="K248" s="1" t="s">
        <v>25</v>
      </c>
      <c r="L248" s="1">
        <v>29.3</v>
      </c>
      <c r="M248" s="1" t="s">
        <v>21</v>
      </c>
      <c r="O248" s="1">
        <v>8719429.0</v>
      </c>
    </row>
    <row r="249">
      <c r="A249" s="1">
        <v>2840074.0</v>
      </c>
      <c r="B249" s="1" t="s">
        <v>2170</v>
      </c>
      <c r="C249" s="1" t="b">
        <v>1</v>
      </c>
      <c r="D249" s="1" t="b">
        <v>1</v>
      </c>
      <c r="E249" s="1" t="s">
        <v>2171</v>
      </c>
      <c r="F249" s="1" t="s">
        <v>641</v>
      </c>
      <c r="G249" s="1">
        <v>9.27190922E8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22.42</v>
      </c>
      <c r="M249" s="1" t="s">
        <v>21</v>
      </c>
      <c r="O249" s="1">
        <v>2.74731702477E11</v>
      </c>
    </row>
    <row r="250">
      <c r="A250" s="1">
        <v>985882.0</v>
      </c>
      <c r="B250" s="1" t="s">
        <v>2172</v>
      </c>
      <c r="C250" s="1" t="b">
        <v>1</v>
      </c>
      <c r="D250" s="1" t="b">
        <v>1</v>
      </c>
      <c r="E250" s="1" t="s">
        <v>480</v>
      </c>
      <c r="F250" s="1" t="s">
        <v>2173</v>
      </c>
      <c r="G250" s="2">
        <f>+941125349</f>
        <v>941125349</v>
      </c>
      <c r="H250" s="1" t="s">
        <v>18</v>
      </c>
      <c r="I250" s="1" t="s">
        <v>19</v>
      </c>
      <c r="J250" s="1" t="s">
        <v>19</v>
      </c>
      <c r="K250" s="1" t="s">
        <v>20</v>
      </c>
      <c r="L250" s="1">
        <v>21.73</v>
      </c>
      <c r="M250" s="1" t="s">
        <v>21</v>
      </c>
      <c r="O250" s="1">
        <v>5185417.0</v>
      </c>
    </row>
    <row r="251">
      <c r="A251" s="1">
        <v>2841001.0</v>
      </c>
      <c r="B251" s="1" t="s">
        <v>2174</v>
      </c>
      <c r="C251" s="1" t="b">
        <v>1</v>
      </c>
      <c r="D251" s="1" t="b">
        <v>1</v>
      </c>
      <c r="E251" s="1" t="s">
        <v>60</v>
      </c>
      <c r="F251" s="1" t="s">
        <v>1827</v>
      </c>
      <c r="G251" s="2">
        <f>+251988168953</f>
        <v>251988168953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22.24</v>
      </c>
      <c r="M251" s="1" t="s">
        <v>21</v>
      </c>
      <c r="O251" s="1">
        <v>2.75329685727E11</v>
      </c>
    </row>
    <row r="252">
      <c r="A252" s="1">
        <v>2685980.0</v>
      </c>
      <c r="B252" s="1" t="s">
        <v>2175</v>
      </c>
      <c r="C252" s="1" t="b">
        <v>1</v>
      </c>
      <c r="D252" s="1" t="b">
        <v>1</v>
      </c>
      <c r="E252" s="1" t="s">
        <v>1743</v>
      </c>
      <c r="F252" s="1" t="s">
        <v>189</v>
      </c>
      <c r="G252" s="2">
        <f>+251947892090</f>
        <v>251947892090</v>
      </c>
      <c r="H252" s="1" t="s">
        <v>18</v>
      </c>
      <c r="I252" s="1" t="s">
        <v>19</v>
      </c>
      <c r="J252" s="1" t="s">
        <v>19</v>
      </c>
      <c r="K252" s="1" t="s">
        <v>25</v>
      </c>
      <c r="L252" s="1">
        <v>22.49</v>
      </c>
      <c r="M252" s="1" t="s">
        <v>21</v>
      </c>
      <c r="O252" s="1">
        <v>8856702.0</v>
      </c>
    </row>
    <row r="253">
      <c r="A253" s="1">
        <v>2518457.0</v>
      </c>
      <c r="B253" s="1" t="s">
        <v>1489</v>
      </c>
      <c r="C253" s="1" t="b">
        <v>1</v>
      </c>
      <c r="D253" s="1" t="b">
        <v>1</v>
      </c>
      <c r="E253" s="1" t="s">
        <v>1487</v>
      </c>
      <c r="F253" s="1" t="s">
        <v>1490</v>
      </c>
      <c r="G253" s="2">
        <f>+251988222261</f>
        <v>251988222261</v>
      </c>
      <c r="H253" s="1" t="s">
        <v>18</v>
      </c>
      <c r="I253" s="1" t="s">
        <v>19</v>
      </c>
      <c r="J253" s="1" t="s">
        <v>19</v>
      </c>
      <c r="K253" s="1" t="s">
        <v>20</v>
      </c>
      <c r="L253" s="1">
        <v>20.42</v>
      </c>
      <c r="M253" s="1" t="s">
        <v>33</v>
      </c>
      <c r="N253" s="1" t="s">
        <v>166</v>
      </c>
      <c r="O253" s="1">
        <v>1.48183900406E11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7.75"/>
    <col customWidth="1" min="3" max="3" width="14.75"/>
    <col customWidth="1" min="4" max="4" width="14.88"/>
    <col customWidth="1" min="5" max="5" width="9.25"/>
    <col customWidth="1" min="6" max="6" width="27.63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22</v>
      </c>
      <c r="B2" s="1" t="s">
        <v>23</v>
      </c>
      <c r="C2" s="1" t="s">
        <v>24</v>
      </c>
      <c r="D2" s="2">
        <f>+251932086173</f>
        <v>251932086173</v>
      </c>
      <c r="E2" s="1" t="s">
        <v>26</v>
      </c>
    </row>
    <row r="3">
      <c r="A3" s="1" t="s">
        <v>162</v>
      </c>
      <c r="B3" s="1" t="s">
        <v>163</v>
      </c>
      <c r="C3" s="1" t="s">
        <v>164</v>
      </c>
      <c r="D3" s="2">
        <f t="shared" ref="D3:D5" si="1">+251969811708</f>
        <v>251969811708</v>
      </c>
      <c r="E3" s="1" t="s">
        <v>26</v>
      </c>
    </row>
    <row r="4">
      <c r="A4" s="1" t="s">
        <v>167</v>
      </c>
      <c r="B4" s="1" t="s">
        <v>163</v>
      </c>
      <c r="C4" s="1" t="s">
        <v>164</v>
      </c>
      <c r="D4" s="2">
        <f t="shared" si="1"/>
        <v>251969811708</v>
      </c>
      <c r="E4" s="1" t="s">
        <v>26</v>
      </c>
    </row>
    <row r="5">
      <c r="A5" s="1" t="s">
        <v>169</v>
      </c>
      <c r="B5" s="1" t="s">
        <v>163</v>
      </c>
      <c r="C5" s="1" t="s">
        <v>164</v>
      </c>
      <c r="D5" s="2">
        <f t="shared" si="1"/>
        <v>251969811708</v>
      </c>
      <c r="E5" s="1" t="s">
        <v>26</v>
      </c>
    </row>
    <row r="6">
      <c r="A6" s="1" t="s">
        <v>263</v>
      </c>
      <c r="B6" s="1" t="s">
        <v>264</v>
      </c>
      <c r="C6" s="1" t="s">
        <v>149</v>
      </c>
      <c r="D6" s="2">
        <f>+251984031238</f>
        <v>251984031238</v>
      </c>
      <c r="E6" s="1" t="s">
        <v>26</v>
      </c>
    </row>
    <row r="7">
      <c r="A7" s="1" t="s">
        <v>304</v>
      </c>
      <c r="B7" s="1" t="s">
        <v>37</v>
      </c>
      <c r="C7" s="1" t="s">
        <v>305</v>
      </c>
      <c r="D7" s="2">
        <f>+251911614251</f>
        <v>251911614251</v>
      </c>
      <c r="E7" s="1" t="s">
        <v>26</v>
      </c>
    </row>
    <row r="8">
      <c r="A8" s="1" t="s">
        <v>326</v>
      </c>
      <c r="B8" s="1" t="s">
        <v>327</v>
      </c>
      <c r="C8" s="1" t="s">
        <v>328</v>
      </c>
      <c r="D8" s="2">
        <f>+251927740282</f>
        <v>251927740282</v>
      </c>
      <c r="E8" s="1" t="s">
        <v>26</v>
      </c>
    </row>
    <row r="9">
      <c r="A9" s="1" t="s">
        <v>344</v>
      </c>
      <c r="B9" s="1" t="s">
        <v>345</v>
      </c>
      <c r="C9" s="1" t="s">
        <v>346</v>
      </c>
      <c r="D9" s="2">
        <f>+251984859948</f>
        <v>251984859948</v>
      </c>
      <c r="E9" s="1" t="s">
        <v>26</v>
      </c>
    </row>
    <row r="10">
      <c r="A10" s="1" t="s">
        <v>393</v>
      </c>
      <c r="B10" s="1" t="s">
        <v>394</v>
      </c>
      <c r="C10" s="1" t="s">
        <v>395</v>
      </c>
      <c r="D10" s="2">
        <f>+251913918821</f>
        <v>251913918821</v>
      </c>
      <c r="E10" s="1" t="s">
        <v>26</v>
      </c>
    </row>
    <row r="11">
      <c r="A11" s="1" t="s">
        <v>406</v>
      </c>
      <c r="B11" s="1" t="s">
        <v>407</v>
      </c>
      <c r="C11" s="1" t="s">
        <v>408</v>
      </c>
      <c r="D11" s="2">
        <f>+251972672029</f>
        <v>251972672029</v>
      </c>
      <c r="E11" s="1" t="s">
        <v>26</v>
      </c>
    </row>
    <row r="12">
      <c r="A12" s="1" t="s">
        <v>677</v>
      </c>
      <c r="B12" s="1" t="s">
        <v>37</v>
      </c>
      <c r="C12" s="1" t="s">
        <v>316</v>
      </c>
      <c r="D12" s="2">
        <f>+251914614787</f>
        <v>251914614787</v>
      </c>
      <c r="E12" s="1" t="s">
        <v>26</v>
      </c>
    </row>
    <row r="13">
      <c r="A13" s="1" t="s">
        <v>730</v>
      </c>
      <c r="B13" s="1" t="s">
        <v>731</v>
      </c>
      <c r="C13" s="1" t="s">
        <v>732</v>
      </c>
      <c r="D13" s="2">
        <f>+251934427167</f>
        <v>251934427167</v>
      </c>
      <c r="E13" s="1" t="s">
        <v>26</v>
      </c>
    </row>
    <row r="14">
      <c r="A14" s="1" t="s">
        <v>783</v>
      </c>
      <c r="B14" s="1" t="s">
        <v>743</v>
      </c>
      <c r="C14" s="1" t="s">
        <v>784</v>
      </c>
      <c r="D14" s="2">
        <f>+251973434428</f>
        <v>251973434428</v>
      </c>
      <c r="E14" s="1" t="s">
        <v>26</v>
      </c>
    </row>
    <row r="15">
      <c r="A15" s="1" t="s">
        <v>879</v>
      </c>
      <c r="B15" s="1" t="s">
        <v>880</v>
      </c>
      <c r="C15" s="1" t="s">
        <v>881</v>
      </c>
      <c r="D15" s="2">
        <f>+251934931665</f>
        <v>251934931665</v>
      </c>
      <c r="E15" s="1" t="s">
        <v>26</v>
      </c>
    </row>
    <row r="16">
      <c r="A16" s="1" t="s">
        <v>908</v>
      </c>
      <c r="B16" s="1" t="s">
        <v>909</v>
      </c>
      <c r="C16" s="1" t="s">
        <v>910</v>
      </c>
      <c r="D16" s="2">
        <f>+251994307095</f>
        <v>251994307095</v>
      </c>
      <c r="E16" s="1" t="s">
        <v>26</v>
      </c>
    </row>
    <row r="17">
      <c r="A17" s="1" t="s">
        <v>927</v>
      </c>
      <c r="B17" s="1" t="s">
        <v>928</v>
      </c>
      <c r="C17" s="1" t="s">
        <v>929</v>
      </c>
      <c r="D17" s="2">
        <f>+251906515048</f>
        <v>251906515048</v>
      </c>
      <c r="E17" s="1" t="s">
        <v>26</v>
      </c>
    </row>
    <row r="18">
      <c r="A18" s="1" t="s">
        <v>930</v>
      </c>
      <c r="B18" s="1" t="s">
        <v>931</v>
      </c>
      <c r="C18" s="1" t="s">
        <v>932</v>
      </c>
      <c r="D18" s="2">
        <f>+251910021088</f>
        <v>251910021088</v>
      </c>
      <c r="E18" s="1" t="s">
        <v>26</v>
      </c>
    </row>
    <row r="19">
      <c r="A19" s="1" t="s">
        <v>936</v>
      </c>
      <c r="B19" s="1" t="s">
        <v>250</v>
      </c>
      <c r="C19" s="1" t="s">
        <v>937</v>
      </c>
      <c r="D19" s="2">
        <f>+251905167513</f>
        <v>251905167513</v>
      </c>
      <c r="E19" s="1" t="s">
        <v>26</v>
      </c>
    </row>
    <row r="20">
      <c r="A20" s="1" t="s">
        <v>1015</v>
      </c>
      <c r="B20" s="1" t="s">
        <v>217</v>
      </c>
      <c r="C20" s="1" t="s">
        <v>1016</v>
      </c>
      <c r="D20" s="2">
        <f>+251931577111</f>
        <v>251931577111</v>
      </c>
      <c r="E20" s="1" t="s">
        <v>26</v>
      </c>
    </row>
    <row r="21">
      <c r="A21" s="1" t="s">
        <v>1162</v>
      </c>
      <c r="B21" s="1" t="s">
        <v>1163</v>
      </c>
      <c r="C21" s="1" t="s">
        <v>1164</v>
      </c>
      <c r="D21" s="2">
        <f>+251986777178</f>
        <v>251986777178</v>
      </c>
      <c r="E21" s="1" t="s">
        <v>26</v>
      </c>
    </row>
    <row r="22">
      <c r="A22" s="1" t="s">
        <v>1173</v>
      </c>
      <c r="B22" s="1" t="s">
        <v>1174</v>
      </c>
      <c r="C22" s="1" t="s">
        <v>1175</v>
      </c>
      <c r="D22" s="2">
        <f>+251943599259</f>
        <v>251943599259</v>
      </c>
      <c r="E22" s="1" t="s">
        <v>26</v>
      </c>
    </row>
    <row r="23">
      <c r="A23" s="1" t="s">
        <v>1177</v>
      </c>
      <c r="B23" s="1" t="s">
        <v>321</v>
      </c>
      <c r="C23" s="1" t="s">
        <v>1178</v>
      </c>
      <c r="D23" s="2">
        <f>+251995449410</f>
        <v>251995449410</v>
      </c>
      <c r="E23" s="1" t="s">
        <v>26</v>
      </c>
    </row>
    <row r="24">
      <c r="A24" s="1" t="s">
        <v>1273</v>
      </c>
      <c r="B24" s="1" t="s">
        <v>1274</v>
      </c>
      <c r="C24" s="1" t="s">
        <v>487</v>
      </c>
      <c r="D24" s="2">
        <f>+251941175699</f>
        <v>251941175699</v>
      </c>
      <c r="E24" s="1" t="s">
        <v>26</v>
      </c>
    </row>
    <row r="25">
      <c r="A25" s="1" t="s">
        <v>1311</v>
      </c>
      <c r="B25" s="1" t="s">
        <v>1312</v>
      </c>
      <c r="C25" s="1" t="s">
        <v>1092</v>
      </c>
      <c r="D25" s="2">
        <f>+251988135756</f>
        <v>251988135756</v>
      </c>
      <c r="E25" s="1" t="s">
        <v>26</v>
      </c>
    </row>
    <row r="26">
      <c r="A26" s="1" t="s">
        <v>1344</v>
      </c>
      <c r="B26" s="1" t="s">
        <v>1345</v>
      </c>
      <c r="C26" s="1" t="s">
        <v>1346</v>
      </c>
      <c r="D26" s="2">
        <f>+251940123530</f>
        <v>251940123530</v>
      </c>
      <c r="E26" s="1" t="s">
        <v>26</v>
      </c>
    </row>
    <row r="27">
      <c r="A27" s="1" t="s">
        <v>1381</v>
      </c>
      <c r="B27" s="1" t="s">
        <v>1382</v>
      </c>
      <c r="C27" s="1" t="s">
        <v>1383</v>
      </c>
      <c r="D27" s="2">
        <f>+251927967597</f>
        <v>251927967597</v>
      </c>
      <c r="E27" s="1" t="s">
        <v>26</v>
      </c>
    </row>
    <row r="28">
      <c r="A28" s="1" t="s">
        <v>1474</v>
      </c>
      <c r="B28" s="1" t="s">
        <v>60</v>
      </c>
      <c r="C28" s="1" t="s">
        <v>534</v>
      </c>
      <c r="D28" s="2">
        <f>+251978097269</f>
        <v>251978097269</v>
      </c>
      <c r="E28" s="1" t="s">
        <v>26</v>
      </c>
    </row>
    <row r="29">
      <c r="A29" s="1" t="s">
        <v>1502</v>
      </c>
      <c r="B29" s="1" t="s">
        <v>1503</v>
      </c>
      <c r="C29" s="1" t="s">
        <v>1504</v>
      </c>
      <c r="D29" s="2">
        <f>+251914678082</f>
        <v>251914678082</v>
      </c>
      <c r="E29" s="1" t="s">
        <v>26</v>
      </c>
    </row>
    <row r="30">
      <c r="A30" s="1" t="s">
        <v>1518</v>
      </c>
      <c r="B30" s="1" t="s">
        <v>37</v>
      </c>
      <c r="C30" s="1" t="s">
        <v>375</v>
      </c>
      <c r="D30" s="2">
        <f>+251912042912</f>
        <v>251912042912</v>
      </c>
      <c r="E30" s="1" t="s">
        <v>26</v>
      </c>
    </row>
    <row r="31">
      <c r="A31" s="1" t="s">
        <v>1520</v>
      </c>
      <c r="B31" s="1" t="s">
        <v>1521</v>
      </c>
      <c r="C31" s="1" t="s">
        <v>1522</v>
      </c>
      <c r="D31" s="2">
        <f>+251965362362</f>
        <v>251965362362</v>
      </c>
      <c r="E31" s="1" t="s">
        <v>26</v>
      </c>
    </row>
    <row r="32">
      <c r="A32" s="1" t="s">
        <v>1563</v>
      </c>
      <c r="B32" s="1" t="s">
        <v>500</v>
      </c>
      <c r="C32" s="1" t="s">
        <v>1564</v>
      </c>
      <c r="D32" s="2">
        <f>+251948707633</f>
        <v>251948707633</v>
      </c>
      <c r="E32" s="1" t="s">
        <v>26</v>
      </c>
    </row>
    <row r="33">
      <c r="A33" s="1" t="s">
        <v>1575</v>
      </c>
      <c r="B33" s="1" t="s">
        <v>663</v>
      </c>
      <c r="C33" s="1" t="s">
        <v>108</v>
      </c>
      <c r="D33" s="2">
        <f>+251983510700</f>
        <v>251983510700</v>
      </c>
      <c r="E33" s="1" t="s">
        <v>26</v>
      </c>
    </row>
    <row r="34">
      <c r="A34" s="1" t="s">
        <v>1588</v>
      </c>
      <c r="B34" s="1" t="s">
        <v>110</v>
      </c>
      <c r="C34" s="1" t="s">
        <v>283</v>
      </c>
      <c r="D34" s="2">
        <f>+251960162050</f>
        <v>251960162050</v>
      </c>
      <c r="E34" s="1" t="s">
        <v>26</v>
      </c>
    </row>
    <row r="35">
      <c r="A35" s="1" t="s">
        <v>1607</v>
      </c>
      <c r="B35" s="1" t="s">
        <v>1608</v>
      </c>
      <c r="C35" s="1" t="s">
        <v>243</v>
      </c>
      <c r="D35" s="2">
        <f>+251924108992</f>
        <v>251924108992</v>
      </c>
      <c r="E35" s="1" t="s">
        <v>26</v>
      </c>
    </row>
    <row r="36">
      <c r="A36" s="1" t="s">
        <v>1625</v>
      </c>
      <c r="B36" s="1" t="s">
        <v>1626</v>
      </c>
      <c r="C36" s="1" t="s">
        <v>1627</v>
      </c>
      <c r="D36" s="2">
        <f>+251984551937</f>
        <v>251984551937</v>
      </c>
      <c r="E36" s="1" t="s">
        <v>26</v>
      </c>
    </row>
    <row r="37">
      <c r="A37" s="1" t="s">
        <v>1643</v>
      </c>
      <c r="B37" s="1" t="s">
        <v>1644</v>
      </c>
      <c r="C37" s="1" t="s">
        <v>1645</v>
      </c>
      <c r="D37" s="2">
        <f>+251912355232</f>
        <v>251912355232</v>
      </c>
      <c r="E37" s="1" t="s">
        <v>26</v>
      </c>
    </row>
    <row r="38">
      <c r="A38" s="1" t="s">
        <v>30</v>
      </c>
      <c r="B38" s="1" t="s">
        <v>31</v>
      </c>
      <c r="C38" s="1" t="s">
        <v>32</v>
      </c>
      <c r="D38" s="2">
        <f>+251914197868</f>
        <v>251914197868</v>
      </c>
      <c r="E38" s="1" t="s">
        <v>33</v>
      </c>
      <c r="F38" s="1" t="s">
        <v>34</v>
      </c>
    </row>
    <row r="39">
      <c r="A39" s="1" t="s">
        <v>62</v>
      </c>
      <c r="B39" s="1" t="s">
        <v>63</v>
      </c>
      <c r="C39" s="1" t="s">
        <v>64</v>
      </c>
      <c r="D39" s="2">
        <f>+251966341928</f>
        <v>251966341928</v>
      </c>
      <c r="E39" s="1" t="s">
        <v>33</v>
      </c>
      <c r="F39" s="1" t="s">
        <v>65</v>
      </c>
    </row>
    <row r="40">
      <c r="A40" s="1" t="s">
        <v>73</v>
      </c>
      <c r="B40" s="1" t="s">
        <v>74</v>
      </c>
      <c r="C40" s="1" t="s">
        <v>75</v>
      </c>
      <c r="D40" s="2">
        <f>+251939142806</f>
        <v>251939142806</v>
      </c>
      <c r="E40" s="1" t="s">
        <v>33</v>
      </c>
      <c r="F40" s="1" t="s">
        <v>76</v>
      </c>
    </row>
    <row r="41">
      <c r="A41" s="1" t="s">
        <v>90</v>
      </c>
      <c r="B41" s="1" t="s">
        <v>91</v>
      </c>
      <c r="C41" s="1" t="s">
        <v>92</v>
      </c>
      <c r="D41" s="2">
        <f>+251914520001</f>
        <v>251914520001</v>
      </c>
      <c r="E41" s="1" t="s">
        <v>33</v>
      </c>
      <c r="F41" s="1" t="s">
        <v>34</v>
      </c>
    </row>
    <row r="42">
      <c r="A42" s="1" t="s">
        <v>103</v>
      </c>
      <c r="B42" s="1" t="s">
        <v>104</v>
      </c>
      <c r="C42" s="1" t="s">
        <v>105</v>
      </c>
      <c r="D42" s="2">
        <f>+251994370886</f>
        <v>251994370886</v>
      </c>
      <c r="E42" s="1" t="s">
        <v>33</v>
      </c>
      <c r="F42" s="1" t="s">
        <v>65</v>
      </c>
    </row>
    <row r="43">
      <c r="A43" s="1" t="s">
        <v>109</v>
      </c>
      <c r="B43" s="1" t="s">
        <v>110</v>
      </c>
      <c r="C43" s="1" t="s">
        <v>111</v>
      </c>
      <c r="D43" s="2">
        <f>+251952513908</f>
        <v>251952513908</v>
      </c>
      <c r="E43" s="1" t="s">
        <v>33</v>
      </c>
      <c r="F43" s="1" t="s">
        <v>65</v>
      </c>
    </row>
    <row r="44">
      <c r="A44" s="1" t="s">
        <v>115</v>
      </c>
      <c r="B44" s="1" t="s">
        <v>116</v>
      </c>
      <c r="C44" s="1" t="s">
        <v>117</v>
      </c>
      <c r="D44" s="2">
        <f>+251976561371</f>
        <v>251976561371</v>
      </c>
      <c r="E44" s="1" t="s">
        <v>33</v>
      </c>
      <c r="F44" s="1" t="s">
        <v>118</v>
      </c>
    </row>
    <row r="45">
      <c r="A45" s="1" t="s">
        <v>135</v>
      </c>
      <c r="B45" s="1" t="s">
        <v>136</v>
      </c>
      <c r="C45" s="1" t="s">
        <v>137</v>
      </c>
      <c r="D45" s="2">
        <f>+251987974365</f>
        <v>251987974365</v>
      </c>
      <c r="E45" s="1" t="s">
        <v>33</v>
      </c>
      <c r="F45" s="1" t="s">
        <v>65</v>
      </c>
    </row>
    <row r="46">
      <c r="A46" s="1" t="s">
        <v>142</v>
      </c>
      <c r="B46" s="1" t="s">
        <v>143</v>
      </c>
      <c r="C46" s="1" t="s">
        <v>144</v>
      </c>
      <c r="D46" s="2">
        <f>+251973942371</f>
        <v>251973942371</v>
      </c>
      <c r="E46" s="1" t="s">
        <v>33</v>
      </c>
      <c r="F46" s="1" t="s">
        <v>65</v>
      </c>
    </row>
    <row r="47">
      <c r="A47" s="1" t="s">
        <v>156</v>
      </c>
      <c r="B47" s="1" t="s">
        <v>157</v>
      </c>
      <c r="C47" s="1" t="s">
        <v>158</v>
      </c>
      <c r="D47" s="2">
        <f>+251991215368</f>
        <v>251991215368</v>
      </c>
      <c r="E47" s="1" t="s">
        <v>33</v>
      </c>
      <c r="F47" s="1" t="s">
        <v>76</v>
      </c>
    </row>
    <row r="48">
      <c r="A48" s="1" t="s">
        <v>165</v>
      </c>
      <c r="B48" s="1" t="s">
        <v>37</v>
      </c>
      <c r="C48" s="1" t="s">
        <v>148</v>
      </c>
      <c r="D48" s="2">
        <f>+251921103845</f>
        <v>251921103845</v>
      </c>
      <c r="E48" s="1" t="s">
        <v>33</v>
      </c>
      <c r="F48" s="1" t="s">
        <v>166</v>
      </c>
    </row>
    <row r="49">
      <c r="A49" s="1" t="s">
        <v>174</v>
      </c>
      <c r="B49" s="1" t="s">
        <v>175</v>
      </c>
      <c r="C49" s="1" t="s">
        <v>176</v>
      </c>
      <c r="D49" s="2">
        <f>+251912903167</f>
        <v>251912903167</v>
      </c>
      <c r="E49" s="1" t="s">
        <v>33</v>
      </c>
      <c r="F49" s="1" t="s">
        <v>177</v>
      </c>
    </row>
    <row r="50">
      <c r="A50" s="1" t="s">
        <v>198</v>
      </c>
      <c r="B50" s="1" t="s">
        <v>157</v>
      </c>
      <c r="C50" s="1" t="s">
        <v>45</v>
      </c>
      <c r="D50" s="1">
        <v>9.46428897E8</v>
      </c>
      <c r="E50" s="1" t="s">
        <v>33</v>
      </c>
      <c r="F50" s="1" t="s">
        <v>65</v>
      </c>
    </row>
    <row r="51">
      <c r="A51" s="3" t="s">
        <v>199</v>
      </c>
      <c r="B51" s="3" t="s">
        <v>200</v>
      </c>
      <c r="C51" s="3" t="s">
        <v>201</v>
      </c>
      <c r="D51" s="4">
        <f>+251912006765</f>
        <v>251912006765</v>
      </c>
      <c r="E51" s="3" t="s">
        <v>33</v>
      </c>
      <c r="F51" s="3" t="s">
        <v>65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1" t="s">
        <v>202</v>
      </c>
      <c r="B52" s="1" t="s">
        <v>203</v>
      </c>
      <c r="C52" s="1" t="s">
        <v>204</v>
      </c>
      <c r="D52" s="2">
        <f>+251977313790</f>
        <v>251977313790</v>
      </c>
      <c r="E52" s="1" t="s">
        <v>33</v>
      </c>
      <c r="F52" s="1" t="s">
        <v>65</v>
      </c>
    </row>
    <row r="53">
      <c r="A53" s="1" t="s">
        <v>219</v>
      </c>
      <c r="B53" s="1" t="s">
        <v>220</v>
      </c>
      <c r="C53" s="1" t="s">
        <v>221</v>
      </c>
      <c r="D53" s="2">
        <f>+251938823882</f>
        <v>251938823882</v>
      </c>
      <c r="E53" s="1" t="s">
        <v>33</v>
      </c>
      <c r="F53" s="1" t="s">
        <v>34</v>
      </c>
    </row>
    <row r="54">
      <c r="A54" s="1" t="s">
        <v>222</v>
      </c>
      <c r="B54" s="1" t="s">
        <v>223</v>
      </c>
      <c r="C54" s="1" t="s">
        <v>117</v>
      </c>
      <c r="D54" s="2">
        <f>+251942858885</f>
        <v>251942858885</v>
      </c>
      <c r="E54" s="1" t="s">
        <v>33</v>
      </c>
      <c r="F54" s="1" t="s">
        <v>34</v>
      </c>
    </row>
    <row r="55">
      <c r="A55" s="1" t="s">
        <v>224</v>
      </c>
      <c r="B55" s="1" t="s">
        <v>60</v>
      </c>
      <c r="C55" s="1" t="s">
        <v>225</v>
      </c>
      <c r="D55" s="2">
        <f>+251940250708</f>
        <v>251940250708</v>
      </c>
      <c r="E55" s="1" t="s">
        <v>33</v>
      </c>
      <c r="F55" s="1" t="s">
        <v>166</v>
      </c>
    </row>
    <row r="56">
      <c r="A56" s="1" t="s">
        <v>232</v>
      </c>
      <c r="B56" s="1" t="s">
        <v>233</v>
      </c>
      <c r="C56" s="1" t="s">
        <v>234</v>
      </c>
      <c r="D56" s="2">
        <f>+251926719091</f>
        <v>251926719091</v>
      </c>
      <c r="E56" s="1" t="s">
        <v>33</v>
      </c>
      <c r="F56" s="1" t="s">
        <v>235</v>
      </c>
    </row>
    <row r="57">
      <c r="A57" s="1" t="s">
        <v>236</v>
      </c>
      <c r="B57" s="1" t="s">
        <v>237</v>
      </c>
      <c r="C57" s="1" t="s">
        <v>238</v>
      </c>
      <c r="D57" s="2">
        <f>+251929925224</f>
        <v>251929925224</v>
      </c>
      <c r="E57" s="1" t="s">
        <v>33</v>
      </c>
      <c r="F57" s="1" t="s">
        <v>118</v>
      </c>
    </row>
    <row r="58">
      <c r="A58" s="1" t="s">
        <v>244</v>
      </c>
      <c r="B58" s="1" t="s">
        <v>245</v>
      </c>
      <c r="C58" s="1" t="s">
        <v>246</v>
      </c>
      <c r="D58" s="1">
        <v>9.23457892E8</v>
      </c>
      <c r="E58" s="1" t="s">
        <v>33</v>
      </c>
      <c r="F58" s="1" t="s">
        <v>65</v>
      </c>
    </row>
    <row r="59">
      <c r="A59" s="1" t="s">
        <v>252</v>
      </c>
      <c r="B59" s="1" t="s">
        <v>253</v>
      </c>
      <c r="C59" s="1" t="s">
        <v>37</v>
      </c>
      <c r="D59" s="2">
        <f>+251902884540</f>
        <v>251902884540</v>
      </c>
      <c r="E59" s="1" t="s">
        <v>33</v>
      </c>
      <c r="F59" s="1" t="s">
        <v>34</v>
      </c>
    </row>
    <row r="60">
      <c r="A60" s="1" t="s">
        <v>259</v>
      </c>
      <c r="B60" s="1" t="s">
        <v>67</v>
      </c>
      <c r="C60" s="1" t="s">
        <v>260</v>
      </c>
      <c r="D60" s="1">
        <v>9.39796328E8</v>
      </c>
      <c r="E60" s="1" t="s">
        <v>33</v>
      </c>
      <c r="F60" s="1" t="s">
        <v>65</v>
      </c>
    </row>
    <row r="61">
      <c r="A61" s="1" t="s">
        <v>274</v>
      </c>
      <c r="B61" s="1" t="s">
        <v>108</v>
      </c>
      <c r="C61" s="1" t="s">
        <v>275</v>
      </c>
      <c r="D61" s="2">
        <f>+251911917106</f>
        <v>251911917106</v>
      </c>
      <c r="E61" s="1" t="s">
        <v>33</v>
      </c>
      <c r="F61" s="1" t="s">
        <v>76</v>
      </c>
    </row>
    <row r="62">
      <c r="A62" s="1" t="s">
        <v>276</v>
      </c>
      <c r="B62" s="1" t="s">
        <v>277</v>
      </c>
      <c r="C62" s="1" t="s">
        <v>278</v>
      </c>
      <c r="D62" s="2">
        <f>+251982174331</f>
        <v>251982174331</v>
      </c>
      <c r="E62" s="1" t="s">
        <v>33</v>
      </c>
      <c r="F62" s="1" t="s">
        <v>166</v>
      </c>
    </row>
    <row r="63">
      <c r="A63" s="1" t="s">
        <v>282</v>
      </c>
      <c r="B63" s="1" t="s">
        <v>283</v>
      </c>
      <c r="C63" s="1" t="s">
        <v>284</v>
      </c>
      <c r="D63" s="2">
        <f>+251922253372</f>
        <v>251922253372</v>
      </c>
      <c r="E63" s="1" t="s">
        <v>33</v>
      </c>
      <c r="F63" s="1" t="s">
        <v>177</v>
      </c>
    </row>
    <row r="64">
      <c r="A64" s="1" t="s">
        <v>288</v>
      </c>
      <c r="B64" s="1" t="s">
        <v>289</v>
      </c>
      <c r="C64" s="1" t="s">
        <v>290</v>
      </c>
      <c r="D64" s="2">
        <f>+251987023118</f>
        <v>251987023118</v>
      </c>
      <c r="E64" s="1" t="s">
        <v>33</v>
      </c>
      <c r="F64" s="1" t="s">
        <v>118</v>
      </c>
    </row>
    <row r="65">
      <c r="A65" s="1" t="s">
        <v>296</v>
      </c>
      <c r="B65" s="1" t="s">
        <v>297</v>
      </c>
      <c r="C65" s="1" t="s">
        <v>298</v>
      </c>
      <c r="D65" s="2">
        <f>+251984025634</f>
        <v>251984025634</v>
      </c>
      <c r="E65" s="1" t="s">
        <v>33</v>
      </c>
      <c r="F65" s="1" t="s">
        <v>76</v>
      </c>
    </row>
    <row r="66">
      <c r="A66" s="1" t="s">
        <v>315</v>
      </c>
      <c r="B66" s="1" t="s">
        <v>37</v>
      </c>
      <c r="C66" s="1" t="s">
        <v>316</v>
      </c>
      <c r="D66" s="1">
        <v>9.14614787E8</v>
      </c>
      <c r="E66" s="1" t="s">
        <v>33</v>
      </c>
      <c r="F66" s="1" t="s">
        <v>65</v>
      </c>
    </row>
    <row r="67">
      <c r="A67" s="1" t="s">
        <v>323</v>
      </c>
      <c r="B67" s="1" t="s">
        <v>324</v>
      </c>
      <c r="C67" s="1" t="s">
        <v>325</v>
      </c>
      <c r="D67" s="2">
        <f>+251991267058</f>
        <v>251991267058</v>
      </c>
      <c r="E67" s="1" t="s">
        <v>33</v>
      </c>
      <c r="F67" s="1" t="s">
        <v>65</v>
      </c>
    </row>
    <row r="68">
      <c r="A68" s="1" t="s">
        <v>350</v>
      </c>
      <c r="B68" s="1" t="s">
        <v>157</v>
      </c>
      <c r="C68" s="1" t="s">
        <v>351</v>
      </c>
      <c r="D68" s="2">
        <f>+251977440107</f>
        <v>251977440107</v>
      </c>
      <c r="E68" s="1" t="s">
        <v>33</v>
      </c>
      <c r="F68" s="1" t="s">
        <v>166</v>
      </c>
    </row>
    <row r="69">
      <c r="A69" s="1" t="s">
        <v>359</v>
      </c>
      <c r="B69" s="1" t="s">
        <v>360</v>
      </c>
      <c r="C69" s="1" t="s">
        <v>361</v>
      </c>
      <c r="D69" s="2">
        <f>+251922628092</f>
        <v>251922628092</v>
      </c>
      <c r="E69" s="1" t="s">
        <v>33</v>
      </c>
      <c r="F69" s="1" t="s">
        <v>65</v>
      </c>
    </row>
    <row r="70">
      <c r="A70" s="1" t="s">
        <v>366</v>
      </c>
      <c r="B70" s="1" t="s">
        <v>367</v>
      </c>
      <c r="C70" s="1" t="s">
        <v>368</v>
      </c>
      <c r="D70" s="2">
        <f>+251960066854</f>
        <v>251960066854</v>
      </c>
      <c r="E70" s="1" t="s">
        <v>33</v>
      </c>
      <c r="F70" s="1" t="s">
        <v>177</v>
      </c>
    </row>
    <row r="71">
      <c r="A71" s="1" t="s">
        <v>383</v>
      </c>
      <c r="B71" s="1" t="s">
        <v>384</v>
      </c>
      <c r="C71" s="1" t="s">
        <v>385</v>
      </c>
      <c r="D71" s="2">
        <f>+251914257760</f>
        <v>251914257760</v>
      </c>
      <c r="E71" s="1" t="s">
        <v>33</v>
      </c>
      <c r="F71" s="1" t="s">
        <v>118</v>
      </c>
    </row>
    <row r="72">
      <c r="A72" s="1" t="s">
        <v>434</v>
      </c>
      <c r="B72" s="1" t="s">
        <v>435</v>
      </c>
      <c r="C72" s="1" t="s">
        <v>420</v>
      </c>
      <c r="D72" s="2">
        <f>+251911720837</f>
        <v>251911720837</v>
      </c>
      <c r="E72" s="1" t="s">
        <v>33</v>
      </c>
      <c r="F72" s="1" t="s">
        <v>34</v>
      </c>
    </row>
    <row r="73">
      <c r="A73" s="1" t="s">
        <v>439</v>
      </c>
      <c r="B73" s="1" t="s">
        <v>440</v>
      </c>
      <c r="C73" s="1" t="s">
        <v>441</v>
      </c>
      <c r="D73" s="2">
        <f>+251977475527</f>
        <v>251977475527</v>
      </c>
      <c r="E73" s="1" t="s">
        <v>33</v>
      </c>
      <c r="F73" s="1" t="s">
        <v>65</v>
      </c>
    </row>
    <row r="74">
      <c r="A74" s="1" t="s">
        <v>444</v>
      </c>
      <c r="B74" s="1" t="s">
        <v>250</v>
      </c>
      <c r="C74" s="1" t="s">
        <v>445</v>
      </c>
      <c r="D74" s="2">
        <f>+251985020106</f>
        <v>251985020106</v>
      </c>
      <c r="E74" s="1" t="s">
        <v>33</v>
      </c>
      <c r="F74" s="1" t="s">
        <v>76</v>
      </c>
    </row>
    <row r="75">
      <c r="A75" s="1" t="s">
        <v>460</v>
      </c>
      <c r="B75" s="1" t="s">
        <v>461</v>
      </c>
      <c r="C75" s="1" t="s">
        <v>462</v>
      </c>
      <c r="D75" s="1">
        <v>2.51934427167E11</v>
      </c>
      <c r="E75" s="1" t="s">
        <v>33</v>
      </c>
      <c r="F75" s="1" t="s">
        <v>65</v>
      </c>
    </row>
    <row r="76">
      <c r="A76" s="1" t="s">
        <v>482</v>
      </c>
      <c r="B76" s="1" t="s">
        <v>483</v>
      </c>
      <c r="C76" s="1" t="s">
        <v>484</v>
      </c>
      <c r="D76" s="2">
        <f>+251911626334</f>
        <v>251911626334</v>
      </c>
      <c r="E76" s="1" t="s">
        <v>33</v>
      </c>
      <c r="F76" s="1" t="s">
        <v>34</v>
      </c>
    </row>
    <row r="77">
      <c r="A77" s="1" t="s">
        <v>505</v>
      </c>
      <c r="B77" s="1" t="s">
        <v>506</v>
      </c>
      <c r="C77" s="1" t="s">
        <v>507</v>
      </c>
      <c r="D77" s="1">
        <v>9.92457591E8</v>
      </c>
      <c r="E77" s="1" t="s">
        <v>33</v>
      </c>
      <c r="F77" s="1" t="s">
        <v>118</v>
      </c>
    </row>
    <row r="78">
      <c r="A78" s="1" t="s">
        <v>508</v>
      </c>
      <c r="B78" s="1" t="s">
        <v>509</v>
      </c>
      <c r="C78" s="1" t="s">
        <v>510</v>
      </c>
      <c r="D78" s="2">
        <f>+251953340876</f>
        <v>251953340876</v>
      </c>
      <c r="E78" s="1" t="s">
        <v>33</v>
      </c>
      <c r="F78" s="1" t="s">
        <v>118</v>
      </c>
    </row>
    <row r="79">
      <c r="A79" s="1" t="s">
        <v>516</v>
      </c>
      <c r="B79" s="1" t="s">
        <v>517</v>
      </c>
      <c r="C79" s="1" t="s">
        <v>313</v>
      </c>
      <c r="D79" s="2">
        <f>+251939974739</f>
        <v>251939974739</v>
      </c>
      <c r="E79" s="1" t="s">
        <v>33</v>
      </c>
      <c r="F79" s="1" t="s">
        <v>177</v>
      </c>
    </row>
    <row r="80">
      <c r="A80" s="1" t="s">
        <v>526</v>
      </c>
      <c r="B80" s="1" t="s">
        <v>527</v>
      </c>
      <c r="C80" s="1" t="s">
        <v>528</v>
      </c>
      <c r="D80" s="2">
        <f>+251931020324</f>
        <v>251931020324</v>
      </c>
      <c r="E80" s="1" t="s">
        <v>33</v>
      </c>
      <c r="F80" s="1" t="s">
        <v>34</v>
      </c>
    </row>
    <row r="81">
      <c r="A81" s="1" t="s">
        <v>531</v>
      </c>
      <c r="B81" s="1" t="s">
        <v>375</v>
      </c>
      <c r="C81" s="1" t="s">
        <v>532</v>
      </c>
      <c r="D81" s="2">
        <f>+251995597887</f>
        <v>251995597887</v>
      </c>
      <c r="E81" s="1" t="s">
        <v>33</v>
      </c>
      <c r="F81" s="1" t="s">
        <v>65</v>
      </c>
    </row>
    <row r="82">
      <c r="A82" s="1" t="s">
        <v>541</v>
      </c>
      <c r="B82" s="1" t="s">
        <v>542</v>
      </c>
      <c r="C82" s="1" t="s">
        <v>543</v>
      </c>
      <c r="D82" s="2">
        <f>+251923271060</f>
        <v>251923271060</v>
      </c>
      <c r="E82" s="1" t="s">
        <v>33</v>
      </c>
      <c r="F82" s="1" t="s">
        <v>177</v>
      </c>
    </row>
    <row r="83">
      <c r="A83" s="1" t="s">
        <v>544</v>
      </c>
      <c r="B83" s="1" t="s">
        <v>141</v>
      </c>
      <c r="C83" s="1" t="s">
        <v>545</v>
      </c>
      <c r="D83" s="2">
        <f>+251946510733</f>
        <v>251946510733</v>
      </c>
      <c r="E83" s="1" t="s">
        <v>33</v>
      </c>
      <c r="F83" s="1" t="s">
        <v>34</v>
      </c>
    </row>
    <row r="84">
      <c r="A84" s="1" t="s">
        <v>569</v>
      </c>
      <c r="B84" s="1" t="s">
        <v>570</v>
      </c>
      <c r="C84" s="1" t="s">
        <v>571</v>
      </c>
      <c r="D84" s="2">
        <f>+251945153615</f>
        <v>251945153615</v>
      </c>
      <c r="E84" s="1" t="s">
        <v>33</v>
      </c>
      <c r="F84" s="1" t="s">
        <v>65</v>
      </c>
    </row>
    <row r="85">
      <c r="A85" s="1" t="s">
        <v>596</v>
      </c>
      <c r="B85" s="1" t="s">
        <v>597</v>
      </c>
      <c r="C85" s="1" t="s">
        <v>598</v>
      </c>
      <c r="D85" s="2">
        <f>+251910501803</f>
        <v>251910501803</v>
      </c>
      <c r="E85" s="1" t="s">
        <v>33</v>
      </c>
      <c r="F85" s="1" t="s">
        <v>34</v>
      </c>
    </row>
    <row r="86">
      <c r="A86" s="1" t="s">
        <v>619</v>
      </c>
      <c r="B86" s="1" t="s">
        <v>620</v>
      </c>
      <c r="C86" s="1" t="s">
        <v>621</v>
      </c>
      <c r="D86" s="2">
        <f>+251907559221</f>
        <v>251907559221</v>
      </c>
      <c r="E86" s="1" t="s">
        <v>33</v>
      </c>
      <c r="F86" s="1" t="s">
        <v>166</v>
      </c>
    </row>
    <row r="87">
      <c r="A87" s="1" t="s">
        <v>624</v>
      </c>
      <c r="B87" s="1" t="s">
        <v>110</v>
      </c>
      <c r="C87" s="1" t="s">
        <v>625</v>
      </c>
      <c r="D87" s="2">
        <f>+251946747400</f>
        <v>251946747400</v>
      </c>
      <c r="E87" s="1" t="s">
        <v>33</v>
      </c>
      <c r="F87" s="1" t="s">
        <v>166</v>
      </c>
    </row>
    <row r="88">
      <c r="A88" s="1" t="s">
        <v>626</v>
      </c>
      <c r="B88" s="1" t="s">
        <v>627</v>
      </c>
      <c r="C88" s="1" t="s">
        <v>189</v>
      </c>
      <c r="D88" s="2">
        <f>+251963135028</f>
        <v>251963135028</v>
      </c>
      <c r="E88" s="1" t="s">
        <v>33</v>
      </c>
      <c r="F88" s="1" t="s">
        <v>235</v>
      </c>
    </row>
    <row r="89">
      <c r="A89" s="1" t="s">
        <v>634</v>
      </c>
      <c r="B89" s="1" t="s">
        <v>37</v>
      </c>
      <c r="C89" s="1" t="s">
        <v>45</v>
      </c>
      <c r="D89" s="1">
        <v>9.79011378E8</v>
      </c>
      <c r="E89" s="1" t="s">
        <v>33</v>
      </c>
      <c r="F89" s="1" t="s">
        <v>34</v>
      </c>
    </row>
    <row r="90">
      <c r="A90" s="1" t="s">
        <v>652</v>
      </c>
      <c r="B90" s="1" t="s">
        <v>653</v>
      </c>
      <c r="C90" s="1" t="s">
        <v>654</v>
      </c>
      <c r="D90" s="2">
        <f>+251976186627</f>
        <v>251976186627</v>
      </c>
      <c r="E90" s="1" t="s">
        <v>33</v>
      </c>
      <c r="F90" s="1" t="s">
        <v>166</v>
      </c>
    </row>
    <row r="91">
      <c r="A91" s="1" t="s">
        <v>659</v>
      </c>
      <c r="B91" s="1" t="s">
        <v>110</v>
      </c>
      <c r="C91" s="1" t="s">
        <v>303</v>
      </c>
      <c r="D91" s="2">
        <f>+251987294511</f>
        <v>251987294511</v>
      </c>
      <c r="E91" s="1" t="s">
        <v>33</v>
      </c>
      <c r="F91" s="1" t="s">
        <v>118</v>
      </c>
    </row>
    <row r="92">
      <c r="A92" s="1" t="s">
        <v>668</v>
      </c>
      <c r="B92" s="1" t="s">
        <v>669</v>
      </c>
      <c r="C92" s="1" t="s">
        <v>213</v>
      </c>
      <c r="D92" s="2">
        <f>+251913121866</f>
        <v>251913121866</v>
      </c>
      <c r="E92" s="1" t="s">
        <v>33</v>
      </c>
      <c r="F92" s="1" t="s">
        <v>76</v>
      </c>
    </row>
    <row r="93">
      <c r="A93" s="1" t="s">
        <v>675</v>
      </c>
      <c r="B93" s="1" t="s">
        <v>676</v>
      </c>
      <c r="C93" s="1" t="s">
        <v>331</v>
      </c>
      <c r="D93" s="2">
        <f>+251919668531</f>
        <v>251919668531</v>
      </c>
      <c r="E93" s="1" t="s">
        <v>33</v>
      </c>
      <c r="F93" s="1" t="s">
        <v>65</v>
      </c>
    </row>
    <row r="94">
      <c r="A94" s="1" t="s">
        <v>683</v>
      </c>
      <c r="B94" s="1" t="s">
        <v>684</v>
      </c>
      <c r="C94" s="1" t="s">
        <v>685</v>
      </c>
      <c r="D94" s="2">
        <f>+251923553097</f>
        <v>251923553097</v>
      </c>
      <c r="E94" s="1" t="s">
        <v>33</v>
      </c>
      <c r="F94" s="1" t="s">
        <v>76</v>
      </c>
    </row>
    <row r="95">
      <c r="A95" s="1" t="s">
        <v>688</v>
      </c>
      <c r="B95" s="1" t="s">
        <v>663</v>
      </c>
      <c r="C95" s="1" t="s">
        <v>689</v>
      </c>
      <c r="D95" s="1">
        <v>9.75044242E8</v>
      </c>
      <c r="E95" s="1" t="s">
        <v>33</v>
      </c>
      <c r="F95" s="1" t="s">
        <v>34</v>
      </c>
    </row>
    <row r="96">
      <c r="A96" s="1" t="s">
        <v>695</v>
      </c>
      <c r="B96" s="1" t="s">
        <v>696</v>
      </c>
      <c r="C96" s="1" t="s">
        <v>595</v>
      </c>
      <c r="D96" s="2">
        <f>+251973094578</f>
        <v>251973094578</v>
      </c>
      <c r="E96" s="1" t="s">
        <v>33</v>
      </c>
      <c r="F96" s="1" t="s">
        <v>76</v>
      </c>
    </row>
    <row r="97">
      <c r="A97" s="1" t="s">
        <v>706</v>
      </c>
      <c r="B97" s="1" t="s">
        <v>292</v>
      </c>
      <c r="C97" s="1" t="s">
        <v>707</v>
      </c>
      <c r="D97" s="2">
        <f>+251937367655</f>
        <v>251937367655</v>
      </c>
      <c r="E97" s="1" t="s">
        <v>33</v>
      </c>
      <c r="F97" s="1" t="s">
        <v>65</v>
      </c>
    </row>
    <row r="98">
      <c r="A98" s="1" t="s">
        <v>723</v>
      </c>
      <c r="B98" s="1" t="s">
        <v>724</v>
      </c>
      <c r="C98" s="1" t="s">
        <v>725</v>
      </c>
      <c r="D98" s="2">
        <f>+2519065398</f>
        <v>2519065398</v>
      </c>
      <c r="E98" s="1" t="s">
        <v>33</v>
      </c>
      <c r="F98" s="1" t="s">
        <v>65</v>
      </c>
    </row>
    <row r="99">
      <c r="A99" s="1" t="s">
        <v>733</v>
      </c>
      <c r="B99" s="1" t="s">
        <v>734</v>
      </c>
      <c r="C99" s="1" t="s">
        <v>735</v>
      </c>
      <c r="D99" s="2">
        <f>+251905318316</f>
        <v>251905318316</v>
      </c>
      <c r="E99" s="1" t="s">
        <v>33</v>
      </c>
      <c r="F99" s="1" t="s">
        <v>65</v>
      </c>
    </row>
    <row r="100">
      <c r="A100" s="1" t="s">
        <v>739</v>
      </c>
      <c r="B100" s="1" t="s">
        <v>740</v>
      </c>
      <c r="C100" s="1" t="s">
        <v>741</v>
      </c>
      <c r="D100" s="2">
        <f>+251954834023</f>
        <v>251954834023</v>
      </c>
      <c r="E100" s="1" t="s">
        <v>33</v>
      </c>
      <c r="F100" s="1" t="s">
        <v>34</v>
      </c>
    </row>
    <row r="101">
      <c r="A101" s="5" t="s">
        <v>757</v>
      </c>
      <c r="B101" s="5" t="s">
        <v>758</v>
      </c>
      <c r="C101" s="5" t="s">
        <v>759</v>
      </c>
      <c r="D101" s="6">
        <f>+251712036569</f>
        <v>251712036569</v>
      </c>
      <c r="E101" s="5" t="s">
        <v>33</v>
      </c>
      <c r="F101" s="5" t="s">
        <v>34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1" t="s">
        <v>769</v>
      </c>
      <c r="B102" s="1" t="s">
        <v>740</v>
      </c>
      <c r="C102" s="1" t="s">
        <v>741</v>
      </c>
      <c r="D102" s="2">
        <f>+251954834023</f>
        <v>251954834023</v>
      </c>
      <c r="E102" s="1" t="s">
        <v>33</v>
      </c>
      <c r="F102" s="1" t="s">
        <v>65</v>
      </c>
    </row>
    <row r="103">
      <c r="A103" s="1" t="s">
        <v>775</v>
      </c>
      <c r="B103" s="1" t="s">
        <v>36</v>
      </c>
      <c r="C103" s="1" t="s">
        <v>776</v>
      </c>
      <c r="D103" s="2">
        <f>+251900304597</f>
        <v>251900304597</v>
      </c>
      <c r="E103" s="1" t="s">
        <v>33</v>
      </c>
      <c r="F103" s="1" t="s">
        <v>65</v>
      </c>
    </row>
    <row r="104">
      <c r="A104" s="1" t="s">
        <v>779</v>
      </c>
      <c r="B104" s="1" t="s">
        <v>286</v>
      </c>
      <c r="C104" s="1" t="s">
        <v>780</v>
      </c>
      <c r="D104" s="2">
        <f>+251951302554</f>
        <v>251951302554</v>
      </c>
      <c r="E104" s="1" t="s">
        <v>33</v>
      </c>
      <c r="F104" s="1" t="s">
        <v>65</v>
      </c>
    </row>
    <row r="105">
      <c r="A105" s="1" t="s">
        <v>785</v>
      </c>
      <c r="B105" s="1" t="s">
        <v>786</v>
      </c>
      <c r="C105" s="1" t="s">
        <v>787</v>
      </c>
      <c r="D105" s="2">
        <f>+251911976588</f>
        <v>251911976588</v>
      </c>
      <c r="E105" s="1" t="s">
        <v>33</v>
      </c>
      <c r="F105" s="1" t="s">
        <v>166</v>
      </c>
    </row>
    <row r="106">
      <c r="A106" s="1" t="s">
        <v>821</v>
      </c>
      <c r="B106" s="1" t="s">
        <v>822</v>
      </c>
      <c r="C106" s="1" t="s">
        <v>67</v>
      </c>
      <c r="D106" s="2">
        <f>+251955083418</f>
        <v>251955083418</v>
      </c>
      <c r="E106" s="1" t="s">
        <v>33</v>
      </c>
      <c r="F106" s="1" t="s">
        <v>65</v>
      </c>
    </row>
    <row r="107">
      <c r="A107" s="1" t="s">
        <v>830</v>
      </c>
      <c r="B107" s="1" t="s">
        <v>831</v>
      </c>
      <c r="C107" s="1" t="s">
        <v>832</v>
      </c>
      <c r="D107" s="2">
        <f>+251940212294</f>
        <v>251940212294</v>
      </c>
      <c r="E107" s="1" t="s">
        <v>33</v>
      </c>
      <c r="F107" s="1" t="s">
        <v>118</v>
      </c>
    </row>
    <row r="108">
      <c r="A108" s="1" t="s">
        <v>833</v>
      </c>
      <c r="B108" s="1" t="s">
        <v>834</v>
      </c>
      <c r="C108" s="1" t="s">
        <v>341</v>
      </c>
      <c r="D108" s="2">
        <f>+251904177020</f>
        <v>251904177020</v>
      </c>
      <c r="E108" s="1" t="s">
        <v>33</v>
      </c>
      <c r="F108" s="1" t="s">
        <v>34</v>
      </c>
    </row>
    <row r="109">
      <c r="A109" s="1" t="s">
        <v>854</v>
      </c>
      <c r="B109" s="1" t="s">
        <v>855</v>
      </c>
      <c r="C109" s="1" t="s">
        <v>856</v>
      </c>
      <c r="D109" s="2">
        <f>+251992258585</f>
        <v>251992258585</v>
      </c>
      <c r="E109" s="1" t="s">
        <v>33</v>
      </c>
      <c r="F109" s="1" t="s">
        <v>34</v>
      </c>
    </row>
    <row r="110">
      <c r="A110" s="1" t="s">
        <v>860</v>
      </c>
      <c r="B110" s="1" t="s">
        <v>861</v>
      </c>
      <c r="C110" s="1" t="s">
        <v>862</v>
      </c>
      <c r="D110" s="2">
        <f>+251911128217</f>
        <v>251911128217</v>
      </c>
      <c r="E110" s="1" t="s">
        <v>33</v>
      </c>
      <c r="F110" s="1" t="s">
        <v>166</v>
      </c>
    </row>
    <row r="111">
      <c r="A111" s="1" t="s">
        <v>933</v>
      </c>
      <c r="B111" s="1" t="s">
        <v>934</v>
      </c>
      <c r="C111" s="1" t="s">
        <v>935</v>
      </c>
      <c r="D111" s="2">
        <f>+251974611432</f>
        <v>251974611432</v>
      </c>
      <c r="E111" s="1" t="s">
        <v>33</v>
      </c>
      <c r="F111" s="1" t="s">
        <v>118</v>
      </c>
    </row>
    <row r="112">
      <c r="A112" s="1" t="s">
        <v>940</v>
      </c>
      <c r="B112" s="1" t="s">
        <v>941</v>
      </c>
      <c r="C112" s="1" t="s">
        <v>942</v>
      </c>
      <c r="D112" s="2">
        <f>+251948036685</f>
        <v>251948036685</v>
      </c>
      <c r="E112" s="1" t="s">
        <v>33</v>
      </c>
      <c r="F112" s="1" t="s">
        <v>118</v>
      </c>
    </row>
    <row r="113">
      <c r="A113" s="1" t="s">
        <v>945</v>
      </c>
      <c r="B113" s="1" t="s">
        <v>877</v>
      </c>
      <c r="C113" s="1" t="s">
        <v>946</v>
      </c>
      <c r="D113" s="2">
        <f>+251972958008</f>
        <v>251972958008</v>
      </c>
      <c r="E113" s="1" t="s">
        <v>33</v>
      </c>
      <c r="F113" s="1" t="s">
        <v>65</v>
      </c>
    </row>
    <row r="114">
      <c r="A114" s="1" t="s">
        <v>950</v>
      </c>
      <c r="B114" s="1" t="s">
        <v>951</v>
      </c>
      <c r="C114" s="1" t="s">
        <v>559</v>
      </c>
      <c r="D114" s="2">
        <f>+251941101677</f>
        <v>251941101677</v>
      </c>
      <c r="E114" s="1" t="s">
        <v>33</v>
      </c>
      <c r="F114" s="1" t="s">
        <v>166</v>
      </c>
    </row>
    <row r="115">
      <c r="A115" s="1" t="s">
        <v>955</v>
      </c>
      <c r="B115" s="1" t="s">
        <v>474</v>
      </c>
      <c r="C115" s="1" t="s">
        <v>956</v>
      </c>
      <c r="D115" s="2">
        <f>+251949523826</f>
        <v>251949523826</v>
      </c>
      <c r="E115" s="1" t="s">
        <v>33</v>
      </c>
      <c r="F115" s="1" t="s">
        <v>118</v>
      </c>
    </row>
    <row r="116">
      <c r="A116" s="1" t="s">
        <v>964</v>
      </c>
      <c r="B116" s="1" t="s">
        <v>965</v>
      </c>
      <c r="C116" s="1" t="s">
        <v>966</v>
      </c>
      <c r="D116" s="2">
        <f>+251941164875</f>
        <v>251941164875</v>
      </c>
      <c r="E116" s="1" t="s">
        <v>33</v>
      </c>
      <c r="F116" s="1" t="s">
        <v>34</v>
      </c>
    </row>
    <row r="117">
      <c r="A117" s="1" t="s">
        <v>967</v>
      </c>
      <c r="B117" s="1" t="s">
        <v>437</v>
      </c>
      <c r="C117" s="1" t="s">
        <v>968</v>
      </c>
      <c r="D117" s="2">
        <f>+251940519846</f>
        <v>251940519846</v>
      </c>
      <c r="E117" s="1" t="s">
        <v>33</v>
      </c>
      <c r="F117" s="1" t="s">
        <v>65</v>
      </c>
    </row>
    <row r="118">
      <c r="A118" s="1" t="s">
        <v>972</v>
      </c>
      <c r="B118" s="1" t="s">
        <v>370</v>
      </c>
      <c r="C118" s="1" t="s">
        <v>973</v>
      </c>
      <c r="D118" s="2">
        <f>+251711688022</f>
        <v>251711688022</v>
      </c>
      <c r="E118" s="1" t="s">
        <v>33</v>
      </c>
      <c r="F118" s="1" t="s">
        <v>65</v>
      </c>
    </row>
    <row r="119">
      <c r="A119" s="1" t="s">
        <v>977</v>
      </c>
      <c r="B119" s="1" t="s">
        <v>978</v>
      </c>
      <c r="C119" s="1" t="s">
        <v>979</v>
      </c>
      <c r="D119" s="2">
        <f>+251930180642</f>
        <v>251930180642</v>
      </c>
      <c r="E119" s="1" t="s">
        <v>33</v>
      </c>
      <c r="F119" s="1" t="s">
        <v>166</v>
      </c>
    </row>
    <row r="120">
      <c r="A120" s="1" t="s">
        <v>997</v>
      </c>
      <c r="B120" s="1" t="s">
        <v>28</v>
      </c>
      <c r="C120" s="1" t="s">
        <v>998</v>
      </c>
      <c r="D120" s="2">
        <f>+251901113812</f>
        <v>251901113812</v>
      </c>
      <c r="E120" s="1" t="s">
        <v>33</v>
      </c>
      <c r="F120" s="1" t="s">
        <v>65</v>
      </c>
    </row>
    <row r="121">
      <c r="A121" s="1" t="s">
        <v>999</v>
      </c>
      <c r="B121" s="1" t="s">
        <v>438</v>
      </c>
      <c r="C121" s="1" t="s">
        <v>1000</v>
      </c>
      <c r="D121" s="1">
        <v>9.68593917E8</v>
      </c>
      <c r="E121" s="1" t="s">
        <v>33</v>
      </c>
      <c r="F121" s="1" t="s">
        <v>65</v>
      </c>
    </row>
    <row r="122">
      <c r="A122" s="1" t="s">
        <v>1012</v>
      </c>
      <c r="B122" s="1" t="s">
        <v>1013</v>
      </c>
      <c r="C122" s="1" t="s">
        <v>376</v>
      </c>
      <c r="D122" s="2">
        <f>+251941440286</f>
        <v>251941440286</v>
      </c>
      <c r="E122" s="1" t="s">
        <v>33</v>
      </c>
      <c r="F122" s="1" t="s">
        <v>118</v>
      </c>
    </row>
    <row r="123">
      <c r="A123" s="1" t="s">
        <v>1019</v>
      </c>
      <c r="B123" s="1" t="s">
        <v>1020</v>
      </c>
      <c r="C123" s="1" t="s">
        <v>1021</v>
      </c>
      <c r="D123" s="2">
        <f>+251932220014</f>
        <v>251932220014</v>
      </c>
      <c r="E123" s="1" t="s">
        <v>33</v>
      </c>
      <c r="F123" s="1" t="s">
        <v>76</v>
      </c>
    </row>
    <row r="124">
      <c r="A124" s="1" t="s">
        <v>1031</v>
      </c>
      <c r="B124" s="1" t="s">
        <v>1032</v>
      </c>
      <c r="C124" s="1" t="s">
        <v>1033</v>
      </c>
      <c r="D124" s="2">
        <f>+251912684646</f>
        <v>251912684646</v>
      </c>
      <c r="E124" s="1" t="s">
        <v>33</v>
      </c>
      <c r="F124" s="1" t="s">
        <v>166</v>
      </c>
    </row>
    <row r="125">
      <c r="A125" s="1" t="s">
        <v>1041</v>
      </c>
      <c r="B125" s="1" t="s">
        <v>1042</v>
      </c>
      <c r="C125" s="1" t="s">
        <v>1043</v>
      </c>
      <c r="D125" s="2">
        <f>+251900614016</f>
        <v>251900614016</v>
      </c>
      <c r="E125" s="1" t="s">
        <v>33</v>
      </c>
      <c r="F125" s="1" t="s">
        <v>76</v>
      </c>
    </row>
    <row r="126">
      <c r="A126" s="1" t="s">
        <v>1046</v>
      </c>
      <c r="B126" s="1" t="s">
        <v>447</v>
      </c>
      <c r="C126" s="1" t="s">
        <v>361</v>
      </c>
      <c r="D126" s="2">
        <f>+251973312171</f>
        <v>251973312171</v>
      </c>
      <c r="E126" s="1" t="s">
        <v>33</v>
      </c>
      <c r="F126" s="1" t="s">
        <v>177</v>
      </c>
    </row>
    <row r="127">
      <c r="A127" s="1" t="s">
        <v>1047</v>
      </c>
      <c r="B127" s="1" t="s">
        <v>1048</v>
      </c>
      <c r="C127" s="1" t="s">
        <v>1049</v>
      </c>
      <c r="D127" s="2">
        <f>+251909540418</f>
        <v>251909540418</v>
      </c>
      <c r="E127" s="1" t="s">
        <v>33</v>
      </c>
      <c r="F127" s="1" t="s">
        <v>34</v>
      </c>
    </row>
    <row r="128">
      <c r="A128" s="1" t="s">
        <v>1051</v>
      </c>
      <c r="B128" s="1" t="s">
        <v>1052</v>
      </c>
      <c r="C128" s="1" t="s">
        <v>141</v>
      </c>
      <c r="D128" s="2">
        <f>+251979450063</f>
        <v>251979450063</v>
      </c>
      <c r="E128" s="1" t="s">
        <v>33</v>
      </c>
      <c r="F128" s="1" t="s">
        <v>65</v>
      </c>
    </row>
    <row r="129">
      <c r="A129" s="1" t="s">
        <v>1055</v>
      </c>
      <c r="B129" s="1" t="s">
        <v>28</v>
      </c>
      <c r="C129" s="1" t="s">
        <v>1056</v>
      </c>
      <c r="D129" s="2">
        <f>+251925416738</f>
        <v>251925416738</v>
      </c>
      <c r="E129" s="1" t="s">
        <v>33</v>
      </c>
      <c r="F129" s="1" t="s">
        <v>76</v>
      </c>
    </row>
    <row r="130">
      <c r="A130" s="1" t="s">
        <v>1063</v>
      </c>
      <c r="B130" s="1" t="s">
        <v>154</v>
      </c>
      <c r="C130" s="1" t="s">
        <v>1064</v>
      </c>
      <c r="D130" s="2">
        <f>+251907340078</f>
        <v>251907340078</v>
      </c>
      <c r="E130" s="1" t="s">
        <v>33</v>
      </c>
      <c r="F130" s="1" t="s">
        <v>177</v>
      </c>
    </row>
    <row r="131">
      <c r="A131" s="1" t="s">
        <v>1067</v>
      </c>
      <c r="B131" s="1" t="s">
        <v>1068</v>
      </c>
      <c r="C131" s="1" t="s">
        <v>1069</v>
      </c>
      <c r="D131" s="2">
        <f>+251989992409</f>
        <v>251989992409</v>
      </c>
      <c r="E131" s="1" t="s">
        <v>33</v>
      </c>
      <c r="F131" s="1" t="s">
        <v>235</v>
      </c>
    </row>
    <row r="132">
      <c r="A132" s="1" t="s">
        <v>1075</v>
      </c>
      <c r="B132" s="1" t="s">
        <v>1076</v>
      </c>
      <c r="C132" s="1" t="s">
        <v>1077</v>
      </c>
      <c r="D132" s="2">
        <f>+251956728619</f>
        <v>251956728619</v>
      </c>
      <c r="E132" s="1" t="s">
        <v>33</v>
      </c>
      <c r="F132" s="1" t="s">
        <v>118</v>
      </c>
    </row>
    <row r="133">
      <c r="A133" s="1" t="s">
        <v>1082</v>
      </c>
      <c r="B133" s="1" t="s">
        <v>1083</v>
      </c>
      <c r="C133" s="1" t="s">
        <v>1084</v>
      </c>
      <c r="D133" s="1">
        <v>9.5153392E8</v>
      </c>
      <c r="E133" s="1" t="s">
        <v>33</v>
      </c>
      <c r="F133" s="1" t="s">
        <v>177</v>
      </c>
    </row>
    <row r="134">
      <c r="A134" s="1" t="s">
        <v>1102</v>
      </c>
      <c r="B134" s="1" t="s">
        <v>1018</v>
      </c>
      <c r="C134" s="1" t="s">
        <v>1103</v>
      </c>
      <c r="D134" s="1">
        <v>9.85325046E8</v>
      </c>
      <c r="E134" s="1" t="s">
        <v>33</v>
      </c>
      <c r="F134" s="1" t="s">
        <v>76</v>
      </c>
    </row>
    <row r="135">
      <c r="A135" s="1" t="s">
        <v>1108</v>
      </c>
      <c r="B135" s="1" t="s">
        <v>1109</v>
      </c>
      <c r="C135" s="1" t="s">
        <v>1110</v>
      </c>
      <c r="D135" s="2">
        <f>+251911288937</f>
        <v>251911288937</v>
      </c>
      <c r="E135" s="1" t="s">
        <v>33</v>
      </c>
      <c r="F135" s="1" t="s">
        <v>65</v>
      </c>
    </row>
    <row r="136">
      <c r="A136" s="1" t="s">
        <v>1121</v>
      </c>
      <c r="B136" s="1" t="s">
        <v>1122</v>
      </c>
      <c r="C136" s="1" t="s">
        <v>328</v>
      </c>
      <c r="D136" s="2">
        <f>+251921188140</f>
        <v>251921188140</v>
      </c>
      <c r="E136" s="1" t="s">
        <v>33</v>
      </c>
      <c r="F136" s="1" t="s">
        <v>76</v>
      </c>
    </row>
    <row r="137">
      <c r="A137" s="1" t="s">
        <v>1129</v>
      </c>
      <c r="B137" s="1" t="s">
        <v>1130</v>
      </c>
      <c r="C137" s="1" t="s">
        <v>1131</v>
      </c>
      <c r="D137" s="2">
        <f>+251713129818</f>
        <v>251713129818</v>
      </c>
      <c r="E137" s="1" t="s">
        <v>33</v>
      </c>
      <c r="F137" s="1" t="s">
        <v>65</v>
      </c>
    </row>
    <row r="138">
      <c r="A138" s="1" t="s">
        <v>1132</v>
      </c>
      <c r="B138" s="1" t="s">
        <v>1133</v>
      </c>
      <c r="C138" s="1" t="s">
        <v>601</v>
      </c>
      <c r="D138" s="2">
        <f>+251967294375</f>
        <v>251967294375</v>
      </c>
      <c r="E138" s="1" t="s">
        <v>33</v>
      </c>
      <c r="F138" s="1" t="s">
        <v>177</v>
      </c>
    </row>
    <row r="139">
      <c r="A139" s="1" t="s">
        <v>1138</v>
      </c>
      <c r="B139" s="1" t="s">
        <v>1139</v>
      </c>
      <c r="C139" s="1" t="s">
        <v>420</v>
      </c>
      <c r="D139" s="2">
        <f>+251948035993</f>
        <v>251948035993</v>
      </c>
      <c r="E139" s="1" t="s">
        <v>33</v>
      </c>
      <c r="F139" s="1" t="s">
        <v>177</v>
      </c>
    </row>
    <row r="140">
      <c r="A140" s="1" t="s">
        <v>1143</v>
      </c>
      <c r="B140" s="1" t="s">
        <v>1144</v>
      </c>
      <c r="C140" s="1" t="s">
        <v>363</v>
      </c>
      <c r="D140" s="2">
        <f>+251927182804</f>
        <v>251927182804</v>
      </c>
      <c r="E140" s="1" t="s">
        <v>33</v>
      </c>
      <c r="F140" s="1" t="s">
        <v>65</v>
      </c>
    </row>
    <row r="141">
      <c r="A141" s="1" t="s">
        <v>1156</v>
      </c>
      <c r="B141" s="1" t="s">
        <v>1157</v>
      </c>
      <c r="C141" s="1" t="s">
        <v>1158</v>
      </c>
      <c r="D141" s="2">
        <f>+1904626201</f>
        <v>1904626201</v>
      </c>
      <c r="E141" s="1" t="s">
        <v>33</v>
      </c>
      <c r="F141" s="1" t="s">
        <v>34</v>
      </c>
    </row>
    <row r="142">
      <c r="A142" s="1" t="s">
        <v>1168</v>
      </c>
      <c r="B142" s="1" t="s">
        <v>1169</v>
      </c>
      <c r="C142" s="1" t="s">
        <v>1170</v>
      </c>
      <c r="D142" s="2">
        <f>+251963498569</f>
        <v>251963498569</v>
      </c>
      <c r="E142" s="1" t="s">
        <v>33</v>
      </c>
      <c r="F142" s="1" t="s">
        <v>235</v>
      </c>
    </row>
    <row r="143">
      <c r="A143" s="1" t="s">
        <v>1171</v>
      </c>
      <c r="B143" s="1" t="s">
        <v>620</v>
      </c>
      <c r="C143" s="1" t="s">
        <v>1172</v>
      </c>
      <c r="D143" s="2">
        <f>+251934608783</f>
        <v>251934608783</v>
      </c>
      <c r="E143" s="1" t="s">
        <v>33</v>
      </c>
      <c r="F143" s="1" t="s">
        <v>76</v>
      </c>
    </row>
    <row r="144">
      <c r="A144" s="1" t="s">
        <v>1176</v>
      </c>
      <c r="B144" s="1" t="s">
        <v>944</v>
      </c>
      <c r="C144" s="1" t="s">
        <v>405</v>
      </c>
      <c r="D144" s="2">
        <f>+251951152891</f>
        <v>251951152891</v>
      </c>
      <c r="E144" s="1" t="s">
        <v>33</v>
      </c>
      <c r="F144" s="1" t="s">
        <v>34</v>
      </c>
    </row>
    <row r="145">
      <c r="A145" s="1" t="s">
        <v>1179</v>
      </c>
      <c r="B145" s="1" t="s">
        <v>1180</v>
      </c>
      <c r="C145" s="1" t="s">
        <v>1181</v>
      </c>
      <c r="D145" s="2">
        <f>+251929149533</f>
        <v>251929149533</v>
      </c>
      <c r="E145" s="1" t="s">
        <v>33</v>
      </c>
      <c r="F145" s="1" t="s">
        <v>166</v>
      </c>
    </row>
    <row r="146">
      <c r="A146" s="1" t="s">
        <v>1186</v>
      </c>
      <c r="B146" s="1" t="s">
        <v>483</v>
      </c>
      <c r="C146" s="1" t="s">
        <v>1187</v>
      </c>
      <c r="D146" s="2">
        <f>+251923460145</f>
        <v>251923460145</v>
      </c>
      <c r="E146" s="1" t="s">
        <v>33</v>
      </c>
      <c r="F146" s="1" t="s">
        <v>34</v>
      </c>
    </row>
    <row r="147">
      <c r="A147" s="1" t="s">
        <v>1188</v>
      </c>
      <c r="B147" s="1" t="s">
        <v>517</v>
      </c>
      <c r="C147" s="1" t="s">
        <v>768</v>
      </c>
      <c r="D147" s="2">
        <f>+251985909030</f>
        <v>251985909030</v>
      </c>
      <c r="E147" s="1" t="s">
        <v>33</v>
      </c>
      <c r="F147" s="1" t="s">
        <v>65</v>
      </c>
    </row>
    <row r="148">
      <c r="A148" s="1" t="s">
        <v>1191</v>
      </c>
      <c r="B148" s="1" t="s">
        <v>1192</v>
      </c>
      <c r="C148" s="1" t="s">
        <v>1193</v>
      </c>
      <c r="D148" s="2">
        <f>+251914215073</f>
        <v>251914215073</v>
      </c>
      <c r="E148" s="1" t="s">
        <v>33</v>
      </c>
      <c r="F148" s="1" t="s">
        <v>65</v>
      </c>
    </row>
    <row r="149">
      <c r="A149" s="1" t="s">
        <v>1201</v>
      </c>
      <c r="B149" s="1" t="s">
        <v>750</v>
      </c>
      <c r="C149" s="1" t="s">
        <v>1202</v>
      </c>
      <c r="D149" s="2">
        <f>+251974730457</f>
        <v>251974730457</v>
      </c>
      <c r="E149" s="1" t="s">
        <v>33</v>
      </c>
      <c r="F149" s="1" t="s">
        <v>65</v>
      </c>
    </row>
    <row r="150">
      <c r="A150" s="1" t="s">
        <v>1203</v>
      </c>
      <c r="B150" s="1" t="s">
        <v>1098</v>
      </c>
      <c r="C150" s="1" t="s">
        <v>1204</v>
      </c>
      <c r="D150" s="2">
        <f>+251915762514</f>
        <v>251915762514</v>
      </c>
      <c r="E150" s="1" t="s">
        <v>33</v>
      </c>
      <c r="F150" s="1" t="s">
        <v>65</v>
      </c>
    </row>
    <row r="151">
      <c r="A151" s="5" t="s">
        <v>1208</v>
      </c>
      <c r="B151" s="5" t="s">
        <v>1209</v>
      </c>
      <c r="C151" s="5" t="s">
        <v>1210</v>
      </c>
      <c r="D151" s="6">
        <f>+251967727865</f>
        <v>251967727865</v>
      </c>
      <c r="E151" s="5" t="s">
        <v>33</v>
      </c>
      <c r="F151" s="5" t="s">
        <v>118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1" t="s">
        <v>1211</v>
      </c>
      <c r="B152" s="1" t="s">
        <v>1212</v>
      </c>
      <c r="C152" s="1" t="s">
        <v>916</v>
      </c>
      <c r="D152" s="2">
        <f>+251940816644</f>
        <v>251940816644</v>
      </c>
      <c r="E152" s="1" t="s">
        <v>33</v>
      </c>
      <c r="F152" s="1" t="s">
        <v>76</v>
      </c>
    </row>
    <row r="153">
      <c r="A153" s="1" t="s">
        <v>1213</v>
      </c>
      <c r="B153" s="1" t="s">
        <v>1214</v>
      </c>
      <c r="C153" s="1" t="s">
        <v>1215</v>
      </c>
      <c r="D153" s="2">
        <f>+25109091066</f>
        <v>25109091066</v>
      </c>
      <c r="E153" s="1" t="s">
        <v>33</v>
      </c>
      <c r="F153" s="1" t="s">
        <v>118</v>
      </c>
    </row>
    <row r="154">
      <c r="A154" s="1" t="s">
        <v>1219</v>
      </c>
      <c r="B154" s="1" t="s">
        <v>1220</v>
      </c>
      <c r="C154" s="1" t="s">
        <v>189</v>
      </c>
      <c r="D154" s="2">
        <f>+251939396289</f>
        <v>251939396289</v>
      </c>
      <c r="E154" s="1" t="s">
        <v>33</v>
      </c>
      <c r="F154" s="1" t="s">
        <v>65</v>
      </c>
    </row>
    <row r="155">
      <c r="A155" s="1" t="s">
        <v>1227</v>
      </c>
      <c r="B155" s="1" t="s">
        <v>455</v>
      </c>
      <c r="C155" s="1" t="s">
        <v>1228</v>
      </c>
      <c r="D155" s="2">
        <f>+251926817550</f>
        <v>251926817550</v>
      </c>
      <c r="E155" s="1" t="s">
        <v>33</v>
      </c>
      <c r="F155" s="1" t="s">
        <v>34</v>
      </c>
    </row>
    <row r="156">
      <c r="A156" s="1" t="s">
        <v>1231</v>
      </c>
      <c r="B156" s="1" t="s">
        <v>1098</v>
      </c>
      <c r="C156" s="1" t="s">
        <v>1232</v>
      </c>
      <c r="D156" s="2">
        <f>+251976065993</f>
        <v>251976065993</v>
      </c>
      <c r="E156" s="1" t="s">
        <v>33</v>
      </c>
      <c r="F156" s="1" t="s">
        <v>118</v>
      </c>
    </row>
    <row r="157">
      <c r="A157" s="1" t="s">
        <v>1241</v>
      </c>
      <c r="B157" s="1" t="s">
        <v>1242</v>
      </c>
      <c r="C157" s="1" t="s">
        <v>114</v>
      </c>
      <c r="D157" s="2">
        <f>+251940563589</f>
        <v>251940563589</v>
      </c>
      <c r="E157" s="1" t="s">
        <v>33</v>
      </c>
      <c r="F157" s="1" t="s">
        <v>65</v>
      </c>
    </row>
    <row r="158">
      <c r="A158" s="1" t="s">
        <v>1246</v>
      </c>
      <c r="B158" s="1" t="s">
        <v>1247</v>
      </c>
      <c r="C158" s="1" t="s">
        <v>51</v>
      </c>
      <c r="D158" s="1">
        <v>9.30070644E8</v>
      </c>
      <c r="E158" s="1" t="s">
        <v>33</v>
      </c>
      <c r="F158" s="1" t="s">
        <v>34</v>
      </c>
    </row>
    <row r="159">
      <c r="A159" s="1" t="s">
        <v>1261</v>
      </c>
      <c r="B159" s="1" t="s">
        <v>1262</v>
      </c>
      <c r="C159" s="1" t="s">
        <v>255</v>
      </c>
      <c r="D159" s="2">
        <f>+251923480799</f>
        <v>251923480799</v>
      </c>
      <c r="E159" s="1" t="s">
        <v>33</v>
      </c>
      <c r="F159" s="1" t="s">
        <v>177</v>
      </c>
    </row>
    <row r="160">
      <c r="A160" s="1" t="s">
        <v>1263</v>
      </c>
      <c r="B160" s="1" t="s">
        <v>116</v>
      </c>
      <c r="C160" s="1" t="s">
        <v>1264</v>
      </c>
      <c r="D160" s="2">
        <f>+251993592990</f>
        <v>251993592990</v>
      </c>
      <c r="E160" s="1" t="s">
        <v>33</v>
      </c>
      <c r="F160" s="1" t="s">
        <v>166</v>
      </c>
    </row>
    <row r="161">
      <c r="A161" s="1" t="s">
        <v>1268</v>
      </c>
      <c r="B161" s="1" t="s">
        <v>1269</v>
      </c>
      <c r="C161" s="1" t="s">
        <v>1270</v>
      </c>
      <c r="D161" s="2">
        <f>+251996868720</f>
        <v>251996868720</v>
      </c>
      <c r="E161" s="1" t="s">
        <v>33</v>
      </c>
      <c r="F161" s="1" t="s">
        <v>177</v>
      </c>
    </row>
    <row r="162">
      <c r="A162" s="1" t="s">
        <v>1271</v>
      </c>
      <c r="B162" s="1" t="s">
        <v>1272</v>
      </c>
      <c r="C162" s="1" t="s">
        <v>1116</v>
      </c>
      <c r="D162" s="2">
        <f>+251938730295</f>
        <v>251938730295</v>
      </c>
      <c r="E162" s="1" t="s">
        <v>33</v>
      </c>
      <c r="F162" s="1" t="s">
        <v>34</v>
      </c>
    </row>
    <row r="163">
      <c r="A163" s="1" t="s">
        <v>1279</v>
      </c>
      <c r="B163" s="1" t="s">
        <v>1280</v>
      </c>
      <c r="C163" s="1" t="s">
        <v>1281</v>
      </c>
      <c r="D163" s="2">
        <f>+251969470224</f>
        <v>251969470224</v>
      </c>
      <c r="E163" s="1" t="s">
        <v>33</v>
      </c>
      <c r="F163" s="1" t="s">
        <v>76</v>
      </c>
    </row>
    <row r="164">
      <c r="A164" s="1" t="s">
        <v>1284</v>
      </c>
      <c r="B164" s="1" t="s">
        <v>1285</v>
      </c>
      <c r="C164" s="1" t="s">
        <v>47</v>
      </c>
      <c r="D164" s="2">
        <f>+251924555706</f>
        <v>251924555706</v>
      </c>
      <c r="E164" s="1" t="s">
        <v>33</v>
      </c>
      <c r="F164" s="1" t="s">
        <v>34</v>
      </c>
    </row>
    <row r="165">
      <c r="A165" s="1" t="s">
        <v>1287</v>
      </c>
      <c r="B165" s="1" t="s">
        <v>1148</v>
      </c>
      <c r="C165" s="1" t="s">
        <v>497</v>
      </c>
      <c r="D165" s="2">
        <f>+251943142667</f>
        <v>251943142667</v>
      </c>
      <c r="E165" s="1" t="s">
        <v>33</v>
      </c>
      <c r="F165" s="1" t="s">
        <v>177</v>
      </c>
    </row>
    <row r="166">
      <c r="A166" s="1" t="s">
        <v>1288</v>
      </c>
      <c r="B166" s="1" t="s">
        <v>577</v>
      </c>
      <c r="C166" s="1" t="s">
        <v>292</v>
      </c>
      <c r="D166" s="2">
        <f>+251976211773</f>
        <v>251976211773</v>
      </c>
      <c r="E166" s="1" t="s">
        <v>33</v>
      </c>
      <c r="F166" s="1" t="s">
        <v>76</v>
      </c>
    </row>
    <row r="167">
      <c r="A167" s="1" t="s">
        <v>1290</v>
      </c>
      <c r="B167" s="1" t="s">
        <v>1291</v>
      </c>
      <c r="C167" s="1" t="s">
        <v>51</v>
      </c>
      <c r="D167" s="2">
        <f>+251972788430</f>
        <v>251972788430</v>
      </c>
      <c r="E167" s="1" t="s">
        <v>33</v>
      </c>
      <c r="F167" s="1" t="s">
        <v>34</v>
      </c>
    </row>
    <row r="168">
      <c r="A168" s="1" t="s">
        <v>1299</v>
      </c>
      <c r="B168" s="1" t="s">
        <v>1300</v>
      </c>
      <c r="C168" s="1" t="s">
        <v>1301</v>
      </c>
      <c r="D168" s="2">
        <f>+251965698844</f>
        <v>251965698844</v>
      </c>
      <c r="E168" s="1" t="s">
        <v>33</v>
      </c>
      <c r="F168" s="1" t="s">
        <v>34</v>
      </c>
    </row>
    <row r="169">
      <c r="A169" s="1" t="s">
        <v>1305</v>
      </c>
      <c r="B169" s="1" t="s">
        <v>1306</v>
      </c>
      <c r="C169" s="1" t="s">
        <v>1307</v>
      </c>
      <c r="D169" s="2">
        <f>+251910824247</f>
        <v>251910824247</v>
      </c>
      <c r="E169" s="1" t="s">
        <v>33</v>
      </c>
      <c r="F169" s="1" t="s">
        <v>65</v>
      </c>
    </row>
    <row r="170">
      <c r="A170" s="1" t="s">
        <v>1309</v>
      </c>
      <c r="B170" s="1" t="s">
        <v>1310</v>
      </c>
      <c r="C170" s="1" t="s">
        <v>218</v>
      </c>
      <c r="D170" s="2">
        <f>+251929137972</f>
        <v>251929137972</v>
      </c>
      <c r="E170" s="1" t="s">
        <v>33</v>
      </c>
      <c r="F170" s="1" t="s">
        <v>34</v>
      </c>
    </row>
    <row r="171">
      <c r="A171" s="1" t="s">
        <v>1347</v>
      </c>
      <c r="B171" s="1" t="s">
        <v>1348</v>
      </c>
      <c r="C171" s="1" t="s">
        <v>1043</v>
      </c>
      <c r="D171" s="2">
        <f>+251966303020</f>
        <v>251966303020</v>
      </c>
      <c r="E171" s="1" t="s">
        <v>33</v>
      </c>
      <c r="F171" s="1" t="s">
        <v>118</v>
      </c>
    </row>
    <row r="172">
      <c r="A172" s="1" t="s">
        <v>1353</v>
      </c>
      <c r="B172" s="1" t="s">
        <v>836</v>
      </c>
      <c r="C172" s="1" t="s">
        <v>1077</v>
      </c>
      <c r="D172" s="2">
        <f>+251907685184</f>
        <v>251907685184</v>
      </c>
      <c r="E172" s="1" t="s">
        <v>33</v>
      </c>
      <c r="F172" s="1" t="s">
        <v>65</v>
      </c>
    </row>
    <row r="173">
      <c r="A173" s="1" t="s">
        <v>1354</v>
      </c>
      <c r="B173" s="1" t="s">
        <v>1355</v>
      </c>
      <c r="C173" s="1" t="s">
        <v>1356</v>
      </c>
      <c r="D173" s="2">
        <f>+251989335536</f>
        <v>251989335536</v>
      </c>
      <c r="E173" s="1" t="s">
        <v>33</v>
      </c>
      <c r="F173" s="1" t="s">
        <v>65</v>
      </c>
    </row>
    <row r="174">
      <c r="A174" s="1" t="s">
        <v>1359</v>
      </c>
      <c r="B174" s="1" t="s">
        <v>1360</v>
      </c>
      <c r="C174" s="1" t="s">
        <v>1361</v>
      </c>
      <c r="D174" s="2">
        <f>+251953027921</f>
        <v>251953027921</v>
      </c>
      <c r="E174" s="1" t="s">
        <v>33</v>
      </c>
      <c r="F174" s="1" t="s">
        <v>76</v>
      </c>
    </row>
    <row r="175">
      <c r="A175" s="1" t="s">
        <v>1366</v>
      </c>
      <c r="B175" s="1" t="s">
        <v>370</v>
      </c>
      <c r="C175" s="1" t="s">
        <v>313</v>
      </c>
      <c r="D175" s="1">
        <v>9.42079327E8</v>
      </c>
      <c r="E175" s="1" t="s">
        <v>33</v>
      </c>
      <c r="F175" s="1" t="s">
        <v>34</v>
      </c>
    </row>
    <row r="176">
      <c r="A176" s="1" t="s">
        <v>1370</v>
      </c>
      <c r="B176" s="1" t="s">
        <v>123</v>
      </c>
      <c r="C176" s="1" t="s">
        <v>1371</v>
      </c>
      <c r="D176" s="2">
        <f>+251993677291</f>
        <v>251993677291</v>
      </c>
      <c r="E176" s="1" t="s">
        <v>33</v>
      </c>
      <c r="F176" s="1" t="s">
        <v>118</v>
      </c>
    </row>
    <row r="177">
      <c r="A177" s="1" t="s">
        <v>1378</v>
      </c>
      <c r="B177" s="1" t="s">
        <v>1379</v>
      </c>
      <c r="C177" s="1" t="s">
        <v>1380</v>
      </c>
      <c r="D177" s="2">
        <f>+251934839877</f>
        <v>251934839877</v>
      </c>
      <c r="E177" s="1" t="s">
        <v>33</v>
      </c>
      <c r="F177" s="1" t="s">
        <v>76</v>
      </c>
    </row>
    <row r="178">
      <c r="A178" s="1" t="s">
        <v>1399</v>
      </c>
      <c r="B178" s="1" t="s">
        <v>37</v>
      </c>
      <c r="C178" s="1" t="s">
        <v>641</v>
      </c>
      <c r="D178" s="2">
        <f>+251907007851</f>
        <v>251907007851</v>
      </c>
      <c r="E178" s="1" t="s">
        <v>33</v>
      </c>
      <c r="F178" s="1" t="s">
        <v>65</v>
      </c>
    </row>
    <row r="179">
      <c r="A179" s="1" t="s">
        <v>1406</v>
      </c>
      <c r="B179" s="1" t="s">
        <v>951</v>
      </c>
      <c r="C179" s="1" t="s">
        <v>1407</v>
      </c>
      <c r="D179" s="2">
        <f>+251930745012</f>
        <v>251930745012</v>
      </c>
      <c r="E179" s="1" t="s">
        <v>33</v>
      </c>
      <c r="F179" s="1" t="s">
        <v>177</v>
      </c>
    </row>
    <row r="180">
      <c r="A180" s="1" t="s">
        <v>1421</v>
      </c>
      <c r="B180" s="1" t="s">
        <v>503</v>
      </c>
      <c r="C180" s="1" t="s">
        <v>303</v>
      </c>
      <c r="D180" s="2">
        <f>+251972903535</f>
        <v>251972903535</v>
      </c>
      <c r="E180" s="1" t="s">
        <v>33</v>
      </c>
      <c r="F180" s="1" t="s">
        <v>235</v>
      </c>
    </row>
    <row r="181">
      <c r="A181" s="5" t="s">
        <v>1429</v>
      </c>
      <c r="B181" s="5" t="s">
        <v>1430</v>
      </c>
      <c r="C181" s="5" t="s">
        <v>1431</v>
      </c>
      <c r="D181" s="6">
        <f>+251942170225</f>
        <v>251942170225</v>
      </c>
      <c r="E181" s="5" t="s">
        <v>33</v>
      </c>
      <c r="F181" s="5" t="s">
        <v>166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1" t="s">
        <v>1432</v>
      </c>
      <c r="B182" s="1" t="s">
        <v>483</v>
      </c>
      <c r="C182" s="1" t="s">
        <v>1433</v>
      </c>
      <c r="D182" s="2">
        <f>+251918461548</f>
        <v>251918461548</v>
      </c>
      <c r="E182" s="1" t="s">
        <v>33</v>
      </c>
      <c r="F182" s="1" t="s">
        <v>65</v>
      </c>
    </row>
    <row r="183">
      <c r="A183" s="1" t="s">
        <v>1441</v>
      </c>
      <c r="B183" s="1" t="s">
        <v>1442</v>
      </c>
      <c r="C183" s="1" t="s">
        <v>724</v>
      </c>
      <c r="D183" s="2">
        <f>+251931559554</f>
        <v>251931559554</v>
      </c>
      <c r="E183" s="1" t="s">
        <v>33</v>
      </c>
      <c r="F183" s="1" t="s">
        <v>65</v>
      </c>
    </row>
    <row r="184">
      <c r="A184" s="1" t="s">
        <v>1443</v>
      </c>
      <c r="B184" s="1" t="s">
        <v>60</v>
      </c>
      <c r="C184" s="1" t="s">
        <v>1444</v>
      </c>
      <c r="D184" s="2">
        <f>+251938839586</f>
        <v>251938839586</v>
      </c>
      <c r="E184" s="1" t="s">
        <v>33</v>
      </c>
      <c r="F184" s="1" t="s">
        <v>235</v>
      </c>
    </row>
    <row r="185">
      <c r="A185" s="1" t="s">
        <v>1445</v>
      </c>
      <c r="B185" s="1" t="s">
        <v>1446</v>
      </c>
      <c r="C185" s="1" t="s">
        <v>1447</v>
      </c>
      <c r="D185" s="2">
        <f>+251904000846</f>
        <v>251904000846</v>
      </c>
      <c r="E185" s="1" t="s">
        <v>33</v>
      </c>
      <c r="F185" s="1" t="s">
        <v>118</v>
      </c>
    </row>
    <row r="186">
      <c r="A186" s="1" t="s">
        <v>1453</v>
      </c>
      <c r="B186" s="1" t="s">
        <v>1128</v>
      </c>
      <c r="C186" s="1" t="s">
        <v>1454</v>
      </c>
      <c r="D186" s="2">
        <f>+251933082993</f>
        <v>251933082993</v>
      </c>
      <c r="E186" s="1" t="s">
        <v>33</v>
      </c>
      <c r="F186" s="1" t="s">
        <v>65</v>
      </c>
    </row>
    <row r="187">
      <c r="A187" s="1" t="s">
        <v>1456</v>
      </c>
      <c r="B187" s="1" t="s">
        <v>1457</v>
      </c>
      <c r="C187" s="1" t="s">
        <v>328</v>
      </c>
      <c r="D187" s="2">
        <f>+251924097574</f>
        <v>251924097574</v>
      </c>
      <c r="E187" s="1" t="s">
        <v>33</v>
      </c>
      <c r="F187" s="1" t="s">
        <v>65</v>
      </c>
    </row>
    <row r="188">
      <c r="A188" s="1" t="s">
        <v>1462</v>
      </c>
      <c r="B188" s="1" t="s">
        <v>1463</v>
      </c>
      <c r="C188" s="1" t="s">
        <v>1464</v>
      </c>
      <c r="D188" s="2">
        <f>+251913222798</f>
        <v>251913222798</v>
      </c>
      <c r="E188" s="1" t="s">
        <v>33</v>
      </c>
      <c r="F188" s="1" t="s">
        <v>65</v>
      </c>
    </row>
    <row r="189">
      <c r="A189" s="1" t="s">
        <v>1469</v>
      </c>
      <c r="B189" s="1" t="s">
        <v>1470</v>
      </c>
      <c r="C189" s="1" t="s">
        <v>1471</v>
      </c>
      <c r="D189" s="2">
        <f>+251977346862</f>
        <v>251977346862</v>
      </c>
      <c r="E189" s="1" t="s">
        <v>33</v>
      </c>
      <c r="F189" s="1" t="s">
        <v>65</v>
      </c>
    </row>
    <row r="190">
      <c r="A190" s="1" t="s">
        <v>1472</v>
      </c>
      <c r="B190" s="1" t="s">
        <v>812</v>
      </c>
      <c r="C190" s="1" t="s">
        <v>601</v>
      </c>
      <c r="D190" s="2">
        <f>+251953224474</f>
        <v>251953224474</v>
      </c>
      <c r="E190" s="1" t="s">
        <v>33</v>
      </c>
      <c r="F190" s="1" t="s">
        <v>118</v>
      </c>
    </row>
    <row r="191">
      <c r="A191" s="1" t="s">
        <v>1486</v>
      </c>
      <c r="B191" s="1" t="s">
        <v>1487</v>
      </c>
      <c r="C191" s="1" t="s">
        <v>1488</v>
      </c>
      <c r="D191" s="2">
        <f>+971556263426</f>
        <v>971556263426</v>
      </c>
      <c r="E191" s="1" t="s">
        <v>33</v>
      </c>
      <c r="F191" s="1" t="s">
        <v>166</v>
      </c>
    </row>
    <row r="192">
      <c r="A192" s="1" t="s">
        <v>1491</v>
      </c>
      <c r="B192" s="1" t="s">
        <v>503</v>
      </c>
      <c r="C192" s="1" t="s">
        <v>1492</v>
      </c>
      <c r="D192" s="2">
        <f>+251964671948</f>
        <v>251964671948</v>
      </c>
      <c r="E192" s="1" t="s">
        <v>33</v>
      </c>
      <c r="F192" s="1" t="s">
        <v>34</v>
      </c>
    </row>
    <row r="193">
      <c r="A193" s="1" t="s">
        <v>1493</v>
      </c>
      <c r="B193" s="1" t="s">
        <v>1494</v>
      </c>
      <c r="C193" s="1" t="s">
        <v>1495</v>
      </c>
      <c r="D193" s="2">
        <f>+251933620339</f>
        <v>251933620339</v>
      </c>
      <c r="E193" s="1" t="s">
        <v>33</v>
      </c>
      <c r="F193" s="1" t="s">
        <v>76</v>
      </c>
    </row>
    <row r="194">
      <c r="A194" s="1" t="s">
        <v>1497</v>
      </c>
      <c r="B194" s="1" t="s">
        <v>1237</v>
      </c>
      <c r="C194" s="1" t="s">
        <v>189</v>
      </c>
      <c r="D194" s="2">
        <f>+251913339939</f>
        <v>251913339939</v>
      </c>
      <c r="E194" s="1" t="s">
        <v>33</v>
      </c>
      <c r="F194" s="1" t="s">
        <v>65</v>
      </c>
    </row>
    <row r="195">
      <c r="A195" s="1" t="s">
        <v>1505</v>
      </c>
      <c r="B195" s="1" t="s">
        <v>333</v>
      </c>
      <c r="C195" s="1" t="s">
        <v>963</v>
      </c>
      <c r="D195" s="2">
        <f>+251901121188</f>
        <v>251901121188</v>
      </c>
      <c r="E195" s="1" t="s">
        <v>33</v>
      </c>
      <c r="F195" s="1" t="s">
        <v>166</v>
      </c>
    </row>
    <row r="196">
      <c r="A196" s="1" t="s">
        <v>1523</v>
      </c>
      <c r="B196" s="1" t="s">
        <v>1355</v>
      </c>
      <c r="C196" s="1" t="s">
        <v>1524</v>
      </c>
      <c r="D196" s="2">
        <f>+251939654186</f>
        <v>251939654186</v>
      </c>
      <c r="E196" s="1" t="s">
        <v>33</v>
      </c>
      <c r="F196" s="1" t="s">
        <v>166</v>
      </c>
    </row>
    <row r="197">
      <c r="A197" s="1" t="s">
        <v>1525</v>
      </c>
      <c r="B197" s="1" t="s">
        <v>944</v>
      </c>
      <c r="C197" s="1" t="s">
        <v>1000</v>
      </c>
      <c r="D197" s="2">
        <f>+251920160236</f>
        <v>251920160236</v>
      </c>
      <c r="E197" s="1" t="s">
        <v>33</v>
      </c>
      <c r="F197" s="1" t="s">
        <v>166</v>
      </c>
    </row>
    <row r="198">
      <c r="A198" s="1" t="s">
        <v>1526</v>
      </c>
      <c r="B198" s="1" t="s">
        <v>264</v>
      </c>
      <c r="C198" s="1" t="s">
        <v>1527</v>
      </c>
      <c r="D198" s="2">
        <f>+251938308521</f>
        <v>251938308521</v>
      </c>
      <c r="E198" s="1" t="s">
        <v>33</v>
      </c>
      <c r="F198" s="1" t="s">
        <v>235</v>
      </c>
    </row>
    <row r="199">
      <c r="A199" s="1" t="s">
        <v>1528</v>
      </c>
      <c r="B199" s="1" t="s">
        <v>337</v>
      </c>
      <c r="C199" s="1" t="s">
        <v>338</v>
      </c>
      <c r="D199" s="2">
        <f>+251912406308</f>
        <v>251912406308</v>
      </c>
      <c r="E199" s="1" t="s">
        <v>33</v>
      </c>
      <c r="F199" s="1" t="s">
        <v>177</v>
      </c>
    </row>
    <row r="200">
      <c r="A200" s="1" t="s">
        <v>1538</v>
      </c>
      <c r="B200" s="1" t="s">
        <v>1539</v>
      </c>
      <c r="C200" s="1" t="s">
        <v>601</v>
      </c>
      <c r="D200" s="2">
        <f>+251909146096</f>
        <v>251909146096</v>
      </c>
      <c r="E200" s="1" t="s">
        <v>33</v>
      </c>
      <c r="F200" s="1" t="s">
        <v>65</v>
      </c>
    </row>
    <row r="201">
      <c r="A201" s="1" t="s">
        <v>1547</v>
      </c>
      <c r="B201" s="1" t="s">
        <v>1548</v>
      </c>
      <c r="C201" s="1" t="s">
        <v>1549</v>
      </c>
      <c r="D201" s="2">
        <f>+251916255375</f>
        <v>251916255375</v>
      </c>
      <c r="E201" s="1" t="s">
        <v>33</v>
      </c>
      <c r="F201" s="1" t="s">
        <v>34</v>
      </c>
    </row>
    <row r="202">
      <c r="A202" s="1" t="s">
        <v>1552</v>
      </c>
      <c r="B202" s="1" t="s">
        <v>1553</v>
      </c>
      <c r="C202" s="1" t="s">
        <v>716</v>
      </c>
      <c r="D202" s="2">
        <f>+251936635548</f>
        <v>251936635548</v>
      </c>
      <c r="E202" s="1" t="s">
        <v>33</v>
      </c>
      <c r="F202" s="1" t="s">
        <v>166</v>
      </c>
    </row>
    <row r="203">
      <c r="A203" s="1" t="s">
        <v>1554</v>
      </c>
      <c r="B203" s="1" t="s">
        <v>893</v>
      </c>
      <c r="C203" s="1" t="s">
        <v>1555</v>
      </c>
      <c r="D203" s="2">
        <f>+251986589983</f>
        <v>251986589983</v>
      </c>
      <c r="E203" s="1" t="s">
        <v>33</v>
      </c>
      <c r="F203" s="1" t="s">
        <v>65</v>
      </c>
    </row>
    <row r="204">
      <c r="A204" s="1" t="s">
        <v>1557</v>
      </c>
      <c r="B204" s="1" t="s">
        <v>1558</v>
      </c>
      <c r="C204" s="1" t="s">
        <v>1559</v>
      </c>
      <c r="D204" s="2">
        <f>+251954898573</f>
        <v>251954898573</v>
      </c>
      <c r="E204" s="1" t="s">
        <v>33</v>
      </c>
      <c r="F204" s="1" t="s">
        <v>34</v>
      </c>
    </row>
    <row r="205">
      <c r="A205" s="1" t="s">
        <v>1565</v>
      </c>
      <c r="B205" s="1" t="s">
        <v>101</v>
      </c>
      <c r="C205" s="1" t="s">
        <v>1566</v>
      </c>
      <c r="D205" s="2">
        <f>+251930958877</f>
        <v>251930958877</v>
      </c>
      <c r="E205" s="1" t="s">
        <v>33</v>
      </c>
      <c r="F205" s="1" t="s">
        <v>76</v>
      </c>
    </row>
    <row r="206">
      <c r="A206" s="1" t="s">
        <v>1569</v>
      </c>
      <c r="B206" s="1" t="s">
        <v>1570</v>
      </c>
      <c r="C206" s="1" t="s">
        <v>316</v>
      </c>
      <c r="D206" s="2">
        <f>+251909267912</f>
        <v>251909267912</v>
      </c>
      <c r="E206" s="1" t="s">
        <v>33</v>
      </c>
      <c r="F206" s="1" t="s">
        <v>76</v>
      </c>
    </row>
    <row r="207">
      <c r="A207" s="1" t="s">
        <v>1576</v>
      </c>
      <c r="B207" s="1" t="s">
        <v>1577</v>
      </c>
      <c r="C207" s="1" t="s">
        <v>1578</v>
      </c>
      <c r="D207" s="2">
        <f>+251955098708</f>
        <v>251955098708</v>
      </c>
      <c r="E207" s="1" t="s">
        <v>33</v>
      </c>
      <c r="F207" s="1" t="s">
        <v>166</v>
      </c>
    </row>
    <row r="208">
      <c r="A208" s="1" t="s">
        <v>1582</v>
      </c>
      <c r="B208" s="1" t="s">
        <v>1583</v>
      </c>
      <c r="C208" s="1" t="s">
        <v>951</v>
      </c>
      <c r="D208" s="2">
        <f>+251910936769</f>
        <v>251910936769</v>
      </c>
      <c r="E208" s="1" t="s">
        <v>33</v>
      </c>
      <c r="F208" s="1" t="s">
        <v>76</v>
      </c>
    </row>
    <row r="209">
      <c r="A209" s="1" t="s">
        <v>1589</v>
      </c>
      <c r="B209" s="1" t="s">
        <v>1590</v>
      </c>
      <c r="C209" s="1" t="s">
        <v>1591</v>
      </c>
      <c r="D209" s="2">
        <f>+251927919556</f>
        <v>251927919556</v>
      </c>
      <c r="E209" s="1" t="s">
        <v>33</v>
      </c>
      <c r="F209" s="1" t="s">
        <v>177</v>
      </c>
    </row>
    <row r="210">
      <c r="A210" s="1" t="s">
        <v>1592</v>
      </c>
      <c r="B210" s="1" t="s">
        <v>1593</v>
      </c>
      <c r="C210" s="1" t="s">
        <v>91</v>
      </c>
      <c r="D210" s="2">
        <f>+251984812005</f>
        <v>251984812005</v>
      </c>
      <c r="E210" s="1" t="s">
        <v>33</v>
      </c>
      <c r="F210" s="1" t="s">
        <v>166</v>
      </c>
    </row>
    <row r="211">
      <c r="A211" s="1" t="s">
        <v>1613</v>
      </c>
      <c r="B211" s="1" t="s">
        <v>1614</v>
      </c>
      <c r="C211" s="1" t="s">
        <v>1615</v>
      </c>
      <c r="D211" s="2">
        <f>+251996572740</f>
        <v>251996572740</v>
      </c>
      <c r="E211" s="1" t="s">
        <v>33</v>
      </c>
      <c r="F211" s="1" t="s">
        <v>166</v>
      </c>
    </row>
    <row r="212">
      <c r="A212" s="1" t="s">
        <v>1632</v>
      </c>
      <c r="B212" s="1" t="s">
        <v>28</v>
      </c>
      <c r="C212" s="1" t="s">
        <v>341</v>
      </c>
      <c r="D212" s="2">
        <f>+251944142258</f>
        <v>251944142258</v>
      </c>
      <c r="E212" s="1" t="s">
        <v>33</v>
      </c>
      <c r="F212" s="1" t="s">
        <v>65</v>
      </c>
    </row>
    <row r="213">
      <c r="A213" s="1" t="s">
        <v>1638</v>
      </c>
      <c r="B213" s="1" t="s">
        <v>1639</v>
      </c>
      <c r="C213" s="1" t="s">
        <v>1640</v>
      </c>
      <c r="D213" s="2">
        <f>+251923735867</f>
        <v>251923735867</v>
      </c>
      <c r="E213" s="1" t="s">
        <v>33</v>
      </c>
      <c r="F213" s="1" t="s">
        <v>65</v>
      </c>
    </row>
    <row r="214">
      <c r="A214" s="5" t="s">
        <v>1641</v>
      </c>
      <c r="B214" s="5" t="s">
        <v>1642</v>
      </c>
      <c r="C214" s="5" t="s">
        <v>108</v>
      </c>
      <c r="D214" s="5">
        <v>9.47355515E8</v>
      </c>
      <c r="E214" s="5" t="s">
        <v>33</v>
      </c>
      <c r="F214" s="5" t="s">
        <v>34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1" t="s">
        <v>15</v>
      </c>
      <c r="B215" s="1" t="s">
        <v>16</v>
      </c>
      <c r="C215" s="1" t="s">
        <v>17</v>
      </c>
      <c r="D215" s="2">
        <f>+251946751152</f>
        <v>251946751152</v>
      </c>
      <c r="E215" s="1" t="s">
        <v>21</v>
      </c>
    </row>
    <row r="216">
      <c r="A216" s="1" t="s">
        <v>27</v>
      </c>
      <c r="B216" s="1" t="s">
        <v>28</v>
      </c>
      <c r="C216" s="1" t="s">
        <v>29</v>
      </c>
      <c r="D216" s="1">
        <v>9.77773818E8</v>
      </c>
      <c r="E216" s="1" t="s">
        <v>21</v>
      </c>
    </row>
    <row r="217">
      <c r="A217" s="1" t="s">
        <v>35</v>
      </c>
      <c r="B217" s="1" t="s">
        <v>36</v>
      </c>
      <c r="C217" s="1" t="s">
        <v>37</v>
      </c>
      <c r="D217" s="2">
        <f>+251900304597</f>
        <v>251900304597</v>
      </c>
      <c r="E217" s="1" t="s">
        <v>21</v>
      </c>
    </row>
    <row r="218">
      <c r="A218" s="1" t="s">
        <v>38</v>
      </c>
      <c r="B218" s="1" t="s">
        <v>39</v>
      </c>
      <c r="C218" s="1" t="s">
        <v>40</v>
      </c>
      <c r="D218" s="2">
        <f>+251944784553</f>
        <v>251944784553</v>
      </c>
      <c r="E218" s="1" t="s">
        <v>21</v>
      </c>
    </row>
    <row r="219">
      <c r="A219" s="1" t="s">
        <v>41</v>
      </c>
      <c r="B219" s="1" t="s">
        <v>42</v>
      </c>
      <c r="C219" s="1" t="s">
        <v>39</v>
      </c>
      <c r="D219" s="2">
        <f>+251903180601</f>
        <v>251903180601</v>
      </c>
      <c r="E219" s="1" t="s">
        <v>21</v>
      </c>
    </row>
    <row r="220">
      <c r="A220" s="1" t="s">
        <v>43</v>
      </c>
      <c r="B220" s="1" t="s">
        <v>44</v>
      </c>
      <c r="C220" s="1" t="s">
        <v>45</v>
      </c>
      <c r="D220" s="2">
        <f>+251901525354</f>
        <v>251901525354</v>
      </c>
      <c r="E220" s="1" t="s">
        <v>21</v>
      </c>
    </row>
    <row r="221">
      <c r="A221" s="1" t="s">
        <v>46</v>
      </c>
      <c r="B221" s="1" t="s">
        <v>47</v>
      </c>
      <c r="C221" s="1" t="s">
        <v>48</v>
      </c>
      <c r="D221" s="2">
        <f>+251989709867</f>
        <v>251989709867</v>
      </c>
      <c r="E221" s="1" t="s">
        <v>21</v>
      </c>
    </row>
    <row r="222">
      <c r="A222" s="1" t="s">
        <v>49</v>
      </c>
      <c r="B222" s="1" t="s">
        <v>50</v>
      </c>
      <c r="C222" s="1" t="s">
        <v>51</v>
      </c>
      <c r="D222" s="2">
        <f>+251992752075</f>
        <v>251992752075</v>
      </c>
      <c r="E222" s="1" t="s">
        <v>21</v>
      </c>
    </row>
    <row r="223">
      <c r="A223" s="1" t="s">
        <v>52</v>
      </c>
      <c r="B223" s="1" t="s">
        <v>53</v>
      </c>
      <c r="C223" s="1" t="s">
        <v>54</v>
      </c>
      <c r="D223" s="2">
        <f>+251940123164</f>
        <v>251940123164</v>
      </c>
      <c r="E223" s="1" t="s">
        <v>21</v>
      </c>
    </row>
    <row r="224">
      <c r="A224" s="1" t="s">
        <v>55</v>
      </c>
      <c r="B224" s="1" t="s">
        <v>56</v>
      </c>
      <c r="C224" s="1" t="s">
        <v>57</v>
      </c>
      <c r="D224" s="2">
        <f>+251914058104</f>
        <v>251914058104</v>
      </c>
      <c r="E224" s="1" t="s">
        <v>21</v>
      </c>
    </row>
    <row r="225">
      <c r="A225" s="1" t="s">
        <v>59</v>
      </c>
      <c r="B225" s="1" t="s">
        <v>60</v>
      </c>
      <c r="C225" s="1" t="s">
        <v>61</v>
      </c>
      <c r="D225" s="1">
        <v>9.21535412E8</v>
      </c>
      <c r="E225" s="1" t="s">
        <v>21</v>
      </c>
    </row>
    <row r="226">
      <c r="A226" s="1" t="s">
        <v>66</v>
      </c>
      <c r="B226" s="1" t="s">
        <v>67</v>
      </c>
      <c r="C226" s="1" t="s">
        <v>68</v>
      </c>
      <c r="D226" s="2">
        <f>+251910897338</f>
        <v>251910897338</v>
      </c>
      <c r="E226" s="1" t="s">
        <v>21</v>
      </c>
    </row>
    <row r="227">
      <c r="A227" s="1" t="s">
        <v>69</v>
      </c>
      <c r="B227" s="1" t="s">
        <v>70</v>
      </c>
      <c r="C227" s="1" t="s">
        <v>71</v>
      </c>
      <c r="D227" s="2">
        <f>+251919547495</f>
        <v>251919547495</v>
      </c>
      <c r="E227" s="1" t="s">
        <v>21</v>
      </c>
    </row>
    <row r="228">
      <c r="A228" s="1" t="s">
        <v>77</v>
      </c>
      <c r="B228" s="1" t="s">
        <v>78</v>
      </c>
      <c r="C228" s="1" t="s">
        <v>79</v>
      </c>
      <c r="D228" s="2">
        <f>+251935486868</f>
        <v>251935486868</v>
      </c>
      <c r="E228" s="1" t="s">
        <v>21</v>
      </c>
    </row>
    <row r="229">
      <c r="A229" s="1" t="s">
        <v>81</v>
      </c>
      <c r="B229" s="1" t="s">
        <v>82</v>
      </c>
      <c r="C229" s="1" t="s">
        <v>83</v>
      </c>
      <c r="D229" s="2">
        <f>+251930294653</f>
        <v>251930294653</v>
      </c>
      <c r="E229" s="1" t="s">
        <v>21</v>
      </c>
    </row>
    <row r="230">
      <c r="A230" s="1" t="s">
        <v>84</v>
      </c>
      <c r="B230" s="1" t="s">
        <v>85</v>
      </c>
      <c r="C230" s="1" t="s">
        <v>86</v>
      </c>
      <c r="D230" s="2">
        <f>+251993386838</f>
        <v>251993386838</v>
      </c>
      <c r="E230" s="1" t="s">
        <v>21</v>
      </c>
    </row>
    <row r="231">
      <c r="A231" s="1" t="s">
        <v>87</v>
      </c>
      <c r="B231" s="1" t="s">
        <v>88</v>
      </c>
      <c r="C231" s="1" t="s">
        <v>89</v>
      </c>
      <c r="D231" s="2">
        <f>+251992008407</f>
        <v>251992008407</v>
      </c>
      <c r="E231" s="1" t="s">
        <v>21</v>
      </c>
    </row>
    <row r="232">
      <c r="A232" s="1" t="s">
        <v>94</v>
      </c>
      <c r="B232" s="1" t="s">
        <v>95</v>
      </c>
      <c r="C232" s="1" t="s">
        <v>96</v>
      </c>
      <c r="D232" s="2">
        <f>+251968838617</f>
        <v>251968838617</v>
      </c>
      <c r="E232" s="1" t="s">
        <v>21</v>
      </c>
    </row>
    <row r="233">
      <c r="A233" s="1" t="s">
        <v>97</v>
      </c>
      <c r="B233" s="1" t="s">
        <v>98</v>
      </c>
      <c r="C233" s="1" t="s">
        <v>99</v>
      </c>
      <c r="D233" s="2">
        <f>+251969936391</f>
        <v>251969936391</v>
      </c>
      <c r="E233" s="1" t="s">
        <v>21</v>
      </c>
    </row>
    <row r="234">
      <c r="A234" s="1" t="s">
        <v>100</v>
      </c>
      <c r="B234" s="1" t="s">
        <v>101</v>
      </c>
      <c r="C234" s="1" t="s">
        <v>102</v>
      </c>
      <c r="D234" s="2">
        <f>+251922106161</f>
        <v>251922106161</v>
      </c>
      <c r="E234" s="1" t="s">
        <v>21</v>
      </c>
    </row>
    <row r="235">
      <c r="A235" s="1" t="s">
        <v>106</v>
      </c>
      <c r="B235" s="1" t="s">
        <v>107</v>
      </c>
      <c r="C235" s="1" t="s">
        <v>108</v>
      </c>
      <c r="D235" s="2">
        <f>+251919190988</f>
        <v>251919190988</v>
      </c>
      <c r="E235" s="1" t="s">
        <v>21</v>
      </c>
    </row>
    <row r="236">
      <c r="A236" s="1" t="s">
        <v>112</v>
      </c>
      <c r="B236" s="1" t="s">
        <v>113</v>
      </c>
      <c r="C236" s="1" t="s">
        <v>114</v>
      </c>
      <c r="D236" s="2">
        <f>+251992790709</f>
        <v>251992790709</v>
      </c>
      <c r="E236" s="1" t="s">
        <v>21</v>
      </c>
    </row>
    <row r="237">
      <c r="A237" s="1" t="s">
        <v>119</v>
      </c>
      <c r="B237" s="1" t="s">
        <v>120</v>
      </c>
      <c r="C237" s="1" t="s">
        <v>121</v>
      </c>
      <c r="D237" s="2">
        <f>+251912373577</f>
        <v>251912373577</v>
      </c>
      <c r="E237" s="1" t="s">
        <v>21</v>
      </c>
    </row>
    <row r="238">
      <c r="A238" s="1" t="s">
        <v>122</v>
      </c>
      <c r="B238" s="1" t="s">
        <v>123</v>
      </c>
      <c r="C238" s="1" t="s">
        <v>124</v>
      </c>
      <c r="D238" s="2">
        <f>+251960370216</f>
        <v>251960370216</v>
      </c>
      <c r="E238" s="1" t="s">
        <v>21</v>
      </c>
    </row>
    <row r="239">
      <c r="A239" s="1" t="s">
        <v>125</v>
      </c>
      <c r="B239" s="1" t="s">
        <v>126</v>
      </c>
      <c r="C239" s="1" t="s">
        <v>127</v>
      </c>
      <c r="D239" s="2">
        <f>+251934997054</f>
        <v>251934997054</v>
      </c>
      <c r="E239" s="1" t="s">
        <v>21</v>
      </c>
    </row>
    <row r="240">
      <c r="A240" s="1" t="s">
        <v>128</v>
      </c>
      <c r="B240" s="1" t="s">
        <v>129</v>
      </c>
      <c r="C240" s="1" t="s">
        <v>130</v>
      </c>
      <c r="D240" s="2">
        <f>+251942241543</f>
        <v>251942241543</v>
      </c>
      <c r="E240" s="1" t="s">
        <v>21</v>
      </c>
    </row>
    <row r="241">
      <c r="A241" s="1" t="s">
        <v>132</v>
      </c>
      <c r="B241" s="1" t="s">
        <v>133</v>
      </c>
      <c r="C241" s="1" t="s">
        <v>134</v>
      </c>
      <c r="D241" s="2">
        <f>+251977502411</f>
        <v>251977502411</v>
      </c>
      <c r="E241" s="1" t="s">
        <v>21</v>
      </c>
    </row>
    <row r="242">
      <c r="A242" s="1" t="s">
        <v>139</v>
      </c>
      <c r="B242" s="1" t="s">
        <v>140</v>
      </c>
      <c r="C242" s="1" t="s">
        <v>141</v>
      </c>
      <c r="D242" s="2">
        <f>+251929105137</f>
        <v>251929105137</v>
      </c>
      <c r="E242" s="1" t="s">
        <v>21</v>
      </c>
    </row>
    <row r="243">
      <c r="A243" s="1" t="s">
        <v>145</v>
      </c>
      <c r="B243" s="1" t="s">
        <v>146</v>
      </c>
      <c r="C243" s="1" t="s">
        <v>102</v>
      </c>
      <c r="D243" s="2">
        <f>+251931656707</f>
        <v>251931656707</v>
      </c>
      <c r="E243" s="1" t="s">
        <v>21</v>
      </c>
    </row>
    <row r="244">
      <c r="A244" s="1" t="s">
        <v>147</v>
      </c>
      <c r="B244" s="1" t="s">
        <v>148</v>
      </c>
      <c r="C244" s="1" t="s">
        <v>149</v>
      </c>
      <c r="D244" s="2">
        <f>+251965611282</f>
        <v>251965611282</v>
      </c>
      <c r="E244" s="1" t="s">
        <v>21</v>
      </c>
    </row>
    <row r="245">
      <c r="A245" s="1" t="s">
        <v>150</v>
      </c>
      <c r="B245" s="1" t="s">
        <v>151</v>
      </c>
      <c r="C245" s="1" t="s">
        <v>152</v>
      </c>
      <c r="D245" s="2">
        <f>+251946434367</f>
        <v>251946434367</v>
      </c>
      <c r="E245" s="1" t="s">
        <v>21</v>
      </c>
    </row>
    <row r="246">
      <c r="A246" s="1" t="s">
        <v>153</v>
      </c>
      <c r="B246" s="1" t="s">
        <v>154</v>
      </c>
      <c r="C246" s="1" t="s">
        <v>155</v>
      </c>
      <c r="D246" s="2">
        <f>+251925677922</f>
        <v>251925677922</v>
      </c>
      <c r="E246" s="1" t="s">
        <v>21</v>
      </c>
    </row>
    <row r="247">
      <c r="A247" s="1" t="s">
        <v>159</v>
      </c>
      <c r="B247" s="1" t="s">
        <v>160</v>
      </c>
      <c r="C247" s="1" t="s">
        <v>161</v>
      </c>
      <c r="D247" s="2">
        <f>+251912030493</f>
        <v>251912030493</v>
      </c>
      <c r="E247" s="1" t="s">
        <v>21</v>
      </c>
    </row>
    <row r="248">
      <c r="A248" s="1" t="s">
        <v>168</v>
      </c>
      <c r="B248" s="1" t="s">
        <v>37</v>
      </c>
      <c r="C248" s="1" t="s">
        <v>148</v>
      </c>
      <c r="D248" s="2">
        <f>+251904137274</f>
        <v>251904137274</v>
      </c>
      <c r="E248" s="1" t="s">
        <v>21</v>
      </c>
    </row>
    <row r="249">
      <c r="A249" s="1" t="s">
        <v>170</v>
      </c>
      <c r="B249" s="1" t="s">
        <v>107</v>
      </c>
      <c r="C249" s="1" t="s">
        <v>171</v>
      </c>
      <c r="D249" s="2">
        <f>+251913247307</f>
        <v>251913247307</v>
      </c>
      <c r="E249" s="1" t="s">
        <v>21</v>
      </c>
    </row>
    <row r="250">
      <c r="A250" s="1" t="s">
        <v>172</v>
      </c>
      <c r="B250" s="1" t="s">
        <v>173</v>
      </c>
      <c r="C250" s="1" t="s">
        <v>148</v>
      </c>
      <c r="D250" s="2">
        <f>+251986351031</f>
        <v>251986351031</v>
      </c>
      <c r="E250" s="1" t="s">
        <v>21</v>
      </c>
    </row>
    <row r="251">
      <c r="A251" s="1" t="s">
        <v>178</v>
      </c>
      <c r="B251" s="1" t="s">
        <v>179</v>
      </c>
      <c r="C251" s="1" t="s">
        <v>96</v>
      </c>
      <c r="D251" s="2">
        <f>+251940804589</f>
        <v>251940804589</v>
      </c>
      <c r="E251" s="1" t="s">
        <v>21</v>
      </c>
    </row>
    <row r="252">
      <c r="A252" s="1" t="s">
        <v>180</v>
      </c>
      <c r="B252" s="1" t="s">
        <v>181</v>
      </c>
      <c r="C252" s="1" t="s">
        <v>182</v>
      </c>
      <c r="D252" s="2">
        <f>+251988967021</f>
        <v>251988967021</v>
      </c>
      <c r="E252" s="1" t="s">
        <v>21</v>
      </c>
    </row>
    <row r="253">
      <c r="A253" s="1" t="s">
        <v>183</v>
      </c>
      <c r="B253" s="1" t="s">
        <v>184</v>
      </c>
      <c r="C253" s="1" t="s">
        <v>185</v>
      </c>
      <c r="D253" s="1">
        <v>9.27986205E8</v>
      </c>
      <c r="E253" s="1" t="s">
        <v>21</v>
      </c>
    </row>
    <row r="254">
      <c r="A254" s="1" t="s">
        <v>186</v>
      </c>
      <c r="B254" s="1" t="s">
        <v>37</v>
      </c>
      <c r="C254" s="1" t="s">
        <v>148</v>
      </c>
      <c r="D254" s="2">
        <f>+251969811708</f>
        <v>251969811708</v>
      </c>
      <c r="E254" s="1" t="s">
        <v>21</v>
      </c>
    </row>
    <row r="255">
      <c r="A255" s="1" t="s">
        <v>187</v>
      </c>
      <c r="B255" s="1" t="s">
        <v>188</v>
      </c>
      <c r="C255" s="1" t="s">
        <v>189</v>
      </c>
      <c r="D255" s="2">
        <f>+251977423120</f>
        <v>251977423120</v>
      </c>
      <c r="E255" s="1" t="s">
        <v>21</v>
      </c>
    </row>
    <row r="256">
      <c r="A256" s="1" t="s">
        <v>190</v>
      </c>
      <c r="B256" s="1" t="s">
        <v>191</v>
      </c>
      <c r="C256" s="1" t="s">
        <v>192</v>
      </c>
      <c r="D256" s="2">
        <f>+251901690127</f>
        <v>251901690127</v>
      </c>
      <c r="E256" s="1" t="s">
        <v>21</v>
      </c>
    </row>
    <row r="257">
      <c r="A257" s="1" t="s">
        <v>193</v>
      </c>
      <c r="B257" s="1" t="s">
        <v>194</v>
      </c>
      <c r="C257" s="1" t="s">
        <v>195</v>
      </c>
      <c r="D257" s="2">
        <f>+251924328213</f>
        <v>251924328213</v>
      </c>
      <c r="E257" s="1" t="s">
        <v>21</v>
      </c>
    </row>
    <row r="258">
      <c r="A258" s="1" t="s">
        <v>196</v>
      </c>
      <c r="B258" s="1" t="s">
        <v>53</v>
      </c>
      <c r="C258" s="1" t="s">
        <v>197</v>
      </c>
      <c r="D258" s="2">
        <f>+251900910226</f>
        <v>251900910226</v>
      </c>
      <c r="E258" s="1" t="s">
        <v>21</v>
      </c>
    </row>
    <row r="259">
      <c r="A259" s="1" t="s">
        <v>205</v>
      </c>
      <c r="B259" s="1" t="s">
        <v>206</v>
      </c>
      <c r="C259" s="1" t="s">
        <v>207</v>
      </c>
      <c r="D259" s="2">
        <f>+251948078990</f>
        <v>251948078990</v>
      </c>
      <c r="E259" s="1" t="s">
        <v>21</v>
      </c>
    </row>
    <row r="260">
      <c r="A260" s="1" t="s">
        <v>208</v>
      </c>
      <c r="B260" s="1" t="s">
        <v>209</v>
      </c>
      <c r="C260" s="1" t="s">
        <v>210</v>
      </c>
      <c r="D260" s="2">
        <f>+251923000050</f>
        <v>251923000050</v>
      </c>
      <c r="E260" s="1" t="s">
        <v>21</v>
      </c>
    </row>
    <row r="261">
      <c r="A261" s="1" t="s">
        <v>211</v>
      </c>
      <c r="B261" s="1" t="s">
        <v>212</v>
      </c>
      <c r="C261" s="1" t="s">
        <v>213</v>
      </c>
      <c r="D261" s="2">
        <f>+251931503581</f>
        <v>251931503581</v>
      </c>
      <c r="E261" s="1" t="s">
        <v>21</v>
      </c>
    </row>
    <row r="262">
      <c r="A262" s="1" t="s">
        <v>215</v>
      </c>
      <c r="B262" s="1" t="s">
        <v>104</v>
      </c>
      <c r="C262" s="1" t="s">
        <v>105</v>
      </c>
      <c r="D262" s="2">
        <f>+251994370886</f>
        <v>251994370886</v>
      </c>
      <c r="E262" s="1" t="s">
        <v>21</v>
      </c>
    </row>
    <row r="263">
      <c r="A263" s="1" t="s">
        <v>216</v>
      </c>
      <c r="B263" s="1" t="s">
        <v>217</v>
      </c>
      <c r="C263" s="1" t="s">
        <v>218</v>
      </c>
      <c r="D263" s="1">
        <v>2.51922079552E11</v>
      </c>
      <c r="E263" s="1" t="s">
        <v>21</v>
      </c>
    </row>
    <row r="264">
      <c r="A264" s="1" t="s">
        <v>226</v>
      </c>
      <c r="B264" s="1" t="s">
        <v>67</v>
      </c>
      <c r="C264" s="1" t="s">
        <v>227</v>
      </c>
      <c r="D264" s="2">
        <f>+251948390432</f>
        <v>251948390432</v>
      </c>
      <c r="E264" s="1" t="s">
        <v>21</v>
      </c>
    </row>
    <row r="265">
      <c r="A265" s="1" t="s">
        <v>228</v>
      </c>
      <c r="B265" s="1" t="s">
        <v>229</v>
      </c>
      <c r="C265" s="1" t="s">
        <v>230</v>
      </c>
      <c r="D265" s="2">
        <f>+251706511480</f>
        <v>251706511480</v>
      </c>
      <c r="E265" s="1" t="s">
        <v>21</v>
      </c>
    </row>
    <row r="266">
      <c r="A266" s="1" t="s">
        <v>231</v>
      </c>
      <c r="B266" s="1" t="s">
        <v>37</v>
      </c>
      <c r="C266" s="1" t="s">
        <v>148</v>
      </c>
      <c r="D266" s="1">
        <v>9.4047913E8</v>
      </c>
      <c r="E266" s="1" t="s">
        <v>21</v>
      </c>
    </row>
    <row r="267">
      <c r="A267" s="1" t="s">
        <v>239</v>
      </c>
      <c r="B267" s="1" t="s">
        <v>240</v>
      </c>
      <c r="C267" s="1" t="s">
        <v>241</v>
      </c>
      <c r="D267" s="2">
        <f>+251909909563</f>
        <v>251909909563</v>
      </c>
      <c r="E267" s="1" t="s">
        <v>21</v>
      </c>
    </row>
    <row r="268">
      <c r="A268" s="1" t="s">
        <v>242</v>
      </c>
      <c r="B268" s="1" t="s">
        <v>67</v>
      </c>
      <c r="C268" s="1" t="s">
        <v>243</v>
      </c>
      <c r="D268" s="2">
        <f>+251948390432</f>
        <v>251948390432</v>
      </c>
      <c r="E268" s="1" t="s">
        <v>21</v>
      </c>
    </row>
    <row r="269">
      <c r="A269" s="1" t="s">
        <v>247</v>
      </c>
      <c r="B269" s="1" t="s">
        <v>248</v>
      </c>
      <c r="C269" s="1" t="s">
        <v>220</v>
      </c>
      <c r="D269" s="2">
        <f>+251938137052</f>
        <v>251938137052</v>
      </c>
      <c r="E269" s="1" t="s">
        <v>21</v>
      </c>
    </row>
    <row r="270">
      <c r="A270" s="1" t="s">
        <v>249</v>
      </c>
      <c r="B270" s="1" t="s">
        <v>250</v>
      </c>
      <c r="C270" s="1" t="s">
        <v>251</v>
      </c>
      <c r="D270" s="2">
        <f>+251976032509</f>
        <v>251976032509</v>
      </c>
      <c r="E270" s="1" t="s">
        <v>21</v>
      </c>
    </row>
    <row r="271">
      <c r="A271" s="1" t="s">
        <v>254</v>
      </c>
      <c r="B271" s="1" t="s">
        <v>16</v>
      </c>
      <c r="C271" s="1" t="s">
        <v>255</v>
      </c>
      <c r="D271" s="2">
        <f>+251902503952</f>
        <v>251902503952</v>
      </c>
      <c r="E271" s="1" t="s">
        <v>21</v>
      </c>
    </row>
    <row r="272">
      <c r="A272" s="1" t="s">
        <v>256</v>
      </c>
      <c r="B272" s="1" t="s">
        <v>257</v>
      </c>
      <c r="C272" s="1" t="s">
        <v>258</v>
      </c>
      <c r="D272" s="2">
        <f>+251915771277</f>
        <v>251915771277</v>
      </c>
      <c r="E272" s="1" t="s">
        <v>21</v>
      </c>
    </row>
    <row r="273">
      <c r="A273" s="1" t="s">
        <v>261</v>
      </c>
      <c r="B273" s="1" t="s">
        <v>60</v>
      </c>
      <c r="C273" s="1" t="s">
        <v>262</v>
      </c>
      <c r="D273" s="2">
        <f>+251925654056</f>
        <v>251925654056</v>
      </c>
      <c r="E273" s="1" t="s">
        <v>21</v>
      </c>
    </row>
    <row r="274">
      <c r="A274" s="1" t="s">
        <v>265</v>
      </c>
      <c r="B274" s="1" t="s">
        <v>60</v>
      </c>
      <c r="C274" s="1" t="s">
        <v>266</v>
      </c>
      <c r="D274" s="2">
        <f>+251983315117</f>
        <v>251983315117</v>
      </c>
      <c r="E274" s="1" t="s">
        <v>21</v>
      </c>
    </row>
    <row r="275">
      <c r="A275" s="1" t="s">
        <v>267</v>
      </c>
      <c r="B275" s="1" t="s">
        <v>204</v>
      </c>
      <c r="C275" s="1" t="s">
        <v>108</v>
      </c>
      <c r="D275" s="2">
        <f>+251960129451</f>
        <v>251960129451</v>
      </c>
      <c r="E275" s="1" t="s">
        <v>21</v>
      </c>
    </row>
    <row r="276">
      <c r="A276" s="1" t="s">
        <v>268</v>
      </c>
      <c r="B276" s="1" t="s">
        <v>269</v>
      </c>
      <c r="C276" s="1" t="s">
        <v>270</v>
      </c>
      <c r="D276" s="2">
        <f>+251993848707</f>
        <v>251993848707</v>
      </c>
      <c r="E276" s="1" t="s">
        <v>21</v>
      </c>
    </row>
    <row r="277">
      <c r="A277" s="1" t="s">
        <v>271</v>
      </c>
      <c r="B277" s="1" t="s">
        <v>272</v>
      </c>
      <c r="C277" s="1" t="s">
        <v>273</v>
      </c>
      <c r="D277" s="2">
        <f>+251928733095</f>
        <v>251928733095</v>
      </c>
      <c r="E277" s="1" t="s">
        <v>21</v>
      </c>
    </row>
    <row r="278">
      <c r="A278" s="1" t="s">
        <v>279</v>
      </c>
      <c r="B278" s="1" t="s">
        <v>280</v>
      </c>
      <c r="C278" s="1" t="s">
        <v>281</v>
      </c>
      <c r="D278" s="2">
        <f>+251986541642</f>
        <v>251986541642</v>
      </c>
      <c r="E278" s="1" t="s">
        <v>21</v>
      </c>
    </row>
    <row r="279">
      <c r="A279" s="1" t="s">
        <v>285</v>
      </c>
      <c r="B279" s="1" t="s">
        <v>286</v>
      </c>
      <c r="C279" s="1" t="s">
        <v>287</v>
      </c>
      <c r="D279" s="2">
        <f>+251996845924</f>
        <v>251996845924</v>
      </c>
      <c r="E279" s="1" t="s">
        <v>21</v>
      </c>
    </row>
    <row r="280">
      <c r="A280" s="1" t="s">
        <v>291</v>
      </c>
      <c r="B280" s="1" t="s">
        <v>107</v>
      </c>
      <c r="C280" s="1" t="s">
        <v>292</v>
      </c>
      <c r="D280" s="2">
        <f>+251977246553</f>
        <v>251977246553</v>
      </c>
      <c r="E280" s="1" t="s">
        <v>21</v>
      </c>
    </row>
    <row r="281">
      <c r="A281" s="1" t="s">
        <v>293</v>
      </c>
      <c r="B281" s="1" t="s">
        <v>294</v>
      </c>
      <c r="C281" s="1" t="s">
        <v>295</v>
      </c>
      <c r="D281" s="2">
        <f>+251911934232</f>
        <v>251911934232</v>
      </c>
      <c r="E281" s="1" t="s">
        <v>21</v>
      </c>
    </row>
    <row r="282">
      <c r="A282" s="1" t="s">
        <v>299</v>
      </c>
      <c r="B282" s="1" t="s">
        <v>300</v>
      </c>
      <c r="C282" s="1" t="s">
        <v>301</v>
      </c>
      <c r="D282" s="1">
        <v>9.36982573E8</v>
      </c>
      <c r="E282" s="1" t="s">
        <v>21</v>
      </c>
    </row>
    <row r="283">
      <c r="A283" s="1" t="s">
        <v>302</v>
      </c>
      <c r="B283" s="1" t="s">
        <v>184</v>
      </c>
      <c r="C283" s="1" t="s">
        <v>303</v>
      </c>
      <c r="D283" s="2">
        <f>+251984807517</f>
        <v>251984807517</v>
      </c>
      <c r="E283" s="1" t="s">
        <v>21</v>
      </c>
    </row>
    <row r="284">
      <c r="A284" s="1" t="s">
        <v>306</v>
      </c>
      <c r="B284" s="1" t="s">
        <v>37</v>
      </c>
      <c r="C284" s="1" t="s">
        <v>305</v>
      </c>
      <c r="D284" s="2">
        <f>+251911614251</f>
        <v>251911614251</v>
      </c>
      <c r="E284" s="1" t="s">
        <v>21</v>
      </c>
    </row>
    <row r="285">
      <c r="A285" s="1" t="s">
        <v>307</v>
      </c>
      <c r="B285" s="1" t="s">
        <v>308</v>
      </c>
      <c r="C285" s="1" t="s">
        <v>309</v>
      </c>
      <c r="D285" s="1">
        <v>9.21257175E8</v>
      </c>
      <c r="E285" s="1" t="s">
        <v>21</v>
      </c>
    </row>
    <row r="286">
      <c r="A286" s="1" t="s">
        <v>311</v>
      </c>
      <c r="B286" s="1" t="s">
        <v>245</v>
      </c>
      <c r="C286" s="1" t="s">
        <v>213</v>
      </c>
      <c r="D286" s="2">
        <f>+251935974321</f>
        <v>251935974321</v>
      </c>
      <c r="E286" s="1" t="s">
        <v>21</v>
      </c>
    </row>
    <row r="287">
      <c r="A287" s="1" t="s">
        <v>312</v>
      </c>
      <c r="B287" s="1" t="s">
        <v>313</v>
      </c>
      <c r="C287" s="1" t="s">
        <v>314</v>
      </c>
      <c r="D287" s="2">
        <f>+251985151696</f>
        <v>251985151696</v>
      </c>
      <c r="E287" s="1" t="s">
        <v>21</v>
      </c>
    </row>
    <row r="288">
      <c r="A288" s="1" t="s">
        <v>317</v>
      </c>
      <c r="B288" s="1" t="s">
        <v>318</v>
      </c>
      <c r="C288" s="1" t="s">
        <v>319</v>
      </c>
      <c r="D288" s="2">
        <f>+251987160077</f>
        <v>251987160077</v>
      </c>
      <c r="E288" s="1" t="s">
        <v>21</v>
      </c>
    </row>
    <row r="289">
      <c r="A289" s="1" t="s">
        <v>320</v>
      </c>
      <c r="B289" s="1" t="s">
        <v>321</v>
      </c>
      <c r="C289" s="1" t="s">
        <v>322</v>
      </c>
      <c r="D289" s="2">
        <f>+251913247586</f>
        <v>251913247586</v>
      </c>
      <c r="E289" s="1" t="s">
        <v>21</v>
      </c>
    </row>
    <row r="290">
      <c r="A290" s="1" t="s">
        <v>329</v>
      </c>
      <c r="B290" s="1" t="s">
        <v>330</v>
      </c>
      <c r="C290" s="1" t="s">
        <v>331</v>
      </c>
      <c r="D290" s="2">
        <f>+251954157259</f>
        <v>251954157259</v>
      </c>
      <c r="E290" s="1" t="s">
        <v>21</v>
      </c>
    </row>
    <row r="291">
      <c r="A291" s="1" t="s">
        <v>332</v>
      </c>
      <c r="B291" s="1" t="s">
        <v>333</v>
      </c>
      <c r="C291" s="1" t="s">
        <v>334</v>
      </c>
      <c r="D291" s="2">
        <f>+251939969681</f>
        <v>251939969681</v>
      </c>
      <c r="E291" s="1" t="s">
        <v>21</v>
      </c>
    </row>
    <row r="292">
      <c r="A292" s="1" t="s">
        <v>336</v>
      </c>
      <c r="B292" s="1" t="s">
        <v>337</v>
      </c>
      <c r="C292" s="1" t="s">
        <v>338</v>
      </c>
      <c r="D292" s="2">
        <f>+251912406308</f>
        <v>251912406308</v>
      </c>
      <c r="E292" s="1" t="s">
        <v>21</v>
      </c>
    </row>
    <row r="293">
      <c r="A293" s="1" t="s">
        <v>339</v>
      </c>
      <c r="B293" s="1" t="s">
        <v>340</v>
      </c>
      <c r="C293" s="1" t="s">
        <v>341</v>
      </c>
      <c r="D293" s="2">
        <f>+251983916884</f>
        <v>251983916884</v>
      </c>
      <c r="E293" s="1" t="s">
        <v>21</v>
      </c>
    </row>
    <row r="294">
      <c r="A294" s="1" t="s">
        <v>342</v>
      </c>
      <c r="B294" s="1" t="s">
        <v>343</v>
      </c>
      <c r="C294" s="1" t="s">
        <v>328</v>
      </c>
      <c r="D294" s="2">
        <f>+251983072917</f>
        <v>251983072917</v>
      </c>
      <c r="E294" s="1" t="s">
        <v>21</v>
      </c>
    </row>
    <row r="295">
      <c r="A295" s="1" t="s">
        <v>347</v>
      </c>
      <c r="B295" s="1" t="s">
        <v>348</v>
      </c>
      <c r="C295" s="1" t="s">
        <v>349</v>
      </c>
      <c r="D295" s="2">
        <f>+251922352740</f>
        <v>251922352740</v>
      </c>
      <c r="E295" s="1" t="s">
        <v>21</v>
      </c>
    </row>
    <row r="296">
      <c r="A296" s="1" t="s">
        <v>352</v>
      </c>
      <c r="B296" s="1" t="s">
        <v>353</v>
      </c>
      <c r="C296" s="1" t="s">
        <v>354</v>
      </c>
      <c r="D296" s="2">
        <f>+251911087603</f>
        <v>251911087603</v>
      </c>
      <c r="E296" s="1" t="s">
        <v>21</v>
      </c>
    </row>
    <row r="297">
      <c r="A297" s="1" t="s">
        <v>355</v>
      </c>
      <c r="B297" s="1" t="s">
        <v>356</v>
      </c>
      <c r="C297" s="1" t="s">
        <v>255</v>
      </c>
      <c r="D297" s="2">
        <f>+251991123995</f>
        <v>251991123995</v>
      </c>
      <c r="E297" s="1" t="s">
        <v>21</v>
      </c>
    </row>
    <row r="298">
      <c r="A298" s="1" t="s">
        <v>357</v>
      </c>
      <c r="B298" s="1" t="s">
        <v>223</v>
      </c>
      <c r="C298" s="1" t="s">
        <v>358</v>
      </c>
      <c r="D298" s="2">
        <f>+251942858885</f>
        <v>251942858885</v>
      </c>
      <c r="E298" s="1" t="s">
        <v>21</v>
      </c>
    </row>
    <row r="299">
      <c r="A299" s="1" t="s">
        <v>362</v>
      </c>
      <c r="B299" s="1" t="s">
        <v>363</v>
      </c>
      <c r="C299" s="1" t="s">
        <v>218</v>
      </c>
      <c r="D299" s="2">
        <f>+251995851802</f>
        <v>251995851802</v>
      </c>
      <c r="E299" s="1" t="s">
        <v>21</v>
      </c>
    </row>
    <row r="300">
      <c r="A300" s="1" t="s">
        <v>364</v>
      </c>
      <c r="B300" s="1" t="s">
        <v>141</v>
      </c>
      <c r="C300" s="1" t="s">
        <v>365</v>
      </c>
      <c r="D300" s="2">
        <f>+251934483481</f>
        <v>251934483481</v>
      </c>
      <c r="E300" s="1" t="s">
        <v>21</v>
      </c>
    </row>
    <row r="301">
      <c r="A301" s="1" t="s">
        <v>369</v>
      </c>
      <c r="B301" s="1" t="s">
        <v>370</v>
      </c>
      <c r="C301" s="1" t="s">
        <v>371</v>
      </c>
      <c r="D301" s="1">
        <v>9.8853369E8</v>
      </c>
      <c r="E301" s="1" t="s">
        <v>21</v>
      </c>
    </row>
    <row r="302">
      <c r="A302" s="1" t="s">
        <v>372</v>
      </c>
      <c r="B302" s="1" t="s">
        <v>373</v>
      </c>
      <c r="C302" s="1" t="s">
        <v>108</v>
      </c>
      <c r="D302" s="2">
        <f>+251988985963</f>
        <v>251988985963</v>
      </c>
      <c r="E302" s="1" t="s">
        <v>21</v>
      </c>
    </row>
    <row r="303">
      <c r="A303" s="1" t="s">
        <v>374</v>
      </c>
      <c r="B303" s="1" t="s">
        <v>375</v>
      </c>
      <c r="C303" s="1" t="s">
        <v>376</v>
      </c>
      <c r="D303" s="2">
        <f>+251928996488</f>
        <v>251928996488</v>
      </c>
      <c r="E303" s="1" t="s">
        <v>21</v>
      </c>
    </row>
    <row r="304">
      <c r="A304" s="1" t="s">
        <v>377</v>
      </c>
      <c r="B304" s="1" t="s">
        <v>378</v>
      </c>
      <c r="C304" s="1" t="s">
        <v>379</v>
      </c>
      <c r="D304" s="2">
        <f>+251904434627</f>
        <v>251904434627</v>
      </c>
      <c r="E304" s="1" t="s">
        <v>21</v>
      </c>
    </row>
    <row r="305">
      <c r="A305" s="1" t="s">
        <v>380</v>
      </c>
      <c r="B305" s="1" t="s">
        <v>381</v>
      </c>
      <c r="C305" s="1" t="s">
        <v>382</v>
      </c>
      <c r="D305" s="2">
        <f>+251961986063</f>
        <v>251961986063</v>
      </c>
      <c r="E305" s="1" t="s">
        <v>21</v>
      </c>
    </row>
    <row r="306">
      <c r="A306" s="1" t="s">
        <v>386</v>
      </c>
      <c r="B306" s="1" t="s">
        <v>387</v>
      </c>
      <c r="C306" s="1" t="s">
        <v>388</v>
      </c>
      <c r="D306" s="2">
        <f>+251974402390</f>
        <v>251974402390</v>
      </c>
      <c r="E306" s="1" t="s">
        <v>21</v>
      </c>
    </row>
    <row r="307">
      <c r="A307" s="1" t="s">
        <v>389</v>
      </c>
      <c r="B307" s="1" t="s">
        <v>390</v>
      </c>
      <c r="C307" s="1" t="s">
        <v>391</v>
      </c>
      <c r="D307" s="2">
        <f>+251970720301</f>
        <v>251970720301</v>
      </c>
      <c r="E307" s="1" t="s">
        <v>21</v>
      </c>
    </row>
    <row r="308">
      <c r="A308" s="1" t="s">
        <v>396</v>
      </c>
      <c r="B308" s="1" t="s">
        <v>397</v>
      </c>
      <c r="C308" s="1" t="s">
        <v>238</v>
      </c>
      <c r="D308" s="2">
        <f>+251947140471</f>
        <v>251947140471</v>
      </c>
      <c r="E308" s="1" t="s">
        <v>21</v>
      </c>
    </row>
    <row r="309">
      <c r="A309" s="1" t="s">
        <v>398</v>
      </c>
      <c r="B309" s="1" t="s">
        <v>399</v>
      </c>
      <c r="C309" s="1" t="s">
        <v>400</v>
      </c>
      <c r="D309" s="2">
        <f>+251938348342</f>
        <v>251938348342</v>
      </c>
      <c r="E309" s="1" t="s">
        <v>21</v>
      </c>
    </row>
    <row r="310">
      <c r="A310" s="1" t="s">
        <v>401</v>
      </c>
      <c r="B310" s="1" t="s">
        <v>402</v>
      </c>
      <c r="C310" s="1" t="s">
        <v>152</v>
      </c>
      <c r="D310" s="2">
        <f>+251911068554</f>
        <v>251911068554</v>
      </c>
      <c r="E310" s="1" t="s">
        <v>21</v>
      </c>
    </row>
    <row r="311">
      <c r="A311" s="1" t="s">
        <v>403</v>
      </c>
      <c r="B311" s="1" t="s">
        <v>404</v>
      </c>
      <c r="C311" s="1" t="s">
        <v>405</v>
      </c>
      <c r="D311" s="1">
        <v>9.54271746E8</v>
      </c>
      <c r="E311" s="1" t="s">
        <v>21</v>
      </c>
    </row>
    <row r="312">
      <c r="A312" s="1" t="s">
        <v>409</v>
      </c>
      <c r="B312" s="1" t="s">
        <v>410</v>
      </c>
      <c r="C312" s="1" t="s">
        <v>411</v>
      </c>
      <c r="D312" s="2">
        <f>+251979061639</f>
        <v>251979061639</v>
      </c>
      <c r="E312" s="1" t="s">
        <v>21</v>
      </c>
    </row>
    <row r="313">
      <c r="A313" s="1" t="s">
        <v>412</v>
      </c>
      <c r="B313" s="1" t="s">
        <v>413</v>
      </c>
      <c r="C313" s="1" t="s">
        <v>414</v>
      </c>
      <c r="D313" s="2">
        <f>+251920474440</f>
        <v>251920474440</v>
      </c>
      <c r="E313" s="1" t="s">
        <v>21</v>
      </c>
    </row>
    <row r="314">
      <c r="A314" s="1" t="s">
        <v>415</v>
      </c>
      <c r="B314" s="1" t="s">
        <v>416</v>
      </c>
      <c r="C314" s="1" t="s">
        <v>417</v>
      </c>
      <c r="D314" s="2">
        <f>+251918022935</f>
        <v>251918022935</v>
      </c>
      <c r="E314" s="1" t="s">
        <v>21</v>
      </c>
    </row>
    <row r="315">
      <c r="A315" s="1" t="s">
        <v>418</v>
      </c>
      <c r="B315" s="1" t="s">
        <v>419</v>
      </c>
      <c r="C315" s="1" t="s">
        <v>420</v>
      </c>
      <c r="D315" s="2">
        <f>+251949630199</f>
        <v>251949630199</v>
      </c>
      <c r="E315" s="1" t="s">
        <v>21</v>
      </c>
    </row>
    <row r="316">
      <c r="A316" s="1" t="s">
        <v>421</v>
      </c>
      <c r="B316" s="1" t="s">
        <v>151</v>
      </c>
      <c r="C316" s="1" t="s">
        <v>422</v>
      </c>
      <c r="D316" s="2">
        <f>+251989188046</f>
        <v>251989188046</v>
      </c>
      <c r="E316" s="1" t="s">
        <v>21</v>
      </c>
    </row>
    <row r="317">
      <c r="A317" s="1" t="s">
        <v>423</v>
      </c>
      <c r="B317" s="1" t="s">
        <v>424</v>
      </c>
      <c r="C317" s="1" t="s">
        <v>425</v>
      </c>
      <c r="D317" s="2">
        <f>+251918669936</f>
        <v>251918669936</v>
      </c>
      <c r="E317" s="1" t="s">
        <v>21</v>
      </c>
    </row>
    <row r="318">
      <c r="A318" s="1" t="s">
        <v>426</v>
      </c>
      <c r="B318" s="1" t="s">
        <v>427</v>
      </c>
      <c r="C318" s="1" t="s">
        <v>428</v>
      </c>
      <c r="D318" s="2">
        <f>+251927884961</f>
        <v>251927884961</v>
      </c>
      <c r="E318" s="1" t="s">
        <v>21</v>
      </c>
    </row>
    <row r="319">
      <c r="A319" s="1" t="s">
        <v>429</v>
      </c>
      <c r="B319" s="1" t="s">
        <v>430</v>
      </c>
      <c r="C319" s="1" t="s">
        <v>395</v>
      </c>
      <c r="D319" s="2">
        <f>+251977319881</f>
        <v>251977319881</v>
      </c>
      <c r="E319" s="1" t="s">
        <v>21</v>
      </c>
    </row>
    <row r="320">
      <c r="A320" s="1" t="s">
        <v>431</v>
      </c>
      <c r="B320" s="1" t="s">
        <v>432</v>
      </c>
      <c r="C320" s="1" t="s">
        <v>433</v>
      </c>
      <c r="D320" s="2">
        <f>+251973038649</f>
        <v>251973038649</v>
      </c>
      <c r="E320" s="1" t="s">
        <v>21</v>
      </c>
    </row>
    <row r="321">
      <c r="A321" s="1" t="s">
        <v>436</v>
      </c>
      <c r="B321" s="1" t="s">
        <v>437</v>
      </c>
      <c r="C321" s="1" t="s">
        <v>438</v>
      </c>
      <c r="D321" s="2">
        <f>+251932196604</f>
        <v>251932196604</v>
      </c>
      <c r="E321" s="1" t="s">
        <v>21</v>
      </c>
    </row>
    <row r="322">
      <c r="A322" s="1" t="s">
        <v>442</v>
      </c>
      <c r="B322" s="1" t="s">
        <v>203</v>
      </c>
      <c r="C322" s="1" t="s">
        <v>443</v>
      </c>
      <c r="D322" s="2">
        <f>+251707321554</f>
        <v>251707321554</v>
      </c>
      <c r="E322" s="1" t="s">
        <v>21</v>
      </c>
    </row>
    <row r="323">
      <c r="A323" s="1" t="s">
        <v>446</v>
      </c>
      <c r="B323" s="1" t="s">
        <v>447</v>
      </c>
      <c r="C323" s="1" t="s">
        <v>448</v>
      </c>
      <c r="D323" s="2">
        <f>+251965708418</f>
        <v>251965708418</v>
      </c>
      <c r="E323" s="1" t="s">
        <v>21</v>
      </c>
    </row>
    <row r="324">
      <c r="A324" s="1" t="s">
        <v>449</v>
      </c>
      <c r="B324" s="1" t="s">
        <v>450</v>
      </c>
      <c r="C324" s="1" t="s">
        <v>451</v>
      </c>
      <c r="D324" s="2">
        <f>+251901098484</f>
        <v>251901098484</v>
      </c>
      <c r="E324" s="1" t="s">
        <v>21</v>
      </c>
    </row>
    <row r="325">
      <c r="A325" s="1" t="s">
        <v>452</v>
      </c>
      <c r="B325" s="1" t="s">
        <v>438</v>
      </c>
      <c r="C325" s="1" t="s">
        <v>453</v>
      </c>
      <c r="D325" s="2">
        <f>+251963889227</f>
        <v>251963889227</v>
      </c>
      <c r="E325" s="1" t="s">
        <v>21</v>
      </c>
    </row>
    <row r="326">
      <c r="A326" s="1" t="s">
        <v>454</v>
      </c>
      <c r="B326" s="1" t="s">
        <v>455</v>
      </c>
      <c r="C326" s="1" t="s">
        <v>456</v>
      </c>
      <c r="D326" s="2">
        <f>+251960220451</f>
        <v>251960220451</v>
      </c>
      <c r="E326" s="1" t="s">
        <v>21</v>
      </c>
    </row>
    <row r="327">
      <c r="A327" s="1" t="s">
        <v>457</v>
      </c>
      <c r="B327" s="1" t="s">
        <v>458</v>
      </c>
      <c r="C327" s="1" t="s">
        <v>459</v>
      </c>
      <c r="D327" s="2">
        <f>+251975576584</f>
        <v>251975576584</v>
      </c>
      <c r="E327" s="1" t="s">
        <v>21</v>
      </c>
    </row>
    <row r="328">
      <c r="A328" s="1" t="s">
        <v>463</v>
      </c>
      <c r="B328" s="1" t="s">
        <v>264</v>
      </c>
      <c r="C328" s="1" t="s">
        <v>464</v>
      </c>
      <c r="D328" s="2">
        <f>+251988723723</f>
        <v>251988723723</v>
      </c>
      <c r="E328" s="1" t="s">
        <v>21</v>
      </c>
    </row>
    <row r="329">
      <c r="A329" s="1" t="s">
        <v>465</v>
      </c>
      <c r="B329" s="1" t="s">
        <v>466</v>
      </c>
      <c r="C329" s="1" t="s">
        <v>467</v>
      </c>
      <c r="D329" s="2">
        <f>+251905078365</f>
        <v>251905078365</v>
      </c>
      <c r="E329" s="1" t="s">
        <v>21</v>
      </c>
    </row>
    <row r="330">
      <c r="A330" s="1" t="s">
        <v>468</v>
      </c>
      <c r="B330" s="1" t="s">
        <v>469</v>
      </c>
      <c r="C330" s="1" t="s">
        <v>470</v>
      </c>
      <c r="D330" s="2">
        <f>+251929008604</f>
        <v>251929008604</v>
      </c>
      <c r="E330" s="1" t="s">
        <v>21</v>
      </c>
    </row>
    <row r="331">
      <c r="A331" s="1" t="s">
        <v>471</v>
      </c>
      <c r="B331" s="1" t="s">
        <v>472</v>
      </c>
      <c r="C331" s="1" t="s">
        <v>420</v>
      </c>
      <c r="D331" s="2">
        <f>+251960749609</f>
        <v>251960749609</v>
      </c>
      <c r="E331" s="1" t="s">
        <v>21</v>
      </c>
    </row>
    <row r="332">
      <c r="A332" s="1" t="s">
        <v>473</v>
      </c>
      <c r="B332" s="1" t="s">
        <v>474</v>
      </c>
      <c r="C332" s="1" t="s">
        <v>475</v>
      </c>
      <c r="D332" s="2">
        <f>+251917580778</f>
        <v>251917580778</v>
      </c>
      <c r="E332" s="1" t="s">
        <v>21</v>
      </c>
    </row>
    <row r="333">
      <c r="A333" s="1" t="s">
        <v>476</v>
      </c>
      <c r="B333" s="1" t="s">
        <v>477</v>
      </c>
      <c r="C333" s="1" t="s">
        <v>478</v>
      </c>
      <c r="D333" s="2">
        <f>+251978283531</f>
        <v>251978283531</v>
      </c>
      <c r="E333" s="1" t="s">
        <v>21</v>
      </c>
    </row>
    <row r="334">
      <c r="A334" s="1" t="s">
        <v>479</v>
      </c>
      <c r="B334" s="1" t="s">
        <v>480</v>
      </c>
      <c r="C334" s="1" t="s">
        <v>481</v>
      </c>
      <c r="D334" s="2">
        <f>+251931359501</f>
        <v>251931359501</v>
      </c>
      <c r="E334" s="1" t="s">
        <v>21</v>
      </c>
    </row>
    <row r="335">
      <c r="A335" s="1" t="s">
        <v>485</v>
      </c>
      <c r="B335" s="1" t="s">
        <v>486</v>
      </c>
      <c r="C335" s="1" t="s">
        <v>487</v>
      </c>
      <c r="D335" s="2">
        <f>+251935372477</f>
        <v>251935372477</v>
      </c>
      <c r="E335" s="1" t="s">
        <v>21</v>
      </c>
    </row>
    <row r="336">
      <c r="A336" s="1" t="s">
        <v>489</v>
      </c>
      <c r="B336" s="1" t="s">
        <v>490</v>
      </c>
      <c r="C336" s="1" t="s">
        <v>491</v>
      </c>
      <c r="D336" s="2">
        <f>+251912670640</f>
        <v>251912670640</v>
      </c>
      <c r="E336" s="1" t="s">
        <v>21</v>
      </c>
    </row>
    <row r="337">
      <c r="A337" s="1" t="s">
        <v>492</v>
      </c>
      <c r="B337" s="1" t="s">
        <v>493</v>
      </c>
      <c r="C337" s="1" t="s">
        <v>494</v>
      </c>
      <c r="D337" s="2">
        <f>+251961099715</f>
        <v>251961099715</v>
      </c>
      <c r="E337" s="1" t="s">
        <v>21</v>
      </c>
    </row>
    <row r="338">
      <c r="A338" s="1" t="s">
        <v>495</v>
      </c>
      <c r="B338" s="1" t="s">
        <v>496</v>
      </c>
      <c r="C338" s="1" t="s">
        <v>497</v>
      </c>
      <c r="D338" s="2">
        <f>+251988303153</f>
        <v>251988303153</v>
      </c>
      <c r="E338" s="1" t="s">
        <v>21</v>
      </c>
    </row>
    <row r="339">
      <c r="A339" s="1" t="s">
        <v>499</v>
      </c>
      <c r="B339" s="1" t="s">
        <v>500</v>
      </c>
      <c r="C339" s="1" t="s">
        <v>501</v>
      </c>
      <c r="D339" s="2">
        <f>+251924845543</f>
        <v>251924845543</v>
      </c>
      <c r="E339" s="1" t="s">
        <v>21</v>
      </c>
    </row>
    <row r="340">
      <c r="A340" s="1" t="s">
        <v>502</v>
      </c>
      <c r="B340" s="1" t="s">
        <v>503</v>
      </c>
      <c r="C340" s="1" t="s">
        <v>504</v>
      </c>
      <c r="D340" s="2">
        <f>+251962032133</f>
        <v>251962032133</v>
      </c>
      <c r="E340" s="1" t="s">
        <v>21</v>
      </c>
    </row>
    <row r="341">
      <c r="A341" s="1" t="s">
        <v>511</v>
      </c>
      <c r="B341" s="1" t="s">
        <v>184</v>
      </c>
      <c r="C341" s="1" t="s">
        <v>512</v>
      </c>
      <c r="D341" s="2">
        <f>+251909239943</f>
        <v>251909239943</v>
      </c>
      <c r="E341" s="1" t="s">
        <v>21</v>
      </c>
    </row>
    <row r="342">
      <c r="A342" s="1" t="s">
        <v>513</v>
      </c>
      <c r="B342" s="1" t="s">
        <v>514</v>
      </c>
      <c r="C342" s="1" t="s">
        <v>515</v>
      </c>
      <c r="D342" s="2">
        <f>+251713298174</f>
        <v>251713298174</v>
      </c>
      <c r="E342" s="1" t="s">
        <v>21</v>
      </c>
    </row>
    <row r="343">
      <c r="A343" s="1" t="s">
        <v>518</v>
      </c>
      <c r="B343" s="1" t="s">
        <v>519</v>
      </c>
      <c r="C343" s="1" t="s">
        <v>328</v>
      </c>
      <c r="D343" s="2">
        <f>+251966826324</f>
        <v>251966826324</v>
      </c>
      <c r="E343" s="1" t="s">
        <v>21</v>
      </c>
    </row>
    <row r="344">
      <c r="A344" s="1" t="s">
        <v>520</v>
      </c>
      <c r="B344" s="1" t="s">
        <v>521</v>
      </c>
      <c r="C344" s="1" t="s">
        <v>522</v>
      </c>
      <c r="D344" s="2">
        <f>+251914063678</f>
        <v>251914063678</v>
      </c>
      <c r="E344" s="1" t="s">
        <v>21</v>
      </c>
    </row>
    <row r="345">
      <c r="A345" s="1" t="s">
        <v>523</v>
      </c>
      <c r="B345" s="1" t="s">
        <v>524</v>
      </c>
      <c r="C345" s="1" t="s">
        <v>525</v>
      </c>
      <c r="D345" s="2">
        <f>+251913303661</f>
        <v>251913303661</v>
      </c>
      <c r="E345" s="1" t="s">
        <v>21</v>
      </c>
    </row>
    <row r="346">
      <c r="A346" s="1" t="s">
        <v>529</v>
      </c>
      <c r="B346" s="1" t="s">
        <v>51</v>
      </c>
      <c r="C346" s="1" t="s">
        <v>530</v>
      </c>
      <c r="D346" s="2">
        <f>+251919599958</f>
        <v>251919599958</v>
      </c>
      <c r="E346" s="1" t="s">
        <v>21</v>
      </c>
    </row>
    <row r="347">
      <c r="A347" s="1" t="s">
        <v>533</v>
      </c>
      <c r="B347" s="1" t="s">
        <v>60</v>
      </c>
      <c r="C347" s="1" t="s">
        <v>534</v>
      </c>
      <c r="D347" s="2">
        <f>+251920745188</f>
        <v>251920745188</v>
      </c>
      <c r="E347" s="1" t="s">
        <v>21</v>
      </c>
    </row>
    <row r="348">
      <c r="A348" s="1" t="s">
        <v>535</v>
      </c>
      <c r="B348" s="1" t="s">
        <v>536</v>
      </c>
      <c r="C348" s="1" t="s">
        <v>537</v>
      </c>
      <c r="D348" s="2">
        <f>+251923222911</f>
        <v>251923222911</v>
      </c>
      <c r="E348" s="1" t="s">
        <v>21</v>
      </c>
    </row>
    <row r="349">
      <c r="A349" s="1" t="s">
        <v>538</v>
      </c>
      <c r="B349" s="1" t="s">
        <v>539</v>
      </c>
      <c r="C349" s="1" t="s">
        <v>540</v>
      </c>
      <c r="D349" s="2">
        <f>+251923799711</f>
        <v>251923799711</v>
      </c>
      <c r="E349" s="1" t="s">
        <v>21</v>
      </c>
    </row>
    <row r="350">
      <c r="A350" s="1" t="s">
        <v>546</v>
      </c>
      <c r="B350" s="1" t="s">
        <v>547</v>
      </c>
      <c r="C350" s="1" t="s">
        <v>548</v>
      </c>
      <c r="D350" s="2">
        <f>+251913140219</f>
        <v>251913140219</v>
      </c>
      <c r="E350" s="1" t="s">
        <v>21</v>
      </c>
    </row>
    <row r="351">
      <c r="A351" s="1" t="s">
        <v>549</v>
      </c>
      <c r="B351" s="1" t="s">
        <v>550</v>
      </c>
      <c r="C351" s="1" t="s">
        <v>551</v>
      </c>
      <c r="D351" s="2">
        <f>+251967315958</f>
        <v>251967315958</v>
      </c>
      <c r="E351" s="1" t="s">
        <v>21</v>
      </c>
    </row>
    <row r="352">
      <c r="A352" s="1" t="s">
        <v>552</v>
      </c>
      <c r="B352" s="1" t="s">
        <v>553</v>
      </c>
      <c r="C352" s="1" t="s">
        <v>554</v>
      </c>
      <c r="D352" s="2">
        <f>+251910197061</f>
        <v>251910197061</v>
      </c>
      <c r="E352" s="1" t="s">
        <v>21</v>
      </c>
    </row>
    <row r="353">
      <c r="A353" s="1" t="s">
        <v>555</v>
      </c>
      <c r="B353" s="1" t="s">
        <v>556</v>
      </c>
      <c r="C353" s="1" t="s">
        <v>557</v>
      </c>
      <c r="D353" s="2">
        <f>+251984742787</f>
        <v>251984742787</v>
      </c>
      <c r="E353" s="1" t="s">
        <v>21</v>
      </c>
    </row>
    <row r="354">
      <c r="A354" s="1" t="s">
        <v>558</v>
      </c>
      <c r="B354" s="1" t="s">
        <v>116</v>
      </c>
      <c r="C354" s="1" t="s">
        <v>559</v>
      </c>
      <c r="D354" s="2">
        <f>+251961997391</f>
        <v>251961997391</v>
      </c>
      <c r="E354" s="1" t="s">
        <v>21</v>
      </c>
    </row>
    <row r="355">
      <c r="A355" s="1" t="s">
        <v>560</v>
      </c>
      <c r="B355" s="1" t="s">
        <v>110</v>
      </c>
      <c r="C355" s="1" t="s">
        <v>561</v>
      </c>
      <c r="D355" s="2">
        <f>+251938948155</f>
        <v>251938948155</v>
      </c>
      <c r="E355" s="1" t="s">
        <v>21</v>
      </c>
    </row>
    <row r="356">
      <c r="A356" s="1" t="s">
        <v>562</v>
      </c>
      <c r="B356" s="1" t="s">
        <v>563</v>
      </c>
      <c r="C356" s="1" t="s">
        <v>564</v>
      </c>
      <c r="D356" s="2">
        <f>+251902417162</f>
        <v>251902417162</v>
      </c>
      <c r="E356" s="1" t="s">
        <v>21</v>
      </c>
    </row>
    <row r="357">
      <c r="A357" s="1" t="s">
        <v>565</v>
      </c>
      <c r="B357" s="1" t="s">
        <v>566</v>
      </c>
      <c r="C357" s="1" t="s">
        <v>338</v>
      </c>
      <c r="D357" s="2">
        <f>+251926260129</f>
        <v>251926260129</v>
      </c>
      <c r="E357" s="1" t="s">
        <v>21</v>
      </c>
    </row>
    <row r="358">
      <c r="A358" s="1" t="s">
        <v>567</v>
      </c>
      <c r="B358" s="1" t="s">
        <v>370</v>
      </c>
      <c r="C358" s="1" t="s">
        <v>568</v>
      </c>
      <c r="D358" s="2">
        <f>+251995355004</f>
        <v>251995355004</v>
      </c>
      <c r="E358" s="1" t="s">
        <v>21</v>
      </c>
    </row>
    <row r="359">
      <c r="A359" s="1" t="s">
        <v>574</v>
      </c>
      <c r="B359" s="1" t="s">
        <v>313</v>
      </c>
      <c r="C359" s="1" t="s">
        <v>575</v>
      </c>
      <c r="D359" s="2">
        <f>+251912880778</f>
        <v>251912880778</v>
      </c>
      <c r="E359" s="1" t="s">
        <v>21</v>
      </c>
    </row>
    <row r="360">
      <c r="A360" s="1" t="s">
        <v>576</v>
      </c>
      <c r="B360" s="1" t="s">
        <v>577</v>
      </c>
      <c r="C360" s="1" t="s">
        <v>491</v>
      </c>
      <c r="D360" s="2">
        <f>+251995856987</f>
        <v>251995856987</v>
      </c>
      <c r="E360" s="1" t="s">
        <v>21</v>
      </c>
    </row>
    <row r="361">
      <c r="A361" s="1" t="s">
        <v>578</v>
      </c>
      <c r="B361" s="1" t="s">
        <v>217</v>
      </c>
      <c r="C361" s="1" t="s">
        <v>467</v>
      </c>
      <c r="D361" s="2">
        <f>+251937360668</f>
        <v>251937360668</v>
      </c>
      <c r="E361" s="1" t="s">
        <v>21</v>
      </c>
    </row>
    <row r="362">
      <c r="A362" s="1" t="s">
        <v>579</v>
      </c>
      <c r="B362" s="1" t="s">
        <v>580</v>
      </c>
      <c r="C362" s="1" t="s">
        <v>220</v>
      </c>
      <c r="D362" s="2">
        <f>+251910089936</f>
        <v>251910089936</v>
      </c>
      <c r="E362" s="1" t="s">
        <v>21</v>
      </c>
    </row>
    <row r="363">
      <c r="A363" s="1" t="s">
        <v>581</v>
      </c>
      <c r="B363" s="1" t="s">
        <v>503</v>
      </c>
      <c r="C363" s="1" t="s">
        <v>582</v>
      </c>
      <c r="D363" s="2">
        <f>+251989005824</f>
        <v>251989005824</v>
      </c>
      <c r="E363" s="1" t="s">
        <v>21</v>
      </c>
    </row>
    <row r="364">
      <c r="A364" s="1" t="s">
        <v>583</v>
      </c>
      <c r="B364" s="1" t="s">
        <v>60</v>
      </c>
      <c r="C364" s="1" t="s">
        <v>584</v>
      </c>
      <c r="D364" s="2">
        <f>+251954895118</f>
        <v>251954895118</v>
      </c>
      <c r="E364" s="1" t="s">
        <v>21</v>
      </c>
    </row>
    <row r="365">
      <c r="A365" s="1" t="s">
        <v>585</v>
      </c>
      <c r="B365" s="1" t="s">
        <v>517</v>
      </c>
      <c r="C365" s="1" t="s">
        <v>586</v>
      </c>
      <c r="D365" s="2">
        <f>+251918073436</f>
        <v>251918073436</v>
      </c>
      <c r="E365" s="1" t="s">
        <v>21</v>
      </c>
    </row>
    <row r="366">
      <c r="A366" s="1" t="s">
        <v>587</v>
      </c>
      <c r="B366" s="1" t="s">
        <v>588</v>
      </c>
      <c r="C366" s="1" t="s">
        <v>589</v>
      </c>
      <c r="D366" s="2">
        <f>+251920751322</f>
        <v>251920751322</v>
      </c>
      <c r="E366" s="1" t="s">
        <v>21</v>
      </c>
    </row>
    <row r="367">
      <c r="A367" s="1" t="s">
        <v>590</v>
      </c>
      <c r="B367" s="1" t="s">
        <v>591</v>
      </c>
      <c r="C367" s="1" t="s">
        <v>592</v>
      </c>
      <c r="D367" s="2">
        <f>+251939261723</f>
        <v>251939261723</v>
      </c>
      <c r="E367" s="1" t="s">
        <v>21</v>
      </c>
    </row>
    <row r="368">
      <c r="A368" s="1" t="s">
        <v>593</v>
      </c>
      <c r="B368" s="1" t="s">
        <v>594</v>
      </c>
      <c r="C368" s="1" t="s">
        <v>595</v>
      </c>
      <c r="D368" s="2">
        <f>+251904214621</f>
        <v>251904214621</v>
      </c>
      <c r="E368" s="1" t="s">
        <v>21</v>
      </c>
    </row>
    <row r="369">
      <c r="A369" s="1" t="s">
        <v>599</v>
      </c>
      <c r="B369" s="1" t="s">
        <v>600</v>
      </c>
      <c r="C369" s="1" t="s">
        <v>601</v>
      </c>
      <c r="D369" s="2">
        <f>+251977078082</f>
        <v>251977078082</v>
      </c>
      <c r="E369" s="1" t="s">
        <v>21</v>
      </c>
    </row>
    <row r="370">
      <c r="A370" s="1" t="s">
        <v>602</v>
      </c>
      <c r="B370" s="1" t="s">
        <v>603</v>
      </c>
      <c r="C370" s="1" t="s">
        <v>604</v>
      </c>
      <c r="D370" s="2">
        <f>+251919189080</f>
        <v>251919189080</v>
      </c>
      <c r="E370" s="1" t="s">
        <v>21</v>
      </c>
    </row>
    <row r="371">
      <c r="A371" s="1" t="s">
        <v>605</v>
      </c>
      <c r="B371" s="1" t="s">
        <v>606</v>
      </c>
      <c r="C371" s="1" t="s">
        <v>607</v>
      </c>
      <c r="D371" s="2">
        <f>+251986496153</f>
        <v>251986496153</v>
      </c>
      <c r="E371" s="1" t="s">
        <v>21</v>
      </c>
    </row>
    <row r="372">
      <c r="A372" s="1" t="s">
        <v>608</v>
      </c>
      <c r="B372" s="1" t="s">
        <v>600</v>
      </c>
      <c r="C372" s="1" t="s">
        <v>601</v>
      </c>
      <c r="D372" s="2">
        <f>+251977078082</f>
        <v>251977078082</v>
      </c>
      <c r="E372" s="1" t="s">
        <v>21</v>
      </c>
    </row>
    <row r="373">
      <c r="A373" s="1" t="s">
        <v>609</v>
      </c>
      <c r="B373" s="1" t="s">
        <v>610</v>
      </c>
      <c r="C373" s="1" t="s">
        <v>333</v>
      </c>
      <c r="D373" s="2">
        <f>+251991753080</f>
        <v>251991753080</v>
      </c>
      <c r="E373" s="1" t="s">
        <v>21</v>
      </c>
    </row>
    <row r="374">
      <c r="A374" s="1" t="s">
        <v>611</v>
      </c>
      <c r="B374" s="1" t="s">
        <v>612</v>
      </c>
      <c r="C374" s="1" t="s">
        <v>613</v>
      </c>
      <c r="D374" s="2">
        <f>+251989975662</f>
        <v>251989975662</v>
      </c>
      <c r="E374" s="1" t="s">
        <v>21</v>
      </c>
    </row>
    <row r="375">
      <c r="A375" s="1" t="s">
        <v>614</v>
      </c>
      <c r="B375" s="1" t="s">
        <v>615</v>
      </c>
      <c r="C375" s="1" t="s">
        <v>616</v>
      </c>
      <c r="D375" s="2">
        <f>+251970673846</f>
        <v>251970673846</v>
      </c>
      <c r="E375" s="1" t="s">
        <v>21</v>
      </c>
    </row>
    <row r="376">
      <c r="A376" s="1" t="s">
        <v>617</v>
      </c>
      <c r="B376" s="1" t="s">
        <v>141</v>
      </c>
      <c r="C376" s="1" t="s">
        <v>618</v>
      </c>
      <c r="D376" s="2">
        <f>+251940058995</f>
        <v>251940058995</v>
      </c>
      <c r="E376" s="1" t="s">
        <v>21</v>
      </c>
    </row>
    <row r="377">
      <c r="A377" s="1" t="s">
        <v>622</v>
      </c>
      <c r="B377" s="1" t="s">
        <v>294</v>
      </c>
      <c r="C377" s="1" t="s">
        <v>623</v>
      </c>
      <c r="D377" s="2">
        <f>+251929784808</f>
        <v>251929784808</v>
      </c>
      <c r="E377" s="1" t="s">
        <v>21</v>
      </c>
    </row>
    <row r="378">
      <c r="A378" s="1" t="s">
        <v>628</v>
      </c>
      <c r="B378" s="1" t="s">
        <v>629</v>
      </c>
      <c r="C378" s="1" t="s">
        <v>630</v>
      </c>
      <c r="D378" s="2">
        <f>+251942139059</f>
        <v>251942139059</v>
      </c>
      <c r="E378" s="1" t="s">
        <v>21</v>
      </c>
    </row>
    <row r="379">
      <c r="A379" s="1" t="s">
        <v>631</v>
      </c>
      <c r="B379" s="1" t="s">
        <v>220</v>
      </c>
      <c r="C379" s="1" t="s">
        <v>141</v>
      </c>
      <c r="D379" s="2">
        <f>+251910022212</f>
        <v>251910022212</v>
      </c>
      <c r="E379" s="1" t="s">
        <v>21</v>
      </c>
    </row>
    <row r="380">
      <c r="A380" s="1" t="s">
        <v>632</v>
      </c>
      <c r="B380" s="1" t="s">
        <v>184</v>
      </c>
      <c r="C380" s="1" t="s">
        <v>633</v>
      </c>
      <c r="D380" s="2">
        <f>+251967232610</f>
        <v>251967232610</v>
      </c>
      <c r="E380" s="1" t="s">
        <v>21</v>
      </c>
    </row>
    <row r="381">
      <c r="A381" s="1" t="s">
        <v>635</v>
      </c>
      <c r="B381" s="1" t="s">
        <v>636</v>
      </c>
      <c r="C381" s="1" t="s">
        <v>23</v>
      </c>
      <c r="D381" s="2">
        <f>+251985096509</f>
        <v>251985096509</v>
      </c>
      <c r="E381" s="1" t="s">
        <v>21</v>
      </c>
    </row>
    <row r="382">
      <c r="A382" s="1" t="s">
        <v>637</v>
      </c>
      <c r="B382" s="1" t="s">
        <v>638</v>
      </c>
      <c r="C382" s="1" t="s">
        <v>363</v>
      </c>
      <c r="D382" s="2">
        <f>+251993645760</f>
        <v>251993645760</v>
      </c>
      <c r="E382" s="1" t="s">
        <v>21</v>
      </c>
    </row>
    <row r="383">
      <c r="A383" s="1" t="s">
        <v>639</v>
      </c>
      <c r="B383" s="1" t="s">
        <v>640</v>
      </c>
      <c r="C383" s="1" t="s">
        <v>641</v>
      </c>
      <c r="D383" s="2">
        <f>+251967655584</f>
        <v>251967655584</v>
      </c>
      <c r="E383" s="1" t="s">
        <v>21</v>
      </c>
    </row>
    <row r="384">
      <c r="A384" s="1" t="s">
        <v>643</v>
      </c>
      <c r="B384" s="1" t="s">
        <v>240</v>
      </c>
      <c r="C384" s="1" t="s">
        <v>644</v>
      </c>
      <c r="D384" s="2">
        <f>+251922488069</f>
        <v>251922488069</v>
      </c>
      <c r="E384" s="1" t="s">
        <v>21</v>
      </c>
    </row>
    <row r="385">
      <c r="A385" s="1" t="s">
        <v>645</v>
      </c>
      <c r="B385" s="1" t="s">
        <v>646</v>
      </c>
      <c r="C385" s="1" t="s">
        <v>647</v>
      </c>
      <c r="D385" s="2">
        <f>+251982165411</f>
        <v>251982165411</v>
      </c>
      <c r="E385" s="1" t="s">
        <v>21</v>
      </c>
    </row>
    <row r="386">
      <c r="A386" s="1" t="s">
        <v>648</v>
      </c>
      <c r="B386" s="1" t="s">
        <v>649</v>
      </c>
      <c r="C386" s="1" t="s">
        <v>45</v>
      </c>
      <c r="D386" s="1">
        <v>9.39847277E8</v>
      </c>
      <c r="E386" s="1" t="s">
        <v>21</v>
      </c>
    </row>
    <row r="387">
      <c r="A387" s="1" t="s">
        <v>650</v>
      </c>
      <c r="B387" s="1" t="s">
        <v>536</v>
      </c>
      <c r="C387" s="1" t="s">
        <v>651</v>
      </c>
      <c r="D387" s="2">
        <f>+251937344324</f>
        <v>251937344324</v>
      </c>
      <c r="E387" s="1" t="s">
        <v>21</v>
      </c>
    </row>
    <row r="388">
      <c r="A388" s="1" t="s">
        <v>655</v>
      </c>
      <c r="B388" s="1" t="s">
        <v>656</v>
      </c>
      <c r="C388" s="1" t="s">
        <v>657</v>
      </c>
      <c r="D388" s="2">
        <f>+251918458757</f>
        <v>251918458757</v>
      </c>
      <c r="E388" s="1" t="s">
        <v>21</v>
      </c>
    </row>
    <row r="389">
      <c r="A389" s="1" t="s">
        <v>658</v>
      </c>
      <c r="B389" s="1" t="s">
        <v>101</v>
      </c>
      <c r="C389" s="1" t="s">
        <v>218</v>
      </c>
      <c r="D389" s="1">
        <v>9.45309092E8</v>
      </c>
      <c r="E389" s="1" t="s">
        <v>21</v>
      </c>
    </row>
    <row r="390">
      <c r="A390" s="1" t="s">
        <v>660</v>
      </c>
      <c r="B390" s="1" t="s">
        <v>661</v>
      </c>
      <c r="C390" s="1" t="s">
        <v>297</v>
      </c>
      <c r="D390" s="2">
        <f>+251920061644</f>
        <v>251920061644</v>
      </c>
      <c r="E390" s="1" t="s">
        <v>21</v>
      </c>
    </row>
    <row r="391">
      <c r="A391" s="1" t="s">
        <v>662</v>
      </c>
      <c r="B391" s="1" t="s">
        <v>663</v>
      </c>
      <c r="C391" s="1" t="s">
        <v>664</v>
      </c>
      <c r="D391" s="2">
        <f>+251941247882</f>
        <v>251941247882</v>
      </c>
      <c r="E391" s="1" t="s">
        <v>21</v>
      </c>
    </row>
    <row r="392">
      <c r="A392" s="1" t="s">
        <v>665</v>
      </c>
      <c r="B392" s="1" t="s">
        <v>666</v>
      </c>
      <c r="C392" s="1" t="s">
        <v>667</v>
      </c>
      <c r="D392" s="2">
        <f>+251968082738</f>
        <v>251968082738</v>
      </c>
      <c r="E392" s="1" t="s">
        <v>21</v>
      </c>
    </row>
    <row r="393">
      <c r="A393" s="1" t="s">
        <v>670</v>
      </c>
      <c r="B393" s="1" t="s">
        <v>671</v>
      </c>
      <c r="C393" s="1" t="s">
        <v>67</v>
      </c>
      <c r="D393" s="2">
        <f>+251945867091</f>
        <v>251945867091</v>
      </c>
      <c r="E393" s="1" t="s">
        <v>21</v>
      </c>
    </row>
    <row r="394">
      <c r="A394" s="1" t="s">
        <v>672</v>
      </c>
      <c r="B394" s="1" t="s">
        <v>673</v>
      </c>
      <c r="C394" s="1" t="s">
        <v>121</v>
      </c>
      <c r="D394" s="2">
        <f>+251953299416</f>
        <v>251953299416</v>
      </c>
      <c r="E394" s="1" t="s">
        <v>21</v>
      </c>
    </row>
    <row r="395">
      <c r="A395" s="1" t="s">
        <v>674</v>
      </c>
      <c r="B395" s="1" t="s">
        <v>141</v>
      </c>
      <c r="C395" s="1" t="s">
        <v>554</v>
      </c>
      <c r="D395" s="2">
        <f>+251913100761</f>
        <v>251913100761</v>
      </c>
      <c r="E395" s="1" t="s">
        <v>21</v>
      </c>
    </row>
    <row r="396">
      <c r="A396" s="1" t="s">
        <v>678</v>
      </c>
      <c r="B396" s="1" t="s">
        <v>663</v>
      </c>
      <c r="C396" s="1" t="s">
        <v>679</v>
      </c>
      <c r="D396" s="2">
        <f>+251916681616</f>
        <v>251916681616</v>
      </c>
      <c r="E396" s="1" t="s">
        <v>21</v>
      </c>
    </row>
    <row r="397">
      <c r="A397" s="1" t="s">
        <v>680</v>
      </c>
      <c r="B397" s="1" t="s">
        <v>681</v>
      </c>
      <c r="C397" s="1" t="s">
        <v>682</v>
      </c>
      <c r="D397" s="2">
        <f>+251900039299</f>
        <v>251900039299</v>
      </c>
      <c r="E397" s="1" t="s">
        <v>21</v>
      </c>
    </row>
    <row r="398">
      <c r="A398" s="1" t="s">
        <v>686</v>
      </c>
      <c r="B398" s="1" t="s">
        <v>110</v>
      </c>
      <c r="C398" s="1" t="s">
        <v>687</v>
      </c>
      <c r="D398" s="2">
        <f>+251940371968</f>
        <v>251940371968</v>
      </c>
      <c r="E398" s="1" t="s">
        <v>21</v>
      </c>
    </row>
    <row r="399">
      <c r="A399" s="1" t="s">
        <v>690</v>
      </c>
      <c r="B399" s="1" t="s">
        <v>620</v>
      </c>
      <c r="C399" s="1" t="s">
        <v>691</v>
      </c>
      <c r="D399" s="2">
        <f>+251975509834</f>
        <v>251975509834</v>
      </c>
      <c r="E399" s="1" t="s">
        <v>21</v>
      </c>
    </row>
    <row r="400">
      <c r="A400" s="1" t="s">
        <v>692</v>
      </c>
      <c r="B400" s="1" t="s">
        <v>693</v>
      </c>
      <c r="C400" s="1" t="s">
        <v>694</v>
      </c>
      <c r="D400" s="1">
        <v>2.51967435801E11</v>
      </c>
      <c r="E400" s="1" t="s">
        <v>21</v>
      </c>
    </row>
    <row r="401">
      <c r="A401" s="1" t="s">
        <v>697</v>
      </c>
      <c r="B401" s="1" t="s">
        <v>698</v>
      </c>
      <c r="C401" s="1" t="s">
        <v>699</v>
      </c>
      <c r="D401" s="2">
        <f>+251970720301</f>
        <v>251970720301</v>
      </c>
      <c r="E401" s="1" t="s">
        <v>21</v>
      </c>
    </row>
    <row r="402">
      <c r="A402" s="1" t="s">
        <v>700</v>
      </c>
      <c r="B402" s="1" t="s">
        <v>701</v>
      </c>
      <c r="C402" s="1" t="s">
        <v>702</v>
      </c>
      <c r="D402" s="2">
        <f>+251912896989</f>
        <v>251912896989</v>
      </c>
      <c r="E402" s="1" t="s">
        <v>21</v>
      </c>
    </row>
    <row r="403">
      <c r="A403" s="1" t="s">
        <v>703</v>
      </c>
      <c r="B403" s="1" t="s">
        <v>704</v>
      </c>
      <c r="C403" s="1" t="s">
        <v>705</v>
      </c>
      <c r="D403" s="2">
        <f>+251912409644</f>
        <v>251912409644</v>
      </c>
      <c r="E403" s="1" t="s">
        <v>21</v>
      </c>
    </row>
    <row r="404">
      <c r="A404" s="1" t="s">
        <v>708</v>
      </c>
      <c r="B404" s="1" t="s">
        <v>709</v>
      </c>
      <c r="C404" s="1" t="s">
        <v>710</v>
      </c>
      <c r="D404" s="1">
        <v>9.00351461E8</v>
      </c>
      <c r="E404" s="1" t="s">
        <v>21</v>
      </c>
    </row>
    <row r="405">
      <c r="A405" s="1" t="s">
        <v>711</v>
      </c>
      <c r="B405" s="1" t="s">
        <v>712</v>
      </c>
      <c r="C405" s="1" t="s">
        <v>713</v>
      </c>
      <c r="D405" s="2">
        <f>+251914416508</f>
        <v>251914416508</v>
      </c>
      <c r="E405" s="1" t="s">
        <v>21</v>
      </c>
    </row>
    <row r="406">
      <c r="A406" s="1" t="s">
        <v>714</v>
      </c>
      <c r="B406" s="1" t="s">
        <v>715</v>
      </c>
      <c r="C406" s="1" t="s">
        <v>716</v>
      </c>
      <c r="D406" s="1">
        <v>9.48858092E8</v>
      </c>
      <c r="E406" s="1" t="s">
        <v>21</v>
      </c>
    </row>
    <row r="407">
      <c r="A407" s="1" t="s">
        <v>717</v>
      </c>
      <c r="B407" s="1" t="s">
        <v>718</v>
      </c>
      <c r="C407" s="1" t="s">
        <v>719</v>
      </c>
      <c r="D407" s="2">
        <f>+251934591954</f>
        <v>251934591954</v>
      </c>
      <c r="E407" s="1" t="s">
        <v>21</v>
      </c>
    </row>
    <row r="408">
      <c r="A408" s="1" t="s">
        <v>720</v>
      </c>
      <c r="B408" s="1" t="s">
        <v>721</v>
      </c>
      <c r="C408" s="1" t="s">
        <v>722</v>
      </c>
      <c r="D408" s="2">
        <f>+251921624575</f>
        <v>251921624575</v>
      </c>
      <c r="E408" s="1" t="s">
        <v>21</v>
      </c>
    </row>
    <row r="409">
      <c r="A409" s="1" t="s">
        <v>726</v>
      </c>
      <c r="B409" s="1" t="s">
        <v>727</v>
      </c>
      <c r="C409" s="1" t="s">
        <v>110</v>
      </c>
      <c r="D409" s="2">
        <f>+251927072759</f>
        <v>251927072759</v>
      </c>
      <c r="E409" s="1" t="s">
        <v>21</v>
      </c>
    </row>
    <row r="410">
      <c r="A410" s="1" t="s">
        <v>728</v>
      </c>
      <c r="B410" s="1" t="s">
        <v>729</v>
      </c>
      <c r="C410" s="1" t="s">
        <v>96</v>
      </c>
      <c r="D410" s="2">
        <f>+251929501645</f>
        <v>251929501645</v>
      </c>
      <c r="E410" s="1" t="s">
        <v>21</v>
      </c>
    </row>
    <row r="411">
      <c r="A411" s="1" t="s">
        <v>736</v>
      </c>
      <c r="B411" s="1" t="s">
        <v>737</v>
      </c>
      <c r="C411" s="1" t="s">
        <v>738</v>
      </c>
      <c r="D411" s="2">
        <f>+251902931808</f>
        <v>251902931808</v>
      </c>
      <c r="E411" s="1" t="s">
        <v>21</v>
      </c>
    </row>
    <row r="412">
      <c r="A412" s="1" t="s">
        <v>742</v>
      </c>
      <c r="B412" s="1" t="s">
        <v>743</v>
      </c>
      <c r="C412" s="1" t="s">
        <v>744</v>
      </c>
      <c r="D412" s="2">
        <f>+251991174136</f>
        <v>251991174136</v>
      </c>
      <c r="E412" s="1" t="s">
        <v>21</v>
      </c>
    </row>
    <row r="413">
      <c r="A413" s="1" t="s">
        <v>745</v>
      </c>
      <c r="B413" s="1" t="s">
        <v>746</v>
      </c>
      <c r="C413" s="1" t="s">
        <v>371</v>
      </c>
      <c r="D413" s="2">
        <f>+251931578867</f>
        <v>251931578867</v>
      </c>
      <c r="E413" s="1" t="s">
        <v>21</v>
      </c>
    </row>
    <row r="414">
      <c r="A414" s="1" t="s">
        <v>747</v>
      </c>
      <c r="B414" s="1" t="s">
        <v>748</v>
      </c>
      <c r="C414" s="1" t="s">
        <v>195</v>
      </c>
      <c r="D414" s="2">
        <f>+251911100050</f>
        <v>251911100050</v>
      </c>
      <c r="E414" s="1" t="s">
        <v>21</v>
      </c>
    </row>
    <row r="415">
      <c r="A415" s="1" t="s">
        <v>749</v>
      </c>
      <c r="B415" s="1" t="s">
        <v>750</v>
      </c>
      <c r="C415" s="1" t="s">
        <v>751</v>
      </c>
      <c r="D415" s="2">
        <f>+251964649402</f>
        <v>251964649402</v>
      </c>
      <c r="E415" s="1" t="s">
        <v>21</v>
      </c>
    </row>
    <row r="416">
      <c r="A416" s="1" t="s">
        <v>752</v>
      </c>
      <c r="B416" s="1" t="s">
        <v>753</v>
      </c>
      <c r="C416" s="1" t="s">
        <v>754</v>
      </c>
      <c r="D416" s="2">
        <f>+251946561519</f>
        <v>251946561519</v>
      </c>
      <c r="E416" s="1" t="s">
        <v>21</v>
      </c>
    </row>
    <row r="417">
      <c r="A417" s="1" t="s">
        <v>755</v>
      </c>
      <c r="B417" s="1" t="s">
        <v>756</v>
      </c>
      <c r="C417" s="1" t="s">
        <v>328</v>
      </c>
      <c r="D417" s="2">
        <f>+251944052844</f>
        <v>251944052844</v>
      </c>
      <c r="E417" s="1" t="s">
        <v>21</v>
      </c>
    </row>
    <row r="418">
      <c r="A418" s="1" t="s">
        <v>760</v>
      </c>
      <c r="B418" s="1" t="s">
        <v>761</v>
      </c>
      <c r="C418" s="1" t="s">
        <v>762</v>
      </c>
      <c r="D418" s="2">
        <f>+251988138164</f>
        <v>251988138164</v>
      </c>
      <c r="E418" s="1" t="s">
        <v>21</v>
      </c>
    </row>
    <row r="419">
      <c r="A419" s="1" t="s">
        <v>763</v>
      </c>
      <c r="B419" s="1" t="s">
        <v>491</v>
      </c>
      <c r="C419" s="1" t="s">
        <v>764</v>
      </c>
      <c r="D419" s="2">
        <f>+251911956724</f>
        <v>251911956724</v>
      </c>
      <c r="E419" s="1" t="s">
        <v>21</v>
      </c>
    </row>
    <row r="420">
      <c r="A420" s="1" t="s">
        <v>765</v>
      </c>
      <c r="B420" s="1" t="s">
        <v>437</v>
      </c>
      <c r="C420" s="1" t="s">
        <v>328</v>
      </c>
      <c r="D420" s="2">
        <f>+251922348170</f>
        <v>251922348170</v>
      </c>
      <c r="E420" s="1" t="s">
        <v>21</v>
      </c>
    </row>
    <row r="421">
      <c r="A421" s="1" t="s">
        <v>766</v>
      </c>
      <c r="B421" s="1" t="s">
        <v>767</v>
      </c>
      <c r="C421" s="1" t="s">
        <v>768</v>
      </c>
      <c r="D421" s="2">
        <f>+251941265013</f>
        <v>251941265013</v>
      </c>
      <c r="E421" s="1" t="s">
        <v>21</v>
      </c>
    </row>
    <row r="422">
      <c r="A422" s="1" t="s">
        <v>770</v>
      </c>
      <c r="B422" s="1" t="s">
        <v>771</v>
      </c>
      <c r="C422" s="1" t="s">
        <v>303</v>
      </c>
      <c r="D422" s="2">
        <f>+251918501325</f>
        <v>251918501325</v>
      </c>
      <c r="E422" s="1" t="s">
        <v>21</v>
      </c>
    </row>
    <row r="423">
      <c r="A423" s="1" t="s">
        <v>772</v>
      </c>
      <c r="B423" s="1" t="s">
        <v>773</v>
      </c>
      <c r="C423" s="1" t="s">
        <v>774</v>
      </c>
      <c r="D423" s="2">
        <f>+251992359513</f>
        <v>251992359513</v>
      </c>
      <c r="E423" s="1" t="s">
        <v>21</v>
      </c>
    </row>
    <row r="424">
      <c r="A424" s="1" t="s">
        <v>777</v>
      </c>
      <c r="B424" s="1" t="s">
        <v>778</v>
      </c>
      <c r="C424" s="1" t="s">
        <v>108</v>
      </c>
      <c r="D424" s="2">
        <f>+251935115911</f>
        <v>251935115911</v>
      </c>
      <c r="E424" s="1" t="s">
        <v>21</v>
      </c>
    </row>
    <row r="425">
      <c r="A425" s="1" t="s">
        <v>781</v>
      </c>
      <c r="B425" s="1" t="s">
        <v>750</v>
      </c>
      <c r="C425" s="1" t="s">
        <v>782</v>
      </c>
      <c r="D425" s="2">
        <f>+251912712660</f>
        <v>251912712660</v>
      </c>
      <c r="E425" s="1" t="s">
        <v>21</v>
      </c>
    </row>
    <row r="426">
      <c r="A426" s="1" t="s">
        <v>788</v>
      </c>
      <c r="B426" s="1" t="s">
        <v>789</v>
      </c>
      <c r="C426" s="1" t="s">
        <v>790</v>
      </c>
      <c r="D426" s="2">
        <f>+251905569751</f>
        <v>251905569751</v>
      </c>
      <c r="E426" s="1" t="s">
        <v>21</v>
      </c>
    </row>
    <row r="427">
      <c r="A427" s="1" t="s">
        <v>791</v>
      </c>
      <c r="B427" s="1" t="s">
        <v>792</v>
      </c>
      <c r="C427" s="1" t="s">
        <v>793</v>
      </c>
      <c r="D427" s="2">
        <f>+251917015489</f>
        <v>251917015489</v>
      </c>
      <c r="E427" s="1" t="s">
        <v>21</v>
      </c>
    </row>
    <row r="428">
      <c r="A428" s="1" t="s">
        <v>794</v>
      </c>
      <c r="B428" s="1" t="s">
        <v>795</v>
      </c>
      <c r="C428" s="1" t="s">
        <v>796</v>
      </c>
      <c r="D428" s="2">
        <f>+251910312565</f>
        <v>251910312565</v>
      </c>
      <c r="E428" s="1" t="s">
        <v>21</v>
      </c>
    </row>
    <row r="429">
      <c r="A429" s="1" t="s">
        <v>797</v>
      </c>
      <c r="B429" s="1" t="s">
        <v>496</v>
      </c>
      <c r="C429" s="1" t="s">
        <v>375</v>
      </c>
      <c r="D429" s="2">
        <f>+251987616747</f>
        <v>251987616747</v>
      </c>
      <c r="E429" s="1" t="s">
        <v>21</v>
      </c>
    </row>
    <row r="430">
      <c r="A430" s="1" t="s">
        <v>798</v>
      </c>
      <c r="B430" s="1" t="s">
        <v>799</v>
      </c>
      <c r="C430" s="1" t="s">
        <v>51</v>
      </c>
      <c r="D430" s="2">
        <f>+251923085155</f>
        <v>251923085155</v>
      </c>
      <c r="E430" s="1" t="s">
        <v>21</v>
      </c>
    </row>
    <row r="431">
      <c r="A431" s="1" t="s">
        <v>800</v>
      </c>
      <c r="B431" s="1" t="s">
        <v>801</v>
      </c>
      <c r="C431" s="1" t="s">
        <v>420</v>
      </c>
      <c r="D431" s="2">
        <f>+251944285827</f>
        <v>251944285827</v>
      </c>
      <c r="E431" s="1" t="s">
        <v>21</v>
      </c>
    </row>
    <row r="432">
      <c r="A432" s="1" t="s">
        <v>802</v>
      </c>
      <c r="B432" s="1" t="s">
        <v>803</v>
      </c>
      <c r="C432" s="1" t="s">
        <v>417</v>
      </c>
      <c r="D432" s="2">
        <f>+251963647076</f>
        <v>251963647076</v>
      </c>
      <c r="E432" s="1" t="s">
        <v>21</v>
      </c>
    </row>
    <row r="433">
      <c r="A433" s="1" t="s">
        <v>804</v>
      </c>
      <c r="B433" s="1" t="s">
        <v>363</v>
      </c>
      <c r="C433" s="1" t="s">
        <v>805</v>
      </c>
      <c r="D433" s="2">
        <f>+251960387236</f>
        <v>251960387236</v>
      </c>
      <c r="E433" s="1" t="s">
        <v>21</v>
      </c>
    </row>
    <row r="434">
      <c r="A434" s="1" t="s">
        <v>806</v>
      </c>
      <c r="B434" s="1" t="s">
        <v>807</v>
      </c>
      <c r="C434" s="1" t="s">
        <v>808</v>
      </c>
      <c r="D434" s="2">
        <f>+251987983880</f>
        <v>251987983880</v>
      </c>
      <c r="E434" s="1" t="s">
        <v>21</v>
      </c>
    </row>
    <row r="435">
      <c r="A435" s="1" t="s">
        <v>809</v>
      </c>
      <c r="B435" s="1" t="s">
        <v>810</v>
      </c>
      <c r="C435" s="1" t="s">
        <v>297</v>
      </c>
      <c r="D435" s="2">
        <f>+25194746718</f>
        <v>25194746718</v>
      </c>
      <c r="E435" s="1" t="s">
        <v>21</v>
      </c>
    </row>
    <row r="436">
      <c r="A436" s="1" t="s">
        <v>811</v>
      </c>
      <c r="B436" s="1" t="s">
        <v>812</v>
      </c>
      <c r="C436" s="1" t="s">
        <v>813</v>
      </c>
      <c r="D436" s="2">
        <f>+251940236004</f>
        <v>251940236004</v>
      </c>
      <c r="E436" s="1" t="s">
        <v>21</v>
      </c>
    </row>
    <row r="437">
      <c r="A437" s="1" t="s">
        <v>814</v>
      </c>
      <c r="B437" s="1" t="s">
        <v>264</v>
      </c>
      <c r="C437" s="1" t="s">
        <v>815</v>
      </c>
      <c r="D437" s="2">
        <f>+251922866987</f>
        <v>251922866987</v>
      </c>
      <c r="E437" s="1" t="s">
        <v>21</v>
      </c>
    </row>
    <row r="438">
      <c r="A438" s="1" t="s">
        <v>816</v>
      </c>
      <c r="B438" s="1" t="s">
        <v>817</v>
      </c>
      <c r="C438" s="1" t="s">
        <v>818</v>
      </c>
      <c r="D438" s="2">
        <f>+251921742027</f>
        <v>251921742027</v>
      </c>
      <c r="E438" s="1" t="s">
        <v>21</v>
      </c>
    </row>
    <row r="439">
      <c r="A439" s="1" t="s">
        <v>819</v>
      </c>
      <c r="B439" s="1" t="s">
        <v>240</v>
      </c>
      <c r="C439" s="1" t="s">
        <v>820</v>
      </c>
      <c r="D439" s="2">
        <f>+251912682952</f>
        <v>251912682952</v>
      </c>
      <c r="E439" s="1" t="s">
        <v>21</v>
      </c>
    </row>
    <row r="440">
      <c r="A440" s="1" t="s">
        <v>823</v>
      </c>
      <c r="B440" s="1" t="s">
        <v>776</v>
      </c>
      <c r="C440" s="1" t="s">
        <v>824</v>
      </c>
      <c r="D440" s="2">
        <f>+251948232719</f>
        <v>251948232719</v>
      </c>
      <c r="E440" s="1" t="s">
        <v>21</v>
      </c>
    </row>
    <row r="441">
      <c r="A441" s="1" t="s">
        <v>825</v>
      </c>
      <c r="B441" s="1" t="s">
        <v>517</v>
      </c>
      <c r="C441" s="1" t="s">
        <v>826</v>
      </c>
      <c r="D441" s="2">
        <f>+251963324177</f>
        <v>251963324177</v>
      </c>
      <c r="E441" s="1" t="s">
        <v>21</v>
      </c>
    </row>
    <row r="442">
      <c r="A442" s="1" t="s">
        <v>827</v>
      </c>
      <c r="B442" s="1" t="s">
        <v>828</v>
      </c>
      <c r="C442" s="1" t="s">
        <v>829</v>
      </c>
      <c r="D442" s="2">
        <f>+251974975778</f>
        <v>251974975778</v>
      </c>
      <c r="E442" s="1" t="s">
        <v>21</v>
      </c>
    </row>
    <row r="443">
      <c r="A443" s="1" t="s">
        <v>835</v>
      </c>
      <c r="B443" s="1" t="s">
        <v>836</v>
      </c>
      <c r="C443" s="1" t="s">
        <v>837</v>
      </c>
      <c r="D443" s="2">
        <f>+251961242949</f>
        <v>251961242949</v>
      </c>
      <c r="E443" s="1" t="s">
        <v>21</v>
      </c>
    </row>
    <row r="444">
      <c r="A444" s="1" t="s">
        <v>838</v>
      </c>
      <c r="B444" s="1" t="s">
        <v>101</v>
      </c>
      <c r="C444" s="1" t="s">
        <v>839</v>
      </c>
      <c r="D444" s="1">
        <v>9.83930035E8</v>
      </c>
      <c r="E444" s="1" t="s">
        <v>21</v>
      </c>
    </row>
    <row r="445">
      <c r="A445" s="1" t="s">
        <v>840</v>
      </c>
      <c r="B445" s="1" t="s">
        <v>841</v>
      </c>
      <c r="C445" s="1" t="s">
        <v>842</v>
      </c>
      <c r="D445" s="2">
        <f>+251967429353</f>
        <v>251967429353</v>
      </c>
      <c r="E445" s="1" t="s">
        <v>21</v>
      </c>
    </row>
    <row r="446">
      <c r="A446" s="1" t="s">
        <v>843</v>
      </c>
      <c r="B446" s="1" t="s">
        <v>844</v>
      </c>
      <c r="C446" s="1" t="s">
        <v>189</v>
      </c>
      <c r="D446" s="2">
        <f>+251917784455</f>
        <v>251917784455</v>
      </c>
      <c r="E446" s="1" t="s">
        <v>21</v>
      </c>
    </row>
    <row r="447">
      <c r="A447" s="1" t="s">
        <v>845</v>
      </c>
      <c r="B447" s="1" t="s">
        <v>846</v>
      </c>
      <c r="C447" s="1" t="s">
        <v>847</v>
      </c>
      <c r="D447" s="2">
        <f>+251903053038</f>
        <v>251903053038</v>
      </c>
      <c r="E447" s="1" t="s">
        <v>21</v>
      </c>
    </row>
    <row r="448">
      <c r="A448" s="1" t="s">
        <v>848</v>
      </c>
      <c r="B448" s="1" t="s">
        <v>849</v>
      </c>
      <c r="C448" s="1" t="s">
        <v>850</v>
      </c>
      <c r="D448" s="2">
        <f>+251962403450</f>
        <v>251962403450</v>
      </c>
      <c r="E448" s="1" t="s">
        <v>21</v>
      </c>
    </row>
    <row r="449">
      <c r="A449" s="1" t="s">
        <v>851</v>
      </c>
      <c r="B449" s="1" t="s">
        <v>852</v>
      </c>
      <c r="C449" s="1" t="s">
        <v>853</v>
      </c>
      <c r="D449" s="2">
        <f>+10933714972</f>
        <v>10933714972</v>
      </c>
      <c r="E449" s="1" t="s">
        <v>21</v>
      </c>
    </row>
    <row r="450">
      <c r="A450" s="1" t="s">
        <v>857</v>
      </c>
      <c r="B450" s="1" t="s">
        <v>858</v>
      </c>
      <c r="C450" s="1" t="s">
        <v>859</v>
      </c>
      <c r="D450" s="2">
        <f>+251962228962</f>
        <v>251962228962</v>
      </c>
      <c r="E450" s="1" t="s">
        <v>21</v>
      </c>
    </row>
    <row r="451">
      <c r="A451" s="1" t="s">
        <v>863</v>
      </c>
      <c r="B451" s="1" t="s">
        <v>864</v>
      </c>
      <c r="C451" s="1" t="s">
        <v>865</v>
      </c>
      <c r="D451" s="2">
        <f>+251972822998</f>
        <v>251972822998</v>
      </c>
      <c r="E451" s="1" t="s">
        <v>21</v>
      </c>
    </row>
    <row r="452">
      <c r="A452" s="1" t="s">
        <v>866</v>
      </c>
      <c r="B452" s="1" t="s">
        <v>867</v>
      </c>
      <c r="C452" s="1" t="s">
        <v>189</v>
      </c>
      <c r="D452" s="2">
        <f>+251940952884</f>
        <v>251940952884</v>
      </c>
      <c r="E452" s="1" t="s">
        <v>21</v>
      </c>
    </row>
    <row r="453">
      <c r="A453" s="1" t="s">
        <v>868</v>
      </c>
      <c r="B453" s="1" t="s">
        <v>869</v>
      </c>
      <c r="C453" s="1" t="s">
        <v>870</v>
      </c>
      <c r="D453" s="2">
        <f>+251985859749</f>
        <v>251985859749</v>
      </c>
      <c r="E453" s="1" t="s">
        <v>21</v>
      </c>
    </row>
    <row r="454">
      <c r="A454" s="1" t="s">
        <v>871</v>
      </c>
      <c r="B454" s="1" t="s">
        <v>872</v>
      </c>
      <c r="C454" s="1" t="s">
        <v>873</v>
      </c>
      <c r="D454" s="2">
        <f>+251928605934</f>
        <v>251928605934</v>
      </c>
      <c r="E454" s="1" t="s">
        <v>21</v>
      </c>
    </row>
    <row r="455">
      <c r="A455" s="1" t="s">
        <v>874</v>
      </c>
      <c r="B455" s="1" t="s">
        <v>875</v>
      </c>
      <c r="C455" s="1" t="s">
        <v>48</v>
      </c>
      <c r="D455" s="2">
        <f>+251904618776</f>
        <v>251904618776</v>
      </c>
      <c r="E455" s="1" t="s">
        <v>21</v>
      </c>
    </row>
    <row r="456">
      <c r="A456" s="1" t="s">
        <v>876</v>
      </c>
      <c r="B456" s="1" t="s">
        <v>877</v>
      </c>
      <c r="C456" s="1" t="s">
        <v>878</v>
      </c>
      <c r="D456" s="2">
        <f>+251933230986</f>
        <v>251933230986</v>
      </c>
      <c r="E456" s="1" t="s">
        <v>21</v>
      </c>
    </row>
    <row r="457">
      <c r="A457" s="1" t="s">
        <v>882</v>
      </c>
      <c r="B457" s="1" t="s">
        <v>154</v>
      </c>
      <c r="C457" s="1" t="s">
        <v>883</v>
      </c>
      <c r="D457" s="2">
        <f>+251904636875</f>
        <v>251904636875</v>
      </c>
      <c r="E457" s="1" t="s">
        <v>21</v>
      </c>
    </row>
    <row r="458">
      <c r="A458" s="1" t="s">
        <v>884</v>
      </c>
      <c r="B458" s="1" t="s">
        <v>141</v>
      </c>
      <c r="C458" s="1" t="s">
        <v>885</v>
      </c>
      <c r="D458" s="2">
        <f>+251925580837</f>
        <v>251925580837</v>
      </c>
      <c r="E458" s="1" t="s">
        <v>21</v>
      </c>
    </row>
    <row r="459">
      <c r="A459" s="1" t="s">
        <v>886</v>
      </c>
      <c r="B459" s="1" t="s">
        <v>887</v>
      </c>
      <c r="C459" s="1" t="s">
        <v>888</v>
      </c>
      <c r="D459" s="2">
        <f>+251977484312</f>
        <v>251977484312</v>
      </c>
      <c r="E459" s="1" t="s">
        <v>21</v>
      </c>
    </row>
    <row r="460">
      <c r="A460" s="1" t="s">
        <v>889</v>
      </c>
      <c r="B460" s="1" t="s">
        <v>890</v>
      </c>
      <c r="C460" s="1" t="s">
        <v>108</v>
      </c>
      <c r="D460" s="2">
        <f>+251995188679</f>
        <v>251995188679</v>
      </c>
      <c r="E460" s="1" t="s">
        <v>21</v>
      </c>
    </row>
    <row r="461">
      <c r="A461" s="1" t="s">
        <v>891</v>
      </c>
      <c r="B461" s="1" t="s">
        <v>437</v>
      </c>
      <c r="C461" s="1" t="s">
        <v>303</v>
      </c>
      <c r="D461" s="2">
        <f>+251936650202</f>
        <v>251936650202</v>
      </c>
      <c r="E461" s="1" t="s">
        <v>21</v>
      </c>
    </row>
    <row r="462">
      <c r="A462" s="1" t="s">
        <v>892</v>
      </c>
      <c r="B462" s="1" t="s">
        <v>893</v>
      </c>
      <c r="C462" s="1" t="s">
        <v>894</v>
      </c>
      <c r="D462" s="2">
        <f>+251922558743</f>
        <v>251922558743</v>
      </c>
      <c r="E462" s="1" t="s">
        <v>21</v>
      </c>
    </row>
    <row r="463">
      <c r="A463" s="1" t="s">
        <v>895</v>
      </c>
      <c r="B463" s="1" t="s">
        <v>123</v>
      </c>
      <c r="C463" s="1" t="s">
        <v>896</v>
      </c>
      <c r="D463" s="2">
        <f>+251921474355</f>
        <v>251921474355</v>
      </c>
      <c r="E463" s="1" t="s">
        <v>21</v>
      </c>
    </row>
    <row r="464">
      <c r="A464" s="1" t="s">
        <v>897</v>
      </c>
      <c r="B464" s="1" t="s">
        <v>898</v>
      </c>
      <c r="C464" s="1" t="s">
        <v>899</v>
      </c>
      <c r="D464" s="2">
        <f>+251961874438</f>
        <v>251961874438</v>
      </c>
      <c r="E464" s="1" t="s">
        <v>21</v>
      </c>
    </row>
    <row r="465">
      <c r="A465" s="1" t="s">
        <v>900</v>
      </c>
      <c r="B465" s="1" t="s">
        <v>901</v>
      </c>
      <c r="C465" s="1" t="s">
        <v>149</v>
      </c>
      <c r="D465" s="2">
        <f>+251911952969</f>
        <v>251911952969</v>
      </c>
      <c r="E465" s="1" t="s">
        <v>21</v>
      </c>
    </row>
    <row r="466">
      <c r="A466" s="1" t="s">
        <v>902</v>
      </c>
      <c r="B466" s="1" t="s">
        <v>903</v>
      </c>
      <c r="C466" s="1" t="s">
        <v>904</v>
      </c>
      <c r="D466" s="2">
        <f>+251904174741</f>
        <v>251904174741</v>
      </c>
      <c r="E466" s="1" t="s">
        <v>21</v>
      </c>
    </row>
    <row r="467">
      <c r="A467" s="1" t="s">
        <v>905</v>
      </c>
      <c r="B467" s="1" t="s">
        <v>906</v>
      </c>
      <c r="C467" s="1" t="s">
        <v>907</v>
      </c>
      <c r="D467" s="2">
        <f>+251937014776</f>
        <v>251937014776</v>
      </c>
      <c r="E467" s="1" t="s">
        <v>21</v>
      </c>
    </row>
    <row r="468">
      <c r="A468" s="1" t="s">
        <v>911</v>
      </c>
      <c r="B468" s="1" t="s">
        <v>912</v>
      </c>
      <c r="C468" s="1" t="s">
        <v>913</v>
      </c>
      <c r="D468" s="2">
        <f>+251950265476</f>
        <v>251950265476</v>
      </c>
      <c r="E468" s="1" t="s">
        <v>21</v>
      </c>
    </row>
    <row r="469">
      <c r="A469" s="1" t="s">
        <v>914</v>
      </c>
      <c r="B469" s="1" t="s">
        <v>915</v>
      </c>
      <c r="C469" s="1" t="s">
        <v>916</v>
      </c>
      <c r="D469" s="2">
        <f>+251929000800</f>
        <v>251929000800</v>
      </c>
      <c r="E469" s="1" t="s">
        <v>21</v>
      </c>
    </row>
    <row r="470">
      <c r="A470" s="1" t="s">
        <v>917</v>
      </c>
      <c r="B470" s="1" t="s">
        <v>918</v>
      </c>
      <c r="C470" s="1" t="s">
        <v>919</v>
      </c>
      <c r="D470" s="2">
        <f>+251914594919</f>
        <v>251914594919</v>
      </c>
      <c r="E470" s="1" t="s">
        <v>21</v>
      </c>
    </row>
    <row r="471">
      <c r="A471" s="1" t="s">
        <v>920</v>
      </c>
      <c r="B471" s="1" t="s">
        <v>921</v>
      </c>
      <c r="C471" s="1" t="s">
        <v>922</v>
      </c>
      <c r="D471" s="1">
        <v>9.65205383E8</v>
      </c>
      <c r="E471" s="1" t="s">
        <v>21</v>
      </c>
    </row>
    <row r="472">
      <c r="A472" s="1" t="s">
        <v>923</v>
      </c>
      <c r="B472" s="1" t="s">
        <v>924</v>
      </c>
      <c r="C472" s="1" t="s">
        <v>925</v>
      </c>
      <c r="D472" s="2">
        <f>+251968778471</f>
        <v>251968778471</v>
      </c>
      <c r="E472" s="1" t="s">
        <v>21</v>
      </c>
    </row>
    <row r="473">
      <c r="A473" s="1" t="s">
        <v>926</v>
      </c>
      <c r="B473" s="1" t="s">
        <v>107</v>
      </c>
      <c r="C473" s="1" t="s">
        <v>338</v>
      </c>
      <c r="D473" s="2">
        <f>+251973154452</f>
        <v>251973154452</v>
      </c>
      <c r="E473" s="1" t="s">
        <v>21</v>
      </c>
    </row>
    <row r="474">
      <c r="A474" s="1" t="s">
        <v>938</v>
      </c>
      <c r="B474" s="1" t="s">
        <v>939</v>
      </c>
      <c r="C474" s="1" t="s">
        <v>363</v>
      </c>
      <c r="D474" s="2">
        <f>+251909607177</f>
        <v>251909607177</v>
      </c>
      <c r="E474" s="1" t="s">
        <v>21</v>
      </c>
    </row>
    <row r="475">
      <c r="A475" s="1" t="s">
        <v>943</v>
      </c>
      <c r="B475" s="1" t="s">
        <v>944</v>
      </c>
      <c r="C475" s="1" t="s">
        <v>195</v>
      </c>
      <c r="D475" s="2">
        <f>+251941414699</f>
        <v>251941414699</v>
      </c>
      <c r="E475" s="1" t="s">
        <v>21</v>
      </c>
    </row>
    <row r="476">
      <c r="A476" s="1" t="s">
        <v>947</v>
      </c>
      <c r="B476" s="1" t="s">
        <v>948</v>
      </c>
      <c r="C476" s="1" t="s">
        <v>949</v>
      </c>
      <c r="D476" s="2">
        <f>+251949650508</f>
        <v>251949650508</v>
      </c>
      <c r="E476" s="1" t="s">
        <v>21</v>
      </c>
    </row>
    <row r="477">
      <c r="A477" s="1" t="s">
        <v>952</v>
      </c>
      <c r="B477" s="1" t="s">
        <v>447</v>
      </c>
      <c r="C477" s="1" t="s">
        <v>108</v>
      </c>
      <c r="D477" s="2">
        <f>+251940600895</f>
        <v>251940600895</v>
      </c>
      <c r="E477" s="1" t="s">
        <v>21</v>
      </c>
    </row>
    <row r="478">
      <c r="A478" s="1" t="s">
        <v>953</v>
      </c>
      <c r="B478" s="1" t="s">
        <v>954</v>
      </c>
      <c r="C478" s="1" t="s">
        <v>195</v>
      </c>
      <c r="D478" s="2">
        <f>+251947141787</f>
        <v>251947141787</v>
      </c>
      <c r="E478" s="1" t="s">
        <v>21</v>
      </c>
    </row>
    <row r="479">
      <c r="A479" s="1" t="s">
        <v>957</v>
      </c>
      <c r="B479" s="1" t="s">
        <v>958</v>
      </c>
      <c r="C479" s="1" t="s">
        <v>959</v>
      </c>
      <c r="D479" s="2">
        <f>+10973448281</f>
        <v>10973448281</v>
      </c>
      <c r="E479" s="1" t="s">
        <v>21</v>
      </c>
    </row>
    <row r="480">
      <c r="A480" s="1" t="s">
        <v>960</v>
      </c>
      <c r="B480" s="1" t="s">
        <v>961</v>
      </c>
      <c r="C480" s="1" t="s">
        <v>744</v>
      </c>
      <c r="D480" s="2">
        <f>+251980196647</f>
        <v>251980196647</v>
      </c>
      <c r="E480" s="1" t="s">
        <v>21</v>
      </c>
    </row>
    <row r="481">
      <c r="A481" s="1" t="s">
        <v>962</v>
      </c>
      <c r="B481" s="1" t="s">
        <v>194</v>
      </c>
      <c r="C481" s="1" t="s">
        <v>963</v>
      </c>
      <c r="D481" s="2">
        <f>+251960334872</f>
        <v>251960334872</v>
      </c>
      <c r="E481" s="1" t="s">
        <v>21</v>
      </c>
    </row>
    <row r="482">
      <c r="A482" s="1" t="s">
        <v>969</v>
      </c>
      <c r="B482" s="1" t="s">
        <v>970</v>
      </c>
      <c r="C482" s="1" t="s">
        <v>805</v>
      </c>
      <c r="D482" s="2">
        <f>+251935492135</f>
        <v>251935492135</v>
      </c>
      <c r="E482" s="1" t="s">
        <v>21</v>
      </c>
    </row>
    <row r="483">
      <c r="A483" s="1" t="s">
        <v>975</v>
      </c>
      <c r="B483" s="1" t="s">
        <v>976</v>
      </c>
      <c r="C483" s="1" t="s">
        <v>189</v>
      </c>
      <c r="D483" s="2">
        <f>+251909113830</f>
        <v>251909113830</v>
      </c>
      <c r="E483" s="1" t="s">
        <v>21</v>
      </c>
    </row>
    <row r="484">
      <c r="A484" s="1" t="s">
        <v>980</v>
      </c>
      <c r="B484" s="1" t="s">
        <v>981</v>
      </c>
      <c r="C484" s="1" t="s">
        <v>982</v>
      </c>
      <c r="D484" s="2">
        <f>+251937227650</f>
        <v>251937227650</v>
      </c>
      <c r="E484" s="1" t="s">
        <v>21</v>
      </c>
    </row>
    <row r="485">
      <c r="A485" s="1" t="s">
        <v>983</v>
      </c>
      <c r="B485" s="1" t="s">
        <v>984</v>
      </c>
      <c r="C485" s="1" t="s">
        <v>985</v>
      </c>
      <c r="D485" s="1">
        <v>2.51910804076E11</v>
      </c>
      <c r="E485" s="1" t="s">
        <v>21</v>
      </c>
    </row>
    <row r="486">
      <c r="A486" s="1" t="s">
        <v>986</v>
      </c>
      <c r="B486" s="1" t="s">
        <v>987</v>
      </c>
      <c r="C486" s="1" t="s">
        <v>988</v>
      </c>
      <c r="D486" s="2">
        <f>+251944303251</f>
        <v>251944303251</v>
      </c>
      <c r="E486" s="1" t="s">
        <v>21</v>
      </c>
    </row>
    <row r="487">
      <c r="A487" s="1" t="s">
        <v>989</v>
      </c>
      <c r="B487" s="1" t="s">
        <v>990</v>
      </c>
      <c r="C487" s="1" t="s">
        <v>991</v>
      </c>
      <c r="D487" s="2">
        <f>+251938345876</f>
        <v>251938345876</v>
      </c>
      <c r="E487" s="1" t="s">
        <v>21</v>
      </c>
    </row>
    <row r="488">
      <c r="A488" s="1" t="s">
        <v>992</v>
      </c>
      <c r="B488" s="1" t="s">
        <v>993</v>
      </c>
      <c r="C488" s="1" t="s">
        <v>56</v>
      </c>
      <c r="D488" s="2">
        <f>+251251945751422</f>
        <v>251251945751422</v>
      </c>
      <c r="E488" s="1" t="s">
        <v>21</v>
      </c>
    </row>
    <row r="489">
      <c r="A489" s="1" t="s">
        <v>994</v>
      </c>
      <c r="B489" s="1" t="s">
        <v>995</v>
      </c>
      <c r="C489" s="1" t="s">
        <v>996</v>
      </c>
      <c r="D489" s="2">
        <f>+12519471261765</f>
        <v>12519471261765</v>
      </c>
      <c r="E489" s="1" t="s">
        <v>21</v>
      </c>
    </row>
    <row r="490">
      <c r="A490" s="1" t="s">
        <v>1001</v>
      </c>
      <c r="B490" s="1" t="s">
        <v>1002</v>
      </c>
      <c r="C490" s="1" t="s">
        <v>768</v>
      </c>
      <c r="D490" s="2">
        <f>+251988522584</f>
        <v>251988522584</v>
      </c>
      <c r="E490" s="1" t="s">
        <v>21</v>
      </c>
    </row>
    <row r="491">
      <c r="A491" s="1" t="s">
        <v>1003</v>
      </c>
      <c r="B491" s="1" t="s">
        <v>1004</v>
      </c>
      <c r="C491" s="1" t="s">
        <v>1005</v>
      </c>
      <c r="D491" s="2">
        <f>+251912860139</f>
        <v>251912860139</v>
      </c>
      <c r="E491" s="1" t="s">
        <v>21</v>
      </c>
    </row>
    <row r="492">
      <c r="A492" s="1" t="s">
        <v>1006</v>
      </c>
      <c r="B492" s="1" t="s">
        <v>1007</v>
      </c>
      <c r="C492" s="1" t="s">
        <v>1008</v>
      </c>
      <c r="D492" s="2">
        <f>+251901926313</f>
        <v>251901926313</v>
      </c>
      <c r="E492" s="1" t="s">
        <v>21</v>
      </c>
    </row>
    <row r="493">
      <c r="A493" s="1" t="s">
        <v>1009</v>
      </c>
      <c r="B493" s="1" t="s">
        <v>1010</v>
      </c>
      <c r="C493" s="1" t="s">
        <v>1011</v>
      </c>
      <c r="D493" s="2">
        <f>+251987952670</f>
        <v>251987952670</v>
      </c>
      <c r="E493" s="1" t="s">
        <v>21</v>
      </c>
    </row>
    <row r="494">
      <c r="A494" s="1" t="s">
        <v>1017</v>
      </c>
      <c r="B494" s="1" t="s">
        <v>1018</v>
      </c>
      <c r="C494" s="1" t="s">
        <v>595</v>
      </c>
      <c r="D494" s="2">
        <f>+251954596095</f>
        <v>251954596095</v>
      </c>
      <c r="E494" s="1" t="s">
        <v>21</v>
      </c>
    </row>
    <row r="495">
      <c r="A495" s="1" t="s">
        <v>1022</v>
      </c>
      <c r="B495" s="1" t="s">
        <v>1023</v>
      </c>
      <c r="C495" s="1" t="s">
        <v>1024</v>
      </c>
      <c r="D495" s="2">
        <f>+251921875653</f>
        <v>251921875653</v>
      </c>
      <c r="E495" s="1" t="s">
        <v>21</v>
      </c>
    </row>
    <row r="496">
      <c r="A496" s="1" t="s">
        <v>1025</v>
      </c>
      <c r="B496" s="1" t="s">
        <v>1026</v>
      </c>
      <c r="C496" s="1" t="s">
        <v>741</v>
      </c>
      <c r="D496" s="2">
        <f>+251902759738</f>
        <v>251902759738</v>
      </c>
      <c r="E496" s="1" t="s">
        <v>21</v>
      </c>
    </row>
    <row r="497">
      <c r="A497" s="1" t="s">
        <v>1027</v>
      </c>
      <c r="B497" s="1" t="s">
        <v>179</v>
      </c>
      <c r="C497" s="1" t="s">
        <v>1028</v>
      </c>
      <c r="D497" s="2">
        <f>+251986359687</f>
        <v>251986359687</v>
      </c>
      <c r="E497" s="1" t="s">
        <v>21</v>
      </c>
    </row>
    <row r="498">
      <c r="A498" s="1" t="s">
        <v>1029</v>
      </c>
      <c r="B498" s="1" t="s">
        <v>294</v>
      </c>
      <c r="C498" s="1" t="s">
        <v>1030</v>
      </c>
      <c r="D498" s="2">
        <f>+251993459234</f>
        <v>251993459234</v>
      </c>
      <c r="E498" s="1" t="s">
        <v>21</v>
      </c>
    </row>
    <row r="499">
      <c r="A499" s="1" t="s">
        <v>1034</v>
      </c>
      <c r="B499" s="1" t="s">
        <v>1035</v>
      </c>
      <c r="C499" s="1" t="s">
        <v>1036</v>
      </c>
      <c r="D499" s="2">
        <f>+251987078361</f>
        <v>251987078361</v>
      </c>
      <c r="E499" s="1" t="s">
        <v>21</v>
      </c>
    </row>
    <row r="500">
      <c r="A500" s="1" t="s">
        <v>1037</v>
      </c>
      <c r="B500" s="1" t="s">
        <v>1038</v>
      </c>
      <c r="C500" s="1" t="s">
        <v>1039</v>
      </c>
      <c r="D500" s="2">
        <f>+251965170064</f>
        <v>251965170064</v>
      </c>
      <c r="E500" s="1" t="s">
        <v>21</v>
      </c>
    </row>
    <row r="501">
      <c r="A501" s="1" t="s">
        <v>1040</v>
      </c>
      <c r="B501" s="1" t="s">
        <v>60</v>
      </c>
      <c r="C501" s="1" t="s">
        <v>360</v>
      </c>
      <c r="D501" s="2">
        <f>+251931697444</f>
        <v>251931697444</v>
      </c>
      <c r="E501" s="1" t="s">
        <v>21</v>
      </c>
    </row>
    <row r="502">
      <c r="A502" s="1" t="s">
        <v>1044</v>
      </c>
      <c r="B502" s="1" t="s">
        <v>577</v>
      </c>
      <c r="C502" s="1" t="s">
        <v>1045</v>
      </c>
      <c r="D502" s="2">
        <f>+251712185238</f>
        <v>251712185238</v>
      </c>
      <c r="E502" s="1" t="s">
        <v>21</v>
      </c>
    </row>
    <row r="503">
      <c r="A503" s="1" t="s">
        <v>1050</v>
      </c>
      <c r="B503" s="1" t="s">
        <v>758</v>
      </c>
      <c r="C503" s="1" t="s">
        <v>595</v>
      </c>
      <c r="D503" s="2">
        <f>+251973110333</f>
        <v>251973110333</v>
      </c>
      <c r="E503" s="1" t="s">
        <v>21</v>
      </c>
    </row>
    <row r="504">
      <c r="A504" s="1" t="s">
        <v>1053</v>
      </c>
      <c r="B504" s="1" t="s">
        <v>1054</v>
      </c>
      <c r="C504" s="1" t="s">
        <v>141</v>
      </c>
      <c r="D504" s="2">
        <f>+251922266725</f>
        <v>251922266725</v>
      </c>
      <c r="E504" s="1" t="s">
        <v>21</v>
      </c>
    </row>
    <row r="505">
      <c r="A505" s="1" t="s">
        <v>1057</v>
      </c>
      <c r="B505" s="1" t="s">
        <v>1058</v>
      </c>
      <c r="C505" s="1" t="s">
        <v>1059</v>
      </c>
      <c r="D505" s="1">
        <v>9.96913437E8</v>
      </c>
      <c r="E505" s="1" t="s">
        <v>21</v>
      </c>
    </row>
    <row r="506">
      <c r="A506" s="1" t="s">
        <v>1060</v>
      </c>
      <c r="B506" s="1" t="s">
        <v>1061</v>
      </c>
      <c r="C506" s="1" t="s">
        <v>1062</v>
      </c>
      <c r="D506" s="2">
        <f>+251918072093</f>
        <v>251918072093</v>
      </c>
      <c r="E506" s="1" t="s">
        <v>21</v>
      </c>
    </row>
    <row r="507">
      <c r="A507" s="1" t="s">
        <v>1065</v>
      </c>
      <c r="B507" s="1" t="s">
        <v>1066</v>
      </c>
      <c r="C507" s="1" t="s">
        <v>741</v>
      </c>
      <c r="D507" s="2">
        <f>+251974978807</f>
        <v>251974978807</v>
      </c>
      <c r="E507" s="1" t="s">
        <v>21</v>
      </c>
    </row>
    <row r="508">
      <c r="A508" s="1" t="s">
        <v>1070</v>
      </c>
      <c r="B508" s="1" t="s">
        <v>458</v>
      </c>
      <c r="C508" s="1" t="s">
        <v>181</v>
      </c>
      <c r="D508" s="2">
        <f>+251911773613</f>
        <v>251911773613</v>
      </c>
      <c r="E508" s="1" t="s">
        <v>21</v>
      </c>
    </row>
    <row r="509">
      <c r="A509" s="1" t="s">
        <v>1071</v>
      </c>
      <c r="B509" s="1" t="s">
        <v>1072</v>
      </c>
      <c r="C509" s="1" t="s">
        <v>812</v>
      </c>
      <c r="D509" s="2">
        <f>+251986136990</f>
        <v>251986136990</v>
      </c>
      <c r="E509" s="1" t="s">
        <v>21</v>
      </c>
    </row>
    <row r="510">
      <c r="A510" s="1" t="s">
        <v>1073</v>
      </c>
      <c r="B510" s="1" t="s">
        <v>458</v>
      </c>
      <c r="C510" s="1" t="s">
        <v>1074</v>
      </c>
      <c r="D510" s="2">
        <f>+251900643679</f>
        <v>251900643679</v>
      </c>
      <c r="E510" s="1" t="s">
        <v>21</v>
      </c>
    </row>
    <row r="511">
      <c r="A511" s="1" t="s">
        <v>1078</v>
      </c>
      <c r="B511" s="1" t="s">
        <v>384</v>
      </c>
      <c r="C511" s="1" t="s">
        <v>1079</v>
      </c>
      <c r="D511" s="2">
        <f>+251941230136</f>
        <v>251941230136</v>
      </c>
      <c r="E511" s="1" t="s">
        <v>21</v>
      </c>
    </row>
    <row r="512">
      <c r="A512" s="1" t="s">
        <v>1080</v>
      </c>
      <c r="B512" s="1" t="s">
        <v>294</v>
      </c>
      <c r="C512" s="1" t="s">
        <v>1081</v>
      </c>
      <c r="D512" s="2">
        <f>+251913566234</f>
        <v>251913566234</v>
      </c>
      <c r="E512" s="1" t="s">
        <v>21</v>
      </c>
    </row>
    <row r="513">
      <c r="A513" s="1" t="s">
        <v>1085</v>
      </c>
      <c r="B513" s="1" t="s">
        <v>1086</v>
      </c>
      <c r="C513" s="1" t="s">
        <v>149</v>
      </c>
      <c r="D513" s="2">
        <f>+251904801305</f>
        <v>251904801305</v>
      </c>
      <c r="E513" s="1" t="s">
        <v>21</v>
      </c>
    </row>
    <row r="514">
      <c r="A514" s="1" t="s">
        <v>1087</v>
      </c>
      <c r="B514" s="1" t="s">
        <v>1088</v>
      </c>
      <c r="C514" s="1" t="s">
        <v>1069</v>
      </c>
      <c r="D514" s="2">
        <f>+251934425259</f>
        <v>251934425259</v>
      </c>
      <c r="E514" s="1" t="s">
        <v>21</v>
      </c>
    </row>
    <row r="515">
      <c r="A515" s="1" t="s">
        <v>1089</v>
      </c>
      <c r="B515" s="1" t="s">
        <v>264</v>
      </c>
      <c r="C515" s="1" t="s">
        <v>1090</v>
      </c>
      <c r="D515" s="2">
        <f>+251973053816</f>
        <v>251973053816</v>
      </c>
      <c r="E515" s="1" t="s">
        <v>21</v>
      </c>
    </row>
    <row r="516">
      <c r="A516" s="1" t="s">
        <v>1091</v>
      </c>
      <c r="B516" s="1" t="s">
        <v>367</v>
      </c>
      <c r="C516" s="1" t="s">
        <v>1092</v>
      </c>
      <c r="D516" s="2">
        <f>+251931565926</f>
        <v>251931565926</v>
      </c>
      <c r="E516" s="1" t="s">
        <v>21</v>
      </c>
    </row>
    <row r="517">
      <c r="A517" s="1" t="s">
        <v>1093</v>
      </c>
      <c r="B517" s="1" t="s">
        <v>1094</v>
      </c>
      <c r="C517" s="1" t="s">
        <v>149</v>
      </c>
      <c r="D517" s="2">
        <f>+251968729313</f>
        <v>251968729313</v>
      </c>
      <c r="E517" s="1" t="s">
        <v>21</v>
      </c>
    </row>
    <row r="518">
      <c r="A518" s="1" t="s">
        <v>1095</v>
      </c>
      <c r="B518" s="1" t="s">
        <v>1068</v>
      </c>
      <c r="C518" s="1" t="s">
        <v>1096</v>
      </c>
      <c r="D518" s="2">
        <f>+251956548443</f>
        <v>251956548443</v>
      </c>
      <c r="E518" s="1" t="s">
        <v>21</v>
      </c>
    </row>
    <row r="519">
      <c r="A519" s="1" t="s">
        <v>1097</v>
      </c>
      <c r="B519" s="1" t="s">
        <v>1098</v>
      </c>
      <c r="C519" s="1" t="s">
        <v>625</v>
      </c>
      <c r="D519" s="2">
        <f>+251907315145</f>
        <v>251907315145</v>
      </c>
      <c r="E519" s="1" t="s">
        <v>21</v>
      </c>
    </row>
    <row r="520">
      <c r="A520" s="1" t="s">
        <v>1099</v>
      </c>
      <c r="B520" s="1" t="s">
        <v>1100</v>
      </c>
      <c r="C520" s="1" t="s">
        <v>1101</v>
      </c>
      <c r="D520" s="2">
        <f>+251973997714</f>
        <v>251973997714</v>
      </c>
      <c r="E520" s="1" t="s">
        <v>21</v>
      </c>
    </row>
    <row r="521">
      <c r="A521" s="1" t="s">
        <v>1104</v>
      </c>
      <c r="B521" s="1" t="s">
        <v>1105</v>
      </c>
      <c r="C521" s="1" t="s">
        <v>313</v>
      </c>
      <c r="D521" s="2">
        <f>+251965791704</f>
        <v>251965791704</v>
      </c>
      <c r="E521" s="1" t="s">
        <v>21</v>
      </c>
    </row>
    <row r="522">
      <c r="A522" s="1" t="s">
        <v>1106</v>
      </c>
      <c r="B522" s="1" t="s">
        <v>424</v>
      </c>
      <c r="C522" s="1" t="s">
        <v>1107</v>
      </c>
      <c r="D522" s="2">
        <f>+251910420021</f>
        <v>251910420021</v>
      </c>
      <c r="E522" s="1" t="s">
        <v>21</v>
      </c>
    </row>
    <row r="523">
      <c r="A523" s="1" t="s">
        <v>1111</v>
      </c>
      <c r="B523" s="1" t="s">
        <v>517</v>
      </c>
      <c r="C523" s="1" t="s">
        <v>1112</v>
      </c>
      <c r="D523" s="2">
        <f>+251945020129</f>
        <v>251945020129</v>
      </c>
      <c r="E523" s="1" t="s">
        <v>21</v>
      </c>
    </row>
    <row r="524">
      <c r="A524" s="1" t="s">
        <v>1113</v>
      </c>
      <c r="B524" s="1" t="s">
        <v>141</v>
      </c>
      <c r="C524" s="1" t="s">
        <v>1114</v>
      </c>
      <c r="D524" s="2">
        <f>+251932282275</f>
        <v>251932282275</v>
      </c>
      <c r="E524" s="1" t="s">
        <v>21</v>
      </c>
    </row>
    <row r="525">
      <c r="A525" s="1" t="s">
        <v>1115</v>
      </c>
      <c r="B525" s="1" t="s">
        <v>500</v>
      </c>
      <c r="C525" s="1" t="s">
        <v>1116</v>
      </c>
      <c r="D525" s="2">
        <f>+251996797774</f>
        <v>251996797774</v>
      </c>
      <c r="E525" s="1" t="s">
        <v>21</v>
      </c>
    </row>
    <row r="526">
      <c r="A526" s="1" t="s">
        <v>1117</v>
      </c>
      <c r="B526" s="1" t="s">
        <v>1118</v>
      </c>
      <c r="C526" s="1" t="s">
        <v>715</v>
      </c>
      <c r="D526" s="2">
        <f>+251947126176</f>
        <v>251947126176</v>
      </c>
      <c r="E526" s="1" t="s">
        <v>21</v>
      </c>
    </row>
    <row r="527">
      <c r="A527" s="1" t="s">
        <v>1119</v>
      </c>
      <c r="B527" s="1" t="s">
        <v>1120</v>
      </c>
      <c r="C527" s="1" t="s">
        <v>39</v>
      </c>
      <c r="D527" s="2">
        <f>+251967467842</f>
        <v>251967467842</v>
      </c>
      <c r="E527" s="1" t="s">
        <v>21</v>
      </c>
    </row>
    <row r="528">
      <c r="A528" s="1" t="s">
        <v>1123</v>
      </c>
      <c r="B528" s="1" t="s">
        <v>373</v>
      </c>
      <c r="C528" s="1" t="s">
        <v>433</v>
      </c>
      <c r="D528" s="2">
        <f>+251908744473</f>
        <v>251908744473</v>
      </c>
      <c r="E528" s="1" t="s">
        <v>21</v>
      </c>
    </row>
    <row r="529">
      <c r="A529" s="1" t="s">
        <v>1124</v>
      </c>
      <c r="B529" s="1" t="s">
        <v>1125</v>
      </c>
      <c r="C529" s="1" t="s">
        <v>1126</v>
      </c>
      <c r="D529" s="2">
        <f>+251949338068</f>
        <v>251949338068</v>
      </c>
      <c r="E529" s="1" t="s">
        <v>21</v>
      </c>
    </row>
    <row r="530">
      <c r="A530" s="1" t="s">
        <v>1127</v>
      </c>
      <c r="B530" s="1" t="s">
        <v>1128</v>
      </c>
      <c r="C530" s="1" t="s">
        <v>839</v>
      </c>
      <c r="D530" s="2">
        <f>+251966462684</f>
        <v>251966462684</v>
      </c>
      <c r="E530" s="1" t="s">
        <v>21</v>
      </c>
    </row>
    <row r="531">
      <c r="A531" s="1" t="s">
        <v>1134</v>
      </c>
      <c r="B531" s="1" t="s">
        <v>1135</v>
      </c>
      <c r="C531" s="1" t="s">
        <v>948</v>
      </c>
      <c r="D531" s="2">
        <f>+251988936428</f>
        <v>251988936428</v>
      </c>
      <c r="E531" s="1" t="s">
        <v>21</v>
      </c>
    </row>
    <row r="532">
      <c r="A532" s="1" t="s">
        <v>1136</v>
      </c>
      <c r="B532" s="1" t="s">
        <v>1137</v>
      </c>
      <c r="C532" s="1" t="s">
        <v>338</v>
      </c>
      <c r="D532" s="2">
        <f>+251978075392</f>
        <v>251978075392</v>
      </c>
      <c r="E532" s="1" t="s">
        <v>21</v>
      </c>
    </row>
    <row r="533">
      <c r="A533" s="1" t="s">
        <v>1140</v>
      </c>
      <c r="B533" s="1" t="s">
        <v>1141</v>
      </c>
      <c r="C533" s="1" t="s">
        <v>1142</v>
      </c>
      <c r="D533" s="2">
        <f>+251985407242</f>
        <v>251985407242</v>
      </c>
      <c r="E533" s="1" t="s">
        <v>21</v>
      </c>
    </row>
    <row r="534">
      <c r="A534" s="1" t="s">
        <v>1145</v>
      </c>
      <c r="B534" s="1" t="s">
        <v>1146</v>
      </c>
      <c r="C534" s="1" t="s">
        <v>141</v>
      </c>
      <c r="D534" s="2">
        <f>+251934086836</f>
        <v>251934086836</v>
      </c>
      <c r="E534" s="1" t="s">
        <v>21</v>
      </c>
    </row>
    <row r="535">
      <c r="A535" s="1" t="s">
        <v>1147</v>
      </c>
      <c r="B535" s="1" t="s">
        <v>1148</v>
      </c>
      <c r="C535" s="1" t="s">
        <v>1149</v>
      </c>
      <c r="D535" s="1">
        <v>9.73331458E8</v>
      </c>
      <c r="E535" s="1" t="s">
        <v>21</v>
      </c>
    </row>
    <row r="536">
      <c r="A536" s="1" t="s">
        <v>1150</v>
      </c>
      <c r="B536" s="1" t="s">
        <v>750</v>
      </c>
      <c r="C536" s="1" t="s">
        <v>137</v>
      </c>
      <c r="D536" s="2">
        <f>+251912623018</f>
        <v>251912623018</v>
      </c>
      <c r="E536" s="1" t="s">
        <v>21</v>
      </c>
    </row>
    <row r="537">
      <c r="A537" s="1" t="s">
        <v>1151</v>
      </c>
      <c r="B537" s="1" t="s">
        <v>294</v>
      </c>
      <c r="C537" s="1" t="s">
        <v>1152</v>
      </c>
      <c r="D537" s="2">
        <f>+251941917486</f>
        <v>251941917486</v>
      </c>
      <c r="E537" s="1" t="s">
        <v>21</v>
      </c>
    </row>
    <row r="538">
      <c r="A538" s="1" t="s">
        <v>1153</v>
      </c>
      <c r="B538" s="1" t="s">
        <v>154</v>
      </c>
      <c r="C538" s="1" t="s">
        <v>1064</v>
      </c>
      <c r="D538" s="2">
        <f>+251907340078</f>
        <v>251907340078</v>
      </c>
      <c r="E538" s="1" t="s">
        <v>21</v>
      </c>
    </row>
    <row r="539">
      <c r="A539" s="1" t="s">
        <v>1154</v>
      </c>
      <c r="B539" s="1" t="s">
        <v>751</v>
      </c>
      <c r="C539" s="1" t="s">
        <v>1155</v>
      </c>
      <c r="D539" s="2">
        <f>+251943455363</f>
        <v>251943455363</v>
      </c>
      <c r="E539" s="1" t="s">
        <v>21</v>
      </c>
    </row>
    <row r="540">
      <c r="A540" s="1" t="s">
        <v>1159</v>
      </c>
      <c r="B540" s="1" t="s">
        <v>1160</v>
      </c>
      <c r="C540" s="1" t="s">
        <v>1161</v>
      </c>
      <c r="D540" s="2">
        <f>+251945305180</f>
        <v>251945305180</v>
      </c>
      <c r="E540" s="1" t="s">
        <v>21</v>
      </c>
    </row>
    <row r="541">
      <c r="A541" s="1" t="s">
        <v>1165</v>
      </c>
      <c r="B541" s="1" t="s">
        <v>1166</v>
      </c>
      <c r="C541" s="1" t="s">
        <v>1167</v>
      </c>
      <c r="D541" s="2">
        <f>+251904019460</f>
        <v>251904019460</v>
      </c>
      <c r="E541" s="1" t="s">
        <v>21</v>
      </c>
    </row>
    <row r="542">
      <c r="A542" s="1" t="s">
        <v>1182</v>
      </c>
      <c r="B542" s="1" t="s">
        <v>944</v>
      </c>
      <c r="C542" s="1" t="s">
        <v>213</v>
      </c>
      <c r="D542" s="2">
        <f>+251939214704</f>
        <v>251939214704</v>
      </c>
      <c r="E542" s="1" t="s">
        <v>21</v>
      </c>
    </row>
    <row r="543">
      <c r="A543" s="1" t="s">
        <v>1183</v>
      </c>
      <c r="B543" s="1" t="s">
        <v>194</v>
      </c>
      <c r="C543" s="1" t="s">
        <v>361</v>
      </c>
      <c r="D543" s="2">
        <f>+251982536419</f>
        <v>251982536419</v>
      </c>
      <c r="E543" s="1" t="s">
        <v>21</v>
      </c>
    </row>
    <row r="544">
      <c r="A544" s="1" t="s">
        <v>1184</v>
      </c>
      <c r="B544" s="1" t="s">
        <v>437</v>
      </c>
      <c r="C544" s="1" t="s">
        <v>1185</v>
      </c>
      <c r="D544" s="2">
        <f>+251939969702</f>
        <v>251939969702</v>
      </c>
      <c r="E544" s="1" t="s">
        <v>21</v>
      </c>
    </row>
    <row r="545">
      <c r="A545" s="1" t="s">
        <v>1189</v>
      </c>
      <c r="B545" s="1" t="s">
        <v>627</v>
      </c>
      <c r="C545" s="1" t="s">
        <v>1190</v>
      </c>
      <c r="D545" s="2">
        <f>+251989822789</f>
        <v>251989822789</v>
      </c>
      <c r="E545" s="1" t="s">
        <v>21</v>
      </c>
    </row>
    <row r="546">
      <c r="A546" s="1" t="s">
        <v>1194</v>
      </c>
      <c r="B546" s="1" t="s">
        <v>1195</v>
      </c>
      <c r="C546" s="1" t="s">
        <v>1196</v>
      </c>
      <c r="D546" s="2">
        <f>+251966731122</f>
        <v>251966731122</v>
      </c>
      <c r="E546" s="1" t="s">
        <v>21</v>
      </c>
    </row>
    <row r="547">
      <c r="A547" s="1" t="s">
        <v>1198</v>
      </c>
      <c r="B547" s="1" t="s">
        <v>67</v>
      </c>
      <c r="C547" s="1" t="s">
        <v>1199</v>
      </c>
      <c r="D547" s="2">
        <f>+251910163193</f>
        <v>251910163193</v>
      </c>
      <c r="E547" s="1" t="s">
        <v>21</v>
      </c>
    </row>
    <row r="548">
      <c r="A548" s="1" t="s">
        <v>1200</v>
      </c>
      <c r="B548" s="1" t="s">
        <v>503</v>
      </c>
      <c r="C548" s="1" t="s">
        <v>1094</v>
      </c>
      <c r="D548" s="2">
        <f>+251924858899</f>
        <v>251924858899</v>
      </c>
      <c r="E548" s="1" t="s">
        <v>21</v>
      </c>
    </row>
    <row r="549">
      <c r="A549" s="1" t="s">
        <v>1205</v>
      </c>
      <c r="B549" s="1" t="s">
        <v>1206</v>
      </c>
      <c r="C549" s="1" t="s">
        <v>1207</v>
      </c>
      <c r="D549" s="2">
        <f>+251992798771</f>
        <v>251992798771</v>
      </c>
      <c r="E549" s="1" t="s">
        <v>21</v>
      </c>
    </row>
    <row r="550">
      <c r="A550" s="1" t="s">
        <v>1216</v>
      </c>
      <c r="B550" s="1" t="s">
        <v>129</v>
      </c>
      <c r="C550" s="1" t="s">
        <v>213</v>
      </c>
      <c r="D550" s="2">
        <f>+251911064717</f>
        <v>251911064717</v>
      </c>
      <c r="E550" s="1" t="s">
        <v>21</v>
      </c>
    </row>
    <row r="551">
      <c r="A551" s="1" t="s">
        <v>1217</v>
      </c>
      <c r="B551" s="1" t="s">
        <v>141</v>
      </c>
      <c r="C551" s="1" t="s">
        <v>91</v>
      </c>
      <c r="D551" s="2">
        <f>+251941565157</f>
        <v>251941565157</v>
      </c>
      <c r="E551" s="1" t="s">
        <v>21</v>
      </c>
    </row>
    <row r="552">
      <c r="A552" s="1" t="s">
        <v>1218</v>
      </c>
      <c r="B552" s="1" t="s">
        <v>213</v>
      </c>
      <c r="C552" s="1" t="s">
        <v>303</v>
      </c>
      <c r="D552" s="2">
        <f>+251943068306</f>
        <v>251943068306</v>
      </c>
      <c r="E552" s="1" t="s">
        <v>21</v>
      </c>
    </row>
    <row r="553">
      <c r="A553" s="1" t="s">
        <v>1221</v>
      </c>
      <c r="B553" s="1" t="s">
        <v>1222</v>
      </c>
      <c r="C553" s="1" t="s">
        <v>1223</v>
      </c>
      <c r="D553" s="2">
        <f>+251919978449</f>
        <v>251919978449</v>
      </c>
      <c r="E553" s="1" t="s">
        <v>21</v>
      </c>
    </row>
    <row r="554">
      <c r="A554" s="1" t="s">
        <v>1224</v>
      </c>
      <c r="B554" s="1" t="s">
        <v>188</v>
      </c>
      <c r="C554" s="1" t="s">
        <v>108</v>
      </c>
      <c r="D554" s="2">
        <f>+251969699980</f>
        <v>251969699980</v>
      </c>
      <c r="E554" s="1" t="s">
        <v>21</v>
      </c>
    </row>
    <row r="555">
      <c r="A555" s="1" t="s">
        <v>1225</v>
      </c>
      <c r="B555" s="1" t="s">
        <v>101</v>
      </c>
      <c r="C555" s="1" t="s">
        <v>341</v>
      </c>
      <c r="D555" s="2">
        <f>+251954530610</f>
        <v>251954530610</v>
      </c>
      <c r="E555" s="1" t="s">
        <v>21</v>
      </c>
    </row>
    <row r="556">
      <c r="A556" s="1" t="s">
        <v>1226</v>
      </c>
      <c r="B556" s="1" t="s">
        <v>204</v>
      </c>
      <c r="C556" s="1" t="s">
        <v>425</v>
      </c>
      <c r="D556" s="2">
        <f>+251945777725</f>
        <v>251945777725</v>
      </c>
      <c r="E556" s="1" t="s">
        <v>21</v>
      </c>
    </row>
    <row r="557">
      <c r="A557" s="1" t="s">
        <v>1229</v>
      </c>
      <c r="B557" s="1" t="s">
        <v>1230</v>
      </c>
      <c r="C557" s="1" t="s">
        <v>1056</v>
      </c>
      <c r="D557" s="2">
        <f>+251963634813</f>
        <v>251963634813</v>
      </c>
      <c r="E557" s="1" t="s">
        <v>21</v>
      </c>
    </row>
    <row r="558">
      <c r="A558" s="1" t="s">
        <v>1233</v>
      </c>
      <c r="B558" s="1" t="s">
        <v>1234</v>
      </c>
      <c r="C558" s="1" t="s">
        <v>1235</v>
      </c>
      <c r="D558" s="2">
        <f>+251939208863</f>
        <v>251939208863</v>
      </c>
      <c r="E558" s="1" t="s">
        <v>21</v>
      </c>
    </row>
    <row r="559">
      <c r="A559" s="1" t="s">
        <v>1236</v>
      </c>
      <c r="B559" s="1" t="s">
        <v>110</v>
      </c>
      <c r="C559" s="1" t="s">
        <v>1237</v>
      </c>
      <c r="D559" s="2">
        <f>+251930125489</f>
        <v>251930125489</v>
      </c>
      <c r="E559" s="1" t="s">
        <v>21</v>
      </c>
    </row>
    <row r="560">
      <c r="A560" s="1" t="s">
        <v>1238</v>
      </c>
      <c r="B560" s="1" t="s">
        <v>1239</v>
      </c>
      <c r="C560" s="1" t="s">
        <v>459</v>
      </c>
      <c r="D560" s="2">
        <f>+251913163232</f>
        <v>251913163232</v>
      </c>
      <c r="E560" s="1" t="s">
        <v>21</v>
      </c>
    </row>
    <row r="561">
      <c r="A561" s="1" t="s">
        <v>1240</v>
      </c>
      <c r="B561" s="1" t="s">
        <v>1068</v>
      </c>
      <c r="C561" s="1" t="s">
        <v>896</v>
      </c>
      <c r="D561" s="2">
        <f>+251937941316</f>
        <v>251937941316</v>
      </c>
      <c r="E561" s="1" t="s">
        <v>21</v>
      </c>
    </row>
    <row r="562">
      <c r="A562" s="1" t="s">
        <v>1243</v>
      </c>
      <c r="B562" s="1" t="s">
        <v>1244</v>
      </c>
      <c r="C562" s="1" t="s">
        <v>1245</v>
      </c>
      <c r="D562" s="2">
        <f>+251934437389</f>
        <v>251934437389</v>
      </c>
      <c r="E562" s="1" t="s">
        <v>21</v>
      </c>
    </row>
    <row r="563">
      <c r="A563" s="1" t="s">
        <v>1248</v>
      </c>
      <c r="B563" s="1" t="s">
        <v>844</v>
      </c>
      <c r="C563" s="1" t="s">
        <v>829</v>
      </c>
      <c r="D563" s="2">
        <f>+251943091493</f>
        <v>251943091493</v>
      </c>
      <c r="E563" s="1" t="s">
        <v>21</v>
      </c>
    </row>
    <row r="564">
      <c r="A564" s="1" t="s">
        <v>1249</v>
      </c>
      <c r="B564" s="1" t="s">
        <v>1250</v>
      </c>
      <c r="C564" s="1" t="s">
        <v>1251</v>
      </c>
      <c r="D564" s="2">
        <f>+251944194430</f>
        <v>251944194430</v>
      </c>
      <c r="E564" s="1" t="s">
        <v>21</v>
      </c>
    </row>
    <row r="565">
      <c r="A565" s="1" t="s">
        <v>1252</v>
      </c>
      <c r="B565" s="1" t="s">
        <v>1253</v>
      </c>
      <c r="C565" s="1" t="s">
        <v>1254</v>
      </c>
      <c r="D565" s="2">
        <f>+251960759400</f>
        <v>251960759400</v>
      </c>
      <c r="E565" s="1" t="s">
        <v>21</v>
      </c>
    </row>
    <row r="566">
      <c r="A566" s="1" t="s">
        <v>1255</v>
      </c>
      <c r="B566" s="1" t="s">
        <v>1256</v>
      </c>
      <c r="C566" s="1" t="s">
        <v>1257</v>
      </c>
      <c r="D566" s="2">
        <f>+251993200690</f>
        <v>251993200690</v>
      </c>
      <c r="E566" s="1" t="s">
        <v>21</v>
      </c>
    </row>
    <row r="567">
      <c r="A567" s="1" t="s">
        <v>1258</v>
      </c>
      <c r="B567" s="1" t="s">
        <v>1259</v>
      </c>
      <c r="C567" s="1" t="s">
        <v>1260</v>
      </c>
      <c r="D567" s="2">
        <f>+251973872703</f>
        <v>251973872703</v>
      </c>
      <c r="E567" s="1" t="s">
        <v>21</v>
      </c>
    </row>
    <row r="568">
      <c r="A568" s="1" t="s">
        <v>1265</v>
      </c>
      <c r="B568" s="1" t="s">
        <v>1266</v>
      </c>
      <c r="C568" s="1" t="s">
        <v>1267</v>
      </c>
      <c r="D568" s="2">
        <f>+251903110946</f>
        <v>251903110946</v>
      </c>
      <c r="E568" s="1" t="s">
        <v>21</v>
      </c>
    </row>
    <row r="569">
      <c r="A569" s="1" t="s">
        <v>1275</v>
      </c>
      <c r="B569" s="1" t="s">
        <v>1276</v>
      </c>
      <c r="C569" s="1" t="s">
        <v>141</v>
      </c>
      <c r="D569" s="2">
        <f>+251706608353</f>
        <v>251706608353</v>
      </c>
      <c r="E569" s="1" t="s">
        <v>21</v>
      </c>
    </row>
    <row r="570">
      <c r="A570" s="1" t="s">
        <v>1277</v>
      </c>
      <c r="B570" s="1" t="s">
        <v>438</v>
      </c>
      <c r="C570" s="1" t="s">
        <v>1278</v>
      </c>
      <c r="D570" s="2">
        <f>+251966000223</f>
        <v>251966000223</v>
      </c>
      <c r="E570" s="1" t="s">
        <v>21</v>
      </c>
    </row>
    <row r="571">
      <c r="A571" s="1" t="s">
        <v>1282</v>
      </c>
      <c r="B571" s="1" t="s">
        <v>1283</v>
      </c>
      <c r="C571" s="1" t="s">
        <v>1161</v>
      </c>
      <c r="D571" s="2">
        <f>+251953987869</f>
        <v>251953987869</v>
      </c>
      <c r="E571" s="1" t="s">
        <v>21</v>
      </c>
    </row>
    <row r="572">
      <c r="A572" s="1" t="s">
        <v>1286</v>
      </c>
      <c r="B572" s="1" t="s">
        <v>517</v>
      </c>
      <c r="C572" s="1" t="s">
        <v>510</v>
      </c>
      <c r="D572" s="2">
        <f>+251993943189</f>
        <v>251993943189</v>
      </c>
      <c r="E572" s="1" t="s">
        <v>21</v>
      </c>
    </row>
    <row r="573">
      <c r="A573" s="1" t="s">
        <v>1289</v>
      </c>
      <c r="B573" s="1" t="s">
        <v>545</v>
      </c>
      <c r="C573" s="1" t="s">
        <v>221</v>
      </c>
      <c r="D573" s="2">
        <f>+251913771737</f>
        <v>251913771737</v>
      </c>
      <c r="E573" s="1" t="s">
        <v>21</v>
      </c>
    </row>
    <row r="574">
      <c r="A574" s="1" t="s">
        <v>1292</v>
      </c>
      <c r="B574" s="1" t="s">
        <v>721</v>
      </c>
      <c r="C574" s="1" t="s">
        <v>1293</v>
      </c>
      <c r="D574" s="2">
        <f>+251944056736</f>
        <v>251944056736</v>
      </c>
      <c r="E574" s="1" t="s">
        <v>21</v>
      </c>
    </row>
    <row r="575">
      <c r="A575" s="1" t="s">
        <v>1294</v>
      </c>
      <c r="B575" s="1" t="s">
        <v>758</v>
      </c>
      <c r="C575" s="1" t="s">
        <v>110</v>
      </c>
      <c r="D575" s="2">
        <f>+251985082505</f>
        <v>251985082505</v>
      </c>
      <c r="E575" s="1" t="s">
        <v>21</v>
      </c>
    </row>
    <row r="576">
      <c r="A576" s="1" t="s">
        <v>1295</v>
      </c>
      <c r="B576" s="1" t="s">
        <v>1296</v>
      </c>
      <c r="C576" s="1" t="s">
        <v>189</v>
      </c>
      <c r="D576" s="2">
        <f>+251935729384</f>
        <v>251935729384</v>
      </c>
      <c r="E576" s="1" t="s">
        <v>21</v>
      </c>
    </row>
    <row r="577">
      <c r="A577" s="1" t="s">
        <v>1297</v>
      </c>
      <c r="B577" s="1" t="s">
        <v>60</v>
      </c>
      <c r="C577" s="1" t="s">
        <v>1298</v>
      </c>
      <c r="D577" s="2">
        <f>+251945510203</f>
        <v>251945510203</v>
      </c>
      <c r="E577" s="1" t="s">
        <v>21</v>
      </c>
    </row>
    <row r="578">
      <c r="A578" s="1" t="s">
        <v>1302</v>
      </c>
      <c r="B578" s="1" t="s">
        <v>1303</v>
      </c>
      <c r="C578" s="1" t="s">
        <v>1304</v>
      </c>
      <c r="D578" s="2">
        <f>+251983458865</f>
        <v>251983458865</v>
      </c>
      <c r="E578" s="1" t="s">
        <v>21</v>
      </c>
    </row>
    <row r="579">
      <c r="A579" s="1" t="s">
        <v>1308</v>
      </c>
      <c r="B579" s="1" t="s">
        <v>490</v>
      </c>
      <c r="C579" s="1" t="s">
        <v>185</v>
      </c>
      <c r="D579" s="2">
        <f>+251910518684</f>
        <v>251910518684</v>
      </c>
      <c r="E579" s="1" t="s">
        <v>21</v>
      </c>
    </row>
    <row r="580">
      <c r="A580" s="1" t="s">
        <v>1313</v>
      </c>
      <c r="B580" s="1" t="s">
        <v>123</v>
      </c>
      <c r="C580" s="1" t="s">
        <v>1314</v>
      </c>
      <c r="D580" s="1">
        <v>9.39732711E8</v>
      </c>
      <c r="E580" s="1" t="s">
        <v>21</v>
      </c>
    </row>
    <row r="581">
      <c r="A581" s="1" t="s">
        <v>1315</v>
      </c>
      <c r="B581" s="1" t="s">
        <v>1312</v>
      </c>
      <c r="C581" s="1" t="s">
        <v>1092</v>
      </c>
      <c r="D581" s="2">
        <f>+251988135756</f>
        <v>251988135756</v>
      </c>
      <c r="E581" s="1" t="s">
        <v>21</v>
      </c>
    </row>
    <row r="582">
      <c r="A582" s="1" t="s">
        <v>1316</v>
      </c>
      <c r="B582" s="1" t="s">
        <v>1317</v>
      </c>
      <c r="C582" s="1" t="s">
        <v>1318</v>
      </c>
      <c r="D582" s="2">
        <f>+251951776042</f>
        <v>251951776042</v>
      </c>
      <c r="E582" s="1" t="s">
        <v>21</v>
      </c>
    </row>
    <row r="583">
      <c r="A583" s="1" t="s">
        <v>1319</v>
      </c>
      <c r="B583" s="1" t="s">
        <v>1068</v>
      </c>
      <c r="C583" s="1" t="s">
        <v>627</v>
      </c>
      <c r="D583" s="2">
        <f>+251989992409</f>
        <v>251989992409</v>
      </c>
      <c r="E583" s="1" t="s">
        <v>21</v>
      </c>
    </row>
    <row r="584">
      <c r="A584" s="1" t="s">
        <v>1320</v>
      </c>
      <c r="B584" s="1" t="s">
        <v>993</v>
      </c>
      <c r="C584" s="1" t="s">
        <v>1321</v>
      </c>
      <c r="D584" s="2">
        <f>+251953147324</f>
        <v>251953147324</v>
      </c>
      <c r="E584" s="1" t="s">
        <v>21</v>
      </c>
    </row>
    <row r="585">
      <c r="A585" s="1" t="s">
        <v>1322</v>
      </c>
      <c r="B585" s="1" t="s">
        <v>1323</v>
      </c>
      <c r="C585" s="1" t="s">
        <v>189</v>
      </c>
      <c r="D585" s="2">
        <f>+251947410387</f>
        <v>251947410387</v>
      </c>
      <c r="E585" s="1" t="s">
        <v>21</v>
      </c>
    </row>
    <row r="586">
      <c r="A586" s="1" t="s">
        <v>1324</v>
      </c>
      <c r="B586" s="1" t="s">
        <v>1325</v>
      </c>
      <c r="C586" s="1" t="s">
        <v>1326</v>
      </c>
      <c r="D586" s="2">
        <f>+251996312524</f>
        <v>251996312524</v>
      </c>
      <c r="E586" s="1" t="s">
        <v>21</v>
      </c>
    </row>
    <row r="587">
      <c r="A587" s="1" t="s">
        <v>1327</v>
      </c>
      <c r="B587" s="1" t="s">
        <v>333</v>
      </c>
      <c r="C587" s="1" t="s">
        <v>1328</v>
      </c>
      <c r="D587" s="2">
        <f>+251975360713</f>
        <v>251975360713</v>
      </c>
      <c r="E587" s="1" t="s">
        <v>21</v>
      </c>
    </row>
    <row r="588">
      <c r="A588" s="1" t="s">
        <v>1329</v>
      </c>
      <c r="B588" s="1" t="s">
        <v>157</v>
      </c>
      <c r="C588" s="1" t="s">
        <v>1330</v>
      </c>
      <c r="D588" s="2">
        <f>+251920294603</f>
        <v>251920294603</v>
      </c>
      <c r="E588" s="1" t="s">
        <v>21</v>
      </c>
    </row>
    <row r="589">
      <c r="A589" s="1" t="s">
        <v>1331</v>
      </c>
      <c r="B589" s="1" t="s">
        <v>1332</v>
      </c>
      <c r="C589" s="1" t="s">
        <v>1333</v>
      </c>
      <c r="D589" s="2">
        <f>+251968436120</f>
        <v>251968436120</v>
      </c>
      <c r="E589" s="1" t="s">
        <v>21</v>
      </c>
    </row>
    <row r="590">
      <c r="A590" s="1" t="s">
        <v>1334</v>
      </c>
      <c r="B590" s="1" t="s">
        <v>1303</v>
      </c>
      <c r="C590" s="1" t="s">
        <v>1335</v>
      </c>
      <c r="D590" s="2">
        <f>+251991968686</f>
        <v>251991968686</v>
      </c>
      <c r="E590" s="1" t="s">
        <v>21</v>
      </c>
    </row>
    <row r="591">
      <c r="A591" s="1" t="s">
        <v>1336</v>
      </c>
      <c r="B591" s="1" t="s">
        <v>1337</v>
      </c>
      <c r="C591" s="1" t="s">
        <v>1338</v>
      </c>
      <c r="D591" s="2">
        <f>+251917017368</f>
        <v>251917017368</v>
      </c>
      <c r="E591" s="1" t="s">
        <v>21</v>
      </c>
    </row>
    <row r="592">
      <c r="A592" s="1" t="s">
        <v>1339</v>
      </c>
      <c r="B592" s="1" t="s">
        <v>1340</v>
      </c>
      <c r="C592" s="1" t="s">
        <v>1341</v>
      </c>
      <c r="D592" s="2">
        <f>+251923344022</f>
        <v>251923344022</v>
      </c>
      <c r="E592" s="1" t="s">
        <v>21</v>
      </c>
    </row>
    <row r="593">
      <c r="A593" s="1" t="s">
        <v>1342</v>
      </c>
      <c r="B593" s="1" t="s">
        <v>1343</v>
      </c>
      <c r="C593" s="1" t="s">
        <v>1343</v>
      </c>
      <c r="D593" s="2">
        <f>+251937848785</f>
        <v>251937848785</v>
      </c>
      <c r="E593" s="1" t="s">
        <v>21</v>
      </c>
    </row>
    <row r="594">
      <c r="A594" s="1" t="s">
        <v>1349</v>
      </c>
      <c r="B594" s="1" t="s">
        <v>1350</v>
      </c>
      <c r="C594" s="1" t="s">
        <v>108</v>
      </c>
      <c r="D594" s="2">
        <f>+251903661500</f>
        <v>251903661500</v>
      </c>
      <c r="E594" s="1" t="s">
        <v>21</v>
      </c>
    </row>
    <row r="595">
      <c r="A595" s="1" t="s">
        <v>1351</v>
      </c>
      <c r="B595" s="1" t="s">
        <v>116</v>
      </c>
      <c r="C595" s="1" t="s">
        <v>1352</v>
      </c>
      <c r="D595" s="2">
        <f>+251923423044</f>
        <v>251923423044</v>
      </c>
      <c r="E595" s="1" t="s">
        <v>21</v>
      </c>
    </row>
    <row r="596">
      <c r="A596" s="1" t="s">
        <v>1357</v>
      </c>
      <c r="B596" s="1" t="s">
        <v>1358</v>
      </c>
      <c r="C596" s="1" t="s">
        <v>430</v>
      </c>
      <c r="D596" s="2">
        <f>+251945228200</f>
        <v>251945228200</v>
      </c>
      <c r="E596" s="1" t="s">
        <v>21</v>
      </c>
    </row>
    <row r="597">
      <c r="A597" s="1" t="s">
        <v>1362</v>
      </c>
      <c r="B597" s="1" t="s">
        <v>517</v>
      </c>
      <c r="C597" s="1" t="s">
        <v>1363</v>
      </c>
      <c r="D597" s="2">
        <f>+251913041325</f>
        <v>251913041325</v>
      </c>
      <c r="E597" s="1" t="s">
        <v>21</v>
      </c>
    </row>
    <row r="598">
      <c r="A598" s="1" t="s">
        <v>1364</v>
      </c>
      <c r="B598" s="1" t="s">
        <v>758</v>
      </c>
      <c r="C598" s="1" t="s">
        <v>1365</v>
      </c>
      <c r="D598" s="2">
        <f>+251900195452</f>
        <v>251900195452</v>
      </c>
      <c r="E598" s="1" t="s">
        <v>21</v>
      </c>
    </row>
    <row r="599">
      <c r="A599" s="1" t="s">
        <v>1367</v>
      </c>
      <c r="B599" s="1" t="s">
        <v>1368</v>
      </c>
      <c r="C599" s="1" t="s">
        <v>1369</v>
      </c>
      <c r="D599" s="2">
        <f>+251960837615</f>
        <v>251960837615</v>
      </c>
      <c r="E599" s="1" t="s">
        <v>21</v>
      </c>
    </row>
    <row r="600">
      <c r="A600" s="1" t="s">
        <v>1372</v>
      </c>
      <c r="B600" s="1" t="s">
        <v>1373</v>
      </c>
      <c r="C600" s="1" t="s">
        <v>1374</v>
      </c>
      <c r="D600" s="2">
        <f>+251908080912</f>
        <v>251908080912</v>
      </c>
      <c r="E600" s="1" t="s">
        <v>21</v>
      </c>
    </row>
    <row r="601">
      <c r="A601" s="1" t="s">
        <v>1375</v>
      </c>
      <c r="B601" s="1" t="s">
        <v>141</v>
      </c>
      <c r="C601" s="1" t="s">
        <v>1376</v>
      </c>
      <c r="D601" s="2">
        <f>+251979019271</f>
        <v>251979019271</v>
      </c>
      <c r="E601" s="1" t="s">
        <v>21</v>
      </c>
    </row>
    <row r="602">
      <c r="A602" s="1" t="s">
        <v>1377</v>
      </c>
      <c r="B602" s="1" t="s">
        <v>1035</v>
      </c>
      <c r="C602" s="1" t="s">
        <v>847</v>
      </c>
      <c r="D602" s="2">
        <f>+251935492949</f>
        <v>251935492949</v>
      </c>
      <c r="E602" s="1" t="s">
        <v>21</v>
      </c>
    </row>
    <row r="603">
      <c r="A603" s="1" t="s">
        <v>1384</v>
      </c>
      <c r="B603" s="1" t="s">
        <v>1385</v>
      </c>
      <c r="C603" s="1" t="s">
        <v>1386</v>
      </c>
      <c r="D603" s="2">
        <f>+251937563953</f>
        <v>251937563953</v>
      </c>
      <c r="E603" s="1" t="s">
        <v>21</v>
      </c>
    </row>
    <row r="604">
      <c r="A604" s="1" t="s">
        <v>1387</v>
      </c>
      <c r="B604" s="1" t="s">
        <v>1388</v>
      </c>
      <c r="C604" s="1" t="s">
        <v>1389</v>
      </c>
      <c r="D604" s="2">
        <f>+251918763378</f>
        <v>251918763378</v>
      </c>
      <c r="E604" s="1" t="s">
        <v>21</v>
      </c>
    </row>
    <row r="605">
      <c r="A605" s="1" t="s">
        <v>1390</v>
      </c>
      <c r="B605" s="1" t="s">
        <v>91</v>
      </c>
      <c r="C605" s="1" t="s">
        <v>1391</v>
      </c>
      <c r="D605" s="2">
        <f>+251900978705</f>
        <v>251900978705</v>
      </c>
      <c r="E605" s="1" t="s">
        <v>21</v>
      </c>
    </row>
    <row r="606">
      <c r="A606" s="1" t="s">
        <v>1392</v>
      </c>
      <c r="B606" s="1" t="s">
        <v>1393</v>
      </c>
      <c r="C606" s="1" t="s">
        <v>1394</v>
      </c>
      <c r="D606" s="1">
        <v>9.55057242E8</v>
      </c>
      <c r="E606" s="1" t="s">
        <v>21</v>
      </c>
    </row>
    <row r="607">
      <c r="A607" s="1" t="s">
        <v>1395</v>
      </c>
      <c r="B607" s="1" t="s">
        <v>1396</v>
      </c>
      <c r="C607" s="1" t="s">
        <v>92</v>
      </c>
      <c r="D607" s="2">
        <f>+251905689938</f>
        <v>251905689938</v>
      </c>
      <c r="E607" s="1" t="s">
        <v>21</v>
      </c>
    </row>
    <row r="608">
      <c r="A608" s="1" t="s">
        <v>1397</v>
      </c>
      <c r="B608" s="1" t="s">
        <v>1398</v>
      </c>
      <c r="C608" s="1" t="s">
        <v>1185</v>
      </c>
      <c r="D608" s="2">
        <f>+251983160036</f>
        <v>251983160036</v>
      </c>
      <c r="E608" s="1" t="s">
        <v>21</v>
      </c>
    </row>
    <row r="609">
      <c r="A609" s="1" t="s">
        <v>1400</v>
      </c>
      <c r="B609" s="1" t="s">
        <v>188</v>
      </c>
      <c r="C609" s="1" t="s">
        <v>1000</v>
      </c>
      <c r="D609" s="2">
        <f>+1973110596</f>
        <v>1973110596</v>
      </c>
      <c r="E609" s="1" t="s">
        <v>21</v>
      </c>
    </row>
    <row r="610">
      <c r="A610" s="1" t="s">
        <v>1401</v>
      </c>
      <c r="B610" s="1" t="s">
        <v>1402</v>
      </c>
      <c r="C610" s="1" t="s">
        <v>1403</v>
      </c>
      <c r="D610" s="2">
        <f>+25190967463525</f>
        <v>25190967463525</v>
      </c>
      <c r="E610" s="1" t="s">
        <v>21</v>
      </c>
    </row>
    <row r="611">
      <c r="A611" s="1" t="s">
        <v>1404</v>
      </c>
      <c r="B611" s="1" t="s">
        <v>1405</v>
      </c>
      <c r="C611" s="1" t="s">
        <v>1321</v>
      </c>
      <c r="D611" s="2">
        <f>+251941877058</f>
        <v>251941877058</v>
      </c>
      <c r="E611" s="1" t="s">
        <v>21</v>
      </c>
    </row>
    <row r="612">
      <c r="A612" s="1" t="s">
        <v>1408</v>
      </c>
      <c r="B612" s="1" t="s">
        <v>1409</v>
      </c>
      <c r="C612" s="1" t="s">
        <v>258</v>
      </c>
      <c r="D612" s="2">
        <f>+251953496727</f>
        <v>251953496727</v>
      </c>
      <c r="E612" s="1" t="s">
        <v>21</v>
      </c>
    </row>
    <row r="613">
      <c r="A613" s="1" t="s">
        <v>1411</v>
      </c>
      <c r="B613" s="1" t="s">
        <v>1412</v>
      </c>
      <c r="C613" s="1" t="s">
        <v>1413</v>
      </c>
      <c r="D613" s="2">
        <f>+251931049191</f>
        <v>251931049191</v>
      </c>
      <c r="E613" s="1" t="s">
        <v>21</v>
      </c>
    </row>
    <row r="614">
      <c r="A614" s="1" t="s">
        <v>1414</v>
      </c>
      <c r="B614" s="1" t="s">
        <v>510</v>
      </c>
      <c r="C614" s="1" t="s">
        <v>29</v>
      </c>
      <c r="D614" s="2">
        <f>+251907735469</f>
        <v>251907735469</v>
      </c>
      <c r="E614" s="1" t="s">
        <v>21</v>
      </c>
    </row>
    <row r="615">
      <c r="A615" s="1" t="s">
        <v>1415</v>
      </c>
      <c r="B615" s="1" t="s">
        <v>1416</v>
      </c>
      <c r="C615" s="1" t="s">
        <v>1417</v>
      </c>
      <c r="D615" s="2">
        <f>+251935443209</f>
        <v>251935443209</v>
      </c>
      <c r="E615" s="1" t="s">
        <v>21</v>
      </c>
    </row>
    <row r="616">
      <c r="A616" s="1" t="s">
        <v>1419</v>
      </c>
      <c r="B616" s="1" t="s">
        <v>60</v>
      </c>
      <c r="C616" s="1" t="s">
        <v>1420</v>
      </c>
      <c r="D616" s="2">
        <f>+251942671257</f>
        <v>251942671257</v>
      </c>
      <c r="E616" s="1" t="s">
        <v>21</v>
      </c>
    </row>
    <row r="617">
      <c r="A617" s="1" t="s">
        <v>1422</v>
      </c>
      <c r="B617" s="1" t="s">
        <v>240</v>
      </c>
      <c r="C617" s="1" t="s">
        <v>1423</v>
      </c>
      <c r="D617" s="2">
        <f>+251967947857</f>
        <v>251967947857</v>
      </c>
      <c r="E617" s="1" t="s">
        <v>21</v>
      </c>
    </row>
    <row r="618">
      <c r="A618" s="1" t="s">
        <v>1425</v>
      </c>
      <c r="B618" s="1" t="s">
        <v>1426</v>
      </c>
      <c r="C618" s="1" t="s">
        <v>1077</v>
      </c>
      <c r="D618" s="2">
        <f>+251919757356</f>
        <v>251919757356</v>
      </c>
      <c r="E618" s="1" t="s">
        <v>21</v>
      </c>
    </row>
    <row r="619">
      <c r="A619" s="1" t="s">
        <v>1427</v>
      </c>
      <c r="B619" s="1" t="s">
        <v>1428</v>
      </c>
      <c r="C619" s="1" t="s">
        <v>500</v>
      </c>
      <c r="D619" s="2">
        <f>+251909841480</f>
        <v>251909841480</v>
      </c>
      <c r="E619" s="1" t="s">
        <v>21</v>
      </c>
    </row>
    <row r="620">
      <c r="A620" s="1" t="s">
        <v>1434</v>
      </c>
      <c r="B620" s="1" t="s">
        <v>1435</v>
      </c>
      <c r="C620" s="1" t="s">
        <v>1436</v>
      </c>
      <c r="D620" s="2">
        <f>+251919944591</f>
        <v>251919944591</v>
      </c>
      <c r="E620" s="1" t="s">
        <v>21</v>
      </c>
    </row>
    <row r="621">
      <c r="A621" s="1" t="s">
        <v>1437</v>
      </c>
      <c r="B621" s="1" t="s">
        <v>1438</v>
      </c>
      <c r="C621" s="1" t="s">
        <v>1439</v>
      </c>
      <c r="D621" s="2">
        <f>+251900815171</f>
        <v>251900815171</v>
      </c>
      <c r="E621" s="1" t="s">
        <v>21</v>
      </c>
    </row>
    <row r="622">
      <c r="A622" s="1" t="s">
        <v>1440</v>
      </c>
      <c r="B622" s="1" t="s">
        <v>101</v>
      </c>
      <c r="C622" s="1" t="s">
        <v>616</v>
      </c>
      <c r="D622" s="2">
        <f>+251955732737</f>
        <v>251955732737</v>
      </c>
      <c r="E622" s="1" t="s">
        <v>21</v>
      </c>
    </row>
    <row r="623">
      <c r="A623" s="1" t="s">
        <v>1448</v>
      </c>
      <c r="B623" s="1" t="s">
        <v>877</v>
      </c>
      <c r="C623" s="1" t="s">
        <v>1449</v>
      </c>
      <c r="D623" s="2">
        <f>+251911527642</f>
        <v>251911527642</v>
      </c>
      <c r="E623" s="1" t="s">
        <v>21</v>
      </c>
    </row>
    <row r="624">
      <c r="A624" s="1" t="s">
        <v>1450</v>
      </c>
      <c r="B624" s="1" t="s">
        <v>1451</v>
      </c>
      <c r="C624" s="1" t="s">
        <v>1452</v>
      </c>
      <c r="D624" s="2">
        <f>+251970948134</f>
        <v>251970948134</v>
      </c>
      <c r="E624" s="1" t="s">
        <v>21</v>
      </c>
    </row>
    <row r="625">
      <c r="A625" s="1" t="s">
        <v>1455</v>
      </c>
      <c r="B625" s="1" t="s">
        <v>500</v>
      </c>
      <c r="C625" s="1" t="s">
        <v>916</v>
      </c>
      <c r="D625" s="2">
        <f>+251992327207</f>
        <v>251992327207</v>
      </c>
      <c r="E625" s="1" t="s">
        <v>21</v>
      </c>
    </row>
    <row r="626">
      <c r="A626" s="1" t="s">
        <v>1458</v>
      </c>
      <c r="B626" s="1" t="s">
        <v>1459</v>
      </c>
      <c r="C626" s="1" t="s">
        <v>1116</v>
      </c>
      <c r="D626" s="2">
        <f>+251946670244</f>
        <v>251946670244</v>
      </c>
      <c r="E626" s="1" t="s">
        <v>21</v>
      </c>
    </row>
    <row r="627">
      <c r="A627" s="1" t="s">
        <v>1460</v>
      </c>
      <c r="B627" s="1" t="s">
        <v>101</v>
      </c>
      <c r="C627" s="1" t="s">
        <v>1461</v>
      </c>
      <c r="D627" s="2">
        <f>+251911854857</f>
        <v>251911854857</v>
      </c>
      <c r="E627" s="1" t="s">
        <v>21</v>
      </c>
    </row>
    <row r="628">
      <c r="A628" s="1" t="s">
        <v>1465</v>
      </c>
      <c r="B628" s="1" t="s">
        <v>1466</v>
      </c>
      <c r="C628" s="1" t="s">
        <v>1149</v>
      </c>
      <c r="D628" s="2">
        <f>+251901156180</f>
        <v>251901156180</v>
      </c>
      <c r="E628" s="1" t="s">
        <v>21</v>
      </c>
    </row>
    <row r="629">
      <c r="A629" s="1" t="s">
        <v>1467</v>
      </c>
      <c r="B629" s="1" t="s">
        <v>812</v>
      </c>
      <c r="C629" s="1" t="s">
        <v>1468</v>
      </c>
      <c r="D629" s="2">
        <f>+251943232903</f>
        <v>251943232903</v>
      </c>
      <c r="E629" s="1" t="s">
        <v>21</v>
      </c>
    </row>
    <row r="630">
      <c r="A630" s="1" t="s">
        <v>1473</v>
      </c>
      <c r="B630" s="1" t="s">
        <v>1303</v>
      </c>
      <c r="C630" s="1" t="s">
        <v>375</v>
      </c>
      <c r="D630" s="2">
        <f>+251967723944</f>
        <v>251967723944</v>
      </c>
      <c r="E630" s="1" t="s">
        <v>21</v>
      </c>
    </row>
    <row r="631">
      <c r="A631" s="1" t="s">
        <v>1475</v>
      </c>
      <c r="B631" s="1" t="s">
        <v>1476</v>
      </c>
      <c r="C631" s="1" t="s">
        <v>764</v>
      </c>
      <c r="D631" s="2">
        <f>+251925037347</f>
        <v>251925037347</v>
      </c>
      <c r="E631" s="1" t="s">
        <v>21</v>
      </c>
    </row>
    <row r="632">
      <c r="A632" s="1" t="s">
        <v>1477</v>
      </c>
      <c r="B632" s="1" t="s">
        <v>480</v>
      </c>
      <c r="C632" s="1" t="s">
        <v>1478</v>
      </c>
      <c r="D632" s="1">
        <v>2.51921733708E11</v>
      </c>
      <c r="E632" s="1" t="s">
        <v>21</v>
      </c>
    </row>
    <row r="633">
      <c r="A633" s="1" t="s">
        <v>1479</v>
      </c>
      <c r="B633" s="1" t="s">
        <v>1480</v>
      </c>
      <c r="C633" s="1" t="s">
        <v>1481</v>
      </c>
      <c r="D633" s="1">
        <v>9.23065189E8</v>
      </c>
      <c r="E633" s="1" t="s">
        <v>21</v>
      </c>
    </row>
    <row r="634">
      <c r="A634" s="1" t="s">
        <v>1482</v>
      </c>
      <c r="B634" s="1" t="s">
        <v>28</v>
      </c>
      <c r="C634" s="1" t="s">
        <v>812</v>
      </c>
      <c r="D634" s="2">
        <f>+251963134310</f>
        <v>251963134310</v>
      </c>
      <c r="E634" s="1" t="s">
        <v>21</v>
      </c>
    </row>
    <row r="635">
      <c r="A635" s="1" t="s">
        <v>1483</v>
      </c>
      <c r="B635" s="1" t="s">
        <v>758</v>
      </c>
      <c r="C635" s="1" t="s">
        <v>137</v>
      </c>
      <c r="D635" s="2">
        <f>+251982790974</f>
        <v>251982790974</v>
      </c>
      <c r="E635" s="1" t="s">
        <v>21</v>
      </c>
    </row>
    <row r="636">
      <c r="A636" s="1" t="s">
        <v>1484</v>
      </c>
      <c r="B636" s="1" t="s">
        <v>1485</v>
      </c>
      <c r="C636" s="1" t="s">
        <v>39</v>
      </c>
      <c r="D636" s="2">
        <f>+2519662084</f>
        <v>2519662084</v>
      </c>
      <c r="E636" s="1" t="s">
        <v>21</v>
      </c>
    </row>
    <row r="637">
      <c r="A637" s="1" t="s">
        <v>1489</v>
      </c>
      <c r="B637" s="1" t="s">
        <v>1487</v>
      </c>
      <c r="C637" s="1" t="s">
        <v>1490</v>
      </c>
      <c r="D637" s="2">
        <f>+251988222261</f>
        <v>251988222261</v>
      </c>
      <c r="E637" s="1" t="s">
        <v>21</v>
      </c>
    </row>
    <row r="638">
      <c r="A638" s="1" t="s">
        <v>1498</v>
      </c>
      <c r="B638" s="1" t="s">
        <v>141</v>
      </c>
      <c r="C638" s="1" t="s">
        <v>1499</v>
      </c>
      <c r="D638" s="2">
        <f>+251953442423</f>
        <v>251953442423</v>
      </c>
      <c r="E638" s="1" t="s">
        <v>21</v>
      </c>
    </row>
    <row r="639">
      <c r="A639" s="1" t="s">
        <v>1500</v>
      </c>
      <c r="B639" s="1" t="s">
        <v>1501</v>
      </c>
      <c r="C639" s="1" t="s">
        <v>96</v>
      </c>
      <c r="D639" s="2">
        <f>+251985116850</f>
        <v>251985116850</v>
      </c>
      <c r="E639" s="1" t="s">
        <v>21</v>
      </c>
    </row>
    <row r="640">
      <c r="A640" s="1" t="s">
        <v>1506</v>
      </c>
      <c r="B640" s="1" t="s">
        <v>1507</v>
      </c>
      <c r="C640" s="1" t="s">
        <v>1508</v>
      </c>
      <c r="D640" s="2">
        <f>+251986770773</f>
        <v>251986770773</v>
      </c>
      <c r="E640" s="1" t="s">
        <v>21</v>
      </c>
    </row>
    <row r="641">
      <c r="A641" s="1" t="s">
        <v>1509</v>
      </c>
      <c r="B641" s="1" t="s">
        <v>184</v>
      </c>
      <c r="C641" s="1" t="s">
        <v>255</v>
      </c>
      <c r="D641" s="2">
        <f>+251950064611</f>
        <v>251950064611</v>
      </c>
      <c r="E641" s="1" t="s">
        <v>21</v>
      </c>
    </row>
    <row r="642">
      <c r="A642" s="1" t="s">
        <v>1510</v>
      </c>
      <c r="B642" s="1" t="s">
        <v>1511</v>
      </c>
      <c r="C642" s="1" t="s">
        <v>1512</v>
      </c>
      <c r="D642" s="2">
        <f>+251954896787</f>
        <v>251954896787</v>
      </c>
      <c r="E642" s="1" t="s">
        <v>21</v>
      </c>
    </row>
    <row r="643">
      <c r="A643" s="1" t="s">
        <v>1513</v>
      </c>
      <c r="B643" s="1" t="s">
        <v>1043</v>
      </c>
      <c r="C643" s="1" t="s">
        <v>577</v>
      </c>
      <c r="D643" s="2">
        <f>+251968558638</f>
        <v>251968558638</v>
      </c>
      <c r="E643" s="1" t="s">
        <v>21</v>
      </c>
    </row>
    <row r="644">
      <c r="A644" s="1" t="s">
        <v>1514</v>
      </c>
      <c r="B644" s="1" t="s">
        <v>1515</v>
      </c>
      <c r="C644" s="1" t="s">
        <v>292</v>
      </c>
      <c r="D644" s="2">
        <f>+251925287377</f>
        <v>251925287377</v>
      </c>
      <c r="E644" s="1" t="s">
        <v>21</v>
      </c>
    </row>
    <row r="645">
      <c r="A645" s="1" t="s">
        <v>1516</v>
      </c>
      <c r="B645" s="1" t="s">
        <v>1517</v>
      </c>
      <c r="C645" s="1" t="s">
        <v>213</v>
      </c>
      <c r="D645" s="2">
        <f>+251939072306</f>
        <v>251939072306</v>
      </c>
      <c r="E645" s="1" t="s">
        <v>21</v>
      </c>
    </row>
    <row r="646">
      <c r="A646" s="1" t="s">
        <v>1519</v>
      </c>
      <c r="B646" s="1" t="s">
        <v>1304</v>
      </c>
      <c r="C646" s="1" t="s">
        <v>842</v>
      </c>
      <c r="D646" s="2">
        <f>+251908786909</f>
        <v>251908786909</v>
      </c>
      <c r="E646" s="1" t="s">
        <v>21</v>
      </c>
    </row>
    <row r="647">
      <c r="A647" s="1" t="s">
        <v>1529</v>
      </c>
      <c r="B647" s="1" t="s">
        <v>1530</v>
      </c>
      <c r="C647" s="1" t="s">
        <v>534</v>
      </c>
      <c r="D647" s="2">
        <f>+251993849440</f>
        <v>251993849440</v>
      </c>
      <c r="E647" s="1" t="s">
        <v>21</v>
      </c>
    </row>
    <row r="648">
      <c r="A648" s="1" t="s">
        <v>1531</v>
      </c>
      <c r="B648" s="1" t="s">
        <v>1266</v>
      </c>
      <c r="C648" s="1" t="s">
        <v>1532</v>
      </c>
      <c r="D648" s="2">
        <f>+251996414856</f>
        <v>251996414856</v>
      </c>
      <c r="E648" s="1" t="s">
        <v>21</v>
      </c>
    </row>
    <row r="649">
      <c r="A649" s="1" t="s">
        <v>1533</v>
      </c>
      <c r="B649" s="1" t="s">
        <v>1534</v>
      </c>
      <c r="C649" s="1" t="s">
        <v>1535</v>
      </c>
      <c r="D649" s="2">
        <f>+251943753120</f>
        <v>251943753120</v>
      </c>
      <c r="E649" s="1" t="s">
        <v>21</v>
      </c>
    </row>
    <row r="650">
      <c r="A650" s="1" t="s">
        <v>1536</v>
      </c>
      <c r="B650" s="1" t="s">
        <v>1537</v>
      </c>
      <c r="C650" s="1" t="s">
        <v>1398</v>
      </c>
      <c r="D650" s="2">
        <f>+251912276736</f>
        <v>251912276736</v>
      </c>
      <c r="E650" s="1" t="s">
        <v>21</v>
      </c>
    </row>
    <row r="651">
      <c r="A651" s="1" t="s">
        <v>1540</v>
      </c>
      <c r="B651" s="1" t="s">
        <v>1541</v>
      </c>
      <c r="C651" s="1" t="s">
        <v>1542</v>
      </c>
      <c r="D651" s="2">
        <f>+251940542932</f>
        <v>251940542932</v>
      </c>
      <c r="E651" s="1" t="s">
        <v>21</v>
      </c>
    </row>
    <row r="652">
      <c r="A652" s="1" t="s">
        <v>1543</v>
      </c>
      <c r="B652" s="1" t="s">
        <v>107</v>
      </c>
      <c r="C652" s="1" t="s">
        <v>1544</v>
      </c>
      <c r="D652" s="2">
        <f>+251919792989</f>
        <v>251919792989</v>
      </c>
      <c r="E652" s="1" t="s">
        <v>21</v>
      </c>
    </row>
    <row r="653">
      <c r="A653" s="1" t="s">
        <v>1545</v>
      </c>
      <c r="B653" s="1" t="s">
        <v>1546</v>
      </c>
      <c r="C653" s="1" t="s">
        <v>859</v>
      </c>
      <c r="D653" s="2">
        <f>+251993349888</f>
        <v>251993349888</v>
      </c>
      <c r="E653" s="1" t="s">
        <v>21</v>
      </c>
    </row>
    <row r="654">
      <c r="A654" s="1" t="s">
        <v>1550</v>
      </c>
      <c r="B654" s="1" t="s">
        <v>1551</v>
      </c>
      <c r="C654" s="1" t="s">
        <v>1293</v>
      </c>
      <c r="D654" s="2">
        <f>+251913065038</f>
        <v>251913065038</v>
      </c>
      <c r="E654" s="1" t="s">
        <v>21</v>
      </c>
    </row>
    <row r="655">
      <c r="A655" s="1" t="s">
        <v>1556</v>
      </c>
      <c r="B655" s="1" t="s">
        <v>37</v>
      </c>
      <c r="C655" s="1" t="s">
        <v>663</v>
      </c>
      <c r="D655" s="2">
        <f>+251931585894</f>
        <v>251931585894</v>
      </c>
      <c r="E655" s="1" t="s">
        <v>21</v>
      </c>
    </row>
    <row r="656">
      <c r="A656" s="1" t="s">
        <v>1560</v>
      </c>
      <c r="B656" s="1" t="s">
        <v>1561</v>
      </c>
      <c r="C656" s="1" t="s">
        <v>1562</v>
      </c>
      <c r="D656" s="2">
        <f>+251978344283</f>
        <v>251978344283</v>
      </c>
      <c r="E656" s="1" t="s">
        <v>21</v>
      </c>
    </row>
    <row r="657">
      <c r="A657" s="1" t="s">
        <v>1567</v>
      </c>
      <c r="B657" s="1" t="s">
        <v>1568</v>
      </c>
      <c r="C657" s="1" t="s">
        <v>338</v>
      </c>
      <c r="D657" s="2">
        <f>+251948897804</f>
        <v>251948897804</v>
      </c>
      <c r="E657" s="1" t="s">
        <v>21</v>
      </c>
    </row>
    <row r="658">
      <c r="A658" s="1" t="s">
        <v>1571</v>
      </c>
      <c r="B658" s="1" t="s">
        <v>1572</v>
      </c>
      <c r="C658" s="1" t="s">
        <v>1573</v>
      </c>
      <c r="D658" s="2">
        <f>+251923551855</f>
        <v>251923551855</v>
      </c>
      <c r="E658" s="1" t="s">
        <v>21</v>
      </c>
    </row>
    <row r="659">
      <c r="A659" s="1" t="s">
        <v>1574</v>
      </c>
      <c r="B659" s="1" t="s">
        <v>904</v>
      </c>
      <c r="C659" s="1" t="s">
        <v>948</v>
      </c>
      <c r="D659" s="2">
        <f>+251938525499</f>
        <v>251938525499</v>
      </c>
      <c r="E659" s="1" t="s">
        <v>21</v>
      </c>
    </row>
    <row r="660">
      <c r="A660" s="1" t="s">
        <v>1579</v>
      </c>
      <c r="B660" s="1" t="s">
        <v>194</v>
      </c>
      <c r="C660" s="1" t="s">
        <v>328</v>
      </c>
      <c r="D660" s="2">
        <f>+251923667917</f>
        <v>251923667917</v>
      </c>
      <c r="E660" s="1" t="s">
        <v>21</v>
      </c>
    </row>
    <row r="661">
      <c r="A661" s="1" t="s">
        <v>1580</v>
      </c>
      <c r="B661" s="1" t="s">
        <v>1581</v>
      </c>
      <c r="C661" s="1" t="s">
        <v>91</v>
      </c>
      <c r="D661" s="2">
        <f>+251986164265</f>
        <v>251986164265</v>
      </c>
      <c r="E661" s="1" t="s">
        <v>21</v>
      </c>
    </row>
    <row r="662">
      <c r="A662" s="1" t="s">
        <v>1584</v>
      </c>
      <c r="B662" s="1" t="s">
        <v>663</v>
      </c>
      <c r="C662" s="1" t="s">
        <v>108</v>
      </c>
      <c r="D662" s="2">
        <f>+251983510007</f>
        <v>251983510007</v>
      </c>
      <c r="E662" s="1" t="s">
        <v>21</v>
      </c>
    </row>
    <row r="663">
      <c r="A663" s="1" t="s">
        <v>1585</v>
      </c>
      <c r="B663" s="1" t="s">
        <v>1586</v>
      </c>
      <c r="C663" s="1" t="s">
        <v>1587</v>
      </c>
      <c r="D663" s="2">
        <f>+251908421889</f>
        <v>251908421889</v>
      </c>
      <c r="E663" s="1" t="s">
        <v>21</v>
      </c>
    </row>
    <row r="664">
      <c r="A664" s="1" t="s">
        <v>1594</v>
      </c>
      <c r="B664" s="1" t="s">
        <v>1595</v>
      </c>
      <c r="C664" s="1" t="s">
        <v>1596</v>
      </c>
      <c r="D664" s="2">
        <f>+251938558429</f>
        <v>251938558429</v>
      </c>
      <c r="E664" s="1" t="s">
        <v>21</v>
      </c>
    </row>
    <row r="665">
      <c r="A665" s="1" t="s">
        <v>1597</v>
      </c>
      <c r="B665" s="1" t="s">
        <v>1598</v>
      </c>
      <c r="C665" s="1" t="s">
        <v>1599</v>
      </c>
      <c r="D665" s="1">
        <v>9.39194822E8</v>
      </c>
      <c r="E665" s="1" t="s">
        <v>21</v>
      </c>
    </row>
    <row r="666">
      <c r="A666" s="1" t="s">
        <v>1600</v>
      </c>
      <c r="B666" s="1" t="s">
        <v>438</v>
      </c>
      <c r="C666" s="1" t="s">
        <v>1601</v>
      </c>
      <c r="D666" s="2">
        <f>+251960038947</f>
        <v>251960038947</v>
      </c>
      <c r="E666" s="1" t="s">
        <v>21</v>
      </c>
    </row>
    <row r="667">
      <c r="A667" s="1" t="s">
        <v>1602</v>
      </c>
      <c r="B667" s="1" t="s">
        <v>437</v>
      </c>
      <c r="C667" s="1" t="s">
        <v>1603</v>
      </c>
      <c r="D667" s="2">
        <f>+251924089720</f>
        <v>251924089720</v>
      </c>
      <c r="E667" s="1" t="s">
        <v>21</v>
      </c>
    </row>
    <row r="668">
      <c r="A668" s="1" t="s">
        <v>1604</v>
      </c>
      <c r="B668" s="1" t="s">
        <v>1605</v>
      </c>
      <c r="C668" s="1" t="s">
        <v>1606</v>
      </c>
      <c r="D668" s="2">
        <f>+251926480574</f>
        <v>251926480574</v>
      </c>
      <c r="E668" s="1" t="s">
        <v>21</v>
      </c>
    </row>
    <row r="669">
      <c r="A669" s="1" t="s">
        <v>1609</v>
      </c>
      <c r="B669" s="1" t="s">
        <v>1610</v>
      </c>
      <c r="C669" s="1" t="s">
        <v>1611</v>
      </c>
      <c r="D669" s="2">
        <f>+251905338431</f>
        <v>251905338431</v>
      </c>
      <c r="E669" s="1" t="s">
        <v>21</v>
      </c>
    </row>
    <row r="670">
      <c r="A670" s="1" t="s">
        <v>1612</v>
      </c>
      <c r="B670" s="1" t="s">
        <v>28</v>
      </c>
      <c r="C670" s="1" t="s">
        <v>375</v>
      </c>
      <c r="D670" s="2">
        <f>+251978835342</f>
        <v>251978835342</v>
      </c>
      <c r="E670" s="1" t="s">
        <v>21</v>
      </c>
    </row>
    <row r="671">
      <c r="A671" s="1" t="s">
        <v>1616</v>
      </c>
      <c r="B671" s="1" t="s">
        <v>1617</v>
      </c>
      <c r="C671" s="1" t="s">
        <v>1618</v>
      </c>
      <c r="D671" s="2">
        <f>+251989443746</f>
        <v>251989443746</v>
      </c>
      <c r="E671" s="1" t="s">
        <v>21</v>
      </c>
    </row>
    <row r="672">
      <c r="A672" s="1" t="s">
        <v>1619</v>
      </c>
      <c r="B672" s="1" t="s">
        <v>28</v>
      </c>
      <c r="C672" s="1" t="s">
        <v>1620</v>
      </c>
      <c r="D672" s="1">
        <v>9.19202342E8</v>
      </c>
      <c r="E672" s="1" t="s">
        <v>21</v>
      </c>
    </row>
    <row r="673">
      <c r="A673" s="1" t="s">
        <v>1621</v>
      </c>
      <c r="B673" s="1" t="s">
        <v>1622</v>
      </c>
      <c r="C673" s="1" t="s">
        <v>595</v>
      </c>
      <c r="D673" s="2">
        <f>+251940318395</f>
        <v>251940318395</v>
      </c>
      <c r="E673" s="1" t="s">
        <v>21</v>
      </c>
    </row>
    <row r="674">
      <c r="A674" s="1" t="s">
        <v>1623</v>
      </c>
      <c r="B674" s="1" t="s">
        <v>28</v>
      </c>
      <c r="C674" s="1" t="s">
        <v>1624</v>
      </c>
      <c r="D674" s="2">
        <f>+251927709856</f>
        <v>251927709856</v>
      </c>
      <c r="E674" s="1" t="s">
        <v>21</v>
      </c>
    </row>
    <row r="675">
      <c r="A675" s="1" t="s">
        <v>1628</v>
      </c>
      <c r="B675" s="1" t="s">
        <v>1629</v>
      </c>
      <c r="C675" s="1" t="s">
        <v>1499</v>
      </c>
      <c r="D675" s="2">
        <f>+251964764442</f>
        <v>251964764442</v>
      </c>
      <c r="E675" s="1" t="s">
        <v>21</v>
      </c>
    </row>
    <row r="676">
      <c r="A676" s="1" t="s">
        <v>1630</v>
      </c>
      <c r="B676" s="1" t="s">
        <v>1631</v>
      </c>
      <c r="C676" s="1" t="s">
        <v>195</v>
      </c>
      <c r="D676" s="2">
        <f>+251945252900</f>
        <v>251945252900</v>
      </c>
      <c r="E676" s="1" t="s">
        <v>21</v>
      </c>
    </row>
    <row r="677">
      <c r="A677" s="1" t="s">
        <v>1633</v>
      </c>
      <c r="B677" s="1" t="s">
        <v>1634</v>
      </c>
      <c r="C677" s="1" t="s">
        <v>51</v>
      </c>
      <c r="D677" s="2">
        <f>+251967955159</f>
        <v>251967955159</v>
      </c>
      <c r="E677" s="1" t="s">
        <v>21</v>
      </c>
    </row>
    <row r="678">
      <c r="A678" s="1" t="s">
        <v>1635</v>
      </c>
      <c r="B678" s="1" t="s">
        <v>1636</v>
      </c>
      <c r="C678" s="1" t="s">
        <v>1637</v>
      </c>
      <c r="D678" s="2">
        <f>+251951036715</f>
        <v>251951036715</v>
      </c>
      <c r="E678" s="1" t="s">
        <v>21</v>
      </c>
    </row>
    <row r="679">
      <c r="A679" s="1" t="s">
        <v>1646</v>
      </c>
      <c r="B679" s="1" t="s">
        <v>877</v>
      </c>
      <c r="C679" s="1" t="s">
        <v>867</v>
      </c>
      <c r="D679" s="2">
        <f>+251919188509</f>
        <v>251919188509</v>
      </c>
      <c r="E679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1650</v>
      </c>
      <c r="B2" s="1" t="s">
        <v>1651</v>
      </c>
      <c r="C2" s="1" t="s">
        <v>1652</v>
      </c>
      <c r="D2" s="2">
        <f>+251927166084</f>
        <v>251927166084</v>
      </c>
      <c r="E2" s="1" t="s">
        <v>26</v>
      </c>
    </row>
    <row r="3">
      <c r="A3" s="1" t="s">
        <v>1655</v>
      </c>
      <c r="B3" s="1" t="s">
        <v>1656</v>
      </c>
      <c r="C3" s="1" t="s">
        <v>1657</v>
      </c>
      <c r="D3" s="2">
        <f>+251912412368</f>
        <v>251912412368</v>
      </c>
      <c r="E3" s="1" t="s">
        <v>26</v>
      </c>
    </row>
    <row r="4">
      <c r="A4" s="1" t="s">
        <v>1682</v>
      </c>
      <c r="B4" s="1" t="s">
        <v>1681</v>
      </c>
      <c r="C4" s="1" t="s">
        <v>141</v>
      </c>
      <c r="D4" s="2">
        <f>+251949931778</f>
        <v>251949931778</v>
      </c>
      <c r="E4" s="1" t="s">
        <v>26</v>
      </c>
    </row>
    <row r="5">
      <c r="A5" s="1" t="s">
        <v>1755</v>
      </c>
      <c r="B5" s="1" t="s">
        <v>1756</v>
      </c>
      <c r="C5" s="1" t="s">
        <v>1757</v>
      </c>
      <c r="D5" s="2">
        <f>+251930559786</f>
        <v>251930559786</v>
      </c>
      <c r="E5" s="1" t="s">
        <v>26</v>
      </c>
    </row>
    <row r="6">
      <c r="A6" s="1" t="s">
        <v>1761</v>
      </c>
      <c r="B6" s="1" t="s">
        <v>1762</v>
      </c>
      <c r="C6" s="1" t="s">
        <v>1763</v>
      </c>
      <c r="D6" s="2">
        <f>+251911760040</f>
        <v>251911760040</v>
      </c>
      <c r="E6" s="1" t="s">
        <v>26</v>
      </c>
    </row>
    <row r="7">
      <c r="A7" s="1" t="s">
        <v>1776</v>
      </c>
      <c r="B7" s="1" t="s">
        <v>1777</v>
      </c>
      <c r="C7" s="1" t="s">
        <v>1778</v>
      </c>
      <c r="D7" s="2">
        <f>+251921110650</f>
        <v>251921110650</v>
      </c>
      <c r="E7" s="1" t="s">
        <v>26</v>
      </c>
    </row>
    <row r="8">
      <c r="A8" s="1" t="s">
        <v>1799</v>
      </c>
      <c r="B8" s="1" t="s">
        <v>110</v>
      </c>
      <c r="C8" s="1" t="s">
        <v>1164</v>
      </c>
      <c r="D8" s="2">
        <f>+251925834665</f>
        <v>251925834665</v>
      </c>
      <c r="E8" s="1" t="s">
        <v>26</v>
      </c>
    </row>
    <row r="9">
      <c r="A9" s="1" t="s">
        <v>1843</v>
      </c>
      <c r="B9" s="1" t="s">
        <v>1844</v>
      </c>
      <c r="C9" s="1" t="s">
        <v>1845</v>
      </c>
      <c r="D9" s="2">
        <f>+251961420449</f>
        <v>251961420449</v>
      </c>
      <c r="E9" s="1" t="s">
        <v>26</v>
      </c>
    </row>
    <row r="10">
      <c r="A10" s="1" t="s">
        <v>1890</v>
      </c>
      <c r="B10" s="1" t="s">
        <v>1891</v>
      </c>
      <c r="C10" s="1" t="s">
        <v>1892</v>
      </c>
      <c r="D10" s="2">
        <f>+251910575080</f>
        <v>251910575080</v>
      </c>
      <c r="E10" s="1" t="s">
        <v>26</v>
      </c>
    </row>
    <row r="11">
      <c r="A11" s="1" t="s">
        <v>1948</v>
      </c>
      <c r="B11" s="1" t="s">
        <v>951</v>
      </c>
      <c r="C11" s="1" t="s">
        <v>1077</v>
      </c>
      <c r="D11" s="2">
        <f>+251919772022</f>
        <v>251919772022</v>
      </c>
      <c r="E11" s="1" t="s">
        <v>26</v>
      </c>
    </row>
    <row r="12">
      <c r="A12" s="1" t="s">
        <v>1965</v>
      </c>
      <c r="B12" s="1" t="s">
        <v>141</v>
      </c>
      <c r="C12" s="1" t="s">
        <v>1966</v>
      </c>
      <c r="D12" s="2">
        <f>+251966074050</f>
        <v>251966074050</v>
      </c>
      <c r="E12" s="1" t="s">
        <v>26</v>
      </c>
    </row>
    <row r="13">
      <c r="A13" s="1" t="s">
        <v>1967</v>
      </c>
      <c r="B13" s="1" t="s">
        <v>474</v>
      </c>
      <c r="C13" s="1" t="s">
        <v>1968</v>
      </c>
      <c r="D13" s="2">
        <f>+251956145036</f>
        <v>251956145036</v>
      </c>
      <c r="E13" s="1" t="s">
        <v>26</v>
      </c>
    </row>
    <row r="14">
      <c r="A14" s="1" t="s">
        <v>1985</v>
      </c>
      <c r="B14" s="1" t="s">
        <v>509</v>
      </c>
      <c r="C14" s="1" t="s">
        <v>899</v>
      </c>
      <c r="D14" s="2">
        <f>+251705989982</f>
        <v>251705989982</v>
      </c>
      <c r="E14" s="1" t="s">
        <v>26</v>
      </c>
    </row>
    <row r="15">
      <c r="A15" s="1" t="s">
        <v>2018</v>
      </c>
      <c r="B15" s="1" t="s">
        <v>750</v>
      </c>
      <c r="C15" s="1" t="s">
        <v>137</v>
      </c>
      <c r="D15" s="2">
        <f>+251912623018</f>
        <v>251912623018</v>
      </c>
      <c r="E15" s="1" t="s">
        <v>26</v>
      </c>
    </row>
    <row r="16">
      <c r="A16" s="1" t="s">
        <v>2021</v>
      </c>
      <c r="B16" s="1" t="s">
        <v>2022</v>
      </c>
      <c r="C16" s="1" t="s">
        <v>2023</v>
      </c>
      <c r="D16" s="2">
        <f>+251966145450</f>
        <v>251966145450</v>
      </c>
      <c r="E16" s="1" t="s">
        <v>26</v>
      </c>
    </row>
    <row r="17">
      <c r="A17" s="1" t="s">
        <v>2044</v>
      </c>
      <c r="B17" s="1" t="s">
        <v>2039</v>
      </c>
      <c r="C17" s="1" t="s">
        <v>2045</v>
      </c>
      <c r="D17" s="2">
        <f>+251932571957</f>
        <v>251932571957</v>
      </c>
      <c r="E17" s="1" t="s">
        <v>26</v>
      </c>
    </row>
    <row r="18">
      <c r="A18" s="1" t="s">
        <v>2108</v>
      </c>
      <c r="B18" s="1" t="s">
        <v>625</v>
      </c>
      <c r="C18" s="1" t="s">
        <v>316</v>
      </c>
      <c r="D18" s="2">
        <f>+251949332733</f>
        <v>251949332733</v>
      </c>
      <c r="E18" s="1" t="s">
        <v>26</v>
      </c>
    </row>
    <row r="19">
      <c r="A19" s="1" t="s">
        <v>2131</v>
      </c>
      <c r="B19" s="1" t="s">
        <v>2132</v>
      </c>
      <c r="C19" s="1" t="s">
        <v>2133</v>
      </c>
      <c r="D19" s="2">
        <f>+251993595228</f>
        <v>251993595228</v>
      </c>
      <c r="E19" s="1" t="s">
        <v>26</v>
      </c>
    </row>
    <row r="20">
      <c r="A20" s="1" t="s">
        <v>2141</v>
      </c>
      <c r="B20" s="1" t="s">
        <v>213</v>
      </c>
      <c r="C20" s="1" t="s">
        <v>2142</v>
      </c>
      <c r="D20" s="2">
        <f>+251939262613</f>
        <v>251939262613</v>
      </c>
      <c r="E20" s="1" t="s">
        <v>26</v>
      </c>
    </row>
    <row r="21">
      <c r="A21" s="1" t="s">
        <v>1665</v>
      </c>
      <c r="B21" s="1" t="s">
        <v>1666</v>
      </c>
      <c r="C21" s="1" t="s">
        <v>422</v>
      </c>
      <c r="D21" s="2">
        <f>+251911514380</f>
        <v>251911514380</v>
      </c>
      <c r="E21" s="1" t="s">
        <v>33</v>
      </c>
      <c r="F21" s="1" t="s">
        <v>118</v>
      </c>
    </row>
    <row r="22">
      <c r="A22" s="1" t="s">
        <v>1674</v>
      </c>
      <c r="B22" s="1" t="s">
        <v>1675</v>
      </c>
      <c r="C22" s="1" t="s">
        <v>1676</v>
      </c>
      <c r="D22" s="2">
        <f>+251965343635</f>
        <v>251965343635</v>
      </c>
      <c r="E22" s="1" t="s">
        <v>33</v>
      </c>
      <c r="F22" s="1" t="s">
        <v>65</v>
      </c>
    </row>
    <row r="23">
      <c r="A23" s="1" t="s">
        <v>1680</v>
      </c>
      <c r="B23" s="1" t="s">
        <v>1681</v>
      </c>
      <c r="C23" s="1" t="s">
        <v>141</v>
      </c>
      <c r="D23" s="2">
        <f>+251949931778</f>
        <v>251949931778</v>
      </c>
      <c r="E23" s="1" t="s">
        <v>33</v>
      </c>
      <c r="F23" s="1" t="s">
        <v>166</v>
      </c>
    </row>
    <row r="24">
      <c r="A24" s="1" t="s">
        <v>1692</v>
      </c>
      <c r="B24" s="1" t="s">
        <v>517</v>
      </c>
      <c r="C24" s="1" t="s">
        <v>1693</v>
      </c>
      <c r="D24" s="2">
        <f>+251921926998</f>
        <v>251921926998</v>
      </c>
      <c r="E24" s="1" t="s">
        <v>33</v>
      </c>
      <c r="F24" s="1" t="s">
        <v>177</v>
      </c>
    </row>
    <row r="25">
      <c r="A25" s="1" t="s">
        <v>1701</v>
      </c>
      <c r="B25" s="1" t="s">
        <v>500</v>
      </c>
      <c r="C25" s="1" t="s">
        <v>1702</v>
      </c>
      <c r="D25" s="2">
        <f>+251945556927</f>
        <v>251945556927</v>
      </c>
      <c r="E25" s="1" t="s">
        <v>33</v>
      </c>
      <c r="F25" s="1" t="s">
        <v>118</v>
      </c>
    </row>
    <row r="26">
      <c r="A26" s="1" t="s">
        <v>1707</v>
      </c>
      <c r="B26" s="1" t="s">
        <v>503</v>
      </c>
      <c r="C26" s="1" t="s">
        <v>258</v>
      </c>
      <c r="D26" s="2">
        <f>+251984163441</f>
        <v>251984163441</v>
      </c>
      <c r="E26" s="1" t="s">
        <v>33</v>
      </c>
      <c r="F26" s="1" t="s">
        <v>166</v>
      </c>
    </row>
    <row r="27">
      <c r="A27" s="1" t="s">
        <v>1708</v>
      </c>
      <c r="B27" s="1" t="s">
        <v>1485</v>
      </c>
      <c r="C27" s="1" t="s">
        <v>1709</v>
      </c>
      <c r="D27" s="2">
        <f>+251911416417</f>
        <v>251911416417</v>
      </c>
      <c r="E27" s="1" t="s">
        <v>33</v>
      </c>
      <c r="F27" s="1" t="s">
        <v>177</v>
      </c>
    </row>
    <row r="28">
      <c r="A28" s="1" t="s">
        <v>1718</v>
      </c>
      <c r="B28" s="1" t="s">
        <v>437</v>
      </c>
      <c r="C28" s="1" t="s">
        <v>1719</v>
      </c>
      <c r="D28" s="2">
        <f>+251925356981</f>
        <v>251925356981</v>
      </c>
      <c r="E28" s="1" t="s">
        <v>33</v>
      </c>
      <c r="F28" s="1" t="s">
        <v>34</v>
      </c>
    </row>
    <row r="29">
      <c r="A29" s="1" t="s">
        <v>1720</v>
      </c>
      <c r="B29" s="1" t="s">
        <v>1721</v>
      </c>
      <c r="C29" s="1" t="s">
        <v>847</v>
      </c>
      <c r="D29" s="2">
        <f>+251966887801</f>
        <v>251966887801</v>
      </c>
      <c r="E29" s="1" t="s">
        <v>33</v>
      </c>
      <c r="F29" s="1" t="s">
        <v>177</v>
      </c>
    </row>
    <row r="30">
      <c r="A30" s="1" t="s">
        <v>1737</v>
      </c>
      <c r="B30" s="1" t="s">
        <v>1738</v>
      </c>
      <c r="C30" s="1" t="s">
        <v>1739</v>
      </c>
      <c r="D30" s="2">
        <f>+251955403258</f>
        <v>251955403258</v>
      </c>
      <c r="E30" s="1" t="s">
        <v>33</v>
      </c>
      <c r="F30" s="1" t="s">
        <v>166</v>
      </c>
    </row>
    <row r="31">
      <c r="A31" s="1" t="s">
        <v>1771</v>
      </c>
      <c r="B31" s="1" t="s">
        <v>1772</v>
      </c>
      <c r="C31" s="1" t="s">
        <v>1773</v>
      </c>
      <c r="D31" s="2">
        <f>+251925906061</f>
        <v>251925906061</v>
      </c>
      <c r="E31" s="1" t="s">
        <v>33</v>
      </c>
      <c r="F31" s="1" t="s">
        <v>65</v>
      </c>
    </row>
    <row r="32">
      <c r="A32" s="1" t="s">
        <v>1791</v>
      </c>
      <c r="B32" s="1" t="s">
        <v>1792</v>
      </c>
      <c r="C32" s="1" t="s">
        <v>545</v>
      </c>
      <c r="D32" s="2">
        <f>+251993094185</f>
        <v>251993094185</v>
      </c>
      <c r="E32" s="1" t="s">
        <v>33</v>
      </c>
      <c r="F32" s="1" t="s">
        <v>65</v>
      </c>
    </row>
    <row r="33">
      <c r="A33" s="1" t="s">
        <v>1804</v>
      </c>
      <c r="B33" s="1" t="s">
        <v>1069</v>
      </c>
      <c r="C33" s="1" t="s">
        <v>859</v>
      </c>
      <c r="D33" s="2">
        <f>+251938825245</f>
        <v>251938825245</v>
      </c>
      <c r="E33" s="1" t="s">
        <v>33</v>
      </c>
      <c r="F33" s="1" t="s">
        <v>235</v>
      </c>
    </row>
    <row r="34">
      <c r="A34" s="1" t="s">
        <v>1811</v>
      </c>
      <c r="B34" s="1" t="s">
        <v>1812</v>
      </c>
      <c r="C34" s="1" t="s">
        <v>1813</v>
      </c>
      <c r="D34" s="2">
        <f>+251916517057</f>
        <v>251916517057</v>
      </c>
      <c r="E34" s="1" t="s">
        <v>33</v>
      </c>
      <c r="F34" s="1" t="s">
        <v>177</v>
      </c>
    </row>
    <row r="35">
      <c r="A35" s="1" t="s">
        <v>1823</v>
      </c>
      <c r="B35" s="1" t="s">
        <v>51</v>
      </c>
      <c r="C35" s="1" t="s">
        <v>1824</v>
      </c>
      <c r="D35" s="2">
        <f>+251910255822</f>
        <v>251910255822</v>
      </c>
      <c r="E35" s="1" t="s">
        <v>33</v>
      </c>
      <c r="F35" s="1" t="s">
        <v>235</v>
      </c>
    </row>
    <row r="36">
      <c r="A36" s="1" t="s">
        <v>1828</v>
      </c>
      <c r="B36" s="1" t="s">
        <v>1829</v>
      </c>
      <c r="C36" s="1" t="s">
        <v>272</v>
      </c>
      <c r="D36" s="2">
        <f>+251975304998</f>
        <v>251975304998</v>
      </c>
      <c r="E36" s="1" t="s">
        <v>33</v>
      </c>
      <c r="F36" s="1" t="s">
        <v>118</v>
      </c>
    </row>
    <row r="37">
      <c r="A37" s="1" t="s">
        <v>1841</v>
      </c>
      <c r="B37" s="1" t="s">
        <v>286</v>
      </c>
      <c r="C37" s="1" t="s">
        <v>1842</v>
      </c>
      <c r="D37" s="2">
        <f>+251940534835</f>
        <v>251940534835</v>
      </c>
      <c r="E37" s="1" t="s">
        <v>33</v>
      </c>
      <c r="F37" s="1" t="s">
        <v>65</v>
      </c>
    </row>
    <row r="38">
      <c r="A38" s="1" t="s">
        <v>1846</v>
      </c>
      <c r="B38" s="1" t="s">
        <v>390</v>
      </c>
      <c r="C38" s="1" t="s">
        <v>601</v>
      </c>
      <c r="D38" s="2">
        <f>+251948041248</f>
        <v>251948041248</v>
      </c>
      <c r="E38" s="1" t="s">
        <v>33</v>
      </c>
      <c r="F38" s="1" t="s">
        <v>34</v>
      </c>
    </row>
    <row r="39">
      <c r="A39" s="1" t="s">
        <v>1850</v>
      </c>
      <c r="B39" s="1" t="s">
        <v>577</v>
      </c>
      <c r="C39" s="1" t="s">
        <v>1851</v>
      </c>
      <c r="D39" s="2">
        <f>+251936176491</f>
        <v>251936176491</v>
      </c>
      <c r="E39" s="1" t="s">
        <v>33</v>
      </c>
      <c r="F39" s="1" t="s">
        <v>65</v>
      </c>
    </row>
    <row r="40">
      <c r="A40" s="1" t="s">
        <v>1855</v>
      </c>
      <c r="B40" s="1" t="s">
        <v>1856</v>
      </c>
      <c r="C40" s="1" t="s">
        <v>1651</v>
      </c>
      <c r="D40" s="2">
        <f>+251912767469</f>
        <v>251912767469</v>
      </c>
      <c r="E40" s="1" t="s">
        <v>33</v>
      </c>
      <c r="F40" s="1" t="s">
        <v>118</v>
      </c>
    </row>
    <row r="41">
      <c r="A41" s="1" t="s">
        <v>1860</v>
      </c>
      <c r="B41" s="1" t="s">
        <v>1861</v>
      </c>
      <c r="C41" s="1" t="s">
        <v>1862</v>
      </c>
      <c r="D41" s="2">
        <f>+251983396303</f>
        <v>251983396303</v>
      </c>
      <c r="E41" s="1" t="s">
        <v>33</v>
      </c>
      <c r="F41" s="1" t="s">
        <v>177</v>
      </c>
    </row>
    <row r="42">
      <c r="A42" s="1" t="s">
        <v>1867</v>
      </c>
      <c r="B42" s="1" t="s">
        <v>1868</v>
      </c>
      <c r="C42" s="1" t="s">
        <v>1059</v>
      </c>
      <c r="D42" s="2">
        <f>+251920767880</f>
        <v>251920767880</v>
      </c>
      <c r="E42" s="1" t="s">
        <v>33</v>
      </c>
      <c r="F42" s="1" t="s">
        <v>65</v>
      </c>
    </row>
    <row r="43">
      <c r="A43" s="1" t="s">
        <v>1873</v>
      </c>
      <c r="B43" s="1" t="s">
        <v>1874</v>
      </c>
      <c r="C43" s="1" t="s">
        <v>839</v>
      </c>
      <c r="D43" s="2">
        <f>+251964345563</f>
        <v>251964345563</v>
      </c>
      <c r="E43" s="1" t="s">
        <v>33</v>
      </c>
      <c r="F43" s="1" t="s">
        <v>177</v>
      </c>
    </row>
    <row r="44">
      <c r="A44" s="1" t="s">
        <v>1875</v>
      </c>
      <c r="B44" s="1" t="s">
        <v>503</v>
      </c>
      <c r="C44" s="1" t="s">
        <v>1103</v>
      </c>
      <c r="D44" s="2">
        <f>+251933773934</f>
        <v>251933773934</v>
      </c>
      <c r="E44" s="1" t="s">
        <v>33</v>
      </c>
      <c r="F44" s="1" t="s">
        <v>65</v>
      </c>
    </row>
    <row r="45">
      <c r="A45" s="1" t="s">
        <v>1886</v>
      </c>
      <c r="B45" s="1" t="s">
        <v>1887</v>
      </c>
      <c r="C45" s="1" t="s">
        <v>141</v>
      </c>
      <c r="D45" s="2">
        <f>+251939587074</f>
        <v>251939587074</v>
      </c>
      <c r="E45" s="1" t="s">
        <v>33</v>
      </c>
      <c r="F45" s="1" t="s">
        <v>34</v>
      </c>
    </row>
    <row r="46">
      <c r="A46" s="1" t="s">
        <v>1888</v>
      </c>
      <c r="B46" s="1" t="s">
        <v>1128</v>
      </c>
      <c r="C46" s="1" t="s">
        <v>1889</v>
      </c>
      <c r="D46" s="2">
        <f>+251978118074</f>
        <v>251978118074</v>
      </c>
      <c r="E46" s="1" t="s">
        <v>33</v>
      </c>
      <c r="F46" s="1" t="s">
        <v>166</v>
      </c>
    </row>
    <row r="47">
      <c r="A47" s="1" t="s">
        <v>1893</v>
      </c>
      <c r="B47" s="1" t="s">
        <v>620</v>
      </c>
      <c r="C47" s="1" t="s">
        <v>1894</v>
      </c>
      <c r="D47" s="2">
        <f>+251900877473</f>
        <v>251900877473</v>
      </c>
      <c r="E47" s="1" t="s">
        <v>33</v>
      </c>
      <c r="F47" s="1" t="s">
        <v>65</v>
      </c>
    </row>
    <row r="48">
      <c r="A48" s="1" t="s">
        <v>1900</v>
      </c>
      <c r="B48" s="1" t="s">
        <v>1901</v>
      </c>
      <c r="C48" s="1" t="s">
        <v>1902</v>
      </c>
      <c r="D48" s="2">
        <f>+251921421804</f>
        <v>251921421804</v>
      </c>
      <c r="E48" s="1" t="s">
        <v>33</v>
      </c>
      <c r="F48" s="1" t="s">
        <v>65</v>
      </c>
    </row>
    <row r="49">
      <c r="A49" s="1" t="s">
        <v>1905</v>
      </c>
      <c r="B49" s="1" t="s">
        <v>1906</v>
      </c>
      <c r="C49" s="1" t="s">
        <v>1907</v>
      </c>
      <c r="D49" s="2">
        <f>+12047468628</f>
        <v>12047468628</v>
      </c>
      <c r="E49" s="1" t="s">
        <v>33</v>
      </c>
      <c r="F49" s="1" t="s">
        <v>34</v>
      </c>
    </row>
    <row r="50">
      <c r="A50" s="1" t="s">
        <v>1918</v>
      </c>
      <c r="B50" s="1" t="s">
        <v>1919</v>
      </c>
      <c r="C50" s="1" t="s">
        <v>1920</v>
      </c>
      <c r="D50" s="2">
        <f>+251908296580</f>
        <v>251908296580</v>
      </c>
      <c r="E50" s="1" t="s">
        <v>33</v>
      </c>
      <c r="F50" s="1" t="s">
        <v>166</v>
      </c>
    </row>
    <row r="51">
      <c r="A51" s="7" t="s">
        <v>1925</v>
      </c>
      <c r="B51" s="7" t="s">
        <v>1926</v>
      </c>
      <c r="C51" s="7" t="s">
        <v>1927</v>
      </c>
      <c r="D51" s="8">
        <f>+251900718848</f>
        <v>251900718848</v>
      </c>
      <c r="E51" s="7" t="s">
        <v>33</v>
      </c>
      <c r="F51" s="7" t="s">
        <v>65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>
      <c r="A52" s="1" t="s">
        <v>1932</v>
      </c>
      <c r="B52" s="1" t="s">
        <v>1933</v>
      </c>
      <c r="C52" s="1" t="s">
        <v>1934</v>
      </c>
      <c r="D52" s="2">
        <f>+251975861812</f>
        <v>251975861812</v>
      </c>
      <c r="E52" s="1" t="s">
        <v>33</v>
      </c>
      <c r="F52" s="1" t="s">
        <v>65</v>
      </c>
    </row>
    <row r="53">
      <c r="A53" s="1" t="s">
        <v>1935</v>
      </c>
      <c r="B53" s="1" t="s">
        <v>1936</v>
      </c>
      <c r="C53" s="1" t="s">
        <v>948</v>
      </c>
      <c r="D53" s="2">
        <f>+251914159021</f>
        <v>251914159021</v>
      </c>
      <c r="E53" s="1" t="s">
        <v>33</v>
      </c>
      <c r="F53" s="1" t="s">
        <v>166</v>
      </c>
    </row>
    <row r="54">
      <c r="A54" s="1" t="s">
        <v>1941</v>
      </c>
      <c r="B54" s="1" t="s">
        <v>1942</v>
      </c>
      <c r="C54" s="1" t="s">
        <v>420</v>
      </c>
      <c r="D54" s="2">
        <f>+251923091711</f>
        <v>251923091711</v>
      </c>
      <c r="E54" s="1" t="s">
        <v>33</v>
      </c>
      <c r="F54" s="1" t="s">
        <v>118</v>
      </c>
    </row>
    <row r="55">
      <c r="A55" s="1" t="s">
        <v>1957</v>
      </c>
      <c r="B55" s="1" t="s">
        <v>1958</v>
      </c>
      <c r="C55" s="1" t="s">
        <v>1959</v>
      </c>
      <c r="D55" s="2">
        <f>+251994635037</f>
        <v>251994635037</v>
      </c>
      <c r="E55" s="1" t="s">
        <v>33</v>
      </c>
      <c r="F55" s="1" t="s">
        <v>166</v>
      </c>
    </row>
    <row r="56">
      <c r="A56" s="1" t="s">
        <v>1960</v>
      </c>
      <c r="B56" s="1" t="s">
        <v>1961</v>
      </c>
      <c r="C56" s="1" t="s">
        <v>1962</v>
      </c>
      <c r="D56" s="2">
        <f>+251939499298</f>
        <v>251939499298</v>
      </c>
      <c r="E56" s="1" t="s">
        <v>33</v>
      </c>
      <c r="F56" s="1" t="s">
        <v>34</v>
      </c>
    </row>
    <row r="57">
      <c r="A57" s="1" t="s">
        <v>1973</v>
      </c>
      <c r="B57" s="1" t="s">
        <v>1974</v>
      </c>
      <c r="C57" s="1" t="s">
        <v>1975</v>
      </c>
      <c r="D57" s="2">
        <f>+251941414360</f>
        <v>251941414360</v>
      </c>
      <c r="E57" s="1" t="s">
        <v>33</v>
      </c>
      <c r="F57" s="1" t="s">
        <v>76</v>
      </c>
    </row>
    <row r="58">
      <c r="A58" s="1" t="s">
        <v>1978</v>
      </c>
      <c r="B58" s="1" t="s">
        <v>534</v>
      </c>
      <c r="C58" s="1" t="s">
        <v>1979</v>
      </c>
      <c r="D58" s="2">
        <f>+251970793273</f>
        <v>251970793273</v>
      </c>
      <c r="E58" s="1" t="s">
        <v>33</v>
      </c>
      <c r="F58" s="1" t="s">
        <v>34</v>
      </c>
    </row>
    <row r="59">
      <c r="A59" s="1" t="s">
        <v>1982</v>
      </c>
      <c r="B59" s="1" t="s">
        <v>1983</v>
      </c>
      <c r="C59" s="1" t="s">
        <v>1984</v>
      </c>
      <c r="D59" s="2">
        <f>+251902923434</f>
        <v>251902923434</v>
      </c>
      <c r="E59" s="1" t="s">
        <v>33</v>
      </c>
      <c r="F59" s="1" t="s">
        <v>65</v>
      </c>
    </row>
    <row r="60">
      <c r="A60" s="1" t="s">
        <v>1987</v>
      </c>
      <c r="B60" s="1" t="s">
        <v>1988</v>
      </c>
      <c r="C60" s="1" t="s">
        <v>595</v>
      </c>
      <c r="D60" s="1">
        <v>9.46353834E8</v>
      </c>
      <c r="E60" s="1" t="s">
        <v>33</v>
      </c>
      <c r="F60" s="1" t="s">
        <v>177</v>
      </c>
    </row>
    <row r="61">
      <c r="A61" s="1" t="s">
        <v>1989</v>
      </c>
      <c r="B61" s="1" t="s">
        <v>509</v>
      </c>
      <c r="C61" s="1" t="s">
        <v>1990</v>
      </c>
      <c r="D61" s="2">
        <f>+251941877830</f>
        <v>251941877830</v>
      </c>
      <c r="E61" s="1" t="s">
        <v>33</v>
      </c>
      <c r="F61" s="1" t="s">
        <v>65</v>
      </c>
    </row>
    <row r="62">
      <c r="A62" s="1" t="s">
        <v>1994</v>
      </c>
      <c r="B62" s="1" t="s">
        <v>1995</v>
      </c>
      <c r="C62" s="1" t="s">
        <v>1996</v>
      </c>
      <c r="D62" s="2">
        <f>+251912393549</f>
        <v>251912393549</v>
      </c>
      <c r="E62" s="1" t="s">
        <v>33</v>
      </c>
      <c r="F62" s="1" t="s">
        <v>118</v>
      </c>
    </row>
    <row r="63">
      <c r="A63" s="1" t="s">
        <v>2007</v>
      </c>
      <c r="B63" s="1" t="s">
        <v>250</v>
      </c>
      <c r="C63" s="1" t="s">
        <v>272</v>
      </c>
      <c r="D63" s="2">
        <f>+251994781417</f>
        <v>251994781417</v>
      </c>
      <c r="E63" s="1" t="s">
        <v>33</v>
      </c>
      <c r="F63" s="1" t="s">
        <v>65</v>
      </c>
    </row>
    <row r="64">
      <c r="A64" s="1" t="s">
        <v>2012</v>
      </c>
      <c r="B64" s="1" t="s">
        <v>1310</v>
      </c>
      <c r="C64" s="1" t="s">
        <v>2013</v>
      </c>
      <c r="D64" s="2">
        <f>+251920995077</f>
        <v>251920995077</v>
      </c>
      <c r="E64" s="1" t="s">
        <v>33</v>
      </c>
      <c r="F64" s="1" t="s">
        <v>34</v>
      </c>
    </row>
    <row r="65">
      <c r="A65" s="1" t="s">
        <v>2014</v>
      </c>
      <c r="B65" s="1" t="s">
        <v>2015</v>
      </c>
      <c r="C65" s="1" t="s">
        <v>195</v>
      </c>
      <c r="D65" s="2">
        <f>+251716290733</f>
        <v>251716290733</v>
      </c>
      <c r="E65" s="1" t="s">
        <v>33</v>
      </c>
      <c r="F65" s="1" t="s">
        <v>65</v>
      </c>
    </row>
    <row r="66">
      <c r="A66" s="1" t="s">
        <v>2016</v>
      </c>
      <c r="B66" s="1" t="s">
        <v>2017</v>
      </c>
      <c r="C66" s="1" t="s">
        <v>1376</v>
      </c>
      <c r="D66" s="2">
        <f>+251919597733</f>
        <v>251919597733</v>
      </c>
      <c r="E66" s="1" t="s">
        <v>33</v>
      </c>
      <c r="F66" s="1" t="s">
        <v>65</v>
      </c>
    </row>
    <row r="67">
      <c r="A67" s="1" t="s">
        <v>2024</v>
      </c>
      <c r="B67" s="1" t="s">
        <v>2025</v>
      </c>
      <c r="C67" s="1" t="s">
        <v>91</v>
      </c>
      <c r="D67" s="2">
        <f>+251960308181</f>
        <v>251960308181</v>
      </c>
      <c r="E67" s="1" t="s">
        <v>33</v>
      </c>
      <c r="F67" s="1" t="s">
        <v>166</v>
      </c>
    </row>
    <row r="68">
      <c r="A68" s="1" t="s">
        <v>2027</v>
      </c>
      <c r="B68" s="1" t="s">
        <v>2028</v>
      </c>
      <c r="C68" s="1" t="s">
        <v>1601</v>
      </c>
      <c r="D68" s="2">
        <f>+251969691452</f>
        <v>251969691452</v>
      </c>
      <c r="E68" s="1" t="s">
        <v>33</v>
      </c>
      <c r="F68" s="1" t="s">
        <v>34</v>
      </c>
    </row>
    <row r="69">
      <c r="A69" s="1" t="s">
        <v>2035</v>
      </c>
      <c r="B69" s="1" t="s">
        <v>2036</v>
      </c>
      <c r="C69" s="1" t="s">
        <v>2037</v>
      </c>
      <c r="D69" s="2">
        <f>+251984386262</f>
        <v>251984386262</v>
      </c>
      <c r="E69" s="1" t="s">
        <v>33</v>
      </c>
      <c r="F69" s="1" t="s">
        <v>177</v>
      </c>
    </row>
    <row r="70">
      <c r="A70" s="1" t="s">
        <v>2051</v>
      </c>
      <c r="B70" s="1" t="s">
        <v>2052</v>
      </c>
      <c r="C70" s="1" t="s">
        <v>130</v>
      </c>
      <c r="D70" s="1">
        <v>9.68608134E8</v>
      </c>
      <c r="E70" s="1" t="s">
        <v>33</v>
      </c>
      <c r="F70" s="1" t="s">
        <v>166</v>
      </c>
    </row>
    <row r="71">
      <c r="A71" s="1" t="s">
        <v>2053</v>
      </c>
      <c r="B71" s="1" t="s">
        <v>2054</v>
      </c>
      <c r="C71" s="1" t="s">
        <v>2055</v>
      </c>
      <c r="D71" s="2">
        <f>+251945837272</f>
        <v>251945837272</v>
      </c>
      <c r="E71" s="1" t="s">
        <v>33</v>
      </c>
      <c r="F71" s="1" t="s">
        <v>118</v>
      </c>
    </row>
    <row r="72">
      <c r="A72" s="1" t="s">
        <v>2056</v>
      </c>
      <c r="B72" s="1" t="s">
        <v>2057</v>
      </c>
      <c r="C72" s="1" t="s">
        <v>2058</v>
      </c>
      <c r="D72" s="2">
        <f>+251912037178</f>
        <v>251912037178</v>
      </c>
      <c r="E72" s="1" t="s">
        <v>33</v>
      </c>
      <c r="F72" s="1" t="s">
        <v>65</v>
      </c>
    </row>
    <row r="73">
      <c r="A73" s="1" t="s">
        <v>2064</v>
      </c>
      <c r="B73" s="1" t="s">
        <v>2065</v>
      </c>
      <c r="C73" s="1" t="s">
        <v>896</v>
      </c>
      <c r="D73" s="2">
        <f>+251946411534</f>
        <v>251946411534</v>
      </c>
      <c r="E73" s="1" t="s">
        <v>33</v>
      </c>
      <c r="F73" s="1" t="s">
        <v>34</v>
      </c>
    </row>
    <row r="74">
      <c r="A74" s="1" t="s">
        <v>2069</v>
      </c>
      <c r="B74" s="1" t="s">
        <v>2070</v>
      </c>
      <c r="C74" s="1" t="s">
        <v>2071</v>
      </c>
      <c r="D74" s="2">
        <f>+251943321944</f>
        <v>251943321944</v>
      </c>
      <c r="E74" s="1" t="s">
        <v>33</v>
      </c>
      <c r="F74" s="1" t="s">
        <v>65</v>
      </c>
    </row>
    <row r="75">
      <c r="A75" s="1" t="s">
        <v>2074</v>
      </c>
      <c r="B75" s="1" t="s">
        <v>29</v>
      </c>
      <c r="C75" s="1" t="s">
        <v>2075</v>
      </c>
      <c r="D75" s="2">
        <f>+251923989880</f>
        <v>251923989880</v>
      </c>
      <c r="E75" s="1" t="s">
        <v>33</v>
      </c>
      <c r="F75" s="1" t="s">
        <v>177</v>
      </c>
    </row>
    <row r="76">
      <c r="A76" s="1" t="s">
        <v>2079</v>
      </c>
      <c r="B76" s="1" t="s">
        <v>2080</v>
      </c>
      <c r="C76" s="1" t="s">
        <v>2081</v>
      </c>
      <c r="D76" s="2">
        <f>+251928072970</f>
        <v>251928072970</v>
      </c>
      <c r="E76" s="1" t="s">
        <v>33</v>
      </c>
      <c r="F76" s="1" t="s">
        <v>177</v>
      </c>
    </row>
    <row r="77">
      <c r="A77" s="1" t="s">
        <v>2088</v>
      </c>
      <c r="B77" s="1" t="s">
        <v>213</v>
      </c>
      <c r="C77" s="1" t="s">
        <v>2089</v>
      </c>
      <c r="D77" s="2">
        <f>+251927211608</f>
        <v>251927211608</v>
      </c>
      <c r="E77" s="1" t="s">
        <v>33</v>
      </c>
      <c r="F77" s="1" t="s">
        <v>65</v>
      </c>
    </row>
    <row r="78">
      <c r="A78" s="1" t="s">
        <v>2101</v>
      </c>
      <c r="B78" s="1" t="s">
        <v>2102</v>
      </c>
      <c r="C78" s="1" t="s">
        <v>2103</v>
      </c>
      <c r="D78" s="1">
        <v>9.18967758E8</v>
      </c>
      <c r="E78" s="1" t="s">
        <v>33</v>
      </c>
      <c r="F78" s="1" t="s">
        <v>65</v>
      </c>
    </row>
    <row r="79">
      <c r="A79" s="1" t="s">
        <v>2104</v>
      </c>
      <c r="B79" s="1" t="s">
        <v>771</v>
      </c>
      <c r="C79" s="1" t="s">
        <v>2105</v>
      </c>
      <c r="D79" s="2">
        <f>+251985726964</f>
        <v>251985726964</v>
      </c>
      <c r="E79" s="1" t="s">
        <v>33</v>
      </c>
      <c r="F79" s="1" t="s">
        <v>76</v>
      </c>
    </row>
    <row r="80">
      <c r="A80" s="1" t="s">
        <v>2106</v>
      </c>
      <c r="B80" s="1" t="s">
        <v>2107</v>
      </c>
      <c r="C80" s="1" t="s">
        <v>744</v>
      </c>
      <c r="D80" s="2">
        <f>+251923043154</f>
        <v>251923043154</v>
      </c>
      <c r="E80" s="1" t="s">
        <v>33</v>
      </c>
      <c r="F80" s="1" t="s">
        <v>166</v>
      </c>
    </row>
    <row r="81">
      <c r="A81" s="1" t="s">
        <v>2110</v>
      </c>
      <c r="B81" s="1" t="s">
        <v>2111</v>
      </c>
      <c r="C81" s="1" t="s">
        <v>2112</v>
      </c>
      <c r="D81" s="2">
        <f>+251905146563</f>
        <v>251905146563</v>
      </c>
      <c r="E81" s="1" t="s">
        <v>33</v>
      </c>
      <c r="F81" s="1" t="s">
        <v>65</v>
      </c>
    </row>
    <row r="82">
      <c r="A82" s="1" t="s">
        <v>2116</v>
      </c>
      <c r="B82" s="1" t="s">
        <v>2117</v>
      </c>
      <c r="C82" s="1" t="s">
        <v>405</v>
      </c>
      <c r="D82" s="2">
        <f>+251979382872</f>
        <v>251979382872</v>
      </c>
      <c r="E82" s="1" t="s">
        <v>33</v>
      </c>
      <c r="F82" s="1" t="s">
        <v>166</v>
      </c>
    </row>
    <row r="83">
      <c r="A83" s="1" t="s">
        <v>2124</v>
      </c>
      <c r="B83" s="1" t="s">
        <v>500</v>
      </c>
      <c r="C83" s="1" t="s">
        <v>328</v>
      </c>
      <c r="D83" s="2">
        <f>+251985962697</f>
        <v>251985962697</v>
      </c>
      <c r="E83" s="1" t="s">
        <v>33</v>
      </c>
      <c r="F83" s="1" t="s">
        <v>34</v>
      </c>
    </row>
    <row r="84">
      <c r="A84" s="1" t="s">
        <v>2130</v>
      </c>
      <c r="B84" s="1" t="s">
        <v>1848</v>
      </c>
      <c r="C84" s="1" t="s">
        <v>241</v>
      </c>
      <c r="D84" s="2">
        <f>+251985914476</f>
        <v>251985914476</v>
      </c>
      <c r="E84" s="1" t="s">
        <v>33</v>
      </c>
      <c r="F84" s="1" t="s">
        <v>65</v>
      </c>
    </row>
    <row r="85">
      <c r="A85" s="1" t="s">
        <v>2143</v>
      </c>
      <c r="B85" s="1" t="s">
        <v>60</v>
      </c>
      <c r="C85" s="1" t="s">
        <v>1827</v>
      </c>
      <c r="D85" s="2">
        <f>+251988168953</f>
        <v>251988168953</v>
      </c>
      <c r="E85" s="1" t="s">
        <v>33</v>
      </c>
      <c r="F85" s="1" t="s">
        <v>65</v>
      </c>
    </row>
    <row r="86">
      <c r="A86" s="1" t="s">
        <v>1552</v>
      </c>
      <c r="B86" s="1" t="s">
        <v>1553</v>
      </c>
      <c r="C86" s="1" t="s">
        <v>716</v>
      </c>
      <c r="D86" s="2">
        <f>+251936635548</f>
        <v>251936635548</v>
      </c>
      <c r="E86" s="1" t="s">
        <v>33</v>
      </c>
      <c r="F86" s="1" t="s">
        <v>65</v>
      </c>
    </row>
    <row r="87">
      <c r="A87" s="1" t="s">
        <v>2165</v>
      </c>
      <c r="B87" s="1" t="s">
        <v>1909</v>
      </c>
      <c r="C87" s="1" t="s">
        <v>420</v>
      </c>
      <c r="D87" s="2">
        <f>+251992160469</f>
        <v>251992160469</v>
      </c>
      <c r="E87" s="1" t="s">
        <v>33</v>
      </c>
      <c r="F87" s="1" t="s">
        <v>76</v>
      </c>
    </row>
    <row r="88">
      <c r="A88" s="5" t="s">
        <v>1489</v>
      </c>
      <c r="B88" s="5" t="s">
        <v>1487</v>
      </c>
      <c r="C88" s="5" t="s">
        <v>1490</v>
      </c>
      <c r="D88" s="6">
        <f>+251988222261</f>
        <v>251988222261</v>
      </c>
      <c r="E88" s="5" t="s">
        <v>33</v>
      </c>
      <c r="F88" s="5" t="s">
        <v>166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1" t="s">
        <v>1647</v>
      </c>
      <c r="B89" s="1" t="s">
        <v>1648</v>
      </c>
      <c r="C89" s="1" t="s">
        <v>1649</v>
      </c>
      <c r="D89" s="2">
        <f>+251965039124</f>
        <v>251965039124</v>
      </c>
      <c r="E89" s="1" t="s">
        <v>21</v>
      </c>
    </row>
    <row r="90">
      <c r="A90" s="1" t="s">
        <v>1653</v>
      </c>
      <c r="B90" s="1" t="s">
        <v>1654</v>
      </c>
      <c r="C90" s="1" t="s">
        <v>1542</v>
      </c>
      <c r="D90" s="1">
        <v>9.42201314E8</v>
      </c>
      <c r="E90" s="1" t="s">
        <v>21</v>
      </c>
    </row>
    <row r="91">
      <c r="A91" s="1" t="s">
        <v>1658</v>
      </c>
      <c r="B91" s="1" t="s">
        <v>1659</v>
      </c>
      <c r="C91" s="1" t="s">
        <v>1660</v>
      </c>
      <c r="D91" s="2">
        <f>+251910736415</f>
        <v>251910736415</v>
      </c>
      <c r="E91" s="1" t="s">
        <v>21</v>
      </c>
    </row>
    <row r="92">
      <c r="A92" s="1" t="s">
        <v>1661</v>
      </c>
      <c r="B92" s="1" t="s">
        <v>1662</v>
      </c>
      <c r="C92" s="1" t="s">
        <v>1663</v>
      </c>
      <c r="D92" s="2">
        <f>+112121212</f>
        <v>112121212</v>
      </c>
      <c r="E92" s="1" t="s">
        <v>21</v>
      </c>
    </row>
    <row r="93">
      <c r="A93" s="1" t="s">
        <v>1668</v>
      </c>
      <c r="B93" s="1" t="s">
        <v>1669</v>
      </c>
      <c r="C93" s="1" t="s">
        <v>1670</v>
      </c>
      <c r="D93" s="2">
        <f>+251917066443</f>
        <v>251917066443</v>
      </c>
      <c r="E93" s="1" t="s">
        <v>21</v>
      </c>
    </row>
    <row r="94">
      <c r="A94" s="1" t="s">
        <v>1671</v>
      </c>
      <c r="B94" s="1" t="s">
        <v>1672</v>
      </c>
      <c r="C94" s="1" t="s">
        <v>1673</v>
      </c>
      <c r="D94" s="2">
        <f>+251921305689</f>
        <v>251921305689</v>
      </c>
      <c r="E94" s="1" t="s">
        <v>21</v>
      </c>
    </row>
    <row r="95">
      <c r="A95" s="1" t="s">
        <v>1677</v>
      </c>
      <c r="B95" s="1" t="s">
        <v>1678</v>
      </c>
      <c r="C95" s="1" t="s">
        <v>1679</v>
      </c>
      <c r="D95" s="2">
        <f>+251934372002</f>
        <v>251934372002</v>
      </c>
      <c r="E95" s="1" t="s">
        <v>21</v>
      </c>
    </row>
    <row r="96">
      <c r="A96" s="1" t="s">
        <v>1683</v>
      </c>
      <c r="B96" s="1" t="s">
        <v>1684</v>
      </c>
      <c r="C96" s="1" t="s">
        <v>707</v>
      </c>
      <c r="D96" s="1">
        <v>2.51983944225E11</v>
      </c>
      <c r="E96" s="1" t="s">
        <v>21</v>
      </c>
    </row>
    <row r="97">
      <c r="A97" s="1" t="s">
        <v>1685</v>
      </c>
      <c r="B97" s="1" t="s">
        <v>1676</v>
      </c>
      <c r="C97" s="1" t="s">
        <v>1676</v>
      </c>
      <c r="D97" s="1">
        <v>9.25962096E8</v>
      </c>
      <c r="E97" s="1" t="s">
        <v>21</v>
      </c>
    </row>
    <row r="98">
      <c r="A98" s="1" t="s">
        <v>1686</v>
      </c>
      <c r="B98" s="1" t="s">
        <v>1687</v>
      </c>
      <c r="C98" s="1" t="s">
        <v>1688</v>
      </c>
      <c r="D98" s="1">
        <v>2.51939071736E11</v>
      </c>
      <c r="E98" s="1" t="s">
        <v>21</v>
      </c>
    </row>
    <row r="99">
      <c r="A99" s="1" t="s">
        <v>1689</v>
      </c>
      <c r="B99" s="1" t="s">
        <v>1690</v>
      </c>
      <c r="C99" s="1" t="s">
        <v>1691</v>
      </c>
      <c r="D99" s="2">
        <f>+251910934708</f>
        <v>251910934708</v>
      </c>
      <c r="E99" s="1" t="s">
        <v>21</v>
      </c>
    </row>
    <row r="100">
      <c r="A100" s="1" t="s">
        <v>1694</v>
      </c>
      <c r="B100" s="1" t="s">
        <v>1695</v>
      </c>
      <c r="C100" s="1" t="s">
        <v>375</v>
      </c>
      <c r="D100" s="1">
        <v>9.54906244E8</v>
      </c>
      <c r="E100" s="1" t="s">
        <v>21</v>
      </c>
    </row>
    <row r="101">
      <c r="A101" s="1" t="s">
        <v>1696</v>
      </c>
      <c r="B101" s="1" t="s">
        <v>286</v>
      </c>
      <c r="C101" s="1" t="s">
        <v>859</v>
      </c>
      <c r="D101" s="2">
        <f>+251986092139</f>
        <v>251986092139</v>
      </c>
      <c r="E101" s="1" t="s">
        <v>21</v>
      </c>
    </row>
    <row r="102">
      <c r="A102" s="1" t="s">
        <v>1697</v>
      </c>
      <c r="B102" s="1" t="s">
        <v>1698</v>
      </c>
      <c r="C102" s="1" t="s">
        <v>1699</v>
      </c>
      <c r="D102" s="1" t="s">
        <v>1700</v>
      </c>
      <c r="E102" s="1" t="s">
        <v>21</v>
      </c>
    </row>
    <row r="103">
      <c r="A103" s="1" t="s">
        <v>1703</v>
      </c>
      <c r="B103" s="1" t="s">
        <v>101</v>
      </c>
      <c r="C103" s="1" t="s">
        <v>361</v>
      </c>
      <c r="D103" s="2">
        <f>+251911739506</f>
        <v>251911739506</v>
      </c>
      <c r="E103" s="1" t="s">
        <v>21</v>
      </c>
    </row>
    <row r="104">
      <c r="A104" s="1" t="s">
        <v>1704</v>
      </c>
      <c r="B104" s="1" t="s">
        <v>935</v>
      </c>
      <c r="C104" s="1" t="s">
        <v>108</v>
      </c>
      <c r="D104" s="2">
        <f>+251936657024</f>
        <v>251936657024</v>
      </c>
      <c r="E104" s="1" t="s">
        <v>21</v>
      </c>
    </row>
    <row r="105">
      <c r="A105" s="1" t="s">
        <v>1705</v>
      </c>
      <c r="B105" s="1" t="s">
        <v>1706</v>
      </c>
      <c r="C105" s="1" t="s">
        <v>195</v>
      </c>
      <c r="D105" s="2">
        <f>+251934734658</f>
        <v>251934734658</v>
      </c>
      <c r="E105" s="1" t="s">
        <v>21</v>
      </c>
    </row>
    <row r="106">
      <c r="A106" s="1" t="s">
        <v>1710</v>
      </c>
      <c r="B106" s="1" t="s">
        <v>294</v>
      </c>
      <c r="C106" s="1" t="s">
        <v>620</v>
      </c>
      <c r="D106" s="2">
        <f>+251931713621</f>
        <v>251931713621</v>
      </c>
      <c r="E106" s="1" t="s">
        <v>21</v>
      </c>
    </row>
    <row r="107">
      <c r="A107" s="1" t="s">
        <v>1711</v>
      </c>
      <c r="B107" s="1" t="s">
        <v>37</v>
      </c>
      <c r="C107" s="1" t="s">
        <v>867</v>
      </c>
      <c r="D107" s="1">
        <v>9.83094987E8</v>
      </c>
      <c r="E107" s="1" t="s">
        <v>21</v>
      </c>
    </row>
    <row r="108">
      <c r="A108" s="1" t="s">
        <v>1712</v>
      </c>
      <c r="B108" s="1" t="s">
        <v>1713</v>
      </c>
      <c r="C108" s="1" t="s">
        <v>1714</v>
      </c>
      <c r="D108" s="2">
        <f>+251963190677</f>
        <v>251963190677</v>
      </c>
      <c r="E108" s="1" t="s">
        <v>21</v>
      </c>
    </row>
    <row r="109">
      <c r="A109" s="1" t="s">
        <v>1715</v>
      </c>
      <c r="B109" s="1" t="s">
        <v>1716</v>
      </c>
      <c r="C109" s="1" t="s">
        <v>1717</v>
      </c>
      <c r="D109" s="2">
        <f>+251938047624</f>
        <v>251938047624</v>
      </c>
      <c r="E109" s="1" t="s">
        <v>21</v>
      </c>
    </row>
    <row r="110">
      <c r="A110" s="1" t="s">
        <v>1722</v>
      </c>
      <c r="B110" s="1" t="s">
        <v>750</v>
      </c>
      <c r="C110" s="1" t="s">
        <v>363</v>
      </c>
      <c r="D110" s="2">
        <f>+251915941020</f>
        <v>251915941020</v>
      </c>
      <c r="E110" s="1" t="s">
        <v>21</v>
      </c>
    </row>
    <row r="111">
      <c r="A111" s="1" t="s">
        <v>1723</v>
      </c>
      <c r="B111" s="1" t="s">
        <v>1724</v>
      </c>
      <c r="C111" s="1" t="s">
        <v>1725</v>
      </c>
      <c r="D111" s="2">
        <f>+251938334197</f>
        <v>251938334197</v>
      </c>
      <c r="E111" s="1" t="s">
        <v>21</v>
      </c>
    </row>
    <row r="112">
      <c r="A112" s="1" t="s">
        <v>1726</v>
      </c>
      <c r="B112" s="1" t="s">
        <v>1727</v>
      </c>
      <c r="C112" s="1" t="s">
        <v>1728</v>
      </c>
      <c r="D112" s="2">
        <f>+251989686984</f>
        <v>251989686984</v>
      </c>
      <c r="E112" s="1" t="s">
        <v>21</v>
      </c>
    </row>
    <row r="113">
      <c r="A113" s="1" t="s">
        <v>1729</v>
      </c>
      <c r="B113" s="1" t="s">
        <v>1730</v>
      </c>
      <c r="C113" s="1" t="s">
        <v>1731</v>
      </c>
      <c r="D113" s="2">
        <f>+251912461642</f>
        <v>251912461642</v>
      </c>
      <c r="E113" s="1" t="s">
        <v>21</v>
      </c>
    </row>
    <row r="114">
      <c r="A114" s="1" t="s">
        <v>1732</v>
      </c>
      <c r="B114" s="1" t="s">
        <v>944</v>
      </c>
      <c r="C114" s="1" t="s">
        <v>817</v>
      </c>
      <c r="D114" s="2">
        <f>+251945808838</f>
        <v>251945808838</v>
      </c>
      <c r="E114" s="1" t="s">
        <v>21</v>
      </c>
    </row>
    <row r="115">
      <c r="A115" s="1" t="s">
        <v>1733</v>
      </c>
      <c r="B115" s="1" t="s">
        <v>1734</v>
      </c>
      <c r="C115" s="1" t="s">
        <v>633</v>
      </c>
      <c r="D115" s="2">
        <f>+251923644694</f>
        <v>251923644694</v>
      </c>
      <c r="E115" s="1" t="s">
        <v>21</v>
      </c>
    </row>
    <row r="116">
      <c r="A116" s="1" t="s">
        <v>1735</v>
      </c>
      <c r="B116" s="1" t="s">
        <v>447</v>
      </c>
      <c r="C116" s="1" t="s">
        <v>1736</v>
      </c>
      <c r="D116" s="2">
        <f>+25191202044</f>
        <v>25191202044</v>
      </c>
      <c r="E116" s="1" t="s">
        <v>21</v>
      </c>
    </row>
    <row r="117">
      <c r="A117" s="1" t="s">
        <v>1740</v>
      </c>
      <c r="B117" s="1" t="s">
        <v>1741</v>
      </c>
      <c r="C117" s="1" t="s">
        <v>363</v>
      </c>
      <c r="D117" s="2">
        <f>+251964033339</f>
        <v>251964033339</v>
      </c>
      <c r="E117" s="1" t="s">
        <v>21</v>
      </c>
    </row>
    <row r="118">
      <c r="A118" s="1" t="s">
        <v>1742</v>
      </c>
      <c r="B118" s="1" t="s">
        <v>1743</v>
      </c>
      <c r="C118" s="1" t="s">
        <v>189</v>
      </c>
      <c r="D118" s="2">
        <f>+251947892090</f>
        <v>251947892090</v>
      </c>
      <c r="E118" s="1" t="s">
        <v>21</v>
      </c>
    </row>
    <row r="119">
      <c r="A119" s="1" t="s">
        <v>1744</v>
      </c>
      <c r="B119" s="1" t="s">
        <v>1745</v>
      </c>
      <c r="C119" s="1" t="s">
        <v>1746</v>
      </c>
      <c r="D119" s="2">
        <f>+251930626364</f>
        <v>251930626364</v>
      </c>
      <c r="E119" s="1" t="s">
        <v>21</v>
      </c>
    </row>
    <row r="120">
      <c r="A120" s="1" t="s">
        <v>1747</v>
      </c>
      <c r="B120" s="1" t="s">
        <v>420</v>
      </c>
      <c r="C120" s="1" t="s">
        <v>1748</v>
      </c>
      <c r="D120" s="2">
        <f>+251938826782</f>
        <v>251938826782</v>
      </c>
      <c r="E120" s="1" t="s">
        <v>21</v>
      </c>
    </row>
    <row r="121">
      <c r="A121" s="1" t="s">
        <v>1749</v>
      </c>
      <c r="B121" s="1" t="s">
        <v>1750</v>
      </c>
      <c r="C121" s="1" t="s">
        <v>1751</v>
      </c>
      <c r="D121" s="2">
        <f>+251991136096</f>
        <v>251991136096</v>
      </c>
      <c r="E121" s="1" t="s">
        <v>21</v>
      </c>
    </row>
    <row r="122">
      <c r="A122" s="1" t="s">
        <v>1752</v>
      </c>
      <c r="B122" s="1" t="s">
        <v>1753</v>
      </c>
      <c r="C122" s="1" t="s">
        <v>1754</v>
      </c>
      <c r="D122" s="1">
        <v>9.12634556E8</v>
      </c>
      <c r="E122" s="1" t="s">
        <v>21</v>
      </c>
    </row>
    <row r="123">
      <c r="A123" s="1" t="s">
        <v>1758</v>
      </c>
      <c r="B123" s="1" t="s">
        <v>729</v>
      </c>
      <c r="C123" s="1" t="s">
        <v>319</v>
      </c>
      <c r="D123" s="2">
        <f>+251961549525</f>
        <v>251961549525</v>
      </c>
      <c r="E123" s="1" t="s">
        <v>21</v>
      </c>
    </row>
    <row r="124">
      <c r="A124" s="1" t="s">
        <v>1759</v>
      </c>
      <c r="B124" s="1" t="s">
        <v>286</v>
      </c>
      <c r="C124" s="1" t="s">
        <v>1760</v>
      </c>
      <c r="D124" s="2">
        <f>+251985353099</f>
        <v>251985353099</v>
      </c>
      <c r="E124" s="1" t="s">
        <v>21</v>
      </c>
    </row>
    <row r="125">
      <c r="A125" s="1" t="s">
        <v>1764</v>
      </c>
      <c r="B125" s="1" t="s">
        <v>867</v>
      </c>
      <c r="C125" s="1" t="s">
        <v>1765</v>
      </c>
      <c r="D125" s="1">
        <v>9.60282207E8</v>
      </c>
      <c r="E125" s="1" t="s">
        <v>21</v>
      </c>
    </row>
    <row r="126">
      <c r="A126" s="1" t="s">
        <v>1766</v>
      </c>
      <c r="B126" s="1" t="s">
        <v>1767</v>
      </c>
      <c r="C126" s="1" t="s">
        <v>1768</v>
      </c>
      <c r="D126" s="2">
        <f>+251968918465</f>
        <v>251968918465</v>
      </c>
      <c r="E126" s="1" t="s">
        <v>21</v>
      </c>
    </row>
    <row r="127">
      <c r="A127" s="1" t="s">
        <v>1769</v>
      </c>
      <c r="B127" s="1" t="s">
        <v>116</v>
      </c>
      <c r="C127" s="1" t="s">
        <v>1770</v>
      </c>
      <c r="D127" s="2">
        <f>+251928058005</f>
        <v>251928058005</v>
      </c>
      <c r="E127" s="1" t="s">
        <v>21</v>
      </c>
    </row>
    <row r="128">
      <c r="A128" s="1" t="s">
        <v>1774</v>
      </c>
      <c r="B128" s="1" t="s">
        <v>1775</v>
      </c>
      <c r="C128" s="1" t="s">
        <v>316</v>
      </c>
      <c r="D128" s="2">
        <f>+251936679199</f>
        <v>251936679199</v>
      </c>
      <c r="E128" s="1" t="s">
        <v>21</v>
      </c>
    </row>
    <row r="129">
      <c r="A129" s="1" t="s">
        <v>1779</v>
      </c>
      <c r="B129" s="1" t="s">
        <v>1780</v>
      </c>
      <c r="C129" s="1" t="s">
        <v>1781</v>
      </c>
      <c r="D129" s="2">
        <f>+251953606092</f>
        <v>251953606092</v>
      </c>
      <c r="E129" s="1" t="s">
        <v>21</v>
      </c>
    </row>
    <row r="130">
      <c r="A130" s="1" t="s">
        <v>1782</v>
      </c>
      <c r="B130" s="1" t="s">
        <v>474</v>
      </c>
      <c r="C130" s="1" t="s">
        <v>1783</v>
      </c>
      <c r="D130" s="2">
        <f>+251917128077</f>
        <v>251917128077</v>
      </c>
      <c r="E130" s="1" t="s">
        <v>21</v>
      </c>
    </row>
    <row r="131">
      <c r="A131" s="1" t="s">
        <v>1784</v>
      </c>
      <c r="B131" s="1" t="s">
        <v>23</v>
      </c>
      <c r="C131" s="1" t="s">
        <v>1785</v>
      </c>
      <c r="D131" s="2">
        <f>+251915755444</f>
        <v>251915755444</v>
      </c>
      <c r="E131" s="1" t="s">
        <v>21</v>
      </c>
    </row>
    <row r="132">
      <c r="A132" s="1" t="s">
        <v>1786</v>
      </c>
      <c r="B132" s="1" t="s">
        <v>1304</v>
      </c>
      <c r="C132" s="1" t="s">
        <v>1787</v>
      </c>
      <c r="D132" s="2">
        <f>+251930611597</f>
        <v>251930611597</v>
      </c>
      <c r="E132" s="1" t="s">
        <v>21</v>
      </c>
    </row>
    <row r="133">
      <c r="A133" s="1" t="s">
        <v>1788</v>
      </c>
      <c r="B133" s="1" t="s">
        <v>184</v>
      </c>
      <c r="C133" s="1" t="s">
        <v>424</v>
      </c>
      <c r="D133" s="1">
        <v>9.01231362E8</v>
      </c>
      <c r="E133" s="1" t="s">
        <v>21</v>
      </c>
    </row>
    <row r="134">
      <c r="A134" s="1" t="s">
        <v>1789</v>
      </c>
      <c r="B134" s="1" t="s">
        <v>910</v>
      </c>
      <c r="C134" s="1" t="s">
        <v>1790</v>
      </c>
      <c r="D134" s="2">
        <f>+251929649207</f>
        <v>251929649207</v>
      </c>
      <c r="E134" s="1" t="s">
        <v>21</v>
      </c>
    </row>
    <row r="135">
      <c r="A135" s="1" t="s">
        <v>1793</v>
      </c>
      <c r="B135" s="1" t="s">
        <v>333</v>
      </c>
      <c r="C135" s="1" t="s">
        <v>1794</v>
      </c>
      <c r="D135" s="2">
        <f>+251970593635</f>
        <v>251970593635</v>
      </c>
      <c r="E135" s="1" t="s">
        <v>21</v>
      </c>
    </row>
    <row r="136">
      <c r="A136" s="1" t="s">
        <v>1795</v>
      </c>
      <c r="B136" s="1" t="s">
        <v>1796</v>
      </c>
      <c r="C136" s="1" t="s">
        <v>238</v>
      </c>
      <c r="D136" s="2">
        <f>+251996578420</f>
        <v>251996578420</v>
      </c>
      <c r="E136" s="1" t="s">
        <v>21</v>
      </c>
    </row>
    <row r="137">
      <c r="A137" s="1" t="s">
        <v>1797</v>
      </c>
      <c r="B137" s="1" t="s">
        <v>996</v>
      </c>
      <c r="C137" s="1" t="s">
        <v>1798</v>
      </c>
      <c r="D137" s="2">
        <f>+251910980990</f>
        <v>251910980990</v>
      </c>
      <c r="E137" s="1" t="s">
        <v>21</v>
      </c>
    </row>
    <row r="138">
      <c r="A138" s="1" t="s">
        <v>1800</v>
      </c>
      <c r="B138" s="1" t="s">
        <v>1801</v>
      </c>
      <c r="C138" s="1" t="s">
        <v>815</v>
      </c>
      <c r="D138" s="2">
        <f>+251934360209</f>
        <v>251934360209</v>
      </c>
      <c r="E138" s="1" t="s">
        <v>21</v>
      </c>
    </row>
    <row r="139">
      <c r="A139" s="1" t="s">
        <v>1802</v>
      </c>
      <c r="B139" s="1" t="s">
        <v>1803</v>
      </c>
      <c r="C139" s="1" t="s">
        <v>130</v>
      </c>
      <c r="D139" s="2">
        <f>+251918593663</f>
        <v>251918593663</v>
      </c>
      <c r="E139" s="1" t="s">
        <v>21</v>
      </c>
    </row>
    <row r="140">
      <c r="A140" s="1" t="s">
        <v>1805</v>
      </c>
      <c r="B140" s="1" t="s">
        <v>1806</v>
      </c>
      <c r="C140" s="1" t="s">
        <v>1807</v>
      </c>
      <c r="D140" s="2">
        <f>+251983525923</f>
        <v>251983525923</v>
      </c>
      <c r="E140" s="1" t="s">
        <v>21</v>
      </c>
    </row>
    <row r="141">
      <c r="A141" s="1" t="s">
        <v>1808</v>
      </c>
      <c r="B141" s="1" t="s">
        <v>1809</v>
      </c>
      <c r="C141" s="1" t="s">
        <v>1810</v>
      </c>
      <c r="D141" s="2">
        <f>+251919388772</f>
        <v>251919388772</v>
      </c>
      <c r="E141" s="1" t="s">
        <v>21</v>
      </c>
    </row>
    <row r="142">
      <c r="A142" s="1" t="s">
        <v>1814</v>
      </c>
      <c r="B142" s="1" t="s">
        <v>1815</v>
      </c>
      <c r="C142" s="1" t="s">
        <v>328</v>
      </c>
      <c r="D142" s="2">
        <f>+251703516609</f>
        <v>251703516609</v>
      </c>
      <c r="E142" s="1" t="s">
        <v>21</v>
      </c>
    </row>
    <row r="143">
      <c r="A143" s="1" t="s">
        <v>1816</v>
      </c>
      <c r="B143" s="1" t="s">
        <v>1817</v>
      </c>
      <c r="C143" s="1" t="s">
        <v>1077</v>
      </c>
      <c r="D143" s="2">
        <f>+251904628732</f>
        <v>251904628732</v>
      </c>
      <c r="E143" s="1" t="s">
        <v>21</v>
      </c>
    </row>
    <row r="144">
      <c r="A144" s="1" t="s">
        <v>1818</v>
      </c>
      <c r="B144" s="1" t="s">
        <v>1819</v>
      </c>
      <c r="C144" s="1" t="s">
        <v>1820</v>
      </c>
      <c r="D144" s="2">
        <f>+251941388340</f>
        <v>251941388340</v>
      </c>
      <c r="E144" s="1" t="s">
        <v>21</v>
      </c>
    </row>
    <row r="145">
      <c r="A145" s="1" t="s">
        <v>1821</v>
      </c>
      <c r="B145" s="1" t="s">
        <v>935</v>
      </c>
      <c r="C145" s="1" t="s">
        <v>1822</v>
      </c>
      <c r="D145" s="1">
        <v>9.31088792E8</v>
      </c>
      <c r="E145" s="1" t="s">
        <v>21</v>
      </c>
    </row>
    <row r="146">
      <c r="A146" s="1" t="s">
        <v>1825</v>
      </c>
      <c r="B146" s="1" t="s">
        <v>1826</v>
      </c>
      <c r="C146" s="1" t="s">
        <v>1827</v>
      </c>
      <c r="D146" s="2">
        <f>+251913597407</f>
        <v>251913597407</v>
      </c>
      <c r="E146" s="1" t="s">
        <v>21</v>
      </c>
    </row>
    <row r="147">
      <c r="A147" s="1" t="s">
        <v>1830</v>
      </c>
      <c r="B147" s="1" t="s">
        <v>184</v>
      </c>
      <c r="C147" s="1" t="s">
        <v>633</v>
      </c>
      <c r="D147" s="2">
        <f>+251967232610</f>
        <v>251967232610</v>
      </c>
      <c r="E147" s="1" t="s">
        <v>21</v>
      </c>
    </row>
    <row r="148">
      <c r="A148" s="1" t="s">
        <v>1831</v>
      </c>
      <c r="B148" s="1" t="s">
        <v>1230</v>
      </c>
      <c r="C148" s="1" t="s">
        <v>1832</v>
      </c>
      <c r="D148" s="2">
        <f>+251938649925</f>
        <v>251938649925</v>
      </c>
      <c r="E148" s="1" t="s">
        <v>21</v>
      </c>
    </row>
    <row r="149">
      <c r="A149" s="1" t="s">
        <v>1833</v>
      </c>
      <c r="B149" s="1" t="s">
        <v>1834</v>
      </c>
      <c r="C149" s="1" t="s">
        <v>543</v>
      </c>
      <c r="D149" s="2">
        <f>+251922147859</f>
        <v>251922147859</v>
      </c>
      <c r="E149" s="1" t="s">
        <v>21</v>
      </c>
    </row>
    <row r="150">
      <c r="A150" s="1" t="s">
        <v>1835</v>
      </c>
      <c r="B150" s="1" t="s">
        <v>758</v>
      </c>
      <c r="C150" s="1" t="s">
        <v>1836</v>
      </c>
      <c r="D150" s="2">
        <f>+251938182708</f>
        <v>251938182708</v>
      </c>
      <c r="E150" s="1" t="s">
        <v>21</v>
      </c>
    </row>
    <row r="151">
      <c r="A151" s="1" t="s">
        <v>1837</v>
      </c>
      <c r="B151" s="1" t="s">
        <v>370</v>
      </c>
      <c r="C151" s="1" t="s">
        <v>358</v>
      </c>
      <c r="D151" s="2">
        <f>+251927689249</f>
        <v>251927689249</v>
      </c>
      <c r="E151" s="1" t="s">
        <v>21</v>
      </c>
    </row>
    <row r="152">
      <c r="A152" s="1" t="s">
        <v>1838</v>
      </c>
      <c r="B152" s="1" t="s">
        <v>1839</v>
      </c>
      <c r="C152" s="1" t="s">
        <v>141</v>
      </c>
      <c r="D152" s="2">
        <f>+971501230556</f>
        <v>971501230556</v>
      </c>
      <c r="E152" s="1" t="s">
        <v>21</v>
      </c>
    </row>
    <row r="153">
      <c r="A153" s="1" t="s">
        <v>1840</v>
      </c>
      <c r="B153" s="1" t="s">
        <v>67</v>
      </c>
      <c r="C153" s="1" t="s">
        <v>1310</v>
      </c>
      <c r="D153" s="2">
        <f>+251940136911</f>
        <v>251940136911</v>
      </c>
      <c r="E153" s="1" t="s">
        <v>21</v>
      </c>
    </row>
    <row r="154">
      <c r="A154" s="1" t="s">
        <v>1847</v>
      </c>
      <c r="B154" s="1" t="s">
        <v>1848</v>
      </c>
      <c r="C154" s="1" t="s">
        <v>1849</v>
      </c>
      <c r="D154" s="1">
        <v>9.70368767E8</v>
      </c>
      <c r="E154" s="1" t="s">
        <v>21</v>
      </c>
    </row>
    <row r="155">
      <c r="A155" s="1" t="s">
        <v>1852</v>
      </c>
      <c r="B155" s="1" t="s">
        <v>620</v>
      </c>
      <c r="C155" s="1" t="s">
        <v>45</v>
      </c>
      <c r="D155" s="2">
        <f>+251964349075</f>
        <v>251964349075</v>
      </c>
      <c r="E155" s="1" t="s">
        <v>21</v>
      </c>
    </row>
    <row r="156">
      <c r="A156" s="1" t="s">
        <v>1853</v>
      </c>
      <c r="B156" s="1" t="s">
        <v>1854</v>
      </c>
      <c r="C156" s="1" t="s">
        <v>233</v>
      </c>
      <c r="D156" s="2">
        <f>+251946688717</f>
        <v>251946688717</v>
      </c>
      <c r="E156" s="1" t="s">
        <v>21</v>
      </c>
    </row>
    <row r="157">
      <c r="A157" s="1" t="s">
        <v>1857</v>
      </c>
      <c r="B157" s="1" t="s">
        <v>1376</v>
      </c>
      <c r="C157" s="1" t="s">
        <v>1858</v>
      </c>
      <c r="D157" s="2">
        <f>+251949209892</f>
        <v>251949209892</v>
      </c>
      <c r="E157" s="1" t="s">
        <v>21</v>
      </c>
    </row>
    <row r="158">
      <c r="A158" s="1" t="s">
        <v>1859</v>
      </c>
      <c r="B158" s="1" t="s">
        <v>490</v>
      </c>
      <c r="C158" s="1" t="s">
        <v>189</v>
      </c>
      <c r="D158" s="1">
        <v>9.33709148E8</v>
      </c>
      <c r="E158" s="1" t="s">
        <v>21</v>
      </c>
    </row>
    <row r="159">
      <c r="A159" s="1" t="s">
        <v>1863</v>
      </c>
      <c r="B159" s="1" t="s">
        <v>1864</v>
      </c>
      <c r="C159" s="1" t="s">
        <v>1865</v>
      </c>
      <c r="D159" s="2">
        <f>+251904408470</f>
        <v>251904408470</v>
      </c>
      <c r="E159" s="1" t="s">
        <v>21</v>
      </c>
    </row>
    <row r="160">
      <c r="A160" s="1" t="s">
        <v>1866</v>
      </c>
      <c r="B160" s="1" t="s">
        <v>433</v>
      </c>
      <c r="C160" s="1" t="s">
        <v>510</v>
      </c>
      <c r="D160" s="2">
        <f>+251907264226</f>
        <v>251907264226</v>
      </c>
      <c r="E160" s="1" t="s">
        <v>21</v>
      </c>
    </row>
    <row r="161">
      <c r="A161" s="1" t="s">
        <v>1869</v>
      </c>
      <c r="B161" s="1" t="s">
        <v>184</v>
      </c>
      <c r="C161" s="1" t="s">
        <v>297</v>
      </c>
      <c r="D161" s="2">
        <f>+251976166204</f>
        <v>251976166204</v>
      </c>
      <c r="E161" s="1" t="s">
        <v>21</v>
      </c>
    </row>
    <row r="162">
      <c r="A162" s="1" t="s">
        <v>1870</v>
      </c>
      <c r="B162" s="1" t="s">
        <v>1504</v>
      </c>
      <c r="C162" s="1" t="s">
        <v>238</v>
      </c>
      <c r="D162" s="2">
        <f>+251932940286</f>
        <v>251932940286</v>
      </c>
      <c r="E162" s="1" t="s">
        <v>21</v>
      </c>
    </row>
    <row r="163">
      <c r="A163" s="1" t="s">
        <v>1871</v>
      </c>
      <c r="B163" s="1" t="s">
        <v>1826</v>
      </c>
      <c r="C163" s="1" t="s">
        <v>67</v>
      </c>
      <c r="D163" s="2">
        <f>+251911011289</f>
        <v>251911011289</v>
      </c>
      <c r="E163" s="1" t="s">
        <v>21</v>
      </c>
    </row>
    <row r="164">
      <c r="A164" s="1" t="s">
        <v>1872</v>
      </c>
      <c r="B164" s="1" t="s">
        <v>812</v>
      </c>
      <c r="C164" s="1" t="s">
        <v>108</v>
      </c>
      <c r="D164" s="2">
        <f>+251911525943</f>
        <v>251911525943</v>
      </c>
      <c r="E164" s="1" t="s">
        <v>21</v>
      </c>
    </row>
    <row r="165">
      <c r="A165" s="1" t="s">
        <v>1876</v>
      </c>
      <c r="B165" s="1" t="s">
        <v>1877</v>
      </c>
      <c r="C165" s="1" t="s">
        <v>1878</v>
      </c>
      <c r="D165" s="2">
        <f>+251946900689</f>
        <v>251946900689</v>
      </c>
      <c r="E165" s="1" t="s">
        <v>21</v>
      </c>
    </row>
    <row r="166">
      <c r="A166" s="1" t="s">
        <v>1879</v>
      </c>
      <c r="B166" s="1" t="s">
        <v>1880</v>
      </c>
      <c r="C166" s="1" t="s">
        <v>1881</v>
      </c>
      <c r="D166" s="2">
        <f>+251911420552</f>
        <v>251911420552</v>
      </c>
      <c r="E166" s="1" t="s">
        <v>21</v>
      </c>
    </row>
    <row r="167">
      <c r="A167" s="1" t="s">
        <v>1882</v>
      </c>
      <c r="B167" s="1" t="s">
        <v>1504</v>
      </c>
      <c r="C167" s="1" t="s">
        <v>1883</v>
      </c>
      <c r="D167" s="2">
        <f>+251967434568</f>
        <v>251967434568</v>
      </c>
      <c r="E167" s="1" t="s">
        <v>21</v>
      </c>
    </row>
    <row r="168">
      <c r="A168" s="1" t="s">
        <v>1884</v>
      </c>
      <c r="B168" s="1" t="s">
        <v>846</v>
      </c>
      <c r="C168" s="1" t="s">
        <v>847</v>
      </c>
      <c r="D168" s="2">
        <f>+251919699666</f>
        <v>251919699666</v>
      </c>
      <c r="E168" s="1" t="s">
        <v>21</v>
      </c>
    </row>
    <row r="169">
      <c r="A169" s="1" t="s">
        <v>1885</v>
      </c>
      <c r="B169" s="1" t="s">
        <v>591</v>
      </c>
      <c r="C169" s="1" t="s">
        <v>948</v>
      </c>
      <c r="D169" s="2">
        <f>+251982682879</f>
        <v>251982682879</v>
      </c>
      <c r="E169" s="1" t="s">
        <v>21</v>
      </c>
    </row>
    <row r="170">
      <c r="A170" s="1" t="s">
        <v>1895</v>
      </c>
      <c r="B170" s="1" t="s">
        <v>1896</v>
      </c>
      <c r="C170" s="1" t="s">
        <v>1897</v>
      </c>
      <c r="D170" s="2">
        <f>+251911648826</f>
        <v>251911648826</v>
      </c>
      <c r="E170" s="1" t="s">
        <v>21</v>
      </c>
    </row>
    <row r="171">
      <c r="A171" s="1" t="s">
        <v>1898</v>
      </c>
      <c r="B171" s="1" t="s">
        <v>1899</v>
      </c>
      <c r="C171" s="1" t="s">
        <v>896</v>
      </c>
      <c r="D171" s="2">
        <f>+251912339736</f>
        <v>251912339736</v>
      </c>
      <c r="E171" s="1" t="s">
        <v>21</v>
      </c>
    </row>
    <row r="172">
      <c r="A172" s="1" t="s">
        <v>1903</v>
      </c>
      <c r="B172" s="1" t="s">
        <v>1904</v>
      </c>
      <c r="C172" s="1" t="s">
        <v>1532</v>
      </c>
      <c r="D172" s="2">
        <f>+251946461157</f>
        <v>251946461157</v>
      </c>
      <c r="E172" s="1" t="s">
        <v>21</v>
      </c>
    </row>
    <row r="173">
      <c r="A173" s="1" t="s">
        <v>1908</v>
      </c>
      <c r="B173" s="1" t="s">
        <v>1909</v>
      </c>
      <c r="C173" s="1" t="s">
        <v>862</v>
      </c>
      <c r="D173" s="2">
        <f>+251716983899</f>
        <v>251716983899</v>
      </c>
      <c r="E173" s="1" t="s">
        <v>21</v>
      </c>
    </row>
    <row r="174">
      <c r="A174" s="1" t="s">
        <v>1910</v>
      </c>
      <c r="B174" s="1" t="s">
        <v>521</v>
      </c>
      <c r="C174" s="1" t="s">
        <v>137</v>
      </c>
      <c r="D174" s="2">
        <f>+251973995478</f>
        <v>251973995478</v>
      </c>
      <c r="E174" s="1" t="s">
        <v>21</v>
      </c>
    </row>
    <row r="175">
      <c r="A175" s="1" t="s">
        <v>1911</v>
      </c>
      <c r="B175" s="1" t="s">
        <v>1912</v>
      </c>
      <c r="C175" s="1" t="s">
        <v>1056</v>
      </c>
      <c r="D175" s="2">
        <f>+251955930735</f>
        <v>251955930735</v>
      </c>
      <c r="E175" s="1" t="s">
        <v>21</v>
      </c>
    </row>
    <row r="176">
      <c r="A176" s="1" t="s">
        <v>1913</v>
      </c>
      <c r="B176" s="1" t="s">
        <v>1914</v>
      </c>
      <c r="C176" s="1" t="s">
        <v>1527</v>
      </c>
      <c r="D176" s="2">
        <f>+251977515097</f>
        <v>251977515097</v>
      </c>
      <c r="E176" s="1" t="s">
        <v>21</v>
      </c>
    </row>
    <row r="177">
      <c r="A177" s="1" t="s">
        <v>1915</v>
      </c>
      <c r="B177" s="1" t="s">
        <v>1916</v>
      </c>
      <c r="C177" s="1" t="s">
        <v>1917</v>
      </c>
      <c r="D177" s="2">
        <f>+251962632525</f>
        <v>251962632525</v>
      </c>
      <c r="E177" s="1" t="s">
        <v>21</v>
      </c>
    </row>
    <row r="178">
      <c r="A178" s="1" t="s">
        <v>1921</v>
      </c>
      <c r="B178" s="1" t="s">
        <v>1139</v>
      </c>
      <c r="C178" s="1" t="s">
        <v>1922</v>
      </c>
      <c r="D178" s="2">
        <f>+251991127597</f>
        <v>251991127597</v>
      </c>
      <c r="E178" s="1" t="s">
        <v>21</v>
      </c>
    </row>
    <row r="179">
      <c r="A179" s="1" t="s">
        <v>1923</v>
      </c>
      <c r="B179" s="1" t="s">
        <v>1924</v>
      </c>
      <c r="C179" s="1" t="s">
        <v>338</v>
      </c>
      <c r="D179" s="2">
        <f>+251911390562</f>
        <v>251911390562</v>
      </c>
      <c r="E179" s="1" t="s">
        <v>21</v>
      </c>
    </row>
    <row r="180">
      <c r="A180" s="1" t="s">
        <v>1928</v>
      </c>
      <c r="B180" s="1" t="s">
        <v>758</v>
      </c>
      <c r="C180" s="1" t="s">
        <v>1929</v>
      </c>
      <c r="D180" s="2">
        <f>+251941179368</f>
        <v>251941179368</v>
      </c>
      <c r="E180" s="1" t="s">
        <v>21</v>
      </c>
    </row>
    <row r="181">
      <c r="A181" s="1" t="s">
        <v>1930</v>
      </c>
      <c r="B181" s="1" t="s">
        <v>1931</v>
      </c>
      <c r="C181" s="1" t="s">
        <v>195</v>
      </c>
      <c r="D181" s="2">
        <f>+251911921648</f>
        <v>251911921648</v>
      </c>
      <c r="E181" s="1" t="s">
        <v>21</v>
      </c>
    </row>
    <row r="182">
      <c r="A182" s="1" t="s">
        <v>1937</v>
      </c>
      <c r="B182" s="1" t="s">
        <v>361</v>
      </c>
      <c r="C182" s="1" t="s">
        <v>525</v>
      </c>
      <c r="D182" s="2">
        <f>+251900614699</f>
        <v>251900614699</v>
      </c>
      <c r="E182" s="1" t="s">
        <v>21</v>
      </c>
    </row>
    <row r="183">
      <c r="A183" s="1" t="s">
        <v>1938</v>
      </c>
      <c r="B183" s="1" t="s">
        <v>1939</v>
      </c>
      <c r="C183" s="1" t="s">
        <v>1940</v>
      </c>
      <c r="D183" s="2">
        <f>+251967259678</f>
        <v>251967259678</v>
      </c>
      <c r="E183" s="1" t="s">
        <v>21</v>
      </c>
    </row>
    <row r="184">
      <c r="A184" s="1" t="s">
        <v>1943</v>
      </c>
      <c r="B184" s="1" t="s">
        <v>1944</v>
      </c>
      <c r="C184" s="1" t="s">
        <v>1945</v>
      </c>
      <c r="D184" s="2">
        <f>+251972489050</f>
        <v>251972489050</v>
      </c>
      <c r="E184" s="1" t="s">
        <v>21</v>
      </c>
    </row>
    <row r="185">
      <c r="A185" s="1" t="s">
        <v>1946</v>
      </c>
      <c r="B185" s="1" t="s">
        <v>1947</v>
      </c>
      <c r="C185" s="1" t="s">
        <v>108</v>
      </c>
      <c r="D185" s="2">
        <f>+251940940809</f>
        <v>251940940809</v>
      </c>
      <c r="E185" s="1" t="s">
        <v>21</v>
      </c>
    </row>
    <row r="186">
      <c r="A186" s="1" t="s">
        <v>1949</v>
      </c>
      <c r="B186" s="1" t="s">
        <v>1950</v>
      </c>
      <c r="C186" s="1" t="s">
        <v>1897</v>
      </c>
      <c r="D186" s="2">
        <f>+251979202894</f>
        <v>251979202894</v>
      </c>
      <c r="E186" s="1" t="s">
        <v>21</v>
      </c>
    </row>
    <row r="187">
      <c r="A187" s="1" t="s">
        <v>1951</v>
      </c>
      <c r="B187" s="1" t="s">
        <v>1376</v>
      </c>
      <c r="C187" s="1" t="s">
        <v>893</v>
      </c>
      <c r="D187" s="2">
        <f>+251915852591</f>
        <v>251915852591</v>
      </c>
      <c r="E187" s="1" t="s">
        <v>21</v>
      </c>
    </row>
    <row r="188">
      <c r="A188" s="1" t="s">
        <v>1953</v>
      </c>
      <c r="B188" s="1" t="s">
        <v>121</v>
      </c>
      <c r="C188" s="1" t="s">
        <v>1178</v>
      </c>
      <c r="D188" s="2">
        <f>+251935545233</f>
        <v>251935545233</v>
      </c>
      <c r="E188" s="1" t="s">
        <v>21</v>
      </c>
    </row>
    <row r="189">
      <c r="A189" s="1" t="s">
        <v>1954</v>
      </c>
      <c r="B189" s="1" t="s">
        <v>1955</v>
      </c>
      <c r="C189" s="1" t="s">
        <v>899</v>
      </c>
      <c r="D189" s="2">
        <f>+251956123417</f>
        <v>251956123417</v>
      </c>
      <c r="E189" s="1" t="s">
        <v>21</v>
      </c>
    </row>
    <row r="190">
      <c r="A190" s="1" t="s">
        <v>1956</v>
      </c>
      <c r="B190" s="1" t="s">
        <v>758</v>
      </c>
      <c r="C190" s="1" t="s">
        <v>371</v>
      </c>
      <c r="D190" s="2">
        <f>+251982390694</f>
        <v>251982390694</v>
      </c>
      <c r="E190" s="1" t="s">
        <v>21</v>
      </c>
    </row>
    <row r="191">
      <c r="A191" s="1" t="s">
        <v>1963</v>
      </c>
      <c r="B191" s="1" t="s">
        <v>620</v>
      </c>
      <c r="C191" s="1" t="s">
        <v>1964</v>
      </c>
      <c r="D191" s="2">
        <f>+251924570285</f>
        <v>251924570285</v>
      </c>
      <c r="E191" s="1" t="s">
        <v>21</v>
      </c>
    </row>
    <row r="192">
      <c r="A192" s="1" t="s">
        <v>1969</v>
      </c>
      <c r="B192" s="1" t="s">
        <v>1970</v>
      </c>
      <c r="C192" s="1" t="s">
        <v>1566</v>
      </c>
      <c r="D192" s="2">
        <f>+251909040610</f>
        <v>251909040610</v>
      </c>
      <c r="E192" s="1" t="s">
        <v>21</v>
      </c>
    </row>
    <row r="193">
      <c r="A193" s="1" t="s">
        <v>1971</v>
      </c>
      <c r="B193" s="1" t="s">
        <v>817</v>
      </c>
      <c r="C193" s="1" t="s">
        <v>1972</v>
      </c>
      <c r="D193" s="2">
        <f>+251984004521</f>
        <v>251984004521</v>
      </c>
      <c r="E193" s="1" t="s">
        <v>21</v>
      </c>
    </row>
    <row r="194">
      <c r="A194" s="1" t="s">
        <v>1976</v>
      </c>
      <c r="B194" s="1" t="s">
        <v>1977</v>
      </c>
      <c r="C194" s="1" t="s">
        <v>141</v>
      </c>
      <c r="D194" s="2">
        <f>+251991848781</f>
        <v>251991848781</v>
      </c>
      <c r="E194" s="1" t="s">
        <v>21</v>
      </c>
    </row>
    <row r="195">
      <c r="A195" s="1" t="s">
        <v>1980</v>
      </c>
      <c r="B195" s="1" t="s">
        <v>1981</v>
      </c>
      <c r="C195" s="1" t="s">
        <v>189</v>
      </c>
      <c r="D195" s="2">
        <f>+251977230623</f>
        <v>251977230623</v>
      </c>
      <c r="E195" s="1" t="s">
        <v>21</v>
      </c>
    </row>
    <row r="196">
      <c r="A196" s="1" t="s">
        <v>1986</v>
      </c>
      <c r="B196" s="1" t="s">
        <v>148</v>
      </c>
      <c r="C196" s="1" t="s">
        <v>316</v>
      </c>
      <c r="D196" s="2">
        <f>+251980642442</f>
        <v>251980642442</v>
      </c>
      <c r="E196" s="1" t="s">
        <v>21</v>
      </c>
    </row>
    <row r="197">
      <c r="A197" s="1" t="s">
        <v>1991</v>
      </c>
      <c r="B197" s="1" t="s">
        <v>1992</v>
      </c>
      <c r="C197" s="1" t="s">
        <v>1993</v>
      </c>
      <c r="D197" s="1">
        <v>9.47636542E8</v>
      </c>
      <c r="E197" s="1" t="s">
        <v>21</v>
      </c>
    </row>
    <row r="198">
      <c r="A198" s="1" t="s">
        <v>1997</v>
      </c>
      <c r="B198" s="1" t="s">
        <v>1998</v>
      </c>
      <c r="C198" s="1" t="s">
        <v>96</v>
      </c>
      <c r="D198" s="2">
        <f>+251994575145</f>
        <v>251994575145</v>
      </c>
      <c r="E198" s="1" t="s">
        <v>21</v>
      </c>
    </row>
    <row r="199">
      <c r="A199" s="1" t="s">
        <v>1999</v>
      </c>
      <c r="B199" s="1" t="s">
        <v>2000</v>
      </c>
      <c r="C199" s="1" t="s">
        <v>2001</v>
      </c>
      <c r="D199" s="2">
        <f>+251929232033</f>
        <v>251929232033</v>
      </c>
      <c r="E199" s="1" t="s">
        <v>21</v>
      </c>
    </row>
    <row r="200">
      <c r="A200" s="1" t="s">
        <v>2002</v>
      </c>
      <c r="B200" s="1" t="s">
        <v>2003</v>
      </c>
      <c r="C200" s="1" t="s">
        <v>751</v>
      </c>
      <c r="D200" s="2">
        <f>+251912430402</f>
        <v>251912430402</v>
      </c>
      <c r="E200" s="1" t="s">
        <v>21</v>
      </c>
    </row>
    <row r="201">
      <c r="A201" s="1" t="s">
        <v>2004</v>
      </c>
      <c r="B201" s="1" t="s">
        <v>2005</v>
      </c>
      <c r="C201" s="1" t="s">
        <v>2006</v>
      </c>
      <c r="D201" s="2">
        <f>+251926440922</f>
        <v>251926440922</v>
      </c>
      <c r="E201" s="1" t="s">
        <v>21</v>
      </c>
    </row>
    <row r="202">
      <c r="A202" s="1" t="s">
        <v>2008</v>
      </c>
      <c r="B202" s="1" t="s">
        <v>1504</v>
      </c>
      <c r="C202" s="1" t="s">
        <v>1504</v>
      </c>
      <c r="D202" s="1">
        <v>9.1104044E8</v>
      </c>
      <c r="E202" s="1" t="s">
        <v>21</v>
      </c>
    </row>
    <row r="203">
      <c r="A203" s="1" t="s">
        <v>2009</v>
      </c>
      <c r="B203" s="1" t="s">
        <v>2010</v>
      </c>
      <c r="C203" s="1" t="s">
        <v>2011</v>
      </c>
      <c r="D203" s="2">
        <f>+251908725199</f>
        <v>251908725199</v>
      </c>
      <c r="E203" s="1" t="s">
        <v>21</v>
      </c>
    </row>
    <row r="204">
      <c r="A204" s="1" t="s">
        <v>2019</v>
      </c>
      <c r="B204" s="1" t="s">
        <v>420</v>
      </c>
      <c r="C204" s="1" t="s">
        <v>2020</v>
      </c>
      <c r="D204" s="2">
        <f>+251905901815</f>
        <v>251905901815</v>
      </c>
      <c r="E204" s="1" t="s">
        <v>21</v>
      </c>
    </row>
    <row r="205">
      <c r="A205" s="1" t="s">
        <v>2026</v>
      </c>
      <c r="B205" s="1" t="s">
        <v>620</v>
      </c>
      <c r="C205" s="1" t="s">
        <v>829</v>
      </c>
      <c r="D205" s="2">
        <f>+251903078915</f>
        <v>251903078915</v>
      </c>
      <c r="E205" s="1" t="s">
        <v>21</v>
      </c>
    </row>
    <row r="206">
      <c r="A206" s="1" t="s">
        <v>2029</v>
      </c>
      <c r="B206" s="1" t="s">
        <v>2030</v>
      </c>
      <c r="C206" s="1" t="s">
        <v>2031</v>
      </c>
      <c r="D206" s="2">
        <f>+251965322579</f>
        <v>251965322579</v>
      </c>
      <c r="E206" s="1" t="s">
        <v>21</v>
      </c>
    </row>
    <row r="207">
      <c r="A207" s="1" t="s">
        <v>2032</v>
      </c>
      <c r="B207" s="1" t="s">
        <v>2033</v>
      </c>
      <c r="C207" s="1" t="s">
        <v>2034</v>
      </c>
      <c r="D207" s="2">
        <f>+251707978811</f>
        <v>251707978811</v>
      </c>
      <c r="E207" s="1" t="s">
        <v>21</v>
      </c>
    </row>
    <row r="208">
      <c r="A208" s="1" t="s">
        <v>2038</v>
      </c>
      <c r="B208" s="1" t="s">
        <v>399</v>
      </c>
      <c r="C208" s="1" t="s">
        <v>2039</v>
      </c>
      <c r="D208" s="2">
        <f>+251994286802</f>
        <v>251994286802</v>
      </c>
      <c r="E208" s="1" t="s">
        <v>21</v>
      </c>
    </row>
    <row r="209">
      <c r="A209" s="1" t="s">
        <v>2040</v>
      </c>
      <c r="B209" s="1" t="s">
        <v>2015</v>
      </c>
      <c r="C209" s="1" t="s">
        <v>2041</v>
      </c>
      <c r="D209" s="2">
        <f>+251911181134</f>
        <v>251911181134</v>
      </c>
      <c r="E209" s="1" t="s">
        <v>21</v>
      </c>
    </row>
    <row r="210">
      <c r="A210" s="1" t="s">
        <v>2042</v>
      </c>
      <c r="B210" s="1" t="s">
        <v>536</v>
      </c>
      <c r="C210" s="1" t="s">
        <v>2043</v>
      </c>
      <c r="D210" s="2">
        <f>+251930417869</f>
        <v>251930417869</v>
      </c>
      <c r="E210" s="1" t="s">
        <v>21</v>
      </c>
    </row>
    <row r="211">
      <c r="A211" s="1" t="s">
        <v>2046</v>
      </c>
      <c r="B211" s="1" t="s">
        <v>1103</v>
      </c>
      <c r="C211" s="1" t="s">
        <v>2047</v>
      </c>
      <c r="D211" s="2">
        <f>+251911464772</f>
        <v>251911464772</v>
      </c>
      <c r="E211" s="1" t="s">
        <v>21</v>
      </c>
    </row>
    <row r="212">
      <c r="A212" s="1" t="s">
        <v>2048</v>
      </c>
      <c r="B212" s="1" t="s">
        <v>858</v>
      </c>
      <c r="C212" s="1" t="s">
        <v>1144</v>
      </c>
      <c r="D212" s="2">
        <f>+251953908677</f>
        <v>251953908677</v>
      </c>
      <c r="E212" s="1" t="s">
        <v>21</v>
      </c>
    </row>
    <row r="213">
      <c r="A213" s="1" t="s">
        <v>2049</v>
      </c>
      <c r="B213" s="1" t="s">
        <v>2050</v>
      </c>
      <c r="C213" s="1" t="s">
        <v>1822</v>
      </c>
      <c r="D213" s="2">
        <f>+251954701961</f>
        <v>251954701961</v>
      </c>
      <c r="E213" s="1" t="s">
        <v>21</v>
      </c>
    </row>
    <row r="214">
      <c r="A214" s="1" t="s">
        <v>2059</v>
      </c>
      <c r="B214" s="1" t="s">
        <v>110</v>
      </c>
      <c r="C214" s="1" t="s">
        <v>2060</v>
      </c>
      <c r="D214" s="1">
        <v>9.21308429E8</v>
      </c>
      <c r="E214" s="1" t="s">
        <v>21</v>
      </c>
    </row>
    <row r="215">
      <c r="A215" s="1" t="s">
        <v>2061</v>
      </c>
      <c r="B215" s="1" t="s">
        <v>2062</v>
      </c>
      <c r="C215" s="1" t="s">
        <v>2063</v>
      </c>
      <c r="D215" s="2">
        <f>+251940109167</f>
        <v>251940109167</v>
      </c>
      <c r="E215" s="1" t="s">
        <v>21</v>
      </c>
    </row>
    <row r="216">
      <c r="A216" s="1" t="s">
        <v>2066</v>
      </c>
      <c r="B216" s="1" t="s">
        <v>1570</v>
      </c>
      <c r="C216" s="1" t="s">
        <v>1274</v>
      </c>
      <c r="D216" s="2">
        <f>+251951159631</f>
        <v>251951159631</v>
      </c>
      <c r="E216" s="1" t="s">
        <v>21</v>
      </c>
    </row>
    <row r="217">
      <c r="A217" s="1" t="s">
        <v>2067</v>
      </c>
      <c r="B217" s="1" t="s">
        <v>2068</v>
      </c>
      <c r="C217" s="1" t="s">
        <v>91</v>
      </c>
      <c r="D217" s="2">
        <f>+251923043667</f>
        <v>251923043667</v>
      </c>
      <c r="E217" s="1" t="s">
        <v>21</v>
      </c>
    </row>
    <row r="218">
      <c r="A218" s="1" t="s">
        <v>2072</v>
      </c>
      <c r="B218" s="1" t="s">
        <v>2073</v>
      </c>
      <c r="C218" s="1" t="s">
        <v>328</v>
      </c>
      <c r="D218" s="2">
        <f>+251979495017</f>
        <v>251979495017</v>
      </c>
      <c r="E218" s="1" t="s">
        <v>21</v>
      </c>
    </row>
    <row r="219">
      <c r="A219" s="1" t="s">
        <v>2076</v>
      </c>
      <c r="B219" s="1" t="s">
        <v>2077</v>
      </c>
      <c r="C219" s="1" t="s">
        <v>2078</v>
      </c>
      <c r="D219" s="2">
        <f>+251900478653</f>
        <v>251900478653</v>
      </c>
      <c r="E219" s="1" t="s">
        <v>21</v>
      </c>
    </row>
    <row r="220">
      <c r="A220" s="1" t="s">
        <v>2082</v>
      </c>
      <c r="B220" s="1" t="s">
        <v>2083</v>
      </c>
      <c r="C220" s="1" t="s">
        <v>2084</v>
      </c>
      <c r="D220" s="2">
        <f>+251945278803</f>
        <v>251945278803</v>
      </c>
      <c r="E220" s="1" t="s">
        <v>21</v>
      </c>
    </row>
    <row r="221">
      <c r="A221" s="1" t="s">
        <v>2085</v>
      </c>
      <c r="B221" s="1" t="s">
        <v>2086</v>
      </c>
      <c r="C221" s="1" t="s">
        <v>2087</v>
      </c>
      <c r="D221" s="2">
        <f>+251939909569</f>
        <v>251939909569</v>
      </c>
      <c r="E221" s="1" t="s">
        <v>21</v>
      </c>
    </row>
    <row r="222">
      <c r="A222" s="1" t="s">
        <v>2090</v>
      </c>
      <c r="B222" s="1" t="s">
        <v>2091</v>
      </c>
      <c r="C222" s="1" t="s">
        <v>195</v>
      </c>
      <c r="D222" s="2">
        <f>+251988815914</f>
        <v>251988815914</v>
      </c>
      <c r="E222" s="1" t="s">
        <v>21</v>
      </c>
    </row>
    <row r="223">
      <c r="A223" s="1" t="s">
        <v>2092</v>
      </c>
      <c r="B223" s="1" t="s">
        <v>2036</v>
      </c>
      <c r="C223" s="1" t="s">
        <v>2093</v>
      </c>
      <c r="D223" s="2">
        <f>+251931340050</f>
        <v>251931340050</v>
      </c>
      <c r="E223" s="1" t="s">
        <v>21</v>
      </c>
    </row>
    <row r="224">
      <c r="A224" s="1" t="s">
        <v>2094</v>
      </c>
      <c r="B224" s="1" t="s">
        <v>2095</v>
      </c>
      <c r="C224" s="1" t="s">
        <v>2096</v>
      </c>
      <c r="D224" s="2">
        <f>+251935323332</f>
        <v>251935323332</v>
      </c>
      <c r="E224" s="1" t="s">
        <v>21</v>
      </c>
    </row>
    <row r="225">
      <c r="A225" s="1" t="s">
        <v>2097</v>
      </c>
      <c r="B225" s="1" t="s">
        <v>2098</v>
      </c>
      <c r="C225" s="1" t="s">
        <v>2099</v>
      </c>
      <c r="D225" s="2">
        <f>+251922456862</f>
        <v>251922456862</v>
      </c>
      <c r="E225" s="1" t="s">
        <v>21</v>
      </c>
    </row>
    <row r="226">
      <c r="A226" s="1" t="s">
        <v>2100</v>
      </c>
      <c r="B226" s="1" t="s">
        <v>360</v>
      </c>
      <c r="C226" s="1" t="s">
        <v>29</v>
      </c>
      <c r="D226" s="2">
        <f>+251900397679</f>
        <v>251900397679</v>
      </c>
      <c r="E226" s="1" t="s">
        <v>21</v>
      </c>
    </row>
    <row r="227">
      <c r="A227" s="1" t="s">
        <v>2109</v>
      </c>
      <c r="B227" s="1" t="s">
        <v>447</v>
      </c>
      <c r="C227" s="1" t="s">
        <v>601</v>
      </c>
      <c r="D227" s="2">
        <f>+251977882532</f>
        <v>251977882532</v>
      </c>
      <c r="E227" s="1" t="s">
        <v>21</v>
      </c>
    </row>
    <row r="228">
      <c r="A228" s="1" t="s">
        <v>2113</v>
      </c>
      <c r="B228" s="1" t="s">
        <v>113</v>
      </c>
      <c r="C228" s="1" t="s">
        <v>1077</v>
      </c>
      <c r="D228" s="2">
        <f>+251946691282</f>
        <v>251946691282</v>
      </c>
      <c r="E228" s="1" t="s">
        <v>21</v>
      </c>
    </row>
    <row r="229">
      <c r="A229" s="1" t="s">
        <v>2114</v>
      </c>
      <c r="B229" s="1" t="s">
        <v>384</v>
      </c>
      <c r="C229" s="1" t="s">
        <v>2115</v>
      </c>
      <c r="D229" s="2">
        <f>+251989985456</f>
        <v>251989985456</v>
      </c>
      <c r="E229" s="1" t="s">
        <v>21</v>
      </c>
    </row>
    <row r="230">
      <c r="A230" s="1" t="s">
        <v>2118</v>
      </c>
      <c r="B230" s="1" t="s">
        <v>2119</v>
      </c>
      <c r="C230" s="1" t="s">
        <v>2120</v>
      </c>
      <c r="D230" s="2">
        <f>+251942029245</f>
        <v>251942029245</v>
      </c>
      <c r="E230" s="1" t="s">
        <v>21</v>
      </c>
    </row>
    <row r="231">
      <c r="A231" s="1" t="s">
        <v>2121</v>
      </c>
      <c r="B231" s="1" t="s">
        <v>2122</v>
      </c>
      <c r="C231" s="1" t="s">
        <v>2123</v>
      </c>
      <c r="D231" s="2">
        <f>+251995074162</f>
        <v>251995074162</v>
      </c>
      <c r="E231" s="1" t="s">
        <v>21</v>
      </c>
    </row>
    <row r="232">
      <c r="A232" s="1" t="s">
        <v>2125</v>
      </c>
      <c r="B232" s="1" t="s">
        <v>1614</v>
      </c>
      <c r="C232" s="1" t="s">
        <v>2126</v>
      </c>
      <c r="D232" s="2">
        <f>+251934317457</f>
        <v>251934317457</v>
      </c>
      <c r="E232" s="1" t="s">
        <v>21</v>
      </c>
    </row>
    <row r="233">
      <c r="A233" s="1" t="s">
        <v>2127</v>
      </c>
      <c r="B233" s="1" t="s">
        <v>2128</v>
      </c>
      <c r="C233" s="1" t="s">
        <v>2129</v>
      </c>
      <c r="D233" s="2">
        <f>+251902031546</f>
        <v>251902031546</v>
      </c>
      <c r="E233" s="1" t="s">
        <v>21</v>
      </c>
    </row>
    <row r="234">
      <c r="A234" s="1" t="s">
        <v>2134</v>
      </c>
      <c r="B234" s="1" t="s">
        <v>2135</v>
      </c>
      <c r="C234" s="1" t="s">
        <v>2136</v>
      </c>
      <c r="D234" s="2">
        <f>+251927463201</f>
        <v>251927463201</v>
      </c>
      <c r="E234" s="1" t="s">
        <v>21</v>
      </c>
    </row>
    <row r="235">
      <c r="A235" s="1" t="s">
        <v>2137</v>
      </c>
      <c r="B235" s="1" t="s">
        <v>37</v>
      </c>
      <c r="C235" s="1" t="s">
        <v>1760</v>
      </c>
      <c r="D235" s="2">
        <f>+251925396586</f>
        <v>251925396586</v>
      </c>
      <c r="E235" s="1" t="s">
        <v>21</v>
      </c>
    </row>
    <row r="236">
      <c r="A236" s="1" t="s">
        <v>2138</v>
      </c>
      <c r="B236" s="1" t="s">
        <v>2139</v>
      </c>
      <c r="C236" s="1" t="s">
        <v>2140</v>
      </c>
      <c r="D236" s="2">
        <f>+251918968852</f>
        <v>251918968852</v>
      </c>
      <c r="E236" s="1" t="s">
        <v>21</v>
      </c>
    </row>
    <row r="237">
      <c r="A237" s="1" t="s">
        <v>2144</v>
      </c>
      <c r="B237" s="1" t="s">
        <v>2145</v>
      </c>
      <c r="C237" s="1" t="s">
        <v>2146</v>
      </c>
      <c r="D237" s="2">
        <f>+251927236157</f>
        <v>251927236157</v>
      </c>
      <c r="E237" s="1" t="s">
        <v>21</v>
      </c>
    </row>
    <row r="238">
      <c r="A238" s="1" t="s">
        <v>2147</v>
      </c>
      <c r="B238" s="1" t="s">
        <v>2148</v>
      </c>
      <c r="C238" s="1" t="s">
        <v>2149</v>
      </c>
      <c r="D238" s="2">
        <f>+251987076362</f>
        <v>251987076362</v>
      </c>
      <c r="E238" s="1" t="s">
        <v>21</v>
      </c>
    </row>
    <row r="239">
      <c r="A239" s="1" t="s">
        <v>2150</v>
      </c>
      <c r="B239" s="1" t="s">
        <v>2151</v>
      </c>
      <c r="C239" s="1" t="s">
        <v>141</v>
      </c>
      <c r="D239" s="2">
        <f>+251904602220</f>
        <v>251904602220</v>
      </c>
      <c r="E239" s="1" t="s">
        <v>21</v>
      </c>
    </row>
    <row r="240">
      <c r="A240" s="1" t="s">
        <v>2152</v>
      </c>
      <c r="B240" s="1" t="s">
        <v>2153</v>
      </c>
      <c r="C240" s="1" t="s">
        <v>29</v>
      </c>
      <c r="D240" s="2">
        <f>+251911196708</f>
        <v>251911196708</v>
      </c>
      <c r="E240" s="1" t="s">
        <v>21</v>
      </c>
    </row>
    <row r="241">
      <c r="A241" s="1" t="s">
        <v>851</v>
      </c>
      <c r="B241" s="1" t="s">
        <v>852</v>
      </c>
      <c r="C241" s="1" t="s">
        <v>853</v>
      </c>
      <c r="D241" s="2">
        <f>+10933714972</f>
        <v>10933714972</v>
      </c>
      <c r="E241" s="1" t="s">
        <v>21</v>
      </c>
    </row>
    <row r="242">
      <c r="A242" s="1" t="s">
        <v>2154</v>
      </c>
      <c r="B242" s="1" t="s">
        <v>1861</v>
      </c>
      <c r="C242" s="1" t="s">
        <v>1862</v>
      </c>
      <c r="D242" s="2">
        <f>+251910067624</f>
        <v>251910067624</v>
      </c>
      <c r="E242" s="1" t="s">
        <v>21</v>
      </c>
    </row>
    <row r="243">
      <c r="A243" s="1" t="s">
        <v>2155</v>
      </c>
      <c r="B243" s="1" t="s">
        <v>37</v>
      </c>
      <c r="C243" s="1" t="s">
        <v>2156</v>
      </c>
      <c r="D243" s="2">
        <f>+251925396586</f>
        <v>251925396586</v>
      </c>
      <c r="E243" s="1" t="s">
        <v>21</v>
      </c>
    </row>
    <row r="244">
      <c r="A244" s="1" t="s">
        <v>2157</v>
      </c>
      <c r="B244" s="1" t="s">
        <v>370</v>
      </c>
      <c r="C244" s="1" t="s">
        <v>616</v>
      </c>
      <c r="D244" s="2">
        <f>+251920751809</f>
        <v>251920751809</v>
      </c>
      <c r="E244" s="1" t="s">
        <v>21</v>
      </c>
    </row>
    <row r="245">
      <c r="A245" s="1" t="s">
        <v>2158</v>
      </c>
      <c r="B245" s="1" t="s">
        <v>2159</v>
      </c>
      <c r="C245" s="1" t="s">
        <v>2160</v>
      </c>
      <c r="D245" s="2">
        <f>+251932019838</f>
        <v>251932019838</v>
      </c>
      <c r="E245" s="1" t="s">
        <v>21</v>
      </c>
    </row>
    <row r="246">
      <c r="A246" s="1" t="s">
        <v>2161</v>
      </c>
      <c r="B246" s="1" t="s">
        <v>2162</v>
      </c>
      <c r="C246" s="1" t="s">
        <v>2163</v>
      </c>
      <c r="D246" s="2">
        <f>+251927250691</f>
        <v>251927250691</v>
      </c>
      <c r="E246" s="1" t="s">
        <v>21</v>
      </c>
    </row>
    <row r="247">
      <c r="A247" s="1" t="s">
        <v>2164</v>
      </c>
      <c r="B247" s="1" t="s">
        <v>151</v>
      </c>
      <c r="C247" s="1" t="s">
        <v>1296</v>
      </c>
      <c r="D247" s="1">
        <v>9.82760198E8</v>
      </c>
      <c r="E247" s="1" t="s">
        <v>21</v>
      </c>
    </row>
    <row r="248">
      <c r="A248" s="1" t="s">
        <v>2166</v>
      </c>
      <c r="B248" s="1" t="s">
        <v>545</v>
      </c>
      <c r="C248" s="1" t="s">
        <v>2167</v>
      </c>
      <c r="D248" s="2">
        <f>+251924806134</f>
        <v>251924806134</v>
      </c>
      <c r="E248" s="1" t="s">
        <v>21</v>
      </c>
    </row>
    <row r="249">
      <c r="A249" s="1" t="s">
        <v>2168</v>
      </c>
      <c r="B249" s="1" t="s">
        <v>2169</v>
      </c>
      <c r="C249" s="1" t="s">
        <v>1591</v>
      </c>
      <c r="D249" s="2">
        <f>+251919901822</f>
        <v>251919901822</v>
      </c>
      <c r="E249" s="1" t="s">
        <v>21</v>
      </c>
    </row>
    <row r="250">
      <c r="A250" s="1" t="s">
        <v>2170</v>
      </c>
      <c r="B250" s="1" t="s">
        <v>2171</v>
      </c>
      <c r="C250" s="1" t="s">
        <v>641</v>
      </c>
      <c r="D250" s="1">
        <v>9.27190922E8</v>
      </c>
      <c r="E250" s="1" t="s">
        <v>21</v>
      </c>
    </row>
    <row r="251">
      <c r="A251" s="1" t="s">
        <v>2172</v>
      </c>
      <c r="B251" s="1" t="s">
        <v>480</v>
      </c>
      <c r="C251" s="1" t="s">
        <v>2173</v>
      </c>
      <c r="D251" s="2">
        <f>+941125349</f>
        <v>941125349</v>
      </c>
      <c r="E251" s="1" t="s">
        <v>21</v>
      </c>
    </row>
    <row r="252">
      <c r="A252" s="1" t="s">
        <v>2174</v>
      </c>
      <c r="B252" s="1" t="s">
        <v>60</v>
      </c>
      <c r="C252" s="1" t="s">
        <v>1827</v>
      </c>
      <c r="D252" s="2">
        <f>+251988168953</f>
        <v>251988168953</v>
      </c>
      <c r="E252" s="1" t="s">
        <v>21</v>
      </c>
    </row>
    <row r="253">
      <c r="A253" s="1" t="s">
        <v>2175</v>
      </c>
      <c r="B253" s="1" t="s">
        <v>1743</v>
      </c>
      <c r="C253" s="1" t="s">
        <v>189</v>
      </c>
      <c r="D253" s="2">
        <f>+251947892090</f>
        <v>251947892090</v>
      </c>
      <c r="E253" s="1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2652050.0</v>
      </c>
      <c r="B2" s="1" t="s">
        <v>2176</v>
      </c>
      <c r="C2" s="1" t="b">
        <v>1</v>
      </c>
      <c r="D2" s="1" t="b">
        <v>1</v>
      </c>
      <c r="E2" s="1" t="s">
        <v>789</v>
      </c>
      <c r="F2" s="1" t="s">
        <v>2177</v>
      </c>
      <c r="G2" s="2">
        <f>+251913359865</f>
        <v>251913359865</v>
      </c>
      <c r="H2" s="1" t="s">
        <v>18</v>
      </c>
      <c r="I2" s="1" t="s">
        <v>19</v>
      </c>
      <c r="J2" s="1" t="s">
        <v>19</v>
      </c>
      <c r="K2" s="1" t="s">
        <v>25</v>
      </c>
      <c r="L2" s="1">
        <v>37.93</v>
      </c>
      <c r="M2" s="1" t="s">
        <v>26</v>
      </c>
    </row>
    <row r="3">
      <c r="A3" s="1">
        <v>765615.0</v>
      </c>
      <c r="B3" s="1" t="s">
        <v>2178</v>
      </c>
      <c r="C3" s="1" t="b">
        <v>1</v>
      </c>
      <c r="D3" s="1" t="b">
        <v>1</v>
      </c>
      <c r="E3" s="1" t="s">
        <v>2179</v>
      </c>
      <c r="F3" s="1" t="s">
        <v>2180</v>
      </c>
      <c r="G3" s="2">
        <f>+251912181927</f>
        <v>251912181927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22.35</v>
      </c>
      <c r="M3" s="1" t="s">
        <v>33</v>
      </c>
      <c r="N3" s="1" t="s">
        <v>34</v>
      </c>
      <c r="O3" s="1">
        <v>2.9791993E7</v>
      </c>
    </row>
    <row r="4">
      <c r="A4" s="1">
        <v>1766280.0</v>
      </c>
      <c r="B4" s="1" t="s">
        <v>2181</v>
      </c>
      <c r="C4" s="1" t="b">
        <v>1</v>
      </c>
      <c r="D4" s="1" t="b">
        <v>1</v>
      </c>
      <c r="E4" s="1" t="s">
        <v>1457</v>
      </c>
      <c r="F4" s="1" t="s">
        <v>375</v>
      </c>
      <c r="G4" s="2">
        <f>+251967614422</f>
        <v>251967614422</v>
      </c>
      <c r="H4" s="1" t="s">
        <v>18</v>
      </c>
      <c r="I4" s="1" t="s">
        <v>19</v>
      </c>
      <c r="J4" s="1" t="s">
        <v>19</v>
      </c>
      <c r="K4" s="1" t="s">
        <v>20</v>
      </c>
      <c r="L4" s="1">
        <v>22.47</v>
      </c>
      <c r="M4" s="1" t="s">
        <v>21</v>
      </c>
      <c r="O4" s="1">
        <v>4291787.0</v>
      </c>
    </row>
    <row r="5">
      <c r="A5" s="1">
        <v>2650812.0</v>
      </c>
      <c r="B5" s="1" t="s">
        <v>2182</v>
      </c>
      <c r="C5" s="1" t="b">
        <v>1</v>
      </c>
      <c r="D5" s="1" t="b">
        <v>0</v>
      </c>
      <c r="E5" s="1" t="s">
        <v>2183</v>
      </c>
      <c r="F5" s="1" t="s">
        <v>2184</v>
      </c>
      <c r="G5" s="2">
        <f>+251915152885</f>
        <v>251915152885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27.16</v>
      </c>
      <c r="M5" s="1" t="s">
        <v>21</v>
      </c>
      <c r="O5" s="1">
        <v>2.09052392674E11</v>
      </c>
    </row>
    <row r="6">
      <c r="A6" s="1">
        <v>2653066.0</v>
      </c>
      <c r="B6" s="1" t="s">
        <v>2185</v>
      </c>
      <c r="C6" s="1" t="b">
        <v>1</v>
      </c>
      <c r="D6" s="1" t="b">
        <v>1</v>
      </c>
      <c r="E6" s="1" t="s">
        <v>264</v>
      </c>
      <c r="F6" s="1" t="s">
        <v>363</v>
      </c>
      <c r="G6" s="2">
        <f>+251984716116</f>
        <v>251984716116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28.85</v>
      </c>
      <c r="M6" s="1" t="s">
        <v>21</v>
      </c>
      <c r="O6" s="1">
        <v>2.09878819051E11</v>
      </c>
    </row>
    <row r="7">
      <c r="A7" s="1">
        <v>2653164.0</v>
      </c>
      <c r="B7" s="1" t="s">
        <v>2186</v>
      </c>
      <c r="C7" s="1" t="b">
        <v>1</v>
      </c>
      <c r="D7" s="1" t="b">
        <v>1</v>
      </c>
      <c r="E7" s="1" t="s">
        <v>458</v>
      </c>
      <c r="F7" s="1" t="s">
        <v>1296</v>
      </c>
      <c r="G7" s="2">
        <f>+251966357848</f>
        <v>251966357848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24.35</v>
      </c>
      <c r="M7" s="1" t="s">
        <v>21</v>
      </c>
      <c r="O7" s="1">
        <v>1860201.0</v>
      </c>
    </row>
    <row r="8">
      <c r="A8" s="1">
        <v>1874596.0</v>
      </c>
      <c r="B8" s="1" t="s">
        <v>2187</v>
      </c>
      <c r="C8" s="1" t="b">
        <v>1</v>
      </c>
      <c r="D8" s="1" t="b">
        <v>1</v>
      </c>
      <c r="E8" s="1" t="s">
        <v>2188</v>
      </c>
      <c r="F8" s="1" t="s">
        <v>2189</v>
      </c>
      <c r="G8" s="2">
        <f>+251968536516</f>
        <v>251968536516</v>
      </c>
      <c r="H8" s="1" t="s">
        <v>18</v>
      </c>
      <c r="I8" s="1" t="s">
        <v>19</v>
      </c>
      <c r="J8" s="1" t="s">
        <v>19</v>
      </c>
      <c r="K8" s="1" t="s">
        <v>20</v>
      </c>
      <c r="L8" s="1">
        <v>24.42</v>
      </c>
      <c r="M8" s="1" t="s">
        <v>21</v>
      </c>
      <c r="O8" s="1">
        <v>2.318453E7</v>
      </c>
    </row>
    <row r="9">
      <c r="A9" s="1">
        <v>1962369.0</v>
      </c>
      <c r="B9" s="1" t="s">
        <v>2190</v>
      </c>
      <c r="C9" s="1" t="b">
        <v>1</v>
      </c>
      <c r="D9" s="1" t="b">
        <v>1</v>
      </c>
      <c r="E9" s="1" t="s">
        <v>2191</v>
      </c>
      <c r="F9" s="1" t="s">
        <v>2192</v>
      </c>
      <c r="G9" s="2">
        <f>+251912051788</f>
        <v>251912051788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32.63</v>
      </c>
      <c r="M9" s="1" t="s">
        <v>21</v>
      </c>
      <c r="O9" s="1">
        <v>8742611.0</v>
      </c>
    </row>
    <row r="10">
      <c r="A10" s="1">
        <v>2653478.0</v>
      </c>
      <c r="B10" s="1" t="s">
        <v>2193</v>
      </c>
      <c r="C10" s="1" t="b">
        <v>1</v>
      </c>
      <c r="D10" s="1" t="b">
        <v>1</v>
      </c>
      <c r="E10" s="1" t="s">
        <v>184</v>
      </c>
      <c r="F10" s="1" t="s">
        <v>2194</v>
      </c>
      <c r="G10" s="2">
        <f>+251954956062</f>
        <v>251954956062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23.32</v>
      </c>
      <c r="M10" s="1" t="s">
        <v>21</v>
      </c>
    </row>
    <row r="11">
      <c r="A11" s="1">
        <v>2653617.0</v>
      </c>
      <c r="B11" s="1" t="s">
        <v>2195</v>
      </c>
      <c r="C11" s="1" t="b">
        <v>1</v>
      </c>
      <c r="D11" s="1" t="b">
        <v>1</v>
      </c>
      <c r="E11" s="1" t="s">
        <v>1069</v>
      </c>
      <c r="F11" s="1" t="s">
        <v>2196</v>
      </c>
      <c r="G11" s="2">
        <f>+251916165420</f>
        <v>251916165420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36.41</v>
      </c>
      <c r="M11" s="1" t="s">
        <v>21</v>
      </c>
    </row>
    <row r="12">
      <c r="A12" s="1">
        <v>2654922.0</v>
      </c>
      <c r="B12" s="1" t="s">
        <v>2197</v>
      </c>
      <c r="C12" s="1" t="b">
        <v>1</v>
      </c>
      <c r="D12" s="1" t="b">
        <v>0</v>
      </c>
      <c r="E12" s="1" t="s">
        <v>2198</v>
      </c>
      <c r="F12" s="1" t="s">
        <v>2199</v>
      </c>
      <c r="G12" s="2">
        <f>+251975022266</f>
        <v>251975022266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23.12</v>
      </c>
      <c r="M12" s="1" t="s">
        <v>21</v>
      </c>
    </row>
    <row r="13">
      <c r="A13" s="1">
        <v>2654963.0</v>
      </c>
      <c r="B13" s="1" t="s">
        <v>2200</v>
      </c>
      <c r="C13" s="1" t="b">
        <v>1</v>
      </c>
      <c r="D13" s="1" t="b">
        <v>1</v>
      </c>
      <c r="E13" s="1" t="s">
        <v>2201</v>
      </c>
      <c r="F13" s="1" t="s">
        <v>2202</v>
      </c>
      <c r="G13" s="2">
        <f>+251985038373</f>
        <v>251985038373</v>
      </c>
      <c r="H13" s="1" t="s">
        <v>18</v>
      </c>
      <c r="I13" s="1" t="s">
        <v>19</v>
      </c>
      <c r="J13" s="1" t="s">
        <v>19</v>
      </c>
      <c r="K13" s="1" t="s">
        <v>25</v>
      </c>
      <c r="L13" s="1">
        <v>26.48</v>
      </c>
      <c r="M13" s="1" t="s">
        <v>21</v>
      </c>
    </row>
    <row r="14">
      <c r="A14" s="1">
        <v>2655283.0</v>
      </c>
      <c r="B14" s="1" t="s">
        <v>2203</v>
      </c>
      <c r="C14" s="1" t="b">
        <v>0</v>
      </c>
      <c r="D14" s="1" t="b">
        <v>1</v>
      </c>
      <c r="E14" s="1" t="s">
        <v>2204</v>
      </c>
      <c r="F14" s="1" t="s">
        <v>829</v>
      </c>
      <c r="G14" s="2">
        <f>+251913634104</f>
        <v>251913634104</v>
      </c>
      <c r="H14" s="1" t="s">
        <v>18</v>
      </c>
      <c r="I14" s="1" t="s">
        <v>19</v>
      </c>
      <c r="J14" s="1" t="s">
        <v>19</v>
      </c>
      <c r="K14" s="1" t="s">
        <v>20</v>
      </c>
      <c r="L14" s="1">
        <v>31.24</v>
      </c>
      <c r="M14" s="1" t="s">
        <v>33</v>
      </c>
      <c r="N14" s="1" t="s">
        <v>76</v>
      </c>
      <c r="O14" s="1">
        <v>2.10609994961E11</v>
      </c>
    </row>
    <row r="15">
      <c r="A15" s="1">
        <v>2655489.0</v>
      </c>
      <c r="B15" s="1" t="s">
        <v>2205</v>
      </c>
      <c r="C15" s="1" t="b">
        <v>1</v>
      </c>
      <c r="D15" s="1" t="b">
        <v>1</v>
      </c>
      <c r="E15" s="1" t="s">
        <v>2206</v>
      </c>
      <c r="F15" s="1" t="s">
        <v>433</v>
      </c>
      <c r="G15" s="2">
        <f>+251924171769</f>
        <v>251924171769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24.41</v>
      </c>
      <c r="M15" s="1" t="s">
        <v>26</v>
      </c>
      <c r="O15" s="1">
        <v>8795858.0</v>
      </c>
    </row>
    <row r="16">
      <c r="A16" s="1">
        <v>2655792.0</v>
      </c>
      <c r="B16" s="1" t="s">
        <v>2207</v>
      </c>
      <c r="C16" s="1" t="b">
        <v>0</v>
      </c>
      <c r="D16" s="1" t="b">
        <v>1</v>
      </c>
      <c r="E16" s="1" t="s">
        <v>2208</v>
      </c>
      <c r="F16" s="1" t="s">
        <v>328</v>
      </c>
      <c r="G16" s="2">
        <f>+251962965266</f>
        <v>251962965266</v>
      </c>
      <c r="H16" s="1" t="s">
        <v>18</v>
      </c>
      <c r="I16" s="1" t="s">
        <v>19</v>
      </c>
      <c r="J16" s="1" t="s">
        <v>19</v>
      </c>
      <c r="K16" s="1" t="s">
        <v>20</v>
      </c>
      <c r="L16" s="1">
        <v>34.04</v>
      </c>
      <c r="M16" s="1" t="s">
        <v>26</v>
      </c>
      <c r="O16" s="1">
        <v>2.10809906401E11</v>
      </c>
    </row>
    <row r="17">
      <c r="A17" s="1">
        <v>2656741.0</v>
      </c>
      <c r="B17" s="1" t="s">
        <v>2209</v>
      </c>
      <c r="C17" s="1" t="b">
        <v>1</v>
      </c>
      <c r="D17" s="1" t="b">
        <v>1</v>
      </c>
      <c r="E17" s="1" t="s">
        <v>2210</v>
      </c>
      <c r="F17" s="1" t="s">
        <v>110</v>
      </c>
      <c r="G17" s="2">
        <f>+251931366327</f>
        <v>251931366327</v>
      </c>
      <c r="H17" s="1" t="s">
        <v>335</v>
      </c>
      <c r="I17" s="1" t="s">
        <v>19</v>
      </c>
      <c r="J17" s="1" t="s">
        <v>19</v>
      </c>
      <c r="K17" s="1" t="s">
        <v>20</v>
      </c>
      <c r="L17" s="1">
        <v>18.9</v>
      </c>
      <c r="M17" s="1" t="s">
        <v>33</v>
      </c>
      <c r="N17" s="1" t="s">
        <v>235</v>
      </c>
      <c r="O17" s="1">
        <v>2.11108434124E11</v>
      </c>
    </row>
    <row r="18">
      <c r="A18" s="1">
        <v>1655735.0</v>
      </c>
      <c r="B18" s="1" t="s">
        <v>2211</v>
      </c>
      <c r="C18" s="1" t="b">
        <v>1</v>
      </c>
      <c r="D18" s="1" t="b">
        <v>1</v>
      </c>
      <c r="E18" s="1" t="s">
        <v>82</v>
      </c>
      <c r="F18" s="1" t="s">
        <v>2212</v>
      </c>
      <c r="G18" s="2">
        <f>+251989658999</f>
        <v>251989658999</v>
      </c>
      <c r="H18" s="1" t="s">
        <v>18</v>
      </c>
      <c r="I18" s="1" t="s">
        <v>19</v>
      </c>
      <c r="J18" s="1" t="s">
        <v>19</v>
      </c>
      <c r="K18" s="1" t="s">
        <v>20</v>
      </c>
      <c r="L18" s="1">
        <v>27.17</v>
      </c>
      <c r="M18" s="1" t="s">
        <v>21</v>
      </c>
      <c r="O18" s="1">
        <v>755033.0</v>
      </c>
    </row>
    <row r="19">
      <c r="A19" s="1">
        <v>659105.0</v>
      </c>
      <c r="B19" s="1" t="s">
        <v>2213</v>
      </c>
      <c r="C19" s="1" t="b">
        <v>1</v>
      </c>
      <c r="D19" s="1" t="b">
        <v>1</v>
      </c>
      <c r="E19" s="1" t="s">
        <v>2214</v>
      </c>
      <c r="F19" s="1" t="s">
        <v>2215</v>
      </c>
      <c r="G19" s="2">
        <f>+251911191749</f>
        <v>251911191749</v>
      </c>
      <c r="H19" s="1" t="s">
        <v>18</v>
      </c>
      <c r="I19" s="1" t="s">
        <v>19</v>
      </c>
      <c r="J19" s="1" t="s">
        <v>19</v>
      </c>
      <c r="K19" s="1" t="s">
        <v>20</v>
      </c>
      <c r="L19" s="1">
        <v>45.37</v>
      </c>
      <c r="M19" s="1" t="s">
        <v>21</v>
      </c>
      <c r="O19" s="1">
        <v>2.9242784E7</v>
      </c>
    </row>
    <row r="20">
      <c r="A20" s="1">
        <v>2494452.0</v>
      </c>
      <c r="B20" s="1" t="s">
        <v>2216</v>
      </c>
      <c r="C20" s="1" t="b">
        <v>1</v>
      </c>
      <c r="D20" s="1" t="b">
        <v>1</v>
      </c>
      <c r="E20" s="1" t="s">
        <v>2217</v>
      </c>
      <c r="F20" s="1" t="s">
        <v>2218</v>
      </c>
      <c r="G20" s="2">
        <f>+251911426683</f>
        <v>251911426683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34.67</v>
      </c>
      <c r="M20" s="1" t="s">
        <v>21</v>
      </c>
      <c r="O20" s="1">
        <v>2.3046257E7</v>
      </c>
    </row>
    <row r="21">
      <c r="A21" s="1">
        <v>2425019.0</v>
      </c>
      <c r="B21" s="1" t="s">
        <v>2219</v>
      </c>
      <c r="C21" s="1" t="b">
        <v>1</v>
      </c>
      <c r="D21" s="1" t="b">
        <v>1</v>
      </c>
      <c r="E21" s="1" t="s">
        <v>2220</v>
      </c>
      <c r="F21" s="1" t="s">
        <v>2221</v>
      </c>
      <c r="G21" s="2">
        <f>+251943334736</f>
        <v>251943334736</v>
      </c>
      <c r="H21" s="1" t="s">
        <v>18</v>
      </c>
      <c r="I21" s="1" t="s">
        <v>19</v>
      </c>
      <c r="J21" s="1" t="s">
        <v>19</v>
      </c>
      <c r="K21" s="1" t="s">
        <v>25</v>
      </c>
      <c r="L21" s="1">
        <v>24.14</v>
      </c>
      <c r="M21" s="1" t="s">
        <v>33</v>
      </c>
      <c r="N21" s="1" t="s">
        <v>177</v>
      </c>
    </row>
    <row r="22">
      <c r="A22" s="1">
        <v>2658452.0</v>
      </c>
      <c r="B22" s="1" t="s">
        <v>2222</v>
      </c>
      <c r="C22" s="1" t="b">
        <v>1</v>
      </c>
      <c r="D22" s="1" t="b">
        <v>1</v>
      </c>
      <c r="E22" s="1" t="s">
        <v>2223</v>
      </c>
      <c r="F22" s="1" t="s">
        <v>996</v>
      </c>
      <c r="G22" s="2">
        <f>+251928398112</f>
        <v>251928398112</v>
      </c>
      <c r="H22" s="1" t="s">
        <v>18</v>
      </c>
      <c r="I22" s="1" t="s">
        <v>19</v>
      </c>
      <c r="J22" s="1" t="s">
        <v>19</v>
      </c>
      <c r="K22" s="1" t="s">
        <v>20</v>
      </c>
      <c r="L22" s="1">
        <v>28.14</v>
      </c>
      <c r="M22" s="1" t="s">
        <v>21</v>
      </c>
      <c r="O22" s="1">
        <v>2.11902694648E11</v>
      </c>
    </row>
    <row r="23">
      <c r="A23" s="1">
        <v>2658711.0</v>
      </c>
      <c r="B23" s="1" t="s">
        <v>2224</v>
      </c>
      <c r="C23" s="1" t="b">
        <v>1</v>
      </c>
      <c r="D23" s="1" t="b">
        <v>1</v>
      </c>
      <c r="E23" s="1" t="s">
        <v>255</v>
      </c>
      <c r="F23" s="1" t="s">
        <v>2225</v>
      </c>
      <c r="G23" s="2">
        <f>+251925456843</f>
        <v>251925456843</v>
      </c>
      <c r="H23" s="1" t="s">
        <v>18</v>
      </c>
      <c r="I23" s="1" t="s">
        <v>19</v>
      </c>
      <c r="J23" s="1" t="s">
        <v>19</v>
      </c>
      <c r="K23" s="1" t="s">
        <v>25</v>
      </c>
      <c r="L23" s="1">
        <v>27.8</v>
      </c>
      <c r="M23" s="1" t="s">
        <v>21</v>
      </c>
      <c r="O23" s="1">
        <v>4.1771331818E10</v>
      </c>
    </row>
    <row r="24">
      <c r="A24" s="1">
        <v>2659056.0</v>
      </c>
      <c r="B24" s="1" t="s">
        <v>2226</v>
      </c>
      <c r="C24" s="1" t="b">
        <v>1</v>
      </c>
      <c r="D24" s="1" t="b">
        <v>1</v>
      </c>
      <c r="E24" s="1" t="s">
        <v>2227</v>
      </c>
      <c r="F24" s="1" t="s">
        <v>250</v>
      </c>
      <c r="G24" s="2">
        <f>+251911639713</f>
        <v>251911639713</v>
      </c>
      <c r="H24" s="1" t="s">
        <v>18</v>
      </c>
      <c r="I24" s="1" t="s">
        <v>19</v>
      </c>
      <c r="J24" s="1" t="s">
        <v>19</v>
      </c>
      <c r="K24" s="1" t="s">
        <v>20</v>
      </c>
      <c r="L24" s="1">
        <v>26.75</v>
      </c>
      <c r="M24" s="1" t="s">
        <v>21</v>
      </c>
      <c r="O24" s="1">
        <v>2.12031070417E11</v>
      </c>
    </row>
    <row r="25">
      <c r="A25" s="1">
        <v>1132106.0</v>
      </c>
      <c r="B25" s="1" t="s">
        <v>2228</v>
      </c>
      <c r="C25" s="1" t="b">
        <v>1</v>
      </c>
      <c r="D25" s="1" t="b">
        <v>1</v>
      </c>
      <c r="E25" s="1" t="s">
        <v>152</v>
      </c>
      <c r="F25" s="1" t="s">
        <v>2229</v>
      </c>
      <c r="G25" s="2">
        <f>+251930926317</f>
        <v>251930926317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27.28</v>
      </c>
      <c r="M25" s="1" t="s">
        <v>33</v>
      </c>
      <c r="N25" s="1" t="s">
        <v>177</v>
      </c>
    </row>
    <row r="26">
      <c r="A26" s="1">
        <v>2660216.0</v>
      </c>
      <c r="B26" s="1" t="s">
        <v>2230</v>
      </c>
      <c r="C26" s="1" t="b">
        <v>1</v>
      </c>
      <c r="D26" s="1" t="b">
        <v>1</v>
      </c>
      <c r="E26" s="1" t="s">
        <v>171</v>
      </c>
      <c r="F26" s="1" t="s">
        <v>2231</v>
      </c>
      <c r="G26" s="2">
        <f>+251993481942</f>
        <v>251993481942</v>
      </c>
      <c r="H26" s="1" t="s">
        <v>93</v>
      </c>
      <c r="I26" s="1" t="s">
        <v>19</v>
      </c>
      <c r="J26" s="1" t="s">
        <v>19</v>
      </c>
      <c r="K26" s="1" t="s">
        <v>25</v>
      </c>
      <c r="L26" s="1">
        <v>39.55</v>
      </c>
      <c r="M26" s="1" t="s">
        <v>21</v>
      </c>
      <c r="O26" s="1">
        <v>2.12408638663E11</v>
      </c>
    </row>
    <row r="27">
      <c r="A27" s="1">
        <v>911908.0</v>
      </c>
      <c r="B27" s="1" t="s">
        <v>2232</v>
      </c>
      <c r="C27" s="1" t="b">
        <v>1</v>
      </c>
      <c r="D27" s="1" t="b">
        <v>1</v>
      </c>
      <c r="E27" s="1" t="s">
        <v>771</v>
      </c>
      <c r="F27" s="1" t="s">
        <v>959</v>
      </c>
      <c r="G27" s="2">
        <f>+251911915394</f>
        <v>251911915394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26.15</v>
      </c>
      <c r="M27" s="1" t="s">
        <v>21</v>
      </c>
      <c r="O27" s="1">
        <v>1109752.0</v>
      </c>
    </row>
    <row r="28">
      <c r="A28" s="1">
        <v>2660828.0</v>
      </c>
      <c r="B28" s="1" t="s">
        <v>2233</v>
      </c>
      <c r="C28" s="1" t="b">
        <v>1</v>
      </c>
      <c r="D28" s="1" t="b">
        <v>1</v>
      </c>
      <c r="E28" s="1" t="s">
        <v>1892</v>
      </c>
      <c r="F28" s="1" t="s">
        <v>333</v>
      </c>
      <c r="G28" s="2">
        <f>+251912421977</f>
        <v>251912421977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18.9</v>
      </c>
      <c r="M28" s="1" t="s">
        <v>21</v>
      </c>
      <c r="O28" s="1">
        <v>2.12790058179E11</v>
      </c>
    </row>
    <row r="29">
      <c r="A29" s="1">
        <v>2661984.0</v>
      </c>
      <c r="B29" s="1" t="s">
        <v>2234</v>
      </c>
      <c r="C29" s="1" t="b">
        <v>1</v>
      </c>
      <c r="D29" s="1" t="b">
        <v>1</v>
      </c>
      <c r="E29" s="1" t="s">
        <v>696</v>
      </c>
      <c r="F29" s="1" t="s">
        <v>2235</v>
      </c>
      <c r="G29" s="2">
        <f>+251912745604</f>
        <v>251912745604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27.75</v>
      </c>
      <c r="M29" s="1" t="s">
        <v>21</v>
      </c>
      <c r="O29" s="1">
        <v>2.13445512392E11</v>
      </c>
    </row>
    <row r="30">
      <c r="A30" s="1">
        <v>2661996.0</v>
      </c>
      <c r="B30" s="1" t="s">
        <v>2236</v>
      </c>
      <c r="C30" s="1" t="b">
        <v>1</v>
      </c>
      <c r="D30" s="1" t="b">
        <v>1</v>
      </c>
      <c r="E30" s="1" t="s">
        <v>2237</v>
      </c>
      <c r="F30" s="1" t="s">
        <v>2238</v>
      </c>
      <c r="G30" s="2">
        <f>+251912873648</f>
        <v>251912873648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21.4</v>
      </c>
      <c r="M30" s="1" t="s">
        <v>33</v>
      </c>
      <c r="N30" s="1" t="s">
        <v>76</v>
      </c>
      <c r="O30" s="1">
        <v>2.13438854371E11</v>
      </c>
    </row>
    <row r="31">
      <c r="A31" s="1">
        <v>1000676.0</v>
      </c>
      <c r="B31" s="1" t="s">
        <v>2239</v>
      </c>
      <c r="C31" s="1" t="b">
        <v>1</v>
      </c>
      <c r="D31" s="1" t="b">
        <v>1</v>
      </c>
      <c r="E31" s="1" t="s">
        <v>371</v>
      </c>
      <c r="F31" s="1" t="s">
        <v>2240</v>
      </c>
      <c r="G31" s="2">
        <f>+251911632019</f>
        <v>251911632019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31.85</v>
      </c>
      <c r="M31" s="1" t="s">
        <v>21</v>
      </c>
      <c r="O31" s="1">
        <v>1864382.0</v>
      </c>
    </row>
    <row r="32">
      <c r="A32" s="1">
        <v>2662120.0</v>
      </c>
      <c r="B32" s="1" t="s">
        <v>2241</v>
      </c>
      <c r="C32" s="1" t="b">
        <v>1</v>
      </c>
      <c r="D32" s="1" t="b">
        <v>1</v>
      </c>
      <c r="E32" s="1" t="s">
        <v>2242</v>
      </c>
      <c r="F32" s="1" t="s">
        <v>2243</v>
      </c>
      <c r="G32" s="2">
        <f>+251945065292</f>
        <v>251945065292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29.33</v>
      </c>
      <c r="M32" s="1" t="s">
        <v>21</v>
      </c>
    </row>
    <row r="33">
      <c r="A33" s="1">
        <v>2645732.0</v>
      </c>
      <c r="B33" s="1" t="s">
        <v>2244</v>
      </c>
      <c r="C33" s="1" t="b">
        <v>1</v>
      </c>
      <c r="D33" s="1" t="b">
        <v>1</v>
      </c>
      <c r="E33" s="1" t="s">
        <v>2245</v>
      </c>
      <c r="F33" s="1" t="s">
        <v>2246</v>
      </c>
      <c r="G33" s="1">
        <v>9.40801378E8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25.44</v>
      </c>
      <c r="M33" s="1" t="s">
        <v>21</v>
      </c>
      <c r="O33" s="1">
        <v>2.05871908031E11</v>
      </c>
    </row>
    <row r="34">
      <c r="A34" s="1">
        <v>2663259.0</v>
      </c>
      <c r="B34" s="1" t="s">
        <v>2247</v>
      </c>
      <c r="C34" s="1" t="b">
        <v>1</v>
      </c>
      <c r="D34" s="1" t="b">
        <v>1</v>
      </c>
      <c r="E34" s="1" t="s">
        <v>2248</v>
      </c>
      <c r="F34" s="1" t="s">
        <v>1167</v>
      </c>
      <c r="G34" s="2">
        <f>+251918724361</f>
        <v>251918724361</v>
      </c>
      <c r="H34" s="1" t="s">
        <v>392</v>
      </c>
      <c r="I34" s="1" t="s">
        <v>19</v>
      </c>
      <c r="J34" s="1" t="s">
        <v>19</v>
      </c>
      <c r="K34" s="1" t="s">
        <v>25</v>
      </c>
      <c r="L34" s="1">
        <v>39.08</v>
      </c>
      <c r="M34" s="1" t="s">
        <v>21</v>
      </c>
      <c r="O34" s="1">
        <v>2.13901733063E11</v>
      </c>
    </row>
    <row r="35">
      <c r="A35" s="1">
        <v>2663285.0</v>
      </c>
      <c r="B35" s="1" t="s">
        <v>2249</v>
      </c>
      <c r="C35" s="1" t="b">
        <v>1</v>
      </c>
      <c r="D35" s="1" t="b">
        <v>0</v>
      </c>
      <c r="E35" s="1" t="s">
        <v>157</v>
      </c>
      <c r="F35" s="1" t="s">
        <v>2250</v>
      </c>
      <c r="G35" s="1">
        <v>9.1393818E8</v>
      </c>
      <c r="H35" s="1" t="s">
        <v>18</v>
      </c>
      <c r="I35" s="1" t="s">
        <v>19</v>
      </c>
      <c r="J35" s="1" t="s">
        <v>19</v>
      </c>
      <c r="K35" s="1" t="s">
        <v>20</v>
      </c>
      <c r="L35" s="1">
        <v>44.29</v>
      </c>
      <c r="M35" s="1" t="s">
        <v>21</v>
      </c>
      <c r="O35" s="1">
        <v>2.13903494333E11</v>
      </c>
    </row>
    <row r="36">
      <c r="A36" s="1">
        <v>2663633.0</v>
      </c>
      <c r="B36" s="1" t="s">
        <v>2251</v>
      </c>
      <c r="C36" s="1" t="b">
        <v>1</v>
      </c>
      <c r="D36" s="1" t="b">
        <v>1</v>
      </c>
      <c r="E36" s="1" t="s">
        <v>151</v>
      </c>
      <c r="F36" s="1" t="s">
        <v>2252</v>
      </c>
      <c r="G36" s="2">
        <f>+251980645253</f>
        <v>251980645253</v>
      </c>
      <c r="H36" s="1" t="s">
        <v>18</v>
      </c>
      <c r="I36" s="1" t="s">
        <v>19</v>
      </c>
      <c r="J36" s="1" t="s">
        <v>19</v>
      </c>
      <c r="K36" s="1" t="s">
        <v>20</v>
      </c>
      <c r="L36" s="1">
        <v>23.32</v>
      </c>
      <c r="M36" s="1" t="s">
        <v>21</v>
      </c>
      <c r="O36" s="1">
        <v>2.13947198702E11</v>
      </c>
    </row>
    <row r="37">
      <c r="A37" s="1">
        <v>2663997.0</v>
      </c>
      <c r="B37" s="1" t="s">
        <v>2253</v>
      </c>
      <c r="C37" s="1" t="b">
        <v>1</v>
      </c>
      <c r="D37" s="1" t="b">
        <v>1</v>
      </c>
      <c r="E37" s="1" t="s">
        <v>303</v>
      </c>
      <c r="F37" s="1" t="s">
        <v>2254</v>
      </c>
      <c r="G37" s="1">
        <v>9.39268519E8</v>
      </c>
      <c r="H37" s="1" t="s">
        <v>18</v>
      </c>
      <c r="I37" s="1" t="s">
        <v>19</v>
      </c>
      <c r="J37" s="1" t="s">
        <v>19</v>
      </c>
      <c r="K37" s="1" t="s">
        <v>25</v>
      </c>
      <c r="L37" s="1">
        <v>28.0</v>
      </c>
      <c r="M37" s="1" t="s">
        <v>33</v>
      </c>
      <c r="N37" s="1" t="s">
        <v>65</v>
      </c>
      <c r="O37" s="1">
        <v>2.1405680664E11</v>
      </c>
    </row>
    <row r="38">
      <c r="A38" s="1">
        <v>2070620.0</v>
      </c>
      <c r="B38" s="1" t="s">
        <v>2255</v>
      </c>
      <c r="C38" s="1" t="b">
        <v>1</v>
      </c>
      <c r="D38" s="1" t="b">
        <v>1</v>
      </c>
      <c r="E38" s="1" t="s">
        <v>758</v>
      </c>
      <c r="F38" s="1" t="s">
        <v>1103</v>
      </c>
      <c r="G38" s="2">
        <f>+251994807311</f>
        <v>251994807311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22.82</v>
      </c>
      <c r="M38" s="1" t="s">
        <v>21</v>
      </c>
      <c r="O38" s="1">
        <v>6176210.0</v>
      </c>
    </row>
    <row r="39">
      <c r="A39" s="1">
        <v>2665338.0</v>
      </c>
      <c r="B39" s="1" t="s">
        <v>2256</v>
      </c>
      <c r="C39" s="1" t="b">
        <v>1</v>
      </c>
      <c r="D39" s="1" t="b">
        <v>1</v>
      </c>
      <c r="E39" s="1" t="s">
        <v>2257</v>
      </c>
      <c r="F39" s="1" t="s">
        <v>2258</v>
      </c>
      <c r="G39" s="2">
        <f>+251947379059</f>
        <v>251947379059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22.68</v>
      </c>
      <c r="M39" s="1" t="s">
        <v>21</v>
      </c>
      <c r="O39" s="1">
        <v>2.14540466425E11</v>
      </c>
    </row>
    <row r="40">
      <c r="A40" s="1">
        <v>2665869.0</v>
      </c>
      <c r="B40" s="1" t="s">
        <v>2259</v>
      </c>
      <c r="C40" s="1" t="b">
        <v>1</v>
      </c>
      <c r="D40" s="1" t="b">
        <v>1</v>
      </c>
      <c r="E40" s="1" t="s">
        <v>2260</v>
      </c>
      <c r="F40" s="1" t="s">
        <v>2261</v>
      </c>
      <c r="G40" s="2">
        <f>+251911365884</f>
        <v>251911365884</v>
      </c>
      <c r="H40" s="1" t="s">
        <v>18</v>
      </c>
      <c r="I40" s="1" t="s">
        <v>19</v>
      </c>
      <c r="J40" s="1" t="s">
        <v>19</v>
      </c>
      <c r="K40" s="1" t="s">
        <v>25</v>
      </c>
      <c r="L40" s="1">
        <v>29.92</v>
      </c>
      <c r="M40" s="1" t="s">
        <v>21</v>
      </c>
      <c r="O40" s="1">
        <v>16539.0</v>
      </c>
    </row>
    <row r="41">
      <c r="A41" s="1">
        <v>491062.0</v>
      </c>
      <c r="B41" s="1" t="s">
        <v>2262</v>
      </c>
      <c r="C41" s="1" t="b">
        <v>1</v>
      </c>
      <c r="D41" s="1" t="b">
        <v>1</v>
      </c>
      <c r="E41" s="1" t="s">
        <v>2263</v>
      </c>
      <c r="F41" s="1" t="s">
        <v>2264</v>
      </c>
      <c r="G41" s="2">
        <f>+251975041777</f>
        <v>251975041777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26.75</v>
      </c>
      <c r="M41" s="1" t="s">
        <v>21</v>
      </c>
      <c r="O41" s="1">
        <v>2.838537E7</v>
      </c>
    </row>
    <row r="42">
      <c r="A42" s="1">
        <v>1564564.0</v>
      </c>
      <c r="B42" s="1" t="s">
        <v>2265</v>
      </c>
      <c r="C42" s="1" t="b">
        <v>1</v>
      </c>
      <c r="D42" s="1" t="b">
        <v>1</v>
      </c>
      <c r="E42" s="1" t="s">
        <v>2266</v>
      </c>
      <c r="F42" s="1" t="s">
        <v>2267</v>
      </c>
      <c r="G42" s="2">
        <f>+251942627000</f>
        <v>251942627000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30.49</v>
      </c>
      <c r="M42" s="1" t="s">
        <v>33</v>
      </c>
      <c r="N42" s="1" t="s">
        <v>118</v>
      </c>
      <c r="O42" s="1">
        <v>9960463.0</v>
      </c>
    </row>
    <row r="43">
      <c r="A43" s="1">
        <v>2667621.0</v>
      </c>
      <c r="B43" s="1" t="s">
        <v>2268</v>
      </c>
      <c r="C43" s="1" t="b">
        <v>1</v>
      </c>
      <c r="D43" s="1" t="b">
        <v>1</v>
      </c>
      <c r="E43" s="1" t="s">
        <v>2269</v>
      </c>
      <c r="F43" s="1" t="s">
        <v>2006</v>
      </c>
      <c r="G43" s="2">
        <f>+251911715238</f>
        <v>251911715238</v>
      </c>
      <c r="H43" s="1" t="s">
        <v>18</v>
      </c>
      <c r="I43" s="1" t="s">
        <v>19</v>
      </c>
      <c r="J43" s="1" t="s">
        <v>19</v>
      </c>
      <c r="K43" s="1" t="s">
        <v>20</v>
      </c>
      <c r="L43" s="1">
        <v>44.98</v>
      </c>
      <c r="M43" s="1" t="s">
        <v>21</v>
      </c>
      <c r="O43" s="1">
        <v>957375.0</v>
      </c>
    </row>
    <row r="44">
      <c r="A44" s="1">
        <v>2667707.0</v>
      </c>
      <c r="B44" s="1" t="s">
        <v>2270</v>
      </c>
      <c r="C44" s="1" t="b">
        <v>1</v>
      </c>
      <c r="D44" s="1" t="b">
        <v>1</v>
      </c>
      <c r="E44" s="1" t="s">
        <v>2271</v>
      </c>
      <c r="F44" s="1" t="s">
        <v>56</v>
      </c>
      <c r="G44" s="2">
        <f>+251938064280</f>
        <v>251938064280</v>
      </c>
      <c r="H44" s="1" t="s">
        <v>18</v>
      </c>
      <c r="I44" s="1" t="s">
        <v>19</v>
      </c>
      <c r="J44" s="1" t="s">
        <v>19</v>
      </c>
      <c r="K44" s="1" t="s">
        <v>20</v>
      </c>
      <c r="L44" s="1">
        <v>26.14</v>
      </c>
      <c r="M44" s="1" t="s">
        <v>21</v>
      </c>
      <c r="O44" s="1">
        <v>2.15340183752E11</v>
      </c>
    </row>
    <row r="45">
      <c r="A45" s="1">
        <v>2437039.0</v>
      </c>
      <c r="B45" s="1" t="s">
        <v>2272</v>
      </c>
      <c r="C45" s="1" t="b">
        <v>1</v>
      </c>
      <c r="D45" s="1" t="b">
        <v>1</v>
      </c>
      <c r="E45" s="1" t="s">
        <v>2273</v>
      </c>
      <c r="F45" s="1" t="s">
        <v>2041</v>
      </c>
      <c r="G45" s="2">
        <f>+251913888197</f>
        <v>251913888197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31.27</v>
      </c>
      <c r="M45" s="1" t="s">
        <v>33</v>
      </c>
      <c r="N45" s="1" t="s">
        <v>65</v>
      </c>
      <c r="O45" s="1">
        <v>1051011.0</v>
      </c>
    </row>
    <row r="46">
      <c r="A46" s="1">
        <v>2668278.0</v>
      </c>
      <c r="B46" s="1" t="s">
        <v>2274</v>
      </c>
      <c r="C46" s="1" t="b">
        <v>1</v>
      </c>
      <c r="D46" s="1" t="b">
        <v>1</v>
      </c>
      <c r="E46" s="1" t="s">
        <v>2275</v>
      </c>
      <c r="F46" s="1" t="s">
        <v>880</v>
      </c>
      <c r="G46" s="2">
        <f>+251940636300</f>
        <v>251940636300</v>
      </c>
      <c r="H46" s="1" t="s">
        <v>18</v>
      </c>
      <c r="I46" s="1" t="s">
        <v>19</v>
      </c>
      <c r="J46" s="1" t="s">
        <v>19</v>
      </c>
      <c r="K46" s="1" t="s">
        <v>20</v>
      </c>
      <c r="L46" s="1">
        <v>31.16</v>
      </c>
      <c r="M46" s="1" t="s">
        <v>21</v>
      </c>
      <c r="O46" s="1">
        <v>2.15583706313E11</v>
      </c>
    </row>
    <row r="47">
      <c r="A47" s="1">
        <v>2669278.0</v>
      </c>
      <c r="B47" s="1" t="s">
        <v>2276</v>
      </c>
      <c r="C47" s="1" t="b">
        <v>1</v>
      </c>
      <c r="D47" s="1" t="b">
        <v>1</v>
      </c>
      <c r="E47" s="1" t="s">
        <v>2277</v>
      </c>
      <c r="F47" s="1" t="s">
        <v>970</v>
      </c>
      <c r="G47" s="2">
        <f>+251911238780</f>
        <v>251911238780</v>
      </c>
      <c r="H47" s="1" t="s">
        <v>18</v>
      </c>
      <c r="I47" s="1" t="s">
        <v>19</v>
      </c>
      <c r="J47" s="1" t="s">
        <v>19</v>
      </c>
      <c r="K47" s="1" t="s">
        <v>20</v>
      </c>
      <c r="L47" s="1">
        <v>26.83</v>
      </c>
      <c r="M47" s="1" t="s">
        <v>21</v>
      </c>
      <c r="O47" s="1">
        <v>2.15948286145E11</v>
      </c>
    </row>
    <row r="48">
      <c r="A48" s="1">
        <v>2670676.0</v>
      </c>
      <c r="B48" s="1" t="s">
        <v>2278</v>
      </c>
      <c r="C48" s="1" t="b">
        <v>1</v>
      </c>
      <c r="D48" s="1" t="b">
        <v>1</v>
      </c>
      <c r="E48" s="1" t="s">
        <v>113</v>
      </c>
      <c r="F48" s="1" t="s">
        <v>996</v>
      </c>
      <c r="G48" s="2">
        <f>+251911570313</f>
        <v>251911570313</v>
      </c>
      <c r="H48" s="1" t="s">
        <v>18</v>
      </c>
      <c r="I48" s="1" t="s">
        <v>19</v>
      </c>
      <c r="J48" s="1" t="s">
        <v>19</v>
      </c>
      <c r="K48" s="1" t="s">
        <v>20</v>
      </c>
      <c r="L48" s="1">
        <v>38.77</v>
      </c>
      <c r="M48" s="1" t="s">
        <v>21</v>
      </c>
      <c r="O48" s="1">
        <v>2.16889201912E11</v>
      </c>
    </row>
    <row r="49">
      <c r="A49" s="1">
        <v>1580853.0</v>
      </c>
      <c r="B49" s="1" t="s">
        <v>2279</v>
      </c>
      <c r="C49" s="1" t="b">
        <v>1</v>
      </c>
      <c r="D49" s="1" t="b">
        <v>1</v>
      </c>
      <c r="E49" s="1" t="s">
        <v>2280</v>
      </c>
      <c r="F49" s="1" t="s">
        <v>2281</v>
      </c>
      <c r="G49" s="2">
        <f>+251913567228</f>
        <v>251913567228</v>
      </c>
      <c r="H49" s="1" t="s">
        <v>18</v>
      </c>
      <c r="I49" s="1" t="s">
        <v>19</v>
      </c>
      <c r="J49" s="1" t="s">
        <v>19</v>
      </c>
      <c r="K49" s="1" t="s">
        <v>20</v>
      </c>
      <c r="L49" s="1">
        <v>26.8</v>
      </c>
      <c r="M49" s="1" t="s">
        <v>33</v>
      </c>
      <c r="N49" s="1" t="s">
        <v>65</v>
      </c>
      <c r="O49" s="1">
        <v>6027436.0</v>
      </c>
    </row>
    <row r="50">
      <c r="A50" s="1">
        <v>2671520.0</v>
      </c>
      <c r="B50" s="1" t="s">
        <v>2282</v>
      </c>
      <c r="C50" s="1" t="b">
        <v>1</v>
      </c>
      <c r="D50" s="1" t="b">
        <v>0</v>
      </c>
      <c r="E50" s="1" t="s">
        <v>2283</v>
      </c>
      <c r="F50" s="1" t="s">
        <v>2284</v>
      </c>
      <c r="G50" s="2">
        <f>+251922783175</f>
        <v>251922783175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22.49</v>
      </c>
      <c r="M50" s="1" t="s">
        <v>21</v>
      </c>
    </row>
    <row r="51">
      <c r="A51" s="1">
        <v>2672216.0</v>
      </c>
      <c r="B51" s="1" t="s">
        <v>2285</v>
      </c>
      <c r="C51" s="1" t="b">
        <v>1</v>
      </c>
      <c r="D51" s="1" t="b">
        <v>0</v>
      </c>
      <c r="E51" s="1" t="s">
        <v>2286</v>
      </c>
      <c r="F51" s="1" t="s">
        <v>948</v>
      </c>
      <c r="G51" s="2">
        <f>+251964190417</f>
        <v>251964190417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24.09</v>
      </c>
      <c r="M51" s="1" t="s">
        <v>21</v>
      </c>
      <c r="O51" s="1">
        <v>2.17570265332E11</v>
      </c>
    </row>
    <row r="52">
      <c r="A52" s="1">
        <v>2672204.0</v>
      </c>
      <c r="B52" s="1" t="s">
        <v>2287</v>
      </c>
      <c r="C52" s="1" t="b">
        <v>1</v>
      </c>
      <c r="D52" s="1" t="b">
        <v>1</v>
      </c>
      <c r="E52" s="1" t="s">
        <v>2288</v>
      </c>
      <c r="F52" s="1" t="s">
        <v>2159</v>
      </c>
      <c r="G52" s="2">
        <f>+251936034050</f>
        <v>251936034050</v>
      </c>
      <c r="H52" s="1" t="s">
        <v>18</v>
      </c>
      <c r="I52" s="1" t="s">
        <v>19</v>
      </c>
      <c r="J52" s="1" t="s">
        <v>19</v>
      </c>
      <c r="K52" s="1" t="s">
        <v>20</v>
      </c>
      <c r="L52" s="1">
        <v>21.29</v>
      </c>
      <c r="M52" s="1" t="s">
        <v>21</v>
      </c>
      <c r="O52" s="1">
        <v>2.17521267912E11</v>
      </c>
    </row>
    <row r="53">
      <c r="A53" s="1">
        <v>2671649.0</v>
      </c>
      <c r="B53" s="1" t="s">
        <v>2289</v>
      </c>
      <c r="C53" s="1" t="b">
        <v>1</v>
      </c>
      <c r="D53" s="1" t="b">
        <v>1</v>
      </c>
      <c r="E53" s="1" t="s">
        <v>2290</v>
      </c>
      <c r="F53" s="1" t="s">
        <v>2291</v>
      </c>
      <c r="G53" s="2">
        <f>+251937194133</f>
        <v>251937194133</v>
      </c>
      <c r="H53" s="1" t="s">
        <v>18</v>
      </c>
      <c r="I53" s="1" t="s">
        <v>19</v>
      </c>
      <c r="J53" s="1" t="s">
        <v>19</v>
      </c>
      <c r="K53" s="1" t="s">
        <v>20</v>
      </c>
      <c r="L53" s="1">
        <v>21.52</v>
      </c>
      <c r="M53" s="1" t="s">
        <v>21</v>
      </c>
    </row>
    <row r="54">
      <c r="A54" s="1">
        <v>2673605.0</v>
      </c>
      <c r="B54" s="1" t="s">
        <v>2292</v>
      </c>
      <c r="C54" s="1" t="b">
        <v>1</v>
      </c>
      <c r="D54" s="1" t="b">
        <v>1</v>
      </c>
      <c r="E54" s="1" t="s">
        <v>130</v>
      </c>
      <c r="F54" s="1" t="s">
        <v>2293</v>
      </c>
      <c r="G54" s="2">
        <f>+251917443845</f>
        <v>251917443845</v>
      </c>
      <c r="H54" s="1" t="s">
        <v>18</v>
      </c>
      <c r="I54" s="1" t="s">
        <v>19</v>
      </c>
      <c r="J54" s="1" t="s">
        <v>19</v>
      </c>
      <c r="K54" s="1" t="s">
        <v>25</v>
      </c>
      <c r="L54" s="1">
        <v>35.72</v>
      </c>
      <c r="M54" s="1" t="s">
        <v>33</v>
      </c>
      <c r="N54" s="1" t="s">
        <v>235</v>
      </c>
      <c r="O54" s="1">
        <v>2.18139657447E11</v>
      </c>
    </row>
    <row r="55">
      <c r="A55" s="1">
        <v>2664749.0</v>
      </c>
      <c r="B55" s="1" t="s">
        <v>2294</v>
      </c>
      <c r="C55" s="1" t="b">
        <v>1</v>
      </c>
      <c r="D55" s="1" t="b">
        <v>1</v>
      </c>
      <c r="E55" s="1" t="s">
        <v>96</v>
      </c>
      <c r="F55" s="1" t="s">
        <v>1794</v>
      </c>
      <c r="G55" s="2">
        <f>+251928491544</f>
        <v>251928491544</v>
      </c>
      <c r="H55" s="1" t="s">
        <v>72</v>
      </c>
      <c r="I55" s="1" t="s">
        <v>19</v>
      </c>
      <c r="J55" s="1" t="s">
        <v>19</v>
      </c>
      <c r="K55" s="1" t="s">
        <v>25</v>
      </c>
      <c r="L55" s="1">
        <v>23.22</v>
      </c>
      <c r="M55" s="1" t="s">
        <v>33</v>
      </c>
      <c r="N55" s="1" t="s">
        <v>177</v>
      </c>
      <c r="O55" s="1">
        <v>2.14196179154E11</v>
      </c>
    </row>
    <row r="56">
      <c r="A56" s="1">
        <v>2674196.0</v>
      </c>
      <c r="B56" s="1" t="s">
        <v>2295</v>
      </c>
      <c r="C56" s="1" t="b">
        <v>1</v>
      </c>
      <c r="D56" s="1" t="b">
        <v>1</v>
      </c>
      <c r="E56" s="1" t="s">
        <v>1069</v>
      </c>
      <c r="F56" s="1" t="s">
        <v>859</v>
      </c>
      <c r="G56" s="2">
        <f>+251946368535</f>
        <v>251946368535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22.84</v>
      </c>
      <c r="M56" s="1" t="s">
        <v>21</v>
      </c>
      <c r="O56" s="1">
        <v>2.18457435339E11</v>
      </c>
    </row>
    <row r="57">
      <c r="A57" s="1">
        <v>1762658.0</v>
      </c>
      <c r="B57" s="1" t="s">
        <v>2296</v>
      </c>
      <c r="C57" s="1" t="b">
        <v>1</v>
      </c>
      <c r="D57" s="1" t="b">
        <v>1</v>
      </c>
      <c r="E57" s="1" t="s">
        <v>2297</v>
      </c>
      <c r="F57" s="1" t="s">
        <v>420</v>
      </c>
      <c r="G57" s="1">
        <v>9.39658343E8</v>
      </c>
      <c r="H57" s="1" t="s">
        <v>392</v>
      </c>
      <c r="I57" s="1" t="s">
        <v>19</v>
      </c>
      <c r="J57" s="1" t="s">
        <v>19</v>
      </c>
      <c r="K57" s="1" t="s">
        <v>20</v>
      </c>
      <c r="L57" s="1">
        <v>29.95</v>
      </c>
      <c r="M57" s="1" t="s">
        <v>21</v>
      </c>
      <c r="O57" s="1">
        <v>2.3644051676E10</v>
      </c>
    </row>
    <row r="58">
      <c r="A58" s="1">
        <v>2329514.0</v>
      </c>
      <c r="B58" s="1" t="s">
        <v>2298</v>
      </c>
      <c r="C58" s="1" t="b">
        <v>1</v>
      </c>
      <c r="D58" s="1" t="b">
        <v>1</v>
      </c>
      <c r="E58" s="1" t="s">
        <v>2159</v>
      </c>
      <c r="F58" s="1" t="s">
        <v>2299</v>
      </c>
      <c r="G58" s="1">
        <v>9.15446283E8</v>
      </c>
      <c r="H58" s="1" t="s">
        <v>488</v>
      </c>
      <c r="I58" s="1" t="s">
        <v>19</v>
      </c>
      <c r="J58" s="1" t="s">
        <v>19</v>
      </c>
      <c r="K58" s="1" t="s">
        <v>25</v>
      </c>
      <c r="L58" s="1">
        <v>33.74</v>
      </c>
      <c r="M58" s="1" t="s">
        <v>21</v>
      </c>
      <c r="O58" s="1">
        <v>3.721233147E10</v>
      </c>
    </row>
    <row r="59">
      <c r="A59" s="1">
        <v>2675888.0</v>
      </c>
      <c r="B59" s="1" t="s">
        <v>2300</v>
      </c>
      <c r="C59" s="1" t="b">
        <v>1</v>
      </c>
      <c r="D59" s="1" t="b">
        <v>1</v>
      </c>
      <c r="E59" s="1" t="s">
        <v>404</v>
      </c>
      <c r="F59" s="1" t="s">
        <v>2301</v>
      </c>
      <c r="G59" s="2">
        <f>+251935431739</f>
        <v>251935431739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36.99</v>
      </c>
      <c r="M59" s="1" t="s">
        <v>26</v>
      </c>
      <c r="O59" s="1">
        <v>8103279.0</v>
      </c>
    </row>
    <row r="60">
      <c r="A60" s="1">
        <v>2675926.0</v>
      </c>
      <c r="B60" s="1" t="s">
        <v>2302</v>
      </c>
      <c r="C60" s="1" t="b">
        <v>0</v>
      </c>
      <c r="D60" s="1" t="b">
        <v>1</v>
      </c>
      <c r="E60" s="1" t="s">
        <v>2303</v>
      </c>
      <c r="F60" s="1" t="s">
        <v>2304</v>
      </c>
      <c r="G60" s="2">
        <f>+251960818314</f>
        <v>251960818314</v>
      </c>
      <c r="H60" s="1" t="s">
        <v>18</v>
      </c>
      <c r="I60" s="1" t="s">
        <v>19</v>
      </c>
      <c r="J60" s="1" t="s">
        <v>19</v>
      </c>
      <c r="K60" s="1" t="s">
        <v>20</v>
      </c>
      <c r="L60" s="1">
        <v>25.93</v>
      </c>
      <c r="M60" s="1" t="s">
        <v>33</v>
      </c>
      <c r="N60" s="1" t="s">
        <v>118</v>
      </c>
      <c r="O60" s="1">
        <v>2.19015985401E11</v>
      </c>
    </row>
    <row r="61">
      <c r="A61" s="1">
        <v>2676047.0</v>
      </c>
      <c r="B61" s="1" t="s">
        <v>2305</v>
      </c>
      <c r="C61" s="1" t="b">
        <v>1</v>
      </c>
      <c r="D61" s="1" t="b">
        <v>0</v>
      </c>
      <c r="E61" s="1" t="s">
        <v>2306</v>
      </c>
      <c r="F61" s="1" t="s">
        <v>56</v>
      </c>
      <c r="G61" s="2">
        <f>+251938064280</f>
        <v>251938064280</v>
      </c>
      <c r="H61" s="1" t="s">
        <v>18</v>
      </c>
      <c r="I61" s="1" t="s">
        <v>19</v>
      </c>
      <c r="J61" s="1" t="s">
        <v>19</v>
      </c>
      <c r="K61" s="1" t="s">
        <v>20</v>
      </c>
      <c r="L61" s="1">
        <v>26.14</v>
      </c>
      <c r="M61" s="1" t="s">
        <v>21</v>
      </c>
      <c r="O61" s="1">
        <v>1870345.0</v>
      </c>
    </row>
    <row r="62">
      <c r="A62" s="1">
        <v>2676384.0</v>
      </c>
      <c r="B62" s="1" t="s">
        <v>2307</v>
      </c>
      <c r="C62" s="1" t="b">
        <v>1</v>
      </c>
      <c r="D62" s="1" t="b">
        <v>1</v>
      </c>
      <c r="E62" s="1" t="s">
        <v>669</v>
      </c>
      <c r="F62" s="1" t="s">
        <v>859</v>
      </c>
      <c r="G62" s="1">
        <v>9.87281168E8</v>
      </c>
      <c r="H62" s="1" t="s">
        <v>18</v>
      </c>
      <c r="I62" s="1" t="s">
        <v>19</v>
      </c>
      <c r="J62" s="1" t="s">
        <v>19</v>
      </c>
      <c r="K62" s="1" t="s">
        <v>25</v>
      </c>
      <c r="L62" s="1">
        <v>25.29</v>
      </c>
      <c r="M62" s="1" t="s">
        <v>21</v>
      </c>
      <c r="O62" s="1">
        <v>2.19222755525E11</v>
      </c>
    </row>
    <row r="63">
      <c r="A63" s="1">
        <v>2468308.0</v>
      </c>
      <c r="B63" s="1" t="s">
        <v>2308</v>
      </c>
      <c r="C63" s="1" t="b">
        <v>1</v>
      </c>
      <c r="D63" s="1" t="b">
        <v>1</v>
      </c>
      <c r="E63" s="1" t="s">
        <v>2183</v>
      </c>
      <c r="F63" s="1" t="s">
        <v>148</v>
      </c>
      <c r="G63" s="2">
        <f>+251941421046</f>
        <v>251941421046</v>
      </c>
      <c r="H63" s="1" t="s">
        <v>18</v>
      </c>
      <c r="I63" s="1" t="s">
        <v>19</v>
      </c>
      <c r="J63" s="1" t="s">
        <v>19</v>
      </c>
      <c r="K63" s="1" t="s">
        <v>20</v>
      </c>
      <c r="L63" s="1">
        <v>19.11</v>
      </c>
      <c r="M63" s="1" t="s">
        <v>33</v>
      </c>
      <c r="N63" s="1" t="s">
        <v>118</v>
      </c>
      <c r="O63" s="1">
        <v>2.9007346E7</v>
      </c>
    </row>
    <row r="64">
      <c r="A64" s="1">
        <v>2676770.0</v>
      </c>
      <c r="B64" s="1" t="s">
        <v>2309</v>
      </c>
      <c r="C64" s="1" t="b">
        <v>1</v>
      </c>
      <c r="D64" s="1" t="b">
        <v>1</v>
      </c>
      <c r="E64" s="1" t="s">
        <v>399</v>
      </c>
      <c r="F64" s="1" t="s">
        <v>238</v>
      </c>
      <c r="G64" s="2">
        <f>+251928818176</f>
        <v>251928818176</v>
      </c>
      <c r="H64" s="1" t="s">
        <v>18</v>
      </c>
      <c r="I64" s="1" t="s">
        <v>19</v>
      </c>
      <c r="J64" s="1" t="s">
        <v>19</v>
      </c>
      <c r="K64" s="1" t="s">
        <v>25</v>
      </c>
      <c r="L64" s="1">
        <v>26.5</v>
      </c>
      <c r="M64" s="1" t="s">
        <v>33</v>
      </c>
      <c r="N64" s="1" t="s">
        <v>65</v>
      </c>
      <c r="O64" s="1">
        <v>2.19296552127E11</v>
      </c>
    </row>
    <row r="65">
      <c r="A65" s="1">
        <v>272629.0</v>
      </c>
      <c r="B65" s="1" t="s">
        <v>2310</v>
      </c>
      <c r="C65" s="1" t="b">
        <v>1</v>
      </c>
      <c r="D65" s="1" t="b">
        <v>1</v>
      </c>
      <c r="E65" s="1" t="s">
        <v>2311</v>
      </c>
      <c r="F65" s="1" t="s">
        <v>2312</v>
      </c>
      <c r="G65" s="2">
        <f>+251911416417</f>
        <v>251911416417</v>
      </c>
      <c r="H65" s="1" t="s">
        <v>18</v>
      </c>
      <c r="I65" s="1" t="s">
        <v>19</v>
      </c>
      <c r="J65" s="1" t="s">
        <v>19</v>
      </c>
      <c r="K65" s="1" t="s">
        <v>20</v>
      </c>
      <c r="L65" s="1">
        <v>25.71</v>
      </c>
      <c r="M65" s="1" t="s">
        <v>33</v>
      </c>
      <c r="N65" s="1" t="s">
        <v>177</v>
      </c>
      <c r="O65" s="1">
        <v>1.3920177E7</v>
      </c>
    </row>
    <row r="66">
      <c r="A66" s="1">
        <v>2678454.0</v>
      </c>
      <c r="B66" s="1" t="s">
        <v>2313</v>
      </c>
      <c r="C66" s="1" t="b">
        <v>1</v>
      </c>
      <c r="D66" s="1" t="b">
        <v>0</v>
      </c>
      <c r="E66" s="1" t="s">
        <v>2314</v>
      </c>
      <c r="F66" s="1" t="s">
        <v>2315</v>
      </c>
      <c r="G66" s="1">
        <v>2.51924544353E11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34.96</v>
      </c>
      <c r="M66" s="1" t="s">
        <v>21</v>
      </c>
      <c r="O66" s="1">
        <v>5940228.0</v>
      </c>
    </row>
    <row r="67">
      <c r="A67" s="1">
        <v>1967696.0</v>
      </c>
      <c r="B67" s="1" t="s">
        <v>2316</v>
      </c>
      <c r="C67" s="1" t="b">
        <v>1</v>
      </c>
      <c r="D67" s="1" t="b">
        <v>1</v>
      </c>
      <c r="E67" s="1" t="s">
        <v>867</v>
      </c>
      <c r="F67" s="1" t="s">
        <v>2317</v>
      </c>
      <c r="G67" s="2">
        <f>+251953009482</f>
        <v>251953009482</v>
      </c>
      <c r="H67" s="1" t="s">
        <v>18</v>
      </c>
      <c r="I67" s="1" t="s">
        <v>19</v>
      </c>
      <c r="J67" s="1" t="s">
        <v>19</v>
      </c>
      <c r="K67" s="1" t="s">
        <v>25</v>
      </c>
      <c r="L67" s="1">
        <v>33.89</v>
      </c>
      <c r="M67" s="1" t="s">
        <v>21</v>
      </c>
      <c r="O67" s="1">
        <v>2.7861135339E10</v>
      </c>
    </row>
    <row r="68">
      <c r="A68" s="1">
        <v>2681533.0</v>
      </c>
      <c r="B68" s="1" t="s">
        <v>2318</v>
      </c>
      <c r="C68" s="1" t="b">
        <v>0</v>
      </c>
      <c r="D68" s="1" t="b">
        <v>1</v>
      </c>
      <c r="E68" s="1" t="s">
        <v>250</v>
      </c>
      <c r="F68" s="1" t="s">
        <v>2319</v>
      </c>
      <c r="G68" s="2">
        <f>+251927146717</f>
        <v>251927146717</v>
      </c>
      <c r="H68" s="1" t="s">
        <v>18</v>
      </c>
      <c r="I68" s="1" t="s">
        <v>19</v>
      </c>
      <c r="J68" s="1" t="s">
        <v>19</v>
      </c>
      <c r="K68" s="1" t="s">
        <v>20</v>
      </c>
      <c r="L68" s="1">
        <v>29.27</v>
      </c>
      <c r="M68" s="1" t="s">
        <v>33</v>
      </c>
      <c r="N68" s="1" t="s">
        <v>118</v>
      </c>
      <c r="O68" s="1">
        <v>2.20709222605E11</v>
      </c>
    </row>
    <row r="69">
      <c r="A69" s="1">
        <v>1848587.0</v>
      </c>
      <c r="B69" s="1" t="s">
        <v>2320</v>
      </c>
      <c r="C69" s="1" t="b">
        <v>1</v>
      </c>
      <c r="D69" s="1" t="b">
        <v>1</v>
      </c>
      <c r="E69" s="1" t="s">
        <v>2321</v>
      </c>
      <c r="F69" s="1" t="s">
        <v>859</v>
      </c>
      <c r="G69" s="2">
        <f>+251915763062</f>
        <v>251915763062</v>
      </c>
      <c r="H69" s="1" t="s">
        <v>18</v>
      </c>
      <c r="I69" s="1" t="s">
        <v>19</v>
      </c>
      <c r="J69" s="1" t="s">
        <v>19</v>
      </c>
      <c r="K69" s="1" t="s">
        <v>25</v>
      </c>
      <c r="L69" s="1">
        <v>33.98</v>
      </c>
      <c r="M69" s="1" t="s">
        <v>21</v>
      </c>
      <c r="O69" s="1">
        <v>2.531488966E10</v>
      </c>
    </row>
    <row r="70">
      <c r="A70" s="1">
        <v>1911994.0</v>
      </c>
      <c r="B70" s="1" t="s">
        <v>2322</v>
      </c>
      <c r="C70" s="1" t="b">
        <v>1</v>
      </c>
      <c r="D70" s="1" t="b">
        <v>0</v>
      </c>
      <c r="E70" s="1" t="s">
        <v>2218</v>
      </c>
      <c r="F70" s="1" t="s">
        <v>2323</v>
      </c>
      <c r="G70" s="2">
        <f>+251929953149</f>
        <v>251929953149</v>
      </c>
      <c r="H70" s="1" t="s">
        <v>18</v>
      </c>
      <c r="I70" s="1" t="s">
        <v>19</v>
      </c>
      <c r="J70" s="1" t="s">
        <v>19</v>
      </c>
      <c r="K70" s="1" t="s">
        <v>25</v>
      </c>
      <c r="L70" s="1">
        <v>18.88</v>
      </c>
      <c r="M70" s="1" t="s">
        <v>21</v>
      </c>
    </row>
    <row r="71">
      <c r="A71" s="1">
        <v>2685714.0</v>
      </c>
      <c r="B71" s="1" t="s">
        <v>2324</v>
      </c>
      <c r="C71" s="1" t="b">
        <v>1</v>
      </c>
      <c r="D71" s="1" t="b">
        <v>1</v>
      </c>
      <c r="E71" s="1" t="s">
        <v>795</v>
      </c>
      <c r="F71" s="1" t="s">
        <v>319</v>
      </c>
      <c r="G71" s="2">
        <f>+251985406095</f>
        <v>251985406095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23.14</v>
      </c>
      <c r="M71" s="1" t="s">
        <v>21</v>
      </c>
      <c r="O71" s="1">
        <v>3.0876731364E10</v>
      </c>
    </row>
    <row r="72">
      <c r="A72" s="1">
        <v>2686992.0</v>
      </c>
      <c r="B72" s="1" t="s">
        <v>2325</v>
      </c>
      <c r="C72" s="1" t="b">
        <v>1</v>
      </c>
      <c r="D72" s="1" t="b">
        <v>1</v>
      </c>
      <c r="E72" s="1" t="s">
        <v>2326</v>
      </c>
      <c r="F72" s="1" t="s">
        <v>2327</v>
      </c>
      <c r="G72" s="2">
        <f>+251939531281</f>
        <v>251939531281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27.07</v>
      </c>
      <c r="M72" s="1" t="s">
        <v>33</v>
      </c>
      <c r="N72" s="1" t="s">
        <v>65</v>
      </c>
      <c r="O72" s="1">
        <v>2.2259274874E11</v>
      </c>
    </row>
    <row r="73">
      <c r="A73" s="1">
        <v>2687907.0</v>
      </c>
      <c r="B73" s="1" t="s">
        <v>2328</v>
      </c>
      <c r="C73" s="1" t="b">
        <v>1</v>
      </c>
      <c r="D73" s="1" t="b">
        <v>1</v>
      </c>
      <c r="E73" s="1" t="s">
        <v>1077</v>
      </c>
      <c r="F73" s="1" t="s">
        <v>2006</v>
      </c>
      <c r="G73" s="2">
        <f>+251962711003</f>
        <v>251962711003</v>
      </c>
      <c r="H73" s="1" t="s">
        <v>18</v>
      </c>
      <c r="I73" s="1" t="s">
        <v>19</v>
      </c>
      <c r="J73" s="1" t="s">
        <v>19</v>
      </c>
      <c r="K73" s="1" t="s">
        <v>25</v>
      </c>
      <c r="L73" s="1">
        <v>27.25</v>
      </c>
      <c r="M73" s="1" t="s">
        <v>21</v>
      </c>
    </row>
    <row r="74">
      <c r="A74" s="1">
        <v>2688531.0</v>
      </c>
      <c r="B74" s="1" t="s">
        <v>2329</v>
      </c>
      <c r="C74" s="1" t="b">
        <v>1</v>
      </c>
      <c r="D74" s="1" t="b">
        <v>1</v>
      </c>
      <c r="E74" s="1" t="s">
        <v>2330</v>
      </c>
      <c r="F74" s="1" t="s">
        <v>2331</v>
      </c>
      <c r="G74" s="2">
        <f>+251967341002</f>
        <v>251967341002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34.33</v>
      </c>
      <c r="M74" s="1" t="s">
        <v>21</v>
      </c>
      <c r="O74" s="1">
        <v>9301101.0</v>
      </c>
    </row>
    <row r="75">
      <c r="A75" s="1">
        <v>1679482.0</v>
      </c>
      <c r="B75" s="1" t="s">
        <v>2332</v>
      </c>
      <c r="C75" s="1" t="b">
        <v>1</v>
      </c>
      <c r="D75" s="1" t="b">
        <v>1</v>
      </c>
      <c r="E75" s="1" t="s">
        <v>2333</v>
      </c>
      <c r="F75" s="1" t="s">
        <v>2334</v>
      </c>
      <c r="G75" s="2">
        <f>+251974208084</f>
        <v>251974208084</v>
      </c>
      <c r="H75" s="1" t="s">
        <v>18</v>
      </c>
      <c r="I75" s="1" t="s">
        <v>19</v>
      </c>
      <c r="J75" s="1" t="s">
        <v>19</v>
      </c>
      <c r="K75" s="1" t="s">
        <v>20</v>
      </c>
      <c r="L75" s="1">
        <v>27.16</v>
      </c>
      <c r="M75" s="1" t="s">
        <v>21</v>
      </c>
      <c r="O75" s="1">
        <v>6025526.0</v>
      </c>
    </row>
    <row r="76">
      <c r="A76" s="1">
        <v>2689348.0</v>
      </c>
      <c r="B76" s="1" t="s">
        <v>2335</v>
      </c>
      <c r="C76" s="1" t="b">
        <v>1</v>
      </c>
      <c r="D76" s="1" t="b">
        <v>1</v>
      </c>
      <c r="E76" s="1" t="s">
        <v>751</v>
      </c>
      <c r="F76" s="1" t="s">
        <v>195</v>
      </c>
      <c r="G76" s="2">
        <f>+251989317080</f>
        <v>251989317080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35.18</v>
      </c>
      <c r="M76" s="1" t="s">
        <v>21</v>
      </c>
      <c r="O76" s="1">
        <v>4.5189301966E10</v>
      </c>
    </row>
    <row r="77">
      <c r="A77" s="1">
        <v>2689661.0</v>
      </c>
      <c r="B77" s="1" t="s">
        <v>2336</v>
      </c>
      <c r="C77" s="1" t="b">
        <v>1</v>
      </c>
      <c r="D77" s="1" t="b">
        <v>1</v>
      </c>
      <c r="E77" s="1" t="s">
        <v>2337</v>
      </c>
      <c r="F77" s="1" t="s">
        <v>2338</v>
      </c>
      <c r="G77" s="1">
        <v>9.16560065E8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31.81</v>
      </c>
      <c r="M77" s="1" t="s">
        <v>26</v>
      </c>
      <c r="O77" s="1">
        <v>5859354.0</v>
      </c>
    </row>
    <row r="78">
      <c r="A78" s="1">
        <v>2689673.0</v>
      </c>
      <c r="B78" s="1" t="s">
        <v>2339</v>
      </c>
      <c r="C78" s="1" t="b">
        <v>1</v>
      </c>
      <c r="D78" s="1" t="b">
        <v>1</v>
      </c>
      <c r="E78" s="1" t="s">
        <v>2340</v>
      </c>
      <c r="F78" s="1" t="s">
        <v>545</v>
      </c>
      <c r="G78" s="2">
        <f>+251967734919</f>
        <v>251967734919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13.25</v>
      </c>
      <c r="M78" s="1" t="s">
        <v>33</v>
      </c>
      <c r="N78" s="1" t="s">
        <v>65</v>
      </c>
      <c r="O78" s="1">
        <v>2.7929979E7</v>
      </c>
    </row>
    <row r="79">
      <c r="A79" s="1">
        <v>2690436.0</v>
      </c>
      <c r="B79" s="1" t="s">
        <v>2341</v>
      </c>
      <c r="C79" s="1" t="b">
        <v>0</v>
      </c>
      <c r="D79" s="1" t="b">
        <v>1</v>
      </c>
      <c r="E79" s="1" t="s">
        <v>2342</v>
      </c>
      <c r="F79" s="1" t="s">
        <v>363</v>
      </c>
      <c r="G79" s="2">
        <f>+251904221699</f>
        <v>251904221699</v>
      </c>
      <c r="H79" s="1" t="s">
        <v>138</v>
      </c>
      <c r="I79" s="1" t="s">
        <v>19</v>
      </c>
      <c r="J79" s="1" t="s">
        <v>19</v>
      </c>
      <c r="K79" s="1" t="s">
        <v>20</v>
      </c>
      <c r="L79" s="1">
        <v>35.6</v>
      </c>
      <c r="M79" s="1" t="s">
        <v>26</v>
      </c>
      <c r="O79" s="1">
        <v>2.23904581877E11</v>
      </c>
    </row>
    <row r="80">
      <c r="A80" s="1">
        <v>2690822.0</v>
      </c>
      <c r="B80" s="1" t="s">
        <v>2343</v>
      </c>
      <c r="C80" s="1" t="b">
        <v>1</v>
      </c>
      <c r="D80" s="1" t="b">
        <v>1</v>
      </c>
      <c r="E80" s="1" t="s">
        <v>2344</v>
      </c>
      <c r="F80" s="1" t="s">
        <v>2345</v>
      </c>
      <c r="G80" s="2">
        <f>+251975700929</f>
        <v>251975700929</v>
      </c>
      <c r="H80" s="1" t="s">
        <v>18</v>
      </c>
      <c r="I80" s="1" t="s">
        <v>19</v>
      </c>
      <c r="J80" s="1" t="s">
        <v>19</v>
      </c>
      <c r="K80" s="1" t="s">
        <v>20</v>
      </c>
      <c r="L80" s="1">
        <v>25.83</v>
      </c>
      <c r="M80" s="1" t="s">
        <v>21</v>
      </c>
      <c r="O80" s="1">
        <v>2.24131446993E11</v>
      </c>
    </row>
    <row r="81">
      <c r="A81" s="1">
        <v>565417.0</v>
      </c>
      <c r="B81" s="1" t="s">
        <v>2346</v>
      </c>
      <c r="C81" s="1" t="b">
        <v>1</v>
      </c>
      <c r="D81" s="1" t="b">
        <v>1</v>
      </c>
      <c r="E81" s="1" t="s">
        <v>1061</v>
      </c>
      <c r="F81" s="1" t="s">
        <v>601</v>
      </c>
      <c r="G81" s="2">
        <f>+251970041080</f>
        <v>251970041080</v>
      </c>
      <c r="H81" s="1" t="s">
        <v>18</v>
      </c>
      <c r="I81" s="1" t="s">
        <v>19</v>
      </c>
      <c r="J81" s="1" t="s">
        <v>19</v>
      </c>
      <c r="K81" s="1" t="s">
        <v>20</v>
      </c>
      <c r="L81" s="1">
        <v>26.28</v>
      </c>
      <c r="M81" s="1" t="s">
        <v>21</v>
      </c>
      <c r="O81" s="1">
        <v>2.871553E7</v>
      </c>
    </row>
    <row r="82">
      <c r="A82" s="1">
        <v>2692606.0</v>
      </c>
      <c r="B82" s="1" t="s">
        <v>2347</v>
      </c>
      <c r="C82" s="1" t="b">
        <v>1</v>
      </c>
      <c r="D82" s="1" t="b">
        <v>1</v>
      </c>
      <c r="E82" s="1" t="s">
        <v>2348</v>
      </c>
      <c r="F82" s="1" t="s">
        <v>255</v>
      </c>
      <c r="G82" s="2">
        <f>+2519712009578</f>
        <v>2519712009578</v>
      </c>
      <c r="H82" s="1" t="s">
        <v>18</v>
      </c>
      <c r="I82" s="1" t="s">
        <v>19</v>
      </c>
      <c r="J82" s="1" t="s">
        <v>19</v>
      </c>
      <c r="K82" s="1" t="s">
        <v>20</v>
      </c>
      <c r="L82" s="1">
        <v>26.4</v>
      </c>
      <c r="M82" s="1" t="s">
        <v>21</v>
      </c>
      <c r="O82" s="1">
        <v>5468272.0</v>
      </c>
    </row>
    <row r="83">
      <c r="A83" s="1">
        <v>2693189.0</v>
      </c>
      <c r="B83" s="1" t="s">
        <v>2349</v>
      </c>
      <c r="C83" s="1" t="b">
        <v>1</v>
      </c>
      <c r="D83" s="1" t="b">
        <v>1</v>
      </c>
      <c r="E83" s="1" t="s">
        <v>171</v>
      </c>
      <c r="F83" s="1" t="s">
        <v>2350</v>
      </c>
      <c r="G83" s="2">
        <f>+251913444164</f>
        <v>251913444164</v>
      </c>
      <c r="H83" s="1" t="s">
        <v>131</v>
      </c>
      <c r="I83" s="1" t="s">
        <v>19</v>
      </c>
      <c r="J83" s="1" t="s">
        <v>19</v>
      </c>
      <c r="K83" s="1" t="s">
        <v>25</v>
      </c>
      <c r="L83" s="1">
        <v>41.9</v>
      </c>
      <c r="M83" s="1" t="s">
        <v>33</v>
      </c>
      <c r="N83" s="1" t="s">
        <v>76</v>
      </c>
    </row>
    <row r="84">
      <c r="A84" s="1">
        <v>1490473.0</v>
      </c>
      <c r="B84" s="1" t="s">
        <v>2351</v>
      </c>
      <c r="C84" s="1" t="b">
        <v>1</v>
      </c>
      <c r="D84" s="1" t="b">
        <v>1</v>
      </c>
      <c r="E84" s="1" t="s">
        <v>2352</v>
      </c>
      <c r="F84" s="1" t="s">
        <v>2353</v>
      </c>
      <c r="G84" s="2">
        <f>+251966925123</f>
        <v>251966925123</v>
      </c>
      <c r="H84" s="1" t="s">
        <v>18</v>
      </c>
      <c r="I84" s="1" t="s">
        <v>19</v>
      </c>
      <c r="J84" s="1" t="s">
        <v>19</v>
      </c>
      <c r="K84" s="1" t="s">
        <v>20</v>
      </c>
      <c r="L84" s="1">
        <v>25.77</v>
      </c>
      <c r="M84" s="1" t="s">
        <v>21</v>
      </c>
      <c r="O84" s="1">
        <v>1178038.0</v>
      </c>
    </row>
    <row r="85">
      <c r="A85" s="1">
        <v>2694325.0</v>
      </c>
      <c r="B85" s="1" t="s">
        <v>2354</v>
      </c>
      <c r="C85" s="1" t="b">
        <v>1</v>
      </c>
      <c r="D85" s="1" t="b">
        <v>1</v>
      </c>
      <c r="E85" s="1" t="s">
        <v>1023</v>
      </c>
      <c r="F85" s="1" t="s">
        <v>2355</v>
      </c>
      <c r="G85" s="2">
        <f>+251949126539</f>
        <v>251949126539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27.29</v>
      </c>
      <c r="M85" s="1" t="s">
        <v>21</v>
      </c>
      <c r="O85" s="1">
        <v>2.25290012908E11</v>
      </c>
    </row>
    <row r="86">
      <c r="A86" s="1">
        <v>2694404.0</v>
      </c>
      <c r="B86" s="1" t="s">
        <v>2356</v>
      </c>
      <c r="C86" s="1" t="b">
        <v>1</v>
      </c>
      <c r="D86" s="1" t="b">
        <v>1</v>
      </c>
      <c r="E86" s="1" t="s">
        <v>1570</v>
      </c>
      <c r="F86" s="1" t="s">
        <v>213</v>
      </c>
      <c r="G86" s="2">
        <f>+251986248494</f>
        <v>251986248494</v>
      </c>
      <c r="H86" s="1" t="s">
        <v>18</v>
      </c>
      <c r="I86" s="1" t="s">
        <v>19</v>
      </c>
      <c r="J86" s="1" t="s">
        <v>19</v>
      </c>
      <c r="K86" s="1" t="s">
        <v>25</v>
      </c>
      <c r="L86" s="1">
        <v>20.99</v>
      </c>
      <c r="M86" s="1" t="s">
        <v>21</v>
      </c>
    </row>
    <row r="87">
      <c r="A87" s="1">
        <v>2694432.0</v>
      </c>
      <c r="B87" s="1" t="s">
        <v>2357</v>
      </c>
      <c r="C87" s="1" t="b">
        <v>1</v>
      </c>
      <c r="D87" s="1" t="b">
        <v>1</v>
      </c>
      <c r="E87" s="1" t="s">
        <v>98</v>
      </c>
      <c r="F87" s="1" t="s">
        <v>2358</v>
      </c>
      <c r="G87" s="2">
        <f>+251985655267</f>
        <v>251985655267</v>
      </c>
      <c r="H87" s="1" t="s">
        <v>18</v>
      </c>
      <c r="I87" s="1" t="s">
        <v>19</v>
      </c>
      <c r="J87" s="1" t="s">
        <v>19</v>
      </c>
      <c r="K87" s="1" t="s">
        <v>20</v>
      </c>
      <c r="L87" s="1">
        <v>20.78</v>
      </c>
      <c r="M87" s="1" t="s">
        <v>33</v>
      </c>
      <c r="N87" s="1" t="s">
        <v>34</v>
      </c>
      <c r="O87" s="1">
        <v>2.25593154748E11</v>
      </c>
    </row>
    <row r="88">
      <c r="A88" s="1">
        <v>2694440.0</v>
      </c>
      <c r="B88" s="1" t="s">
        <v>2359</v>
      </c>
      <c r="C88" s="1" t="b">
        <v>1</v>
      </c>
      <c r="D88" s="1" t="b">
        <v>1</v>
      </c>
      <c r="E88" s="1" t="s">
        <v>1446</v>
      </c>
      <c r="F88" s="1" t="s">
        <v>108</v>
      </c>
      <c r="G88" s="2">
        <f>+251987993606</f>
        <v>251987993606</v>
      </c>
      <c r="H88" s="1" t="s">
        <v>18</v>
      </c>
      <c r="I88" s="1" t="s">
        <v>19</v>
      </c>
      <c r="J88" s="1" t="s">
        <v>19</v>
      </c>
      <c r="K88" s="1" t="s">
        <v>20</v>
      </c>
      <c r="L88" s="1">
        <v>22.92</v>
      </c>
      <c r="M88" s="1" t="s">
        <v>33</v>
      </c>
      <c r="N88" s="1" t="s">
        <v>34</v>
      </c>
      <c r="O88" s="1">
        <v>2.25294270683E11</v>
      </c>
    </row>
    <row r="89">
      <c r="A89" s="1">
        <v>225435.0</v>
      </c>
      <c r="B89" s="1" t="s">
        <v>2360</v>
      </c>
      <c r="C89" s="1" t="b">
        <v>1</v>
      </c>
      <c r="D89" s="1" t="b">
        <v>1</v>
      </c>
      <c r="E89" s="1" t="s">
        <v>361</v>
      </c>
      <c r="F89" s="1" t="s">
        <v>2361</v>
      </c>
      <c r="G89" s="2">
        <f>+251944363710</f>
        <v>251944363710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42.02</v>
      </c>
      <c r="M89" s="1" t="s">
        <v>21</v>
      </c>
      <c r="O89" s="1">
        <v>6375311.0</v>
      </c>
    </row>
    <row r="90">
      <c r="A90" s="1">
        <v>1969029.0</v>
      </c>
      <c r="B90" s="1" t="s">
        <v>2362</v>
      </c>
      <c r="C90" s="1" t="b">
        <v>1</v>
      </c>
      <c r="D90" s="1" t="b">
        <v>1</v>
      </c>
      <c r="E90" s="1" t="s">
        <v>1105</v>
      </c>
      <c r="F90" s="1" t="s">
        <v>2363</v>
      </c>
      <c r="G90" s="1">
        <v>9.38642121E8</v>
      </c>
      <c r="H90" s="1" t="s">
        <v>18</v>
      </c>
      <c r="I90" s="1" t="s">
        <v>19</v>
      </c>
      <c r="J90" s="1" t="s">
        <v>19</v>
      </c>
      <c r="K90" s="1" t="s">
        <v>20</v>
      </c>
      <c r="L90" s="1">
        <v>21.69</v>
      </c>
      <c r="M90" s="1" t="s">
        <v>33</v>
      </c>
      <c r="N90" s="1" t="s">
        <v>76</v>
      </c>
      <c r="O90" s="1">
        <v>2.7882248677E10</v>
      </c>
    </row>
    <row r="91">
      <c r="A91" s="1">
        <v>1180868.0</v>
      </c>
      <c r="B91" s="1" t="s">
        <v>2364</v>
      </c>
      <c r="C91" s="1" t="b">
        <v>1</v>
      </c>
      <c r="D91" s="1" t="b">
        <v>1</v>
      </c>
      <c r="E91" s="1" t="s">
        <v>2365</v>
      </c>
      <c r="F91" s="1" t="s">
        <v>338</v>
      </c>
      <c r="G91" s="2">
        <f>+251912887490</f>
        <v>251912887490</v>
      </c>
      <c r="H91" s="1" t="s">
        <v>72</v>
      </c>
      <c r="I91" s="1" t="s">
        <v>19</v>
      </c>
      <c r="J91" s="1" t="s">
        <v>19</v>
      </c>
      <c r="K91" s="1" t="s">
        <v>25</v>
      </c>
      <c r="L91" s="1">
        <v>33.85</v>
      </c>
      <c r="M91" s="1" t="s">
        <v>21</v>
      </c>
      <c r="O91" s="1">
        <v>8.431439041E9</v>
      </c>
    </row>
    <row r="92">
      <c r="A92" s="1">
        <v>2690728.0</v>
      </c>
      <c r="B92" s="1" t="s">
        <v>2366</v>
      </c>
      <c r="C92" s="1" t="b">
        <v>1</v>
      </c>
      <c r="D92" s="1" t="b">
        <v>1</v>
      </c>
      <c r="E92" s="1" t="s">
        <v>2367</v>
      </c>
      <c r="F92" s="1" t="s">
        <v>2368</v>
      </c>
      <c r="G92" s="2">
        <f>+251913365879</f>
        <v>251913365879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41.62</v>
      </c>
      <c r="M92" s="1" t="s">
        <v>21</v>
      </c>
      <c r="O92" s="1">
        <v>2.3046088E7</v>
      </c>
    </row>
    <row r="93">
      <c r="A93" s="1">
        <v>2695149.0</v>
      </c>
      <c r="B93" s="1" t="s">
        <v>2369</v>
      </c>
      <c r="C93" s="1" t="b">
        <v>1</v>
      </c>
      <c r="D93" s="1" t="b">
        <v>1</v>
      </c>
      <c r="E93" s="1" t="s">
        <v>2370</v>
      </c>
      <c r="F93" s="1" t="s">
        <v>2371</v>
      </c>
      <c r="G93" s="2">
        <f>+251911510316</f>
        <v>251911510316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37.58</v>
      </c>
      <c r="M93" s="1" t="s">
        <v>21</v>
      </c>
    </row>
    <row r="94">
      <c r="A94" s="1">
        <v>2695920.0</v>
      </c>
      <c r="B94" s="1" t="s">
        <v>2372</v>
      </c>
      <c r="C94" s="1" t="b">
        <v>0</v>
      </c>
      <c r="D94" s="1" t="b">
        <v>1</v>
      </c>
      <c r="E94" s="1" t="s">
        <v>2373</v>
      </c>
      <c r="F94" s="1" t="s">
        <v>2374</v>
      </c>
      <c r="G94" s="2">
        <f>+251918535155</f>
        <v>251918535155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34.76</v>
      </c>
      <c r="M94" s="1" t="s">
        <v>33</v>
      </c>
      <c r="N94" s="1" t="s">
        <v>177</v>
      </c>
      <c r="O94" s="1">
        <v>2.26059457748E11</v>
      </c>
    </row>
    <row r="95">
      <c r="A95" s="1">
        <v>2076110.0</v>
      </c>
      <c r="B95" s="1" t="s">
        <v>2375</v>
      </c>
      <c r="C95" s="1" t="b">
        <v>1</v>
      </c>
      <c r="D95" s="1" t="b">
        <v>1</v>
      </c>
      <c r="E95" s="1" t="s">
        <v>2376</v>
      </c>
      <c r="F95" s="1" t="s">
        <v>96</v>
      </c>
      <c r="G95" s="2">
        <f>+251976002806</f>
        <v>251976002806</v>
      </c>
      <c r="H95" s="1" t="s">
        <v>18</v>
      </c>
      <c r="I95" s="1" t="s">
        <v>19</v>
      </c>
      <c r="J95" s="1" t="s">
        <v>19</v>
      </c>
      <c r="K95" s="1" t="s">
        <v>20</v>
      </c>
      <c r="L95" s="1">
        <v>22.51</v>
      </c>
      <c r="M95" s="1" t="s">
        <v>33</v>
      </c>
      <c r="N95" s="1" t="s">
        <v>177</v>
      </c>
      <c r="O95" s="1">
        <v>3.0238696427E10</v>
      </c>
    </row>
    <row r="96">
      <c r="A96" s="1">
        <v>910093.0</v>
      </c>
      <c r="B96" s="1" t="s">
        <v>2377</v>
      </c>
      <c r="C96" s="1" t="b">
        <v>1</v>
      </c>
      <c r="D96" s="1" t="b">
        <v>1</v>
      </c>
      <c r="E96" s="1" t="s">
        <v>1651</v>
      </c>
      <c r="F96" s="1" t="s">
        <v>2378</v>
      </c>
      <c r="G96" s="2">
        <f>+251913289348</f>
        <v>251913289348</v>
      </c>
      <c r="H96" s="1" t="s">
        <v>18</v>
      </c>
      <c r="I96" s="1" t="s">
        <v>19</v>
      </c>
      <c r="J96" s="1" t="s">
        <v>19</v>
      </c>
      <c r="K96" s="1" t="s">
        <v>20</v>
      </c>
      <c r="L96" s="1">
        <v>39.06</v>
      </c>
      <c r="M96" s="1" t="s">
        <v>33</v>
      </c>
      <c r="N96" s="1" t="s">
        <v>34</v>
      </c>
      <c r="O96" s="1">
        <v>4.321198054E9</v>
      </c>
    </row>
    <row r="97">
      <c r="A97" s="1">
        <v>2696030.0</v>
      </c>
      <c r="B97" s="1" t="s">
        <v>2379</v>
      </c>
      <c r="C97" s="1" t="b">
        <v>0</v>
      </c>
      <c r="D97" s="1" t="b">
        <v>1</v>
      </c>
      <c r="E97" s="1" t="s">
        <v>2380</v>
      </c>
      <c r="F97" s="1" t="s">
        <v>2374</v>
      </c>
      <c r="G97" s="1">
        <v>9.18535155E8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34.76</v>
      </c>
      <c r="M97" s="1" t="s">
        <v>26</v>
      </c>
      <c r="O97" s="1">
        <v>2.26087124166E11</v>
      </c>
    </row>
    <row r="98">
      <c r="A98" s="1">
        <v>2511513.0</v>
      </c>
      <c r="B98" s="1" t="s">
        <v>2381</v>
      </c>
      <c r="C98" s="1" t="b">
        <v>1</v>
      </c>
      <c r="D98" s="1" t="b">
        <v>1</v>
      </c>
      <c r="E98" s="1" t="s">
        <v>2283</v>
      </c>
      <c r="F98" s="1" t="s">
        <v>2382</v>
      </c>
      <c r="G98" s="2">
        <f>+251963547994</f>
        <v>251963547994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22.92</v>
      </c>
      <c r="M98" s="1" t="s">
        <v>21</v>
      </c>
      <c r="O98" s="1">
        <v>1.51332765889E11</v>
      </c>
    </row>
    <row r="99">
      <c r="A99" s="1">
        <v>2696082.0</v>
      </c>
      <c r="B99" s="1" t="s">
        <v>2383</v>
      </c>
      <c r="C99" s="1" t="b">
        <v>1</v>
      </c>
      <c r="D99" s="1" t="b">
        <v>0</v>
      </c>
      <c r="E99" s="1" t="s">
        <v>2098</v>
      </c>
      <c r="F99" s="1" t="s">
        <v>417</v>
      </c>
      <c r="G99" s="2">
        <f>+251936690411</f>
        <v>251936690411</v>
      </c>
      <c r="H99" s="1" t="s">
        <v>18</v>
      </c>
      <c r="I99" s="1" t="s">
        <v>19</v>
      </c>
      <c r="J99" s="1" t="s">
        <v>19</v>
      </c>
      <c r="K99" s="1" t="s">
        <v>25</v>
      </c>
      <c r="L99" s="1">
        <v>27.54</v>
      </c>
      <c r="M99" s="1" t="s">
        <v>21</v>
      </c>
      <c r="O99" s="1">
        <v>2.26089557204E11</v>
      </c>
    </row>
    <row r="100">
      <c r="A100" s="1">
        <v>2698262.0</v>
      </c>
      <c r="B100" s="1" t="s">
        <v>2384</v>
      </c>
      <c r="C100" s="1" t="b">
        <v>0</v>
      </c>
      <c r="D100" s="1" t="b">
        <v>1</v>
      </c>
      <c r="E100" s="1" t="s">
        <v>2385</v>
      </c>
      <c r="F100" s="1" t="s">
        <v>2386</v>
      </c>
      <c r="G100" s="2">
        <f>+251093914052</f>
        <v>251093914052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22.11</v>
      </c>
      <c r="M100" s="1" t="s">
        <v>26</v>
      </c>
      <c r="O100" s="1">
        <v>2.26789008632E11</v>
      </c>
    </row>
    <row r="101">
      <c r="A101" s="1">
        <v>2072334.0</v>
      </c>
      <c r="B101" s="1" t="s">
        <v>2387</v>
      </c>
      <c r="C101" s="1" t="b">
        <v>1</v>
      </c>
      <c r="D101" s="1" t="b">
        <v>1</v>
      </c>
      <c r="E101" s="1" t="s">
        <v>294</v>
      </c>
      <c r="F101" s="1" t="s">
        <v>2388</v>
      </c>
      <c r="G101" s="2">
        <f>+251986280330</f>
        <v>251986280330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24.59</v>
      </c>
      <c r="M101" s="1" t="s">
        <v>21</v>
      </c>
      <c r="O101" s="1">
        <v>2367768.0</v>
      </c>
    </row>
    <row r="102">
      <c r="A102" s="1">
        <v>2454290.0</v>
      </c>
      <c r="B102" s="1" t="s">
        <v>2389</v>
      </c>
      <c r="C102" s="1" t="b">
        <v>1</v>
      </c>
      <c r="D102" s="1" t="b">
        <v>1</v>
      </c>
      <c r="E102" s="1" t="s">
        <v>963</v>
      </c>
      <c r="F102" s="1" t="s">
        <v>371</v>
      </c>
      <c r="G102" s="2">
        <f>+251911599491</f>
        <v>251911599491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42.4</v>
      </c>
      <c r="M102" s="1" t="s">
        <v>21</v>
      </c>
      <c r="O102" s="1">
        <v>1867018.0</v>
      </c>
    </row>
    <row r="103">
      <c r="A103" s="1">
        <v>2702163.0</v>
      </c>
      <c r="B103" s="1" t="s">
        <v>2390</v>
      </c>
      <c r="C103" s="1" t="b">
        <v>1</v>
      </c>
      <c r="D103" s="1" t="b">
        <v>1</v>
      </c>
      <c r="E103" s="1" t="s">
        <v>96</v>
      </c>
      <c r="F103" s="1" t="s">
        <v>2391</v>
      </c>
      <c r="G103" s="2">
        <f>+251929092564</f>
        <v>251929092564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39.75</v>
      </c>
      <c r="M103" s="1" t="s">
        <v>21</v>
      </c>
      <c r="O103" s="1">
        <v>2.28490719448E11</v>
      </c>
    </row>
    <row r="104">
      <c r="A104" s="1">
        <v>2704386.0</v>
      </c>
      <c r="B104" s="1" t="s">
        <v>2392</v>
      </c>
      <c r="C104" s="1" t="b">
        <v>1</v>
      </c>
      <c r="D104" s="1" t="b">
        <v>1</v>
      </c>
      <c r="E104" s="1" t="s">
        <v>2393</v>
      </c>
      <c r="F104" s="1" t="s">
        <v>292</v>
      </c>
      <c r="G104" s="2">
        <f>+251983399368</f>
        <v>251983399368</v>
      </c>
      <c r="H104" s="1" t="s">
        <v>18</v>
      </c>
      <c r="I104" s="1" t="s">
        <v>19</v>
      </c>
      <c r="J104" s="1" t="s">
        <v>19</v>
      </c>
      <c r="K104" s="1" t="s">
        <v>20</v>
      </c>
      <c r="L104" s="1">
        <v>25.63</v>
      </c>
      <c r="M104" s="1" t="s">
        <v>26</v>
      </c>
      <c r="O104" s="1">
        <v>2.29400526026E11</v>
      </c>
    </row>
    <row r="105">
      <c r="A105" s="1">
        <v>708203.0</v>
      </c>
      <c r="B105" s="1" t="s">
        <v>2394</v>
      </c>
      <c r="C105" s="1" t="b">
        <v>1</v>
      </c>
      <c r="D105" s="1" t="b">
        <v>1</v>
      </c>
      <c r="E105" s="1" t="s">
        <v>2395</v>
      </c>
      <c r="F105" s="1" t="s">
        <v>2396</v>
      </c>
      <c r="G105" s="2">
        <f>+251942600001</f>
        <v>251942600001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26.44</v>
      </c>
      <c r="M105" s="1" t="s">
        <v>33</v>
      </c>
      <c r="N105" s="1" t="s">
        <v>65</v>
      </c>
      <c r="O105" s="1">
        <v>2.4797324E7</v>
      </c>
    </row>
    <row r="106">
      <c r="A106" s="1">
        <v>2691752.0</v>
      </c>
      <c r="B106" s="1" t="s">
        <v>2397</v>
      </c>
      <c r="C106" s="1" t="b">
        <v>1</v>
      </c>
      <c r="D106" s="1" t="b">
        <v>1</v>
      </c>
      <c r="E106" s="1" t="s">
        <v>29</v>
      </c>
      <c r="F106" s="1" t="s">
        <v>630</v>
      </c>
      <c r="G106" s="2">
        <f>+251918237936</f>
        <v>251918237936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26.9</v>
      </c>
      <c r="M106" s="1" t="s">
        <v>21</v>
      </c>
      <c r="O106" s="1">
        <v>4079046.0</v>
      </c>
    </row>
    <row r="107">
      <c r="A107" s="1">
        <v>2705893.0</v>
      </c>
      <c r="B107" s="1" t="s">
        <v>2398</v>
      </c>
      <c r="C107" s="1" t="b">
        <v>1</v>
      </c>
      <c r="D107" s="1" t="b">
        <v>1</v>
      </c>
      <c r="E107" s="1" t="s">
        <v>250</v>
      </c>
      <c r="F107" s="1" t="s">
        <v>2399</v>
      </c>
      <c r="G107" s="2">
        <f>+251983225745</f>
        <v>251983225745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23.93</v>
      </c>
      <c r="M107" s="1" t="s">
        <v>33</v>
      </c>
      <c r="N107" s="1" t="s">
        <v>177</v>
      </c>
    </row>
    <row r="108">
      <c r="A108" s="1">
        <v>1614136.0</v>
      </c>
      <c r="B108" s="1" t="s">
        <v>2400</v>
      </c>
      <c r="C108" s="1" t="b">
        <v>1</v>
      </c>
      <c r="D108" s="1" t="b">
        <v>1</v>
      </c>
      <c r="E108" s="1" t="s">
        <v>2401</v>
      </c>
      <c r="F108" s="1" t="s">
        <v>2402</v>
      </c>
      <c r="G108" s="2">
        <f>+251987388812</f>
        <v>251987388812</v>
      </c>
      <c r="H108" s="1" t="s">
        <v>1424</v>
      </c>
      <c r="I108" s="1" t="s">
        <v>19</v>
      </c>
      <c r="J108" s="1" t="s">
        <v>19</v>
      </c>
      <c r="K108" s="1" t="s">
        <v>25</v>
      </c>
      <c r="L108" s="1">
        <v>29.31</v>
      </c>
      <c r="M108" s="1" t="s">
        <v>33</v>
      </c>
      <c r="N108" s="1" t="s">
        <v>166</v>
      </c>
      <c r="O108" s="1">
        <v>2.3449805E7</v>
      </c>
    </row>
    <row r="109">
      <c r="A109" s="1">
        <v>2707967.0</v>
      </c>
      <c r="B109" s="1" t="s">
        <v>2403</v>
      </c>
      <c r="C109" s="1" t="b">
        <v>1</v>
      </c>
      <c r="D109" s="1" t="b">
        <v>1</v>
      </c>
      <c r="E109" s="1" t="s">
        <v>758</v>
      </c>
      <c r="F109" s="1" t="s">
        <v>2404</v>
      </c>
      <c r="G109" s="2">
        <f>+251973087109</f>
        <v>251973087109</v>
      </c>
      <c r="H109" s="1" t="s">
        <v>18</v>
      </c>
      <c r="I109" s="1" t="s">
        <v>19</v>
      </c>
      <c r="J109" s="1" t="s">
        <v>19</v>
      </c>
      <c r="K109" s="1" t="s">
        <v>25</v>
      </c>
      <c r="L109" s="1">
        <v>18.98</v>
      </c>
      <c r="M109" s="1" t="s">
        <v>21</v>
      </c>
      <c r="O109" s="1">
        <v>2.3051740282E11</v>
      </c>
    </row>
    <row r="110">
      <c r="A110" s="1">
        <v>2708917.0</v>
      </c>
      <c r="B110" s="1" t="s">
        <v>2405</v>
      </c>
      <c r="C110" s="1" t="b">
        <v>1</v>
      </c>
      <c r="D110" s="1" t="b">
        <v>1</v>
      </c>
      <c r="E110" s="1" t="s">
        <v>2406</v>
      </c>
      <c r="F110" s="1" t="s">
        <v>2407</v>
      </c>
      <c r="G110" s="2">
        <f>+251932467988</f>
        <v>251932467988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29.94</v>
      </c>
      <c r="M110" s="1" t="s">
        <v>21</v>
      </c>
      <c r="O110" s="1">
        <v>2.3238629E7</v>
      </c>
    </row>
    <row r="111">
      <c r="A111" s="1">
        <v>2709400.0</v>
      </c>
      <c r="B111" s="1" t="s">
        <v>2408</v>
      </c>
      <c r="C111" s="1" t="b">
        <v>1</v>
      </c>
      <c r="D111" s="1" t="b">
        <v>1</v>
      </c>
      <c r="E111" s="1" t="s">
        <v>194</v>
      </c>
      <c r="F111" s="1" t="s">
        <v>2409</v>
      </c>
      <c r="G111" s="2">
        <f>+251941391313</f>
        <v>251941391313</v>
      </c>
      <c r="H111" s="1" t="s">
        <v>18</v>
      </c>
      <c r="I111" s="1" t="s">
        <v>19</v>
      </c>
      <c r="J111" s="1" t="s">
        <v>19</v>
      </c>
      <c r="K111" s="1" t="s">
        <v>25</v>
      </c>
      <c r="L111" s="1">
        <v>25.31</v>
      </c>
      <c r="M111" s="1" t="s">
        <v>21</v>
      </c>
    </row>
    <row r="112">
      <c r="A112" s="1">
        <v>683019.0</v>
      </c>
      <c r="B112" s="1" t="s">
        <v>2410</v>
      </c>
      <c r="C112" s="1" t="b">
        <v>1</v>
      </c>
      <c r="D112" s="1" t="b">
        <v>1</v>
      </c>
      <c r="E112" s="1" t="s">
        <v>2411</v>
      </c>
      <c r="F112" s="1" t="s">
        <v>625</v>
      </c>
      <c r="G112" s="2">
        <f>+251921266456</f>
        <v>251921266456</v>
      </c>
      <c r="H112" s="1" t="s">
        <v>18</v>
      </c>
      <c r="I112" s="1" t="s">
        <v>19</v>
      </c>
      <c r="J112" s="1" t="s">
        <v>19</v>
      </c>
      <c r="K112" s="1" t="s">
        <v>25</v>
      </c>
      <c r="L112" s="1">
        <v>30.4</v>
      </c>
      <c r="M112" s="1" t="s">
        <v>21</v>
      </c>
      <c r="O112" s="1">
        <v>1851451.0</v>
      </c>
    </row>
    <row r="113">
      <c r="A113" s="1">
        <v>2711959.0</v>
      </c>
      <c r="B113" s="1" t="s">
        <v>2412</v>
      </c>
      <c r="C113" s="1" t="b">
        <v>0</v>
      </c>
      <c r="D113" s="1" t="b">
        <v>1</v>
      </c>
      <c r="E113" s="1" t="s">
        <v>2413</v>
      </c>
      <c r="F113" s="1" t="s">
        <v>2414</v>
      </c>
      <c r="G113" s="2">
        <f>+251916026951</f>
        <v>251916026951</v>
      </c>
      <c r="H113" s="1" t="s">
        <v>2415</v>
      </c>
      <c r="I113" s="1" t="s">
        <v>19</v>
      </c>
      <c r="J113" s="1" t="s">
        <v>19</v>
      </c>
      <c r="K113" s="1" t="s">
        <v>25</v>
      </c>
      <c r="L113" s="1">
        <v>36.21</v>
      </c>
      <c r="M113" s="1" t="s">
        <v>26</v>
      </c>
      <c r="O113" s="1">
        <v>2.33105134818E11</v>
      </c>
    </row>
    <row r="114">
      <c r="A114" s="1">
        <v>2712296.0</v>
      </c>
      <c r="B114" s="1" t="s">
        <v>2416</v>
      </c>
      <c r="C114" s="1" t="b">
        <v>1</v>
      </c>
      <c r="D114" s="1" t="b">
        <v>1</v>
      </c>
      <c r="E114" s="1" t="s">
        <v>213</v>
      </c>
      <c r="F114" s="1" t="s">
        <v>2417</v>
      </c>
      <c r="G114" s="2">
        <f>+251929230984</f>
        <v>251929230984</v>
      </c>
      <c r="H114" s="1" t="s">
        <v>572</v>
      </c>
      <c r="I114" s="1" t="s">
        <v>19</v>
      </c>
      <c r="J114" s="1" t="s">
        <v>19</v>
      </c>
      <c r="K114" s="1" t="s">
        <v>25</v>
      </c>
      <c r="L114" s="1">
        <v>32.09</v>
      </c>
      <c r="M114" s="1" t="s">
        <v>21</v>
      </c>
      <c r="O114" s="1">
        <v>5804654.0</v>
      </c>
    </row>
    <row r="115">
      <c r="A115" s="1">
        <v>859907.0</v>
      </c>
      <c r="B115" s="1" t="s">
        <v>2418</v>
      </c>
      <c r="C115" s="1" t="b">
        <v>1</v>
      </c>
      <c r="D115" s="1" t="b">
        <v>1</v>
      </c>
      <c r="E115" s="1" t="s">
        <v>1128</v>
      </c>
      <c r="F115" s="1" t="s">
        <v>768</v>
      </c>
      <c r="G115" s="2">
        <f>+251921948431</f>
        <v>251921948431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25.83</v>
      </c>
      <c r="M115" s="1" t="s">
        <v>33</v>
      </c>
      <c r="N115" s="1" t="s">
        <v>235</v>
      </c>
      <c r="O115" s="1">
        <v>3.611247822E9</v>
      </c>
    </row>
    <row r="116">
      <c r="A116" s="1">
        <v>2266522.0</v>
      </c>
      <c r="B116" s="1" t="s">
        <v>2419</v>
      </c>
      <c r="C116" s="1" t="b">
        <v>1</v>
      </c>
      <c r="D116" s="1" t="b">
        <v>1</v>
      </c>
      <c r="E116" s="1" t="s">
        <v>411</v>
      </c>
      <c r="F116" s="1" t="s">
        <v>2420</v>
      </c>
      <c r="G116" s="2">
        <f>+251964970096</f>
        <v>251964970096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30.51</v>
      </c>
      <c r="M116" s="1" t="s">
        <v>33</v>
      </c>
      <c r="N116" s="1" t="s">
        <v>65</v>
      </c>
    </row>
    <row r="117">
      <c r="A117" s="1">
        <v>579228.0</v>
      </c>
      <c r="B117" s="1" t="s">
        <v>2421</v>
      </c>
      <c r="C117" s="1" t="b">
        <v>1</v>
      </c>
      <c r="D117" s="1" t="b">
        <v>1</v>
      </c>
      <c r="E117" s="1" t="s">
        <v>620</v>
      </c>
      <c r="F117" s="1" t="s">
        <v>630</v>
      </c>
      <c r="G117" s="2">
        <f>+251944286006</f>
        <v>251944286006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26.53</v>
      </c>
      <c r="M117" s="1" t="s">
        <v>21</v>
      </c>
      <c r="O117" s="1">
        <v>2.8787241E7</v>
      </c>
    </row>
    <row r="118">
      <c r="A118" s="1">
        <v>1408895.0</v>
      </c>
      <c r="B118" s="1" t="s">
        <v>2422</v>
      </c>
      <c r="C118" s="1" t="b">
        <v>1</v>
      </c>
      <c r="D118" s="1" t="b">
        <v>1</v>
      </c>
      <c r="E118" s="1" t="s">
        <v>390</v>
      </c>
      <c r="F118" s="1" t="s">
        <v>2423</v>
      </c>
      <c r="G118" s="2">
        <f>+251901103368</f>
        <v>251901103368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30.88</v>
      </c>
      <c r="M118" s="1" t="s">
        <v>21</v>
      </c>
      <c r="O118" s="1">
        <v>1.4453951453E10</v>
      </c>
    </row>
    <row r="119">
      <c r="A119" s="1">
        <v>2716273.0</v>
      </c>
      <c r="B119" s="1" t="s">
        <v>2424</v>
      </c>
      <c r="C119" s="1" t="b">
        <v>1</v>
      </c>
      <c r="D119" s="1" t="b">
        <v>1</v>
      </c>
      <c r="E119" s="1" t="s">
        <v>2425</v>
      </c>
      <c r="F119" s="1" t="s">
        <v>422</v>
      </c>
      <c r="G119" s="2">
        <f>+251911428526</f>
        <v>251911428526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26.05</v>
      </c>
      <c r="M119" s="1" t="s">
        <v>21</v>
      </c>
    </row>
    <row r="120">
      <c r="A120" s="1">
        <v>2716557.0</v>
      </c>
      <c r="B120" s="1" t="s">
        <v>2426</v>
      </c>
      <c r="C120" s="1" t="b">
        <v>1</v>
      </c>
      <c r="D120" s="1" t="b">
        <v>1</v>
      </c>
      <c r="E120" s="1" t="s">
        <v>1961</v>
      </c>
      <c r="F120" s="1" t="s">
        <v>2427</v>
      </c>
      <c r="G120" s="2">
        <f>+251947968735</f>
        <v>251947968735</v>
      </c>
      <c r="H120" s="1" t="s">
        <v>18</v>
      </c>
      <c r="I120" s="1" t="s">
        <v>19</v>
      </c>
      <c r="J120" s="1" t="s">
        <v>19</v>
      </c>
      <c r="K120" s="1" t="s">
        <v>20</v>
      </c>
      <c r="L120" s="1">
        <v>19.77</v>
      </c>
      <c r="M120" s="1" t="s">
        <v>33</v>
      </c>
      <c r="N120" s="1" t="s">
        <v>166</v>
      </c>
      <c r="O120" s="1">
        <v>2.34489381112E11</v>
      </c>
    </row>
    <row r="121">
      <c r="A121" s="1">
        <v>2716593.0</v>
      </c>
      <c r="B121" s="1" t="s">
        <v>2428</v>
      </c>
      <c r="C121" s="1" t="b">
        <v>1</v>
      </c>
      <c r="D121" s="1" t="b">
        <v>1</v>
      </c>
      <c r="E121" s="1" t="s">
        <v>2429</v>
      </c>
      <c r="F121" s="1" t="s">
        <v>601</v>
      </c>
      <c r="G121" s="2">
        <f>+251924844725</f>
        <v>251924844725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29.16</v>
      </c>
      <c r="M121" s="1" t="s">
        <v>21</v>
      </c>
      <c r="O121" s="1">
        <v>2.34504759519E11</v>
      </c>
    </row>
    <row r="122">
      <c r="A122" s="1">
        <v>2716597.0</v>
      </c>
      <c r="B122" s="1" t="s">
        <v>2430</v>
      </c>
      <c r="C122" s="1" t="b">
        <v>1</v>
      </c>
      <c r="D122" s="1" t="b">
        <v>1</v>
      </c>
      <c r="E122" s="1" t="s">
        <v>213</v>
      </c>
      <c r="F122" s="1" t="s">
        <v>1103</v>
      </c>
      <c r="G122" s="2">
        <f>+251915862413</f>
        <v>251915862413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34.66</v>
      </c>
      <c r="M122" s="1" t="s">
        <v>21</v>
      </c>
      <c r="O122" s="1">
        <v>2.34401485033E11</v>
      </c>
    </row>
    <row r="123">
      <c r="A123" s="1">
        <v>2716704.0</v>
      </c>
      <c r="B123" s="1" t="s">
        <v>2431</v>
      </c>
      <c r="C123" s="1" t="b">
        <v>1</v>
      </c>
      <c r="D123" s="1" t="b">
        <v>1</v>
      </c>
      <c r="E123" s="1" t="s">
        <v>786</v>
      </c>
      <c r="F123" s="1" t="s">
        <v>899</v>
      </c>
      <c r="G123" s="2">
        <f>+251929931126</f>
        <v>251929931126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39.0</v>
      </c>
      <c r="M123" s="1" t="s">
        <v>21</v>
      </c>
      <c r="O123" s="1">
        <v>2.34403022066E11</v>
      </c>
    </row>
    <row r="124">
      <c r="A124" s="1">
        <v>2716729.0</v>
      </c>
      <c r="B124" s="1" t="s">
        <v>2432</v>
      </c>
      <c r="C124" s="1" t="b">
        <v>1</v>
      </c>
      <c r="D124" s="1" t="b">
        <v>1</v>
      </c>
      <c r="E124" s="1" t="s">
        <v>595</v>
      </c>
      <c r="F124" s="1" t="s">
        <v>2433</v>
      </c>
      <c r="G124" s="2">
        <f>+251912438037</f>
        <v>251912438037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32.72</v>
      </c>
      <c r="M124" s="1" t="s">
        <v>21</v>
      </c>
      <c r="O124" s="1">
        <v>2.34504928461E11</v>
      </c>
    </row>
    <row r="125">
      <c r="A125" s="1">
        <v>2717290.0</v>
      </c>
      <c r="B125" s="1" t="s">
        <v>2434</v>
      </c>
      <c r="C125" s="1" t="b">
        <v>1</v>
      </c>
      <c r="D125" s="1" t="b">
        <v>1</v>
      </c>
      <c r="E125" s="1" t="s">
        <v>2435</v>
      </c>
      <c r="F125" s="1" t="s">
        <v>2436</v>
      </c>
      <c r="G125" s="2">
        <f>+251942338869</f>
        <v>251942338869</v>
      </c>
      <c r="H125" s="1" t="s">
        <v>72</v>
      </c>
      <c r="I125" s="1" t="s">
        <v>19</v>
      </c>
      <c r="J125" s="1" t="s">
        <v>19</v>
      </c>
      <c r="K125" s="1" t="s">
        <v>20</v>
      </c>
      <c r="L125" s="1">
        <v>28.36</v>
      </c>
      <c r="M125" s="1" t="s">
        <v>33</v>
      </c>
      <c r="N125" s="1" t="s">
        <v>118</v>
      </c>
      <c r="O125" s="1">
        <v>2.34594218221E11</v>
      </c>
    </row>
    <row r="126">
      <c r="A126" s="1">
        <v>2717412.0</v>
      </c>
      <c r="B126" s="1" t="s">
        <v>2437</v>
      </c>
      <c r="C126" s="1" t="b">
        <v>0</v>
      </c>
      <c r="D126" s="1" t="b">
        <v>1</v>
      </c>
      <c r="E126" s="1" t="s">
        <v>2438</v>
      </c>
      <c r="F126" s="1" t="s">
        <v>2439</v>
      </c>
      <c r="G126" s="2">
        <f>+251977568381</f>
        <v>251977568381</v>
      </c>
      <c r="H126" s="1" t="s">
        <v>18</v>
      </c>
      <c r="I126" s="1" t="s">
        <v>19</v>
      </c>
      <c r="J126" s="1" t="s">
        <v>19</v>
      </c>
      <c r="K126" s="1" t="s">
        <v>20</v>
      </c>
      <c r="L126" s="1">
        <v>23.61</v>
      </c>
      <c r="M126" s="1" t="s">
        <v>33</v>
      </c>
      <c r="N126" s="1" t="s">
        <v>166</v>
      </c>
      <c r="O126" s="1">
        <v>2.34601237712E11</v>
      </c>
    </row>
    <row r="127">
      <c r="A127" s="1">
        <v>2717461.0</v>
      </c>
      <c r="B127" s="1" t="s">
        <v>2440</v>
      </c>
      <c r="C127" s="1" t="b">
        <v>1</v>
      </c>
      <c r="D127" s="1" t="b">
        <v>1</v>
      </c>
      <c r="E127" s="1" t="s">
        <v>101</v>
      </c>
      <c r="F127" s="1" t="s">
        <v>627</v>
      </c>
      <c r="G127" s="2">
        <f>+251931701416</f>
        <v>251931701416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27.98</v>
      </c>
      <c r="M127" s="1" t="s">
        <v>21</v>
      </c>
      <c r="O127" s="1">
        <v>3.7727761888E10</v>
      </c>
    </row>
    <row r="128">
      <c r="A128" s="1">
        <v>2717793.0</v>
      </c>
      <c r="B128" s="1" t="s">
        <v>2441</v>
      </c>
      <c r="C128" s="1" t="b">
        <v>1</v>
      </c>
      <c r="D128" s="1" t="b">
        <v>1</v>
      </c>
      <c r="E128" s="1" t="s">
        <v>435</v>
      </c>
      <c r="F128" s="1" t="s">
        <v>829</v>
      </c>
      <c r="G128" s="2">
        <f>+251976589565</f>
        <v>251976589565</v>
      </c>
      <c r="H128" s="1" t="s">
        <v>18</v>
      </c>
      <c r="I128" s="1" t="s">
        <v>19</v>
      </c>
      <c r="J128" s="1" t="s">
        <v>19</v>
      </c>
      <c r="K128" s="1" t="s">
        <v>20</v>
      </c>
      <c r="L128" s="1">
        <v>23.12</v>
      </c>
      <c r="M128" s="1" t="s">
        <v>33</v>
      </c>
      <c r="N128" s="1" t="s">
        <v>166</v>
      </c>
      <c r="O128" s="1">
        <v>2.34672808143E11</v>
      </c>
    </row>
    <row r="129">
      <c r="A129" s="1">
        <v>2717789.0</v>
      </c>
      <c r="B129" s="1" t="s">
        <v>2442</v>
      </c>
      <c r="C129" s="1" t="b">
        <v>1</v>
      </c>
      <c r="D129" s="1" t="b">
        <v>1</v>
      </c>
      <c r="E129" s="1" t="s">
        <v>2275</v>
      </c>
      <c r="F129" s="1" t="s">
        <v>2443</v>
      </c>
      <c r="G129" s="2">
        <f>+251911539994</f>
        <v>251911539994</v>
      </c>
      <c r="H129" s="1" t="s">
        <v>18</v>
      </c>
      <c r="I129" s="1" t="s">
        <v>19</v>
      </c>
      <c r="J129" s="1" t="s">
        <v>19</v>
      </c>
      <c r="K129" s="1" t="s">
        <v>20</v>
      </c>
      <c r="L129" s="1">
        <v>25.92</v>
      </c>
      <c r="M129" s="1" t="s">
        <v>21</v>
      </c>
    </row>
    <row r="130">
      <c r="A130" s="1">
        <v>2717877.0</v>
      </c>
      <c r="B130" s="1" t="s">
        <v>2444</v>
      </c>
      <c r="C130" s="1" t="b">
        <v>0</v>
      </c>
      <c r="D130" s="1" t="b">
        <v>1</v>
      </c>
      <c r="E130" s="1" t="s">
        <v>2445</v>
      </c>
      <c r="F130" s="1" t="s">
        <v>284</v>
      </c>
      <c r="G130" s="2">
        <f>+251936153918</f>
        <v>251936153918</v>
      </c>
      <c r="H130" s="1" t="s">
        <v>18</v>
      </c>
      <c r="I130" s="1" t="s">
        <v>19</v>
      </c>
      <c r="J130" s="1" t="s">
        <v>19</v>
      </c>
      <c r="K130" s="1" t="s">
        <v>20</v>
      </c>
      <c r="L130" s="1">
        <v>26.15</v>
      </c>
      <c r="M130" s="1" t="s">
        <v>33</v>
      </c>
      <c r="N130" s="1" t="s">
        <v>65</v>
      </c>
      <c r="O130" s="1">
        <v>1877433.0</v>
      </c>
    </row>
    <row r="131">
      <c r="A131" s="1">
        <v>2716923.0</v>
      </c>
      <c r="B131" s="1" t="s">
        <v>2446</v>
      </c>
      <c r="C131" s="1" t="b">
        <v>1</v>
      </c>
      <c r="D131" s="1" t="b">
        <v>1</v>
      </c>
      <c r="E131" s="1" t="s">
        <v>2447</v>
      </c>
      <c r="F131" s="1" t="s">
        <v>2448</v>
      </c>
      <c r="G131" s="2">
        <f>+251915675261</f>
        <v>251915675261</v>
      </c>
      <c r="H131" s="1" t="s">
        <v>131</v>
      </c>
      <c r="I131" s="1" t="s">
        <v>19</v>
      </c>
      <c r="J131" s="1" t="s">
        <v>19</v>
      </c>
      <c r="K131" s="1" t="s">
        <v>25</v>
      </c>
      <c r="L131" s="1">
        <v>41.31</v>
      </c>
      <c r="M131" s="1" t="s">
        <v>33</v>
      </c>
      <c r="N131" s="1" t="s">
        <v>34</v>
      </c>
    </row>
    <row r="132">
      <c r="A132" s="1">
        <v>2717928.0</v>
      </c>
      <c r="B132" s="1" t="s">
        <v>2449</v>
      </c>
      <c r="C132" s="1" t="b">
        <v>1</v>
      </c>
      <c r="D132" s="1" t="b">
        <v>1</v>
      </c>
      <c r="E132" s="1" t="s">
        <v>2450</v>
      </c>
      <c r="F132" s="1" t="s">
        <v>2451</v>
      </c>
      <c r="G132" s="2">
        <f>+251967557044</f>
        <v>251967557044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23.99</v>
      </c>
      <c r="M132" s="1" t="s">
        <v>33</v>
      </c>
      <c r="N132" s="1" t="s">
        <v>166</v>
      </c>
    </row>
    <row r="133">
      <c r="A133" s="1">
        <v>1972599.0</v>
      </c>
      <c r="B133" s="1" t="s">
        <v>2452</v>
      </c>
      <c r="C133" s="1" t="b">
        <v>1</v>
      </c>
      <c r="D133" s="1" t="b">
        <v>1</v>
      </c>
      <c r="E133" s="1" t="s">
        <v>2453</v>
      </c>
      <c r="F133" s="1" t="s">
        <v>2454</v>
      </c>
      <c r="G133" s="2">
        <f>+251935932369</f>
        <v>251935932369</v>
      </c>
      <c r="H133" s="1" t="s">
        <v>18</v>
      </c>
      <c r="I133" s="1" t="s">
        <v>19</v>
      </c>
      <c r="J133" s="1" t="s">
        <v>19</v>
      </c>
      <c r="K133" s="1" t="s">
        <v>25</v>
      </c>
      <c r="L133" s="1">
        <v>24.73</v>
      </c>
      <c r="M133" s="1" t="s">
        <v>21</v>
      </c>
    </row>
    <row r="134">
      <c r="A134" s="1">
        <v>2717966.0</v>
      </c>
      <c r="B134" s="1" t="s">
        <v>2455</v>
      </c>
      <c r="C134" s="1" t="b">
        <v>1</v>
      </c>
      <c r="D134" s="1" t="b">
        <v>1</v>
      </c>
      <c r="E134" s="1" t="s">
        <v>286</v>
      </c>
      <c r="F134" s="1" t="s">
        <v>1161</v>
      </c>
      <c r="G134" s="2">
        <f>+251949472940</f>
        <v>251949472940</v>
      </c>
      <c r="H134" s="1" t="s">
        <v>18</v>
      </c>
      <c r="I134" s="1" t="s">
        <v>19</v>
      </c>
      <c r="J134" s="1" t="s">
        <v>19</v>
      </c>
      <c r="K134" s="1" t="s">
        <v>20</v>
      </c>
      <c r="L134" s="1">
        <v>18.8</v>
      </c>
      <c r="M134" s="1" t="s">
        <v>21</v>
      </c>
      <c r="O134" s="1">
        <v>2.34677795028E11</v>
      </c>
    </row>
    <row r="135">
      <c r="A135" s="1">
        <v>2718044.0</v>
      </c>
      <c r="B135" s="1" t="s">
        <v>2456</v>
      </c>
      <c r="C135" s="1" t="b">
        <v>0</v>
      </c>
      <c r="D135" s="1" t="b">
        <v>0</v>
      </c>
      <c r="E135" s="1" t="s">
        <v>2457</v>
      </c>
      <c r="F135" s="1" t="s">
        <v>2458</v>
      </c>
      <c r="G135" s="2">
        <f>+251941525339</f>
        <v>251941525339</v>
      </c>
      <c r="H135" s="1" t="s">
        <v>18</v>
      </c>
      <c r="I135" s="1" t="s">
        <v>19</v>
      </c>
      <c r="J135" s="1" t="s">
        <v>2459</v>
      </c>
      <c r="K135" s="1" t="s">
        <v>20</v>
      </c>
      <c r="L135" s="1">
        <v>21.45</v>
      </c>
      <c r="M135" s="1" t="s">
        <v>26</v>
      </c>
      <c r="O135" s="1">
        <v>2.34735357122E11</v>
      </c>
    </row>
    <row r="136">
      <c r="A136" s="1">
        <v>2718225.0</v>
      </c>
      <c r="B136" s="1" t="s">
        <v>2460</v>
      </c>
      <c r="C136" s="1" t="b">
        <v>1</v>
      </c>
      <c r="D136" s="1" t="b">
        <v>1</v>
      </c>
      <c r="E136" s="1" t="s">
        <v>294</v>
      </c>
      <c r="F136" s="1" t="s">
        <v>1968</v>
      </c>
      <c r="G136" s="2">
        <f>+251912766138</f>
        <v>251912766138</v>
      </c>
      <c r="H136" s="1" t="s">
        <v>18</v>
      </c>
      <c r="I136" s="1" t="s">
        <v>19</v>
      </c>
      <c r="J136" s="1" t="s">
        <v>19</v>
      </c>
      <c r="K136" s="1" t="s">
        <v>25</v>
      </c>
      <c r="L136" s="1">
        <v>35.91</v>
      </c>
      <c r="M136" s="1" t="s">
        <v>21</v>
      </c>
      <c r="O136" s="1">
        <v>2.3474269204E11</v>
      </c>
    </row>
    <row r="137">
      <c r="A137" s="1">
        <v>2718274.0</v>
      </c>
      <c r="B137" s="1" t="s">
        <v>2461</v>
      </c>
      <c r="C137" s="1" t="b">
        <v>1</v>
      </c>
      <c r="D137" s="1" t="b">
        <v>1</v>
      </c>
      <c r="E137" s="1" t="s">
        <v>2462</v>
      </c>
      <c r="F137" s="1" t="s">
        <v>2463</v>
      </c>
      <c r="G137" s="2">
        <f>+251916901440</f>
        <v>251916901440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34.26</v>
      </c>
      <c r="M137" s="1" t="s">
        <v>26</v>
      </c>
      <c r="O137" s="1">
        <v>5148943.0</v>
      </c>
    </row>
    <row r="138">
      <c r="A138" s="1">
        <v>2718297.0</v>
      </c>
      <c r="B138" s="1" t="s">
        <v>2464</v>
      </c>
      <c r="C138" s="1" t="b">
        <v>1</v>
      </c>
      <c r="D138" s="1" t="b">
        <v>1</v>
      </c>
      <c r="E138" s="1" t="s">
        <v>2117</v>
      </c>
      <c r="F138" s="1" t="s">
        <v>2465</v>
      </c>
      <c r="G138" s="2">
        <f>+251914888141</f>
        <v>251914888141</v>
      </c>
      <c r="H138" s="1" t="s">
        <v>1410</v>
      </c>
      <c r="I138" s="1" t="s">
        <v>19</v>
      </c>
      <c r="J138" s="1" t="s">
        <v>19</v>
      </c>
      <c r="K138" s="1" t="s">
        <v>25</v>
      </c>
      <c r="L138" s="1">
        <v>36.66</v>
      </c>
      <c r="M138" s="1" t="s">
        <v>21</v>
      </c>
      <c r="O138" s="1">
        <v>865081.0</v>
      </c>
    </row>
    <row r="139">
      <c r="A139" s="1">
        <v>2718196.0</v>
      </c>
      <c r="B139" s="1" t="s">
        <v>2466</v>
      </c>
      <c r="C139" s="1" t="b">
        <v>1</v>
      </c>
      <c r="D139" s="1" t="b">
        <v>1</v>
      </c>
      <c r="E139" s="1" t="s">
        <v>2467</v>
      </c>
      <c r="F139" s="1" t="s">
        <v>117</v>
      </c>
      <c r="G139" s="2">
        <f>+251920467499</f>
        <v>251920467499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30.7</v>
      </c>
      <c r="M139" s="1" t="s">
        <v>21</v>
      </c>
    </row>
    <row r="140">
      <c r="A140" s="1">
        <v>2718425.0</v>
      </c>
      <c r="B140" s="1" t="s">
        <v>2468</v>
      </c>
      <c r="C140" s="1" t="b">
        <v>1</v>
      </c>
      <c r="D140" s="1" t="b">
        <v>1</v>
      </c>
      <c r="E140" s="1" t="s">
        <v>1035</v>
      </c>
      <c r="F140" s="1" t="s">
        <v>1214</v>
      </c>
      <c r="G140" s="2">
        <f>+251942030046</f>
        <v>251942030046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21.28</v>
      </c>
      <c r="M140" s="1" t="s">
        <v>33</v>
      </c>
      <c r="N140" s="1" t="s">
        <v>65</v>
      </c>
      <c r="O140" s="1">
        <v>2.34764044503E11</v>
      </c>
    </row>
    <row r="141">
      <c r="A141" s="1">
        <v>2718459.0</v>
      </c>
      <c r="B141" s="1" t="s">
        <v>2469</v>
      </c>
      <c r="C141" s="1" t="b">
        <v>1</v>
      </c>
      <c r="D141" s="1" t="b">
        <v>0</v>
      </c>
      <c r="E141" s="1" t="s">
        <v>1144</v>
      </c>
      <c r="F141" s="1" t="s">
        <v>601</v>
      </c>
      <c r="G141" s="2">
        <f>+251939824783</f>
        <v>251939824783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27.46</v>
      </c>
      <c r="M141" s="1" t="s">
        <v>21</v>
      </c>
      <c r="O141" s="1">
        <v>2.34849158377E11</v>
      </c>
    </row>
    <row r="142">
      <c r="A142" s="1">
        <v>2718587.0</v>
      </c>
      <c r="B142" s="1" t="s">
        <v>2470</v>
      </c>
      <c r="C142" s="1" t="b">
        <v>1</v>
      </c>
      <c r="D142" s="1" t="b">
        <v>1</v>
      </c>
      <c r="E142" s="1" t="s">
        <v>2471</v>
      </c>
      <c r="F142" s="1" t="s">
        <v>824</v>
      </c>
      <c r="G142" s="2">
        <f>+251918554157</f>
        <v>251918554157</v>
      </c>
      <c r="H142" s="1" t="s">
        <v>72</v>
      </c>
      <c r="I142" s="1" t="s">
        <v>19</v>
      </c>
      <c r="J142" s="1" t="s">
        <v>19</v>
      </c>
      <c r="K142" s="1" t="s">
        <v>25</v>
      </c>
      <c r="L142" s="1">
        <v>30.22</v>
      </c>
      <c r="M142" s="1" t="s">
        <v>33</v>
      </c>
      <c r="N142" s="1" t="s">
        <v>118</v>
      </c>
      <c r="O142" s="1">
        <v>2.34817247474E11</v>
      </c>
    </row>
    <row r="143">
      <c r="A143" s="1">
        <v>2718596.0</v>
      </c>
      <c r="B143" s="1" t="s">
        <v>2472</v>
      </c>
      <c r="C143" s="1" t="b">
        <v>1</v>
      </c>
      <c r="D143" s="1" t="b">
        <v>1</v>
      </c>
      <c r="E143" s="1" t="s">
        <v>29</v>
      </c>
      <c r="F143" s="1" t="s">
        <v>768</v>
      </c>
      <c r="G143" s="2">
        <f>+251923369648</f>
        <v>251923369648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35.89</v>
      </c>
      <c r="M143" s="1" t="s">
        <v>21</v>
      </c>
      <c r="O143" s="1">
        <v>2.34867453156E11</v>
      </c>
    </row>
    <row r="144">
      <c r="A144" s="1">
        <v>2518048.0</v>
      </c>
      <c r="B144" s="1" t="s">
        <v>2473</v>
      </c>
      <c r="C144" s="1" t="b">
        <v>1</v>
      </c>
      <c r="D144" s="1" t="b">
        <v>1</v>
      </c>
      <c r="E144" s="1" t="s">
        <v>2474</v>
      </c>
      <c r="F144" s="1" t="s">
        <v>2105</v>
      </c>
      <c r="G144" s="2">
        <f>+251923800220</f>
        <v>251923800220</v>
      </c>
      <c r="H144" s="1" t="s">
        <v>18</v>
      </c>
      <c r="I144" s="1" t="s">
        <v>19</v>
      </c>
      <c r="J144" s="1" t="s">
        <v>19</v>
      </c>
      <c r="K144" s="1" t="s">
        <v>25</v>
      </c>
      <c r="L144" s="1">
        <v>24.68</v>
      </c>
      <c r="M144" s="1" t="s">
        <v>21</v>
      </c>
      <c r="O144" s="1">
        <v>6569383.0</v>
      </c>
    </row>
    <row r="145">
      <c r="A145" s="1">
        <v>2718651.0</v>
      </c>
      <c r="B145" s="1" t="s">
        <v>2475</v>
      </c>
      <c r="C145" s="1" t="b">
        <v>0</v>
      </c>
      <c r="D145" s="1" t="b">
        <v>1</v>
      </c>
      <c r="E145" s="1" t="s">
        <v>2167</v>
      </c>
      <c r="F145" s="1" t="s">
        <v>2476</v>
      </c>
      <c r="G145" s="2">
        <f>+251969865483</f>
        <v>251969865483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31.65</v>
      </c>
      <c r="M145" s="1" t="s">
        <v>33</v>
      </c>
      <c r="N145" s="1" t="s">
        <v>34</v>
      </c>
      <c r="O145" s="1">
        <v>2.34864807147E11</v>
      </c>
    </row>
    <row r="146">
      <c r="A146" s="1">
        <v>1717802.0</v>
      </c>
      <c r="B146" s="1" t="s">
        <v>2477</v>
      </c>
      <c r="C146" s="1" t="b">
        <v>1</v>
      </c>
      <c r="D146" s="1" t="b">
        <v>1</v>
      </c>
      <c r="E146" s="1" t="s">
        <v>2478</v>
      </c>
      <c r="F146" s="1" t="s">
        <v>2479</v>
      </c>
      <c r="G146" s="2">
        <f>+251910814632</f>
        <v>251910814632</v>
      </c>
      <c r="H146" s="1" t="s">
        <v>18</v>
      </c>
      <c r="I146" s="1" t="s">
        <v>19</v>
      </c>
      <c r="J146" s="1" t="s">
        <v>19</v>
      </c>
      <c r="K146" s="1" t="s">
        <v>25</v>
      </c>
      <c r="L146" s="1">
        <v>31.61</v>
      </c>
      <c r="M146" s="1" t="s">
        <v>33</v>
      </c>
      <c r="N146" s="1" t="s">
        <v>166</v>
      </c>
      <c r="O146" s="1">
        <v>2.2556314318E10</v>
      </c>
    </row>
    <row r="147">
      <c r="A147" s="1">
        <v>2718845.0</v>
      </c>
      <c r="B147" s="1" t="s">
        <v>2480</v>
      </c>
      <c r="C147" s="1" t="b">
        <v>1</v>
      </c>
      <c r="D147" s="1" t="b">
        <v>1</v>
      </c>
      <c r="E147" s="1" t="s">
        <v>2429</v>
      </c>
      <c r="F147" s="1" t="s">
        <v>2481</v>
      </c>
      <c r="G147" s="2">
        <f>+251919707608</f>
        <v>251919707608</v>
      </c>
      <c r="H147" s="1" t="s">
        <v>18</v>
      </c>
      <c r="I147" s="1" t="s">
        <v>19</v>
      </c>
      <c r="J147" s="1" t="s">
        <v>19</v>
      </c>
      <c r="K147" s="1" t="s">
        <v>20</v>
      </c>
      <c r="L147" s="1">
        <v>25.7</v>
      </c>
      <c r="M147" s="1" t="s">
        <v>21</v>
      </c>
      <c r="O147" s="1">
        <v>2.34842748105E11</v>
      </c>
    </row>
    <row r="148">
      <c r="A148" s="1">
        <v>2719245.0</v>
      </c>
      <c r="B148" s="1" t="s">
        <v>2482</v>
      </c>
      <c r="C148" s="1" t="b">
        <v>1</v>
      </c>
      <c r="D148" s="1" t="b">
        <v>1</v>
      </c>
      <c r="E148" s="1" t="s">
        <v>956</v>
      </c>
      <c r="F148" s="1" t="s">
        <v>2483</v>
      </c>
      <c r="G148" s="2">
        <f>+251910159741</f>
        <v>251910159741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36.04</v>
      </c>
      <c r="M148" s="1" t="s">
        <v>33</v>
      </c>
      <c r="N148" s="1" t="s">
        <v>76</v>
      </c>
      <c r="O148" s="1">
        <v>2.3075538E7</v>
      </c>
    </row>
    <row r="149">
      <c r="A149" s="1">
        <v>2719279.0</v>
      </c>
      <c r="B149" s="1" t="s">
        <v>2484</v>
      </c>
      <c r="C149" s="1" t="b">
        <v>1</v>
      </c>
      <c r="D149" s="1" t="b">
        <v>1</v>
      </c>
      <c r="E149" s="1" t="s">
        <v>2485</v>
      </c>
      <c r="F149" s="1" t="s">
        <v>2486</v>
      </c>
      <c r="G149" s="2">
        <f>+251941993188</f>
        <v>251941993188</v>
      </c>
      <c r="H149" s="1" t="s">
        <v>18</v>
      </c>
      <c r="I149" s="1" t="s">
        <v>19</v>
      </c>
      <c r="J149" s="1" t="s">
        <v>19</v>
      </c>
      <c r="K149" s="1" t="s">
        <v>25</v>
      </c>
      <c r="L149" s="1">
        <v>27.92</v>
      </c>
      <c r="M149" s="1" t="s">
        <v>21</v>
      </c>
      <c r="O149" s="1">
        <v>2.34993871086E11</v>
      </c>
    </row>
    <row r="150">
      <c r="A150" s="1">
        <v>2248336.0</v>
      </c>
      <c r="B150" s="1" t="s">
        <v>2487</v>
      </c>
      <c r="C150" s="1" t="b">
        <v>1</v>
      </c>
      <c r="D150" s="1" t="b">
        <v>1</v>
      </c>
      <c r="E150" s="1" t="s">
        <v>188</v>
      </c>
      <c r="F150" s="1" t="s">
        <v>2017</v>
      </c>
      <c r="G150" s="2">
        <f>+251251984529882</f>
        <v>251251984529882</v>
      </c>
      <c r="H150" s="1" t="s">
        <v>72</v>
      </c>
      <c r="I150" s="1" t="s">
        <v>19</v>
      </c>
      <c r="J150" s="1" t="s">
        <v>19</v>
      </c>
      <c r="K150" s="1" t="s">
        <v>25</v>
      </c>
      <c r="L150" s="1">
        <v>20.67</v>
      </c>
      <c r="M150" s="1" t="s">
        <v>33</v>
      </c>
      <c r="N150" s="1" t="s">
        <v>166</v>
      </c>
      <c r="O150" s="1">
        <v>1.0699696E7</v>
      </c>
    </row>
    <row r="151">
      <c r="A151" s="1">
        <v>2719654.0</v>
      </c>
      <c r="B151" s="1" t="s">
        <v>2166</v>
      </c>
      <c r="C151" s="1" t="b">
        <v>1</v>
      </c>
      <c r="D151" s="1" t="b">
        <v>1</v>
      </c>
      <c r="E151" s="1" t="s">
        <v>545</v>
      </c>
      <c r="F151" s="1" t="s">
        <v>2167</v>
      </c>
      <c r="G151" s="2">
        <f>+251924806134</f>
        <v>251924806134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23.22</v>
      </c>
      <c r="M151" s="1" t="s">
        <v>21</v>
      </c>
      <c r="O151" s="1">
        <v>2.3407999E7</v>
      </c>
    </row>
    <row r="152">
      <c r="A152" s="1">
        <v>2719748.0</v>
      </c>
      <c r="B152" s="1" t="s">
        <v>2488</v>
      </c>
      <c r="C152" s="1" t="b">
        <v>1</v>
      </c>
      <c r="D152" s="1" t="b">
        <v>0</v>
      </c>
      <c r="E152" s="1" t="s">
        <v>2489</v>
      </c>
      <c r="F152" s="1" t="s">
        <v>2261</v>
      </c>
      <c r="G152" s="2">
        <f>+251939667669</f>
        <v>251939667669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20.3</v>
      </c>
      <c r="M152" s="1" t="s">
        <v>21</v>
      </c>
      <c r="O152" s="1">
        <v>2.35062901996E11</v>
      </c>
    </row>
    <row r="153">
      <c r="A153" s="1">
        <v>716096.0</v>
      </c>
      <c r="B153" s="1" t="s">
        <v>2490</v>
      </c>
      <c r="C153" s="1" t="b">
        <v>1</v>
      </c>
      <c r="D153" s="1" t="b">
        <v>1</v>
      </c>
      <c r="E153" s="1" t="s">
        <v>618</v>
      </c>
      <c r="F153" s="1" t="s">
        <v>2491</v>
      </c>
      <c r="G153" s="2">
        <f>+251914359671</f>
        <v>251914359671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33.68</v>
      </c>
      <c r="M153" s="1" t="s">
        <v>21</v>
      </c>
      <c r="O153" s="1">
        <v>2.3427394E7</v>
      </c>
    </row>
    <row r="154">
      <c r="A154" s="1">
        <v>2721080.0</v>
      </c>
      <c r="B154" s="1" t="s">
        <v>2492</v>
      </c>
      <c r="C154" s="1" t="b">
        <v>1</v>
      </c>
      <c r="D154" s="1" t="b">
        <v>1</v>
      </c>
      <c r="E154" s="1" t="s">
        <v>545</v>
      </c>
      <c r="F154" s="1" t="s">
        <v>1363</v>
      </c>
      <c r="G154" s="2">
        <f>+251916088726</f>
        <v>251916088726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23.35</v>
      </c>
      <c r="M154" s="1" t="s">
        <v>21</v>
      </c>
      <c r="O154" s="1">
        <v>2.35329566954E11</v>
      </c>
    </row>
    <row r="155">
      <c r="A155" s="1">
        <v>137390.0</v>
      </c>
      <c r="B155" s="1" t="s">
        <v>2493</v>
      </c>
      <c r="C155" s="1" t="b">
        <v>1</v>
      </c>
      <c r="D155" s="1" t="b">
        <v>1</v>
      </c>
      <c r="E155" s="1" t="s">
        <v>2494</v>
      </c>
      <c r="F155" s="1" t="s">
        <v>2495</v>
      </c>
      <c r="G155" s="2">
        <f>+251910112529</f>
        <v>251910112529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36.13</v>
      </c>
      <c r="M155" s="1" t="s">
        <v>21</v>
      </c>
      <c r="O155" s="1">
        <v>1136525.0</v>
      </c>
    </row>
    <row r="156">
      <c r="A156" s="1">
        <v>2721344.0</v>
      </c>
      <c r="B156" s="1" t="s">
        <v>2496</v>
      </c>
      <c r="C156" s="1" t="b">
        <v>1</v>
      </c>
      <c r="D156" s="1" t="b">
        <v>1</v>
      </c>
      <c r="E156" s="1" t="s">
        <v>2497</v>
      </c>
      <c r="F156" s="1" t="s">
        <v>2498</v>
      </c>
      <c r="G156" s="2">
        <f>+251960465480</f>
        <v>251960465480</v>
      </c>
      <c r="H156" s="1" t="s">
        <v>18</v>
      </c>
      <c r="I156" s="1" t="s">
        <v>19</v>
      </c>
      <c r="J156" s="1" t="s">
        <v>19</v>
      </c>
      <c r="K156" s="1" t="s">
        <v>20</v>
      </c>
      <c r="L156" s="1">
        <v>19.04</v>
      </c>
      <c r="M156" s="1" t="s">
        <v>33</v>
      </c>
      <c r="N156" s="1" t="s">
        <v>34</v>
      </c>
      <c r="O156" s="1">
        <v>2.35335561404E11</v>
      </c>
    </row>
    <row r="157">
      <c r="A157" s="1">
        <v>2721865.0</v>
      </c>
      <c r="B157" s="1" t="s">
        <v>2499</v>
      </c>
      <c r="C157" s="1" t="b">
        <v>1</v>
      </c>
      <c r="D157" s="1" t="b">
        <v>1</v>
      </c>
      <c r="E157" s="1" t="s">
        <v>121</v>
      </c>
      <c r="F157" s="1" t="s">
        <v>1103</v>
      </c>
      <c r="G157" s="2">
        <f>+251947552213</f>
        <v>251947552213</v>
      </c>
      <c r="H157" s="1" t="s">
        <v>18</v>
      </c>
      <c r="I157" s="1" t="s">
        <v>19</v>
      </c>
      <c r="J157" s="1" t="s">
        <v>19</v>
      </c>
      <c r="K157" s="1" t="s">
        <v>25</v>
      </c>
      <c r="L157" s="1">
        <v>24.22</v>
      </c>
      <c r="M157" s="1" t="s">
        <v>21</v>
      </c>
      <c r="O157" s="1">
        <v>4.4809740241E10</v>
      </c>
    </row>
    <row r="158">
      <c r="A158" s="1">
        <v>2722073.0</v>
      </c>
      <c r="B158" s="1" t="s">
        <v>2500</v>
      </c>
      <c r="C158" s="1" t="b">
        <v>1</v>
      </c>
      <c r="D158" s="1" t="b">
        <v>1</v>
      </c>
      <c r="E158" s="1" t="s">
        <v>2501</v>
      </c>
      <c r="F158" s="1" t="s">
        <v>654</v>
      </c>
      <c r="G158" s="2">
        <f>+251940557867</f>
        <v>251940557867</v>
      </c>
      <c r="H158" s="1" t="s">
        <v>18</v>
      </c>
      <c r="I158" s="1" t="s">
        <v>19</v>
      </c>
      <c r="J158" s="1" t="s">
        <v>19</v>
      </c>
      <c r="K158" s="1" t="s">
        <v>20</v>
      </c>
      <c r="L158" s="1">
        <v>39.68</v>
      </c>
      <c r="M158" s="1" t="s">
        <v>33</v>
      </c>
      <c r="N158" s="1" t="s">
        <v>235</v>
      </c>
      <c r="O158" s="1">
        <v>2.35494058201E11</v>
      </c>
    </row>
    <row r="159">
      <c r="A159" s="1">
        <v>2716707.0</v>
      </c>
      <c r="B159" s="1" t="s">
        <v>2502</v>
      </c>
      <c r="C159" s="1" t="b">
        <v>1</v>
      </c>
      <c r="D159" s="1" t="b">
        <v>1</v>
      </c>
      <c r="E159" s="1" t="s">
        <v>2503</v>
      </c>
      <c r="F159" s="1" t="s">
        <v>880</v>
      </c>
      <c r="G159" s="2">
        <f>+251939976706</f>
        <v>251939976706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29.61</v>
      </c>
      <c r="M159" s="1" t="s">
        <v>21</v>
      </c>
      <c r="O159" s="1">
        <v>2.34403916016E11</v>
      </c>
    </row>
    <row r="160">
      <c r="A160" s="1">
        <v>2722260.0</v>
      </c>
      <c r="B160" s="1" t="s">
        <v>2504</v>
      </c>
      <c r="C160" s="1" t="b">
        <v>1</v>
      </c>
      <c r="D160" s="1" t="b">
        <v>1</v>
      </c>
      <c r="E160" s="1" t="s">
        <v>28</v>
      </c>
      <c r="F160" s="1" t="s">
        <v>2505</v>
      </c>
      <c r="G160" s="2">
        <f>+251955223706</f>
        <v>251955223706</v>
      </c>
      <c r="H160" s="1" t="s">
        <v>72</v>
      </c>
      <c r="I160" s="1" t="s">
        <v>19</v>
      </c>
      <c r="J160" s="1" t="s">
        <v>19</v>
      </c>
      <c r="K160" s="1" t="s">
        <v>25</v>
      </c>
      <c r="L160" s="1">
        <v>25.51</v>
      </c>
      <c r="M160" s="1" t="s">
        <v>33</v>
      </c>
      <c r="N160" s="1" t="s">
        <v>166</v>
      </c>
      <c r="O160" s="1">
        <v>2.35507103975E11</v>
      </c>
    </row>
    <row r="161">
      <c r="A161" s="1">
        <v>2722682.0</v>
      </c>
      <c r="B161" s="1" t="s">
        <v>2506</v>
      </c>
      <c r="C161" s="1" t="b">
        <v>1</v>
      </c>
      <c r="D161" s="1" t="b">
        <v>1</v>
      </c>
      <c r="E161" s="1" t="s">
        <v>996</v>
      </c>
      <c r="F161" s="1" t="s">
        <v>71</v>
      </c>
      <c r="G161" s="2">
        <f>+251918381252</f>
        <v>251918381252</v>
      </c>
      <c r="H161" s="1" t="s">
        <v>392</v>
      </c>
      <c r="I161" s="1" t="s">
        <v>19</v>
      </c>
      <c r="J161" s="1" t="s">
        <v>19</v>
      </c>
      <c r="K161" s="1" t="s">
        <v>25</v>
      </c>
      <c r="L161" s="1">
        <v>29.08</v>
      </c>
      <c r="M161" s="1" t="s">
        <v>21</v>
      </c>
      <c r="O161" s="1">
        <v>2.35567102195E11</v>
      </c>
    </row>
    <row r="162">
      <c r="A162" s="1">
        <v>2715348.0</v>
      </c>
      <c r="B162" s="1" t="s">
        <v>2507</v>
      </c>
      <c r="C162" s="1" t="b">
        <v>1</v>
      </c>
      <c r="D162" s="1" t="b">
        <v>1</v>
      </c>
      <c r="E162" s="1" t="s">
        <v>2508</v>
      </c>
      <c r="F162" s="1" t="s">
        <v>2509</v>
      </c>
      <c r="G162" s="2">
        <f>+251920416546</f>
        <v>251920416546</v>
      </c>
      <c r="H162" s="1" t="s">
        <v>18</v>
      </c>
      <c r="I162" s="1" t="s">
        <v>19</v>
      </c>
      <c r="J162" s="1" t="s">
        <v>19</v>
      </c>
      <c r="K162" s="1" t="s">
        <v>20</v>
      </c>
      <c r="L162" s="1">
        <v>13.22</v>
      </c>
      <c r="M162" s="1" t="s">
        <v>33</v>
      </c>
      <c r="N162" s="1" t="s">
        <v>65</v>
      </c>
    </row>
    <row r="163">
      <c r="A163" s="1">
        <v>2722646.0</v>
      </c>
      <c r="B163" s="1" t="s">
        <v>2510</v>
      </c>
      <c r="C163" s="1" t="b">
        <v>1</v>
      </c>
      <c r="D163" s="1" t="b">
        <v>1</v>
      </c>
      <c r="E163" s="1" t="s">
        <v>595</v>
      </c>
      <c r="F163" s="1" t="s">
        <v>2511</v>
      </c>
      <c r="G163" s="2">
        <f>+251967593619</f>
        <v>251967593619</v>
      </c>
      <c r="H163" s="1" t="s">
        <v>72</v>
      </c>
      <c r="I163" s="1" t="s">
        <v>19</v>
      </c>
      <c r="J163" s="1" t="s">
        <v>19</v>
      </c>
      <c r="K163" s="1" t="s">
        <v>25</v>
      </c>
      <c r="L163" s="1">
        <v>29.92</v>
      </c>
      <c r="M163" s="1" t="s">
        <v>33</v>
      </c>
      <c r="N163" s="1" t="s">
        <v>118</v>
      </c>
      <c r="O163" s="1">
        <v>2.35587281083E11</v>
      </c>
    </row>
    <row r="164">
      <c r="A164" s="1">
        <v>529493.0</v>
      </c>
      <c r="B164" s="1" t="s">
        <v>2512</v>
      </c>
      <c r="C164" s="1" t="b">
        <v>1</v>
      </c>
      <c r="D164" s="1" t="b">
        <v>1</v>
      </c>
      <c r="E164" s="1" t="s">
        <v>2513</v>
      </c>
      <c r="F164" s="1" t="s">
        <v>2105</v>
      </c>
      <c r="G164" s="2">
        <f>+251919578159</f>
        <v>251919578159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37.42</v>
      </c>
      <c r="M164" s="1" t="s">
        <v>21</v>
      </c>
      <c r="O164" s="1">
        <v>1080335.0</v>
      </c>
    </row>
    <row r="165">
      <c r="A165" s="1">
        <v>2108732.0</v>
      </c>
      <c r="B165" s="1" t="s">
        <v>2514</v>
      </c>
      <c r="C165" s="1" t="b">
        <v>1</v>
      </c>
      <c r="D165" s="1" t="b">
        <v>1</v>
      </c>
      <c r="E165" s="1" t="s">
        <v>272</v>
      </c>
      <c r="F165" s="1" t="s">
        <v>2515</v>
      </c>
      <c r="G165" s="2">
        <f>+251953749290</f>
        <v>251953749290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24.87</v>
      </c>
      <c r="M165" s="1" t="s">
        <v>33</v>
      </c>
      <c r="N165" s="1" t="s">
        <v>177</v>
      </c>
      <c r="O165" s="1">
        <v>5914727.0</v>
      </c>
    </row>
    <row r="166">
      <c r="A166" s="1">
        <v>2722539.0</v>
      </c>
      <c r="B166" s="1" t="s">
        <v>2516</v>
      </c>
      <c r="C166" s="1" t="b">
        <v>1</v>
      </c>
      <c r="D166" s="1" t="b">
        <v>1</v>
      </c>
      <c r="E166" s="1" t="s">
        <v>321</v>
      </c>
      <c r="F166" s="1" t="s">
        <v>534</v>
      </c>
      <c r="G166" s="1">
        <v>9.43180411E8</v>
      </c>
      <c r="H166" s="1" t="s">
        <v>18</v>
      </c>
      <c r="I166" s="1" t="s">
        <v>19</v>
      </c>
      <c r="J166" s="1" t="s">
        <v>19</v>
      </c>
      <c r="K166" s="1" t="s">
        <v>20</v>
      </c>
      <c r="L166" s="1">
        <v>26.39</v>
      </c>
      <c r="M166" s="1" t="s">
        <v>21</v>
      </c>
      <c r="O166" s="1">
        <v>2.3553307669E11</v>
      </c>
    </row>
    <row r="167">
      <c r="A167" s="1">
        <v>343489.0</v>
      </c>
      <c r="B167" s="1" t="s">
        <v>2517</v>
      </c>
      <c r="C167" s="1" t="b">
        <v>1</v>
      </c>
      <c r="D167" s="1" t="b">
        <v>1</v>
      </c>
      <c r="E167" s="1" t="s">
        <v>1977</v>
      </c>
      <c r="F167" s="1" t="s">
        <v>2518</v>
      </c>
      <c r="G167" s="2">
        <f>+251943543673</f>
        <v>251943543673</v>
      </c>
      <c r="H167" s="1" t="s">
        <v>18</v>
      </c>
      <c r="I167" s="1" t="s">
        <v>19</v>
      </c>
      <c r="J167" s="1" t="s">
        <v>19</v>
      </c>
      <c r="K167" s="1" t="s">
        <v>20</v>
      </c>
      <c r="L167" s="1">
        <v>18.66</v>
      </c>
      <c r="M167" s="1" t="s">
        <v>33</v>
      </c>
      <c r="N167" s="1" t="s">
        <v>76</v>
      </c>
      <c r="O167" s="1">
        <v>9864364.0</v>
      </c>
    </row>
    <row r="168">
      <c r="A168" s="1">
        <v>2723674.0</v>
      </c>
      <c r="B168" s="1" t="s">
        <v>2519</v>
      </c>
      <c r="C168" s="1" t="b">
        <v>1</v>
      </c>
      <c r="D168" s="1" t="b">
        <v>1</v>
      </c>
      <c r="E168" s="1" t="s">
        <v>663</v>
      </c>
      <c r="F168" s="1" t="s">
        <v>2520</v>
      </c>
      <c r="G168" s="2">
        <f>+251912900617</f>
        <v>251912900617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27.56</v>
      </c>
      <c r="M168" s="1" t="s">
        <v>21</v>
      </c>
      <c r="O168" s="1">
        <v>1851836.0</v>
      </c>
    </row>
    <row r="169">
      <c r="A169" s="1">
        <v>2723767.0</v>
      </c>
      <c r="B169" s="1" t="s">
        <v>2521</v>
      </c>
      <c r="C169" s="1" t="b">
        <v>0</v>
      </c>
      <c r="D169" s="1" t="b">
        <v>1</v>
      </c>
      <c r="E169" s="1" t="s">
        <v>2522</v>
      </c>
      <c r="F169" s="1" t="s">
        <v>963</v>
      </c>
      <c r="G169" s="2">
        <f>+251942863913</f>
        <v>251942863913</v>
      </c>
      <c r="H169" s="1" t="s">
        <v>18</v>
      </c>
      <c r="I169" s="1" t="s">
        <v>19</v>
      </c>
      <c r="J169" s="1" t="s">
        <v>19</v>
      </c>
      <c r="K169" s="1" t="s">
        <v>20</v>
      </c>
      <c r="L169" s="1">
        <v>33.14</v>
      </c>
      <c r="M169" s="1" t="s">
        <v>33</v>
      </c>
      <c r="N169" s="1" t="s">
        <v>65</v>
      </c>
      <c r="O169" s="1">
        <v>2.35697972423E11</v>
      </c>
    </row>
    <row r="170">
      <c r="A170" s="1">
        <v>2724590.0</v>
      </c>
      <c r="B170" s="1" t="s">
        <v>2523</v>
      </c>
      <c r="C170" s="1" t="b">
        <v>1</v>
      </c>
      <c r="D170" s="1" t="b">
        <v>1</v>
      </c>
      <c r="E170" s="1" t="s">
        <v>842</v>
      </c>
      <c r="F170" s="1" t="s">
        <v>130</v>
      </c>
      <c r="G170" s="2">
        <f>+251909781931</f>
        <v>251909781931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26.63</v>
      </c>
      <c r="M170" s="1" t="s">
        <v>21</v>
      </c>
      <c r="O170" s="1">
        <v>2.4889188E7</v>
      </c>
    </row>
    <row r="171">
      <c r="A171" s="1">
        <v>2724724.0</v>
      </c>
      <c r="B171" s="1" t="s">
        <v>2524</v>
      </c>
      <c r="C171" s="1" t="b">
        <v>1</v>
      </c>
      <c r="D171" s="1" t="b">
        <v>1</v>
      </c>
      <c r="E171" s="1" t="s">
        <v>503</v>
      </c>
      <c r="F171" s="1" t="s">
        <v>195</v>
      </c>
      <c r="G171" s="2">
        <f>+251912892969</f>
        <v>251912892969</v>
      </c>
      <c r="H171" s="1" t="s">
        <v>58</v>
      </c>
      <c r="I171" s="1" t="s">
        <v>19</v>
      </c>
      <c r="J171" s="1" t="s">
        <v>19</v>
      </c>
      <c r="K171" s="1" t="s">
        <v>25</v>
      </c>
      <c r="L171" s="1">
        <v>37.18</v>
      </c>
      <c r="M171" s="1" t="s">
        <v>33</v>
      </c>
      <c r="N171" s="1" t="s">
        <v>65</v>
      </c>
      <c r="O171" s="1">
        <v>2.963327E7</v>
      </c>
    </row>
    <row r="172">
      <c r="A172" s="1">
        <v>2724919.0</v>
      </c>
      <c r="B172" s="1" t="s">
        <v>2525</v>
      </c>
      <c r="C172" s="1" t="b">
        <v>1</v>
      </c>
      <c r="D172" s="1" t="b">
        <v>1</v>
      </c>
      <c r="E172" s="1" t="s">
        <v>2526</v>
      </c>
      <c r="F172" s="1" t="s">
        <v>963</v>
      </c>
      <c r="G172" s="2">
        <f>+251923495198</f>
        <v>251923495198</v>
      </c>
      <c r="H172" s="1" t="s">
        <v>18</v>
      </c>
      <c r="I172" s="1" t="s">
        <v>19</v>
      </c>
      <c r="J172" s="1" t="s">
        <v>19</v>
      </c>
      <c r="K172" s="1" t="s">
        <v>25</v>
      </c>
      <c r="L172" s="1">
        <v>31.75</v>
      </c>
      <c r="M172" s="1" t="s">
        <v>26</v>
      </c>
      <c r="O172" s="1">
        <v>2.36241894586E11</v>
      </c>
    </row>
    <row r="173">
      <c r="A173" s="1">
        <v>992344.0</v>
      </c>
      <c r="B173" s="1" t="s">
        <v>2527</v>
      </c>
      <c r="C173" s="1" t="b">
        <v>1</v>
      </c>
      <c r="D173" s="1" t="b">
        <v>1</v>
      </c>
      <c r="E173" s="1" t="s">
        <v>663</v>
      </c>
      <c r="F173" s="1" t="s">
        <v>2528</v>
      </c>
      <c r="G173" s="2">
        <f>+251920135958</f>
        <v>251920135958</v>
      </c>
      <c r="H173" s="1" t="s">
        <v>18</v>
      </c>
      <c r="I173" s="1" t="s">
        <v>19</v>
      </c>
      <c r="J173" s="1" t="s">
        <v>19</v>
      </c>
      <c r="K173" s="1" t="s">
        <v>25</v>
      </c>
      <c r="L173" s="1">
        <v>28.5</v>
      </c>
      <c r="M173" s="1" t="s">
        <v>21</v>
      </c>
    </row>
    <row r="174">
      <c r="A174" s="1">
        <v>2725359.0</v>
      </c>
      <c r="B174" s="1" t="s">
        <v>2529</v>
      </c>
      <c r="C174" s="1" t="b">
        <v>0</v>
      </c>
      <c r="D174" s="1" t="b">
        <v>1</v>
      </c>
      <c r="E174" s="1" t="s">
        <v>909</v>
      </c>
      <c r="F174" s="1" t="s">
        <v>2530</v>
      </c>
      <c r="G174" s="2">
        <f>+251949228446</f>
        <v>251949228446</v>
      </c>
      <c r="H174" s="1" t="s">
        <v>18</v>
      </c>
      <c r="I174" s="1" t="s">
        <v>19</v>
      </c>
      <c r="J174" s="1" t="s">
        <v>19</v>
      </c>
      <c r="K174" s="1" t="s">
        <v>20</v>
      </c>
      <c r="L174" s="1">
        <v>27.49</v>
      </c>
      <c r="M174" s="1" t="s">
        <v>26</v>
      </c>
      <c r="O174" s="1">
        <v>2.36340510906E11</v>
      </c>
    </row>
    <row r="175">
      <c r="A175" s="1">
        <v>2725764.0</v>
      </c>
      <c r="B175" s="1" t="s">
        <v>2531</v>
      </c>
      <c r="C175" s="1" t="b">
        <v>1</v>
      </c>
      <c r="D175" s="1" t="b">
        <v>1</v>
      </c>
      <c r="E175" s="1" t="s">
        <v>130</v>
      </c>
      <c r="F175" s="1" t="s">
        <v>2532</v>
      </c>
      <c r="G175" s="2">
        <f>+251983164040</f>
        <v>251983164040</v>
      </c>
      <c r="H175" s="1" t="s">
        <v>72</v>
      </c>
      <c r="I175" s="1" t="s">
        <v>19</v>
      </c>
      <c r="J175" s="1" t="s">
        <v>19</v>
      </c>
      <c r="K175" s="1" t="s">
        <v>25</v>
      </c>
      <c r="L175" s="1">
        <v>33.8</v>
      </c>
      <c r="M175" s="1" t="s">
        <v>21</v>
      </c>
      <c r="O175" s="1">
        <v>2.36456748241E11</v>
      </c>
    </row>
    <row r="176">
      <c r="A176" s="1">
        <v>2725765.0</v>
      </c>
      <c r="B176" s="1" t="s">
        <v>2533</v>
      </c>
      <c r="C176" s="1" t="b">
        <v>1</v>
      </c>
      <c r="D176" s="1" t="b">
        <v>1</v>
      </c>
      <c r="E176" s="1" t="s">
        <v>130</v>
      </c>
      <c r="F176" s="1" t="s">
        <v>2534</v>
      </c>
      <c r="G176" s="2">
        <f>+251911909095</f>
        <v>251911909095</v>
      </c>
      <c r="H176" s="1" t="s">
        <v>18</v>
      </c>
      <c r="I176" s="1" t="s">
        <v>19</v>
      </c>
      <c r="J176" s="1" t="s">
        <v>19</v>
      </c>
      <c r="K176" s="1" t="s">
        <v>25</v>
      </c>
      <c r="L176" s="1">
        <v>43.83</v>
      </c>
      <c r="M176" s="1" t="s">
        <v>21</v>
      </c>
      <c r="O176" s="1">
        <v>2.3645736879E11</v>
      </c>
    </row>
    <row r="177">
      <c r="A177" s="1">
        <v>2726013.0</v>
      </c>
      <c r="B177" s="1" t="s">
        <v>2535</v>
      </c>
      <c r="C177" s="1" t="b">
        <v>1</v>
      </c>
      <c r="D177" s="1" t="b">
        <v>1</v>
      </c>
      <c r="E177" s="1" t="s">
        <v>1675</v>
      </c>
      <c r="F177" s="1" t="s">
        <v>2536</v>
      </c>
      <c r="G177" s="2">
        <f>+251949293693</f>
        <v>251949293693</v>
      </c>
      <c r="H177" s="1" t="s">
        <v>488</v>
      </c>
      <c r="I177" s="1" t="s">
        <v>19</v>
      </c>
      <c r="J177" s="1" t="s">
        <v>19</v>
      </c>
      <c r="K177" s="1" t="s">
        <v>25</v>
      </c>
      <c r="L177" s="1">
        <v>21.19</v>
      </c>
      <c r="M177" s="1" t="s">
        <v>33</v>
      </c>
      <c r="N177" s="1" t="s">
        <v>65</v>
      </c>
      <c r="O177" s="1">
        <v>2.36490149084E11</v>
      </c>
    </row>
    <row r="178">
      <c r="A178" s="1">
        <v>1943.0</v>
      </c>
      <c r="B178" s="1" t="s">
        <v>2537</v>
      </c>
      <c r="C178" s="1" t="b">
        <v>1</v>
      </c>
      <c r="D178" s="1" t="b">
        <v>1</v>
      </c>
      <c r="E178" s="1" t="s">
        <v>527</v>
      </c>
      <c r="F178" s="1" t="s">
        <v>2538</v>
      </c>
      <c r="G178" s="2">
        <f>+251964189321</f>
        <v>251964189321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24.57</v>
      </c>
      <c r="M178" s="1" t="s">
        <v>33</v>
      </c>
      <c r="N178" s="1" t="s">
        <v>76</v>
      </c>
      <c r="O178" s="1">
        <v>1826896.0</v>
      </c>
    </row>
    <row r="179">
      <c r="A179" s="1">
        <v>1039193.0</v>
      </c>
      <c r="B179" s="1" t="s">
        <v>2539</v>
      </c>
      <c r="C179" s="1" t="b">
        <v>1</v>
      </c>
      <c r="D179" s="1" t="b">
        <v>1</v>
      </c>
      <c r="E179" s="1" t="s">
        <v>2540</v>
      </c>
      <c r="F179" s="1" t="s">
        <v>2541</v>
      </c>
      <c r="G179" s="2">
        <f>+251931057984</f>
        <v>251931057984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31.8</v>
      </c>
      <c r="M179" s="1" t="s">
        <v>21</v>
      </c>
      <c r="O179" s="1">
        <v>6.10209942E9</v>
      </c>
    </row>
    <row r="180">
      <c r="A180" s="1">
        <v>123335.0</v>
      </c>
      <c r="B180" s="1" t="s">
        <v>2542</v>
      </c>
      <c r="C180" s="1" t="b">
        <v>1</v>
      </c>
      <c r="D180" s="1" t="b">
        <v>1</v>
      </c>
      <c r="E180" s="1" t="s">
        <v>240</v>
      </c>
      <c r="F180" s="1" t="s">
        <v>2543</v>
      </c>
      <c r="G180" s="2">
        <f>+251912665806</f>
        <v>251912665806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27.72</v>
      </c>
      <c r="M180" s="1" t="s">
        <v>21</v>
      </c>
      <c r="O180" s="1">
        <v>1884829.0</v>
      </c>
    </row>
    <row r="181">
      <c r="A181" s="1">
        <v>2559055.0</v>
      </c>
      <c r="B181" s="1" t="s">
        <v>1458</v>
      </c>
      <c r="C181" s="1" t="b">
        <v>1</v>
      </c>
      <c r="D181" s="1" t="b">
        <v>1</v>
      </c>
      <c r="E181" s="1" t="s">
        <v>1459</v>
      </c>
      <c r="F181" s="1" t="s">
        <v>1116</v>
      </c>
      <c r="G181" s="2">
        <f>+251946670244</f>
        <v>251946670244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20.3</v>
      </c>
      <c r="M181" s="1" t="s">
        <v>21</v>
      </c>
      <c r="O181" s="1">
        <v>1.0199879E7</v>
      </c>
    </row>
    <row r="182">
      <c r="A182" s="1">
        <v>2727603.0</v>
      </c>
      <c r="B182" s="1" t="s">
        <v>2544</v>
      </c>
      <c r="C182" s="1" t="b">
        <v>1</v>
      </c>
      <c r="D182" s="1" t="b">
        <v>1</v>
      </c>
      <c r="E182" s="1" t="s">
        <v>420</v>
      </c>
      <c r="F182" s="1" t="s">
        <v>2545</v>
      </c>
      <c r="G182" s="2">
        <f>+251953163836</f>
        <v>251953163836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26.63</v>
      </c>
      <c r="M182" s="1" t="s">
        <v>26</v>
      </c>
      <c r="O182" s="1">
        <v>2.36929018052E11</v>
      </c>
    </row>
    <row r="183">
      <c r="A183" s="1">
        <v>1747518.0</v>
      </c>
      <c r="B183" s="1" t="s">
        <v>2546</v>
      </c>
      <c r="C183" s="1" t="b">
        <v>1</v>
      </c>
      <c r="D183" s="1" t="b">
        <v>1</v>
      </c>
      <c r="E183" s="1" t="s">
        <v>1570</v>
      </c>
      <c r="F183" s="1" t="s">
        <v>292</v>
      </c>
      <c r="G183" s="2">
        <f>+251912335700</f>
        <v>251912335700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21.36</v>
      </c>
      <c r="M183" s="1" t="s">
        <v>33</v>
      </c>
      <c r="N183" s="1" t="s">
        <v>76</v>
      </c>
      <c r="O183" s="1">
        <v>2.3319925984E10</v>
      </c>
    </row>
    <row r="184">
      <c r="A184" s="1">
        <v>2728362.0</v>
      </c>
      <c r="B184" s="1" t="s">
        <v>2547</v>
      </c>
      <c r="C184" s="1" t="b">
        <v>1</v>
      </c>
      <c r="D184" s="1" t="b">
        <v>1</v>
      </c>
      <c r="E184" s="1" t="s">
        <v>1092</v>
      </c>
      <c r="F184" s="1" t="s">
        <v>2245</v>
      </c>
      <c r="G184" s="2">
        <f>+251913699479</f>
        <v>251913699479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39.26</v>
      </c>
      <c r="M184" s="1" t="s">
        <v>21</v>
      </c>
      <c r="O184" s="1">
        <v>2.37236781283E11</v>
      </c>
    </row>
    <row r="185">
      <c r="A185" s="1">
        <v>363563.0</v>
      </c>
      <c r="B185" s="1" t="s">
        <v>2548</v>
      </c>
      <c r="C185" s="1" t="b">
        <v>1</v>
      </c>
      <c r="D185" s="1" t="b">
        <v>1</v>
      </c>
      <c r="E185" s="1" t="s">
        <v>2549</v>
      </c>
      <c r="F185" s="1" t="s">
        <v>316</v>
      </c>
      <c r="G185" s="2">
        <f>+251946656428</f>
        <v>251946656428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25.37</v>
      </c>
      <c r="M185" s="1" t="s">
        <v>21</v>
      </c>
      <c r="O185" s="1">
        <v>2.7650662E7</v>
      </c>
    </row>
    <row r="186">
      <c r="A186" s="1">
        <v>2728555.0</v>
      </c>
      <c r="B186" s="1" t="s">
        <v>2550</v>
      </c>
      <c r="C186" s="1" t="b">
        <v>0</v>
      </c>
      <c r="D186" s="1" t="b">
        <v>1</v>
      </c>
      <c r="E186" s="1" t="s">
        <v>2551</v>
      </c>
      <c r="F186" s="1" t="s">
        <v>2245</v>
      </c>
      <c r="G186" s="2">
        <f>+251911623603</f>
        <v>251911623603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47.42</v>
      </c>
      <c r="M186" s="1" t="s">
        <v>26</v>
      </c>
      <c r="O186" s="1">
        <v>2.37280377074E11</v>
      </c>
    </row>
    <row r="187">
      <c r="A187" s="1">
        <v>1978940.0</v>
      </c>
      <c r="B187" s="1" t="s">
        <v>2552</v>
      </c>
      <c r="C187" s="1" t="b">
        <v>1</v>
      </c>
      <c r="D187" s="1" t="b">
        <v>1</v>
      </c>
      <c r="E187" s="1" t="s">
        <v>867</v>
      </c>
      <c r="F187" s="1" t="s">
        <v>2553</v>
      </c>
      <c r="G187" s="2">
        <f>+251940352709</f>
        <v>251940352709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26.04</v>
      </c>
      <c r="M187" s="1" t="s">
        <v>21</v>
      </c>
      <c r="O187" s="1">
        <v>2.8028247542E10</v>
      </c>
    </row>
    <row r="188">
      <c r="A188" s="1">
        <v>1949445.0</v>
      </c>
      <c r="B188" s="1" t="s">
        <v>2554</v>
      </c>
      <c r="C188" s="1" t="b">
        <v>1</v>
      </c>
      <c r="D188" s="1" t="b">
        <v>1</v>
      </c>
      <c r="E188" s="1" t="s">
        <v>620</v>
      </c>
      <c r="F188" s="1" t="s">
        <v>2555</v>
      </c>
      <c r="G188" s="2">
        <f>+251902575756</f>
        <v>251902575756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24.1</v>
      </c>
      <c r="M188" s="1" t="s">
        <v>21</v>
      </c>
      <c r="O188" s="1">
        <v>2.745291923E10</v>
      </c>
    </row>
    <row r="189">
      <c r="A189" s="1">
        <v>2730103.0</v>
      </c>
      <c r="B189" s="1" t="s">
        <v>2556</v>
      </c>
      <c r="C189" s="1" t="b">
        <v>1</v>
      </c>
      <c r="D189" s="1" t="b">
        <v>1</v>
      </c>
      <c r="E189" s="1" t="s">
        <v>2557</v>
      </c>
      <c r="F189" s="1" t="s">
        <v>121</v>
      </c>
      <c r="G189" s="2">
        <f>+251920381982</f>
        <v>251920381982</v>
      </c>
      <c r="H189" s="1" t="s">
        <v>72</v>
      </c>
      <c r="I189" s="1" t="s">
        <v>19</v>
      </c>
      <c r="J189" s="1" t="s">
        <v>19</v>
      </c>
      <c r="K189" s="1" t="s">
        <v>25</v>
      </c>
      <c r="L189" s="1">
        <v>23.26</v>
      </c>
      <c r="M189" s="1" t="s">
        <v>33</v>
      </c>
      <c r="N189" s="1" t="s">
        <v>166</v>
      </c>
    </row>
    <row r="190">
      <c r="A190" s="1">
        <v>2732726.0</v>
      </c>
      <c r="B190" s="1" t="s">
        <v>2558</v>
      </c>
      <c r="C190" s="1" t="b">
        <v>1</v>
      </c>
      <c r="D190" s="1" t="b">
        <v>1</v>
      </c>
      <c r="E190" s="1" t="s">
        <v>620</v>
      </c>
      <c r="F190" s="1" t="s">
        <v>1640</v>
      </c>
      <c r="G190" s="2">
        <f>+251946692896</f>
        <v>251946692896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23.68</v>
      </c>
      <c r="M190" s="1" t="s">
        <v>21</v>
      </c>
      <c r="O190" s="1">
        <v>2.38596699353E11</v>
      </c>
    </row>
    <row r="191">
      <c r="A191" s="1">
        <v>2721341.0</v>
      </c>
      <c r="B191" s="1" t="s">
        <v>2559</v>
      </c>
      <c r="C191" s="1" t="b">
        <v>1</v>
      </c>
      <c r="D191" s="1" t="b">
        <v>1</v>
      </c>
      <c r="E191" s="1" t="s">
        <v>483</v>
      </c>
      <c r="F191" s="1" t="s">
        <v>2498</v>
      </c>
      <c r="G191" s="2">
        <f>+251983023286</f>
        <v>251983023286</v>
      </c>
      <c r="H191" s="1" t="s">
        <v>18</v>
      </c>
      <c r="I191" s="1" t="s">
        <v>19</v>
      </c>
      <c r="J191" s="1" t="s">
        <v>19</v>
      </c>
      <c r="K191" s="1" t="s">
        <v>20</v>
      </c>
      <c r="L191" s="1">
        <v>19.04</v>
      </c>
      <c r="M191" s="1" t="s">
        <v>33</v>
      </c>
      <c r="N191" s="1" t="s">
        <v>118</v>
      </c>
      <c r="O191" s="1">
        <v>2.35345215705E11</v>
      </c>
    </row>
    <row r="192">
      <c r="A192" s="1">
        <v>2732826.0</v>
      </c>
      <c r="B192" s="1" t="s">
        <v>2560</v>
      </c>
      <c r="C192" s="1" t="b">
        <v>0</v>
      </c>
      <c r="D192" s="1" t="b">
        <v>1</v>
      </c>
      <c r="E192" s="1" t="s">
        <v>2497</v>
      </c>
      <c r="F192" s="1" t="s">
        <v>2498</v>
      </c>
      <c r="G192" s="2">
        <f>+251960465480</f>
        <v>251960465480</v>
      </c>
      <c r="H192" s="1" t="s">
        <v>18</v>
      </c>
      <c r="I192" s="1" t="s">
        <v>19</v>
      </c>
      <c r="J192" s="1" t="s">
        <v>19</v>
      </c>
      <c r="K192" s="1" t="s">
        <v>20</v>
      </c>
      <c r="L192" s="1">
        <v>19.04</v>
      </c>
      <c r="M192" s="1" t="s">
        <v>33</v>
      </c>
      <c r="N192" s="1" t="s">
        <v>34</v>
      </c>
      <c r="O192" s="1">
        <v>2.38623069415E11</v>
      </c>
    </row>
    <row r="193">
      <c r="A193" s="1">
        <v>2733534.0</v>
      </c>
      <c r="B193" s="1" t="s">
        <v>2561</v>
      </c>
      <c r="C193" s="1" t="b">
        <v>1</v>
      </c>
      <c r="D193" s="1" t="b">
        <v>1</v>
      </c>
      <c r="E193" s="1" t="s">
        <v>2385</v>
      </c>
      <c r="F193" s="1" t="s">
        <v>1103</v>
      </c>
      <c r="G193" s="2">
        <f>+251920086272</f>
        <v>251920086272</v>
      </c>
      <c r="H193" s="1" t="s">
        <v>72</v>
      </c>
      <c r="I193" s="1" t="s">
        <v>19</v>
      </c>
      <c r="J193" s="1" t="s">
        <v>19</v>
      </c>
      <c r="K193" s="1" t="s">
        <v>25</v>
      </c>
      <c r="L193" s="1">
        <v>37.47</v>
      </c>
      <c r="M193" s="1" t="s">
        <v>21</v>
      </c>
      <c r="O193" s="1">
        <v>2.38962586818E11</v>
      </c>
    </row>
    <row r="194">
      <c r="A194" s="1">
        <v>2095521.0</v>
      </c>
      <c r="B194" s="1" t="s">
        <v>2562</v>
      </c>
      <c r="C194" s="1" t="b">
        <v>1</v>
      </c>
      <c r="D194" s="1" t="b">
        <v>1</v>
      </c>
      <c r="E194" s="1" t="s">
        <v>2563</v>
      </c>
      <c r="F194" s="1" t="s">
        <v>338</v>
      </c>
      <c r="G194" s="2">
        <f>+251941203611</f>
        <v>251941203611</v>
      </c>
      <c r="H194" s="1" t="s">
        <v>18</v>
      </c>
      <c r="I194" s="1" t="s">
        <v>19</v>
      </c>
      <c r="J194" s="1" t="s">
        <v>19</v>
      </c>
      <c r="K194" s="1" t="s">
        <v>20</v>
      </c>
      <c r="L194" s="1">
        <v>24.45</v>
      </c>
      <c r="M194" s="1" t="s">
        <v>21</v>
      </c>
      <c r="O194" s="1">
        <v>3.0636873687E10</v>
      </c>
    </row>
    <row r="195">
      <c r="A195" s="1">
        <v>2734676.0</v>
      </c>
      <c r="B195" s="1" t="s">
        <v>2564</v>
      </c>
      <c r="C195" s="1" t="b">
        <v>1</v>
      </c>
      <c r="D195" s="1" t="b">
        <v>1</v>
      </c>
      <c r="E195" s="1" t="s">
        <v>28</v>
      </c>
      <c r="F195" s="1" t="s">
        <v>204</v>
      </c>
      <c r="G195" s="2">
        <f>+251924025675</f>
        <v>251924025675</v>
      </c>
      <c r="H195" s="1" t="s">
        <v>72</v>
      </c>
      <c r="I195" s="1" t="s">
        <v>19</v>
      </c>
      <c r="J195" s="1" t="s">
        <v>19</v>
      </c>
      <c r="K195" s="1" t="s">
        <v>25</v>
      </c>
      <c r="L195" s="1">
        <v>24.27</v>
      </c>
      <c r="M195" s="1" t="s">
        <v>21</v>
      </c>
      <c r="O195" s="1">
        <v>2.39226065092E11</v>
      </c>
    </row>
    <row r="196">
      <c r="A196" s="1">
        <v>2735512.0</v>
      </c>
      <c r="B196" s="1" t="s">
        <v>2565</v>
      </c>
      <c r="C196" s="1" t="b">
        <v>1</v>
      </c>
      <c r="D196" s="1" t="b">
        <v>1</v>
      </c>
      <c r="E196" s="1" t="s">
        <v>1832</v>
      </c>
      <c r="F196" s="1" t="s">
        <v>2566</v>
      </c>
      <c r="G196" s="2">
        <f>+251995605039</f>
        <v>251995605039</v>
      </c>
      <c r="H196" s="1" t="s">
        <v>72</v>
      </c>
      <c r="I196" s="1" t="s">
        <v>19</v>
      </c>
      <c r="J196" s="1" t="s">
        <v>19</v>
      </c>
      <c r="K196" s="1" t="s">
        <v>25</v>
      </c>
      <c r="L196" s="1">
        <v>23.99</v>
      </c>
      <c r="M196" s="1" t="s">
        <v>21</v>
      </c>
      <c r="O196" s="1">
        <v>2.39451298032E11</v>
      </c>
    </row>
    <row r="197">
      <c r="A197" s="1">
        <v>2735773.0</v>
      </c>
      <c r="B197" s="1" t="s">
        <v>2567</v>
      </c>
      <c r="C197" s="1" t="b">
        <v>1</v>
      </c>
      <c r="D197" s="1" t="b">
        <v>1</v>
      </c>
      <c r="E197" s="1" t="s">
        <v>286</v>
      </c>
      <c r="F197" s="1" t="s">
        <v>45</v>
      </c>
      <c r="G197" s="2">
        <f>+251953758254</f>
        <v>251953758254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21.04</v>
      </c>
      <c r="M197" s="1" t="s">
        <v>21</v>
      </c>
      <c r="O197" s="1">
        <v>2.39537174736E11</v>
      </c>
    </row>
    <row r="198">
      <c r="A198" s="1">
        <v>2736695.0</v>
      </c>
      <c r="B198" s="1" t="s">
        <v>2568</v>
      </c>
      <c r="C198" s="1" t="b">
        <v>1</v>
      </c>
      <c r="D198" s="1" t="b">
        <v>1</v>
      </c>
      <c r="E198" s="1" t="s">
        <v>204</v>
      </c>
      <c r="F198" s="1" t="s">
        <v>859</v>
      </c>
      <c r="G198" s="2">
        <f>+251920981998</f>
        <v>251920981998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37.42</v>
      </c>
      <c r="M198" s="1" t="s">
        <v>21</v>
      </c>
      <c r="O198" s="1">
        <v>1882969.0</v>
      </c>
    </row>
    <row r="199">
      <c r="A199" s="1">
        <v>2250265.0</v>
      </c>
      <c r="B199" s="1" t="s">
        <v>2569</v>
      </c>
      <c r="C199" s="1" t="b">
        <v>1</v>
      </c>
      <c r="D199" s="1" t="b">
        <v>1</v>
      </c>
      <c r="E199" s="1" t="s">
        <v>539</v>
      </c>
      <c r="F199" s="1" t="s">
        <v>2570</v>
      </c>
      <c r="G199" s="2">
        <f>+251910828480</f>
        <v>251910828480</v>
      </c>
      <c r="H199" s="1" t="s">
        <v>18</v>
      </c>
      <c r="I199" s="1" t="s">
        <v>19</v>
      </c>
      <c r="J199" s="1" t="s">
        <v>19</v>
      </c>
      <c r="K199" s="1" t="s">
        <v>25</v>
      </c>
      <c r="L199" s="1">
        <v>27.26</v>
      </c>
      <c r="M199" s="1" t="s">
        <v>33</v>
      </c>
      <c r="N199" s="1" t="s">
        <v>65</v>
      </c>
      <c r="O199" s="1">
        <v>3.2319093476E10</v>
      </c>
    </row>
    <row r="200">
      <c r="A200" s="1">
        <v>2737390.0</v>
      </c>
      <c r="B200" s="1" t="s">
        <v>2571</v>
      </c>
      <c r="C200" s="1" t="b">
        <v>1</v>
      </c>
      <c r="D200" s="1" t="b">
        <v>1</v>
      </c>
      <c r="E200" s="1" t="s">
        <v>2572</v>
      </c>
      <c r="F200" s="1" t="s">
        <v>422</v>
      </c>
      <c r="G200" s="2">
        <f>+251960342149</f>
        <v>251960342149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26.02</v>
      </c>
      <c r="M200" s="1" t="s">
        <v>21</v>
      </c>
      <c r="O200" s="1">
        <v>2.39964051687E11</v>
      </c>
    </row>
    <row r="201">
      <c r="A201" s="1">
        <v>2258163.0</v>
      </c>
      <c r="B201" s="1" t="s">
        <v>2573</v>
      </c>
      <c r="C201" s="1" t="b">
        <v>1</v>
      </c>
      <c r="D201" s="1" t="b">
        <v>1</v>
      </c>
      <c r="E201" s="1" t="s">
        <v>2574</v>
      </c>
      <c r="F201" s="1" t="s">
        <v>2575</v>
      </c>
      <c r="G201" s="2">
        <f>+251913346729</f>
        <v>251913346729</v>
      </c>
      <c r="H201" s="1" t="s">
        <v>18</v>
      </c>
      <c r="I201" s="1" t="s">
        <v>19</v>
      </c>
      <c r="J201" s="1" t="s">
        <v>19</v>
      </c>
      <c r="K201" s="1" t="s">
        <v>20</v>
      </c>
      <c r="L201" s="1">
        <v>18.93</v>
      </c>
      <c r="M201" s="1" t="s">
        <v>21</v>
      </c>
      <c r="O201" s="1">
        <v>3.4462276293E10</v>
      </c>
    </row>
    <row r="202">
      <c r="A202" s="1">
        <v>2737672.0</v>
      </c>
      <c r="B202" s="1" t="s">
        <v>2576</v>
      </c>
      <c r="C202" s="1" t="b">
        <v>1</v>
      </c>
      <c r="D202" s="1" t="b">
        <v>1</v>
      </c>
      <c r="E202" s="1" t="s">
        <v>2577</v>
      </c>
      <c r="F202" s="1" t="s">
        <v>176</v>
      </c>
      <c r="G202" s="2">
        <f>+251915264231</f>
        <v>251915264231</v>
      </c>
      <c r="H202" s="1" t="s">
        <v>138</v>
      </c>
      <c r="I202" s="1" t="s">
        <v>19</v>
      </c>
      <c r="J202" s="1" t="s">
        <v>19</v>
      </c>
      <c r="K202" s="1" t="s">
        <v>25</v>
      </c>
      <c r="L202" s="1">
        <v>34.62</v>
      </c>
      <c r="M202" s="1" t="s">
        <v>33</v>
      </c>
      <c r="N202" s="1" t="s">
        <v>76</v>
      </c>
    </row>
    <row r="203">
      <c r="A203" s="1">
        <v>2738060.0</v>
      </c>
      <c r="B203" s="1" t="s">
        <v>2578</v>
      </c>
      <c r="C203" s="1" t="b">
        <v>1</v>
      </c>
      <c r="D203" s="1" t="b">
        <v>1</v>
      </c>
      <c r="E203" s="1" t="s">
        <v>2579</v>
      </c>
      <c r="F203" s="1" t="s">
        <v>1651</v>
      </c>
      <c r="G203" s="2">
        <f>+251968708362</f>
        <v>251968708362</v>
      </c>
      <c r="H203" s="1" t="s">
        <v>18</v>
      </c>
      <c r="I203" s="1" t="s">
        <v>19</v>
      </c>
      <c r="J203" s="1" t="s">
        <v>19</v>
      </c>
      <c r="K203" s="1" t="s">
        <v>20</v>
      </c>
      <c r="L203" s="1">
        <v>28.09</v>
      </c>
      <c r="M203" s="1" t="s">
        <v>21</v>
      </c>
      <c r="O203" s="1">
        <v>1903772.0</v>
      </c>
    </row>
    <row r="204">
      <c r="A204" s="1">
        <v>2738300.0</v>
      </c>
      <c r="B204" s="1" t="s">
        <v>2580</v>
      </c>
      <c r="C204" s="1" t="b">
        <v>1</v>
      </c>
      <c r="D204" s="1" t="b">
        <v>1</v>
      </c>
      <c r="E204" s="1" t="s">
        <v>2581</v>
      </c>
      <c r="F204" s="1" t="s">
        <v>956</v>
      </c>
      <c r="G204" s="2">
        <f>+251911635548</f>
        <v>251911635548</v>
      </c>
      <c r="H204" s="1" t="s">
        <v>18</v>
      </c>
      <c r="I204" s="1" t="s">
        <v>19</v>
      </c>
      <c r="J204" s="1" t="s">
        <v>19</v>
      </c>
      <c r="K204" s="1" t="s">
        <v>20</v>
      </c>
      <c r="L204" s="1">
        <v>23.94</v>
      </c>
      <c r="M204" s="1" t="s">
        <v>33</v>
      </c>
      <c r="N204" s="1" t="s">
        <v>34</v>
      </c>
      <c r="O204" s="1">
        <v>1224407.0</v>
      </c>
    </row>
    <row r="205">
      <c r="A205" s="1">
        <v>2738735.0</v>
      </c>
      <c r="B205" s="1" t="s">
        <v>2582</v>
      </c>
      <c r="C205" s="1" t="b">
        <v>1</v>
      </c>
      <c r="D205" s="1" t="b">
        <v>1</v>
      </c>
      <c r="E205" s="1" t="s">
        <v>2583</v>
      </c>
      <c r="F205" s="1" t="s">
        <v>2584</v>
      </c>
      <c r="G205" s="2">
        <f>+251953469005</f>
        <v>251953469005</v>
      </c>
      <c r="H205" s="1" t="s">
        <v>18</v>
      </c>
      <c r="I205" s="1" t="s">
        <v>19</v>
      </c>
      <c r="J205" s="1" t="s">
        <v>19</v>
      </c>
      <c r="K205" s="1" t="s">
        <v>25</v>
      </c>
      <c r="L205" s="1">
        <v>24.04</v>
      </c>
      <c r="M205" s="1" t="s">
        <v>21</v>
      </c>
      <c r="O205" s="1">
        <v>5938319.0</v>
      </c>
    </row>
    <row r="206">
      <c r="A206" s="1">
        <v>2738795.0</v>
      </c>
      <c r="B206" s="1" t="s">
        <v>2585</v>
      </c>
      <c r="C206" s="1" t="b">
        <v>1</v>
      </c>
      <c r="D206" s="1" t="b">
        <v>1</v>
      </c>
      <c r="E206" s="1" t="s">
        <v>1832</v>
      </c>
      <c r="F206" s="1" t="s">
        <v>2586</v>
      </c>
      <c r="G206" s="2">
        <f>+251960547010</f>
        <v>251960547010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24.67</v>
      </c>
      <c r="M206" s="1" t="s">
        <v>21</v>
      </c>
      <c r="O206" s="1">
        <v>2.40352956656E11</v>
      </c>
    </row>
    <row r="207">
      <c r="A207" s="1">
        <v>2739369.0</v>
      </c>
      <c r="B207" s="1" t="s">
        <v>2587</v>
      </c>
      <c r="C207" s="1" t="b">
        <v>1</v>
      </c>
      <c r="D207" s="1" t="b">
        <v>0</v>
      </c>
      <c r="E207" s="1" t="s">
        <v>1385</v>
      </c>
      <c r="F207" s="1" t="s">
        <v>2588</v>
      </c>
      <c r="G207" s="2">
        <f>+251977319382</f>
        <v>251977319382</v>
      </c>
      <c r="H207" s="1" t="s">
        <v>18</v>
      </c>
      <c r="I207" s="1" t="s">
        <v>19</v>
      </c>
      <c r="J207" s="1" t="s">
        <v>19</v>
      </c>
      <c r="K207" s="1" t="s">
        <v>20</v>
      </c>
      <c r="L207" s="1">
        <v>25.56</v>
      </c>
      <c r="M207" s="1" t="s">
        <v>21</v>
      </c>
      <c r="O207" s="1">
        <v>2.4051232994E11</v>
      </c>
    </row>
    <row r="208">
      <c r="A208" s="1">
        <v>2739389.0</v>
      </c>
      <c r="B208" s="1" t="s">
        <v>2589</v>
      </c>
      <c r="C208" s="1" t="b">
        <v>1</v>
      </c>
      <c r="D208" s="1" t="b">
        <v>1</v>
      </c>
      <c r="E208" s="1" t="s">
        <v>480</v>
      </c>
      <c r="F208" s="1" t="s">
        <v>2590</v>
      </c>
      <c r="G208" s="2">
        <f>+251947916584</f>
        <v>251947916584</v>
      </c>
      <c r="H208" s="1" t="s">
        <v>18</v>
      </c>
      <c r="I208" s="1" t="s">
        <v>19</v>
      </c>
      <c r="J208" s="1" t="s">
        <v>19</v>
      </c>
      <c r="K208" s="1" t="s">
        <v>20</v>
      </c>
      <c r="L208" s="1">
        <v>23.84</v>
      </c>
      <c r="M208" s="1" t="s">
        <v>21</v>
      </c>
      <c r="O208" s="1">
        <v>2.40562247927E11</v>
      </c>
    </row>
    <row r="209">
      <c r="A209" s="1">
        <v>37725.0</v>
      </c>
      <c r="B209" s="1" t="s">
        <v>2591</v>
      </c>
      <c r="C209" s="1" t="b">
        <v>1</v>
      </c>
      <c r="D209" s="1" t="b">
        <v>1</v>
      </c>
      <c r="E209" s="1" t="s">
        <v>2592</v>
      </c>
      <c r="F209" s="1" t="s">
        <v>2593</v>
      </c>
      <c r="G209" s="1">
        <v>9.73738069E8</v>
      </c>
      <c r="H209" s="1" t="s">
        <v>18</v>
      </c>
      <c r="I209" s="1" t="s">
        <v>19</v>
      </c>
      <c r="J209" s="1" t="s">
        <v>19</v>
      </c>
      <c r="K209" s="1" t="s">
        <v>25</v>
      </c>
      <c r="L209" s="1">
        <v>35.38</v>
      </c>
      <c r="M209" s="1" t="s">
        <v>21</v>
      </c>
      <c r="O209" s="1">
        <v>5027524.0</v>
      </c>
    </row>
    <row r="210">
      <c r="A210" s="1">
        <v>2615136.0</v>
      </c>
      <c r="B210" s="1" t="s">
        <v>2594</v>
      </c>
      <c r="C210" s="1" t="b">
        <v>1</v>
      </c>
      <c r="D210" s="1" t="b">
        <v>1</v>
      </c>
      <c r="E210" s="1" t="s">
        <v>2595</v>
      </c>
      <c r="F210" s="1" t="s">
        <v>2596</v>
      </c>
      <c r="G210" s="2">
        <f>+251925117215</f>
        <v>251925117215</v>
      </c>
      <c r="H210" s="1" t="s">
        <v>18</v>
      </c>
      <c r="I210" s="1" t="s">
        <v>19</v>
      </c>
      <c r="J210" s="1" t="s">
        <v>19</v>
      </c>
      <c r="K210" s="1" t="s">
        <v>20</v>
      </c>
      <c r="L210" s="1">
        <v>28.38</v>
      </c>
      <c r="M210" s="1" t="s">
        <v>21</v>
      </c>
      <c r="O210" s="1">
        <v>1890660.0</v>
      </c>
    </row>
    <row r="211">
      <c r="A211" s="1">
        <v>2564334.0</v>
      </c>
      <c r="B211" s="1" t="s">
        <v>2597</v>
      </c>
      <c r="C211" s="1" t="b">
        <v>1</v>
      </c>
      <c r="D211" s="1" t="b">
        <v>1</v>
      </c>
      <c r="E211" s="1" t="s">
        <v>2598</v>
      </c>
      <c r="F211" s="1" t="s">
        <v>771</v>
      </c>
      <c r="G211" s="2">
        <f>+251945009505</f>
        <v>251945009505</v>
      </c>
      <c r="H211" s="1" t="s">
        <v>18</v>
      </c>
      <c r="I211" s="1" t="s">
        <v>19</v>
      </c>
      <c r="J211" s="1" t="s">
        <v>19</v>
      </c>
      <c r="K211" s="1" t="s">
        <v>20</v>
      </c>
      <c r="L211" s="1">
        <v>29.1</v>
      </c>
      <c r="M211" s="1" t="s">
        <v>21</v>
      </c>
      <c r="O211" s="1">
        <v>1.69959579856E11</v>
      </c>
    </row>
    <row r="212">
      <c r="A212" s="1">
        <v>353910.0</v>
      </c>
      <c r="B212" s="1" t="s">
        <v>2599</v>
      </c>
      <c r="C212" s="1" t="b">
        <v>1</v>
      </c>
      <c r="D212" s="1" t="b">
        <v>1</v>
      </c>
      <c r="E212" s="1" t="s">
        <v>2600</v>
      </c>
      <c r="F212" s="1" t="s">
        <v>2601</v>
      </c>
      <c r="G212" s="2">
        <f>+251914485187</f>
        <v>251914485187</v>
      </c>
      <c r="H212" s="1" t="s">
        <v>335</v>
      </c>
      <c r="I212" s="1" t="s">
        <v>19</v>
      </c>
      <c r="J212" s="1" t="s">
        <v>19</v>
      </c>
      <c r="K212" s="1" t="s">
        <v>1418</v>
      </c>
      <c r="L212" s="1">
        <v>30.49</v>
      </c>
      <c r="M212" s="1" t="s">
        <v>33</v>
      </c>
      <c r="N212" s="1" t="s">
        <v>177</v>
      </c>
      <c r="O212" s="1">
        <v>1610204.0</v>
      </c>
    </row>
    <row r="213">
      <c r="A213" s="1">
        <v>2740320.0</v>
      </c>
      <c r="B213" s="1" t="s">
        <v>2602</v>
      </c>
      <c r="C213" s="1" t="b">
        <v>1</v>
      </c>
      <c r="D213" s="1" t="b">
        <v>1</v>
      </c>
      <c r="E213" s="1" t="s">
        <v>539</v>
      </c>
      <c r="F213" s="1" t="s">
        <v>2603</v>
      </c>
      <c r="G213" s="2">
        <f>+251932563734</f>
        <v>251932563734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35.04</v>
      </c>
      <c r="M213" s="1" t="s">
        <v>21</v>
      </c>
    </row>
    <row r="214">
      <c r="A214" s="1">
        <v>1655907.0</v>
      </c>
      <c r="B214" s="1" t="s">
        <v>2604</v>
      </c>
      <c r="C214" s="1" t="b">
        <v>1</v>
      </c>
      <c r="D214" s="1" t="b">
        <v>1</v>
      </c>
      <c r="E214" s="1" t="s">
        <v>2605</v>
      </c>
      <c r="F214" s="1" t="s">
        <v>2606</v>
      </c>
      <c r="G214" s="1">
        <v>9.26868289E8</v>
      </c>
      <c r="H214" s="1" t="s">
        <v>18</v>
      </c>
      <c r="I214" s="1" t="s">
        <v>19</v>
      </c>
      <c r="J214" s="1" t="s">
        <v>19</v>
      </c>
      <c r="K214" s="1" t="s">
        <v>20</v>
      </c>
      <c r="L214" s="1">
        <v>19.99</v>
      </c>
      <c r="M214" s="1" t="s">
        <v>21</v>
      </c>
      <c r="O214" s="1">
        <v>2640498.0</v>
      </c>
    </row>
    <row r="215">
      <c r="A215" s="1">
        <v>2639001.0</v>
      </c>
      <c r="B215" s="1" t="s">
        <v>2607</v>
      </c>
      <c r="C215" s="1" t="b">
        <v>1</v>
      </c>
      <c r="D215" s="1" t="b">
        <v>1</v>
      </c>
      <c r="E215" s="1" t="s">
        <v>1485</v>
      </c>
      <c r="F215" s="1" t="s">
        <v>595</v>
      </c>
      <c r="G215" s="2">
        <f>+251968343121</f>
        <v>251968343121</v>
      </c>
      <c r="H215" s="1" t="s">
        <v>18</v>
      </c>
      <c r="I215" s="1" t="s">
        <v>19</v>
      </c>
      <c r="J215" s="1" t="s">
        <v>19</v>
      </c>
      <c r="K215" s="1" t="s">
        <v>20</v>
      </c>
      <c r="L215" s="1">
        <v>24.89</v>
      </c>
      <c r="M215" s="1" t="s">
        <v>21</v>
      </c>
      <c r="O215" s="1">
        <v>2.02582375651E11</v>
      </c>
    </row>
    <row r="216">
      <c r="A216" s="1">
        <v>2742066.0</v>
      </c>
      <c r="B216" s="1" t="s">
        <v>2608</v>
      </c>
      <c r="C216" s="1" t="b">
        <v>1</v>
      </c>
      <c r="D216" s="1" t="b">
        <v>1</v>
      </c>
      <c r="E216" s="1" t="s">
        <v>1541</v>
      </c>
      <c r="F216" s="1" t="s">
        <v>2609</v>
      </c>
      <c r="G216" s="2">
        <f>+251929908675</f>
        <v>251929908675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38.18</v>
      </c>
      <c r="M216" s="1" t="s">
        <v>21</v>
      </c>
      <c r="O216" s="1">
        <v>2.41457514743E11</v>
      </c>
    </row>
    <row r="217">
      <c r="A217" s="1">
        <v>2742126.0</v>
      </c>
      <c r="B217" s="1" t="s">
        <v>2610</v>
      </c>
      <c r="C217" s="1" t="b">
        <v>0</v>
      </c>
      <c r="D217" s="1" t="b">
        <v>1</v>
      </c>
      <c r="E217" s="1" t="s">
        <v>2611</v>
      </c>
      <c r="F217" s="1" t="s">
        <v>2612</v>
      </c>
      <c r="G217" s="2">
        <f>+251985222886</f>
        <v>251985222886</v>
      </c>
      <c r="H217" s="1" t="s">
        <v>18</v>
      </c>
      <c r="I217" s="1" t="s">
        <v>19</v>
      </c>
      <c r="J217" s="1" t="s">
        <v>19</v>
      </c>
      <c r="K217" s="1" t="s">
        <v>20</v>
      </c>
      <c r="L217" s="1">
        <v>22.73</v>
      </c>
      <c r="M217" s="1" t="s">
        <v>26</v>
      </c>
      <c r="O217" s="1">
        <v>2.41481919678E11</v>
      </c>
    </row>
    <row r="218">
      <c r="A218" s="1">
        <v>718002.0</v>
      </c>
      <c r="B218" s="1" t="s">
        <v>2613</v>
      </c>
      <c r="C218" s="1" t="b">
        <v>1</v>
      </c>
      <c r="D218" s="1" t="b">
        <v>1</v>
      </c>
      <c r="E218" s="1" t="s">
        <v>2614</v>
      </c>
      <c r="F218" s="1" t="s">
        <v>2615</v>
      </c>
      <c r="G218" s="1">
        <v>9.64019456E8</v>
      </c>
      <c r="H218" s="1" t="s">
        <v>18</v>
      </c>
      <c r="I218" s="1" t="s">
        <v>19</v>
      </c>
      <c r="J218" s="1" t="s">
        <v>19</v>
      </c>
      <c r="K218" s="1" t="s">
        <v>25</v>
      </c>
      <c r="L218" s="1">
        <v>27.69</v>
      </c>
      <c r="M218" s="1" t="s">
        <v>21</v>
      </c>
      <c r="O218" s="1">
        <v>2.9552384E7</v>
      </c>
    </row>
    <row r="219">
      <c r="A219" s="1">
        <v>2742295.0</v>
      </c>
      <c r="B219" s="1" t="s">
        <v>2616</v>
      </c>
      <c r="C219" s="1" t="b">
        <v>1</v>
      </c>
      <c r="D219" s="1" t="b">
        <v>1</v>
      </c>
      <c r="E219" s="1" t="s">
        <v>2611</v>
      </c>
      <c r="F219" s="1" t="s">
        <v>2617</v>
      </c>
      <c r="G219" s="2">
        <f>+251985222886</f>
        <v>251985222886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22.73</v>
      </c>
      <c r="M219" s="1" t="s">
        <v>21</v>
      </c>
    </row>
    <row r="220">
      <c r="A220" s="1">
        <v>2743330.0</v>
      </c>
      <c r="B220" s="1" t="s">
        <v>2618</v>
      </c>
      <c r="C220" s="1" t="b">
        <v>1</v>
      </c>
      <c r="D220" s="1" t="b">
        <v>1</v>
      </c>
      <c r="E220" s="1" t="s">
        <v>2619</v>
      </c>
      <c r="F220" s="1" t="s">
        <v>2620</v>
      </c>
      <c r="G220" s="2">
        <f>+251913238651</f>
        <v>251913238651</v>
      </c>
      <c r="H220" s="1" t="s">
        <v>18</v>
      </c>
      <c r="I220" s="1" t="s">
        <v>19</v>
      </c>
      <c r="J220" s="1" t="s">
        <v>19</v>
      </c>
      <c r="K220" s="1" t="s">
        <v>25</v>
      </c>
      <c r="L220" s="1">
        <v>33.01</v>
      </c>
      <c r="M220" s="1" t="s">
        <v>21</v>
      </c>
      <c r="O220" s="1">
        <v>2.4183564104E11</v>
      </c>
    </row>
    <row r="221">
      <c r="A221" s="1">
        <v>2743432.0</v>
      </c>
      <c r="B221" s="1" t="s">
        <v>2621</v>
      </c>
      <c r="C221" s="1" t="b">
        <v>1</v>
      </c>
      <c r="D221" s="1" t="b">
        <v>1</v>
      </c>
      <c r="E221" s="1" t="s">
        <v>2622</v>
      </c>
      <c r="F221" s="1" t="s">
        <v>956</v>
      </c>
      <c r="G221" s="2">
        <f>+251929018395</f>
        <v>251929018395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29.48</v>
      </c>
      <c r="M221" s="1" t="s">
        <v>21</v>
      </c>
      <c r="O221" s="1">
        <v>1856360.0</v>
      </c>
    </row>
    <row r="222">
      <c r="A222" s="1">
        <v>2743482.0</v>
      </c>
      <c r="B222" s="1" t="s">
        <v>2623</v>
      </c>
      <c r="C222" s="1" t="b">
        <v>1</v>
      </c>
      <c r="D222" s="1" t="b">
        <v>1</v>
      </c>
      <c r="E222" s="1" t="s">
        <v>2624</v>
      </c>
      <c r="F222" s="1" t="s">
        <v>2625</v>
      </c>
      <c r="G222" s="2">
        <f>+251943872445</f>
        <v>251943872445</v>
      </c>
      <c r="H222" s="1" t="s">
        <v>18</v>
      </c>
      <c r="I222" s="1" t="s">
        <v>19</v>
      </c>
      <c r="J222" s="1" t="s">
        <v>19</v>
      </c>
      <c r="K222" s="1" t="s">
        <v>20</v>
      </c>
      <c r="L222" s="1">
        <v>32.74</v>
      </c>
      <c r="M222" s="1" t="s">
        <v>21</v>
      </c>
      <c r="O222" s="1">
        <v>1760734.0</v>
      </c>
    </row>
    <row r="223">
      <c r="A223" s="1">
        <v>2743781.0</v>
      </c>
      <c r="B223" s="1" t="s">
        <v>2626</v>
      </c>
      <c r="C223" s="1" t="b">
        <v>1</v>
      </c>
      <c r="D223" s="1" t="b">
        <v>1</v>
      </c>
      <c r="E223" s="1" t="s">
        <v>524</v>
      </c>
      <c r="F223" s="1" t="s">
        <v>764</v>
      </c>
      <c r="G223" s="2">
        <f>+251929765327</f>
        <v>251929765327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38.89</v>
      </c>
      <c r="M223" s="1" t="s">
        <v>21</v>
      </c>
      <c r="O223" s="1">
        <v>2.41958684906E11</v>
      </c>
    </row>
    <row r="224">
      <c r="A224" s="1">
        <v>2744583.0</v>
      </c>
      <c r="B224" s="1" t="s">
        <v>2627</v>
      </c>
      <c r="C224" s="1" t="b">
        <v>1</v>
      </c>
      <c r="D224" s="1" t="b">
        <v>1</v>
      </c>
      <c r="E224" s="1" t="s">
        <v>2628</v>
      </c>
      <c r="F224" s="1" t="s">
        <v>894</v>
      </c>
      <c r="G224" s="2">
        <f>+251923812650</f>
        <v>251923812650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30.55</v>
      </c>
      <c r="M224" s="1" t="s">
        <v>26</v>
      </c>
      <c r="O224" s="1">
        <v>2.42144730333E11</v>
      </c>
    </row>
    <row r="225">
      <c r="A225" s="1">
        <v>1321748.0</v>
      </c>
      <c r="B225" s="1" t="s">
        <v>2629</v>
      </c>
      <c r="C225" s="1" t="b">
        <v>1</v>
      </c>
      <c r="D225" s="1" t="b">
        <v>1</v>
      </c>
      <c r="E225" s="1" t="s">
        <v>1899</v>
      </c>
      <c r="F225" s="1" t="s">
        <v>1874</v>
      </c>
      <c r="G225" s="2">
        <f>+251911834575</f>
        <v>251911834575</v>
      </c>
      <c r="H225" s="1" t="s">
        <v>18</v>
      </c>
      <c r="I225" s="1" t="s">
        <v>19</v>
      </c>
      <c r="J225" s="1" t="s">
        <v>19</v>
      </c>
      <c r="K225" s="1" t="s">
        <v>20</v>
      </c>
      <c r="L225" s="1">
        <v>25.49</v>
      </c>
      <c r="M225" s="1" t="s">
        <v>33</v>
      </c>
      <c r="N225" s="1" t="s">
        <v>65</v>
      </c>
      <c r="O225" s="1">
        <v>1.2128093912E10</v>
      </c>
    </row>
    <row r="226">
      <c r="A226" s="1">
        <v>483880.0</v>
      </c>
      <c r="B226" s="1" t="s">
        <v>2630</v>
      </c>
      <c r="C226" s="1" t="b">
        <v>1</v>
      </c>
      <c r="D226" s="1" t="b">
        <v>1</v>
      </c>
      <c r="E226" s="1" t="s">
        <v>2631</v>
      </c>
      <c r="F226" s="1" t="s">
        <v>2632</v>
      </c>
      <c r="G226" s="2">
        <f>+251945831978</f>
        <v>251945831978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31.75</v>
      </c>
      <c r="M226" s="1" t="s">
        <v>21</v>
      </c>
      <c r="O226" s="1">
        <v>2.8352157E7</v>
      </c>
    </row>
    <row r="227">
      <c r="A227" s="1">
        <v>2419803.0</v>
      </c>
      <c r="B227" s="1" t="s">
        <v>2633</v>
      </c>
      <c r="C227" s="1" t="b">
        <v>1</v>
      </c>
      <c r="D227" s="1" t="b">
        <v>1</v>
      </c>
      <c r="E227" s="1" t="s">
        <v>620</v>
      </c>
      <c r="F227" s="1" t="s">
        <v>707</v>
      </c>
      <c r="G227" s="2">
        <f>+251922156817</f>
        <v>251922156817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29.73</v>
      </c>
      <c r="M227" s="1" t="s">
        <v>21</v>
      </c>
      <c r="O227" s="1">
        <v>968217.0</v>
      </c>
    </row>
    <row r="228">
      <c r="A228" s="1">
        <v>48629.0</v>
      </c>
      <c r="B228" s="1" t="s">
        <v>2634</v>
      </c>
      <c r="C228" s="1" t="b">
        <v>1</v>
      </c>
      <c r="D228" s="1" t="b">
        <v>1</v>
      </c>
      <c r="E228" s="1" t="s">
        <v>2635</v>
      </c>
      <c r="F228" s="1" t="s">
        <v>2636</v>
      </c>
      <c r="G228" s="2">
        <f>+251935748792</f>
        <v>251935748792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30.97</v>
      </c>
      <c r="M228" s="1" t="s">
        <v>26</v>
      </c>
      <c r="O228" s="1">
        <v>2.6053051E7</v>
      </c>
    </row>
    <row r="229">
      <c r="A229" s="1">
        <v>2747313.0</v>
      </c>
      <c r="B229" s="1" t="s">
        <v>2637</v>
      </c>
      <c r="C229" s="1" t="b">
        <v>1</v>
      </c>
      <c r="D229" s="1" t="b">
        <v>1</v>
      </c>
      <c r="E229" s="1" t="s">
        <v>157</v>
      </c>
      <c r="F229" s="1" t="s">
        <v>213</v>
      </c>
      <c r="G229" s="2">
        <f>+251939718407</f>
        <v>251939718407</v>
      </c>
      <c r="H229" s="1" t="s">
        <v>18</v>
      </c>
      <c r="I229" s="1" t="s">
        <v>19</v>
      </c>
      <c r="J229" s="1" t="s">
        <v>19</v>
      </c>
      <c r="K229" s="1" t="s">
        <v>20</v>
      </c>
      <c r="L229" s="1">
        <v>17.37</v>
      </c>
      <c r="M229" s="1" t="s">
        <v>33</v>
      </c>
      <c r="N229" s="1" t="s">
        <v>65</v>
      </c>
      <c r="O229" s="1">
        <v>2.43022339292E11</v>
      </c>
    </row>
    <row r="230">
      <c r="A230" s="1">
        <v>2658061.0</v>
      </c>
      <c r="B230" s="1" t="s">
        <v>2638</v>
      </c>
      <c r="C230" s="1" t="b">
        <v>1</v>
      </c>
      <c r="D230" s="1" t="b">
        <v>1</v>
      </c>
      <c r="E230" s="1" t="s">
        <v>620</v>
      </c>
      <c r="F230" s="1" t="s">
        <v>2639</v>
      </c>
      <c r="G230" s="2">
        <f>+251949111191</f>
        <v>251949111191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18.57</v>
      </c>
      <c r="M230" s="1" t="s">
        <v>21</v>
      </c>
      <c r="O230" s="1">
        <v>2.11624431858E11</v>
      </c>
    </row>
    <row r="231">
      <c r="A231" s="1">
        <v>1283405.0</v>
      </c>
      <c r="B231" s="1" t="s">
        <v>2640</v>
      </c>
      <c r="C231" s="1" t="b">
        <v>1</v>
      </c>
      <c r="D231" s="1" t="b">
        <v>1</v>
      </c>
      <c r="E231" s="1" t="s">
        <v>2641</v>
      </c>
      <c r="F231" s="1" t="s">
        <v>2642</v>
      </c>
      <c r="G231" s="2">
        <f>+251982225404</f>
        <v>251982225404</v>
      </c>
      <c r="H231" s="1" t="s">
        <v>18</v>
      </c>
      <c r="I231" s="1" t="s">
        <v>19</v>
      </c>
      <c r="J231" s="1" t="s">
        <v>19</v>
      </c>
      <c r="K231" s="1" t="s">
        <v>20</v>
      </c>
      <c r="L231" s="1">
        <v>29.45</v>
      </c>
      <c r="M231" s="1" t="s">
        <v>33</v>
      </c>
      <c r="N231" s="1" t="s">
        <v>76</v>
      </c>
      <c r="O231" s="1">
        <v>55913.0</v>
      </c>
    </row>
    <row r="232">
      <c r="A232" s="1">
        <v>2749165.0</v>
      </c>
      <c r="B232" s="1" t="s">
        <v>2643</v>
      </c>
      <c r="C232" s="1" t="b">
        <v>1</v>
      </c>
      <c r="D232" s="1" t="b">
        <v>1</v>
      </c>
      <c r="E232" s="1" t="s">
        <v>60</v>
      </c>
      <c r="F232" s="1" t="s">
        <v>899</v>
      </c>
      <c r="G232" s="2">
        <f>+251922128340</f>
        <v>251922128340</v>
      </c>
      <c r="H232" s="1" t="s">
        <v>18</v>
      </c>
      <c r="I232" s="1" t="s">
        <v>19</v>
      </c>
      <c r="J232" s="1" t="s">
        <v>19</v>
      </c>
      <c r="K232" s="1" t="s">
        <v>25</v>
      </c>
      <c r="L232" s="1">
        <v>23.93</v>
      </c>
      <c r="M232" s="1" t="s">
        <v>21</v>
      </c>
      <c r="O232" s="1">
        <v>6033936.0</v>
      </c>
    </row>
    <row r="233">
      <c r="A233" s="1">
        <v>2750983.0</v>
      </c>
      <c r="B233" s="1" t="s">
        <v>2644</v>
      </c>
      <c r="C233" s="1" t="b">
        <v>1</v>
      </c>
      <c r="D233" s="1" t="b">
        <v>1</v>
      </c>
      <c r="E233" s="1" t="s">
        <v>2645</v>
      </c>
      <c r="F233" s="1" t="s">
        <v>510</v>
      </c>
      <c r="G233" s="2">
        <f>+251901663075</f>
        <v>251901663075</v>
      </c>
      <c r="H233" s="1" t="s">
        <v>18</v>
      </c>
      <c r="I233" s="1" t="s">
        <v>19</v>
      </c>
      <c r="J233" s="1" t="s">
        <v>19</v>
      </c>
      <c r="K233" s="1" t="s">
        <v>20</v>
      </c>
      <c r="L233" s="1">
        <v>20.01</v>
      </c>
      <c r="M233" s="1" t="s">
        <v>21</v>
      </c>
      <c r="O233" s="1">
        <v>2.44985523414E11</v>
      </c>
    </row>
    <row r="234">
      <c r="A234" s="1">
        <v>2751266.0</v>
      </c>
      <c r="B234" s="1" t="s">
        <v>2646</v>
      </c>
      <c r="C234" s="1" t="b">
        <v>1</v>
      </c>
      <c r="D234" s="1" t="b">
        <v>1</v>
      </c>
      <c r="E234" s="1" t="s">
        <v>1919</v>
      </c>
      <c r="F234" s="1" t="s">
        <v>2647</v>
      </c>
      <c r="G234" s="2">
        <f>+251989846696</f>
        <v>251989846696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30.89</v>
      </c>
      <c r="M234" s="1" t="s">
        <v>21</v>
      </c>
    </row>
    <row r="235">
      <c r="A235" s="1">
        <v>2751453.0</v>
      </c>
      <c r="B235" s="1" t="s">
        <v>2648</v>
      </c>
      <c r="C235" s="1" t="b">
        <v>0</v>
      </c>
      <c r="D235" s="1" t="b">
        <v>1</v>
      </c>
      <c r="E235" s="1" t="s">
        <v>1069</v>
      </c>
      <c r="F235" s="1" t="s">
        <v>2649</v>
      </c>
      <c r="G235" s="2">
        <f>+251919564409</f>
        <v>251919564409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28.42</v>
      </c>
      <c r="M235" s="1" t="s">
        <v>33</v>
      </c>
      <c r="N235" s="1" t="s">
        <v>235</v>
      </c>
      <c r="O235" s="1">
        <v>2.45134264519E11</v>
      </c>
    </row>
    <row r="236">
      <c r="A236" s="1">
        <v>2751804.0</v>
      </c>
      <c r="B236" s="1" t="s">
        <v>2650</v>
      </c>
      <c r="C236" s="1" t="b">
        <v>1</v>
      </c>
      <c r="D236" s="1" t="b">
        <v>1</v>
      </c>
      <c r="E236" s="1" t="s">
        <v>2651</v>
      </c>
      <c r="F236" s="1" t="s">
        <v>437</v>
      </c>
      <c r="G236" s="2">
        <f>+251948884449</f>
        <v>251948884449</v>
      </c>
      <c r="H236" s="1" t="s">
        <v>18</v>
      </c>
      <c r="I236" s="1" t="s">
        <v>19</v>
      </c>
      <c r="J236" s="1" t="s">
        <v>498</v>
      </c>
      <c r="K236" s="1" t="s">
        <v>20</v>
      </c>
      <c r="L236" s="1">
        <v>21.16</v>
      </c>
      <c r="M236" s="1" t="s">
        <v>33</v>
      </c>
      <c r="N236" s="1" t="s">
        <v>76</v>
      </c>
      <c r="O236" s="1">
        <v>2.45333059811E11</v>
      </c>
    </row>
    <row r="237">
      <c r="A237" s="1">
        <v>207849.0</v>
      </c>
      <c r="B237" s="1" t="s">
        <v>2652</v>
      </c>
      <c r="C237" s="1" t="b">
        <v>1</v>
      </c>
      <c r="D237" s="1" t="b">
        <v>1</v>
      </c>
      <c r="E237" s="1" t="s">
        <v>641</v>
      </c>
      <c r="F237" s="1" t="s">
        <v>417</v>
      </c>
      <c r="G237" s="2">
        <f>+251953707419</f>
        <v>251953707419</v>
      </c>
      <c r="H237" s="1" t="s">
        <v>18</v>
      </c>
      <c r="I237" s="1" t="s">
        <v>19</v>
      </c>
      <c r="J237" s="1" t="s">
        <v>19</v>
      </c>
      <c r="K237" s="1" t="s">
        <v>25</v>
      </c>
      <c r="L237" s="1">
        <v>24.93</v>
      </c>
      <c r="M237" s="1" t="s">
        <v>21</v>
      </c>
    </row>
    <row r="238">
      <c r="A238" s="1">
        <v>2629353.0</v>
      </c>
      <c r="B238" s="1" t="s">
        <v>2653</v>
      </c>
      <c r="C238" s="1" t="b">
        <v>1</v>
      </c>
      <c r="D238" s="1" t="b">
        <v>1</v>
      </c>
      <c r="E238" s="1" t="s">
        <v>2654</v>
      </c>
      <c r="F238" s="1" t="s">
        <v>1228</v>
      </c>
      <c r="G238" s="2">
        <f>+251911688428</f>
        <v>251911688428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45.69</v>
      </c>
      <c r="M238" s="1" t="s">
        <v>21</v>
      </c>
      <c r="O238" s="1">
        <v>1.98468328649E11</v>
      </c>
    </row>
    <row r="239">
      <c r="A239" s="1">
        <v>2753613.0</v>
      </c>
      <c r="B239" s="1" t="s">
        <v>2655</v>
      </c>
      <c r="C239" s="1" t="b">
        <v>1</v>
      </c>
      <c r="D239" s="1" t="b">
        <v>1</v>
      </c>
      <c r="E239" s="1" t="s">
        <v>2656</v>
      </c>
      <c r="F239" s="1" t="s">
        <v>2657</v>
      </c>
      <c r="G239" s="2">
        <f>+251915840162</f>
        <v>251915840162</v>
      </c>
      <c r="H239" s="1" t="s">
        <v>18</v>
      </c>
      <c r="I239" s="1" t="s">
        <v>19</v>
      </c>
      <c r="J239" s="1" t="s">
        <v>19</v>
      </c>
      <c r="K239" s="1" t="s">
        <v>20</v>
      </c>
      <c r="L239" s="1">
        <v>27.38</v>
      </c>
      <c r="M239" s="1" t="s">
        <v>33</v>
      </c>
      <c r="N239" s="1" t="s">
        <v>76</v>
      </c>
      <c r="O239" s="1">
        <v>2.45760678126E11</v>
      </c>
    </row>
    <row r="240">
      <c r="A240" s="1">
        <v>1873529.0</v>
      </c>
      <c r="B240" s="1" t="s">
        <v>2658</v>
      </c>
      <c r="C240" s="1" t="b">
        <v>1</v>
      </c>
      <c r="D240" s="1" t="b">
        <v>0</v>
      </c>
      <c r="E240" s="1" t="s">
        <v>2659</v>
      </c>
      <c r="F240" s="1" t="s">
        <v>2660</v>
      </c>
      <c r="G240" s="2">
        <f>+251955401072</f>
        <v>251955401072</v>
      </c>
      <c r="H240" s="1" t="s">
        <v>18</v>
      </c>
      <c r="I240" s="1" t="s">
        <v>19</v>
      </c>
      <c r="J240" s="1" t="s">
        <v>19</v>
      </c>
      <c r="K240" s="1" t="s">
        <v>20</v>
      </c>
      <c r="L240" s="1">
        <v>23.29</v>
      </c>
      <c r="M240" s="1" t="s">
        <v>21</v>
      </c>
      <c r="O240" s="1">
        <v>2.5759130843E10</v>
      </c>
    </row>
    <row r="241">
      <c r="A241" s="1">
        <v>2753924.0</v>
      </c>
      <c r="B241" s="1" t="s">
        <v>2661</v>
      </c>
      <c r="C241" s="1" t="b">
        <v>1</v>
      </c>
      <c r="D241" s="1" t="b">
        <v>1</v>
      </c>
      <c r="E241" s="1" t="s">
        <v>2662</v>
      </c>
      <c r="F241" s="1" t="s">
        <v>108</v>
      </c>
      <c r="G241" s="2">
        <f>+251966797016</f>
        <v>251966797016</v>
      </c>
      <c r="H241" s="1" t="s">
        <v>18</v>
      </c>
      <c r="I241" s="1" t="s">
        <v>19</v>
      </c>
      <c r="J241" s="1" t="s">
        <v>19</v>
      </c>
      <c r="K241" s="1" t="s">
        <v>20</v>
      </c>
      <c r="L241" s="1">
        <v>25.44</v>
      </c>
      <c r="M241" s="1" t="s">
        <v>21</v>
      </c>
    </row>
    <row r="242">
      <c r="A242" s="1">
        <v>2549737.0</v>
      </c>
      <c r="B242" s="1" t="s">
        <v>2663</v>
      </c>
      <c r="C242" s="1" t="b">
        <v>1</v>
      </c>
      <c r="D242" s="1" t="b">
        <v>1</v>
      </c>
      <c r="E242" s="1" t="s">
        <v>2429</v>
      </c>
      <c r="F242" s="1" t="s">
        <v>2664</v>
      </c>
      <c r="G242" s="2">
        <f>+251988533310</f>
        <v>251988533310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35.31</v>
      </c>
      <c r="M242" s="1" t="s">
        <v>33</v>
      </c>
      <c r="N242" s="1" t="s">
        <v>76</v>
      </c>
    </row>
    <row r="243">
      <c r="A243" s="1">
        <v>2754185.0</v>
      </c>
      <c r="B243" s="1" t="s">
        <v>2665</v>
      </c>
      <c r="C243" s="1" t="b">
        <v>0</v>
      </c>
      <c r="D243" s="1" t="b">
        <v>1</v>
      </c>
      <c r="E243" s="1" t="s">
        <v>295</v>
      </c>
      <c r="F243" s="1" t="s">
        <v>338</v>
      </c>
      <c r="G243" s="2">
        <f t="shared" ref="G243:G244" si="1">+251906119818</f>
        <v>251906119818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32.14</v>
      </c>
      <c r="M243" s="1" t="s">
        <v>26</v>
      </c>
      <c r="O243" s="1">
        <v>2.46059216106E11</v>
      </c>
    </row>
    <row r="244">
      <c r="A244" s="1">
        <v>2754264.0</v>
      </c>
      <c r="B244" s="1" t="s">
        <v>2666</v>
      </c>
      <c r="C244" s="1" t="b">
        <v>1</v>
      </c>
      <c r="D244" s="1" t="b">
        <v>1</v>
      </c>
      <c r="E244" s="1" t="s">
        <v>295</v>
      </c>
      <c r="F244" s="1" t="s">
        <v>338</v>
      </c>
      <c r="G244" s="2">
        <f t="shared" si="1"/>
        <v>251906119818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32.14</v>
      </c>
      <c r="M244" s="1" t="s">
        <v>21</v>
      </c>
      <c r="O244" s="1">
        <v>1911644.0</v>
      </c>
    </row>
    <row r="245">
      <c r="A245" s="1">
        <v>2754322.0</v>
      </c>
      <c r="B245" s="1" t="s">
        <v>2667</v>
      </c>
      <c r="C245" s="1" t="b">
        <v>1</v>
      </c>
      <c r="D245" s="1" t="b">
        <v>1</v>
      </c>
      <c r="E245" s="1" t="s">
        <v>110</v>
      </c>
      <c r="F245" s="1" t="s">
        <v>1583</v>
      </c>
      <c r="G245" s="2">
        <f>+251937780890</f>
        <v>251937780890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18.92</v>
      </c>
      <c r="M245" s="1" t="s">
        <v>21</v>
      </c>
      <c r="O245" s="1">
        <v>2.4607902946E11</v>
      </c>
    </row>
    <row r="246">
      <c r="A246" s="1">
        <v>2754437.0</v>
      </c>
      <c r="B246" s="1" t="s">
        <v>2668</v>
      </c>
      <c r="C246" s="1" t="b">
        <v>1</v>
      </c>
      <c r="D246" s="1" t="b">
        <v>1</v>
      </c>
      <c r="E246" s="1" t="s">
        <v>2669</v>
      </c>
      <c r="F246" s="1" t="s">
        <v>96</v>
      </c>
      <c r="G246" s="2">
        <f>+251936976613</f>
        <v>251936976613</v>
      </c>
      <c r="H246" s="1" t="s">
        <v>18</v>
      </c>
      <c r="I246" s="1" t="s">
        <v>19</v>
      </c>
      <c r="J246" s="1" t="s">
        <v>19</v>
      </c>
      <c r="K246" s="1" t="s">
        <v>20</v>
      </c>
      <c r="L246" s="1">
        <v>25.77</v>
      </c>
      <c r="M246" s="1" t="s">
        <v>21</v>
      </c>
      <c r="O246" s="1">
        <v>2.46129978556E11</v>
      </c>
    </row>
    <row r="247">
      <c r="A247" s="1">
        <v>2754528.0</v>
      </c>
      <c r="B247" s="1" t="s">
        <v>2670</v>
      </c>
      <c r="C247" s="1" t="b">
        <v>1</v>
      </c>
      <c r="D247" s="1" t="b">
        <v>1</v>
      </c>
      <c r="E247" s="1" t="s">
        <v>2671</v>
      </c>
      <c r="F247" s="1" t="s">
        <v>2413</v>
      </c>
      <c r="G247" s="2">
        <f>+251931022473</f>
        <v>251931022473</v>
      </c>
      <c r="H247" s="1" t="s">
        <v>18</v>
      </c>
      <c r="I247" s="1" t="s">
        <v>19</v>
      </c>
      <c r="J247" s="1" t="s">
        <v>19</v>
      </c>
      <c r="K247" s="1" t="s">
        <v>20</v>
      </c>
      <c r="L247" s="1">
        <v>20.76</v>
      </c>
      <c r="M247" s="1" t="s">
        <v>21</v>
      </c>
      <c r="O247" s="1">
        <v>2.0791969517E10</v>
      </c>
    </row>
    <row r="248">
      <c r="A248" s="1">
        <v>2754681.0</v>
      </c>
      <c r="B248" s="1" t="s">
        <v>2672</v>
      </c>
      <c r="C248" s="1" t="b">
        <v>1</v>
      </c>
      <c r="D248" s="1" t="b">
        <v>1</v>
      </c>
      <c r="E248" s="1" t="s">
        <v>612</v>
      </c>
      <c r="F248" s="1" t="s">
        <v>1566</v>
      </c>
      <c r="G248" s="2">
        <f>+251900620983</f>
        <v>251900620983</v>
      </c>
      <c r="H248" s="1" t="s">
        <v>18</v>
      </c>
      <c r="I248" s="1" t="s">
        <v>19</v>
      </c>
      <c r="J248" s="1" t="s">
        <v>19</v>
      </c>
      <c r="K248" s="1" t="s">
        <v>20</v>
      </c>
      <c r="L248" s="1">
        <v>28.34</v>
      </c>
      <c r="M248" s="1" t="s">
        <v>26</v>
      </c>
      <c r="O248" s="1">
        <v>2.46200141016E11</v>
      </c>
    </row>
    <row r="249">
      <c r="A249" s="1">
        <v>2002875.0</v>
      </c>
      <c r="B249" s="1" t="s">
        <v>2673</v>
      </c>
      <c r="C249" s="1" t="b">
        <v>1</v>
      </c>
      <c r="D249" s="1" t="b">
        <v>0</v>
      </c>
      <c r="E249" s="1" t="s">
        <v>60</v>
      </c>
      <c r="F249" s="1" t="s">
        <v>2674</v>
      </c>
      <c r="G249" s="2">
        <f>+251962246363</f>
        <v>251962246363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24.19</v>
      </c>
      <c r="M249" s="1" t="s">
        <v>33</v>
      </c>
      <c r="N249" s="1" t="s">
        <v>34</v>
      </c>
      <c r="O249" s="1">
        <v>8754838.0</v>
      </c>
    </row>
    <row r="250">
      <c r="A250" s="1">
        <v>2755808.0</v>
      </c>
      <c r="B250" s="1" t="s">
        <v>2675</v>
      </c>
      <c r="C250" s="1" t="b">
        <v>1</v>
      </c>
      <c r="D250" s="1" t="b">
        <v>1</v>
      </c>
      <c r="E250" s="1" t="s">
        <v>910</v>
      </c>
      <c r="F250" s="1" t="s">
        <v>2654</v>
      </c>
      <c r="G250" s="2">
        <f>+251923719781</f>
        <v>251923719781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35.67</v>
      </c>
      <c r="M250" s="1" t="s">
        <v>21</v>
      </c>
      <c r="O250" s="1">
        <v>2.46453161199E11</v>
      </c>
    </row>
    <row r="251">
      <c r="A251" s="1">
        <v>2756526.0</v>
      </c>
      <c r="B251" s="1" t="s">
        <v>2676</v>
      </c>
      <c r="C251" s="1" t="b">
        <v>0</v>
      </c>
      <c r="D251" s="1" t="b">
        <v>1</v>
      </c>
      <c r="E251" s="1" t="s">
        <v>500</v>
      </c>
      <c r="F251" s="1" t="s">
        <v>2677</v>
      </c>
      <c r="G251" s="2">
        <f>+251917974820</f>
        <v>251917974820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26.75</v>
      </c>
      <c r="M251" s="1" t="s">
        <v>33</v>
      </c>
      <c r="N251" s="1" t="s">
        <v>118</v>
      </c>
      <c r="O251" s="1">
        <v>2.46631031016E11</v>
      </c>
    </row>
    <row r="252">
      <c r="A252" s="1">
        <v>2757433.0</v>
      </c>
      <c r="B252" s="1" t="s">
        <v>2678</v>
      </c>
      <c r="C252" s="1" t="b">
        <v>1</v>
      </c>
      <c r="D252" s="1" t="b">
        <v>1</v>
      </c>
      <c r="E252" s="1" t="s">
        <v>901</v>
      </c>
      <c r="F252" s="1" t="s">
        <v>417</v>
      </c>
      <c r="G252" s="2">
        <f>+251933308861</f>
        <v>251933308861</v>
      </c>
      <c r="H252" s="1" t="s">
        <v>131</v>
      </c>
      <c r="I252" s="1" t="s">
        <v>19</v>
      </c>
      <c r="J252" s="1" t="s">
        <v>19</v>
      </c>
      <c r="K252" s="1" t="s">
        <v>25</v>
      </c>
      <c r="L252" s="1">
        <v>24.87</v>
      </c>
      <c r="M252" s="1" t="s">
        <v>33</v>
      </c>
      <c r="N252" s="1" t="s">
        <v>34</v>
      </c>
      <c r="O252" s="1">
        <v>2.4706137519E11</v>
      </c>
    </row>
    <row r="253">
      <c r="A253" s="1">
        <v>2757697.0</v>
      </c>
      <c r="B253" s="1" t="s">
        <v>2679</v>
      </c>
      <c r="C253" s="1" t="b">
        <v>1</v>
      </c>
      <c r="D253" s="1" t="b">
        <v>1</v>
      </c>
      <c r="E253" s="1" t="s">
        <v>154</v>
      </c>
      <c r="F253" s="1" t="s">
        <v>1059</v>
      </c>
      <c r="G253" s="2">
        <f>+251993359561</f>
        <v>251993359561</v>
      </c>
      <c r="H253" s="1" t="s">
        <v>392</v>
      </c>
      <c r="I253" s="1" t="s">
        <v>19</v>
      </c>
      <c r="J253" s="1" t="s">
        <v>19</v>
      </c>
      <c r="K253" s="1" t="s">
        <v>25</v>
      </c>
      <c r="L253" s="1">
        <v>20.04</v>
      </c>
      <c r="M253" s="1" t="s">
        <v>33</v>
      </c>
      <c r="N253" s="1" t="s">
        <v>118</v>
      </c>
      <c r="O253" s="1">
        <v>2.47205339328E11</v>
      </c>
    </row>
    <row r="254">
      <c r="A254" s="1">
        <v>209883.0</v>
      </c>
      <c r="B254" s="1" t="s">
        <v>2680</v>
      </c>
      <c r="C254" s="1" t="b">
        <v>1</v>
      </c>
      <c r="D254" s="1" t="b">
        <v>1</v>
      </c>
      <c r="E254" s="1" t="s">
        <v>2210</v>
      </c>
      <c r="F254" s="1" t="s">
        <v>1945</v>
      </c>
      <c r="G254" s="2">
        <f>+251945420584</f>
        <v>251945420584</v>
      </c>
      <c r="H254" s="1" t="s">
        <v>18</v>
      </c>
      <c r="I254" s="1" t="s">
        <v>19</v>
      </c>
      <c r="J254" s="1" t="s">
        <v>19</v>
      </c>
      <c r="K254" s="1" t="s">
        <v>20</v>
      </c>
      <c r="L254" s="1">
        <v>25.76</v>
      </c>
      <c r="M254" s="1" t="s">
        <v>21</v>
      </c>
    </row>
    <row r="255">
      <c r="A255" s="1">
        <v>2758645.0</v>
      </c>
      <c r="B255" s="1" t="s">
        <v>2681</v>
      </c>
      <c r="C255" s="1" t="b">
        <v>1</v>
      </c>
      <c r="D255" s="1" t="b">
        <v>1</v>
      </c>
      <c r="E255" s="1" t="s">
        <v>2682</v>
      </c>
      <c r="F255" s="1" t="s">
        <v>319</v>
      </c>
      <c r="G255" s="2">
        <f>+251901473530</f>
        <v>251901473530</v>
      </c>
      <c r="H255" s="1" t="s">
        <v>18</v>
      </c>
      <c r="I255" s="1" t="s">
        <v>19</v>
      </c>
      <c r="J255" s="1" t="s">
        <v>19</v>
      </c>
      <c r="K255" s="1" t="s">
        <v>20</v>
      </c>
      <c r="L255" s="1">
        <v>28.6</v>
      </c>
      <c r="M255" s="1" t="s">
        <v>21</v>
      </c>
      <c r="O255" s="1">
        <v>2.4735121734E11</v>
      </c>
    </row>
    <row r="256">
      <c r="A256" s="1">
        <v>2759120.0</v>
      </c>
      <c r="B256" s="1" t="s">
        <v>2683</v>
      </c>
      <c r="C256" s="1" t="b">
        <v>1</v>
      </c>
      <c r="D256" s="1" t="b">
        <v>1</v>
      </c>
      <c r="E256" s="1" t="s">
        <v>2684</v>
      </c>
      <c r="F256" s="1" t="s">
        <v>96</v>
      </c>
      <c r="G256" s="2">
        <f>+251952454024</f>
        <v>251952454024</v>
      </c>
      <c r="H256" s="1" t="s">
        <v>93</v>
      </c>
      <c r="I256" s="1" t="s">
        <v>19</v>
      </c>
      <c r="J256" s="1" t="s">
        <v>19</v>
      </c>
      <c r="K256" s="1" t="s">
        <v>25</v>
      </c>
      <c r="L256" s="1">
        <v>26.5</v>
      </c>
      <c r="M256" s="1" t="s">
        <v>21</v>
      </c>
      <c r="O256" s="1">
        <v>2.47415775426E11</v>
      </c>
    </row>
    <row r="257">
      <c r="A257" s="1">
        <v>2759296.0</v>
      </c>
      <c r="B257" s="1" t="s">
        <v>2685</v>
      </c>
      <c r="C257" s="1" t="b">
        <v>0</v>
      </c>
      <c r="D257" s="1" t="b">
        <v>1</v>
      </c>
      <c r="E257" s="1" t="s">
        <v>944</v>
      </c>
      <c r="F257" s="1" t="s">
        <v>510</v>
      </c>
      <c r="G257" s="2">
        <f>+251918589810</f>
        <v>251918589810</v>
      </c>
      <c r="H257" s="1" t="s">
        <v>392</v>
      </c>
      <c r="I257" s="1" t="s">
        <v>19</v>
      </c>
      <c r="J257" s="1" t="s">
        <v>19</v>
      </c>
      <c r="K257" s="1" t="s">
        <v>25</v>
      </c>
      <c r="L257" s="1">
        <v>24.97</v>
      </c>
      <c r="M257" s="1" t="s">
        <v>33</v>
      </c>
      <c r="N257" s="1" t="s">
        <v>34</v>
      </c>
      <c r="O257" s="1">
        <v>2.47435305195E11</v>
      </c>
    </row>
    <row r="258">
      <c r="A258" s="1">
        <v>2759814.0</v>
      </c>
      <c r="B258" s="1" t="s">
        <v>2686</v>
      </c>
      <c r="C258" s="1" t="b">
        <v>1</v>
      </c>
      <c r="D258" s="1" t="b">
        <v>1</v>
      </c>
      <c r="E258" s="1" t="s">
        <v>2687</v>
      </c>
      <c r="F258" s="1" t="s">
        <v>2688</v>
      </c>
      <c r="G258" s="2">
        <f>+251954554548</f>
        <v>251954554548</v>
      </c>
      <c r="H258" s="1" t="s">
        <v>18</v>
      </c>
      <c r="I258" s="1" t="s">
        <v>19</v>
      </c>
      <c r="J258" s="1" t="s">
        <v>19</v>
      </c>
      <c r="K258" s="1" t="s">
        <v>20</v>
      </c>
      <c r="L258" s="1">
        <v>18.84</v>
      </c>
      <c r="M258" s="1" t="s">
        <v>26</v>
      </c>
      <c r="O258" s="1">
        <v>2.47541295326E11</v>
      </c>
    </row>
    <row r="259">
      <c r="A259" s="1">
        <v>2760673.0</v>
      </c>
      <c r="B259" s="1" t="s">
        <v>2689</v>
      </c>
      <c r="C259" s="1" t="b">
        <v>1</v>
      </c>
      <c r="D259" s="1" t="b">
        <v>1</v>
      </c>
      <c r="E259" s="1" t="s">
        <v>2409</v>
      </c>
      <c r="F259" s="1" t="s">
        <v>2690</v>
      </c>
      <c r="G259" s="2">
        <f>+251927989890</f>
        <v>251927989890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36.95</v>
      </c>
      <c r="M259" s="1" t="s">
        <v>21</v>
      </c>
      <c r="O259" s="1">
        <v>2.47791202539E11</v>
      </c>
    </row>
    <row r="260">
      <c r="A260" s="1">
        <v>2452082.0</v>
      </c>
      <c r="B260" s="1" t="s">
        <v>2691</v>
      </c>
      <c r="C260" s="1" t="b">
        <v>1</v>
      </c>
      <c r="D260" s="1" t="b">
        <v>0</v>
      </c>
      <c r="E260" s="1" t="s">
        <v>2692</v>
      </c>
      <c r="F260" s="1" t="s">
        <v>2693</v>
      </c>
      <c r="G260" s="2">
        <f>+251939655527</f>
        <v>251939655527</v>
      </c>
      <c r="H260" s="1" t="s">
        <v>18</v>
      </c>
      <c r="I260" s="1" t="s">
        <v>19</v>
      </c>
      <c r="J260" s="1" t="s">
        <v>19</v>
      </c>
      <c r="K260" s="1" t="s">
        <v>20</v>
      </c>
      <c r="L260" s="1">
        <v>23.44</v>
      </c>
      <c r="M260" s="1" t="s">
        <v>21</v>
      </c>
      <c r="O260" s="1">
        <v>1.0885236145E11</v>
      </c>
    </row>
    <row r="261">
      <c r="A261" s="1">
        <v>2760961.0</v>
      </c>
      <c r="B261" s="1" t="s">
        <v>2694</v>
      </c>
      <c r="C261" s="1" t="b">
        <v>1</v>
      </c>
      <c r="D261" s="1" t="b">
        <v>1</v>
      </c>
      <c r="E261" s="1" t="s">
        <v>756</v>
      </c>
      <c r="F261" s="1" t="s">
        <v>600</v>
      </c>
      <c r="G261" s="2">
        <f>+251973339590</f>
        <v>251973339590</v>
      </c>
      <c r="H261" s="1" t="s">
        <v>18</v>
      </c>
      <c r="I261" s="1" t="s">
        <v>19</v>
      </c>
      <c r="J261" s="1" t="s">
        <v>19</v>
      </c>
      <c r="K261" s="1" t="s">
        <v>20</v>
      </c>
      <c r="L261" s="1">
        <v>24.9</v>
      </c>
      <c r="M261" s="1" t="s">
        <v>33</v>
      </c>
      <c r="N261" s="1" t="s">
        <v>76</v>
      </c>
      <c r="O261" s="1">
        <v>2.5240745E7</v>
      </c>
    </row>
    <row r="262">
      <c r="A262" s="1">
        <v>2761032.0</v>
      </c>
      <c r="B262" s="1" t="s">
        <v>2695</v>
      </c>
      <c r="C262" s="1" t="b">
        <v>1</v>
      </c>
      <c r="D262" s="1" t="b">
        <v>1</v>
      </c>
      <c r="E262" s="1" t="s">
        <v>2696</v>
      </c>
      <c r="F262" s="1" t="s">
        <v>108</v>
      </c>
      <c r="G262" s="2">
        <f>+251926996635</f>
        <v>251926996635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30.85</v>
      </c>
      <c r="M262" s="1" t="s">
        <v>21</v>
      </c>
      <c r="O262" s="1">
        <v>2.47907013871E11</v>
      </c>
    </row>
    <row r="263">
      <c r="A263" s="1">
        <v>939670.0</v>
      </c>
      <c r="B263" s="1" t="s">
        <v>2697</v>
      </c>
      <c r="C263" s="1" t="b">
        <v>1</v>
      </c>
      <c r="D263" s="1" t="b">
        <v>1</v>
      </c>
      <c r="E263" s="1" t="s">
        <v>360</v>
      </c>
      <c r="F263" s="1" t="s">
        <v>2698</v>
      </c>
      <c r="G263" s="2">
        <f>+251933693144</f>
        <v>251933693144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28.57</v>
      </c>
      <c r="M263" s="1" t="s">
        <v>21</v>
      </c>
      <c r="O263" s="1">
        <v>784061.0</v>
      </c>
    </row>
    <row r="264">
      <c r="A264" s="1">
        <v>2761551.0</v>
      </c>
      <c r="B264" s="1" t="s">
        <v>2699</v>
      </c>
      <c r="C264" s="1" t="b">
        <v>1</v>
      </c>
      <c r="D264" s="1" t="b">
        <v>1</v>
      </c>
      <c r="E264" s="1" t="s">
        <v>203</v>
      </c>
      <c r="F264" s="1" t="s">
        <v>405</v>
      </c>
      <c r="G264" s="2">
        <f>+251939085832</f>
        <v>251939085832</v>
      </c>
      <c r="H264" s="1" t="s">
        <v>18</v>
      </c>
      <c r="I264" s="1" t="s">
        <v>19</v>
      </c>
      <c r="J264" s="1" t="s">
        <v>19</v>
      </c>
      <c r="K264" s="1" t="s">
        <v>20</v>
      </c>
      <c r="L264" s="1">
        <v>26.4</v>
      </c>
      <c r="M264" s="1" t="s">
        <v>21</v>
      </c>
      <c r="O264" s="1">
        <v>2123920.0</v>
      </c>
    </row>
    <row r="265">
      <c r="A265" s="1">
        <v>2761628.0</v>
      </c>
      <c r="B265" s="1" t="s">
        <v>2700</v>
      </c>
      <c r="C265" s="1" t="b">
        <v>1</v>
      </c>
      <c r="D265" s="1" t="b">
        <v>1</v>
      </c>
      <c r="E265" s="1" t="s">
        <v>2701</v>
      </c>
      <c r="F265" s="1" t="s">
        <v>2034</v>
      </c>
      <c r="G265" s="2">
        <f>+251938676860</f>
        <v>251938676860</v>
      </c>
      <c r="H265" s="1" t="s">
        <v>18</v>
      </c>
      <c r="I265" s="1" t="s">
        <v>19</v>
      </c>
      <c r="J265" s="1" t="s">
        <v>19</v>
      </c>
      <c r="K265" s="1" t="s">
        <v>20</v>
      </c>
      <c r="L265" s="1">
        <v>34.22</v>
      </c>
      <c r="M265" s="1" t="s">
        <v>21</v>
      </c>
      <c r="O265" s="1">
        <v>2.48102986948E11</v>
      </c>
    </row>
    <row r="266">
      <c r="A266" s="1">
        <v>2593360.0</v>
      </c>
      <c r="B266" s="1" t="s">
        <v>2702</v>
      </c>
      <c r="C266" s="1" t="b">
        <v>1</v>
      </c>
      <c r="D266" s="1" t="b">
        <v>1</v>
      </c>
      <c r="E266" s="1" t="s">
        <v>877</v>
      </c>
      <c r="F266" s="1" t="s">
        <v>2703</v>
      </c>
      <c r="G266" s="2">
        <f>+251972958008</f>
        <v>251972958008</v>
      </c>
      <c r="H266" s="1" t="s">
        <v>18</v>
      </c>
      <c r="I266" s="1" t="s">
        <v>19</v>
      </c>
      <c r="J266" s="1" t="s">
        <v>19</v>
      </c>
      <c r="K266" s="1" t="s">
        <v>20</v>
      </c>
      <c r="L266" s="1">
        <v>28.99</v>
      </c>
      <c r="M266" s="1" t="s">
        <v>21</v>
      </c>
    </row>
    <row r="267">
      <c r="A267" s="1">
        <v>2255433.0</v>
      </c>
      <c r="B267" s="1" t="s">
        <v>2704</v>
      </c>
      <c r="C267" s="1" t="b">
        <v>1</v>
      </c>
      <c r="D267" s="1" t="b">
        <v>1</v>
      </c>
      <c r="E267" s="1" t="s">
        <v>2705</v>
      </c>
      <c r="F267" s="1" t="s">
        <v>2706</v>
      </c>
      <c r="G267" s="2">
        <f>+251942201501</f>
        <v>251942201501</v>
      </c>
      <c r="H267" s="1" t="s">
        <v>18</v>
      </c>
      <c r="I267" s="1" t="s">
        <v>19</v>
      </c>
      <c r="J267" s="1" t="s">
        <v>19</v>
      </c>
      <c r="K267" s="1" t="s">
        <v>25</v>
      </c>
      <c r="L267" s="1">
        <v>24.7</v>
      </c>
      <c r="M267" s="1" t="s">
        <v>21</v>
      </c>
      <c r="O267" s="1">
        <v>3.436381975E10</v>
      </c>
    </row>
    <row r="268">
      <c r="A268" s="1">
        <v>2762591.0</v>
      </c>
      <c r="B268" s="1" t="s">
        <v>2707</v>
      </c>
      <c r="C268" s="1" t="b">
        <v>1</v>
      </c>
      <c r="D268" s="1" t="b">
        <v>1</v>
      </c>
      <c r="E268" s="1" t="s">
        <v>1376</v>
      </c>
      <c r="F268" s="1" t="s">
        <v>255</v>
      </c>
      <c r="G268" s="2">
        <f>+251954931710</f>
        <v>251954931710</v>
      </c>
      <c r="H268" s="1" t="s">
        <v>18</v>
      </c>
      <c r="I268" s="1" t="s">
        <v>19</v>
      </c>
      <c r="J268" s="1" t="s">
        <v>19</v>
      </c>
      <c r="K268" s="1" t="s">
        <v>25</v>
      </c>
      <c r="L268" s="1">
        <v>20.86</v>
      </c>
      <c r="M268" s="1" t="s">
        <v>33</v>
      </c>
      <c r="N268" s="1" t="s">
        <v>34</v>
      </c>
    </row>
    <row r="269">
      <c r="A269" s="1">
        <v>2762830.0</v>
      </c>
      <c r="B269" s="1" t="s">
        <v>2708</v>
      </c>
      <c r="C269" s="1" t="b">
        <v>0</v>
      </c>
      <c r="D269" s="1" t="b">
        <v>1</v>
      </c>
      <c r="E269" s="1" t="s">
        <v>2709</v>
      </c>
      <c r="F269" s="1" t="s">
        <v>2710</v>
      </c>
      <c r="G269" s="2">
        <f>+251977490113</f>
        <v>251977490113</v>
      </c>
      <c r="H269" s="1" t="s">
        <v>335</v>
      </c>
      <c r="I269" s="1" t="s">
        <v>19</v>
      </c>
      <c r="J269" s="1" t="s">
        <v>19</v>
      </c>
      <c r="K269" s="1" t="s">
        <v>20</v>
      </c>
      <c r="L269" s="1">
        <v>23.16</v>
      </c>
      <c r="M269" s="1" t="s">
        <v>26</v>
      </c>
      <c r="O269" s="1">
        <v>2.48431075561E11</v>
      </c>
    </row>
    <row r="270">
      <c r="A270" s="1">
        <v>1681355.0</v>
      </c>
      <c r="B270" s="1" t="s">
        <v>2711</v>
      </c>
      <c r="C270" s="1" t="b">
        <v>1</v>
      </c>
      <c r="D270" s="1" t="b">
        <v>0</v>
      </c>
      <c r="E270" s="1" t="s">
        <v>2581</v>
      </c>
      <c r="F270" s="1" t="s">
        <v>956</v>
      </c>
      <c r="G270" s="2">
        <f>+251911635548</f>
        <v>251911635548</v>
      </c>
      <c r="H270" s="1" t="s">
        <v>18</v>
      </c>
      <c r="I270" s="1" t="s">
        <v>19</v>
      </c>
      <c r="J270" s="1" t="s">
        <v>19</v>
      </c>
      <c r="K270" s="1" t="s">
        <v>20</v>
      </c>
      <c r="L270" s="1">
        <v>23.94</v>
      </c>
      <c r="M270" s="1" t="s">
        <v>21</v>
      </c>
      <c r="O270" s="1">
        <v>1206358.0</v>
      </c>
    </row>
    <row r="271">
      <c r="A271" s="1">
        <v>2519732.0</v>
      </c>
      <c r="B271" s="1" t="s">
        <v>2712</v>
      </c>
      <c r="C271" s="1" t="b">
        <v>1</v>
      </c>
      <c r="D271" s="1" t="b">
        <v>1</v>
      </c>
      <c r="E271" s="1" t="s">
        <v>292</v>
      </c>
      <c r="F271" s="1" t="s">
        <v>2713</v>
      </c>
      <c r="G271" s="2">
        <f>+251910891140</f>
        <v>251910891140</v>
      </c>
      <c r="H271" s="1" t="s">
        <v>18</v>
      </c>
      <c r="I271" s="1" t="s">
        <v>19</v>
      </c>
      <c r="J271" s="1" t="s">
        <v>19</v>
      </c>
      <c r="K271" s="1" t="s">
        <v>25</v>
      </c>
      <c r="L271" s="1">
        <v>36.11</v>
      </c>
      <c r="M271" s="1" t="s">
        <v>21</v>
      </c>
      <c r="O271" s="1">
        <v>704309.0</v>
      </c>
    </row>
    <row r="272">
      <c r="A272" s="1">
        <v>2763962.0</v>
      </c>
      <c r="B272" s="1" t="s">
        <v>2714</v>
      </c>
      <c r="C272" s="1" t="b">
        <v>1</v>
      </c>
      <c r="D272" s="1" t="b">
        <v>1</v>
      </c>
      <c r="E272" s="1" t="s">
        <v>2380</v>
      </c>
      <c r="F272" s="1" t="s">
        <v>2374</v>
      </c>
      <c r="G272" s="2">
        <f>+251918535155</f>
        <v>251918535155</v>
      </c>
      <c r="H272" s="1" t="s">
        <v>18</v>
      </c>
      <c r="I272" s="1" t="s">
        <v>19</v>
      </c>
      <c r="J272" s="1" t="s">
        <v>19</v>
      </c>
      <c r="K272" s="1" t="s">
        <v>25</v>
      </c>
      <c r="L272" s="1">
        <v>34.76</v>
      </c>
      <c r="M272" s="1" t="s">
        <v>21</v>
      </c>
      <c r="O272" s="1">
        <v>2.48855438529E11</v>
      </c>
    </row>
    <row r="273">
      <c r="A273" s="1">
        <v>2764805.0</v>
      </c>
      <c r="B273" s="1" t="s">
        <v>2715</v>
      </c>
      <c r="C273" s="1" t="b">
        <v>1</v>
      </c>
      <c r="D273" s="1" t="b">
        <v>1</v>
      </c>
      <c r="E273" s="1" t="s">
        <v>2716</v>
      </c>
      <c r="F273" s="1" t="s">
        <v>338</v>
      </c>
      <c r="G273" s="2">
        <f>+251945757831</f>
        <v>251945757831</v>
      </c>
      <c r="H273" s="1" t="s">
        <v>18</v>
      </c>
      <c r="I273" s="1" t="s">
        <v>19</v>
      </c>
      <c r="J273" s="1" t="s">
        <v>19</v>
      </c>
      <c r="K273" s="1" t="s">
        <v>25</v>
      </c>
      <c r="L273" s="1">
        <v>19.14</v>
      </c>
      <c r="M273" s="1" t="s">
        <v>21</v>
      </c>
      <c r="O273" s="1">
        <v>2.49070099653E11</v>
      </c>
    </row>
    <row r="274">
      <c r="A274" s="1">
        <v>483359.0</v>
      </c>
      <c r="B274" s="1" t="s">
        <v>2717</v>
      </c>
      <c r="C274" s="1" t="b">
        <v>1</v>
      </c>
      <c r="D274" s="1" t="b">
        <v>1</v>
      </c>
      <c r="E274" s="1" t="s">
        <v>2718</v>
      </c>
      <c r="F274" s="1" t="s">
        <v>2718</v>
      </c>
      <c r="G274" s="2">
        <f>+251977797600</f>
        <v>251977797600</v>
      </c>
      <c r="H274" s="1" t="s">
        <v>392</v>
      </c>
      <c r="I274" s="1" t="s">
        <v>19</v>
      </c>
      <c r="J274" s="1" t="s">
        <v>19</v>
      </c>
      <c r="K274" s="1" t="s">
        <v>20</v>
      </c>
      <c r="L274" s="1">
        <v>27.09</v>
      </c>
      <c r="M274" s="1" t="s">
        <v>21</v>
      </c>
      <c r="O274" s="1">
        <v>2.3551793E7</v>
      </c>
    </row>
    <row r="275">
      <c r="A275" s="1">
        <v>2767870.0</v>
      </c>
      <c r="B275" s="1" t="s">
        <v>2719</v>
      </c>
      <c r="C275" s="1" t="b">
        <v>1</v>
      </c>
      <c r="D275" s="1" t="b">
        <v>1</v>
      </c>
      <c r="E275" s="1" t="s">
        <v>2068</v>
      </c>
      <c r="F275" s="1" t="s">
        <v>455</v>
      </c>
      <c r="G275" s="2">
        <f>+251966823121</f>
        <v>251966823121</v>
      </c>
      <c r="H275" s="1" t="s">
        <v>131</v>
      </c>
      <c r="I275" s="1" t="s">
        <v>19</v>
      </c>
      <c r="J275" s="1" t="s">
        <v>19</v>
      </c>
      <c r="K275" s="1" t="s">
        <v>20</v>
      </c>
      <c r="L275" s="1">
        <v>23.04</v>
      </c>
      <c r="M275" s="1" t="s">
        <v>33</v>
      </c>
      <c r="N275" s="1" t="s">
        <v>118</v>
      </c>
      <c r="O275" s="1">
        <v>2.4995008228E11</v>
      </c>
    </row>
    <row r="276">
      <c r="A276" s="1">
        <v>2770529.0</v>
      </c>
      <c r="B276" s="1" t="s">
        <v>2720</v>
      </c>
      <c r="C276" s="1" t="b">
        <v>1</v>
      </c>
      <c r="D276" s="1" t="b">
        <v>1</v>
      </c>
      <c r="E276" s="1" t="s">
        <v>2721</v>
      </c>
      <c r="F276" s="1" t="s">
        <v>2722</v>
      </c>
      <c r="G276" s="2">
        <f>+251912735174</f>
        <v>251912735174</v>
      </c>
      <c r="H276" s="1" t="s">
        <v>18</v>
      </c>
      <c r="I276" s="1" t="s">
        <v>19</v>
      </c>
      <c r="J276" s="1" t="s">
        <v>19</v>
      </c>
      <c r="K276" s="1" t="s">
        <v>25</v>
      </c>
      <c r="L276" s="1">
        <v>39.25</v>
      </c>
      <c r="M276" s="1" t="s">
        <v>21</v>
      </c>
      <c r="O276" s="1">
        <v>2.51093479647E11</v>
      </c>
    </row>
    <row r="277">
      <c r="A277" s="1">
        <v>2770948.0</v>
      </c>
      <c r="B277" s="1" t="s">
        <v>2723</v>
      </c>
      <c r="C277" s="1" t="b">
        <v>1</v>
      </c>
      <c r="D277" s="1" t="b">
        <v>1</v>
      </c>
      <c r="E277" s="1" t="s">
        <v>2724</v>
      </c>
      <c r="F277" s="1" t="s">
        <v>2725</v>
      </c>
      <c r="G277" s="2">
        <f>+251091836636</f>
        <v>251091836636</v>
      </c>
      <c r="H277" s="1" t="s">
        <v>18</v>
      </c>
      <c r="I277" s="1" t="s">
        <v>19</v>
      </c>
      <c r="J277" s="1" t="s">
        <v>19</v>
      </c>
      <c r="K277" s="1" t="s">
        <v>25</v>
      </c>
      <c r="L277" s="1">
        <v>26.76</v>
      </c>
      <c r="M277" s="1" t="s">
        <v>26</v>
      </c>
      <c r="O277" s="1">
        <v>2.5126359265E11</v>
      </c>
    </row>
    <row r="278">
      <c r="A278" s="1">
        <v>2768504.0</v>
      </c>
      <c r="B278" s="1" t="s">
        <v>2726</v>
      </c>
      <c r="C278" s="1" t="b">
        <v>1</v>
      </c>
      <c r="D278" s="1" t="b">
        <v>1</v>
      </c>
      <c r="E278" s="1" t="s">
        <v>2727</v>
      </c>
      <c r="F278" s="1" t="s">
        <v>2728</v>
      </c>
      <c r="G278" s="2">
        <f>+251993833511</f>
        <v>251993833511</v>
      </c>
      <c r="H278" s="1" t="s">
        <v>18</v>
      </c>
      <c r="I278" s="1" t="s">
        <v>19</v>
      </c>
      <c r="J278" s="1" t="s">
        <v>19</v>
      </c>
      <c r="K278" s="1" t="s">
        <v>25</v>
      </c>
      <c r="L278" s="1">
        <v>24.56</v>
      </c>
      <c r="M278" s="1" t="s">
        <v>21</v>
      </c>
      <c r="O278" s="1">
        <v>2.50148188395E11</v>
      </c>
    </row>
    <row r="279">
      <c r="A279" s="1">
        <v>2771468.0</v>
      </c>
      <c r="B279" s="1" t="s">
        <v>2729</v>
      </c>
      <c r="C279" s="1" t="b">
        <v>1</v>
      </c>
      <c r="D279" s="1" t="b">
        <v>1</v>
      </c>
      <c r="E279" s="1" t="s">
        <v>28</v>
      </c>
      <c r="F279" s="1" t="s">
        <v>1649</v>
      </c>
      <c r="G279" s="2">
        <f>+251973647278</f>
        <v>251973647278</v>
      </c>
      <c r="H279" s="1" t="s">
        <v>18</v>
      </c>
      <c r="I279" s="1" t="s">
        <v>19</v>
      </c>
      <c r="J279" s="1" t="s">
        <v>19</v>
      </c>
      <c r="K279" s="1" t="s">
        <v>25</v>
      </c>
      <c r="L279" s="1">
        <v>19.53</v>
      </c>
      <c r="M279" s="1" t="s">
        <v>21</v>
      </c>
    </row>
    <row r="280">
      <c r="A280" s="1">
        <v>2771632.0</v>
      </c>
      <c r="B280" s="1" t="s">
        <v>2730</v>
      </c>
      <c r="C280" s="1" t="b">
        <v>1</v>
      </c>
      <c r="D280" s="1" t="b">
        <v>1</v>
      </c>
      <c r="E280" s="1" t="s">
        <v>2731</v>
      </c>
      <c r="F280" s="1" t="s">
        <v>2732</v>
      </c>
      <c r="G280" s="2">
        <f>+251948229927</f>
        <v>251948229927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28.0</v>
      </c>
      <c r="M280" s="1" t="s">
        <v>21</v>
      </c>
      <c r="O280" s="1">
        <v>2.51396079829E11</v>
      </c>
    </row>
    <row r="281">
      <c r="A281" s="1">
        <v>2771667.0</v>
      </c>
      <c r="B281" s="1" t="s">
        <v>2733</v>
      </c>
      <c r="C281" s="1" t="b">
        <v>0</v>
      </c>
      <c r="D281" s="1" t="b">
        <v>1</v>
      </c>
      <c r="E281" s="1" t="s">
        <v>2734</v>
      </c>
      <c r="F281" s="1" t="s">
        <v>2735</v>
      </c>
      <c r="G281" s="2">
        <f>+251914387376</f>
        <v>251914387376</v>
      </c>
      <c r="H281" s="1" t="s">
        <v>1410</v>
      </c>
      <c r="I281" s="1" t="s">
        <v>19</v>
      </c>
      <c r="J281" s="1" t="s">
        <v>19</v>
      </c>
      <c r="K281" s="1" t="s">
        <v>20</v>
      </c>
      <c r="L281" s="1">
        <v>34.77</v>
      </c>
      <c r="M281" s="1" t="s">
        <v>33</v>
      </c>
      <c r="N281" s="1" t="s">
        <v>65</v>
      </c>
      <c r="O281" s="1">
        <v>2.51360425165E11</v>
      </c>
    </row>
    <row r="282">
      <c r="A282" s="1">
        <v>2771901.0</v>
      </c>
      <c r="B282" s="1" t="s">
        <v>2736</v>
      </c>
      <c r="C282" s="1" t="b">
        <v>0</v>
      </c>
      <c r="D282" s="1" t="b">
        <v>1</v>
      </c>
      <c r="E282" s="1" t="s">
        <v>2737</v>
      </c>
      <c r="F282" s="1" t="s">
        <v>2738</v>
      </c>
      <c r="G282" s="2">
        <f>+251977568381</f>
        <v>251977568381</v>
      </c>
      <c r="H282" s="1" t="s">
        <v>18</v>
      </c>
      <c r="I282" s="1" t="s">
        <v>19</v>
      </c>
      <c r="J282" s="1" t="s">
        <v>19</v>
      </c>
      <c r="K282" s="1" t="s">
        <v>20</v>
      </c>
      <c r="L282" s="1">
        <v>23.61</v>
      </c>
      <c r="M282" s="1" t="s">
        <v>26</v>
      </c>
      <c r="O282" s="1">
        <v>2.51423556849E11</v>
      </c>
    </row>
    <row r="283">
      <c r="A283" s="1">
        <v>2004422.0</v>
      </c>
      <c r="B283" s="1" t="s">
        <v>2739</v>
      </c>
      <c r="C283" s="1" t="b">
        <v>1</v>
      </c>
      <c r="D283" s="1" t="b">
        <v>1</v>
      </c>
      <c r="E283" s="1" t="s">
        <v>2740</v>
      </c>
      <c r="F283" s="1" t="s">
        <v>2741</v>
      </c>
      <c r="G283" s="2">
        <f>+251901942023</f>
        <v>251901942023</v>
      </c>
      <c r="H283" s="1" t="s">
        <v>18</v>
      </c>
      <c r="I283" s="1" t="s">
        <v>19</v>
      </c>
      <c r="J283" s="1" t="s">
        <v>19</v>
      </c>
      <c r="K283" s="1" t="s">
        <v>20</v>
      </c>
      <c r="L283" s="1">
        <v>23.22</v>
      </c>
      <c r="M283" s="1" t="s">
        <v>21</v>
      </c>
      <c r="O283" s="1">
        <v>2.8556461012E10</v>
      </c>
    </row>
    <row r="284">
      <c r="A284" s="1">
        <v>181115.0</v>
      </c>
      <c r="B284" s="1" t="s">
        <v>2742</v>
      </c>
      <c r="C284" s="1" t="b">
        <v>1</v>
      </c>
      <c r="D284" s="1" t="b">
        <v>1</v>
      </c>
      <c r="E284" s="1" t="s">
        <v>1317</v>
      </c>
      <c r="F284" s="1" t="s">
        <v>2609</v>
      </c>
      <c r="G284" s="2">
        <f>+251925322653</f>
        <v>251925322653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26.99</v>
      </c>
      <c r="M284" s="1" t="s">
        <v>21</v>
      </c>
      <c r="O284" s="1">
        <v>1841542.0</v>
      </c>
    </row>
    <row r="285">
      <c r="A285" s="1">
        <v>1815029.0</v>
      </c>
      <c r="B285" s="1" t="s">
        <v>2743</v>
      </c>
      <c r="C285" s="1" t="b">
        <v>1</v>
      </c>
      <c r="D285" s="1" t="b">
        <v>1</v>
      </c>
      <c r="E285" s="1" t="s">
        <v>37</v>
      </c>
      <c r="F285" s="1" t="s">
        <v>2744</v>
      </c>
      <c r="G285" s="2">
        <f>+251938957234</f>
        <v>251938957234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31.44</v>
      </c>
      <c r="M285" s="1" t="s">
        <v>21</v>
      </c>
      <c r="O285" s="1">
        <v>2.4605968869E10</v>
      </c>
    </row>
    <row r="286">
      <c r="A286" s="1">
        <v>2774653.0</v>
      </c>
      <c r="B286" s="1" t="s">
        <v>2745</v>
      </c>
      <c r="C286" s="1" t="b">
        <v>1</v>
      </c>
      <c r="D286" s="1" t="b">
        <v>1</v>
      </c>
      <c r="E286" s="1" t="s">
        <v>294</v>
      </c>
      <c r="F286" s="1" t="s">
        <v>2746</v>
      </c>
      <c r="G286" s="2">
        <f>+251911116465</f>
        <v>251911116465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25.32</v>
      </c>
      <c r="M286" s="1" t="s">
        <v>21</v>
      </c>
      <c r="O286" s="1">
        <v>8867540.0</v>
      </c>
    </row>
    <row r="287">
      <c r="A287" s="1">
        <v>2774811.0</v>
      </c>
      <c r="B287" s="1" t="s">
        <v>2747</v>
      </c>
      <c r="C287" s="1" t="b">
        <v>1</v>
      </c>
      <c r="D287" s="1" t="b">
        <v>1</v>
      </c>
      <c r="E287" s="1" t="s">
        <v>2748</v>
      </c>
      <c r="F287" s="1" t="s">
        <v>102</v>
      </c>
      <c r="G287" s="2">
        <f>+251929529172</f>
        <v>251929529172</v>
      </c>
      <c r="H287" s="1" t="s">
        <v>18</v>
      </c>
      <c r="I287" s="1" t="s">
        <v>19</v>
      </c>
      <c r="J287" s="1" t="s">
        <v>19</v>
      </c>
      <c r="K287" s="1" t="s">
        <v>25</v>
      </c>
      <c r="L287" s="1">
        <v>25.3</v>
      </c>
      <c r="M287" s="1" t="s">
        <v>26</v>
      </c>
      <c r="O287" s="1">
        <v>2.52600077516E11</v>
      </c>
    </row>
    <row r="288">
      <c r="A288" s="1">
        <v>2775831.0</v>
      </c>
      <c r="B288" s="1" t="s">
        <v>2749</v>
      </c>
      <c r="C288" s="1" t="b">
        <v>0</v>
      </c>
      <c r="D288" s="1" t="b">
        <v>1</v>
      </c>
      <c r="E288" s="1" t="s">
        <v>2750</v>
      </c>
      <c r="F288" s="1" t="s">
        <v>1326</v>
      </c>
      <c r="G288" s="2">
        <f>+251943781540</f>
        <v>251943781540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22.17</v>
      </c>
      <c r="M288" s="1" t="s">
        <v>33</v>
      </c>
      <c r="N288" s="1" t="s">
        <v>166</v>
      </c>
      <c r="O288" s="1">
        <v>2.53028058305E11</v>
      </c>
    </row>
    <row r="289">
      <c r="A289" s="1">
        <v>2461068.0</v>
      </c>
      <c r="B289" s="1" t="s">
        <v>2751</v>
      </c>
      <c r="C289" s="1" t="b">
        <v>1</v>
      </c>
      <c r="D289" s="1" t="b">
        <v>1</v>
      </c>
      <c r="E289" s="1" t="s">
        <v>2752</v>
      </c>
      <c r="F289" s="1" t="s">
        <v>1783</v>
      </c>
      <c r="G289" s="2">
        <f>+251913293597</f>
        <v>251913293597</v>
      </c>
      <c r="H289" s="1" t="s">
        <v>18</v>
      </c>
      <c r="I289" s="1" t="s">
        <v>19</v>
      </c>
      <c r="J289" s="1" t="s">
        <v>19</v>
      </c>
      <c r="K289" s="1" t="s">
        <v>20</v>
      </c>
      <c r="L289" s="1">
        <v>35.62</v>
      </c>
      <c r="M289" s="1" t="s">
        <v>21</v>
      </c>
      <c r="O289" s="1">
        <v>1.11251547337E11</v>
      </c>
    </row>
    <row r="290">
      <c r="A290" s="1">
        <v>2776908.0</v>
      </c>
      <c r="B290" s="1" t="s">
        <v>2753</v>
      </c>
      <c r="C290" s="1" t="b">
        <v>1</v>
      </c>
      <c r="D290" s="1" t="b">
        <v>1</v>
      </c>
      <c r="E290" s="1" t="s">
        <v>1403</v>
      </c>
      <c r="F290" s="1" t="s">
        <v>2693</v>
      </c>
      <c r="G290" s="2">
        <f>+251913132147</f>
        <v>251913132147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35.98</v>
      </c>
      <c r="M290" s="1" t="s">
        <v>21</v>
      </c>
      <c r="O290" s="1">
        <v>5463198.0</v>
      </c>
    </row>
    <row r="291">
      <c r="A291" s="1">
        <v>502683.0</v>
      </c>
      <c r="B291" s="1" t="s">
        <v>2754</v>
      </c>
      <c r="C291" s="1" t="b">
        <v>1</v>
      </c>
      <c r="D291" s="1" t="b">
        <v>1</v>
      </c>
      <c r="E291" s="1" t="s">
        <v>2755</v>
      </c>
      <c r="F291" s="1" t="s">
        <v>1267</v>
      </c>
      <c r="G291" s="1">
        <v>9.66228918E8</v>
      </c>
      <c r="H291" s="1" t="s">
        <v>18</v>
      </c>
      <c r="I291" s="1" t="s">
        <v>19</v>
      </c>
      <c r="J291" s="1" t="s">
        <v>19</v>
      </c>
      <c r="K291" s="1" t="s">
        <v>25</v>
      </c>
      <c r="L291" s="1">
        <v>35.73</v>
      </c>
      <c r="M291" s="1" t="s">
        <v>33</v>
      </c>
      <c r="N291" s="1" t="s">
        <v>76</v>
      </c>
      <c r="O291" s="1">
        <v>2.5684753E7</v>
      </c>
    </row>
    <row r="292">
      <c r="A292" s="1">
        <v>2777181.0</v>
      </c>
      <c r="B292" s="1" t="s">
        <v>2756</v>
      </c>
      <c r="C292" s="1" t="b">
        <v>1</v>
      </c>
      <c r="D292" s="1" t="b">
        <v>1</v>
      </c>
      <c r="E292" s="1" t="s">
        <v>2757</v>
      </c>
      <c r="F292" s="1" t="s">
        <v>2242</v>
      </c>
      <c r="G292" s="2">
        <f>+251937808100</f>
        <v>251937808100</v>
      </c>
      <c r="H292" s="1" t="s">
        <v>18</v>
      </c>
      <c r="I292" s="1" t="s">
        <v>19</v>
      </c>
      <c r="J292" s="1" t="s">
        <v>498</v>
      </c>
      <c r="K292" s="1" t="s">
        <v>20</v>
      </c>
      <c r="L292" s="1">
        <v>22.83</v>
      </c>
      <c r="M292" s="1" t="s">
        <v>33</v>
      </c>
      <c r="N292" s="1" t="s">
        <v>34</v>
      </c>
      <c r="O292" s="1">
        <v>1294323.0</v>
      </c>
    </row>
    <row r="293">
      <c r="A293" s="1">
        <v>2777542.0</v>
      </c>
      <c r="B293" s="1" t="s">
        <v>2758</v>
      </c>
      <c r="C293" s="1" t="b">
        <v>1</v>
      </c>
      <c r="D293" s="1" t="b">
        <v>1</v>
      </c>
      <c r="E293" s="1" t="s">
        <v>2759</v>
      </c>
      <c r="F293" s="1" t="s">
        <v>487</v>
      </c>
      <c r="G293" s="2">
        <f>+251901923838</f>
        <v>251901923838</v>
      </c>
      <c r="H293" s="1" t="s">
        <v>18</v>
      </c>
      <c r="I293" s="1" t="s">
        <v>19</v>
      </c>
      <c r="J293" s="1" t="s">
        <v>19</v>
      </c>
      <c r="K293" s="1" t="s">
        <v>20</v>
      </c>
      <c r="L293" s="1">
        <v>27.91</v>
      </c>
      <c r="M293" s="1" t="s">
        <v>21</v>
      </c>
      <c r="O293" s="1">
        <v>1865740.0</v>
      </c>
    </row>
    <row r="294">
      <c r="A294" s="1">
        <v>1927750.0</v>
      </c>
      <c r="B294" s="1" t="s">
        <v>2760</v>
      </c>
      <c r="C294" s="1" t="b">
        <v>1</v>
      </c>
      <c r="D294" s="1" t="b">
        <v>1</v>
      </c>
      <c r="E294" s="1" t="s">
        <v>101</v>
      </c>
      <c r="F294" s="1" t="s">
        <v>2017</v>
      </c>
      <c r="G294" s="2">
        <f>+251942620184</f>
        <v>251942620184</v>
      </c>
      <c r="H294" s="1" t="s">
        <v>392</v>
      </c>
      <c r="I294" s="1" t="s">
        <v>19</v>
      </c>
      <c r="J294" s="1" t="s">
        <v>19</v>
      </c>
      <c r="K294" s="1" t="s">
        <v>25</v>
      </c>
      <c r="L294" s="1">
        <v>22.13</v>
      </c>
      <c r="M294" s="1" t="s">
        <v>21</v>
      </c>
      <c r="O294" s="1">
        <v>2.679073509E10</v>
      </c>
    </row>
    <row r="295">
      <c r="A295" s="1">
        <v>2777920.0</v>
      </c>
      <c r="B295" s="1" t="s">
        <v>2761</v>
      </c>
      <c r="C295" s="1" t="b">
        <v>1</v>
      </c>
      <c r="D295" s="1" t="b">
        <v>1</v>
      </c>
      <c r="E295" s="1" t="s">
        <v>758</v>
      </c>
      <c r="F295" s="1" t="s">
        <v>2762</v>
      </c>
      <c r="G295" s="2">
        <f>+251929675645</f>
        <v>251929675645</v>
      </c>
      <c r="H295" s="1" t="s">
        <v>18</v>
      </c>
      <c r="I295" s="1" t="s">
        <v>19</v>
      </c>
      <c r="J295" s="1" t="s">
        <v>19</v>
      </c>
      <c r="K295" s="1" t="s">
        <v>25</v>
      </c>
      <c r="L295" s="1">
        <v>24.94</v>
      </c>
      <c r="M295" s="1" t="s">
        <v>33</v>
      </c>
      <c r="N295" s="1" t="s">
        <v>118</v>
      </c>
    </row>
    <row r="296">
      <c r="A296" s="1">
        <v>2778451.0</v>
      </c>
      <c r="B296" s="1" t="s">
        <v>2763</v>
      </c>
      <c r="C296" s="1" t="b">
        <v>0</v>
      </c>
      <c r="D296" s="1" t="b">
        <v>1</v>
      </c>
      <c r="E296" s="1" t="s">
        <v>2764</v>
      </c>
      <c r="F296" s="1" t="s">
        <v>2765</v>
      </c>
      <c r="G296" s="2">
        <f>+251927457364</f>
        <v>251927457364</v>
      </c>
      <c r="H296" s="1" t="s">
        <v>18</v>
      </c>
      <c r="I296" s="1" t="s">
        <v>19</v>
      </c>
      <c r="J296" s="1" t="s">
        <v>19</v>
      </c>
      <c r="K296" s="1" t="s">
        <v>25</v>
      </c>
      <c r="L296" s="1">
        <v>27.0</v>
      </c>
      <c r="M296" s="1" t="s">
        <v>26</v>
      </c>
    </row>
    <row r="297">
      <c r="A297" s="1">
        <v>2388170.0</v>
      </c>
      <c r="B297" s="1" t="s">
        <v>2766</v>
      </c>
      <c r="C297" s="1" t="b">
        <v>1</v>
      </c>
      <c r="D297" s="1" t="b">
        <v>1</v>
      </c>
      <c r="E297" s="1" t="s">
        <v>500</v>
      </c>
      <c r="F297" s="1" t="s">
        <v>2767</v>
      </c>
      <c r="G297" s="2">
        <f>+251966190072</f>
        <v>251966190072</v>
      </c>
      <c r="H297" s="1" t="s">
        <v>58</v>
      </c>
      <c r="I297" s="1" t="s">
        <v>19</v>
      </c>
      <c r="J297" s="1" t="s">
        <v>19</v>
      </c>
      <c r="K297" s="1" t="s">
        <v>25</v>
      </c>
      <c r="L297" s="1">
        <v>33.69</v>
      </c>
      <c r="M297" s="1" t="s">
        <v>21</v>
      </c>
      <c r="O297" s="1">
        <v>4.2118916291E10</v>
      </c>
    </row>
    <row r="298">
      <c r="A298" s="1">
        <v>2776466.0</v>
      </c>
      <c r="B298" s="1" t="s">
        <v>2768</v>
      </c>
      <c r="C298" s="1" t="b">
        <v>1</v>
      </c>
      <c r="D298" s="1" t="b">
        <v>1</v>
      </c>
      <c r="E298" s="1" t="s">
        <v>1590</v>
      </c>
      <c r="F298" s="1" t="s">
        <v>96</v>
      </c>
      <c r="G298" s="1">
        <v>9.12125596E8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50.42</v>
      </c>
      <c r="M298" s="1" t="s">
        <v>33</v>
      </c>
      <c r="N298" s="1" t="s">
        <v>235</v>
      </c>
    </row>
    <row r="299">
      <c r="A299" s="1">
        <v>2780075.0</v>
      </c>
      <c r="B299" s="1" t="s">
        <v>2769</v>
      </c>
      <c r="C299" s="1" t="b">
        <v>1</v>
      </c>
      <c r="D299" s="1" t="b">
        <v>1</v>
      </c>
      <c r="E299" s="1" t="s">
        <v>1407</v>
      </c>
      <c r="F299" s="1" t="s">
        <v>2770</v>
      </c>
      <c r="G299" s="2">
        <f>+251910611421</f>
        <v>251910611421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38.56</v>
      </c>
      <c r="M299" s="1" t="s">
        <v>21</v>
      </c>
    </row>
    <row r="300">
      <c r="A300" s="1">
        <v>1436457.0</v>
      </c>
      <c r="B300" s="1" t="s">
        <v>2771</v>
      </c>
      <c r="C300" s="1" t="b">
        <v>1</v>
      </c>
      <c r="D300" s="1" t="b">
        <v>0</v>
      </c>
      <c r="E300" s="1" t="s">
        <v>2772</v>
      </c>
      <c r="F300" s="1" t="s">
        <v>2773</v>
      </c>
      <c r="G300" s="2">
        <f>+251913041986</f>
        <v>251913041986</v>
      </c>
      <c r="H300" s="1" t="s">
        <v>18</v>
      </c>
      <c r="I300" s="1" t="s">
        <v>19</v>
      </c>
      <c r="J300" s="1" t="s">
        <v>19</v>
      </c>
      <c r="K300" s="1" t="s">
        <v>25</v>
      </c>
      <c r="L300" s="1">
        <v>36.98</v>
      </c>
      <c r="M300" s="1" t="s">
        <v>21</v>
      </c>
      <c r="O300" s="1">
        <v>1.485086668E10</v>
      </c>
    </row>
    <row r="301">
      <c r="A301" s="1">
        <v>2494407.0</v>
      </c>
      <c r="B301" s="1" t="s">
        <v>2774</v>
      </c>
      <c r="C301" s="1" t="b">
        <v>1</v>
      </c>
      <c r="D301" s="1" t="b">
        <v>1</v>
      </c>
      <c r="E301" s="1" t="s">
        <v>2775</v>
      </c>
      <c r="F301" s="1" t="s">
        <v>2776</v>
      </c>
      <c r="G301" s="2">
        <f>+251911099041</f>
        <v>251911099041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34.14</v>
      </c>
      <c r="M301" s="1" t="s">
        <v>21</v>
      </c>
      <c r="O301" s="1">
        <v>1.30146789612E11</v>
      </c>
    </row>
    <row r="302">
      <c r="A302" s="1">
        <v>2752105.0</v>
      </c>
      <c r="B302" s="1" t="s">
        <v>2777</v>
      </c>
      <c r="C302" s="1" t="b">
        <v>1</v>
      </c>
      <c r="D302" s="1" t="b">
        <v>1</v>
      </c>
      <c r="E302" s="1" t="s">
        <v>2778</v>
      </c>
      <c r="F302" s="1" t="s">
        <v>361</v>
      </c>
      <c r="G302" s="2">
        <f>+251928235719</f>
        <v>251928235719</v>
      </c>
      <c r="H302" s="1" t="s">
        <v>18</v>
      </c>
      <c r="I302" s="1" t="s">
        <v>19</v>
      </c>
      <c r="J302" s="1" t="s">
        <v>19</v>
      </c>
      <c r="K302" s="1" t="s">
        <v>25</v>
      </c>
      <c r="L302" s="1">
        <v>22.75</v>
      </c>
      <c r="M302" s="1" t="s">
        <v>21</v>
      </c>
      <c r="O302" s="1">
        <v>1.05341286625E11</v>
      </c>
    </row>
    <row r="303">
      <c r="A303" s="1">
        <v>2781555.0</v>
      </c>
      <c r="B303" s="1" t="s">
        <v>2779</v>
      </c>
      <c r="C303" s="1" t="b">
        <v>1</v>
      </c>
      <c r="D303" s="1" t="b">
        <v>1</v>
      </c>
      <c r="E303" s="1" t="s">
        <v>16</v>
      </c>
      <c r="F303" s="1" t="s">
        <v>2780</v>
      </c>
      <c r="G303" s="2">
        <f>+251929738853</f>
        <v>251929738853</v>
      </c>
      <c r="H303" s="1" t="s">
        <v>18</v>
      </c>
      <c r="I303" s="1" t="s">
        <v>19</v>
      </c>
      <c r="J303" s="1" t="s">
        <v>19</v>
      </c>
      <c r="K303" s="1" t="s">
        <v>20</v>
      </c>
      <c r="L303" s="1">
        <v>21.6</v>
      </c>
      <c r="M303" s="1" t="s">
        <v>21</v>
      </c>
    </row>
    <row r="304">
      <c r="A304" s="1">
        <v>2652411.0</v>
      </c>
      <c r="B304" s="1" t="s">
        <v>2781</v>
      </c>
      <c r="C304" s="1" t="b">
        <v>1</v>
      </c>
      <c r="D304" s="1" t="b">
        <v>1</v>
      </c>
      <c r="E304" s="1" t="s">
        <v>646</v>
      </c>
      <c r="F304" s="1" t="s">
        <v>2782</v>
      </c>
      <c r="G304" s="2">
        <f>+251961148242</f>
        <v>251961148242</v>
      </c>
      <c r="H304" s="1" t="s">
        <v>18</v>
      </c>
      <c r="I304" s="1" t="s">
        <v>19</v>
      </c>
      <c r="J304" s="1" t="s">
        <v>19</v>
      </c>
      <c r="K304" s="1" t="s">
        <v>20</v>
      </c>
      <c r="L304" s="1">
        <v>23.7</v>
      </c>
      <c r="M304" s="1" t="s">
        <v>21</v>
      </c>
      <c r="O304" s="1">
        <v>2.0965086844E11</v>
      </c>
    </row>
    <row r="305">
      <c r="A305" s="1">
        <v>2782639.0</v>
      </c>
      <c r="B305" s="1" t="s">
        <v>2783</v>
      </c>
      <c r="C305" s="1" t="b">
        <v>1</v>
      </c>
      <c r="D305" s="1" t="b">
        <v>1</v>
      </c>
      <c r="E305" s="1" t="s">
        <v>2429</v>
      </c>
      <c r="F305" s="1" t="s">
        <v>2784</v>
      </c>
      <c r="G305" s="2">
        <f>+251911872707</f>
        <v>251911872707</v>
      </c>
      <c r="H305" s="1" t="s">
        <v>18</v>
      </c>
      <c r="I305" s="1" t="s">
        <v>19</v>
      </c>
      <c r="J305" s="1" t="s">
        <v>19</v>
      </c>
      <c r="K305" s="1" t="s">
        <v>20</v>
      </c>
      <c r="L305" s="1">
        <v>48.86</v>
      </c>
      <c r="M305" s="1" t="s">
        <v>21</v>
      </c>
      <c r="O305" s="1">
        <v>2.55450193116E11</v>
      </c>
    </row>
    <row r="306">
      <c r="A306" s="1">
        <v>1579667.0</v>
      </c>
      <c r="B306" s="1" t="s">
        <v>2785</v>
      </c>
      <c r="C306" s="1" t="b">
        <v>1</v>
      </c>
      <c r="D306" s="1" t="b">
        <v>1</v>
      </c>
      <c r="E306" s="1" t="s">
        <v>2786</v>
      </c>
      <c r="F306" s="1" t="s">
        <v>2787</v>
      </c>
      <c r="G306" s="2">
        <f>+12533848478</f>
        <v>12533848478</v>
      </c>
      <c r="H306" s="1" t="s">
        <v>18</v>
      </c>
      <c r="I306" s="1" t="s">
        <v>19</v>
      </c>
      <c r="J306" s="1" t="s">
        <v>2788</v>
      </c>
      <c r="K306" s="1" t="s">
        <v>25</v>
      </c>
      <c r="L306" s="1">
        <v>21.73</v>
      </c>
      <c r="M306" s="1" t="s">
        <v>33</v>
      </c>
      <c r="N306" s="1" t="s">
        <v>65</v>
      </c>
      <c r="O306" s="1">
        <v>1903623.0</v>
      </c>
    </row>
    <row r="307">
      <c r="A307" s="1">
        <v>2782914.0</v>
      </c>
      <c r="B307" s="1" t="s">
        <v>2789</v>
      </c>
      <c r="C307" s="1" t="b">
        <v>1</v>
      </c>
      <c r="D307" s="1" t="b">
        <v>0</v>
      </c>
      <c r="E307" s="1" t="s">
        <v>2790</v>
      </c>
      <c r="F307" s="1" t="s">
        <v>2240</v>
      </c>
      <c r="G307" s="2">
        <f>+251968594591</f>
        <v>251968594591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21.54</v>
      </c>
      <c r="M307" s="1" t="s">
        <v>21</v>
      </c>
      <c r="O307" s="1">
        <v>2.55552263416E11</v>
      </c>
    </row>
    <row r="308">
      <c r="A308" s="1">
        <v>1688034.0</v>
      </c>
      <c r="B308" s="1" t="s">
        <v>2791</v>
      </c>
      <c r="C308" s="1" t="b">
        <v>1</v>
      </c>
      <c r="D308" s="1" t="b">
        <v>0</v>
      </c>
      <c r="E308" s="1" t="s">
        <v>1157</v>
      </c>
      <c r="F308" s="1" t="s">
        <v>2792</v>
      </c>
      <c r="G308" s="2">
        <f>+251927707632</f>
        <v>251927707632</v>
      </c>
      <c r="H308" s="1" t="s">
        <v>18</v>
      </c>
      <c r="I308" s="1" t="s">
        <v>19</v>
      </c>
      <c r="J308" s="1" t="s">
        <v>19</v>
      </c>
      <c r="K308" s="1" t="s">
        <v>20</v>
      </c>
      <c r="L308" s="1">
        <v>29.1</v>
      </c>
      <c r="M308" s="1" t="s">
        <v>21</v>
      </c>
      <c r="O308" s="1">
        <v>2.5704699E7</v>
      </c>
    </row>
    <row r="309">
      <c r="A309" s="1">
        <v>2783838.0</v>
      </c>
      <c r="B309" s="1" t="s">
        <v>2793</v>
      </c>
      <c r="C309" s="1" t="b">
        <v>1</v>
      </c>
      <c r="D309" s="1" t="b">
        <v>1</v>
      </c>
      <c r="E309" s="1" t="s">
        <v>1323</v>
      </c>
      <c r="F309" s="1" t="s">
        <v>375</v>
      </c>
      <c r="G309" s="2">
        <f>+251954926213</f>
        <v>251954926213</v>
      </c>
      <c r="H309" s="1" t="s">
        <v>18</v>
      </c>
      <c r="I309" s="1" t="s">
        <v>19</v>
      </c>
      <c r="J309" s="1" t="s">
        <v>19</v>
      </c>
      <c r="K309" s="1" t="s">
        <v>25</v>
      </c>
      <c r="L309" s="1">
        <v>26.43</v>
      </c>
      <c r="M309" s="1" t="s">
        <v>33</v>
      </c>
      <c r="N309" s="1" t="s">
        <v>34</v>
      </c>
      <c r="O309" s="1">
        <v>1506309.0</v>
      </c>
    </row>
    <row r="310">
      <c r="A310" s="1">
        <v>2786435.0</v>
      </c>
      <c r="B310" s="1" t="s">
        <v>2794</v>
      </c>
      <c r="C310" s="1" t="b">
        <v>1</v>
      </c>
      <c r="D310" s="1" t="b">
        <v>1</v>
      </c>
      <c r="E310" s="1" t="s">
        <v>1105</v>
      </c>
      <c r="F310" s="1" t="s">
        <v>2795</v>
      </c>
      <c r="G310" s="2">
        <f>+251960604878</f>
        <v>251960604878</v>
      </c>
      <c r="H310" s="1" t="s">
        <v>18</v>
      </c>
      <c r="I310" s="1" t="s">
        <v>19</v>
      </c>
      <c r="J310" s="1" t="s">
        <v>19</v>
      </c>
      <c r="K310" s="1" t="s">
        <v>20</v>
      </c>
      <c r="L310" s="1">
        <v>20.79</v>
      </c>
      <c r="M310" s="1" t="s">
        <v>21</v>
      </c>
      <c r="O310" s="1">
        <v>2.4640854E7</v>
      </c>
    </row>
    <row r="311">
      <c r="A311" s="1">
        <v>2787677.0</v>
      </c>
      <c r="B311" s="1" t="s">
        <v>2796</v>
      </c>
      <c r="C311" s="1" t="b">
        <v>1</v>
      </c>
      <c r="D311" s="1" t="b">
        <v>1</v>
      </c>
      <c r="E311" s="1" t="s">
        <v>141</v>
      </c>
      <c r="F311" s="1" t="s">
        <v>141</v>
      </c>
      <c r="G311" s="2">
        <f>+251989965969</f>
        <v>251989965969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21.25</v>
      </c>
      <c r="M311" s="1" t="s">
        <v>21</v>
      </c>
      <c r="O311" s="1">
        <v>5947923.0</v>
      </c>
    </row>
    <row r="312">
      <c r="A312" s="1">
        <v>2430270.0</v>
      </c>
      <c r="B312" s="1" t="s">
        <v>2797</v>
      </c>
      <c r="C312" s="1" t="b">
        <v>1</v>
      </c>
      <c r="D312" s="1" t="b">
        <v>1</v>
      </c>
      <c r="E312" s="1" t="s">
        <v>2385</v>
      </c>
      <c r="F312" s="1" t="s">
        <v>338</v>
      </c>
      <c r="G312" s="2">
        <f>+251939518095</f>
        <v>251939518095</v>
      </c>
      <c r="H312" s="1" t="s">
        <v>18</v>
      </c>
      <c r="I312" s="1" t="s">
        <v>19</v>
      </c>
      <c r="J312" s="1" t="s">
        <v>19</v>
      </c>
      <c r="K312" s="1" t="s">
        <v>25</v>
      </c>
      <c r="L312" s="1">
        <v>19.73</v>
      </c>
      <c r="M312" s="1" t="s">
        <v>21</v>
      </c>
      <c r="O312" s="1">
        <v>8731954.0</v>
      </c>
    </row>
    <row r="313">
      <c r="A313" s="1">
        <v>2787375.0</v>
      </c>
      <c r="B313" s="1" t="s">
        <v>2798</v>
      </c>
      <c r="C313" s="1" t="b">
        <v>1</v>
      </c>
      <c r="D313" s="1" t="b">
        <v>1</v>
      </c>
      <c r="E313" s="1" t="s">
        <v>2160</v>
      </c>
      <c r="F313" s="1" t="s">
        <v>2799</v>
      </c>
      <c r="G313" s="2">
        <f>+251930994050</f>
        <v>251930994050</v>
      </c>
      <c r="H313" s="1" t="s">
        <v>18</v>
      </c>
      <c r="I313" s="1" t="s">
        <v>19</v>
      </c>
      <c r="J313" s="1" t="s">
        <v>19</v>
      </c>
      <c r="K313" s="1" t="s">
        <v>25</v>
      </c>
      <c r="L313" s="1">
        <v>29.21</v>
      </c>
      <c r="M313" s="1" t="s">
        <v>21</v>
      </c>
      <c r="O313" s="1">
        <v>2.56390137063E11</v>
      </c>
    </row>
    <row r="314">
      <c r="A314" s="1">
        <v>2790540.0</v>
      </c>
      <c r="B314" s="1" t="s">
        <v>2800</v>
      </c>
      <c r="C314" s="1" t="b">
        <v>1</v>
      </c>
      <c r="D314" s="1" t="b">
        <v>1</v>
      </c>
      <c r="E314" s="1" t="s">
        <v>2801</v>
      </c>
      <c r="F314" s="1" t="s">
        <v>2802</v>
      </c>
      <c r="G314" s="2">
        <f>+251911941770</f>
        <v>251911941770</v>
      </c>
      <c r="H314" s="1" t="s">
        <v>18</v>
      </c>
      <c r="I314" s="1" t="s">
        <v>19</v>
      </c>
      <c r="J314" s="1" t="s">
        <v>19</v>
      </c>
      <c r="K314" s="1" t="s">
        <v>20</v>
      </c>
      <c r="L314" s="1">
        <v>29.41</v>
      </c>
      <c r="M314" s="1" t="s">
        <v>21</v>
      </c>
      <c r="O314" s="1">
        <v>1.0528369E7</v>
      </c>
    </row>
    <row r="315">
      <c r="A315" s="1">
        <v>2719528.0</v>
      </c>
      <c r="B315" s="1" t="s">
        <v>2803</v>
      </c>
      <c r="C315" s="1" t="b">
        <v>1</v>
      </c>
      <c r="D315" s="1" t="b">
        <v>1</v>
      </c>
      <c r="E315" s="1" t="s">
        <v>2474</v>
      </c>
      <c r="F315" s="1" t="s">
        <v>2804</v>
      </c>
      <c r="G315" s="2">
        <f>+251913178540</f>
        <v>251913178540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24.68</v>
      </c>
      <c r="M315" s="1" t="s">
        <v>21</v>
      </c>
    </row>
    <row r="316">
      <c r="A316" s="1">
        <v>2370512.0</v>
      </c>
      <c r="B316" s="1" t="s">
        <v>2805</v>
      </c>
      <c r="C316" s="1" t="b">
        <v>1</v>
      </c>
      <c r="D316" s="1" t="b">
        <v>1</v>
      </c>
      <c r="E316" s="1" t="s">
        <v>250</v>
      </c>
      <c r="F316" s="1" t="s">
        <v>1333</v>
      </c>
      <c r="G316" s="2">
        <f>+251924003522</f>
        <v>251924003522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24.23</v>
      </c>
      <c r="M316" s="1" t="s">
        <v>21</v>
      </c>
      <c r="O316" s="1">
        <v>4.062127946E10</v>
      </c>
    </row>
    <row r="317">
      <c r="A317" s="1">
        <v>1853148.0</v>
      </c>
      <c r="B317" s="1" t="s">
        <v>2806</v>
      </c>
      <c r="C317" s="1" t="b">
        <v>1</v>
      </c>
      <c r="D317" s="1" t="b">
        <v>0</v>
      </c>
      <c r="E317" s="1" t="s">
        <v>2807</v>
      </c>
      <c r="F317" s="1" t="s">
        <v>2808</v>
      </c>
      <c r="G317" s="2">
        <f>+601169880785</f>
        <v>601169880785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23.43</v>
      </c>
      <c r="M317" s="1" t="s">
        <v>33</v>
      </c>
      <c r="N317" s="1" t="s">
        <v>34</v>
      </c>
      <c r="O317" s="1">
        <v>2.5379797486E10</v>
      </c>
    </row>
    <row r="318">
      <c r="A318" s="1">
        <v>422944.0</v>
      </c>
      <c r="B318" s="1" t="s">
        <v>2809</v>
      </c>
      <c r="C318" s="1" t="b">
        <v>1</v>
      </c>
      <c r="D318" s="1" t="b">
        <v>1</v>
      </c>
      <c r="E318" s="1" t="s">
        <v>154</v>
      </c>
      <c r="F318" s="1" t="s">
        <v>2810</v>
      </c>
      <c r="G318" s="2">
        <f>+251913764517</f>
        <v>251913764517</v>
      </c>
      <c r="H318" s="1" t="s">
        <v>18</v>
      </c>
      <c r="I318" s="1" t="s">
        <v>19</v>
      </c>
      <c r="J318" s="1" t="s">
        <v>19</v>
      </c>
      <c r="K318" s="1" t="s">
        <v>25</v>
      </c>
      <c r="L318" s="1">
        <v>31.32</v>
      </c>
      <c r="M318" s="1" t="s">
        <v>21</v>
      </c>
      <c r="O318" s="1">
        <v>1683666.0</v>
      </c>
    </row>
    <row r="319">
      <c r="A319" s="1">
        <v>2797857.0</v>
      </c>
      <c r="B319" s="1" t="s">
        <v>2811</v>
      </c>
      <c r="C319" s="1" t="b">
        <v>1</v>
      </c>
      <c r="D319" s="1" t="b">
        <v>0</v>
      </c>
      <c r="E319" s="1" t="s">
        <v>2812</v>
      </c>
      <c r="F319" s="1" t="s">
        <v>2813</v>
      </c>
      <c r="G319" s="2">
        <f>+251912135335</f>
        <v>251912135335</v>
      </c>
      <c r="H319" s="1" t="s">
        <v>18</v>
      </c>
      <c r="I319" s="1" t="s">
        <v>19</v>
      </c>
      <c r="J319" s="1" t="s">
        <v>19</v>
      </c>
      <c r="K319" s="1" t="s">
        <v>25</v>
      </c>
      <c r="L319" s="1">
        <v>38.22</v>
      </c>
      <c r="M319" s="1" t="s">
        <v>21</v>
      </c>
      <c r="O319" s="1">
        <v>2.59287655642E11</v>
      </c>
    </row>
    <row r="320">
      <c r="A320" s="1">
        <v>2799562.0</v>
      </c>
      <c r="B320" s="1" t="s">
        <v>2814</v>
      </c>
      <c r="C320" s="1" t="b">
        <v>1</v>
      </c>
      <c r="D320" s="1" t="b">
        <v>1</v>
      </c>
      <c r="E320" s="1" t="s">
        <v>2815</v>
      </c>
      <c r="F320" s="1" t="s">
        <v>2816</v>
      </c>
      <c r="G320" s="2">
        <f>+251917347974</f>
        <v>251917347974</v>
      </c>
      <c r="H320" s="1" t="s">
        <v>18</v>
      </c>
      <c r="I320" s="1" t="s">
        <v>19</v>
      </c>
      <c r="J320" s="1" t="s">
        <v>19</v>
      </c>
      <c r="K320" s="1" t="s">
        <v>25</v>
      </c>
      <c r="L320" s="1">
        <v>31.92</v>
      </c>
      <c r="M320" s="1" t="s">
        <v>21</v>
      </c>
      <c r="O320" s="1">
        <v>3996023.0</v>
      </c>
    </row>
    <row r="321">
      <c r="A321" s="1">
        <v>2800620.0</v>
      </c>
      <c r="B321" s="1" t="s">
        <v>2817</v>
      </c>
      <c r="C321" s="1" t="b">
        <v>1</v>
      </c>
      <c r="D321" s="1" t="b">
        <v>1</v>
      </c>
      <c r="E321" s="1" t="s">
        <v>390</v>
      </c>
      <c r="F321" s="1" t="s">
        <v>929</v>
      </c>
      <c r="G321" s="2">
        <f>+251921605093</f>
        <v>251921605093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26.41</v>
      </c>
      <c r="M321" s="1" t="s">
        <v>21</v>
      </c>
      <c r="O321" s="1">
        <v>2.59984464101E11</v>
      </c>
    </row>
    <row r="322">
      <c r="A322" s="1">
        <v>624934.0</v>
      </c>
      <c r="B322" s="1" t="s">
        <v>2818</v>
      </c>
      <c r="C322" s="1" t="b">
        <v>1</v>
      </c>
      <c r="D322" s="1" t="b">
        <v>1</v>
      </c>
      <c r="E322" s="1" t="s">
        <v>2819</v>
      </c>
      <c r="F322" s="1" t="s">
        <v>2820</v>
      </c>
      <c r="G322" s="2">
        <f>+251968766877</f>
        <v>251968766877</v>
      </c>
      <c r="H322" s="1" t="s">
        <v>72</v>
      </c>
      <c r="I322" s="1" t="s">
        <v>19</v>
      </c>
      <c r="J322" s="1" t="s">
        <v>19</v>
      </c>
      <c r="K322" s="1" t="s">
        <v>25</v>
      </c>
      <c r="L322" s="1">
        <v>45.09</v>
      </c>
      <c r="M322" s="1" t="s">
        <v>21</v>
      </c>
      <c r="O322" s="1">
        <v>2.9039203E7</v>
      </c>
    </row>
    <row r="323">
      <c r="A323" s="1">
        <v>2800935.0</v>
      </c>
      <c r="B323" s="1" t="s">
        <v>2821</v>
      </c>
      <c r="C323" s="1" t="b">
        <v>0</v>
      </c>
      <c r="D323" s="1" t="b">
        <v>1</v>
      </c>
      <c r="E323" s="1" t="s">
        <v>2822</v>
      </c>
      <c r="F323" s="1" t="s">
        <v>2823</v>
      </c>
      <c r="G323" s="2">
        <f>+251910361812</f>
        <v>251910361812</v>
      </c>
      <c r="H323" s="1" t="s">
        <v>18</v>
      </c>
      <c r="I323" s="1" t="s">
        <v>19</v>
      </c>
      <c r="J323" s="1" t="s">
        <v>19</v>
      </c>
      <c r="K323" s="1" t="s">
        <v>25</v>
      </c>
      <c r="L323" s="1">
        <v>25.36</v>
      </c>
      <c r="M323" s="1" t="s">
        <v>33</v>
      </c>
      <c r="N323" s="1" t="s">
        <v>65</v>
      </c>
      <c r="O323" s="1">
        <v>2.60009073895E11</v>
      </c>
    </row>
    <row r="324">
      <c r="A324" s="1">
        <v>893063.0</v>
      </c>
      <c r="B324" s="1" t="s">
        <v>2824</v>
      </c>
      <c r="C324" s="1" t="b">
        <v>1</v>
      </c>
      <c r="D324" s="1" t="b">
        <v>1</v>
      </c>
      <c r="E324" s="1" t="s">
        <v>2825</v>
      </c>
      <c r="F324" s="1" t="s">
        <v>2825</v>
      </c>
      <c r="G324" s="1">
        <v>9.11705843E8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39.49</v>
      </c>
      <c r="M324" s="1" t="s">
        <v>33</v>
      </c>
      <c r="N324" s="1" t="s">
        <v>34</v>
      </c>
      <c r="O324" s="1">
        <v>1029229.0</v>
      </c>
    </row>
    <row r="325">
      <c r="A325" s="1">
        <v>2497281.0</v>
      </c>
      <c r="B325" s="1" t="s">
        <v>2826</v>
      </c>
      <c r="C325" s="1" t="b">
        <v>1</v>
      </c>
      <c r="D325" s="1" t="b">
        <v>1</v>
      </c>
      <c r="E325" s="1" t="s">
        <v>774</v>
      </c>
      <c r="F325" s="1" t="s">
        <v>2827</v>
      </c>
      <c r="G325" s="2">
        <f>+251910060865</f>
        <v>251910060865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31.74</v>
      </c>
      <c r="M325" s="1" t="s">
        <v>21</v>
      </c>
      <c r="O325" s="1">
        <v>1.32641037517E11</v>
      </c>
    </row>
    <row r="326">
      <c r="A326" s="1">
        <v>448985.0</v>
      </c>
      <c r="B326" s="1" t="s">
        <v>2828</v>
      </c>
      <c r="C326" s="1" t="b">
        <v>1</v>
      </c>
      <c r="D326" s="1" t="b">
        <v>1</v>
      </c>
      <c r="E326" s="1" t="s">
        <v>2829</v>
      </c>
      <c r="F326" s="1" t="s">
        <v>278</v>
      </c>
      <c r="G326" s="1">
        <v>9.66714536E8</v>
      </c>
      <c r="H326" s="1" t="s">
        <v>18</v>
      </c>
      <c r="I326" s="1" t="s">
        <v>19</v>
      </c>
      <c r="J326" s="1" t="s">
        <v>19</v>
      </c>
      <c r="K326" s="1" t="s">
        <v>20</v>
      </c>
      <c r="L326" s="1">
        <v>22.4</v>
      </c>
      <c r="M326" s="1" t="s">
        <v>21</v>
      </c>
      <c r="O326" s="1">
        <v>5771098.0</v>
      </c>
    </row>
    <row r="327">
      <c r="A327" s="1">
        <v>2804453.0</v>
      </c>
      <c r="B327" s="1" t="s">
        <v>2830</v>
      </c>
      <c r="C327" s="1" t="b">
        <v>1</v>
      </c>
      <c r="D327" s="1" t="b">
        <v>1</v>
      </c>
      <c r="E327" s="1" t="s">
        <v>67</v>
      </c>
      <c r="F327" s="1" t="s">
        <v>2831</v>
      </c>
      <c r="G327" s="2">
        <f>+251923569800</f>
        <v>251923569800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29.52</v>
      </c>
      <c r="M327" s="1" t="s">
        <v>21</v>
      </c>
    </row>
    <row r="328">
      <c r="A328" s="1">
        <v>2805450.0</v>
      </c>
      <c r="B328" s="1" t="s">
        <v>2832</v>
      </c>
      <c r="C328" s="1" t="b">
        <v>0</v>
      </c>
      <c r="D328" s="1" t="b">
        <v>1</v>
      </c>
      <c r="E328" s="1" t="s">
        <v>2822</v>
      </c>
      <c r="F328" s="1" t="s">
        <v>2823</v>
      </c>
      <c r="G328" s="2">
        <f>+251921155704</f>
        <v>251921155704</v>
      </c>
      <c r="H328" s="1" t="s">
        <v>18</v>
      </c>
      <c r="I328" s="1" t="s">
        <v>19</v>
      </c>
      <c r="J328" s="1" t="s">
        <v>19</v>
      </c>
      <c r="K328" s="1" t="s">
        <v>25</v>
      </c>
      <c r="L328" s="1">
        <v>25.44</v>
      </c>
      <c r="M328" s="1" t="s">
        <v>33</v>
      </c>
      <c r="N328" s="1" t="s">
        <v>65</v>
      </c>
      <c r="O328" s="1">
        <v>2.61144318169E11</v>
      </c>
    </row>
    <row r="329">
      <c r="A329" s="1">
        <v>2805725.0</v>
      </c>
      <c r="B329" s="1" t="s">
        <v>2833</v>
      </c>
      <c r="C329" s="1" t="b">
        <v>1</v>
      </c>
      <c r="D329" s="1" t="b">
        <v>1</v>
      </c>
      <c r="E329" s="1" t="s">
        <v>2834</v>
      </c>
      <c r="F329" s="1" t="s">
        <v>2835</v>
      </c>
      <c r="G329" s="2">
        <f>+251926098685</f>
        <v>251926098685</v>
      </c>
      <c r="H329" s="1" t="s">
        <v>18</v>
      </c>
      <c r="I329" s="1" t="s">
        <v>19</v>
      </c>
      <c r="J329" s="1" t="s">
        <v>19</v>
      </c>
      <c r="K329" s="1" t="s">
        <v>25</v>
      </c>
      <c r="L329" s="1">
        <v>24.3</v>
      </c>
      <c r="M329" s="1" t="s">
        <v>21</v>
      </c>
      <c r="O329" s="1">
        <v>2.61243171003E11</v>
      </c>
    </row>
    <row r="330">
      <c r="A330" s="1">
        <v>2441184.0</v>
      </c>
      <c r="B330" s="1" t="s">
        <v>2836</v>
      </c>
      <c r="C330" s="1" t="b">
        <v>1</v>
      </c>
      <c r="D330" s="1" t="b">
        <v>1</v>
      </c>
      <c r="E330" s="1" t="s">
        <v>28</v>
      </c>
      <c r="F330" s="1" t="s">
        <v>2837</v>
      </c>
      <c r="G330" s="2">
        <f>+251910804197</f>
        <v>251910804197</v>
      </c>
      <c r="H330" s="1" t="s">
        <v>18</v>
      </c>
      <c r="I330" s="1" t="s">
        <v>19</v>
      </c>
      <c r="J330" s="1" t="s">
        <v>19</v>
      </c>
      <c r="K330" s="1" t="s">
        <v>25</v>
      </c>
      <c r="L330" s="1">
        <v>26.47</v>
      </c>
      <c r="M330" s="1" t="s">
        <v>33</v>
      </c>
      <c r="N330" s="1" t="s">
        <v>118</v>
      </c>
      <c r="O330" s="1">
        <v>1.51334327537E11</v>
      </c>
    </row>
    <row r="331">
      <c r="A331" s="1">
        <v>2805883.0</v>
      </c>
      <c r="B331" s="1" t="s">
        <v>2838</v>
      </c>
      <c r="C331" s="1" t="b">
        <v>1</v>
      </c>
      <c r="D331" s="1" t="b">
        <v>1</v>
      </c>
      <c r="E331" s="1" t="s">
        <v>2839</v>
      </c>
      <c r="F331" s="1" t="s">
        <v>2840</v>
      </c>
      <c r="G331" s="2">
        <f>+251991366012</f>
        <v>251991366012</v>
      </c>
      <c r="H331" s="1" t="s">
        <v>18</v>
      </c>
      <c r="I331" s="1" t="s">
        <v>19</v>
      </c>
      <c r="J331" s="1" t="s">
        <v>19</v>
      </c>
      <c r="K331" s="1" t="s">
        <v>20</v>
      </c>
      <c r="L331" s="1">
        <v>19.96</v>
      </c>
      <c r="M331" s="1" t="s">
        <v>21</v>
      </c>
      <c r="O331" s="1">
        <v>1901222.0</v>
      </c>
    </row>
    <row r="332">
      <c r="A332" s="1">
        <v>2516089.0</v>
      </c>
      <c r="B332" s="1" t="s">
        <v>2841</v>
      </c>
      <c r="C332" s="1" t="b">
        <v>1</v>
      </c>
      <c r="D332" s="1" t="b">
        <v>0</v>
      </c>
      <c r="E332" s="1" t="s">
        <v>2842</v>
      </c>
      <c r="F332" s="1" t="s">
        <v>2843</v>
      </c>
      <c r="G332" s="2">
        <f>+251918274844</f>
        <v>251918274844</v>
      </c>
      <c r="H332" s="1" t="s">
        <v>392</v>
      </c>
      <c r="I332" s="1" t="s">
        <v>19</v>
      </c>
      <c r="J332" s="1" t="s">
        <v>19</v>
      </c>
      <c r="K332" s="1" t="s">
        <v>25</v>
      </c>
      <c r="L332" s="1">
        <v>34.19</v>
      </c>
      <c r="M332" s="1" t="s">
        <v>21</v>
      </c>
      <c r="O332" s="1">
        <v>1.46708082928E11</v>
      </c>
    </row>
    <row r="333">
      <c r="A333" s="1">
        <v>2805981.0</v>
      </c>
      <c r="B333" s="1" t="s">
        <v>2844</v>
      </c>
      <c r="C333" s="1" t="b">
        <v>1</v>
      </c>
      <c r="D333" s="1" t="b">
        <v>1</v>
      </c>
      <c r="E333" s="1" t="s">
        <v>2845</v>
      </c>
      <c r="F333" s="1" t="s">
        <v>2846</v>
      </c>
      <c r="G333" s="2">
        <f>+251922903166</f>
        <v>251922903166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26.27</v>
      </c>
      <c r="M333" s="1" t="s">
        <v>21</v>
      </c>
    </row>
    <row r="334">
      <c r="A334" s="1">
        <v>2806031.0</v>
      </c>
      <c r="B334" s="1" t="s">
        <v>2847</v>
      </c>
      <c r="C334" s="1" t="b">
        <v>0</v>
      </c>
      <c r="D334" s="1" t="b">
        <v>1</v>
      </c>
      <c r="E334" s="1" t="s">
        <v>2848</v>
      </c>
      <c r="F334" s="1" t="s">
        <v>2849</v>
      </c>
      <c r="G334" s="2">
        <f>+251926686636</f>
        <v>251926686636</v>
      </c>
      <c r="H334" s="1" t="s">
        <v>72</v>
      </c>
      <c r="I334" s="1" t="s">
        <v>19</v>
      </c>
      <c r="J334" s="1" t="s">
        <v>19</v>
      </c>
      <c r="K334" s="1" t="s">
        <v>25</v>
      </c>
      <c r="L334" s="1">
        <v>24.06</v>
      </c>
      <c r="M334" s="1" t="s">
        <v>26</v>
      </c>
      <c r="O334" s="1">
        <v>2.61236544713E11</v>
      </c>
    </row>
    <row r="335">
      <c r="A335" s="1">
        <v>2806159.0</v>
      </c>
      <c r="B335" s="1" t="s">
        <v>2850</v>
      </c>
      <c r="C335" s="1" t="b">
        <v>1</v>
      </c>
      <c r="D335" s="1" t="b">
        <v>1</v>
      </c>
      <c r="E335" s="1" t="s">
        <v>328</v>
      </c>
      <c r="F335" s="1" t="s">
        <v>862</v>
      </c>
      <c r="G335" s="2">
        <f>+251933780020</f>
        <v>251933780020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25.31</v>
      </c>
      <c r="M335" s="1" t="s">
        <v>21</v>
      </c>
    </row>
    <row r="336">
      <c r="A336" s="1">
        <v>2801025.0</v>
      </c>
      <c r="B336" s="1" t="s">
        <v>2851</v>
      </c>
      <c r="C336" s="1" t="b">
        <v>1</v>
      </c>
      <c r="D336" s="1" t="b">
        <v>1</v>
      </c>
      <c r="E336" s="1" t="s">
        <v>2301</v>
      </c>
      <c r="F336" s="1" t="s">
        <v>141</v>
      </c>
      <c r="G336" s="2">
        <f>+251903152927</f>
        <v>251903152927</v>
      </c>
      <c r="H336" s="1" t="s">
        <v>18</v>
      </c>
      <c r="I336" s="1" t="s">
        <v>19</v>
      </c>
      <c r="J336" s="1" t="s">
        <v>19</v>
      </c>
      <c r="K336" s="1" t="s">
        <v>25</v>
      </c>
      <c r="L336" s="1">
        <v>28.13</v>
      </c>
      <c r="M336" s="1" t="s">
        <v>21</v>
      </c>
      <c r="O336" s="1">
        <v>2.60013336784E11</v>
      </c>
    </row>
    <row r="337">
      <c r="A337" s="1">
        <v>963428.0</v>
      </c>
      <c r="B337" s="1" t="s">
        <v>2852</v>
      </c>
      <c r="C337" s="1" t="b">
        <v>1</v>
      </c>
      <c r="D337" s="1" t="b">
        <v>1</v>
      </c>
      <c r="E337" s="1" t="s">
        <v>500</v>
      </c>
      <c r="F337" s="1" t="s">
        <v>2853</v>
      </c>
      <c r="G337" s="2">
        <f>+251910977304</f>
        <v>251910977304</v>
      </c>
      <c r="H337" s="1" t="s">
        <v>72</v>
      </c>
      <c r="I337" s="1" t="s">
        <v>19</v>
      </c>
      <c r="J337" s="1" t="s">
        <v>19</v>
      </c>
      <c r="K337" s="1" t="s">
        <v>25</v>
      </c>
      <c r="L337" s="1">
        <v>31.78</v>
      </c>
      <c r="M337" s="1" t="s">
        <v>21</v>
      </c>
      <c r="O337" s="1">
        <v>1.4196603336E10</v>
      </c>
    </row>
    <row r="338">
      <c r="A338" s="1">
        <v>2782600.0</v>
      </c>
      <c r="B338" s="1" t="s">
        <v>2854</v>
      </c>
      <c r="C338" s="1" t="b">
        <v>1</v>
      </c>
      <c r="D338" s="1" t="b">
        <v>1</v>
      </c>
      <c r="E338" s="1" t="s">
        <v>2855</v>
      </c>
      <c r="F338" s="1" t="s">
        <v>2856</v>
      </c>
      <c r="G338" s="2">
        <f>+251911174957</f>
        <v>251911174957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25.15</v>
      </c>
      <c r="M338" s="1" t="s">
        <v>21</v>
      </c>
      <c r="O338" s="1">
        <v>2.55425804532E11</v>
      </c>
    </row>
    <row r="339">
      <c r="A339" s="1">
        <v>1913428.0</v>
      </c>
      <c r="B339" s="1" t="s">
        <v>2857</v>
      </c>
      <c r="C339" s="1" t="b">
        <v>1</v>
      </c>
      <c r="D339" s="1" t="b">
        <v>1</v>
      </c>
      <c r="E339" s="1" t="s">
        <v>2025</v>
      </c>
      <c r="F339" s="1" t="s">
        <v>430</v>
      </c>
      <c r="G339" s="2">
        <f>+251949448813</f>
        <v>251949448813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20.4</v>
      </c>
      <c r="M339" s="1" t="s">
        <v>21</v>
      </c>
      <c r="O339" s="1">
        <v>2.6433147636E10</v>
      </c>
    </row>
    <row r="340">
      <c r="A340" s="1">
        <v>2806941.0</v>
      </c>
      <c r="B340" s="1" t="s">
        <v>2858</v>
      </c>
      <c r="C340" s="1" t="b">
        <v>1</v>
      </c>
      <c r="D340" s="1" t="b">
        <v>1</v>
      </c>
      <c r="E340" s="1" t="s">
        <v>2859</v>
      </c>
      <c r="F340" s="1" t="s">
        <v>2860</v>
      </c>
      <c r="G340" s="2">
        <f>+251911288064</f>
        <v>251911288064</v>
      </c>
      <c r="H340" s="1" t="s">
        <v>18</v>
      </c>
      <c r="I340" s="1" t="s">
        <v>19</v>
      </c>
      <c r="J340" s="1" t="s">
        <v>19</v>
      </c>
      <c r="K340" s="1" t="s">
        <v>25</v>
      </c>
      <c r="L340" s="1">
        <v>44.36</v>
      </c>
      <c r="M340" s="1" t="s">
        <v>21</v>
      </c>
      <c r="O340" s="1">
        <v>1915696.0</v>
      </c>
    </row>
    <row r="341">
      <c r="A341" s="1">
        <v>2806790.0</v>
      </c>
      <c r="B341" s="1" t="s">
        <v>2861</v>
      </c>
      <c r="C341" s="1" t="b">
        <v>1</v>
      </c>
      <c r="D341" s="1" t="b">
        <v>1</v>
      </c>
      <c r="E341" s="1" t="s">
        <v>28</v>
      </c>
      <c r="F341" s="1" t="s">
        <v>963</v>
      </c>
      <c r="G341" s="2">
        <f>+251922859361</f>
        <v>251922859361</v>
      </c>
      <c r="H341" s="1" t="s">
        <v>18</v>
      </c>
      <c r="I341" s="1" t="s">
        <v>19</v>
      </c>
      <c r="J341" s="1" t="s">
        <v>19</v>
      </c>
      <c r="K341" s="1" t="s">
        <v>25</v>
      </c>
      <c r="L341" s="1">
        <v>23.59</v>
      </c>
      <c r="M341" s="1" t="s">
        <v>21</v>
      </c>
    </row>
    <row r="342">
      <c r="A342" s="1">
        <v>1144615.0</v>
      </c>
      <c r="B342" s="1" t="s">
        <v>2862</v>
      </c>
      <c r="C342" s="1" t="b">
        <v>1</v>
      </c>
      <c r="D342" s="1" t="b">
        <v>0</v>
      </c>
      <c r="E342" s="1" t="s">
        <v>2863</v>
      </c>
      <c r="F342" s="1" t="s">
        <v>1544</v>
      </c>
      <c r="G342" s="2">
        <f>+251922850480</f>
        <v>251922850480</v>
      </c>
      <c r="H342" s="1" t="s">
        <v>18</v>
      </c>
      <c r="I342" s="1" t="s">
        <v>19</v>
      </c>
      <c r="J342" s="1" t="s">
        <v>19</v>
      </c>
      <c r="K342" s="1" t="s">
        <v>25</v>
      </c>
      <c r="L342" s="1">
        <v>29.31</v>
      </c>
      <c r="M342" s="1" t="s">
        <v>33</v>
      </c>
      <c r="N342" s="1" t="s">
        <v>65</v>
      </c>
      <c r="O342" s="1">
        <v>1975972.0</v>
      </c>
    </row>
    <row r="343">
      <c r="A343" s="1">
        <v>2807519.0</v>
      </c>
      <c r="B343" s="1" t="s">
        <v>2864</v>
      </c>
      <c r="C343" s="1" t="b">
        <v>1</v>
      </c>
      <c r="D343" s="1" t="b">
        <v>0</v>
      </c>
      <c r="E343" s="1" t="s">
        <v>2865</v>
      </c>
      <c r="F343" s="1" t="s">
        <v>2810</v>
      </c>
      <c r="G343" s="2">
        <f>+251945453880</f>
        <v>251945453880</v>
      </c>
      <c r="H343" s="1" t="s">
        <v>18</v>
      </c>
      <c r="I343" s="1" t="s">
        <v>19</v>
      </c>
      <c r="J343" s="1" t="s">
        <v>19</v>
      </c>
      <c r="K343" s="1" t="s">
        <v>20</v>
      </c>
      <c r="L343" s="1">
        <v>26.88</v>
      </c>
      <c r="M343" s="1" t="s">
        <v>21</v>
      </c>
      <c r="O343" s="1">
        <v>2.61368670454E11</v>
      </c>
    </row>
    <row r="344">
      <c r="A344" s="1">
        <v>2807555.0</v>
      </c>
      <c r="B344" s="1" t="s">
        <v>2866</v>
      </c>
      <c r="C344" s="1" t="b">
        <v>1</v>
      </c>
      <c r="D344" s="1" t="b">
        <v>1</v>
      </c>
      <c r="E344" s="1" t="s">
        <v>2867</v>
      </c>
      <c r="F344" s="1" t="s">
        <v>141</v>
      </c>
      <c r="G344" s="2">
        <f>+251946771807</f>
        <v>251946771807</v>
      </c>
      <c r="H344" s="1" t="s">
        <v>18</v>
      </c>
      <c r="I344" s="1" t="s">
        <v>19</v>
      </c>
      <c r="J344" s="1" t="s">
        <v>19</v>
      </c>
      <c r="K344" s="1" t="s">
        <v>25</v>
      </c>
      <c r="L344" s="1">
        <v>23.74</v>
      </c>
      <c r="M344" s="1" t="s">
        <v>21</v>
      </c>
      <c r="O344" s="1">
        <v>2.61367522551E11</v>
      </c>
    </row>
    <row r="345">
      <c r="A345" s="1">
        <v>2807822.0</v>
      </c>
      <c r="B345" s="1" t="s">
        <v>2868</v>
      </c>
      <c r="C345" s="1" t="b">
        <v>1</v>
      </c>
      <c r="D345" s="1" t="b">
        <v>1</v>
      </c>
      <c r="E345" s="1" t="s">
        <v>1832</v>
      </c>
      <c r="F345" s="1" t="s">
        <v>189</v>
      </c>
      <c r="G345" s="2">
        <f>+251923397601</f>
        <v>251923397601</v>
      </c>
      <c r="H345" s="1" t="s">
        <v>72</v>
      </c>
      <c r="I345" s="1" t="s">
        <v>19</v>
      </c>
      <c r="J345" s="1" t="s">
        <v>19</v>
      </c>
      <c r="K345" s="1" t="s">
        <v>2869</v>
      </c>
      <c r="L345" s="1">
        <v>32.65</v>
      </c>
      <c r="M345" s="1" t="s">
        <v>21</v>
      </c>
      <c r="O345" s="1">
        <v>2.61468259541E11</v>
      </c>
    </row>
    <row r="346">
      <c r="A346" s="1">
        <v>2809042.0</v>
      </c>
      <c r="B346" s="1" t="s">
        <v>2870</v>
      </c>
      <c r="C346" s="1" t="b">
        <v>1</v>
      </c>
      <c r="D346" s="1" t="b">
        <v>1</v>
      </c>
      <c r="E346" s="1" t="s">
        <v>1897</v>
      </c>
      <c r="F346" s="1" t="s">
        <v>2871</v>
      </c>
      <c r="G346" s="2">
        <f>+251985401208</f>
        <v>251985401208</v>
      </c>
      <c r="H346" s="1" t="s">
        <v>18</v>
      </c>
      <c r="I346" s="1" t="s">
        <v>19</v>
      </c>
      <c r="J346" s="1" t="s">
        <v>19</v>
      </c>
      <c r="K346" s="1" t="s">
        <v>20</v>
      </c>
      <c r="L346" s="1">
        <v>19.73</v>
      </c>
      <c r="M346" s="1" t="s">
        <v>33</v>
      </c>
      <c r="N346" s="1" t="s">
        <v>76</v>
      </c>
      <c r="O346" s="1">
        <v>2.61843147962E11</v>
      </c>
    </row>
    <row r="347">
      <c r="A347" s="1">
        <v>2809073.0</v>
      </c>
      <c r="B347" s="1" t="s">
        <v>2872</v>
      </c>
      <c r="C347" s="1" t="b">
        <v>1</v>
      </c>
      <c r="D347" s="1" t="b">
        <v>1</v>
      </c>
      <c r="E347" s="1" t="s">
        <v>1247</v>
      </c>
      <c r="F347" s="1" t="s">
        <v>2873</v>
      </c>
      <c r="G347" s="2">
        <f>+251985214183</f>
        <v>251985214183</v>
      </c>
      <c r="H347" s="1" t="s">
        <v>18</v>
      </c>
      <c r="I347" s="1" t="s">
        <v>19</v>
      </c>
      <c r="J347" s="1" t="s">
        <v>19</v>
      </c>
      <c r="K347" s="1" t="s">
        <v>25</v>
      </c>
      <c r="L347" s="1">
        <v>24.14</v>
      </c>
      <c r="M347" s="1" t="s">
        <v>21</v>
      </c>
      <c r="O347" s="1">
        <v>1845023.0</v>
      </c>
    </row>
    <row r="348">
      <c r="A348" s="1">
        <v>2809072.0</v>
      </c>
      <c r="B348" s="1" t="s">
        <v>2874</v>
      </c>
      <c r="C348" s="1" t="b">
        <v>1</v>
      </c>
      <c r="D348" s="1" t="b">
        <v>1</v>
      </c>
      <c r="E348" s="1" t="s">
        <v>2875</v>
      </c>
      <c r="F348" s="1" t="s">
        <v>616</v>
      </c>
      <c r="G348" s="2">
        <f>+251921759285</f>
        <v>251921759285</v>
      </c>
      <c r="H348" s="1" t="s">
        <v>18</v>
      </c>
      <c r="I348" s="1" t="s">
        <v>19</v>
      </c>
      <c r="J348" s="1" t="s">
        <v>19</v>
      </c>
      <c r="K348" s="1" t="s">
        <v>25</v>
      </c>
      <c r="L348" s="1">
        <v>28.95</v>
      </c>
      <c r="M348" s="1" t="s">
        <v>21</v>
      </c>
      <c r="O348" s="1">
        <v>2.61797042417E11</v>
      </c>
    </row>
    <row r="349">
      <c r="A349" s="1">
        <v>2809148.0</v>
      </c>
      <c r="B349" s="1" t="s">
        <v>2876</v>
      </c>
      <c r="C349" s="1" t="b">
        <v>0</v>
      </c>
      <c r="D349" s="1" t="b">
        <v>1</v>
      </c>
      <c r="E349" s="1" t="s">
        <v>2160</v>
      </c>
      <c r="F349" s="1" t="s">
        <v>2877</v>
      </c>
      <c r="G349" s="2">
        <f>+251920900425</f>
        <v>251920900425</v>
      </c>
      <c r="H349" s="1" t="s">
        <v>18</v>
      </c>
      <c r="I349" s="1" t="s">
        <v>19</v>
      </c>
      <c r="J349" s="1" t="s">
        <v>19</v>
      </c>
      <c r="K349" s="1" t="s">
        <v>25</v>
      </c>
      <c r="L349" s="1">
        <v>27.17</v>
      </c>
      <c r="M349" s="1" t="s">
        <v>26</v>
      </c>
      <c r="O349" s="1">
        <v>2.61857518807E11</v>
      </c>
    </row>
    <row r="350">
      <c r="A350" s="1">
        <v>2809639.0</v>
      </c>
      <c r="B350" s="1" t="s">
        <v>2878</v>
      </c>
      <c r="C350" s="1" t="b">
        <v>1</v>
      </c>
      <c r="D350" s="1" t="b">
        <v>1</v>
      </c>
      <c r="E350" s="1" t="s">
        <v>2879</v>
      </c>
      <c r="F350" s="1" t="s">
        <v>2880</v>
      </c>
      <c r="G350" s="2">
        <f>+251966374890</f>
        <v>251966374890</v>
      </c>
      <c r="H350" s="1" t="s">
        <v>18</v>
      </c>
      <c r="I350" s="1" t="s">
        <v>19</v>
      </c>
      <c r="J350" s="1" t="s">
        <v>498</v>
      </c>
      <c r="K350" s="1" t="s">
        <v>20</v>
      </c>
      <c r="L350" s="1">
        <v>22.7</v>
      </c>
      <c r="M350" s="1" t="s">
        <v>21</v>
      </c>
    </row>
    <row r="351">
      <c r="A351" s="1">
        <v>15814.0</v>
      </c>
      <c r="B351" s="1" t="s">
        <v>2881</v>
      </c>
      <c r="C351" s="1" t="b">
        <v>1</v>
      </c>
      <c r="D351" s="1" t="b">
        <v>1</v>
      </c>
      <c r="E351" s="1" t="s">
        <v>411</v>
      </c>
      <c r="F351" s="1" t="s">
        <v>2420</v>
      </c>
      <c r="G351" s="2">
        <f>+251952890173</f>
        <v>251952890173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44.76</v>
      </c>
      <c r="M351" s="1" t="s">
        <v>21</v>
      </c>
      <c r="O351" s="1">
        <v>2.3047046E7</v>
      </c>
    </row>
    <row r="352">
      <c r="A352" s="1">
        <v>2810153.0</v>
      </c>
      <c r="B352" s="1" t="s">
        <v>2882</v>
      </c>
      <c r="C352" s="1" t="b">
        <v>1</v>
      </c>
      <c r="D352" s="1" t="b">
        <v>1</v>
      </c>
      <c r="E352" s="1" t="s">
        <v>2883</v>
      </c>
      <c r="F352" s="1" t="s">
        <v>51</v>
      </c>
      <c r="G352" s="2">
        <f>+251923830882</f>
        <v>251923830882</v>
      </c>
      <c r="H352" s="1" t="s">
        <v>488</v>
      </c>
      <c r="I352" s="1" t="s">
        <v>19</v>
      </c>
      <c r="J352" s="1" t="s">
        <v>19</v>
      </c>
      <c r="K352" s="1" t="s">
        <v>25</v>
      </c>
      <c r="L352" s="1">
        <v>21.32</v>
      </c>
      <c r="M352" s="1" t="s">
        <v>21</v>
      </c>
    </row>
    <row r="353">
      <c r="A353" s="1">
        <v>2810230.0</v>
      </c>
      <c r="B353" s="1" t="s">
        <v>2884</v>
      </c>
      <c r="C353" s="1" t="b">
        <v>1</v>
      </c>
      <c r="D353" s="1" t="b">
        <v>1</v>
      </c>
      <c r="E353" s="1" t="s">
        <v>2885</v>
      </c>
      <c r="F353" s="1" t="s">
        <v>2886</v>
      </c>
      <c r="G353" s="2">
        <f>+251949649136</f>
        <v>251949649136</v>
      </c>
      <c r="H353" s="1" t="s">
        <v>18</v>
      </c>
      <c r="I353" s="1" t="s">
        <v>19</v>
      </c>
      <c r="J353" s="1" t="s">
        <v>19</v>
      </c>
      <c r="K353" s="1" t="s">
        <v>25</v>
      </c>
      <c r="L353" s="1">
        <v>26.07</v>
      </c>
      <c r="M353" s="1" t="s">
        <v>33</v>
      </c>
      <c r="N353" s="1" t="s">
        <v>65</v>
      </c>
      <c r="O353" s="1">
        <v>2.62069263551E11</v>
      </c>
    </row>
    <row r="354">
      <c r="A354" s="1">
        <v>2810352.0</v>
      </c>
      <c r="B354" s="1" t="s">
        <v>2887</v>
      </c>
      <c r="C354" s="1" t="b">
        <v>0</v>
      </c>
      <c r="D354" s="1" t="b">
        <v>1</v>
      </c>
      <c r="E354" s="1" t="s">
        <v>91</v>
      </c>
      <c r="F354" s="1" t="s">
        <v>1185</v>
      </c>
      <c r="G354" s="2">
        <f>+251994950020</f>
        <v>251994950020</v>
      </c>
      <c r="H354" s="1" t="s">
        <v>72</v>
      </c>
      <c r="I354" s="1" t="s">
        <v>19</v>
      </c>
      <c r="J354" s="1" t="s">
        <v>19</v>
      </c>
      <c r="K354" s="1" t="s">
        <v>25</v>
      </c>
      <c r="L354" s="1">
        <v>21.88</v>
      </c>
      <c r="M354" s="1" t="s">
        <v>26</v>
      </c>
      <c r="O354" s="1">
        <v>2.6205532286E11</v>
      </c>
    </row>
    <row r="355">
      <c r="A355" s="1">
        <v>2810672.0</v>
      </c>
      <c r="B355" s="1" t="s">
        <v>2888</v>
      </c>
      <c r="C355" s="1" t="b">
        <v>1</v>
      </c>
      <c r="D355" s="1" t="b">
        <v>1</v>
      </c>
      <c r="E355" s="1" t="s">
        <v>2889</v>
      </c>
      <c r="F355" s="1" t="s">
        <v>2890</v>
      </c>
      <c r="G355" s="2">
        <f>+251903767670</f>
        <v>251903767670</v>
      </c>
      <c r="H355" s="1" t="s">
        <v>18</v>
      </c>
      <c r="I355" s="1" t="s">
        <v>19</v>
      </c>
      <c r="J355" s="1" t="s">
        <v>19</v>
      </c>
      <c r="K355" s="1" t="s">
        <v>20</v>
      </c>
      <c r="L355" s="1">
        <v>22.21</v>
      </c>
      <c r="M355" s="1" t="s">
        <v>21</v>
      </c>
      <c r="O355" s="1">
        <v>2.62103722207E11</v>
      </c>
    </row>
    <row r="356">
      <c r="A356" s="1">
        <v>2811146.0</v>
      </c>
      <c r="B356" s="1" t="s">
        <v>2891</v>
      </c>
      <c r="C356" s="1" t="b">
        <v>1</v>
      </c>
      <c r="D356" s="1" t="b">
        <v>0</v>
      </c>
      <c r="E356" s="1" t="s">
        <v>2892</v>
      </c>
      <c r="F356" s="1" t="s">
        <v>2893</v>
      </c>
      <c r="G356" s="2">
        <f>+251994494610</f>
        <v>251994494610</v>
      </c>
      <c r="H356" s="1" t="s">
        <v>18</v>
      </c>
      <c r="I356" s="1" t="s">
        <v>19</v>
      </c>
      <c r="J356" s="1" t="s">
        <v>19</v>
      </c>
      <c r="K356" s="1" t="s">
        <v>25</v>
      </c>
      <c r="L356" s="1">
        <v>22.61</v>
      </c>
      <c r="M356" s="1" t="s">
        <v>33</v>
      </c>
      <c r="N356" s="1" t="s">
        <v>177</v>
      </c>
      <c r="O356" s="1">
        <v>5182737.0</v>
      </c>
    </row>
    <row r="357">
      <c r="A357" s="1">
        <v>558688.0</v>
      </c>
      <c r="B357" s="1" t="s">
        <v>2894</v>
      </c>
      <c r="C357" s="1" t="b">
        <v>1</v>
      </c>
      <c r="D357" s="1" t="b">
        <v>0</v>
      </c>
      <c r="E357" s="1" t="s">
        <v>1899</v>
      </c>
      <c r="F357" s="1" t="s">
        <v>719</v>
      </c>
      <c r="G357" s="1">
        <v>2.5193786236E11</v>
      </c>
      <c r="H357" s="1" t="s">
        <v>18</v>
      </c>
      <c r="I357" s="1" t="s">
        <v>19</v>
      </c>
      <c r="J357" s="1" t="s">
        <v>19</v>
      </c>
      <c r="K357" s="1" t="s">
        <v>20</v>
      </c>
      <c r="L357" s="1">
        <v>30.38</v>
      </c>
      <c r="M357" s="1" t="s">
        <v>21</v>
      </c>
      <c r="O357" s="1">
        <v>2.86821E7</v>
      </c>
    </row>
    <row r="358">
      <c r="A358" s="1">
        <v>2811523.0</v>
      </c>
      <c r="B358" s="1" t="s">
        <v>2895</v>
      </c>
      <c r="C358" s="1" t="b">
        <v>1</v>
      </c>
      <c r="D358" s="1" t="b">
        <v>1</v>
      </c>
      <c r="E358" s="1" t="s">
        <v>284</v>
      </c>
      <c r="F358" s="1" t="s">
        <v>2896</v>
      </c>
      <c r="G358" s="2">
        <f>+251949598693</f>
        <v>251949598693</v>
      </c>
      <c r="H358" s="1" t="s">
        <v>18</v>
      </c>
      <c r="I358" s="1" t="s">
        <v>19</v>
      </c>
      <c r="J358" s="1" t="s">
        <v>19</v>
      </c>
      <c r="K358" s="1" t="s">
        <v>25</v>
      </c>
      <c r="L358" s="1">
        <v>33.35</v>
      </c>
      <c r="M358" s="1" t="s">
        <v>21</v>
      </c>
      <c r="O358" s="1">
        <v>2.62222385369E11</v>
      </c>
    </row>
    <row r="359">
      <c r="A359" s="1">
        <v>2811809.0</v>
      </c>
      <c r="B359" s="1" t="s">
        <v>2897</v>
      </c>
      <c r="C359" s="1" t="b">
        <v>1</v>
      </c>
      <c r="D359" s="1" t="b">
        <v>1</v>
      </c>
      <c r="E359" s="1" t="s">
        <v>865</v>
      </c>
      <c r="F359" s="1" t="s">
        <v>2898</v>
      </c>
      <c r="G359" s="2">
        <f>+251911093701</f>
        <v>251911093701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44.14</v>
      </c>
      <c r="M359" s="1" t="s">
        <v>33</v>
      </c>
      <c r="N359" s="1" t="s">
        <v>65</v>
      </c>
      <c r="O359" s="1">
        <v>2.6229154532E11</v>
      </c>
    </row>
    <row r="360">
      <c r="A360" s="1">
        <v>2811839.0</v>
      </c>
      <c r="B360" s="1" t="s">
        <v>2899</v>
      </c>
      <c r="C360" s="1" t="b">
        <v>1</v>
      </c>
      <c r="D360" s="1" t="b">
        <v>1</v>
      </c>
      <c r="E360" s="1" t="s">
        <v>1032</v>
      </c>
      <c r="F360" s="1" t="s">
        <v>601</v>
      </c>
      <c r="G360" s="2">
        <f>+251983287889</f>
        <v>251983287889</v>
      </c>
      <c r="H360" s="1" t="s">
        <v>18</v>
      </c>
      <c r="I360" s="1" t="s">
        <v>19</v>
      </c>
      <c r="J360" s="1" t="s">
        <v>19</v>
      </c>
      <c r="K360" s="1" t="s">
        <v>20</v>
      </c>
      <c r="L360" s="1">
        <v>22.67</v>
      </c>
      <c r="M360" s="1" t="s">
        <v>21</v>
      </c>
      <c r="O360" s="1">
        <v>1079025.0</v>
      </c>
    </row>
    <row r="361">
      <c r="A361" s="1">
        <v>1654666.0</v>
      </c>
      <c r="B361" s="1" t="s">
        <v>2900</v>
      </c>
      <c r="C361" s="1" t="b">
        <v>1</v>
      </c>
      <c r="D361" s="1" t="b">
        <v>1</v>
      </c>
      <c r="E361" s="1" t="s">
        <v>67</v>
      </c>
      <c r="F361" s="1" t="s">
        <v>963</v>
      </c>
      <c r="G361" s="2">
        <f>+251953589306</f>
        <v>251953589306</v>
      </c>
      <c r="H361" s="1" t="s">
        <v>18</v>
      </c>
      <c r="I361" s="1" t="s">
        <v>19</v>
      </c>
      <c r="J361" s="1" t="s">
        <v>19</v>
      </c>
      <c r="K361" s="1" t="s">
        <v>25</v>
      </c>
      <c r="L361" s="1">
        <v>32.0</v>
      </c>
      <c r="M361" s="1" t="s">
        <v>33</v>
      </c>
      <c r="N361" s="1" t="s">
        <v>65</v>
      </c>
      <c r="O361" s="1">
        <v>2.0921939915E10</v>
      </c>
    </row>
    <row r="362">
      <c r="A362" s="1">
        <v>2812392.0</v>
      </c>
      <c r="B362" s="1" t="s">
        <v>2901</v>
      </c>
      <c r="C362" s="1" t="b">
        <v>1</v>
      </c>
      <c r="D362" s="1" t="b">
        <v>1</v>
      </c>
      <c r="E362" s="1" t="s">
        <v>2902</v>
      </c>
      <c r="F362" s="1" t="s">
        <v>2903</v>
      </c>
      <c r="G362" s="2">
        <f>+251912643957</f>
        <v>251912643957</v>
      </c>
      <c r="H362" s="1" t="s">
        <v>18</v>
      </c>
      <c r="I362" s="1" t="s">
        <v>19</v>
      </c>
      <c r="J362" s="1" t="s">
        <v>19</v>
      </c>
      <c r="K362" s="1" t="s">
        <v>25</v>
      </c>
      <c r="L362" s="1">
        <v>35.32</v>
      </c>
      <c r="M362" s="1" t="s">
        <v>21</v>
      </c>
      <c r="O362" s="1">
        <v>2.62320186589E11</v>
      </c>
    </row>
    <row r="363">
      <c r="A363" s="1">
        <v>2812543.0</v>
      </c>
      <c r="B363" s="1" t="s">
        <v>2904</v>
      </c>
      <c r="C363" s="1" t="b">
        <v>1</v>
      </c>
      <c r="D363" s="1" t="b">
        <v>1</v>
      </c>
      <c r="E363" s="1" t="s">
        <v>262</v>
      </c>
      <c r="F363" s="1" t="s">
        <v>2905</v>
      </c>
      <c r="G363" s="2">
        <f>+251948449696</f>
        <v>251948449696</v>
      </c>
      <c r="H363" s="1" t="s">
        <v>72</v>
      </c>
      <c r="I363" s="1" t="s">
        <v>19</v>
      </c>
      <c r="J363" s="1" t="s">
        <v>19</v>
      </c>
      <c r="K363" s="1" t="s">
        <v>25</v>
      </c>
      <c r="L363" s="1">
        <v>24.68</v>
      </c>
      <c r="M363" s="1" t="s">
        <v>21</v>
      </c>
      <c r="O363" s="1">
        <v>2.62327425253E11</v>
      </c>
    </row>
    <row r="364">
      <c r="A364" s="1">
        <v>2813629.0</v>
      </c>
      <c r="B364" s="1" t="s">
        <v>2906</v>
      </c>
      <c r="C364" s="1" t="b">
        <v>0</v>
      </c>
      <c r="D364" s="1" t="b">
        <v>1</v>
      </c>
      <c r="E364" s="1" t="s">
        <v>2907</v>
      </c>
      <c r="F364" s="1" t="s">
        <v>2105</v>
      </c>
      <c r="G364" s="2">
        <f>+251975798523</f>
        <v>251975798523</v>
      </c>
      <c r="H364" s="1" t="s">
        <v>18</v>
      </c>
      <c r="I364" s="1" t="s">
        <v>19</v>
      </c>
      <c r="J364" s="1" t="s">
        <v>19</v>
      </c>
      <c r="K364" s="1" t="s">
        <v>25</v>
      </c>
      <c r="L364" s="1">
        <v>22.37</v>
      </c>
      <c r="M364" s="1" t="s">
        <v>33</v>
      </c>
      <c r="N364" s="1" t="s">
        <v>65</v>
      </c>
      <c r="O364" s="1">
        <v>1.03050840277E11</v>
      </c>
    </row>
    <row r="365">
      <c r="A365" s="1">
        <v>2813765.0</v>
      </c>
      <c r="B365" s="1" t="s">
        <v>2908</v>
      </c>
      <c r="C365" s="1" t="b">
        <v>1</v>
      </c>
      <c r="D365" s="1" t="b">
        <v>1</v>
      </c>
      <c r="E365" s="1" t="s">
        <v>2909</v>
      </c>
      <c r="F365" s="1" t="s">
        <v>141</v>
      </c>
      <c r="G365" s="2">
        <f>+251939546968</f>
        <v>251939546968</v>
      </c>
      <c r="H365" s="1" t="s">
        <v>18</v>
      </c>
      <c r="I365" s="1" t="s">
        <v>19</v>
      </c>
      <c r="J365" s="1" t="s">
        <v>19</v>
      </c>
      <c r="K365" s="1" t="s">
        <v>25</v>
      </c>
      <c r="L365" s="1">
        <v>28.02</v>
      </c>
      <c r="M365" s="1" t="s">
        <v>21</v>
      </c>
      <c r="O365" s="1">
        <v>2.62594151661E11</v>
      </c>
    </row>
    <row r="366">
      <c r="A366" s="1">
        <v>2672299.0</v>
      </c>
      <c r="B366" s="1" t="s">
        <v>2910</v>
      </c>
      <c r="C366" s="1" t="b">
        <v>1</v>
      </c>
      <c r="D366" s="1" t="b">
        <v>1</v>
      </c>
      <c r="E366" s="1" t="s">
        <v>2911</v>
      </c>
      <c r="F366" s="1" t="s">
        <v>548</v>
      </c>
      <c r="G366" s="2">
        <f>+251910101021</f>
        <v>251910101021</v>
      </c>
      <c r="H366" s="1" t="s">
        <v>18</v>
      </c>
      <c r="I366" s="1" t="s">
        <v>19</v>
      </c>
      <c r="J366" s="1" t="s">
        <v>19</v>
      </c>
      <c r="K366" s="1" t="s">
        <v>25</v>
      </c>
      <c r="L366" s="1">
        <v>19.92</v>
      </c>
      <c r="M366" s="1" t="s">
        <v>21</v>
      </c>
      <c r="O366" s="1">
        <v>2.17690280172E11</v>
      </c>
    </row>
    <row r="367">
      <c r="A367" s="1">
        <v>304154.0</v>
      </c>
      <c r="B367" s="1" t="s">
        <v>2912</v>
      </c>
      <c r="C367" s="1" t="b">
        <v>1</v>
      </c>
      <c r="D367" s="1" t="b">
        <v>1</v>
      </c>
      <c r="E367" s="1" t="s">
        <v>2913</v>
      </c>
      <c r="F367" s="1" t="s">
        <v>2914</v>
      </c>
      <c r="G367" s="1">
        <v>9.15049522E8</v>
      </c>
      <c r="H367" s="1" t="s">
        <v>138</v>
      </c>
      <c r="I367" s="1" t="s">
        <v>19</v>
      </c>
      <c r="J367" s="1" t="s">
        <v>19</v>
      </c>
      <c r="K367" s="1" t="s">
        <v>25</v>
      </c>
      <c r="L367" s="1">
        <v>33.28</v>
      </c>
      <c r="M367" s="1" t="s">
        <v>33</v>
      </c>
      <c r="N367" s="1" t="s">
        <v>177</v>
      </c>
      <c r="O367" s="1">
        <v>6402827.0</v>
      </c>
    </row>
    <row r="368">
      <c r="A368" s="1">
        <v>1924529.0</v>
      </c>
      <c r="B368" s="1" t="s">
        <v>2915</v>
      </c>
      <c r="C368" s="1" t="b">
        <v>1</v>
      </c>
      <c r="D368" s="1" t="b">
        <v>1</v>
      </c>
      <c r="E368" s="1" t="s">
        <v>1977</v>
      </c>
      <c r="F368" s="1" t="s">
        <v>2518</v>
      </c>
      <c r="G368" s="2">
        <f>+251943543673</f>
        <v>251943543673</v>
      </c>
      <c r="H368" s="1" t="s">
        <v>18</v>
      </c>
      <c r="I368" s="1" t="s">
        <v>19</v>
      </c>
      <c r="J368" s="1" t="s">
        <v>19</v>
      </c>
      <c r="K368" s="1" t="s">
        <v>20</v>
      </c>
      <c r="L368" s="1">
        <v>19.58</v>
      </c>
      <c r="M368" s="1" t="s">
        <v>26</v>
      </c>
      <c r="O368" s="1">
        <v>2.6724643526E10</v>
      </c>
    </row>
    <row r="369">
      <c r="A369" s="1">
        <v>2420622.0</v>
      </c>
      <c r="B369" s="1" t="s">
        <v>2916</v>
      </c>
      <c r="C369" s="1" t="b">
        <v>1</v>
      </c>
      <c r="D369" s="1" t="b">
        <v>1</v>
      </c>
      <c r="E369" s="1" t="s">
        <v>753</v>
      </c>
      <c r="F369" s="1" t="s">
        <v>422</v>
      </c>
      <c r="G369" s="2">
        <f>+251931387445</f>
        <v>251931387445</v>
      </c>
      <c r="H369" s="1" t="s">
        <v>18</v>
      </c>
      <c r="I369" s="1" t="s">
        <v>19</v>
      </c>
      <c r="J369" s="1" t="s">
        <v>19</v>
      </c>
      <c r="K369" s="1" t="s">
        <v>20</v>
      </c>
      <c r="L369" s="1">
        <v>31.02</v>
      </c>
      <c r="M369" s="1" t="s">
        <v>33</v>
      </c>
      <c r="N369" s="1" t="s">
        <v>166</v>
      </c>
      <c r="O369" s="1">
        <v>8242801.0</v>
      </c>
    </row>
    <row r="370">
      <c r="A370" s="1">
        <v>2816460.0</v>
      </c>
      <c r="B370" s="1" t="s">
        <v>2917</v>
      </c>
      <c r="C370" s="1" t="b">
        <v>1</v>
      </c>
      <c r="D370" s="1" t="b">
        <v>1</v>
      </c>
      <c r="E370" s="1" t="s">
        <v>91</v>
      </c>
      <c r="F370" s="1" t="s">
        <v>2918</v>
      </c>
      <c r="G370" s="2">
        <f>+251990235000</f>
        <v>251990235000</v>
      </c>
      <c r="H370" s="1" t="s">
        <v>18</v>
      </c>
      <c r="I370" s="1" t="s">
        <v>19</v>
      </c>
      <c r="J370" s="1" t="s">
        <v>19</v>
      </c>
      <c r="K370" s="1" t="s">
        <v>25</v>
      </c>
      <c r="L370" s="1">
        <v>34.86</v>
      </c>
      <c r="M370" s="1" t="s">
        <v>21</v>
      </c>
    </row>
    <row r="371">
      <c r="A371" s="1">
        <v>2816866.0</v>
      </c>
      <c r="B371" s="1" t="s">
        <v>2919</v>
      </c>
      <c r="C371" s="1" t="b">
        <v>1</v>
      </c>
      <c r="D371" s="1" t="b">
        <v>1</v>
      </c>
      <c r="E371" s="1" t="s">
        <v>2491</v>
      </c>
      <c r="F371" s="1" t="s">
        <v>376</v>
      </c>
      <c r="G371" s="2">
        <f>+251938222680</f>
        <v>251938222680</v>
      </c>
      <c r="H371" s="1" t="s">
        <v>58</v>
      </c>
      <c r="I371" s="1" t="s">
        <v>19</v>
      </c>
      <c r="J371" s="1" t="s">
        <v>19</v>
      </c>
      <c r="K371" s="1" t="s">
        <v>25</v>
      </c>
      <c r="L371" s="1">
        <v>36.09</v>
      </c>
      <c r="M371" s="1" t="s">
        <v>26</v>
      </c>
      <c r="O371" s="1">
        <v>2.5553857E7</v>
      </c>
    </row>
    <row r="372">
      <c r="A372" s="1">
        <v>2816973.0</v>
      </c>
      <c r="B372" s="1" t="s">
        <v>2920</v>
      </c>
      <c r="C372" s="1" t="b">
        <v>1</v>
      </c>
      <c r="D372" s="1" t="b">
        <v>1</v>
      </c>
      <c r="E372" s="1" t="s">
        <v>618</v>
      </c>
      <c r="F372" s="1" t="s">
        <v>1107</v>
      </c>
      <c r="G372" s="1">
        <v>9.22757957E8</v>
      </c>
      <c r="H372" s="1" t="s">
        <v>18</v>
      </c>
      <c r="I372" s="1" t="s">
        <v>19</v>
      </c>
      <c r="J372" s="1" t="s">
        <v>19</v>
      </c>
      <c r="K372" s="1" t="s">
        <v>25</v>
      </c>
      <c r="L372" s="1">
        <v>35.69</v>
      </c>
      <c r="M372" s="1" t="s">
        <v>33</v>
      </c>
      <c r="N372" s="1" t="s">
        <v>65</v>
      </c>
    </row>
    <row r="373">
      <c r="A373" s="1">
        <v>2816980.0</v>
      </c>
      <c r="B373" s="1" t="s">
        <v>2921</v>
      </c>
      <c r="C373" s="1" t="b">
        <v>1</v>
      </c>
      <c r="D373" s="1" t="b">
        <v>1</v>
      </c>
      <c r="E373" s="1" t="s">
        <v>2922</v>
      </c>
      <c r="F373" s="1" t="s">
        <v>2923</v>
      </c>
      <c r="G373" s="2">
        <f>+251968263680</f>
        <v>251968263680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18.36</v>
      </c>
      <c r="M373" s="1" t="s">
        <v>33</v>
      </c>
      <c r="N373" s="1" t="s">
        <v>65</v>
      </c>
      <c r="O373" s="1">
        <v>2.63067865289E11</v>
      </c>
    </row>
    <row r="374">
      <c r="A374" s="1">
        <v>2817169.0</v>
      </c>
      <c r="B374" s="1" t="s">
        <v>2924</v>
      </c>
      <c r="C374" s="1" t="b">
        <v>1</v>
      </c>
      <c r="D374" s="1" t="b">
        <v>1</v>
      </c>
      <c r="E374" s="1" t="s">
        <v>1824</v>
      </c>
      <c r="F374" s="1" t="s">
        <v>2925</v>
      </c>
      <c r="G374" s="2">
        <f>+251914261534</f>
        <v>251914261534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20.36</v>
      </c>
      <c r="M374" s="1" t="s">
        <v>21</v>
      </c>
      <c r="O374" s="1">
        <v>2.63077664989E11</v>
      </c>
    </row>
    <row r="375">
      <c r="A375" s="1">
        <v>2817598.0</v>
      </c>
      <c r="B375" s="1" t="s">
        <v>2926</v>
      </c>
      <c r="C375" s="1" t="b">
        <v>1</v>
      </c>
      <c r="D375" s="1" t="b">
        <v>1</v>
      </c>
      <c r="E375" s="1" t="s">
        <v>2927</v>
      </c>
      <c r="F375" s="1" t="s">
        <v>2928</v>
      </c>
      <c r="G375" s="2">
        <f>+251918941460</f>
        <v>251918941460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19.37</v>
      </c>
      <c r="M375" s="1" t="s">
        <v>33</v>
      </c>
      <c r="N375" s="1" t="s">
        <v>118</v>
      </c>
      <c r="O375" s="1">
        <v>2.7964108015E10</v>
      </c>
    </row>
    <row r="376">
      <c r="A376" s="1">
        <v>2817597.0</v>
      </c>
      <c r="B376" s="1" t="s">
        <v>2929</v>
      </c>
      <c r="C376" s="1" t="b">
        <v>1</v>
      </c>
      <c r="D376" s="1" t="b">
        <v>1</v>
      </c>
      <c r="E376" s="1" t="s">
        <v>28</v>
      </c>
      <c r="F376" s="1" t="s">
        <v>2614</v>
      </c>
      <c r="G376" s="2">
        <f>+251924134211</f>
        <v>251924134211</v>
      </c>
      <c r="H376" s="1" t="s">
        <v>93</v>
      </c>
      <c r="I376" s="1" t="s">
        <v>19</v>
      </c>
      <c r="J376" s="1" t="s">
        <v>19</v>
      </c>
      <c r="K376" s="1" t="s">
        <v>25</v>
      </c>
      <c r="L376" s="1">
        <v>32.69</v>
      </c>
      <c r="M376" s="1" t="s">
        <v>21</v>
      </c>
      <c r="O376" s="1">
        <v>2.3416398E7</v>
      </c>
    </row>
    <row r="377">
      <c r="A377" s="1">
        <v>2818011.0</v>
      </c>
      <c r="B377" s="1" t="s">
        <v>2930</v>
      </c>
      <c r="C377" s="1" t="b">
        <v>1</v>
      </c>
      <c r="D377" s="1" t="b">
        <v>1</v>
      </c>
      <c r="E377" s="1" t="s">
        <v>2931</v>
      </c>
      <c r="F377" s="1" t="s">
        <v>2932</v>
      </c>
      <c r="G377" s="2">
        <f>+251970435234</f>
        <v>251970435234</v>
      </c>
      <c r="H377" s="1" t="s">
        <v>18</v>
      </c>
      <c r="I377" s="1" t="s">
        <v>19</v>
      </c>
      <c r="J377" s="1" t="s">
        <v>19</v>
      </c>
      <c r="K377" s="1" t="s">
        <v>25</v>
      </c>
      <c r="L377" s="1">
        <v>26.65</v>
      </c>
      <c r="M377" s="1" t="s">
        <v>21</v>
      </c>
      <c r="O377" s="1">
        <v>2.63254411512E11</v>
      </c>
    </row>
    <row r="378">
      <c r="A378" s="1">
        <v>881985.0</v>
      </c>
      <c r="B378" s="1" t="s">
        <v>2933</v>
      </c>
      <c r="C378" s="1" t="b">
        <v>1</v>
      </c>
      <c r="D378" s="1" t="b">
        <v>1</v>
      </c>
      <c r="E378" s="1" t="s">
        <v>2934</v>
      </c>
      <c r="F378" s="1" t="s">
        <v>2935</v>
      </c>
      <c r="G378" s="2">
        <f>+251917801084</f>
        <v>251917801084</v>
      </c>
      <c r="H378" s="1" t="s">
        <v>18</v>
      </c>
      <c r="I378" s="1" t="s">
        <v>19</v>
      </c>
      <c r="J378" s="1" t="s">
        <v>19</v>
      </c>
      <c r="K378" s="1" t="s">
        <v>20</v>
      </c>
      <c r="L378" s="1">
        <v>19.93</v>
      </c>
      <c r="M378" s="1" t="s">
        <v>26</v>
      </c>
      <c r="O378" s="1">
        <v>3.892839901E9</v>
      </c>
    </row>
    <row r="379">
      <c r="A379" s="1">
        <v>2818353.0</v>
      </c>
      <c r="B379" s="1" t="s">
        <v>2936</v>
      </c>
      <c r="C379" s="1" t="b">
        <v>1</v>
      </c>
      <c r="D379" s="1" t="b">
        <v>1</v>
      </c>
      <c r="E379" s="1" t="s">
        <v>2937</v>
      </c>
      <c r="F379" s="1" t="s">
        <v>2938</v>
      </c>
      <c r="G379" s="2">
        <f>+251941266945</f>
        <v>251941266945</v>
      </c>
      <c r="H379" s="1" t="s">
        <v>18</v>
      </c>
      <c r="I379" s="1" t="s">
        <v>19</v>
      </c>
      <c r="J379" s="1" t="s">
        <v>19</v>
      </c>
      <c r="K379" s="1" t="s">
        <v>25</v>
      </c>
      <c r="L379" s="1">
        <v>22.85</v>
      </c>
      <c r="M379" s="1" t="s">
        <v>21</v>
      </c>
      <c r="O379" s="1">
        <v>9360604.0</v>
      </c>
    </row>
    <row r="380">
      <c r="A380" s="1">
        <v>2820240.0</v>
      </c>
      <c r="B380" s="1" t="s">
        <v>2939</v>
      </c>
      <c r="C380" s="1" t="b">
        <v>1</v>
      </c>
      <c r="D380" s="1" t="b">
        <v>1</v>
      </c>
      <c r="E380" s="1" t="s">
        <v>2160</v>
      </c>
      <c r="F380" s="1" t="s">
        <v>292</v>
      </c>
      <c r="G380" s="2">
        <f>+251941244259</f>
        <v>251941244259</v>
      </c>
      <c r="H380" s="1" t="s">
        <v>18</v>
      </c>
      <c r="I380" s="1" t="s">
        <v>19</v>
      </c>
      <c r="J380" s="1" t="s">
        <v>19</v>
      </c>
      <c r="K380" s="1" t="s">
        <v>25</v>
      </c>
      <c r="L380" s="1">
        <v>25.41</v>
      </c>
      <c r="M380" s="1" t="s">
        <v>33</v>
      </c>
      <c r="N380" s="1" t="s">
        <v>34</v>
      </c>
      <c r="O380" s="1">
        <v>2.63729630422E11</v>
      </c>
    </row>
    <row r="381">
      <c r="A381" s="1">
        <v>2806154.0</v>
      </c>
      <c r="B381" s="1" t="s">
        <v>2940</v>
      </c>
      <c r="C381" s="1" t="b">
        <v>1</v>
      </c>
      <c r="D381" s="1" t="b">
        <v>1</v>
      </c>
      <c r="E381" s="1" t="s">
        <v>1254</v>
      </c>
      <c r="F381" s="1" t="s">
        <v>2941</v>
      </c>
      <c r="G381" s="2">
        <f>+251923736816</f>
        <v>251923736816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20.23</v>
      </c>
      <c r="M381" s="1" t="s">
        <v>33</v>
      </c>
      <c r="N381" s="1" t="s">
        <v>34</v>
      </c>
      <c r="O381" s="1">
        <v>2.61258934501E11</v>
      </c>
    </row>
    <row r="382">
      <c r="A382" s="1">
        <v>2822849.0</v>
      </c>
      <c r="B382" s="1" t="s">
        <v>2942</v>
      </c>
      <c r="C382" s="1" t="b">
        <v>1</v>
      </c>
      <c r="D382" s="1" t="b">
        <v>1</v>
      </c>
      <c r="E382" s="1" t="s">
        <v>1917</v>
      </c>
      <c r="F382" s="1" t="s">
        <v>2943</v>
      </c>
      <c r="G382" s="2">
        <f>+251919376878</f>
        <v>251919376878</v>
      </c>
      <c r="H382" s="1" t="s">
        <v>1410</v>
      </c>
      <c r="I382" s="1" t="s">
        <v>19</v>
      </c>
      <c r="J382" s="1" t="s">
        <v>19</v>
      </c>
      <c r="K382" s="1" t="s">
        <v>25</v>
      </c>
      <c r="L382" s="1">
        <v>29.37</v>
      </c>
      <c r="M382" s="1" t="s">
        <v>21</v>
      </c>
      <c r="O382" s="1">
        <v>2.6435057276E11</v>
      </c>
    </row>
    <row r="383">
      <c r="A383" s="1">
        <v>502975.0</v>
      </c>
      <c r="B383" s="1" t="s">
        <v>2944</v>
      </c>
      <c r="C383" s="1" t="b">
        <v>1</v>
      </c>
      <c r="D383" s="1" t="b">
        <v>1</v>
      </c>
      <c r="E383" s="1" t="s">
        <v>1590</v>
      </c>
      <c r="F383" s="1" t="s">
        <v>524</v>
      </c>
      <c r="G383" s="2">
        <f>+251921312903</f>
        <v>251921312903</v>
      </c>
      <c r="H383" s="1" t="s">
        <v>18</v>
      </c>
      <c r="I383" s="1" t="s">
        <v>19</v>
      </c>
      <c r="J383" s="1" t="s">
        <v>19</v>
      </c>
      <c r="K383" s="1" t="s">
        <v>25</v>
      </c>
      <c r="L383" s="1">
        <v>35.69</v>
      </c>
      <c r="M383" s="1" t="s">
        <v>21</v>
      </c>
      <c r="O383" s="1">
        <v>2.8429807E7</v>
      </c>
    </row>
    <row r="384">
      <c r="A384" s="1">
        <v>2823065.0</v>
      </c>
      <c r="B384" s="1" t="s">
        <v>2945</v>
      </c>
      <c r="C384" s="1" t="b">
        <v>1</v>
      </c>
      <c r="D384" s="1" t="b">
        <v>1</v>
      </c>
      <c r="E384" s="1" t="s">
        <v>1068</v>
      </c>
      <c r="F384" s="1" t="s">
        <v>929</v>
      </c>
      <c r="G384" s="2">
        <f>+251911279665</f>
        <v>251911279665</v>
      </c>
      <c r="H384" s="1" t="s">
        <v>18</v>
      </c>
      <c r="I384" s="1" t="s">
        <v>19</v>
      </c>
      <c r="J384" s="1" t="s">
        <v>19</v>
      </c>
      <c r="K384" s="1" t="s">
        <v>25</v>
      </c>
      <c r="L384" s="1">
        <v>26.34</v>
      </c>
      <c r="M384" s="1" t="s">
        <v>26</v>
      </c>
      <c r="O384" s="1">
        <v>2.64473651439E11</v>
      </c>
    </row>
    <row r="385">
      <c r="A385" s="1">
        <v>2823253.0</v>
      </c>
      <c r="B385" s="1" t="s">
        <v>2946</v>
      </c>
      <c r="C385" s="1" t="b">
        <v>1</v>
      </c>
      <c r="D385" s="1" t="b">
        <v>1</v>
      </c>
      <c r="E385" s="1" t="s">
        <v>2947</v>
      </c>
      <c r="F385" s="1" t="s">
        <v>2948</v>
      </c>
      <c r="G385" s="2">
        <f>+251917117572</f>
        <v>251917117572</v>
      </c>
      <c r="H385" s="1" t="s">
        <v>18</v>
      </c>
      <c r="I385" s="1" t="s">
        <v>19</v>
      </c>
      <c r="J385" s="1" t="s">
        <v>19</v>
      </c>
      <c r="K385" s="1" t="s">
        <v>25</v>
      </c>
      <c r="L385" s="1">
        <v>25.74</v>
      </c>
      <c r="M385" s="1" t="s">
        <v>21</v>
      </c>
      <c r="O385" s="1">
        <v>2.64437699819E11</v>
      </c>
    </row>
    <row r="386">
      <c r="A386" s="1">
        <v>2823798.0</v>
      </c>
      <c r="B386" s="1" t="s">
        <v>2949</v>
      </c>
      <c r="C386" s="1" t="b">
        <v>1</v>
      </c>
      <c r="D386" s="1" t="b">
        <v>1</v>
      </c>
      <c r="E386" s="1" t="s">
        <v>2950</v>
      </c>
      <c r="F386" s="1" t="s">
        <v>176</v>
      </c>
      <c r="G386" s="2">
        <f>+2519070008820</f>
        <v>2519070008820</v>
      </c>
      <c r="H386" s="1" t="s">
        <v>18</v>
      </c>
      <c r="I386" s="1" t="s">
        <v>19</v>
      </c>
      <c r="J386" s="1" t="s">
        <v>19</v>
      </c>
      <c r="K386" s="1" t="s">
        <v>25</v>
      </c>
      <c r="L386" s="1">
        <v>24.33</v>
      </c>
      <c r="M386" s="1" t="s">
        <v>21</v>
      </c>
      <c r="O386" s="1">
        <v>2.64606051526E11</v>
      </c>
    </row>
    <row r="387">
      <c r="A387" s="1">
        <v>2824198.0</v>
      </c>
      <c r="B387" s="1" t="s">
        <v>2951</v>
      </c>
      <c r="C387" s="1" t="b">
        <v>0</v>
      </c>
      <c r="D387" s="1" t="b">
        <v>1</v>
      </c>
      <c r="E387" s="1" t="s">
        <v>1958</v>
      </c>
      <c r="F387" s="1" t="s">
        <v>2952</v>
      </c>
      <c r="G387" s="2">
        <f>+251989112286</f>
        <v>251989112286</v>
      </c>
      <c r="H387" s="1" t="s">
        <v>18</v>
      </c>
      <c r="I387" s="1" t="s">
        <v>19</v>
      </c>
      <c r="J387" s="1" t="s">
        <v>19</v>
      </c>
      <c r="K387" s="1" t="s">
        <v>25</v>
      </c>
      <c r="L387" s="1">
        <v>22.82</v>
      </c>
      <c r="M387" s="1" t="s">
        <v>26</v>
      </c>
      <c r="O387" s="1">
        <v>2.64655523043E11</v>
      </c>
    </row>
    <row r="388">
      <c r="A388" s="1">
        <v>2824187.0</v>
      </c>
      <c r="B388" s="1" t="s">
        <v>2953</v>
      </c>
      <c r="C388" s="1" t="b">
        <v>1</v>
      </c>
      <c r="D388" s="1" t="b">
        <v>1</v>
      </c>
      <c r="E388" s="1" t="s">
        <v>1069</v>
      </c>
      <c r="F388" s="1" t="s">
        <v>2954</v>
      </c>
      <c r="G388" s="2">
        <f>+251936365983</f>
        <v>251936365983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23.38</v>
      </c>
      <c r="M388" s="1" t="s">
        <v>21</v>
      </c>
    </row>
    <row r="389">
      <c r="A389" s="1">
        <v>2824578.0</v>
      </c>
      <c r="B389" s="1" t="s">
        <v>2955</v>
      </c>
      <c r="C389" s="1" t="b">
        <v>1</v>
      </c>
      <c r="D389" s="1" t="b">
        <v>1</v>
      </c>
      <c r="E389" s="1" t="s">
        <v>996</v>
      </c>
      <c r="F389" s="1" t="s">
        <v>2956</v>
      </c>
      <c r="G389" s="2">
        <f>+251920513707</f>
        <v>251920513707</v>
      </c>
      <c r="H389" s="1" t="s">
        <v>72</v>
      </c>
      <c r="I389" s="1" t="s">
        <v>19</v>
      </c>
      <c r="J389" s="1" t="s">
        <v>19</v>
      </c>
      <c r="K389" s="1" t="s">
        <v>25</v>
      </c>
      <c r="L389" s="1">
        <v>38.64</v>
      </c>
      <c r="M389" s="1" t="s">
        <v>21</v>
      </c>
      <c r="O389" s="1">
        <v>1900353.0</v>
      </c>
    </row>
    <row r="390">
      <c r="A390" s="1">
        <v>2825093.0</v>
      </c>
      <c r="B390" s="1" t="s">
        <v>2957</v>
      </c>
      <c r="C390" s="1" t="b">
        <v>1</v>
      </c>
      <c r="D390" s="1" t="b">
        <v>1</v>
      </c>
      <c r="E390" s="1" t="s">
        <v>2160</v>
      </c>
      <c r="F390" s="1" t="s">
        <v>2958</v>
      </c>
      <c r="G390" s="2">
        <f>+251944494970</f>
        <v>251944494970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22.75</v>
      </c>
      <c r="M390" s="1" t="s">
        <v>33</v>
      </c>
      <c r="N390" s="1" t="s">
        <v>65</v>
      </c>
      <c r="O390" s="1">
        <v>2.64803009733E11</v>
      </c>
    </row>
    <row r="391">
      <c r="A391" s="1">
        <v>2825425.0</v>
      </c>
      <c r="B391" s="1" t="s">
        <v>2959</v>
      </c>
      <c r="C391" s="1" t="b">
        <v>1</v>
      </c>
      <c r="D391" s="1" t="b">
        <v>1</v>
      </c>
      <c r="E391" s="1" t="s">
        <v>195</v>
      </c>
      <c r="F391" s="1" t="s">
        <v>2960</v>
      </c>
      <c r="G391" s="2">
        <f>+251967098893</f>
        <v>251967098893</v>
      </c>
      <c r="H391" s="1" t="s">
        <v>18</v>
      </c>
      <c r="I391" s="1" t="s">
        <v>19</v>
      </c>
      <c r="J391" s="1" t="s">
        <v>19</v>
      </c>
      <c r="K391" s="1" t="s">
        <v>25</v>
      </c>
      <c r="L391" s="1">
        <v>25.79</v>
      </c>
      <c r="M391" s="1" t="s">
        <v>21</v>
      </c>
    </row>
    <row r="392">
      <c r="A392" s="1">
        <v>2825280.0</v>
      </c>
      <c r="B392" s="1" t="s">
        <v>2961</v>
      </c>
      <c r="C392" s="1" t="b">
        <v>1</v>
      </c>
      <c r="D392" s="1" t="b">
        <v>1</v>
      </c>
      <c r="E392" s="1" t="s">
        <v>491</v>
      </c>
      <c r="F392" s="1" t="s">
        <v>2962</v>
      </c>
      <c r="G392" s="2">
        <f>+251916665156</f>
        <v>251916665156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33.46</v>
      </c>
      <c r="M392" s="1" t="s">
        <v>21</v>
      </c>
    </row>
    <row r="393">
      <c r="A393" s="1">
        <v>2825467.0</v>
      </c>
      <c r="B393" s="1" t="s">
        <v>2963</v>
      </c>
      <c r="C393" s="1" t="b">
        <v>1</v>
      </c>
      <c r="D393" s="1" t="b">
        <v>1</v>
      </c>
      <c r="E393" s="1" t="s">
        <v>2964</v>
      </c>
      <c r="F393" s="1" t="s">
        <v>2965</v>
      </c>
      <c r="G393" s="2">
        <f>+251920119464</f>
        <v>251920119464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20.29</v>
      </c>
      <c r="M393" s="1" t="s">
        <v>21</v>
      </c>
      <c r="O393" s="1">
        <v>2.64879521996E11</v>
      </c>
    </row>
    <row r="394">
      <c r="A394" s="1">
        <v>2825610.0</v>
      </c>
      <c r="B394" s="1" t="s">
        <v>2966</v>
      </c>
      <c r="C394" s="1" t="b">
        <v>0</v>
      </c>
      <c r="D394" s="1" t="b">
        <v>1</v>
      </c>
      <c r="E394" s="1" t="s">
        <v>2967</v>
      </c>
      <c r="F394" s="1" t="s">
        <v>2968</v>
      </c>
      <c r="G394" s="2">
        <f>+251919098569</f>
        <v>251919098569</v>
      </c>
      <c r="H394" s="1" t="s">
        <v>18</v>
      </c>
      <c r="I394" s="1" t="s">
        <v>19</v>
      </c>
      <c r="J394" s="1" t="s">
        <v>19</v>
      </c>
      <c r="K394" s="1" t="s">
        <v>25</v>
      </c>
      <c r="L394" s="1">
        <v>25.56</v>
      </c>
      <c r="M394" s="1" t="s">
        <v>26</v>
      </c>
      <c r="O394" s="1">
        <v>2.64887060683E11</v>
      </c>
    </row>
    <row r="395">
      <c r="A395" s="1">
        <v>1960171.0</v>
      </c>
      <c r="B395" s="1" t="s">
        <v>2969</v>
      </c>
      <c r="C395" s="1" t="b">
        <v>1</v>
      </c>
      <c r="D395" s="1" t="b">
        <v>0</v>
      </c>
      <c r="E395" s="1" t="s">
        <v>448</v>
      </c>
      <c r="F395" s="1" t="s">
        <v>959</v>
      </c>
      <c r="G395" s="2">
        <f>+251963429000</f>
        <v>251963429000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23.65</v>
      </c>
      <c r="M395" s="1" t="s">
        <v>33</v>
      </c>
      <c r="N395" s="1" t="s">
        <v>76</v>
      </c>
    </row>
    <row r="396">
      <c r="A396" s="1">
        <v>2825747.0</v>
      </c>
      <c r="B396" s="1" t="s">
        <v>2970</v>
      </c>
      <c r="C396" s="1" t="b">
        <v>1</v>
      </c>
      <c r="D396" s="1" t="b">
        <v>1</v>
      </c>
      <c r="E396" s="1" t="s">
        <v>286</v>
      </c>
      <c r="F396" s="1" t="s">
        <v>2971</v>
      </c>
      <c r="G396" s="2">
        <f>+251994150954</f>
        <v>251994150954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23.65</v>
      </c>
      <c r="M396" s="1" t="s">
        <v>33</v>
      </c>
      <c r="N396" s="1" t="s">
        <v>166</v>
      </c>
      <c r="O396" s="1">
        <v>1.2724501E7</v>
      </c>
    </row>
    <row r="397">
      <c r="A397" s="1">
        <v>2825436.0</v>
      </c>
      <c r="B397" s="1" t="s">
        <v>2972</v>
      </c>
      <c r="C397" s="1" t="b">
        <v>1</v>
      </c>
      <c r="D397" s="1" t="b">
        <v>1</v>
      </c>
      <c r="E397" s="1" t="s">
        <v>620</v>
      </c>
      <c r="F397" s="1" t="s">
        <v>195</v>
      </c>
      <c r="G397" s="2">
        <f>+251816855642</f>
        <v>251816855642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40.8</v>
      </c>
      <c r="M397" s="1" t="s">
        <v>21</v>
      </c>
      <c r="O397" s="1">
        <v>2.64835092688E11</v>
      </c>
    </row>
    <row r="398">
      <c r="A398" s="1">
        <v>2826061.0</v>
      </c>
      <c r="B398" s="1" t="s">
        <v>2973</v>
      </c>
      <c r="C398" s="1" t="b">
        <v>1</v>
      </c>
      <c r="D398" s="1" t="b">
        <v>1</v>
      </c>
      <c r="E398" s="1" t="s">
        <v>1950</v>
      </c>
      <c r="F398" s="1" t="s">
        <v>484</v>
      </c>
      <c r="G398" s="2">
        <f>+251976130020</f>
        <v>251976130020</v>
      </c>
      <c r="H398" s="1" t="s">
        <v>18</v>
      </c>
      <c r="I398" s="1" t="s">
        <v>19</v>
      </c>
      <c r="J398" s="1" t="s">
        <v>498</v>
      </c>
      <c r="K398" s="1" t="s">
        <v>25</v>
      </c>
      <c r="L398" s="1">
        <v>22.53</v>
      </c>
      <c r="M398" s="1" t="s">
        <v>33</v>
      </c>
      <c r="N398" s="1" t="s">
        <v>65</v>
      </c>
      <c r="O398" s="1">
        <v>5917965.0</v>
      </c>
    </row>
    <row r="399">
      <c r="A399" s="1">
        <v>2826157.0</v>
      </c>
      <c r="B399" s="1" t="s">
        <v>2974</v>
      </c>
      <c r="C399" s="1" t="b">
        <v>1</v>
      </c>
      <c r="D399" s="1" t="b">
        <v>1</v>
      </c>
      <c r="E399" s="1" t="s">
        <v>2975</v>
      </c>
      <c r="F399" s="1" t="s">
        <v>1649</v>
      </c>
      <c r="G399" s="2">
        <f>+251969987474</f>
        <v>251969987474</v>
      </c>
      <c r="H399" s="1" t="s">
        <v>18</v>
      </c>
      <c r="I399" s="1" t="s">
        <v>19</v>
      </c>
      <c r="J399" s="1" t="s">
        <v>19</v>
      </c>
      <c r="K399" s="1" t="s">
        <v>20</v>
      </c>
      <c r="L399" s="1">
        <v>23.35</v>
      </c>
      <c r="M399" s="1" t="s">
        <v>21</v>
      </c>
    </row>
    <row r="400">
      <c r="A400" s="1">
        <v>2826255.0</v>
      </c>
      <c r="B400" s="1" t="s">
        <v>2976</v>
      </c>
      <c r="C400" s="1" t="b">
        <v>0</v>
      </c>
      <c r="D400" s="1" t="b">
        <v>1</v>
      </c>
      <c r="E400" s="1" t="s">
        <v>483</v>
      </c>
      <c r="F400" s="1" t="s">
        <v>363</v>
      </c>
      <c r="G400" s="2">
        <f>+251941143250</f>
        <v>251941143250</v>
      </c>
      <c r="H400" s="1" t="s">
        <v>18</v>
      </c>
      <c r="I400" s="1" t="s">
        <v>19</v>
      </c>
      <c r="J400" s="1" t="s">
        <v>19</v>
      </c>
      <c r="K400" s="1" t="s">
        <v>20</v>
      </c>
      <c r="L400" s="1">
        <v>25.95</v>
      </c>
      <c r="M400" s="1" t="s">
        <v>26</v>
      </c>
    </row>
    <row r="401">
      <c r="A401" s="1">
        <v>2826443.0</v>
      </c>
      <c r="B401" s="1" t="s">
        <v>2977</v>
      </c>
      <c r="C401" s="1" t="b">
        <v>1</v>
      </c>
      <c r="D401" s="1" t="b">
        <v>1</v>
      </c>
      <c r="E401" s="1" t="s">
        <v>2978</v>
      </c>
      <c r="F401" s="1" t="s">
        <v>2979</v>
      </c>
      <c r="G401" s="2">
        <f>+251916151351</f>
        <v>251916151351</v>
      </c>
      <c r="H401" s="1" t="s">
        <v>18</v>
      </c>
      <c r="I401" s="1" t="s">
        <v>19</v>
      </c>
      <c r="J401" s="1" t="s">
        <v>19</v>
      </c>
      <c r="K401" s="1" t="s">
        <v>25</v>
      </c>
      <c r="L401" s="1">
        <v>29.18</v>
      </c>
      <c r="M401" s="1" t="s">
        <v>21</v>
      </c>
      <c r="O401" s="1">
        <v>5859010.0</v>
      </c>
    </row>
    <row r="402">
      <c r="A402" s="1">
        <v>467867.0</v>
      </c>
      <c r="B402" s="1" t="s">
        <v>2980</v>
      </c>
      <c r="C402" s="1" t="b">
        <v>1</v>
      </c>
      <c r="D402" s="1" t="b">
        <v>1</v>
      </c>
      <c r="E402" s="1" t="s">
        <v>750</v>
      </c>
      <c r="F402" s="1" t="s">
        <v>862</v>
      </c>
      <c r="G402" s="1">
        <v>9.33695064E8</v>
      </c>
      <c r="H402" s="1" t="s">
        <v>18</v>
      </c>
      <c r="I402" s="1" t="s">
        <v>19</v>
      </c>
      <c r="J402" s="1" t="s">
        <v>19</v>
      </c>
      <c r="K402" s="1" t="s">
        <v>20</v>
      </c>
      <c r="L402" s="1">
        <v>28.43</v>
      </c>
      <c r="M402" s="1" t="s">
        <v>33</v>
      </c>
      <c r="N402" s="1" t="s">
        <v>118</v>
      </c>
      <c r="O402" s="1">
        <v>4793026.0</v>
      </c>
    </row>
    <row r="403">
      <c r="A403" s="1">
        <v>2826641.0</v>
      </c>
      <c r="B403" s="1" t="s">
        <v>2981</v>
      </c>
      <c r="C403" s="1" t="b">
        <v>0</v>
      </c>
      <c r="D403" s="1" t="b">
        <v>1</v>
      </c>
      <c r="E403" s="1" t="s">
        <v>1457</v>
      </c>
      <c r="F403" s="1" t="s">
        <v>1077</v>
      </c>
      <c r="G403" s="2">
        <f>+251925201933</f>
        <v>251925201933</v>
      </c>
      <c r="H403" s="1" t="s">
        <v>18</v>
      </c>
      <c r="I403" s="1" t="s">
        <v>19</v>
      </c>
      <c r="J403" s="1" t="s">
        <v>19</v>
      </c>
      <c r="K403" s="1" t="s">
        <v>25</v>
      </c>
      <c r="L403" s="1">
        <v>22.16</v>
      </c>
      <c r="M403" s="1" t="s">
        <v>26</v>
      </c>
      <c r="O403" s="1">
        <v>2.64945325285E11</v>
      </c>
    </row>
    <row r="404">
      <c r="A404" s="1">
        <v>2827442.0</v>
      </c>
      <c r="B404" s="1" t="s">
        <v>2982</v>
      </c>
      <c r="C404" s="1" t="b">
        <v>1</v>
      </c>
      <c r="D404" s="1" t="b">
        <v>1</v>
      </c>
      <c r="E404" s="1" t="s">
        <v>264</v>
      </c>
      <c r="F404" s="1" t="s">
        <v>1826</v>
      </c>
      <c r="G404" s="2">
        <f>+251941418388</f>
        <v>251941418388</v>
      </c>
      <c r="H404" s="1" t="s">
        <v>18</v>
      </c>
      <c r="I404" s="1" t="s">
        <v>19</v>
      </c>
      <c r="J404" s="1" t="s">
        <v>19</v>
      </c>
      <c r="K404" s="1" t="s">
        <v>25</v>
      </c>
      <c r="L404" s="1">
        <v>27.47</v>
      </c>
      <c r="M404" s="1" t="s">
        <v>21</v>
      </c>
    </row>
    <row r="405">
      <c r="A405" s="1">
        <v>2806196.0</v>
      </c>
      <c r="B405" s="1" t="s">
        <v>2983</v>
      </c>
      <c r="C405" s="1" t="b">
        <v>1</v>
      </c>
      <c r="D405" s="1" t="b">
        <v>1</v>
      </c>
      <c r="E405" s="1" t="s">
        <v>458</v>
      </c>
      <c r="F405" s="1" t="s">
        <v>189</v>
      </c>
      <c r="G405" s="2">
        <f>+251934419806</f>
        <v>251934419806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27.86</v>
      </c>
      <c r="M405" s="1" t="s">
        <v>21</v>
      </c>
      <c r="O405" s="1">
        <v>1845701.0</v>
      </c>
    </row>
    <row r="406">
      <c r="A406" s="1">
        <v>2827806.0</v>
      </c>
      <c r="B406" s="1" t="s">
        <v>2984</v>
      </c>
      <c r="C406" s="1" t="b">
        <v>1</v>
      </c>
      <c r="D406" s="1" t="b">
        <v>1</v>
      </c>
      <c r="E406" s="1" t="s">
        <v>250</v>
      </c>
      <c r="F406" s="1" t="s">
        <v>371</v>
      </c>
      <c r="G406" s="2">
        <f>+251930655929</f>
        <v>251930655929</v>
      </c>
      <c r="H406" s="1" t="s">
        <v>72</v>
      </c>
      <c r="I406" s="1" t="s">
        <v>19</v>
      </c>
      <c r="J406" s="1" t="s">
        <v>19</v>
      </c>
      <c r="K406" s="1" t="s">
        <v>25</v>
      </c>
      <c r="L406" s="1">
        <v>24.03</v>
      </c>
      <c r="M406" s="1" t="s">
        <v>21</v>
      </c>
    </row>
    <row r="407">
      <c r="A407" s="1">
        <v>2827839.0</v>
      </c>
      <c r="B407" s="1" t="s">
        <v>2985</v>
      </c>
      <c r="C407" s="1" t="b">
        <v>1</v>
      </c>
      <c r="D407" s="1" t="b">
        <v>1</v>
      </c>
      <c r="E407" s="1" t="s">
        <v>2986</v>
      </c>
      <c r="F407" s="1" t="s">
        <v>921</v>
      </c>
      <c r="G407" s="2">
        <f>+251934828292</f>
        <v>251934828292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23.87</v>
      </c>
      <c r="M407" s="1" t="s">
        <v>21</v>
      </c>
      <c r="O407" s="1">
        <v>2.65648358604E11</v>
      </c>
    </row>
    <row r="408">
      <c r="A408" s="1">
        <v>2827829.0</v>
      </c>
      <c r="B408" s="1" t="s">
        <v>2987</v>
      </c>
      <c r="C408" s="1" t="b">
        <v>1</v>
      </c>
      <c r="D408" s="1" t="b">
        <v>1</v>
      </c>
      <c r="E408" s="1" t="s">
        <v>2036</v>
      </c>
      <c r="F408" s="1" t="s">
        <v>2988</v>
      </c>
      <c r="G408" s="2">
        <f>+251909661044</f>
        <v>251909661044</v>
      </c>
      <c r="H408" s="1" t="s">
        <v>18</v>
      </c>
      <c r="I408" s="1" t="s">
        <v>19</v>
      </c>
      <c r="J408" s="1" t="s">
        <v>19</v>
      </c>
      <c r="K408" s="1" t="s">
        <v>25</v>
      </c>
      <c r="L408" s="1">
        <v>28.68</v>
      </c>
      <c r="M408" s="1" t="s">
        <v>21</v>
      </c>
      <c r="O408" s="1">
        <v>2.65747330243E11</v>
      </c>
    </row>
    <row r="409">
      <c r="A409" s="1">
        <v>2827853.0</v>
      </c>
      <c r="B409" s="1" t="s">
        <v>2989</v>
      </c>
      <c r="C409" s="1" t="b">
        <v>1</v>
      </c>
      <c r="D409" s="1" t="b">
        <v>1</v>
      </c>
      <c r="E409" s="1" t="s">
        <v>2990</v>
      </c>
      <c r="F409" s="1" t="s">
        <v>1773</v>
      </c>
      <c r="G409" s="2">
        <f>+251715566171</f>
        <v>251715566171</v>
      </c>
      <c r="H409" s="1" t="s">
        <v>18</v>
      </c>
      <c r="I409" s="1" t="s">
        <v>19</v>
      </c>
      <c r="J409" s="1" t="s">
        <v>19</v>
      </c>
      <c r="K409" s="1" t="s">
        <v>20</v>
      </c>
      <c r="L409" s="1">
        <v>29.07</v>
      </c>
      <c r="M409" s="1" t="s">
        <v>21</v>
      </c>
    </row>
    <row r="410">
      <c r="A410" s="1">
        <v>2827899.0</v>
      </c>
      <c r="B410" s="1" t="s">
        <v>2991</v>
      </c>
      <c r="C410" s="1" t="b">
        <v>1</v>
      </c>
      <c r="D410" s="1" t="b">
        <v>1</v>
      </c>
      <c r="E410" s="1" t="s">
        <v>2992</v>
      </c>
      <c r="F410" s="1" t="s">
        <v>2993</v>
      </c>
      <c r="G410" s="2">
        <f>+251920024704</f>
        <v>251920024704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29.74</v>
      </c>
      <c r="M410" s="1" t="s">
        <v>21</v>
      </c>
    </row>
    <row r="411">
      <c r="A411" s="1">
        <v>2827998.0</v>
      </c>
      <c r="B411" s="1" t="s">
        <v>2994</v>
      </c>
      <c r="C411" s="1" t="b">
        <v>1</v>
      </c>
      <c r="D411" s="1" t="b">
        <v>1</v>
      </c>
      <c r="E411" s="1" t="s">
        <v>2995</v>
      </c>
      <c r="F411" s="1" t="s">
        <v>2996</v>
      </c>
      <c r="G411" s="2">
        <f>+251952212594</f>
        <v>251952212594</v>
      </c>
      <c r="H411" s="1" t="s">
        <v>18</v>
      </c>
      <c r="I411" s="1" t="s">
        <v>19</v>
      </c>
      <c r="J411" s="1" t="s">
        <v>19</v>
      </c>
      <c r="K411" s="1" t="s">
        <v>25</v>
      </c>
      <c r="L411" s="1">
        <v>24.15</v>
      </c>
      <c r="M411" s="1" t="s">
        <v>33</v>
      </c>
      <c r="N411" s="1" t="s">
        <v>34</v>
      </c>
      <c r="O411" s="1">
        <v>2.65814357213E11</v>
      </c>
    </row>
    <row r="412">
      <c r="A412" s="1">
        <v>471178.0</v>
      </c>
      <c r="B412" s="1" t="s">
        <v>2997</v>
      </c>
      <c r="C412" s="1" t="b">
        <v>1</v>
      </c>
      <c r="D412" s="1" t="b">
        <v>1</v>
      </c>
      <c r="E412" s="1" t="s">
        <v>2998</v>
      </c>
      <c r="F412" s="1" t="s">
        <v>243</v>
      </c>
      <c r="G412" s="2">
        <f>+251932092442</f>
        <v>251932092442</v>
      </c>
      <c r="H412" s="1" t="s">
        <v>18</v>
      </c>
      <c r="I412" s="1" t="s">
        <v>19</v>
      </c>
      <c r="J412" s="1" t="s">
        <v>19</v>
      </c>
      <c r="K412" s="1" t="s">
        <v>20</v>
      </c>
      <c r="L412" s="1">
        <v>27.97</v>
      </c>
      <c r="M412" s="1" t="s">
        <v>21</v>
      </c>
      <c r="O412" s="1">
        <v>2.8295397E7</v>
      </c>
    </row>
    <row r="413">
      <c r="A413" s="1">
        <v>2828617.0</v>
      </c>
      <c r="B413" s="1" t="s">
        <v>2999</v>
      </c>
      <c r="C413" s="1" t="b">
        <v>1</v>
      </c>
      <c r="D413" s="1" t="b">
        <v>1</v>
      </c>
      <c r="E413" s="1" t="s">
        <v>1144</v>
      </c>
      <c r="F413" s="1" t="s">
        <v>333</v>
      </c>
      <c r="G413" s="2">
        <f>+251919205443</f>
        <v>251919205443</v>
      </c>
      <c r="H413" s="1" t="s">
        <v>80</v>
      </c>
      <c r="I413" s="1" t="s">
        <v>19</v>
      </c>
      <c r="J413" s="1" t="s">
        <v>19</v>
      </c>
      <c r="K413" s="1" t="s">
        <v>25</v>
      </c>
      <c r="L413" s="1">
        <v>25.72</v>
      </c>
      <c r="M413" s="1" t="s">
        <v>33</v>
      </c>
      <c r="N413" s="1" t="s">
        <v>34</v>
      </c>
    </row>
    <row r="414">
      <c r="A414" s="1">
        <v>2760651.0</v>
      </c>
      <c r="B414" s="1" t="s">
        <v>3000</v>
      </c>
      <c r="C414" s="1" t="b">
        <v>1</v>
      </c>
      <c r="D414" s="1" t="b">
        <v>1</v>
      </c>
      <c r="E414" s="1" t="s">
        <v>3001</v>
      </c>
      <c r="F414" s="1" t="s">
        <v>820</v>
      </c>
      <c r="G414" s="2">
        <f>+251968054186</f>
        <v>251968054186</v>
      </c>
      <c r="H414" s="1" t="s">
        <v>18</v>
      </c>
      <c r="I414" s="1" t="s">
        <v>19</v>
      </c>
      <c r="J414" s="1" t="s">
        <v>19</v>
      </c>
      <c r="K414" s="1" t="s">
        <v>20</v>
      </c>
      <c r="L414" s="1">
        <v>13.64</v>
      </c>
      <c r="M414" s="1" t="s">
        <v>33</v>
      </c>
      <c r="N414" s="1" t="s">
        <v>65</v>
      </c>
      <c r="O414" s="1">
        <v>2.47743237342E11</v>
      </c>
    </row>
    <row r="415">
      <c r="A415" s="1">
        <v>2153649.0</v>
      </c>
      <c r="B415" s="1" t="s">
        <v>3002</v>
      </c>
      <c r="C415" s="1" t="b">
        <v>1</v>
      </c>
      <c r="D415" s="1" t="b">
        <v>0</v>
      </c>
      <c r="E415" s="1" t="s">
        <v>3003</v>
      </c>
      <c r="F415" s="1" t="s">
        <v>3004</v>
      </c>
      <c r="G415" s="1">
        <v>9.86884912E8</v>
      </c>
      <c r="H415" s="1" t="s">
        <v>18</v>
      </c>
      <c r="I415" s="1" t="s">
        <v>19</v>
      </c>
      <c r="J415" s="1" t="s">
        <v>19</v>
      </c>
      <c r="K415" s="1" t="s">
        <v>25</v>
      </c>
      <c r="L415" s="1">
        <v>42.63</v>
      </c>
      <c r="M415" s="1" t="s">
        <v>21</v>
      </c>
      <c r="O415" s="1">
        <v>3.2044171216E10</v>
      </c>
    </row>
    <row r="416">
      <c r="A416" s="1">
        <v>58701.0</v>
      </c>
      <c r="B416" s="1" t="s">
        <v>3005</v>
      </c>
      <c r="C416" s="1" t="b">
        <v>1</v>
      </c>
      <c r="D416" s="1" t="b">
        <v>1</v>
      </c>
      <c r="E416" s="1" t="s">
        <v>2210</v>
      </c>
      <c r="F416" s="1" t="s">
        <v>3006</v>
      </c>
      <c r="G416" s="2">
        <f>+251912656738</f>
        <v>251912656738</v>
      </c>
      <c r="H416" s="1" t="s">
        <v>18</v>
      </c>
      <c r="I416" s="1" t="s">
        <v>19</v>
      </c>
      <c r="J416" s="1" t="s">
        <v>19</v>
      </c>
      <c r="K416" s="1" t="s">
        <v>20</v>
      </c>
      <c r="L416" s="1">
        <v>32.7</v>
      </c>
      <c r="M416" s="1" t="s">
        <v>33</v>
      </c>
      <c r="N416" s="1" t="s">
        <v>166</v>
      </c>
      <c r="O416" s="1">
        <v>2.6061801E7</v>
      </c>
    </row>
    <row r="417">
      <c r="A417" s="1">
        <v>2829202.0</v>
      </c>
      <c r="B417" s="1" t="s">
        <v>3007</v>
      </c>
      <c r="C417" s="1" t="b">
        <v>0</v>
      </c>
      <c r="D417" s="1" t="b">
        <v>1</v>
      </c>
      <c r="E417" s="1" t="s">
        <v>2842</v>
      </c>
      <c r="F417" s="1" t="s">
        <v>3008</v>
      </c>
      <c r="G417" s="2">
        <f>+251911739956</f>
        <v>251911739956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44.23</v>
      </c>
      <c r="M417" s="1" t="s">
        <v>26</v>
      </c>
      <c r="O417" s="1">
        <v>2.66363993315E11</v>
      </c>
    </row>
    <row r="418">
      <c r="A418" s="1">
        <v>2829586.0</v>
      </c>
      <c r="B418" s="1" t="s">
        <v>3009</v>
      </c>
      <c r="C418" s="1" t="b">
        <v>1</v>
      </c>
      <c r="D418" s="1" t="b">
        <v>1</v>
      </c>
      <c r="E418" s="1" t="s">
        <v>956</v>
      </c>
      <c r="F418" s="1" t="s">
        <v>3010</v>
      </c>
      <c r="G418" s="2">
        <f>+251947378248</f>
        <v>251947378248</v>
      </c>
      <c r="H418" s="1" t="s">
        <v>18</v>
      </c>
      <c r="I418" s="1" t="s">
        <v>19</v>
      </c>
      <c r="J418" s="1" t="s">
        <v>19</v>
      </c>
      <c r="K418" s="1" t="s">
        <v>25</v>
      </c>
      <c r="L418" s="1">
        <v>28.55</v>
      </c>
      <c r="M418" s="1" t="s">
        <v>33</v>
      </c>
      <c r="N418" s="1" t="s">
        <v>177</v>
      </c>
      <c r="O418" s="1">
        <v>2.66521607359E11</v>
      </c>
    </row>
    <row r="419">
      <c r="A419" s="1">
        <v>2829551.0</v>
      </c>
      <c r="B419" s="1" t="s">
        <v>3011</v>
      </c>
      <c r="C419" s="1" t="b">
        <v>1</v>
      </c>
      <c r="D419" s="1" t="b">
        <v>1</v>
      </c>
      <c r="E419" s="1" t="s">
        <v>877</v>
      </c>
      <c r="F419" s="1" t="s">
        <v>859</v>
      </c>
      <c r="G419" s="2">
        <f>+251986595527</f>
        <v>251986595527</v>
      </c>
      <c r="H419" s="1" t="s">
        <v>18</v>
      </c>
      <c r="I419" s="1" t="s">
        <v>19</v>
      </c>
      <c r="J419" s="1" t="s">
        <v>19</v>
      </c>
      <c r="K419" s="1" t="s">
        <v>20</v>
      </c>
      <c r="L419" s="1">
        <v>22.58</v>
      </c>
      <c r="M419" s="1" t="s">
        <v>21</v>
      </c>
      <c r="O419" s="1">
        <v>2.66513094859E11</v>
      </c>
    </row>
    <row r="420">
      <c r="A420" s="1">
        <v>2829678.0</v>
      </c>
      <c r="B420" s="1" t="s">
        <v>3012</v>
      </c>
      <c r="C420" s="1" t="b">
        <v>1</v>
      </c>
      <c r="D420" s="1" t="b">
        <v>1</v>
      </c>
      <c r="E420" s="1" t="s">
        <v>60</v>
      </c>
      <c r="F420" s="1" t="s">
        <v>3013</v>
      </c>
      <c r="G420" s="2">
        <f>+251937513956</f>
        <v>251937513956</v>
      </c>
      <c r="H420" s="1" t="s">
        <v>18</v>
      </c>
      <c r="I420" s="1" t="s">
        <v>19</v>
      </c>
      <c r="J420" s="1" t="s">
        <v>19</v>
      </c>
      <c r="K420" s="1" t="s">
        <v>25</v>
      </c>
      <c r="L420" s="1">
        <v>30.44</v>
      </c>
      <c r="M420" s="1" t="s">
        <v>33</v>
      </c>
      <c r="N420" s="1" t="s">
        <v>166</v>
      </c>
      <c r="O420" s="1">
        <v>1915082.0</v>
      </c>
    </row>
    <row r="421">
      <c r="A421" s="1">
        <v>2830084.0</v>
      </c>
      <c r="B421" s="1" t="s">
        <v>3014</v>
      </c>
      <c r="C421" s="1" t="b">
        <v>1</v>
      </c>
      <c r="D421" s="1" t="b">
        <v>1</v>
      </c>
      <c r="E421" s="1" t="s">
        <v>588</v>
      </c>
      <c r="F421" s="1" t="s">
        <v>3015</v>
      </c>
      <c r="G421" s="2">
        <f>+251910050354</f>
        <v>251910050354</v>
      </c>
      <c r="H421" s="1" t="s">
        <v>18</v>
      </c>
      <c r="I421" s="1" t="s">
        <v>19</v>
      </c>
      <c r="J421" s="1" t="s">
        <v>19</v>
      </c>
      <c r="K421" s="1" t="s">
        <v>20</v>
      </c>
      <c r="L421" s="1">
        <v>32.16</v>
      </c>
      <c r="M421" s="1" t="s">
        <v>21</v>
      </c>
    </row>
    <row r="422">
      <c r="A422" s="1">
        <v>361152.0</v>
      </c>
      <c r="B422" s="1" t="s">
        <v>3016</v>
      </c>
      <c r="C422" s="1" t="b">
        <v>1</v>
      </c>
      <c r="D422" s="1" t="b">
        <v>1</v>
      </c>
      <c r="E422" s="1" t="s">
        <v>3017</v>
      </c>
      <c r="F422" s="1" t="s">
        <v>102</v>
      </c>
      <c r="G422" s="2">
        <f>+251901967169</f>
        <v>251901967169</v>
      </c>
      <c r="H422" s="1" t="s">
        <v>18</v>
      </c>
      <c r="I422" s="1" t="s">
        <v>19</v>
      </c>
      <c r="J422" s="1" t="s">
        <v>19</v>
      </c>
      <c r="K422" s="1" t="s">
        <v>25</v>
      </c>
      <c r="L422" s="1">
        <v>24.66</v>
      </c>
      <c r="M422" s="1" t="s">
        <v>33</v>
      </c>
      <c r="N422" s="1" t="s">
        <v>65</v>
      </c>
      <c r="O422" s="1">
        <v>1408554.0</v>
      </c>
    </row>
    <row r="423">
      <c r="A423" s="1">
        <v>2830142.0</v>
      </c>
      <c r="B423" s="1" t="s">
        <v>3018</v>
      </c>
      <c r="C423" s="1" t="b">
        <v>1</v>
      </c>
      <c r="D423" s="1" t="b">
        <v>1</v>
      </c>
      <c r="E423" s="1" t="s">
        <v>1385</v>
      </c>
      <c r="F423" s="1" t="s">
        <v>3019</v>
      </c>
      <c r="G423" s="2">
        <f>+251913091983</f>
        <v>251913091983</v>
      </c>
      <c r="H423" s="1" t="s">
        <v>18</v>
      </c>
      <c r="I423" s="1" t="s">
        <v>19</v>
      </c>
      <c r="J423" s="1" t="s">
        <v>19</v>
      </c>
      <c r="K423" s="1" t="s">
        <v>20</v>
      </c>
      <c r="L423" s="1">
        <v>19.58</v>
      </c>
      <c r="M423" s="1" t="s">
        <v>33</v>
      </c>
      <c r="N423" s="1" t="s">
        <v>118</v>
      </c>
      <c r="O423" s="1">
        <v>2.66604188911E11</v>
      </c>
    </row>
    <row r="424">
      <c r="A424" s="1">
        <v>2830198.0</v>
      </c>
      <c r="B424" s="1" t="s">
        <v>3020</v>
      </c>
      <c r="C424" s="1" t="b">
        <v>1</v>
      </c>
      <c r="D424" s="1" t="b">
        <v>0</v>
      </c>
      <c r="E424" s="1" t="s">
        <v>3021</v>
      </c>
      <c r="F424" s="1" t="s">
        <v>3022</v>
      </c>
      <c r="G424" s="2">
        <f>+251920318265</f>
        <v>251920318265</v>
      </c>
      <c r="H424" s="1" t="s">
        <v>18</v>
      </c>
      <c r="I424" s="1" t="s">
        <v>19</v>
      </c>
      <c r="J424" s="1" t="s">
        <v>19</v>
      </c>
      <c r="K424" s="1" t="s">
        <v>20</v>
      </c>
      <c r="L424" s="1">
        <v>30.73</v>
      </c>
      <c r="M424" s="1" t="s">
        <v>26</v>
      </c>
      <c r="O424" s="1">
        <v>2.66617057501E11</v>
      </c>
    </row>
    <row r="425">
      <c r="A425" s="1">
        <v>2830403.0</v>
      </c>
      <c r="B425" s="1" t="s">
        <v>3023</v>
      </c>
      <c r="C425" s="1" t="b">
        <v>1</v>
      </c>
      <c r="D425" s="1" t="b">
        <v>1</v>
      </c>
      <c r="E425" s="1" t="s">
        <v>2690</v>
      </c>
      <c r="F425" s="1" t="s">
        <v>3024</v>
      </c>
      <c r="G425" s="2">
        <f>+13472830503</f>
        <v>13472830503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32.81</v>
      </c>
      <c r="M425" s="1" t="s">
        <v>21</v>
      </c>
      <c r="O425" s="1">
        <v>2.66707984574E11</v>
      </c>
    </row>
    <row r="426">
      <c r="A426" s="1">
        <v>1839836.0</v>
      </c>
      <c r="B426" s="1" t="s">
        <v>3025</v>
      </c>
      <c r="C426" s="1" t="b">
        <v>1</v>
      </c>
      <c r="D426" s="1" t="b">
        <v>1</v>
      </c>
      <c r="E426" s="1" t="s">
        <v>1605</v>
      </c>
      <c r="F426" s="1" t="s">
        <v>3026</v>
      </c>
      <c r="G426" s="2">
        <f>+251946725496</f>
        <v>251946725496</v>
      </c>
      <c r="H426" s="1" t="s">
        <v>18</v>
      </c>
      <c r="I426" s="1" t="s">
        <v>19</v>
      </c>
      <c r="J426" s="1" t="s">
        <v>19</v>
      </c>
      <c r="K426" s="1" t="s">
        <v>20</v>
      </c>
      <c r="L426" s="1">
        <v>23.04</v>
      </c>
      <c r="M426" s="1" t="s">
        <v>21</v>
      </c>
      <c r="O426" s="1">
        <v>1892412.0</v>
      </c>
    </row>
    <row r="427">
      <c r="A427" s="1">
        <v>2831726.0</v>
      </c>
      <c r="B427" s="1" t="s">
        <v>3027</v>
      </c>
      <c r="C427" s="1" t="b">
        <v>1</v>
      </c>
      <c r="D427" s="1" t="b">
        <v>0</v>
      </c>
      <c r="E427" s="1" t="s">
        <v>424</v>
      </c>
      <c r="F427" s="1" t="s">
        <v>3028</v>
      </c>
      <c r="G427" s="2">
        <f>+251945776678</f>
        <v>251945776678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23.64</v>
      </c>
      <c r="M427" s="1" t="s">
        <v>21</v>
      </c>
      <c r="O427" s="1">
        <v>2.67629624531E11</v>
      </c>
    </row>
    <row r="428">
      <c r="A428" s="1">
        <v>2832322.0</v>
      </c>
      <c r="B428" s="1" t="s">
        <v>3029</v>
      </c>
      <c r="C428" s="1" t="b">
        <v>1</v>
      </c>
      <c r="D428" s="1" t="b">
        <v>1</v>
      </c>
      <c r="E428" s="1" t="s">
        <v>107</v>
      </c>
      <c r="F428" s="1" t="s">
        <v>595</v>
      </c>
      <c r="G428" s="2">
        <f>+251911637032</f>
        <v>251911637032</v>
      </c>
      <c r="H428" s="1" t="s">
        <v>18</v>
      </c>
      <c r="I428" s="1" t="s">
        <v>19</v>
      </c>
      <c r="J428" s="1" t="s">
        <v>19</v>
      </c>
      <c r="K428" s="1" t="s">
        <v>20</v>
      </c>
      <c r="L428" s="1">
        <v>26.24</v>
      </c>
      <c r="M428" s="1" t="s">
        <v>21</v>
      </c>
      <c r="O428" s="1">
        <v>2.67817178355E11</v>
      </c>
    </row>
    <row r="429">
      <c r="A429" s="1">
        <v>2832368.0</v>
      </c>
      <c r="B429" s="1" t="s">
        <v>3030</v>
      </c>
      <c r="C429" s="1" t="b">
        <v>1</v>
      </c>
      <c r="D429" s="1" t="b">
        <v>1</v>
      </c>
      <c r="E429" s="1" t="s">
        <v>1748</v>
      </c>
      <c r="F429" s="1" t="s">
        <v>627</v>
      </c>
      <c r="G429" s="2">
        <f>+251921284180</f>
        <v>251921284180</v>
      </c>
      <c r="H429" s="1" t="s">
        <v>18</v>
      </c>
      <c r="I429" s="1" t="s">
        <v>19</v>
      </c>
      <c r="J429" s="1" t="s">
        <v>19</v>
      </c>
      <c r="K429" s="1" t="s">
        <v>25</v>
      </c>
      <c r="L429" s="1">
        <v>35.18</v>
      </c>
      <c r="M429" s="1" t="s">
        <v>21</v>
      </c>
      <c r="O429" s="1">
        <v>2124936.0</v>
      </c>
    </row>
    <row r="430">
      <c r="A430" s="1">
        <v>464059.0</v>
      </c>
      <c r="B430" s="1" t="s">
        <v>3031</v>
      </c>
      <c r="C430" s="1" t="b">
        <v>1</v>
      </c>
      <c r="D430" s="1" t="b">
        <v>1</v>
      </c>
      <c r="E430" s="1" t="s">
        <v>812</v>
      </c>
      <c r="F430" s="1" t="s">
        <v>880</v>
      </c>
      <c r="G430" s="2">
        <f>+251915529906</f>
        <v>251915529906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27.85</v>
      </c>
      <c r="M430" s="1" t="s">
        <v>21</v>
      </c>
      <c r="O430" s="1">
        <v>5180088.0</v>
      </c>
    </row>
    <row r="431">
      <c r="A431" s="1">
        <v>2427601.0</v>
      </c>
      <c r="B431" s="1" t="s">
        <v>3032</v>
      </c>
      <c r="C431" s="1" t="b">
        <v>1</v>
      </c>
      <c r="D431" s="1" t="b">
        <v>1</v>
      </c>
      <c r="E431" s="1" t="s">
        <v>3033</v>
      </c>
      <c r="F431" s="1" t="s">
        <v>858</v>
      </c>
      <c r="G431" s="2">
        <f>+251923986561</f>
        <v>251923986561</v>
      </c>
      <c r="H431" s="1" t="s">
        <v>18</v>
      </c>
      <c r="I431" s="1" t="s">
        <v>19</v>
      </c>
      <c r="J431" s="1" t="s">
        <v>19</v>
      </c>
      <c r="K431" s="1" t="s">
        <v>20</v>
      </c>
      <c r="L431" s="1">
        <v>29.15</v>
      </c>
      <c r="M431" s="1" t="s">
        <v>21</v>
      </c>
      <c r="O431" s="1">
        <v>1.00470164721E11</v>
      </c>
    </row>
    <row r="432">
      <c r="A432" s="1">
        <v>2832881.0</v>
      </c>
      <c r="B432" s="1" t="s">
        <v>3034</v>
      </c>
      <c r="C432" s="1" t="b">
        <v>0</v>
      </c>
      <c r="D432" s="1" t="b">
        <v>1</v>
      </c>
      <c r="E432" s="1" t="s">
        <v>146</v>
      </c>
      <c r="F432" s="1" t="s">
        <v>375</v>
      </c>
      <c r="G432" s="2">
        <f>+251915887886</f>
        <v>251915887886</v>
      </c>
      <c r="H432" s="1" t="s">
        <v>18</v>
      </c>
      <c r="I432" s="1" t="s">
        <v>19</v>
      </c>
      <c r="J432" s="1" t="s">
        <v>19</v>
      </c>
      <c r="K432" s="1" t="s">
        <v>25</v>
      </c>
      <c r="L432" s="1">
        <v>31.81</v>
      </c>
      <c r="M432" s="1" t="s">
        <v>33</v>
      </c>
      <c r="N432" s="1" t="s">
        <v>65</v>
      </c>
    </row>
    <row r="433">
      <c r="A433" s="1">
        <v>2811994.0</v>
      </c>
      <c r="B433" s="1" t="s">
        <v>3035</v>
      </c>
      <c r="C433" s="1" t="b">
        <v>1</v>
      </c>
      <c r="D433" s="1" t="b">
        <v>1</v>
      </c>
      <c r="E433" s="1" t="s">
        <v>3036</v>
      </c>
      <c r="F433" s="1" t="s">
        <v>3037</v>
      </c>
      <c r="G433" s="2">
        <f>+251992922272</f>
        <v>251992922272</v>
      </c>
      <c r="H433" s="1" t="s">
        <v>18</v>
      </c>
      <c r="I433" s="1" t="s">
        <v>19</v>
      </c>
      <c r="J433" s="1" t="s">
        <v>19</v>
      </c>
      <c r="K433" s="1" t="s">
        <v>20</v>
      </c>
      <c r="L433" s="1">
        <v>22.93</v>
      </c>
      <c r="M433" s="1" t="s">
        <v>21</v>
      </c>
      <c r="O433" s="1">
        <v>2.62302592219E11</v>
      </c>
    </row>
    <row r="434">
      <c r="A434" s="1">
        <v>220882.0</v>
      </c>
      <c r="B434" s="1" t="s">
        <v>3038</v>
      </c>
      <c r="C434" s="1" t="b">
        <v>1</v>
      </c>
      <c r="D434" s="1" t="b">
        <v>1</v>
      </c>
      <c r="E434" s="1" t="s">
        <v>286</v>
      </c>
      <c r="F434" s="1" t="s">
        <v>3039</v>
      </c>
      <c r="G434" s="2">
        <f>+251922822277</f>
        <v>251922822277</v>
      </c>
      <c r="H434" s="1" t="s">
        <v>18</v>
      </c>
      <c r="I434" s="1" t="s">
        <v>19</v>
      </c>
      <c r="J434" s="1" t="s">
        <v>19</v>
      </c>
      <c r="K434" s="1" t="s">
        <v>20</v>
      </c>
      <c r="L434" s="1">
        <v>30.32</v>
      </c>
      <c r="M434" s="1" t="s">
        <v>21</v>
      </c>
      <c r="O434" s="1">
        <v>1094079.0</v>
      </c>
    </row>
    <row r="435">
      <c r="A435" s="1">
        <v>2833636.0</v>
      </c>
      <c r="B435" s="1" t="s">
        <v>3040</v>
      </c>
      <c r="C435" s="1" t="b">
        <v>1</v>
      </c>
      <c r="D435" s="1" t="b">
        <v>0</v>
      </c>
      <c r="E435" s="1" t="s">
        <v>3041</v>
      </c>
      <c r="F435" s="1" t="s">
        <v>3042</v>
      </c>
      <c r="G435" s="2">
        <f>+251989112886</f>
        <v>251989112886</v>
      </c>
      <c r="H435" s="1" t="s">
        <v>18</v>
      </c>
      <c r="I435" s="1" t="s">
        <v>19</v>
      </c>
      <c r="J435" s="1" t="s">
        <v>19</v>
      </c>
      <c r="K435" s="1" t="s">
        <v>20</v>
      </c>
      <c r="L435" s="1">
        <v>24.9</v>
      </c>
      <c r="M435" s="1" t="s">
        <v>21</v>
      </c>
      <c r="O435" s="1">
        <v>2.68649658581E11</v>
      </c>
    </row>
    <row r="436">
      <c r="A436" s="1">
        <v>490860.0</v>
      </c>
      <c r="B436" s="1" t="s">
        <v>3043</v>
      </c>
      <c r="C436" s="1" t="b">
        <v>1</v>
      </c>
      <c r="D436" s="1" t="b">
        <v>0</v>
      </c>
      <c r="E436" s="1" t="s">
        <v>264</v>
      </c>
      <c r="F436" s="1" t="s">
        <v>1940</v>
      </c>
      <c r="G436" s="2">
        <f>+251921305063</f>
        <v>251921305063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29.17</v>
      </c>
      <c r="M436" s="1" t="s">
        <v>21</v>
      </c>
      <c r="O436" s="1">
        <v>2.8384705E7</v>
      </c>
    </row>
    <row r="437">
      <c r="A437" s="1">
        <v>212459.0</v>
      </c>
      <c r="B437" s="1" t="s">
        <v>3044</v>
      </c>
      <c r="C437" s="1" t="b">
        <v>1</v>
      </c>
      <c r="D437" s="1" t="b">
        <v>1</v>
      </c>
      <c r="E437" s="1" t="s">
        <v>91</v>
      </c>
      <c r="F437" s="1" t="s">
        <v>3045</v>
      </c>
      <c r="G437" s="2">
        <f>+251929368318</f>
        <v>251929368318</v>
      </c>
      <c r="H437" s="1" t="s">
        <v>138</v>
      </c>
      <c r="I437" s="1" t="s">
        <v>19</v>
      </c>
      <c r="J437" s="1" t="s">
        <v>19</v>
      </c>
      <c r="K437" s="1" t="s">
        <v>25</v>
      </c>
      <c r="L437" s="1">
        <v>40.74</v>
      </c>
      <c r="M437" s="1" t="s">
        <v>21</v>
      </c>
      <c r="O437" s="1">
        <v>2.3124985E7</v>
      </c>
    </row>
    <row r="438">
      <c r="A438" s="1">
        <v>2834034.0</v>
      </c>
      <c r="B438" s="1" t="s">
        <v>3046</v>
      </c>
      <c r="C438" s="1" t="b">
        <v>1</v>
      </c>
      <c r="D438" s="1" t="b">
        <v>1</v>
      </c>
      <c r="E438" s="1" t="s">
        <v>3047</v>
      </c>
      <c r="F438" s="1" t="s">
        <v>3048</v>
      </c>
      <c r="G438" s="2">
        <f>+251983741397</f>
        <v>251983741397</v>
      </c>
      <c r="H438" s="1" t="s">
        <v>18</v>
      </c>
      <c r="I438" s="1" t="s">
        <v>19</v>
      </c>
      <c r="J438" s="1" t="s">
        <v>19</v>
      </c>
      <c r="K438" s="1" t="s">
        <v>25</v>
      </c>
      <c r="L438" s="1">
        <v>26.68</v>
      </c>
      <c r="M438" s="1" t="s">
        <v>26</v>
      </c>
      <c r="O438" s="1">
        <v>2.68900806878E11</v>
      </c>
    </row>
    <row r="439">
      <c r="A439" s="1">
        <v>2409700.0</v>
      </c>
      <c r="B439" s="1" t="s">
        <v>3049</v>
      </c>
      <c r="C439" s="1" t="b">
        <v>1</v>
      </c>
      <c r="D439" s="1" t="b">
        <v>1</v>
      </c>
      <c r="E439" s="1" t="s">
        <v>390</v>
      </c>
      <c r="F439" s="1" t="s">
        <v>916</v>
      </c>
      <c r="G439" s="2">
        <f>+251910701873</f>
        <v>251910701873</v>
      </c>
      <c r="H439" s="1" t="s">
        <v>18</v>
      </c>
      <c r="I439" s="1" t="s">
        <v>19</v>
      </c>
      <c r="J439" s="1" t="s">
        <v>19</v>
      </c>
      <c r="K439" s="1" t="s">
        <v>25</v>
      </c>
      <c r="L439" s="1">
        <v>30.71</v>
      </c>
      <c r="M439" s="1" t="s">
        <v>21</v>
      </c>
    </row>
    <row r="440">
      <c r="A440" s="1">
        <v>2718266.0</v>
      </c>
      <c r="B440" s="1" t="s">
        <v>513</v>
      </c>
      <c r="C440" s="1" t="b">
        <v>1</v>
      </c>
      <c r="D440" s="1" t="b">
        <v>1</v>
      </c>
      <c r="E440" s="1" t="s">
        <v>514</v>
      </c>
      <c r="F440" s="1" t="s">
        <v>515</v>
      </c>
      <c r="G440" s="2">
        <f>+251713298174</f>
        <v>251713298174</v>
      </c>
      <c r="H440" s="1" t="s">
        <v>18</v>
      </c>
      <c r="I440" s="1" t="s">
        <v>19</v>
      </c>
      <c r="J440" s="1" t="s">
        <v>19</v>
      </c>
      <c r="K440" s="1" t="s">
        <v>25</v>
      </c>
      <c r="L440" s="1">
        <v>27.99</v>
      </c>
      <c r="M440" s="1" t="s">
        <v>21</v>
      </c>
      <c r="O440" s="1">
        <v>2.34775243989E11</v>
      </c>
    </row>
    <row r="441">
      <c r="A441" s="1">
        <v>97292.0</v>
      </c>
      <c r="B441" s="1" t="s">
        <v>3050</v>
      </c>
      <c r="C441" s="1" t="b">
        <v>1</v>
      </c>
      <c r="D441" s="1" t="b">
        <v>1</v>
      </c>
      <c r="E441" s="1" t="s">
        <v>944</v>
      </c>
      <c r="F441" s="1" t="s">
        <v>420</v>
      </c>
      <c r="G441" s="2">
        <f>+251974734077</f>
        <v>251974734077</v>
      </c>
      <c r="H441" s="1" t="s">
        <v>18</v>
      </c>
      <c r="I441" s="1" t="s">
        <v>19</v>
      </c>
      <c r="J441" s="1" t="s">
        <v>19</v>
      </c>
      <c r="K441" s="1" t="s">
        <v>25</v>
      </c>
      <c r="L441" s="1">
        <v>23.9</v>
      </c>
      <c r="M441" s="1" t="s">
        <v>21</v>
      </c>
      <c r="O441" s="1">
        <v>4281803.0</v>
      </c>
    </row>
    <row r="442">
      <c r="A442" s="1">
        <v>1792156.0</v>
      </c>
      <c r="B442" s="1" t="s">
        <v>3051</v>
      </c>
      <c r="C442" s="1" t="b">
        <v>1</v>
      </c>
      <c r="D442" s="1" t="b">
        <v>1</v>
      </c>
      <c r="E442" s="1" t="s">
        <v>179</v>
      </c>
      <c r="F442" s="1" t="s">
        <v>601</v>
      </c>
      <c r="G442" s="2">
        <f>+251939953005</f>
        <v>251939953005</v>
      </c>
      <c r="H442" s="1" t="s">
        <v>18</v>
      </c>
      <c r="I442" s="1" t="s">
        <v>19</v>
      </c>
      <c r="J442" s="1" t="s">
        <v>19</v>
      </c>
      <c r="K442" s="1" t="s">
        <v>20</v>
      </c>
      <c r="L442" s="1">
        <v>26.49</v>
      </c>
      <c r="M442" s="1" t="s">
        <v>33</v>
      </c>
      <c r="N442" s="1" t="s">
        <v>65</v>
      </c>
      <c r="O442" s="1">
        <v>2.4252744649E10</v>
      </c>
    </row>
    <row r="443">
      <c r="A443" s="1">
        <v>2828393.0</v>
      </c>
      <c r="B443" s="1" t="s">
        <v>3052</v>
      </c>
      <c r="C443" s="1" t="b">
        <v>1</v>
      </c>
      <c r="D443" s="1" t="b">
        <v>1</v>
      </c>
      <c r="E443" s="1" t="s">
        <v>264</v>
      </c>
      <c r="F443" s="1" t="s">
        <v>218</v>
      </c>
      <c r="G443" s="2">
        <f>+251941418388</f>
        <v>251941418388</v>
      </c>
      <c r="H443" s="1" t="s">
        <v>18</v>
      </c>
      <c r="I443" s="1" t="s">
        <v>19</v>
      </c>
      <c r="J443" s="1" t="s">
        <v>19</v>
      </c>
      <c r="K443" s="1" t="s">
        <v>25</v>
      </c>
      <c r="L443" s="1">
        <v>27.47</v>
      </c>
      <c r="M443" s="1" t="s">
        <v>21</v>
      </c>
    </row>
    <row r="444">
      <c r="A444" s="1">
        <v>2173764.0</v>
      </c>
      <c r="B444" s="1" t="s">
        <v>3053</v>
      </c>
      <c r="C444" s="1" t="b">
        <v>1</v>
      </c>
      <c r="D444" s="1" t="b">
        <v>1</v>
      </c>
      <c r="E444" s="1" t="s">
        <v>480</v>
      </c>
      <c r="F444" s="1" t="s">
        <v>189</v>
      </c>
      <c r="G444" s="2">
        <f>+251967119880</f>
        <v>251967119880</v>
      </c>
      <c r="H444" s="1" t="s">
        <v>18</v>
      </c>
      <c r="I444" s="1" t="s">
        <v>19</v>
      </c>
      <c r="J444" s="1" t="s">
        <v>19</v>
      </c>
      <c r="K444" s="1" t="s">
        <v>20</v>
      </c>
      <c r="L444" s="1">
        <v>26.66</v>
      </c>
      <c r="M444" s="1" t="s">
        <v>33</v>
      </c>
      <c r="N444" s="1" t="s">
        <v>76</v>
      </c>
      <c r="O444" s="1">
        <v>1855501.0</v>
      </c>
    </row>
    <row r="445">
      <c r="A445" s="1">
        <v>5650.0</v>
      </c>
      <c r="B445" s="1" t="s">
        <v>3054</v>
      </c>
      <c r="C445" s="1" t="b">
        <v>1</v>
      </c>
      <c r="D445" s="1" t="b">
        <v>1</v>
      </c>
      <c r="E445" s="1" t="s">
        <v>981</v>
      </c>
      <c r="F445" s="1" t="s">
        <v>3055</v>
      </c>
      <c r="G445" s="2">
        <f>+251946916131</f>
        <v>251946916131</v>
      </c>
      <c r="H445" s="1" t="s">
        <v>3056</v>
      </c>
      <c r="I445" s="1" t="s">
        <v>19</v>
      </c>
      <c r="J445" s="1" t="s">
        <v>19</v>
      </c>
      <c r="K445" s="1" t="s">
        <v>25</v>
      </c>
      <c r="L445" s="1">
        <v>24.87</v>
      </c>
      <c r="M445" s="1" t="s">
        <v>21</v>
      </c>
      <c r="O445" s="1">
        <v>1.2475998E7</v>
      </c>
    </row>
    <row r="446">
      <c r="A446" s="1">
        <v>2835630.0</v>
      </c>
      <c r="B446" s="1" t="s">
        <v>3057</v>
      </c>
      <c r="C446" s="1" t="b">
        <v>1</v>
      </c>
      <c r="D446" s="1" t="b">
        <v>1</v>
      </c>
      <c r="E446" s="1" t="s">
        <v>867</v>
      </c>
      <c r="F446" s="1" t="s">
        <v>3058</v>
      </c>
      <c r="G446" s="1">
        <v>9.10270843E8</v>
      </c>
      <c r="H446" s="1" t="s">
        <v>131</v>
      </c>
      <c r="I446" s="1" t="s">
        <v>19</v>
      </c>
      <c r="J446" s="1" t="s">
        <v>19</v>
      </c>
      <c r="K446" s="1" t="s">
        <v>25</v>
      </c>
      <c r="L446" s="1">
        <v>36.05</v>
      </c>
      <c r="M446" s="1" t="s">
        <v>26</v>
      </c>
      <c r="O446" s="1">
        <v>2.70283812026E11</v>
      </c>
    </row>
    <row r="447">
      <c r="A447" s="1">
        <v>141178.0</v>
      </c>
      <c r="B447" s="1" t="s">
        <v>851</v>
      </c>
      <c r="C447" s="1" t="b">
        <v>1</v>
      </c>
      <c r="D447" s="1" t="b">
        <v>1</v>
      </c>
      <c r="E447" s="1" t="s">
        <v>852</v>
      </c>
      <c r="F447" s="1" t="s">
        <v>853</v>
      </c>
      <c r="G447" s="2">
        <f>+10933714972</f>
        <v>10933714972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31.23</v>
      </c>
      <c r="M447" s="1" t="s">
        <v>21</v>
      </c>
      <c r="O447" s="1">
        <v>761091.0</v>
      </c>
    </row>
    <row r="448">
      <c r="A448" s="1">
        <v>2836098.0</v>
      </c>
      <c r="B448" s="1" t="s">
        <v>3059</v>
      </c>
      <c r="C448" s="1" t="b">
        <v>1</v>
      </c>
      <c r="D448" s="1" t="b">
        <v>1</v>
      </c>
      <c r="E448" s="1" t="s">
        <v>3060</v>
      </c>
      <c r="F448" s="1" t="s">
        <v>545</v>
      </c>
      <c r="G448" s="2">
        <f>+251904781375</f>
        <v>251904781375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19.62</v>
      </c>
      <c r="M448" s="1" t="s">
        <v>21</v>
      </c>
    </row>
    <row r="449">
      <c r="A449" s="1">
        <v>2836257.0</v>
      </c>
      <c r="B449" s="1" t="s">
        <v>3061</v>
      </c>
      <c r="C449" s="1" t="b">
        <v>1</v>
      </c>
      <c r="D449" s="1" t="b">
        <v>1</v>
      </c>
      <c r="E449" s="1" t="s">
        <v>337</v>
      </c>
      <c r="F449" s="1" t="s">
        <v>3062</v>
      </c>
      <c r="G449" s="2">
        <f>+251909561236</f>
        <v>251909561236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20.49</v>
      </c>
      <c r="M449" s="1" t="s">
        <v>21</v>
      </c>
      <c r="O449" s="1">
        <v>2.70601893103E11</v>
      </c>
    </row>
    <row r="450">
      <c r="A450" s="1">
        <v>2836374.0</v>
      </c>
      <c r="B450" s="1" t="s">
        <v>3063</v>
      </c>
      <c r="C450" s="1" t="b">
        <v>1</v>
      </c>
      <c r="D450" s="1" t="b">
        <v>1</v>
      </c>
      <c r="E450" s="1" t="s">
        <v>3064</v>
      </c>
      <c r="F450" s="1" t="s">
        <v>3065</v>
      </c>
      <c r="G450" s="2">
        <f>+251973151295</f>
        <v>251973151295</v>
      </c>
      <c r="H450" s="1" t="s">
        <v>18</v>
      </c>
      <c r="I450" s="1" t="s">
        <v>19</v>
      </c>
      <c r="J450" s="1" t="s">
        <v>498</v>
      </c>
      <c r="K450" s="1" t="s">
        <v>20</v>
      </c>
      <c r="L450" s="1">
        <v>22.09</v>
      </c>
      <c r="M450" s="1" t="s">
        <v>26</v>
      </c>
      <c r="O450" s="1">
        <v>2.70788298987E11</v>
      </c>
    </row>
    <row r="451">
      <c r="A451" s="1">
        <v>2836977.0</v>
      </c>
      <c r="B451" s="1" t="s">
        <v>3066</v>
      </c>
      <c r="C451" s="1" t="b">
        <v>1</v>
      </c>
      <c r="D451" s="1" t="b">
        <v>0</v>
      </c>
      <c r="E451" s="1" t="s">
        <v>474</v>
      </c>
      <c r="F451" s="1" t="s">
        <v>3067</v>
      </c>
      <c r="G451" s="2">
        <f>+251916111311</f>
        <v>251916111311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33.41</v>
      </c>
      <c r="M451" s="1" t="s">
        <v>26</v>
      </c>
    </row>
    <row r="452">
      <c r="A452" s="1">
        <v>479.0</v>
      </c>
      <c r="B452" s="1" t="s">
        <v>3068</v>
      </c>
      <c r="C452" s="1" t="b">
        <v>1</v>
      </c>
      <c r="D452" s="1" t="b">
        <v>1</v>
      </c>
      <c r="E452" s="1" t="s">
        <v>3069</v>
      </c>
      <c r="F452" s="1" t="s">
        <v>368</v>
      </c>
      <c r="G452" s="2">
        <f>+251941243073</f>
        <v>251941243073</v>
      </c>
      <c r="H452" s="1" t="s">
        <v>335</v>
      </c>
      <c r="I452" s="1" t="s">
        <v>19</v>
      </c>
      <c r="J452" s="1" t="s">
        <v>19</v>
      </c>
      <c r="K452" s="1" t="s">
        <v>25</v>
      </c>
      <c r="L452" s="1">
        <v>27.45</v>
      </c>
      <c r="M452" s="1" t="s">
        <v>21</v>
      </c>
      <c r="O452" s="1">
        <v>890313.0</v>
      </c>
    </row>
    <row r="453">
      <c r="A453" s="1">
        <v>2837370.0</v>
      </c>
      <c r="B453" s="1" t="s">
        <v>3070</v>
      </c>
      <c r="C453" s="1" t="b">
        <v>1</v>
      </c>
      <c r="D453" s="1" t="b">
        <v>1</v>
      </c>
      <c r="E453" s="1" t="s">
        <v>2802</v>
      </c>
      <c r="F453" s="1" t="s">
        <v>361</v>
      </c>
      <c r="G453" s="2">
        <f>+251913967059</f>
        <v>251913967059</v>
      </c>
      <c r="H453" s="1" t="s">
        <v>18</v>
      </c>
      <c r="I453" s="1" t="s">
        <v>19</v>
      </c>
      <c r="J453" s="1" t="s">
        <v>19</v>
      </c>
      <c r="K453" s="1" t="s">
        <v>25</v>
      </c>
      <c r="L453" s="1">
        <v>34.37</v>
      </c>
      <c r="M453" s="1" t="s">
        <v>21</v>
      </c>
    </row>
    <row r="454">
      <c r="A454" s="1">
        <v>2837458.0</v>
      </c>
      <c r="B454" s="1" t="s">
        <v>3071</v>
      </c>
      <c r="C454" s="1" t="b">
        <v>1</v>
      </c>
      <c r="D454" s="1" t="b">
        <v>1</v>
      </c>
      <c r="E454" s="1" t="s">
        <v>663</v>
      </c>
      <c r="F454" s="1" t="s">
        <v>3072</v>
      </c>
      <c r="G454" s="2">
        <f>+251931927392</f>
        <v>251931927392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24.7</v>
      </c>
      <c r="M454" s="1" t="s">
        <v>21</v>
      </c>
      <c r="O454" s="1">
        <v>2.71848679659E11</v>
      </c>
    </row>
    <row r="455">
      <c r="A455" s="1">
        <v>2733812.0</v>
      </c>
      <c r="B455" s="1" t="s">
        <v>1879</v>
      </c>
      <c r="C455" s="1" t="b">
        <v>1</v>
      </c>
      <c r="D455" s="1" t="b">
        <v>1</v>
      </c>
      <c r="E455" s="1" t="s">
        <v>1880</v>
      </c>
      <c r="F455" s="1" t="s">
        <v>1881</v>
      </c>
      <c r="G455" s="2">
        <f>+251911420552</f>
        <v>251911420552</v>
      </c>
      <c r="H455" s="1" t="s">
        <v>18</v>
      </c>
      <c r="I455" s="1" t="s">
        <v>19</v>
      </c>
      <c r="J455" s="1" t="s">
        <v>19</v>
      </c>
      <c r="K455" s="1" t="s">
        <v>20</v>
      </c>
      <c r="L455" s="1">
        <v>38.49</v>
      </c>
      <c r="M455" s="1" t="s">
        <v>33</v>
      </c>
      <c r="N455" s="1" t="s">
        <v>65</v>
      </c>
      <c r="O455" s="1">
        <v>2.38823424241E11</v>
      </c>
    </row>
    <row r="456">
      <c r="A456" s="1">
        <v>2837557.0</v>
      </c>
      <c r="B456" s="1" t="s">
        <v>3073</v>
      </c>
      <c r="C456" s="1" t="b">
        <v>1</v>
      </c>
      <c r="D456" s="1" t="b">
        <v>1</v>
      </c>
      <c r="E456" s="1" t="s">
        <v>123</v>
      </c>
      <c r="F456" s="1" t="s">
        <v>360</v>
      </c>
      <c r="G456" s="2">
        <f>+251967265807</f>
        <v>251967265807</v>
      </c>
      <c r="H456" s="1" t="s">
        <v>72</v>
      </c>
      <c r="I456" s="1" t="s">
        <v>19</v>
      </c>
      <c r="J456" s="1" t="s">
        <v>19</v>
      </c>
      <c r="K456" s="1" t="s">
        <v>20</v>
      </c>
      <c r="L456" s="1">
        <v>19.59</v>
      </c>
      <c r="M456" s="1" t="s">
        <v>21</v>
      </c>
      <c r="O456" s="1">
        <v>1.1781891E7</v>
      </c>
    </row>
    <row r="457">
      <c r="A457" s="1">
        <v>2837737.0</v>
      </c>
      <c r="B457" s="1" t="s">
        <v>3074</v>
      </c>
      <c r="C457" s="1" t="b">
        <v>1</v>
      </c>
      <c r="D457" s="1" t="b">
        <v>1</v>
      </c>
      <c r="E457" s="1" t="s">
        <v>3075</v>
      </c>
      <c r="F457" s="1" t="s">
        <v>3076</v>
      </c>
      <c r="G457" s="1">
        <v>9.08775677E8</v>
      </c>
      <c r="H457" s="1" t="s">
        <v>18</v>
      </c>
      <c r="I457" s="1" t="s">
        <v>19</v>
      </c>
      <c r="J457" s="1" t="s">
        <v>19</v>
      </c>
      <c r="K457" s="1" t="s">
        <v>25</v>
      </c>
      <c r="L457" s="1">
        <v>24.48</v>
      </c>
      <c r="M457" s="1" t="s">
        <v>21</v>
      </c>
      <c r="O457" s="1">
        <v>2.72085772526E11</v>
      </c>
    </row>
    <row r="458">
      <c r="A458" s="1">
        <v>2837284.0</v>
      </c>
      <c r="B458" s="1" t="s">
        <v>3077</v>
      </c>
      <c r="C458" s="1" t="b">
        <v>1</v>
      </c>
      <c r="D458" s="1" t="b">
        <v>0</v>
      </c>
      <c r="E458" s="1" t="s">
        <v>3078</v>
      </c>
      <c r="F458" s="1" t="s">
        <v>3079</v>
      </c>
      <c r="G458" s="2">
        <f>+251920736359</f>
        <v>251920736359</v>
      </c>
      <c r="H458" s="1" t="s">
        <v>18</v>
      </c>
      <c r="I458" s="1" t="s">
        <v>19</v>
      </c>
      <c r="J458" s="1" t="s">
        <v>19</v>
      </c>
      <c r="K458" s="1" t="s">
        <v>20</v>
      </c>
      <c r="L458" s="1">
        <v>22.39</v>
      </c>
      <c r="M458" s="1" t="s">
        <v>21</v>
      </c>
      <c r="O458" s="1">
        <v>2.4935459E7</v>
      </c>
    </row>
    <row r="459">
      <c r="A459" s="1">
        <v>350299.0</v>
      </c>
      <c r="B459" s="1" t="s">
        <v>3080</v>
      </c>
      <c r="C459" s="1" t="b">
        <v>1</v>
      </c>
      <c r="D459" s="1" t="b">
        <v>1</v>
      </c>
      <c r="E459" s="1" t="s">
        <v>3081</v>
      </c>
      <c r="F459" s="1" t="s">
        <v>411</v>
      </c>
      <c r="G459" s="2">
        <f>+251922997120</f>
        <v>251922997120</v>
      </c>
      <c r="H459" s="1" t="s">
        <v>18</v>
      </c>
      <c r="I459" s="1" t="s">
        <v>19</v>
      </c>
      <c r="J459" s="1" t="s">
        <v>19</v>
      </c>
      <c r="K459" s="1" t="s">
        <v>20</v>
      </c>
      <c r="L459" s="1">
        <v>24.87</v>
      </c>
      <c r="M459" s="1" t="s">
        <v>33</v>
      </c>
      <c r="N459" s="1" t="s">
        <v>65</v>
      </c>
      <c r="O459" s="1">
        <v>2.5703181E7</v>
      </c>
    </row>
    <row r="460">
      <c r="A460" s="1">
        <v>2838107.0</v>
      </c>
      <c r="B460" s="1" t="s">
        <v>3082</v>
      </c>
      <c r="C460" s="1" t="b">
        <v>1</v>
      </c>
      <c r="D460" s="1" t="b">
        <v>1</v>
      </c>
      <c r="E460" s="1" t="s">
        <v>47</v>
      </c>
      <c r="F460" s="1" t="s">
        <v>3083</v>
      </c>
      <c r="G460" s="2">
        <f>+251934839921</f>
        <v>251934839921</v>
      </c>
      <c r="H460" s="1" t="s">
        <v>18</v>
      </c>
      <c r="I460" s="1" t="s">
        <v>19</v>
      </c>
      <c r="J460" s="1" t="s">
        <v>19</v>
      </c>
      <c r="K460" s="1" t="s">
        <v>25</v>
      </c>
      <c r="L460" s="1">
        <v>31.08</v>
      </c>
      <c r="M460" s="1" t="s">
        <v>33</v>
      </c>
      <c r="N460" s="1" t="s">
        <v>177</v>
      </c>
      <c r="O460" s="1">
        <v>2.72628924609E11</v>
      </c>
    </row>
    <row r="461">
      <c r="A461" s="1">
        <v>2838265.0</v>
      </c>
      <c r="B461" s="1" t="s">
        <v>3084</v>
      </c>
      <c r="C461" s="1" t="b">
        <v>1</v>
      </c>
      <c r="D461" s="1" t="b">
        <v>1</v>
      </c>
      <c r="E461" s="1" t="s">
        <v>233</v>
      </c>
      <c r="F461" s="1" t="s">
        <v>618</v>
      </c>
      <c r="G461" s="2">
        <f>+251936315301</f>
        <v>251936315301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31.44</v>
      </c>
      <c r="M461" s="1" t="s">
        <v>21</v>
      </c>
      <c r="O461" s="1">
        <v>2.7286451428E11</v>
      </c>
    </row>
    <row r="462">
      <c r="A462" s="1">
        <v>2838506.0</v>
      </c>
      <c r="B462" s="1" t="s">
        <v>3085</v>
      </c>
      <c r="C462" s="1" t="b">
        <v>0</v>
      </c>
      <c r="D462" s="1" t="b">
        <v>1</v>
      </c>
      <c r="E462" s="1" t="s">
        <v>3086</v>
      </c>
      <c r="F462" s="1" t="s">
        <v>3087</v>
      </c>
      <c r="G462" s="2">
        <f>+251924343455</f>
        <v>251924343455</v>
      </c>
      <c r="H462" s="1" t="s">
        <v>335</v>
      </c>
      <c r="I462" s="1" t="s">
        <v>19</v>
      </c>
      <c r="J462" s="1" t="s">
        <v>19</v>
      </c>
      <c r="K462" s="1" t="s">
        <v>25</v>
      </c>
      <c r="L462" s="1">
        <v>43.52</v>
      </c>
      <c r="M462" s="1" t="s">
        <v>26</v>
      </c>
      <c r="O462" s="1">
        <v>3590246.0</v>
      </c>
    </row>
    <row r="463">
      <c r="A463" s="1">
        <v>190853.0</v>
      </c>
      <c r="B463" s="1" t="s">
        <v>3088</v>
      </c>
      <c r="C463" s="1" t="b">
        <v>1</v>
      </c>
      <c r="D463" s="1" t="b">
        <v>1</v>
      </c>
      <c r="E463" s="1" t="s">
        <v>2624</v>
      </c>
      <c r="F463" s="1" t="s">
        <v>491</v>
      </c>
      <c r="G463" s="2">
        <f>+251921236526</f>
        <v>251921236526</v>
      </c>
      <c r="H463" s="1" t="s">
        <v>18</v>
      </c>
      <c r="I463" s="1" t="s">
        <v>19</v>
      </c>
      <c r="J463" s="1" t="s">
        <v>19</v>
      </c>
      <c r="K463" s="1" t="s">
        <v>20</v>
      </c>
      <c r="L463" s="1">
        <v>31.23</v>
      </c>
      <c r="M463" s="1" t="s">
        <v>21</v>
      </c>
      <c r="O463" s="1">
        <v>68853.0</v>
      </c>
    </row>
    <row r="464">
      <c r="A464" s="1">
        <v>2839104.0</v>
      </c>
      <c r="B464" s="1" t="s">
        <v>3089</v>
      </c>
      <c r="C464" s="1" t="b">
        <v>0</v>
      </c>
      <c r="D464" s="1" t="b">
        <v>1</v>
      </c>
      <c r="E464" s="1" t="s">
        <v>1385</v>
      </c>
      <c r="F464" s="1" t="s">
        <v>3019</v>
      </c>
      <c r="G464" s="2">
        <f>+251913091983</f>
        <v>251913091983</v>
      </c>
      <c r="H464" s="1" t="s">
        <v>18</v>
      </c>
      <c r="I464" s="1" t="s">
        <v>19</v>
      </c>
      <c r="J464" s="1" t="s">
        <v>19</v>
      </c>
      <c r="K464" s="1" t="s">
        <v>20</v>
      </c>
      <c r="L464" s="1">
        <v>19.58</v>
      </c>
      <c r="M464" s="1" t="s">
        <v>33</v>
      </c>
      <c r="N464" s="1" t="s">
        <v>65</v>
      </c>
      <c r="O464" s="1">
        <v>2.73835101387E11</v>
      </c>
    </row>
    <row r="465">
      <c r="A465" s="1">
        <v>2839297.0</v>
      </c>
      <c r="B465" s="1" t="s">
        <v>3090</v>
      </c>
      <c r="C465" s="1" t="b">
        <v>1</v>
      </c>
      <c r="D465" s="1" t="b">
        <v>1</v>
      </c>
      <c r="E465" s="1" t="s">
        <v>432</v>
      </c>
      <c r="F465" s="1" t="s">
        <v>3091</v>
      </c>
      <c r="G465" s="2">
        <f>+251916048022</f>
        <v>251916048022</v>
      </c>
      <c r="H465" s="1" t="s">
        <v>18</v>
      </c>
      <c r="I465" s="1" t="s">
        <v>19</v>
      </c>
      <c r="J465" s="1" t="s">
        <v>19</v>
      </c>
      <c r="K465" s="1" t="s">
        <v>20</v>
      </c>
      <c r="L465" s="1">
        <v>20.54</v>
      </c>
      <c r="M465" s="1" t="s">
        <v>26</v>
      </c>
      <c r="O465" s="1">
        <v>2.73958268106E11</v>
      </c>
    </row>
    <row r="466">
      <c r="A466" s="1">
        <v>1888098.0</v>
      </c>
      <c r="B466" s="1" t="s">
        <v>3092</v>
      </c>
      <c r="C466" s="1" t="b">
        <v>1</v>
      </c>
      <c r="D466" s="1" t="b">
        <v>1</v>
      </c>
      <c r="E466" s="1" t="s">
        <v>28</v>
      </c>
      <c r="F466" s="1" t="s">
        <v>1149</v>
      </c>
      <c r="G466" s="2">
        <f>+251925759355</f>
        <v>251925759355</v>
      </c>
      <c r="H466" s="1" t="s">
        <v>18</v>
      </c>
      <c r="I466" s="1" t="s">
        <v>19</v>
      </c>
      <c r="J466" s="1" t="s">
        <v>19</v>
      </c>
      <c r="K466" s="1" t="s">
        <v>25</v>
      </c>
      <c r="L466" s="1">
        <v>26.65</v>
      </c>
      <c r="M466" s="1" t="s">
        <v>21</v>
      </c>
      <c r="O466" s="1">
        <v>2.6027778803E10</v>
      </c>
    </row>
    <row r="467">
      <c r="A467" s="1">
        <v>2839330.0</v>
      </c>
      <c r="B467" s="1" t="s">
        <v>3093</v>
      </c>
      <c r="C467" s="1" t="b">
        <v>1</v>
      </c>
      <c r="D467" s="1" t="b">
        <v>1</v>
      </c>
      <c r="E467" s="1" t="s">
        <v>48</v>
      </c>
      <c r="F467" s="1" t="s">
        <v>3094</v>
      </c>
      <c r="G467" s="2">
        <f>+251928220313</f>
        <v>251928220313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24.7</v>
      </c>
      <c r="M467" s="1" t="s">
        <v>21</v>
      </c>
    </row>
    <row r="468">
      <c r="A468" s="1">
        <v>2839384.0</v>
      </c>
      <c r="B468" s="1" t="s">
        <v>3095</v>
      </c>
      <c r="C468" s="1" t="b">
        <v>1</v>
      </c>
      <c r="D468" s="1" t="b">
        <v>1</v>
      </c>
      <c r="E468" s="1" t="s">
        <v>3096</v>
      </c>
      <c r="F468" s="1" t="s">
        <v>3097</v>
      </c>
      <c r="G468" s="2">
        <f>+251916402874</f>
        <v>251916402874</v>
      </c>
      <c r="H468" s="1" t="s">
        <v>18</v>
      </c>
      <c r="I468" s="1" t="s">
        <v>19</v>
      </c>
      <c r="J468" s="1" t="s">
        <v>19</v>
      </c>
      <c r="K468" s="1" t="s">
        <v>25</v>
      </c>
      <c r="L468" s="1">
        <v>13.19</v>
      </c>
      <c r="M468" s="1" t="s">
        <v>33</v>
      </c>
      <c r="N468" s="1" t="s">
        <v>65</v>
      </c>
    </row>
    <row r="469">
      <c r="A469" s="1">
        <v>2837736.0</v>
      </c>
      <c r="B469" s="1" t="s">
        <v>3098</v>
      </c>
      <c r="C469" s="1" t="b">
        <v>1</v>
      </c>
      <c r="D469" s="1" t="b">
        <v>1</v>
      </c>
      <c r="E469" s="1" t="s">
        <v>3099</v>
      </c>
      <c r="F469" s="1" t="s">
        <v>3100</v>
      </c>
      <c r="G469" s="2">
        <f>+251915162001</f>
        <v>251915162001</v>
      </c>
      <c r="H469" s="1" t="s">
        <v>18</v>
      </c>
      <c r="I469" s="1" t="s">
        <v>19</v>
      </c>
      <c r="J469" s="1" t="s">
        <v>19</v>
      </c>
      <c r="K469" s="1" t="s">
        <v>25</v>
      </c>
      <c r="L469" s="1">
        <v>30.67</v>
      </c>
      <c r="M469" s="1" t="s">
        <v>21</v>
      </c>
      <c r="O469" s="1">
        <v>2.3043443E7</v>
      </c>
    </row>
    <row r="470">
      <c r="A470" s="1">
        <v>2839653.0</v>
      </c>
      <c r="B470" s="1" t="s">
        <v>3101</v>
      </c>
      <c r="C470" s="1" t="b">
        <v>1</v>
      </c>
      <c r="D470" s="1" t="b">
        <v>1</v>
      </c>
      <c r="E470" s="1" t="s">
        <v>2183</v>
      </c>
      <c r="F470" s="1" t="s">
        <v>3102</v>
      </c>
      <c r="G470" s="2">
        <f>+251941416269</f>
        <v>251941416269</v>
      </c>
      <c r="H470" s="1" t="s">
        <v>18</v>
      </c>
      <c r="I470" s="1" t="s">
        <v>19</v>
      </c>
      <c r="J470" s="1" t="s">
        <v>19</v>
      </c>
      <c r="K470" s="1" t="s">
        <v>25</v>
      </c>
      <c r="L470" s="1">
        <v>18.75</v>
      </c>
      <c r="M470" s="1" t="s">
        <v>21</v>
      </c>
    </row>
    <row r="471">
      <c r="A471" s="1">
        <v>2839821.0</v>
      </c>
      <c r="B471" s="1" t="s">
        <v>3103</v>
      </c>
      <c r="C471" s="1" t="b">
        <v>1</v>
      </c>
      <c r="D471" s="1" t="b">
        <v>1</v>
      </c>
      <c r="E471" s="1" t="s">
        <v>3104</v>
      </c>
      <c r="F471" s="1" t="s">
        <v>3105</v>
      </c>
      <c r="G471" s="2">
        <f>+251941217100</f>
        <v>251941217100</v>
      </c>
      <c r="H471" s="1" t="s">
        <v>18</v>
      </c>
      <c r="I471" s="1" t="s">
        <v>19</v>
      </c>
      <c r="J471" s="1" t="s">
        <v>19</v>
      </c>
      <c r="K471" s="1" t="s">
        <v>25</v>
      </c>
      <c r="L471" s="1">
        <v>37.19</v>
      </c>
      <c r="M471" s="1" t="s">
        <v>21</v>
      </c>
    </row>
    <row r="472">
      <c r="A472" s="1">
        <v>2839394.0</v>
      </c>
      <c r="B472" s="1" t="s">
        <v>3106</v>
      </c>
      <c r="C472" s="1" t="b">
        <v>1</v>
      </c>
      <c r="D472" s="1" t="b">
        <v>1</v>
      </c>
      <c r="E472" s="1" t="s">
        <v>3107</v>
      </c>
      <c r="F472" s="1" t="s">
        <v>3108</v>
      </c>
      <c r="G472" s="2">
        <f>+251954330866</f>
        <v>251954330866</v>
      </c>
      <c r="H472" s="1" t="s">
        <v>18</v>
      </c>
      <c r="I472" s="1" t="s">
        <v>19</v>
      </c>
      <c r="J472" s="1" t="s">
        <v>3109</v>
      </c>
      <c r="K472" s="1" t="s">
        <v>25</v>
      </c>
      <c r="L472" s="1">
        <v>20.8</v>
      </c>
      <c r="M472" s="1" t="s">
        <v>33</v>
      </c>
      <c r="N472" s="1" t="s">
        <v>34</v>
      </c>
    </row>
    <row r="473">
      <c r="A473" s="1">
        <v>2840319.0</v>
      </c>
      <c r="B473" s="1" t="s">
        <v>3110</v>
      </c>
      <c r="C473" s="1" t="b">
        <v>1</v>
      </c>
      <c r="D473" s="1" t="b">
        <v>1</v>
      </c>
      <c r="E473" s="1" t="s">
        <v>3111</v>
      </c>
      <c r="F473" s="1" t="s">
        <v>2907</v>
      </c>
      <c r="G473" s="2">
        <f>+251913192265</f>
        <v>251913192265</v>
      </c>
      <c r="H473" s="1" t="s">
        <v>18</v>
      </c>
      <c r="I473" s="1" t="s">
        <v>19</v>
      </c>
      <c r="J473" s="1" t="s">
        <v>19</v>
      </c>
      <c r="K473" s="1" t="s">
        <v>20</v>
      </c>
      <c r="L473" s="1">
        <v>33.79</v>
      </c>
      <c r="M473" s="1" t="s">
        <v>21</v>
      </c>
      <c r="O473" s="1">
        <v>7747603.0</v>
      </c>
    </row>
    <row r="474">
      <c r="A474" s="1">
        <v>181066.0</v>
      </c>
      <c r="B474" s="1" t="s">
        <v>3112</v>
      </c>
      <c r="C474" s="1" t="b">
        <v>1</v>
      </c>
      <c r="D474" s="1" t="b">
        <v>0</v>
      </c>
      <c r="E474" s="1" t="s">
        <v>3113</v>
      </c>
      <c r="F474" s="1" t="s">
        <v>108</v>
      </c>
      <c r="G474" s="2">
        <f>+251931469433</f>
        <v>251931469433</v>
      </c>
      <c r="H474" s="1" t="s">
        <v>18</v>
      </c>
      <c r="I474" s="1" t="s">
        <v>19</v>
      </c>
      <c r="J474" s="1" t="s">
        <v>19</v>
      </c>
      <c r="K474" s="1" t="s">
        <v>25</v>
      </c>
      <c r="L474" s="1">
        <v>25.18</v>
      </c>
      <c r="M474" s="1" t="s">
        <v>21</v>
      </c>
    </row>
    <row r="475">
      <c r="A475" s="1">
        <v>2761081.0</v>
      </c>
      <c r="B475" s="1" t="s">
        <v>3114</v>
      </c>
      <c r="C475" s="1" t="b">
        <v>1</v>
      </c>
      <c r="D475" s="1" t="b">
        <v>0</v>
      </c>
      <c r="E475" s="1" t="s">
        <v>3115</v>
      </c>
      <c r="F475" s="1" t="s">
        <v>1542</v>
      </c>
      <c r="G475" s="2">
        <f>+251911172435</f>
        <v>251911172435</v>
      </c>
      <c r="H475" s="1" t="s">
        <v>18</v>
      </c>
      <c r="I475" s="1" t="s">
        <v>19</v>
      </c>
      <c r="J475" s="1" t="s">
        <v>19</v>
      </c>
      <c r="K475" s="1" t="s">
        <v>25</v>
      </c>
      <c r="L475" s="1">
        <v>39.38</v>
      </c>
      <c r="M475" s="1" t="s">
        <v>21</v>
      </c>
      <c r="O475" s="1">
        <v>2.47908955367E11</v>
      </c>
    </row>
    <row r="476">
      <c r="A476" s="1">
        <v>2714420.0</v>
      </c>
      <c r="B476" s="1" t="s">
        <v>3116</v>
      </c>
      <c r="C476" s="1" t="b">
        <v>1</v>
      </c>
      <c r="D476" s="1" t="b">
        <v>1</v>
      </c>
      <c r="E476" s="1" t="s">
        <v>3117</v>
      </c>
      <c r="F476" s="1" t="s">
        <v>3118</v>
      </c>
      <c r="G476" s="2">
        <f>+251976319595</f>
        <v>251976319595</v>
      </c>
      <c r="H476" s="1" t="s">
        <v>18</v>
      </c>
      <c r="I476" s="1" t="s">
        <v>19</v>
      </c>
      <c r="J476" s="1" t="s">
        <v>19</v>
      </c>
      <c r="K476" s="1" t="s">
        <v>20</v>
      </c>
      <c r="L476" s="1">
        <v>23.81</v>
      </c>
      <c r="M476" s="1" t="s">
        <v>33</v>
      </c>
      <c r="N476" s="1" t="s">
        <v>34</v>
      </c>
      <c r="O476" s="1">
        <v>2.33907027162E11</v>
      </c>
    </row>
    <row r="477">
      <c r="A477" s="1">
        <v>2394213.0</v>
      </c>
      <c r="B477" s="1" t="s">
        <v>3119</v>
      </c>
      <c r="C477" s="1" t="b">
        <v>1</v>
      </c>
      <c r="D477" s="1" t="b">
        <v>1</v>
      </c>
      <c r="E477" s="1" t="s">
        <v>1942</v>
      </c>
      <c r="F477" s="1" t="s">
        <v>3120</v>
      </c>
      <c r="G477" s="2">
        <f>+251911790382</f>
        <v>251911790382</v>
      </c>
      <c r="H477" s="1" t="s">
        <v>18</v>
      </c>
      <c r="I477" s="1" t="s">
        <v>19</v>
      </c>
      <c r="J477" s="1" t="s">
        <v>19</v>
      </c>
      <c r="K477" s="1" t="s">
        <v>20</v>
      </c>
      <c r="L477" s="1">
        <v>35.49</v>
      </c>
      <c r="M477" s="1" t="s">
        <v>33</v>
      </c>
      <c r="N477" s="1" t="s">
        <v>65</v>
      </c>
    </row>
    <row r="478">
      <c r="A478" s="1">
        <v>2840579.0</v>
      </c>
      <c r="B478" s="1" t="s">
        <v>3121</v>
      </c>
      <c r="C478" s="1" t="b">
        <v>1</v>
      </c>
      <c r="D478" s="1" t="b">
        <v>1</v>
      </c>
      <c r="E478" s="1" t="s">
        <v>867</v>
      </c>
      <c r="F478" s="1" t="s">
        <v>3122</v>
      </c>
      <c r="G478" s="2">
        <f>+251910270843</f>
        <v>251910270843</v>
      </c>
      <c r="H478" s="1" t="s">
        <v>18</v>
      </c>
      <c r="I478" s="1" t="s">
        <v>19</v>
      </c>
      <c r="J478" s="1" t="s">
        <v>19</v>
      </c>
      <c r="K478" s="1" t="s">
        <v>25</v>
      </c>
      <c r="L478" s="1">
        <v>36.05</v>
      </c>
      <c r="M478" s="1" t="s">
        <v>21</v>
      </c>
      <c r="O478" s="1">
        <v>2.74927941827E11</v>
      </c>
    </row>
    <row r="479">
      <c r="A479" s="1">
        <v>2840594.0</v>
      </c>
      <c r="B479" s="1" t="s">
        <v>3123</v>
      </c>
      <c r="C479" s="1" t="b">
        <v>1</v>
      </c>
      <c r="D479" s="1" t="b">
        <v>1</v>
      </c>
      <c r="E479" s="1" t="s">
        <v>3124</v>
      </c>
      <c r="F479" s="1" t="s">
        <v>3125</v>
      </c>
      <c r="G479" s="2">
        <f>+251917804269</f>
        <v>251917804269</v>
      </c>
      <c r="H479" s="1" t="s">
        <v>18</v>
      </c>
      <c r="I479" s="1" t="s">
        <v>19</v>
      </c>
      <c r="J479" s="1" t="s">
        <v>19</v>
      </c>
      <c r="K479" s="1" t="s">
        <v>25</v>
      </c>
      <c r="L479" s="1">
        <v>44.69</v>
      </c>
      <c r="M479" s="1" t="s">
        <v>21</v>
      </c>
    </row>
    <row r="480">
      <c r="A480" s="1">
        <v>2840703.0</v>
      </c>
      <c r="B480" s="1" t="s">
        <v>3126</v>
      </c>
      <c r="C480" s="1" t="b">
        <v>1</v>
      </c>
      <c r="D480" s="1" t="b">
        <v>0</v>
      </c>
      <c r="E480" s="1" t="s">
        <v>16</v>
      </c>
      <c r="F480" s="1" t="s">
        <v>601</v>
      </c>
      <c r="G480" s="2">
        <f>+251974239507</f>
        <v>251974239507</v>
      </c>
      <c r="H480" s="1" t="s">
        <v>18</v>
      </c>
      <c r="I480" s="1" t="s">
        <v>19</v>
      </c>
      <c r="J480" s="1" t="s">
        <v>19</v>
      </c>
      <c r="K480" s="1" t="s">
        <v>20</v>
      </c>
      <c r="L480" s="1">
        <v>23.41</v>
      </c>
      <c r="M480" s="1" t="s">
        <v>26</v>
      </c>
      <c r="O480" s="1">
        <v>2.74980892878E11</v>
      </c>
    </row>
    <row r="481">
      <c r="A481" s="1">
        <v>2840759.0</v>
      </c>
      <c r="B481" s="1" t="s">
        <v>3127</v>
      </c>
      <c r="C481" s="1" t="b">
        <v>1</v>
      </c>
      <c r="D481" s="1" t="b">
        <v>1</v>
      </c>
      <c r="E481" s="1" t="s">
        <v>3128</v>
      </c>
      <c r="F481" s="1" t="s">
        <v>3129</v>
      </c>
      <c r="G481" s="2">
        <f>+251904416947</f>
        <v>251904416947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28.76</v>
      </c>
      <c r="M481" s="1" t="s">
        <v>21</v>
      </c>
      <c r="O481" s="1">
        <v>2.75052082402E11</v>
      </c>
    </row>
    <row r="482">
      <c r="A482" s="1">
        <v>644935.0</v>
      </c>
      <c r="B482" s="1" t="s">
        <v>3130</v>
      </c>
      <c r="C482" s="1" t="b">
        <v>1</v>
      </c>
      <c r="D482" s="1" t="b">
        <v>1</v>
      </c>
      <c r="E482" s="1" t="s">
        <v>3131</v>
      </c>
      <c r="F482" s="1" t="s">
        <v>796</v>
      </c>
      <c r="G482" s="1">
        <v>2.51913971614E11</v>
      </c>
      <c r="H482" s="1" t="s">
        <v>18</v>
      </c>
      <c r="I482" s="1" t="s">
        <v>19</v>
      </c>
      <c r="J482" s="1" t="s">
        <v>19</v>
      </c>
      <c r="K482" s="1" t="s">
        <v>25</v>
      </c>
      <c r="L482" s="1">
        <v>34.48</v>
      </c>
      <c r="M482" s="1" t="s">
        <v>33</v>
      </c>
      <c r="N482" s="1" t="s">
        <v>65</v>
      </c>
      <c r="O482" s="1">
        <v>1.0155635E7</v>
      </c>
    </row>
    <row r="483">
      <c r="A483" s="1">
        <v>2840862.0</v>
      </c>
      <c r="B483" s="1" t="s">
        <v>3132</v>
      </c>
      <c r="C483" s="1" t="b">
        <v>1</v>
      </c>
      <c r="D483" s="1" t="b">
        <v>0</v>
      </c>
      <c r="E483" s="1" t="s">
        <v>3133</v>
      </c>
      <c r="F483" s="1" t="s">
        <v>633</v>
      </c>
      <c r="G483" s="2">
        <f>+251927432809</f>
        <v>251927432809</v>
      </c>
      <c r="H483" s="1" t="s">
        <v>18</v>
      </c>
      <c r="I483" s="1" t="s">
        <v>19</v>
      </c>
      <c r="J483" s="1" t="s">
        <v>19</v>
      </c>
      <c r="K483" s="1" t="s">
        <v>20</v>
      </c>
      <c r="L483" s="1">
        <v>30.36</v>
      </c>
      <c r="M483" s="1" t="s">
        <v>21</v>
      </c>
      <c r="O483" s="1">
        <v>2.7507995056E11</v>
      </c>
    </row>
    <row r="484">
      <c r="A484" s="1">
        <v>2840927.0</v>
      </c>
      <c r="B484" s="1" t="s">
        <v>3134</v>
      </c>
      <c r="C484" s="1" t="b">
        <v>1</v>
      </c>
      <c r="D484" s="1" t="b">
        <v>1</v>
      </c>
      <c r="E484" s="1" t="s">
        <v>60</v>
      </c>
      <c r="F484" s="1" t="s">
        <v>2674</v>
      </c>
      <c r="G484" s="2">
        <f>+251973033394</f>
        <v>251973033394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24.43</v>
      </c>
      <c r="M484" s="1" t="s">
        <v>21</v>
      </c>
    </row>
    <row r="485">
      <c r="A485" s="1">
        <v>891666.0</v>
      </c>
      <c r="B485" s="1" t="s">
        <v>3135</v>
      </c>
      <c r="C485" s="1" t="b">
        <v>1</v>
      </c>
      <c r="D485" s="1" t="b">
        <v>1</v>
      </c>
      <c r="E485" s="1" t="s">
        <v>257</v>
      </c>
      <c r="F485" s="1" t="s">
        <v>171</v>
      </c>
      <c r="G485" s="2">
        <f>+251962394122</f>
        <v>251962394122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28.38</v>
      </c>
      <c r="M485" s="1" t="s">
        <v>33</v>
      </c>
      <c r="N485" s="1" t="s">
        <v>65</v>
      </c>
      <c r="O485" s="1">
        <v>6765418.0</v>
      </c>
    </row>
    <row r="486">
      <c r="A486" s="1">
        <v>2656433.0</v>
      </c>
      <c r="B486" s="1" t="s">
        <v>3136</v>
      </c>
      <c r="C486" s="1" t="b">
        <v>1</v>
      </c>
      <c r="D486" s="1" t="b">
        <v>1</v>
      </c>
      <c r="E486" s="1" t="s">
        <v>3137</v>
      </c>
      <c r="F486" s="1" t="s">
        <v>3138</v>
      </c>
      <c r="G486" s="2">
        <f>+251912684537</f>
        <v>251912684537</v>
      </c>
      <c r="H486" s="1" t="s">
        <v>488</v>
      </c>
      <c r="I486" s="1" t="s">
        <v>19</v>
      </c>
      <c r="J486" s="1" t="s">
        <v>19</v>
      </c>
      <c r="K486" s="1" t="s">
        <v>20</v>
      </c>
      <c r="L486" s="1">
        <v>26.72</v>
      </c>
      <c r="M486" s="1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2176</v>
      </c>
      <c r="B2" s="1" t="s">
        <v>789</v>
      </c>
      <c r="C2" s="1" t="s">
        <v>2177</v>
      </c>
      <c r="D2" s="2">
        <f>+251913359865</f>
        <v>251913359865</v>
      </c>
      <c r="E2" s="1" t="s">
        <v>26</v>
      </c>
    </row>
    <row r="3">
      <c r="A3" s="1" t="s">
        <v>2205</v>
      </c>
      <c r="B3" s="1" t="s">
        <v>2206</v>
      </c>
      <c r="C3" s="1" t="s">
        <v>433</v>
      </c>
      <c r="D3" s="2">
        <f>+251924171769</f>
        <v>251924171769</v>
      </c>
      <c r="E3" s="1" t="s">
        <v>26</v>
      </c>
    </row>
    <row r="4">
      <c r="A4" s="1" t="s">
        <v>2207</v>
      </c>
      <c r="B4" s="1" t="s">
        <v>2208</v>
      </c>
      <c r="C4" s="1" t="s">
        <v>328</v>
      </c>
      <c r="D4" s="2">
        <f>+251962965266</f>
        <v>251962965266</v>
      </c>
      <c r="E4" s="1" t="s">
        <v>26</v>
      </c>
    </row>
    <row r="5">
      <c r="A5" s="1" t="s">
        <v>2300</v>
      </c>
      <c r="B5" s="1" t="s">
        <v>404</v>
      </c>
      <c r="C5" s="1" t="s">
        <v>2301</v>
      </c>
      <c r="D5" s="2">
        <f>+251935431739</f>
        <v>251935431739</v>
      </c>
      <c r="E5" s="1" t="s">
        <v>26</v>
      </c>
    </row>
    <row r="6">
      <c r="A6" s="1" t="s">
        <v>2336</v>
      </c>
      <c r="B6" s="1" t="s">
        <v>2337</v>
      </c>
      <c r="C6" s="1" t="s">
        <v>2338</v>
      </c>
      <c r="D6" s="1">
        <v>9.16560065E8</v>
      </c>
      <c r="E6" s="1" t="s">
        <v>26</v>
      </c>
    </row>
    <row r="7">
      <c r="A7" s="1" t="s">
        <v>2341</v>
      </c>
      <c r="B7" s="1" t="s">
        <v>2342</v>
      </c>
      <c r="C7" s="1" t="s">
        <v>363</v>
      </c>
      <c r="D7" s="2">
        <f>+251904221699</f>
        <v>251904221699</v>
      </c>
      <c r="E7" s="1" t="s">
        <v>26</v>
      </c>
    </row>
    <row r="8">
      <c r="A8" s="1" t="s">
        <v>2379</v>
      </c>
      <c r="B8" s="1" t="s">
        <v>2380</v>
      </c>
      <c r="C8" s="1" t="s">
        <v>2374</v>
      </c>
      <c r="D8" s="1">
        <v>9.18535155E8</v>
      </c>
      <c r="E8" s="1" t="s">
        <v>26</v>
      </c>
    </row>
    <row r="9">
      <c r="A9" s="1" t="s">
        <v>2384</v>
      </c>
      <c r="B9" s="1" t="s">
        <v>2385</v>
      </c>
      <c r="C9" s="1" t="s">
        <v>2386</v>
      </c>
      <c r="D9" s="2">
        <f>+251093914052</f>
        <v>251093914052</v>
      </c>
      <c r="E9" s="1" t="s">
        <v>26</v>
      </c>
    </row>
    <row r="10">
      <c r="A10" s="1" t="s">
        <v>2392</v>
      </c>
      <c r="B10" s="1" t="s">
        <v>2393</v>
      </c>
      <c r="C10" s="1" t="s">
        <v>292</v>
      </c>
      <c r="D10" s="2">
        <f>+251983399368</f>
        <v>251983399368</v>
      </c>
      <c r="E10" s="1" t="s">
        <v>26</v>
      </c>
    </row>
    <row r="11">
      <c r="A11" s="1" t="s">
        <v>2412</v>
      </c>
      <c r="B11" s="1" t="s">
        <v>2413</v>
      </c>
      <c r="C11" s="1" t="s">
        <v>2414</v>
      </c>
      <c r="D11" s="2">
        <f>+251916026951</f>
        <v>251916026951</v>
      </c>
      <c r="E11" s="1" t="s">
        <v>26</v>
      </c>
    </row>
    <row r="12">
      <c r="A12" s="1" t="s">
        <v>2456</v>
      </c>
      <c r="B12" s="1" t="s">
        <v>2457</v>
      </c>
      <c r="C12" s="1" t="s">
        <v>2458</v>
      </c>
      <c r="D12" s="2">
        <f>+251941525339</f>
        <v>251941525339</v>
      </c>
      <c r="E12" s="1" t="s">
        <v>26</v>
      </c>
    </row>
    <row r="13">
      <c r="A13" s="1" t="s">
        <v>2461</v>
      </c>
      <c r="B13" s="1" t="s">
        <v>2462</v>
      </c>
      <c r="C13" s="1" t="s">
        <v>2463</v>
      </c>
      <c r="D13" s="2">
        <f>+251916901440</f>
        <v>251916901440</v>
      </c>
      <c r="E13" s="1" t="s">
        <v>26</v>
      </c>
    </row>
    <row r="14">
      <c r="A14" s="5" t="s">
        <v>2525</v>
      </c>
      <c r="B14" s="5" t="s">
        <v>2526</v>
      </c>
      <c r="C14" s="5" t="s">
        <v>963</v>
      </c>
      <c r="D14" s="6">
        <f>+251923495198</f>
        <v>251923495198</v>
      </c>
      <c r="E14" s="5" t="s">
        <v>26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1" t="s">
        <v>2529</v>
      </c>
      <c r="B15" s="1" t="s">
        <v>909</v>
      </c>
      <c r="C15" s="1" t="s">
        <v>2530</v>
      </c>
      <c r="D15" s="2">
        <f>+251949228446</f>
        <v>251949228446</v>
      </c>
      <c r="E15" s="1" t="s">
        <v>26</v>
      </c>
    </row>
    <row r="16">
      <c r="A16" s="1" t="s">
        <v>2544</v>
      </c>
      <c r="B16" s="1" t="s">
        <v>420</v>
      </c>
      <c r="C16" s="1" t="s">
        <v>2545</v>
      </c>
      <c r="D16" s="2">
        <f>+251953163836</f>
        <v>251953163836</v>
      </c>
      <c r="E16" s="1" t="s">
        <v>26</v>
      </c>
    </row>
    <row r="17">
      <c r="A17" s="1" t="s">
        <v>2550</v>
      </c>
      <c r="B17" s="1" t="s">
        <v>2551</v>
      </c>
      <c r="C17" s="1" t="s">
        <v>2245</v>
      </c>
      <c r="D17" s="2">
        <f>+251911623603</f>
        <v>251911623603</v>
      </c>
      <c r="E17" s="1" t="s">
        <v>26</v>
      </c>
    </row>
    <row r="18">
      <c r="A18" s="1" t="s">
        <v>2610</v>
      </c>
      <c r="B18" s="1" t="s">
        <v>2611</v>
      </c>
      <c r="C18" s="1" t="s">
        <v>2612</v>
      </c>
      <c r="D18" s="2">
        <f>+251985222886</f>
        <v>251985222886</v>
      </c>
      <c r="E18" s="1" t="s">
        <v>26</v>
      </c>
    </row>
    <row r="19">
      <c r="A19" s="1" t="s">
        <v>2627</v>
      </c>
      <c r="B19" s="1" t="s">
        <v>2628</v>
      </c>
      <c r="C19" s="1" t="s">
        <v>894</v>
      </c>
      <c r="D19" s="2">
        <f>+251923812650</f>
        <v>251923812650</v>
      </c>
      <c r="E19" s="1" t="s">
        <v>26</v>
      </c>
    </row>
    <row r="20">
      <c r="A20" s="1" t="s">
        <v>2634</v>
      </c>
      <c r="B20" s="1" t="s">
        <v>2635</v>
      </c>
      <c r="C20" s="1" t="s">
        <v>2636</v>
      </c>
      <c r="D20" s="2">
        <f>+251935748792</f>
        <v>251935748792</v>
      </c>
      <c r="E20" s="1" t="s">
        <v>26</v>
      </c>
    </row>
    <row r="21">
      <c r="A21" s="1" t="s">
        <v>2665</v>
      </c>
      <c r="B21" s="1" t="s">
        <v>295</v>
      </c>
      <c r="C21" s="1" t="s">
        <v>338</v>
      </c>
      <c r="D21" s="2">
        <f>+251906119818</f>
        <v>251906119818</v>
      </c>
      <c r="E21" s="1" t="s">
        <v>26</v>
      </c>
    </row>
    <row r="22">
      <c r="A22" s="1" t="s">
        <v>2672</v>
      </c>
      <c r="B22" s="1" t="s">
        <v>612</v>
      </c>
      <c r="C22" s="1" t="s">
        <v>1566</v>
      </c>
      <c r="D22" s="2">
        <f>+251900620983</f>
        <v>251900620983</v>
      </c>
      <c r="E22" s="1" t="s">
        <v>26</v>
      </c>
    </row>
    <row r="23">
      <c r="A23" s="1" t="s">
        <v>2686</v>
      </c>
      <c r="B23" s="1" t="s">
        <v>2687</v>
      </c>
      <c r="C23" s="1" t="s">
        <v>2688</v>
      </c>
      <c r="D23" s="2">
        <f>+251954554548</f>
        <v>251954554548</v>
      </c>
      <c r="E23" s="1" t="s">
        <v>26</v>
      </c>
    </row>
    <row r="24">
      <c r="A24" s="1" t="s">
        <v>2708</v>
      </c>
      <c r="B24" s="1" t="s">
        <v>2709</v>
      </c>
      <c r="C24" s="1" t="s">
        <v>2710</v>
      </c>
      <c r="D24" s="2">
        <f>+251977490113</f>
        <v>251977490113</v>
      </c>
      <c r="E24" s="1" t="s">
        <v>26</v>
      </c>
    </row>
    <row r="25">
      <c r="A25" s="1" t="s">
        <v>2723</v>
      </c>
      <c r="B25" s="1" t="s">
        <v>2724</v>
      </c>
      <c r="C25" s="1" t="s">
        <v>2725</v>
      </c>
      <c r="D25" s="2">
        <f>+251091836636</f>
        <v>251091836636</v>
      </c>
      <c r="E25" s="1" t="s">
        <v>26</v>
      </c>
    </row>
    <row r="26">
      <c r="A26" s="1" t="s">
        <v>2736</v>
      </c>
      <c r="B26" s="1" t="s">
        <v>2737</v>
      </c>
      <c r="C26" s="1" t="s">
        <v>2738</v>
      </c>
      <c r="D26" s="2">
        <f>+251977568381</f>
        <v>251977568381</v>
      </c>
      <c r="E26" s="1" t="s">
        <v>26</v>
      </c>
    </row>
    <row r="27">
      <c r="A27" s="1" t="s">
        <v>2747</v>
      </c>
      <c r="B27" s="1" t="s">
        <v>2748</v>
      </c>
      <c r="C27" s="1" t="s">
        <v>102</v>
      </c>
      <c r="D27" s="2">
        <f>+251929529172</f>
        <v>251929529172</v>
      </c>
      <c r="E27" s="1" t="s">
        <v>26</v>
      </c>
    </row>
    <row r="28">
      <c r="A28" s="1" t="s">
        <v>2763</v>
      </c>
      <c r="B28" s="1" t="s">
        <v>2764</v>
      </c>
      <c r="C28" s="1" t="s">
        <v>2765</v>
      </c>
      <c r="D28" s="2">
        <f>+251927457364</f>
        <v>251927457364</v>
      </c>
      <c r="E28" s="1" t="s">
        <v>26</v>
      </c>
    </row>
    <row r="29">
      <c r="A29" s="1" t="s">
        <v>2847</v>
      </c>
      <c r="B29" s="1" t="s">
        <v>2848</v>
      </c>
      <c r="C29" s="1" t="s">
        <v>2849</v>
      </c>
      <c r="D29" s="2">
        <f>+251926686636</f>
        <v>251926686636</v>
      </c>
      <c r="E29" s="1" t="s">
        <v>26</v>
      </c>
    </row>
    <row r="30">
      <c r="A30" s="1" t="s">
        <v>2876</v>
      </c>
      <c r="B30" s="1" t="s">
        <v>2160</v>
      </c>
      <c r="C30" s="1" t="s">
        <v>2877</v>
      </c>
      <c r="D30" s="2">
        <f>+251920900425</f>
        <v>251920900425</v>
      </c>
      <c r="E30" s="1" t="s">
        <v>26</v>
      </c>
    </row>
    <row r="31">
      <c r="A31" s="1" t="s">
        <v>2887</v>
      </c>
      <c r="B31" s="1" t="s">
        <v>91</v>
      </c>
      <c r="C31" s="1" t="s">
        <v>1185</v>
      </c>
      <c r="D31" s="2">
        <f>+251994950020</f>
        <v>251994950020</v>
      </c>
      <c r="E31" s="1" t="s">
        <v>26</v>
      </c>
    </row>
    <row r="32">
      <c r="A32" s="1" t="s">
        <v>2915</v>
      </c>
      <c r="B32" s="1" t="s">
        <v>1977</v>
      </c>
      <c r="C32" s="1" t="s">
        <v>2518</v>
      </c>
      <c r="D32" s="2">
        <f>+251943543673</f>
        <v>251943543673</v>
      </c>
      <c r="E32" s="1" t="s">
        <v>26</v>
      </c>
    </row>
    <row r="33">
      <c r="A33" s="1" t="s">
        <v>2919</v>
      </c>
      <c r="B33" s="1" t="s">
        <v>2491</v>
      </c>
      <c r="C33" s="1" t="s">
        <v>376</v>
      </c>
      <c r="D33" s="2">
        <f>+251938222680</f>
        <v>251938222680</v>
      </c>
      <c r="E33" s="1" t="s">
        <v>26</v>
      </c>
    </row>
    <row r="34">
      <c r="A34" s="1" t="s">
        <v>2933</v>
      </c>
      <c r="B34" s="1" t="s">
        <v>2934</v>
      </c>
      <c r="C34" s="1" t="s">
        <v>2935</v>
      </c>
      <c r="D34" s="2">
        <f>+251917801084</f>
        <v>251917801084</v>
      </c>
      <c r="E34" s="1" t="s">
        <v>26</v>
      </c>
    </row>
    <row r="35">
      <c r="A35" s="1" t="s">
        <v>2945</v>
      </c>
      <c r="B35" s="1" t="s">
        <v>1068</v>
      </c>
      <c r="C35" s="1" t="s">
        <v>929</v>
      </c>
      <c r="D35" s="2">
        <f>+251911279665</f>
        <v>251911279665</v>
      </c>
      <c r="E35" s="1" t="s">
        <v>26</v>
      </c>
    </row>
    <row r="36">
      <c r="A36" s="1" t="s">
        <v>2951</v>
      </c>
      <c r="B36" s="1" t="s">
        <v>1958</v>
      </c>
      <c r="C36" s="1" t="s">
        <v>2952</v>
      </c>
      <c r="D36" s="2">
        <f>+251989112286</f>
        <v>251989112286</v>
      </c>
      <c r="E36" s="1" t="s">
        <v>26</v>
      </c>
    </row>
    <row r="37">
      <c r="A37" s="1" t="s">
        <v>2966</v>
      </c>
      <c r="B37" s="1" t="s">
        <v>2967</v>
      </c>
      <c r="C37" s="1" t="s">
        <v>2968</v>
      </c>
      <c r="D37" s="2">
        <f>+251919098569</f>
        <v>251919098569</v>
      </c>
      <c r="E37" s="1" t="s">
        <v>26</v>
      </c>
    </row>
    <row r="38">
      <c r="A38" s="1" t="s">
        <v>2976</v>
      </c>
      <c r="B38" s="1" t="s">
        <v>483</v>
      </c>
      <c r="C38" s="1" t="s">
        <v>363</v>
      </c>
      <c r="D38" s="2">
        <f>+251941143250</f>
        <v>251941143250</v>
      </c>
      <c r="E38" s="1" t="s">
        <v>26</v>
      </c>
    </row>
    <row r="39">
      <c r="A39" s="1" t="s">
        <v>2981</v>
      </c>
      <c r="B39" s="1" t="s">
        <v>1457</v>
      </c>
      <c r="C39" s="1" t="s">
        <v>1077</v>
      </c>
      <c r="D39" s="2">
        <f>+251925201933</f>
        <v>251925201933</v>
      </c>
      <c r="E39" s="1" t="s">
        <v>26</v>
      </c>
    </row>
    <row r="40">
      <c r="A40" s="1" t="s">
        <v>3007</v>
      </c>
      <c r="B40" s="1" t="s">
        <v>2842</v>
      </c>
      <c r="C40" s="1" t="s">
        <v>3008</v>
      </c>
      <c r="D40" s="2">
        <f>+251911739956</f>
        <v>251911739956</v>
      </c>
      <c r="E40" s="1" t="s">
        <v>26</v>
      </c>
    </row>
    <row r="41">
      <c r="A41" s="1" t="s">
        <v>3020</v>
      </c>
      <c r="B41" s="1" t="s">
        <v>3021</v>
      </c>
      <c r="C41" s="1" t="s">
        <v>3022</v>
      </c>
      <c r="D41" s="2">
        <f>+251920318265</f>
        <v>251920318265</v>
      </c>
      <c r="E41" s="1" t="s">
        <v>26</v>
      </c>
    </row>
    <row r="42">
      <c r="A42" s="1" t="s">
        <v>3046</v>
      </c>
      <c r="B42" s="1" t="s">
        <v>3047</v>
      </c>
      <c r="C42" s="1" t="s">
        <v>3048</v>
      </c>
      <c r="D42" s="2">
        <f>+251983741397</f>
        <v>251983741397</v>
      </c>
      <c r="E42" s="1" t="s">
        <v>26</v>
      </c>
    </row>
    <row r="43">
      <c r="A43" s="1" t="s">
        <v>3057</v>
      </c>
      <c r="B43" s="1" t="s">
        <v>867</v>
      </c>
      <c r="C43" s="1" t="s">
        <v>3058</v>
      </c>
      <c r="D43" s="1">
        <v>9.10270843E8</v>
      </c>
      <c r="E43" s="1" t="s">
        <v>26</v>
      </c>
    </row>
    <row r="44">
      <c r="A44" s="1" t="s">
        <v>3063</v>
      </c>
      <c r="B44" s="1" t="s">
        <v>3064</v>
      </c>
      <c r="C44" s="1" t="s">
        <v>3065</v>
      </c>
      <c r="D44" s="2">
        <f>+251973151295</f>
        <v>251973151295</v>
      </c>
      <c r="E44" s="1" t="s">
        <v>26</v>
      </c>
    </row>
    <row r="45">
      <c r="A45" s="1" t="s">
        <v>3066</v>
      </c>
      <c r="B45" s="1" t="s">
        <v>474</v>
      </c>
      <c r="C45" s="1" t="s">
        <v>3067</v>
      </c>
      <c r="D45" s="2">
        <f>+251916111311</f>
        <v>251916111311</v>
      </c>
      <c r="E45" s="1" t="s">
        <v>26</v>
      </c>
    </row>
    <row r="46">
      <c r="A46" s="1" t="s">
        <v>3085</v>
      </c>
      <c r="B46" s="1" t="s">
        <v>3086</v>
      </c>
      <c r="C46" s="1" t="s">
        <v>3087</v>
      </c>
      <c r="D46" s="2">
        <f>+251924343455</f>
        <v>251924343455</v>
      </c>
      <c r="E46" s="1" t="s">
        <v>26</v>
      </c>
    </row>
    <row r="47">
      <c r="A47" s="1" t="s">
        <v>3090</v>
      </c>
      <c r="B47" s="1" t="s">
        <v>432</v>
      </c>
      <c r="C47" s="1" t="s">
        <v>3091</v>
      </c>
      <c r="D47" s="2">
        <f>+251916048022</f>
        <v>251916048022</v>
      </c>
      <c r="E47" s="1" t="s">
        <v>26</v>
      </c>
    </row>
    <row r="48">
      <c r="A48" s="1" t="s">
        <v>3126</v>
      </c>
      <c r="B48" s="1" t="s">
        <v>16</v>
      </c>
      <c r="C48" s="1" t="s">
        <v>601</v>
      </c>
      <c r="D48" s="2">
        <f>+251974239507</f>
        <v>251974239507</v>
      </c>
      <c r="E48" s="1" t="s">
        <v>26</v>
      </c>
    </row>
    <row r="49">
      <c r="A49" s="1" t="s">
        <v>2178</v>
      </c>
      <c r="B49" s="1" t="s">
        <v>2179</v>
      </c>
      <c r="C49" s="1" t="s">
        <v>2180</v>
      </c>
      <c r="D49" s="2">
        <f>+251912181927</f>
        <v>251912181927</v>
      </c>
      <c r="E49" s="1" t="s">
        <v>33</v>
      </c>
      <c r="F49" s="1" t="s">
        <v>34</v>
      </c>
    </row>
    <row r="50">
      <c r="A50" s="1" t="s">
        <v>2203</v>
      </c>
      <c r="B50" s="1" t="s">
        <v>2204</v>
      </c>
      <c r="C50" s="1" t="s">
        <v>829</v>
      </c>
      <c r="D50" s="2">
        <f>+251913634104</f>
        <v>251913634104</v>
      </c>
      <c r="E50" s="1" t="s">
        <v>33</v>
      </c>
      <c r="F50" s="1" t="s">
        <v>76</v>
      </c>
    </row>
    <row r="51">
      <c r="A51" s="1" t="s">
        <v>2209</v>
      </c>
      <c r="B51" s="1" t="s">
        <v>2210</v>
      </c>
      <c r="C51" s="1" t="s">
        <v>110</v>
      </c>
      <c r="D51" s="2">
        <f>+251931366327</f>
        <v>251931366327</v>
      </c>
      <c r="E51" s="1" t="s">
        <v>33</v>
      </c>
      <c r="F51" s="1" t="s">
        <v>235</v>
      </c>
    </row>
    <row r="52">
      <c r="A52" s="1" t="s">
        <v>2219</v>
      </c>
      <c r="B52" s="1" t="s">
        <v>2220</v>
      </c>
      <c r="C52" s="1" t="s">
        <v>2221</v>
      </c>
      <c r="D52" s="2">
        <f>+251943334736</f>
        <v>251943334736</v>
      </c>
      <c r="E52" s="1" t="s">
        <v>33</v>
      </c>
      <c r="F52" s="1" t="s">
        <v>177</v>
      </c>
    </row>
    <row r="53">
      <c r="A53" s="1" t="s">
        <v>2228</v>
      </c>
      <c r="B53" s="1" t="s">
        <v>152</v>
      </c>
      <c r="C53" s="1" t="s">
        <v>2229</v>
      </c>
      <c r="D53" s="2">
        <f>+251930926317</f>
        <v>251930926317</v>
      </c>
      <c r="E53" s="1" t="s">
        <v>33</v>
      </c>
      <c r="F53" s="1" t="s">
        <v>177</v>
      </c>
    </row>
    <row r="54">
      <c r="A54" s="1" t="s">
        <v>2236</v>
      </c>
      <c r="B54" s="1" t="s">
        <v>2237</v>
      </c>
      <c r="C54" s="1" t="s">
        <v>2238</v>
      </c>
      <c r="D54" s="2">
        <f>+251912873648</f>
        <v>251912873648</v>
      </c>
      <c r="E54" s="1" t="s">
        <v>33</v>
      </c>
      <c r="F54" s="1" t="s">
        <v>76</v>
      </c>
    </row>
    <row r="55">
      <c r="A55" s="1" t="s">
        <v>2253</v>
      </c>
      <c r="B55" s="1" t="s">
        <v>303</v>
      </c>
      <c r="C55" s="1" t="s">
        <v>2254</v>
      </c>
      <c r="D55" s="1">
        <v>9.39268519E8</v>
      </c>
      <c r="E55" s="1" t="s">
        <v>33</v>
      </c>
      <c r="F55" s="1" t="s">
        <v>65</v>
      </c>
    </row>
    <row r="56">
      <c r="A56" s="1" t="s">
        <v>2265</v>
      </c>
      <c r="B56" s="1" t="s">
        <v>2266</v>
      </c>
      <c r="C56" s="1" t="s">
        <v>2267</v>
      </c>
      <c r="D56" s="2">
        <f>+251942627000</f>
        <v>251942627000</v>
      </c>
      <c r="E56" s="1" t="s">
        <v>33</v>
      </c>
      <c r="F56" s="1" t="s">
        <v>118</v>
      </c>
    </row>
    <row r="57">
      <c r="A57" s="1" t="s">
        <v>2272</v>
      </c>
      <c r="B57" s="1" t="s">
        <v>2273</v>
      </c>
      <c r="C57" s="1" t="s">
        <v>2041</v>
      </c>
      <c r="D57" s="2">
        <f>+251913888197</f>
        <v>251913888197</v>
      </c>
      <c r="E57" s="1" t="s">
        <v>33</v>
      </c>
      <c r="F57" s="1" t="s">
        <v>65</v>
      </c>
    </row>
    <row r="58">
      <c r="A58" s="1" t="s">
        <v>2279</v>
      </c>
      <c r="B58" s="1" t="s">
        <v>2280</v>
      </c>
      <c r="C58" s="1" t="s">
        <v>2281</v>
      </c>
      <c r="D58" s="2">
        <f>+251913567228</f>
        <v>251913567228</v>
      </c>
      <c r="E58" s="1" t="s">
        <v>33</v>
      </c>
      <c r="F58" s="1" t="s">
        <v>65</v>
      </c>
    </row>
    <row r="59">
      <c r="A59" s="1" t="s">
        <v>2292</v>
      </c>
      <c r="B59" s="1" t="s">
        <v>130</v>
      </c>
      <c r="C59" s="1" t="s">
        <v>2293</v>
      </c>
      <c r="D59" s="2">
        <f>+251917443845</f>
        <v>251917443845</v>
      </c>
      <c r="E59" s="1" t="s">
        <v>33</v>
      </c>
      <c r="F59" s="1" t="s">
        <v>235</v>
      </c>
    </row>
    <row r="60">
      <c r="A60" s="1" t="s">
        <v>2294</v>
      </c>
      <c r="B60" s="1" t="s">
        <v>96</v>
      </c>
      <c r="C60" s="1" t="s">
        <v>1794</v>
      </c>
      <c r="D60" s="2">
        <f>+251928491544</f>
        <v>251928491544</v>
      </c>
      <c r="E60" s="1" t="s">
        <v>33</v>
      </c>
      <c r="F60" s="1" t="s">
        <v>177</v>
      </c>
    </row>
    <row r="61">
      <c r="A61" s="1" t="s">
        <v>2302</v>
      </c>
      <c r="B61" s="1" t="s">
        <v>2303</v>
      </c>
      <c r="C61" s="1" t="s">
        <v>2304</v>
      </c>
      <c r="D61" s="2">
        <f>+251960818314</f>
        <v>251960818314</v>
      </c>
      <c r="E61" s="1" t="s">
        <v>33</v>
      </c>
      <c r="F61" s="1" t="s">
        <v>118</v>
      </c>
    </row>
    <row r="62">
      <c r="A62" s="1" t="s">
        <v>2308</v>
      </c>
      <c r="B62" s="1" t="s">
        <v>2183</v>
      </c>
      <c r="C62" s="1" t="s">
        <v>148</v>
      </c>
      <c r="D62" s="2">
        <f>+251941421046</f>
        <v>251941421046</v>
      </c>
      <c r="E62" s="1" t="s">
        <v>33</v>
      </c>
      <c r="F62" s="1" t="s">
        <v>118</v>
      </c>
    </row>
    <row r="63">
      <c r="A63" s="1" t="s">
        <v>2309</v>
      </c>
      <c r="B63" s="1" t="s">
        <v>399</v>
      </c>
      <c r="C63" s="1" t="s">
        <v>238</v>
      </c>
      <c r="D63" s="2">
        <f>+251928818176</f>
        <v>251928818176</v>
      </c>
      <c r="E63" s="1" t="s">
        <v>33</v>
      </c>
      <c r="F63" s="1" t="s">
        <v>65</v>
      </c>
    </row>
    <row r="64">
      <c r="A64" s="5" t="s">
        <v>2310</v>
      </c>
      <c r="B64" s="5" t="s">
        <v>2311</v>
      </c>
      <c r="C64" s="5" t="s">
        <v>2312</v>
      </c>
      <c r="D64" s="6">
        <f>+251911416417</f>
        <v>251911416417</v>
      </c>
      <c r="E64" s="5" t="s">
        <v>33</v>
      </c>
      <c r="F64" s="5" t="s">
        <v>177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1" t="s">
        <v>2318</v>
      </c>
      <c r="B65" s="1" t="s">
        <v>250</v>
      </c>
      <c r="C65" s="1" t="s">
        <v>2319</v>
      </c>
      <c r="D65" s="2">
        <f>+251927146717</f>
        <v>251927146717</v>
      </c>
      <c r="E65" s="1" t="s">
        <v>33</v>
      </c>
      <c r="F65" s="1" t="s">
        <v>118</v>
      </c>
    </row>
    <row r="66">
      <c r="A66" s="1" t="s">
        <v>2325</v>
      </c>
      <c r="B66" s="1" t="s">
        <v>2326</v>
      </c>
      <c r="C66" s="1" t="s">
        <v>2327</v>
      </c>
      <c r="D66" s="2">
        <f>+251939531281</f>
        <v>251939531281</v>
      </c>
      <c r="E66" s="1" t="s">
        <v>33</v>
      </c>
      <c r="F66" s="1" t="s">
        <v>65</v>
      </c>
    </row>
    <row r="67">
      <c r="A67" s="1" t="s">
        <v>2339</v>
      </c>
      <c r="B67" s="1" t="s">
        <v>2340</v>
      </c>
      <c r="C67" s="1" t="s">
        <v>545</v>
      </c>
      <c r="D67" s="2">
        <f>+251967734919</f>
        <v>251967734919</v>
      </c>
      <c r="E67" s="1" t="s">
        <v>33</v>
      </c>
      <c r="F67" s="1" t="s">
        <v>65</v>
      </c>
    </row>
    <row r="68">
      <c r="A68" s="1" t="s">
        <v>2349</v>
      </c>
      <c r="B68" s="1" t="s">
        <v>171</v>
      </c>
      <c r="C68" s="1" t="s">
        <v>2350</v>
      </c>
      <c r="D68" s="2">
        <f>+251913444164</f>
        <v>251913444164</v>
      </c>
      <c r="E68" s="1" t="s">
        <v>33</v>
      </c>
      <c r="F68" s="1" t="s">
        <v>76</v>
      </c>
    </row>
    <row r="69">
      <c r="A69" s="1" t="s">
        <v>2357</v>
      </c>
      <c r="B69" s="1" t="s">
        <v>98</v>
      </c>
      <c r="C69" s="1" t="s">
        <v>2358</v>
      </c>
      <c r="D69" s="2">
        <f>+251985655267</f>
        <v>251985655267</v>
      </c>
      <c r="E69" s="1" t="s">
        <v>33</v>
      </c>
      <c r="F69" s="1" t="s">
        <v>34</v>
      </c>
    </row>
    <row r="70">
      <c r="A70" s="1" t="s">
        <v>2359</v>
      </c>
      <c r="B70" s="1" t="s">
        <v>1446</v>
      </c>
      <c r="C70" s="1" t="s">
        <v>108</v>
      </c>
      <c r="D70" s="2">
        <f>+251987993606</f>
        <v>251987993606</v>
      </c>
      <c r="E70" s="1" t="s">
        <v>33</v>
      </c>
      <c r="F70" s="1" t="s">
        <v>34</v>
      </c>
    </row>
    <row r="71">
      <c r="A71" s="1" t="s">
        <v>2362</v>
      </c>
      <c r="B71" s="1" t="s">
        <v>1105</v>
      </c>
      <c r="C71" s="1" t="s">
        <v>2363</v>
      </c>
      <c r="D71" s="1">
        <v>9.38642121E8</v>
      </c>
      <c r="E71" s="1" t="s">
        <v>33</v>
      </c>
      <c r="F71" s="1" t="s">
        <v>76</v>
      </c>
    </row>
    <row r="72">
      <c r="A72" s="1" t="s">
        <v>2372</v>
      </c>
      <c r="B72" s="1" t="s">
        <v>2373</v>
      </c>
      <c r="C72" s="1" t="s">
        <v>2374</v>
      </c>
      <c r="D72" s="2">
        <f>+251918535155</f>
        <v>251918535155</v>
      </c>
      <c r="E72" s="1" t="s">
        <v>33</v>
      </c>
      <c r="F72" s="1" t="s">
        <v>177</v>
      </c>
    </row>
    <row r="73">
      <c r="A73" s="1" t="s">
        <v>2375</v>
      </c>
      <c r="B73" s="1" t="s">
        <v>2376</v>
      </c>
      <c r="C73" s="1" t="s">
        <v>96</v>
      </c>
      <c r="D73" s="2">
        <f>+251976002806</f>
        <v>251976002806</v>
      </c>
      <c r="E73" s="1" t="s">
        <v>33</v>
      </c>
      <c r="F73" s="1" t="s">
        <v>177</v>
      </c>
    </row>
    <row r="74">
      <c r="A74" s="1" t="s">
        <v>2377</v>
      </c>
      <c r="B74" s="1" t="s">
        <v>1651</v>
      </c>
      <c r="C74" s="1" t="s">
        <v>2378</v>
      </c>
      <c r="D74" s="2">
        <f>+251913289348</f>
        <v>251913289348</v>
      </c>
      <c r="E74" s="1" t="s">
        <v>33</v>
      </c>
      <c r="F74" s="1" t="s">
        <v>34</v>
      </c>
    </row>
    <row r="75">
      <c r="A75" s="1" t="s">
        <v>2394</v>
      </c>
      <c r="B75" s="1" t="s">
        <v>2395</v>
      </c>
      <c r="C75" s="1" t="s">
        <v>2396</v>
      </c>
      <c r="D75" s="2">
        <f>+251942600001</f>
        <v>251942600001</v>
      </c>
      <c r="E75" s="1" t="s">
        <v>33</v>
      </c>
      <c r="F75" s="1" t="s">
        <v>65</v>
      </c>
    </row>
    <row r="76">
      <c r="A76" s="1" t="s">
        <v>2398</v>
      </c>
      <c r="B76" s="1" t="s">
        <v>250</v>
      </c>
      <c r="C76" s="1" t="s">
        <v>2399</v>
      </c>
      <c r="D76" s="2">
        <f>+251983225745</f>
        <v>251983225745</v>
      </c>
      <c r="E76" s="1" t="s">
        <v>33</v>
      </c>
      <c r="F76" s="1" t="s">
        <v>177</v>
      </c>
    </row>
    <row r="77">
      <c r="A77" s="1" t="s">
        <v>2400</v>
      </c>
      <c r="B77" s="1" t="s">
        <v>2401</v>
      </c>
      <c r="C77" s="1" t="s">
        <v>2402</v>
      </c>
      <c r="D77" s="2">
        <f>+251987388812</f>
        <v>251987388812</v>
      </c>
      <c r="E77" s="1" t="s">
        <v>33</v>
      </c>
      <c r="F77" s="1" t="s">
        <v>166</v>
      </c>
    </row>
    <row r="78">
      <c r="A78" s="1" t="s">
        <v>2418</v>
      </c>
      <c r="B78" s="1" t="s">
        <v>1128</v>
      </c>
      <c r="C78" s="1" t="s">
        <v>768</v>
      </c>
      <c r="D78" s="2">
        <f>+251921948431</f>
        <v>251921948431</v>
      </c>
      <c r="E78" s="1" t="s">
        <v>33</v>
      </c>
      <c r="F78" s="1" t="s">
        <v>235</v>
      </c>
    </row>
    <row r="79">
      <c r="A79" s="1" t="s">
        <v>2419</v>
      </c>
      <c r="B79" s="1" t="s">
        <v>411</v>
      </c>
      <c r="C79" s="1" t="s">
        <v>2420</v>
      </c>
      <c r="D79" s="2">
        <f>+251964970096</f>
        <v>251964970096</v>
      </c>
      <c r="E79" s="1" t="s">
        <v>33</v>
      </c>
      <c r="F79" s="1" t="s">
        <v>65</v>
      </c>
    </row>
    <row r="80">
      <c r="A80" s="1" t="s">
        <v>2426</v>
      </c>
      <c r="B80" s="1" t="s">
        <v>1961</v>
      </c>
      <c r="C80" s="1" t="s">
        <v>2427</v>
      </c>
      <c r="D80" s="2">
        <f>+251947968735</f>
        <v>251947968735</v>
      </c>
      <c r="E80" s="1" t="s">
        <v>33</v>
      </c>
      <c r="F80" s="1" t="s">
        <v>166</v>
      </c>
    </row>
    <row r="81">
      <c r="A81" s="1" t="s">
        <v>2434</v>
      </c>
      <c r="B81" s="1" t="s">
        <v>2435</v>
      </c>
      <c r="C81" s="1" t="s">
        <v>2436</v>
      </c>
      <c r="D81" s="2">
        <f>+251942338869</f>
        <v>251942338869</v>
      </c>
      <c r="E81" s="1" t="s">
        <v>33</v>
      </c>
      <c r="F81" s="1" t="s">
        <v>118</v>
      </c>
    </row>
    <row r="82">
      <c r="A82" s="1" t="s">
        <v>2437</v>
      </c>
      <c r="B82" s="1" t="s">
        <v>2438</v>
      </c>
      <c r="C82" s="1" t="s">
        <v>2439</v>
      </c>
      <c r="D82" s="2">
        <f>+251977568381</f>
        <v>251977568381</v>
      </c>
      <c r="E82" s="1" t="s">
        <v>33</v>
      </c>
      <c r="F82" s="1" t="s">
        <v>166</v>
      </c>
    </row>
    <row r="83">
      <c r="A83" s="1" t="s">
        <v>2441</v>
      </c>
      <c r="B83" s="1" t="s">
        <v>435</v>
      </c>
      <c r="C83" s="1" t="s">
        <v>829</v>
      </c>
      <c r="D83" s="2">
        <f>+251976589565</f>
        <v>251976589565</v>
      </c>
      <c r="E83" s="1" t="s">
        <v>33</v>
      </c>
      <c r="F83" s="1" t="s">
        <v>166</v>
      </c>
    </row>
    <row r="84">
      <c r="A84" s="1" t="s">
        <v>2444</v>
      </c>
      <c r="B84" s="1" t="s">
        <v>2445</v>
      </c>
      <c r="C84" s="1" t="s">
        <v>284</v>
      </c>
      <c r="D84" s="2">
        <f>+251936153918</f>
        <v>251936153918</v>
      </c>
      <c r="E84" s="1" t="s">
        <v>33</v>
      </c>
      <c r="F84" s="1" t="s">
        <v>65</v>
      </c>
    </row>
    <row r="85">
      <c r="A85" s="1" t="s">
        <v>2446</v>
      </c>
      <c r="B85" s="1" t="s">
        <v>2447</v>
      </c>
      <c r="C85" s="1" t="s">
        <v>2448</v>
      </c>
      <c r="D85" s="2">
        <f>+251915675261</f>
        <v>251915675261</v>
      </c>
      <c r="E85" s="1" t="s">
        <v>33</v>
      </c>
      <c r="F85" s="1" t="s">
        <v>34</v>
      </c>
    </row>
    <row r="86">
      <c r="A86" s="1" t="s">
        <v>2449</v>
      </c>
      <c r="B86" s="1" t="s">
        <v>2450</v>
      </c>
      <c r="C86" s="1" t="s">
        <v>2451</v>
      </c>
      <c r="D86" s="2">
        <f>+251967557044</f>
        <v>251967557044</v>
      </c>
      <c r="E86" s="1" t="s">
        <v>33</v>
      </c>
      <c r="F86" s="1" t="s">
        <v>166</v>
      </c>
    </row>
    <row r="87">
      <c r="A87" s="1" t="s">
        <v>2468</v>
      </c>
      <c r="B87" s="1" t="s">
        <v>1035</v>
      </c>
      <c r="C87" s="1" t="s">
        <v>1214</v>
      </c>
      <c r="D87" s="2">
        <f>+251942030046</f>
        <v>251942030046</v>
      </c>
      <c r="E87" s="1" t="s">
        <v>33</v>
      </c>
      <c r="F87" s="1" t="s">
        <v>65</v>
      </c>
    </row>
    <row r="88">
      <c r="A88" s="1" t="s">
        <v>2470</v>
      </c>
      <c r="B88" s="1" t="s">
        <v>2471</v>
      </c>
      <c r="C88" s="1" t="s">
        <v>824</v>
      </c>
      <c r="D88" s="2">
        <f>+251918554157</f>
        <v>251918554157</v>
      </c>
      <c r="E88" s="1" t="s">
        <v>33</v>
      </c>
      <c r="F88" s="1" t="s">
        <v>118</v>
      </c>
    </row>
    <row r="89">
      <c r="A89" s="1" t="s">
        <v>2475</v>
      </c>
      <c r="B89" s="1" t="s">
        <v>2167</v>
      </c>
      <c r="C89" s="1" t="s">
        <v>2476</v>
      </c>
      <c r="D89" s="2">
        <f>+251969865483</f>
        <v>251969865483</v>
      </c>
      <c r="E89" s="1" t="s">
        <v>33</v>
      </c>
      <c r="F89" s="1" t="s">
        <v>34</v>
      </c>
    </row>
    <row r="90">
      <c r="A90" s="1" t="s">
        <v>2477</v>
      </c>
      <c r="B90" s="1" t="s">
        <v>2478</v>
      </c>
      <c r="C90" s="1" t="s">
        <v>2479</v>
      </c>
      <c r="D90" s="2">
        <f>+251910814632</f>
        <v>251910814632</v>
      </c>
      <c r="E90" s="1" t="s">
        <v>33</v>
      </c>
      <c r="F90" s="1" t="s">
        <v>166</v>
      </c>
    </row>
    <row r="91">
      <c r="A91" s="1" t="s">
        <v>2482</v>
      </c>
      <c r="B91" s="1" t="s">
        <v>956</v>
      </c>
      <c r="C91" s="1" t="s">
        <v>2483</v>
      </c>
      <c r="D91" s="2">
        <f>+251910159741</f>
        <v>251910159741</v>
      </c>
      <c r="E91" s="1" t="s">
        <v>33</v>
      </c>
      <c r="F91" s="1" t="s">
        <v>76</v>
      </c>
    </row>
    <row r="92">
      <c r="A92" s="1" t="s">
        <v>2487</v>
      </c>
      <c r="B92" s="1" t="s">
        <v>188</v>
      </c>
      <c r="C92" s="1" t="s">
        <v>2017</v>
      </c>
      <c r="D92" s="2">
        <f>+251251984529882</f>
        <v>251251984529882</v>
      </c>
      <c r="E92" s="1" t="s">
        <v>33</v>
      </c>
      <c r="F92" s="1" t="s">
        <v>166</v>
      </c>
    </row>
    <row r="93">
      <c r="A93" s="1" t="s">
        <v>2496</v>
      </c>
      <c r="B93" s="1" t="s">
        <v>2497</v>
      </c>
      <c r="C93" s="1" t="s">
        <v>2498</v>
      </c>
      <c r="D93" s="2">
        <f>+251960465480</f>
        <v>251960465480</v>
      </c>
      <c r="E93" s="1" t="s">
        <v>33</v>
      </c>
      <c r="F93" s="1" t="s">
        <v>34</v>
      </c>
    </row>
    <row r="94">
      <c r="A94" s="1" t="s">
        <v>2500</v>
      </c>
      <c r="B94" s="1" t="s">
        <v>2501</v>
      </c>
      <c r="C94" s="1" t="s">
        <v>654</v>
      </c>
      <c r="D94" s="2">
        <f>+251940557867</f>
        <v>251940557867</v>
      </c>
      <c r="E94" s="1" t="s">
        <v>33</v>
      </c>
      <c r="F94" s="1" t="s">
        <v>235</v>
      </c>
    </row>
    <row r="95">
      <c r="A95" s="1" t="s">
        <v>2504</v>
      </c>
      <c r="B95" s="1" t="s">
        <v>28</v>
      </c>
      <c r="C95" s="1" t="s">
        <v>2505</v>
      </c>
      <c r="D95" s="2">
        <f>+251955223706</f>
        <v>251955223706</v>
      </c>
      <c r="E95" s="1" t="s">
        <v>33</v>
      </c>
      <c r="F95" s="1" t="s">
        <v>166</v>
      </c>
    </row>
    <row r="96">
      <c r="A96" s="1" t="s">
        <v>2507</v>
      </c>
      <c r="B96" s="1" t="s">
        <v>2508</v>
      </c>
      <c r="C96" s="1" t="s">
        <v>2509</v>
      </c>
      <c r="D96" s="2">
        <f>+251920416546</f>
        <v>251920416546</v>
      </c>
      <c r="E96" s="1" t="s">
        <v>33</v>
      </c>
      <c r="F96" s="1" t="s">
        <v>65</v>
      </c>
    </row>
    <row r="97">
      <c r="A97" s="1" t="s">
        <v>2510</v>
      </c>
      <c r="B97" s="1" t="s">
        <v>595</v>
      </c>
      <c r="C97" s="1" t="s">
        <v>2511</v>
      </c>
      <c r="D97" s="2">
        <f>+251967593619</f>
        <v>251967593619</v>
      </c>
      <c r="E97" s="1" t="s">
        <v>33</v>
      </c>
      <c r="F97" s="1" t="s">
        <v>118</v>
      </c>
    </row>
    <row r="98">
      <c r="A98" s="1" t="s">
        <v>2514</v>
      </c>
      <c r="B98" s="1" t="s">
        <v>272</v>
      </c>
      <c r="C98" s="1" t="s">
        <v>2515</v>
      </c>
      <c r="D98" s="2">
        <f>+251953749290</f>
        <v>251953749290</v>
      </c>
      <c r="E98" s="1" t="s">
        <v>33</v>
      </c>
      <c r="F98" s="1" t="s">
        <v>177</v>
      </c>
    </row>
    <row r="99">
      <c r="A99" s="1" t="s">
        <v>2517</v>
      </c>
      <c r="B99" s="1" t="s">
        <v>1977</v>
      </c>
      <c r="C99" s="1" t="s">
        <v>2518</v>
      </c>
      <c r="D99" s="2">
        <f>+251943543673</f>
        <v>251943543673</v>
      </c>
      <c r="E99" s="1" t="s">
        <v>33</v>
      </c>
      <c r="F99" s="1" t="s">
        <v>76</v>
      </c>
    </row>
    <row r="100">
      <c r="A100" s="1" t="s">
        <v>2521</v>
      </c>
      <c r="B100" s="1" t="s">
        <v>2522</v>
      </c>
      <c r="C100" s="1" t="s">
        <v>963</v>
      </c>
      <c r="D100" s="2">
        <f>+251942863913</f>
        <v>251942863913</v>
      </c>
      <c r="E100" s="1" t="s">
        <v>33</v>
      </c>
      <c r="F100" s="1" t="s">
        <v>65</v>
      </c>
    </row>
    <row r="101">
      <c r="A101" s="1" t="s">
        <v>2524</v>
      </c>
      <c r="B101" s="1" t="s">
        <v>503</v>
      </c>
      <c r="C101" s="1" t="s">
        <v>195</v>
      </c>
      <c r="D101" s="2">
        <f>+251912892969</f>
        <v>251912892969</v>
      </c>
      <c r="E101" s="1" t="s">
        <v>33</v>
      </c>
      <c r="F101" s="1" t="s">
        <v>65</v>
      </c>
    </row>
    <row r="102">
      <c r="A102" s="1" t="s">
        <v>2535</v>
      </c>
      <c r="B102" s="1" t="s">
        <v>1675</v>
      </c>
      <c r="C102" s="1" t="s">
        <v>2536</v>
      </c>
      <c r="D102" s="2">
        <f>+251949293693</f>
        <v>251949293693</v>
      </c>
      <c r="E102" s="1" t="s">
        <v>33</v>
      </c>
      <c r="F102" s="1" t="s">
        <v>65</v>
      </c>
    </row>
    <row r="103">
      <c r="A103" s="1" t="s">
        <v>2537</v>
      </c>
      <c r="B103" s="1" t="s">
        <v>527</v>
      </c>
      <c r="C103" s="1" t="s">
        <v>2538</v>
      </c>
      <c r="D103" s="2">
        <f>+251964189321</f>
        <v>251964189321</v>
      </c>
      <c r="E103" s="1" t="s">
        <v>33</v>
      </c>
      <c r="F103" s="1" t="s">
        <v>76</v>
      </c>
    </row>
    <row r="104">
      <c r="A104" s="1" t="s">
        <v>2546</v>
      </c>
      <c r="B104" s="1" t="s">
        <v>1570</v>
      </c>
      <c r="C104" s="1" t="s">
        <v>292</v>
      </c>
      <c r="D104" s="2">
        <f>+251912335700</f>
        <v>251912335700</v>
      </c>
      <c r="E104" s="1" t="s">
        <v>33</v>
      </c>
      <c r="F104" s="1" t="s">
        <v>76</v>
      </c>
    </row>
    <row r="105">
      <c r="A105" s="1" t="s">
        <v>2556</v>
      </c>
      <c r="B105" s="1" t="s">
        <v>2557</v>
      </c>
      <c r="C105" s="1" t="s">
        <v>121</v>
      </c>
      <c r="D105" s="2">
        <f>+251920381982</f>
        <v>251920381982</v>
      </c>
      <c r="E105" s="1" t="s">
        <v>33</v>
      </c>
      <c r="F105" s="1" t="s">
        <v>166</v>
      </c>
    </row>
    <row r="106">
      <c r="A106" s="1" t="s">
        <v>2559</v>
      </c>
      <c r="B106" s="1" t="s">
        <v>483</v>
      </c>
      <c r="C106" s="1" t="s">
        <v>2498</v>
      </c>
      <c r="D106" s="2">
        <f>+251983023286</f>
        <v>251983023286</v>
      </c>
      <c r="E106" s="1" t="s">
        <v>33</v>
      </c>
      <c r="F106" s="1" t="s">
        <v>118</v>
      </c>
    </row>
    <row r="107">
      <c r="A107" s="1" t="s">
        <v>2560</v>
      </c>
      <c r="B107" s="1" t="s">
        <v>2497</v>
      </c>
      <c r="C107" s="1" t="s">
        <v>2498</v>
      </c>
      <c r="D107" s="2">
        <f>+251960465480</f>
        <v>251960465480</v>
      </c>
      <c r="E107" s="1" t="s">
        <v>33</v>
      </c>
      <c r="F107" s="1" t="s">
        <v>34</v>
      </c>
    </row>
    <row r="108">
      <c r="A108" s="1" t="s">
        <v>2569</v>
      </c>
      <c r="B108" s="1" t="s">
        <v>539</v>
      </c>
      <c r="C108" s="1" t="s">
        <v>2570</v>
      </c>
      <c r="D108" s="2">
        <f>+251910828480</f>
        <v>251910828480</v>
      </c>
      <c r="E108" s="1" t="s">
        <v>33</v>
      </c>
      <c r="F108" s="1" t="s">
        <v>65</v>
      </c>
    </row>
    <row r="109">
      <c r="A109" s="1" t="s">
        <v>2576</v>
      </c>
      <c r="B109" s="1" t="s">
        <v>2577</v>
      </c>
      <c r="C109" s="1" t="s">
        <v>176</v>
      </c>
      <c r="D109" s="2">
        <f>+251915264231</f>
        <v>251915264231</v>
      </c>
      <c r="E109" s="1" t="s">
        <v>33</v>
      </c>
      <c r="F109" s="1" t="s">
        <v>76</v>
      </c>
    </row>
    <row r="110">
      <c r="A110" s="1" t="s">
        <v>2580</v>
      </c>
      <c r="B110" s="1" t="s">
        <v>2581</v>
      </c>
      <c r="C110" s="1" t="s">
        <v>956</v>
      </c>
      <c r="D110" s="2">
        <f>+251911635548</f>
        <v>251911635548</v>
      </c>
      <c r="E110" s="1" t="s">
        <v>33</v>
      </c>
      <c r="F110" s="1" t="s">
        <v>34</v>
      </c>
    </row>
    <row r="111">
      <c r="A111" s="1" t="s">
        <v>2599</v>
      </c>
      <c r="B111" s="1" t="s">
        <v>2600</v>
      </c>
      <c r="C111" s="1" t="s">
        <v>2601</v>
      </c>
      <c r="D111" s="2">
        <f>+251914485187</f>
        <v>251914485187</v>
      </c>
      <c r="E111" s="1" t="s">
        <v>33</v>
      </c>
      <c r="F111" s="1" t="s">
        <v>177</v>
      </c>
    </row>
    <row r="112">
      <c r="A112" s="1" t="s">
        <v>2629</v>
      </c>
      <c r="B112" s="1" t="s">
        <v>1899</v>
      </c>
      <c r="C112" s="1" t="s">
        <v>1874</v>
      </c>
      <c r="D112" s="2">
        <f>+251911834575</f>
        <v>251911834575</v>
      </c>
      <c r="E112" s="1" t="s">
        <v>33</v>
      </c>
      <c r="F112" s="1" t="s">
        <v>65</v>
      </c>
    </row>
    <row r="113">
      <c r="A113" s="1" t="s">
        <v>2637</v>
      </c>
      <c r="B113" s="1" t="s">
        <v>157</v>
      </c>
      <c r="C113" s="1" t="s">
        <v>213</v>
      </c>
      <c r="D113" s="2">
        <f>+251939718407</f>
        <v>251939718407</v>
      </c>
      <c r="E113" s="1" t="s">
        <v>33</v>
      </c>
      <c r="F113" s="1" t="s">
        <v>65</v>
      </c>
    </row>
    <row r="114">
      <c r="A114" s="5" t="s">
        <v>2640</v>
      </c>
      <c r="B114" s="5" t="s">
        <v>2641</v>
      </c>
      <c r="C114" s="5" t="s">
        <v>2642</v>
      </c>
      <c r="D114" s="6">
        <f>+251982225404</f>
        <v>251982225404</v>
      </c>
      <c r="E114" s="5" t="s">
        <v>33</v>
      </c>
      <c r="F114" s="5" t="s">
        <v>76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1" t="s">
        <v>2648</v>
      </c>
      <c r="B115" s="1" t="s">
        <v>1069</v>
      </c>
      <c r="C115" s="1" t="s">
        <v>2649</v>
      </c>
      <c r="D115" s="2">
        <f>+251919564409</f>
        <v>251919564409</v>
      </c>
      <c r="E115" s="1" t="s">
        <v>33</v>
      </c>
      <c r="F115" s="1" t="s">
        <v>235</v>
      </c>
    </row>
    <row r="116">
      <c r="A116" s="1" t="s">
        <v>2650</v>
      </c>
      <c r="B116" s="1" t="s">
        <v>2651</v>
      </c>
      <c r="C116" s="1" t="s">
        <v>437</v>
      </c>
      <c r="D116" s="2">
        <f>+251948884449</f>
        <v>251948884449</v>
      </c>
      <c r="E116" s="1" t="s">
        <v>33</v>
      </c>
      <c r="F116" s="1" t="s">
        <v>76</v>
      </c>
    </row>
    <row r="117">
      <c r="A117" s="1" t="s">
        <v>2655</v>
      </c>
      <c r="B117" s="1" t="s">
        <v>2656</v>
      </c>
      <c r="C117" s="1" t="s">
        <v>2657</v>
      </c>
      <c r="D117" s="2">
        <f>+251915840162</f>
        <v>251915840162</v>
      </c>
      <c r="E117" s="1" t="s">
        <v>33</v>
      </c>
      <c r="F117" s="1" t="s">
        <v>76</v>
      </c>
    </row>
    <row r="118">
      <c r="A118" s="1" t="s">
        <v>2663</v>
      </c>
      <c r="B118" s="1" t="s">
        <v>2429</v>
      </c>
      <c r="C118" s="1" t="s">
        <v>2664</v>
      </c>
      <c r="D118" s="2">
        <f>+251988533310</f>
        <v>251988533310</v>
      </c>
      <c r="E118" s="1" t="s">
        <v>33</v>
      </c>
      <c r="F118" s="1" t="s">
        <v>76</v>
      </c>
    </row>
    <row r="119">
      <c r="A119" s="1" t="s">
        <v>2673</v>
      </c>
      <c r="B119" s="1" t="s">
        <v>60</v>
      </c>
      <c r="C119" s="1" t="s">
        <v>2674</v>
      </c>
      <c r="D119" s="2">
        <f>+251962246363</f>
        <v>251962246363</v>
      </c>
      <c r="E119" s="1" t="s">
        <v>33</v>
      </c>
      <c r="F119" s="1" t="s">
        <v>34</v>
      </c>
    </row>
    <row r="120">
      <c r="A120" s="1" t="s">
        <v>2676</v>
      </c>
      <c r="B120" s="1" t="s">
        <v>500</v>
      </c>
      <c r="C120" s="1" t="s">
        <v>2677</v>
      </c>
      <c r="D120" s="2">
        <f>+251917974820</f>
        <v>251917974820</v>
      </c>
      <c r="E120" s="1" t="s">
        <v>33</v>
      </c>
      <c r="F120" s="1" t="s">
        <v>118</v>
      </c>
    </row>
    <row r="121">
      <c r="A121" s="1" t="s">
        <v>2678</v>
      </c>
      <c r="B121" s="1" t="s">
        <v>901</v>
      </c>
      <c r="C121" s="1" t="s">
        <v>417</v>
      </c>
      <c r="D121" s="2">
        <f>+251933308861</f>
        <v>251933308861</v>
      </c>
      <c r="E121" s="1" t="s">
        <v>33</v>
      </c>
      <c r="F121" s="1" t="s">
        <v>34</v>
      </c>
    </row>
    <row r="122">
      <c r="A122" s="1" t="s">
        <v>2679</v>
      </c>
      <c r="B122" s="1" t="s">
        <v>154</v>
      </c>
      <c r="C122" s="1" t="s">
        <v>1059</v>
      </c>
      <c r="D122" s="2">
        <f>+251993359561</f>
        <v>251993359561</v>
      </c>
      <c r="E122" s="1" t="s">
        <v>33</v>
      </c>
      <c r="F122" s="1" t="s">
        <v>118</v>
      </c>
    </row>
    <row r="123">
      <c r="A123" s="1" t="s">
        <v>2685</v>
      </c>
      <c r="B123" s="1" t="s">
        <v>944</v>
      </c>
      <c r="C123" s="1" t="s">
        <v>510</v>
      </c>
      <c r="D123" s="2">
        <f>+251918589810</f>
        <v>251918589810</v>
      </c>
      <c r="E123" s="1" t="s">
        <v>33</v>
      </c>
      <c r="F123" s="1" t="s">
        <v>34</v>
      </c>
    </row>
    <row r="124">
      <c r="A124" s="1" t="s">
        <v>2694</v>
      </c>
      <c r="B124" s="1" t="s">
        <v>756</v>
      </c>
      <c r="C124" s="1" t="s">
        <v>600</v>
      </c>
      <c r="D124" s="2">
        <f>+251973339590</f>
        <v>251973339590</v>
      </c>
      <c r="E124" s="1" t="s">
        <v>33</v>
      </c>
      <c r="F124" s="1" t="s">
        <v>76</v>
      </c>
    </row>
    <row r="125">
      <c r="A125" s="1" t="s">
        <v>2707</v>
      </c>
      <c r="B125" s="1" t="s">
        <v>1376</v>
      </c>
      <c r="C125" s="1" t="s">
        <v>255</v>
      </c>
      <c r="D125" s="2">
        <f>+251954931710</f>
        <v>251954931710</v>
      </c>
      <c r="E125" s="1" t="s">
        <v>33</v>
      </c>
      <c r="F125" s="1" t="s">
        <v>34</v>
      </c>
    </row>
    <row r="126">
      <c r="A126" s="1" t="s">
        <v>2719</v>
      </c>
      <c r="B126" s="1" t="s">
        <v>2068</v>
      </c>
      <c r="C126" s="1" t="s">
        <v>455</v>
      </c>
      <c r="D126" s="2">
        <f>+251966823121</f>
        <v>251966823121</v>
      </c>
      <c r="E126" s="1" t="s">
        <v>33</v>
      </c>
      <c r="F126" s="1" t="s">
        <v>118</v>
      </c>
    </row>
    <row r="127">
      <c r="A127" s="1" t="s">
        <v>2733</v>
      </c>
      <c r="B127" s="1" t="s">
        <v>2734</v>
      </c>
      <c r="C127" s="1" t="s">
        <v>2735</v>
      </c>
      <c r="D127" s="2">
        <f>+251914387376</f>
        <v>251914387376</v>
      </c>
      <c r="E127" s="1" t="s">
        <v>33</v>
      </c>
      <c r="F127" s="1" t="s">
        <v>65</v>
      </c>
    </row>
    <row r="128">
      <c r="A128" s="1" t="s">
        <v>2749</v>
      </c>
      <c r="B128" s="1" t="s">
        <v>2750</v>
      </c>
      <c r="C128" s="1" t="s">
        <v>1326</v>
      </c>
      <c r="D128" s="2">
        <f>+251943781540</f>
        <v>251943781540</v>
      </c>
      <c r="E128" s="1" t="s">
        <v>33</v>
      </c>
      <c r="F128" s="1" t="s">
        <v>166</v>
      </c>
    </row>
    <row r="129">
      <c r="A129" s="1" t="s">
        <v>2754</v>
      </c>
      <c r="B129" s="1" t="s">
        <v>2755</v>
      </c>
      <c r="C129" s="1" t="s">
        <v>1267</v>
      </c>
      <c r="D129" s="1">
        <v>9.66228918E8</v>
      </c>
      <c r="E129" s="1" t="s">
        <v>33</v>
      </c>
      <c r="F129" s="1" t="s">
        <v>76</v>
      </c>
    </row>
    <row r="130">
      <c r="A130" s="1" t="s">
        <v>2756</v>
      </c>
      <c r="B130" s="1" t="s">
        <v>2757</v>
      </c>
      <c r="C130" s="1" t="s">
        <v>2242</v>
      </c>
      <c r="D130" s="2">
        <f>+251937808100</f>
        <v>251937808100</v>
      </c>
      <c r="E130" s="1" t="s">
        <v>33</v>
      </c>
      <c r="F130" s="1" t="s">
        <v>34</v>
      </c>
    </row>
    <row r="131">
      <c r="A131" s="1" t="s">
        <v>2761</v>
      </c>
      <c r="B131" s="1" t="s">
        <v>758</v>
      </c>
      <c r="C131" s="1" t="s">
        <v>2762</v>
      </c>
      <c r="D131" s="2">
        <f>+251929675645</f>
        <v>251929675645</v>
      </c>
      <c r="E131" s="1" t="s">
        <v>33</v>
      </c>
      <c r="F131" s="1" t="s">
        <v>118</v>
      </c>
    </row>
    <row r="132">
      <c r="A132" s="1" t="s">
        <v>2768</v>
      </c>
      <c r="B132" s="1" t="s">
        <v>1590</v>
      </c>
      <c r="C132" s="1" t="s">
        <v>96</v>
      </c>
      <c r="D132" s="1">
        <v>9.12125596E8</v>
      </c>
      <c r="E132" s="1" t="s">
        <v>33</v>
      </c>
      <c r="F132" s="1" t="s">
        <v>235</v>
      </c>
    </row>
    <row r="133">
      <c r="A133" s="1" t="s">
        <v>2785</v>
      </c>
      <c r="B133" s="1" t="s">
        <v>2786</v>
      </c>
      <c r="C133" s="1" t="s">
        <v>2787</v>
      </c>
      <c r="D133" s="2">
        <f>+12533848478</f>
        <v>12533848478</v>
      </c>
      <c r="E133" s="1" t="s">
        <v>33</v>
      </c>
      <c r="F133" s="1" t="s">
        <v>65</v>
      </c>
    </row>
    <row r="134">
      <c r="A134" s="1" t="s">
        <v>2793</v>
      </c>
      <c r="B134" s="1" t="s">
        <v>1323</v>
      </c>
      <c r="C134" s="1" t="s">
        <v>375</v>
      </c>
      <c r="D134" s="2">
        <f>+251954926213</f>
        <v>251954926213</v>
      </c>
      <c r="E134" s="1" t="s">
        <v>33</v>
      </c>
      <c r="F134" s="1" t="s">
        <v>34</v>
      </c>
    </row>
    <row r="135">
      <c r="A135" s="1" t="s">
        <v>2806</v>
      </c>
      <c r="B135" s="1" t="s">
        <v>2807</v>
      </c>
      <c r="C135" s="1" t="s">
        <v>2808</v>
      </c>
      <c r="D135" s="2">
        <f>+601169880785</f>
        <v>601169880785</v>
      </c>
      <c r="E135" s="1" t="s">
        <v>33</v>
      </c>
      <c r="F135" s="1" t="s">
        <v>34</v>
      </c>
    </row>
    <row r="136">
      <c r="A136" s="1" t="s">
        <v>2821</v>
      </c>
      <c r="B136" s="1" t="s">
        <v>2822</v>
      </c>
      <c r="C136" s="1" t="s">
        <v>2823</v>
      </c>
      <c r="D136" s="2">
        <f>+251910361812</f>
        <v>251910361812</v>
      </c>
      <c r="E136" s="1" t="s">
        <v>33</v>
      </c>
      <c r="F136" s="1" t="s">
        <v>65</v>
      </c>
    </row>
    <row r="137">
      <c r="A137" s="1" t="s">
        <v>2824</v>
      </c>
      <c r="B137" s="1" t="s">
        <v>2825</v>
      </c>
      <c r="C137" s="1" t="s">
        <v>2825</v>
      </c>
      <c r="D137" s="1">
        <v>9.11705843E8</v>
      </c>
      <c r="E137" s="1" t="s">
        <v>33</v>
      </c>
      <c r="F137" s="1" t="s">
        <v>34</v>
      </c>
    </row>
    <row r="138">
      <c r="A138" s="1" t="s">
        <v>2832</v>
      </c>
      <c r="B138" s="1" t="s">
        <v>2822</v>
      </c>
      <c r="C138" s="1" t="s">
        <v>2823</v>
      </c>
      <c r="D138" s="2">
        <f>+251921155704</f>
        <v>251921155704</v>
      </c>
      <c r="E138" s="1" t="s">
        <v>33</v>
      </c>
      <c r="F138" s="1" t="s">
        <v>65</v>
      </c>
    </row>
    <row r="139">
      <c r="A139" s="1" t="s">
        <v>2836</v>
      </c>
      <c r="B139" s="1" t="s">
        <v>28</v>
      </c>
      <c r="C139" s="1" t="s">
        <v>2837</v>
      </c>
      <c r="D139" s="2">
        <f>+251910804197</f>
        <v>251910804197</v>
      </c>
      <c r="E139" s="1" t="s">
        <v>33</v>
      </c>
      <c r="F139" s="1" t="s">
        <v>118</v>
      </c>
    </row>
    <row r="140">
      <c r="A140" s="1" t="s">
        <v>2862</v>
      </c>
      <c r="B140" s="1" t="s">
        <v>2863</v>
      </c>
      <c r="C140" s="1" t="s">
        <v>1544</v>
      </c>
      <c r="D140" s="2">
        <f>+251922850480</f>
        <v>251922850480</v>
      </c>
      <c r="E140" s="1" t="s">
        <v>33</v>
      </c>
      <c r="F140" s="1" t="s">
        <v>65</v>
      </c>
    </row>
    <row r="141">
      <c r="A141" s="1" t="s">
        <v>2870</v>
      </c>
      <c r="B141" s="1" t="s">
        <v>1897</v>
      </c>
      <c r="C141" s="1" t="s">
        <v>2871</v>
      </c>
      <c r="D141" s="2">
        <f>+251985401208</f>
        <v>251985401208</v>
      </c>
      <c r="E141" s="1" t="s">
        <v>33</v>
      </c>
      <c r="F141" s="1" t="s">
        <v>76</v>
      </c>
    </row>
    <row r="142">
      <c r="A142" s="1" t="s">
        <v>2884</v>
      </c>
      <c r="B142" s="1" t="s">
        <v>2885</v>
      </c>
      <c r="C142" s="1" t="s">
        <v>2886</v>
      </c>
      <c r="D142" s="2">
        <f>+251949649136</f>
        <v>251949649136</v>
      </c>
      <c r="E142" s="1" t="s">
        <v>33</v>
      </c>
      <c r="F142" s="1" t="s">
        <v>65</v>
      </c>
    </row>
    <row r="143">
      <c r="A143" s="1" t="s">
        <v>2891</v>
      </c>
      <c r="B143" s="1" t="s">
        <v>2892</v>
      </c>
      <c r="C143" s="1" t="s">
        <v>2893</v>
      </c>
      <c r="D143" s="2">
        <f>+251994494610</f>
        <v>251994494610</v>
      </c>
      <c r="E143" s="1" t="s">
        <v>33</v>
      </c>
      <c r="F143" s="1" t="s">
        <v>177</v>
      </c>
    </row>
    <row r="144">
      <c r="A144" s="1" t="s">
        <v>2897</v>
      </c>
      <c r="B144" s="1" t="s">
        <v>865</v>
      </c>
      <c r="C144" s="1" t="s">
        <v>2898</v>
      </c>
      <c r="D144" s="2">
        <f>+251911093701</f>
        <v>251911093701</v>
      </c>
      <c r="E144" s="1" t="s">
        <v>33</v>
      </c>
      <c r="F144" s="1" t="s">
        <v>65</v>
      </c>
    </row>
    <row r="145">
      <c r="A145" s="1" t="s">
        <v>2900</v>
      </c>
      <c r="B145" s="1" t="s">
        <v>67</v>
      </c>
      <c r="C145" s="1" t="s">
        <v>963</v>
      </c>
      <c r="D145" s="2">
        <f>+251953589306</f>
        <v>251953589306</v>
      </c>
      <c r="E145" s="1" t="s">
        <v>33</v>
      </c>
      <c r="F145" s="1" t="s">
        <v>65</v>
      </c>
    </row>
    <row r="146">
      <c r="A146" s="1" t="s">
        <v>2906</v>
      </c>
      <c r="B146" s="1" t="s">
        <v>2907</v>
      </c>
      <c r="C146" s="1" t="s">
        <v>2105</v>
      </c>
      <c r="D146" s="2">
        <f>+251975798523</f>
        <v>251975798523</v>
      </c>
      <c r="E146" s="1" t="s">
        <v>33</v>
      </c>
      <c r="F146" s="1" t="s">
        <v>65</v>
      </c>
    </row>
    <row r="147">
      <c r="A147" s="1" t="s">
        <v>2912</v>
      </c>
      <c r="B147" s="1" t="s">
        <v>2913</v>
      </c>
      <c r="C147" s="1" t="s">
        <v>2914</v>
      </c>
      <c r="D147" s="1">
        <v>9.15049522E8</v>
      </c>
      <c r="E147" s="1" t="s">
        <v>33</v>
      </c>
      <c r="F147" s="1" t="s">
        <v>177</v>
      </c>
    </row>
    <row r="148">
      <c r="A148" s="1" t="s">
        <v>2916</v>
      </c>
      <c r="B148" s="1" t="s">
        <v>753</v>
      </c>
      <c r="C148" s="1" t="s">
        <v>422</v>
      </c>
      <c r="D148" s="2">
        <f>+251931387445</f>
        <v>251931387445</v>
      </c>
      <c r="E148" s="1" t="s">
        <v>33</v>
      </c>
      <c r="F148" s="1" t="s">
        <v>166</v>
      </c>
    </row>
    <row r="149">
      <c r="A149" s="1" t="s">
        <v>2920</v>
      </c>
      <c r="B149" s="1" t="s">
        <v>618</v>
      </c>
      <c r="C149" s="1" t="s">
        <v>1107</v>
      </c>
      <c r="D149" s="1">
        <v>9.22757957E8</v>
      </c>
      <c r="E149" s="1" t="s">
        <v>33</v>
      </c>
      <c r="F149" s="1" t="s">
        <v>65</v>
      </c>
    </row>
    <row r="150">
      <c r="A150" s="1" t="s">
        <v>2921</v>
      </c>
      <c r="B150" s="1" t="s">
        <v>2922</v>
      </c>
      <c r="C150" s="1" t="s">
        <v>2923</v>
      </c>
      <c r="D150" s="2">
        <f>+251968263680</f>
        <v>251968263680</v>
      </c>
      <c r="E150" s="1" t="s">
        <v>33</v>
      </c>
      <c r="F150" s="1" t="s">
        <v>65</v>
      </c>
    </row>
    <row r="151">
      <c r="A151" s="1" t="s">
        <v>2926</v>
      </c>
      <c r="B151" s="1" t="s">
        <v>2927</v>
      </c>
      <c r="C151" s="1" t="s">
        <v>2928</v>
      </c>
      <c r="D151" s="2">
        <f>+251918941460</f>
        <v>251918941460</v>
      </c>
      <c r="E151" s="1" t="s">
        <v>33</v>
      </c>
      <c r="F151" s="1" t="s">
        <v>118</v>
      </c>
    </row>
    <row r="152">
      <c r="A152" s="1" t="s">
        <v>2939</v>
      </c>
      <c r="B152" s="1" t="s">
        <v>2160</v>
      </c>
      <c r="C152" s="1" t="s">
        <v>292</v>
      </c>
      <c r="D152" s="2">
        <f>+251941244259</f>
        <v>251941244259</v>
      </c>
      <c r="E152" s="1" t="s">
        <v>33</v>
      </c>
      <c r="F152" s="1" t="s">
        <v>34</v>
      </c>
    </row>
    <row r="153">
      <c r="A153" s="1" t="s">
        <v>2940</v>
      </c>
      <c r="B153" s="1" t="s">
        <v>1254</v>
      </c>
      <c r="C153" s="1" t="s">
        <v>2941</v>
      </c>
      <c r="D153" s="2">
        <f>+251923736816</f>
        <v>251923736816</v>
      </c>
      <c r="E153" s="1" t="s">
        <v>33</v>
      </c>
      <c r="F153" s="1" t="s">
        <v>34</v>
      </c>
    </row>
    <row r="154">
      <c r="A154" s="1" t="s">
        <v>2957</v>
      </c>
      <c r="B154" s="1" t="s">
        <v>2160</v>
      </c>
      <c r="C154" s="1" t="s">
        <v>2958</v>
      </c>
      <c r="D154" s="2">
        <f>+251944494970</f>
        <v>251944494970</v>
      </c>
      <c r="E154" s="1" t="s">
        <v>33</v>
      </c>
      <c r="F154" s="1" t="s">
        <v>65</v>
      </c>
    </row>
    <row r="155">
      <c r="A155" s="1" t="s">
        <v>2969</v>
      </c>
      <c r="B155" s="1" t="s">
        <v>448</v>
      </c>
      <c r="C155" s="1" t="s">
        <v>959</v>
      </c>
      <c r="D155" s="2">
        <f>+251963429000</f>
        <v>251963429000</v>
      </c>
      <c r="E155" s="1" t="s">
        <v>33</v>
      </c>
      <c r="F155" s="1" t="s">
        <v>76</v>
      </c>
    </row>
    <row r="156">
      <c r="A156" s="1" t="s">
        <v>2970</v>
      </c>
      <c r="B156" s="1" t="s">
        <v>286</v>
      </c>
      <c r="C156" s="1" t="s">
        <v>2971</v>
      </c>
      <c r="D156" s="2">
        <f>+251994150954</f>
        <v>251994150954</v>
      </c>
      <c r="E156" s="1" t="s">
        <v>33</v>
      </c>
      <c r="F156" s="1" t="s">
        <v>166</v>
      </c>
    </row>
    <row r="157">
      <c r="A157" s="1" t="s">
        <v>2973</v>
      </c>
      <c r="B157" s="1" t="s">
        <v>1950</v>
      </c>
      <c r="C157" s="1" t="s">
        <v>484</v>
      </c>
      <c r="D157" s="2">
        <f>+251976130020</f>
        <v>251976130020</v>
      </c>
      <c r="E157" s="1" t="s">
        <v>33</v>
      </c>
      <c r="F157" s="1" t="s">
        <v>65</v>
      </c>
    </row>
    <row r="158">
      <c r="A158" s="1" t="s">
        <v>2980</v>
      </c>
      <c r="B158" s="1" t="s">
        <v>750</v>
      </c>
      <c r="C158" s="1" t="s">
        <v>862</v>
      </c>
      <c r="D158" s="1">
        <v>9.33695064E8</v>
      </c>
      <c r="E158" s="1" t="s">
        <v>33</v>
      </c>
      <c r="F158" s="1" t="s">
        <v>118</v>
      </c>
    </row>
    <row r="159">
      <c r="A159" s="1" t="s">
        <v>2994</v>
      </c>
      <c r="B159" s="1" t="s">
        <v>2995</v>
      </c>
      <c r="C159" s="1" t="s">
        <v>2996</v>
      </c>
      <c r="D159" s="2">
        <f>+251952212594</f>
        <v>251952212594</v>
      </c>
      <c r="E159" s="1" t="s">
        <v>33</v>
      </c>
      <c r="F159" s="1" t="s">
        <v>34</v>
      </c>
    </row>
    <row r="160">
      <c r="A160" s="1" t="s">
        <v>2999</v>
      </c>
      <c r="B160" s="1" t="s">
        <v>1144</v>
      </c>
      <c r="C160" s="1" t="s">
        <v>333</v>
      </c>
      <c r="D160" s="2">
        <f>+251919205443</f>
        <v>251919205443</v>
      </c>
      <c r="E160" s="1" t="s">
        <v>33</v>
      </c>
      <c r="F160" s="1" t="s">
        <v>34</v>
      </c>
    </row>
    <row r="161">
      <c r="A161" s="1" t="s">
        <v>3000</v>
      </c>
      <c r="B161" s="1" t="s">
        <v>3001</v>
      </c>
      <c r="C161" s="1" t="s">
        <v>820</v>
      </c>
      <c r="D161" s="2">
        <f>+251968054186</f>
        <v>251968054186</v>
      </c>
      <c r="E161" s="1" t="s">
        <v>33</v>
      </c>
      <c r="F161" s="1" t="s">
        <v>65</v>
      </c>
    </row>
    <row r="162">
      <c r="A162" s="1" t="s">
        <v>3005</v>
      </c>
      <c r="B162" s="1" t="s">
        <v>2210</v>
      </c>
      <c r="C162" s="1" t="s">
        <v>3006</v>
      </c>
      <c r="D162" s="2">
        <f>+251912656738</f>
        <v>251912656738</v>
      </c>
      <c r="E162" s="1" t="s">
        <v>33</v>
      </c>
      <c r="F162" s="1" t="s">
        <v>166</v>
      </c>
    </row>
    <row r="163">
      <c r="A163" s="1" t="s">
        <v>3009</v>
      </c>
      <c r="B163" s="1" t="s">
        <v>956</v>
      </c>
      <c r="C163" s="1" t="s">
        <v>3010</v>
      </c>
      <c r="D163" s="2">
        <f>+251947378248</f>
        <v>251947378248</v>
      </c>
      <c r="E163" s="1" t="s">
        <v>33</v>
      </c>
      <c r="F163" s="1" t="s">
        <v>177</v>
      </c>
    </row>
    <row r="164">
      <c r="A164" s="5" t="s">
        <v>3012</v>
      </c>
      <c r="B164" s="5" t="s">
        <v>60</v>
      </c>
      <c r="C164" s="5" t="s">
        <v>3013</v>
      </c>
      <c r="D164" s="6">
        <f>+251937513956</f>
        <v>251937513956</v>
      </c>
      <c r="E164" s="5" t="s">
        <v>33</v>
      </c>
      <c r="F164" s="5" t="s">
        <v>166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1" t="s">
        <v>3016</v>
      </c>
      <c r="B165" s="1" t="s">
        <v>3017</v>
      </c>
      <c r="C165" s="1" t="s">
        <v>102</v>
      </c>
      <c r="D165" s="2">
        <f>+251901967169</f>
        <v>251901967169</v>
      </c>
      <c r="E165" s="1" t="s">
        <v>33</v>
      </c>
      <c r="F165" s="1" t="s">
        <v>65</v>
      </c>
    </row>
    <row r="166">
      <c r="A166" s="1" t="s">
        <v>3018</v>
      </c>
      <c r="B166" s="1" t="s">
        <v>1385</v>
      </c>
      <c r="C166" s="1" t="s">
        <v>3019</v>
      </c>
      <c r="D166" s="2">
        <f>+251913091983</f>
        <v>251913091983</v>
      </c>
      <c r="E166" s="1" t="s">
        <v>33</v>
      </c>
      <c r="F166" s="1" t="s">
        <v>118</v>
      </c>
    </row>
    <row r="167">
      <c r="A167" s="1" t="s">
        <v>3034</v>
      </c>
      <c r="B167" s="1" t="s">
        <v>146</v>
      </c>
      <c r="C167" s="1" t="s">
        <v>375</v>
      </c>
      <c r="D167" s="2">
        <f>+251915887886</f>
        <v>251915887886</v>
      </c>
      <c r="E167" s="1" t="s">
        <v>33</v>
      </c>
      <c r="F167" s="1" t="s">
        <v>65</v>
      </c>
    </row>
    <row r="168">
      <c r="A168" s="1" t="s">
        <v>3051</v>
      </c>
      <c r="B168" s="1" t="s">
        <v>179</v>
      </c>
      <c r="C168" s="1" t="s">
        <v>601</v>
      </c>
      <c r="D168" s="2">
        <f>+251939953005</f>
        <v>251939953005</v>
      </c>
      <c r="E168" s="1" t="s">
        <v>33</v>
      </c>
      <c r="F168" s="1" t="s">
        <v>65</v>
      </c>
    </row>
    <row r="169">
      <c r="A169" s="1" t="s">
        <v>3053</v>
      </c>
      <c r="B169" s="1" t="s">
        <v>480</v>
      </c>
      <c r="C169" s="1" t="s">
        <v>189</v>
      </c>
      <c r="D169" s="2">
        <f>+251967119880</f>
        <v>251967119880</v>
      </c>
      <c r="E169" s="1" t="s">
        <v>33</v>
      </c>
      <c r="F169" s="1" t="s">
        <v>76</v>
      </c>
    </row>
    <row r="170">
      <c r="A170" s="1" t="s">
        <v>1879</v>
      </c>
      <c r="B170" s="1" t="s">
        <v>1880</v>
      </c>
      <c r="C170" s="1" t="s">
        <v>1881</v>
      </c>
      <c r="D170" s="2">
        <f>+251911420552</f>
        <v>251911420552</v>
      </c>
      <c r="E170" s="1" t="s">
        <v>33</v>
      </c>
      <c r="F170" s="1" t="s">
        <v>65</v>
      </c>
    </row>
    <row r="171">
      <c r="A171" s="1" t="s">
        <v>3080</v>
      </c>
      <c r="B171" s="1" t="s">
        <v>3081</v>
      </c>
      <c r="C171" s="1" t="s">
        <v>411</v>
      </c>
      <c r="D171" s="2">
        <f>+251922997120</f>
        <v>251922997120</v>
      </c>
      <c r="E171" s="1" t="s">
        <v>33</v>
      </c>
      <c r="F171" s="1" t="s">
        <v>65</v>
      </c>
    </row>
    <row r="172">
      <c r="A172" s="1" t="s">
        <v>3082</v>
      </c>
      <c r="B172" s="1" t="s">
        <v>47</v>
      </c>
      <c r="C172" s="1" t="s">
        <v>3083</v>
      </c>
      <c r="D172" s="2">
        <f>+251934839921</f>
        <v>251934839921</v>
      </c>
      <c r="E172" s="1" t="s">
        <v>33</v>
      </c>
      <c r="F172" s="1" t="s">
        <v>177</v>
      </c>
    </row>
    <row r="173">
      <c r="A173" s="1" t="s">
        <v>3089</v>
      </c>
      <c r="B173" s="1" t="s">
        <v>1385</v>
      </c>
      <c r="C173" s="1" t="s">
        <v>3019</v>
      </c>
      <c r="D173" s="2">
        <f>+251913091983</f>
        <v>251913091983</v>
      </c>
      <c r="E173" s="1" t="s">
        <v>33</v>
      </c>
      <c r="F173" s="1" t="s">
        <v>65</v>
      </c>
    </row>
    <row r="174">
      <c r="A174" s="1" t="s">
        <v>3095</v>
      </c>
      <c r="B174" s="1" t="s">
        <v>3096</v>
      </c>
      <c r="C174" s="1" t="s">
        <v>3097</v>
      </c>
      <c r="D174" s="2">
        <f>+251916402874</f>
        <v>251916402874</v>
      </c>
      <c r="E174" s="1" t="s">
        <v>33</v>
      </c>
      <c r="F174" s="1" t="s">
        <v>65</v>
      </c>
    </row>
    <row r="175">
      <c r="A175" s="1" t="s">
        <v>3106</v>
      </c>
      <c r="B175" s="1" t="s">
        <v>3107</v>
      </c>
      <c r="C175" s="1" t="s">
        <v>3108</v>
      </c>
      <c r="D175" s="2">
        <f>+251954330866</f>
        <v>251954330866</v>
      </c>
      <c r="E175" s="1" t="s">
        <v>33</v>
      </c>
      <c r="F175" s="1" t="s">
        <v>34</v>
      </c>
    </row>
    <row r="176">
      <c r="A176" s="1" t="s">
        <v>3116</v>
      </c>
      <c r="B176" s="1" t="s">
        <v>3117</v>
      </c>
      <c r="C176" s="1" t="s">
        <v>3118</v>
      </c>
      <c r="D176" s="2">
        <f>+251976319595</f>
        <v>251976319595</v>
      </c>
      <c r="E176" s="1" t="s">
        <v>33</v>
      </c>
      <c r="F176" s="1" t="s">
        <v>34</v>
      </c>
    </row>
    <row r="177">
      <c r="A177" s="1" t="s">
        <v>3119</v>
      </c>
      <c r="B177" s="1" t="s">
        <v>1942</v>
      </c>
      <c r="C177" s="1" t="s">
        <v>3120</v>
      </c>
      <c r="D177" s="2">
        <f>+251911790382</f>
        <v>251911790382</v>
      </c>
      <c r="E177" s="1" t="s">
        <v>33</v>
      </c>
      <c r="F177" s="1" t="s">
        <v>65</v>
      </c>
    </row>
    <row r="178">
      <c r="A178" s="1" t="s">
        <v>3130</v>
      </c>
      <c r="B178" s="1" t="s">
        <v>3131</v>
      </c>
      <c r="C178" s="1" t="s">
        <v>796</v>
      </c>
      <c r="D178" s="1">
        <v>2.51913971614E11</v>
      </c>
      <c r="E178" s="1" t="s">
        <v>33</v>
      </c>
      <c r="F178" s="1" t="s">
        <v>65</v>
      </c>
    </row>
    <row r="179">
      <c r="A179" s="1" t="s">
        <v>3135</v>
      </c>
      <c r="B179" s="1" t="s">
        <v>257</v>
      </c>
      <c r="C179" s="1" t="s">
        <v>171</v>
      </c>
      <c r="D179" s="2">
        <f>+251962394122</f>
        <v>251962394122</v>
      </c>
      <c r="E179" s="1" t="s">
        <v>33</v>
      </c>
      <c r="F179" s="1" t="s">
        <v>65</v>
      </c>
    </row>
    <row r="180">
      <c r="A180" s="1" t="s">
        <v>2181</v>
      </c>
      <c r="B180" s="1" t="s">
        <v>1457</v>
      </c>
      <c r="C180" s="1" t="s">
        <v>375</v>
      </c>
      <c r="D180" s="2">
        <f>+251967614422</f>
        <v>251967614422</v>
      </c>
      <c r="E180" s="1" t="s">
        <v>21</v>
      </c>
    </row>
    <row r="181">
      <c r="A181" s="1" t="s">
        <v>2182</v>
      </c>
      <c r="B181" s="1" t="s">
        <v>2183</v>
      </c>
      <c r="C181" s="1" t="s">
        <v>2184</v>
      </c>
      <c r="D181" s="2">
        <f>+251915152885</f>
        <v>251915152885</v>
      </c>
      <c r="E181" s="1" t="s">
        <v>21</v>
      </c>
    </row>
    <row r="182">
      <c r="A182" s="1" t="s">
        <v>2185</v>
      </c>
      <c r="B182" s="1" t="s">
        <v>264</v>
      </c>
      <c r="C182" s="1" t="s">
        <v>363</v>
      </c>
      <c r="D182" s="2">
        <f>+251984716116</f>
        <v>251984716116</v>
      </c>
      <c r="E182" s="1" t="s">
        <v>21</v>
      </c>
    </row>
    <row r="183">
      <c r="A183" s="1" t="s">
        <v>2186</v>
      </c>
      <c r="B183" s="1" t="s">
        <v>458</v>
      </c>
      <c r="C183" s="1" t="s">
        <v>1296</v>
      </c>
      <c r="D183" s="2">
        <f>+251966357848</f>
        <v>251966357848</v>
      </c>
      <c r="E183" s="1" t="s">
        <v>21</v>
      </c>
    </row>
    <row r="184">
      <c r="A184" s="1" t="s">
        <v>2187</v>
      </c>
      <c r="B184" s="1" t="s">
        <v>2188</v>
      </c>
      <c r="C184" s="1" t="s">
        <v>2189</v>
      </c>
      <c r="D184" s="2">
        <f>+251968536516</f>
        <v>251968536516</v>
      </c>
      <c r="E184" s="1" t="s">
        <v>21</v>
      </c>
    </row>
    <row r="185">
      <c r="A185" s="1" t="s">
        <v>2190</v>
      </c>
      <c r="B185" s="1" t="s">
        <v>2191</v>
      </c>
      <c r="C185" s="1" t="s">
        <v>2192</v>
      </c>
      <c r="D185" s="2">
        <f>+251912051788</f>
        <v>251912051788</v>
      </c>
      <c r="E185" s="1" t="s">
        <v>21</v>
      </c>
    </row>
    <row r="186">
      <c r="A186" s="1" t="s">
        <v>2193</v>
      </c>
      <c r="B186" s="1" t="s">
        <v>184</v>
      </c>
      <c r="C186" s="1" t="s">
        <v>2194</v>
      </c>
      <c r="D186" s="2">
        <f>+251954956062</f>
        <v>251954956062</v>
      </c>
      <c r="E186" s="1" t="s">
        <v>21</v>
      </c>
    </row>
    <row r="187">
      <c r="A187" s="1" t="s">
        <v>2195</v>
      </c>
      <c r="B187" s="1" t="s">
        <v>1069</v>
      </c>
      <c r="C187" s="1" t="s">
        <v>2196</v>
      </c>
      <c r="D187" s="2">
        <f>+251916165420</f>
        <v>251916165420</v>
      </c>
      <c r="E187" s="1" t="s">
        <v>21</v>
      </c>
    </row>
    <row r="188">
      <c r="A188" s="1" t="s">
        <v>2197</v>
      </c>
      <c r="B188" s="1" t="s">
        <v>2198</v>
      </c>
      <c r="C188" s="1" t="s">
        <v>2199</v>
      </c>
      <c r="D188" s="2">
        <f>+251975022266</f>
        <v>251975022266</v>
      </c>
      <c r="E188" s="1" t="s">
        <v>21</v>
      </c>
    </row>
    <row r="189">
      <c r="A189" s="1" t="s">
        <v>2200</v>
      </c>
      <c r="B189" s="1" t="s">
        <v>2201</v>
      </c>
      <c r="C189" s="1" t="s">
        <v>2202</v>
      </c>
      <c r="D189" s="2">
        <f>+251985038373</f>
        <v>251985038373</v>
      </c>
      <c r="E189" s="1" t="s">
        <v>21</v>
      </c>
    </row>
    <row r="190">
      <c r="A190" s="1" t="s">
        <v>2211</v>
      </c>
      <c r="B190" s="1" t="s">
        <v>82</v>
      </c>
      <c r="C190" s="1" t="s">
        <v>2212</v>
      </c>
      <c r="D190" s="2">
        <f>+251989658999</f>
        <v>251989658999</v>
      </c>
      <c r="E190" s="1" t="s">
        <v>21</v>
      </c>
    </row>
    <row r="191">
      <c r="A191" s="1" t="s">
        <v>2213</v>
      </c>
      <c r="B191" s="1" t="s">
        <v>2214</v>
      </c>
      <c r="C191" s="1" t="s">
        <v>2215</v>
      </c>
      <c r="D191" s="2">
        <f>+251911191749</f>
        <v>251911191749</v>
      </c>
      <c r="E191" s="1" t="s">
        <v>21</v>
      </c>
    </row>
    <row r="192">
      <c r="A192" s="1" t="s">
        <v>2216</v>
      </c>
      <c r="B192" s="1" t="s">
        <v>2217</v>
      </c>
      <c r="C192" s="1" t="s">
        <v>2218</v>
      </c>
      <c r="D192" s="2">
        <f>+251911426683</f>
        <v>251911426683</v>
      </c>
      <c r="E192" s="1" t="s">
        <v>21</v>
      </c>
    </row>
    <row r="193">
      <c r="A193" s="1" t="s">
        <v>2222</v>
      </c>
      <c r="B193" s="1" t="s">
        <v>2223</v>
      </c>
      <c r="C193" s="1" t="s">
        <v>996</v>
      </c>
      <c r="D193" s="2">
        <f>+251928398112</f>
        <v>251928398112</v>
      </c>
      <c r="E193" s="1" t="s">
        <v>21</v>
      </c>
    </row>
    <row r="194">
      <c r="A194" s="1" t="s">
        <v>2224</v>
      </c>
      <c r="B194" s="1" t="s">
        <v>255</v>
      </c>
      <c r="C194" s="1" t="s">
        <v>2225</v>
      </c>
      <c r="D194" s="2">
        <f>+251925456843</f>
        <v>251925456843</v>
      </c>
      <c r="E194" s="1" t="s">
        <v>21</v>
      </c>
    </row>
    <row r="195">
      <c r="A195" s="1" t="s">
        <v>2226</v>
      </c>
      <c r="B195" s="1" t="s">
        <v>2227</v>
      </c>
      <c r="C195" s="1" t="s">
        <v>250</v>
      </c>
      <c r="D195" s="2">
        <f>+251911639713</f>
        <v>251911639713</v>
      </c>
      <c r="E195" s="1" t="s">
        <v>21</v>
      </c>
    </row>
    <row r="196">
      <c r="A196" s="1" t="s">
        <v>2230</v>
      </c>
      <c r="B196" s="1" t="s">
        <v>171</v>
      </c>
      <c r="C196" s="1" t="s">
        <v>2231</v>
      </c>
      <c r="D196" s="2">
        <f>+251993481942</f>
        <v>251993481942</v>
      </c>
      <c r="E196" s="1" t="s">
        <v>21</v>
      </c>
    </row>
    <row r="197">
      <c r="A197" s="1" t="s">
        <v>2232</v>
      </c>
      <c r="B197" s="1" t="s">
        <v>771</v>
      </c>
      <c r="C197" s="1" t="s">
        <v>959</v>
      </c>
      <c r="D197" s="2">
        <f>+251911915394</f>
        <v>251911915394</v>
      </c>
      <c r="E197" s="1" t="s">
        <v>21</v>
      </c>
    </row>
    <row r="198">
      <c r="A198" s="1" t="s">
        <v>2233</v>
      </c>
      <c r="B198" s="1" t="s">
        <v>1892</v>
      </c>
      <c r="C198" s="1" t="s">
        <v>333</v>
      </c>
      <c r="D198" s="2">
        <f>+251912421977</f>
        <v>251912421977</v>
      </c>
      <c r="E198" s="1" t="s">
        <v>21</v>
      </c>
    </row>
    <row r="199">
      <c r="A199" s="1" t="s">
        <v>2234</v>
      </c>
      <c r="B199" s="1" t="s">
        <v>696</v>
      </c>
      <c r="C199" s="1" t="s">
        <v>2235</v>
      </c>
      <c r="D199" s="2">
        <f>+251912745604</f>
        <v>251912745604</v>
      </c>
      <c r="E199" s="1" t="s">
        <v>21</v>
      </c>
    </row>
    <row r="200">
      <c r="A200" s="1" t="s">
        <v>2239</v>
      </c>
      <c r="B200" s="1" t="s">
        <v>371</v>
      </c>
      <c r="C200" s="1" t="s">
        <v>2240</v>
      </c>
      <c r="D200" s="2">
        <f>+251911632019</f>
        <v>251911632019</v>
      </c>
      <c r="E200" s="1" t="s">
        <v>21</v>
      </c>
    </row>
    <row r="201">
      <c r="A201" s="1" t="s">
        <v>2241</v>
      </c>
      <c r="B201" s="1" t="s">
        <v>2242</v>
      </c>
      <c r="C201" s="1" t="s">
        <v>2243</v>
      </c>
      <c r="D201" s="2">
        <f>+251945065292</f>
        <v>251945065292</v>
      </c>
      <c r="E201" s="1" t="s">
        <v>21</v>
      </c>
    </row>
    <row r="202">
      <c r="A202" s="1" t="s">
        <v>2244</v>
      </c>
      <c r="B202" s="1" t="s">
        <v>2245</v>
      </c>
      <c r="C202" s="1" t="s">
        <v>2246</v>
      </c>
      <c r="D202" s="1">
        <v>9.40801378E8</v>
      </c>
      <c r="E202" s="1" t="s">
        <v>21</v>
      </c>
    </row>
    <row r="203">
      <c r="A203" s="1" t="s">
        <v>2247</v>
      </c>
      <c r="B203" s="1" t="s">
        <v>2248</v>
      </c>
      <c r="C203" s="1" t="s">
        <v>1167</v>
      </c>
      <c r="D203" s="2">
        <f>+251918724361</f>
        <v>251918724361</v>
      </c>
      <c r="E203" s="1" t="s">
        <v>21</v>
      </c>
    </row>
    <row r="204">
      <c r="A204" s="1" t="s">
        <v>2249</v>
      </c>
      <c r="B204" s="1" t="s">
        <v>157</v>
      </c>
      <c r="C204" s="1" t="s">
        <v>2250</v>
      </c>
      <c r="D204" s="1">
        <v>9.1393818E8</v>
      </c>
      <c r="E204" s="1" t="s">
        <v>21</v>
      </c>
    </row>
    <row r="205">
      <c r="A205" s="1" t="s">
        <v>2251</v>
      </c>
      <c r="B205" s="1" t="s">
        <v>151</v>
      </c>
      <c r="C205" s="1" t="s">
        <v>2252</v>
      </c>
      <c r="D205" s="2">
        <f>+251980645253</f>
        <v>251980645253</v>
      </c>
      <c r="E205" s="1" t="s">
        <v>21</v>
      </c>
    </row>
    <row r="206">
      <c r="A206" s="1" t="s">
        <v>2255</v>
      </c>
      <c r="B206" s="1" t="s">
        <v>758</v>
      </c>
      <c r="C206" s="1" t="s">
        <v>1103</v>
      </c>
      <c r="D206" s="2">
        <f>+251994807311</f>
        <v>251994807311</v>
      </c>
      <c r="E206" s="1" t="s">
        <v>21</v>
      </c>
    </row>
    <row r="207">
      <c r="A207" s="1" t="s">
        <v>2256</v>
      </c>
      <c r="B207" s="1" t="s">
        <v>2257</v>
      </c>
      <c r="C207" s="1" t="s">
        <v>2258</v>
      </c>
      <c r="D207" s="2">
        <f>+251947379059</f>
        <v>251947379059</v>
      </c>
      <c r="E207" s="1" t="s">
        <v>21</v>
      </c>
    </row>
    <row r="208">
      <c r="A208" s="1" t="s">
        <v>2259</v>
      </c>
      <c r="B208" s="1" t="s">
        <v>2260</v>
      </c>
      <c r="C208" s="1" t="s">
        <v>2261</v>
      </c>
      <c r="D208" s="2">
        <f>+251911365884</f>
        <v>251911365884</v>
      </c>
      <c r="E208" s="1" t="s">
        <v>21</v>
      </c>
    </row>
    <row r="209">
      <c r="A209" s="1" t="s">
        <v>2262</v>
      </c>
      <c r="B209" s="1" t="s">
        <v>2263</v>
      </c>
      <c r="C209" s="1" t="s">
        <v>2264</v>
      </c>
      <c r="D209" s="2">
        <f>+251975041777</f>
        <v>251975041777</v>
      </c>
      <c r="E209" s="1" t="s">
        <v>21</v>
      </c>
    </row>
    <row r="210">
      <c r="A210" s="1" t="s">
        <v>2268</v>
      </c>
      <c r="B210" s="1" t="s">
        <v>2269</v>
      </c>
      <c r="C210" s="1" t="s">
        <v>2006</v>
      </c>
      <c r="D210" s="2">
        <f>+251911715238</f>
        <v>251911715238</v>
      </c>
      <c r="E210" s="1" t="s">
        <v>21</v>
      </c>
    </row>
    <row r="211">
      <c r="A211" s="1" t="s">
        <v>2270</v>
      </c>
      <c r="B211" s="1" t="s">
        <v>2271</v>
      </c>
      <c r="C211" s="1" t="s">
        <v>56</v>
      </c>
      <c r="D211" s="2">
        <f>+251938064280</f>
        <v>251938064280</v>
      </c>
      <c r="E211" s="1" t="s">
        <v>21</v>
      </c>
    </row>
    <row r="212">
      <c r="A212" s="1" t="s">
        <v>2274</v>
      </c>
      <c r="B212" s="1" t="s">
        <v>2275</v>
      </c>
      <c r="C212" s="1" t="s">
        <v>880</v>
      </c>
      <c r="D212" s="2">
        <f>+251940636300</f>
        <v>251940636300</v>
      </c>
      <c r="E212" s="1" t="s">
        <v>21</v>
      </c>
    </row>
    <row r="213">
      <c r="A213" s="1" t="s">
        <v>2276</v>
      </c>
      <c r="B213" s="1" t="s">
        <v>2277</v>
      </c>
      <c r="C213" s="1" t="s">
        <v>970</v>
      </c>
      <c r="D213" s="2">
        <f>+251911238780</f>
        <v>251911238780</v>
      </c>
      <c r="E213" s="1" t="s">
        <v>21</v>
      </c>
    </row>
    <row r="214">
      <c r="A214" s="1" t="s">
        <v>2278</v>
      </c>
      <c r="B214" s="1" t="s">
        <v>113</v>
      </c>
      <c r="C214" s="1" t="s">
        <v>996</v>
      </c>
      <c r="D214" s="2">
        <f>+251911570313</f>
        <v>251911570313</v>
      </c>
      <c r="E214" s="1" t="s">
        <v>21</v>
      </c>
    </row>
    <row r="215">
      <c r="A215" s="1" t="s">
        <v>2282</v>
      </c>
      <c r="B215" s="1" t="s">
        <v>2283</v>
      </c>
      <c r="C215" s="1" t="s">
        <v>2284</v>
      </c>
      <c r="D215" s="2">
        <f>+251922783175</f>
        <v>251922783175</v>
      </c>
      <c r="E215" s="1" t="s">
        <v>21</v>
      </c>
    </row>
    <row r="216">
      <c r="A216" s="1" t="s">
        <v>2285</v>
      </c>
      <c r="B216" s="1" t="s">
        <v>2286</v>
      </c>
      <c r="C216" s="1" t="s">
        <v>948</v>
      </c>
      <c r="D216" s="2">
        <f>+251964190417</f>
        <v>251964190417</v>
      </c>
      <c r="E216" s="1" t="s">
        <v>21</v>
      </c>
    </row>
    <row r="217">
      <c r="A217" s="1" t="s">
        <v>2287</v>
      </c>
      <c r="B217" s="1" t="s">
        <v>2288</v>
      </c>
      <c r="C217" s="1" t="s">
        <v>2159</v>
      </c>
      <c r="D217" s="2">
        <f>+251936034050</f>
        <v>251936034050</v>
      </c>
      <c r="E217" s="1" t="s">
        <v>21</v>
      </c>
    </row>
    <row r="218">
      <c r="A218" s="1" t="s">
        <v>2289</v>
      </c>
      <c r="B218" s="1" t="s">
        <v>2290</v>
      </c>
      <c r="C218" s="1" t="s">
        <v>2291</v>
      </c>
      <c r="D218" s="2">
        <f>+251937194133</f>
        <v>251937194133</v>
      </c>
      <c r="E218" s="1" t="s">
        <v>21</v>
      </c>
    </row>
    <row r="219">
      <c r="A219" s="1" t="s">
        <v>2295</v>
      </c>
      <c r="B219" s="1" t="s">
        <v>1069</v>
      </c>
      <c r="C219" s="1" t="s">
        <v>859</v>
      </c>
      <c r="D219" s="2">
        <f>+251946368535</f>
        <v>251946368535</v>
      </c>
      <c r="E219" s="1" t="s">
        <v>21</v>
      </c>
    </row>
    <row r="220">
      <c r="A220" s="1" t="s">
        <v>2296</v>
      </c>
      <c r="B220" s="1" t="s">
        <v>2297</v>
      </c>
      <c r="C220" s="1" t="s">
        <v>420</v>
      </c>
      <c r="D220" s="1">
        <v>9.39658343E8</v>
      </c>
      <c r="E220" s="1" t="s">
        <v>21</v>
      </c>
    </row>
    <row r="221">
      <c r="A221" s="1" t="s">
        <v>2298</v>
      </c>
      <c r="B221" s="1" t="s">
        <v>2159</v>
      </c>
      <c r="C221" s="1" t="s">
        <v>2299</v>
      </c>
      <c r="D221" s="1">
        <v>9.15446283E8</v>
      </c>
      <c r="E221" s="1" t="s">
        <v>21</v>
      </c>
    </row>
    <row r="222">
      <c r="A222" s="1" t="s">
        <v>2305</v>
      </c>
      <c r="B222" s="1" t="s">
        <v>2306</v>
      </c>
      <c r="C222" s="1" t="s">
        <v>56</v>
      </c>
      <c r="D222" s="2">
        <f>+251938064280</f>
        <v>251938064280</v>
      </c>
      <c r="E222" s="1" t="s">
        <v>21</v>
      </c>
    </row>
    <row r="223">
      <c r="A223" s="1" t="s">
        <v>2307</v>
      </c>
      <c r="B223" s="1" t="s">
        <v>669</v>
      </c>
      <c r="C223" s="1" t="s">
        <v>859</v>
      </c>
      <c r="D223" s="1">
        <v>9.87281168E8</v>
      </c>
      <c r="E223" s="1" t="s">
        <v>21</v>
      </c>
    </row>
    <row r="224">
      <c r="A224" s="1" t="s">
        <v>2313</v>
      </c>
      <c r="B224" s="1" t="s">
        <v>2314</v>
      </c>
      <c r="C224" s="1" t="s">
        <v>2315</v>
      </c>
      <c r="D224" s="1">
        <v>2.51924544353E11</v>
      </c>
      <c r="E224" s="1" t="s">
        <v>21</v>
      </c>
    </row>
    <row r="225">
      <c r="A225" s="1" t="s">
        <v>2316</v>
      </c>
      <c r="B225" s="1" t="s">
        <v>867</v>
      </c>
      <c r="C225" s="1" t="s">
        <v>2317</v>
      </c>
      <c r="D225" s="2">
        <f>+251953009482</f>
        <v>251953009482</v>
      </c>
      <c r="E225" s="1" t="s">
        <v>21</v>
      </c>
    </row>
    <row r="226">
      <c r="A226" s="1" t="s">
        <v>2320</v>
      </c>
      <c r="B226" s="1" t="s">
        <v>2321</v>
      </c>
      <c r="C226" s="1" t="s">
        <v>859</v>
      </c>
      <c r="D226" s="2">
        <f>+251915763062</f>
        <v>251915763062</v>
      </c>
      <c r="E226" s="1" t="s">
        <v>21</v>
      </c>
    </row>
    <row r="227">
      <c r="A227" s="1" t="s">
        <v>2322</v>
      </c>
      <c r="B227" s="1" t="s">
        <v>2218</v>
      </c>
      <c r="C227" s="1" t="s">
        <v>2323</v>
      </c>
      <c r="D227" s="2">
        <f>+251929953149</f>
        <v>251929953149</v>
      </c>
      <c r="E227" s="1" t="s">
        <v>21</v>
      </c>
    </row>
    <row r="228">
      <c r="A228" s="1" t="s">
        <v>2324</v>
      </c>
      <c r="B228" s="1" t="s">
        <v>795</v>
      </c>
      <c r="C228" s="1" t="s">
        <v>319</v>
      </c>
      <c r="D228" s="2">
        <f>+251985406095</f>
        <v>251985406095</v>
      </c>
      <c r="E228" s="1" t="s">
        <v>21</v>
      </c>
    </row>
    <row r="229">
      <c r="A229" s="1" t="s">
        <v>2328</v>
      </c>
      <c r="B229" s="1" t="s">
        <v>1077</v>
      </c>
      <c r="C229" s="1" t="s">
        <v>2006</v>
      </c>
      <c r="D229" s="2">
        <f>+251962711003</f>
        <v>251962711003</v>
      </c>
      <c r="E229" s="1" t="s">
        <v>21</v>
      </c>
    </row>
    <row r="230">
      <c r="A230" s="1" t="s">
        <v>2329</v>
      </c>
      <c r="B230" s="1" t="s">
        <v>2330</v>
      </c>
      <c r="C230" s="1" t="s">
        <v>2331</v>
      </c>
      <c r="D230" s="2">
        <f>+251967341002</f>
        <v>251967341002</v>
      </c>
      <c r="E230" s="1" t="s">
        <v>21</v>
      </c>
    </row>
    <row r="231">
      <c r="A231" s="1" t="s">
        <v>2332</v>
      </c>
      <c r="B231" s="1" t="s">
        <v>2333</v>
      </c>
      <c r="C231" s="1" t="s">
        <v>2334</v>
      </c>
      <c r="D231" s="2">
        <f>+251974208084</f>
        <v>251974208084</v>
      </c>
      <c r="E231" s="1" t="s">
        <v>21</v>
      </c>
    </row>
    <row r="232">
      <c r="A232" s="1" t="s">
        <v>2335</v>
      </c>
      <c r="B232" s="1" t="s">
        <v>751</v>
      </c>
      <c r="C232" s="1" t="s">
        <v>195</v>
      </c>
      <c r="D232" s="2">
        <f>+251989317080</f>
        <v>251989317080</v>
      </c>
      <c r="E232" s="1" t="s">
        <v>21</v>
      </c>
    </row>
    <row r="233">
      <c r="A233" s="1" t="s">
        <v>2343</v>
      </c>
      <c r="B233" s="1" t="s">
        <v>2344</v>
      </c>
      <c r="C233" s="1" t="s">
        <v>2345</v>
      </c>
      <c r="D233" s="2">
        <f>+251975700929</f>
        <v>251975700929</v>
      </c>
      <c r="E233" s="1" t="s">
        <v>21</v>
      </c>
    </row>
    <row r="234">
      <c r="A234" s="1" t="s">
        <v>2346</v>
      </c>
      <c r="B234" s="1" t="s">
        <v>1061</v>
      </c>
      <c r="C234" s="1" t="s">
        <v>601</v>
      </c>
      <c r="D234" s="2">
        <f>+251970041080</f>
        <v>251970041080</v>
      </c>
      <c r="E234" s="1" t="s">
        <v>21</v>
      </c>
    </row>
    <row r="235">
      <c r="A235" s="1" t="s">
        <v>2347</v>
      </c>
      <c r="B235" s="1" t="s">
        <v>2348</v>
      </c>
      <c r="C235" s="1" t="s">
        <v>255</v>
      </c>
      <c r="D235" s="2">
        <f>+2519712009578</f>
        <v>2519712009578</v>
      </c>
      <c r="E235" s="1" t="s">
        <v>21</v>
      </c>
    </row>
    <row r="236">
      <c r="A236" s="1" t="s">
        <v>2351</v>
      </c>
      <c r="B236" s="1" t="s">
        <v>2352</v>
      </c>
      <c r="C236" s="1" t="s">
        <v>2353</v>
      </c>
      <c r="D236" s="2">
        <f>+251966925123</f>
        <v>251966925123</v>
      </c>
      <c r="E236" s="1" t="s">
        <v>21</v>
      </c>
    </row>
    <row r="237">
      <c r="A237" s="1" t="s">
        <v>2354</v>
      </c>
      <c r="B237" s="1" t="s">
        <v>1023</v>
      </c>
      <c r="C237" s="1" t="s">
        <v>2355</v>
      </c>
      <c r="D237" s="2">
        <f>+251949126539</f>
        <v>251949126539</v>
      </c>
      <c r="E237" s="1" t="s">
        <v>21</v>
      </c>
    </row>
    <row r="238">
      <c r="A238" s="1" t="s">
        <v>2356</v>
      </c>
      <c r="B238" s="1" t="s">
        <v>1570</v>
      </c>
      <c r="C238" s="1" t="s">
        <v>213</v>
      </c>
      <c r="D238" s="2">
        <f>+251986248494</f>
        <v>251986248494</v>
      </c>
      <c r="E238" s="1" t="s">
        <v>21</v>
      </c>
    </row>
    <row r="239">
      <c r="A239" s="1" t="s">
        <v>2360</v>
      </c>
      <c r="B239" s="1" t="s">
        <v>361</v>
      </c>
      <c r="C239" s="1" t="s">
        <v>2361</v>
      </c>
      <c r="D239" s="2">
        <f>+251944363710</f>
        <v>251944363710</v>
      </c>
      <c r="E239" s="1" t="s">
        <v>21</v>
      </c>
    </row>
    <row r="240">
      <c r="A240" s="1" t="s">
        <v>2364</v>
      </c>
      <c r="B240" s="1" t="s">
        <v>2365</v>
      </c>
      <c r="C240" s="1" t="s">
        <v>338</v>
      </c>
      <c r="D240" s="2">
        <f>+251912887490</f>
        <v>251912887490</v>
      </c>
      <c r="E240" s="1" t="s">
        <v>21</v>
      </c>
    </row>
    <row r="241">
      <c r="A241" s="1" t="s">
        <v>2366</v>
      </c>
      <c r="B241" s="1" t="s">
        <v>2367</v>
      </c>
      <c r="C241" s="1" t="s">
        <v>2368</v>
      </c>
      <c r="D241" s="2">
        <f>+251913365879</f>
        <v>251913365879</v>
      </c>
      <c r="E241" s="1" t="s">
        <v>21</v>
      </c>
    </row>
    <row r="242">
      <c r="A242" s="1" t="s">
        <v>2369</v>
      </c>
      <c r="B242" s="1" t="s">
        <v>2370</v>
      </c>
      <c r="C242" s="1" t="s">
        <v>2371</v>
      </c>
      <c r="D242" s="2">
        <f>+251911510316</f>
        <v>251911510316</v>
      </c>
      <c r="E242" s="1" t="s">
        <v>21</v>
      </c>
    </row>
    <row r="243">
      <c r="A243" s="1" t="s">
        <v>2381</v>
      </c>
      <c r="B243" s="1" t="s">
        <v>2283</v>
      </c>
      <c r="C243" s="1" t="s">
        <v>2382</v>
      </c>
      <c r="D243" s="2">
        <f>+251963547994</f>
        <v>251963547994</v>
      </c>
      <c r="E243" s="1" t="s">
        <v>21</v>
      </c>
    </row>
    <row r="244">
      <c r="A244" s="1" t="s">
        <v>2383</v>
      </c>
      <c r="B244" s="1" t="s">
        <v>2098</v>
      </c>
      <c r="C244" s="1" t="s">
        <v>417</v>
      </c>
      <c r="D244" s="2">
        <f>+251936690411</f>
        <v>251936690411</v>
      </c>
      <c r="E244" s="1" t="s">
        <v>21</v>
      </c>
    </row>
    <row r="245">
      <c r="A245" s="1" t="s">
        <v>2387</v>
      </c>
      <c r="B245" s="1" t="s">
        <v>294</v>
      </c>
      <c r="C245" s="1" t="s">
        <v>2388</v>
      </c>
      <c r="D245" s="2">
        <f>+251986280330</f>
        <v>251986280330</v>
      </c>
      <c r="E245" s="1" t="s">
        <v>21</v>
      </c>
    </row>
    <row r="246">
      <c r="A246" s="1" t="s">
        <v>2389</v>
      </c>
      <c r="B246" s="1" t="s">
        <v>963</v>
      </c>
      <c r="C246" s="1" t="s">
        <v>371</v>
      </c>
      <c r="D246" s="2">
        <f>+251911599491</f>
        <v>251911599491</v>
      </c>
      <c r="E246" s="1" t="s">
        <v>21</v>
      </c>
    </row>
    <row r="247">
      <c r="A247" s="1" t="s">
        <v>2390</v>
      </c>
      <c r="B247" s="1" t="s">
        <v>96</v>
      </c>
      <c r="C247" s="1" t="s">
        <v>2391</v>
      </c>
      <c r="D247" s="2">
        <f>+251929092564</f>
        <v>251929092564</v>
      </c>
      <c r="E247" s="1" t="s">
        <v>21</v>
      </c>
    </row>
    <row r="248">
      <c r="A248" s="1" t="s">
        <v>2397</v>
      </c>
      <c r="B248" s="1" t="s">
        <v>29</v>
      </c>
      <c r="C248" s="1" t="s">
        <v>630</v>
      </c>
      <c r="D248" s="2">
        <f>+251918237936</f>
        <v>251918237936</v>
      </c>
      <c r="E248" s="1" t="s">
        <v>21</v>
      </c>
    </row>
    <row r="249">
      <c r="A249" s="1" t="s">
        <v>2403</v>
      </c>
      <c r="B249" s="1" t="s">
        <v>758</v>
      </c>
      <c r="C249" s="1" t="s">
        <v>2404</v>
      </c>
      <c r="D249" s="2">
        <f>+251973087109</f>
        <v>251973087109</v>
      </c>
      <c r="E249" s="1" t="s">
        <v>21</v>
      </c>
    </row>
    <row r="250">
      <c r="A250" s="1" t="s">
        <v>2405</v>
      </c>
      <c r="B250" s="1" t="s">
        <v>2406</v>
      </c>
      <c r="C250" s="1" t="s">
        <v>2407</v>
      </c>
      <c r="D250" s="2">
        <f>+251932467988</f>
        <v>251932467988</v>
      </c>
      <c r="E250" s="1" t="s">
        <v>21</v>
      </c>
    </row>
    <row r="251">
      <c r="A251" s="1" t="s">
        <v>2408</v>
      </c>
      <c r="B251" s="1" t="s">
        <v>194</v>
      </c>
      <c r="C251" s="1" t="s">
        <v>2409</v>
      </c>
      <c r="D251" s="2">
        <f>+251941391313</f>
        <v>251941391313</v>
      </c>
      <c r="E251" s="1" t="s">
        <v>21</v>
      </c>
    </row>
    <row r="252">
      <c r="A252" s="1" t="s">
        <v>2410</v>
      </c>
      <c r="B252" s="1" t="s">
        <v>2411</v>
      </c>
      <c r="C252" s="1" t="s">
        <v>625</v>
      </c>
      <c r="D252" s="2">
        <f>+251921266456</f>
        <v>251921266456</v>
      </c>
      <c r="E252" s="1" t="s">
        <v>21</v>
      </c>
    </row>
    <row r="253">
      <c r="A253" s="1" t="s">
        <v>2416</v>
      </c>
      <c r="B253" s="1" t="s">
        <v>213</v>
      </c>
      <c r="C253" s="1" t="s">
        <v>2417</v>
      </c>
      <c r="D253" s="2">
        <f>+251929230984</f>
        <v>251929230984</v>
      </c>
      <c r="E253" s="1" t="s">
        <v>21</v>
      </c>
    </row>
    <row r="254">
      <c r="A254" s="1" t="s">
        <v>2421</v>
      </c>
      <c r="B254" s="1" t="s">
        <v>620</v>
      </c>
      <c r="C254" s="1" t="s">
        <v>630</v>
      </c>
      <c r="D254" s="2">
        <f>+251944286006</f>
        <v>251944286006</v>
      </c>
      <c r="E254" s="1" t="s">
        <v>21</v>
      </c>
    </row>
    <row r="255">
      <c r="A255" s="1" t="s">
        <v>2422</v>
      </c>
      <c r="B255" s="1" t="s">
        <v>390</v>
      </c>
      <c r="C255" s="1" t="s">
        <v>2423</v>
      </c>
      <c r="D255" s="2">
        <f>+251901103368</f>
        <v>251901103368</v>
      </c>
      <c r="E255" s="1" t="s">
        <v>21</v>
      </c>
    </row>
    <row r="256">
      <c r="A256" s="1" t="s">
        <v>2424</v>
      </c>
      <c r="B256" s="1" t="s">
        <v>2425</v>
      </c>
      <c r="C256" s="1" t="s">
        <v>422</v>
      </c>
      <c r="D256" s="2">
        <f>+251911428526</f>
        <v>251911428526</v>
      </c>
      <c r="E256" s="1" t="s">
        <v>21</v>
      </c>
    </row>
    <row r="257">
      <c r="A257" s="1" t="s">
        <v>2428</v>
      </c>
      <c r="B257" s="1" t="s">
        <v>2429</v>
      </c>
      <c r="C257" s="1" t="s">
        <v>601</v>
      </c>
      <c r="D257" s="2">
        <f>+251924844725</f>
        <v>251924844725</v>
      </c>
      <c r="E257" s="1" t="s">
        <v>21</v>
      </c>
    </row>
    <row r="258">
      <c r="A258" s="1" t="s">
        <v>2430</v>
      </c>
      <c r="B258" s="1" t="s">
        <v>213</v>
      </c>
      <c r="C258" s="1" t="s">
        <v>1103</v>
      </c>
      <c r="D258" s="2">
        <f>+251915862413</f>
        <v>251915862413</v>
      </c>
      <c r="E258" s="1" t="s">
        <v>21</v>
      </c>
    </row>
    <row r="259">
      <c r="A259" s="1" t="s">
        <v>2431</v>
      </c>
      <c r="B259" s="1" t="s">
        <v>786</v>
      </c>
      <c r="C259" s="1" t="s">
        <v>899</v>
      </c>
      <c r="D259" s="2">
        <f>+251929931126</f>
        <v>251929931126</v>
      </c>
      <c r="E259" s="1" t="s">
        <v>21</v>
      </c>
    </row>
    <row r="260">
      <c r="A260" s="1" t="s">
        <v>2432</v>
      </c>
      <c r="B260" s="1" t="s">
        <v>595</v>
      </c>
      <c r="C260" s="1" t="s">
        <v>2433</v>
      </c>
      <c r="D260" s="2">
        <f>+251912438037</f>
        <v>251912438037</v>
      </c>
      <c r="E260" s="1" t="s">
        <v>21</v>
      </c>
    </row>
    <row r="261">
      <c r="A261" s="1" t="s">
        <v>2440</v>
      </c>
      <c r="B261" s="1" t="s">
        <v>101</v>
      </c>
      <c r="C261" s="1" t="s">
        <v>627</v>
      </c>
      <c r="D261" s="2">
        <f>+251931701416</f>
        <v>251931701416</v>
      </c>
      <c r="E261" s="1" t="s">
        <v>21</v>
      </c>
    </row>
    <row r="262">
      <c r="A262" s="1" t="s">
        <v>2442</v>
      </c>
      <c r="B262" s="1" t="s">
        <v>2275</v>
      </c>
      <c r="C262" s="1" t="s">
        <v>2443</v>
      </c>
      <c r="D262" s="2">
        <f>+251911539994</f>
        <v>251911539994</v>
      </c>
      <c r="E262" s="1" t="s">
        <v>21</v>
      </c>
    </row>
    <row r="263">
      <c r="A263" s="1" t="s">
        <v>2452</v>
      </c>
      <c r="B263" s="1" t="s">
        <v>2453</v>
      </c>
      <c r="C263" s="1" t="s">
        <v>2454</v>
      </c>
      <c r="D263" s="2">
        <f>+251935932369</f>
        <v>251935932369</v>
      </c>
      <c r="E263" s="1" t="s">
        <v>21</v>
      </c>
    </row>
    <row r="264">
      <c r="A264" s="1" t="s">
        <v>2455</v>
      </c>
      <c r="B264" s="1" t="s">
        <v>286</v>
      </c>
      <c r="C264" s="1" t="s">
        <v>1161</v>
      </c>
      <c r="D264" s="2">
        <f>+251949472940</f>
        <v>251949472940</v>
      </c>
      <c r="E264" s="1" t="s">
        <v>21</v>
      </c>
    </row>
    <row r="265">
      <c r="A265" s="1" t="s">
        <v>2460</v>
      </c>
      <c r="B265" s="1" t="s">
        <v>294</v>
      </c>
      <c r="C265" s="1" t="s">
        <v>1968</v>
      </c>
      <c r="D265" s="2">
        <f>+251912766138</f>
        <v>251912766138</v>
      </c>
      <c r="E265" s="1" t="s">
        <v>21</v>
      </c>
    </row>
    <row r="266">
      <c r="A266" s="1" t="s">
        <v>2464</v>
      </c>
      <c r="B266" s="1" t="s">
        <v>2117</v>
      </c>
      <c r="C266" s="1" t="s">
        <v>2465</v>
      </c>
      <c r="D266" s="2">
        <f>+251914888141</f>
        <v>251914888141</v>
      </c>
      <c r="E266" s="1" t="s">
        <v>21</v>
      </c>
    </row>
    <row r="267">
      <c r="A267" s="1" t="s">
        <v>2466</v>
      </c>
      <c r="B267" s="1" t="s">
        <v>2467</v>
      </c>
      <c r="C267" s="1" t="s">
        <v>117</v>
      </c>
      <c r="D267" s="2">
        <f>+251920467499</f>
        <v>251920467499</v>
      </c>
      <c r="E267" s="1" t="s">
        <v>21</v>
      </c>
    </row>
    <row r="268">
      <c r="A268" s="1" t="s">
        <v>2469</v>
      </c>
      <c r="B268" s="1" t="s">
        <v>1144</v>
      </c>
      <c r="C268" s="1" t="s">
        <v>601</v>
      </c>
      <c r="D268" s="2">
        <f>+251939824783</f>
        <v>251939824783</v>
      </c>
      <c r="E268" s="1" t="s">
        <v>21</v>
      </c>
    </row>
    <row r="269">
      <c r="A269" s="1" t="s">
        <v>2472</v>
      </c>
      <c r="B269" s="1" t="s">
        <v>29</v>
      </c>
      <c r="C269" s="1" t="s">
        <v>768</v>
      </c>
      <c r="D269" s="2">
        <f>+251923369648</f>
        <v>251923369648</v>
      </c>
      <c r="E269" s="1" t="s">
        <v>21</v>
      </c>
    </row>
    <row r="270">
      <c r="A270" s="1" t="s">
        <v>2473</v>
      </c>
      <c r="B270" s="1" t="s">
        <v>2474</v>
      </c>
      <c r="C270" s="1" t="s">
        <v>2105</v>
      </c>
      <c r="D270" s="2">
        <f>+251923800220</f>
        <v>251923800220</v>
      </c>
      <c r="E270" s="1" t="s">
        <v>21</v>
      </c>
    </row>
    <row r="271">
      <c r="A271" s="1" t="s">
        <v>2480</v>
      </c>
      <c r="B271" s="1" t="s">
        <v>2429</v>
      </c>
      <c r="C271" s="1" t="s">
        <v>2481</v>
      </c>
      <c r="D271" s="2">
        <f>+251919707608</f>
        <v>251919707608</v>
      </c>
      <c r="E271" s="1" t="s">
        <v>21</v>
      </c>
    </row>
    <row r="272">
      <c r="A272" s="1" t="s">
        <v>2484</v>
      </c>
      <c r="B272" s="1" t="s">
        <v>2485</v>
      </c>
      <c r="C272" s="1" t="s">
        <v>2486</v>
      </c>
      <c r="D272" s="2">
        <f>+251941993188</f>
        <v>251941993188</v>
      </c>
      <c r="E272" s="1" t="s">
        <v>21</v>
      </c>
    </row>
    <row r="273">
      <c r="A273" s="1" t="s">
        <v>2166</v>
      </c>
      <c r="B273" s="1" t="s">
        <v>545</v>
      </c>
      <c r="C273" s="1" t="s">
        <v>2167</v>
      </c>
      <c r="D273" s="2">
        <f>+251924806134</f>
        <v>251924806134</v>
      </c>
      <c r="E273" s="1" t="s">
        <v>21</v>
      </c>
    </row>
    <row r="274">
      <c r="A274" s="1" t="s">
        <v>2488</v>
      </c>
      <c r="B274" s="1" t="s">
        <v>2489</v>
      </c>
      <c r="C274" s="1" t="s">
        <v>2261</v>
      </c>
      <c r="D274" s="2">
        <f>+251939667669</f>
        <v>251939667669</v>
      </c>
      <c r="E274" s="1" t="s">
        <v>21</v>
      </c>
    </row>
    <row r="275">
      <c r="A275" s="1" t="s">
        <v>2490</v>
      </c>
      <c r="B275" s="1" t="s">
        <v>618</v>
      </c>
      <c r="C275" s="1" t="s">
        <v>2491</v>
      </c>
      <c r="D275" s="2">
        <f>+251914359671</f>
        <v>251914359671</v>
      </c>
      <c r="E275" s="1" t="s">
        <v>21</v>
      </c>
    </row>
    <row r="276">
      <c r="A276" s="1" t="s">
        <v>2492</v>
      </c>
      <c r="B276" s="1" t="s">
        <v>545</v>
      </c>
      <c r="C276" s="1" t="s">
        <v>1363</v>
      </c>
      <c r="D276" s="2">
        <f>+251916088726</f>
        <v>251916088726</v>
      </c>
      <c r="E276" s="1" t="s">
        <v>21</v>
      </c>
    </row>
    <row r="277">
      <c r="A277" s="1" t="s">
        <v>2493</v>
      </c>
      <c r="B277" s="1" t="s">
        <v>2494</v>
      </c>
      <c r="C277" s="1" t="s">
        <v>2495</v>
      </c>
      <c r="D277" s="2">
        <f>+251910112529</f>
        <v>251910112529</v>
      </c>
      <c r="E277" s="1" t="s">
        <v>21</v>
      </c>
    </row>
    <row r="278">
      <c r="A278" s="1" t="s">
        <v>2499</v>
      </c>
      <c r="B278" s="1" t="s">
        <v>121</v>
      </c>
      <c r="C278" s="1" t="s">
        <v>1103</v>
      </c>
      <c r="D278" s="2">
        <f>+251947552213</f>
        <v>251947552213</v>
      </c>
      <c r="E278" s="1" t="s">
        <v>21</v>
      </c>
    </row>
    <row r="279">
      <c r="A279" s="1" t="s">
        <v>2502</v>
      </c>
      <c r="B279" s="1" t="s">
        <v>2503</v>
      </c>
      <c r="C279" s="1" t="s">
        <v>880</v>
      </c>
      <c r="D279" s="2">
        <f>+251939976706</f>
        <v>251939976706</v>
      </c>
      <c r="E279" s="1" t="s">
        <v>21</v>
      </c>
    </row>
    <row r="280">
      <c r="A280" s="1" t="s">
        <v>2506</v>
      </c>
      <c r="B280" s="1" t="s">
        <v>996</v>
      </c>
      <c r="C280" s="1" t="s">
        <v>71</v>
      </c>
      <c r="D280" s="2">
        <f>+251918381252</f>
        <v>251918381252</v>
      </c>
      <c r="E280" s="1" t="s">
        <v>21</v>
      </c>
    </row>
    <row r="281">
      <c r="A281" s="1" t="s">
        <v>2512</v>
      </c>
      <c r="B281" s="1" t="s">
        <v>2513</v>
      </c>
      <c r="C281" s="1" t="s">
        <v>2105</v>
      </c>
      <c r="D281" s="2">
        <f>+251919578159</f>
        <v>251919578159</v>
      </c>
      <c r="E281" s="1" t="s">
        <v>21</v>
      </c>
    </row>
    <row r="282">
      <c r="A282" s="1" t="s">
        <v>2516</v>
      </c>
      <c r="B282" s="1" t="s">
        <v>321</v>
      </c>
      <c r="C282" s="1" t="s">
        <v>534</v>
      </c>
      <c r="D282" s="1">
        <v>9.43180411E8</v>
      </c>
      <c r="E282" s="1" t="s">
        <v>21</v>
      </c>
    </row>
    <row r="283">
      <c r="A283" s="1" t="s">
        <v>2519</v>
      </c>
      <c r="B283" s="1" t="s">
        <v>663</v>
      </c>
      <c r="C283" s="1" t="s">
        <v>2520</v>
      </c>
      <c r="D283" s="2">
        <f>+251912900617</f>
        <v>251912900617</v>
      </c>
      <c r="E283" s="1" t="s">
        <v>21</v>
      </c>
    </row>
    <row r="284">
      <c r="A284" s="1" t="s">
        <v>2523</v>
      </c>
      <c r="B284" s="1" t="s">
        <v>842</v>
      </c>
      <c r="C284" s="1" t="s">
        <v>130</v>
      </c>
      <c r="D284" s="2">
        <f>+251909781931</f>
        <v>251909781931</v>
      </c>
      <c r="E284" s="1" t="s">
        <v>21</v>
      </c>
    </row>
    <row r="285">
      <c r="A285" s="1" t="s">
        <v>2527</v>
      </c>
      <c r="B285" s="1" t="s">
        <v>663</v>
      </c>
      <c r="C285" s="1" t="s">
        <v>2528</v>
      </c>
      <c r="D285" s="2">
        <f>+251920135958</f>
        <v>251920135958</v>
      </c>
      <c r="E285" s="1" t="s">
        <v>21</v>
      </c>
    </row>
    <row r="286">
      <c r="A286" s="1" t="s">
        <v>2531</v>
      </c>
      <c r="B286" s="1" t="s">
        <v>130</v>
      </c>
      <c r="C286" s="1" t="s">
        <v>2532</v>
      </c>
      <c r="D286" s="2">
        <f>+251983164040</f>
        <v>251983164040</v>
      </c>
      <c r="E286" s="1" t="s">
        <v>21</v>
      </c>
    </row>
    <row r="287">
      <c r="A287" s="1" t="s">
        <v>2533</v>
      </c>
      <c r="B287" s="1" t="s">
        <v>130</v>
      </c>
      <c r="C287" s="1" t="s">
        <v>2534</v>
      </c>
      <c r="D287" s="2">
        <f>+251911909095</f>
        <v>251911909095</v>
      </c>
      <c r="E287" s="1" t="s">
        <v>21</v>
      </c>
    </row>
    <row r="288">
      <c r="A288" s="1" t="s">
        <v>2539</v>
      </c>
      <c r="B288" s="1" t="s">
        <v>2540</v>
      </c>
      <c r="C288" s="1" t="s">
        <v>2541</v>
      </c>
      <c r="D288" s="2">
        <f>+251931057984</f>
        <v>251931057984</v>
      </c>
      <c r="E288" s="1" t="s">
        <v>21</v>
      </c>
    </row>
    <row r="289">
      <c r="A289" s="1" t="s">
        <v>2542</v>
      </c>
      <c r="B289" s="1" t="s">
        <v>240</v>
      </c>
      <c r="C289" s="1" t="s">
        <v>2543</v>
      </c>
      <c r="D289" s="2">
        <f>+251912665806</f>
        <v>251912665806</v>
      </c>
      <c r="E289" s="1" t="s">
        <v>21</v>
      </c>
    </row>
    <row r="290">
      <c r="A290" s="1" t="s">
        <v>1458</v>
      </c>
      <c r="B290" s="1" t="s">
        <v>1459</v>
      </c>
      <c r="C290" s="1" t="s">
        <v>1116</v>
      </c>
      <c r="D290" s="2">
        <f>+251946670244</f>
        <v>251946670244</v>
      </c>
      <c r="E290" s="1" t="s">
        <v>21</v>
      </c>
    </row>
    <row r="291">
      <c r="A291" s="1" t="s">
        <v>2547</v>
      </c>
      <c r="B291" s="1" t="s">
        <v>1092</v>
      </c>
      <c r="C291" s="1" t="s">
        <v>2245</v>
      </c>
      <c r="D291" s="2">
        <f>+251913699479</f>
        <v>251913699479</v>
      </c>
      <c r="E291" s="1" t="s">
        <v>21</v>
      </c>
    </row>
    <row r="292">
      <c r="A292" s="1" t="s">
        <v>2548</v>
      </c>
      <c r="B292" s="1" t="s">
        <v>2549</v>
      </c>
      <c r="C292" s="1" t="s">
        <v>316</v>
      </c>
      <c r="D292" s="2">
        <f>+251946656428</f>
        <v>251946656428</v>
      </c>
      <c r="E292" s="1" t="s">
        <v>21</v>
      </c>
    </row>
    <row r="293">
      <c r="A293" s="1" t="s">
        <v>2552</v>
      </c>
      <c r="B293" s="1" t="s">
        <v>867</v>
      </c>
      <c r="C293" s="1" t="s">
        <v>2553</v>
      </c>
      <c r="D293" s="2">
        <f>+251940352709</f>
        <v>251940352709</v>
      </c>
      <c r="E293" s="1" t="s">
        <v>21</v>
      </c>
    </row>
    <row r="294">
      <c r="A294" s="1" t="s">
        <v>2554</v>
      </c>
      <c r="B294" s="1" t="s">
        <v>620</v>
      </c>
      <c r="C294" s="1" t="s">
        <v>2555</v>
      </c>
      <c r="D294" s="2">
        <f>+251902575756</f>
        <v>251902575756</v>
      </c>
      <c r="E294" s="1" t="s">
        <v>21</v>
      </c>
    </row>
    <row r="295">
      <c r="A295" s="1" t="s">
        <v>2558</v>
      </c>
      <c r="B295" s="1" t="s">
        <v>620</v>
      </c>
      <c r="C295" s="1" t="s">
        <v>1640</v>
      </c>
      <c r="D295" s="2">
        <f>+251946692896</f>
        <v>251946692896</v>
      </c>
      <c r="E295" s="1" t="s">
        <v>21</v>
      </c>
    </row>
    <row r="296">
      <c r="A296" s="1" t="s">
        <v>2561</v>
      </c>
      <c r="B296" s="1" t="s">
        <v>2385</v>
      </c>
      <c r="C296" s="1" t="s">
        <v>1103</v>
      </c>
      <c r="D296" s="2">
        <f>+251920086272</f>
        <v>251920086272</v>
      </c>
      <c r="E296" s="1" t="s">
        <v>21</v>
      </c>
    </row>
    <row r="297">
      <c r="A297" s="1" t="s">
        <v>2562</v>
      </c>
      <c r="B297" s="1" t="s">
        <v>2563</v>
      </c>
      <c r="C297" s="1" t="s">
        <v>338</v>
      </c>
      <c r="D297" s="2">
        <f>+251941203611</f>
        <v>251941203611</v>
      </c>
      <c r="E297" s="1" t="s">
        <v>21</v>
      </c>
    </row>
    <row r="298">
      <c r="A298" s="1" t="s">
        <v>2564</v>
      </c>
      <c r="B298" s="1" t="s">
        <v>28</v>
      </c>
      <c r="C298" s="1" t="s">
        <v>204</v>
      </c>
      <c r="D298" s="2">
        <f>+251924025675</f>
        <v>251924025675</v>
      </c>
      <c r="E298" s="1" t="s">
        <v>21</v>
      </c>
    </row>
    <row r="299">
      <c r="A299" s="1" t="s">
        <v>2565</v>
      </c>
      <c r="B299" s="1" t="s">
        <v>1832</v>
      </c>
      <c r="C299" s="1" t="s">
        <v>2566</v>
      </c>
      <c r="D299" s="2">
        <f>+251995605039</f>
        <v>251995605039</v>
      </c>
      <c r="E299" s="1" t="s">
        <v>21</v>
      </c>
    </row>
    <row r="300">
      <c r="A300" s="1" t="s">
        <v>2567</v>
      </c>
      <c r="B300" s="1" t="s">
        <v>286</v>
      </c>
      <c r="C300" s="1" t="s">
        <v>45</v>
      </c>
      <c r="D300" s="2">
        <f>+251953758254</f>
        <v>251953758254</v>
      </c>
      <c r="E300" s="1" t="s">
        <v>21</v>
      </c>
    </row>
    <row r="301">
      <c r="A301" s="1" t="s">
        <v>2568</v>
      </c>
      <c r="B301" s="1" t="s">
        <v>204</v>
      </c>
      <c r="C301" s="1" t="s">
        <v>859</v>
      </c>
      <c r="D301" s="2">
        <f>+251920981998</f>
        <v>251920981998</v>
      </c>
      <c r="E301" s="1" t="s">
        <v>21</v>
      </c>
    </row>
    <row r="302">
      <c r="A302" s="1" t="s">
        <v>2571</v>
      </c>
      <c r="B302" s="1" t="s">
        <v>2572</v>
      </c>
      <c r="C302" s="1" t="s">
        <v>422</v>
      </c>
      <c r="D302" s="2">
        <f>+251960342149</f>
        <v>251960342149</v>
      </c>
      <c r="E302" s="1" t="s">
        <v>21</v>
      </c>
    </row>
    <row r="303">
      <c r="A303" s="1" t="s">
        <v>2573</v>
      </c>
      <c r="B303" s="1" t="s">
        <v>2574</v>
      </c>
      <c r="C303" s="1" t="s">
        <v>2575</v>
      </c>
      <c r="D303" s="2">
        <f>+251913346729</f>
        <v>251913346729</v>
      </c>
      <c r="E303" s="1" t="s">
        <v>21</v>
      </c>
    </row>
    <row r="304">
      <c r="A304" s="1" t="s">
        <v>2578</v>
      </c>
      <c r="B304" s="1" t="s">
        <v>2579</v>
      </c>
      <c r="C304" s="1" t="s">
        <v>1651</v>
      </c>
      <c r="D304" s="2">
        <f>+251968708362</f>
        <v>251968708362</v>
      </c>
      <c r="E304" s="1" t="s">
        <v>21</v>
      </c>
    </row>
    <row r="305">
      <c r="A305" s="1" t="s">
        <v>2582</v>
      </c>
      <c r="B305" s="1" t="s">
        <v>2583</v>
      </c>
      <c r="C305" s="1" t="s">
        <v>2584</v>
      </c>
      <c r="D305" s="2">
        <f>+251953469005</f>
        <v>251953469005</v>
      </c>
      <c r="E305" s="1" t="s">
        <v>21</v>
      </c>
    </row>
    <row r="306">
      <c r="A306" s="1" t="s">
        <v>2585</v>
      </c>
      <c r="B306" s="1" t="s">
        <v>1832</v>
      </c>
      <c r="C306" s="1" t="s">
        <v>2586</v>
      </c>
      <c r="D306" s="2">
        <f>+251960547010</f>
        <v>251960547010</v>
      </c>
      <c r="E306" s="1" t="s">
        <v>21</v>
      </c>
    </row>
    <row r="307">
      <c r="A307" s="1" t="s">
        <v>2587</v>
      </c>
      <c r="B307" s="1" t="s">
        <v>1385</v>
      </c>
      <c r="C307" s="1" t="s">
        <v>2588</v>
      </c>
      <c r="D307" s="2">
        <f>+251977319382</f>
        <v>251977319382</v>
      </c>
      <c r="E307" s="1" t="s">
        <v>21</v>
      </c>
    </row>
    <row r="308">
      <c r="A308" s="1" t="s">
        <v>2589</v>
      </c>
      <c r="B308" s="1" t="s">
        <v>480</v>
      </c>
      <c r="C308" s="1" t="s">
        <v>2590</v>
      </c>
      <c r="D308" s="2">
        <f>+251947916584</f>
        <v>251947916584</v>
      </c>
      <c r="E308" s="1" t="s">
        <v>21</v>
      </c>
    </row>
    <row r="309">
      <c r="A309" s="1" t="s">
        <v>2591</v>
      </c>
      <c r="B309" s="1" t="s">
        <v>2592</v>
      </c>
      <c r="C309" s="1" t="s">
        <v>2593</v>
      </c>
      <c r="D309" s="1">
        <v>9.73738069E8</v>
      </c>
      <c r="E309" s="1" t="s">
        <v>21</v>
      </c>
    </row>
    <row r="310">
      <c r="A310" s="1" t="s">
        <v>2594</v>
      </c>
      <c r="B310" s="1" t="s">
        <v>2595</v>
      </c>
      <c r="C310" s="1" t="s">
        <v>2596</v>
      </c>
      <c r="D310" s="2">
        <f>+251925117215</f>
        <v>251925117215</v>
      </c>
      <c r="E310" s="1" t="s">
        <v>21</v>
      </c>
    </row>
    <row r="311">
      <c r="A311" s="1" t="s">
        <v>2597</v>
      </c>
      <c r="B311" s="1" t="s">
        <v>2598</v>
      </c>
      <c r="C311" s="1" t="s">
        <v>771</v>
      </c>
      <c r="D311" s="2">
        <f>+251945009505</f>
        <v>251945009505</v>
      </c>
      <c r="E311" s="1" t="s">
        <v>21</v>
      </c>
    </row>
    <row r="312">
      <c r="A312" s="1" t="s">
        <v>2602</v>
      </c>
      <c r="B312" s="1" t="s">
        <v>539</v>
      </c>
      <c r="C312" s="1" t="s">
        <v>2603</v>
      </c>
      <c r="D312" s="2">
        <f>+251932563734</f>
        <v>251932563734</v>
      </c>
      <c r="E312" s="1" t="s">
        <v>21</v>
      </c>
    </row>
    <row r="313">
      <c r="A313" s="1" t="s">
        <v>2604</v>
      </c>
      <c r="B313" s="1" t="s">
        <v>2605</v>
      </c>
      <c r="C313" s="1" t="s">
        <v>2606</v>
      </c>
      <c r="D313" s="1">
        <v>9.26868289E8</v>
      </c>
      <c r="E313" s="1" t="s">
        <v>21</v>
      </c>
    </row>
    <row r="314">
      <c r="A314" s="1" t="s">
        <v>2607</v>
      </c>
      <c r="B314" s="1" t="s">
        <v>1485</v>
      </c>
      <c r="C314" s="1" t="s">
        <v>595</v>
      </c>
      <c r="D314" s="2">
        <f>+251968343121</f>
        <v>251968343121</v>
      </c>
      <c r="E314" s="1" t="s">
        <v>21</v>
      </c>
    </row>
    <row r="315">
      <c r="A315" s="1" t="s">
        <v>2608</v>
      </c>
      <c r="B315" s="1" t="s">
        <v>1541</v>
      </c>
      <c r="C315" s="1" t="s">
        <v>2609</v>
      </c>
      <c r="D315" s="2">
        <f>+251929908675</f>
        <v>251929908675</v>
      </c>
      <c r="E315" s="1" t="s">
        <v>21</v>
      </c>
    </row>
    <row r="316">
      <c r="A316" s="1" t="s">
        <v>2613</v>
      </c>
      <c r="B316" s="1" t="s">
        <v>2614</v>
      </c>
      <c r="C316" s="1" t="s">
        <v>2615</v>
      </c>
      <c r="D316" s="1">
        <v>9.64019456E8</v>
      </c>
      <c r="E316" s="1" t="s">
        <v>21</v>
      </c>
    </row>
    <row r="317">
      <c r="A317" s="1" t="s">
        <v>2616</v>
      </c>
      <c r="B317" s="1" t="s">
        <v>2611</v>
      </c>
      <c r="C317" s="1" t="s">
        <v>2617</v>
      </c>
      <c r="D317" s="2">
        <f>+251985222886</f>
        <v>251985222886</v>
      </c>
      <c r="E317" s="1" t="s">
        <v>21</v>
      </c>
    </row>
    <row r="318">
      <c r="A318" s="1" t="s">
        <v>2618</v>
      </c>
      <c r="B318" s="1" t="s">
        <v>2619</v>
      </c>
      <c r="C318" s="1" t="s">
        <v>2620</v>
      </c>
      <c r="D318" s="2">
        <f>+251913238651</f>
        <v>251913238651</v>
      </c>
      <c r="E318" s="1" t="s">
        <v>21</v>
      </c>
    </row>
    <row r="319">
      <c r="A319" s="1" t="s">
        <v>2621</v>
      </c>
      <c r="B319" s="1" t="s">
        <v>2622</v>
      </c>
      <c r="C319" s="1" t="s">
        <v>956</v>
      </c>
      <c r="D319" s="2">
        <f>+251929018395</f>
        <v>251929018395</v>
      </c>
      <c r="E319" s="1" t="s">
        <v>21</v>
      </c>
    </row>
    <row r="320">
      <c r="A320" s="1" t="s">
        <v>2623</v>
      </c>
      <c r="B320" s="1" t="s">
        <v>2624</v>
      </c>
      <c r="C320" s="1" t="s">
        <v>2625</v>
      </c>
      <c r="D320" s="2">
        <f>+251943872445</f>
        <v>251943872445</v>
      </c>
      <c r="E320" s="1" t="s">
        <v>21</v>
      </c>
    </row>
    <row r="321">
      <c r="A321" s="1" t="s">
        <v>2626</v>
      </c>
      <c r="B321" s="1" t="s">
        <v>524</v>
      </c>
      <c r="C321" s="1" t="s">
        <v>764</v>
      </c>
      <c r="D321" s="2">
        <f>+251929765327</f>
        <v>251929765327</v>
      </c>
      <c r="E321" s="1" t="s">
        <v>21</v>
      </c>
    </row>
    <row r="322">
      <c r="A322" s="1" t="s">
        <v>2630</v>
      </c>
      <c r="B322" s="1" t="s">
        <v>2631</v>
      </c>
      <c r="C322" s="1" t="s">
        <v>2632</v>
      </c>
      <c r="D322" s="2">
        <f>+251945831978</f>
        <v>251945831978</v>
      </c>
      <c r="E322" s="1" t="s">
        <v>21</v>
      </c>
    </row>
    <row r="323">
      <c r="A323" s="1" t="s">
        <v>2633</v>
      </c>
      <c r="B323" s="1" t="s">
        <v>620</v>
      </c>
      <c r="C323" s="1" t="s">
        <v>707</v>
      </c>
      <c r="D323" s="2">
        <f>+251922156817</f>
        <v>251922156817</v>
      </c>
      <c r="E323" s="1" t="s">
        <v>21</v>
      </c>
    </row>
    <row r="324">
      <c r="A324" s="1" t="s">
        <v>2638</v>
      </c>
      <c r="B324" s="1" t="s">
        <v>620</v>
      </c>
      <c r="C324" s="1" t="s">
        <v>2639</v>
      </c>
      <c r="D324" s="2">
        <f>+251949111191</f>
        <v>251949111191</v>
      </c>
      <c r="E324" s="1" t="s">
        <v>21</v>
      </c>
    </row>
    <row r="325">
      <c r="A325" s="1" t="s">
        <v>2643</v>
      </c>
      <c r="B325" s="1" t="s">
        <v>60</v>
      </c>
      <c r="C325" s="1" t="s">
        <v>899</v>
      </c>
      <c r="D325" s="2">
        <f>+251922128340</f>
        <v>251922128340</v>
      </c>
      <c r="E325" s="1" t="s">
        <v>21</v>
      </c>
    </row>
    <row r="326">
      <c r="A326" s="1" t="s">
        <v>2644</v>
      </c>
      <c r="B326" s="1" t="s">
        <v>2645</v>
      </c>
      <c r="C326" s="1" t="s">
        <v>510</v>
      </c>
      <c r="D326" s="2">
        <f>+251901663075</f>
        <v>251901663075</v>
      </c>
      <c r="E326" s="1" t="s">
        <v>21</v>
      </c>
    </row>
    <row r="327">
      <c r="A327" s="1" t="s">
        <v>2646</v>
      </c>
      <c r="B327" s="1" t="s">
        <v>1919</v>
      </c>
      <c r="C327" s="1" t="s">
        <v>2647</v>
      </c>
      <c r="D327" s="2">
        <f>+251989846696</f>
        <v>251989846696</v>
      </c>
      <c r="E327" s="1" t="s">
        <v>21</v>
      </c>
    </row>
    <row r="328">
      <c r="A328" s="1" t="s">
        <v>2652</v>
      </c>
      <c r="B328" s="1" t="s">
        <v>641</v>
      </c>
      <c r="C328" s="1" t="s">
        <v>417</v>
      </c>
      <c r="D328" s="2">
        <f>+251953707419</f>
        <v>251953707419</v>
      </c>
      <c r="E328" s="1" t="s">
        <v>21</v>
      </c>
    </row>
    <row r="329">
      <c r="A329" s="1" t="s">
        <v>2653</v>
      </c>
      <c r="B329" s="1" t="s">
        <v>2654</v>
      </c>
      <c r="C329" s="1" t="s">
        <v>1228</v>
      </c>
      <c r="D329" s="2">
        <f>+251911688428</f>
        <v>251911688428</v>
      </c>
      <c r="E329" s="1" t="s">
        <v>21</v>
      </c>
    </row>
    <row r="330">
      <c r="A330" s="1" t="s">
        <v>2658</v>
      </c>
      <c r="B330" s="1" t="s">
        <v>2659</v>
      </c>
      <c r="C330" s="1" t="s">
        <v>2660</v>
      </c>
      <c r="D330" s="2">
        <f>+251955401072</f>
        <v>251955401072</v>
      </c>
      <c r="E330" s="1" t="s">
        <v>21</v>
      </c>
    </row>
    <row r="331">
      <c r="A331" s="1" t="s">
        <v>2661</v>
      </c>
      <c r="B331" s="1" t="s">
        <v>2662</v>
      </c>
      <c r="C331" s="1" t="s">
        <v>108</v>
      </c>
      <c r="D331" s="2">
        <f>+251966797016</f>
        <v>251966797016</v>
      </c>
      <c r="E331" s="1" t="s">
        <v>21</v>
      </c>
    </row>
    <row r="332">
      <c r="A332" s="1" t="s">
        <v>2666</v>
      </c>
      <c r="B332" s="1" t="s">
        <v>295</v>
      </c>
      <c r="C332" s="1" t="s">
        <v>338</v>
      </c>
      <c r="D332" s="2">
        <f>+251906119818</f>
        <v>251906119818</v>
      </c>
      <c r="E332" s="1" t="s">
        <v>21</v>
      </c>
    </row>
    <row r="333">
      <c r="A333" s="1" t="s">
        <v>2667</v>
      </c>
      <c r="B333" s="1" t="s">
        <v>110</v>
      </c>
      <c r="C333" s="1" t="s">
        <v>1583</v>
      </c>
      <c r="D333" s="2">
        <f>+251937780890</f>
        <v>251937780890</v>
      </c>
      <c r="E333" s="1" t="s">
        <v>21</v>
      </c>
    </row>
    <row r="334">
      <c r="A334" s="1" t="s">
        <v>2668</v>
      </c>
      <c r="B334" s="1" t="s">
        <v>2669</v>
      </c>
      <c r="C334" s="1" t="s">
        <v>96</v>
      </c>
      <c r="D334" s="2">
        <f>+251936976613</f>
        <v>251936976613</v>
      </c>
      <c r="E334" s="1" t="s">
        <v>21</v>
      </c>
    </row>
    <row r="335">
      <c r="A335" s="1" t="s">
        <v>2670</v>
      </c>
      <c r="B335" s="1" t="s">
        <v>2671</v>
      </c>
      <c r="C335" s="1" t="s">
        <v>2413</v>
      </c>
      <c r="D335" s="2">
        <f>+251931022473</f>
        <v>251931022473</v>
      </c>
      <c r="E335" s="1" t="s">
        <v>21</v>
      </c>
    </row>
    <row r="336">
      <c r="A336" s="1" t="s">
        <v>2675</v>
      </c>
      <c r="B336" s="1" t="s">
        <v>910</v>
      </c>
      <c r="C336" s="1" t="s">
        <v>2654</v>
      </c>
      <c r="D336" s="2">
        <f>+251923719781</f>
        <v>251923719781</v>
      </c>
      <c r="E336" s="1" t="s">
        <v>21</v>
      </c>
    </row>
    <row r="337">
      <c r="A337" s="1" t="s">
        <v>2680</v>
      </c>
      <c r="B337" s="1" t="s">
        <v>2210</v>
      </c>
      <c r="C337" s="1" t="s">
        <v>1945</v>
      </c>
      <c r="D337" s="2">
        <f>+251945420584</f>
        <v>251945420584</v>
      </c>
      <c r="E337" s="1" t="s">
        <v>21</v>
      </c>
    </row>
    <row r="338">
      <c r="A338" s="1" t="s">
        <v>2681</v>
      </c>
      <c r="B338" s="1" t="s">
        <v>2682</v>
      </c>
      <c r="C338" s="1" t="s">
        <v>319</v>
      </c>
      <c r="D338" s="2">
        <f>+251901473530</f>
        <v>251901473530</v>
      </c>
      <c r="E338" s="1" t="s">
        <v>21</v>
      </c>
    </row>
    <row r="339">
      <c r="A339" s="1" t="s">
        <v>2683</v>
      </c>
      <c r="B339" s="1" t="s">
        <v>2684</v>
      </c>
      <c r="C339" s="1" t="s">
        <v>96</v>
      </c>
      <c r="D339" s="2">
        <f>+251952454024</f>
        <v>251952454024</v>
      </c>
      <c r="E339" s="1" t="s">
        <v>21</v>
      </c>
    </row>
    <row r="340">
      <c r="A340" s="1" t="s">
        <v>2689</v>
      </c>
      <c r="B340" s="1" t="s">
        <v>2409</v>
      </c>
      <c r="C340" s="1" t="s">
        <v>2690</v>
      </c>
      <c r="D340" s="2">
        <f>+251927989890</f>
        <v>251927989890</v>
      </c>
      <c r="E340" s="1" t="s">
        <v>21</v>
      </c>
    </row>
    <row r="341">
      <c r="A341" s="1" t="s">
        <v>2691</v>
      </c>
      <c r="B341" s="1" t="s">
        <v>2692</v>
      </c>
      <c r="C341" s="1" t="s">
        <v>2693</v>
      </c>
      <c r="D341" s="2">
        <f>+251939655527</f>
        <v>251939655527</v>
      </c>
      <c r="E341" s="1" t="s">
        <v>21</v>
      </c>
    </row>
    <row r="342">
      <c r="A342" s="1" t="s">
        <v>2695</v>
      </c>
      <c r="B342" s="1" t="s">
        <v>2696</v>
      </c>
      <c r="C342" s="1" t="s">
        <v>108</v>
      </c>
      <c r="D342" s="2">
        <f>+251926996635</f>
        <v>251926996635</v>
      </c>
      <c r="E342" s="1" t="s">
        <v>21</v>
      </c>
    </row>
    <row r="343">
      <c r="A343" s="1" t="s">
        <v>2697</v>
      </c>
      <c r="B343" s="1" t="s">
        <v>360</v>
      </c>
      <c r="C343" s="1" t="s">
        <v>2698</v>
      </c>
      <c r="D343" s="2">
        <f>+251933693144</f>
        <v>251933693144</v>
      </c>
      <c r="E343" s="1" t="s">
        <v>21</v>
      </c>
    </row>
    <row r="344">
      <c r="A344" s="1" t="s">
        <v>2699</v>
      </c>
      <c r="B344" s="1" t="s">
        <v>203</v>
      </c>
      <c r="C344" s="1" t="s">
        <v>405</v>
      </c>
      <c r="D344" s="2">
        <f>+251939085832</f>
        <v>251939085832</v>
      </c>
      <c r="E344" s="1" t="s">
        <v>21</v>
      </c>
    </row>
    <row r="345">
      <c r="A345" s="1" t="s">
        <v>2700</v>
      </c>
      <c r="B345" s="1" t="s">
        <v>2701</v>
      </c>
      <c r="C345" s="1" t="s">
        <v>2034</v>
      </c>
      <c r="D345" s="2">
        <f>+251938676860</f>
        <v>251938676860</v>
      </c>
      <c r="E345" s="1" t="s">
        <v>21</v>
      </c>
    </row>
    <row r="346">
      <c r="A346" s="1" t="s">
        <v>2702</v>
      </c>
      <c r="B346" s="1" t="s">
        <v>877</v>
      </c>
      <c r="C346" s="1" t="s">
        <v>2703</v>
      </c>
      <c r="D346" s="2">
        <f>+251972958008</f>
        <v>251972958008</v>
      </c>
      <c r="E346" s="1" t="s">
        <v>21</v>
      </c>
    </row>
    <row r="347">
      <c r="A347" s="1" t="s">
        <v>2704</v>
      </c>
      <c r="B347" s="1" t="s">
        <v>2705</v>
      </c>
      <c r="C347" s="1" t="s">
        <v>2706</v>
      </c>
      <c r="D347" s="2">
        <f>+251942201501</f>
        <v>251942201501</v>
      </c>
      <c r="E347" s="1" t="s">
        <v>21</v>
      </c>
    </row>
    <row r="348">
      <c r="A348" s="1" t="s">
        <v>2711</v>
      </c>
      <c r="B348" s="1" t="s">
        <v>2581</v>
      </c>
      <c r="C348" s="1" t="s">
        <v>956</v>
      </c>
      <c r="D348" s="2">
        <f>+251911635548</f>
        <v>251911635548</v>
      </c>
      <c r="E348" s="1" t="s">
        <v>21</v>
      </c>
    </row>
    <row r="349">
      <c r="A349" s="1" t="s">
        <v>2712</v>
      </c>
      <c r="B349" s="1" t="s">
        <v>292</v>
      </c>
      <c r="C349" s="1" t="s">
        <v>2713</v>
      </c>
      <c r="D349" s="2">
        <f>+251910891140</f>
        <v>251910891140</v>
      </c>
      <c r="E349" s="1" t="s">
        <v>21</v>
      </c>
    </row>
    <row r="350">
      <c r="A350" s="1" t="s">
        <v>2714</v>
      </c>
      <c r="B350" s="1" t="s">
        <v>2380</v>
      </c>
      <c r="C350" s="1" t="s">
        <v>2374</v>
      </c>
      <c r="D350" s="2">
        <f>+251918535155</f>
        <v>251918535155</v>
      </c>
      <c r="E350" s="1" t="s">
        <v>21</v>
      </c>
    </row>
    <row r="351">
      <c r="A351" s="1" t="s">
        <v>2715</v>
      </c>
      <c r="B351" s="1" t="s">
        <v>2716</v>
      </c>
      <c r="C351" s="1" t="s">
        <v>338</v>
      </c>
      <c r="D351" s="2">
        <f>+251945757831</f>
        <v>251945757831</v>
      </c>
      <c r="E351" s="1" t="s">
        <v>21</v>
      </c>
    </row>
    <row r="352">
      <c r="A352" s="1" t="s">
        <v>2717</v>
      </c>
      <c r="B352" s="1" t="s">
        <v>2718</v>
      </c>
      <c r="C352" s="1" t="s">
        <v>2718</v>
      </c>
      <c r="D352" s="2">
        <f>+251977797600</f>
        <v>251977797600</v>
      </c>
      <c r="E352" s="1" t="s">
        <v>21</v>
      </c>
    </row>
    <row r="353">
      <c r="A353" s="1" t="s">
        <v>2720</v>
      </c>
      <c r="B353" s="1" t="s">
        <v>2721</v>
      </c>
      <c r="C353" s="1" t="s">
        <v>2722</v>
      </c>
      <c r="D353" s="2">
        <f>+251912735174</f>
        <v>251912735174</v>
      </c>
      <c r="E353" s="1" t="s">
        <v>21</v>
      </c>
    </row>
    <row r="354">
      <c r="A354" s="1" t="s">
        <v>2726</v>
      </c>
      <c r="B354" s="1" t="s">
        <v>2727</v>
      </c>
      <c r="C354" s="1" t="s">
        <v>2728</v>
      </c>
      <c r="D354" s="2">
        <f>+251993833511</f>
        <v>251993833511</v>
      </c>
      <c r="E354" s="1" t="s">
        <v>21</v>
      </c>
    </row>
    <row r="355">
      <c r="A355" s="1" t="s">
        <v>2729</v>
      </c>
      <c r="B355" s="1" t="s">
        <v>28</v>
      </c>
      <c r="C355" s="1" t="s">
        <v>1649</v>
      </c>
      <c r="D355" s="2">
        <f>+251973647278</f>
        <v>251973647278</v>
      </c>
      <c r="E355" s="1" t="s">
        <v>21</v>
      </c>
    </row>
    <row r="356">
      <c r="A356" s="1" t="s">
        <v>2730</v>
      </c>
      <c r="B356" s="1" t="s">
        <v>2731</v>
      </c>
      <c r="C356" s="1" t="s">
        <v>2732</v>
      </c>
      <c r="D356" s="2">
        <f>+251948229927</f>
        <v>251948229927</v>
      </c>
      <c r="E356" s="1" t="s">
        <v>21</v>
      </c>
    </row>
    <row r="357">
      <c r="A357" s="1" t="s">
        <v>2739</v>
      </c>
      <c r="B357" s="1" t="s">
        <v>2740</v>
      </c>
      <c r="C357" s="1" t="s">
        <v>2741</v>
      </c>
      <c r="D357" s="2">
        <f>+251901942023</f>
        <v>251901942023</v>
      </c>
      <c r="E357" s="1" t="s">
        <v>21</v>
      </c>
    </row>
    <row r="358">
      <c r="A358" s="1" t="s">
        <v>2742</v>
      </c>
      <c r="B358" s="1" t="s">
        <v>1317</v>
      </c>
      <c r="C358" s="1" t="s">
        <v>2609</v>
      </c>
      <c r="D358" s="2">
        <f>+251925322653</f>
        <v>251925322653</v>
      </c>
      <c r="E358" s="1" t="s">
        <v>21</v>
      </c>
    </row>
    <row r="359">
      <c r="A359" s="1" t="s">
        <v>2743</v>
      </c>
      <c r="B359" s="1" t="s">
        <v>37</v>
      </c>
      <c r="C359" s="1" t="s">
        <v>2744</v>
      </c>
      <c r="D359" s="2">
        <f>+251938957234</f>
        <v>251938957234</v>
      </c>
      <c r="E359" s="1" t="s">
        <v>21</v>
      </c>
    </row>
    <row r="360">
      <c r="A360" s="1" t="s">
        <v>2745</v>
      </c>
      <c r="B360" s="1" t="s">
        <v>294</v>
      </c>
      <c r="C360" s="1" t="s">
        <v>2746</v>
      </c>
      <c r="D360" s="2">
        <f>+251911116465</f>
        <v>251911116465</v>
      </c>
      <c r="E360" s="1" t="s">
        <v>21</v>
      </c>
    </row>
    <row r="361">
      <c r="A361" s="1" t="s">
        <v>2751</v>
      </c>
      <c r="B361" s="1" t="s">
        <v>2752</v>
      </c>
      <c r="C361" s="1" t="s">
        <v>1783</v>
      </c>
      <c r="D361" s="2">
        <f>+251913293597</f>
        <v>251913293597</v>
      </c>
      <c r="E361" s="1" t="s">
        <v>21</v>
      </c>
    </row>
    <row r="362">
      <c r="A362" s="1" t="s">
        <v>2753</v>
      </c>
      <c r="B362" s="1" t="s">
        <v>1403</v>
      </c>
      <c r="C362" s="1" t="s">
        <v>2693</v>
      </c>
      <c r="D362" s="2">
        <f>+251913132147</f>
        <v>251913132147</v>
      </c>
      <c r="E362" s="1" t="s">
        <v>21</v>
      </c>
    </row>
    <row r="363">
      <c r="A363" s="1" t="s">
        <v>2758</v>
      </c>
      <c r="B363" s="1" t="s">
        <v>2759</v>
      </c>
      <c r="C363" s="1" t="s">
        <v>487</v>
      </c>
      <c r="D363" s="2">
        <f>+251901923838</f>
        <v>251901923838</v>
      </c>
      <c r="E363" s="1" t="s">
        <v>21</v>
      </c>
    </row>
    <row r="364">
      <c r="A364" s="1" t="s">
        <v>2760</v>
      </c>
      <c r="B364" s="1" t="s">
        <v>101</v>
      </c>
      <c r="C364" s="1" t="s">
        <v>2017</v>
      </c>
      <c r="D364" s="2">
        <f>+251942620184</f>
        <v>251942620184</v>
      </c>
      <c r="E364" s="1" t="s">
        <v>21</v>
      </c>
    </row>
    <row r="365">
      <c r="A365" s="1" t="s">
        <v>2766</v>
      </c>
      <c r="B365" s="1" t="s">
        <v>500</v>
      </c>
      <c r="C365" s="1" t="s">
        <v>2767</v>
      </c>
      <c r="D365" s="2">
        <f>+251966190072</f>
        <v>251966190072</v>
      </c>
      <c r="E365" s="1" t="s">
        <v>21</v>
      </c>
    </row>
    <row r="366">
      <c r="A366" s="1" t="s">
        <v>2769</v>
      </c>
      <c r="B366" s="1" t="s">
        <v>1407</v>
      </c>
      <c r="C366" s="1" t="s">
        <v>2770</v>
      </c>
      <c r="D366" s="2">
        <f>+251910611421</f>
        <v>251910611421</v>
      </c>
      <c r="E366" s="1" t="s">
        <v>21</v>
      </c>
    </row>
    <row r="367">
      <c r="A367" s="1" t="s">
        <v>2771</v>
      </c>
      <c r="B367" s="1" t="s">
        <v>2772</v>
      </c>
      <c r="C367" s="1" t="s">
        <v>2773</v>
      </c>
      <c r="D367" s="2">
        <f>+251913041986</f>
        <v>251913041986</v>
      </c>
      <c r="E367" s="1" t="s">
        <v>21</v>
      </c>
    </row>
    <row r="368">
      <c r="A368" s="1" t="s">
        <v>2774</v>
      </c>
      <c r="B368" s="1" t="s">
        <v>2775</v>
      </c>
      <c r="C368" s="1" t="s">
        <v>2776</v>
      </c>
      <c r="D368" s="2">
        <f>+251911099041</f>
        <v>251911099041</v>
      </c>
      <c r="E368" s="1" t="s">
        <v>21</v>
      </c>
    </row>
    <row r="369">
      <c r="A369" s="1" t="s">
        <v>2777</v>
      </c>
      <c r="B369" s="1" t="s">
        <v>2778</v>
      </c>
      <c r="C369" s="1" t="s">
        <v>361</v>
      </c>
      <c r="D369" s="2">
        <f>+251928235719</f>
        <v>251928235719</v>
      </c>
      <c r="E369" s="1" t="s">
        <v>21</v>
      </c>
    </row>
    <row r="370">
      <c r="A370" s="1" t="s">
        <v>2779</v>
      </c>
      <c r="B370" s="1" t="s">
        <v>16</v>
      </c>
      <c r="C370" s="1" t="s">
        <v>2780</v>
      </c>
      <c r="D370" s="2">
        <f>+251929738853</f>
        <v>251929738853</v>
      </c>
      <c r="E370" s="1" t="s">
        <v>21</v>
      </c>
    </row>
    <row r="371">
      <c r="A371" s="1" t="s">
        <v>2781</v>
      </c>
      <c r="B371" s="1" t="s">
        <v>646</v>
      </c>
      <c r="C371" s="1" t="s">
        <v>2782</v>
      </c>
      <c r="D371" s="2">
        <f>+251961148242</f>
        <v>251961148242</v>
      </c>
      <c r="E371" s="1" t="s">
        <v>21</v>
      </c>
    </row>
    <row r="372">
      <c r="A372" s="1" t="s">
        <v>2783</v>
      </c>
      <c r="B372" s="1" t="s">
        <v>2429</v>
      </c>
      <c r="C372" s="1" t="s">
        <v>2784</v>
      </c>
      <c r="D372" s="2">
        <f>+251911872707</f>
        <v>251911872707</v>
      </c>
      <c r="E372" s="1" t="s">
        <v>21</v>
      </c>
    </row>
    <row r="373">
      <c r="A373" s="1" t="s">
        <v>2789</v>
      </c>
      <c r="B373" s="1" t="s">
        <v>2790</v>
      </c>
      <c r="C373" s="1" t="s">
        <v>2240</v>
      </c>
      <c r="D373" s="2">
        <f>+251968594591</f>
        <v>251968594591</v>
      </c>
      <c r="E373" s="1" t="s">
        <v>21</v>
      </c>
    </row>
    <row r="374">
      <c r="A374" s="1" t="s">
        <v>2791</v>
      </c>
      <c r="B374" s="1" t="s">
        <v>1157</v>
      </c>
      <c r="C374" s="1" t="s">
        <v>2792</v>
      </c>
      <c r="D374" s="2">
        <f>+251927707632</f>
        <v>251927707632</v>
      </c>
      <c r="E374" s="1" t="s">
        <v>21</v>
      </c>
    </row>
    <row r="375">
      <c r="A375" s="1" t="s">
        <v>2794</v>
      </c>
      <c r="B375" s="1" t="s">
        <v>1105</v>
      </c>
      <c r="C375" s="1" t="s">
        <v>2795</v>
      </c>
      <c r="D375" s="2">
        <f>+251960604878</f>
        <v>251960604878</v>
      </c>
      <c r="E375" s="1" t="s">
        <v>21</v>
      </c>
    </row>
    <row r="376">
      <c r="A376" s="1" t="s">
        <v>2796</v>
      </c>
      <c r="B376" s="1" t="s">
        <v>141</v>
      </c>
      <c r="C376" s="1" t="s">
        <v>141</v>
      </c>
      <c r="D376" s="2">
        <f>+251989965969</f>
        <v>251989965969</v>
      </c>
      <c r="E376" s="1" t="s">
        <v>21</v>
      </c>
    </row>
    <row r="377">
      <c r="A377" s="1" t="s">
        <v>2797</v>
      </c>
      <c r="B377" s="1" t="s">
        <v>2385</v>
      </c>
      <c r="C377" s="1" t="s">
        <v>338</v>
      </c>
      <c r="D377" s="2">
        <f>+251939518095</f>
        <v>251939518095</v>
      </c>
      <c r="E377" s="1" t="s">
        <v>21</v>
      </c>
    </row>
    <row r="378">
      <c r="A378" s="1" t="s">
        <v>2798</v>
      </c>
      <c r="B378" s="1" t="s">
        <v>2160</v>
      </c>
      <c r="C378" s="1" t="s">
        <v>2799</v>
      </c>
      <c r="D378" s="2">
        <f>+251930994050</f>
        <v>251930994050</v>
      </c>
      <c r="E378" s="1" t="s">
        <v>21</v>
      </c>
    </row>
    <row r="379">
      <c r="A379" s="1" t="s">
        <v>2800</v>
      </c>
      <c r="B379" s="1" t="s">
        <v>2801</v>
      </c>
      <c r="C379" s="1" t="s">
        <v>2802</v>
      </c>
      <c r="D379" s="2">
        <f>+251911941770</f>
        <v>251911941770</v>
      </c>
      <c r="E379" s="1" t="s">
        <v>21</v>
      </c>
    </row>
    <row r="380">
      <c r="A380" s="1" t="s">
        <v>2803</v>
      </c>
      <c r="B380" s="1" t="s">
        <v>2474</v>
      </c>
      <c r="C380" s="1" t="s">
        <v>2804</v>
      </c>
      <c r="D380" s="2">
        <f>+251913178540</f>
        <v>251913178540</v>
      </c>
      <c r="E380" s="1" t="s">
        <v>21</v>
      </c>
    </row>
    <row r="381">
      <c r="A381" s="1" t="s">
        <v>2805</v>
      </c>
      <c r="B381" s="1" t="s">
        <v>250</v>
      </c>
      <c r="C381" s="1" t="s">
        <v>1333</v>
      </c>
      <c r="D381" s="2">
        <f>+251924003522</f>
        <v>251924003522</v>
      </c>
      <c r="E381" s="1" t="s">
        <v>21</v>
      </c>
    </row>
    <row r="382">
      <c r="A382" s="1" t="s">
        <v>2809</v>
      </c>
      <c r="B382" s="1" t="s">
        <v>154</v>
      </c>
      <c r="C382" s="1" t="s">
        <v>2810</v>
      </c>
      <c r="D382" s="2">
        <f>+251913764517</f>
        <v>251913764517</v>
      </c>
      <c r="E382" s="1" t="s">
        <v>21</v>
      </c>
    </row>
    <row r="383">
      <c r="A383" s="1" t="s">
        <v>2811</v>
      </c>
      <c r="B383" s="1" t="s">
        <v>2812</v>
      </c>
      <c r="C383" s="1" t="s">
        <v>2813</v>
      </c>
      <c r="D383" s="2">
        <f>+251912135335</f>
        <v>251912135335</v>
      </c>
      <c r="E383" s="1" t="s">
        <v>21</v>
      </c>
    </row>
    <row r="384">
      <c r="A384" s="1" t="s">
        <v>2814</v>
      </c>
      <c r="B384" s="1" t="s">
        <v>2815</v>
      </c>
      <c r="C384" s="1" t="s">
        <v>2816</v>
      </c>
      <c r="D384" s="2">
        <f>+251917347974</f>
        <v>251917347974</v>
      </c>
      <c r="E384" s="1" t="s">
        <v>21</v>
      </c>
    </row>
    <row r="385">
      <c r="A385" s="1" t="s">
        <v>2817</v>
      </c>
      <c r="B385" s="1" t="s">
        <v>390</v>
      </c>
      <c r="C385" s="1" t="s">
        <v>929</v>
      </c>
      <c r="D385" s="2">
        <f>+251921605093</f>
        <v>251921605093</v>
      </c>
      <c r="E385" s="1" t="s">
        <v>21</v>
      </c>
    </row>
    <row r="386">
      <c r="A386" s="1" t="s">
        <v>2818</v>
      </c>
      <c r="B386" s="1" t="s">
        <v>2819</v>
      </c>
      <c r="C386" s="1" t="s">
        <v>2820</v>
      </c>
      <c r="D386" s="2">
        <f>+251968766877</f>
        <v>251968766877</v>
      </c>
      <c r="E386" s="1" t="s">
        <v>21</v>
      </c>
    </row>
    <row r="387">
      <c r="A387" s="1" t="s">
        <v>2826</v>
      </c>
      <c r="B387" s="1" t="s">
        <v>774</v>
      </c>
      <c r="C387" s="1" t="s">
        <v>2827</v>
      </c>
      <c r="D387" s="2">
        <f>+251910060865</f>
        <v>251910060865</v>
      </c>
      <c r="E387" s="1" t="s">
        <v>21</v>
      </c>
    </row>
    <row r="388">
      <c r="A388" s="1" t="s">
        <v>2828</v>
      </c>
      <c r="B388" s="1" t="s">
        <v>2829</v>
      </c>
      <c r="C388" s="1" t="s">
        <v>278</v>
      </c>
      <c r="D388" s="1">
        <v>9.66714536E8</v>
      </c>
      <c r="E388" s="1" t="s">
        <v>21</v>
      </c>
    </row>
    <row r="389">
      <c r="A389" s="1" t="s">
        <v>2830</v>
      </c>
      <c r="B389" s="1" t="s">
        <v>67</v>
      </c>
      <c r="C389" s="1" t="s">
        <v>2831</v>
      </c>
      <c r="D389" s="2">
        <f>+251923569800</f>
        <v>251923569800</v>
      </c>
      <c r="E389" s="1" t="s">
        <v>21</v>
      </c>
    </row>
    <row r="390">
      <c r="A390" s="1" t="s">
        <v>2833</v>
      </c>
      <c r="B390" s="1" t="s">
        <v>2834</v>
      </c>
      <c r="C390" s="1" t="s">
        <v>2835</v>
      </c>
      <c r="D390" s="2">
        <f>+251926098685</f>
        <v>251926098685</v>
      </c>
      <c r="E390" s="1" t="s">
        <v>21</v>
      </c>
    </row>
    <row r="391">
      <c r="A391" s="1" t="s">
        <v>2838</v>
      </c>
      <c r="B391" s="1" t="s">
        <v>2839</v>
      </c>
      <c r="C391" s="1" t="s">
        <v>2840</v>
      </c>
      <c r="D391" s="2">
        <f>+251991366012</f>
        <v>251991366012</v>
      </c>
      <c r="E391" s="1" t="s">
        <v>21</v>
      </c>
    </row>
    <row r="392">
      <c r="A392" s="1" t="s">
        <v>2841</v>
      </c>
      <c r="B392" s="1" t="s">
        <v>2842</v>
      </c>
      <c r="C392" s="1" t="s">
        <v>2843</v>
      </c>
      <c r="D392" s="2">
        <f>+251918274844</f>
        <v>251918274844</v>
      </c>
      <c r="E392" s="1" t="s">
        <v>21</v>
      </c>
    </row>
    <row r="393">
      <c r="A393" s="1" t="s">
        <v>2844</v>
      </c>
      <c r="B393" s="1" t="s">
        <v>2845</v>
      </c>
      <c r="C393" s="1" t="s">
        <v>2846</v>
      </c>
      <c r="D393" s="2">
        <f>+251922903166</f>
        <v>251922903166</v>
      </c>
      <c r="E393" s="1" t="s">
        <v>21</v>
      </c>
    </row>
    <row r="394">
      <c r="A394" s="1" t="s">
        <v>2850</v>
      </c>
      <c r="B394" s="1" t="s">
        <v>328</v>
      </c>
      <c r="C394" s="1" t="s">
        <v>862</v>
      </c>
      <c r="D394" s="2">
        <f>+251933780020</f>
        <v>251933780020</v>
      </c>
      <c r="E394" s="1" t="s">
        <v>21</v>
      </c>
    </row>
    <row r="395">
      <c r="A395" s="1" t="s">
        <v>2851</v>
      </c>
      <c r="B395" s="1" t="s">
        <v>2301</v>
      </c>
      <c r="C395" s="1" t="s">
        <v>141</v>
      </c>
      <c r="D395" s="2">
        <f>+251903152927</f>
        <v>251903152927</v>
      </c>
      <c r="E395" s="1" t="s">
        <v>21</v>
      </c>
    </row>
    <row r="396">
      <c r="A396" s="1" t="s">
        <v>2852</v>
      </c>
      <c r="B396" s="1" t="s">
        <v>500</v>
      </c>
      <c r="C396" s="1" t="s">
        <v>2853</v>
      </c>
      <c r="D396" s="2">
        <f>+251910977304</f>
        <v>251910977304</v>
      </c>
      <c r="E396" s="1" t="s">
        <v>21</v>
      </c>
    </row>
    <row r="397">
      <c r="A397" s="1" t="s">
        <v>2854</v>
      </c>
      <c r="B397" s="1" t="s">
        <v>2855</v>
      </c>
      <c r="C397" s="1" t="s">
        <v>2856</v>
      </c>
      <c r="D397" s="2">
        <f>+251911174957</f>
        <v>251911174957</v>
      </c>
      <c r="E397" s="1" t="s">
        <v>21</v>
      </c>
    </row>
    <row r="398">
      <c r="A398" s="1" t="s">
        <v>2857</v>
      </c>
      <c r="B398" s="1" t="s">
        <v>2025</v>
      </c>
      <c r="C398" s="1" t="s">
        <v>430</v>
      </c>
      <c r="D398" s="2">
        <f>+251949448813</f>
        <v>251949448813</v>
      </c>
      <c r="E398" s="1" t="s">
        <v>21</v>
      </c>
    </row>
    <row r="399">
      <c r="A399" s="1" t="s">
        <v>2858</v>
      </c>
      <c r="B399" s="1" t="s">
        <v>2859</v>
      </c>
      <c r="C399" s="1" t="s">
        <v>2860</v>
      </c>
      <c r="D399" s="2">
        <f>+251911288064</f>
        <v>251911288064</v>
      </c>
      <c r="E399" s="1" t="s">
        <v>21</v>
      </c>
    </row>
    <row r="400">
      <c r="A400" s="1" t="s">
        <v>2861</v>
      </c>
      <c r="B400" s="1" t="s">
        <v>28</v>
      </c>
      <c r="C400" s="1" t="s">
        <v>963</v>
      </c>
      <c r="D400" s="2">
        <f>+251922859361</f>
        <v>251922859361</v>
      </c>
      <c r="E400" s="1" t="s">
        <v>21</v>
      </c>
    </row>
    <row r="401">
      <c r="A401" s="1" t="s">
        <v>2864</v>
      </c>
      <c r="B401" s="1" t="s">
        <v>2865</v>
      </c>
      <c r="C401" s="1" t="s">
        <v>2810</v>
      </c>
      <c r="D401" s="2">
        <f>+251945453880</f>
        <v>251945453880</v>
      </c>
      <c r="E401" s="1" t="s">
        <v>21</v>
      </c>
    </row>
    <row r="402">
      <c r="A402" s="1" t="s">
        <v>2866</v>
      </c>
      <c r="B402" s="1" t="s">
        <v>2867</v>
      </c>
      <c r="C402" s="1" t="s">
        <v>141</v>
      </c>
      <c r="D402" s="2">
        <f>+251946771807</f>
        <v>251946771807</v>
      </c>
      <c r="E402" s="1" t="s">
        <v>21</v>
      </c>
    </row>
    <row r="403">
      <c r="A403" s="1" t="s">
        <v>2868</v>
      </c>
      <c r="B403" s="1" t="s">
        <v>1832</v>
      </c>
      <c r="C403" s="1" t="s">
        <v>189</v>
      </c>
      <c r="D403" s="2">
        <f>+251923397601</f>
        <v>251923397601</v>
      </c>
      <c r="E403" s="1" t="s">
        <v>21</v>
      </c>
    </row>
    <row r="404">
      <c r="A404" s="1" t="s">
        <v>2872</v>
      </c>
      <c r="B404" s="1" t="s">
        <v>1247</v>
      </c>
      <c r="C404" s="1" t="s">
        <v>2873</v>
      </c>
      <c r="D404" s="2">
        <f>+251985214183</f>
        <v>251985214183</v>
      </c>
      <c r="E404" s="1" t="s">
        <v>21</v>
      </c>
    </row>
    <row r="405">
      <c r="A405" s="1" t="s">
        <v>2874</v>
      </c>
      <c r="B405" s="1" t="s">
        <v>2875</v>
      </c>
      <c r="C405" s="1" t="s">
        <v>616</v>
      </c>
      <c r="D405" s="2">
        <f>+251921759285</f>
        <v>251921759285</v>
      </c>
      <c r="E405" s="1" t="s">
        <v>21</v>
      </c>
    </row>
    <row r="406">
      <c r="A406" s="1" t="s">
        <v>2878</v>
      </c>
      <c r="B406" s="1" t="s">
        <v>2879</v>
      </c>
      <c r="C406" s="1" t="s">
        <v>2880</v>
      </c>
      <c r="D406" s="2">
        <f>+251966374890</f>
        <v>251966374890</v>
      </c>
      <c r="E406" s="1" t="s">
        <v>21</v>
      </c>
    </row>
    <row r="407">
      <c r="A407" s="1" t="s">
        <v>2881</v>
      </c>
      <c r="B407" s="1" t="s">
        <v>411</v>
      </c>
      <c r="C407" s="1" t="s">
        <v>2420</v>
      </c>
      <c r="D407" s="2">
        <f>+251952890173</f>
        <v>251952890173</v>
      </c>
      <c r="E407" s="1" t="s">
        <v>21</v>
      </c>
    </row>
    <row r="408">
      <c r="A408" s="1" t="s">
        <v>2882</v>
      </c>
      <c r="B408" s="1" t="s">
        <v>2883</v>
      </c>
      <c r="C408" s="1" t="s">
        <v>51</v>
      </c>
      <c r="D408" s="2">
        <f>+251923830882</f>
        <v>251923830882</v>
      </c>
      <c r="E408" s="1" t="s">
        <v>21</v>
      </c>
    </row>
    <row r="409">
      <c r="A409" s="1" t="s">
        <v>2888</v>
      </c>
      <c r="B409" s="1" t="s">
        <v>2889</v>
      </c>
      <c r="C409" s="1" t="s">
        <v>2890</v>
      </c>
      <c r="D409" s="2">
        <f>+251903767670</f>
        <v>251903767670</v>
      </c>
      <c r="E409" s="1" t="s">
        <v>21</v>
      </c>
    </row>
    <row r="410">
      <c r="A410" s="1" t="s">
        <v>2894</v>
      </c>
      <c r="B410" s="1" t="s">
        <v>1899</v>
      </c>
      <c r="C410" s="1" t="s">
        <v>719</v>
      </c>
      <c r="D410" s="1">
        <v>2.5193786236E11</v>
      </c>
      <c r="E410" s="1" t="s">
        <v>21</v>
      </c>
    </row>
    <row r="411">
      <c r="A411" s="1" t="s">
        <v>2895</v>
      </c>
      <c r="B411" s="1" t="s">
        <v>284</v>
      </c>
      <c r="C411" s="1" t="s">
        <v>2896</v>
      </c>
      <c r="D411" s="2">
        <f>+251949598693</f>
        <v>251949598693</v>
      </c>
      <c r="E411" s="1" t="s">
        <v>21</v>
      </c>
    </row>
    <row r="412">
      <c r="A412" s="1" t="s">
        <v>2899</v>
      </c>
      <c r="B412" s="1" t="s">
        <v>1032</v>
      </c>
      <c r="C412" s="1" t="s">
        <v>601</v>
      </c>
      <c r="D412" s="2">
        <f>+251983287889</f>
        <v>251983287889</v>
      </c>
      <c r="E412" s="1" t="s">
        <v>21</v>
      </c>
    </row>
    <row r="413">
      <c r="A413" s="1" t="s">
        <v>2901</v>
      </c>
      <c r="B413" s="1" t="s">
        <v>2902</v>
      </c>
      <c r="C413" s="1" t="s">
        <v>2903</v>
      </c>
      <c r="D413" s="2">
        <f>+251912643957</f>
        <v>251912643957</v>
      </c>
      <c r="E413" s="1" t="s">
        <v>21</v>
      </c>
    </row>
    <row r="414">
      <c r="A414" s="1" t="s">
        <v>2904</v>
      </c>
      <c r="B414" s="1" t="s">
        <v>262</v>
      </c>
      <c r="C414" s="1" t="s">
        <v>2905</v>
      </c>
      <c r="D414" s="2">
        <f>+251948449696</f>
        <v>251948449696</v>
      </c>
      <c r="E414" s="1" t="s">
        <v>21</v>
      </c>
    </row>
    <row r="415">
      <c r="A415" s="1" t="s">
        <v>2908</v>
      </c>
      <c r="B415" s="1" t="s">
        <v>2909</v>
      </c>
      <c r="C415" s="1" t="s">
        <v>141</v>
      </c>
      <c r="D415" s="2">
        <f>+251939546968</f>
        <v>251939546968</v>
      </c>
      <c r="E415" s="1" t="s">
        <v>21</v>
      </c>
    </row>
    <row r="416">
      <c r="A416" s="1" t="s">
        <v>2910</v>
      </c>
      <c r="B416" s="1" t="s">
        <v>2911</v>
      </c>
      <c r="C416" s="1" t="s">
        <v>548</v>
      </c>
      <c r="D416" s="2">
        <f>+251910101021</f>
        <v>251910101021</v>
      </c>
      <c r="E416" s="1" t="s">
        <v>21</v>
      </c>
    </row>
    <row r="417">
      <c r="A417" s="1" t="s">
        <v>2917</v>
      </c>
      <c r="B417" s="1" t="s">
        <v>91</v>
      </c>
      <c r="C417" s="1" t="s">
        <v>2918</v>
      </c>
      <c r="D417" s="2">
        <f>+251990235000</f>
        <v>251990235000</v>
      </c>
      <c r="E417" s="1" t="s">
        <v>21</v>
      </c>
    </row>
    <row r="418">
      <c r="A418" s="1" t="s">
        <v>2924</v>
      </c>
      <c r="B418" s="1" t="s">
        <v>1824</v>
      </c>
      <c r="C418" s="1" t="s">
        <v>2925</v>
      </c>
      <c r="D418" s="2">
        <f>+251914261534</f>
        <v>251914261534</v>
      </c>
      <c r="E418" s="1" t="s">
        <v>21</v>
      </c>
    </row>
    <row r="419">
      <c r="A419" s="1" t="s">
        <v>2929</v>
      </c>
      <c r="B419" s="1" t="s">
        <v>28</v>
      </c>
      <c r="C419" s="1" t="s">
        <v>2614</v>
      </c>
      <c r="D419" s="2">
        <f>+251924134211</f>
        <v>251924134211</v>
      </c>
      <c r="E419" s="1" t="s">
        <v>21</v>
      </c>
    </row>
    <row r="420">
      <c r="A420" s="1" t="s">
        <v>2930</v>
      </c>
      <c r="B420" s="1" t="s">
        <v>2931</v>
      </c>
      <c r="C420" s="1" t="s">
        <v>2932</v>
      </c>
      <c r="D420" s="2">
        <f>+251970435234</f>
        <v>251970435234</v>
      </c>
      <c r="E420" s="1" t="s">
        <v>21</v>
      </c>
    </row>
    <row r="421">
      <c r="A421" s="1" t="s">
        <v>2936</v>
      </c>
      <c r="B421" s="1" t="s">
        <v>2937</v>
      </c>
      <c r="C421" s="1" t="s">
        <v>2938</v>
      </c>
      <c r="D421" s="2">
        <f>+251941266945</f>
        <v>251941266945</v>
      </c>
      <c r="E421" s="1" t="s">
        <v>21</v>
      </c>
    </row>
    <row r="422">
      <c r="A422" s="1" t="s">
        <v>2942</v>
      </c>
      <c r="B422" s="1" t="s">
        <v>1917</v>
      </c>
      <c r="C422" s="1" t="s">
        <v>2943</v>
      </c>
      <c r="D422" s="2">
        <f>+251919376878</f>
        <v>251919376878</v>
      </c>
      <c r="E422" s="1" t="s">
        <v>21</v>
      </c>
    </row>
    <row r="423">
      <c r="A423" s="1" t="s">
        <v>2944</v>
      </c>
      <c r="B423" s="1" t="s">
        <v>1590</v>
      </c>
      <c r="C423" s="1" t="s">
        <v>524</v>
      </c>
      <c r="D423" s="2">
        <f>+251921312903</f>
        <v>251921312903</v>
      </c>
      <c r="E423" s="1" t="s">
        <v>21</v>
      </c>
    </row>
    <row r="424">
      <c r="A424" s="1" t="s">
        <v>2946</v>
      </c>
      <c r="B424" s="1" t="s">
        <v>2947</v>
      </c>
      <c r="C424" s="1" t="s">
        <v>2948</v>
      </c>
      <c r="D424" s="2">
        <f>+251917117572</f>
        <v>251917117572</v>
      </c>
      <c r="E424" s="1" t="s">
        <v>21</v>
      </c>
    </row>
    <row r="425">
      <c r="A425" s="1" t="s">
        <v>2949</v>
      </c>
      <c r="B425" s="1" t="s">
        <v>2950</v>
      </c>
      <c r="C425" s="1" t="s">
        <v>176</v>
      </c>
      <c r="D425" s="2">
        <f>+2519070008820</f>
        <v>2519070008820</v>
      </c>
      <c r="E425" s="1" t="s">
        <v>21</v>
      </c>
    </row>
    <row r="426">
      <c r="A426" s="1" t="s">
        <v>2953</v>
      </c>
      <c r="B426" s="1" t="s">
        <v>1069</v>
      </c>
      <c r="C426" s="1" t="s">
        <v>2954</v>
      </c>
      <c r="D426" s="2">
        <f>+251936365983</f>
        <v>251936365983</v>
      </c>
      <c r="E426" s="1" t="s">
        <v>21</v>
      </c>
    </row>
    <row r="427">
      <c r="A427" s="1" t="s">
        <v>2955</v>
      </c>
      <c r="B427" s="1" t="s">
        <v>996</v>
      </c>
      <c r="C427" s="1" t="s">
        <v>2956</v>
      </c>
      <c r="D427" s="2">
        <f>+251920513707</f>
        <v>251920513707</v>
      </c>
      <c r="E427" s="1" t="s">
        <v>21</v>
      </c>
    </row>
    <row r="428">
      <c r="A428" s="1" t="s">
        <v>2959</v>
      </c>
      <c r="B428" s="1" t="s">
        <v>195</v>
      </c>
      <c r="C428" s="1" t="s">
        <v>2960</v>
      </c>
      <c r="D428" s="2">
        <f>+251967098893</f>
        <v>251967098893</v>
      </c>
      <c r="E428" s="1" t="s">
        <v>21</v>
      </c>
    </row>
    <row r="429">
      <c r="A429" s="1" t="s">
        <v>2961</v>
      </c>
      <c r="B429" s="1" t="s">
        <v>491</v>
      </c>
      <c r="C429" s="1" t="s">
        <v>2962</v>
      </c>
      <c r="D429" s="2">
        <f>+251916665156</f>
        <v>251916665156</v>
      </c>
      <c r="E429" s="1" t="s">
        <v>21</v>
      </c>
    </row>
    <row r="430">
      <c r="A430" s="1" t="s">
        <v>2963</v>
      </c>
      <c r="B430" s="1" t="s">
        <v>2964</v>
      </c>
      <c r="C430" s="1" t="s">
        <v>2965</v>
      </c>
      <c r="D430" s="2">
        <f>+251920119464</f>
        <v>251920119464</v>
      </c>
      <c r="E430" s="1" t="s">
        <v>21</v>
      </c>
    </row>
    <row r="431">
      <c r="A431" s="1" t="s">
        <v>2972</v>
      </c>
      <c r="B431" s="1" t="s">
        <v>620</v>
      </c>
      <c r="C431" s="1" t="s">
        <v>195</v>
      </c>
      <c r="D431" s="2">
        <f>+251816855642</f>
        <v>251816855642</v>
      </c>
      <c r="E431" s="1" t="s">
        <v>21</v>
      </c>
    </row>
    <row r="432">
      <c r="A432" s="1" t="s">
        <v>2974</v>
      </c>
      <c r="B432" s="1" t="s">
        <v>2975</v>
      </c>
      <c r="C432" s="1" t="s">
        <v>1649</v>
      </c>
      <c r="D432" s="2">
        <f>+251969987474</f>
        <v>251969987474</v>
      </c>
      <c r="E432" s="1" t="s">
        <v>21</v>
      </c>
    </row>
    <row r="433">
      <c r="A433" s="1" t="s">
        <v>2977</v>
      </c>
      <c r="B433" s="1" t="s">
        <v>2978</v>
      </c>
      <c r="C433" s="1" t="s">
        <v>2979</v>
      </c>
      <c r="D433" s="2">
        <f>+251916151351</f>
        <v>251916151351</v>
      </c>
      <c r="E433" s="1" t="s">
        <v>21</v>
      </c>
    </row>
    <row r="434">
      <c r="A434" s="1" t="s">
        <v>2982</v>
      </c>
      <c r="B434" s="1" t="s">
        <v>264</v>
      </c>
      <c r="C434" s="1" t="s">
        <v>1826</v>
      </c>
      <c r="D434" s="2">
        <f>+251941418388</f>
        <v>251941418388</v>
      </c>
      <c r="E434" s="1" t="s">
        <v>21</v>
      </c>
    </row>
    <row r="435">
      <c r="A435" s="1" t="s">
        <v>2983</v>
      </c>
      <c r="B435" s="1" t="s">
        <v>458</v>
      </c>
      <c r="C435" s="1" t="s">
        <v>189</v>
      </c>
      <c r="D435" s="2">
        <f>+251934419806</f>
        <v>251934419806</v>
      </c>
      <c r="E435" s="1" t="s">
        <v>21</v>
      </c>
    </row>
    <row r="436">
      <c r="A436" s="1" t="s">
        <v>2984</v>
      </c>
      <c r="B436" s="1" t="s">
        <v>250</v>
      </c>
      <c r="C436" s="1" t="s">
        <v>371</v>
      </c>
      <c r="D436" s="2">
        <f>+251930655929</f>
        <v>251930655929</v>
      </c>
      <c r="E436" s="1" t="s">
        <v>21</v>
      </c>
    </row>
    <row r="437">
      <c r="A437" s="1" t="s">
        <v>2985</v>
      </c>
      <c r="B437" s="1" t="s">
        <v>2986</v>
      </c>
      <c r="C437" s="1" t="s">
        <v>921</v>
      </c>
      <c r="D437" s="2">
        <f>+251934828292</f>
        <v>251934828292</v>
      </c>
      <c r="E437" s="1" t="s">
        <v>21</v>
      </c>
    </row>
    <row r="438">
      <c r="A438" s="1" t="s">
        <v>2987</v>
      </c>
      <c r="B438" s="1" t="s">
        <v>2036</v>
      </c>
      <c r="C438" s="1" t="s">
        <v>2988</v>
      </c>
      <c r="D438" s="2">
        <f>+251909661044</f>
        <v>251909661044</v>
      </c>
      <c r="E438" s="1" t="s">
        <v>21</v>
      </c>
    </row>
    <row r="439">
      <c r="A439" s="1" t="s">
        <v>2989</v>
      </c>
      <c r="B439" s="1" t="s">
        <v>2990</v>
      </c>
      <c r="C439" s="1" t="s">
        <v>1773</v>
      </c>
      <c r="D439" s="2">
        <f>+251715566171</f>
        <v>251715566171</v>
      </c>
      <c r="E439" s="1" t="s">
        <v>21</v>
      </c>
    </row>
    <row r="440">
      <c r="A440" s="1" t="s">
        <v>2991</v>
      </c>
      <c r="B440" s="1" t="s">
        <v>2992</v>
      </c>
      <c r="C440" s="1" t="s">
        <v>2993</v>
      </c>
      <c r="D440" s="2">
        <f>+251920024704</f>
        <v>251920024704</v>
      </c>
      <c r="E440" s="1" t="s">
        <v>21</v>
      </c>
    </row>
    <row r="441">
      <c r="A441" s="1" t="s">
        <v>2997</v>
      </c>
      <c r="B441" s="1" t="s">
        <v>2998</v>
      </c>
      <c r="C441" s="1" t="s">
        <v>243</v>
      </c>
      <c r="D441" s="2">
        <f>+251932092442</f>
        <v>251932092442</v>
      </c>
      <c r="E441" s="1" t="s">
        <v>21</v>
      </c>
    </row>
    <row r="442">
      <c r="A442" s="1" t="s">
        <v>3002</v>
      </c>
      <c r="B442" s="1" t="s">
        <v>3003</v>
      </c>
      <c r="C442" s="1" t="s">
        <v>3004</v>
      </c>
      <c r="D442" s="1">
        <v>9.86884912E8</v>
      </c>
      <c r="E442" s="1" t="s">
        <v>21</v>
      </c>
    </row>
    <row r="443">
      <c r="A443" s="1" t="s">
        <v>3011</v>
      </c>
      <c r="B443" s="1" t="s">
        <v>877</v>
      </c>
      <c r="C443" s="1" t="s">
        <v>859</v>
      </c>
      <c r="D443" s="2">
        <f>+251986595527</f>
        <v>251986595527</v>
      </c>
      <c r="E443" s="1" t="s">
        <v>21</v>
      </c>
    </row>
    <row r="444">
      <c r="A444" s="1" t="s">
        <v>3014</v>
      </c>
      <c r="B444" s="1" t="s">
        <v>588</v>
      </c>
      <c r="C444" s="1" t="s">
        <v>3015</v>
      </c>
      <c r="D444" s="2">
        <f>+251910050354</f>
        <v>251910050354</v>
      </c>
      <c r="E444" s="1" t="s">
        <v>21</v>
      </c>
    </row>
    <row r="445">
      <c r="A445" s="1" t="s">
        <v>3023</v>
      </c>
      <c r="B445" s="1" t="s">
        <v>2690</v>
      </c>
      <c r="C445" s="1" t="s">
        <v>3024</v>
      </c>
      <c r="D445" s="2">
        <f>+13472830503</f>
        <v>13472830503</v>
      </c>
      <c r="E445" s="1" t="s">
        <v>21</v>
      </c>
    </row>
    <row r="446">
      <c r="A446" s="1" t="s">
        <v>3025</v>
      </c>
      <c r="B446" s="1" t="s">
        <v>1605</v>
      </c>
      <c r="C446" s="1" t="s">
        <v>3026</v>
      </c>
      <c r="D446" s="2">
        <f>+251946725496</f>
        <v>251946725496</v>
      </c>
      <c r="E446" s="1" t="s">
        <v>21</v>
      </c>
    </row>
    <row r="447">
      <c r="A447" s="1" t="s">
        <v>3027</v>
      </c>
      <c r="B447" s="1" t="s">
        <v>424</v>
      </c>
      <c r="C447" s="1" t="s">
        <v>3028</v>
      </c>
      <c r="D447" s="2">
        <f>+251945776678</f>
        <v>251945776678</v>
      </c>
      <c r="E447" s="1" t="s">
        <v>21</v>
      </c>
    </row>
    <row r="448">
      <c r="A448" s="1" t="s">
        <v>3029</v>
      </c>
      <c r="B448" s="1" t="s">
        <v>107</v>
      </c>
      <c r="C448" s="1" t="s">
        <v>595</v>
      </c>
      <c r="D448" s="2">
        <f>+251911637032</f>
        <v>251911637032</v>
      </c>
      <c r="E448" s="1" t="s">
        <v>21</v>
      </c>
    </row>
    <row r="449">
      <c r="A449" s="1" t="s">
        <v>3030</v>
      </c>
      <c r="B449" s="1" t="s">
        <v>1748</v>
      </c>
      <c r="C449" s="1" t="s">
        <v>627</v>
      </c>
      <c r="D449" s="2">
        <f>+251921284180</f>
        <v>251921284180</v>
      </c>
      <c r="E449" s="1" t="s">
        <v>21</v>
      </c>
    </row>
    <row r="450">
      <c r="A450" s="1" t="s">
        <v>3031</v>
      </c>
      <c r="B450" s="1" t="s">
        <v>812</v>
      </c>
      <c r="C450" s="1" t="s">
        <v>880</v>
      </c>
      <c r="D450" s="2">
        <f>+251915529906</f>
        <v>251915529906</v>
      </c>
      <c r="E450" s="1" t="s">
        <v>21</v>
      </c>
    </row>
    <row r="451">
      <c r="A451" s="1" t="s">
        <v>3032</v>
      </c>
      <c r="B451" s="1" t="s">
        <v>3033</v>
      </c>
      <c r="C451" s="1" t="s">
        <v>858</v>
      </c>
      <c r="D451" s="2">
        <f>+251923986561</f>
        <v>251923986561</v>
      </c>
      <c r="E451" s="1" t="s">
        <v>21</v>
      </c>
    </row>
    <row r="452">
      <c r="A452" s="1" t="s">
        <v>3035</v>
      </c>
      <c r="B452" s="1" t="s">
        <v>3036</v>
      </c>
      <c r="C452" s="1" t="s">
        <v>3037</v>
      </c>
      <c r="D452" s="2">
        <f>+251992922272</f>
        <v>251992922272</v>
      </c>
      <c r="E452" s="1" t="s">
        <v>21</v>
      </c>
    </row>
    <row r="453">
      <c r="A453" s="1" t="s">
        <v>3038</v>
      </c>
      <c r="B453" s="1" t="s">
        <v>286</v>
      </c>
      <c r="C453" s="1" t="s">
        <v>3039</v>
      </c>
      <c r="D453" s="2">
        <f>+251922822277</f>
        <v>251922822277</v>
      </c>
      <c r="E453" s="1" t="s">
        <v>21</v>
      </c>
    </row>
    <row r="454">
      <c r="A454" s="1" t="s">
        <v>3040</v>
      </c>
      <c r="B454" s="1" t="s">
        <v>3041</v>
      </c>
      <c r="C454" s="1" t="s">
        <v>3042</v>
      </c>
      <c r="D454" s="2">
        <f>+251989112886</f>
        <v>251989112886</v>
      </c>
      <c r="E454" s="1" t="s">
        <v>21</v>
      </c>
    </row>
    <row r="455">
      <c r="A455" s="1" t="s">
        <v>3043</v>
      </c>
      <c r="B455" s="1" t="s">
        <v>264</v>
      </c>
      <c r="C455" s="1" t="s">
        <v>1940</v>
      </c>
      <c r="D455" s="2">
        <f>+251921305063</f>
        <v>251921305063</v>
      </c>
      <c r="E455" s="1" t="s">
        <v>21</v>
      </c>
    </row>
    <row r="456">
      <c r="A456" s="1" t="s">
        <v>3044</v>
      </c>
      <c r="B456" s="1" t="s">
        <v>91</v>
      </c>
      <c r="C456" s="1" t="s">
        <v>3045</v>
      </c>
      <c r="D456" s="2">
        <f>+251929368318</f>
        <v>251929368318</v>
      </c>
      <c r="E456" s="1" t="s">
        <v>21</v>
      </c>
    </row>
    <row r="457">
      <c r="A457" s="1" t="s">
        <v>3049</v>
      </c>
      <c r="B457" s="1" t="s">
        <v>390</v>
      </c>
      <c r="C457" s="1" t="s">
        <v>916</v>
      </c>
      <c r="D457" s="2">
        <f>+251910701873</f>
        <v>251910701873</v>
      </c>
      <c r="E457" s="1" t="s">
        <v>21</v>
      </c>
    </row>
    <row r="458">
      <c r="A458" s="1" t="s">
        <v>513</v>
      </c>
      <c r="B458" s="1" t="s">
        <v>514</v>
      </c>
      <c r="C458" s="1" t="s">
        <v>515</v>
      </c>
      <c r="D458" s="2">
        <f>+251713298174</f>
        <v>251713298174</v>
      </c>
      <c r="E458" s="1" t="s">
        <v>21</v>
      </c>
    </row>
    <row r="459">
      <c r="A459" s="1" t="s">
        <v>3050</v>
      </c>
      <c r="B459" s="1" t="s">
        <v>944</v>
      </c>
      <c r="C459" s="1" t="s">
        <v>420</v>
      </c>
      <c r="D459" s="2">
        <f>+251974734077</f>
        <v>251974734077</v>
      </c>
      <c r="E459" s="1" t="s">
        <v>21</v>
      </c>
    </row>
    <row r="460">
      <c r="A460" s="1" t="s">
        <v>3052</v>
      </c>
      <c r="B460" s="1" t="s">
        <v>264</v>
      </c>
      <c r="C460" s="1" t="s">
        <v>218</v>
      </c>
      <c r="D460" s="2">
        <f>+251941418388</f>
        <v>251941418388</v>
      </c>
      <c r="E460" s="1" t="s">
        <v>21</v>
      </c>
    </row>
    <row r="461">
      <c r="A461" s="1" t="s">
        <v>3054</v>
      </c>
      <c r="B461" s="1" t="s">
        <v>981</v>
      </c>
      <c r="C461" s="1" t="s">
        <v>3055</v>
      </c>
      <c r="D461" s="2">
        <f>+251946916131</f>
        <v>251946916131</v>
      </c>
      <c r="E461" s="1" t="s">
        <v>21</v>
      </c>
    </row>
    <row r="462">
      <c r="A462" s="1" t="s">
        <v>851</v>
      </c>
      <c r="B462" s="1" t="s">
        <v>852</v>
      </c>
      <c r="C462" s="1" t="s">
        <v>853</v>
      </c>
      <c r="D462" s="2">
        <f>+10933714972</f>
        <v>10933714972</v>
      </c>
      <c r="E462" s="1" t="s">
        <v>21</v>
      </c>
    </row>
    <row r="463">
      <c r="A463" s="1" t="s">
        <v>3059</v>
      </c>
      <c r="B463" s="1" t="s">
        <v>3060</v>
      </c>
      <c r="C463" s="1" t="s">
        <v>545</v>
      </c>
      <c r="D463" s="2">
        <f>+251904781375</f>
        <v>251904781375</v>
      </c>
      <c r="E463" s="1" t="s">
        <v>21</v>
      </c>
    </row>
    <row r="464">
      <c r="A464" s="1" t="s">
        <v>3061</v>
      </c>
      <c r="B464" s="1" t="s">
        <v>337</v>
      </c>
      <c r="C464" s="1" t="s">
        <v>3062</v>
      </c>
      <c r="D464" s="2">
        <f>+251909561236</f>
        <v>251909561236</v>
      </c>
      <c r="E464" s="1" t="s">
        <v>21</v>
      </c>
    </row>
    <row r="465">
      <c r="A465" s="1" t="s">
        <v>3068</v>
      </c>
      <c r="B465" s="1" t="s">
        <v>3069</v>
      </c>
      <c r="C465" s="1" t="s">
        <v>368</v>
      </c>
      <c r="D465" s="2">
        <f>+251941243073</f>
        <v>251941243073</v>
      </c>
      <c r="E465" s="1" t="s">
        <v>21</v>
      </c>
    </row>
    <row r="466">
      <c r="A466" s="1" t="s">
        <v>3070</v>
      </c>
      <c r="B466" s="1" t="s">
        <v>2802</v>
      </c>
      <c r="C466" s="1" t="s">
        <v>361</v>
      </c>
      <c r="D466" s="2">
        <f>+251913967059</f>
        <v>251913967059</v>
      </c>
      <c r="E466" s="1" t="s">
        <v>21</v>
      </c>
    </row>
    <row r="467">
      <c r="A467" s="1" t="s">
        <v>3071</v>
      </c>
      <c r="B467" s="1" t="s">
        <v>663</v>
      </c>
      <c r="C467" s="1" t="s">
        <v>3072</v>
      </c>
      <c r="D467" s="2">
        <f>+251931927392</f>
        <v>251931927392</v>
      </c>
      <c r="E467" s="1" t="s">
        <v>21</v>
      </c>
    </row>
    <row r="468">
      <c r="A468" s="1" t="s">
        <v>3073</v>
      </c>
      <c r="B468" s="1" t="s">
        <v>123</v>
      </c>
      <c r="C468" s="1" t="s">
        <v>360</v>
      </c>
      <c r="D468" s="2">
        <f>+251967265807</f>
        <v>251967265807</v>
      </c>
      <c r="E468" s="1" t="s">
        <v>21</v>
      </c>
    </row>
    <row r="469">
      <c r="A469" s="1" t="s">
        <v>3074</v>
      </c>
      <c r="B469" s="1" t="s">
        <v>3075</v>
      </c>
      <c r="C469" s="1" t="s">
        <v>3076</v>
      </c>
      <c r="D469" s="1">
        <v>9.08775677E8</v>
      </c>
      <c r="E469" s="1" t="s">
        <v>21</v>
      </c>
    </row>
    <row r="470">
      <c r="A470" s="1" t="s">
        <v>3077</v>
      </c>
      <c r="B470" s="1" t="s">
        <v>3078</v>
      </c>
      <c r="C470" s="1" t="s">
        <v>3079</v>
      </c>
      <c r="D470" s="2">
        <f>+251920736359</f>
        <v>251920736359</v>
      </c>
      <c r="E470" s="1" t="s">
        <v>21</v>
      </c>
    </row>
    <row r="471">
      <c r="A471" s="1" t="s">
        <v>3084</v>
      </c>
      <c r="B471" s="1" t="s">
        <v>233</v>
      </c>
      <c r="C471" s="1" t="s">
        <v>618</v>
      </c>
      <c r="D471" s="2">
        <f>+251936315301</f>
        <v>251936315301</v>
      </c>
      <c r="E471" s="1" t="s">
        <v>21</v>
      </c>
    </row>
    <row r="472">
      <c r="A472" s="1" t="s">
        <v>3088</v>
      </c>
      <c r="B472" s="1" t="s">
        <v>2624</v>
      </c>
      <c r="C472" s="1" t="s">
        <v>491</v>
      </c>
      <c r="D472" s="2">
        <f>+251921236526</f>
        <v>251921236526</v>
      </c>
      <c r="E472" s="1" t="s">
        <v>21</v>
      </c>
    </row>
    <row r="473">
      <c r="A473" s="1" t="s">
        <v>3092</v>
      </c>
      <c r="B473" s="1" t="s">
        <v>28</v>
      </c>
      <c r="C473" s="1" t="s">
        <v>1149</v>
      </c>
      <c r="D473" s="2">
        <f>+251925759355</f>
        <v>251925759355</v>
      </c>
      <c r="E473" s="1" t="s">
        <v>21</v>
      </c>
    </row>
    <row r="474">
      <c r="A474" s="1" t="s">
        <v>3093</v>
      </c>
      <c r="B474" s="1" t="s">
        <v>48</v>
      </c>
      <c r="C474" s="1" t="s">
        <v>3094</v>
      </c>
      <c r="D474" s="2">
        <f>+251928220313</f>
        <v>251928220313</v>
      </c>
      <c r="E474" s="1" t="s">
        <v>21</v>
      </c>
    </row>
    <row r="475">
      <c r="A475" s="1" t="s">
        <v>3098</v>
      </c>
      <c r="B475" s="1" t="s">
        <v>3099</v>
      </c>
      <c r="C475" s="1" t="s">
        <v>3100</v>
      </c>
      <c r="D475" s="2">
        <f>+251915162001</f>
        <v>251915162001</v>
      </c>
      <c r="E475" s="1" t="s">
        <v>21</v>
      </c>
    </row>
    <row r="476">
      <c r="A476" s="1" t="s">
        <v>3101</v>
      </c>
      <c r="B476" s="1" t="s">
        <v>2183</v>
      </c>
      <c r="C476" s="1" t="s">
        <v>3102</v>
      </c>
      <c r="D476" s="2">
        <f>+251941416269</f>
        <v>251941416269</v>
      </c>
      <c r="E476" s="1" t="s">
        <v>21</v>
      </c>
    </row>
    <row r="477">
      <c r="A477" s="1" t="s">
        <v>3103</v>
      </c>
      <c r="B477" s="1" t="s">
        <v>3104</v>
      </c>
      <c r="C477" s="1" t="s">
        <v>3105</v>
      </c>
      <c r="D477" s="2">
        <f>+251941217100</f>
        <v>251941217100</v>
      </c>
      <c r="E477" s="1" t="s">
        <v>21</v>
      </c>
    </row>
    <row r="478">
      <c r="A478" s="1" t="s">
        <v>3110</v>
      </c>
      <c r="B478" s="1" t="s">
        <v>3111</v>
      </c>
      <c r="C478" s="1" t="s">
        <v>2907</v>
      </c>
      <c r="D478" s="2">
        <f>+251913192265</f>
        <v>251913192265</v>
      </c>
      <c r="E478" s="1" t="s">
        <v>21</v>
      </c>
    </row>
    <row r="479">
      <c r="A479" s="1" t="s">
        <v>3112</v>
      </c>
      <c r="B479" s="1" t="s">
        <v>3113</v>
      </c>
      <c r="C479" s="1" t="s">
        <v>108</v>
      </c>
      <c r="D479" s="2">
        <f>+251931469433</f>
        <v>251931469433</v>
      </c>
      <c r="E479" s="1" t="s">
        <v>21</v>
      </c>
    </row>
    <row r="480">
      <c r="A480" s="1" t="s">
        <v>3114</v>
      </c>
      <c r="B480" s="1" t="s">
        <v>3115</v>
      </c>
      <c r="C480" s="1" t="s">
        <v>1542</v>
      </c>
      <c r="D480" s="2">
        <f>+251911172435</f>
        <v>251911172435</v>
      </c>
      <c r="E480" s="1" t="s">
        <v>21</v>
      </c>
    </row>
    <row r="481">
      <c r="A481" s="1" t="s">
        <v>3121</v>
      </c>
      <c r="B481" s="1" t="s">
        <v>867</v>
      </c>
      <c r="C481" s="1" t="s">
        <v>3122</v>
      </c>
      <c r="D481" s="2">
        <f>+251910270843</f>
        <v>251910270843</v>
      </c>
      <c r="E481" s="1" t="s">
        <v>21</v>
      </c>
    </row>
    <row r="482">
      <c r="A482" s="1" t="s">
        <v>3123</v>
      </c>
      <c r="B482" s="1" t="s">
        <v>3124</v>
      </c>
      <c r="C482" s="1" t="s">
        <v>3125</v>
      </c>
      <c r="D482" s="2">
        <f>+251917804269</f>
        <v>251917804269</v>
      </c>
      <c r="E482" s="1" t="s">
        <v>21</v>
      </c>
    </row>
    <row r="483">
      <c r="A483" s="1" t="s">
        <v>3127</v>
      </c>
      <c r="B483" s="1" t="s">
        <v>3128</v>
      </c>
      <c r="C483" s="1" t="s">
        <v>3129</v>
      </c>
      <c r="D483" s="2">
        <f>+251904416947</f>
        <v>251904416947</v>
      </c>
      <c r="E483" s="1" t="s">
        <v>21</v>
      </c>
    </row>
    <row r="484">
      <c r="A484" s="1" t="s">
        <v>3132</v>
      </c>
      <c r="B484" s="1" t="s">
        <v>3133</v>
      </c>
      <c r="C484" s="1" t="s">
        <v>633</v>
      </c>
      <c r="D484" s="2">
        <f>+251927432809</f>
        <v>251927432809</v>
      </c>
      <c r="E484" s="1" t="s">
        <v>21</v>
      </c>
    </row>
    <row r="485">
      <c r="A485" s="1" t="s">
        <v>3134</v>
      </c>
      <c r="B485" s="1" t="s">
        <v>60</v>
      </c>
      <c r="C485" s="1" t="s">
        <v>2674</v>
      </c>
      <c r="D485" s="2">
        <f>+251973033394</f>
        <v>251973033394</v>
      </c>
      <c r="E485" s="1" t="s">
        <v>21</v>
      </c>
    </row>
    <row r="486">
      <c r="A486" s="1" t="s">
        <v>3136</v>
      </c>
      <c r="B486" s="1" t="s">
        <v>3137</v>
      </c>
      <c r="C486" s="1" t="s">
        <v>3138</v>
      </c>
      <c r="D486" s="2">
        <f>+251912684537</f>
        <v>251912684537</v>
      </c>
      <c r="E486" s="1" t="s">
        <v>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</v>
      </c>
      <c r="B1" s="9" t="s">
        <v>4</v>
      </c>
      <c r="C1" s="9" t="s">
        <v>5</v>
      </c>
      <c r="D1" s="9" t="s">
        <v>6</v>
      </c>
      <c r="E1" s="9" t="s">
        <v>12</v>
      </c>
      <c r="F1" s="9" t="s">
        <v>13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A2" s="1" t="s">
        <v>3139</v>
      </c>
      <c r="B2" s="1" t="s">
        <v>3140</v>
      </c>
      <c r="C2" s="1" t="s">
        <v>3141</v>
      </c>
      <c r="D2" s="2">
        <f>+251949240118</f>
        <v>251949240118</v>
      </c>
      <c r="E2" s="1" t="s">
        <v>26</v>
      </c>
    </row>
    <row r="3">
      <c r="A3" s="1" t="s">
        <v>3142</v>
      </c>
      <c r="B3" s="1" t="s">
        <v>3143</v>
      </c>
      <c r="C3" s="1" t="s">
        <v>3144</v>
      </c>
      <c r="D3" s="2">
        <f>+251911588915</f>
        <v>251911588915</v>
      </c>
      <c r="E3" s="1" t="s">
        <v>26</v>
      </c>
    </row>
    <row r="4">
      <c r="A4" s="1" t="s">
        <v>3145</v>
      </c>
      <c r="B4" s="1" t="s">
        <v>1899</v>
      </c>
      <c r="C4" s="1" t="s">
        <v>363</v>
      </c>
      <c r="D4" s="2">
        <f>+251919594431</f>
        <v>251919594431</v>
      </c>
      <c r="E4" s="1" t="s">
        <v>26</v>
      </c>
    </row>
    <row r="5">
      <c r="A5" s="1" t="s">
        <v>3146</v>
      </c>
      <c r="B5" s="1" t="s">
        <v>129</v>
      </c>
      <c r="C5" s="1" t="s">
        <v>3147</v>
      </c>
      <c r="D5" s="2">
        <f>+251951075203</f>
        <v>251951075203</v>
      </c>
      <c r="E5" s="1" t="s">
        <v>26</v>
      </c>
    </row>
    <row r="6">
      <c r="A6" s="1" t="s">
        <v>3148</v>
      </c>
      <c r="B6" s="1" t="s">
        <v>3149</v>
      </c>
      <c r="C6" s="1" t="s">
        <v>3150</v>
      </c>
      <c r="D6" s="2">
        <f>+251972818384</f>
        <v>251972818384</v>
      </c>
      <c r="E6" s="1" t="s">
        <v>26</v>
      </c>
    </row>
    <row r="7">
      <c r="A7" s="1" t="s">
        <v>3151</v>
      </c>
      <c r="B7" s="1" t="s">
        <v>3152</v>
      </c>
      <c r="C7" s="1" t="s">
        <v>3153</v>
      </c>
      <c r="D7" s="1">
        <v>9.73067273E8</v>
      </c>
      <c r="E7" s="1" t="s">
        <v>26</v>
      </c>
    </row>
    <row r="8">
      <c r="A8" s="1" t="s">
        <v>3154</v>
      </c>
      <c r="B8" s="1" t="s">
        <v>764</v>
      </c>
      <c r="C8" s="1" t="s">
        <v>3155</v>
      </c>
      <c r="D8" s="2">
        <f>+251911198840</f>
        <v>251911198840</v>
      </c>
      <c r="E8" s="1" t="s">
        <v>26</v>
      </c>
    </row>
    <row r="9">
      <c r="A9" s="1" t="s">
        <v>3156</v>
      </c>
      <c r="B9" s="1" t="s">
        <v>3157</v>
      </c>
      <c r="C9" s="1" t="s">
        <v>1237</v>
      </c>
      <c r="D9" s="2">
        <f>+251907361111</f>
        <v>251907361111</v>
      </c>
      <c r="E9" s="1" t="s">
        <v>26</v>
      </c>
    </row>
    <row r="10">
      <c r="A10" s="1" t="s">
        <v>3158</v>
      </c>
      <c r="B10" s="1" t="s">
        <v>792</v>
      </c>
      <c r="C10" s="1" t="s">
        <v>3159</v>
      </c>
      <c r="D10" s="2">
        <f>+251919256104</f>
        <v>251919256104</v>
      </c>
      <c r="E10" s="1" t="s">
        <v>26</v>
      </c>
    </row>
    <row r="11">
      <c r="A11" s="5" t="s">
        <v>3160</v>
      </c>
      <c r="B11" s="5" t="s">
        <v>151</v>
      </c>
      <c r="C11" s="5" t="s">
        <v>2192</v>
      </c>
      <c r="D11" s="6">
        <f>+251944232114</f>
        <v>251944232114</v>
      </c>
      <c r="E11" s="5" t="s">
        <v>26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1" t="s">
        <v>3161</v>
      </c>
      <c r="B12" s="1" t="s">
        <v>3162</v>
      </c>
      <c r="C12" s="1" t="s">
        <v>1374</v>
      </c>
      <c r="D12" s="2">
        <f>+251910427620</f>
        <v>251910427620</v>
      </c>
      <c r="E12" s="1" t="s">
        <v>26</v>
      </c>
    </row>
    <row r="13">
      <c r="A13" s="1" t="s">
        <v>3163</v>
      </c>
      <c r="B13" s="1" t="s">
        <v>151</v>
      </c>
      <c r="C13" s="1" t="s">
        <v>189</v>
      </c>
      <c r="D13" s="2">
        <f>+251980331605</f>
        <v>251980331605</v>
      </c>
      <c r="E13" s="1" t="s">
        <v>26</v>
      </c>
    </row>
    <row r="14">
      <c r="A14" s="1" t="s">
        <v>3164</v>
      </c>
      <c r="B14" s="1" t="s">
        <v>834</v>
      </c>
      <c r="C14" s="1" t="s">
        <v>630</v>
      </c>
      <c r="D14" s="2">
        <f>+251903776539</f>
        <v>251903776539</v>
      </c>
      <c r="E14" s="1" t="s">
        <v>26</v>
      </c>
    </row>
    <row r="15">
      <c r="A15" s="1" t="s">
        <v>3165</v>
      </c>
      <c r="B15" s="1" t="s">
        <v>1098</v>
      </c>
      <c r="C15" s="1" t="s">
        <v>195</v>
      </c>
      <c r="D15" s="2">
        <f>+251996181483</f>
        <v>251996181483</v>
      </c>
      <c r="E15" s="1" t="s">
        <v>26</v>
      </c>
    </row>
    <row r="16">
      <c r="A16" s="1" t="s">
        <v>3166</v>
      </c>
      <c r="B16" s="1" t="s">
        <v>67</v>
      </c>
      <c r="C16" s="1" t="s">
        <v>3167</v>
      </c>
      <c r="D16" s="2">
        <f>+251948402148</f>
        <v>251948402148</v>
      </c>
      <c r="E16" s="1" t="s">
        <v>26</v>
      </c>
    </row>
    <row r="17">
      <c r="A17" s="1" t="s">
        <v>3168</v>
      </c>
      <c r="B17" s="1" t="s">
        <v>3064</v>
      </c>
      <c r="C17" s="1" t="s">
        <v>534</v>
      </c>
      <c r="D17" s="2">
        <f>+251965709080</f>
        <v>251965709080</v>
      </c>
      <c r="E17" s="1" t="s">
        <v>26</v>
      </c>
    </row>
    <row r="18">
      <c r="A18" s="1" t="s">
        <v>3169</v>
      </c>
      <c r="B18" s="1" t="s">
        <v>3170</v>
      </c>
      <c r="C18" s="1" t="s">
        <v>839</v>
      </c>
      <c r="D18" s="2">
        <f>+251923149652</f>
        <v>251923149652</v>
      </c>
      <c r="E18" s="1" t="s">
        <v>26</v>
      </c>
    </row>
    <row r="19">
      <c r="A19" s="1" t="s">
        <v>3171</v>
      </c>
      <c r="B19" s="1" t="s">
        <v>693</v>
      </c>
      <c r="C19" s="1" t="s">
        <v>3172</v>
      </c>
      <c r="D19" s="2">
        <f>+251924337456</f>
        <v>251924337456</v>
      </c>
      <c r="E19" s="1" t="s">
        <v>26</v>
      </c>
    </row>
    <row r="20">
      <c r="A20" s="1" t="s">
        <v>3173</v>
      </c>
      <c r="B20" s="1" t="s">
        <v>2084</v>
      </c>
      <c r="C20" s="1" t="s">
        <v>3174</v>
      </c>
      <c r="D20" s="2">
        <f>+251912124711</f>
        <v>251912124711</v>
      </c>
      <c r="E20" s="1" t="s">
        <v>26</v>
      </c>
    </row>
    <row r="21">
      <c r="A21" s="1" t="s">
        <v>3175</v>
      </c>
      <c r="B21" s="1" t="s">
        <v>1128</v>
      </c>
      <c r="C21" s="1" t="s">
        <v>328</v>
      </c>
      <c r="D21" s="2">
        <f>+251936092577</f>
        <v>251936092577</v>
      </c>
      <c r="E21" s="1" t="s">
        <v>26</v>
      </c>
    </row>
    <row r="22">
      <c r="A22" s="1" t="s">
        <v>3176</v>
      </c>
      <c r="B22" s="1" t="s">
        <v>3177</v>
      </c>
      <c r="C22" s="1" t="s">
        <v>3178</v>
      </c>
      <c r="D22" s="2">
        <f>+251707175180</f>
        <v>251707175180</v>
      </c>
      <c r="E22" s="1" t="s">
        <v>26</v>
      </c>
    </row>
    <row r="23">
      <c r="A23" s="1" t="s">
        <v>3179</v>
      </c>
      <c r="B23" s="1" t="s">
        <v>321</v>
      </c>
      <c r="C23" s="1" t="s">
        <v>195</v>
      </c>
      <c r="D23" s="2">
        <f>+251960892840</f>
        <v>251960892840</v>
      </c>
      <c r="E23" s="1" t="s">
        <v>26</v>
      </c>
    </row>
    <row r="24">
      <c r="A24" s="1" t="s">
        <v>3180</v>
      </c>
      <c r="B24" s="1" t="s">
        <v>3181</v>
      </c>
      <c r="C24" s="1" t="s">
        <v>3182</v>
      </c>
      <c r="D24" s="2">
        <f>+251948402148</f>
        <v>251948402148</v>
      </c>
      <c r="E24" s="1" t="s">
        <v>26</v>
      </c>
    </row>
    <row r="25">
      <c r="A25" s="1" t="s">
        <v>3183</v>
      </c>
      <c r="B25" s="1" t="s">
        <v>3184</v>
      </c>
      <c r="C25" s="1" t="s">
        <v>3185</v>
      </c>
      <c r="D25" s="2">
        <f>+251946411234</f>
        <v>251946411234</v>
      </c>
      <c r="E25" s="1" t="s">
        <v>26</v>
      </c>
    </row>
    <row r="26">
      <c r="A26" s="1" t="s">
        <v>3186</v>
      </c>
      <c r="B26" s="1" t="s">
        <v>3187</v>
      </c>
      <c r="C26" s="1" t="s">
        <v>3188</v>
      </c>
      <c r="D26" s="2">
        <f>+251967268991</f>
        <v>251967268991</v>
      </c>
      <c r="E26" s="1" t="s">
        <v>26</v>
      </c>
    </row>
    <row r="27">
      <c r="A27" s="1" t="s">
        <v>3189</v>
      </c>
      <c r="B27" s="1" t="s">
        <v>528</v>
      </c>
      <c r="C27" s="1" t="s">
        <v>3190</v>
      </c>
      <c r="D27" s="2">
        <f>+251912139895</f>
        <v>251912139895</v>
      </c>
      <c r="E27" s="1" t="s">
        <v>26</v>
      </c>
    </row>
    <row r="28">
      <c r="A28" s="1" t="s">
        <v>3191</v>
      </c>
      <c r="B28" s="1" t="s">
        <v>3192</v>
      </c>
      <c r="C28" s="1" t="s">
        <v>1649</v>
      </c>
      <c r="D28" s="2">
        <f>+251968757440</f>
        <v>251968757440</v>
      </c>
      <c r="E28" s="1" t="s">
        <v>26</v>
      </c>
    </row>
    <row r="29">
      <c r="A29" s="1" t="s">
        <v>3193</v>
      </c>
      <c r="B29" s="1" t="s">
        <v>510</v>
      </c>
      <c r="C29" s="1" t="s">
        <v>189</v>
      </c>
      <c r="D29" s="2">
        <f>+251938408915</f>
        <v>251938408915</v>
      </c>
      <c r="E29" s="1" t="s">
        <v>26</v>
      </c>
    </row>
    <row r="30">
      <c r="A30" s="1" t="s">
        <v>3194</v>
      </c>
      <c r="B30" s="1" t="s">
        <v>3195</v>
      </c>
      <c r="C30" s="1" t="s">
        <v>3196</v>
      </c>
      <c r="D30" s="2">
        <f>+251936637577</f>
        <v>251936637577</v>
      </c>
      <c r="E30" s="1" t="s">
        <v>26</v>
      </c>
    </row>
    <row r="31">
      <c r="A31" s="1" t="s">
        <v>3197</v>
      </c>
      <c r="B31" s="1" t="s">
        <v>527</v>
      </c>
      <c r="C31" s="1" t="s">
        <v>2786</v>
      </c>
      <c r="D31" s="2">
        <f>+251922214866</f>
        <v>251922214866</v>
      </c>
      <c r="E31" s="1" t="s">
        <v>26</v>
      </c>
    </row>
    <row r="32">
      <c r="A32" s="1" t="s">
        <v>3198</v>
      </c>
      <c r="B32" s="1" t="s">
        <v>108</v>
      </c>
      <c r="C32" s="1" t="s">
        <v>3199</v>
      </c>
      <c r="D32" s="2">
        <f>+251911342099</f>
        <v>251911342099</v>
      </c>
      <c r="E32" s="1" t="s">
        <v>26</v>
      </c>
    </row>
    <row r="33">
      <c r="A33" s="1" t="s">
        <v>3200</v>
      </c>
      <c r="B33" s="1" t="s">
        <v>3201</v>
      </c>
      <c r="C33" s="1" t="s">
        <v>3202</v>
      </c>
      <c r="D33" s="2">
        <f>+251942496086</f>
        <v>251942496086</v>
      </c>
      <c r="E33" s="1" t="s">
        <v>26</v>
      </c>
    </row>
    <row r="34">
      <c r="A34" s="1" t="s">
        <v>3203</v>
      </c>
      <c r="B34" s="1" t="s">
        <v>1945</v>
      </c>
      <c r="C34" s="1" t="s">
        <v>719</v>
      </c>
      <c r="D34" s="2">
        <f>+251930343988</f>
        <v>251930343988</v>
      </c>
      <c r="E34" s="1" t="s">
        <v>26</v>
      </c>
    </row>
    <row r="35">
      <c r="A35" s="1" t="s">
        <v>3204</v>
      </c>
      <c r="B35" s="1" t="s">
        <v>1023</v>
      </c>
      <c r="C35" s="1" t="s">
        <v>3205</v>
      </c>
      <c r="D35" s="2">
        <f>+251921583637</f>
        <v>251921583637</v>
      </c>
      <c r="E35" s="1" t="s">
        <v>26</v>
      </c>
    </row>
    <row r="36">
      <c r="A36" s="1" t="s">
        <v>3206</v>
      </c>
      <c r="B36" s="1" t="s">
        <v>29</v>
      </c>
      <c r="C36" s="1" t="s">
        <v>2660</v>
      </c>
      <c r="D36" s="2">
        <f>+251961399372</f>
        <v>251961399372</v>
      </c>
      <c r="E36" s="1" t="s">
        <v>26</v>
      </c>
    </row>
    <row r="37">
      <c r="A37" s="1" t="s">
        <v>3207</v>
      </c>
      <c r="B37" s="1" t="s">
        <v>3208</v>
      </c>
      <c r="C37" s="1" t="s">
        <v>313</v>
      </c>
      <c r="D37" s="2">
        <f>+251904847122</f>
        <v>251904847122</v>
      </c>
      <c r="E37" s="1" t="s">
        <v>26</v>
      </c>
    </row>
    <row r="38">
      <c r="A38" s="1" t="s">
        <v>3209</v>
      </c>
      <c r="B38" s="1" t="s">
        <v>817</v>
      </c>
      <c r="C38" s="1" t="s">
        <v>3210</v>
      </c>
      <c r="D38" s="2">
        <f>+251982527962</f>
        <v>251982527962</v>
      </c>
      <c r="E38" s="1" t="s">
        <v>26</v>
      </c>
    </row>
    <row r="39">
      <c r="A39" s="1" t="s">
        <v>3211</v>
      </c>
      <c r="B39" s="1" t="s">
        <v>3212</v>
      </c>
      <c r="C39" s="1" t="s">
        <v>3213</v>
      </c>
      <c r="D39" s="2">
        <f>+251969061121</f>
        <v>251969061121</v>
      </c>
      <c r="E39" s="1" t="s">
        <v>26</v>
      </c>
    </row>
    <row r="40">
      <c r="A40" s="1" t="s">
        <v>3214</v>
      </c>
      <c r="B40" s="1" t="s">
        <v>411</v>
      </c>
      <c r="C40" s="1" t="s">
        <v>3215</v>
      </c>
      <c r="D40" s="2">
        <f>+251954923720</f>
        <v>251954923720</v>
      </c>
      <c r="E40" s="1" t="s">
        <v>26</v>
      </c>
    </row>
    <row r="41">
      <c r="A41" s="1" t="s">
        <v>3216</v>
      </c>
      <c r="B41" s="1" t="s">
        <v>3217</v>
      </c>
      <c r="C41" s="1" t="s">
        <v>3218</v>
      </c>
      <c r="D41" s="2">
        <f>+251912423314</f>
        <v>251912423314</v>
      </c>
      <c r="E41" s="1" t="s">
        <v>26</v>
      </c>
    </row>
    <row r="42">
      <c r="A42" s="1" t="s">
        <v>3219</v>
      </c>
      <c r="B42" s="1" t="s">
        <v>3220</v>
      </c>
      <c r="C42" s="1" t="s">
        <v>3221</v>
      </c>
      <c r="D42" s="2">
        <f>+251972027037</f>
        <v>251972027037</v>
      </c>
      <c r="E42" s="1" t="s">
        <v>26</v>
      </c>
    </row>
    <row r="43">
      <c r="A43" s="1" t="s">
        <v>3222</v>
      </c>
      <c r="B43" s="1" t="s">
        <v>3223</v>
      </c>
      <c r="C43" s="1" t="s">
        <v>3224</v>
      </c>
      <c r="D43" s="2">
        <f>+251919466920</f>
        <v>251919466920</v>
      </c>
      <c r="E43" s="1" t="s">
        <v>26</v>
      </c>
    </row>
    <row r="44">
      <c r="A44" s="1" t="s">
        <v>3225</v>
      </c>
      <c r="B44" s="1" t="s">
        <v>554</v>
      </c>
      <c r="C44" s="1" t="s">
        <v>774</v>
      </c>
      <c r="D44" s="2">
        <f>+251927891285</f>
        <v>251927891285</v>
      </c>
      <c r="E44" s="1" t="s">
        <v>26</v>
      </c>
    </row>
    <row r="45">
      <c r="A45" s="1" t="s">
        <v>3226</v>
      </c>
      <c r="B45" s="1" t="s">
        <v>3227</v>
      </c>
      <c r="C45" s="1" t="s">
        <v>3228</v>
      </c>
      <c r="D45" s="2">
        <f>+251915884966</f>
        <v>251915884966</v>
      </c>
      <c r="E45" s="1" t="s">
        <v>26</v>
      </c>
    </row>
    <row r="46">
      <c r="A46" s="1" t="s">
        <v>3229</v>
      </c>
      <c r="B46" s="1" t="s">
        <v>2447</v>
      </c>
      <c r="C46" s="1" t="s">
        <v>630</v>
      </c>
      <c r="D46" s="2">
        <f>+251966126175</f>
        <v>251966126175</v>
      </c>
      <c r="E46" s="1" t="s">
        <v>26</v>
      </c>
    </row>
    <row r="47">
      <c r="A47" s="1" t="s">
        <v>3230</v>
      </c>
      <c r="B47" s="1" t="s">
        <v>1348</v>
      </c>
      <c r="C47" s="1" t="s">
        <v>554</v>
      </c>
      <c r="D47" s="2">
        <f>+251970408086</f>
        <v>251970408086</v>
      </c>
      <c r="E47" s="1" t="s">
        <v>26</v>
      </c>
    </row>
    <row r="48">
      <c r="A48" s="5" t="s">
        <v>3231</v>
      </c>
      <c r="B48" s="5" t="s">
        <v>3232</v>
      </c>
      <c r="C48" s="5" t="s">
        <v>3233</v>
      </c>
      <c r="D48" s="5">
        <v>9.2650499E8</v>
      </c>
      <c r="E48" s="5" t="s">
        <v>26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1" t="s">
        <v>3234</v>
      </c>
      <c r="B49" s="1" t="s">
        <v>1077</v>
      </c>
      <c r="C49" s="1" t="s">
        <v>3042</v>
      </c>
      <c r="D49" s="2">
        <f>+251912709325</f>
        <v>251912709325</v>
      </c>
      <c r="E49" s="1" t="s">
        <v>33</v>
      </c>
      <c r="F49" s="1" t="s">
        <v>76</v>
      </c>
    </row>
    <row r="50">
      <c r="A50" s="1" t="s">
        <v>3235</v>
      </c>
      <c r="B50" s="1" t="s">
        <v>3236</v>
      </c>
      <c r="C50" s="1" t="s">
        <v>3237</v>
      </c>
      <c r="D50" s="2">
        <f>+251913997944</f>
        <v>251913997944</v>
      </c>
      <c r="E50" s="1" t="s">
        <v>33</v>
      </c>
      <c r="F50" s="1" t="s">
        <v>166</v>
      </c>
    </row>
    <row r="51">
      <c r="A51" s="1" t="s">
        <v>3238</v>
      </c>
      <c r="B51" s="1" t="s">
        <v>60</v>
      </c>
      <c r="C51" s="1" t="s">
        <v>3239</v>
      </c>
      <c r="D51" s="2">
        <f>+251945640088</f>
        <v>251945640088</v>
      </c>
      <c r="E51" s="1" t="s">
        <v>33</v>
      </c>
      <c r="F51" s="1" t="s">
        <v>65</v>
      </c>
    </row>
    <row r="52">
      <c r="A52" s="1" t="s">
        <v>3240</v>
      </c>
      <c r="B52" s="1" t="s">
        <v>2583</v>
      </c>
      <c r="C52" s="1" t="s">
        <v>399</v>
      </c>
      <c r="D52" s="2">
        <f>+251917831213</f>
        <v>251917831213</v>
      </c>
      <c r="E52" s="1" t="s">
        <v>33</v>
      </c>
      <c r="F52" s="1" t="s">
        <v>34</v>
      </c>
    </row>
    <row r="53">
      <c r="A53" s="1" t="s">
        <v>3241</v>
      </c>
      <c r="B53" s="1" t="s">
        <v>615</v>
      </c>
      <c r="C53" s="1" t="s">
        <v>3242</v>
      </c>
      <c r="D53" s="2">
        <f>+251949494319</f>
        <v>251949494319</v>
      </c>
      <c r="E53" s="1" t="s">
        <v>33</v>
      </c>
      <c r="F53" s="1" t="s">
        <v>65</v>
      </c>
    </row>
    <row r="54">
      <c r="A54" s="1" t="s">
        <v>3243</v>
      </c>
      <c r="B54" s="1" t="s">
        <v>1086</v>
      </c>
      <c r="C54" s="1" t="s">
        <v>534</v>
      </c>
      <c r="D54" s="2">
        <f>+251994843873</f>
        <v>251994843873</v>
      </c>
      <c r="E54" s="1" t="s">
        <v>33</v>
      </c>
      <c r="F54" s="1" t="s">
        <v>177</v>
      </c>
    </row>
    <row r="55">
      <c r="A55" s="1" t="s">
        <v>3244</v>
      </c>
      <c r="B55" s="1" t="s">
        <v>836</v>
      </c>
      <c r="C55" s="1" t="s">
        <v>1116</v>
      </c>
      <c r="D55" s="2">
        <f>+251982293746</f>
        <v>251982293746</v>
      </c>
      <c r="E55" s="1" t="s">
        <v>33</v>
      </c>
      <c r="F55" s="1" t="s">
        <v>65</v>
      </c>
    </row>
    <row r="56">
      <c r="A56" s="1" t="s">
        <v>3245</v>
      </c>
      <c r="B56" s="1" t="s">
        <v>3246</v>
      </c>
      <c r="C56" s="1" t="s">
        <v>108</v>
      </c>
      <c r="D56" s="2">
        <f>+251963393929</f>
        <v>251963393929</v>
      </c>
      <c r="E56" s="1" t="s">
        <v>33</v>
      </c>
      <c r="F56" s="1" t="s">
        <v>65</v>
      </c>
    </row>
    <row r="57">
      <c r="A57" s="1" t="s">
        <v>3247</v>
      </c>
      <c r="B57" s="1" t="s">
        <v>1817</v>
      </c>
      <c r="C57" s="1" t="s">
        <v>641</v>
      </c>
      <c r="D57" s="1">
        <v>9.79255895E8</v>
      </c>
      <c r="E57" s="1" t="s">
        <v>33</v>
      </c>
      <c r="F57" s="1" t="s">
        <v>65</v>
      </c>
    </row>
    <row r="58">
      <c r="A58" s="1" t="s">
        <v>3248</v>
      </c>
      <c r="B58" s="1" t="s">
        <v>750</v>
      </c>
      <c r="C58" s="1" t="s">
        <v>1036</v>
      </c>
      <c r="D58" s="1">
        <v>9.63257123E8</v>
      </c>
      <c r="E58" s="1" t="s">
        <v>33</v>
      </c>
      <c r="F58" s="1" t="s">
        <v>34</v>
      </c>
    </row>
    <row r="59">
      <c r="A59" s="1" t="s">
        <v>3249</v>
      </c>
      <c r="B59" s="1" t="s">
        <v>447</v>
      </c>
      <c r="C59" s="1" t="s">
        <v>195</v>
      </c>
      <c r="D59" s="1">
        <v>9.63029494E8</v>
      </c>
      <c r="E59" s="1" t="s">
        <v>33</v>
      </c>
      <c r="F59" s="1" t="s">
        <v>76</v>
      </c>
    </row>
    <row r="60">
      <c r="A60" s="1" t="s">
        <v>3250</v>
      </c>
      <c r="B60" s="1" t="s">
        <v>3251</v>
      </c>
      <c r="C60" s="1" t="s">
        <v>948</v>
      </c>
      <c r="D60" s="2">
        <f>+251968329860</f>
        <v>251968329860</v>
      </c>
      <c r="E60" s="1" t="s">
        <v>33</v>
      </c>
      <c r="F60" s="1" t="s">
        <v>177</v>
      </c>
    </row>
    <row r="61">
      <c r="A61" s="1" t="s">
        <v>3252</v>
      </c>
      <c r="B61" s="1" t="s">
        <v>3253</v>
      </c>
      <c r="C61" s="1" t="s">
        <v>1056</v>
      </c>
      <c r="D61" s="2">
        <f>+251932273787</f>
        <v>251932273787</v>
      </c>
      <c r="E61" s="1" t="s">
        <v>33</v>
      </c>
      <c r="F61" s="1" t="s">
        <v>76</v>
      </c>
    </row>
    <row r="62">
      <c r="A62" s="1" t="s">
        <v>3254</v>
      </c>
      <c r="B62" s="1" t="s">
        <v>1916</v>
      </c>
      <c r="C62" s="1" t="s">
        <v>2407</v>
      </c>
      <c r="D62" s="2">
        <f>+251939957764</f>
        <v>251939957764</v>
      </c>
      <c r="E62" s="1" t="s">
        <v>33</v>
      </c>
      <c r="F62" s="1" t="s">
        <v>65</v>
      </c>
    </row>
    <row r="63">
      <c r="A63" s="1" t="s">
        <v>3255</v>
      </c>
      <c r="B63" s="1" t="s">
        <v>3256</v>
      </c>
      <c r="C63" s="1" t="s">
        <v>722</v>
      </c>
      <c r="D63" s="2">
        <f>+251913019811</f>
        <v>251913019811</v>
      </c>
      <c r="E63" s="1" t="s">
        <v>33</v>
      </c>
      <c r="F63" s="1" t="s">
        <v>65</v>
      </c>
    </row>
    <row r="64">
      <c r="A64" s="1" t="s">
        <v>3257</v>
      </c>
      <c r="B64" s="1" t="s">
        <v>3258</v>
      </c>
      <c r="C64" s="1" t="s">
        <v>3259</v>
      </c>
      <c r="D64" s="2">
        <f>+251920803185</f>
        <v>251920803185</v>
      </c>
      <c r="E64" s="1" t="s">
        <v>33</v>
      </c>
      <c r="F64" s="1" t="s">
        <v>118</v>
      </c>
    </row>
    <row r="65">
      <c r="A65" s="1" t="s">
        <v>3260</v>
      </c>
      <c r="B65" s="1" t="s">
        <v>3261</v>
      </c>
      <c r="C65" s="1" t="s">
        <v>805</v>
      </c>
      <c r="D65" s="2">
        <f>+251980222889</f>
        <v>251980222889</v>
      </c>
      <c r="E65" s="1" t="s">
        <v>33</v>
      </c>
      <c r="F65" s="1" t="s">
        <v>166</v>
      </c>
    </row>
    <row r="66">
      <c r="A66" s="1" t="s">
        <v>3262</v>
      </c>
      <c r="B66" s="1" t="s">
        <v>1899</v>
      </c>
      <c r="C66" s="1" t="s">
        <v>108</v>
      </c>
      <c r="D66" s="2">
        <f>+251916055802</f>
        <v>251916055802</v>
      </c>
      <c r="E66" s="1" t="s">
        <v>33</v>
      </c>
      <c r="F66" s="1" t="s">
        <v>166</v>
      </c>
    </row>
    <row r="67">
      <c r="A67" s="1" t="s">
        <v>3263</v>
      </c>
      <c r="B67" s="1" t="s">
        <v>184</v>
      </c>
      <c r="C67" s="1" t="s">
        <v>2557</v>
      </c>
      <c r="D67" s="2">
        <f>+251962920368</f>
        <v>251962920368</v>
      </c>
      <c r="E67" s="1" t="s">
        <v>33</v>
      </c>
      <c r="F67" s="1" t="s">
        <v>177</v>
      </c>
    </row>
    <row r="68">
      <c r="A68" s="1" t="s">
        <v>3264</v>
      </c>
      <c r="B68" s="1" t="s">
        <v>3265</v>
      </c>
      <c r="C68" s="1" t="s">
        <v>3266</v>
      </c>
      <c r="D68" s="2">
        <f>+251913509705</f>
        <v>251913509705</v>
      </c>
      <c r="E68" s="1" t="s">
        <v>33</v>
      </c>
      <c r="F68" s="1" t="s">
        <v>76</v>
      </c>
    </row>
    <row r="69">
      <c r="A69" s="1" t="s">
        <v>3267</v>
      </c>
      <c r="B69" s="1" t="s">
        <v>3268</v>
      </c>
      <c r="C69" s="1" t="s">
        <v>1214</v>
      </c>
      <c r="D69" s="2">
        <f>+251909098884</f>
        <v>251909098884</v>
      </c>
      <c r="E69" s="1" t="s">
        <v>33</v>
      </c>
      <c r="F69" s="1" t="s">
        <v>166</v>
      </c>
    </row>
    <row r="70">
      <c r="A70" s="1" t="s">
        <v>3269</v>
      </c>
      <c r="B70" s="1" t="s">
        <v>3270</v>
      </c>
      <c r="C70" s="1" t="s">
        <v>3271</v>
      </c>
      <c r="D70" s="2">
        <f>+251960461321</f>
        <v>251960461321</v>
      </c>
      <c r="E70" s="1" t="s">
        <v>33</v>
      </c>
      <c r="F70" s="1" t="s">
        <v>65</v>
      </c>
    </row>
    <row r="71">
      <c r="A71" s="1" t="s">
        <v>3272</v>
      </c>
      <c r="B71" s="1" t="s">
        <v>3273</v>
      </c>
      <c r="C71" s="1" t="s">
        <v>3274</v>
      </c>
      <c r="D71" s="2">
        <f>+251945360611</f>
        <v>251945360611</v>
      </c>
      <c r="E71" s="1" t="s">
        <v>33</v>
      </c>
      <c r="F71" s="1" t="s">
        <v>166</v>
      </c>
    </row>
    <row r="72">
      <c r="A72" s="1" t="s">
        <v>3275</v>
      </c>
      <c r="B72" s="1" t="s">
        <v>399</v>
      </c>
      <c r="C72" s="1" t="s">
        <v>3276</v>
      </c>
      <c r="D72" s="2">
        <f>+251903085706</f>
        <v>251903085706</v>
      </c>
      <c r="E72" s="1" t="s">
        <v>33</v>
      </c>
      <c r="F72" s="1" t="s">
        <v>65</v>
      </c>
    </row>
    <row r="73">
      <c r="A73" s="1" t="s">
        <v>3277</v>
      </c>
      <c r="B73" s="1" t="s">
        <v>620</v>
      </c>
      <c r="C73" s="1" t="s">
        <v>1077</v>
      </c>
      <c r="D73" s="2">
        <f>+251920827473</f>
        <v>251920827473</v>
      </c>
      <c r="E73" s="1" t="s">
        <v>33</v>
      </c>
      <c r="F73" s="1" t="s">
        <v>34</v>
      </c>
    </row>
    <row r="74">
      <c r="A74" s="1" t="s">
        <v>3278</v>
      </c>
      <c r="B74" s="1" t="s">
        <v>480</v>
      </c>
      <c r="C74" s="1" t="s">
        <v>3279</v>
      </c>
      <c r="D74" s="2">
        <f>+251919992602</f>
        <v>251919992602</v>
      </c>
      <c r="E74" s="1" t="s">
        <v>33</v>
      </c>
      <c r="F74" s="1" t="s">
        <v>76</v>
      </c>
    </row>
    <row r="75">
      <c r="A75" s="1" t="s">
        <v>3280</v>
      </c>
      <c r="B75" s="1" t="s">
        <v>3170</v>
      </c>
      <c r="C75" s="1" t="s">
        <v>839</v>
      </c>
      <c r="D75" s="2">
        <f>+251923149652</f>
        <v>251923149652</v>
      </c>
      <c r="E75" s="1" t="s">
        <v>33</v>
      </c>
      <c r="F75" s="1" t="s">
        <v>118</v>
      </c>
    </row>
    <row r="76">
      <c r="A76" s="1" t="s">
        <v>3281</v>
      </c>
      <c r="B76" s="1" t="s">
        <v>250</v>
      </c>
      <c r="C76" s="1" t="s">
        <v>3282</v>
      </c>
      <c r="D76" s="2">
        <f>+251988930051</f>
        <v>251988930051</v>
      </c>
      <c r="E76" s="1" t="s">
        <v>33</v>
      </c>
      <c r="F76" s="1" t="s">
        <v>166</v>
      </c>
    </row>
    <row r="77">
      <c r="A77" s="1" t="s">
        <v>3283</v>
      </c>
      <c r="B77" s="1" t="s">
        <v>3284</v>
      </c>
      <c r="C77" s="1" t="s">
        <v>3285</v>
      </c>
      <c r="D77" s="2">
        <f>+251964126589</f>
        <v>251964126589</v>
      </c>
      <c r="E77" s="1" t="s">
        <v>33</v>
      </c>
      <c r="F77" s="1" t="s">
        <v>76</v>
      </c>
    </row>
    <row r="78">
      <c r="A78" s="1" t="s">
        <v>3286</v>
      </c>
      <c r="B78" s="1" t="s">
        <v>836</v>
      </c>
      <c r="C78" s="1" t="s">
        <v>262</v>
      </c>
      <c r="D78" s="1">
        <v>9.54354254E8</v>
      </c>
      <c r="E78" s="1" t="s">
        <v>33</v>
      </c>
      <c r="F78" s="1" t="s">
        <v>118</v>
      </c>
    </row>
    <row r="79">
      <c r="A79" s="1" t="s">
        <v>3287</v>
      </c>
      <c r="B79" s="1" t="s">
        <v>375</v>
      </c>
      <c r="C79" s="1" t="s">
        <v>3288</v>
      </c>
      <c r="D79" s="2">
        <f>+251918567328</f>
        <v>251918567328</v>
      </c>
      <c r="E79" s="1" t="s">
        <v>33</v>
      </c>
      <c r="F79" s="1" t="s">
        <v>118</v>
      </c>
    </row>
    <row r="80">
      <c r="A80" s="1" t="s">
        <v>3289</v>
      </c>
      <c r="B80" s="1" t="s">
        <v>3290</v>
      </c>
      <c r="C80" s="1" t="s">
        <v>3291</v>
      </c>
      <c r="D80" s="2">
        <f>+251953241429</f>
        <v>251953241429</v>
      </c>
      <c r="E80" s="1" t="s">
        <v>33</v>
      </c>
      <c r="F80" s="1" t="s">
        <v>34</v>
      </c>
    </row>
    <row r="81">
      <c r="A81" s="1" t="s">
        <v>3292</v>
      </c>
      <c r="B81" s="1" t="s">
        <v>3293</v>
      </c>
      <c r="C81" s="1" t="s">
        <v>3294</v>
      </c>
      <c r="D81" s="2">
        <f>+251917358995</f>
        <v>251917358995</v>
      </c>
      <c r="E81" s="1" t="s">
        <v>33</v>
      </c>
      <c r="F81" s="1" t="s">
        <v>177</v>
      </c>
    </row>
    <row r="82">
      <c r="A82" s="1" t="s">
        <v>3295</v>
      </c>
      <c r="B82" s="1" t="s">
        <v>1004</v>
      </c>
      <c r="C82" s="1" t="s">
        <v>1061</v>
      </c>
      <c r="D82" s="2">
        <f>+251910976010</f>
        <v>251910976010</v>
      </c>
      <c r="E82" s="1" t="s">
        <v>33</v>
      </c>
      <c r="F82" s="1" t="s">
        <v>76</v>
      </c>
    </row>
    <row r="83">
      <c r="A83" s="1" t="s">
        <v>3296</v>
      </c>
      <c r="B83" s="1" t="s">
        <v>3297</v>
      </c>
      <c r="C83" s="1" t="s">
        <v>3298</v>
      </c>
      <c r="D83" s="2">
        <f>+251921677966</f>
        <v>251921677966</v>
      </c>
      <c r="E83" s="1" t="s">
        <v>33</v>
      </c>
      <c r="F83" s="1" t="s">
        <v>166</v>
      </c>
    </row>
    <row r="84">
      <c r="A84" s="1" t="s">
        <v>3299</v>
      </c>
      <c r="B84" s="1" t="s">
        <v>3300</v>
      </c>
      <c r="C84" s="1" t="s">
        <v>3301</v>
      </c>
      <c r="D84" s="2">
        <f>+251924144870</f>
        <v>251924144870</v>
      </c>
      <c r="E84" s="1" t="s">
        <v>33</v>
      </c>
      <c r="F84" s="1" t="s">
        <v>166</v>
      </c>
    </row>
    <row r="85">
      <c r="A85" s="1" t="s">
        <v>3302</v>
      </c>
      <c r="B85" s="1" t="s">
        <v>123</v>
      </c>
      <c r="C85" s="1" t="s">
        <v>862</v>
      </c>
      <c r="D85" s="2">
        <f>+251944070626</f>
        <v>251944070626</v>
      </c>
      <c r="E85" s="1" t="s">
        <v>33</v>
      </c>
      <c r="F85" s="1" t="s">
        <v>34</v>
      </c>
    </row>
    <row r="86">
      <c r="A86" s="1" t="s">
        <v>3303</v>
      </c>
      <c r="B86" s="1" t="s">
        <v>1819</v>
      </c>
      <c r="C86" s="1" t="s">
        <v>2491</v>
      </c>
      <c r="D86" s="2">
        <f>+251937920823</f>
        <v>251937920823</v>
      </c>
      <c r="E86" s="1" t="s">
        <v>33</v>
      </c>
      <c r="F86" s="1" t="s">
        <v>118</v>
      </c>
    </row>
    <row r="87">
      <c r="A87" s="1" t="s">
        <v>3304</v>
      </c>
      <c r="B87" s="1" t="s">
        <v>500</v>
      </c>
      <c r="C87" s="1" t="s">
        <v>3305</v>
      </c>
      <c r="D87" s="2">
        <f>+251913162512</f>
        <v>251913162512</v>
      </c>
      <c r="E87" s="1" t="s">
        <v>33</v>
      </c>
      <c r="F87" s="1" t="s">
        <v>166</v>
      </c>
    </row>
    <row r="88">
      <c r="A88" s="1" t="s">
        <v>3306</v>
      </c>
      <c r="B88" s="1" t="s">
        <v>2214</v>
      </c>
      <c r="C88" s="1" t="s">
        <v>417</v>
      </c>
      <c r="D88" s="2">
        <f>+251911787791</f>
        <v>251911787791</v>
      </c>
      <c r="E88" s="1" t="s">
        <v>33</v>
      </c>
      <c r="F88" s="1" t="s">
        <v>76</v>
      </c>
    </row>
    <row r="89">
      <c r="A89" s="1" t="s">
        <v>3307</v>
      </c>
      <c r="B89" s="1" t="s">
        <v>1457</v>
      </c>
      <c r="C89" s="1" t="s">
        <v>1651</v>
      </c>
      <c r="D89" s="2">
        <f>+251931688154</f>
        <v>251931688154</v>
      </c>
      <c r="E89" s="1" t="s">
        <v>33</v>
      </c>
      <c r="F89" s="1" t="s">
        <v>34</v>
      </c>
    </row>
    <row r="90">
      <c r="A90" s="1" t="s">
        <v>3308</v>
      </c>
      <c r="B90" s="1" t="s">
        <v>3309</v>
      </c>
      <c r="C90" s="1" t="s">
        <v>3310</v>
      </c>
      <c r="D90" s="2">
        <f>+251973011104</f>
        <v>251973011104</v>
      </c>
      <c r="E90" s="1" t="s">
        <v>33</v>
      </c>
      <c r="F90" s="1" t="s">
        <v>65</v>
      </c>
    </row>
    <row r="91">
      <c r="A91" s="1" t="s">
        <v>3311</v>
      </c>
      <c r="B91" s="1" t="s">
        <v>3312</v>
      </c>
      <c r="C91" s="1" t="s">
        <v>3313</v>
      </c>
      <c r="D91" s="2">
        <f>+251904303033</f>
        <v>251904303033</v>
      </c>
      <c r="E91" s="1" t="s">
        <v>33</v>
      </c>
      <c r="F91" s="1" t="s">
        <v>118</v>
      </c>
    </row>
    <row r="92">
      <c r="A92" s="1" t="s">
        <v>3314</v>
      </c>
      <c r="B92" s="1" t="s">
        <v>503</v>
      </c>
      <c r="C92" s="1" t="s">
        <v>51</v>
      </c>
      <c r="D92" s="1">
        <v>9.20727562E8</v>
      </c>
      <c r="E92" s="1" t="s">
        <v>33</v>
      </c>
      <c r="F92" s="1" t="s">
        <v>177</v>
      </c>
    </row>
    <row r="93">
      <c r="A93" s="1" t="s">
        <v>3315</v>
      </c>
      <c r="B93" s="1" t="s">
        <v>517</v>
      </c>
      <c r="C93" s="1" t="s">
        <v>894</v>
      </c>
      <c r="D93" s="2">
        <f>+251933650193</f>
        <v>251933650193</v>
      </c>
      <c r="E93" s="1" t="s">
        <v>33</v>
      </c>
      <c r="F93" s="1" t="s">
        <v>34</v>
      </c>
    </row>
    <row r="94">
      <c r="A94" s="1" t="s">
        <v>3316</v>
      </c>
      <c r="B94" s="1" t="s">
        <v>1614</v>
      </c>
      <c r="C94" s="1" t="s">
        <v>3317</v>
      </c>
      <c r="D94" s="2">
        <f>+251947534650</f>
        <v>251947534650</v>
      </c>
      <c r="E94" s="1" t="s">
        <v>33</v>
      </c>
      <c r="F94" s="1" t="s">
        <v>118</v>
      </c>
    </row>
    <row r="95">
      <c r="A95" s="1" t="s">
        <v>3318</v>
      </c>
      <c r="B95" s="1" t="s">
        <v>3319</v>
      </c>
      <c r="C95" s="1" t="s">
        <v>189</v>
      </c>
      <c r="D95" s="2">
        <f>+251920062842</f>
        <v>251920062842</v>
      </c>
      <c r="E95" s="1" t="s">
        <v>33</v>
      </c>
      <c r="F95" s="1" t="s">
        <v>166</v>
      </c>
    </row>
    <row r="96">
      <c r="A96" s="1" t="s">
        <v>3320</v>
      </c>
      <c r="B96" s="1" t="s">
        <v>328</v>
      </c>
      <c r="C96" s="1" t="s">
        <v>3125</v>
      </c>
      <c r="D96" s="2">
        <f>+251960111172</f>
        <v>251960111172</v>
      </c>
      <c r="E96" s="1" t="s">
        <v>33</v>
      </c>
      <c r="F96" s="1" t="s">
        <v>166</v>
      </c>
    </row>
    <row r="97">
      <c r="A97" s="1" t="s">
        <v>3321</v>
      </c>
      <c r="B97" s="1" t="s">
        <v>3322</v>
      </c>
      <c r="C97" s="1" t="s">
        <v>3323</v>
      </c>
      <c r="D97" s="2">
        <f>+251918667319</f>
        <v>251918667319</v>
      </c>
      <c r="E97" s="1" t="s">
        <v>33</v>
      </c>
      <c r="F97" s="1" t="s">
        <v>34</v>
      </c>
    </row>
    <row r="98">
      <c r="A98" s="5" t="s">
        <v>3324</v>
      </c>
      <c r="B98" s="5" t="s">
        <v>2503</v>
      </c>
      <c r="C98" s="5" t="s">
        <v>3325</v>
      </c>
      <c r="D98" s="6">
        <f>+251933001396</f>
        <v>251933001396</v>
      </c>
      <c r="E98" s="5" t="s">
        <v>33</v>
      </c>
      <c r="F98" s="5" t="s">
        <v>118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1" t="s">
        <v>3326</v>
      </c>
      <c r="B99" s="1" t="s">
        <v>491</v>
      </c>
      <c r="C99" s="1" t="s">
        <v>3327</v>
      </c>
      <c r="D99" s="1">
        <v>9.34260137E8</v>
      </c>
      <c r="E99" s="1" t="s">
        <v>33</v>
      </c>
      <c r="F99" s="1" t="s">
        <v>177</v>
      </c>
    </row>
    <row r="100">
      <c r="A100" s="1" t="s">
        <v>3328</v>
      </c>
      <c r="B100" s="1" t="s">
        <v>3329</v>
      </c>
      <c r="C100" s="1" t="s">
        <v>3330</v>
      </c>
      <c r="D100" s="2">
        <f>+251979106195</f>
        <v>251979106195</v>
      </c>
      <c r="E100" s="1" t="s">
        <v>33</v>
      </c>
      <c r="F100" s="1" t="s">
        <v>65</v>
      </c>
    </row>
    <row r="101">
      <c r="A101" s="1" t="s">
        <v>3331</v>
      </c>
      <c r="B101" s="1" t="s">
        <v>1476</v>
      </c>
      <c r="C101" s="1" t="s">
        <v>3332</v>
      </c>
      <c r="D101" s="2">
        <f>+251968005367</f>
        <v>251968005367</v>
      </c>
      <c r="E101" s="1" t="s">
        <v>33</v>
      </c>
      <c r="F101" s="1" t="s">
        <v>34</v>
      </c>
    </row>
    <row r="102">
      <c r="A102" s="1" t="s">
        <v>3333</v>
      </c>
      <c r="B102" s="1" t="s">
        <v>188</v>
      </c>
      <c r="C102" s="1" t="s">
        <v>1444</v>
      </c>
      <c r="D102" s="2">
        <f>+251931977571</f>
        <v>251931977571</v>
      </c>
      <c r="E102" s="1" t="s">
        <v>33</v>
      </c>
      <c r="F102" s="1" t="s">
        <v>166</v>
      </c>
    </row>
    <row r="103">
      <c r="A103" s="1" t="s">
        <v>3334</v>
      </c>
      <c r="B103" s="1" t="s">
        <v>108</v>
      </c>
      <c r="C103" s="1" t="s">
        <v>130</v>
      </c>
      <c r="D103" s="2">
        <f>+251925850466</f>
        <v>251925850466</v>
      </c>
      <c r="E103" s="1" t="s">
        <v>33</v>
      </c>
      <c r="F103" s="1" t="s">
        <v>118</v>
      </c>
    </row>
    <row r="104">
      <c r="A104" s="1" t="s">
        <v>3335</v>
      </c>
      <c r="B104" s="1" t="s">
        <v>420</v>
      </c>
      <c r="C104" s="1" t="s">
        <v>3336</v>
      </c>
      <c r="D104" s="2">
        <f>+251983476692</f>
        <v>251983476692</v>
      </c>
      <c r="E104" s="1" t="s">
        <v>33</v>
      </c>
      <c r="F104" s="1" t="s">
        <v>34</v>
      </c>
    </row>
    <row r="105">
      <c r="A105" s="1" t="s">
        <v>3337</v>
      </c>
      <c r="B105" s="1" t="s">
        <v>1376</v>
      </c>
      <c r="C105" s="1" t="s">
        <v>2123</v>
      </c>
      <c r="D105" s="2">
        <f>+251982111638</f>
        <v>251982111638</v>
      </c>
      <c r="E105" s="1" t="s">
        <v>33</v>
      </c>
      <c r="F105" s="1" t="s">
        <v>166</v>
      </c>
    </row>
    <row r="106">
      <c r="A106" s="1" t="s">
        <v>3338</v>
      </c>
      <c r="B106" s="1" t="s">
        <v>842</v>
      </c>
      <c r="C106" s="1" t="s">
        <v>3339</v>
      </c>
      <c r="D106" s="2">
        <f>+251974579330</f>
        <v>251974579330</v>
      </c>
      <c r="E106" s="1" t="s">
        <v>33</v>
      </c>
      <c r="F106" s="1" t="s">
        <v>34</v>
      </c>
    </row>
    <row r="107">
      <c r="A107" s="1" t="s">
        <v>3340</v>
      </c>
      <c r="B107" s="1" t="s">
        <v>3341</v>
      </c>
      <c r="C107" s="1" t="s">
        <v>3342</v>
      </c>
      <c r="D107" s="2">
        <f>+251926787122</f>
        <v>251926787122</v>
      </c>
      <c r="E107" s="1" t="s">
        <v>33</v>
      </c>
      <c r="F107" s="1" t="s">
        <v>118</v>
      </c>
    </row>
    <row r="108">
      <c r="A108" s="1" t="s">
        <v>3343</v>
      </c>
      <c r="B108" s="1" t="s">
        <v>1069</v>
      </c>
      <c r="C108" s="1" t="s">
        <v>255</v>
      </c>
      <c r="D108" s="2">
        <f>+251923092408</f>
        <v>251923092408</v>
      </c>
      <c r="E108" s="1" t="s">
        <v>33</v>
      </c>
      <c r="F108" s="1" t="s">
        <v>166</v>
      </c>
    </row>
    <row r="109">
      <c r="A109" s="1" t="s">
        <v>3344</v>
      </c>
      <c r="B109" s="1" t="s">
        <v>3345</v>
      </c>
      <c r="C109" s="1" t="s">
        <v>3346</v>
      </c>
      <c r="D109" s="2">
        <f>+251938646240</f>
        <v>251938646240</v>
      </c>
      <c r="E109" s="1" t="s">
        <v>33</v>
      </c>
      <c r="F109" s="1" t="s">
        <v>34</v>
      </c>
    </row>
    <row r="110">
      <c r="A110" s="1" t="s">
        <v>3347</v>
      </c>
      <c r="B110" s="1" t="s">
        <v>948</v>
      </c>
      <c r="C110" s="1" t="s">
        <v>618</v>
      </c>
      <c r="D110" s="2">
        <f>+251979075074</f>
        <v>251979075074</v>
      </c>
      <c r="E110" s="1" t="s">
        <v>33</v>
      </c>
      <c r="F110" s="1" t="s">
        <v>65</v>
      </c>
    </row>
    <row r="111">
      <c r="A111" s="1" t="s">
        <v>3348</v>
      </c>
      <c r="B111" s="1" t="s">
        <v>113</v>
      </c>
      <c r="C111" s="1" t="s">
        <v>3349</v>
      </c>
      <c r="D111" s="2">
        <f>+251914260633</f>
        <v>251914260633</v>
      </c>
      <c r="E111" s="1" t="s">
        <v>33</v>
      </c>
      <c r="F111" s="1" t="s">
        <v>34</v>
      </c>
    </row>
    <row r="112">
      <c r="A112" s="1" t="s">
        <v>3350</v>
      </c>
      <c r="B112" s="1" t="s">
        <v>3351</v>
      </c>
      <c r="C112" s="1" t="s">
        <v>402</v>
      </c>
      <c r="D112" s="2">
        <f>+1251928413053</f>
        <v>1251928413053</v>
      </c>
      <c r="E112" s="1" t="s">
        <v>33</v>
      </c>
      <c r="F112" s="1" t="s">
        <v>65</v>
      </c>
    </row>
    <row r="113">
      <c r="A113" s="1" t="s">
        <v>3352</v>
      </c>
      <c r="B113" s="1" t="s">
        <v>588</v>
      </c>
      <c r="C113" s="1" t="s">
        <v>500</v>
      </c>
      <c r="D113" s="2">
        <f>+251991884388</f>
        <v>251991884388</v>
      </c>
      <c r="E113" s="1" t="s">
        <v>33</v>
      </c>
      <c r="F113" s="1" t="s">
        <v>177</v>
      </c>
    </row>
    <row r="114">
      <c r="A114" s="1" t="s">
        <v>3353</v>
      </c>
      <c r="B114" s="1" t="s">
        <v>437</v>
      </c>
      <c r="C114" s="1" t="s">
        <v>1077</v>
      </c>
      <c r="D114" s="2">
        <f>+251935968159</f>
        <v>251935968159</v>
      </c>
      <c r="E114" s="1" t="s">
        <v>33</v>
      </c>
      <c r="F114" s="1" t="s">
        <v>166</v>
      </c>
    </row>
    <row r="115">
      <c r="A115" s="1" t="s">
        <v>3354</v>
      </c>
      <c r="B115" s="1" t="s">
        <v>1476</v>
      </c>
      <c r="C115" s="1" t="s">
        <v>3355</v>
      </c>
      <c r="D115" s="2">
        <f>+251911615211</f>
        <v>251911615211</v>
      </c>
      <c r="E115" s="1" t="s">
        <v>33</v>
      </c>
      <c r="F115" s="1" t="s">
        <v>34</v>
      </c>
    </row>
    <row r="116">
      <c r="A116" s="1" t="s">
        <v>3356</v>
      </c>
      <c r="B116" s="1" t="s">
        <v>152</v>
      </c>
      <c r="C116" s="1" t="s">
        <v>1649</v>
      </c>
      <c r="D116" s="2">
        <f>+10963742979</f>
        <v>10963742979</v>
      </c>
      <c r="E116" s="1" t="s">
        <v>33</v>
      </c>
      <c r="F116" s="1" t="s">
        <v>34</v>
      </c>
    </row>
    <row r="117">
      <c r="A117" s="1" t="s">
        <v>3357</v>
      </c>
      <c r="B117" s="1" t="s">
        <v>1796</v>
      </c>
      <c r="C117" s="1" t="s">
        <v>96</v>
      </c>
      <c r="D117" s="2">
        <f>+251972224717</f>
        <v>251972224717</v>
      </c>
      <c r="E117" s="1" t="s">
        <v>33</v>
      </c>
      <c r="F117" s="1" t="s">
        <v>177</v>
      </c>
    </row>
    <row r="118">
      <c r="A118" s="1" t="s">
        <v>3358</v>
      </c>
      <c r="B118" s="1" t="s">
        <v>3359</v>
      </c>
      <c r="C118" s="1" t="s">
        <v>547</v>
      </c>
      <c r="D118" s="2">
        <f>+251960033787</f>
        <v>251960033787</v>
      </c>
      <c r="E118" s="1" t="s">
        <v>33</v>
      </c>
      <c r="F118" s="1" t="s">
        <v>118</v>
      </c>
    </row>
    <row r="119">
      <c r="A119" s="1" t="s">
        <v>3360</v>
      </c>
      <c r="B119" s="1" t="s">
        <v>328</v>
      </c>
      <c r="C119" s="1" t="s">
        <v>847</v>
      </c>
      <c r="D119" s="2">
        <f>+251905892759</f>
        <v>251905892759</v>
      </c>
      <c r="E119" s="1" t="s">
        <v>33</v>
      </c>
      <c r="F119" s="1" t="s">
        <v>166</v>
      </c>
    </row>
    <row r="120">
      <c r="A120" s="1" t="s">
        <v>3361</v>
      </c>
      <c r="B120" s="1" t="s">
        <v>184</v>
      </c>
      <c r="C120" s="1" t="s">
        <v>959</v>
      </c>
      <c r="D120" s="2">
        <f>+251919433258</f>
        <v>251919433258</v>
      </c>
      <c r="E120" s="1" t="s">
        <v>33</v>
      </c>
      <c r="F120" s="1" t="s">
        <v>65</v>
      </c>
    </row>
    <row r="121">
      <c r="A121" s="1" t="s">
        <v>3362</v>
      </c>
      <c r="B121" s="1" t="s">
        <v>1544</v>
      </c>
      <c r="C121" s="1" t="s">
        <v>3363</v>
      </c>
      <c r="D121" s="2">
        <f>+251706743337</f>
        <v>251706743337</v>
      </c>
      <c r="E121" s="1" t="s">
        <v>33</v>
      </c>
      <c r="F121" s="1" t="s">
        <v>76</v>
      </c>
    </row>
    <row r="122">
      <c r="A122" s="1" t="s">
        <v>3364</v>
      </c>
      <c r="B122" s="1" t="s">
        <v>447</v>
      </c>
      <c r="C122" s="1" t="s">
        <v>96</v>
      </c>
      <c r="D122" s="2">
        <f>+251962491321</f>
        <v>251962491321</v>
      </c>
      <c r="E122" s="1" t="s">
        <v>33</v>
      </c>
      <c r="F122" s="1" t="s">
        <v>34</v>
      </c>
    </row>
    <row r="123">
      <c r="A123" s="1" t="s">
        <v>3365</v>
      </c>
      <c r="B123" s="1" t="s">
        <v>376</v>
      </c>
      <c r="C123" s="1" t="s">
        <v>2505</v>
      </c>
      <c r="D123" s="2">
        <f>+251913099662</f>
        <v>251913099662</v>
      </c>
      <c r="E123" s="1" t="s">
        <v>33</v>
      </c>
      <c r="F123" s="1" t="s">
        <v>118</v>
      </c>
    </row>
    <row r="124">
      <c r="A124" s="1" t="s">
        <v>3366</v>
      </c>
      <c r="B124" s="1" t="s">
        <v>328</v>
      </c>
      <c r="C124" s="1" t="s">
        <v>3367</v>
      </c>
      <c r="D124" s="2">
        <f>+251932144825</f>
        <v>251932144825</v>
      </c>
      <c r="E124" s="1" t="s">
        <v>33</v>
      </c>
      <c r="F124" s="1" t="s">
        <v>166</v>
      </c>
    </row>
    <row r="125">
      <c r="A125" s="1" t="s">
        <v>3368</v>
      </c>
      <c r="B125" s="1" t="s">
        <v>3369</v>
      </c>
      <c r="C125" s="1" t="s">
        <v>3370</v>
      </c>
      <c r="D125" s="2">
        <f>+251917060837</f>
        <v>251917060837</v>
      </c>
      <c r="E125" s="1" t="s">
        <v>33</v>
      </c>
      <c r="F125" s="1" t="s">
        <v>177</v>
      </c>
    </row>
    <row r="126">
      <c r="A126" s="1" t="s">
        <v>3371</v>
      </c>
      <c r="B126" s="1" t="s">
        <v>3372</v>
      </c>
      <c r="C126" s="1" t="s">
        <v>3373</v>
      </c>
      <c r="D126" s="2">
        <f>+251986794260</f>
        <v>251986794260</v>
      </c>
      <c r="E126" s="1" t="s">
        <v>33</v>
      </c>
      <c r="F126" s="1" t="s">
        <v>118</v>
      </c>
    </row>
    <row r="127">
      <c r="A127" s="1" t="s">
        <v>3374</v>
      </c>
      <c r="B127" s="1" t="s">
        <v>620</v>
      </c>
      <c r="C127" s="1" t="s">
        <v>3375</v>
      </c>
      <c r="D127" s="2">
        <f>+251996034672</f>
        <v>251996034672</v>
      </c>
      <c r="E127" s="1" t="s">
        <v>33</v>
      </c>
      <c r="F127" s="1" t="s">
        <v>65</v>
      </c>
    </row>
    <row r="128">
      <c r="A128" s="1" t="s">
        <v>3376</v>
      </c>
      <c r="B128" s="1" t="s">
        <v>257</v>
      </c>
      <c r="C128" s="1" t="s">
        <v>3377</v>
      </c>
      <c r="D128" s="2">
        <f>+251920453055</f>
        <v>251920453055</v>
      </c>
      <c r="E128" s="1" t="s">
        <v>33</v>
      </c>
      <c r="F128" s="1" t="s">
        <v>65</v>
      </c>
    </row>
    <row r="129">
      <c r="A129" s="1" t="s">
        <v>3378</v>
      </c>
      <c r="B129" s="1" t="s">
        <v>245</v>
      </c>
      <c r="C129" s="1" t="s">
        <v>371</v>
      </c>
      <c r="D129" s="2">
        <f>+251701716076</f>
        <v>251701716076</v>
      </c>
      <c r="E129" s="1" t="s">
        <v>33</v>
      </c>
      <c r="F129" s="1" t="s">
        <v>76</v>
      </c>
    </row>
    <row r="130">
      <c r="A130" s="1" t="s">
        <v>3379</v>
      </c>
      <c r="B130" s="1" t="s">
        <v>536</v>
      </c>
      <c r="C130" s="1" t="s">
        <v>3380</v>
      </c>
      <c r="D130" s="2">
        <f>+251923824434</f>
        <v>251923824434</v>
      </c>
      <c r="E130" s="1" t="s">
        <v>33</v>
      </c>
      <c r="F130" s="1" t="s">
        <v>34</v>
      </c>
    </row>
    <row r="131">
      <c r="A131" s="1" t="s">
        <v>3381</v>
      </c>
      <c r="B131" s="1" t="s">
        <v>663</v>
      </c>
      <c r="C131" s="1" t="s">
        <v>1773</v>
      </c>
      <c r="D131" s="2">
        <f>+251915534450</f>
        <v>251915534450</v>
      </c>
      <c r="E131" s="1" t="s">
        <v>33</v>
      </c>
      <c r="F131" s="1" t="s">
        <v>34</v>
      </c>
    </row>
    <row r="132">
      <c r="A132" s="1" t="s">
        <v>3382</v>
      </c>
      <c r="B132" s="1" t="s">
        <v>3383</v>
      </c>
      <c r="C132" s="1" t="s">
        <v>91</v>
      </c>
      <c r="D132" s="2">
        <f>+251940981659</f>
        <v>251940981659</v>
      </c>
      <c r="E132" s="1" t="s">
        <v>33</v>
      </c>
      <c r="F132" s="1" t="s">
        <v>65</v>
      </c>
    </row>
    <row r="133">
      <c r="A133" s="1" t="s">
        <v>3384</v>
      </c>
      <c r="B133" s="1" t="s">
        <v>1059</v>
      </c>
      <c r="C133" s="1" t="s">
        <v>319</v>
      </c>
      <c r="D133" s="2">
        <f>+251927075311</f>
        <v>251927075311</v>
      </c>
      <c r="E133" s="1" t="s">
        <v>33</v>
      </c>
      <c r="F133" s="1" t="s">
        <v>118</v>
      </c>
    </row>
    <row r="134">
      <c r="A134" s="1" t="s">
        <v>3385</v>
      </c>
      <c r="B134" s="1" t="s">
        <v>28</v>
      </c>
      <c r="C134" s="1" t="s">
        <v>534</v>
      </c>
      <c r="D134" s="2">
        <f>+251914723108</f>
        <v>251914723108</v>
      </c>
      <c r="E134" s="1" t="s">
        <v>33</v>
      </c>
      <c r="F134" s="1" t="s">
        <v>34</v>
      </c>
    </row>
    <row r="135">
      <c r="A135" s="1" t="s">
        <v>3386</v>
      </c>
      <c r="B135" s="1" t="s">
        <v>3387</v>
      </c>
      <c r="C135" s="1" t="s">
        <v>3388</v>
      </c>
      <c r="D135" s="2">
        <f>+251963456922</f>
        <v>251963456922</v>
      </c>
      <c r="E135" s="1" t="s">
        <v>33</v>
      </c>
      <c r="F135" s="1" t="s">
        <v>76</v>
      </c>
    </row>
    <row r="136">
      <c r="A136" s="1" t="s">
        <v>3389</v>
      </c>
      <c r="B136" s="1" t="s">
        <v>3390</v>
      </c>
      <c r="C136" s="1" t="s">
        <v>1922</v>
      </c>
      <c r="D136" s="2">
        <f>+251967385457</f>
        <v>251967385457</v>
      </c>
      <c r="E136" s="1" t="s">
        <v>33</v>
      </c>
      <c r="F136" s="1" t="s">
        <v>177</v>
      </c>
    </row>
    <row r="137">
      <c r="A137" s="1" t="s">
        <v>3391</v>
      </c>
      <c r="B137" s="1" t="s">
        <v>1959</v>
      </c>
      <c r="C137" s="1" t="s">
        <v>3392</v>
      </c>
      <c r="D137" s="2">
        <f>+251910208206</f>
        <v>251910208206</v>
      </c>
      <c r="E137" s="1" t="s">
        <v>33</v>
      </c>
      <c r="F137" s="1" t="s">
        <v>65</v>
      </c>
    </row>
    <row r="138">
      <c r="A138" s="1" t="s">
        <v>3393</v>
      </c>
      <c r="B138" s="1" t="s">
        <v>3394</v>
      </c>
      <c r="C138" s="1" t="s">
        <v>3395</v>
      </c>
      <c r="D138" s="2">
        <f>+251703201413</f>
        <v>251703201413</v>
      </c>
      <c r="E138" s="1" t="s">
        <v>33</v>
      </c>
      <c r="F138" s="1" t="s">
        <v>118</v>
      </c>
    </row>
    <row r="139">
      <c r="A139" s="1" t="s">
        <v>3396</v>
      </c>
      <c r="B139" s="1" t="s">
        <v>1403</v>
      </c>
      <c r="C139" s="1" t="s">
        <v>2365</v>
      </c>
      <c r="D139" s="2">
        <f>+251912682870</f>
        <v>251912682870</v>
      </c>
      <c r="E139" s="1" t="s">
        <v>33</v>
      </c>
      <c r="F139" s="1" t="s">
        <v>34</v>
      </c>
    </row>
    <row r="140">
      <c r="A140" s="1" t="s">
        <v>3397</v>
      </c>
      <c r="B140" s="1" t="s">
        <v>37</v>
      </c>
      <c r="C140" s="1" t="s">
        <v>3398</v>
      </c>
      <c r="D140" s="2">
        <f>+251907435212</f>
        <v>251907435212</v>
      </c>
      <c r="E140" s="1" t="s">
        <v>33</v>
      </c>
      <c r="F140" s="1" t="s">
        <v>166</v>
      </c>
    </row>
    <row r="141">
      <c r="A141" s="1" t="s">
        <v>3399</v>
      </c>
      <c r="B141" s="1" t="s">
        <v>101</v>
      </c>
      <c r="C141" s="1" t="s">
        <v>1532</v>
      </c>
      <c r="D141" s="2">
        <f>+251947136729</f>
        <v>251947136729</v>
      </c>
      <c r="E141" s="1" t="s">
        <v>33</v>
      </c>
      <c r="F141" s="1" t="s">
        <v>65</v>
      </c>
    </row>
    <row r="142">
      <c r="A142" s="1" t="s">
        <v>3400</v>
      </c>
      <c r="B142" s="1" t="s">
        <v>264</v>
      </c>
      <c r="C142" s="1" t="s">
        <v>3401</v>
      </c>
      <c r="D142" s="2">
        <f>+251969512411</f>
        <v>251969512411</v>
      </c>
      <c r="E142" s="1" t="s">
        <v>33</v>
      </c>
      <c r="F142" s="1" t="s">
        <v>65</v>
      </c>
    </row>
    <row r="143">
      <c r="A143" s="1" t="s">
        <v>3402</v>
      </c>
      <c r="B143" s="1" t="s">
        <v>250</v>
      </c>
      <c r="C143" s="1" t="s">
        <v>213</v>
      </c>
      <c r="D143" s="2">
        <f>+251984682631</f>
        <v>251984682631</v>
      </c>
      <c r="E143" s="1" t="s">
        <v>33</v>
      </c>
      <c r="F143" s="1" t="s">
        <v>65</v>
      </c>
    </row>
    <row r="144">
      <c r="A144" s="1" t="s">
        <v>3403</v>
      </c>
      <c r="B144" s="1" t="s">
        <v>1139</v>
      </c>
      <c r="C144" s="1" t="s">
        <v>3404</v>
      </c>
      <c r="D144" s="2">
        <f>+251920571133</f>
        <v>251920571133</v>
      </c>
      <c r="E144" s="1" t="s">
        <v>33</v>
      </c>
      <c r="F144" s="1" t="s">
        <v>65</v>
      </c>
    </row>
    <row r="145">
      <c r="A145" s="1" t="s">
        <v>3405</v>
      </c>
      <c r="B145" s="1" t="s">
        <v>956</v>
      </c>
      <c r="C145" s="1" t="s">
        <v>3406</v>
      </c>
      <c r="D145" s="2">
        <f>+251934762307</f>
        <v>251934762307</v>
      </c>
      <c r="E145" s="1" t="s">
        <v>33</v>
      </c>
      <c r="F145" s="1" t="s">
        <v>166</v>
      </c>
    </row>
    <row r="146">
      <c r="A146" s="1" t="s">
        <v>3407</v>
      </c>
      <c r="B146" s="1" t="s">
        <v>497</v>
      </c>
      <c r="C146" s="1" t="s">
        <v>130</v>
      </c>
      <c r="D146" s="2">
        <f>+251919600811</f>
        <v>251919600811</v>
      </c>
      <c r="E146" s="1" t="s">
        <v>33</v>
      </c>
      <c r="F146" s="1" t="s">
        <v>177</v>
      </c>
    </row>
    <row r="147">
      <c r="A147" s="1" t="s">
        <v>3408</v>
      </c>
      <c r="B147" s="1" t="s">
        <v>1504</v>
      </c>
      <c r="C147" s="1" t="s">
        <v>3409</v>
      </c>
      <c r="D147" s="2">
        <f>+251900351538</f>
        <v>251900351538</v>
      </c>
      <c r="E147" s="1" t="s">
        <v>33</v>
      </c>
      <c r="F147" s="1" t="s">
        <v>166</v>
      </c>
    </row>
    <row r="148">
      <c r="A148" s="1" t="s">
        <v>3410</v>
      </c>
      <c r="B148" s="1" t="s">
        <v>37</v>
      </c>
      <c r="C148" s="1" t="s">
        <v>3411</v>
      </c>
      <c r="D148" s="2">
        <f>+251960936865</f>
        <v>251960936865</v>
      </c>
      <c r="E148" s="1" t="s">
        <v>33</v>
      </c>
      <c r="F148" s="1" t="s">
        <v>65</v>
      </c>
    </row>
    <row r="149">
      <c r="A149" s="1" t="s">
        <v>3412</v>
      </c>
      <c r="B149" s="1" t="s">
        <v>615</v>
      </c>
      <c r="C149" s="1" t="s">
        <v>313</v>
      </c>
      <c r="D149" s="2">
        <f>+251910537575</f>
        <v>251910537575</v>
      </c>
      <c r="E149" s="1" t="s">
        <v>33</v>
      </c>
      <c r="F149" s="1" t="s">
        <v>65</v>
      </c>
    </row>
    <row r="150">
      <c r="A150" s="1" t="s">
        <v>3413</v>
      </c>
      <c r="B150" s="1" t="s">
        <v>3414</v>
      </c>
      <c r="C150" s="1" t="s">
        <v>566</v>
      </c>
      <c r="D150" s="2">
        <f>+251919512964</f>
        <v>251919512964</v>
      </c>
      <c r="E150" s="1" t="s">
        <v>33</v>
      </c>
      <c r="F150" s="1" t="s">
        <v>177</v>
      </c>
    </row>
    <row r="151">
      <c r="A151" s="1" t="s">
        <v>3415</v>
      </c>
      <c r="B151" s="1" t="s">
        <v>1812</v>
      </c>
      <c r="C151" s="1" t="s">
        <v>3416</v>
      </c>
      <c r="D151" s="2">
        <f>+251947349134</f>
        <v>251947349134</v>
      </c>
      <c r="E151" s="1" t="s">
        <v>33</v>
      </c>
      <c r="F151" s="1" t="s">
        <v>177</v>
      </c>
    </row>
    <row r="152">
      <c r="A152" s="1" t="s">
        <v>3417</v>
      </c>
      <c r="B152" s="1" t="s">
        <v>67</v>
      </c>
      <c r="C152" s="1" t="s">
        <v>3418</v>
      </c>
      <c r="D152" s="2">
        <f>+251948192703</f>
        <v>251948192703</v>
      </c>
      <c r="E152" s="1" t="s">
        <v>33</v>
      </c>
      <c r="F152" s="1" t="s">
        <v>65</v>
      </c>
    </row>
    <row r="153">
      <c r="A153" s="1" t="s">
        <v>3419</v>
      </c>
      <c r="B153" s="1" t="s">
        <v>3420</v>
      </c>
      <c r="C153" s="1" t="s">
        <v>3421</v>
      </c>
      <c r="D153" s="2">
        <f>+251931836205</f>
        <v>251931836205</v>
      </c>
      <c r="E153" s="1" t="s">
        <v>33</v>
      </c>
      <c r="F153" s="1" t="s">
        <v>65</v>
      </c>
    </row>
    <row r="154">
      <c r="A154" s="1" t="s">
        <v>3422</v>
      </c>
      <c r="B154" s="1" t="s">
        <v>221</v>
      </c>
      <c r="C154" s="1" t="s">
        <v>221</v>
      </c>
      <c r="D154" s="2">
        <f>+251920790066</f>
        <v>251920790066</v>
      </c>
      <c r="E154" s="1" t="s">
        <v>33</v>
      </c>
      <c r="F154" s="1" t="s">
        <v>34</v>
      </c>
    </row>
    <row r="155">
      <c r="A155" s="1" t="s">
        <v>3423</v>
      </c>
      <c r="B155" s="1" t="s">
        <v>29</v>
      </c>
      <c r="C155" s="1" t="s">
        <v>3424</v>
      </c>
      <c r="D155" s="2">
        <f>+251965416865</f>
        <v>251965416865</v>
      </c>
      <c r="E155" s="1" t="s">
        <v>33</v>
      </c>
      <c r="F155" s="1" t="s">
        <v>166</v>
      </c>
    </row>
    <row r="156">
      <c r="A156" s="1" t="s">
        <v>3425</v>
      </c>
      <c r="B156" s="1" t="s">
        <v>188</v>
      </c>
      <c r="C156" s="1" t="s">
        <v>1000</v>
      </c>
      <c r="D156" s="2">
        <f>+251986250088</f>
        <v>251986250088</v>
      </c>
      <c r="E156" s="1" t="s">
        <v>33</v>
      </c>
      <c r="F156" s="1" t="s">
        <v>65</v>
      </c>
    </row>
    <row r="157">
      <c r="A157" s="1" t="s">
        <v>3426</v>
      </c>
      <c r="B157" s="1" t="s">
        <v>3427</v>
      </c>
      <c r="C157" s="1" t="s">
        <v>3428</v>
      </c>
      <c r="D157" s="2">
        <f>+251993157092</f>
        <v>251993157092</v>
      </c>
      <c r="E157" s="1" t="s">
        <v>33</v>
      </c>
      <c r="F157" s="1" t="s">
        <v>65</v>
      </c>
    </row>
    <row r="158">
      <c r="A158" s="1" t="s">
        <v>3051</v>
      </c>
      <c r="B158" s="1" t="s">
        <v>179</v>
      </c>
      <c r="C158" s="1" t="s">
        <v>601</v>
      </c>
      <c r="D158" s="2">
        <f>+251939953005</f>
        <v>251939953005</v>
      </c>
      <c r="E158" s="1" t="s">
        <v>33</v>
      </c>
      <c r="F158" s="1" t="s">
        <v>76</v>
      </c>
    </row>
    <row r="159">
      <c r="A159" s="1" t="s">
        <v>3429</v>
      </c>
      <c r="B159" s="1" t="s">
        <v>213</v>
      </c>
      <c r="C159" s="1" t="s">
        <v>284</v>
      </c>
      <c r="D159" s="2">
        <f>+251966036251</f>
        <v>251966036251</v>
      </c>
      <c r="E159" s="1" t="s">
        <v>33</v>
      </c>
      <c r="F159" s="1" t="s">
        <v>166</v>
      </c>
    </row>
    <row r="160">
      <c r="A160" s="1" t="s">
        <v>1523</v>
      </c>
      <c r="B160" s="1" t="s">
        <v>1355</v>
      </c>
      <c r="C160" s="1" t="s">
        <v>1524</v>
      </c>
      <c r="D160" s="2">
        <f>+251939654186</f>
        <v>251939654186</v>
      </c>
      <c r="E160" s="1" t="s">
        <v>33</v>
      </c>
      <c r="F160" s="1" t="s">
        <v>65</v>
      </c>
    </row>
    <row r="161">
      <c r="A161" s="1" t="s">
        <v>3430</v>
      </c>
      <c r="B161" s="1" t="s">
        <v>3431</v>
      </c>
      <c r="C161" s="1" t="s">
        <v>1959</v>
      </c>
      <c r="D161" s="2">
        <f>+251920950962</f>
        <v>251920950962</v>
      </c>
      <c r="E161" s="1" t="s">
        <v>33</v>
      </c>
      <c r="F161" s="1" t="s">
        <v>76</v>
      </c>
    </row>
    <row r="162">
      <c r="A162" s="1" t="s">
        <v>3432</v>
      </c>
      <c r="B162" s="1" t="s">
        <v>3433</v>
      </c>
      <c r="C162" s="1" t="s">
        <v>146</v>
      </c>
      <c r="D162" s="2">
        <f>+251912401250</f>
        <v>251912401250</v>
      </c>
      <c r="E162" s="1" t="s">
        <v>33</v>
      </c>
      <c r="F162" s="1" t="s">
        <v>65</v>
      </c>
    </row>
    <row r="163">
      <c r="A163" s="1" t="s">
        <v>3434</v>
      </c>
      <c r="B163" s="1" t="s">
        <v>3435</v>
      </c>
      <c r="C163" s="1" t="s">
        <v>661</v>
      </c>
      <c r="D163" s="2">
        <f>+251938470962</f>
        <v>251938470962</v>
      </c>
      <c r="E163" s="1" t="s">
        <v>33</v>
      </c>
      <c r="F163" s="1" t="s">
        <v>166</v>
      </c>
    </row>
    <row r="164">
      <c r="A164" s="1" t="s">
        <v>3436</v>
      </c>
      <c r="B164" s="1" t="s">
        <v>3437</v>
      </c>
      <c r="C164" s="1" t="s">
        <v>3438</v>
      </c>
      <c r="D164" s="2">
        <f>+251911028828</f>
        <v>251911028828</v>
      </c>
      <c r="E164" s="1" t="s">
        <v>33</v>
      </c>
      <c r="F164" s="1" t="s">
        <v>235</v>
      </c>
    </row>
    <row r="165">
      <c r="A165" s="1" t="s">
        <v>3439</v>
      </c>
      <c r="B165" s="1" t="s">
        <v>2160</v>
      </c>
      <c r="C165" s="1" t="s">
        <v>3440</v>
      </c>
      <c r="D165" s="2">
        <f>+251925763462</f>
        <v>251925763462</v>
      </c>
      <c r="E165" s="1" t="s">
        <v>33</v>
      </c>
      <c r="F165" s="1" t="s">
        <v>65</v>
      </c>
    </row>
    <row r="166">
      <c r="A166" s="1" t="s">
        <v>3441</v>
      </c>
      <c r="B166" s="1" t="s">
        <v>152</v>
      </c>
      <c r="C166" s="1" t="s">
        <v>3442</v>
      </c>
      <c r="D166" s="2">
        <f>+251935511610</f>
        <v>251935511610</v>
      </c>
      <c r="E166" s="1" t="s">
        <v>33</v>
      </c>
      <c r="F166" s="1" t="s">
        <v>235</v>
      </c>
    </row>
    <row r="167">
      <c r="A167" s="1" t="s">
        <v>3443</v>
      </c>
      <c r="B167" s="1" t="s">
        <v>1919</v>
      </c>
      <c r="C167" s="1" t="s">
        <v>3444</v>
      </c>
      <c r="D167" s="2">
        <f>+251933262424</f>
        <v>251933262424</v>
      </c>
      <c r="E167" s="1" t="s">
        <v>33</v>
      </c>
      <c r="F167" s="1" t="s">
        <v>166</v>
      </c>
    </row>
    <row r="168">
      <c r="A168" s="1" t="s">
        <v>3445</v>
      </c>
      <c r="B168" s="1" t="s">
        <v>3217</v>
      </c>
      <c r="C168" s="1" t="s">
        <v>3446</v>
      </c>
      <c r="D168" s="2">
        <f>+251913030993</f>
        <v>251913030993</v>
      </c>
      <c r="E168" s="1" t="s">
        <v>33</v>
      </c>
      <c r="F168" s="1" t="s">
        <v>166</v>
      </c>
    </row>
    <row r="169">
      <c r="A169" s="1" t="s">
        <v>3447</v>
      </c>
      <c r="B169" s="1" t="s">
        <v>3067</v>
      </c>
      <c r="C169" s="1" t="s">
        <v>220</v>
      </c>
      <c r="D169" s="2">
        <f>+251945262227</f>
        <v>251945262227</v>
      </c>
      <c r="E169" s="1" t="s">
        <v>33</v>
      </c>
      <c r="F169" s="1" t="s">
        <v>76</v>
      </c>
    </row>
    <row r="170">
      <c r="A170" s="1" t="s">
        <v>3448</v>
      </c>
      <c r="B170" s="1" t="s">
        <v>101</v>
      </c>
      <c r="C170" s="1" t="s">
        <v>338</v>
      </c>
      <c r="D170" s="2">
        <f>+251712001763</f>
        <v>251712001763</v>
      </c>
      <c r="E170" s="1" t="s">
        <v>33</v>
      </c>
      <c r="F170" s="1" t="s">
        <v>65</v>
      </c>
    </row>
    <row r="171">
      <c r="A171" s="1" t="s">
        <v>3449</v>
      </c>
      <c r="B171" s="1" t="s">
        <v>1899</v>
      </c>
      <c r="C171" s="1" t="s">
        <v>3450</v>
      </c>
      <c r="D171" s="2">
        <f>+251924550918</f>
        <v>251924550918</v>
      </c>
      <c r="E171" s="1" t="s">
        <v>33</v>
      </c>
      <c r="F171" s="1" t="s">
        <v>65</v>
      </c>
    </row>
    <row r="172">
      <c r="A172" s="11" t="s">
        <v>3451</v>
      </c>
      <c r="B172" s="11" t="s">
        <v>3452</v>
      </c>
      <c r="C172" s="11" t="s">
        <v>899</v>
      </c>
      <c r="D172" s="12">
        <f>+251965487087</f>
        <v>251965487087</v>
      </c>
      <c r="E172" s="11" t="s">
        <v>21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" t="s">
        <v>3453</v>
      </c>
      <c r="B173" s="1" t="s">
        <v>3454</v>
      </c>
      <c r="C173" s="1" t="s">
        <v>3455</v>
      </c>
      <c r="D173" s="2">
        <f>+251916038059</f>
        <v>251916038059</v>
      </c>
      <c r="E173" s="1" t="s">
        <v>21</v>
      </c>
    </row>
    <row r="174">
      <c r="A174" s="1" t="s">
        <v>3456</v>
      </c>
      <c r="B174" s="1" t="s">
        <v>951</v>
      </c>
      <c r="C174" s="1" t="s">
        <v>3457</v>
      </c>
      <c r="D174" s="2">
        <f>+251941317208</f>
        <v>251941317208</v>
      </c>
      <c r="E174" s="1" t="s">
        <v>21</v>
      </c>
    </row>
    <row r="175">
      <c r="A175" s="1" t="s">
        <v>3458</v>
      </c>
      <c r="B175" s="1" t="s">
        <v>3459</v>
      </c>
      <c r="C175" s="1" t="s">
        <v>361</v>
      </c>
      <c r="D175" s="2">
        <f>+251995468524</f>
        <v>251995468524</v>
      </c>
      <c r="E175" s="1" t="s">
        <v>21</v>
      </c>
    </row>
    <row r="176">
      <c r="A176" s="1" t="s">
        <v>3460</v>
      </c>
      <c r="B176" s="1" t="s">
        <v>3461</v>
      </c>
      <c r="C176" s="1" t="s">
        <v>862</v>
      </c>
      <c r="D176" s="2">
        <f>+251932324407</f>
        <v>251932324407</v>
      </c>
      <c r="E176" s="1" t="s">
        <v>21</v>
      </c>
    </row>
    <row r="177">
      <c r="A177" s="1" t="s">
        <v>3462</v>
      </c>
      <c r="B177" s="1" t="s">
        <v>1950</v>
      </c>
      <c r="C177" s="1" t="s">
        <v>1077</v>
      </c>
      <c r="D177" s="1">
        <v>9.10491517E8</v>
      </c>
      <c r="E177" s="1" t="s">
        <v>21</v>
      </c>
    </row>
    <row r="178">
      <c r="A178" s="1" t="s">
        <v>3463</v>
      </c>
      <c r="B178" s="1" t="s">
        <v>483</v>
      </c>
      <c r="C178" s="1" t="s">
        <v>108</v>
      </c>
      <c r="D178" s="2">
        <f>+251915567464</f>
        <v>251915567464</v>
      </c>
      <c r="E178" s="1" t="s">
        <v>21</v>
      </c>
    </row>
    <row r="179">
      <c r="A179" s="1" t="s">
        <v>3464</v>
      </c>
      <c r="B179" s="1" t="s">
        <v>3465</v>
      </c>
      <c r="C179" s="1" t="s">
        <v>3466</v>
      </c>
      <c r="D179" s="2">
        <f>+251920635344</f>
        <v>251920635344</v>
      </c>
      <c r="E179" s="1" t="s">
        <v>21</v>
      </c>
    </row>
    <row r="180">
      <c r="A180" s="1" t="s">
        <v>3467</v>
      </c>
      <c r="B180" s="1" t="s">
        <v>1004</v>
      </c>
      <c r="C180" s="1" t="s">
        <v>51</v>
      </c>
      <c r="D180" s="2">
        <f>+251927696165</f>
        <v>251927696165</v>
      </c>
      <c r="E180" s="1" t="s">
        <v>21</v>
      </c>
    </row>
    <row r="181">
      <c r="A181" s="1" t="s">
        <v>3468</v>
      </c>
      <c r="B181" s="1" t="s">
        <v>333</v>
      </c>
      <c r="C181" s="1" t="s">
        <v>189</v>
      </c>
      <c r="D181" s="2">
        <f>+251938341139</f>
        <v>251938341139</v>
      </c>
      <c r="E181" s="1" t="s">
        <v>21</v>
      </c>
    </row>
    <row r="182">
      <c r="A182" s="1" t="s">
        <v>3469</v>
      </c>
      <c r="B182" s="1" t="s">
        <v>3470</v>
      </c>
      <c r="C182" s="1" t="s">
        <v>1337</v>
      </c>
      <c r="D182" s="2">
        <f>+251921402198</f>
        <v>251921402198</v>
      </c>
      <c r="E182" s="1" t="s">
        <v>21</v>
      </c>
    </row>
    <row r="183">
      <c r="A183" s="1" t="s">
        <v>3471</v>
      </c>
      <c r="B183" s="1" t="s">
        <v>3472</v>
      </c>
      <c r="C183" s="1" t="s">
        <v>3473</v>
      </c>
      <c r="D183" s="2">
        <f>+251710166990</f>
        <v>251710166990</v>
      </c>
      <c r="E183" s="1" t="s">
        <v>21</v>
      </c>
    </row>
    <row r="184">
      <c r="A184" s="1" t="s">
        <v>3474</v>
      </c>
      <c r="B184" s="1" t="s">
        <v>3475</v>
      </c>
      <c r="C184" s="1" t="s">
        <v>328</v>
      </c>
      <c r="D184" s="2">
        <f>+251989861391</f>
        <v>251989861391</v>
      </c>
      <c r="E184" s="1" t="s">
        <v>21</v>
      </c>
    </row>
    <row r="185">
      <c r="A185" s="1" t="s">
        <v>3476</v>
      </c>
      <c r="B185" s="1" t="s">
        <v>3477</v>
      </c>
      <c r="C185" s="1" t="s">
        <v>363</v>
      </c>
      <c r="D185" s="2">
        <f>+251923693640</f>
        <v>251923693640</v>
      </c>
      <c r="E185" s="1" t="s">
        <v>21</v>
      </c>
    </row>
    <row r="186">
      <c r="A186" s="1" t="s">
        <v>3478</v>
      </c>
      <c r="B186" s="1" t="s">
        <v>729</v>
      </c>
      <c r="C186" s="1" t="s">
        <v>3479</v>
      </c>
      <c r="D186" s="2">
        <f>+251927007218</f>
        <v>251927007218</v>
      </c>
      <c r="E186" s="1" t="s">
        <v>21</v>
      </c>
    </row>
    <row r="187">
      <c r="A187" s="1" t="s">
        <v>3480</v>
      </c>
      <c r="B187" s="1" t="s">
        <v>3481</v>
      </c>
      <c r="C187" s="1" t="s">
        <v>3482</v>
      </c>
      <c r="D187" s="2">
        <f>+251975362166</f>
        <v>251975362166</v>
      </c>
      <c r="E187" s="1" t="s">
        <v>21</v>
      </c>
    </row>
    <row r="188">
      <c r="A188" s="1" t="s">
        <v>3483</v>
      </c>
      <c r="B188" s="1" t="s">
        <v>154</v>
      </c>
      <c r="C188" s="1" t="s">
        <v>371</v>
      </c>
      <c r="D188" s="2">
        <f>+251777564488</f>
        <v>251777564488</v>
      </c>
      <c r="E188" s="1" t="s">
        <v>21</v>
      </c>
    </row>
    <row r="189">
      <c r="A189" s="1" t="s">
        <v>3484</v>
      </c>
      <c r="B189" s="1" t="s">
        <v>3485</v>
      </c>
      <c r="C189" s="1" t="s">
        <v>3486</v>
      </c>
      <c r="D189" s="1">
        <v>9.24779439E8</v>
      </c>
      <c r="E189" s="1" t="s">
        <v>21</v>
      </c>
    </row>
    <row r="190">
      <c r="A190" s="1" t="s">
        <v>3487</v>
      </c>
      <c r="B190" s="1" t="s">
        <v>3488</v>
      </c>
      <c r="C190" s="1" t="s">
        <v>2022</v>
      </c>
      <c r="D190" s="2">
        <f>+251954939741</f>
        <v>251954939741</v>
      </c>
      <c r="E190" s="1" t="s">
        <v>21</v>
      </c>
    </row>
    <row r="191">
      <c r="A191" s="1" t="s">
        <v>3489</v>
      </c>
      <c r="B191" s="1" t="s">
        <v>3490</v>
      </c>
      <c r="C191" s="1" t="s">
        <v>3491</v>
      </c>
      <c r="D191" s="2">
        <f>+251924942135</f>
        <v>251924942135</v>
      </c>
      <c r="E191" s="1" t="s">
        <v>21</v>
      </c>
    </row>
    <row r="192">
      <c r="A192" s="1" t="s">
        <v>3492</v>
      </c>
      <c r="B192" s="1" t="s">
        <v>1947</v>
      </c>
      <c r="C192" s="1" t="s">
        <v>3493</v>
      </c>
      <c r="D192" s="2">
        <f>+251916588400</f>
        <v>251916588400</v>
      </c>
      <c r="E192" s="1" t="s">
        <v>21</v>
      </c>
    </row>
    <row r="193">
      <c r="A193" s="1" t="s">
        <v>3494</v>
      </c>
      <c r="B193" s="1" t="s">
        <v>3495</v>
      </c>
      <c r="C193" s="1" t="s">
        <v>3496</v>
      </c>
      <c r="D193" s="2">
        <f>+251911998132</f>
        <v>251911998132</v>
      </c>
      <c r="E193" s="1" t="s">
        <v>21</v>
      </c>
    </row>
    <row r="194">
      <c r="A194" s="1" t="s">
        <v>3497</v>
      </c>
      <c r="B194" s="1" t="s">
        <v>517</v>
      </c>
      <c r="C194" s="1" t="s">
        <v>2189</v>
      </c>
      <c r="D194" s="2">
        <f>+251982138867</f>
        <v>251982138867</v>
      </c>
      <c r="E194" s="1" t="s">
        <v>21</v>
      </c>
    </row>
    <row r="195">
      <c r="A195" s="1" t="s">
        <v>3498</v>
      </c>
      <c r="B195" s="1" t="s">
        <v>3499</v>
      </c>
      <c r="C195" s="1" t="s">
        <v>3500</v>
      </c>
      <c r="D195" s="2">
        <f>+251980303061</f>
        <v>251980303061</v>
      </c>
      <c r="E195" s="1" t="s">
        <v>21</v>
      </c>
    </row>
    <row r="196">
      <c r="A196" s="1" t="s">
        <v>3501</v>
      </c>
      <c r="B196" s="1" t="s">
        <v>729</v>
      </c>
      <c r="C196" s="1" t="s">
        <v>3502</v>
      </c>
      <c r="D196" s="2">
        <f>+251903074646</f>
        <v>251903074646</v>
      </c>
      <c r="E196" s="1" t="s">
        <v>21</v>
      </c>
    </row>
    <row r="197">
      <c r="A197" s="1" t="s">
        <v>3503</v>
      </c>
      <c r="B197" s="1" t="s">
        <v>867</v>
      </c>
      <c r="C197" s="1" t="s">
        <v>1760</v>
      </c>
      <c r="D197" s="2">
        <f>+251947763789</f>
        <v>251947763789</v>
      </c>
      <c r="E197" s="1" t="s">
        <v>21</v>
      </c>
    </row>
    <row r="198">
      <c r="A198" s="1" t="s">
        <v>3504</v>
      </c>
      <c r="B198" s="1" t="s">
        <v>1756</v>
      </c>
      <c r="C198" s="1" t="s">
        <v>1291</v>
      </c>
      <c r="D198" s="2">
        <f>+251915840870</f>
        <v>251915840870</v>
      </c>
      <c r="E198" s="1" t="s">
        <v>21</v>
      </c>
    </row>
    <row r="199">
      <c r="A199" s="1" t="s">
        <v>3505</v>
      </c>
      <c r="B199" s="1" t="s">
        <v>3506</v>
      </c>
      <c r="C199" s="1" t="s">
        <v>3507</v>
      </c>
      <c r="D199" s="2">
        <f>+251930835980</f>
        <v>251930835980</v>
      </c>
      <c r="E199" s="1" t="s">
        <v>21</v>
      </c>
    </row>
    <row r="200">
      <c r="A200" s="1" t="s">
        <v>3508</v>
      </c>
      <c r="B200" s="1" t="s">
        <v>1069</v>
      </c>
      <c r="C200" s="1" t="s">
        <v>3509</v>
      </c>
      <c r="D200" s="2">
        <f>+251909768609</f>
        <v>251909768609</v>
      </c>
      <c r="E200" s="1" t="s">
        <v>21</v>
      </c>
    </row>
    <row r="201">
      <c r="A201" s="1" t="s">
        <v>3510</v>
      </c>
      <c r="B201" s="1" t="s">
        <v>3511</v>
      </c>
      <c r="C201" s="1" t="s">
        <v>130</v>
      </c>
      <c r="D201" s="2">
        <f>+251942282146</f>
        <v>251942282146</v>
      </c>
      <c r="E201" s="1" t="s">
        <v>21</v>
      </c>
    </row>
    <row r="202">
      <c r="A202" s="1" t="s">
        <v>3512</v>
      </c>
      <c r="B202" s="1" t="s">
        <v>3513</v>
      </c>
      <c r="C202" s="1" t="s">
        <v>3514</v>
      </c>
      <c r="D202" s="2">
        <f>+251911542145</f>
        <v>251911542145</v>
      </c>
      <c r="E202" s="1" t="s">
        <v>21</v>
      </c>
    </row>
    <row r="203">
      <c r="A203" s="1" t="s">
        <v>3515</v>
      </c>
      <c r="B203" s="1" t="s">
        <v>600</v>
      </c>
      <c r="C203" s="1" t="s">
        <v>422</v>
      </c>
      <c r="D203" s="2">
        <f>+251923044301</f>
        <v>251923044301</v>
      </c>
      <c r="E203" s="1" t="s">
        <v>21</v>
      </c>
    </row>
    <row r="204">
      <c r="A204" s="1" t="s">
        <v>3516</v>
      </c>
      <c r="B204" s="1" t="s">
        <v>264</v>
      </c>
      <c r="C204" s="1" t="s">
        <v>899</v>
      </c>
      <c r="D204" s="1">
        <v>9.35353626E8</v>
      </c>
      <c r="E204" s="1" t="s">
        <v>21</v>
      </c>
    </row>
    <row r="205">
      <c r="A205" s="1" t="s">
        <v>3517</v>
      </c>
      <c r="B205" s="1" t="s">
        <v>3518</v>
      </c>
      <c r="C205" s="1" t="s">
        <v>3519</v>
      </c>
      <c r="D205" s="2">
        <f>+251964095455</f>
        <v>251964095455</v>
      </c>
      <c r="E205" s="1" t="s">
        <v>21</v>
      </c>
    </row>
    <row r="206">
      <c r="A206" s="1" t="s">
        <v>3520</v>
      </c>
      <c r="B206" s="1" t="s">
        <v>3521</v>
      </c>
      <c r="C206" s="1" t="s">
        <v>3522</v>
      </c>
      <c r="D206" s="2">
        <f>+251969695859</f>
        <v>251969695859</v>
      </c>
      <c r="E206" s="1" t="s">
        <v>21</v>
      </c>
    </row>
    <row r="207">
      <c r="A207" s="1" t="s">
        <v>3523</v>
      </c>
      <c r="B207" s="1" t="s">
        <v>3524</v>
      </c>
      <c r="C207" s="1" t="s">
        <v>3525</v>
      </c>
      <c r="D207" s="2">
        <f>+251936624289</f>
        <v>251936624289</v>
      </c>
      <c r="E207" s="1" t="s">
        <v>21</v>
      </c>
    </row>
    <row r="208">
      <c r="A208" s="1" t="s">
        <v>3526</v>
      </c>
      <c r="B208" s="1" t="s">
        <v>3527</v>
      </c>
      <c r="C208" s="1" t="s">
        <v>328</v>
      </c>
      <c r="D208" s="2">
        <f>+251911530534</f>
        <v>251911530534</v>
      </c>
      <c r="E208" s="1" t="s">
        <v>21</v>
      </c>
    </row>
    <row r="209">
      <c r="A209" s="1" t="s">
        <v>3528</v>
      </c>
      <c r="B209" s="1" t="s">
        <v>3529</v>
      </c>
      <c r="C209" s="1" t="s">
        <v>3530</v>
      </c>
      <c r="D209" s="2">
        <f>+251923925061</f>
        <v>251923925061</v>
      </c>
      <c r="E209" s="1" t="s">
        <v>21</v>
      </c>
    </row>
    <row r="210">
      <c r="A210" s="1" t="s">
        <v>3531</v>
      </c>
      <c r="B210" s="1" t="s">
        <v>1601</v>
      </c>
      <c r="C210" s="1" t="s">
        <v>3532</v>
      </c>
      <c r="D210" s="2">
        <f>+251910231067</f>
        <v>251910231067</v>
      </c>
      <c r="E210" s="1" t="s">
        <v>21</v>
      </c>
    </row>
    <row r="211">
      <c r="A211" s="1" t="s">
        <v>3533</v>
      </c>
      <c r="B211" s="1" t="s">
        <v>294</v>
      </c>
      <c r="C211" s="1" t="s">
        <v>1651</v>
      </c>
      <c r="D211" s="2">
        <f>+251935909190</f>
        <v>251935909190</v>
      </c>
      <c r="E211" s="1" t="s">
        <v>21</v>
      </c>
    </row>
    <row r="212">
      <c r="A212" s="1" t="s">
        <v>3534</v>
      </c>
      <c r="B212" s="1" t="s">
        <v>328</v>
      </c>
      <c r="C212" s="1" t="s">
        <v>1161</v>
      </c>
      <c r="D212" s="2">
        <f>+251975169070</f>
        <v>251975169070</v>
      </c>
      <c r="E212" s="1" t="s">
        <v>21</v>
      </c>
    </row>
    <row r="213">
      <c r="A213" s="1" t="s">
        <v>3535</v>
      </c>
      <c r="B213" s="1" t="s">
        <v>480</v>
      </c>
      <c r="C213" s="1" t="s">
        <v>1149</v>
      </c>
      <c r="D213" s="2">
        <f>+251936371959</f>
        <v>251936371959</v>
      </c>
      <c r="E213" s="1" t="s">
        <v>21</v>
      </c>
    </row>
    <row r="214">
      <c r="A214" s="1" t="s">
        <v>3536</v>
      </c>
      <c r="B214" s="1" t="s">
        <v>3537</v>
      </c>
      <c r="C214" s="1" t="s">
        <v>3538</v>
      </c>
      <c r="D214" s="2">
        <f>+251924030294</f>
        <v>251924030294</v>
      </c>
      <c r="E214" s="1" t="s">
        <v>21</v>
      </c>
    </row>
    <row r="215">
      <c r="A215" s="1" t="s">
        <v>3539</v>
      </c>
      <c r="B215" s="1" t="s">
        <v>3540</v>
      </c>
      <c r="C215" s="1" t="s">
        <v>3541</v>
      </c>
      <c r="D215" s="2">
        <f>+251931547155</f>
        <v>251931547155</v>
      </c>
      <c r="E215" s="1" t="s">
        <v>21</v>
      </c>
    </row>
    <row r="216">
      <c r="A216" s="1" t="s">
        <v>3542</v>
      </c>
      <c r="B216" s="1" t="s">
        <v>3543</v>
      </c>
      <c r="C216" s="1" t="s">
        <v>3544</v>
      </c>
      <c r="D216" s="2">
        <f>+25125020907</f>
        <v>25125020907</v>
      </c>
      <c r="E216" s="1" t="s">
        <v>21</v>
      </c>
    </row>
    <row r="217">
      <c r="A217" s="1" t="s">
        <v>3545</v>
      </c>
      <c r="B217" s="1" t="s">
        <v>3546</v>
      </c>
      <c r="C217" s="1" t="s">
        <v>316</v>
      </c>
      <c r="D217" s="2">
        <f>+251968577050</f>
        <v>251968577050</v>
      </c>
      <c r="E217" s="1" t="s">
        <v>21</v>
      </c>
    </row>
    <row r="218">
      <c r="A218" s="1" t="s">
        <v>3547</v>
      </c>
      <c r="B218" s="1" t="s">
        <v>3548</v>
      </c>
      <c r="C218" s="1" t="s">
        <v>3549</v>
      </c>
      <c r="D218" s="2">
        <f>+251967982062</f>
        <v>251967982062</v>
      </c>
      <c r="E218" s="1" t="s">
        <v>21</v>
      </c>
    </row>
    <row r="219">
      <c r="A219" s="1" t="s">
        <v>3550</v>
      </c>
      <c r="B219" s="1" t="s">
        <v>102</v>
      </c>
      <c r="C219" s="1" t="s">
        <v>1077</v>
      </c>
      <c r="D219" s="2">
        <f>+251935576414</f>
        <v>251935576414</v>
      </c>
      <c r="E219" s="1" t="s">
        <v>21</v>
      </c>
    </row>
    <row r="220">
      <c r="A220" s="1" t="s">
        <v>3551</v>
      </c>
      <c r="B220" s="1" t="s">
        <v>3552</v>
      </c>
      <c r="C220" s="1" t="s">
        <v>3553</v>
      </c>
      <c r="D220" s="2">
        <f>+251919739680</f>
        <v>251919739680</v>
      </c>
      <c r="E220" s="1" t="s">
        <v>21</v>
      </c>
    </row>
    <row r="221">
      <c r="A221" s="1" t="s">
        <v>3554</v>
      </c>
      <c r="B221" s="1" t="s">
        <v>3555</v>
      </c>
      <c r="C221" s="1" t="s">
        <v>110</v>
      </c>
      <c r="D221" s="2">
        <f>+251912363400</f>
        <v>251912363400</v>
      </c>
      <c r="E221" s="1" t="s">
        <v>21</v>
      </c>
    </row>
    <row r="222">
      <c r="A222" s="1" t="s">
        <v>3556</v>
      </c>
      <c r="B222" s="1" t="s">
        <v>764</v>
      </c>
      <c r="C222" s="1" t="s">
        <v>3557</v>
      </c>
      <c r="D222" s="2">
        <f>+251917207436</f>
        <v>251917207436</v>
      </c>
      <c r="E222" s="1" t="s">
        <v>21</v>
      </c>
    </row>
    <row r="223">
      <c r="A223" s="1" t="s">
        <v>3558</v>
      </c>
      <c r="B223" s="1" t="s">
        <v>3559</v>
      </c>
      <c r="C223" s="1" t="s">
        <v>3560</v>
      </c>
      <c r="D223" s="2">
        <f>+251994296885</f>
        <v>251994296885</v>
      </c>
      <c r="E223" s="1" t="s">
        <v>21</v>
      </c>
    </row>
    <row r="224">
      <c r="A224" s="1" t="s">
        <v>3561</v>
      </c>
      <c r="B224" s="1" t="s">
        <v>3157</v>
      </c>
      <c r="C224" s="1" t="s">
        <v>1237</v>
      </c>
      <c r="D224" s="2">
        <f>+251907361111</f>
        <v>251907361111</v>
      </c>
      <c r="E224" s="1" t="s">
        <v>21</v>
      </c>
    </row>
    <row r="225">
      <c r="A225" s="1" t="s">
        <v>3562</v>
      </c>
      <c r="B225" s="1" t="s">
        <v>3563</v>
      </c>
      <c r="C225" s="1" t="s">
        <v>2443</v>
      </c>
      <c r="D225" s="2">
        <f>+251977788778</f>
        <v>251977788778</v>
      </c>
      <c r="E225" s="1" t="s">
        <v>21</v>
      </c>
    </row>
    <row r="226">
      <c r="A226" s="1" t="s">
        <v>3564</v>
      </c>
      <c r="B226" s="1" t="s">
        <v>1185</v>
      </c>
      <c r="C226" s="1" t="s">
        <v>3565</v>
      </c>
      <c r="D226" s="2">
        <f>+251940459701</f>
        <v>251940459701</v>
      </c>
      <c r="E226" s="1" t="s">
        <v>21</v>
      </c>
    </row>
    <row r="227">
      <c r="A227" s="1" t="s">
        <v>3566</v>
      </c>
      <c r="B227" s="1" t="s">
        <v>3567</v>
      </c>
      <c r="C227" s="1" t="s">
        <v>420</v>
      </c>
      <c r="D227" s="2">
        <f>+251963449639</f>
        <v>251963449639</v>
      </c>
      <c r="E227" s="1" t="s">
        <v>21</v>
      </c>
    </row>
    <row r="228">
      <c r="A228" s="1" t="s">
        <v>3568</v>
      </c>
      <c r="B228" s="1" t="s">
        <v>264</v>
      </c>
      <c r="C228" s="1" t="s">
        <v>108</v>
      </c>
      <c r="D228" s="2">
        <f>+251953995191</f>
        <v>251953995191</v>
      </c>
      <c r="E228" s="1" t="s">
        <v>21</v>
      </c>
    </row>
    <row r="229">
      <c r="A229" s="1" t="s">
        <v>3569</v>
      </c>
      <c r="B229" s="1" t="s">
        <v>3570</v>
      </c>
      <c r="C229" s="1" t="s">
        <v>630</v>
      </c>
      <c r="D229" s="1">
        <v>9.11141578E8</v>
      </c>
      <c r="E229" s="1" t="s">
        <v>21</v>
      </c>
    </row>
    <row r="230">
      <c r="A230" s="1" t="s">
        <v>3571</v>
      </c>
      <c r="B230" s="1" t="s">
        <v>500</v>
      </c>
      <c r="C230" s="1" t="s">
        <v>3572</v>
      </c>
      <c r="D230" s="2">
        <f>+1251917819913</f>
        <v>1251917819913</v>
      </c>
      <c r="E230" s="1" t="s">
        <v>21</v>
      </c>
    </row>
    <row r="231">
      <c r="A231" s="1" t="s">
        <v>3573</v>
      </c>
      <c r="B231" s="1" t="s">
        <v>3574</v>
      </c>
      <c r="C231" s="1" t="s">
        <v>956</v>
      </c>
      <c r="D231" s="2">
        <f>+251917570611</f>
        <v>251917570611</v>
      </c>
      <c r="E231" s="1" t="s">
        <v>21</v>
      </c>
    </row>
    <row r="232">
      <c r="A232" s="1" t="s">
        <v>3575</v>
      </c>
      <c r="B232" s="1" t="s">
        <v>101</v>
      </c>
      <c r="C232" s="1" t="s">
        <v>303</v>
      </c>
      <c r="D232" s="2">
        <f>+251926550516</f>
        <v>251926550516</v>
      </c>
      <c r="E232" s="1" t="s">
        <v>21</v>
      </c>
    </row>
    <row r="233">
      <c r="A233" s="1" t="s">
        <v>3576</v>
      </c>
      <c r="B233" s="1" t="s">
        <v>124</v>
      </c>
      <c r="C233" s="1" t="s">
        <v>71</v>
      </c>
      <c r="D233" s="2">
        <f>+251980434149</f>
        <v>251980434149</v>
      </c>
      <c r="E233" s="1" t="s">
        <v>21</v>
      </c>
    </row>
    <row r="234">
      <c r="A234" s="1" t="s">
        <v>3577</v>
      </c>
      <c r="B234" s="1" t="s">
        <v>437</v>
      </c>
      <c r="C234" s="1" t="s">
        <v>524</v>
      </c>
      <c r="D234" s="2">
        <f>+251961546560</f>
        <v>251961546560</v>
      </c>
      <c r="E234" s="1" t="s">
        <v>21</v>
      </c>
    </row>
    <row r="235">
      <c r="A235" s="1" t="s">
        <v>3578</v>
      </c>
      <c r="B235" s="1" t="s">
        <v>29</v>
      </c>
      <c r="C235" s="1" t="s">
        <v>630</v>
      </c>
      <c r="D235" s="2">
        <f>+2519169270700</f>
        <v>2519169270700</v>
      </c>
      <c r="E235" s="1" t="s">
        <v>21</v>
      </c>
    </row>
    <row r="236">
      <c r="A236" s="1" t="s">
        <v>3579</v>
      </c>
      <c r="B236" s="1" t="s">
        <v>2017</v>
      </c>
      <c r="C236" s="1" t="s">
        <v>3580</v>
      </c>
      <c r="D236" s="2">
        <f>+251995761620</f>
        <v>251995761620</v>
      </c>
      <c r="E236" s="1" t="s">
        <v>21</v>
      </c>
    </row>
    <row r="237">
      <c r="A237" s="1" t="s">
        <v>3581</v>
      </c>
      <c r="B237" s="1" t="s">
        <v>163</v>
      </c>
      <c r="C237" s="1" t="s">
        <v>1760</v>
      </c>
      <c r="D237" s="2">
        <f>+251925396586</f>
        <v>251925396586</v>
      </c>
      <c r="E237" s="1" t="s">
        <v>21</v>
      </c>
    </row>
    <row r="238">
      <c r="A238" s="1" t="s">
        <v>3582</v>
      </c>
      <c r="B238" s="1" t="s">
        <v>3583</v>
      </c>
      <c r="C238" s="1" t="s">
        <v>3584</v>
      </c>
      <c r="D238" s="2">
        <f>+251977204763</f>
        <v>251977204763</v>
      </c>
      <c r="E238" s="1" t="s">
        <v>21</v>
      </c>
    </row>
    <row r="239">
      <c r="A239" s="1" t="s">
        <v>3585</v>
      </c>
      <c r="B239" s="1" t="s">
        <v>3586</v>
      </c>
      <c r="C239" s="1" t="s">
        <v>3587</v>
      </c>
      <c r="D239" s="1">
        <v>9.0243317E8</v>
      </c>
      <c r="E239" s="1" t="s">
        <v>21</v>
      </c>
    </row>
    <row r="240">
      <c r="A240" s="1" t="s">
        <v>3588</v>
      </c>
      <c r="B240" s="1" t="s">
        <v>37</v>
      </c>
      <c r="C240" s="1" t="s">
        <v>1760</v>
      </c>
      <c r="D240" s="2">
        <f>+251927062191</f>
        <v>251927062191</v>
      </c>
      <c r="E240" s="1" t="s">
        <v>21</v>
      </c>
    </row>
    <row r="241">
      <c r="A241" s="1" t="s">
        <v>3589</v>
      </c>
      <c r="B241" s="1" t="s">
        <v>3590</v>
      </c>
      <c r="C241" s="1" t="s">
        <v>2301</v>
      </c>
      <c r="D241" s="2">
        <f>+251911656400</f>
        <v>251911656400</v>
      </c>
      <c r="E241" s="1" t="s">
        <v>21</v>
      </c>
    </row>
    <row r="242">
      <c r="A242" s="1" t="s">
        <v>3591</v>
      </c>
      <c r="B242" s="1" t="s">
        <v>107</v>
      </c>
      <c r="C242" s="1" t="s">
        <v>3592</v>
      </c>
      <c r="D242" s="2">
        <f>+251978787429</f>
        <v>251978787429</v>
      </c>
      <c r="E242" s="1" t="s">
        <v>21</v>
      </c>
    </row>
    <row r="243">
      <c r="A243" s="1" t="s">
        <v>3593</v>
      </c>
      <c r="B243" s="1" t="s">
        <v>3594</v>
      </c>
      <c r="C243" s="1" t="s">
        <v>3595</v>
      </c>
      <c r="D243" s="2">
        <f>+251991270606</f>
        <v>251991270606</v>
      </c>
      <c r="E243" s="1" t="s">
        <v>21</v>
      </c>
    </row>
    <row r="244">
      <c r="A244" s="1" t="s">
        <v>3596</v>
      </c>
      <c r="B244" s="1" t="s">
        <v>60</v>
      </c>
      <c r="C244" s="1" t="s">
        <v>303</v>
      </c>
      <c r="D244" s="2">
        <f>+251934696272</f>
        <v>251934696272</v>
      </c>
      <c r="E244" s="1" t="s">
        <v>21</v>
      </c>
    </row>
    <row r="245">
      <c r="A245" s="1" t="s">
        <v>3597</v>
      </c>
      <c r="B245" s="1" t="s">
        <v>3496</v>
      </c>
      <c r="C245" s="1" t="s">
        <v>2505</v>
      </c>
      <c r="D245" s="2">
        <f>+251910100855</f>
        <v>251910100855</v>
      </c>
      <c r="E245" s="1" t="s">
        <v>21</v>
      </c>
    </row>
    <row r="246">
      <c r="A246" s="1" t="s">
        <v>3598</v>
      </c>
      <c r="B246" s="1" t="s">
        <v>3599</v>
      </c>
      <c r="C246" s="1" t="s">
        <v>3600</v>
      </c>
      <c r="D246" s="2">
        <f>+251911001573</f>
        <v>251911001573</v>
      </c>
      <c r="E246" s="1" t="s">
        <v>21</v>
      </c>
    </row>
    <row r="247">
      <c r="A247" s="1" t="s">
        <v>3601</v>
      </c>
      <c r="B247" s="1" t="s">
        <v>3602</v>
      </c>
      <c r="C247" s="1" t="s">
        <v>812</v>
      </c>
      <c r="D247" s="2">
        <f>+251940812739</f>
        <v>251940812739</v>
      </c>
      <c r="E247" s="1" t="s">
        <v>21</v>
      </c>
    </row>
    <row r="248">
      <c r="A248" s="1" t="s">
        <v>3603</v>
      </c>
      <c r="B248" s="1" t="s">
        <v>3604</v>
      </c>
      <c r="C248" s="1" t="s">
        <v>3605</v>
      </c>
      <c r="D248" s="2">
        <f>+251938045753</f>
        <v>251938045753</v>
      </c>
      <c r="E248" s="1" t="s">
        <v>21</v>
      </c>
    </row>
    <row r="249">
      <c r="A249" s="1" t="s">
        <v>3606</v>
      </c>
      <c r="B249" s="1" t="s">
        <v>3607</v>
      </c>
      <c r="C249" s="1" t="s">
        <v>365</v>
      </c>
      <c r="D249" s="2">
        <f>+251931948677</f>
        <v>251931948677</v>
      </c>
      <c r="E249" s="1" t="s">
        <v>21</v>
      </c>
    </row>
    <row r="250">
      <c r="A250" s="1" t="s">
        <v>3608</v>
      </c>
      <c r="B250" s="1" t="s">
        <v>3609</v>
      </c>
      <c r="C250" s="1" t="s">
        <v>3610</v>
      </c>
      <c r="D250" s="2">
        <f>+251912684004</f>
        <v>251912684004</v>
      </c>
      <c r="E250" s="1" t="s">
        <v>21</v>
      </c>
    </row>
    <row r="251">
      <c r="A251" s="1" t="s">
        <v>3611</v>
      </c>
      <c r="B251" s="1" t="s">
        <v>67</v>
      </c>
      <c r="C251" s="1" t="s">
        <v>110</v>
      </c>
      <c r="D251" s="2">
        <f>+251916824896</f>
        <v>251916824896</v>
      </c>
      <c r="E251" s="1" t="s">
        <v>21</v>
      </c>
    </row>
    <row r="252">
      <c r="A252" s="1" t="s">
        <v>3612</v>
      </c>
      <c r="B252" s="1" t="s">
        <v>404</v>
      </c>
      <c r="C252" s="1" t="s">
        <v>3613</v>
      </c>
      <c r="D252" s="2">
        <f>+251925628579</f>
        <v>251925628579</v>
      </c>
      <c r="E252" s="1" t="s">
        <v>21</v>
      </c>
    </row>
    <row r="253">
      <c r="A253" s="1" t="s">
        <v>3614</v>
      </c>
      <c r="B253" s="1" t="s">
        <v>3615</v>
      </c>
      <c r="C253" s="1" t="s">
        <v>3616</v>
      </c>
      <c r="D253" s="2">
        <f>+251923151833</f>
        <v>251923151833</v>
      </c>
      <c r="E253" s="1" t="s">
        <v>21</v>
      </c>
    </row>
    <row r="254">
      <c r="A254" s="1" t="s">
        <v>3617</v>
      </c>
      <c r="B254" s="1" t="s">
        <v>424</v>
      </c>
      <c r="C254" s="1" t="s">
        <v>534</v>
      </c>
      <c r="D254" s="2">
        <f>+251901908294</f>
        <v>251901908294</v>
      </c>
      <c r="E254" s="1" t="s">
        <v>21</v>
      </c>
    </row>
    <row r="255">
      <c r="A255" s="1" t="s">
        <v>3618</v>
      </c>
      <c r="B255" s="1" t="s">
        <v>3619</v>
      </c>
      <c r="C255" s="1" t="s">
        <v>506</v>
      </c>
      <c r="D255" s="2">
        <f>+251966126490</f>
        <v>251966126490</v>
      </c>
      <c r="E255" s="1" t="s">
        <v>21</v>
      </c>
    </row>
    <row r="256">
      <c r="A256" s="1" t="s">
        <v>3620</v>
      </c>
      <c r="B256" s="1" t="s">
        <v>361</v>
      </c>
      <c r="C256" s="1" t="s">
        <v>3621</v>
      </c>
      <c r="D256" s="2">
        <f>+251973946687</f>
        <v>251973946687</v>
      </c>
      <c r="E256" s="1" t="s">
        <v>21</v>
      </c>
    </row>
    <row r="257">
      <c r="A257" s="1" t="s">
        <v>3622</v>
      </c>
      <c r="B257" s="1" t="s">
        <v>1570</v>
      </c>
      <c r="C257" s="1" t="s">
        <v>195</v>
      </c>
      <c r="D257" s="2">
        <f>+251901609403</f>
        <v>251901609403</v>
      </c>
      <c r="E257" s="1" t="s">
        <v>21</v>
      </c>
    </row>
    <row r="258">
      <c r="A258" s="1" t="s">
        <v>3623</v>
      </c>
      <c r="B258" s="1" t="s">
        <v>3624</v>
      </c>
      <c r="C258" s="1" t="s">
        <v>277</v>
      </c>
      <c r="D258" s="2">
        <f>+251936481884</f>
        <v>251936481884</v>
      </c>
      <c r="E258" s="1" t="s">
        <v>21</v>
      </c>
    </row>
    <row r="259">
      <c r="A259" s="1" t="s">
        <v>3625</v>
      </c>
      <c r="B259" s="1" t="s">
        <v>3626</v>
      </c>
      <c r="C259" s="1" t="s">
        <v>3627</v>
      </c>
      <c r="D259" s="2">
        <f>+251912405079</f>
        <v>251912405079</v>
      </c>
      <c r="E259" s="1" t="s">
        <v>21</v>
      </c>
    </row>
    <row r="260">
      <c r="A260" s="1" t="s">
        <v>3628</v>
      </c>
      <c r="B260" s="1" t="s">
        <v>37</v>
      </c>
      <c r="C260" s="1" t="s">
        <v>3629</v>
      </c>
      <c r="D260" s="2">
        <f>+251912717161</f>
        <v>251912717161</v>
      </c>
      <c r="E260" s="1" t="s">
        <v>21</v>
      </c>
    </row>
    <row r="261">
      <c r="A261" s="1" t="s">
        <v>3630</v>
      </c>
      <c r="B261" s="1" t="s">
        <v>1254</v>
      </c>
      <c r="C261" s="1" t="s">
        <v>3631</v>
      </c>
      <c r="D261" s="2">
        <f>+251919221265</f>
        <v>251919221265</v>
      </c>
      <c r="E261" s="1" t="s">
        <v>21</v>
      </c>
    </row>
    <row r="262">
      <c r="A262" s="1" t="s">
        <v>3632</v>
      </c>
      <c r="B262" s="1" t="s">
        <v>996</v>
      </c>
      <c r="C262" s="1" t="s">
        <v>2853</v>
      </c>
      <c r="D262" s="2">
        <f>+251094877884</f>
        <v>251094877884</v>
      </c>
      <c r="E262" s="1" t="s">
        <v>21</v>
      </c>
    </row>
    <row r="263">
      <c r="A263" s="1" t="s">
        <v>3633</v>
      </c>
      <c r="B263" s="1" t="s">
        <v>3634</v>
      </c>
      <c r="C263" s="1" t="s">
        <v>3635</v>
      </c>
      <c r="D263" s="2">
        <f>+251918657923</f>
        <v>251918657923</v>
      </c>
      <c r="E263" s="1" t="s">
        <v>21</v>
      </c>
    </row>
    <row r="264">
      <c r="A264" s="1" t="s">
        <v>3636</v>
      </c>
      <c r="B264" s="1" t="s">
        <v>1504</v>
      </c>
      <c r="C264" s="1" t="s">
        <v>96</v>
      </c>
      <c r="D264" s="2">
        <f>+251926882982</f>
        <v>251926882982</v>
      </c>
      <c r="E264" s="1" t="s">
        <v>21</v>
      </c>
    </row>
    <row r="265">
      <c r="A265" s="1" t="s">
        <v>3637</v>
      </c>
      <c r="B265" s="1" t="s">
        <v>3638</v>
      </c>
      <c r="C265" s="1" t="s">
        <v>3639</v>
      </c>
      <c r="D265" s="2">
        <f>+251969421897</f>
        <v>251969421897</v>
      </c>
      <c r="E265" s="1" t="s">
        <v>21</v>
      </c>
    </row>
    <row r="266">
      <c r="A266" s="1" t="s">
        <v>3640</v>
      </c>
      <c r="B266" s="1" t="s">
        <v>1296</v>
      </c>
      <c r="C266" s="1" t="s">
        <v>899</v>
      </c>
      <c r="D266" s="2">
        <f>+251961109553</f>
        <v>251961109553</v>
      </c>
      <c r="E266" s="1" t="s">
        <v>21</v>
      </c>
    </row>
    <row r="267">
      <c r="A267" s="1" t="s">
        <v>3641</v>
      </c>
      <c r="B267" s="1" t="s">
        <v>663</v>
      </c>
      <c r="C267" s="1" t="s">
        <v>1103</v>
      </c>
      <c r="D267" s="2">
        <f>+251993483094</f>
        <v>251993483094</v>
      </c>
      <c r="E267" s="1" t="s">
        <v>21</v>
      </c>
    </row>
    <row r="268">
      <c r="A268" s="1" t="s">
        <v>3642</v>
      </c>
      <c r="B268" s="1" t="s">
        <v>3643</v>
      </c>
      <c r="C268" s="1" t="s">
        <v>3644</v>
      </c>
      <c r="D268" s="2">
        <f>+251912386254</f>
        <v>251912386254</v>
      </c>
      <c r="E268" s="1" t="s">
        <v>21</v>
      </c>
    </row>
    <row r="269">
      <c r="A269" s="1" t="s">
        <v>3645</v>
      </c>
      <c r="B269" s="1" t="s">
        <v>1069</v>
      </c>
      <c r="C269" s="1" t="s">
        <v>3646</v>
      </c>
      <c r="D269" s="2">
        <f>+251715131100</f>
        <v>251715131100</v>
      </c>
      <c r="E269" s="1" t="s">
        <v>21</v>
      </c>
    </row>
    <row r="270">
      <c r="A270" s="1" t="s">
        <v>3647</v>
      </c>
      <c r="B270" s="1" t="s">
        <v>774</v>
      </c>
      <c r="C270" s="1" t="s">
        <v>600</v>
      </c>
      <c r="D270" s="2">
        <f>+251911402283</f>
        <v>251911402283</v>
      </c>
      <c r="E270" s="1" t="s">
        <v>21</v>
      </c>
    </row>
    <row r="271">
      <c r="A271" s="1" t="s">
        <v>3648</v>
      </c>
      <c r="B271" s="1" t="s">
        <v>3649</v>
      </c>
      <c r="C271" s="1" t="s">
        <v>3650</v>
      </c>
      <c r="D271" s="2">
        <f>+251913515917</f>
        <v>251913515917</v>
      </c>
      <c r="E271" s="1" t="s">
        <v>21</v>
      </c>
    </row>
    <row r="272">
      <c r="A272" s="1" t="s">
        <v>3651</v>
      </c>
      <c r="B272" s="1" t="s">
        <v>28</v>
      </c>
      <c r="C272" s="1" t="s">
        <v>1000</v>
      </c>
      <c r="D272" s="2">
        <f>+251914866008</f>
        <v>251914866008</v>
      </c>
      <c r="E272" s="1" t="s">
        <v>21</v>
      </c>
    </row>
    <row r="273">
      <c r="A273" s="1" t="s">
        <v>3652</v>
      </c>
      <c r="B273" s="1" t="s">
        <v>3653</v>
      </c>
      <c r="C273" s="1" t="s">
        <v>1527</v>
      </c>
      <c r="D273" s="2">
        <f>+251938578806</f>
        <v>251938578806</v>
      </c>
      <c r="E273" s="1" t="s">
        <v>21</v>
      </c>
    </row>
    <row r="274">
      <c r="A274" s="1" t="s">
        <v>3654</v>
      </c>
      <c r="B274" s="1" t="s">
        <v>3655</v>
      </c>
      <c r="C274" s="1" t="s">
        <v>630</v>
      </c>
      <c r="D274" s="2">
        <f>+251903776539</f>
        <v>251903776539</v>
      </c>
      <c r="E274" s="1" t="s">
        <v>21</v>
      </c>
    </row>
    <row r="275">
      <c r="A275" s="1" t="s">
        <v>3656</v>
      </c>
      <c r="B275" s="1" t="s">
        <v>3657</v>
      </c>
      <c r="C275" s="1" t="s">
        <v>3658</v>
      </c>
      <c r="D275" s="2">
        <f>+251910112953</f>
        <v>251910112953</v>
      </c>
      <c r="E275" s="1" t="s">
        <v>21</v>
      </c>
    </row>
    <row r="276">
      <c r="A276" s="1" t="s">
        <v>3659</v>
      </c>
      <c r="B276" s="1" t="s">
        <v>1412</v>
      </c>
      <c r="C276" s="1" t="s">
        <v>3660</v>
      </c>
      <c r="D276" s="2">
        <f>+251936123022</f>
        <v>251936123022</v>
      </c>
      <c r="E276" s="1" t="s">
        <v>21</v>
      </c>
    </row>
    <row r="277">
      <c r="A277" s="1" t="s">
        <v>3661</v>
      </c>
      <c r="B277" s="1" t="s">
        <v>250</v>
      </c>
      <c r="C277" s="1" t="s">
        <v>1237</v>
      </c>
      <c r="D277" s="2">
        <f>+251935727654</f>
        <v>251935727654</v>
      </c>
      <c r="E277" s="1" t="s">
        <v>21</v>
      </c>
    </row>
    <row r="278">
      <c r="A278" s="1" t="s">
        <v>3662</v>
      </c>
      <c r="B278" s="1" t="s">
        <v>517</v>
      </c>
      <c r="C278" s="1" t="s">
        <v>2105</v>
      </c>
      <c r="D278" s="2">
        <f>+251945451557</f>
        <v>251945451557</v>
      </c>
      <c r="E278" s="1" t="s">
        <v>21</v>
      </c>
    </row>
    <row r="279">
      <c r="A279" s="1" t="s">
        <v>3663</v>
      </c>
      <c r="B279" s="1" t="s">
        <v>554</v>
      </c>
      <c r="C279" s="1" t="s">
        <v>1862</v>
      </c>
      <c r="D279" s="2">
        <f>+251911599412</f>
        <v>251911599412</v>
      </c>
      <c r="E279" s="1" t="s">
        <v>21</v>
      </c>
    </row>
    <row r="280">
      <c r="A280" s="1" t="s">
        <v>3664</v>
      </c>
      <c r="B280" s="1" t="s">
        <v>3665</v>
      </c>
      <c r="C280" s="1" t="s">
        <v>3666</v>
      </c>
      <c r="D280" s="2">
        <f>+251915615067</f>
        <v>251915615067</v>
      </c>
      <c r="E280" s="1" t="s">
        <v>21</v>
      </c>
    </row>
    <row r="281">
      <c r="A281" s="1" t="s">
        <v>3667</v>
      </c>
      <c r="B281" s="1" t="s">
        <v>774</v>
      </c>
      <c r="C281" s="1" t="s">
        <v>28</v>
      </c>
      <c r="D281" s="2">
        <f>+251916077829</f>
        <v>251916077829</v>
      </c>
      <c r="E281" s="1" t="s">
        <v>21</v>
      </c>
    </row>
    <row r="282">
      <c r="A282" s="1" t="s">
        <v>3668</v>
      </c>
      <c r="B282" s="1" t="s">
        <v>1371</v>
      </c>
      <c r="C282" s="1" t="s">
        <v>3669</v>
      </c>
      <c r="D282" s="2">
        <f>+251901085090</f>
        <v>251901085090</v>
      </c>
      <c r="E282" s="1" t="s">
        <v>21</v>
      </c>
    </row>
    <row r="283">
      <c r="A283" s="1" t="s">
        <v>3670</v>
      </c>
      <c r="B283" s="1" t="s">
        <v>141</v>
      </c>
      <c r="C283" s="1" t="s">
        <v>592</v>
      </c>
      <c r="D283" s="2">
        <f>+251996761017</f>
        <v>251996761017</v>
      </c>
      <c r="E283" s="1" t="s">
        <v>21</v>
      </c>
    </row>
    <row r="284">
      <c r="A284" s="1" t="s">
        <v>3671</v>
      </c>
      <c r="B284" s="1" t="s">
        <v>904</v>
      </c>
      <c r="C284" s="1" t="s">
        <v>948</v>
      </c>
      <c r="D284" s="2">
        <f>+251969367139</f>
        <v>251969367139</v>
      </c>
      <c r="E284" s="1" t="s">
        <v>21</v>
      </c>
    </row>
    <row r="285">
      <c r="A285" s="1" t="s">
        <v>3672</v>
      </c>
      <c r="B285" s="1" t="s">
        <v>3673</v>
      </c>
      <c r="C285" s="1" t="s">
        <v>3674</v>
      </c>
      <c r="D285" s="2">
        <f>+251922248424</f>
        <v>251922248424</v>
      </c>
      <c r="E285" s="1" t="s">
        <v>21</v>
      </c>
    </row>
    <row r="286">
      <c r="A286" s="1" t="s">
        <v>3675</v>
      </c>
      <c r="B286" s="1" t="s">
        <v>3676</v>
      </c>
      <c r="C286" s="1" t="s">
        <v>3677</v>
      </c>
      <c r="D286" s="2">
        <f>+251918986210</f>
        <v>251918986210</v>
      </c>
      <c r="E286" s="1" t="s">
        <v>21</v>
      </c>
    </row>
    <row r="287">
      <c r="A287" s="1" t="s">
        <v>3678</v>
      </c>
      <c r="B287" s="1" t="s">
        <v>536</v>
      </c>
      <c r="C287" s="1" t="s">
        <v>3679</v>
      </c>
      <c r="D287" s="2">
        <f>+251948995646</f>
        <v>251948995646</v>
      </c>
      <c r="E287" s="1" t="s">
        <v>21</v>
      </c>
    </row>
    <row r="288">
      <c r="A288" s="1" t="s">
        <v>3680</v>
      </c>
      <c r="B288" s="1" t="s">
        <v>3681</v>
      </c>
      <c r="C288" s="1" t="s">
        <v>1103</v>
      </c>
      <c r="D288" s="2">
        <f>+251954613144</f>
        <v>251954613144</v>
      </c>
      <c r="E288" s="1" t="s">
        <v>21</v>
      </c>
    </row>
    <row r="289">
      <c r="A289" s="1" t="s">
        <v>3682</v>
      </c>
      <c r="B289" s="1" t="s">
        <v>1819</v>
      </c>
      <c r="C289" s="1" t="s">
        <v>3683</v>
      </c>
      <c r="D289" s="2">
        <f>+251966042929</f>
        <v>251966042929</v>
      </c>
      <c r="E289" s="1" t="s">
        <v>21</v>
      </c>
    </row>
    <row r="290">
      <c r="A290" s="1" t="s">
        <v>3684</v>
      </c>
      <c r="B290" s="1" t="s">
        <v>264</v>
      </c>
      <c r="C290" s="1" t="s">
        <v>194</v>
      </c>
      <c r="D290" s="2">
        <f>+251927403391</f>
        <v>251927403391</v>
      </c>
      <c r="E290" s="1" t="s">
        <v>21</v>
      </c>
    </row>
    <row r="291">
      <c r="A291" s="1" t="s">
        <v>3685</v>
      </c>
      <c r="B291" s="1" t="s">
        <v>110</v>
      </c>
      <c r="C291" s="1" t="s">
        <v>1077</v>
      </c>
      <c r="D291" s="1">
        <v>9.12972394E8</v>
      </c>
      <c r="E291" s="1" t="s">
        <v>21</v>
      </c>
    </row>
    <row r="292">
      <c r="A292" s="1" t="s">
        <v>3686</v>
      </c>
      <c r="B292" s="1" t="s">
        <v>3687</v>
      </c>
      <c r="C292" s="1" t="s">
        <v>3688</v>
      </c>
      <c r="D292" s="2">
        <f>+251713087122</f>
        <v>251713087122</v>
      </c>
      <c r="E292" s="1" t="s">
        <v>21</v>
      </c>
    </row>
    <row r="293">
      <c r="A293" s="1" t="s">
        <v>3689</v>
      </c>
      <c r="B293" s="1" t="s">
        <v>1259</v>
      </c>
      <c r="C293" s="1" t="s">
        <v>3690</v>
      </c>
      <c r="D293" s="2">
        <f>+251707248883</f>
        <v>251707248883</v>
      </c>
      <c r="E293" s="1" t="s">
        <v>21</v>
      </c>
    </row>
    <row r="294">
      <c r="A294" s="1" t="s">
        <v>3691</v>
      </c>
      <c r="B294" s="1" t="s">
        <v>3692</v>
      </c>
      <c r="C294" s="1" t="s">
        <v>3693</v>
      </c>
      <c r="D294" s="2">
        <f>+251986990019</f>
        <v>251986990019</v>
      </c>
      <c r="E294" s="1" t="s">
        <v>21</v>
      </c>
    </row>
    <row r="295">
      <c r="A295" s="1" t="s">
        <v>3694</v>
      </c>
      <c r="B295" s="1" t="s">
        <v>554</v>
      </c>
      <c r="C295" s="1" t="s">
        <v>910</v>
      </c>
      <c r="D295" s="2">
        <f>+251938389545</f>
        <v>251938389545</v>
      </c>
      <c r="E295" s="1" t="s">
        <v>21</v>
      </c>
    </row>
    <row r="296">
      <c r="A296" s="1" t="s">
        <v>3695</v>
      </c>
      <c r="B296" s="1" t="s">
        <v>483</v>
      </c>
      <c r="C296" s="1" t="s">
        <v>2471</v>
      </c>
      <c r="D296" s="2">
        <f>+251966804651</f>
        <v>251966804651</v>
      </c>
      <c r="E296" s="1" t="s">
        <v>21</v>
      </c>
    </row>
    <row r="297">
      <c r="A297" s="1" t="s">
        <v>3696</v>
      </c>
      <c r="B297" s="1" t="s">
        <v>313</v>
      </c>
      <c r="C297" s="1" t="s">
        <v>108</v>
      </c>
      <c r="D297" s="2">
        <f>+251916280166</f>
        <v>251916280166</v>
      </c>
      <c r="E297" s="1" t="s">
        <v>21</v>
      </c>
    </row>
    <row r="298">
      <c r="A298" s="1" t="s">
        <v>3697</v>
      </c>
      <c r="B298" s="1" t="s">
        <v>3698</v>
      </c>
      <c r="C298" s="1" t="s">
        <v>3699</v>
      </c>
      <c r="D298" s="2">
        <f>+251924309698</f>
        <v>251924309698</v>
      </c>
      <c r="E298" s="1" t="s">
        <v>21</v>
      </c>
    </row>
    <row r="299">
      <c r="A299" s="1" t="s">
        <v>3700</v>
      </c>
      <c r="B299" s="1" t="s">
        <v>3701</v>
      </c>
      <c r="C299" s="1" t="s">
        <v>3702</v>
      </c>
      <c r="D299" s="2">
        <f>+251965508556</f>
        <v>251965508556</v>
      </c>
      <c r="E299" s="1" t="s">
        <v>21</v>
      </c>
    </row>
    <row r="300">
      <c r="A300" s="1" t="s">
        <v>3703</v>
      </c>
      <c r="B300" s="1" t="s">
        <v>3704</v>
      </c>
      <c r="C300" s="1" t="s">
        <v>2291</v>
      </c>
      <c r="D300" s="2">
        <f>+251912642183</f>
        <v>251912642183</v>
      </c>
      <c r="E300" s="1" t="s">
        <v>21</v>
      </c>
    </row>
    <row r="301">
      <c r="A301" s="1" t="s">
        <v>3705</v>
      </c>
      <c r="B301" s="1" t="s">
        <v>241</v>
      </c>
      <c r="C301" s="1" t="s">
        <v>3706</v>
      </c>
      <c r="D301" s="2">
        <f>+251978992147</f>
        <v>251978992147</v>
      </c>
      <c r="E301" s="1" t="s">
        <v>21</v>
      </c>
    </row>
    <row r="302">
      <c r="A302" s="1" t="s">
        <v>3707</v>
      </c>
      <c r="B302" s="1" t="s">
        <v>1570</v>
      </c>
      <c r="C302" s="1" t="s">
        <v>1103</v>
      </c>
      <c r="D302" s="2">
        <f>+251942190828</f>
        <v>251942190828</v>
      </c>
      <c r="E302" s="1" t="s">
        <v>21</v>
      </c>
    </row>
    <row r="303">
      <c r="A303" s="1" t="s">
        <v>3708</v>
      </c>
      <c r="B303" s="1" t="s">
        <v>3709</v>
      </c>
      <c r="C303" s="1" t="s">
        <v>3710</v>
      </c>
      <c r="D303" s="2">
        <f>+251915442728</f>
        <v>251915442728</v>
      </c>
      <c r="E303" s="1" t="s">
        <v>21</v>
      </c>
    </row>
    <row r="304">
      <c r="A304" s="1" t="s">
        <v>3711</v>
      </c>
      <c r="B304" s="1" t="s">
        <v>729</v>
      </c>
      <c r="C304" s="1" t="s">
        <v>3712</v>
      </c>
      <c r="D304" s="1">
        <v>9.39580953E8</v>
      </c>
      <c r="E304" s="1" t="s">
        <v>21</v>
      </c>
    </row>
    <row r="305">
      <c r="A305" s="1" t="s">
        <v>3713</v>
      </c>
      <c r="B305" s="1" t="s">
        <v>3714</v>
      </c>
      <c r="C305" s="1" t="s">
        <v>2639</v>
      </c>
      <c r="D305" s="2">
        <f>+251924946852</f>
        <v>251924946852</v>
      </c>
      <c r="E305" s="1" t="s">
        <v>21</v>
      </c>
    </row>
    <row r="306">
      <c r="A306" s="1" t="s">
        <v>3715</v>
      </c>
      <c r="B306" s="1" t="s">
        <v>3716</v>
      </c>
      <c r="C306" s="1" t="s">
        <v>3717</v>
      </c>
      <c r="D306" s="2">
        <f>+251939565276</f>
        <v>251939565276</v>
      </c>
      <c r="E306" s="1" t="s">
        <v>21</v>
      </c>
    </row>
    <row r="307">
      <c r="A307" s="1" t="s">
        <v>3718</v>
      </c>
      <c r="B307" s="1" t="s">
        <v>3719</v>
      </c>
      <c r="C307" s="1" t="s">
        <v>3720</v>
      </c>
      <c r="D307" s="2">
        <f>+251910140132</f>
        <v>251910140132</v>
      </c>
      <c r="E307" s="1" t="s">
        <v>21</v>
      </c>
    </row>
    <row r="308">
      <c r="A308" s="1" t="s">
        <v>3721</v>
      </c>
      <c r="B308" s="1" t="s">
        <v>3722</v>
      </c>
      <c r="C308" s="1" t="s">
        <v>176</v>
      </c>
      <c r="D308" s="2">
        <f>+251949008260</f>
        <v>251949008260</v>
      </c>
      <c r="E308" s="1" t="s">
        <v>21</v>
      </c>
    </row>
    <row r="309">
      <c r="A309" s="1" t="s">
        <v>3723</v>
      </c>
      <c r="B309" s="1" t="s">
        <v>3724</v>
      </c>
      <c r="C309" s="1" t="s">
        <v>3725</v>
      </c>
      <c r="D309" s="2">
        <f>+251946221128</f>
        <v>251946221128</v>
      </c>
      <c r="E309" s="1" t="s">
        <v>21</v>
      </c>
    </row>
    <row r="310">
      <c r="A310" s="1" t="s">
        <v>3726</v>
      </c>
      <c r="B310" s="1" t="s">
        <v>3727</v>
      </c>
      <c r="C310" s="1" t="s">
        <v>195</v>
      </c>
      <c r="D310" s="2">
        <f>+251912197829</f>
        <v>251912197829</v>
      </c>
      <c r="E310" s="1" t="s">
        <v>21</v>
      </c>
    </row>
    <row r="311">
      <c r="A311" s="1" t="s">
        <v>3728</v>
      </c>
      <c r="B311" s="1" t="s">
        <v>1337</v>
      </c>
      <c r="C311" s="1" t="s">
        <v>3729</v>
      </c>
      <c r="D311" s="2">
        <f>+251923503986</f>
        <v>251923503986</v>
      </c>
      <c r="E311" s="1" t="s">
        <v>21</v>
      </c>
    </row>
    <row r="312">
      <c r="A312" s="1" t="s">
        <v>3730</v>
      </c>
      <c r="B312" s="1" t="s">
        <v>37</v>
      </c>
      <c r="C312" s="1" t="s">
        <v>45</v>
      </c>
      <c r="D312" s="1">
        <v>9.79011378E8</v>
      </c>
      <c r="E312" s="1" t="s">
        <v>21</v>
      </c>
    </row>
    <row r="313">
      <c r="A313" s="1" t="s">
        <v>3731</v>
      </c>
      <c r="B313" s="1" t="s">
        <v>264</v>
      </c>
      <c r="C313" s="1" t="s">
        <v>3732</v>
      </c>
      <c r="D313" s="2">
        <f>+251928071816</f>
        <v>251928071816</v>
      </c>
      <c r="E313" s="1" t="s">
        <v>21</v>
      </c>
    </row>
    <row r="314">
      <c r="A314" s="1" t="s">
        <v>3733</v>
      </c>
      <c r="B314" s="1" t="s">
        <v>1109</v>
      </c>
      <c r="C314" s="1" t="s">
        <v>633</v>
      </c>
      <c r="D314" s="2">
        <f>+251926900504</f>
        <v>251926900504</v>
      </c>
      <c r="E314" s="1" t="s">
        <v>21</v>
      </c>
    </row>
    <row r="315">
      <c r="A315" s="1" t="s">
        <v>3734</v>
      </c>
      <c r="B315" s="1" t="s">
        <v>3735</v>
      </c>
      <c r="C315" s="1" t="s">
        <v>1077</v>
      </c>
      <c r="D315" s="2">
        <f>+251914938546</f>
        <v>251914938546</v>
      </c>
      <c r="E315" s="1" t="s">
        <v>21</v>
      </c>
    </row>
    <row r="316">
      <c r="A316" s="1" t="s">
        <v>3736</v>
      </c>
      <c r="B316" s="1" t="s">
        <v>3737</v>
      </c>
      <c r="C316" s="1" t="s">
        <v>218</v>
      </c>
      <c r="D316" s="2">
        <f>+251913813933</f>
        <v>251913813933</v>
      </c>
      <c r="E316" s="1" t="s">
        <v>21</v>
      </c>
    </row>
    <row r="317">
      <c r="A317" s="1" t="s">
        <v>3738</v>
      </c>
      <c r="B317" s="1" t="s">
        <v>3739</v>
      </c>
      <c r="C317" s="1" t="s">
        <v>110</v>
      </c>
      <c r="D317" s="2">
        <f>+251964649386</f>
        <v>251964649386</v>
      </c>
      <c r="E317" s="1" t="s">
        <v>21</v>
      </c>
    </row>
    <row r="318">
      <c r="A318" s="1" t="s">
        <v>3740</v>
      </c>
      <c r="B318" s="1" t="s">
        <v>240</v>
      </c>
      <c r="C318" s="1" t="s">
        <v>1691</v>
      </c>
      <c r="D318" s="2">
        <f>+251926752829</f>
        <v>251926752829</v>
      </c>
      <c r="E318" s="1" t="s">
        <v>21</v>
      </c>
    </row>
    <row r="319">
      <c r="A319" s="1" t="s">
        <v>3741</v>
      </c>
      <c r="B319" s="1" t="s">
        <v>321</v>
      </c>
      <c r="C319" s="1" t="s">
        <v>3627</v>
      </c>
      <c r="D319" s="2">
        <f>+251922951700</f>
        <v>251922951700</v>
      </c>
      <c r="E319" s="1" t="s">
        <v>21</v>
      </c>
    </row>
    <row r="320">
      <c r="A320" s="1" t="s">
        <v>3742</v>
      </c>
      <c r="B320" s="1" t="s">
        <v>3743</v>
      </c>
      <c r="C320" s="1" t="s">
        <v>158</v>
      </c>
      <c r="D320" s="2">
        <f>+251910999967</f>
        <v>251910999967</v>
      </c>
      <c r="E320" s="1" t="s">
        <v>21</v>
      </c>
    </row>
    <row r="321">
      <c r="A321" s="1" t="s">
        <v>3744</v>
      </c>
      <c r="B321" s="1" t="s">
        <v>101</v>
      </c>
      <c r="C321" s="1" t="s">
        <v>1296</v>
      </c>
      <c r="D321" s="2">
        <f>+251923988846</f>
        <v>251923988846</v>
      </c>
      <c r="E321" s="1" t="s">
        <v>21</v>
      </c>
    </row>
    <row r="322">
      <c r="A322" s="1" t="s">
        <v>3745</v>
      </c>
      <c r="B322" s="1" t="s">
        <v>179</v>
      </c>
      <c r="C322" s="1" t="s">
        <v>1296</v>
      </c>
      <c r="D322" s="2">
        <f>+251933207022</f>
        <v>251933207022</v>
      </c>
      <c r="E322" s="1" t="s">
        <v>21</v>
      </c>
    </row>
    <row r="323">
      <c r="A323" s="1" t="s">
        <v>3746</v>
      </c>
      <c r="B323" s="1" t="s">
        <v>3747</v>
      </c>
      <c r="C323" s="1" t="s">
        <v>3699</v>
      </c>
      <c r="D323" s="2">
        <f>+251913020702</f>
        <v>251913020702</v>
      </c>
      <c r="E323" s="1" t="s">
        <v>21</v>
      </c>
    </row>
    <row r="324">
      <c r="A324" s="1" t="s">
        <v>3748</v>
      </c>
      <c r="B324" s="1" t="s">
        <v>3749</v>
      </c>
      <c r="C324" s="1" t="s">
        <v>3750</v>
      </c>
      <c r="D324" s="2">
        <f>+251985623385</f>
        <v>251985623385</v>
      </c>
      <c r="E324" s="1" t="s">
        <v>21</v>
      </c>
    </row>
    <row r="325">
      <c r="A325" s="1" t="s">
        <v>3751</v>
      </c>
      <c r="B325" s="1" t="s">
        <v>1148</v>
      </c>
      <c r="C325" s="1" t="s">
        <v>3752</v>
      </c>
      <c r="D325" s="2">
        <f>+251921757770</f>
        <v>251921757770</v>
      </c>
      <c r="E325" s="1" t="s">
        <v>21</v>
      </c>
    </row>
    <row r="326">
      <c r="A326" s="1" t="s">
        <v>3753</v>
      </c>
      <c r="B326" s="1" t="s">
        <v>480</v>
      </c>
      <c r="C326" s="1" t="s">
        <v>534</v>
      </c>
      <c r="D326" s="2">
        <f>+251948909874</f>
        <v>251948909874</v>
      </c>
      <c r="E326" s="1" t="s">
        <v>21</v>
      </c>
    </row>
    <row r="327">
      <c r="A327" s="1" t="s">
        <v>3754</v>
      </c>
      <c r="B327" s="1" t="s">
        <v>3755</v>
      </c>
      <c r="C327" s="1" t="s">
        <v>2160</v>
      </c>
      <c r="D327" s="2">
        <f>+251996727325</f>
        <v>251996727325</v>
      </c>
      <c r="E327" s="1" t="s">
        <v>21</v>
      </c>
    </row>
    <row r="328">
      <c r="A328" s="1" t="s">
        <v>3756</v>
      </c>
      <c r="B328" s="1" t="s">
        <v>98</v>
      </c>
      <c r="C328" s="1" t="s">
        <v>3367</v>
      </c>
      <c r="D328" s="2">
        <f>+251911824290</f>
        <v>251911824290</v>
      </c>
      <c r="E328" s="1" t="s">
        <v>21</v>
      </c>
    </row>
    <row r="329">
      <c r="A329" s="1" t="s">
        <v>3757</v>
      </c>
      <c r="B329" s="1" t="s">
        <v>3758</v>
      </c>
      <c r="C329" s="1" t="s">
        <v>1676</v>
      </c>
      <c r="D329" s="2">
        <f>+251938121203</f>
        <v>251938121203</v>
      </c>
      <c r="E329" s="1" t="s">
        <v>21</v>
      </c>
    </row>
    <row r="330">
      <c r="A330" s="1" t="s">
        <v>3759</v>
      </c>
      <c r="B330" s="1" t="s">
        <v>474</v>
      </c>
      <c r="C330" s="1" t="s">
        <v>3760</v>
      </c>
      <c r="D330" s="2">
        <f>+251975071608</f>
        <v>251975071608</v>
      </c>
      <c r="E330" s="1" t="s">
        <v>21</v>
      </c>
    </row>
    <row r="331">
      <c r="A331" s="1" t="s">
        <v>3761</v>
      </c>
      <c r="B331" s="1" t="s">
        <v>3762</v>
      </c>
      <c r="C331" s="1" t="s">
        <v>3763</v>
      </c>
      <c r="D331" s="1">
        <v>9.19648107E8</v>
      </c>
      <c r="E331" s="1" t="s">
        <v>21</v>
      </c>
    </row>
    <row r="332">
      <c r="A332" s="1" t="s">
        <v>3764</v>
      </c>
      <c r="B332" s="1" t="s">
        <v>3765</v>
      </c>
      <c r="C332" s="1" t="s">
        <v>264</v>
      </c>
      <c r="D332" s="2">
        <f>+251929004085</f>
        <v>251929004085</v>
      </c>
      <c r="E332" s="1" t="s">
        <v>21</v>
      </c>
    </row>
    <row r="333">
      <c r="A333" s="1" t="s">
        <v>3766</v>
      </c>
      <c r="B333" s="1" t="s">
        <v>3767</v>
      </c>
      <c r="C333" s="1" t="s">
        <v>371</v>
      </c>
      <c r="D333" s="2">
        <f>+251919784305</f>
        <v>251919784305</v>
      </c>
      <c r="E333" s="1" t="s">
        <v>21</v>
      </c>
    </row>
    <row r="334">
      <c r="A334" s="1" t="s">
        <v>3768</v>
      </c>
      <c r="B334" s="1" t="s">
        <v>3769</v>
      </c>
      <c r="C334" s="1" t="s">
        <v>1549</v>
      </c>
      <c r="D334" s="2">
        <f>+251913692903</f>
        <v>251913692903</v>
      </c>
      <c r="E334" s="1" t="s">
        <v>21</v>
      </c>
    </row>
    <row r="335">
      <c r="A335" s="1" t="s">
        <v>3770</v>
      </c>
      <c r="B335" s="1" t="s">
        <v>213</v>
      </c>
      <c r="C335" s="1" t="s">
        <v>1599</v>
      </c>
      <c r="D335" s="2">
        <f>+251935080301</f>
        <v>251935080301</v>
      </c>
      <c r="E335" s="1" t="s">
        <v>21</v>
      </c>
    </row>
    <row r="336">
      <c r="A336" s="1" t="s">
        <v>3771</v>
      </c>
      <c r="B336" s="1" t="s">
        <v>71</v>
      </c>
      <c r="C336" s="1" t="s">
        <v>510</v>
      </c>
      <c r="D336" s="2">
        <f>+251924466550</f>
        <v>251924466550</v>
      </c>
      <c r="E336" s="1" t="s">
        <v>21</v>
      </c>
    </row>
    <row r="337">
      <c r="A337" s="1" t="s">
        <v>3772</v>
      </c>
      <c r="B337" s="1" t="s">
        <v>1819</v>
      </c>
      <c r="C337" s="1" t="s">
        <v>996</v>
      </c>
      <c r="D337" s="2">
        <f>+251910132685</f>
        <v>251910132685</v>
      </c>
      <c r="E337" s="1" t="s">
        <v>21</v>
      </c>
    </row>
    <row r="338">
      <c r="A338" s="1" t="s">
        <v>3773</v>
      </c>
      <c r="B338" s="1" t="s">
        <v>3774</v>
      </c>
      <c r="C338" s="1" t="s">
        <v>3775</v>
      </c>
      <c r="D338" s="2">
        <f>+251923163935</f>
        <v>251923163935</v>
      </c>
      <c r="E338" s="1" t="s">
        <v>21</v>
      </c>
    </row>
    <row r="339">
      <c r="A339" s="1" t="s">
        <v>3776</v>
      </c>
      <c r="B339" s="1" t="s">
        <v>437</v>
      </c>
      <c r="C339" s="1" t="s">
        <v>2013</v>
      </c>
      <c r="D339" s="2">
        <f>+251984199689</f>
        <v>251984199689</v>
      </c>
      <c r="E339" s="1" t="s">
        <v>21</v>
      </c>
    </row>
    <row r="340">
      <c r="A340" s="1" t="s">
        <v>3777</v>
      </c>
      <c r="B340" s="1" t="s">
        <v>1376</v>
      </c>
      <c r="C340" s="1" t="s">
        <v>3778</v>
      </c>
      <c r="D340" s="2">
        <f>+251923671731</f>
        <v>251923671731</v>
      </c>
      <c r="E340" s="1" t="s">
        <v>21</v>
      </c>
    </row>
    <row r="341">
      <c r="A341" s="1" t="s">
        <v>3779</v>
      </c>
      <c r="B341" s="1" t="s">
        <v>116</v>
      </c>
      <c r="C341" s="1" t="s">
        <v>189</v>
      </c>
      <c r="D341" s="2">
        <f>+251935225225</f>
        <v>251935225225</v>
      </c>
      <c r="E341" s="1" t="s">
        <v>21</v>
      </c>
    </row>
    <row r="342">
      <c r="A342" s="1" t="s">
        <v>3780</v>
      </c>
      <c r="B342" s="1" t="s">
        <v>245</v>
      </c>
      <c r="C342" s="1" t="s">
        <v>338</v>
      </c>
      <c r="D342" s="2">
        <f>+251938185229</f>
        <v>251938185229</v>
      </c>
      <c r="E342" s="1" t="s">
        <v>21</v>
      </c>
    </row>
    <row r="343">
      <c r="A343" s="1" t="s">
        <v>3781</v>
      </c>
      <c r="B343" s="1" t="s">
        <v>250</v>
      </c>
      <c r="C343" s="1" t="s">
        <v>595</v>
      </c>
      <c r="D343" s="2">
        <f>+251953612015</f>
        <v>251953612015</v>
      </c>
      <c r="E343" s="1" t="s">
        <v>21</v>
      </c>
    </row>
    <row r="344">
      <c r="A344" s="1" t="s">
        <v>3782</v>
      </c>
      <c r="B344" s="1" t="s">
        <v>328</v>
      </c>
      <c r="C344" s="1" t="s">
        <v>3783</v>
      </c>
      <c r="D344" s="2">
        <f>+251910018322</f>
        <v>251910018322</v>
      </c>
      <c r="E344" s="1" t="s">
        <v>21</v>
      </c>
    </row>
    <row r="345">
      <c r="A345" s="1" t="s">
        <v>3784</v>
      </c>
      <c r="B345" s="1" t="s">
        <v>3785</v>
      </c>
      <c r="C345" s="1" t="s">
        <v>1555</v>
      </c>
      <c r="D345" s="2">
        <f>+10921610017</f>
        <v>10921610017</v>
      </c>
      <c r="E345" s="1" t="s">
        <v>21</v>
      </c>
    </row>
    <row r="346">
      <c r="A346" s="1" t="s">
        <v>3786</v>
      </c>
      <c r="B346" s="1" t="s">
        <v>3787</v>
      </c>
      <c r="C346" s="1" t="s">
        <v>3788</v>
      </c>
      <c r="D346" s="2">
        <f>+251975628047</f>
        <v>251975628047</v>
      </c>
      <c r="E346" s="1" t="s">
        <v>21</v>
      </c>
    </row>
    <row r="347">
      <c r="A347" s="1" t="s">
        <v>3789</v>
      </c>
      <c r="B347" s="1" t="s">
        <v>1069</v>
      </c>
      <c r="C347" s="1" t="s">
        <v>970</v>
      </c>
      <c r="D347" s="2">
        <f>+251934010984</f>
        <v>251934010984</v>
      </c>
      <c r="E347" s="1" t="s">
        <v>21</v>
      </c>
    </row>
    <row r="348">
      <c r="A348" s="1" t="s">
        <v>3790</v>
      </c>
      <c r="B348" s="1" t="s">
        <v>537</v>
      </c>
      <c r="C348" s="1" t="s">
        <v>2479</v>
      </c>
      <c r="D348" s="2">
        <f>+251943046035</f>
        <v>251943046035</v>
      </c>
      <c r="E348" s="1" t="s">
        <v>21</v>
      </c>
    </row>
    <row r="349">
      <c r="A349" s="1" t="s">
        <v>3791</v>
      </c>
      <c r="B349" s="1" t="s">
        <v>333</v>
      </c>
      <c r="C349" s="1" t="s">
        <v>3792</v>
      </c>
      <c r="D349" s="2">
        <f>+251974434488</f>
        <v>251974434488</v>
      </c>
      <c r="E349" s="1" t="s">
        <v>21</v>
      </c>
    </row>
    <row r="350">
      <c r="A350" s="1" t="s">
        <v>3793</v>
      </c>
      <c r="B350" s="1" t="s">
        <v>3794</v>
      </c>
      <c r="C350" s="1" t="s">
        <v>319</v>
      </c>
      <c r="D350" s="2">
        <f>+251935326847</f>
        <v>251935326847</v>
      </c>
      <c r="E350" s="1" t="s">
        <v>21</v>
      </c>
    </row>
    <row r="351">
      <c r="A351" s="1" t="s">
        <v>3795</v>
      </c>
      <c r="B351" s="1" t="s">
        <v>3796</v>
      </c>
      <c r="C351" s="1" t="s">
        <v>3797</v>
      </c>
      <c r="D351" s="2">
        <f>+251974238113</f>
        <v>251974238113</v>
      </c>
      <c r="E351" s="1" t="s">
        <v>21</v>
      </c>
    </row>
    <row r="352">
      <c r="A352" s="1" t="s">
        <v>3798</v>
      </c>
      <c r="B352" s="1" t="s">
        <v>240</v>
      </c>
      <c r="C352" s="1" t="s">
        <v>213</v>
      </c>
      <c r="D352" s="2">
        <f>+251993973720</f>
        <v>251993973720</v>
      </c>
      <c r="E352" s="1" t="s">
        <v>21</v>
      </c>
    </row>
    <row r="353">
      <c r="A353" s="1" t="s">
        <v>3799</v>
      </c>
      <c r="B353" s="1" t="s">
        <v>767</v>
      </c>
      <c r="C353" s="1" t="s">
        <v>601</v>
      </c>
      <c r="D353" s="2">
        <f>+251968419209</f>
        <v>251968419209</v>
      </c>
      <c r="E353" s="1" t="s">
        <v>21</v>
      </c>
    </row>
    <row r="354">
      <c r="A354" s="1" t="s">
        <v>3800</v>
      </c>
      <c r="B354" s="1" t="s">
        <v>37</v>
      </c>
      <c r="C354" s="1" t="s">
        <v>1169</v>
      </c>
      <c r="D354" s="2">
        <f>+251913802868</f>
        <v>251913802868</v>
      </c>
      <c r="E354" s="1" t="s">
        <v>21</v>
      </c>
    </row>
    <row r="355">
      <c r="A355" s="1" t="s">
        <v>3801</v>
      </c>
      <c r="B355" s="1" t="s">
        <v>663</v>
      </c>
      <c r="C355" s="1" t="s">
        <v>3802</v>
      </c>
      <c r="D355" s="2">
        <f>+251966588954</f>
        <v>251966588954</v>
      </c>
      <c r="E355" s="1" t="s">
        <v>21</v>
      </c>
    </row>
    <row r="356">
      <c r="A356" s="1" t="s">
        <v>3803</v>
      </c>
      <c r="B356" s="1" t="s">
        <v>1109</v>
      </c>
      <c r="C356" s="1" t="s">
        <v>1008</v>
      </c>
      <c r="D356" s="2">
        <f>+251979066102</f>
        <v>251979066102</v>
      </c>
      <c r="E356" s="1" t="s">
        <v>21</v>
      </c>
    </row>
    <row r="357">
      <c r="A357" s="1" t="s">
        <v>3804</v>
      </c>
      <c r="B357" s="1" t="s">
        <v>3805</v>
      </c>
      <c r="C357" s="1" t="s">
        <v>3157</v>
      </c>
      <c r="D357" s="2">
        <f>+251913457685</f>
        <v>251913457685</v>
      </c>
      <c r="E357" s="1" t="s">
        <v>21</v>
      </c>
    </row>
    <row r="358">
      <c r="A358" s="1" t="s">
        <v>3806</v>
      </c>
      <c r="B358" s="1" t="s">
        <v>286</v>
      </c>
      <c r="C358" s="1" t="s">
        <v>1889</v>
      </c>
      <c r="D358" s="2">
        <f>+251973418174</f>
        <v>251973418174</v>
      </c>
      <c r="E358" s="1" t="s">
        <v>21</v>
      </c>
    </row>
    <row r="359">
      <c r="A359" s="1" t="s">
        <v>3807</v>
      </c>
      <c r="B359" s="1" t="s">
        <v>123</v>
      </c>
      <c r="C359" s="1" t="s">
        <v>862</v>
      </c>
      <c r="D359" s="2">
        <f>+251944070626</f>
        <v>251944070626</v>
      </c>
      <c r="E359" s="1" t="s">
        <v>21</v>
      </c>
    </row>
    <row r="360">
      <c r="A360" s="1" t="s">
        <v>3808</v>
      </c>
      <c r="B360" s="1" t="s">
        <v>620</v>
      </c>
      <c r="C360" s="1" t="s">
        <v>3809</v>
      </c>
      <c r="D360" s="1">
        <v>9.94307834E8</v>
      </c>
      <c r="E360" s="1" t="s">
        <v>21</v>
      </c>
    </row>
    <row r="361">
      <c r="A361" s="1" t="s">
        <v>3810</v>
      </c>
      <c r="B361" s="1" t="s">
        <v>3064</v>
      </c>
      <c r="C361" s="1" t="s">
        <v>1765</v>
      </c>
      <c r="D361" s="2">
        <f>+251965516413</f>
        <v>251965516413</v>
      </c>
      <c r="E361" s="1" t="s">
        <v>21</v>
      </c>
    </row>
    <row r="362">
      <c r="A362" s="1" t="s">
        <v>3811</v>
      </c>
      <c r="B362" s="1" t="s">
        <v>321</v>
      </c>
      <c r="C362" s="1" t="s">
        <v>437</v>
      </c>
      <c r="D362" s="2">
        <f>+251947426987</f>
        <v>251947426987</v>
      </c>
      <c r="E362" s="1" t="s">
        <v>21</v>
      </c>
    </row>
    <row r="363">
      <c r="A363" s="1" t="s">
        <v>3812</v>
      </c>
      <c r="B363" s="1" t="s">
        <v>3813</v>
      </c>
      <c r="C363" s="1" t="s">
        <v>1760</v>
      </c>
      <c r="D363" s="2">
        <f>+251953932209</f>
        <v>251953932209</v>
      </c>
      <c r="E363" s="1" t="s">
        <v>21</v>
      </c>
    </row>
    <row r="364">
      <c r="A364" s="1" t="s">
        <v>3814</v>
      </c>
      <c r="B364" s="1" t="s">
        <v>3815</v>
      </c>
      <c r="C364" s="1" t="s">
        <v>39</v>
      </c>
      <c r="D364" s="2">
        <f>+251922492122</f>
        <v>251922492122</v>
      </c>
      <c r="E364" s="1" t="s">
        <v>21</v>
      </c>
    </row>
    <row r="365">
      <c r="A365" s="1" t="s">
        <v>3816</v>
      </c>
      <c r="B365" s="1" t="s">
        <v>3817</v>
      </c>
      <c r="C365" s="1" t="s">
        <v>3818</v>
      </c>
      <c r="D365" s="2">
        <f>+251900552601</f>
        <v>251900552601</v>
      </c>
      <c r="E365" s="1" t="s">
        <v>21</v>
      </c>
    </row>
    <row r="366">
      <c r="A366" s="1" t="s">
        <v>3819</v>
      </c>
      <c r="B366" s="1" t="s">
        <v>3820</v>
      </c>
      <c r="C366" s="1" t="s">
        <v>121</v>
      </c>
      <c r="D366" s="2">
        <f>+251985849737</f>
        <v>251985849737</v>
      </c>
      <c r="E366" s="1" t="s">
        <v>21</v>
      </c>
    </row>
    <row r="367">
      <c r="A367" s="1" t="s">
        <v>3821</v>
      </c>
      <c r="B367" s="1" t="s">
        <v>3822</v>
      </c>
      <c r="C367" s="1" t="s">
        <v>3823</v>
      </c>
      <c r="D367" s="2">
        <f>+251963528984</f>
        <v>251963528984</v>
      </c>
      <c r="E367" s="1" t="s">
        <v>21</v>
      </c>
    </row>
    <row r="368">
      <c r="A368" s="1" t="s">
        <v>3824</v>
      </c>
      <c r="B368" s="1" t="s">
        <v>2696</v>
      </c>
      <c r="C368" s="1" t="s">
        <v>108</v>
      </c>
      <c r="D368" s="2">
        <f>+251926996635</f>
        <v>251926996635</v>
      </c>
      <c r="E368" s="1" t="s">
        <v>21</v>
      </c>
    </row>
    <row r="369">
      <c r="A369" s="1" t="s">
        <v>3825</v>
      </c>
      <c r="B369" s="1" t="s">
        <v>67</v>
      </c>
      <c r="C369" s="1" t="s">
        <v>2159</v>
      </c>
      <c r="D369" s="2">
        <f>+251910244313</f>
        <v>251910244313</v>
      </c>
      <c r="E369" s="1" t="s">
        <v>21</v>
      </c>
    </row>
    <row r="370">
      <c r="A370" s="1" t="s">
        <v>3826</v>
      </c>
      <c r="B370" s="1" t="s">
        <v>3827</v>
      </c>
      <c r="C370" s="1" t="s">
        <v>292</v>
      </c>
      <c r="D370" s="2">
        <f>+251978278899</f>
        <v>251978278899</v>
      </c>
      <c r="E370" s="1" t="s">
        <v>21</v>
      </c>
    </row>
    <row r="371">
      <c r="A371" s="1" t="s">
        <v>3828</v>
      </c>
      <c r="B371" s="1" t="s">
        <v>264</v>
      </c>
      <c r="C371" s="1" t="s">
        <v>3829</v>
      </c>
      <c r="D371" s="2">
        <f>+251927266281</f>
        <v>251927266281</v>
      </c>
      <c r="E371" s="1" t="s">
        <v>21</v>
      </c>
    </row>
    <row r="372">
      <c r="A372" s="1" t="s">
        <v>3830</v>
      </c>
      <c r="B372" s="1" t="s">
        <v>758</v>
      </c>
      <c r="C372" s="1" t="s">
        <v>764</v>
      </c>
      <c r="D372" s="2">
        <f>+251943183437</f>
        <v>251943183437</v>
      </c>
      <c r="E372" s="1" t="s">
        <v>21</v>
      </c>
    </row>
    <row r="373">
      <c r="A373" s="1" t="s">
        <v>3831</v>
      </c>
      <c r="B373" s="1" t="s">
        <v>3832</v>
      </c>
      <c r="C373" s="1" t="s">
        <v>417</v>
      </c>
      <c r="D373" s="2">
        <f>+251904157173</f>
        <v>251904157173</v>
      </c>
      <c r="E373" s="1" t="s">
        <v>21</v>
      </c>
    </row>
    <row r="374">
      <c r="A374" s="1" t="s">
        <v>3833</v>
      </c>
      <c r="B374" s="1" t="s">
        <v>1069</v>
      </c>
      <c r="C374" s="1" t="s">
        <v>620</v>
      </c>
      <c r="D374" s="2">
        <f>+251923092408</f>
        <v>251923092408</v>
      </c>
      <c r="E374" s="1" t="s">
        <v>21</v>
      </c>
    </row>
    <row r="375">
      <c r="A375" s="1" t="s">
        <v>3834</v>
      </c>
      <c r="B375" s="1" t="s">
        <v>3459</v>
      </c>
      <c r="C375" s="1" t="s">
        <v>361</v>
      </c>
      <c r="D375" s="2">
        <f>+251995468524</f>
        <v>251995468524</v>
      </c>
      <c r="E375" s="1" t="s">
        <v>21</v>
      </c>
    </row>
    <row r="376">
      <c r="A376" s="1" t="s">
        <v>3835</v>
      </c>
      <c r="B376" s="1" t="s">
        <v>1407</v>
      </c>
      <c r="C376" s="1" t="s">
        <v>3836</v>
      </c>
      <c r="D376" s="2">
        <f>+251913122741</f>
        <v>251913122741</v>
      </c>
      <c r="E376" s="1" t="s">
        <v>21</v>
      </c>
    </row>
    <row r="377">
      <c r="A377" s="1" t="s">
        <v>3837</v>
      </c>
      <c r="B377" s="1" t="s">
        <v>333</v>
      </c>
      <c r="C377" s="1" t="s">
        <v>3838</v>
      </c>
      <c r="D377" s="2">
        <f>+251991604266</f>
        <v>251991604266</v>
      </c>
      <c r="E377" s="1" t="s">
        <v>21</v>
      </c>
    </row>
    <row r="378">
      <c r="A378" s="1" t="s">
        <v>3839</v>
      </c>
      <c r="B378" s="1" t="s">
        <v>3840</v>
      </c>
      <c r="C378" s="1" t="s">
        <v>189</v>
      </c>
      <c r="D378" s="2">
        <f>+251928681830</f>
        <v>251928681830</v>
      </c>
      <c r="E378" s="1" t="s">
        <v>21</v>
      </c>
    </row>
    <row r="379">
      <c r="A379" s="1" t="s">
        <v>3841</v>
      </c>
      <c r="B379" s="1" t="s">
        <v>250</v>
      </c>
      <c r="C379" s="1" t="s">
        <v>3842</v>
      </c>
      <c r="D379" s="2">
        <f>+251906355877</f>
        <v>251906355877</v>
      </c>
      <c r="E379" s="1" t="s">
        <v>21</v>
      </c>
    </row>
    <row r="380">
      <c r="A380" s="1" t="s">
        <v>3843</v>
      </c>
      <c r="B380" s="1" t="s">
        <v>3844</v>
      </c>
      <c r="C380" s="1" t="s">
        <v>3845</v>
      </c>
      <c r="D380" s="2">
        <f>+251929297038</f>
        <v>251929297038</v>
      </c>
      <c r="E380" s="1" t="s">
        <v>21</v>
      </c>
    </row>
    <row r="381">
      <c r="A381" s="1" t="s">
        <v>3846</v>
      </c>
      <c r="B381" s="1" t="s">
        <v>3847</v>
      </c>
      <c r="C381" s="1" t="s">
        <v>470</v>
      </c>
      <c r="D381" s="2">
        <f>+251911134762</f>
        <v>251911134762</v>
      </c>
      <c r="E381" s="1" t="s">
        <v>21</v>
      </c>
    </row>
    <row r="382">
      <c r="A382" s="1" t="s">
        <v>3848</v>
      </c>
      <c r="B382" s="1" t="s">
        <v>60</v>
      </c>
      <c r="C382" s="1" t="s">
        <v>2105</v>
      </c>
      <c r="D382" s="2">
        <f>+251940546769</f>
        <v>251940546769</v>
      </c>
      <c r="E382" s="1" t="s">
        <v>21</v>
      </c>
    </row>
    <row r="383">
      <c r="A383" s="1" t="s">
        <v>3849</v>
      </c>
      <c r="B383" s="1" t="s">
        <v>548</v>
      </c>
      <c r="C383" s="1" t="s">
        <v>3850</v>
      </c>
      <c r="D383" s="2">
        <f>+251912289722</f>
        <v>251912289722</v>
      </c>
      <c r="E383" s="1" t="s">
        <v>21</v>
      </c>
    </row>
    <row r="384">
      <c r="A384" s="1" t="s">
        <v>3851</v>
      </c>
      <c r="B384" s="1" t="s">
        <v>483</v>
      </c>
      <c r="C384" s="1" t="s">
        <v>360</v>
      </c>
      <c r="D384" s="1">
        <v>9.44082304E8</v>
      </c>
      <c r="E384" s="1" t="s">
        <v>21</v>
      </c>
    </row>
    <row r="385">
      <c r="A385" s="1" t="s">
        <v>3852</v>
      </c>
      <c r="B385" s="1" t="s">
        <v>3853</v>
      </c>
      <c r="C385" s="1" t="s">
        <v>108</v>
      </c>
      <c r="D385" s="2">
        <f>+251926996635</f>
        <v>251926996635</v>
      </c>
      <c r="E385" s="1" t="s">
        <v>21</v>
      </c>
    </row>
    <row r="386">
      <c r="A386" s="1" t="s">
        <v>3854</v>
      </c>
      <c r="B386" s="1" t="s">
        <v>521</v>
      </c>
      <c r="C386" s="1" t="s">
        <v>365</v>
      </c>
      <c r="D386" s="2">
        <f>+251945033060</f>
        <v>251945033060</v>
      </c>
      <c r="E386" s="1" t="s">
        <v>21</v>
      </c>
    </row>
    <row r="387">
      <c r="A387" s="1" t="s">
        <v>3855</v>
      </c>
      <c r="B387" s="1" t="s">
        <v>3856</v>
      </c>
      <c r="C387" s="1" t="s">
        <v>3857</v>
      </c>
      <c r="D387" s="2">
        <f>+251913602260</f>
        <v>251913602260</v>
      </c>
      <c r="E387" s="1" t="s">
        <v>21</v>
      </c>
    </row>
    <row r="388">
      <c r="A388" s="1" t="s">
        <v>3858</v>
      </c>
      <c r="B388" s="1" t="s">
        <v>503</v>
      </c>
      <c r="C388" s="1" t="s">
        <v>1435</v>
      </c>
      <c r="D388" s="2">
        <f>+251923100000</f>
        <v>251923100000</v>
      </c>
      <c r="E388" s="1" t="s">
        <v>21</v>
      </c>
    </row>
    <row r="389">
      <c r="A389" s="1" t="s">
        <v>3859</v>
      </c>
      <c r="B389" s="1" t="s">
        <v>646</v>
      </c>
      <c r="C389" s="1" t="s">
        <v>3860</v>
      </c>
      <c r="D389" s="2">
        <f>+251904117053</f>
        <v>251904117053</v>
      </c>
      <c r="E389" s="1" t="s">
        <v>21</v>
      </c>
    </row>
    <row r="390">
      <c r="A390" s="1" t="s">
        <v>3861</v>
      </c>
      <c r="B390" s="1" t="s">
        <v>3862</v>
      </c>
      <c r="C390" s="1" t="s">
        <v>3863</v>
      </c>
      <c r="D390" s="2">
        <f>+2910946224454</f>
        <v>2910946224454</v>
      </c>
      <c r="E390" s="1" t="s">
        <v>21</v>
      </c>
    </row>
    <row r="391">
      <c r="A391" s="1" t="s">
        <v>3864</v>
      </c>
      <c r="B391" s="1" t="s">
        <v>510</v>
      </c>
      <c r="C391" s="1" t="s">
        <v>3865</v>
      </c>
      <c r="D391" s="2">
        <f>+251935262770</f>
        <v>251935262770</v>
      </c>
      <c r="E391" s="1" t="s">
        <v>21</v>
      </c>
    </row>
    <row r="392">
      <c r="A392" s="1" t="s">
        <v>3866</v>
      </c>
      <c r="B392" s="1" t="s">
        <v>3867</v>
      </c>
      <c r="C392" s="1" t="s">
        <v>255</v>
      </c>
      <c r="D392" s="2">
        <f>+251921238742</f>
        <v>251921238742</v>
      </c>
      <c r="E392" s="1" t="s">
        <v>21</v>
      </c>
    </row>
    <row r="393">
      <c r="A393" s="1" t="s">
        <v>3868</v>
      </c>
      <c r="B393" s="1" t="s">
        <v>424</v>
      </c>
      <c r="C393" s="1" t="s">
        <v>1760</v>
      </c>
      <c r="D393" s="2">
        <f>+251913023980</f>
        <v>251913023980</v>
      </c>
      <c r="E393" s="1" t="s">
        <v>21</v>
      </c>
    </row>
    <row r="394">
      <c r="A394" s="1" t="s">
        <v>3869</v>
      </c>
      <c r="B394" s="1" t="s">
        <v>3870</v>
      </c>
      <c r="C394" s="1" t="s">
        <v>3871</v>
      </c>
      <c r="D394" s="2">
        <f>+251940379709</f>
        <v>251940379709</v>
      </c>
      <c r="E394" s="1" t="s">
        <v>21</v>
      </c>
    </row>
    <row r="395">
      <c r="A395" s="1" t="s">
        <v>3872</v>
      </c>
      <c r="B395" s="1" t="s">
        <v>3873</v>
      </c>
      <c r="C395" s="1" t="s">
        <v>2171</v>
      </c>
      <c r="D395" s="2">
        <f>+251963321500</f>
        <v>251963321500</v>
      </c>
      <c r="E395" s="1" t="s">
        <v>21</v>
      </c>
    </row>
    <row r="396">
      <c r="A396" s="1" t="s">
        <v>3874</v>
      </c>
      <c r="B396" s="1" t="s">
        <v>474</v>
      </c>
      <c r="C396" s="1" t="s">
        <v>3875</v>
      </c>
      <c r="D396" s="1">
        <v>9.09046285E8</v>
      </c>
      <c r="E396" s="1" t="s">
        <v>21</v>
      </c>
    </row>
    <row r="397">
      <c r="A397" s="1" t="s">
        <v>3876</v>
      </c>
      <c r="B397" s="1" t="s">
        <v>3877</v>
      </c>
      <c r="C397" s="1" t="s">
        <v>3878</v>
      </c>
      <c r="D397" s="2">
        <f>+251988747980</f>
        <v>251988747980</v>
      </c>
      <c r="E397" s="1" t="s">
        <v>21</v>
      </c>
    </row>
    <row r="398">
      <c r="A398" s="1" t="s">
        <v>3879</v>
      </c>
      <c r="B398" s="1" t="s">
        <v>3880</v>
      </c>
      <c r="C398" s="1" t="s">
        <v>3881</v>
      </c>
      <c r="D398" s="2">
        <f>+251946288614</f>
        <v>251946288614</v>
      </c>
      <c r="E398" s="1" t="s">
        <v>21</v>
      </c>
    </row>
    <row r="399">
      <c r="A399" s="1" t="s">
        <v>3882</v>
      </c>
      <c r="B399" s="1" t="s">
        <v>3883</v>
      </c>
      <c r="C399" s="1" t="s">
        <v>360</v>
      </c>
      <c r="D399" s="2">
        <f t="shared" ref="D399:D400" si="1">+251966314151</f>
        <v>251966314151</v>
      </c>
      <c r="E399" s="1" t="s">
        <v>21</v>
      </c>
    </row>
    <row r="400">
      <c r="A400" s="1" t="s">
        <v>3884</v>
      </c>
      <c r="B400" s="1" t="s">
        <v>3885</v>
      </c>
      <c r="C400" s="1" t="s">
        <v>360</v>
      </c>
      <c r="D400" s="2">
        <f t="shared" si="1"/>
        <v>251966314151</v>
      </c>
      <c r="E400" s="1" t="s">
        <v>21</v>
      </c>
    </row>
    <row r="401">
      <c r="A401" s="1" t="s">
        <v>3886</v>
      </c>
      <c r="B401" s="1" t="s">
        <v>3887</v>
      </c>
      <c r="C401" s="1" t="s">
        <v>3888</v>
      </c>
      <c r="D401" s="2">
        <f>+251939518095</f>
        <v>251939518095</v>
      </c>
      <c r="E401" s="1" t="s">
        <v>21</v>
      </c>
    </row>
    <row r="402">
      <c r="A402" s="1" t="s">
        <v>3889</v>
      </c>
      <c r="B402" s="1" t="s">
        <v>496</v>
      </c>
      <c r="C402" s="1" t="s">
        <v>3890</v>
      </c>
      <c r="D402" s="2">
        <f>+251987005375</f>
        <v>251987005375</v>
      </c>
      <c r="E402" s="1" t="s">
        <v>21</v>
      </c>
    </row>
    <row r="403">
      <c r="A403" s="1" t="s">
        <v>3891</v>
      </c>
      <c r="B403" s="1" t="s">
        <v>3892</v>
      </c>
      <c r="C403" s="1" t="s">
        <v>1274</v>
      </c>
      <c r="D403" s="2">
        <f>+251902178901</f>
        <v>251902178901</v>
      </c>
      <c r="E403" s="1" t="s">
        <v>21</v>
      </c>
    </row>
    <row r="404">
      <c r="A404" s="1" t="s">
        <v>3893</v>
      </c>
      <c r="B404" s="1" t="s">
        <v>3894</v>
      </c>
      <c r="C404" s="1" t="s">
        <v>1107</v>
      </c>
      <c r="D404" s="2">
        <f>+251962408198</f>
        <v>251962408198</v>
      </c>
      <c r="E404" s="1" t="s">
        <v>21</v>
      </c>
    </row>
    <row r="405">
      <c r="A405" s="1" t="s">
        <v>3895</v>
      </c>
      <c r="B405" s="1" t="s">
        <v>1796</v>
      </c>
      <c r="C405" s="1" t="s">
        <v>96</v>
      </c>
      <c r="D405" s="2">
        <f>+251987256281</f>
        <v>251987256281</v>
      </c>
      <c r="E405" s="1" t="s">
        <v>21</v>
      </c>
    </row>
    <row r="406">
      <c r="A406" s="1" t="s">
        <v>3896</v>
      </c>
      <c r="B406" s="1" t="s">
        <v>303</v>
      </c>
      <c r="C406" s="1" t="s">
        <v>3897</v>
      </c>
      <c r="D406" s="2">
        <f>+251953010560</f>
        <v>251953010560</v>
      </c>
      <c r="E406" s="1" t="s">
        <v>21</v>
      </c>
    </row>
    <row r="407">
      <c r="A407" s="1" t="s">
        <v>3898</v>
      </c>
      <c r="B407" s="1" t="s">
        <v>370</v>
      </c>
      <c r="C407" s="1" t="s">
        <v>3899</v>
      </c>
      <c r="D407" s="2">
        <f>+251964969312</f>
        <v>251964969312</v>
      </c>
      <c r="E407" s="1" t="s">
        <v>21</v>
      </c>
    </row>
    <row r="408">
      <c r="A408" s="1" t="s">
        <v>3900</v>
      </c>
      <c r="B408" s="1" t="s">
        <v>447</v>
      </c>
      <c r="C408" s="1" t="s">
        <v>1542</v>
      </c>
      <c r="D408" s="2">
        <f>+251904511043</f>
        <v>251904511043</v>
      </c>
      <c r="E408" s="1" t="s">
        <v>21</v>
      </c>
    </row>
    <row r="409">
      <c r="A409" s="1" t="s">
        <v>3901</v>
      </c>
      <c r="B409" s="1" t="s">
        <v>3902</v>
      </c>
      <c r="C409" s="1" t="s">
        <v>3903</v>
      </c>
      <c r="D409" s="2">
        <f>+251989053925</f>
        <v>251989053925</v>
      </c>
      <c r="E409" s="1" t="s">
        <v>21</v>
      </c>
    </row>
    <row r="410">
      <c r="A410" s="1" t="s">
        <v>3904</v>
      </c>
      <c r="B410" s="1" t="s">
        <v>3905</v>
      </c>
      <c r="C410" s="1" t="s">
        <v>1237</v>
      </c>
      <c r="D410" s="2">
        <f>+251918210073</f>
        <v>251918210073</v>
      </c>
      <c r="E410" s="1" t="s">
        <v>21</v>
      </c>
    </row>
    <row r="411">
      <c r="A411" s="1" t="s">
        <v>3906</v>
      </c>
      <c r="B411" s="1" t="s">
        <v>615</v>
      </c>
      <c r="C411" s="1" t="s">
        <v>3242</v>
      </c>
      <c r="D411" s="2">
        <f>+251949494319</f>
        <v>251949494319</v>
      </c>
      <c r="E411" s="1" t="s">
        <v>21</v>
      </c>
    </row>
    <row r="412">
      <c r="A412" s="1" t="s">
        <v>3907</v>
      </c>
      <c r="B412" s="1" t="s">
        <v>108</v>
      </c>
      <c r="C412" s="1" t="s">
        <v>3908</v>
      </c>
      <c r="D412" s="2">
        <f>+251944885975</f>
        <v>251944885975</v>
      </c>
      <c r="E412" s="1" t="s">
        <v>21</v>
      </c>
    </row>
    <row r="413">
      <c r="A413" s="1" t="s">
        <v>3909</v>
      </c>
      <c r="B413" s="1" t="s">
        <v>1942</v>
      </c>
      <c r="C413" s="1" t="s">
        <v>1773</v>
      </c>
      <c r="D413" s="2">
        <f>+251915566171</f>
        <v>251915566171</v>
      </c>
      <c r="E413" s="1" t="s">
        <v>21</v>
      </c>
    </row>
    <row r="414">
      <c r="A414" s="1" t="s">
        <v>3910</v>
      </c>
      <c r="B414" s="1" t="s">
        <v>141</v>
      </c>
      <c r="C414" s="1" t="s">
        <v>932</v>
      </c>
      <c r="D414" s="2">
        <f>+251909693777</f>
        <v>251909693777</v>
      </c>
      <c r="E414" s="1" t="s">
        <v>21</v>
      </c>
    </row>
    <row r="415">
      <c r="A415" s="1" t="s">
        <v>3911</v>
      </c>
      <c r="B415" s="1" t="s">
        <v>3157</v>
      </c>
      <c r="C415" s="1" t="s">
        <v>1237</v>
      </c>
      <c r="D415" s="2">
        <f>+251918183162</f>
        <v>251918183162</v>
      </c>
      <c r="E415" s="1" t="s">
        <v>21</v>
      </c>
    </row>
    <row r="416">
      <c r="A416" s="1" t="s">
        <v>3912</v>
      </c>
      <c r="B416" s="1" t="s">
        <v>1139</v>
      </c>
      <c r="C416" s="1" t="s">
        <v>51</v>
      </c>
      <c r="D416" s="2">
        <f>+251976838690</f>
        <v>251976838690</v>
      </c>
      <c r="E416" s="1" t="s">
        <v>21</v>
      </c>
    </row>
    <row r="417">
      <c r="A417" s="1" t="s">
        <v>3913</v>
      </c>
      <c r="B417" s="1" t="s">
        <v>375</v>
      </c>
      <c r="C417" s="1" t="s">
        <v>3373</v>
      </c>
      <c r="D417" s="2">
        <f>+251915288518</f>
        <v>251915288518</v>
      </c>
      <c r="E417" s="1" t="s">
        <v>21</v>
      </c>
    </row>
    <row r="418">
      <c r="A418" s="1" t="s">
        <v>3914</v>
      </c>
      <c r="B418" s="1" t="s">
        <v>3915</v>
      </c>
      <c r="C418" s="1" t="s">
        <v>3916</v>
      </c>
      <c r="D418" s="2">
        <f>+251937343819</f>
        <v>251937343819</v>
      </c>
      <c r="E418" s="1" t="s">
        <v>21</v>
      </c>
    </row>
    <row r="419">
      <c r="A419" s="1" t="s">
        <v>3917</v>
      </c>
      <c r="B419" s="1" t="s">
        <v>1144</v>
      </c>
      <c r="C419" s="1" t="s">
        <v>363</v>
      </c>
      <c r="D419" s="2">
        <f t="shared" ref="D419:D420" si="2">+251927182804</f>
        <v>251927182804</v>
      </c>
      <c r="E419" s="1" t="s">
        <v>21</v>
      </c>
    </row>
    <row r="420">
      <c r="A420" s="1" t="s">
        <v>3918</v>
      </c>
      <c r="B420" s="1" t="s">
        <v>1144</v>
      </c>
      <c r="C420" s="1" t="s">
        <v>363</v>
      </c>
      <c r="D420" s="2">
        <f t="shared" si="2"/>
        <v>251927182804</v>
      </c>
      <c r="E420" s="1" t="s">
        <v>21</v>
      </c>
    </row>
    <row r="421">
      <c r="A421" s="1" t="s">
        <v>3919</v>
      </c>
      <c r="B421" s="1" t="s">
        <v>3920</v>
      </c>
      <c r="C421" s="1" t="s">
        <v>3921</v>
      </c>
      <c r="D421" s="2">
        <f>+251934501464</f>
        <v>251934501464</v>
      </c>
      <c r="E421" s="1" t="s">
        <v>21</v>
      </c>
    </row>
    <row r="422">
      <c r="A422" s="1" t="s">
        <v>3922</v>
      </c>
      <c r="B422" s="1" t="s">
        <v>527</v>
      </c>
      <c r="C422" s="1" t="s">
        <v>3923</v>
      </c>
      <c r="D422" s="2">
        <f>+251942432406</f>
        <v>251942432406</v>
      </c>
      <c r="E422" s="1" t="s">
        <v>21</v>
      </c>
    </row>
    <row r="423">
      <c r="A423" s="1" t="s">
        <v>3924</v>
      </c>
      <c r="B423" s="1" t="s">
        <v>286</v>
      </c>
      <c r="C423" s="1" t="s">
        <v>3925</v>
      </c>
      <c r="D423" s="1">
        <v>9.41412413E8</v>
      </c>
      <c r="E423" s="1" t="s">
        <v>21</v>
      </c>
    </row>
    <row r="424">
      <c r="A424" s="1" t="s">
        <v>3926</v>
      </c>
      <c r="B424" s="1" t="s">
        <v>3927</v>
      </c>
      <c r="C424" s="1" t="s">
        <v>3928</v>
      </c>
      <c r="D424" s="2">
        <f>+251902003221</f>
        <v>251902003221</v>
      </c>
      <c r="E424" s="1" t="s">
        <v>21</v>
      </c>
    </row>
    <row r="425">
      <c r="A425" s="1" t="s">
        <v>3929</v>
      </c>
      <c r="B425" s="1" t="s">
        <v>2017</v>
      </c>
      <c r="C425" s="1" t="s">
        <v>3185</v>
      </c>
      <c r="D425" s="2">
        <f>+251912450330</f>
        <v>251912450330</v>
      </c>
      <c r="E425" s="1" t="s">
        <v>21</v>
      </c>
    </row>
    <row r="426">
      <c r="A426" s="1" t="s">
        <v>3930</v>
      </c>
      <c r="B426" s="1" t="s">
        <v>371</v>
      </c>
      <c r="C426" s="1" t="s">
        <v>3931</v>
      </c>
      <c r="D426" s="2">
        <f>+251950076057</f>
        <v>251950076057</v>
      </c>
      <c r="E426" s="1" t="s">
        <v>21</v>
      </c>
    </row>
    <row r="427">
      <c r="A427" s="1" t="s">
        <v>3932</v>
      </c>
      <c r="B427" s="1" t="s">
        <v>3933</v>
      </c>
      <c r="C427" s="1" t="s">
        <v>3934</v>
      </c>
      <c r="D427" s="2">
        <f>+251918377295</f>
        <v>251918377295</v>
      </c>
      <c r="E427" s="1" t="s">
        <v>21</v>
      </c>
    </row>
    <row r="428">
      <c r="A428" s="1" t="s">
        <v>3935</v>
      </c>
      <c r="B428" s="1" t="s">
        <v>3936</v>
      </c>
      <c r="C428" s="1" t="s">
        <v>3937</v>
      </c>
      <c r="D428" s="2">
        <f>+251937512713</f>
        <v>251937512713</v>
      </c>
      <c r="E428" s="1" t="s">
        <v>21</v>
      </c>
    </row>
    <row r="429">
      <c r="A429" s="1" t="s">
        <v>3938</v>
      </c>
      <c r="B429" s="1" t="s">
        <v>2801</v>
      </c>
      <c r="C429" s="1" t="s">
        <v>510</v>
      </c>
      <c r="D429" s="2">
        <f>+251989330708</f>
        <v>251989330708</v>
      </c>
      <c r="E429" s="1" t="s">
        <v>21</v>
      </c>
    </row>
    <row r="430">
      <c r="A430" s="1" t="s">
        <v>3939</v>
      </c>
      <c r="B430" s="1" t="s">
        <v>3940</v>
      </c>
      <c r="C430" s="1" t="s">
        <v>3941</v>
      </c>
      <c r="D430" s="2">
        <f>+251901375745</f>
        <v>251901375745</v>
      </c>
      <c r="E430" s="1" t="s">
        <v>21</v>
      </c>
    </row>
    <row r="431">
      <c r="A431" s="1" t="s">
        <v>3942</v>
      </c>
      <c r="B431" s="1" t="s">
        <v>213</v>
      </c>
      <c r="C431" s="1" t="s">
        <v>204</v>
      </c>
      <c r="D431" s="2">
        <f>+251977901133</f>
        <v>251977901133</v>
      </c>
      <c r="E431" s="1" t="s">
        <v>21</v>
      </c>
    </row>
    <row r="432">
      <c r="A432" s="1" t="s">
        <v>3943</v>
      </c>
      <c r="B432" s="1" t="s">
        <v>3944</v>
      </c>
      <c r="C432" s="1" t="s">
        <v>213</v>
      </c>
      <c r="D432" s="2">
        <f>+251926792942</f>
        <v>251926792942</v>
      </c>
      <c r="E432" s="1" t="s">
        <v>21</v>
      </c>
    </row>
    <row r="433">
      <c r="A433" s="1" t="s">
        <v>3945</v>
      </c>
      <c r="B433" s="1" t="s">
        <v>1485</v>
      </c>
      <c r="C433" s="1" t="s">
        <v>595</v>
      </c>
      <c r="D433" s="2">
        <f>+251953385931</f>
        <v>251953385931</v>
      </c>
      <c r="E433" s="1" t="s">
        <v>21</v>
      </c>
    </row>
    <row r="434">
      <c r="A434" s="1" t="s">
        <v>3946</v>
      </c>
      <c r="B434" s="1" t="s">
        <v>250</v>
      </c>
      <c r="C434" s="1" t="s">
        <v>3897</v>
      </c>
      <c r="D434" s="2">
        <f>+251969589856</f>
        <v>251969589856</v>
      </c>
      <c r="E434" s="1" t="s">
        <v>21</v>
      </c>
    </row>
    <row r="435">
      <c r="A435" s="1" t="s">
        <v>3947</v>
      </c>
      <c r="B435" s="1" t="s">
        <v>761</v>
      </c>
      <c r="C435" s="1" t="s">
        <v>858</v>
      </c>
      <c r="D435" s="2">
        <f>+251977335160</f>
        <v>251977335160</v>
      </c>
      <c r="E435" s="1" t="s">
        <v>21</v>
      </c>
    </row>
    <row r="436">
      <c r="A436" s="1" t="s">
        <v>3948</v>
      </c>
      <c r="B436" s="1" t="s">
        <v>1753</v>
      </c>
      <c r="C436" s="1" t="s">
        <v>3949</v>
      </c>
      <c r="D436" s="2">
        <f>+251914150585</f>
        <v>251914150585</v>
      </c>
      <c r="E436" s="1" t="s">
        <v>21</v>
      </c>
    </row>
    <row r="437">
      <c r="A437" s="1" t="s">
        <v>3950</v>
      </c>
      <c r="B437" s="1" t="s">
        <v>877</v>
      </c>
      <c r="C437" s="1" t="s">
        <v>3951</v>
      </c>
      <c r="D437" s="2">
        <f>+251983184964</f>
        <v>251983184964</v>
      </c>
      <c r="E437" s="1" t="s">
        <v>21</v>
      </c>
    </row>
    <row r="438">
      <c r="A438" s="1" t="s">
        <v>3952</v>
      </c>
      <c r="B438" s="1" t="s">
        <v>3953</v>
      </c>
      <c r="C438" s="1" t="s">
        <v>3954</v>
      </c>
      <c r="D438" s="2">
        <f>+251937323911</f>
        <v>251937323911</v>
      </c>
      <c r="E438" s="1" t="s">
        <v>21</v>
      </c>
    </row>
    <row r="439">
      <c r="A439" s="1" t="s">
        <v>3955</v>
      </c>
      <c r="B439" s="1" t="s">
        <v>3956</v>
      </c>
      <c r="C439" s="1" t="s">
        <v>3957</v>
      </c>
      <c r="D439" s="2">
        <f>+251901617173</f>
        <v>251901617173</v>
      </c>
      <c r="E439" s="1" t="s">
        <v>21</v>
      </c>
    </row>
    <row r="440">
      <c r="A440" s="1" t="s">
        <v>3958</v>
      </c>
      <c r="B440" s="1" t="s">
        <v>3683</v>
      </c>
      <c r="C440" s="1" t="s">
        <v>3959</v>
      </c>
      <c r="D440" s="2">
        <f>+251932409459</f>
        <v>251932409459</v>
      </c>
      <c r="E440" s="1" t="s">
        <v>21</v>
      </c>
    </row>
    <row r="441">
      <c r="A441" s="1" t="s">
        <v>3960</v>
      </c>
      <c r="B441" s="1" t="s">
        <v>3961</v>
      </c>
      <c r="C441" s="1" t="s">
        <v>3232</v>
      </c>
      <c r="D441" s="2">
        <f>+251976140907</f>
        <v>251976140907</v>
      </c>
      <c r="E441" s="1" t="s">
        <v>21</v>
      </c>
    </row>
    <row r="442">
      <c r="A442" s="1" t="s">
        <v>3962</v>
      </c>
      <c r="B442" s="1" t="s">
        <v>948</v>
      </c>
      <c r="C442" s="1" t="s">
        <v>141</v>
      </c>
      <c r="D442" s="2">
        <f>+251914548515</f>
        <v>251914548515</v>
      </c>
      <c r="E442" s="1" t="s">
        <v>21</v>
      </c>
    </row>
    <row r="443">
      <c r="A443" s="1" t="s">
        <v>3963</v>
      </c>
      <c r="B443" s="1" t="s">
        <v>3964</v>
      </c>
      <c r="C443" s="1" t="s">
        <v>3965</v>
      </c>
      <c r="D443" s="2">
        <f>+251984264707</f>
        <v>251984264707</v>
      </c>
      <c r="E443" s="1" t="s">
        <v>21</v>
      </c>
    </row>
    <row r="444">
      <c r="A444" s="1" t="s">
        <v>3966</v>
      </c>
      <c r="B444" s="1" t="s">
        <v>3967</v>
      </c>
      <c r="C444" s="1" t="s">
        <v>3968</v>
      </c>
      <c r="D444" s="2">
        <f>+256748979059</f>
        <v>256748979059</v>
      </c>
      <c r="E444" s="1" t="s">
        <v>21</v>
      </c>
    </row>
    <row r="445">
      <c r="A445" s="1" t="s">
        <v>3969</v>
      </c>
      <c r="B445" s="1" t="s">
        <v>2314</v>
      </c>
      <c r="C445" s="1" t="s">
        <v>3970</v>
      </c>
      <c r="D445" s="2">
        <f>+251902932900</f>
        <v>251902932900</v>
      </c>
      <c r="E445" s="1" t="s">
        <v>21</v>
      </c>
    </row>
    <row r="446">
      <c r="A446" s="1" t="s">
        <v>3971</v>
      </c>
      <c r="B446" s="1" t="s">
        <v>3972</v>
      </c>
      <c r="C446" s="1" t="s">
        <v>3973</v>
      </c>
      <c r="D446" s="2">
        <f>+251946127900</f>
        <v>251946127900</v>
      </c>
      <c r="E446" s="1" t="s">
        <v>21</v>
      </c>
    </row>
    <row r="447">
      <c r="A447" s="1" t="s">
        <v>3974</v>
      </c>
      <c r="B447" s="1" t="s">
        <v>836</v>
      </c>
      <c r="C447" s="1" t="s">
        <v>1760</v>
      </c>
      <c r="D447" s="2">
        <f>+251982293746</f>
        <v>251982293746</v>
      </c>
      <c r="E447" s="1" t="s">
        <v>21</v>
      </c>
    </row>
    <row r="448">
      <c r="A448" s="1" t="s">
        <v>3975</v>
      </c>
      <c r="B448" s="1" t="s">
        <v>3976</v>
      </c>
      <c r="C448" s="1" t="s">
        <v>3977</v>
      </c>
      <c r="D448" s="2">
        <f>+251930830801</f>
        <v>251930830801</v>
      </c>
      <c r="E448" s="1" t="s">
        <v>21</v>
      </c>
    </row>
    <row r="449">
      <c r="A449" s="1" t="s">
        <v>3978</v>
      </c>
      <c r="B449" s="1" t="s">
        <v>3979</v>
      </c>
      <c r="C449" s="1" t="s">
        <v>3980</v>
      </c>
      <c r="D449" s="2">
        <f>+251935305716</f>
        <v>251935305716</v>
      </c>
      <c r="E449" s="1" t="s">
        <v>21</v>
      </c>
    </row>
    <row r="450">
      <c r="A450" s="1" t="s">
        <v>3981</v>
      </c>
      <c r="B450" s="1" t="s">
        <v>108</v>
      </c>
      <c r="C450" s="1" t="s">
        <v>3982</v>
      </c>
      <c r="D450" s="2">
        <f>+251911595244</f>
        <v>251911595244</v>
      </c>
      <c r="E450" s="1" t="s">
        <v>21</v>
      </c>
    </row>
    <row r="451">
      <c r="A451" s="1" t="s">
        <v>3983</v>
      </c>
      <c r="B451" s="1" t="s">
        <v>3984</v>
      </c>
      <c r="C451" s="1" t="s">
        <v>3985</v>
      </c>
      <c r="D451" s="2">
        <f>+251903899490</f>
        <v>251903899490</v>
      </c>
      <c r="E451" s="1" t="s">
        <v>21</v>
      </c>
    </row>
    <row r="452">
      <c r="A452" s="1" t="s">
        <v>3986</v>
      </c>
      <c r="B452" s="1" t="s">
        <v>3987</v>
      </c>
      <c r="C452" s="1" t="s">
        <v>3988</v>
      </c>
      <c r="D452" s="2">
        <f>+251924895558</f>
        <v>251924895558</v>
      </c>
      <c r="E452" s="1" t="s">
        <v>21</v>
      </c>
    </row>
    <row r="453">
      <c r="A453" s="1" t="s">
        <v>3989</v>
      </c>
      <c r="B453" s="1" t="s">
        <v>2409</v>
      </c>
      <c r="C453" s="1" t="s">
        <v>644</v>
      </c>
      <c r="D453" s="2">
        <f>+251920319544</f>
        <v>251920319544</v>
      </c>
      <c r="E453" s="1" t="s">
        <v>21</v>
      </c>
    </row>
    <row r="454">
      <c r="A454" s="1" t="s">
        <v>3990</v>
      </c>
      <c r="B454" s="1" t="s">
        <v>750</v>
      </c>
      <c r="C454" s="1" t="s">
        <v>2120</v>
      </c>
      <c r="D454" s="2">
        <f>+251936212355</f>
        <v>251936212355</v>
      </c>
      <c r="E454" s="1" t="s">
        <v>21</v>
      </c>
    </row>
    <row r="455">
      <c r="A455" s="1" t="s">
        <v>3991</v>
      </c>
      <c r="B455" s="1" t="s">
        <v>474</v>
      </c>
      <c r="C455" s="1" t="s">
        <v>3992</v>
      </c>
      <c r="D455" s="2">
        <f>+251900593262</f>
        <v>251900593262</v>
      </c>
      <c r="E455" s="1" t="s">
        <v>21</v>
      </c>
    </row>
    <row r="456">
      <c r="A456" s="1" t="s">
        <v>3993</v>
      </c>
      <c r="B456" s="1" t="s">
        <v>691</v>
      </c>
      <c r="C456" s="1" t="s">
        <v>3994</v>
      </c>
      <c r="D456" s="2">
        <f>+1909275476</f>
        <v>1909275476</v>
      </c>
      <c r="E456" s="1" t="s">
        <v>21</v>
      </c>
    </row>
    <row r="457">
      <c r="A457" s="1" t="s">
        <v>3995</v>
      </c>
      <c r="B457" s="1" t="s">
        <v>3996</v>
      </c>
      <c r="C457" s="1" t="s">
        <v>3997</v>
      </c>
      <c r="D457" s="2">
        <f>+251912905004</f>
        <v>251912905004</v>
      </c>
      <c r="E457" s="1" t="s">
        <v>21</v>
      </c>
    </row>
    <row r="458">
      <c r="A458" s="1" t="s">
        <v>3998</v>
      </c>
      <c r="B458" s="1" t="s">
        <v>3450</v>
      </c>
      <c r="C458" s="1" t="s">
        <v>3999</v>
      </c>
      <c r="D458" s="2">
        <f>+251912467167</f>
        <v>251912467167</v>
      </c>
      <c r="E458" s="1" t="s">
        <v>21</v>
      </c>
    </row>
    <row r="459">
      <c r="A459" s="1" t="s">
        <v>4000</v>
      </c>
      <c r="B459" s="1" t="s">
        <v>993</v>
      </c>
      <c r="C459" s="1" t="s">
        <v>1897</v>
      </c>
      <c r="D459" s="2">
        <f>+251943137607</f>
        <v>251943137607</v>
      </c>
      <c r="E459" s="1" t="s">
        <v>21</v>
      </c>
    </row>
    <row r="460">
      <c r="A460" s="1" t="s">
        <v>4001</v>
      </c>
      <c r="B460" s="1" t="s">
        <v>4002</v>
      </c>
      <c r="C460" s="1" t="s">
        <v>4003</v>
      </c>
      <c r="D460" s="2">
        <f>+251920119464</f>
        <v>251920119464</v>
      </c>
      <c r="E460" s="1" t="s">
        <v>21</v>
      </c>
    </row>
    <row r="461">
      <c r="A461" s="1" t="s">
        <v>4004</v>
      </c>
      <c r="B461" s="1" t="s">
        <v>3607</v>
      </c>
      <c r="C461" s="1" t="s">
        <v>4005</v>
      </c>
      <c r="D461" s="2">
        <f>+251935353437</f>
        <v>251935353437</v>
      </c>
      <c r="E461" s="1" t="s">
        <v>21</v>
      </c>
    </row>
    <row r="462">
      <c r="A462" s="1" t="s">
        <v>4006</v>
      </c>
      <c r="B462" s="1" t="s">
        <v>2068</v>
      </c>
      <c r="C462" s="1" t="s">
        <v>91</v>
      </c>
      <c r="D462" s="2">
        <f>+251927692925</f>
        <v>251927692925</v>
      </c>
      <c r="E462" s="1" t="s">
        <v>21</v>
      </c>
    </row>
    <row r="463">
      <c r="A463" s="1" t="s">
        <v>4007</v>
      </c>
      <c r="B463" s="1" t="s">
        <v>4008</v>
      </c>
      <c r="C463" s="1" t="s">
        <v>4009</v>
      </c>
      <c r="D463" s="2">
        <f>+251900964936</f>
        <v>251900964936</v>
      </c>
      <c r="E463" s="1" t="s">
        <v>21</v>
      </c>
    </row>
    <row r="464">
      <c r="A464" s="1" t="s">
        <v>4010</v>
      </c>
      <c r="B464" s="1" t="s">
        <v>140</v>
      </c>
      <c r="C464" s="1" t="s">
        <v>91</v>
      </c>
      <c r="D464" s="2">
        <f>+251932097022</f>
        <v>251932097022</v>
      </c>
      <c r="E464" s="1" t="s">
        <v>21</v>
      </c>
    </row>
    <row r="465">
      <c r="A465" s="1" t="s">
        <v>4011</v>
      </c>
      <c r="B465" s="1" t="s">
        <v>2947</v>
      </c>
      <c r="C465" s="1" t="s">
        <v>2948</v>
      </c>
      <c r="D465" s="2">
        <f>+251917117572</f>
        <v>251917117572</v>
      </c>
      <c r="E465" s="1" t="s">
        <v>21</v>
      </c>
    </row>
    <row r="466">
      <c r="A466" s="1" t="s">
        <v>4012</v>
      </c>
      <c r="B466" s="1" t="s">
        <v>4013</v>
      </c>
      <c r="C466" s="1" t="s">
        <v>4014</v>
      </c>
      <c r="D466" s="2">
        <f>+251910693898</f>
        <v>251910693898</v>
      </c>
      <c r="E466" s="1" t="s">
        <v>21</v>
      </c>
    </row>
    <row r="467">
      <c r="A467" s="1" t="s">
        <v>4015</v>
      </c>
      <c r="B467" s="1" t="s">
        <v>916</v>
      </c>
      <c r="C467" s="1" t="s">
        <v>4016</v>
      </c>
      <c r="D467" s="1">
        <v>9.25183207E8</v>
      </c>
      <c r="E467" s="1" t="s">
        <v>21</v>
      </c>
    </row>
    <row r="468">
      <c r="A468" s="1" t="s">
        <v>4017</v>
      </c>
      <c r="B468" s="1" t="s">
        <v>3774</v>
      </c>
      <c r="C468" s="1" t="s">
        <v>4018</v>
      </c>
      <c r="D468" s="2">
        <f>+251976555364</f>
        <v>251976555364</v>
      </c>
      <c r="E468" s="1" t="s">
        <v>21</v>
      </c>
    </row>
    <row r="469">
      <c r="A469" s="1" t="s">
        <v>4019</v>
      </c>
      <c r="B469" s="1" t="s">
        <v>4020</v>
      </c>
      <c r="C469" s="1" t="s">
        <v>4021</v>
      </c>
      <c r="D469" s="2">
        <f>+251995689376</f>
        <v>251995689376</v>
      </c>
      <c r="E469" s="1" t="s">
        <v>21</v>
      </c>
    </row>
    <row r="470">
      <c r="A470" s="1" t="s">
        <v>4022</v>
      </c>
      <c r="B470" s="1" t="s">
        <v>4023</v>
      </c>
      <c r="C470" s="1" t="s">
        <v>4024</v>
      </c>
      <c r="D470" s="2">
        <f>+251973890414</f>
        <v>251973890414</v>
      </c>
      <c r="E470" s="1" t="s">
        <v>21</v>
      </c>
    </row>
    <row r="471">
      <c r="A471" s="1" t="s">
        <v>4025</v>
      </c>
      <c r="B471" s="1" t="s">
        <v>101</v>
      </c>
      <c r="C471" s="1" t="s">
        <v>2429</v>
      </c>
      <c r="D471" s="2">
        <f>+251946608413</f>
        <v>251946608413</v>
      </c>
      <c r="E471" s="1" t="s">
        <v>21</v>
      </c>
    </row>
    <row r="472">
      <c r="A472" s="1" t="s">
        <v>4026</v>
      </c>
      <c r="B472" s="1" t="s">
        <v>1599</v>
      </c>
      <c r="C472" s="1" t="s">
        <v>4027</v>
      </c>
      <c r="D472" s="2">
        <f>+251924334829</f>
        <v>251924334829</v>
      </c>
      <c r="E472" s="1" t="s">
        <v>21</v>
      </c>
    </row>
    <row r="473">
      <c r="A473" s="1" t="s">
        <v>2118</v>
      </c>
      <c r="B473" s="1" t="s">
        <v>2119</v>
      </c>
      <c r="C473" s="1" t="s">
        <v>2120</v>
      </c>
      <c r="D473" s="2">
        <f>+251942029245</f>
        <v>251942029245</v>
      </c>
      <c r="E473" s="1" t="s">
        <v>21</v>
      </c>
    </row>
    <row r="474">
      <c r="A474" s="1" t="s">
        <v>4028</v>
      </c>
      <c r="B474" s="1" t="s">
        <v>4029</v>
      </c>
      <c r="C474" s="1" t="s">
        <v>859</v>
      </c>
      <c r="D474" s="2">
        <f>+251968080294</f>
        <v>251968080294</v>
      </c>
      <c r="E474" s="1" t="s">
        <v>21</v>
      </c>
    </row>
    <row r="475">
      <c r="A475" s="1" t="s">
        <v>4030</v>
      </c>
      <c r="B475" s="1" t="s">
        <v>1242</v>
      </c>
      <c r="C475" s="1" t="s">
        <v>1036</v>
      </c>
      <c r="D475" s="2">
        <f>+251915137978</f>
        <v>251915137978</v>
      </c>
      <c r="E475" s="1" t="s">
        <v>21</v>
      </c>
    </row>
    <row r="476">
      <c r="A476" s="1" t="s">
        <v>4031</v>
      </c>
      <c r="B476" s="1" t="s">
        <v>4032</v>
      </c>
      <c r="C476" s="1" t="s">
        <v>3221</v>
      </c>
      <c r="D476" s="2">
        <f>+251972027037</f>
        <v>251972027037</v>
      </c>
      <c r="E476" s="1" t="s">
        <v>21</v>
      </c>
    </row>
    <row r="477">
      <c r="A477" s="1" t="s">
        <v>4033</v>
      </c>
      <c r="B477" s="1" t="s">
        <v>4034</v>
      </c>
      <c r="C477" s="1" t="s">
        <v>4035</v>
      </c>
      <c r="D477" s="2">
        <f>+44911564232</f>
        <v>44911564232</v>
      </c>
      <c r="E477" s="1" t="s">
        <v>21</v>
      </c>
    </row>
    <row r="478">
      <c r="A478" s="1" t="s">
        <v>4036</v>
      </c>
      <c r="B478" s="1" t="s">
        <v>250</v>
      </c>
      <c r="C478" s="1" t="s">
        <v>3863</v>
      </c>
      <c r="D478" s="2">
        <f>+251912616454</f>
        <v>251912616454</v>
      </c>
      <c r="E478" s="1" t="s">
        <v>21</v>
      </c>
    </row>
    <row r="479">
      <c r="A479" s="1" t="s">
        <v>4037</v>
      </c>
      <c r="B479" s="1" t="s">
        <v>37</v>
      </c>
      <c r="C479" s="1" t="s">
        <v>328</v>
      </c>
      <c r="D479" s="2">
        <f>+251943067575</f>
        <v>251943067575</v>
      </c>
      <c r="E479" s="1" t="s">
        <v>21</v>
      </c>
    </row>
    <row r="480">
      <c r="A480" s="1" t="s">
        <v>4038</v>
      </c>
      <c r="B480" s="1" t="s">
        <v>4039</v>
      </c>
      <c r="C480" s="1" t="s">
        <v>4040</v>
      </c>
      <c r="D480" s="2">
        <f>+251993217060</f>
        <v>251993217060</v>
      </c>
      <c r="E480" s="1" t="s">
        <v>21</v>
      </c>
    </row>
    <row r="481">
      <c r="A481" s="1" t="s">
        <v>4041</v>
      </c>
      <c r="B481" s="1" t="s">
        <v>4042</v>
      </c>
      <c r="C481" s="1" t="s">
        <v>4043</v>
      </c>
      <c r="D481" s="2">
        <f>+251987288854</f>
        <v>251987288854</v>
      </c>
      <c r="E481" s="1" t="s">
        <v>21</v>
      </c>
    </row>
    <row r="482">
      <c r="A482" s="1" t="s">
        <v>2157</v>
      </c>
      <c r="B482" s="1" t="s">
        <v>370</v>
      </c>
      <c r="C482" s="1" t="s">
        <v>616</v>
      </c>
      <c r="D482" s="2">
        <f>+251920751809</f>
        <v>251920751809</v>
      </c>
      <c r="E482" s="1" t="s">
        <v>21</v>
      </c>
    </row>
    <row r="483">
      <c r="A483" s="1" t="s">
        <v>4044</v>
      </c>
      <c r="B483" s="1" t="s">
        <v>1864</v>
      </c>
      <c r="C483" s="1" t="s">
        <v>338</v>
      </c>
      <c r="D483" s="2">
        <f>+251912294143</f>
        <v>251912294143</v>
      </c>
      <c r="E483" s="1" t="s">
        <v>21</v>
      </c>
    </row>
    <row r="484">
      <c r="A484" s="1" t="s">
        <v>4045</v>
      </c>
      <c r="B484" s="1" t="s">
        <v>1062</v>
      </c>
      <c r="C484" s="1" t="s">
        <v>621</v>
      </c>
      <c r="D484" s="2">
        <f>+251913639402</f>
        <v>251913639402</v>
      </c>
      <c r="E484" s="1" t="s">
        <v>21</v>
      </c>
    </row>
    <row r="485">
      <c r="A485" s="1" t="s">
        <v>4046</v>
      </c>
      <c r="B485" s="1" t="s">
        <v>447</v>
      </c>
      <c r="C485" s="1" t="s">
        <v>4047</v>
      </c>
      <c r="D485" s="2">
        <f>+251923224532</f>
        <v>251923224532</v>
      </c>
      <c r="E485" s="1" t="s">
        <v>21</v>
      </c>
    </row>
    <row r="486">
      <c r="A486" s="1" t="s">
        <v>4048</v>
      </c>
      <c r="B486" s="1" t="s">
        <v>333</v>
      </c>
      <c r="C486" s="1" t="s">
        <v>880</v>
      </c>
      <c r="D486" s="2">
        <f>+251948301941</f>
        <v>251948301941</v>
      </c>
      <c r="E486" s="1" t="s">
        <v>21</v>
      </c>
    </row>
    <row r="487">
      <c r="A487" s="1" t="s">
        <v>4049</v>
      </c>
      <c r="B487" s="1" t="s">
        <v>4050</v>
      </c>
      <c r="C487" s="1" t="s">
        <v>932</v>
      </c>
      <c r="D487" s="2">
        <f>+251918180038</f>
        <v>251918180038</v>
      </c>
      <c r="E487" s="1" t="s">
        <v>21</v>
      </c>
    </row>
    <row r="488">
      <c r="A488" s="1" t="s">
        <v>4051</v>
      </c>
      <c r="B488" s="1" t="s">
        <v>4052</v>
      </c>
      <c r="C488" s="1" t="s">
        <v>4053</v>
      </c>
      <c r="D488" s="2">
        <f>+251995277760</f>
        <v>251995277760</v>
      </c>
      <c r="E488" s="1" t="s">
        <v>21</v>
      </c>
    </row>
    <row r="489">
      <c r="A489" s="1" t="s">
        <v>4054</v>
      </c>
      <c r="B489" s="1" t="s">
        <v>2201</v>
      </c>
      <c r="C489" s="1" t="s">
        <v>4055</v>
      </c>
      <c r="D489" s="2">
        <f>+251977655065</f>
        <v>251977655065</v>
      </c>
      <c r="E489" s="1" t="s">
        <v>21</v>
      </c>
    </row>
    <row r="490">
      <c r="A490" s="1" t="s">
        <v>4056</v>
      </c>
      <c r="B490" s="1" t="s">
        <v>812</v>
      </c>
      <c r="C490" s="1" t="s">
        <v>4057</v>
      </c>
      <c r="D490" s="2">
        <f>+251986672910</f>
        <v>251986672910</v>
      </c>
      <c r="E490" s="1" t="s">
        <v>21</v>
      </c>
    </row>
    <row r="491">
      <c r="A491" s="1" t="s">
        <v>4058</v>
      </c>
      <c r="B491" s="1" t="s">
        <v>4059</v>
      </c>
      <c r="C491" s="1" t="s">
        <v>4060</v>
      </c>
      <c r="D491" s="1">
        <v>9.11359491E8</v>
      </c>
      <c r="E491" s="1" t="s">
        <v>21</v>
      </c>
    </row>
    <row r="492">
      <c r="A492" s="1" t="s">
        <v>4061</v>
      </c>
      <c r="B492" s="1" t="s">
        <v>286</v>
      </c>
      <c r="C492" s="1" t="s">
        <v>316</v>
      </c>
      <c r="D492" s="2">
        <f>+251922115035</f>
        <v>251922115035</v>
      </c>
      <c r="E492" s="1" t="s">
        <v>21</v>
      </c>
    </row>
    <row r="493">
      <c r="A493" s="1" t="s">
        <v>4062</v>
      </c>
      <c r="B493" s="1" t="s">
        <v>4063</v>
      </c>
      <c r="C493" s="1" t="s">
        <v>4064</v>
      </c>
      <c r="D493" s="2">
        <f>+25191199903</f>
        <v>25191199903</v>
      </c>
      <c r="E493" s="1" t="s">
        <v>21</v>
      </c>
    </row>
    <row r="494">
      <c r="A494" s="1" t="s">
        <v>4065</v>
      </c>
      <c r="B494" s="1" t="s">
        <v>620</v>
      </c>
      <c r="C494" s="1" t="s">
        <v>4066</v>
      </c>
      <c r="D494" s="2">
        <f>+251913469015</f>
        <v>251913469015</v>
      </c>
      <c r="E494" s="1" t="s">
        <v>21</v>
      </c>
    </row>
    <row r="495">
      <c r="A495" s="1" t="s">
        <v>4067</v>
      </c>
      <c r="B495" s="1" t="s">
        <v>4068</v>
      </c>
      <c r="C495" s="1" t="s">
        <v>4069</v>
      </c>
      <c r="D495" s="2">
        <f>+251939071992</f>
        <v>251939071992</v>
      </c>
      <c r="E495" s="1" t="s">
        <v>21</v>
      </c>
    </row>
    <row r="496">
      <c r="A496" s="1" t="s">
        <v>4070</v>
      </c>
      <c r="B496" s="1" t="s">
        <v>588</v>
      </c>
      <c r="C496" s="1" t="s">
        <v>4071</v>
      </c>
      <c r="D496" s="2">
        <f>+251946143975</f>
        <v>251946143975</v>
      </c>
      <c r="E496" s="1" t="s">
        <v>21</v>
      </c>
    </row>
    <row r="497">
      <c r="A497" s="1" t="s">
        <v>4072</v>
      </c>
      <c r="B497" s="1" t="s">
        <v>292</v>
      </c>
      <c r="C497" s="1" t="s">
        <v>764</v>
      </c>
      <c r="D497" s="2">
        <f>+251938512380</f>
        <v>251938512380</v>
      </c>
      <c r="E497" s="1" t="s">
        <v>21</v>
      </c>
    </row>
    <row r="498">
      <c r="A498" s="1" t="s">
        <v>4073</v>
      </c>
      <c r="B498" s="1" t="s">
        <v>4074</v>
      </c>
      <c r="C498" s="1" t="s">
        <v>4075</v>
      </c>
      <c r="D498" s="2">
        <f>+251910761948</f>
        <v>251910761948</v>
      </c>
      <c r="E498" s="1" t="s">
        <v>21</v>
      </c>
    </row>
    <row r="499">
      <c r="A499" s="1" t="s">
        <v>4076</v>
      </c>
      <c r="B499" s="1" t="s">
        <v>4077</v>
      </c>
      <c r="C499" s="1" t="s">
        <v>4078</v>
      </c>
      <c r="D499" s="2">
        <f>+251945940021</f>
        <v>251945940021</v>
      </c>
      <c r="E499" s="1" t="s">
        <v>21</v>
      </c>
    </row>
    <row r="500">
      <c r="A500" s="1" t="s">
        <v>4079</v>
      </c>
      <c r="B500" s="1" t="s">
        <v>4080</v>
      </c>
      <c r="C500" s="1" t="s">
        <v>4081</v>
      </c>
      <c r="D500" s="2">
        <f>+251960394156</f>
        <v>251960394156</v>
      </c>
      <c r="E500" s="1" t="s">
        <v>21</v>
      </c>
    </row>
    <row r="501">
      <c r="A501" s="1" t="s">
        <v>4082</v>
      </c>
      <c r="B501" s="1" t="s">
        <v>154</v>
      </c>
      <c r="C501" s="1" t="s">
        <v>4083</v>
      </c>
      <c r="D501" s="2">
        <f>+251920659690</f>
        <v>251920659690</v>
      </c>
      <c r="E501" s="1" t="s">
        <v>21</v>
      </c>
    </row>
    <row r="502">
      <c r="A502" s="1" t="s">
        <v>4084</v>
      </c>
      <c r="B502" s="1" t="s">
        <v>4085</v>
      </c>
      <c r="C502" s="1" t="s">
        <v>96</v>
      </c>
      <c r="D502" s="2">
        <f>+251967560444</f>
        <v>251967560444</v>
      </c>
      <c r="E502" s="1" t="s">
        <v>21</v>
      </c>
    </row>
    <row r="503">
      <c r="A503" s="1" t="s">
        <v>2356</v>
      </c>
      <c r="B503" s="1" t="s">
        <v>1570</v>
      </c>
      <c r="C503" s="1" t="s">
        <v>213</v>
      </c>
      <c r="D503" s="2">
        <f>+251986248494</f>
        <v>251986248494</v>
      </c>
      <c r="E503" s="1" t="s">
        <v>21</v>
      </c>
    </row>
    <row r="504">
      <c r="A504" s="1" t="s">
        <v>513</v>
      </c>
      <c r="B504" s="1" t="s">
        <v>514</v>
      </c>
      <c r="C504" s="1" t="s">
        <v>515</v>
      </c>
      <c r="D504" s="2">
        <f>+251713298174</f>
        <v>251713298174</v>
      </c>
      <c r="E504" s="1" t="s">
        <v>21</v>
      </c>
    </row>
    <row r="505">
      <c r="A505" s="1" t="s">
        <v>4086</v>
      </c>
      <c r="B505" s="1" t="s">
        <v>437</v>
      </c>
      <c r="C505" s="1" t="s">
        <v>4087</v>
      </c>
      <c r="D505" s="2">
        <f>+251936106262</f>
        <v>251936106262</v>
      </c>
      <c r="E505" s="1" t="s">
        <v>21</v>
      </c>
    </row>
    <row r="506">
      <c r="A506" s="1" t="s">
        <v>4088</v>
      </c>
      <c r="B506" s="1" t="s">
        <v>4089</v>
      </c>
      <c r="C506" s="1" t="s">
        <v>4090</v>
      </c>
      <c r="D506" s="2">
        <f>+251929427698</f>
        <v>251929427698</v>
      </c>
      <c r="E506" s="1" t="s">
        <v>21</v>
      </c>
    </row>
    <row r="507">
      <c r="A507" s="1" t="s">
        <v>3052</v>
      </c>
      <c r="B507" s="1" t="s">
        <v>264</v>
      </c>
      <c r="C507" s="1" t="s">
        <v>218</v>
      </c>
      <c r="D507" s="2">
        <f>+251941418388</f>
        <v>251941418388</v>
      </c>
      <c r="E507" s="1" t="s">
        <v>21</v>
      </c>
    </row>
    <row r="508">
      <c r="A508" s="1" t="s">
        <v>4091</v>
      </c>
      <c r="B508" s="1" t="s">
        <v>4092</v>
      </c>
      <c r="C508" s="1" t="s">
        <v>189</v>
      </c>
      <c r="D508" s="2">
        <f>+251925838279</f>
        <v>251925838279</v>
      </c>
      <c r="E508" s="1" t="s">
        <v>21</v>
      </c>
    </row>
    <row r="509">
      <c r="A509" s="1" t="s">
        <v>4093</v>
      </c>
      <c r="B509" s="1" t="s">
        <v>477</v>
      </c>
      <c r="C509" s="1" t="s">
        <v>134</v>
      </c>
      <c r="D509" s="2">
        <f>+251926675422</f>
        <v>251926675422</v>
      </c>
      <c r="E509" s="1" t="s">
        <v>21</v>
      </c>
    </row>
    <row r="510">
      <c r="A510" s="1" t="s">
        <v>851</v>
      </c>
      <c r="B510" s="1" t="s">
        <v>852</v>
      </c>
      <c r="C510" s="1" t="s">
        <v>853</v>
      </c>
      <c r="D510" s="2">
        <f>+10933714972</f>
        <v>10933714972</v>
      </c>
      <c r="E510" s="1" t="s">
        <v>21</v>
      </c>
    </row>
    <row r="511">
      <c r="A511" s="1" t="s">
        <v>4094</v>
      </c>
      <c r="B511" s="1" t="s">
        <v>4095</v>
      </c>
      <c r="C511" s="1" t="s">
        <v>4096</v>
      </c>
      <c r="D511" s="2">
        <f>+251948202077</f>
        <v>251948202077</v>
      </c>
      <c r="E511" s="1" t="s">
        <v>21</v>
      </c>
    </row>
    <row r="512">
      <c r="A512" s="1" t="s">
        <v>4097</v>
      </c>
      <c r="B512" s="1" t="s">
        <v>4098</v>
      </c>
      <c r="C512" s="1" t="s">
        <v>595</v>
      </c>
      <c r="D512" s="2">
        <f>+251919318620</f>
        <v>251919318620</v>
      </c>
      <c r="E512" s="1" t="s">
        <v>21</v>
      </c>
    </row>
    <row r="513">
      <c r="A513" s="1" t="s">
        <v>4099</v>
      </c>
      <c r="B513" s="1" t="s">
        <v>663</v>
      </c>
      <c r="C513" s="1" t="s">
        <v>51</v>
      </c>
      <c r="D513" s="2">
        <f>+251966735052</f>
        <v>251966735052</v>
      </c>
      <c r="E513" s="1" t="s">
        <v>21</v>
      </c>
    </row>
    <row r="514">
      <c r="A514" s="1" t="s">
        <v>4100</v>
      </c>
      <c r="B514" s="1" t="s">
        <v>4101</v>
      </c>
      <c r="C514" s="1" t="s">
        <v>4102</v>
      </c>
      <c r="D514" s="2">
        <f>+251988126324</f>
        <v>251988126324</v>
      </c>
      <c r="E514" s="1" t="s">
        <v>21</v>
      </c>
    </row>
    <row r="515">
      <c r="A515" s="1" t="s">
        <v>917</v>
      </c>
      <c r="B515" s="1" t="s">
        <v>918</v>
      </c>
      <c r="C515" s="1" t="s">
        <v>919</v>
      </c>
      <c r="D515" s="2">
        <f>+251914594919</f>
        <v>251914594919</v>
      </c>
      <c r="E515" s="1" t="s">
        <v>21</v>
      </c>
    </row>
    <row r="516">
      <c r="A516" s="1" t="s">
        <v>4103</v>
      </c>
      <c r="B516" s="1" t="s">
        <v>4104</v>
      </c>
      <c r="C516" s="1" t="s">
        <v>4105</v>
      </c>
      <c r="D516" s="1">
        <v>9.20458603E8</v>
      </c>
      <c r="E516" s="1" t="s">
        <v>21</v>
      </c>
    </row>
    <row r="517">
      <c r="A517" s="1" t="s">
        <v>4106</v>
      </c>
      <c r="B517" s="1" t="s">
        <v>3232</v>
      </c>
      <c r="C517" s="1" t="s">
        <v>3627</v>
      </c>
      <c r="D517" s="2">
        <f>+251922381917</f>
        <v>251922381917</v>
      </c>
      <c r="E517" s="1" t="s">
        <v>21</v>
      </c>
    </row>
    <row r="518">
      <c r="A518" s="1" t="s">
        <v>4107</v>
      </c>
      <c r="B518" s="1" t="s">
        <v>4108</v>
      </c>
      <c r="C518" s="1" t="s">
        <v>1966</v>
      </c>
      <c r="D518" s="2">
        <f>+251911126770</f>
        <v>251911126770</v>
      </c>
      <c r="E518" s="1" t="s">
        <v>21</v>
      </c>
    </row>
    <row r="519">
      <c r="A519" s="1" t="s">
        <v>4109</v>
      </c>
      <c r="B519" s="1" t="s">
        <v>483</v>
      </c>
      <c r="C519" s="1" t="s">
        <v>338</v>
      </c>
      <c r="D519" s="2">
        <f>+251911698503</f>
        <v>251911698503</v>
      </c>
      <c r="E519" s="1" t="s">
        <v>21</v>
      </c>
    </row>
    <row r="520">
      <c r="A520" s="1" t="s">
        <v>4110</v>
      </c>
      <c r="B520" s="1" t="s">
        <v>4111</v>
      </c>
      <c r="C520" s="1" t="s">
        <v>4112</v>
      </c>
      <c r="D520" s="2">
        <f>+251963064040</f>
        <v>251963064040</v>
      </c>
      <c r="E520" s="1" t="s">
        <v>21</v>
      </c>
    </row>
    <row r="521">
      <c r="A521" s="1" t="s">
        <v>4113</v>
      </c>
      <c r="B521" s="1" t="s">
        <v>4114</v>
      </c>
      <c r="C521" s="1" t="s">
        <v>3438</v>
      </c>
      <c r="D521" s="2">
        <f>+251911028828</f>
        <v>251911028828</v>
      </c>
      <c r="E521" s="1" t="s">
        <v>21</v>
      </c>
    </row>
    <row r="522">
      <c r="A522" s="1" t="s">
        <v>4115</v>
      </c>
      <c r="B522" s="1" t="s">
        <v>4116</v>
      </c>
      <c r="C522" s="1" t="s">
        <v>601</v>
      </c>
      <c r="D522" s="2">
        <f>+251935000317</f>
        <v>251935000317</v>
      </c>
      <c r="E522" s="1" t="s">
        <v>21</v>
      </c>
    </row>
    <row r="523">
      <c r="A523" s="1" t="s">
        <v>4117</v>
      </c>
      <c r="B523" s="1" t="s">
        <v>824</v>
      </c>
      <c r="C523" s="1" t="s">
        <v>237</v>
      </c>
      <c r="D523" s="1">
        <v>9.1816713E8</v>
      </c>
      <c r="E523" s="1" t="s">
        <v>21</v>
      </c>
    </row>
    <row r="524">
      <c r="A524" s="1" t="s">
        <v>4118</v>
      </c>
      <c r="B524" s="1" t="s">
        <v>4119</v>
      </c>
      <c r="C524" s="1" t="s">
        <v>1964</v>
      </c>
      <c r="D524" s="2">
        <f>+251943165195</f>
        <v>251943165195</v>
      </c>
      <c r="E524" s="1" t="s">
        <v>21</v>
      </c>
    </row>
    <row r="525">
      <c r="A525" s="1" t="s">
        <v>4120</v>
      </c>
      <c r="B525" s="1" t="s">
        <v>28</v>
      </c>
      <c r="C525" s="1" t="s">
        <v>4121</v>
      </c>
      <c r="D525" s="2">
        <f>+251920518542</f>
        <v>251920518542</v>
      </c>
      <c r="E525" s="1" t="s">
        <v>21</v>
      </c>
    </row>
    <row r="526">
      <c r="A526" s="1" t="s">
        <v>4122</v>
      </c>
      <c r="B526" s="1" t="s">
        <v>4123</v>
      </c>
      <c r="C526" s="1" t="s">
        <v>1851</v>
      </c>
      <c r="D526" s="2">
        <f>+251983777812</f>
        <v>251983777812</v>
      </c>
      <c r="E526" s="1" t="s">
        <v>21</v>
      </c>
    </row>
    <row r="527">
      <c r="A527" s="1" t="s">
        <v>4124</v>
      </c>
      <c r="B527" s="1" t="s">
        <v>693</v>
      </c>
      <c r="C527" s="1" t="s">
        <v>4125</v>
      </c>
      <c r="D527" s="2">
        <f>+251974439736</f>
        <v>251974439736</v>
      </c>
      <c r="E527" s="1" t="s">
        <v>21</v>
      </c>
    </row>
    <row r="528">
      <c r="A528" s="1" t="s">
        <v>4126</v>
      </c>
      <c r="B528" s="1" t="s">
        <v>4127</v>
      </c>
      <c r="C528" s="1" t="s">
        <v>1011</v>
      </c>
      <c r="D528" s="2">
        <f>+251912667222</f>
        <v>251912667222</v>
      </c>
      <c r="E528" s="1" t="s">
        <v>21</v>
      </c>
    </row>
    <row r="529">
      <c r="A529" s="1" t="s">
        <v>4128</v>
      </c>
      <c r="B529" s="1" t="s">
        <v>98</v>
      </c>
      <c r="C529" s="1" t="s">
        <v>4129</v>
      </c>
      <c r="D529" s="2">
        <f>+251926800895</f>
        <v>251926800895</v>
      </c>
      <c r="E529" s="1" t="s">
        <v>21</v>
      </c>
    </row>
    <row r="530">
      <c r="A530" s="1" t="s">
        <v>4130</v>
      </c>
      <c r="B530" s="1" t="s">
        <v>4131</v>
      </c>
      <c r="C530" s="1" t="s">
        <v>948</v>
      </c>
      <c r="D530" s="2">
        <f>+251937423321</f>
        <v>251937423321</v>
      </c>
      <c r="E530" s="1" t="s">
        <v>21</v>
      </c>
    </row>
    <row r="531">
      <c r="A531" s="1" t="s">
        <v>4132</v>
      </c>
      <c r="B531" s="1" t="s">
        <v>4133</v>
      </c>
      <c r="C531" s="1" t="s">
        <v>1187</v>
      </c>
      <c r="D531" s="2">
        <f>+251978483378</f>
        <v>251978483378</v>
      </c>
      <c r="E531" s="1" t="s">
        <v>21</v>
      </c>
    </row>
    <row r="532">
      <c r="A532" s="1" t="s">
        <v>4134</v>
      </c>
      <c r="B532" s="1" t="s">
        <v>623</v>
      </c>
      <c r="C532" s="1" t="s">
        <v>4135</v>
      </c>
      <c r="D532" s="2">
        <f>+251912835149</f>
        <v>251912835149</v>
      </c>
      <c r="E532" s="1" t="s">
        <v>21</v>
      </c>
    </row>
    <row r="533">
      <c r="A533" s="1" t="s">
        <v>4136</v>
      </c>
      <c r="B533" s="1" t="s">
        <v>929</v>
      </c>
      <c r="C533" s="1" t="s">
        <v>2245</v>
      </c>
      <c r="D533" s="2">
        <f>+251911453893</f>
        <v>251911453893</v>
      </c>
      <c r="E533" s="1" t="s">
        <v>21</v>
      </c>
    </row>
    <row r="534">
      <c r="A534" s="1" t="s">
        <v>4137</v>
      </c>
      <c r="B534" s="1" t="s">
        <v>67</v>
      </c>
      <c r="C534" s="1" t="s">
        <v>4138</v>
      </c>
      <c r="D534" s="1">
        <v>9.20749389E8</v>
      </c>
      <c r="E534" s="1" t="s">
        <v>21</v>
      </c>
    </row>
    <row r="535">
      <c r="A535" s="1" t="s">
        <v>4139</v>
      </c>
      <c r="B535" s="1" t="s">
        <v>4140</v>
      </c>
      <c r="C535" s="1" t="s">
        <v>4141</v>
      </c>
      <c r="D535" s="2">
        <f>+251978411350</f>
        <v>251978411350</v>
      </c>
      <c r="E535" s="1" t="s">
        <v>21</v>
      </c>
    </row>
    <row r="536">
      <c r="A536" s="1" t="s">
        <v>4142</v>
      </c>
      <c r="B536" s="1" t="s">
        <v>60</v>
      </c>
      <c r="C536" s="1" t="s">
        <v>443</v>
      </c>
      <c r="D536" s="2">
        <f>+251989775649</f>
        <v>251989775649</v>
      </c>
      <c r="E536" s="1" t="s">
        <v>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1069</v>
      </c>
      <c r="B2" s="1" t="s">
        <v>2236</v>
      </c>
      <c r="C2" s="1" t="s">
        <v>2237</v>
      </c>
      <c r="D2" s="1" t="s">
        <v>2238</v>
      </c>
      <c r="E2" s="2">
        <f>+251912873648</f>
        <v>251912873648</v>
      </c>
      <c r="F2" s="1" t="s">
        <v>33</v>
      </c>
      <c r="G2" s="1" t="s">
        <v>76</v>
      </c>
      <c r="H2" s="19" t="s">
        <v>4161</v>
      </c>
      <c r="I2" s="20" t="s">
        <v>4162</v>
      </c>
      <c r="J2" s="21"/>
      <c r="K2" s="19"/>
      <c r="L2" s="21"/>
      <c r="M2" s="21"/>
      <c r="N2" s="21"/>
      <c r="O2" s="21"/>
      <c r="P2" s="21"/>
      <c r="Q2" s="21"/>
      <c r="R2" s="21"/>
    </row>
    <row r="3">
      <c r="A3" s="18" t="s">
        <v>1069</v>
      </c>
      <c r="B3" s="1" t="s">
        <v>2723</v>
      </c>
      <c r="C3" s="1" t="s">
        <v>2724</v>
      </c>
      <c r="D3" s="1" t="s">
        <v>2725</v>
      </c>
      <c r="E3" s="2">
        <f>+251091836636</f>
        <v>251091836636</v>
      </c>
      <c r="F3" s="1" t="s">
        <v>26</v>
      </c>
      <c r="H3" s="19" t="s">
        <v>4161</v>
      </c>
      <c r="I3" s="20" t="s">
        <v>4163</v>
      </c>
      <c r="J3" s="19"/>
      <c r="K3" s="21"/>
      <c r="L3" s="19"/>
      <c r="M3" s="19"/>
      <c r="N3" s="21"/>
      <c r="O3" s="19"/>
      <c r="P3" s="19"/>
      <c r="Q3" s="19"/>
      <c r="R3" s="19"/>
    </row>
    <row r="4">
      <c r="A4" s="18" t="s">
        <v>1069</v>
      </c>
      <c r="B4" s="1" t="s">
        <v>2529</v>
      </c>
      <c r="C4" s="1" t="s">
        <v>909</v>
      </c>
      <c r="D4" s="1" t="s">
        <v>2530</v>
      </c>
      <c r="E4" s="2">
        <f>+251949228446</f>
        <v>251949228446</v>
      </c>
      <c r="F4" s="1" t="s">
        <v>26</v>
      </c>
      <c r="H4" s="19" t="s">
        <v>4161</v>
      </c>
      <c r="I4" s="20" t="s">
        <v>4164</v>
      </c>
      <c r="J4" s="19" t="s">
        <v>4165</v>
      </c>
      <c r="K4" s="19"/>
      <c r="L4" s="19" t="s">
        <v>4166</v>
      </c>
      <c r="M4" s="19" t="s">
        <v>4165</v>
      </c>
      <c r="N4" s="21"/>
      <c r="O4" s="19" t="s">
        <v>4167</v>
      </c>
      <c r="P4" s="19" t="s">
        <v>4168</v>
      </c>
      <c r="Q4" s="19" t="s">
        <v>4165</v>
      </c>
      <c r="R4" s="19" t="s">
        <v>4169</v>
      </c>
      <c r="S4" s="1" t="s">
        <v>4170</v>
      </c>
    </row>
    <row r="5">
      <c r="A5" s="18" t="s">
        <v>1069</v>
      </c>
      <c r="B5" s="1" t="s">
        <v>2544</v>
      </c>
      <c r="C5" s="1" t="s">
        <v>420</v>
      </c>
      <c r="D5" s="1" t="s">
        <v>2545</v>
      </c>
      <c r="E5" s="2">
        <f>+251953163836</f>
        <v>251953163836</v>
      </c>
      <c r="F5" s="1" t="s">
        <v>26</v>
      </c>
      <c r="H5" s="19" t="s">
        <v>4161</v>
      </c>
      <c r="I5" s="20" t="s">
        <v>4164</v>
      </c>
      <c r="J5" s="19" t="s">
        <v>4165</v>
      </c>
      <c r="K5" s="19"/>
      <c r="L5" s="19" t="s">
        <v>4166</v>
      </c>
      <c r="M5" s="19" t="s">
        <v>4165</v>
      </c>
      <c r="N5" s="21"/>
      <c r="O5" s="19" t="s">
        <v>4167</v>
      </c>
      <c r="P5" s="19" t="s">
        <v>4168</v>
      </c>
      <c r="Q5" s="19" t="s">
        <v>4165</v>
      </c>
      <c r="R5" s="19" t="s">
        <v>4169</v>
      </c>
      <c r="S5" s="1" t="s">
        <v>4171</v>
      </c>
    </row>
    <row r="6">
      <c r="A6" s="18" t="s">
        <v>1069</v>
      </c>
      <c r="B6" s="1" t="s">
        <v>2550</v>
      </c>
      <c r="C6" s="1" t="s">
        <v>2551</v>
      </c>
      <c r="D6" s="1" t="s">
        <v>2245</v>
      </c>
      <c r="E6" s="2">
        <f>+251911623603</f>
        <v>251911623603</v>
      </c>
      <c r="F6" s="1" t="s">
        <v>26</v>
      </c>
      <c r="H6" s="19" t="s">
        <v>4161</v>
      </c>
      <c r="I6" s="20" t="s">
        <v>4164</v>
      </c>
      <c r="J6" s="19" t="s">
        <v>4165</v>
      </c>
      <c r="K6" s="19"/>
      <c r="L6" s="19" t="s">
        <v>4166</v>
      </c>
      <c r="M6" s="19" t="s">
        <v>4165</v>
      </c>
      <c r="N6" s="21"/>
      <c r="O6" s="19" t="s">
        <v>4167</v>
      </c>
      <c r="P6" s="19" t="s">
        <v>4168</v>
      </c>
      <c r="Q6" s="19" t="s">
        <v>4165</v>
      </c>
      <c r="R6" s="19" t="s">
        <v>4169</v>
      </c>
      <c r="S6" s="1" t="s">
        <v>4170</v>
      </c>
    </row>
    <row r="7">
      <c r="A7" s="18" t="s">
        <v>1069</v>
      </c>
      <c r="B7" s="1" t="s">
        <v>2610</v>
      </c>
      <c r="C7" s="1" t="s">
        <v>2611</v>
      </c>
      <c r="D7" s="1" t="s">
        <v>2612</v>
      </c>
      <c r="E7" s="2">
        <f>+251985222886</f>
        <v>251985222886</v>
      </c>
      <c r="F7" s="1" t="s">
        <v>26</v>
      </c>
      <c r="H7" s="19" t="s">
        <v>4161</v>
      </c>
      <c r="I7" s="20" t="s">
        <v>4164</v>
      </c>
      <c r="J7" s="19" t="s">
        <v>4165</v>
      </c>
      <c r="K7" s="19"/>
      <c r="L7" s="19" t="s">
        <v>4172</v>
      </c>
      <c r="M7" s="19" t="s">
        <v>4165</v>
      </c>
      <c r="N7" s="21"/>
      <c r="O7" s="19" t="s">
        <v>4172</v>
      </c>
      <c r="P7" s="19" t="s">
        <v>4173</v>
      </c>
      <c r="Q7" s="19" t="s">
        <v>4165</v>
      </c>
      <c r="R7" s="19" t="s">
        <v>4174</v>
      </c>
      <c r="S7" s="1" t="s">
        <v>4175</v>
      </c>
    </row>
    <row r="8">
      <c r="A8" s="18" t="s">
        <v>1069</v>
      </c>
      <c r="B8" s="1" t="s">
        <v>2665</v>
      </c>
      <c r="C8" s="1" t="s">
        <v>295</v>
      </c>
      <c r="D8" s="1" t="s">
        <v>338</v>
      </c>
      <c r="E8" s="2">
        <f>+251906119818</f>
        <v>251906119818</v>
      </c>
      <c r="F8" s="1" t="s">
        <v>26</v>
      </c>
      <c r="H8" s="19" t="s">
        <v>4161</v>
      </c>
      <c r="I8" s="20" t="s">
        <v>4164</v>
      </c>
      <c r="J8" s="19" t="s">
        <v>4165</v>
      </c>
      <c r="K8" s="19"/>
      <c r="L8" s="19" t="s">
        <v>4176</v>
      </c>
      <c r="M8" s="19" t="s">
        <v>4165</v>
      </c>
      <c r="N8" s="21"/>
      <c r="O8" s="19" t="s">
        <v>4177</v>
      </c>
      <c r="P8" s="19" t="s">
        <v>4178</v>
      </c>
      <c r="Q8" s="19" t="s">
        <v>4165</v>
      </c>
      <c r="R8" s="19" t="s">
        <v>4179</v>
      </c>
      <c r="S8" s="1" t="s">
        <v>4180</v>
      </c>
    </row>
    <row r="9">
      <c r="A9" s="18" t="s">
        <v>1069</v>
      </c>
      <c r="B9" s="1" t="s">
        <v>2672</v>
      </c>
      <c r="C9" s="1" t="s">
        <v>612</v>
      </c>
      <c r="D9" s="1" t="s">
        <v>1566</v>
      </c>
      <c r="E9" s="2">
        <f>+251900620983</f>
        <v>251900620983</v>
      </c>
      <c r="F9" s="1" t="s">
        <v>26</v>
      </c>
      <c r="H9" s="19" t="s">
        <v>4161</v>
      </c>
      <c r="I9" s="20" t="s">
        <v>4164</v>
      </c>
      <c r="J9" s="19" t="s">
        <v>4181</v>
      </c>
      <c r="K9" s="19" t="s">
        <v>4182</v>
      </c>
      <c r="L9" s="19" t="s">
        <v>4183</v>
      </c>
      <c r="M9" s="19" t="s">
        <v>4165</v>
      </c>
      <c r="N9" s="21"/>
      <c r="O9" s="19" t="s">
        <v>4184</v>
      </c>
      <c r="P9" s="19" t="s">
        <v>4185</v>
      </c>
      <c r="Q9" s="19" t="s">
        <v>4165</v>
      </c>
      <c r="R9" s="19" t="s">
        <v>4179</v>
      </c>
      <c r="S9" s="1" t="s">
        <v>4186</v>
      </c>
    </row>
    <row r="10">
      <c r="A10" s="18" t="s">
        <v>1069</v>
      </c>
      <c r="B10" s="1" t="s">
        <v>2686</v>
      </c>
      <c r="C10" s="1" t="s">
        <v>2687</v>
      </c>
      <c r="D10" s="1" t="s">
        <v>2688</v>
      </c>
      <c r="E10" s="2">
        <f>+251954554548</f>
        <v>251954554548</v>
      </c>
      <c r="F10" s="1" t="s">
        <v>26</v>
      </c>
      <c r="H10" s="19" t="s">
        <v>4161</v>
      </c>
      <c r="I10" s="20" t="s">
        <v>4164</v>
      </c>
      <c r="J10" s="19" t="s">
        <v>4181</v>
      </c>
      <c r="K10" s="19"/>
      <c r="L10" s="19" t="s">
        <v>4183</v>
      </c>
      <c r="M10" s="19" t="s">
        <v>4165</v>
      </c>
      <c r="N10" s="21"/>
      <c r="O10" s="19" t="s">
        <v>4184</v>
      </c>
      <c r="P10" s="19" t="s">
        <v>4173</v>
      </c>
      <c r="Q10" s="19" t="s">
        <v>4165</v>
      </c>
      <c r="R10" s="19" t="s">
        <v>4179</v>
      </c>
      <c r="S10" s="1" t="s">
        <v>4186</v>
      </c>
    </row>
    <row r="11">
      <c r="A11" s="18" t="s">
        <v>1069</v>
      </c>
      <c r="B11" s="1" t="s">
        <v>2708</v>
      </c>
      <c r="C11" s="1" t="s">
        <v>2709</v>
      </c>
      <c r="D11" s="1" t="s">
        <v>2710</v>
      </c>
      <c r="E11" s="2">
        <f>+251977490113</f>
        <v>251977490113</v>
      </c>
      <c r="F11" s="1" t="s">
        <v>26</v>
      </c>
      <c r="H11" s="19" t="s">
        <v>4161</v>
      </c>
      <c r="I11" s="20" t="s">
        <v>4164</v>
      </c>
      <c r="J11" s="19" t="s">
        <v>4165</v>
      </c>
      <c r="K11" s="19" t="s">
        <v>4187</v>
      </c>
      <c r="L11" s="19"/>
      <c r="M11" s="19"/>
      <c r="N11" s="21"/>
      <c r="O11" s="19"/>
      <c r="P11" s="19"/>
      <c r="Q11" s="19"/>
      <c r="R11" s="19" t="s">
        <v>4188</v>
      </c>
    </row>
    <row r="12">
      <c r="A12" s="18" t="s">
        <v>1069</v>
      </c>
      <c r="B12" s="1" t="s">
        <v>2736</v>
      </c>
      <c r="C12" s="1" t="s">
        <v>2737</v>
      </c>
      <c r="D12" s="1" t="s">
        <v>2738</v>
      </c>
      <c r="E12" s="2">
        <f>+251977568381</f>
        <v>251977568381</v>
      </c>
      <c r="F12" s="1" t="s">
        <v>26</v>
      </c>
      <c r="H12" s="19" t="s">
        <v>4161</v>
      </c>
      <c r="I12" s="20" t="s">
        <v>4164</v>
      </c>
      <c r="J12" s="19" t="s">
        <v>4165</v>
      </c>
      <c r="K12" s="19"/>
      <c r="L12" s="19" t="s">
        <v>4166</v>
      </c>
      <c r="M12" s="19" t="s">
        <v>4165</v>
      </c>
      <c r="N12" s="21"/>
      <c r="O12" s="19" t="s">
        <v>4167</v>
      </c>
      <c r="P12" s="19" t="s">
        <v>4168</v>
      </c>
      <c r="Q12" s="19" t="s">
        <v>4165</v>
      </c>
      <c r="R12" s="19" t="s">
        <v>4169</v>
      </c>
    </row>
    <row r="13">
      <c r="A13" s="18" t="s">
        <v>1069</v>
      </c>
      <c r="B13" s="1" t="s">
        <v>2747</v>
      </c>
      <c r="C13" s="1" t="s">
        <v>2748</v>
      </c>
      <c r="D13" s="1" t="s">
        <v>102</v>
      </c>
      <c r="E13" s="2">
        <f>+251929529172</f>
        <v>251929529172</v>
      </c>
      <c r="F13" s="1" t="s">
        <v>26</v>
      </c>
      <c r="H13" s="19" t="s">
        <v>4161</v>
      </c>
      <c r="I13" s="20" t="s">
        <v>4164</v>
      </c>
      <c r="J13" s="19" t="s">
        <v>4165</v>
      </c>
      <c r="K13" s="19" t="s">
        <v>4189</v>
      </c>
      <c r="L13" s="19" t="s">
        <v>4176</v>
      </c>
      <c r="M13" s="19" t="s">
        <v>4165</v>
      </c>
      <c r="N13" s="21"/>
      <c r="O13" s="19" t="s">
        <v>4184</v>
      </c>
      <c r="P13" s="19" t="s">
        <v>4185</v>
      </c>
      <c r="Q13" s="19" t="s">
        <v>4165</v>
      </c>
      <c r="R13" s="19" t="s">
        <v>4190</v>
      </c>
    </row>
    <row r="14">
      <c r="A14" s="18" t="s">
        <v>1069</v>
      </c>
      <c r="B14" s="1" t="s">
        <v>2763</v>
      </c>
      <c r="C14" s="1" t="s">
        <v>2764</v>
      </c>
      <c r="D14" s="1" t="s">
        <v>2765</v>
      </c>
      <c r="E14" s="2">
        <f>+251927457364</f>
        <v>251927457364</v>
      </c>
      <c r="F14" s="1" t="s">
        <v>26</v>
      </c>
      <c r="H14" s="19" t="s">
        <v>4161</v>
      </c>
      <c r="I14" s="20" t="s">
        <v>4164</v>
      </c>
      <c r="J14" s="19" t="s">
        <v>4165</v>
      </c>
      <c r="K14" s="19" t="s">
        <v>4191</v>
      </c>
      <c r="L14" s="19"/>
      <c r="M14" s="19"/>
      <c r="N14" s="21"/>
      <c r="O14" s="19"/>
      <c r="P14" s="19"/>
      <c r="Q14" s="19"/>
      <c r="R14" s="19" t="s">
        <v>4192</v>
      </c>
      <c r="S14" s="1" t="s">
        <v>4193</v>
      </c>
    </row>
    <row r="15">
      <c r="A15" s="18" t="s">
        <v>1069</v>
      </c>
      <c r="B15" s="1" t="s">
        <v>2847</v>
      </c>
      <c r="C15" s="1" t="s">
        <v>2848</v>
      </c>
      <c r="D15" s="1" t="s">
        <v>2849</v>
      </c>
      <c r="E15" s="2">
        <f>+251926686636</f>
        <v>251926686636</v>
      </c>
      <c r="F15" s="1" t="s">
        <v>26</v>
      </c>
      <c r="H15" s="19" t="s">
        <v>4161</v>
      </c>
      <c r="I15" s="20" t="s">
        <v>4164</v>
      </c>
      <c r="J15" s="19" t="s">
        <v>4165</v>
      </c>
      <c r="K15" s="19" t="s">
        <v>4194</v>
      </c>
      <c r="L15" s="19" t="s">
        <v>4166</v>
      </c>
      <c r="M15" s="19" t="s">
        <v>4165</v>
      </c>
      <c r="N15" s="21"/>
      <c r="O15" s="19" t="s">
        <v>4184</v>
      </c>
      <c r="P15" s="19" t="s">
        <v>4168</v>
      </c>
      <c r="Q15" s="19" t="s">
        <v>4165</v>
      </c>
      <c r="R15" s="19" t="s">
        <v>4195</v>
      </c>
    </row>
    <row r="16">
      <c r="A16" s="18" t="s">
        <v>1069</v>
      </c>
      <c r="B16" s="1" t="s">
        <v>2876</v>
      </c>
      <c r="C16" s="1" t="s">
        <v>2160</v>
      </c>
      <c r="D16" s="1" t="s">
        <v>2877</v>
      </c>
      <c r="E16" s="2">
        <f>+251920900425</f>
        <v>251920900425</v>
      </c>
      <c r="F16" s="1" t="s">
        <v>26</v>
      </c>
      <c r="H16" s="19" t="s">
        <v>4161</v>
      </c>
      <c r="I16" s="20" t="s">
        <v>4164</v>
      </c>
      <c r="J16" s="19" t="s">
        <v>4165</v>
      </c>
      <c r="K16" s="19" t="s">
        <v>4196</v>
      </c>
      <c r="L16" s="19"/>
      <c r="M16" s="19"/>
      <c r="N16" s="21"/>
      <c r="O16" s="19"/>
      <c r="P16" s="19"/>
      <c r="Q16" s="19"/>
      <c r="R16" s="19" t="s">
        <v>4192</v>
      </c>
      <c r="S16" s="1" t="s">
        <v>4197</v>
      </c>
    </row>
    <row r="17">
      <c r="A17" s="18" t="s">
        <v>1069</v>
      </c>
      <c r="B17" s="1" t="s">
        <v>2919</v>
      </c>
      <c r="C17" s="1" t="s">
        <v>2491</v>
      </c>
      <c r="D17" s="1" t="s">
        <v>376</v>
      </c>
      <c r="E17" s="2">
        <f>+251938222680</f>
        <v>251938222680</v>
      </c>
      <c r="F17" s="1" t="s">
        <v>26</v>
      </c>
      <c r="H17" s="19" t="s">
        <v>4161</v>
      </c>
      <c r="I17" s="20" t="s">
        <v>4164</v>
      </c>
      <c r="J17" s="19" t="s">
        <v>4165</v>
      </c>
      <c r="K17" s="19" t="s">
        <v>4198</v>
      </c>
      <c r="L17" s="19" t="s">
        <v>4199</v>
      </c>
      <c r="M17" s="19" t="s">
        <v>4165</v>
      </c>
      <c r="N17" s="21"/>
      <c r="O17" s="19" t="s">
        <v>4184</v>
      </c>
      <c r="P17" s="19" t="s">
        <v>4185</v>
      </c>
      <c r="Q17" s="19" t="s">
        <v>4165</v>
      </c>
      <c r="R17" s="19" t="s">
        <v>4179</v>
      </c>
    </row>
    <row r="18">
      <c r="A18" s="18" t="s">
        <v>1069</v>
      </c>
      <c r="B18" s="1" t="s">
        <v>2933</v>
      </c>
      <c r="C18" s="1" t="s">
        <v>2934</v>
      </c>
      <c r="D18" s="1" t="s">
        <v>2935</v>
      </c>
      <c r="E18" s="2">
        <f>+251917801084</f>
        <v>251917801084</v>
      </c>
      <c r="F18" s="1" t="s">
        <v>26</v>
      </c>
      <c r="H18" s="19" t="s">
        <v>4161</v>
      </c>
      <c r="I18" s="20" t="s">
        <v>4164</v>
      </c>
      <c r="J18" s="19" t="s">
        <v>4165</v>
      </c>
      <c r="K18" s="19" t="s">
        <v>4200</v>
      </c>
      <c r="L18" s="19" t="s">
        <v>4199</v>
      </c>
      <c r="M18" s="19" t="s">
        <v>4165</v>
      </c>
      <c r="N18" s="21"/>
      <c r="O18" s="19" t="s">
        <v>4184</v>
      </c>
      <c r="P18" s="19" t="s">
        <v>4185</v>
      </c>
      <c r="Q18" s="19" t="s">
        <v>4165</v>
      </c>
      <c r="R18" s="19" t="s">
        <v>4179</v>
      </c>
    </row>
    <row r="19">
      <c r="A19" s="18" t="s">
        <v>1069</v>
      </c>
      <c r="B19" s="1" t="s">
        <v>2976</v>
      </c>
      <c r="C19" s="1" t="s">
        <v>483</v>
      </c>
      <c r="D19" s="1" t="s">
        <v>363</v>
      </c>
      <c r="E19" s="2">
        <f>+251941143250</f>
        <v>251941143250</v>
      </c>
      <c r="F19" s="1" t="s">
        <v>26</v>
      </c>
      <c r="H19" s="19" t="s">
        <v>4161</v>
      </c>
      <c r="I19" s="20" t="s">
        <v>4164</v>
      </c>
      <c r="J19" s="19" t="s">
        <v>4165</v>
      </c>
      <c r="K19" s="19" t="s">
        <v>4194</v>
      </c>
      <c r="L19" s="19" t="s">
        <v>4176</v>
      </c>
      <c r="M19" s="19" t="s">
        <v>4165</v>
      </c>
      <c r="N19" s="21"/>
      <c r="O19" s="19" t="s">
        <v>4184</v>
      </c>
      <c r="P19" s="19" t="s">
        <v>4185</v>
      </c>
      <c r="Q19" s="19" t="s">
        <v>4165</v>
      </c>
      <c r="R19" s="19" t="s">
        <v>4190</v>
      </c>
    </row>
    <row r="20">
      <c r="A20" s="18" t="s">
        <v>1069</v>
      </c>
      <c r="B20" s="1" t="s">
        <v>3007</v>
      </c>
      <c r="C20" s="1" t="s">
        <v>2842</v>
      </c>
      <c r="D20" s="1" t="s">
        <v>3008</v>
      </c>
      <c r="E20" s="2">
        <f>+251911739956</f>
        <v>251911739956</v>
      </c>
      <c r="F20" s="1" t="s">
        <v>26</v>
      </c>
      <c r="H20" s="19" t="s">
        <v>4161</v>
      </c>
      <c r="I20" s="20" t="s">
        <v>4164</v>
      </c>
      <c r="J20" s="19" t="s">
        <v>4165</v>
      </c>
      <c r="K20" s="19" t="s">
        <v>4198</v>
      </c>
      <c r="L20" s="19" t="s">
        <v>4176</v>
      </c>
      <c r="M20" s="19" t="s">
        <v>4165</v>
      </c>
      <c r="N20" s="21"/>
      <c r="O20" s="19" t="s">
        <v>4184</v>
      </c>
      <c r="P20" s="19" t="s">
        <v>4185</v>
      </c>
      <c r="Q20" s="19" t="s">
        <v>4165</v>
      </c>
      <c r="R20" s="19" t="s">
        <v>4179</v>
      </c>
    </row>
    <row r="21">
      <c r="A21" s="18" t="s">
        <v>1069</v>
      </c>
      <c r="B21" s="1" t="s">
        <v>3020</v>
      </c>
      <c r="C21" s="1" t="s">
        <v>3021</v>
      </c>
      <c r="D21" s="1" t="s">
        <v>3022</v>
      </c>
      <c r="E21" s="2">
        <f>+251920318265</f>
        <v>251920318265</v>
      </c>
      <c r="F21" s="1" t="s">
        <v>26</v>
      </c>
      <c r="H21" s="19" t="s">
        <v>4161</v>
      </c>
      <c r="I21" s="20" t="s">
        <v>4164</v>
      </c>
      <c r="J21" s="19" t="s">
        <v>4165</v>
      </c>
      <c r="K21" s="19"/>
      <c r="L21" s="19" t="s">
        <v>4172</v>
      </c>
      <c r="M21" s="19" t="s">
        <v>4165</v>
      </c>
      <c r="N21" s="21"/>
      <c r="O21" s="19" t="s">
        <v>4172</v>
      </c>
      <c r="P21" s="19" t="s">
        <v>4173</v>
      </c>
      <c r="Q21" s="19" t="s">
        <v>4165</v>
      </c>
      <c r="R21" s="19" t="s">
        <v>4174</v>
      </c>
    </row>
    <row r="22">
      <c r="A22" s="18" t="s">
        <v>1069</v>
      </c>
      <c r="B22" s="1" t="s">
        <v>3057</v>
      </c>
      <c r="C22" s="1" t="s">
        <v>867</v>
      </c>
      <c r="D22" s="1" t="s">
        <v>3058</v>
      </c>
      <c r="E22" s="1">
        <v>9.10270843E8</v>
      </c>
      <c r="F22" s="1" t="s">
        <v>26</v>
      </c>
      <c r="H22" s="19" t="s">
        <v>4161</v>
      </c>
      <c r="I22" s="20" t="s">
        <v>4164</v>
      </c>
      <c r="J22" s="19" t="s">
        <v>4165</v>
      </c>
      <c r="K22" s="19"/>
      <c r="L22" s="19" t="s">
        <v>4166</v>
      </c>
      <c r="M22" s="19" t="s">
        <v>4165</v>
      </c>
      <c r="N22" s="21"/>
      <c r="O22" s="19" t="s">
        <v>4167</v>
      </c>
      <c r="P22" s="19" t="s">
        <v>4168</v>
      </c>
      <c r="Q22" s="19" t="s">
        <v>4165</v>
      </c>
      <c r="R22" s="19" t="s">
        <v>4169</v>
      </c>
      <c r="S22" s="1" t="s">
        <v>4170</v>
      </c>
    </row>
    <row r="23">
      <c r="A23" s="18" t="s">
        <v>1069</v>
      </c>
      <c r="B23" s="1" t="s">
        <v>3063</v>
      </c>
      <c r="C23" s="1" t="s">
        <v>3064</v>
      </c>
      <c r="D23" s="1" t="s">
        <v>3065</v>
      </c>
      <c r="E23" s="2">
        <f>+251973151295</f>
        <v>251973151295</v>
      </c>
      <c r="F23" s="1" t="s">
        <v>26</v>
      </c>
      <c r="H23" s="19" t="s">
        <v>4161</v>
      </c>
      <c r="I23" s="20" t="s">
        <v>4164</v>
      </c>
      <c r="J23" s="19" t="s">
        <v>4165</v>
      </c>
      <c r="K23" s="19" t="s">
        <v>4201</v>
      </c>
      <c r="L23" s="19" t="s">
        <v>4199</v>
      </c>
      <c r="M23" s="19" t="s">
        <v>4165</v>
      </c>
      <c r="N23" s="21"/>
      <c r="O23" s="19" t="s">
        <v>4184</v>
      </c>
      <c r="P23" s="19" t="s">
        <v>4185</v>
      </c>
      <c r="Q23" s="19" t="s">
        <v>4165</v>
      </c>
      <c r="R23" s="19" t="s">
        <v>4179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18" t="s">
        <v>1069</v>
      </c>
      <c r="B24" s="1" t="s">
        <v>3085</v>
      </c>
      <c r="C24" s="1" t="s">
        <v>3086</v>
      </c>
      <c r="D24" s="1" t="s">
        <v>3087</v>
      </c>
      <c r="E24" s="2">
        <f>+251924343455</f>
        <v>251924343455</v>
      </c>
      <c r="F24" s="1" t="s">
        <v>26</v>
      </c>
      <c r="H24" s="19" t="s">
        <v>4161</v>
      </c>
      <c r="I24" s="20" t="s">
        <v>4164</v>
      </c>
      <c r="J24" s="19" t="s">
        <v>4165</v>
      </c>
      <c r="K24" s="19" t="s">
        <v>4202</v>
      </c>
      <c r="L24" s="19" t="s">
        <v>4176</v>
      </c>
      <c r="M24" s="19" t="s">
        <v>4165</v>
      </c>
      <c r="N24" s="21"/>
      <c r="O24" s="19" t="s">
        <v>4184</v>
      </c>
      <c r="P24" s="19" t="s">
        <v>4168</v>
      </c>
      <c r="Q24" s="19" t="s">
        <v>4165</v>
      </c>
      <c r="R24" s="19" t="s">
        <v>4190</v>
      </c>
    </row>
    <row r="25">
      <c r="A25" s="18" t="s">
        <v>1069</v>
      </c>
      <c r="B25" s="1" t="s">
        <v>3090</v>
      </c>
      <c r="C25" s="1" t="s">
        <v>432</v>
      </c>
      <c r="D25" s="1" t="s">
        <v>3091</v>
      </c>
      <c r="E25" s="2">
        <f>+251916048022</f>
        <v>251916048022</v>
      </c>
      <c r="F25" s="1" t="s">
        <v>26</v>
      </c>
      <c r="H25" s="19" t="s">
        <v>4161</v>
      </c>
      <c r="I25" s="20" t="s">
        <v>4164</v>
      </c>
      <c r="J25" s="19" t="s">
        <v>4165</v>
      </c>
      <c r="K25" s="19" t="s">
        <v>4203</v>
      </c>
      <c r="L25" s="19" t="s">
        <v>4176</v>
      </c>
      <c r="M25" s="19" t="s">
        <v>4165</v>
      </c>
      <c r="N25" s="21"/>
      <c r="O25" s="19" t="s">
        <v>4184</v>
      </c>
      <c r="P25" s="19" t="s">
        <v>4168</v>
      </c>
      <c r="Q25" s="19" t="s">
        <v>4165</v>
      </c>
      <c r="R25" s="19" t="s">
        <v>4179</v>
      </c>
    </row>
    <row r="26">
      <c r="A26" s="18" t="s">
        <v>1069</v>
      </c>
      <c r="B26" s="1" t="s">
        <v>3126</v>
      </c>
      <c r="C26" s="1" t="s">
        <v>16</v>
      </c>
      <c r="D26" s="1" t="s">
        <v>601</v>
      </c>
      <c r="E26" s="2">
        <f>+251974239507</f>
        <v>251974239507</v>
      </c>
      <c r="F26" s="1" t="s">
        <v>26</v>
      </c>
      <c r="H26" s="19" t="s">
        <v>4161</v>
      </c>
      <c r="I26" s="20" t="s">
        <v>4164</v>
      </c>
      <c r="J26" s="19" t="s">
        <v>4165</v>
      </c>
      <c r="K26" s="21"/>
      <c r="L26" s="19" t="s">
        <v>4172</v>
      </c>
      <c r="M26" s="19" t="s">
        <v>4165</v>
      </c>
      <c r="N26" s="21"/>
      <c r="O26" s="19" t="s">
        <v>4172</v>
      </c>
      <c r="P26" s="19" t="s">
        <v>4173</v>
      </c>
      <c r="Q26" s="19" t="s">
        <v>4165</v>
      </c>
      <c r="R26" s="19" t="s">
        <v>4174</v>
      </c>
    </row>
    <row r="27">
      <c r="A27" s="18" t="s">
        <v>1069</v>
      </c>
      <c r="B27" s="1" t="s">
        <v>2203</v>
      </c>
      <c r="C27" s="1" t="s">
        <v>2204</v>
      </c>
      <c r="D27" s="1" t="s">
        <v>829</v>
      </c>
      <c r="E27" s="2">
        <f>+251913634104</f>
        <v>251913634104</v>
      </c>
      <c r="F27" s="1" t="s">
        <v>33</v>
      </c>
      <c r="G27" s="1" t="s">
        <v>76</v>
      </c>
      <c r="H27" s="19" t="s">
        <v>4161</v>
      </c>
      <c r="I27" s="20" t="s">
        <v>4164</v>
      </c>
      <c r="J27" s="19" t="s">
        <v>4165</v>
      </c>
      <c r="K27" s="19" t="s">
        <v>4203</v>
      </c>
      <c r="L27" s="19" t="s">
        <v>4176</v>
      </c>
      <c r="M27" s="19" t="s">
        <v>4165</v>
      </c>
      <c r="N27" s="21"/>
      <c r="O27" s="19" t="s">
        <v>4184</v>
      </c>
      <c r="P27" s="19" t="s">
        <v>4168</v>
      </c>
      <c r="Q27" s="19" t="s">
        <v>4165</v>
      </c>
      <c r="R27" s="19" t="s">
        <v>4179</v>
      </c>
    </row>
    <row r="28">
      <c r="A28" s="18" t="s">
        <v>1069</v>
      </c>
      <c r="B28" s="1" t="s">
        <v>2228</v>
      </c>
      <c r="C28" s="1" t="s">
        <v>152</v>
      </c>
      <c r="D28" s="1" t="s">
        <v>2229</v>
      </c>
      <c r="E28" s="2">
        <f>+251930926317</f>
        <v>251930926317</v>
      </c>
      <c r="F28" s="1" t="s">
        <v>33</v>
      </c>
      <c r="G28" s="1" t="s">
        <v>177</v>
      </c>
      <c r="H28" s="19" t="s">
        <v>4161</v>
      </c>
      <c r="I28" s="20" t="s">
        <v>4164</v>
      </c>
      <c r="J28" s="19" t="s">
        <v>4165</v>
      </c>
      <c r="K28" s="19" t="s">
        <v>4198</v>
      </c>
      <c r="L28" s="19" t="s">
        <v>4199</v>
      </c>
      <c r="M28" s="19" t="s">
        <v>4165</v>
      </c>
      <c r="N28" s="21"/>
      <c r="O28" s="19" t="s">
        <v>4184</v>
      </c>
      <c r="P28" s="19" t="s">
        <v>4185</v>
      </c>
      <c r="Q28" s="19" t="s">
        <v>4165</v>
      </c>
      <c r="R28" s="19" t="s">
        <v>4179</v>
      </c>
    </row>
    <row r="29">
      <c r="A29" s="18" t="s">
        <v>1069</v>
      </c>
      <c r="B29" s="1" t="s">
        <v>2272</v>
      </c>
      <c r="C29" s="1" t="s">
        <v>2273</v>
      </c>
      <c r="D29" s="1" t="s">
        <v>2041</v>
      </c>
      <c r="E29" s="2">
        <f>+251913888197</f>
        <v>251913888197</v>
      </c>
      <c r="F29" s="1" t="s">
        <v>33</v>
      </c>
      <c r="G29" s="1" t="s">
        <v>65</v>
      </c>
      <c r="H29" s="19" t="s">
        <v>4161</v>
      </c>
      <c r="I29" s="20" t="s">
        <v>4164</v>
      </c>
      <c r="J29" s="19" t="s">
        <v>4165</v>
      </c>
      <c r="K29" s="21"/>
      <c r="L29" s="19" t="s">
        <v>4172</v>
      </c>
      <c r="M29" s="19" t="s">
        <v>4165</v>
      </c>
      <c r="N29" s="21"/>
      <c r="O29" s="19" t="s">
        <v>4172</v>
      </c>
      <c r="P29" s="19" t="s">
        <v>4173</v>
      </c>
      <c r="Q29" s="19" t="s">
        <v>4165</v>
      </c>
      <c r="R29" s="19" t="s">
        <v>4174</v>
      </c>
      <c r="S29" s="1" t="s">
        <v>4204</v>
      </c>
    </row>
    <row r="30">
      <c r="A30" s="18" t="s">
        <v>1069</v>
      </c>
      <c r="B30" s="1" t="s">
        <v>2292</v>
      </c>
      <c r="C30" s="1" t="s">
        <v>130</v>
      </c>
      <c r="D30" s="1" t="s">
        <v>2293</v>
      </c>
      <c r="E30" s="2">
        <f>+251917443845</f>
        <v>251917443845</v>
      </c>
      <c r="F30" s="1" t="s">
        <v>33</v>
      </c>
      <c r="G30" s="1" t="s">
        <v>235</v>
      </c>
      <c r="H30" s="19" t="s">
        <v>4161</v>
      </c>
      <c r="I30" s="20" t="s">
        <v>4164</v>
      </c>
      <c r="J30" s="19" t="s">
        <v>4165</v>
      </c>
      <c r="K30" s="19" t="s">
        <v>4202</v>
      </c>
      <c r="L30" s="19" t="s">
        <v>4176</v>
      </c>
      <c r="M30" s="19" t="s">
        <v>4165</v>
      </c>
      <c r="N30" s="21"/>
      <c r="O30" s="19" t="s">
        <v>4184</v>
      </c>
      <c r="P30" s="19" t="s">
        <v>4185</v>
      </c>
      <c r="Q30" s="19" t="s">
        <v>4165</v>
      </c>
      <c r="R30" s="19" t="s">
        <v>4190</v>
      </c>
    </row>
    <row r="31">
      <c r="A31" s="18" t="s">
        <v>1069</v>
      </c>
      <c r="B31" s="1" t="s">
        <v>2294</v>
      </c>
      <c r="C31" s="1" t="s">
        <v>96</v>
      </c>
      <c r="D31" s="1" t="s">
        <v>1794</v>
      </c>
      <c r="E31" s="2">
        <f>+251928491544</f>
        <v>251928491544</v>
      </c>
      <c r="F31" s="1" t="s">
        <v>33</v>
      </c>
      <c r="G31" s="1" t="s">
        <v>177</v>
      </c>
      <c r="H31" s="19" t="s">
        <v>4161</v>
      </c>
      <c r="I31" s="20" t="s">
        <v>4164</v>
      </c>
      <c r="J31" s="19" t="s">
        <v>4165</v>
      </c>
      <c r="K31" s="19" t="s">
        <v>4205</v>
      </c>
      <c r="L31" s="19" t="s">
        <v>4199</v>
      </c>
      <c r="M31" s="19" t="s">
        <v>4165</v>
      </c>
      <c r="N31" s="21"/>
      <c r="O31" s="19" t="s">
        <v>4184</v>
      </c>
      <c r="P31" s="19" t="s">
        <v>4185</v>
      </c>
      <c r="Q31" s="19" t="s">
        <v>4165</v>
      </c>
      <c r="R31" s="19" t="s">
        <v>4179</v>
      </c>
    </row>
    <row r="32">
      <c r="A32" s="18" t="s">
        <v>1069</v>
      </c>
      <c r="B32" s="1" t="s">
        <v>2302</v>
      </c>
      <c r="C32" s="1" t="s">
        <v>2303</v>
      </c>
      <c r="D32" s="1" t="s">
        <v>2304</v>
      </c>
      <c r="E32" s="2">
        <f>+251960818314</f>
        <v>251960818314</v>
      </c>
      <c r="F32" s="1" t="s">
        <v>33</v>
      </c>
      <c r="G32" s="1" t="s">
        <v>118</v>
      </c>
      <c r="H32" s="19" t="s">
        <v>4161</v>
      </c>
      <c r="I32" s="20" t="s">
        <v>4164</v>
      </c>
      <c r="J32" s="19" t="s">
        <v>4165</v>
      </c>
      <c r="K32" s="19" t="s">
        <v>4201</v>
      </c>
      <c r="L32" s="19" t="s">
        <v>4176</v>
      </c>
      <c r="M32" s="19" t="s">
        <v>4165</v>
      </c>
      <c r="N32" s="21"/>
      <c r="O32" s="19" t="s">
        <v>4184</v>
      </c>
      <c r="P32" s="19" t="s">
        <v>4185</v>
      </c>
      <c r="Q32" s="19" t="s">
        <v>4165</v>
      </c>
      <c r="R32" s="19" t="s">
        <v>4179</v>
      </c>
    </row>
    <row r="33">
      <c r="A33" s="18" t="s">
        <v>1069</v>
      </c>
      <c r="B33" s="1" t="s">
        <v>2310</v>
      </c>
      <c r="C33" s="1" t="s">
        <v>2311</v>
      </c>
      <c r="D33" s="1" t="s">
        <v>2312</v>
      </c>
      <c r="E33" s="2">
        <f>+251911416417</f>
        <v>251911416417</v>
      </c>
      <c r="F33" s="1" t="s">
        <v>33</v>
      </c>
      <c r="G33" s="1" t="s">
        <v>177</v>
      </c>
      <c r="H33" s="19" t="s">
        <v>4161</v>
      </c>
      <c r="I33" s="20" t="s">
        <v>4164</v>
      </c>
      <c r="J33" s="19" t="s">
        <v>4165</v>
      </c>
      <c r="K33" s="21"/>
      <c r="L33" s="19" t="s">
        <v>4172</v>
      </c>
      <c r="M33" s="19" t="s">
        <v>4165</v>
      </c>
      <c r="N33" s="21"/>
      <c r="O33" s="19" t="s">
        <v>4172</v>
      </c>
      <c r="P33" s="19" t="s">
        <v>4173</v>
      </c>
      <c r="Q33" s="19" t="s">
        <v>4165</v>
      </c>
      <c r="R33" s="19" t="s">
        <v>4174</v>
      </c>
    </row>
    <row r="34">
      <c r="A34" s="18" t="s">
        <v>1069</v>
      </c>
      <c r="B34" s="1" t="s">
        <v>2966</v>
      </c>
      <c r="C34" s="1" t="s">
        <v>2967</v>
      </c>
      <c r="D34" s="1" t="s">
        <v>2968</v>
      </c>
      <c r="E34" s="2">
        <f>+251919098569</f>
        <v>251919098569</v>
      </c>
      <c r="F34" s="1" t="s">
        <v>26</v>
      </c>
      <c r="H34" s="19" t="s">
        <v>4161</v>
      </c>
      <c r="I34" s="20" t="s">
        <v>4164</v>
      </c>
      <c r="J34" s="19" t="s">
        <v>4165</v>
      </c>
      <c r="K34" s="19"/>
      <c r="L34" s="19" t="s">
        <v>4166</v>
      </c>
      <c r="M34" s="19" t="s">
        <v>4165</v>
      </c>
      <c r="N34" s="21"/>
      <c r="O34" s="19" t="s">
        <v>4167</v>
      </c>
      <c r="P34" s="19" t="s">
        <v>4168</v>
      </c>
      <c r="Q34" s="19" t="s">
        <v>4165</v>
      </c>
      <c r="R34" s="19" t="s">
        <v>4206</v>
      </c>
    </row>
    <row r="35">
      <c r="A35" s="18" t="s">
        <v>1069</v>
      </c>
      <c r="B35" s="1" t="s">
        <v>2887</v>
      </c>
      <c r="C35" s="1" t="s">
        <v>91</v>
      </c>
      <c r="D35" s="1" t="s">
        <v>1185</v>
      </c>
      <c r="E35" s="2">
        <f>+251994950020</f>
        <v>251994950020</v>
      </c>
      <c r="F35" s="1" t="s">
        <v>26</v>
      </c>
      <c r="H35" s="19" t="s">
        <v>4161</v>
      </c>
      <c r="I35" s="20" t="s">
        <v>4207</v>
      </c>
      <c r="J35" s="19"/>
      <c r="K35" s="19"/>
      <c r="L35" s="19"/>
      <c r="M35" s="19"/>
      <c r="N35" s="21"/>
      <c r="O35" s="19"/>
      <c r="P35" s="19"/>
      <c r="Q35" s="19"/>
      <c r="R35" s="19"/>
    </row>
    <row r="36">
      <c r="A36" s="18" t="s">
        <v>1069</v>
      </c>
      <c r="B36" s="1" t="s">
        <v>2915</v>
      </c>
      <c r="C36" s="1" t="s">
        <v>1977</v>
      </c>
      <c r="D36" s="1" t="s">
        <v>2518</v>
      </c>
      <c r="E36" s="2">
        <f>+251943543673</f>
        <v>251943543673</v>
      </c>
      <c r="F36" s="1" t="s">
        <v>26</v>
      </c>
      <c r="H36" s="19" t="s">
        <v>4161</v>
      </c>
      <c r="I36" s="20" t="s">
        <v>4207</v>
      </c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18" t="s">
        <v>1069</v>
      </c>
      <c r="B37" s="1" t="s">
        <v>2951</v>
      </c>
      <c r="C37" s="1" t="s">
        <v>1958</v>
      </c>
      <c r="D37" s="1" t="s">
        <v>2952</v>
      </c>
      <c r="E37" s="2">
        <f>+251989112286</f>
        <v>251989112286</v>
      </c>
      <c r="F37" s="1" t="s">
        <v>26</v>
      </c>
      <c r="H37" s="19" t="s">
        <v>4161</v>
      </c>
      <c r="I37" s="20" t="s">
        <v>4207</v>
      </c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18" t="s">
        <v>1069</v>
      </c>
      <c r="B38" s="1" t="s">
        <v>3046</v>
      </c>
      <c r="C38" s="1" t="s">
        <v>3047</v>
      </c>
      <c r="D38" s="1" t="s">
        <v>3048</v>
      </c>
      <c r="E38" s="2">
        <f>+251983741397</f>
        <v>251983741397</v>
      </c>
      <c r="F38" s="1" t="s">
        <v>26</v>
      </c>
      <c r="H38" s="19" t="s">
        <v>4161</v>
      </c>
      <c r="I38" s="20" t="s">
        <v>4207</v>
      </c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18" t="s">
        <v>1069</v>
      </c>
      <c r="B39" s="1" t="s">
        <v>2209</v>
      </c>
      <c r="C39" s="1" t="s">
        <v>2210</v>
      </c>
      <c r="D39" s="1" t="s">
        <v>110</v>
      </c>
      <c r="E39" s="2">
        <f>+251931366327</f>
        <v>251931366327</v>
      </c>
      <c r="F39" s="1" t="s">
        <v>33</v>
      </c>
      <c r="G39" s="1" t="s">
        <v>235</v>
      </c>
      <c r="H39" s="19" t="s">
        <v>4161</v>
      </c>
      <c r="I39" s="20" t="s">
        <v>4207</v>
      </c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18" t="s">
        <v>1069</v>
      </c>
      <c r="B40" s="1" t="s">
        <v>2308</v>
      </c>
      <c r="C40" s="1" t="s">
        <v>2183</v>
      </c>
      <c r="D40" s="1" t="s">
        <v>148</v>
      </c>
      <c r="E40" s="2">
        <f>+251941421046</f>
        <v>251941421046</v>
      </c>
      <c r="F40" s="1" t="s">
        <v>33</v>
      </c>
      <c r="G40" s="1" t="s">
        <v>118</v>
      </c>
      <c r="H40" s="19" t="s">
        <v>4161</v>
      </c>
      <c r="I40" s="20" t="s">
        <v>4207</v>
      </c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18" t="s">
        <v>1069</v>
      </c>
      <c r="B41" s="1" t="s">
        <v>2309</v>
      </c>
      <c r="C41" s="1" t="s">
        <v>399</v>
      </c>
      <c r="D41" s="1" t="s">
        <v>238</v>
      </c>
      <c r="E41" s="2">
        <f>+251928818176</f>
        <v>251928818176</v>
      </c>
      <c r="F41" s="1" t="s">
        <v>33</v>
      </c>
      <c r="G41" s="1" t="s">
        <v>65</v>
      </c>
      <c r="H41" s="19" t="s">
        <v>4161</v>
      </c>
      <c r="I41" s="20" t="s">
        <v>4207</v>
      </c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18" t="s">
        <v>1069</v>
      </c>
      <c r="B42" s="1" t="s">
        <v>2627</v>
      </c>
      <c r="C42" s="1" t="s">
        <v>2628</v>
      </c>
      <c r="D42" s="1" t="s">
        <v>894</v>
      </c>
      <c r="E42" s="2">
        <f>+251923812650</f>
        <v>251923812650</v>
      </c>
      <c r="F42" s="1" t="s">
        <v>26</v>
      </c>
      <c r="H42" s="19" t="s">
        <v>4161</v>
      </c>
      <c r="I42" s="20" t="s">
        <v>4208</v>
      </c>
      <c r="J42" s="19"/>
      <c r="K42" s="19"/>
      <c r="L42" s="19"/>
      <c r="M42" s="19"/>
      <c r="N42" s="21"/>
      <c r="O42" s="19"/>
      <c r="P42" s="19"/>
      <c r="Q42" s="19"/>
      <c r="R42" s="19"/>
    </row>
    <row r="43">
      <c r="A43" s="18" t="s">
        <v>1069</v>
      </c>
      <c r="B43" s="1" t="s">
        <v>2634</v>
      </c>
      <c r="C43" s="1" t="s">
        <v>2635</v>
      </c>
      <c r="D43" s="1" t="s">
        <v>2636</v>
      </c>
      <c r="E43" s="2">
        <f>+251935748792</f>
        <v>251935748792</v>
      </c>
      <c r="F43" s="1" t="s">
        <v>26</v>
      </c>
      <c r="H43" s="19" t="s">
        <v>4161</v>
      </c>
      <c r="I43" s="20" t="s">
        <v>4208</v>
      </c>
      <c r="J43" s="19"/>
      <c r="K43" s="19"/>
      <c r="L43" s="19"/>
      <c r="M43" s="19"/>
      <c r="N43" s="21"/>
      <c r="O43" s="19"/>
      <c r="P43" s="19"/>
      <c r="Q43" s="19"/>
      <c r="R43" s="19"/>
    </row>
    <row r="44">
      <c r="A44" s="18" t="s">
        <v>1069</v>
      </c>
      <c r="B44" s="1" t="s">
        <v>2981</v>
      </c>
      <c r="C44" s="1" t="s">
        <v>1457</v>
      </c>
      <c r="D44" s="1" t="s">
        <v>1077</v>
      </c>
      <c r="E44" s="2">
        <f>+251925201933</f>
        <v>251925201933</v>
      </c>
      <c r="F44" s="1" t="s">
        <v>26</v>
      </c>
      <c r="H44" s="19" t="s">
        <v>4161</v>
      </c>
      <c r="I44" s="20" t="s">
        <v>4208</v>
      </c>
      <c r="J44" s="19"/>
      <c r="K44" s="21"/>
      <c r="L44" s="19"/>
      <c r="M44" s="19"/>
      <c r="N44" s="21"/>
      <c r="O44" s="19"/>
      <c r="P44" s="19"/>
      <c r="Q44" s="19"/>
      <c r="R44" s="19"/>
    </row>
    <row r="45">
      <c r="A45" s="18" t="s">
        <v>1069</v>
      </c>
      <c r="B45" s="1" t="s">
        <v>3066</v>
      </c>
      <c r="C45" s="1" t="s">
        <v>474</v>
      </c>
      <c r="D45" s="1" t="s">
        <v>3067</v>
      </c>
      <c r="E45" s="2">
        <f>+251916111311</f>
        <v>251916111311</v>
      </c>
      <c r="F45" s="1" t="s">
        <v>26</v>
      </c>
      <c r="H45" s="19" t="s">
        <v>4161</v>
      </c>
      <c r="I45" s="20" t="s">
        <v>4208</v>
      </c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18" t="s">
        <v>1069</v>
      </c>
      <c r="B46" s="1" t="s">
        <v>2178</v>
      </c>
      <c r="C46" s="1" t="s">
        <v>2179</v>
      </c>
      <c r="D46" s="1" t="s">
        <v>2180</v>
      </c>
      <c r="E46" s="2">
        <f>+251912181927</f>
        <v>251912181927</v>
      </c>
      <c r="F46" s="1" t="s">
        <v>33</v>
      </c>
      <c r="G46" s="1" t="s">
        <v>34</v>
      </c>
      <c r="H46" s="19" t="s">
        <v>4161</v>
      </c>
      <c r="I46" s="20" t="s">
        <v>4208</v>
      </c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18" t="s">
        <v>1069</v>
      </c>
      <c r="B47" s="1" t="s">
        <v>2219</v>
      </c>
      <c r="C47" s="1" t="s">
        <v>2220</v>
      </c>
      <c r="D47" s="1" t="s">
        <v>2221</v>
      </c>
      <c r="E47" s="2">
        <f>+251943334736</f>
        <v>251943334736</v>
      </c>
      <c r="F47" s="1" t="s">
        <v>33</v>
      </c>
      <c r="G47" s="1" t="s">
        <v>177</v>
      </c>
      <c r="H47" s="19" t="s">
        <v>4161</v>
      </c>
      <c r="I47" s="20" t="s">
        <v>4208</v>
      </c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18" t="s">
        <v>1069</v>
      </c>
      <c r="B48" s="1" t="s">
        <v>2253</v>
      </c>
      <c r="C48" s="1" t="s">
        <v>303</v>
      </c>
      <c r="D48" s="1" t="s">
        <v>2254</v>
      </c>
      <c r="E48" s="1">
        <v>9.39268519E8</v>
      </c>
      <c r="F48" s="1" t="s">
        <v>33</v>
      </c>
      <c r="G48" s="1" t="s">
        <v>65</v>
      </c>
      <c r="H48" s="19" t="s">
        <v>4161</v>
      </c>
      <c r="I48" s="20" t="s">
        <v>4208</v>
      </c>
      <c r="J48" s="21"/>
      <c r="K48" s="19"/>
      <c r="L48" s="21"/>
      <c r="M48" s="21"/>
      <c r="N48" s="21"/>
      <c r="O48" s="21"/>
      <c r="P48" s="21"/>
      <c r="Q48" s="21"/>
      <c r="R48" s="21"/>
    </row>
    <row r="49">
      <c r="A49" s="18" t="s">
        <v>1069</v>
      </c>
      <c r="B49" s="1" t="s">
        <v>2265</v>
      </c>
      <c r="C49" s="1" t="s">
        <v>2266</v>
      </c>
      <c r="D49" s="1" t="s">
        <v>2267</v>
      </c>
      <c r="E49" s="2">
        <f>+251942627000</f>
        <v>251942627000</v>
      </c>
      <c r="F49" s="1" t="s">
        <v>33</v>
      </c>
      <c r="G49" s="1" t="s">
        <v>118</v>
      </c>
      <c r="H49" s="19" t="s">
        <v>4161</v>
      </c>
      <c r="I49" s="20" t="s">
        <v>4208</v>
      </c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18" t="s">
        <v>1069</v>
      </c>
      <c r="B50" s="1" t="s">
        <v>2279</v>
      </c>
      <c r="C50" s="1" t="s">
        <v>2280</v>
      </c>
      <c r="D50" s="1" t="s">
        <v>2281</v>
      </c>
      <c r="E50" s="2">
        <f>+251913567228</f>
        <v>251913567228</v>
      </c>
      <c r="F50" s="1" t="s">
        <v>33</v>
      </c>
      <c r="G50" s="1" t="s">
        <v>65</v>
      </c>
      <c r="H50" s="19" t="s">
        <v>4161</v>
      </c>
      <c r="I50" s="20" t="s">
        <v>4208</v>
      </c>
      <c r="J50" s="19"/>
      <c r="K50" s="21"/>
      <c r="L50" s="21"/>
      <c r="M50" s="21"/>
      <c r="N50" s="21"/>
      <c r="O50" s="21"/>
      <c r="P50" s="21"/>
      <c r="Q50" s="21"/>
      <c r="R50" s="21"/>
    </row>
    <row r="51">
      <c r="A51" s="18" t="s">
        <v>1069</v>
      </c>
      <c r="B51" s="1" t="s">
        <v>2945</v>
      </c>
      <c r="C51" s="1" t="s">
        <v>1068</v>
      </c>
      <c r="D51" s="1" t="s">
        <v>929</v>
      </c>
      <c r="E51" s="2">
        <f>+251911279665</f>
        <v>251911279665</v>
      </c>
      <c r="F51" s="1" t="s">
        <v>26</v>
      </c>
      <c r="H51" s="19" t="s">
        <v>4161</v>
      </c>
      <c r="I51" s="20" t="s">
        <v>4209</v>
      </c>
      <c r="J51" s="19"/>
      <c r="K51" s="19"/>
      <c r="L51" s="21"/>
      <c r="M51" s="21"/>
      <c r="N51" s="21"/>
      <c r="O51" s="21"/>
      <c r="P51" s="21"/>
      <c r="Q51" s="21"/>
      <c r="R51" s="19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0.75"/>
    <col customWidth="1" min="10" max="10" width="14.88"/>
    <col customWidth="1" min="11" max="11" width="13.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1157</v>
      </c>
      <c r="B2" s="1" t="s">
        <v>2487</v>
      </c>
      <c r="C2" s="1" t="s">
        <v>188</v>
      </c>
      <c r="D2" s="1" t="s">
        <v>2017</v>
      </c>
      <c r="E2" s="2">
        <f>+251251984529882</f>
        <v>251251984529882</v>
      </c>
      <c r="F2" s="1" t="s">
        <v>33</v>
      </c>
      <c r="G2" s="1" t="s">
        <v>166</v>
      </c>
      <c r="H2" s="19" t="s">
        <v>4161</v>
      </c>
      <c r="I2" s="20" t="s">
        <v>4162</v>
      </c>
      <c r="J2" s="19" t="s">
        <v>4165</v>
      </c>
      <c r="K2" s="19"/>
      <c r="L2" s="19" t="s">
        <v>4166</v>
      </c>
      <c r="M2" s="19" t="s">
        <v>4165</v>
      </c>
      <c r="N2" s="21"/>
      <c r="O2" s="19" t="s">
        <v>4167</v>
      </c>
      <c r="P2" s="19" t="s">
        <v>4168</v>
      </c>
      <c r="Q2" s="19" t="s">
        <v>4165</v>
      </c>
      <c r="R2" s="19" t="s">
        <v>4169</v>
      </c>
    </row>
    <row r="3">
      <c r="A3" s="22" t="s">
        <v>1157</v>
      </c>
      <c r="B3" s="1" t="s">
        <v>2418</v>
      </c>
      <c r="C3" s="1" t="s">
        <v>1128</v>
      </c>
      <c r="D3" s="1" t="s">
        <v>768</v>
      </c>
      <c r="E3" s="2">
        <f>+251921948431</f>
        <v>251921948431</v>
      </c>
      <c r="F3" s="1" t="s">
        <v>33</v>
      </c>
      <c r="G3" s="1" t="s">
        <v>235</v>
      </c>
      <c r="H3" s="19" t="s">
        <v>4161</v>
      </c>
      <c r="I3" s="20" t="s">
        <v>4164</v>
      </c>
      <c r="J3" s="19" t="s">
        <v>4181</v>
      </c>
      <c r="K3" s="19"/>
      <c r="L3" s="19" t="s">
        <v>4176</v>
      </c>
      <c r="M3" s="19" t="s">
        <v>4165</v>
      </c>
      <c r="N3" s="21"/>
      <c r="O3" s="19" t="s">
        <v>4184</v>
      </c>
      <c r="P3" s="19" t="s">
        <v>4178</v>
      </c>
      <c r="Q3" s="19" t="s">
        <v>4165</v>
      </c>
      <c r="R3" s="19" t="s">
        <v>4179</v>
      </c>
    </row>
    <row r="4">
      <c r="A4" s="22" t="s">
        <v>1157</v>
      </c>
      <c r="B4" s="1" t="s">
        <v>2325</v>
      </c>
      <c r="C4" s="1" t="s">
        <v>2326</v>
      </c>
      <c r="D4" s="1" t="s">
        <v>2327</v>
      </c>
      <c r="E4" s="2">
        <f>+251939531281</f>
        <v>251939531281</v>
      </c>
      <c r="F4" s="1" t="s">
        <v>33</v>
      </c>
      <c r="G4" s="1" t="s">
        <v>65</v>
      </c>
      <c r="H4" s="19" t="s">
        <v>4161</v>
      </c>
      <c r="I4" s="20" t="s">
        <v>4164</v>
      </c>
      <c r="J4" s="19" t="s">
        <v>4181</v>
      </c>
      <c r="K4" s="19"/>
      <c r="L4" s="19" t="s">
        <v>4199</v>
      </c>
      <c r="M4" s="19" t="s">
        <v>4165</v>
      </c>
      <c r="N4" s="21"/>
      <c r="O4" s="19" t="s">
        <v>4184</v>
      </c>
      <c r="P4" s="19" t="s">
        <v>4178</v>
      </c>
      <c r="Q4" s="19" t="s">
        <v>4165</v>
      </c>
      <c r="R4" s="19" t="s">
        <v>4179</v>
      </c>
    </row>
    <row r="5">
      <c r="A5" s="22" t="s">
        <v>1157</v>
      </c>
      <c r="B5" s="1" t="s">
        <v>2441</v>
      </c>
      <c r="C5" s="1" t="s">
        <v>435</v>
      </c>
      <c r="D5" s="1" t="s">
        <v>829</v>
      </c>
      <c r="E5" s="2">
        <f>+251976589565</f>
        <v>251976589565</v>
      </c>
      <c r="F5" s="1" t="s">
        <v>33</v>
      </c>
      <c r="G5" s="1" t="s">
        <v>166</v>
      </c>
      <c r="H5" s="19" t="s">
        <v>4161</v>
      </c>
      <c r="I5" s="20" t="s">
        <v>4164</v>
      </c>
      <c r="J5" s="19" t="s">
        <v>4181</v>
      </c>
      <c r="K5" s="19"/>
      <c r="L5" s="19" t="s">
        <v>4199</v>
      </c>
      <c r="M5" s="19" t="s">
        <v>4165</v>
      </c>
      <c r="N5" s="21"/>
      <c r="O5" s="19" t="s">
        <v>4184</v>
      </c>
      <c r="P5" s="19" t="s">
        <v>4178</v>
      </c>
      <c r="Q5" s="19" t="s">
        <v>4165</v>
      </c>
      <c r="R5" s="19" t="s">
        <v>4179</v>
      </c>
    </row>
    <row r="6">
      <c r="A6" s="22" t="s">
        <v>1157</v>
      </c>
      <c r="B6" s="1" t="s">
        <v>2357</v>
      </c>
      <c r="C6" s="1" t="s">
        <v>98</v>
      </c>
      <c r="D6" s="1" t="s">
        <v>2358</v>
      </c>
      <c r="E6" s="2">
        <f>+251985655267</f>
        <v>251985655267</v>
      </c>
      <c r="F6" s="1" t="s">
        <v>33</v>
      </c>
      <c r="G6" s="1" t="s">
        <v>34</v>
      </c>
      <c r="H6" s="19" t="s">
        <v>4161</v>
      </c>
      <c r="I6" s="20" t="s">
        <v>4164</v>
      </c>
      <c r="J6" s="19" t="s">
        <v>4165</v>
      </c>
      <c r="K6" s="19" t="s">
        <v>4210</v>
      </c>
      <c r="L6" s="19" t="s">
        <v>4176</v>
      </c>
      <c r="M6" s="19" t="s">
        <v>4165</v>
      </c>
      <c r="N6" s="21"/>
      <c r="O6" s="19" t="s">
        <v>4184</v>
      </c>
      <c r="P6" s="19" t="s">
        <v>4178</v>
      </c>
      <c r="Q6" s="19" t="s">
        <v>4165</v>
      </c>
      <c r="R6" s="19" t="s">
        <v>4190</v>
      </c>
    </row>
    <row r="7">
      <c r="A7" s="22" t="s">
        <v>1157</v>
      </c>
      <c r="B7" s="1" t="s">
        <v>2394</v>
      </c>
      <c r="C7" s="1" t="s">
        <v>2395</v>
      </c>
      <c r="D7" s="1" t="s">
        <v>2396</v>
      </c>
      <c r="E7" s="2">
        <f>+251942600001</f>
        <v>251942600001</v>
      </c>
      <c r="F7" s="1" t="s">
        <v>33</v>
      </c>
      <c r="G7" s="1" t="s">
        <v>65</v>
      </c>
      <c r="H7" s="19" t="s">
        <v>4161</v>
      </c>
      <c r="I7" s="20" t="s">
        <v>4164</v>
      </c>
      <c r="J7" s="19" t="s">
        <v>4165</v>
      </c>
      <c r="K7" s="19" t="s">
        <v>4210</v>
      </c>
      <c r="L7" s="19" t="s">
        <v>4176</v>
      </c>
      <c r="M7" s="19" t="s">
        <v>4165</v>
      </c>
      <c r="N7" s="21"/>
      <c r="O7" s="19" t="s">
        <v>4184</v>
      </c>
      <c r="P7" s="19" t="s">
        <v>4178</v>
      </c>
      <c r="Q7" s="19" t="s">
        <v>4165</v>
      </c>
      <c r="R7" s="19" t="s">
        <v>4179</v>
      </c>
    </row>
    <row r="8">
      <c r="A8" s="22" t="s">
        <v>1157</v>
      </c>
      <c r="B8" s="1" t="s">
        <v>2398</v>
      </c>
      <c r="C8" s="1" t="s">
        <v>250</v>
      </c>
      <c r="D8" s="1" t="s">
        <v>2399</v>
      </c>
      <c r="E8" s="2">
        <f>+251983225745</f>
        <v>251983225745</v>
      </c>
      <c r="F8" s="1" t="s">
        <v>33</v>
      </c>
      <c r="G8" s="1" t="s">
        <v>177</v>
      </c>
      <c r="H8" s="19" t="s">
        <v>4161</v>
      </c>
      <c r="I8" s="20" t="s">
        <v>4164</v>
      </c>
      <c r="J8" s="19" t="s">
        <v>4165</v>
      </c>
      <c r="K8" s="19" t="s">
        <v>4210</v>
      </c>
      <c r="L8" s="19" t="s">
        <v>4176</v>
      </c>
      <c r="M8" s="19" t="s">
        <v>4165</v>
      </c>
      <c r="N8" s="21"/>
      <c r="O8" s="19" t="s">
        <v>4184</v>
      </c>
      <c r="P8" s="19" t="s">
        <v>4178</v>
      </c>
      <c r="Q8" s="19" t="s">
        <v>4165</v>
      </c>
      <c r="R8" s="19" t="s">
        <v>4179</v>
      </c>
    </row>
    <row r="9">
      <c r="A9" s="22" t="s">
        <v>1157</v>
      </c>
      <c r="B9" s="1" t="s">
        <v>2475</v>
      </c>
      <c r="C9" s="1" t="s">
        <v>2167</v>
      </c>
      <c r="D9" s="1" t="s">
        <v>2476</v>
      </c>
      <c r="E9" s="2">
        <f>+251969865483</f>
        <v>251969865483</v>
      </c>
      <c r="F9" s="1" t="s">
        <v>33</v>
      </c>
      <c r="G9" s="1" t="s">
        <v>34</v>
      </c>
      <c r="H9" s="19" t="s">
        <v>4161</v>
      </c>
      <c r="I9" s="20" t="s">
        <v>4164</v>
      </c>
      <c r="J9" s="19" t="s">
        <v>4165</v>
      </c>
      <c r="K9" s="19" t="s">
        <v>4210</v>
      </c>
      <c r="L9" s="19" t="s">
        <v>4176</v>
      </c>
      <c r="M9" s="19" t="s">
        <v>4165</v>
      </c>
      <c r="N9" s="21"/>
      <c r="O9" s="19" t="s">
        <v>4184</v>
      </c>
      <c r="P9" s="19" t="s">
        <v>4178</v>
      </c>
      <c r="Q9" s="19" t="s">
        <v>4165</v>
      </c>
      <c r="R9" s="19" t="s">
        <v>4190</v>
      </c>
    </row>
    <row r="10">
      <c r="A10" s="22" t="s">
        <v>1157</v>
      </c>
      <c r="B10" s="1" t="s">
        <v>2504</v>
      </c>
      <c r="C10" s="1" t="s">
        <v>28</v>
      </c>
      <c r="D10" s="1" t="s">
        <v>2505</v>
      </c>
      <c r="E10" s="2">
        <f>+251955223706</f>
        <v>251955223706</v>
      </c>
      <c r="F10" s="1" t="s">
        <v>33</v>
      </c>
      <c r="G10" s="1" t="s">
        <v>166</v>
      </c>
      <c r="H10" s="19" t="s">
        <v>4161</v>
      </c>
      <c r="I10" s="20" t="s">
        <v>4164</v>
      </c>
      <c r="J10" s="19" t="s">
        <v>4165</v>
      </c>
      <c r="K10" s="19" t="s">
        <v>4211</v>
      </c>
      <c r="L10" s="19" t="s">
        <v>4176</v>
      </c>
      <c r="M10" s="19" t="s">
        <v>4165</v>
      </c>
      <c r="N10" s="21"/>
      <c r="O10" s="19" t="s">
        <v>4184</v>
      </c>
      <c r="P10" s="19" t="s">
        <v>4178</v>
      </c>
      <c r="Q10" s="19" t="s">
        <v>4165</v>
      </c>
      <c r="R10" s="19" t="s">
        <v>4190</v>
      </c>
    </row>
    <row r="11">
      <c r="A11" s="22" t="s">
        <v>1157</v>
      </c>
      <c r="B11" s="1" t="s">
        <v>2514</v>
      </c>
      <c r="C11" s="1" t="s">
        <v>272</v>
      </c>
      <c r="D11" s="1" t="s">
        <v>2515</v>
      </c>
      <c r="E11" s="2">
        <f>+251953749290</f>
        <v>251953749290</v>
      </c>
      <c r="F11" s="1" t="s">
        <v>33</v>
      </c>
      <c r="G11" s="1" t="s">
        <v>177</v>
      </c>
      <c r="H11" s="19" t="s">
        <v>4161</v>
      </c>
      <c r="I11" s="20" t="s">
        <v>4164</v>
      </c>
      <c r="J11" s="19" t="s">
        <v>4165</v>
      </c>
      <c r="K11" s="19" t="s">
        <v>4212</v>
      </c>
      <c r="L11" s="19" t="s">
        <v>4176</v>
      </c>
      <c r="M11" s="19" t="s">
        <v>4165</v>
      </c>
      <c r="N11" s="21"/>
      <c r="O11" s="19" t="s">
        <v>4184</v>
      </c>
      <c r="P11" s="19" t="s">
        <v>4178</v>
      </c>
      <c r="Q11" s="19" t="s">
        <v>4165</v>
      </c>
      <c r="R11" s="19" t="s">
        <v>4179</v>
      </c>
    </row>
    <row r="12">
      <c r="A12" s="22" t="s">
        <v>1157</v>
      </c>
      <c r="B12" s="1" t="s">
        <v>2535</v>
      </c>
      <c r="C12" s="1" t="s">
        <v>1675</v>
      </c>
      <c r="D12" s="1" t="s">
        <v>2536</v>
      </c>
      <c r="E12" s="2">
        <f>+251949293693</f>
        <v>251949293693</v>
      </c>
      <c r="F12" s="1" t="s">
        <v>33</v>
      </c>
      <c r="G12" s="1" t="s">
        <v>65</v>
      </c>
      <c r="H12" s="19" t="s">
        <v>4161</v>
      </c>
      <c r="I12" s="20" t="s">
        <v>4164</v>
      </c>
      <c r="J12" s="19" t="s">
        <v>4165</v>
      </c>
      <c r="K12" s="19" t="s">
        <v>4212</v>
      </c>
      <c r="L12" s="19" t="s">
        <v>4176</v>
      </c>
      <c r="M12" s="19" t="s">
        <v>4165</v>
      </c>
      <c r="N12" s="21"/>
      <c r="O12" s="19" t="s">
        <v>4184</v>
      </c>
      <c r="P12" s="19" t="s">
        <v>4178</v>
      </c>
      <c r="Q12" s="19" t="s">
        <v>4165</v>
      </c>
      <c r="R12" s="19" t="s">
        <v>4190</v>
      </c>
    </row>
    <row r="13">
      <c r="A13" s="22" t="s">
        <v>1157</v>
      </c>
      <c r="B13" s="1" t="s">
        <v>2537</v>
      </c>
      <c r="C13" s="1" t="s">
        <v>527</v>
      </c>
      <c r="D13" s="1" t="s">
        <v>2538</v>
      </c>
      <c r="E13" s="2">
        <f>+251964189321</f>
        <v>251964189321</v>
      </c>
      <c r="F13" s="1" t="s">
        <v>33</v>
      </c>
      <c r="G13" s="1" t="s">
        <v>76</v>
      </c>
      <c r="H13" s="19" t="s">
        <v>4161</v>
      </c>
      <c r="I13" s="20" t="s">
        <v>4164</v>
      </c>
      <c r="J13" s="19" t="s">
        <v>4165</v>
      </c>
      <c r="K13" s="19" t="s">
        <v>4212</v>
      </c>
      <c r="L13" s="19" t="s">
        <v>4176</v>
      </c>
      <c r="M13" s="19" t="s">
        <v>4165</v>
      </c>
      <c r="N13" s="21"/>
      <c r="O13" s="19" t="s">
        <v>4184</v>
      </c>
      <c r="P13" s="19" t="s">
        <v>4178</v>
      </c>
      <c r="Q13" s="19" t="s">
        <v>4165</v>
      </c>
      <c r="R13" s="19" t="s">
        <v>4190</v>
      </c>
    </row>
    <row r="14">
      <c r="A14" s="22" t="s">
        <v>1157</v>
      </c>
      <c r="B14" s="1" t="s">
        <v>2559</v>
      </c>
      <c r="C14" s="1" t="s">
        <v>483</v>
      </c>
      <c r="D14" s="1" t="s">
        <v>2498</v>
      </c>
      <c r="E14" s="2">
        <f>+251983023286</f>
        <v>251983023286</v>
      </c>
      <c r="F14" s="1" t="s">
        <v>33</v>
      </c>
      <c r="G14" s="1" t="s">
        <v>118</v>
      </c>
      <c r="H14" s="19" t="s">
        <v>4161</v>
      </c>
      <c r="I14" s="20" t="s">
        <v>4164</v>
      </c>
      <c r="J14" s="19" t="s">
        <v>4165</v>
      </c>
      <c r="K14" s="19" t="s">
        <v>4213</v>
      </c>
      <c r="L14" s="19" t="s">
        <v>4176</v>
      </c>
      <c r="M14" s="19" t="s">
        <v>4165</v>
      </c>
      <c r="N14" s="21"/>
      <c r="O14" s="19" t="s">
        <v>4184</v>
      </c>
      <c r="P14" s="19" t="s">
        <v>4178</v>
      </c>
      <c r="Q14" s="19" t="s">
        <v>4165</v>
      </c>
      <c r="R14" s="19" t="s">
        <v>4179</v>
      </c>
    </row>
    <row r="15">
      <c r="A15" s="22" t="s">
        <v>1157</v>
      </c>
      <c r="B15" s="1" t="s">
        <v>2599</v>
      </c>
      <c r="C15" s="1" t="s">
        <v>2600</v>
      </c>
      <c r="D15" s="1" t="s">
        <v>2601</v>
      </c>
      <c r="E15" s="2">
        <f>+251914485187</f>
        <v>251914485187</v>
      </c>
      <c r="F15" s="1" t="s">
        <v>33</v>
      </c>
      <c r="G15" s="1" t="s">
        <v>177</v>
      </c>
      <c r="H15" s="19" t="s">
        <v>4161</v>
      </c>
      <c r="I15" s="20" t="s">
        <v>4164</v>
      </c>
      <c r="J15" s="19" t="s">
        <v>4165</v>
      </c>
      <c r="K15" s="19" t="s">
        <v>4212</v>
      </c>
      <c r="L15" s="19" t="s">
        <v>4176</v>
      </c>
      <c r="M15" s="19" t="s">
        <v>4165</v>
      </c>
      <c r="N15" s="21"/>
      <c r="O15" s="19" t="s">
        <v>4184</v>
      </c>
      <c r="P15" s="19" t="s">
        <v>4178</v>
      </c>
      <c r="Q15" s="19" t="s">
        <v>4165</v>
      </c>
      <c r="R15" s="19" t="s">
        <v>4179</v>
      </c>
    </row>
    <row r="16">
      <c r="A16" s="22" t="s">
        <v>1157</v>
      </c>
      <c r="B16" s="1" t="s">
        <v>2339</v>
      </c>
      <c r="C16" s="1" t="s">
        <v>2340</v>
      </c>
      <c r="D16" s="1" t="s">
        <v>545</v>
      </c>
      <c r="E16" s="2">
        <f>+251967734919</f>
        <v>251967734919</v>
      </c>
      <c r="F16" s="1" t="s">
        <v>33</v>
      </c>
      <c r="G16" s="1" t="s">
        <v>65</v>
      </c>
      <c r="H16" s="19" t="s">
        <v>4161</v>
      </c>
      <c r="I16" s="20" t="s">
        <v>4164</v>
      </c>
      <c r="J16" s="19" t="s">
        <v>4165</v>
      </c>
      <c r="K16" s="19" t="s">
        <v>4214</v>
      </c>
      <c r="L16" s="19" t="s">
        <v>4166</v>
      </c>
      <c r="M16" s="19" t="s">
        <v>4165</v>
      </c>
      <c r="N16" s="21"/>
      <c r="O16" s="19" t="s">
        <v>4167</v>
      </c>
      <c r="P16" s="19" t="s">
        <v>4168</v>
      </c>
      <c r="Q16" s="19" t="s">
        <v>4165</v>
      </c>
      <c r="R16" s="19" t="s">
        <v>4169</v>
      </c>
    </row>
    <row r="17">
      <c r="A17" s="22" t="s">
        <v>1157</v>
      </c>
      <c r="B17" s="1" t="s">
        <v>2349</v>
      </c>
      <c r="C17" s="1" t="s">
        <v>171</v>
      </c>
      <c r="D17" s="1" t="s">
        <v>2350</v>
      </c>
      <c r="E17" s="2">
        <f>+251913444164</f>
        <v>251913444164</v>
      </c>
      <c r="F17" s="1" t="s">
        <v>33</v>
      </c>
      <c r="G17" s="1" t="s">
        <v>76</v>
      </c>
      <c r="H17" s="19" t="s">
        <v>4161</v>
      </c>
      <c r="I17" s="20" t="s">
        <v>4164</v>
      </c>
      <c r="J17" s="19" t="s">
        <v>4165</v>
      </c>
      <c r="K17" s="19" t="s">
        <v>4214</v>
      </c>
      <c r="L17" s="19" t="s">
        <v>4166</v>
      </c>
      <c r="M17" s="19" t="s">
        <v>4165</v>
      </c>
      <c r="N17" s="21"/>
      <c r="O17" s="19" t="s">
        <v>4167</v>
      </c>
      <c r="P17" s="19" t="s">
        <v>4168</v>
      </c>
      <c r="Q17" s="19" t="s">
        <v>4165</v>
      </c>
      <c r="R17" s="19" t="s">
        <v>4169</v>
      </c>
    </row>
    <row r="18">
      <c r="A18" s="22" t="s">
        <v>1157</v>
      </c>
      <c r="B18" s="1" t="s">
        <v>2359</v>
      </c>
      <c r="C18" s="1" t="s">
        <v>1446</v>
      </c>
      <c r="D18" s="1" t="s">
        <v>108</v>
      </c>
      <c r="E18" s="2">
        <f>+251987993606</f>
        <v>251987993606</v>
      </c>
      <c r="F18" s="1" t="s">
        <v>33</v>
      </c>
      <c r="G18" s="1" t="s">
        <v>34</v>
      </c>
      <c r="H18" s="19" t="s">
        <v>4161</v>
      </c>
      <c r="I18" s="20" t="s">
        <v>4164</v>
      </c>
      <c r="J18" s="19" t="s">
        <v>4165</v>
      </c>
      <c r="K18" s="19" t="s">
        <v>4214</v>
      </c>
      <c r="L18" s="19" t="s">
        <v>4166</v>
      </c>
      <c r="M18" s="19" t="s">
        <v>4165</v>
      </c>
      <c r="N18" s="21"/>
      <c r="O18" s="19" t="s">
        <v>4167</v>
      </c>
      <c r="P18" s="19" t="s">
        <v>4168</v>
      </c>
      <c r="Q18" s="19" t="s">
        <v>4165</v>
      </c>
      <c r="R18" s="19" t="s">
        <v>4206</v>
      </c>
    </row>
    <row r="19">
      <c r="A19" s="22" t="s">
        <v>1157</v>
      </c>
      <c r="B19" s="1" t="s">
        <v>2362</v>
      </c>
      <c r="C19" s="1" t="s">
        <v>1105</v>
      </c>
      <c r="D19" s="1" t="s">
        <v>2363</v>
      </c>
      <c r="E19" s="1">
        <v>9.38642121E8</v>
      </c>
      <c r="F19" s="1" t="s">
        <v>33</v>
      </c>
      <c r="G19" s="1" t="s">
        <v>76</v>
      </c>
      <c r="H19" s="19" t="s">
        <v>4161</v>
      </c>
      <c r="I19" s="20" t="s">
        <v>4164</v>
      </c>
      <c r="J19" s="19" t="s">
        <v>4165</v>
      </c>
      <c r="K19" s="19" t="s">
        <v>4215</v>
      </c>
      <c r="L19" s="19" t="s">
        <v>4166</v>
      </c>
      <c r="M19" s="19" t="s">
        <v>4165</v>
      </c>
      <c r="N19" s="21"/>
      <c r="O19" s="19" t="s">
        <v>4167</v>
      </c>
      <c r="P19" s="19" t="s">
        <v>4168</v>
      </c>
      <c r="Q19" s="19" t="s">
        <v>4165</v>
      </c>
      <c r="R19" s="19" t="s">
        <v>4195</v>
      </c>
    </row>
    <row r="20">
      <c r="A20" s="22" t="s">
        <v>1157</v>
      </c>
      <c r="B20" s="1" t="s">
        <v>2377</v>
      </c>
      <c r="C20" s="1" t="s">
        <v>1651</v>
      </c>
      <c r="D20" s="1" t="s">
        <v>2378</v>
      </c>
      <c r="E20" s="2">
        <f>+251913289348</f>
        <v>251913289348</v>
      </c>
      <c r="F20" s="1" t="s">
        <v>33</v>
      </c>
      <c r="G20" s="1" t="s">
        <v>34</v>
      </c>
      <c r="H20" s="19" t="s">
        <v>4161</v>
      </c>
      <c r="I20" s="20" t="s">
        <v>4164</v>
      </c>
      <c r="J20" s="19" t="s">
        <v>4165</v>
      </c>
      <c r="K20" s="19" t="s">
        <v>4215</v>
      </c>
      <c r="L20" s="19" t="s">
        <v>4166</v>
      </c>
      <c r="M20" s="19" t="s">
        <v>4165</v>
      </c>
      <c r="N20" s="21"/>
      <c r="O20" s="19" t="s">
        <v>4167</v>
      </c>
      <c r="P20" s="19" t="s">
        <v>4168</v>
      </c>
      <c r="Q20" s="19" t="s">
        <v>4165</v>
      </c>
      <c r="R20" s="19" t="s">
        <v>4195</v>
      </c>
    </row>
    <row r="21">
      <c r="A21" s="22" t="s">
        <v>1157</v>
      </c>
      <c r="B21" s="1" t="s">
        <v>2426</v>
      </c>
      <c r="C21" s="1" t="s">
        <v>1961</v>
      </c>
      <c r="D21" s="1" t="s">
        <v>2427</v>
      </c>
      <c r="E21" s="2">
        <f>+251947968735</f>
        <v>251947968735</v>
      </c>
      <c r="F21" s="1" t="s">
        <v>33</v>
      </c>
      <c r="G21" s="1" t="s">
        <v>166</v>
      </c>
      <c r="H21" s="19" t="s">
        <v>4161</v>
      </c>
      <c r="I21" s="20" t="s">
        <v>4164</v>
      </c>
      <c r="J21" s="19" t="s">
        <v>4165</v>
      </c>
      <c r="K21" s="19" t="s">
        <v>4216</v>
      </c>
      <c r="L21" s="19" t="s">
        <v>4166</v>
      </c>
      <c r="M21" s="19" t="s">
        <v>4165</v>
      </c>
      <c r="N21" s="21"/>
      <c r="O21" s="19" t="s">
        <v>4167</v>
      </c>
      <c r="P21" s="19" t="s">
        <v>4168</v>
      </c>
      <c r="Q21" s="19" t="s">
        <v>4165</v>
      </c>
      <c r="R21" s="19" t="s">
        <v>4169</v>
      </c>
    </row>
    <row r="22">
      <c r="A22" s="22" t="s">
        <v>1157</v>
      </c>
      <c r="B22" s="1" t="s">
        <v>2437</v>
      </c>
      <c r="C22" s="1" t="s">
        <v>2438</v>
      </c>
      <c r="D22" s="1" t="s">
        <v>2439</v>
      </c>
      <c r="E22" s="2">
        <f>+251977568381</f>
        <v>251977568381</v>
      </c>
      <c r="F22" s="1" t="s">
        <v>33</v>
      </c>
      <c r="G22" s="1" t="s">
        <v>166</v>
      </c>
      <c r="H22" s="19" t="s">
        <v>4161</v>
      </c>
      <c r="I22" s="20" t="s">
        <v>4164</v>
      </c>
      <c r="J22" s="19" t="s">
        <v>4165</v>
      </c>
      <c r="K22" s="19" t="s">
        <v>4216</v>
      </c>
      <c r="L22" s="19" t="s">
        <v>4166</v>
      </c>
      <c r="M22" s="19" t="s">
        <v>4165</v>
      </c>
      <c r="N22" s="21"/>
      <c r="O22" s="19" t="s">
        <v>4167</v>
      </c>
      <c r="P22" s="19" t="s">
        <v>4168</v>
      </c>
      <c r="Q22" s="19" t="s">
        <v>4165</v>
      </c>
      <c r="R22" s="19" t="s">
        <v>4169</v>
      </c>
    </row>
    <row r="23">
      <c r="A23" s="22" t="s">
        <v>1157</v>
      </c>
      <c r="B23" s="1" t="s">
        <v>2444</v>
      </c>
      <c r="C23" s="1" t="s">
        <v>2445</v>
      </c>
      <c r="D23" s="1" t="s">
        <v>284</v>
      </c>
      <c r="E23" s="2">
        <f>+251936153918</f>
        <v>251936153918</v>
      </c>
      <c r="F23" s="1" t="s">
        <v>33</v>
      </c>
      <c r="G23" s="1" t="s">
        <v>65</v>
      </c>
      <c r="H23" s="19" t="s">
        <v>4161</v>
      </c>
      <c r="I23" s="20" t="s">
        <v>4164</v>
      </c>
      <c r="J23" s="19" t="s">
        <v>4165</v>
      </c>
      <c r="K23" s="19" t="s">
        <v>4216</v>
      </c>
      <c r="L23" s="19" t="s">
        <v>4166</v>
      </c>
      <c r="M23" s="19" t="s">
        <v>4165</v>
      </c>
      <c r="N23" s="21"/>
      <c r="O23" s="19" t="s">
        <v>4167</v>
      </c>
      <c r="P23" s="19" t="s">
        <v>4168</v>
      </c>
      <c r="Q23" s="19" t="s">
        <v>4165</v>
      </c>
      <c r="R23" s="19" t="s">
        <v>4169</v>
      </c>
    </row>
    <row r="24">
      <c r="A24" s="22" t="s">
        <v>1157</v>
      </c>
      <c r="B24" s="1" t="s">
        <v>2446</v>
      </c>
      <c r="C24" s="1" t="s">
        <v>2447</v>
      </c>
      <c r="D24" s="1" t="s">
        <v>2448</v>
      </c>
      <c r="E24" s="2">
        <f>+251915675261</f>
        <v>251915675261</v>
      </c>
      <c r="F24" s="1" t="s">
        <v>33</v>
      </c>
      <c r="G24" s="1" t="s">
        <v>34</v>
      </c>
      <c r="H24" s="19" t="s">
        <v>4161</v>
      </c>
      <c r="I24" s="20" t="s">
        <v>4164</v>
      </c>
      <c r="J24" s="19" t="s">
        <v>4165</v>
      </c>
      <c r="K24" s="19" t="s">
        <v>4216</v>
      </c>
      <c r="L24" s="19" t="s">
        <v>4166</v>
      </c>
      <c r="M24" s="19" t="s">
        <v>4165</v>
      </c>
      <c r="N24" s="21"/>
      <c r="O24" s="19" t="s">
        <v>4167</v>
      </c>
      <c r="P24" s="19" t="s">
        <v>4168</v>
      </c>
      <c r="Q24" s="19" t="s">
        <v>4165</v>
      </c>
      <c r="R24" s="19" t="s">
        <v>4169</v>
      </c>
    </row>
    <row r="25">
      <c r="A25" s="22" t="s">
        <v>1157</v>
      </c>
      <c r="B25" s="1" t="s">
        <v>2449</v>
      </c>
      <c r="C25" s="1" t="s">
        <v>2450</v>
      </c>
      <c r="D25" s="1" t="s">
        <v>2451</v>
      </c>
      <c r="E25" s="2">
        <f>+251967557044</f>
        <v>251967557044</v>
      </c>
      <c r="F25" s="1" t="s">
        <v>33</v>
      </c>
      <c r="G25" s="1" t="s">
        <v>166</v>
      </c>
      <c r="H25" s="19" t="s">
        <v>4161</v>
      </c>
      <c r="I25" s="20" t="s">
        <v>4164</v>
      </c>
      <c r="J25" s="19" t="s">
        <v>4165</v>
      </c>
      <c r="K25" s="19" t="s">
        <v>4216</v>
      </c>
      <c r="L25" s="19" t="s">
        <v>4166</v>
      </c>
      <c r="M25" s="19" t="s">
        <v>4165</v>
      </c>
      <c r="N25" s="21"/>
      <c r="O25" s="19" t="s">
        <v>4167</v>
      </c>
      <c r="P25" s="19" t="s">
        <v>4168</v>
      </c>
      <c r="Q25" s="19" t="s">
        <v>4165</v>
      </c>
      <c r="R25" s="19" t="s">
        <v>4169</v>
      </c>
    </row>
    <row r="26">
      <c r="A26" s="22" t="s">
        <v>1157</v>
      </c>
      <c r="B26" s="1" t="s">
        <v>2468</v>
      </c>
      <c r="C26" s="1" t="s">
        <v>1035</v>
      </c>
      <c r="D26" s="1" t="s">
        <v>1214</v>
      </c>
      <c r="E26" s="2">
        <f>+251942030046</f>
        <v>251942030046</v>
      </c>
      <c r="F26" s="1" t="s">
        <v>33</v>
      </c>
      <c r="G26" s="1" t="s">
        <v>65</v>
      </c>
      <c r="H26" s="19" t="s">
        <v>4161</v>
      </c>
      <c r="I26" s="20" t="s">
        <v>4164</v>
      </c>
      <c r="J26" s="19" t="s">
        <v>4165</v>
      </c>
      <c r="K26" s="19" t="s">
        <v>4217</v>
      </c>
      <c r="L26" s="19" t="s">
        <v>4166</v>
      </c>
      <c r="M26" s="19" t="s">
        <v>4165</v>
      </c>
      <c r="N26" s="21"/>
      <c r="O26" s="19" t="s">
        <v>4167</v>
      </c>
      <c r="P26" s="19" t="s">
        <v>4168</v>
      </c>
      <c r="Q26" s="19" t="s">
        <v>4165</v>
      </c>
      <c r="R26" s="19" t="s">
        <v>4169</v>
      </c>
    </row>
    <row r="27">
      <c r="A27" s="22" t="s">
        <v>1157</v>
      </c>
      <c r="B27" s="1" t="s">
        <v>2477</v>
      </c>
      <c r="C27" s="1" t="s">
        <v>2478</v>
      </c>
      <c r="D27" s="1" t="s">
        <v>2479</v>
      </c>
      <c r="E27" s="2">
        <f>+251910814632</f>
        <v>251910814632</v>
      </c>
      <c r="F27" s="1" t="s">
        <v>33</v>
      </c>
      <c r="G27" s="1" t="s">
        <v>166</v>
      </c>
      <c r="H27" s="19" t="s">
        <v>4161</v>
      </c>
      <c r="I27" s="20" t="s">
        <v>4164</v>
      </c>
      <c r="J27" s="19" t="s">
        <v>4165</v>
      </c>
      <c r="K27" s="19" t="s">
        <v>4217</v>
      </c>
      <c r="L27" s="19" t="s">
        <v>4166</v>
      </c>
      <c r="M27" s="19" t="s">
        <v>4165</v>
      </c>
      <c r="N27" s="21"/>
      <c r="O27" s="19" t="s">
        <v>4167</v>
      </c>
      <c r="P27" s="19" t="s">
        <v>4168</v>
      </c>
      <c r="Q27" s="19" t="s">
        <v>4165</v>
      </c>
      <c r="R27" s="19" t="s">
        <v>4169</v>
      </c>
    </row>
    <row r="28">
      <c r="A28" s="22" t="s">
        <v>1157</v>
      </c>
      <c r="B28" s="1" t="s">
        <v>2482</v>
      </c>
      <c r="C28" s="1" t="s">
        <v>956</v>
      </c>
      <c r="D28" s="1" t="s">
        <v>2483</v>
      </c>
      <c r="E28" s="2">
        <f>+251910159741</f>
        <v>251910159741</v>
      </c>
      <c r="F28" s="1" t="s">
        <v>33</v>
      </c>
      <c r="G28" s="1" t="s">
        <v>76</v>
      </c>
      <c r="H28" s="19" t="s">
        <v>4161</v>
      </c>
      <c r="I28" s="20" t="s">
        <v>4164</v>
      </c>
      <c r="J28" s="19" t="s">
        <v>4165</v>
      </c>
      <c r="K28" s="19" t="s">
        <v>4218</v>
      </c>
      <c r="L28" s="19" t="s">
        <v>4166</v>
      </c>
      <c r="M28" s="19" t="s">
        <v>4165</v>
      </c>
      <c r="N28" s="21"/>
      <c r="O28" s="19" t="s">
        <v>4167</v>
      </c>
      <c r="P28" s="19" t="s">
        <v>4168</v>
      </c>
      <c r="Q28" s="19" t="s">
        <v>4165</v>
      </c>
      <c r="R28" s="19" t="s">
        <v>4169</v>
      </c>
    </row>
    <row r="29">
      <c r="A29" s="22" t="s">
        <v>1157</v>
      </c>
      <c r="B29" s="1" t="s">
        <v>2500</v>
      </c>
      <c r="C29" s="1" t="s">
        <v>2501</v>
      </c>
      <c r="D29" s="1" t="s">
        <v>654</v>
      </c>
      <c r="E29" s="2">
        <f>+251940557867</f>
        <v>251940557867</v>
      </c>
      <c r="F29" s="1" t="s">
        <v>33</v>
      </c>
      <c r="G29" s="1" t="s">
        <v>235</v>
      </c>
      <c r="H29" s="19" t="s">
        <v>4161</v>
      </c>
      <c r="I29" s="20" t="s">
        <v>4164</v>
      </c>
      <c r="J29" s="19" t="s">
        <v>4165</v>
      </c>
      <c r="K29" s="19" t="s">
        <v>4216</v>
      </c>
      <c r="L29" s="19" t="s">
        <v>4166</v>
      </c>
      <c r="M29" s="19" t="s">
        <v>4165</v>
      </c>
      <c r="N29" s="21"/>
      <c r="O29" s="19" t="s">
        <v>4167</v>
      </c>
      <c r="P29" s="19" t="s">
        <v>4168</v>
      </c>
      <c r="Q29" s="19" t="s">
        <v>4165</v>
      </c>
      <c r="R29" s="19" t="s">
        <v>4169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22" t="s">
        <v>1157</v>
      </c>
      <c r="B30" s="1" t="s">
        <v>2510</v>
      </c>
      <c r="C30" s="1" t="s">
        <v>595</v>
      </c>
      <c r="D30" s="1" t="s">
        <v>2511</v>
      </c>
      <c r="E30" s="2">
        <f>+251967593619</f>
        <v>251967593619</v>
      </c>
      <c r="F30" s="1" t="s">
        <v>33</v>
      </c>
      <c r="G30" s="1" t="s">
        <v>118</v>
      </c>
      <c r="H30" s="19" t="s">
        <v>4161</v>
      </c>
      <c r="I30" s="20" t="s">
        <v>4164</v>
      </c>
      <c r="J30" s="19" t="s">
        <v>4165</v>
      </c>
      <c r="K30" s="19" t="s">
        <v>4219</v>
      </c>
      <c r="L30" s="19" t="s">
        <v>4166</v>
      </c>
      <c r="M30" s="19" t="s">
        <v>4165</v>
      </c>
      <c r="N30" s="21"/>
      <c r="O30" s="19" t="s">
        <v>4167</v>
      </c>
      <c r="P30" s="19" t="s">
        <v>4168</v>
      </c>
      <c r="Q30" s="19" t="s">
        <v>4165</v>
      </c>
      <c r="R30" s="19" t="s">
        <v>4169</v>
      </c>
    </row>
    <row r="31">
      <c r="A31" s="22" t="s">
        <v>1157</v>
      </c>
      <c r="B31" s="1" t="s">
        <v>2556</v>
      </c>
      <c r="C31" s="1" t="s">
        <v>2557</v>
      </c>
      <c r="D31" s="1" t="s">
        <v>121</v>
      </c>
      <c r="E31" s="2">
        <f>+251920381982</f>
        <v>251920381982</v>
      </c>
      <c r="F31" s="1" t="s">
        <v>33</v>
      </c>
      <c r="G31" s="1" t="s">
        <v>166</v>
      </c>
      <c r="H31" s="19" t="s">
        <v>4161</v>
      </c>
      <c r="I31" s="20" t="s">
        <v>4164</v>
      </c>
      <c r="J31" s="19" t="s">
        <v>4165</v>
      </c>
      <c r="K31" s="19" t="s">
        <v>4215</v>
      </c>
      <c r="L31" s="19" t="s">
        <v>4166</v>
      </c>
      <c r="M31" s="19" t="s">
        <v>4165</v>
      </c>
      <c r="N31" s="21"/>
      <c r="O31" s="19" t="s">
        <v>4167</v>
      </c>
      <c r="P31" s="19" t="s">
        <v>4168</v>
      </c>
      <c r="Q31" s="19" t="s">
        <v>4165</v>
      </c>
      <c r="R31" s="19" t="s">
        <v>4169</v>
      </c>
    </row>
    <row r="32">
      <c r="A32" s="22" t="s">
        <v>1157</v>
      </c>
      <c r="B32" s="1" t="s">
        <v>2560</v>
      </c>
      <c r="C32" s="1" t="s">
        <v>2497</v>
      </c>
      <c r="D32" s="1" t="s">
        <v>2498</v>
      </c>
      <c r="E32" s="2">
        <f>+251960465480</f>
        <v>251960465480</v>
      </c>
      <c r="F32" s="1" t="s">
        <v>33</v>
      </c>
      <c r="G32" s="1" t="s">
        <v>34</v>
      </c>
      <c r="H32" s="19" t="s">
        <v>4161</v>
      </c>
      <c r="I32" s="20" t="s">
        <v>4164</v>
      </c>
      <c r="J32" s="19" t="s">
        <v>4165</v>
      </c>
      <c r="K32" s="21"/>
      <c r="L32" s="19" t="s">
        <v>4166</v>
      </c>
      <c r="M32" s="19" t="s">
        <v>4165</v>
      </c>
      <c r="N32" s="21"/>
      <c r="O32" s="19" t="s">
        <v>4167</v>
      </c>
      <c r="P32" s="19" t="s">
        <v>4168</v>
      </c>
      <c r="Q32" s="19" t="s">
        <v>4165</v>
      </c>
      <c r="R32" s="19" t="s">
        <v>4169</v>
      </c>
    </row>
    <row r="33">
      <c r="A33" s="22" t="s">
        <v>1157</v>
      </c>
      <c r="B33" s="1" t="s">
        <v>2569</v>
      </c>
      <c r="C33" s="1" t="s">
        <v>539</v>
      </c>
      <c r="D33" s="1" t="s">
        <v>2570</v>
      </c>
      <c r="E33" s="2">
        <f>+251910828480</f>
        <v>251910828480</v>
      </c>
      <c r="F33" s="1" t="s">
        <v>33</v>
      </c>
      <c r="G33" s="1" t="s">
        <v>65</v>
      </c>
      <c r="H33" s="19" t="s">
        <v>4161</v>
      </c>
      <c r="I33" s="20" t="s">
        <v>4164</v>
      </c>
      <c r="J33" s="19" t="s">
        <v>4165</v>
      </c>
      <c r="K33" s="19" t="s">
        <v>4216</v>
      </c>
      <c r="L33" s="19" t="s">
        <v>4166</v>
      </c>
      <c r="M33" s="19" t="s">
        <v>4165</v>
      </c>
      <c r="N33" s="21"/>
      <c r="O33" s="19" t="s">
        <v>4167</v>
      </c>
      <c r="P33" s="19" t="s">
        <v>4168</v>
      </c>
      <c r="Q33" s="19" t="s">
        <v>4165</v>
      </c>
      <c r="R33" s="19" t="s">
        <v>4169</v>
      </c>
    </row>
    <row r="34">
      <c r="A34" s="22" t="s">
        <v>1157</v>
      </c>
      <c r="B34" s="1" t="s">
        <v>2629</v>
      </c>
      <c r="C34" s="1" t="s">
        <v>1899</v>
      </c>
      <c r="D34" s="1" t="s">
        <v>1874</v>
      </c>
      <c r="E34" s="2">
        <f>+251911834575</f>
        <v>251911834575</v>
      </c>
      <c r="F34" s="1" t="s">
        <v>33</v>
      </c>
      <c r="G34" s="1" t="s">
        <v>65</v>
      </c>
      <c r="H34" s="19" t="s">
        <v>4161</v>
      </c>
      <c r="I34" s="20" t="s">
        <v>4164</v>
      </c>
      <c r="J34" s="19" t="s">
        <v>4165</v>
      </c>
      <c r="K34" s="19" t="s">
        <v>4220</v>
      </c>
      <c r="L34" s="19" t="s">
        <v>4166</v>
      </c>
      <c r="M34" s="19" t="s">
        <v>4165</v>
      </c>
      <c r="N34" s="21"/>
      <c r="O34" s="19" t="s">
        <v>4167</v>
      </c>
      <c r="P34" s="19" t="s">
        <v>4168</v>
      </c>
      <c r="Q34" s="19" t="s">
        <v>4165</v>
      </c>
      <c r="R34" s="19" t="s">
        <v>4169</v>
      </c>
    </row>
    <row r="35">
      <c r="A35" s="22" t="s">
        <v>1157</v>
      </c>
      <c r="B35" s="1" t="s">
        <v>2375</v>
      </c>
      <c r="C35" s="1" t="s">
        <v>2376</v>
      </c>
      <c r="D35" s="1" t="s">
        <v>96</v>
      </c>
      <c r="E35" s="2">
        <f>+251976002806</f>
        <v>251976002806</v>
      </c>
      <c r="F35" s="1" t="s">
        <v>33</v>
      </c>
      <c r="G35" s="1" t="s">
        <v>177</v>
      </c>
      <c r="H35" s="19" t="s">
        <v>4161</v>
      </c>
      <c r="I35" s="20" t="s">
        <v>4164</v>
      </c>
      <c r="J35" s="19" t="s">
        <v>4165</v>
      </c>
      <c r="K35" s="19" t="s">
        <v>4221</v>
      </c>
      <c r="L35" s="19" t="s">
        <v>4199</v>
      </c>
      <c r="M35" s="19" t="s">
        <v>4165</v>
      </c>
      <c r="N35" s="21"/>
      <c r="O35" s="19" t="s">
        <v>4184</v>
      </c>
      <c r="P35" s="19" t="s">
        <v>4178</v>
      </c>
      <c r="Q35" s="19" t="s">
        <v>4165</v>
      </c>
      <c r="R35" s="19" t="s">
        <v>4179</v>
      </c>
    </row>
    <row r="36">
      <c r="A36" s="22" t="s">
        <v>1157</v>
      </c>
      <c r="B36" s="1" t="s">
        <v>2372</v>
      </c>
      <c r="C36" s="1" t="s">
        <v>2373</v>
      </c>
      <c r="D36" s="1" t="s">
        <v>2374</v>
      </c>
      <c r="E36" s="2">
        <f>+251918535155</f>
        <v>251918535155</v>
      </c>
      <c r="F36" s="1" t="s">
        <v>33</v>
      </c>
      <c r="G36" s="1" t="s">
        <v>177</v>
      </c>
      <c r="H36" s="19" t="s">
        <v>4161</v>
      </c>
      <c r="I36" s="20" t="s">
        <v>4207</v>
      </c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22" t="s">
        <v>1157</v>
      </c>
      <c r="B37" s="1" t="s">
        <v>2419</v>
      </c>
      <c r="C37" s="1" t="s">
        <v>411</v>
      </c>
      <c r="D37" s="1" t="s">
        <v>2420</v>
      </c>
      <c r="E37" s="2">
        <f>+251964970096</f>
        <v>251964970096</v>
      </c>
      <c r="F37" s="1" t="s">
        <v>33</v>
      </c>
      <c r="G37" s="1" t="s">
        <v>65</v>
      </c>
      <c r="H37" s="19" t="s">
        <v>4161</v>
      </c>
      <c r="I37" s="20" t="s">
        <v>4207</v>
      </c>
      <c r="J37" s="19"/>
      <c r="K37" s="21"/>
      <c r="L37" s="19"/>
      <c r="M37" s="19"/>
      <c r="N37" s="21"/>
      <c r="O37" s="19"/>
      <c r="P37" s="19"/>
      <c r="Q37" s="19"/>
      <c r="R37" s="19"/>
    </row>
    <row r="38">
      <c r="A38" s="22" t="s">
        <v>1157</v>
      </c>
      <c r="B38" s="1" t="s">
        <v>2470</v>
      </c>
      <c r="C38" s="1" t="s">
        <v>2471</v>
      </c>
      <c r="D38" s="1" t="s">
        <v>824</v>
      </c>
      <c r="E38" s="2">
        <f>+251918554157</f>
        <v>251918554157</v>
      </c>
      <c r="F38" s="1" t="s">
        <v>33</v>
      </c>
      <c r="G38" s="1" t="s">
        <v>118</v>
      </c>
      <c r="H38" s="19" t="s">
        <v>4161</v>
      </c>
      <c r="I38" s="20" t="s">
        <v>4207</v>
      </c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22" t="s">
        <v>1157</v>
      </c>
      <c r="B39" s="1" t="s">
        <v>2507</v>
      </c>
      <c r="C39" s="1" t="s">
        <v>2508</v>
      </c>
      <c r="D39" s="1" t="s">
        <v>2509</v>
      </c>
      <c r="E39" s="2">
        <f>+251920416546</f>
        <v>251920416546</v>
      </c>
      <c r="F39" s="1" t="s">
        <v>33</v>
      </c>
      <c r="G39" s="1" t="s">
        <v>65</v>
      </c>
      <c r="H39" s="19" t="s">
        <v>4161</v>
      </c>
      <c r="I39" s="20" t="s">
        <v>4207</v>
      </c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22" t="s">
        <v>1157</v>
      </c>
      <c r="B40" s="1" t="s">
        <v>2517</v>
      </c>
      <c r="C40" s="1" t="s">
        <v>1977</v>
      </c>
      <c r="D40" s="1" t="s">
        <v>2518</v>
      </c>
      <c r="E40" s="2">
        <f>+251943543673</f>
        <v>251943543673</v>
      </c>
      <c r="F40" s="1" t="s">
        <v>33</v>
      </c>
      <c r="G40" s="1" t="s">
        <v>76</v>
      </c>
      <c r="H40" s="19" t="s">
        <v>4161</v>
      </c>
      <c r="I40" s="20" t="s">
        <v>4207</v>
      </c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22" t="s">
        <v>1157</v>
      </c>
      <c r="B41" s="1" t="s">
        <v>2318</v>
      </c>
      <c r="C41" s="1" t="s">
        <v>250</v>
      </c>
      <c r="D41" s="1" t="s">
        <v>2319</v>
      </c>
      <c r="E41" s="2">
        <f>+251927146717</f>
        <v>251927146717</v>
      </c>
      <c r="F41" s="1" t="s">
        <v>33</v>
      </c>
      <c r="G41" s="1" t="s">
        <v>118</v>
      </c>
      <c r="H41" s="19" t="s">
        <v>4161</v>
      </c>
      <c r="I41" s="20" t="s">
        <v>4208</v>
      </c>
      <c r="J41" s="19"/>
      <c r="K41" s="19"/>
      <c r="L41" s="19"/>
      <c r="M41" s="19"/>
      <c r="N41" s="21"/>
      <c r="O41" s="19"/>
      <c r="P41" s="19"/>
      <c r="Q41" s="19"/>
      <c r="R41" s="19"/>
    </row>
    <row r="42">
      <c r="A42" s="22" t="s">
        <v>1157</v>
      </c>
      <c r="B42" s="1" t="s">
        <v>2400</v>
      </c>
      <c r="C42" s="1" t="s">
        <v>2401</v>
      </c>
      <c r="D42" s="1" t="s">
        <v>2402</v>
      </c>
      <c r="E42" s="2">
        <f>+251987388812</f>
        <v>251987388812</v>
      </c>
      <c r="F42" s="1" t="s">
        <v>33</v>
      </c>
      <c r="G42" s="1" t="s">
        <v>166</v>
      </c>
      <c r="H42" s="19" t="s">
        <v>4161</v>
      </c>
      <c r="I42" s="20" t="s">
        <v>4208</v>
      </c>
      <c r="J42" s="19"/>
      <c r="K42" s="19"/>
      <c r="L42" s="19"/>
      <c r="M42" s="19"/>
      <c r="N42" s="21"/>
      <c r="O42" s="19"/>
      <c r="P42" s="19"/>
      <c r="Q42" s="19"/>
      <c r="R42" s="19"/>
    </row>
    <row r="43">
      <c r="A43" s="22" t="s">
        <v>1157</v>
      </c>
      <c r="B43" s="1" t="s">
        <v>2434</v>
      </c>
      <c r="C43" s="1" t="s">
        <v>2435</v>
      </c>
      <c r="D43" s="1" t="s">
        <v>2436</v>
      </c>
      <c r="E43" s="2">
        <f>+251942338869</f>
        <v>251942338869</v>
      </c>
      <c r="F43" s="1" t="s">
        <v>33</v>
      </c>
      <c r="G43" s="1" t="s">
        <v>118</v>
      </c>
      <c r="H43" s="19" t="s">
        <v>4161</v>
      </c>
      <c r="I43" s="20" t="s">
        <v>4208</v>
      </c>
      <c r="J43" s="19"/>
      <c r="K43" s="19"/>
      <c r="L43" s="19"/>
      <c r="M43" s="19"/>
      <c r="N43" s="21"/>
      <c r="O43" s="19"/>
      <c r="P43" s="19"/>
      <c r="Q43" s="19"/>
      <c r="R43" s="19"/>
    </row>
    <row r="44">
      <c r="A44" s="22" t="s">
        <v>1157</v>
      </c>
      <c r="B44" s="1" t="s">
        <v>2496</v>
      </c>
      <c r="C44" s="1" t="s">
        <v>2497</v>
      </c>
      <c r="D44" s="1" t="s">
        <v>2498</v>
      </c>
      <c r="E44" s="2">
        <f>+251960465480</f>
        <v>251960465480</v>
      </c>
      <c r="F44" s="1" t="s">
        <v>33</v>
      </c>
      <c r="G44" s="1" t="s">
        <v>34</v>
      </c>
      <c r="H44" s="19" t="s">
        <v>4161</v>
      </c>
      <c r="I44" s="20" t="s">
        <v>4208</v>
      </c>
      <c r="J44" s="19"/>
      <c r="K44" s="19"/>
      <c r="L44" s="19"/>
      <c r="M44" s="19"/>
      <c r="N44" s="21"/>
      <c r="O44" s="19"/>
      <c r="P44" s="19"/>
      <c r="Q44" s="19"/>
      <c r="R44" s="19"/>
    </row>
    <row r="45">
      <c r="A45" s="22" t="s">
        <v>1157</v>
      </c>
      <c r="B45" s="1" t="s">
        <v>2521</v>
      </c>
      <c r="C45" s="1" t="s">
        <v>2522</v>
      </c>
      <c r="D45" s="1" t="s">
        <v>963</v>
      </c>
      <c r="E45" s="2">
        <f>+251942863913</f>
        <v>251942863913</v>
      </c>
      <c r="F45" s="1" t="s">
        <v>33</v>
      </c>
      <c r="G45" s="1" t="s">
        <v>65</v>
      </c>
      <c r="H45" s="19" t="s">
        <v>4161</v>
      </c>
      <c r="I45" s="20" t="s">
        <v>4208</v>
      </c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2" t="s">
        <v>1157</v>
      </c>
      <c r="B46" s="1" t="s">
        <v>2524</v>
      </c>
      <c r="C46" s="1" t="s">
        <v>503</v>
      </c>
      <c r="D46" s="1" t="s">
        <v>195</v>
      </c>
      <c r="E46" s="2">
        <f>+251912892969</f>
        <v>251912892969</v>
      </c>
      <c r="F46" s="1" t="s">
        <v>33</v>
      </c>
      <c r="G46" s="1" t="s">
        <v>65</v>
      </c>
      <c r="H46" s="19" t="s">
        <v>4161</v>
      </c>
      <c r="I46" s="20" t="s">
        <v>4208</v>
      </c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22" t="s">
        <v>1157</v>
      </c>
      <c r="B47" s="1" t="s">
        <v>2546</v>
      </c>
      <c r="C47" s="1" t="s">
        <v>1570</v>
      </c>
      <c r="D47" s="1" t="s">
        <v>292</v>
      </c>
      <c r="E47" s="2">
        <f>+251912335700</f>
        <v>251912335700</v>
      </c>
      <c r="F47" s="1" t="s">
        <v>33</v>
      </c>
      <c r="G47" s="1" t="s">
        <v>76</v>
      </c>
      <c r="H47" s="19" t="s">
        <v>4161</v>
      </c>
      <c r="I47" s="20" t="s">
        <v>4208</v>
      </c>
      <c r="J47" s="21"/>
      <c r="K47" s="19"/>
      <c r="L47" s="21"/>
      <c r="M47" s="21"/>
      <c r="N47" s="21"/>
      <c r="O47" s="21"/>
      <c r="P47" s="21"/>
      <c r="Q47" s="21"/>
      <c r="R47" s="21"/>
    </row>
    <row r="48">
      <c r="A48" s="22" t="s">
        <v>1157</v>
      </c>
      <c r="B48" s="1" t="s">
        <v>2576</v>
      </c>
      <c r="C48" s="1" t="s">
        <v>2577</v>
      </c>
      <c r="D48" s="1" t="s">
        <v>176</v>
      </c>
      <c r="E48" s="2">
        <f>+251915264231</f>
        <v>251915264231</v>
      </c>
      <c r="F48" s="1" t="s">
        <v>33</v>
      </c>
      <c r="G48" s="1" t="s">
        <v>76</v>
      </c>
      <c r="H48" s="19" t="s">
        <v>4161</v>
      </c>
      <c r="I48" s="20" t="s">
        <v>4208</v>
      </c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22" t="s">
        <v>1157</v>
      </c>
      <c r="B49" s="1" t="s">
        <v>2580</v>
      </c>
      <c r="C49" s="1" t="s">
        <v>2581</v>
      </c>
      <c r="D49" s="1" t="s">
        <v>956</v>
      </c>
      <c r="E49" s="2">
        <f>+251911635548</f>
        <v>251911635548</v>
      </c>
      <c r="F49" s="1" t="s">
        <v>33</v>
      </c>
      <c r="G49" s="1" t="s">
        <v>34</v>
      </c>
      <c r="H49" s="19" t="s">
        <v>4161</v>
      </c>
      <c r="I49" s="20" t="s">
        <v>4208</v>
      </c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2" t="s">
        <v>1157</v>
      </c>
      <c r="B50" s="1" t="s">
        <v>2637</v>
      </c>
      <c r="C50" s="1" t="s">
        <v>157</v>
      </c>
      <c r="D50" s="1" t="s">
        <v>213</v>
      </c>
      <c r="E50" s="2">
        <f>+251939718407</f>
        <v>251939718407</v>
      </c>
      <c r="F50" s="1" t="s">
        <v>33</v>
      </c>
      <c r="G50" s="1" t="s">
        <v>65</v>
      </c>
      <c r="H50" s="19" t="s">
        <v>4161</v>
      </c>
      <c r="I50" s="20" t="s">
        <v>4208</v>
      </c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2" t="s">
        <v>1157</v>
      </c>
      <c r="B51" s="1" t="s">
        <v>2640</v>
      </c>
      <c r="C51" s="1" t="s">
        <v>2641</v>
      </c>
      <c r="D51" s="1" t="s">
        <v>2642</v>
      </c>
      <c r="E51" s="2">
        <f>+251982225404</f>
        <v>251982225404</v>
      </c>
      <c r="F51" s="1" t="s">
        <v>33</v>
      </c>
      <c r="G51" s="1" t="s">
        <v>76</v>
      </c>
      <c r="H51" s="19" t="s">
        <v>4161</v>
      </c>
      <c r="I51" s="20" t="s">
        <v>4208</v>
      </c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5.38"/>
    <col customWidth="1" min="3" max="3" width="15.5"/>
    <col customWidth="1" min="4" max="4" width="13.75"/>
    <col customWidth="1" min="5" max="5" width="22.63"/>
    <col customWidth="1" min="6" max="6" width="13.88"/>
    <col customWidth="1" min="7" max="7" width="19.63"/>
    <col customWidth="1" min="8" max="8" width="20.25"/>
    <col customWidth="1" min="9" max="9" width="33.5"/>
    <col customWidth="1" min="10" max="10" width="24.75"/>
    <col customWidth="1" min="11" max="11" width="28.63"/>
    <col customWidth="1" min="12" max="12" width="23.75"/>
    <col customWidth="1" min="13" max="13" width="25.38"/>
    <col customWidth="1" min="14" max="14" width="20.0"/>
    <col customWidth="1" min="15" max="15" width="28.5"/>
    <col customWidth="1" min="16" max="16" width="21.0"/>
    <col customWidth="1" min="17" max="17" width="22.63"/>
    <col customWidth="1" min="18" max="18" width="22.0"/>
    <col customWidth="1" min="19" max="19" width="26.75"/>
  </cols>
  <sheetData>
    <row r="1" ht="62.25" customHeight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4222</v>
      </c>
      <c r="B2" s="1" t="s">
        <v>2785</v>
      </c>
      <c r="C2" s="1" t="s">
        <v>2786</v>
      </c>
      <c r="D2" s="1" t="s">
        <v>2787</v>
      </c>
      <c r="E2" s="2">
        <f>+12533848478</f>
        <v>12533848478</v>
      </c>
      <c r="F2" s="1" t="s">
        <v>33</v>
      </c>
      <c r="G2" s="1" t="s">
        <v>65</v>
      </c>
      <c r="H2" s="19" t="s">
        <v>4161</v>
      </c>
      <c r="I2" s="20" t="s">
        <v>4163</v>
      </c>
      <c r="J2" s="19"/>
      <c r="K2" s="19"/>
      <c r="L2" s="19"/>
      <c r="M2" s="19"/>
      <c r="N2" s="21"/>
      <c r="O2" s="19"/>
      <c r="P2" s="19"/>
      <c r="Q2" s="19"/>
      <c r="R2" s="19"/>
    </row>
    <row r="3">
      <c r="A3" s="22" t="s">
        <v>4222</v>
      </c>
      <c r="B3" s="1" t="s">
        <v>2676</v>
      </c>
      <c r="C3" s="1" t="s">
        <v>500</v>
      </c>
      <c r="D3" s="1" t="s">
        <v>2677</v>
      </c>
      <c r="E3" s="2">
        <f>+251917974820</f>
        <v>251917974820</v>
      </c>
      <c r="F3" s="1" t="s">
        <v>33</v>
      </c>
      <c r="G3" s="1" t="s">
        <v>118</v>
      </c>
      <c r="H3" s="19" t="s">
        <v>4161</v>
      </c>
      <c r="I3" s="20" t="s">
        <v>4164</v>
      </c>
      <c r="J3" s="19" t="s">
        <v>4165</v>
      </c>
      <c r="K3" s="19" t="s">
        <v>4223</v>
      </c>
      <c r="L3" s="19" t="s">
        <v>4176</v>
      </c>
      <c r="M3" s="19" t="s">
        <v>4181</v>
      </c>
      <c r="N3" s="19" t="s">
        <v>4224</v>
      </c>
      <c r="O3" s="19" t="s">
        <v>4184</v>
      </c>
      <c r="P3" s="19" t="s">
        <v>4178</v>
      </c>
      <c r="Q3" s="19" t="s">
        <v>4165</v>
      </c>
      <c r="R3" s="19" t="s">
        <v>4179</v>
      </c>
      <c r="S3" s="1" t="s">
        <v>4225</v>
      </c>
    </row>
    <row r="4">
      <c r="A4" s="22" t="s">
        <v>4222</v>
      </c>
      <c r="B4" s="1" t="s">
        <v>2679</v>
      </c>
      <c r="C4" s="1" t="s">
        <v>154</v>
      </c>
      <c r="D4" s="1" t="s">
        <v>1059</v>
      </c>
      <c r="E4" s="2">
        <f>+251993359561</f>
        <v>251993359561</v>
      </c>
      <c r="F4" s="1" t="s">
        <v>33</v>
      </c>
      <c r="G4" s="1" t="s">
        <v>118</v>
      </c>
      <c r="H4" s="19" t="s">
        <v>4161</v>
      </c>
      <c r="I4" s="20" t="s">
        <v>4164</v>
      </c>
      <c r="J4" s="19" t="s">
        <v>4165</v>
      </c>
      <c r="K4" s="19" t="s">
        <v>4223</v>
      </c>
      <c r="L4" s="19" t="s">
        <v>4176</v>
      </c>
      <c r="M4" s="19" t="s">
        <v>4165</v>
      </c>
      <c r="N4" s="19" t="s">
        <v>4226</v>
      </c>
      <c r="O4" s="19" t="s">
        <v>4184</v>
      </c>
      <c r="P4" s="19" t="s">
        <v>4178</v>
      </c>
      <c r="Q4" s="19" t="s">
        <v>4165</v>
      </c>
      <c r="R4" s="19" t="s">
        <v>4190</v>
      </c>
      <c r="S4" s="1" t="s">
        <v>4225</v>
      </c>
    </row>
    <row r="5">
      <c r="A5" s="22" t="s">
        <v>4222</v>
      </c>
      <c r="B5" s="1" t="s">
        <v>2678</v>
      </c>
      <c r="C5" s="1" t="s">
        <v>901</v>
      </c>
      <c r="D5" s="1" t="s">
        <v>417</v>
      </c>
      <c r="E5" s="2">
        <f>+251933308861</f>
        <v>251933308861</v>
      </c>
      <c r="F5" s="1" t="s">
        <v>33</v>
      </c>
      <c r="G5" s="1" t="s">
        <v>34</v>
      </c>
      <c r="H5" s="19" t="s">
        <v>4161</v>
      </c>
      <c r="I5" s="20" t="s">
        <v>4164</v>
      </c>
      <c r="J5" s="19" t="s">
        <v>4165</v>
      </c>
      <c r="K5" s="19" t="s">
        <v>4227</v>
      </c>
      <c r="L5" s="19" t="s">
        <v>4183</v>
      </c>
      <c r="M5" s="19" t="s">
        <v>4165</v>
      </c>
      <c r="N5" s="19" t="s">
        <v>4227</v>
      </c>
      <c r="O5" s="19" t="s">
        <v>4184</v>
      </c>
      <c r="P5" s="19" t="s">
        <v>4178</v>
      </c>
      <c r="Q5" s="19" t="s">
        <v>4165</v>
      </c>
      <c r="R5" s="19" t="s">
        <v>4179</v>
      </c>
      <c r="S5" s="1" t="s">
        <v>4225</v>
      </c>
    </row>
    <row r="6">
      <c r="A6" s="22" t="s">
        <v>4222</v>
      </c>
      <c r="B6" s="1" t="s">
        <v>2707</v>
      </c>
      <c r="C6" s="1" t="s">
        <v>1376</v>
      </c>
      <c r="D6" s="1" t="s">
        <v>255</v>
      </c>
      <c r="E6" s="2">
        <f>+251954931710</f>
        <v>251954931710</v>
      </c>
      <c r="F6" s="1" t="s">
        <v>33</v>
      </c>
      <c r="G6" s="1" t="s">
        <v>34</v>
      </c>
      <c r="H6" s="19" t="s">
        <v>4161</v>
      </c>
      <c r="I6" s="20" t="s">
        <v>4164</v>
      </c>
      <c r="J6" s="19" t="s">
        <v>4165</v>
      </c>
      <c r="K6" s="19" t="s">
        <v>4227</v>
      </c>
      <c r="L6" s="19" t="s">
        <v>4183</v>
      </c>
      <c r="M6" s="19" t="s">
        <v>4165</v>
      </c>
      <c r="N6" s="19" t="s">
        <v>4227</v>
      </c>
      <c r="O6" s="19" t="s">
        <v>4184</v>
      </c>
      <c r="P6" s="19" t="s">
        <v>4178</v>
      </c>
      <c r="Q6" s="19" t="s">
        <v>4165</v>
      </c>
      <c r="R6" s="19" t="s">
        <v>4179</v>
      </c>
      <c r="S6" s="1" t="s">
        <v>4225</v>
      </c>
    </row>
    <row r="7">
      <c r="A7" s="22" t="s">
        <v>4222</v>
      </c>
      <c r="B7" s="1" t="s">
        <v>2685</v>
      </c>
      <c r="C7" s="1" t="s">
        <v>944</v>
      </c>
      <c r="D7" s="1" t="s">
        <v>510</v>
      </c>
      <c r="E7" s="2">
        <f>+251918589810</f>
        <v>251918589810</v>
      </c>
      <c r="F7" s="1" t="s">
        <v>33</v>
      </c>
      <c r="G7" s="1" t="s">
        <v>34</v>
      </c>
      <c r="H7" s="19" t="s">
        <v>4161</v>
      </c>
      <c r="I7" s="20" t="s">
        <v>4164</v>
      </c>
      <c r="J7" s="19" t="s">
        <v>4165</v>
      </c>
      <c r="K7" s="19" t="s">
        <v>4223</v>
      </c>
      <c r="L7" s="19" t="s">
        <v>4176</v>
      </c>
      <c r="M7" s="19" t="s">
        <v>4165</v>
      </c>
      <c r="N7" s="19" t="s">
        <v>4226</v>
      </c>
      <c r="O7" s="19" t="s">
        <v>4184</v>
      </c>
      <c r="P7" s="19" t="s">
        <v>4178</v>
      </c>
      <c r="Q7" s="19" t="s">
        <v>4165</v>
      </c>
      <c r="R7" s="19" t="s">
        <v>4190</v>
      </c>
      <c r="S7" s="1" t="s">
        <v>4225</v>
      </c>
    </row>
    <row r="8">
      <c r="A8" s="22" t="s">
        <v>4222</v>
      </c>
      <c r="B8" s="1" t="s">
        <v>2663</v>
      </c>
      <c r="C8" s="1" t="s">
        <v>2429</v>
      </c>
      <c r="D8" s="1" t="s">
        <v>2664</v>
      </c>
      <c r="E8" s="2">
        <f>+251988533310</f>
        <v>251988533310</v>
      </c>
      <c r="F8" s="1" t="s">
        <v>33</v>
      </c>
      <c r="G8" s="1" t="s">
        <v>76</v>
      </c>
      <c r="H8" s="19" t="s">
        <v>4161</v>
      </c>
      <c r="I8" s="20" t="s">
        <v>4164</v>
      </c>
      <c r="J8" s="19" t="s">
        <v>4165</v>
      </c>
      <c r="K8" s="19" t="s">
        <v>4228</v>
      </c>
      <c r="L8" s="19" t="s">
        <v>4166</v>
      </c>
      <c r="M8" s="19" t="s">
        <v>4165</v>
      </c>
      <c r="N8" s="19" t="s">
        <v>4226</v>
      </c>
      <c r="O8" s="19" t="s">
        <v>4167</v>
      </c>
      <c r="P8" s="19" t="s">
        <v>4168</v>
      </c>
      <c r="Q8" s="19" t="s">
        <v>4165</v>
      </c>
      <c r="R8" s="19" t="s">
        <v>4169</v>
      </c>
      <c r="S8" s="1" t="s">
        <v>4228</v>
      </c>
    </row>
    <row r="9">
      <c r="A9" s="22" t="s">
        <v>4222</v>
      </c>
      <c r="B9" s="1" t="s">
        <v>2749</v>
      </c>
      <c r="C9" s="1" t="s">
        <v>2750</v>
      </c>
      <c r="D9" s="1" t="s">
        <v>1326</v>
      </c>
      <c r="E9" s="2">
        <f>+251943781540</f>
        <v>251943781540</v>
      </c>
      <c r="F9" s="1" t="s">
        <v>33</v>
      </c>
      <c r="G9" s="1" t="s">
        <v>166</v>
      </c>
      <c r="H9" s="19" t="s">
        <v>4161</v>
      </c>
      <c r="I9" s="20" t="s">
        <v>4164</v>
      </c>
      <c r="J9" s="19" t="s">
        <v>4165</v>
      </c>
      <c r="K9" s="19" t="s">
        <v>4228</v>
      </c>
      <c r="L9" s="19" t="s">
        <v>4166</v>
      </c>
      <c r="M9" s="19" t="s">
        <v>4165</v>
      </c>
      <c r="N9" s="19" t="s">
        <v>4226</v>
      </c>
      <c r="O9" s="19" t="s">
        <v>4167</v>
      </c>
      <c r="P9" s="19" t="s">
        <v>4168</v>
      </c>
      <c r="Q9" s="19" t="s">
        <v>4165</v>
      </c>
      <c r="R9" s="19" t="s">
        <v>4169</v>
      </c>
      <c r="S9" s="1" t="s">
        <v>4228</v>
      </c>
    </row>
    <row r="10">
      <c r="A10" s="22" t="s">
        <v>4222</v>
      </c>
      <c r="B10" s="1" t="s">
        <v>2754</v>
      </c>
      <c r="C10" s="1" t="s">
        <v>2755</v>
      </c>
      <c r="D10" s="1" t="s">
        <v>1267</v>
      </c>
      <c r="E10" s="1">
        <v>9.66228918E8</v>
      </c>
      <c r="F10" s="1" t="s">
        <v>33</v>
      </c>
      <c r="G10" s="1" t="s">
        <v>76</v>
      </c>
      <c r="H10" s="19" t="s">
        <v>4161</v>
      </c>
      <c r="I10" s="20" t="s">
        <v>4164</v>
      </c>
      <c r="J10" s="19" t="s">
        <v>4165</v>
      </c>
      <c r="K10" s="19" t="s">
        <v>4226</v>
      </c>
      <c r="L10" s="19" t="s">
        <v>4166</v>
      </c>
      <c r="M10" s="19" t="s">
        <v>4181</v>
      </c>
      <c r="N10" s="19" t="s">
        <v>4229</v>
      </c>
      <c r="O10" s="19" t="s">
        <v>4167</v>
      </c>
      <c r="P10" s="19" t="s">
        <v>4168</v>
      </c>
      <c r="Q10" s="19" t="s">
        <v>4165</v>
      </c>
      <c r="R10" s="19" t="s">
        <v>4169</v>
      </c>
      <c r="S10" s="1" t="s">
        <v>4229</v>
      </c>
    </row>
    <row r="11">
      <c r="A11" s="22" t="s">
        <v>4222</v>
      </c>
      <c r="B11" s="1" t="s">
        <v>2733</v>
      </c>
      <c r="C11" s="1" t="s">
        <v>2734</v>
      </c>
      <c r="D11" s="1" t="s">
        <v>2735</v>
      </c>
      <c r="E11" s="2">
        <f>+251914387376</f>
        <v>251914387376</v>
      </c>
      <c r="F11" s="1" t="s">
        <v>33</v>
      </c>
      <c r="G11" s="1" t="s">
        <v>65</v>
      </c>
      <c r="H11" s="19" t="s">
        <v>4161</v>
      </c>
      <c r="I11" s="20" t="s">
        <v>4164</v>
      </c>
      <c r="J11" s="19" t="s">
        <v>4165</v>
      </c>
      <c r="K11" s="19" t="s">
        <v>4223</v>
      </c>
      <c r="L11" s="19" t="s">
        <v>4176</v>
      </c>
      <c r="M11" s="19" t="s">
        <v>4165</v>
      </c>
      <c r="N11" s="19" t="s">
        <v>4226</v>
      </c>
      <c r="O11" s="19" t="s">
        <v>4184</v>
      </c>
      <c r="P11" s="19" t="s">
        <v>4178</v>
      </c>
      <c r="Q11" s="19" t="s">
        <v>4165</v>
      </c>
      <c r="R11" s="19" t="s">
        <v>4190</v>
      </c>
      <c r="S11" s="1" t="s">
        <v>4225</v>
      </c>
    </row>
    <row r="12">
      <c r="A12" s="22" t="s">
        <v>4222</v>
      </c>
      <c r="B12" s="1" t="s">
        <v>2761</v>
      </c>
      <c r="C12" s="1" t="s">
        <v>758</v>
      </c>
      <c r="D12" s="1" t="s">
        <v>2762</v>
      </c>
      <c r="E12" s="2">
        <f>+251929675645</f>
        <v>251929675645</v>
      </c>
      <c r="F12" s="1" t="s">
        <v>33</v>
      </c>
      <c r="G12" s="1" t="s">
        <v>118</v>
      </c>
      <c r="H12" s="19" t="s">
        <v>4161</v>
      </c>
      <c r="I12" s="20" t="s">
        <v>4164</v>
      </c>
      <c r="J12" s="19" t="s">
        <v>4165</v>
      </c>
      <c r="K12" s="19" t="s">
        <v>4223</v>
      </c>
      <c r="L12" s="19" t="s">
        <v>4199</v>
      </c>
      <c r="M12" s="19" t="s">
        <v>4165</v>
      </c>
      <c r="N12" s="19" t="s">
        <v>4226</v>
      </c>
      <c r="O12" s="19" t="s">
        <v>4184</v>
      </c>
      <c r="P12" s="19" t="s">
        <v>4178</v>
      </c>
      <c r="Q12" s="19" t="s">
        <v>4165</v>
      </c>
      <c r="R12" s="19" t="s">
        <v>4190</v>
      </c>
      <c r="S12" s="1" t="s">
        <v>4225</v>
      </c>
    </row>
    <row r="13">
      <c r="A13" s="22" t="s">
        <v>4222</v>
      </c>
      <c r="B13" s="1" t="s">
        <v>2655</v>
      </c>
      <c r="C13" s="1" t="s">
        <v>2656</v>
      </c>
      <c r="D13" s="1" t="s">
        <v>2657</v>
      </c>
      <c r="E13" s="2">
        <f>+251915840162</f>
        <v>251915840162</v>
      </c>
      <c r="F13" s="1" t="s">
        <v>33</v>
      </c>
      <c r="G13" s="1" t="s">
        <v>76</v>
      </c>
      <c r="H13" s="19" t="s">
        <v>4161</v>
      </c>
      <c r="I13" s="20" t="s">
        <v>4164</v>
      </c>
      <c r="J13" s="19" t="s">
        <v>4165</v>
      </c>
      <c r="K13" s="19" t="s">
        <v>4230</v>
      </c>
      <c r="L13" s="19" t="s">
        <v>4166</v>
      </c>
      <c r="M13" s="19" t="s">
        <v>4165</v>
      </c>
      <c r="N13" s="19" t="s">
        <v>4226</v>
      </c>
      <c r="O13" s="19" t="s">
        <v>4167</v>
      </c>
      <c r="P13" s="19" t="s">
        <v>4168</v>
      </c>
      <c r="Q13" s="19" t="s">
        <v>4165</v>
      </c>
      <c r="R13" s="19" t="s">
        <v>4169</v>
      </c>
      <c r="S13" s="1" t="s">
        <v>4231</v>
      </c>
    </row>
    <row r="14">
      <c r="A14" s="22" t="s">
        <v>4222</v>
      </c>
      <c r="B14" s="1" t="s">
        <v>2768</v>
      </c>
      <c r="C14" s="1" t="s">
        <v>1590</v>
      </c>
      <c r="D14" s="1" t="s">
        <v>96</v>
      </c>
      <c r="E14" s="1">
        <v>9.12125596E8</v>
      </c>
      <c r="F14" s="1" t="s">
        <v>33</v>
      </c>
      <c r="G14" s="1" t="s">
        <v>235</v>
      </c>
      <c r="H14" s="19" t="s">
        <v>4161</v>
      </c>
      <c r="I14" s="20" t="s">
        <v>4164</v>
      </c>
      <c r="J14" s="19" t="s">
        <v>4165</v>
      </c>
      <c r="K14" s="19" t="s">
        <v>4223</v>
      </c>
      <c r="L14" s="19" t="s">
        <v>4199</v>
      </c>
      <c r="M14" s="19" t="s">
        <v>4165</v>
      </c>
      <c r="N14" s="19" t="s">
        <v>4226</v>
      </c>
      <c r="O14" s="19" t="s">
        <v>4184</v>
      </c>
      <c r="P14" s="19" t="s">
        <v>4178</v>
      </c>
      <c r="Q14" s="19" t="s">
        <v>4165</v>
      </c>
      <c r="R14" s="19" t="s">
        <v>4190</v>
      </c>
      <c r="S14" s="1" t="s">
        <v>4225</v>
      </c>
    </row>
    <row r="15">
      <c r="A15" s="22" t="s">
        <v>4222</v>
      </c>
      <c r="B15" s="1" t="s">
        <v>2862</v>
      </c>
      <c r="C15" s="1" t="s">
        <v>2863</v>
      </c>
      <c r="D15" s="1" t="s">
        <v>1544</v>
      </c>
      <c r="E15" s="2">
        <f>+251922850480</f>
        <v>251922850480</v>
      </c>
      <c r="F15" s="1" t="s">
        <v>33</v>
      </c>
      <c r="G15" s="1" t="s">
        <v>65</v>
      </c>
      <c r="H15" s="19" t="s">
        <v>4161</v>
      </c>
      <c r="I15" s="20" t="s">
        <v>4164</v>
      </c>
      <c r="J15" s="19" t="s">
        <v>4165</v>
      </c>
      <c r="K15" s="19" t="s">
        <v>4223</v>
      </c>
      <c r="L15" s="19" t="s">
        <v>4199</v>
      </c>
      <c r="M15" s="19" t="s">
        <v>4165</v>
      </c>
      <c r="N15" s="19" t="s">
        <v>4226</v>
      </c>
      <c r="O15" s="19" t="s">
        <v>4184</v>
      </c>
      <c r="P15" s="19" t="s">
        <v>4178</v>
      </c>
      <c r="Q15" s="19" t="s">
        <v>4165</v>
      </c>
      <c r="R15" s="19" t="s">
        <v>4190</v>
      </c>
      <c r="S15" s="1" t="s">
        <v>4225</v>
      </c>
    </row>
    <row r="16">
      <c r="A16" s="22" t="s">
        <v>4222</v>
      </c>
      <c r="B16" s="1" t="s">
        <v>2884</v>
      </c>
      <c r="C16" s="1" t="s">
        <v>2885</v>
      </c>
      <c r="D16" s="1" t="s">
        <v>2886</v>
      </c>
      <c r="E16" s="2">
        <f>+251949649136</f>
        <v>251949649136</v>
      </c>
      <c r="F16" s="1" t="s">
        <v>33</v>
      </c>
      <c r="G16" s="1" t="s">
        <v>65</v>
      </c>
      <c r="H16" s="19" t="s">
        <v>4161</v>
      </c>
      <c r="I16" s="20" t="s">
        <v>4164</v>
      </c>
      <c r="J16" s="19" t="s">
        <v>4165</v>
      </c>
      <c r="K16" s="19" t="s">
        <v>4223</v>
      </c>
      <c r="L16" s="19" t="s">
        <v>4199</v>
      </c>
      <c r="M16" s="19" t="s">
        <v>4165</v>
      </c>
      <c r="N16" s="19" t="s">
        <v>4226</v>
      </c>
      <c r="O16" s="19" t="s">
        <v>4184</v>
      </c>
      <c r="P16" s="19" t="s">
        <v>4178</v>
      </c>
      <c r="Q16" s="19" t="s">
        <v>4165</v>
      </c>
      <c r="R16" s="19" t="s">
        <v>4190</v>
      </c>
      <c r="S16" s="1" t="s">
        <v>4225</v>
      </c>
    </row>
    <row r="17">
      <c r="A17" s="22" t="s">
        <v>4222</v>
      </c>
      <c r="B17" s="1" t="s">
        <v>2900</v>
      </c>
      <c r="C17" s="1" t="s">
        <v>67</v>
      </c>
      <c r="D17" s="1" t="s">
        <v>963</v>
      </c>
      <c r="E17" s="2">
        <f>+251953589306</f>
        <v>251953589306</v>
      </c>
      <c r="F17" s="1" t="s">
        <v>33</v>
      </c>
      <c r="G17" s="1" t="s">
        <v>65</v>
      </c>
      <c r="H17" s="19" t="s">
        <v>4161</v>
      </c>
      <c r="I17" s="20" t="s">
        <v>4164</v>
      </c>
      <c r="J17" s="19" t="s">
        <v>4165</v>
      </c>
      <c r="K17" s="19" t="s">
        <v>4223</v>
      </c>
      <c r="L17" s="19" t="s">
        <v>4199</v>
      </c>
      <c r="M17" s="19" t="s">
        <v>4181</v>
      </c>
      <c r="N17" s="19" t="s">
        <v>4224</v>
      </c>
      <c r="O17" s="19" t="s">
        <v>4184</v>
      </c>
      <c r="P17" s="19" t="s">
        <v>4178</v>
      </c>
      <c r="Q17" s="19" t="s">
        <v>4165</v>
      </c>
      <c r="R17" s="19" t="s">
        <v>4179</v>
      </c>
      <c r="S17" s="1" t="s">
        <v>4225</v>
      </c>
    </row>
    <row r="18">
      <c r="A18" s="22" t="s">
        <v>4222</v>
      </c>
      <c r="B18" s="1" t="s">
        <v>3012</v>
      </c>
      <c r="C18" s="1" t="s">
        <v>60</v>
      </c>
      <c r="D18" s="1" t="s">
        <v>3013</v>
      </c>
      <c r="E18" s="2">
        <f>+251937513956</f>
        <v>251937513956</v>
      </c>
      <c r="F18" s="1" t="s">
        <v>33</v>
      </c>
      <c r="G18" s="1" t="s">
        <v>166</v>
      </c>
      <c r="H18" s="19" t="s">
        <v>4161</v>
      </c>
      <c r="I18" s="20" t="s">
        <v>4164</v>
      </c>
      <c r="J18" s="19" t="s">
        <v>4165</v>
      </c>
      <c r="K18" s="19" t="s">
        <v>4223</v>
      </c>
      <c r="L18" s="19" t="s">
        <v>4199</v>
      </c>
      <c r="M18" s="19" t="s">
        <v>4181</v>
      </c>
      <c r="N18" s="19" t="s">
        <v>4224</v>
      </c>
      <c r="O18" s="19" t="s">
        <v>4184</v>
      </c>
      <c r="P18" s="19" t="s">
        <v>4178</v>
      </c>
      <c r="Q18" s="19" t="s">
        <v>4165</v>
      </c>
      <c r="R18" s="19" t="s">
        <v>4179</v>
      </c>
      <c r="S18" s="1" t="s">
        <v>4225</v>
      </c>
    </row>
    <row r="19">
      <c r="A19" s="22" t="s">
        <v>4222</v>
      </c>
      <c r="B19" s="1" t="s">
        <v>2836</v>
      </c>
      <c r="C19" s="1" t="s">
        <v>28</v>
      </c>
      <c r="D19" s="1" t="s">
        <v>2837</v>
      </c>
      <c r="E19" s="2">
        <f>+251910804197</f>
        <v>251910804197</v>
      </c>
      <c r="F19" s="1" t="s">
        <v>33</v>
      </c>
      <c r="G19" s="1" t="s">
        <v>118</v>
      </c>
      <c r="H19" s="19" t="s">
        <v>4161</v>
      </c>
      <c r="I19" s="20" t="s">
        <v>4164</v>
      </c>
      <c r="J19" s="19" t="s">
        <v>4165</v>
      </c>
      <c r="K19" s="19" t="s">
        <v>4230</v>
      </c>
      <c r="L19" s="19" t="s">
        <v>4166</v>
      </c>
      <c r="M19" s="19" t="s">
        <v>4165</v>
      </c>
      <c r="N19" s="19" t="s">
        <v>4226</v>
      </c>
      <c r="O19" s="19" t="s">
        <v>4167</v>
      </c>
      <c r="P19" s="19" t="s">
        <v>4168</v>
      </c>
      <c r="Q19" s="19" t="s">
        <v>4165</v>
      </c>
      <c r="R19" s="19" t="s">
        <v>4192</v>
      </c>
      <c r="S19" s="1" t="s">
        <v>4232</v>
      </c>
    </row>
    <row r="20">
      <c r="A20" s="22" t="s">
        <v>4222</v>
      </c>
      <c r="B20" s="1" t="s">
        <v>2912</v>
      </c>
      <c r="C20" s="1" t="s">
        <v>2913</v>
      </c>
      <c r="D20" s="1" t="s">
        <v>2914</v>
      </c>
      <c r="E20" s="1">
        <v>9.15049522E8</v>
      </c>
      <c r="F20" s="1" t="s">
        <v>33</v>
      </c>
      <c r="G20" s="1" t="s">
        <v>177</v>
      </c>
      <c r="H20" s="19" t="s">
        <v>4161</v>
      </c>
      <c r="I20" s="20" t="s">
        <v>4164</v>
      </c>
      <c r="J20" s="19" t="s">
        <v>4165</v>
      </c>
      <c r="K20" s="19" t="s">
        <v>4230</v>
      </c>
      <c r="L20" s="19" t="s">
        <v>4166</v>
      </c>
      <c r="M20" s="19" t="s">
        <v>4165</v>
      </c>
      <c r="N20" s="19" t="s">
        <v>4226</v>
      </c>
      <c r="O20" s="19" t="s">
        <v>4167</v>
      </c>
      <c r="P20" s="19" t="s">
        <v>4168</v>
      </c>
      <c r="Q20" s="19" t="s">
        <v>4165</v>
      </c>
      <c r="R20" s="19" t="s">
        <v>4188</v>
      </c>
      <c r="S20" s="1">
        <v>9.15157628E8</v>
      </c>
    </row>
    <row r="21">
      <c r="A21" s="22" t="s">
        <v>4222</v>
      </c>
      <c r="B21" s="1" t="s">
        <v>2916</v>
      </c>
      <c r="C21" s="1" t="s">
        <v>753</v>
      </c>
      <c r="D21" s="1" t="s">
        <v>422</v>
      </c>
      <c r="E21" s="2">
        <f>+251931387445</f>
        <v>251931387445</v>
      </c>
      <c r="F21" s="1" t="s">
        <v>33</v>
      </c>
      <c r="G21" s="1" t="s">
        <v>166</v>
      </c>
      <c r="H21" s="19" t="s">
        <v>4161</v>
      </c>
      <c r="I21" s="20" t="s">
        <v>4164</v>
      </c>
      <c r="J21" s="19" t="s">
        <v>4165</v>
      </c>
      <c r="K21" s="19" t="s">
        <v>4230</v>
      </c>
      <c r="L21" s="19" t="s">
        <v>4166</v>
      </c>
      <c r="M21" s="19" t="s">
        <v>4165</v>
      </c>
      <c r="N21" s="19" t="s">
        <v>4226</v>
      </c>
      <c r="O21" s="19" t="s">
        <v>4167</v>
      </c>
      <c r="P21" s="19" t="s">
        <v>4168</v>
      </c>
      <c r="Q21" s="19" t="s">
        <v>4165</v>
      </c>
      <c r="R21" s="19" t="s">
        <v>4169</v>
      </c>
      <c r="S21" s="1" t="s">
        <v>4233</v>
      </c>
    </row>
    <row r="22">
      <c r="A22" s="22" t="s">
        <v>4222</v>
      </c>
      <c r="B22" s="1" t="s">
        <v>2973</v>
      </c>
      <c r="C22" s="1" t="s">
        <v>1950</v>
      </c>
      <c r="D22" s="1" t="s">
        <v>484</v>
      </c>
      <c r="E22" s="2">
        <f>+251976130020</f>
        <v>251976130020</v>
      </c>
      <c r="F22" s="1" t="s">
        <v>33</v>
      </c>
      <c r="G22" s="1" t="s">
        <v>65</v>
      </c>
      <c r="H22" s="19" t="s">
        <v>4161</v>
      </c>
      <c r="I22" s="20" t="s">
        <v>4164</v>
      </c>
      <c r="J22" s="19" t="s">
        <v>4165</v>
      </c>
      <c r="K22" s="19" t="s">
        <v>4223</v>
      </c>
      <c r="L22" s="19" t="s">
        <v>4199</v>
      </c>
      <c r="M22" s="19" t="s">
        <v>4181</v>
      </c>
      <c r="N22" s="19" t="s">
        <v>4224</v>
      </c>
      <c r="O22" s="19" t="s">
        <v>4184</v>
      </c>
      <c r="P22" s="19" t="s">
        <v>4178</v>
      </c>
      <c r="Q22" s="19" t="s">
        <v>4165</v>
      </c>
      <c r="R22" s="19" t="s">
        <v>4179</v>
      </c>
      <c r="S22" s="1" t="s">
        <v>4225</v>
      </c>
    </row>
    <row r="23">
      <c r="A23" s="22" t="s">
        <v>4222</v>
      </c>
      <c r="B23" s="1" t="s">
        <v>2891</v>
      </c>
      <c r="C23" s="1" t="s">
        <v>2892</v>
      </c>
      <c r="D23" s="1" t="s">
        <v>2893</v>
      </c>
      <c r="E23" s="2">
        <f>+251994494610</f>
        <v>251994494610</v>
      </c>
      <c r="F23" s="1" t="s">
        <v>33</v>
      </c>
      <c r="G23" s="1" t="s">
        <v>177</v>
      </c>
      <c r="H23" s="19" t="s">
        <v>4161</v>
      </c>
      <c r="I23" s="20" t="s">
        <v>4164</v>
      </c>
      <c r="J23" s="19" t="s">
        <v>4165</v>
      </c>
      <c r="K23" s="19" t="s">
        <v>4223</v>
      </c>
      <c r="L23" s="19" t="s">
        <v>4199</v>
      </c>
      <c r="M23" s="19" t="s">
        <v>4165</v>
      </c>
      <c r="N23" s="19" t="s">
        <v>4226</v>
      </c>
      <c r="O23" s="19" t="s">
        <v>4184</v>
      </c>
      <c r="P23" s="19" t="s">
        <v>4178</v>
      </c>
      <c r="Q23" s="19" t="s">
        <v>4165</v>
      </c>
      <c r="R23" s="19" t="s">
        <v>4179</v>
      </c>
      <c r="S23" s="1" t="s">
        <v>4225</v>
      </c>
    </row>
    <row r="24">
      <c r="A24" s="22" t="s">
        <v>4222</v>
      </c>
      <c r="B24" s="1" t="s">
        <v>2940</v>
      </c>
      <c r="C24" s="1" t="s">
        <v>1254</v>
      </c>
      <c r="D24" s="1" t="s">
        <v>2941</v>
      </c>
      <c r="E24" s="2">
        <f>+251923736816</f>
        <v>251923736816</v>
      </c>
      <c r="F24" s="1" t="s">
        <v>33</v>
      </c>
      <c r="G24" s="1" t="s">
        <v>34</v>
      </c>
      <c r="H24" s="19" t="s">
        <v>4161</v>
      </c>
      <c r="I24" s="20" t="s">
        <v>4164</v>
      </c>
      <c r="J24" s="19" t="s">
        <v>4165</v>
      </c>
      <c r="K24" s="19" t="s">
        <v>4223</v>
      </c>
      <c r="L24" s="19" t="s">
        <v>4199</v>
      </c>
      <c r="M24" s="19" t="s">
        <v>4165</v>
      </c>
      <c r="N24" s="19" t="s">
        <v>4226</v>
      </c>
      <c r="O24" s="19" t="s">
        <v>4184</v>
      </c>
      <c r="P24" s="19" t="s">
        <v>4178</v>
      </c>
      <c r="Q24" s="19" t="s">
        <v>4165</v>
      </c>
      <c r="R24" s="19" t="s">
        <v>4179</v>
      </c>
      <c r="S24" s="1" t="s">
        <v>4225</v>
      </c>
    </row>
    <row r="25">
      <c r="A25" s="22" t="s">
        <v>4222</v>
      </c>
      <c r="B25" s="1" t="s">
        <v>2906</v>
      </c>
      <c r="C25" s="1" t="s">
        <v>2907</v>
      </c>
      <c r="D25" s="1" t="s">
        <v>2105</v>
      </c>
      <c r="E25" s="2">
        <f>+251975798523</f>
        <v>251975798523</v>
      </c>
      <c r="F25" s="1" t="s">
        <v>33</v>
      </c>
      <c r="G25" s="1" t="s">
        <v>65</v>
      </c>
      <c r="H25" s="19" t="s">
        <v>4161</v>
      </c>
      <c r="I25" s="20" t="s">
        <v>4164</v>
      </c>
      <c r="J25" s="19" t="s">
        <v>4165</v>
      </c>
      <c r="K25" s="19" t="s">
        <v>4223</v>
      </c>
      <c r="L25" s="19" t="s">
        <v>4199</v>
      </c>
      <c r="M25" s="19" t="s">
        <v>4181</v>
      </c>
      <c r="N25" s="19" t="s">
        <v>4224</v>
      </c>
      <c r="O25" s="19" t="s">
        <v>4184</v>
      </c>
      <c r="P25" s="19" t="s">
        <v>4178</v>
      </c>
      <c r="Q25" s="19" t="s">
        <v>4165</v>
      </c>
      <c r="R25" s="19" t="s">
        <v>4179</v>
      </c>
      <c r="S25" s="1" t="s">
        <v>4225</v>
      </c>
    </row>
    <row r="26">
      <c r="A26" s="22" t="s">
        <v>4222</v>
      </c>
      <c r="B26" s="1" t="s">
        <v>2970</v>
      </c>
      <c r="C26" s="1" t="s">
        <v>286</v>
      </c>
      <c r="D26" s="1" t="s">
        <v>2971</v>
      </c>
      <c r="E26" s="2">
        <f>+251994150954</f>
        <v>251994150954</v>
      </c>
      <c r="F26" s="1" t="s">
        <v>33</v>
      </c>
      <c r="G26" s="1" t="s">
        <v>166</v>
      </c>
      <c r="H26" s="19" t="s">
        <v>4161</v>
      </c>
      <c r="I26" s="20" t="s">
        <v>4164</v>
      </c>
      <c r="J26" s="19" t="s">
        <v>4165</v>
      </c>
      <c r="K26" s="19" t="s">
        <v>4223</v>
      </c>
      <c r="L26" s="19" t="s">
        <v>4199</v>
      </c>
      <c r="M26" s="19" t="s">
        <v>4181</v>
      </c>
      <c r="N26" s="19" t="s">
        <v>4224</v>
      </c>
      <c r="O26" s="19" t="s">
        <v>4184</v>
      </c>
      <c r="P26" s="19" t="s">
        <v>4178</v>
      </c>
      <c r="Q26" s="19" t="s">
        <v>4165</v>
      </c>
      <c r="R26" s="19" t="s">
        <v>4179</v>
      </c>
      <c r="S26" s="1" t="s">
        <v>4225</v>
      </c>
    </row>
    <row r="27">
      <c r="A27" s="22" t="s">
        <v>4222</v>
      </c>
      <c r="B27" s="1" t="s">
        <v>3005</v>
      </c>
      <c r="C27" s="1" t="s">
        <v>2210</v>
      </c>
      <c r="D27" s="1" t="s">
        <v>3006</v>
      </c>
      <c r="E27" s="2">
        <f>+251912656738</f>
        <v>251912656738</v>
      </c>
      <c r="F27" s="1" t="s">
        <v>33</v>
      </c>
      <c r="G27" s="1" t="s">
        <v>166</v>
      </c>
      <c r="H27" s="19" t="s">
        <v>4161</v>
      </c>
      <c r="I27" s="20" t="s">
        <v>4164</v>
      </c>
      <c r="J27" s="19" t="s">
        <v>4165</v>
      </c>
      <c r="K27" s="19" t="s">
        <v>4223</v>
      </c>
      <c r="L27" s="19" t="s">
        <v>4199</v>
      </c>
      <c r="M27" s="19" t="s">
        <v>4181</v>
      </c>
      <c r="N27" s="19" t="s">
        <v>4224</v>
      </c>
      <c r="O27" s="19" t="s">
        <v>4184</v>
      </c>
      <c r="P27" s="19" t="s">
        <v>4178</v>
      </c>
      <c r="Q27" s="19" t="s">
        <v>4165</v>
      </c>
      <c r="R27" s="19" t="s">
        <v>4179</v>
      </c>
      <c r="S27" s="1" t="s">
        <v>4225</v>
      </c>
    </row>
    <row r="28">
      <c r="A28" s="22" t="s">
        <v>4222</v>
      </c>
      <c r="B28" s="1" t="s">
        <v>2980</v>
      </c>
      <c r="C28" s="1" t="s">
        <v>750</v>
      </c>
      <c r="D28" s="1" t="s">
        <v>862</v>
      </c>
      <c r="E28" s="1">
        <v>9.33695064E8</v>
      </c>
      <c r="F28" s="1" t="s">
        <v>33</v>
      </c>
      <c r="G28" s="1" t="s">
        <v>118</v>
      </c>
      <c r="H28" s="19" t="s">
        <v>4161</v>
      </c>
      <c r="I28" s="20" t="s">
        <v>4164</v>
      </c>
      <c r="J28" s="19" t="s">
        <v>4165</v>
      </c>
      <c r="K28" s="19" t="s">
        <v>4230</v>
      </c>
      <c r="L28" s="19" t="s">
        <v>4166</v>
      </c>
      <c r="M28" s="19" t="s">
        <v>4165</v>
      </c>
      <c r="N28" s="19" t="s">
        <v>4226</v>
      </c>
      <c r="O28" s="19" t="s">
        <v>4167</v>
      </c>
      <c r="P28" s="19" t="s">
        <v>4168</v>
      </c>
      <c r="Q28" s="19" t="s">
        <v>4165</v>
      </c>
      <c r="R28" s="19" t="s">
        <v>4206</v>
      </c>
      <c r="S28" s="1" t="s">
        <v>4234</v>
      </c>
    </row>
    <row r="29">
      <c r="A29" s="22" t="s">
        <v>4222</v>
      </c>
      <c r="B29" s="1" t="s">
        <v>2969</v>
      </c>
      <c r="C29" s="1" t="s">
        <v>448</v>
      </c>
      <c r="D29" s="1" t="s">
        <v>959</v>
      </c>
      <c r="E29" s="2">
        <f>+251963429000</f>
        <v>251963429000</v>
      </c>
      <c r="F29" s="1" t="s">
        <v>33</v>
      </c>
      <c r="G29" s="1" t="s">
        <v>76</v>
      </c>
      <c r="H29" s="19" t="s">
        <v>4161</v>
      </c>
      <c r="I29" s="20" t="s">
        <v>4164</v>
      </c>
      <c r="J29" s="19" t="s">
        <v>4165</v>
      </c>
      <c r="K29" s="19" t="s">
        <v>4230</v>
      </c>
      <c r="L29" s="19" t="s">
        <v>4166</v>
      </c>
      <c r="M29" s="19" t="s">
        <v>4165</v>
      </c>
      <c r="N29" s="19" t="s">
        <v>4226</v>
      </c>
      <c r="O29" s="19" t="s">
        <v>4167</v>
      </c>
      <c r="P29" s="19" t="s">
        <v>4168</v>
      </c>
      <c r="Q29" s="19" t="s">
        <v>4165</v>
      </c>
      <c r="R29" s="19" t="s">
        <v>4169</v>
      </c>
      <c r="S29" s="1" t="s">
        <v>4233</v>
      </c>
    </row>
    <row r="30">
      <c r="A30" s="22" t="s">
        <v>4222</v>
      </c>
      <c r="B30" s="1" t="s">
        <v>2994</v>
      </c>
      <c r="C30" s="1" t="s">
        <v>2995</v>
      </c>
      <c r="D30" s="1" t="s">
        <v>2996</v>
      </c>
      <c r="E30" s="2">
        <f>+251952212594</f>
        <v>251952212594</v>
      </c>
      <c r="F30" s="1" t="s">
        <v>33</v>
      </c>
      <c r="G30" s="1" t="s">
        <v>34</v>
      </c>
      <c r="H30" s="19" t="s">
        <v>4161</v>
      </c>
      <c r="I30" s="20" t="s">
        <v>4164</v>
      </c>
      <c r="J30" s="19" t="s">
        <v>4165</v>
      </c>
      <c r="K30" s="19" t="s">
        <v>4230</v>
      </c>
      <c r="L30" s="19" t="s">
        <v>4166</v>
      </c>
      <c r="M30" s="19" t="s">
        <v>4165</v>
      </c>
      <c r="N30" s="19" t="s">
        <v>4226</v>
      </c>
      <c r="O30" s="19" t="s">
        <v>4167</v>
      </c>
      <c r="P30" s="19" t="s">
        <v>4168</v>
      </c>
      <c r="Q30" s="19" t="s">
        <v>4165</v>
      </c>
      <c r="R30" s="19" t="s">
        <v>4169</v>
      </c>
      <c r="S30" s="1" t="s">
        <v>4233</v>
      </c>
    </row>
    <row r="31">
      <c r="A31" s="22" t="s">
        <v>4222</v>
      </c>
      <c r="B31" s="1" t="s">
        <v>2939</v>
      </c>
      <c r="C31" s="1" t="s">
        <v>2160</v>
      </c>
      <c r="D31" s="1" t="s">
        <v>292</v>
      </c>
      <c r="E31" s="2">
        <f>+251941244259</f>
        <v>251941244259</v>
      </c>
      <c r="F31" s="1" t="s">
        <v>33</v>
      </c>
      <c r="G31" s="1" t="s">
        <v>34</v>
      </c>
      <c r="H31" s="19" t="s">
        <v>4161</v>
      </c>
      <c r="I31" s="20" t="s">
        <v>4164</v>
      </c>
      <c r="J31" s="19" t="s">
        <v>4165</v>
      </c>
      <c r="K31" s="19" t="s">
        <v>4230</v>
      </c>
      <c r="L31" s="19" t="s">
        <v>4166</v>
      </c>
      <c r="M31" s="19" t="s">
        <v>4165</v>
      </c>
      <c r="N31" s="19" t="s">
        <v>4226</v>
      </c>
      <c r="O31" s="19" t="s">
        <v>4167</v>
      </c>
      <c r="P31" s="19" t="s">
        <v>4168</v>
      </c>
      <c r="Q31" s="19" t="s">
        <v>4165</v>
      </c>
      <c r="R31" s="19" t="s">
        <v>4169</v>
      </c>
      <c r="S31" s="1" t="s">
        <v>4233</v>
      </c>
    </row>
    <row r="32">
      <c r="A32" s="22" t="s">
        <v>4222</v>
      </c>
      <c r="B32" s="1" t="s">
        <v>3009</v>
      </c>
      <c r="C32" s="1" t="s">
        <v>956</v>
      </c>
      <c r="D32" s="1" t="s">
        <v>3010</v>
      </c>
      <c r="E32" s="2">
        <f>+251947378248</f>
        <v>251947378248</v>
      </c>
      <c r="F32" s="1" t="s">
        <v>33</v>
      </c>
      <c r="G32" s="1" t="s">
        <v>177</v>
      </c>
      <c r="H32" s="19" t="s">
        <v>4161</v>
      </c>
      <c r="I32" s="20" t="s">
        <v>4164</v>
      </c>
      <c r="J32" s="19" t="s">
        <v>4165</v>
      </c>
      <c r="K32" s="19" t="s">
        <v>4230</v>
      </c>
      <c r="L32" s="19" t="s">
        <v>4166</v>
      </c>
      <c r="M32" s="19" t="s">
        <v>4165</v>
      </c>
      <c r="N32" s="19" t="s">
        <v>4226</v>
      </c>
      <c r="O32" s="19" t="s">
        <v>4167</v>
      </c>
      <c r="P32" s="19" t="s">
        <v>4168</v>
      </c>
      <c r="Q32" s="19" t="s">
        <v>4165</v>
      </c>
      <c r="R32" s="19" t="s">
        <v>4169</v>
      </c>
      <c r="S32" s="1" t="s">
        <v>4233</v>
      </c>
    </row>
    <row r="33">
      <c r="A33" s="22" t="s">
        <v>4222</v>
      </c>
      <c r="B33" s="1" t="s">
        <v>2648</v>
      </c>
      <c r="C33" s="1" t="s">
        <v>1069</v>
      </c>
      <c r="D33" s="1" t="s">
        <v>2649</v>
      </c>
      <c r="E33" s="2">
        <f>+251919564409</f>
        <v>251919564409</v>
      </c>
      <c r="F33" s="1" t="s">
        <v>33</v>
      </c>
      <c r="G33" s="1" t="s">
        <v>235</v>
      </c>
      <c r="H33" s="19" t="s">
        <v>4161</v>
      </c>
      <c r="I33" s="20" t="s">
        <v>4207</v>
      </c>
      <c r="J33" s="19"/>
      <c r="K33" s="19"/>
      <c r="L33" s="19"/>
      <c r="M33" s="19"/>
      <c r="N33" s="21"/>
      <c r="O33" s="19"/>
      <c r="P33" s="19"/>
      <c r="Q33" s="19"/>
      <c r="R33" s="19"/>
    </row>
    <row r="34">
      <c r="A34" s="22" t="s">
        <v>4222</v>
      </c>
      <c r="B34" s="1" t="s">
        <v>2650</v>
      </c>
      <c r="C34" s="1" t="s">
        <v>2651</v>
      </c>
      <c r="D34" s="1" t="s">
        <v>437</v>
      </c>
      <c r="E34" s="2">
        <f>+251948884449</f>
        <v>251948884449</v>
      </c>
      <c r="F34" s="1" t="s">
        <v>33</v>
      </c>
      <c r="G34" s="1" t="s">
        <v>76</v>
      </c>
      <c r="H34" s="19" t="s">
        <v>4161</v>
      </c>
      <c r="I34" s="20" t="s">
        <v>4207</v>
      </c>
      <c r="J34" s="19"/>
      <c r="K34" s="19"/>
      <c r="L34" s="19"/>
      <c r="M34" s="19"/>
      <c r="N34" s="21"/>
      <c r="O34" s="19"/>
      <c r="P34" s="19"/>
      <c r="Q34" s="19"/>
      <c r="R34" s="19"/>
    </row>
    <row r="35">
      <c r="A35" s="22" t="s">
        <v>4222</v>
      </c>
      <c r="B35" s="1" t="s">
        <v>2673</v>
      </c>
      <c r="C35" s="1" t="s">
        <v>60</v>
      </c>
      <c r="D35" s="1" t="s">
        <v>2674</v>
      </c>
      <c r="E35" s="2">
        <f>+251962246363</f>
        <v>251962246363</v>
      </c>
      <c r="F35" s="1" t="s">
        <v>33</v>
      </c>
      <c r="G35" s="1" t="s">
        <v>34</v>
      </c>
      <c r="H35" s="19" t="s">
        <v>4161</v>
      </c>
      <c r="I35" s="20" t="s">
        <v>4207</v>
      </c>
      <c r="J35" s="19"/>
      <c r="K35" s="19"/>
      <c r="L35" s="19"/>
      <c r="M35" s="19"/>
      <c r="N35" s="21"/>
      <c r="O35" s="19"/>
      <c r="P35" s="19"/>
      <c r="Q35" s="19"/>
      <c r="R35" s="19"/>
    </row>
    <row r="36">
      <c r="A36" s="22" t="s">
        <v>4222</v>
      </c>
      <c r="B36" s="1" t="s">
        <v>2694</v>
      </c>
      <c r="C36" s="1" t="s">
        <v>756</v>
      </c>
      <c r="D36" s="1" t="s">
        <v>600</v>
      </c>
      <c r="E36" s="2">
        <f>+251973339590</f>
        <v>251973339590</v>
      </c>
      <c r="F36" s="1" t="s">
        <v>33</v>
      </c>
      <c r="G36" s="1" t="s">
        <v>76</v>
      </c>
      <c r="H36" s="19" t="s">
        <v>4161</v>
      </c>
      <c r="I36" s="20" t="s">
        <v>4207</v>
      </c>
      <c r="J36" s="19"/>
      <c r="K36" s="21"/>
      <c r="L36" s="19"/>
      <c r="M36" s="19"/>
      <c r="N36" s="21"/>
      <c r="O36" s="19"/>
      <c r="P36" s="19"/>
      <c r="Q36" s="19"/>
      <c r="R36" s="19"/>
    </row>
    <row r="37">
      <c r="A37" s="22" t="s">
        <v>4222</v>
      </c>
      <c r="B37" s="1" t="s">
        <v>2719</v>
      </c>
      <c r="C37" s="1" t="s">
        <v>2068</v>
      </c>
      <c r="D37" s="1" t="s">
        <v>455</v>
      </c>
      <c r="E37" s="2">
        <f>+251966823121</f>
        <v>251966823121</v>
      </c>
      <c r="F37" s="1" t="s">
        <v>33</v>
      </c>
      <c r="G37" s="1" t="s">
        <v>118</v>
      </c>
      <c r="H37" s="19" t="s">
        <v>4161</v>
      </c>
      <c r="I37" s="20" t="s">
        <v>4207</v>
      </c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22" t="s">
        <v>4222</v>
      </c>
      <c r="B38" s="1" t="s">
        <v>2793</v>
      </c>
      <c r="C38" s="1" t="s">
        <v>1323</v>
      </c>
      <c r="D38" s="1" t="s">
        <v>375</v>
      </c>
      <c r="E38" s="2">
        <f>+251954926213</f>
        <v>251954926213</v>
      </c>
      <c r="F38" s="1" t="s">
        <v>33</v>
      </c>
      <c r="G38" s="1" t="s">
        <v>34</v>
      </c>
      <c r="H38" s="19" t="s">
        <v>4161</v>
      </c>
      <c r="I38" s="20" t="s">
        <v>4207</v>
      </c>
      <c r="J38" s="19"/>
      <c r="K38" s="21"/>
      <c r="L38" s="19"/>
      <c r="M38" s="19"/>
      <c r="N38" s="21"/>
      <c r="O38" s="19"/>
      <c r="P38" s="19"/>
      <c r="Q38" s="19"/>
      <c r="R38" s="19"/>
    </row>
    <row r="39">
      <c r="A39" s="22" t="s">
        <v>4222</v>
      </c>
      <c r="B39" s="1" t="s">
        <v>2806</v>
      </c>
      <c r="C39" s="1" t="s">
        <v>2807</v>
      </c>
      <c r="D39" s="1" t="s">
        <v>2808</v>
      </c>
      <c r="E39" s="2">
        <f>+601169880785</f>
        <v>601169880785</v>
      </c>
      <c r="F39" s="1" t="s">
        <v>33</v>
      </c>
      <c r="G39" s="1" t="s">
        <v>34</v>
      </c>
      <c r="H39" s="19" t="s">
        <v>4161</v>
      </c>
      <c r="I39" s="20" t="s">
        <v>4207</v>
      </c>
      <c r="J39" s="19"/>
      <c r="K39" s="19"/>
      <c r="L39" s="21"/>
      <c r="M39" s="21"/>
      <c r="N39" s="21"/>
      <c r="O39" s="21"/>
      <c r="P39" s="21"/>
      <c r="Q39" s="21"/>
      <c r="R39" s="19"/>
    </row>
    <row r="40">
      <c r="A40" s="22" t="s">
        <v>4222</v>
      </c>
      <c r="B40" s="1" t="s">
        <v>2832</v>
      </c>
      <c r="C40" s="1" t="s">
        <v>2822</v>
      </c>
      <c r="D40" s="1" t="s">
        <v>2823</v>
      </c>
      <c r="E40" s="2">
        <f>+251921155704</f>
        <v>251921155704</v>
      </c>
      <c r="F40" s="1" t="s">
        <v>33</v>
      </c>
      <c r="G40" s="1" t="s">
        <v>65</v>
      </c>
      <c r="H40" s="19" t="s">
        <v>4161</v>
      </c>
      <c r="I40" s="20" t="s">
        <v>4207</v>
      </c>
      <c r="J40" s="19"/>
      <c r="K40" s="19"/>
      <c r="L40" s="19"/>
      <c r="M40" s="19"/>
      <c r="N40" s="21"/>
      <c r="O40" s="19"/>
      <c r="P40" s="19"/>
      <c r="Q40" s="19"/>
      <c r="R40" s="19"/>
    </row>
    <row r="41">
      <c r="A41" s="22" t="s">
        <v>4222</v>
      </c>
      <c r="B41" s="1" t="s">
        <v>2897</v>
      </c>
      <c r="C41" s="1" t="s">
        <v>865</v>
      </c>
      <c r="D41" s="1" t="s">
        <v>2898</v>
      </c>
      <c r="E41" s="2">
        <f>+251911093701</f>
        <v>251911093701</v>
      </c>
      <c r="F41" s="1" t="s">
        <v>33</v>
      </c>
      <c r="G41" s="1" t="s">
        <v>65</v>
      </c>
      <c r="H41" s="19" t="s">
        <v>4161</v>
      </c>
      <c r="I41" s="20" t="s">
        <v>4207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>
      <c r="A42" s="22" t="s">
        <v>4222</v>
      </c>
      <c r="B42" s="1" t="s">
        <v>2920</v>
      </c>
      <c r="C42" s="1" t="s">
        <v>618</v>
      </c>
      <c r="D42" s="1" t="s">
        <v>1107</v>
      </c>
      <c r="E42" s="1">
        <v>9.22757957E8</v>
      </c>
      <c r="F42" s="1" t="s">
        <v>33</v>
      </c>
      <c r="G42" s="1" t="s">
        <v>65</v>
      </c>
      <c r="H42" s="19" t="s">
        <v>4161</v>
      </c>
      <c r="I42" s="20" t="s">
        <v>4207</v>
      </c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22" t="s">
        <v>4222</v>
      </c>
      <c r="B43" s="1" t="s">
        <v>2921</v>
      </c>
      <c r="C43" s="1" t="s">
        <v>2922</v>
      </c>
      <c r="D43" s="1" t="s">
        <v>2923</v>
      </c>
      <c r="E43" s="2">
        <f>+251968263680</f>
        <v>251968263680</v>
      </c>
      <c r="F43" s="1" t="s">
        <v>33</v>
      </c>
      <c r="G43" s="1" t="s">
        <v>65</v>
      </c>
      <c r="H43" s="19" t="s">
        <v>4161</v>
      </c>
      <c r="I43" s="20" t="s">
        <v>4207</v>
      </c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22" t="s">
        <v>4222</v>
      </c>
      <c r="B44" s="1" t="s">
        <v>2926</v>
      </c>
      <c r="C44" s="1" t="s">
        <v>2927</v>
      </c>
      <c r="D44" s="1" t="s">
        <v>2928</v>
      </c>
      <c r="E44" s="2">
        <f>+251918941460</f>
        <v>251918941460</v>
      </c>
      <c r="F44" s="1" t="s">
        <v>33</v>
      </c>
      <c r="G44" s="1" t="s">
        <v>118</v>
      </c>
      <c r="H44" s="19" t="s">
        <v>4161</v>
      </c>
      <c r="I44" s="20" t="s">
        <v>4207</v>
      </c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22" t="s">
        <v>4222</v>
      </c>
      <c r="B45" s="1" t="s">
        <v>2999</v>
      </c>
      <c r="C45" s="1" t="s">
        <v>1144</v>
      </c>
      <c r="D45" s="1" t="s">
        <v>333</v>
      </c>
      <c r="E45" s="2">
        <f>+251919205443</f>
        <v>251919205443</v>
      </c>
      <c r="F45" s="1" t="s">
        <v>33</v>
      </c>
      <c r="G45" s="1" t="s">
        <v>34</v>
      </c>
      <c r="H45" s="19" t="s">
        <v>4161</v>
      </c>
      <c r="I45" s="20" t="s">
        <v>4207</v>
      </c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2" t="s">
        <v>4222</v>
      </c>
      <c r="B46" s="1" t="s">
        <v>2870</v>
      </c>
      <c r="C46" s="1" t="s">
        <v>1897</v>
      </c>
      <c r="D46" s="1" t="s">
        <v>2871</v>
      </c>
      <c r="E46" s="2">
        <f>+251985401208</f>
        <v>251985401208</v>
      </c>
      <c r="F46" s="1" t="s">
        <v>33</v>
      </c>
      <c r="G46" s="1" t="s">
        <v>76</v>
      </c>
      <c r="H46" s="19" t="s">
        <v>4161</v>
      </c>
      <c r="I46" s="20" t="s">
        <v>4207</v>
      </c>
      <c r="J46" s="19"/>
      <c r="K46" s="19"/>
      <c r="L46" s="21"/>
      <c r="M46" s="21"/>
      <c r="N46" s="21"/>
      <c r="O46" s="21"/>
      <c r="P46" s="21"/>
      <c r="Q46" s="21"/>
      <c r="R46" s="19"/>
    </row>
    <row r="47">
      <c r="A47" s="22" t="s">
        <v>4222</v>
      </c>
      <c r="B47" s="1" t="s">
        <v>2756</v>
      </c>
      <c r="C47" s="1" t="s">
        <v>2757</v>
      </c>
      <c r="D47" s="1" t="s">
        <v>2242</v>
      </c>
      <c r="E47" s="2">
        <f>+251937808100</f>
        <v>251937808100</v>
      </c>
      <c r="F47" s="1" t="s">
        <v>33</v>
      </c>
      <c r="G47" s="1" t="s">
        <v>34</v>
      </c>
      <c r="H47" s="19" t="s">
        <v>4161</v>
      </c>
      <c r="I47" s="20" t="s">
        <v>4208</v>
      </c>
      <c r="J47" s="19"/>
      <c r="K47" s="19"/>
      <c r="L47" s="19"/>
      <c r="M47" s="19"/>
      <c r="N47" s="21"/>
      <c r="O47" s="19"/>
      <c r="P47" s="19"/>
      <c r="Q47" s="19"/>
      <c r="R47" s="19"/>
    </row>
    <row r="48">
      <c r="A48" s="22" t="s">
        <v>4222</v>
      </c>
      <c r="B48" s="1" t="s">
        <v>2821</v>
      </c>
      <c r="C48" s="1" t="s">
        <v>2822</v>
      </c>
      <c r="D48" s="1" t="s">
        <v>2823</v>
      </c>
      <c r="E48" s="2">
        <f>+251910361812</f>
        <v>251910361812</v>
      </c>
      <c r="F48" s="1" t="s">
        <v>33</v>
      </c>
      <c r="G48" s="1" t="s">
        <v>65</v>
      </c>
      <c r="H48" s="19" t="s">
        <v>4161</v>
      </c>
      <c r="I48" s="20" t="s">
        <v>4208</v>
      </c>
      <c r="J48" s="19"/>
      <c r="K48" s="19"/>
      <c r="L48" s="19"/>
      <c r="M48" s="19"/>
      <c r="N48" s="21"/>
      <c r="O48" s="19"/>
      <c r="P48" s="19"/>
      <c r="Q48" s="19"/>
      <c r="R48" s="19"/>
    </row>
    <row r="49">
      <c r="A49" s="22" t="s">
        <v>4222</v>
      </c>
      <c r="B49" s="1" t="s">
        <v>2824</v>
      </c>
      <c r="C49" s="1" t="s">
        <v>2825</v>
      </c>
      <c r="D49" s="1" t="s">
        <v>2825</v>
      </c>
      <c r="E49" s="1">
        <v>9.11705843E8</v>
      </c>
      <c r="F49" s="1" t="s">
        <v>33</v>
      </c>
      <c r="G49" s="1" t="s">
        <v>34</v>
      </c>
      <c r="H49" s="19" t="s">
        <v>4161</v>
      </c>
      <c r="I49" s="20" t="s">
        <v>4208</v>
      </c>
      <c r="J49" s="19"/>
      <c r="K49" s="19"/>
      <c r="L49" s="19"/>
      <c r="M49" s="19"/>
      <c r="N49" s="21"/>
      <c r="O49" s="19"/>
      <c r="P49" s="19"/>
      <c r="Q49" s="19"/>
      <c r="R49" s="19"/>
    </row>
    <row r="50">
      <c r="A50" s="22" t="s">
        <v>4222</v>
      </c>
      <c r="B50" s="1" t="s">
        <v>2957</v>
      </c>
      <c r="C50" s="1" t="s">
        <v>2160</v>
      </c>
      <c r="D50" s="1" t="s">
        <v>2958</v>
      </c>
      <c r="E50" s="2">
        <f>+251944494970</f>
        <v>251944494970</v>
      </c>
      <c r="F50" s="1" t="s">
        <v>33</v>
      </c>
      <c r="G50" s="1" t="s">
        <v>65</v>
      </c>
      <c r="H50" s="19" t="s">
        <v>4161</v>
      </c>
      <c r="I50" s="20" t="s">
        <v>4208</v>
      </c>
      <c r="J50" s="21"/>
      <c r="K50" s="19"/>
      <c r="L50" s="21"/>
      <c r="M50" s="21"/>
      <c r="N50" s="21"/>
      <c r="O50" s="21"/>
      <c r="P50" s="21"/>
      <c r="Q50" s="21"/>
      <c r="R50" s="21"/>
    </row>
    <row r="51">
      <c r="A51" s="22" t="s">
        <v>4222</v>
      </c>
      <c r="B51" s="1" t="s">
        <v>3000</v>
      </c>
      <c r="C51" s="1" t="s">
        <v>3001</v>
      </c>
      <c r="D51" s="1" t="s">
        <v>820</v>
      </c>
      <c r="E51" s="2">
        <f>+251968054186</f>
        <v>251968054186</v>
      </c>
      <c r="F51" s="1" t="s">
        <v>33</v>
      </c>
      <c r="G51" s="1" t="s">
        <v>65</v>
      </c>
      <c r="H51" s="19" t="s">
        <v>4161</v>
      </c>
      <c r="I51" s="20" t="s">
        <v>4208</v>
      </c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3.38"/>
    <col customWidth="1" min="11" max="11" width="16.75"/>
    <col customWidth="1" min="12" max="12" width="19.88"/>
    <col customWidth="1" min="13" max="13" width="16.75"/>
    <col customWidth="1" min="14" max="14" width="18.63"/>
    <col customWidth="1" min="15" max="15" width="1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4235</v>
      </c>
      <c r="B2" s="1" t="s">
        <v>2384</v>
      </c>
      <c r="C2" s="1" t="s">
        <v>2385</v>
      </c>
      <c r="D2" s="1" t="s">
        <v>2386</v>
      </c>
      <c r="E2" s="2">
        <f>+251093914052</f>
        <v>251093914052</v>
      </c>
      <c r="F2" s="1" t="s">
        <v>26</v>
      </c>
      <c r="H2" s="19" t="s">
        <v>4161</v>
      </c>
      <c r="I2" s="20" t="s">
        <v>4163</v>
      </c>
      <c r="J2" s="21"/>
      <c r="K2" s="21"/>
      <c r="L2" s="21"/>
      <c r="M2" s="21"/>
      <c r="N2" s="21"/>
      <c r="O2" s="21"/>
      <c r="P2" s="21"/>
      <c r="Q2" s="21"/>
      <c r="R2" s="21"/>
    </row>
    <row r="3">
      <c r="A3" s="22" t="s">
        <v>4235</v>
      </c>
      <c r="B3" s="1" t="s">
        <v>3164</v>
      </c>
      <c r="C3" s="1" t="s">
        <v>834</v>
      </c>
      <c r="D3" s="1" t="s">
        <v>630</v>
      </c>
      <c r="E3" s="2">
        <v>2.51903776539E11</v>
      </c>
      <c r="F3" s="1" t="s">
        <v>26</v>
      </c>
      <c r="H3" s="19" t="s">
        <v>4236</v>
      </c>
      <c r="I3" s="20" t="s">
        <v>4164</v>
      </c>
      <c r="J3" s="19" t="s">
        <v>4165</v>
      </c>
      <c r="K3" s="19" t="s">
        <v>4237</v>
      </c>
      <c r="L3" s="19" t="s">
        <v>4166</v>
      </c>
      <c r="M3" s="19" t="s">
        <v>4165</v>
      </c>
      <c r="N3" s="21"/>
      <c r="O3" s="19" t="s">
        <v>4167</v>
      </c>
      <c r="P3" s="19" t="s">
        <v>4168</v>
      </c>
      <c r="Q3" s="19" t="s">
        <v>4165</v>
      </c>
      <c r="R3" s="19" t="s">
        <v>4169</v>
      </c>
      <c r="S3" s="1" t="s">
        <v>4238</v>
      </c>
    </row>
    <row r="4">
      <c r="A4" s="22" t="s">
        <v>4235</v>
      </c>
      <c r="B4" s="1" t="s">
        <v>3165</v>
      </c>
      <c r="C4" s="1" t="s">
        <v>1098</v>
      </c>
      <c r="D4" s="1" t="s">
        <v>195</v>
      </c>
      <c r="E4" s="2">
        <v>2.51996181483E11</v>
      </c>
      <c r="F4" s="1" t="s">
        <v>26</v>
      </c>
      <c r="H4" s="19" t="s">
        <v>4236</v>
      </c>
      <c r="I4" s="20" t="s">
        <v>4164</v>
      </c>
      <c r="J4" s="19" t="s">
        <v>4165</v>
      </c>
      <c r="K4" s="19" t="s">
        <v>4239</v>
      </c>
      <c r="L4" s="19" t="s">
        <v>4199</v>
      </c>
      <c r="M4" s="19" t="s">
        <v>4165</v>
      </c>
      <c r="N4" s="21"/>
      <c r="O4" s="19" t="s">
        <v>4184</v>
      </c>
      <c r="P4" s="19" t="s">
        <v>4240</v>
      </c>
      <c r="Q4" s="19" t="s">
        <v>4165</v>
      </c>
      <c r="R4" s="19" t="s">
        <v>4179</v>
      </c>
    </row>
    <row r="5">
      <c r="A5" s="22" t="s">
        <v>4235</v>
      </c>
      <c r="B5" s="1" t="s">
        <v>3169</v>
      </c>
      <c r="C5" s="1" t="s">
        <v>3170</v>
      </c>
      <c r="D5" s="1" t="s">
        <v>839</v>
      </c>
      <c r="E5" s="2">
        <v>2.51923149652E11</v>
      </c>
      <c r="F5" s="1" t="s">
        <v>26</v>
      </c>
      <c r="H5" s="19" t="s">
        <v>4236</v>
      </c>
      <c r="I5" s="20" t="s">
        <v>4164</v>
      </c>
      <c r="J5" s="19" t="s">
        <v>4165</v>
      </c>
      <c r="K5" s="19" t="s">
        <v>4239</v>
      </c>
      <c r="L5" s="19" t="s">
        <v>4199</v>
      </c>
      <c r="M5" s="19" t="s">
        <v>4181</v>
      </c>
      <c r="N5" s="19" t="s">
        <v>4241</v>
      </c>
      <c r="O5" s="19" t="s">
        <v>4184</v>
      </c>
      <c r="P5" s="19" t="s">
        <v>4178</v>
      </c>
      <c r="Q5" s="19" t="s">
        <v>4165</v>
      </c>
      <c r="R5" s="19" t="s">
        <v>4179</v>
      </c>
    </row>
    <row r="6">
      <c r="A6" s="22" t="s">
        <v>4235</v>
      </c>
      <c r="B6" s="1" t="s">
        <v>3175</v>
      </c>
      <c r="C6" s="1" t="s">
        <v>1128</v>
      </c>
      <c r="D6" s="1" t="s">
        <v>328</v>
      </c>
      <c r="E6" s="2">
        <v>2.51936092577E11</v>
      </c>
      <c r="F6" s="1" t="s">
        <v>26</v>
      </c>
      <c r="H6" s="19" t="s">
        <v>4236</v>
      </c>
      <c r="I6" s="20" t="s">
        <v>4164</v>
      </c>
      <c r="J6" s="19" t="s">
        <v>4165</v>
      </c>
      <c r="K6" s="19" t="s">
        <v>4173</v>
      </c>
      <c r="L6" s="19" t="s">
        <v>4172</v>
      </c>
      <c r="M6" s="19" t="s">
        <v>4165</v>
      </c>
      <c r="N6" s="21"/>
      <c r="O6" s="19" t="s">
        <v>4172</v>
      </c>
      <c r="P6" s="19" t="s">
        <v>4173</v>
      </c>
      <c r="Q6" s="19" t="s">
        <v>4165</v>
      </c>
      <c r="R6" s="19" t="s">
        <v>4174</v>
      </c>
      <c r="S6" s="1" t="s">
        <v>4242</v>
      </c>
    </row>
    <row r="7">
      <c r="A7" s="22" t="s">
        <v>4235</v>
      </c>
      <c r="B7" s="1" t="s">
        <v>3186</v>
      </c>
      <c r="C7" s="1" t="s">
        <v>3187</v>
      </c>
      <c r="D7" s="1" t="s">
        <v>3188</v>
      </c>
      <c r="E7" s="2">
        <v>2.51967268991E11</v>
      </c>
      <c r="F7" s="1" t="s">
        <v>26</v>
      </c>
      <c r="H7" s="19" t="s">
        <v>4236</v>
      </c>
      <c r="I7" s="20" t="s">
        <v>4164</v>
      </c>
      <c r="J7" s="19" t="s">
        <v>4165</v>
      </c>
      <c r="K7" s="19" t="s">
        <v>4237</v>
      </c>
      <c r="L7" s="19" t="s">
        <v>4166</v>
      </c>
      <c r="M7" s="19" t="s">
        <v>4165</v>
      </c>
      <c r="N7" s="21"/>
      <c r="O7" s="19" t="s">
        <v>4167</v>
      </c>
      <c r="P7" s="19" t="s">
        <v>4168</v>
      </c>
      <c r="Q7" s="19" t="s">
        <v>4165</v>
      </c>
      <c r="R7" s="19" t="s">
        <v>4169</v>
      </c>
      <c r="S7" s="1" t="s">
        <v>4243</v>
      </c>
    </row>
    <row r="8">
      <c r="A8" s="22" t="s">
        <v>4235</v>
      </c>
      <c r="B8" s="1" t="s">
        <v>3189</v>
      </c>
      <c r="C8" s="1" t="s">
        <v>528</v>
      </c>
      <c r="D8" s="1" t="s">
        <v>3190</v>
      </c>
      <c r="E8" s="2">
        <v>2.51912139895E11</v>
      </c>
      <c r="F8" s="1" t="s">
        <v>26</v>
      </c>
      <c r="H8" s="19" t="s">
        <v>4236</v>
      </c>
      <c r="I8" s="20" t="s">
        <v>4164</v>
      </c>
      <c r="J8" s="19" t="s">
        <v>4165</v>
      </c>
      <c r="K8" s="19" t="s">
        <v>4244</v>
      </c>
      <c r="L8" s="19" t="s">
        <v>4166</v>
      </c>
      <c r="M8" s="19" t="s">
        <v>4165</v>
      </c>
      <c r="N8" s="21"/>
      <c r="O8" s="19" t="s">
        <v>4167</v>
      </c>
      <c r="P8" s="19" t="s">
        <v>4168</v>
      </c>
      <c r="Q8" s="19" t="s">
        <v>4165</v>
      </c>
      <c r="R8" s="19" t="s">
        <v>4169</v>
      </c>
      <c r="S8" s="1" t="s">
        <v>4244</v>
      </c>
    </row>
    <row r="9">
      <c r="A9" s="22" t="s">
        <v>4235</v>
      </c>
      <c r="B9" s="1" t="s">
        <v>3191</v>
      </c>
      <c r="C9" s="1" t="s">
        <v>3192</v>
      </c>
      <c r="D9" s="1" t="s">
        <v>1649</v>
      </c>
      <c r="E9" s="2">
        <v>2.5196875744E11</v>
      </c>
      <c r="F9" s="1" t="s">
        <v>26</v>
      </c>
      <c r="H9" s="19" t="s">
        <v>4236</v>
      </c>
      <c r="I9" s="20" t="s">
        <v>4164</v>
      </c>
      <c r="J9" s="19" t="s">
        <v>4181</v>
      </c>
      <c r="K9" s="19"/>
      <c r="L9" s="19" t="s">
        <v>4183</v>
      </c>
      <c r="M9" s="19" t="s">
        <v>4165</v>
      </c>
      <c r="N9" s="21"/>
      <c r="O9" s="19" t="s">
        <v>4184</v>
      </c>
      <c r="P9" s="19" t="s">
        <v>4240</v>
      </c>
      <c r="Q9" s="19" t="s">
        <v>4165</v>
      </c>
      <c r="R9" s="19" t="s">
        <v>4179</v>
      </c>
    </row>
    <row r="10">
      <c r="A10" s="22" t="s">
        <v>4235</v>
      </c>
      <c r="B10" s="1" t="s">
        <v>3193</v>
      </c>
      <c r="C10" s="1" t="s">
        <v>510</v>
      </c>
      <c r="D10" s="1" t="s">
        <v>189</v>
      </c>
      <c r="E10" s="2">
        <v>2.51938408915E11</v>
      </c>
      <c r="F10" s="1" t="s">
        <v>26</v>
      </c>
      <c r="H10" s="19" t="s">
        <v>4236</v>
      </c>
      <c r="I10" s="20" t="s">
        <v>4164</v>
      </c>
      <c r="J10" s="19" t="s">
        <v>4165</v>
      </c>
      <c r="K10" s="19" t="s">
        <v>4245</v>
      </c>
      <c r="L10" s="19" t="s">
        <v>4166</v>
      </c>
      <c r="M10" s="19" t="s">
        <v>4165</v>
      </c>
      <c r="N10" s="21"/>
      <c r="O10" s="19" t="s">
        <v>4167</v>
      </c>
      <c r="P10" s="19" t="s">
        <v>4168</v>
      </c>
      <c r="Q10" s="19" t="s">
        <v>4165</v>
      </c>
      <c r="R10" s="19" t="s">
        <v>4195</v>
      </c>
    </row>
    <row r="11">
      <c r="A11" s="22" t="s">
        <v>4235</v>
      </c>
      <c r="B11" s="1" t="s">
        <v>3194</v>
      </c>
      <c r="C11" s="1" t="s">
        <v>3195</v>
      </c>
      <c r="D11" s="1" t="s">
        <v>3196</v>
      </c>
      <c r="E11" s="2">
        <v>2.51936637577E11</v>
      </c>
      <c r="F11" s="1" t="s">
        <v>26</v>
      </c>
      <c r="H11" s="19" t="s">
        <v>4236</v>
      </c>
      <c r="I11" s="20" t="s">
        <v>4164</v>
      </c>
      <c r="J11" s="19" t="s">
        <v>4165</v>
      </c>
      <c r="K11" s="19" t="s">
        <v>4246</v>
      </c>
      <c r="L11" s="19" t="s">
        <v>4172</v>
      </c>
      <c r="M11" s="19" t="s">
        <v>4165</v>
      </c>
      <c r="N11" s="21"/>
      <c r="O11" s="19" t="s">
        <v>4172</v>
      </c>
      <c r="P11" s="19" t="s">
        <v>4173</v>
      </c>
      <c r="Q11" s="19" t="s">
        <v>4165</v>
      </c>
      <c r="R11" s="19" t="s">
        <v>4174</v>
      </c>
      <c r="S11" s="1" t="s">
        <v>4246</v>
      </c>
    </row>
    <row r="12">
      <c r="A12" s="22" t="s">
        <v>4235</v>
      </c>
      <c r="B12" s="1" t="s">
        <v>3198</v>
      </c>
      <c r="C12" s="1" t="s">
        <v>108</v>
      </c>
      <c r="D12" s="1" t="s">
        <v>3199</v>
      </c>
      <c r="E12" s="2">
        <v>2.51911342099E11</v>
      </c>
      <c r="F12" s="1" t="s">
        <v>26</v>
      </c>
      <c r="H12" s="19" t="s">
        <v>4236</v>
      </c>
      <c r="I12" s="20" t="s">
        <v>4164</v>
      </c>
      <c r="J12" s="19" t="s">
        <v>4181</v>
      </c>
      <c r="K12" s="19"/>
      <c r="L12" s="19" t="s">
        <v>4172</v>
      </c>
      <c r="M12" s="19" t="s">
        <v>4165</v>
      </c>
      <c r="N12" s="21"/>
      <c r="O12" s="19" t="s">
        <v>4172</v>
      </c>
      <c r="P12" s="19" t="s">
        <v>4173</v>
      </c>
      <c r="Q12" s="19" t="s">
        <v>4165</v>
      </c>
      <c r="R12" s="19" t="s">
        <v>4174</v>
      </c>
    </row>
    <row r="13">
      <c r="A13" s="22" t="s">
        <v>4235</v>
      </c>
      <c r="B13" s="1" t="s">
        <v>3200</v>
      </c>
      <c r="C13" s="1" t="s">
        <v>3201</v>
      </c>
      <c r="D13" s="1" t="s">
        <v>3202</v>
      </c>
      <c r="E13" s="2">
        <v>2.51942496086E11</v>
      </c>
      <c r="F13" s="1" t="s">
        <v>26</v>
      </c>
      <c r="H13" s="19" t="s">
        <v>4236</v>
      </c>
      <c r="I13" s="20" t="s">
        <v>4164</v>
      </c>
      <c r="J13" s="19" t="s">
        <v>4165</v>
      </c>
      <c r="K13" s="19" t="s">
        <v>4247</v>
      </c>
      <c r="L13" s="19" t="s">
        <v>4199</v>
      </c>
      <c r="M13" s="19" t="s">
        <v>4165</v>
      </c>
      <c r="N13" s="21"/>
      <c r="O13" s="19" t="s">
        <v>4184</v>
      </c>
      <c r="P13" s="19" t="s">
        <v>4178</v>
      </c>
      <c r="Q13" s="19" t="s">
        <v>4165</v>
      </c>
      <c r="R13" s="19" t="s">
        <v>4179</v>
      </c>
    </row>
    <row r="14">
      <c r="A14" s="22" t="s">
        <v>4235</v>
      </c>
      <c r="B14" s="1" t="s">
        <v>3203</v>
      </c>
      <c r="C14" s="1" t="s">
        <v>1945</v>
      </c>
      <c r="D14" s="1" t="s">
        <v>719</v>
      </c>
      <c r="E14" s="2">
        <v>2.51930343988E11</v>
      </c>
      <c r="F14" s="1" t="s">
        <v>26</v>
      </c>
      <c r="H14" s="19" t="s">
        <v>4236</v>
      </c>
      <c r="I14" s="20" t="s">
        <v>4164</v>
      </c>
      <c r="J14" s="19" t="s">
        <v>4165</v>
      </c>
      <c r="K14" s="19" t="s">
        <v>4237</v>
      </c>
      <c r="L14" s="19" t="s">
        <v>4166</v>
      </c>
      <c r="M14" s="19" t="s">
        <v>4165</v>
      </c>
      <c r="N14" s="21"/>
      <c r="O14" s="19" t="s">
        <v>4167</v>
      </c>
      <c r="P14" s="19" t="s">
        <v>4168</v>
      </c>
      <c r="Q14" s="19" t="s">
        <v>4165</v>
      </c>
      <c r="R14" s="19" t="s">
        <v>4169</v>
      </c>
      <c r="S14" s="1" t="s">
        <v>4248</v>
      </c>
    </row>
    <row r="15">
      <c r="A15" s="22" t="s">
        <v>4235</v>
      </c>
      <c r="B15" s="1" t="s">
        <v>3204</v>
      </c>
      <c r="C15" s="1" t="s">
        <v>1023</v>
      </c>
      <c r="D15" s="1" t="s">
        <v>3205</v>
      </c>
      <c r="E15" s="2">
        <v>2.51921583637E11</v>
      </c>
      <c r="F15" s="1" t="s">
        <v>26</v>
      </c>
      <c r="H15" s="19" t="s">
        <v>4236</v>
      </c>
      <c r="I15" s="20" t="s">
        <v>4164</v>
      </c>
      <c r="J15" s="19" t="s">
        <v>4165</v>
      </c>
      <c r="K15" s="19" t="s">
        <v>4239</v>
      </c>
      <c r="L15" s="19" t="s">
        <v>4176</v>
      </c>
      <c r="M15" s="19" t="s">
        <v>4165</v>
      </c>
      <c r="N15" s="21"/>
      <c r="O15" s="19" t="s">
        <v>4184</v>
      </c>
      <c r="P15" s="19" t="s">
        <v>4240</v>
      </c>
      <c r="Q15" s="19" t="s">
        <v>4165</v>
      </c>
      <c r="R15" s="19" t="s">
        <v>4179</v>
      </c>
    </row>
    <row r="16">
      <c r="A16" s="22" t="s">
        <v>4235</v>
      </c>
      <c r="B16" s="1" t="s">
        <v>3206</v>
      </c>
      <c r="C16" s="1" t="s">
        <v>29</v>
      </c>
      <c r="D16" s="1" t="s">
        <v>2660</v>
      </c>
      <c r="E16" s="2">
        <v>2.51961399372E11</v>
      </c>
      <c r="F16" s="1" t="s">
        <v>26</v>
      </c>
      <c r="H16" s="19" t="s">
        <v>4236</v>
      </c>
      <c r="I16" s="20" t="s">
        <v>4164</v>
      </c>
      <c r="J16" s="19" t="s">
        <v>4181</v>
      </c>
      <c r="K16" s="19"/>
      <c r="L16" s="19" t="s">
        <v>4183</v>
      </c>
      <c r="M16" s="19" t="s">
        <v>4165</v>
      </c>
      <c r="N16" s="21"/>
      <c r="O16" s="19" t="s">
        <v>4184</v>
      </c>
      <c r="P16" s="19" t="s">
        <v>4178</v>
      </c>
      <c r="Q16" s="19" t="s">
        <v>4165</v>
      </c>
      <c r="R16" s="19" t="s">
        <v>4179</v>
      </c>
    </row>
    <row r="17">
      <c r="A17" s="22" t="s">
        <v>4235</v>
      </c>
      <c r="B17" s="1" t="s">
        <v>3209</v>
      </c>
      <c r="C17" s="1" t="s">
        <v>817</v>
      </c>
      <c r="D17" s="1" t="s">
        <v>3210</v>
      </c>
      <c r="E17" s="2">
        <v>2.51982527962E11</v>
      </c>
      <c r="F17" s="1" t="s">
        <v>26</v>
      </c>
      <c r="H17" s="19" t="s">
        <v>4236</v>
      </c>
      <c r="I17" s="20" t="s">
        <v>4164</v>
      </c>
      <c r="J17" s="19" t="s">
        <v>4165</v>
      </c>
      <c r="K17" s="19" t="s">
        <v>4247</v>
      </c>
      <c r="L17" s="19" t="s">
        <v>4199</v>
      </c>
      <c r="M17" s="19" t="s">
        <v>4165</v>
      </c>
      <c r="N17" s="21"/>
      <c r="O17" s="19" t="s">
        <v>4184</v>
      </c>
      <c r="P17" s="19" t="s">
        <v>4178</v>
      </c>
      <c r="Q17" s="19" t="s">
        <v>4165</v>
      </c>
      <c r="R17" s="19" t="s">
        <v>4179</v>
      </c>
    </row>
    <row r="18">
      <c r="A18" s="22" t="s">
        <v>4235</v>
      </c>
      <c r="B18" s="1" t="s">
        <v>3216</v>
      </c>
      <c r="C18" s="1" t="s">
        <v>3217</v>
      </c>
      <c r="D18" s="1" t="s">
        <v>3218</v>
      </c>
      <c r="E18" s="2">
        <v>2.51912423314E11</v>
      </c>
      <c r="F18" s="1" t="s">
        <v>26</v>
      </c>
      <c r="H18" s="19" t="s">
        <v>4236</v>
      </c>
      <c r="I18" s="20" t="s">
        <v>4164</v>
      </c>
      <c r="J18" s="19" t="s">
        <v>4165</v>
      </c>
      <c r="K18" s="19" t="s">
        <v>4247</v>
      </c>
      <c r="L18" s="19" t="s">
        <v>4199</v>
      </c>
      <c r="M18" s="19" t="s">
        <v>4165</v>
      </c>
      <c r="N18" s="21"/>
      <c r="O18" s="19" t="s">
        <v>4184</v>
      </c>
      <c r="P18" s="19" t="s">
        <v>4178</v>
      </c>
      <c r="Q18" s="19" t="s">
        <v>4165</v>
      </c>
      <c r="R18" s="19" t="s">
        <v>4179</v>
      </c>
    </row>
    <row r="19">
      <c r="A19" s="22" t="s">
        <v>4235</v>
      </c>
      <c r="B19" s="1" t="s">
        <v>3219</v>
      </c>
      <c r="C19" s="1" t="s">
        <v>3220</v>
      </c>
      <c r="D19" s="1" t="s">
        <v>3221</v>
      </c>
      <c r="E19" s="2">
        <v>2.51972027037E11</v>
      </c>
      <c r="F19" s="1" t="s">
        <v>26</v>
      </c>
      <c r="H19" s="19" t="s">
        <v>4236</v>
      </c>
      <c r="I19" s="20" t="s">
        <v>4164</v>
      </c>
      <c r="J19" s="19" t="s">
        <v>4165</v>
      </c>
      <c r="K19" s="19" t="s">
        <v>4167</v>
      </c>
      <c r="L19" s="19" t="s">
        <v>4166</v>
      </c>
      <c r="M19" s="19" t="s">
        <v>4165</v>
      </c>
      <c r="N19" s="21"/>
      <c r="O19" s="19" t="s">
        <v>4167</v>
      </c>
      <c r="P19" s="19" t="s">
        <v>4168</v>
      </c>
      <c r="Q19" s="19" t="s">
        <v>4165</v>
      </c>
      <c r="R19" s="19" t="s">
        <v>4169</v>
      </c>
      <c r="S19" s="1" t="s">
        <v>4249</v>
      </c>
    </row>
    <row r="20">
      <c r="A20" s="22" t="s">
        <v>4235</v>
      </c>
      <c r="B20" s="1" t="s">
        <v>3222</v>
      </c>
      <c r="C20" s="1" t="s">
        <v>3223</v>
      </c>
      <c r="D20" s="1" t="s">
        <v>3224</v>
      </c>
      <c r="E20" s="2">
        <v>2.5191946692E11</v>
      </c>
      <c r="F20" s="1" t="s">
        <v>26</v>
      </c>
      <c r="H20" s="19" t="s">
        <v>4236</v>
      </c>
      <c r="I20" s="20" t="s">
        <v>4164</v>
      </c>
      <c r="J20" s="19" t="s">
        <v>4165</v>
      </c>
      <c r="K20" s="19" t="s">
        <v>4250</v>
      </c>
      <c r="L20" s="19" t="s">
        <v>4176</v>
      </c>
      <c r="M20" s="19" t="s">
        <v>4165</v>
      </c>
      <c r="N20" s="21"/>
      <c r="O20" s="19" t="s">
        <v>4177</v>
      </c>
      <c r="P20" s="19" t="s">
        <v>4178</v>
      </c>
      <c r="Q20" s="19" t="s">
        <v>4165</v>
      </c>
      <c r="R20" s="19" t="s">
        <v>4179</v>
      </c>
    </row>
    <row r="21">
      <c r="A21" s="22" t="s">
        <v>4235</v>
      </c>
      <c r="B21" s="1" t="s">
        <v>3225</v>
      </c>
      <c r="C21" s="1" t="s">
        <v>554</v>
      </c>
      <c r="D21" s="1" t="s">
        <v>774</v>
      </c>
      <c r="E21" s="2">
        <v>2.51927891285E11</v>
      </c>
      <c r="F21" s="1" t="s">
        <v>26</v>
      </c>
      <c r="H21" s="19" t="s">
        <v>4236</v>
      </c>
      <c r="I21" s="20" t="s">
        <v>4164</v>
      </c>
      <c r="J21" s="19" t="s">
        <v>4165</v>
      </c>
      <c r="K21" s="19" t="s">
        <v>4247</v>
      </c>
      <c r="L21" s="19" t="s">
        <v>4199</v>
      </c>
      <c r="M21" s="19" t="s">
        <v>4181</v>
      </c>
      <c r="N21" s="19" t="s">
        <v>4241</v>
      </c>
      <c r="O21" s="19" t="s">
        <v>4184</v>
      </c>
      <c r="P21" s="19" t="s">
        <v>4178</v>
      </c>
      <c r="Q21" s="19" t="s">
        <v>4165</v>
      </c>
      <c r="R21" s="19" t="s">
        <v>4179</v>
      </c>
    </row>
    <row r="22">
      <c r="A22" s="22" t="s">
        <v>4235</v>
      </c>
      <c r="B22" s="1" t="s">
        <v>3229</v>
      </c>
      <c r="C22" s="1" t="s">
        <v>2447</v>
      </c>
      <c r="D22" s="1" t="s">
        <v>630</v>
      </c>
      <c r="E22" s="2">
        <v>2.51966126175E11</v>
      </c>
      <c r="F22" s="1" t="s">
        <v>26</v>
      </c>
      <c r="H22" s="19" t="s">
        <v>4236</v>
      </c>
      <c r="I22" s="20" t="s">
        <v>4164</v>
      </c>
      <c r="J22" s="19" t="s">
        <v>4165</v>
      </c>
      <c r="K22" s="19" t="s">
        <v>4195</v>
      </c>
      <c r="L22" s="19" t="s">
        <v>4166</v>
      </c>
      <c r="M22" s="19" t="s">
        <v>4165</v>
      </c>
      <c r="N22" s="21"/>
      <c r="O22" s="19" t="s">
        <v>4167</v>
      </c>
      <c r="P22" s="19" t="s">
        <v>4168</v>
      </c>
      <c r="Q22" s="19" t="s">
        <v>4165</v>
      </c>
      <c r="R22" s="19" t="s">
        <v>4195</v>
      </c>
    </row>
    <row r="23">
      <c r="A23" s="22" t="s">
        <v>4235</v>
      </c>
      <c r="B23" s="1" t="s">
        <v>3230</v>
      </c>
      <c r="C23" s="1" t="s">
        <v>1348</v>
      </c>
      <c r="D23" s="1" t="s">
        <v>554</v>
      </c>
      <c r="E23" s="2">
        <v>2.51970408086E11</v>
      </c>
      <c r="F23" s="1" t="s">
        <v>26</v>
      </c>
      <c r="H23" s="19" t="s">
        <v>4236</v>
      </c>
      <c r="I23" s="20" t="s">
        <v>4164</v>
      </c>
      <c r="J23" s="19" t="s">
        <v>4165</v>
      </c>
      <c r="K23" s="19" t="s">
        <v>4251</v>
      </c>
      <c r="L23" s="19" t="s">
        <v>4172</v>
      </c>
      <c r="M23" s="19" t="s">
        <v>4165</v>
      </c>
      <c r="N23" s="21"/>
      <c r="O23" s="19" t="s">
        <v>4172</v>
      </c>
      <c r="P23" s="19" t="s">
        <v>4173</v>
      </c>
      <c r="Q23" s="19" t="s">
        <v>4165</v>
      </c>
      <c r="R23" s="19" t="s">
        <v>4174</v>
      </c>
      <c r="S23" s="1" t="s">
        <v>4252</v>
      </c>
    </row>
    <row r="24">
      <c r="A24" s="22" t="s">
        <v>4235</v>
      </c>
      <c r="B24" s="1" t="s">
        <v>2176</v>
      </c>
      <c r="C24" s="1" t="s">
        <v>789</v>
      </c>
      <c r="D24" s="1" t="s">
        <v>2177</v>
      </c>
      <c r="E24" s="2">
        <f>+251913359865</f>
        <v>251913359865</v>
      </c>
      <c r="F24" s="1" t="s">
        <v>26</v>
      </c>
      <c r="H24" s="19" t="s">
        <v>4161</v>
      </c>
      <c r="I24" s="20" t="s">
        <v>4164</v>
      </c>
      <c r="J24" s="19" t="s">
        <v>4165</v>
      </c>
      <c r="K24" s="19" t="s">
        <v>4239</v>
      </c>
      <c r="L24" s="19" t="s">
        <v>4199</v>
      </c>
      <c r="M24" s="19" t="s">
        <v>4165</v>
      </c>
      <c r="N24" s="21"/>
      <c r="O24" s="19" t="s">
        <v>4184</v>
      </c>
      <c r="P24" s="19" t="s">
        <v>4240</v>
      </c>
      <c r="Q24" s="19" t="s">
        <v>4165</v>
      </c>
      <c r="R24" s="19" t="s">
        <v>4179</v>
      </c>
    </row>
    <row r="25">
      <c r="A25" s="22" t="s">
        <v>4235</v>
      </c>
      <c r="B25" s="1" t="s">
        <v>2300</v>
      </c>
      <c r="C25" s="1" t="s">
        <v>404</v>
      </c>
      <c r="D25" s="1" t="s">
        <v>2301</v>
      </c>
      <c r="E25" s="2">
        <f>+251935431739</f>
        <v>251935431739</v>
      </c>
      <c r="F25" s="1" t="s">
        <v>26</v>
      </c>
      <c r="H25" s="19" t="s">
        <v>4161</v>
      </c>
      <c r="I25" s="20" t="s">
        <v>4164</v>
      </c>
      <c r="J25" s="19" t="s">
        <v>4165</v>
      </c>
      <c r="K25" s="19" t="s">
        <v>4167</v>
      </c>
      <c r="L25" s="19" t="s">
        <v>4166</v>
      </c>
      <c r="M25" s="19" t="s">
        <v>4165</v>
      </c>
      <c r="N25" s="21"/>
      <c r="O25" s="19" t="s">
        <v>4167</v>
      </c>
      <c r="P25" s="19" t="s">
        <v>4168</v>
      </c>
      <c r="Q25" s="19" t="s">
        <v>4165</v>
      </c>
      <c r="R25" s="19" t="s">
        <v>4169</v>
      </c>
      <c r="S25" s="1" t="s">
        <v>4238</v>
      </c>
    </row>
    <row r="26">
      <c r="A26" s="22" t="s">
        <v>4235</v>
      </c>
      <c r="B26" s="1" t="s">
        <v>2336</v>
      </c>
      <c r="C26" s="1" t="s">
        <v>2337</v>
      </c>
      <c r="D26" s="1" t="s">
        <v>2338</v>
      </c>
      <c r="E26" s="1">
        <v>9.16560065E8</v>
      </c>
      <c r="F26" s="1" t="s">
        <v>26</v>
      </c>
      <c r="H26" s="19" t="s">
        <v>4161</v>
      </c>
      <c r="I26" s="20" t="s">
        <v>4164</v>
      </c>
      <c r="J26" s="19" t="s">
        <v>4165</v>
      </c>
      <c r="K26" s="19" t="s">
        <v>4247</v>
      </c>
      <c r="L26" s="19" t="s">
        <v>4199</v>
      </c>
      <c r="M26" s="19" t="s">
        <v>4165</v>
      </c>
      <c r="N26" s="21"/>
      <c r="O26" s="19" t="s">
        <v>4184</v>
      </c>
      <c r="P26" s="19" t="s">
        <v>4240</v>
      </c>
      <c r="Q26" s="19" t="s">
        <v>4165</v>
      </c>
      <c r="R26" s="19" t="s">
        <v>4179</v>
      </c>
    </row>
    <row r="27">
      <c r="A27" s="22" t="s">
        <v>4235</v>
      </c>
      <c r="B27" s="1" t="s">
        <v>2392</v>
      </c>
      <c r="C27" s="1" t="s">
        <v>2393</v>
      </c>
      <c r="D27" s="1" t="s">
        <v>292</v>
      </c>
      <c r="E27" s="2">
        <f>+251983399368</f>
        <v>251983399368</v>
      </c>
      <c r="F27" s="1" t="s">
        <v>26</v>
      </c>
      <c r="H27" s="19" t="s">
        <v>4161</v>
      </c>
      <c r="I27" s="20" t="s">
        <v>4164</v>
      </c>
      <c r="J27" s="19" t="s">
        <v>4165</v>
      </c>
      <c r="K27" s="19" t="s">
        <v>4253</v>
      </c>
      <c r="L27" s="19" t="s">
        <v>4199</v>
      </c>
      <c r="M27" s="19" t="s">
        <v>4165</v>
      </c>
      <c r="N27" s="21"/>
      <c r="O27" s="19" t="s">
        <v>4184</v>
      </c>
      <c r="P27" s="19" t="s">
        <v>4240</v>
      </c>
      <c r="Q27" s="19" t="s">
        <v>4165</v>
      </c>
      <c r="R27" s="19" t="s">
        <v>4179</v>
      </c>
    </row>
    <row r="28">
      <c r="A28" s="22" t="s">
        <v>4235</v>
      </c>
      <c r="B28" s="1" t="s">
        <v>2412</v>
      </c>
      <c r="C28" s="1" t="s">
        <v>2413</v>
      </c>
      <c r="D28" s="1" t="s">
        <v>2414</v>
      </c>
      <c r="E28" s="2">
        <f>+251916026951</f>
        <v>251916026951</v>
      </c>
      <c r="F28" s="1" t="s">
        <v>26</v>
      </c>
      <c r="H28" s="19" t="s">
        <v>4161</v>
      </c>
      <c r="I28" s="20" t="s">
        <v>4164</v>
      </c>
      <c r="J28" s="19" t="s">
        <v>4165</v>
      </c>
      <c r="K28" s="19" t="s">
        <v>4239</v>
      </c>
      <c r="L28" s="19" t="s">
        <v>4176</v>
      </c>
      <c r="M28" s="19" t="s">
        <v>4165</v>
      </c>
      <c r="N28" s="21"/>
      <c r="O28" s="19" t="s">
        <v>4184</v>
      </c>
      <c r="P28" s="19" t="s">
        <v>4178</v>
      </c>
      <c r="Q28" s="19" t="s">
        <v>4165</v>
      </c>
      <c r="R28" s="19" t="s">
        <v>4179</v>
      </c>
    </row>
    <row r="29">
      <c r="A29" s="22" t="s">
        <v>4235</v>
      </c>
      <c r="B29" s="1" t="s">
        <v>2456</v>
      </c>
      <c r="C29" s="1" t="s">
        <v>2457</v>
      </c>
      <c r="D29" s="1" t="s">
        <v>2458</v>
      </c>
      <c r="E29" s="2">
        <f>+251941525339</f>
        <v>251941525339</v>
      </c>
      <c r="F29" s="1" t="s">
        <v>26</v>
      </c>
      <c r="H29" s="19" t="s">
        <v>4161</v>
      </c>
      <c r="I29" s="20" t="s">
        <v>4164</v>
      </c>
      <c r="J29" s="19" t="s">
        <v>4165</v>
      </c>
      <c r="K29" s="19" t="s">
        <v>4167</v>
      </c>
      <c r="L29" s="19" t="s">
        <v>4166</v>
      </c>
      <c r="M29" s="19" t="s">
        <v>4165</v>
      </c>
      <c r="N29" s="21"/>
      <c r="O29" s="19" t="s">
        <v>4167</v>
      </c>
      <c r="P29" s="19" t="s">
        <v>4168</v>
      </c>
      <c r="Q29" s="19" t="s">
        <v>4165</v>
      </c>
      <c r="R29" s="19" t="s">
        <v>4169</v>
      </c>
      <c r="S29" s="1" t="s">
        <v>4254</v>
      </c>
    </row>
    <row r="30">
      <c r="A30" s="22" t="s">
        <v>4235</v>
      </c>
      <c r="B30" s="1" t="s">
        <v>2461</v>
      </c>
      <c r="C30" s="1" t="s">
        <v>2462</v>
      </c>
      <c r="D30" s="1" t="s">
        <v>2463</v>
      </c>
      <c r="E30" s="2">
        <f>+251916901440</f>
        <v>251916901440</v>
      </c>
      <c r="F30" s="1" t="s">
        <v>26</v>
      </c>
      <c r="H30" s="19" t="s">
        <v>4161</v>
      </c>
      <c r="I30" s="20" t="s">
        <v>4164</v>
      </c>
      <c r="J30" s="19" t="s">
        <v>4165</v>
      </c>
      <c r="K30" s="19" t="s">
        <v>4255</v>
      </c>
      <c r="L30" s="19" t="s">
        <v>4176</v>
      </c>
      <c r="M30" s="19" t="s">
        <v>4165</v>
      </c>
      <c r="N30" s="21"/>
      <c r="O30" s="19" t="s">
        <v>4184</v>
      </c>
      <c r="P30" s="19" t="s">
        <v>4185</v>
      </c>
      <c r="Q30" s="19" t="s">
        <v>4165</v>
      </c>
      <c r="R30" s="19" t="s">
        <v>4192</v>
      </c>
    </row>
    <row r="31">
      <c r="A31" s="22" t="s">
        <v>4235</v>
      </c>
      <c r="B31" s="1" t="s">
        <v>3163</v>
      </c>
      <c r="C31" s="1" t="s">
        <v>151</v>
      </c>
      <c r="D31" s="1" t="s">
        <v>189</v>
      </c>
      <c r="E31" s="2">
        <v>2.51980331605E11</v>
      </c>
      <c r="F31" s="1" t="s">
        <v>26</v>
      </c>
      <c r="H31" s="19" t="s">
        <v>4236</v>
      </c>
      <c r="I31" s="20" t="s">
        <v>4164</v>
      </c>
      <c r="J31" s="19" t="s">
        <v>4165</v>
      </c>
      <c r="K31" s="19" t="s">
        <v>4237</v>
      </c>
      <c r="L31" s="19" t="s">
        <v>4166</v>
      </c>
      <c r="M31" s="19" t="s">
        <v>4165</v>
      </c>
      <c r="N31" s="21"/>
      <c r="O31" s="19" t="s">
        <v>4167</v>
      </c>
      <c r="P31" s="19" t="s">
        <v>4168</v>
      </c>
      <c r="Q31" s="19" t="s">
        <v>4165</v>
      </c>
      <c r="R31" s="19" t="s">
        <v>4169</v>
      </c>
      <c r="S31" s="1" t="s">
        <v>4256</v>
      </c>
    </row>
    <row r="32">
      <c r="A32" s="22" t="s">
        <v>4235</v>
      </c>
      <c r="B32" s="1" t="s">
        <v>3176</v>
      </c>
      <c r="C32" s="1" t="s">
        <v>3177</v>
      </c>
      <c r="D32" s="1" t="s">
        <v>3178</v>
      </c>
      <c r="E32" s="2">
        <v>2.5170717518E11</v>
      </c>
      <c r="F32" s="1" t="s">
        <v>26</v>
      </c>
      <c r="H32" s="19" t="s">
        <v>4236</v>
      </c>
      <c r="I32" s="20" t="s">
        <v>4207</v>
      </c>
      <c r="J32" s="19"/>
      <c r="K32" s="19"/>
      <c r="L32" s="19"/>
      <c r="M32" s="19"/>
      <c r="N32" s="21"/>
      <c r="O32" s="19"/>
      <c r="P32" s="19"/>
      <c r="Q32" s="19"/>
      <c r="R32" s="19"/>
    </row>
    <row r="33">
      <c r="A33" s="22" t="s">
        <v>4235</v>
      </c>
      <c r="B33" s="1" t="s">
        <v>3179</v>
      </c>
      <c r="C33" s="1" t="s">
        <v>321</v>
      </c>
      <c r="D33" s="1" t="s">
        <v>195</v>
      </c>
      <c r="E33" s="2">
        <v>2.5196089284E11</v>
      </c>
      <c r="F33" s="1" t="s">
        <v>26</v>
      </c>
      <c r="H33" s="19" t="s">
        <v>4236</v>
      </c>
      <c r="I33" s="20" t="s">
        <v>4207</v>
      </c>
      <c r="J33" s="19"/>
      <c r="K33" s="19"/>
      <c r="L33" s="19"/>
      <c r="M33" s="19"/>
      <c r="N33" s="21"/>
      <c r="O33" s="19"/>
      <c r="P33" s="19"/>
      <c r="Q33" s="19"/>
      <c r="R33" s="19"/>
    </row>
    <row r="34">
      <c r="A34" s="22" t="s">
        <v>4235</v>
      </c>
      <c r="B34" s="1" t="s">
        <v>3197</v>
      </c>
      <c r="C34" s="1" t="s">
        <v>527</v>
      </c>
      <c r="D34" s="1" t="s">
        <v>2786</v>
      </c>
      <c r="E34" s="2">
        <v>2.51922214866E11</v>
      </c>
      <c r="F34" s="1" t="s">
        <v>26</v>
      </c>
      <c r="H34" s="19" t="s">
        <v>4236</v>
      </c>
      <c r="I34" s="20" t="s">
        <v>4207</v>
      </c>
      <c r="J34" s="19"/>
      <c r="K34" s="19"/>
      <c r="L34" s="19"/>
      <c r="M34" s="19"/>
      <c r="N34" s="21"/>
      <c r="O34" s="19"/>
      <c r="P34" s="19"/>
      <c r="Q34" s="19"/>
      <c r="R34" s="19"/>
    </row>
    <row r="35">
      <c r="A35" s="22" t="s">
        <v>4235</v>
      </c>
      <c r="B35" s="1" t="s">
        <v>3214</v>
      </c>
      <c r="C35" s="1" t="s">
        <v>411</v>
      </c>
      <c r="D35" s="1" t="s">
        <v>3215</v>
      </c>
      <c r="E35" s="2">
        <v>2.5195492372E11</v>
      </c>
      <c r="F35" s="1" t="s">
        <v>26</v>
      </c>
      <c r="H35" s="19" t="s">
        <v>4236</v>
      </c>
      <c r="I35" s="20" t="s">
        <v>4207</v>
      </c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22" t="s">
        <v>4235</v>
      </c>
      <c r="B36" s="1" t="s">
        <v>2205</v>
      </c>
      <c r="C36" s="1" t="s">
        <v>2206</v>
      </c>
      <c r="D36" s="1" t="s">
        <v>433</v>
      </c>
      <c r="E36" s="2">
        <f>+251924171769</f>
        <v>251924171769</v>
      </c>
      <c r="F36" s="1" t="s">
        <v>26</v>
      </c>
      <c r="H36" s="19" t="s">
        <v>4161</v>
      </c>
      <c r="I36" s="20" t="s">
        <v>4207</v>
      </c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22" t="s">
        <v>4235</v>
      </c>
      <c r="B37" s="1" t="s">
        <v>2379</v>
      </c>
      <c r="C37" s="1" t="s">
        <v>2380</v>
      </c>
      <c r="D37" s="1" t="s">
        <v>2374</v>
      </c>
      <c r="E37" s="1">
        <v>9.18535155E8</v>
      </c>
      <c r="F37" s="1" t="s">
        <v>26</v>
      </c>
      <c r="H37" s="19" t="s">
        <v>4161</v>
      </c>
      <c r="I37" s="20" t="s">
        <v>4207</v>
      </c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22" t="s">
        <v>4235</v>
      </c>
      <c r="B38" s="1" t="s">
        <v>3161</v>
      </c>
      <c r="C38" s="1" t="s">
        <v>3162</v>
      </c>
      <c r="D38" s="1" t="s">
        <v>1374</v>
      </c>
      <c r="E38" s="2">
        <v>2.5191042762E11</v>
      </c>
      <c r="F38" s="1" t="s">
        <v>26</v>
      </c>
      <c r="H38" s="19" t="s">
        <v>4236</v>
      </c>
      <c r="I38" s="20" t="s">
        <v>4208</v>
      </c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22" t="s">
        <v>4235</v>
      </c>
      <c r="B39" s="1" t="s">
        <v>3166</v>
      </c>
      <c r="C39" s="1" t="s">
        <v>67</v>
      </c>
      <c r="D39" s="1" t="s">
        <v>3167</v>
      </c>
      <c r="E39" s="2">
        <v>2.51948402148E11</v>
      </c>
      <c r="F39" s="1" t="s">
        <v>26</v>
      </c>
      <c r="H39" s="19" t="s">
        <v>4236</v>
      </c>
      <c r="I39" s="20" t="s">
        <v>4208</v>
      </c>
      <c r="J39" s="19"/>
      <c r="K39" s="19"/>
      <c r="L39" s="19"/>
      <c r="M39" s="19"/>
      <c r="N39" s="21"/>
      <c r="O39" s="19"/>
      <c r="P39" s="19"/>
      <c r="Q39" s="19"/>
      <c r="R39" s="19"/>
    </row>
    <row r="40">
      <c r="A40" s="22" t="s">
        <v>4235</v>
      </c>
      <c r="B40" s="1" t="s">
        <v>3168</v>
      </c>
      <c r="C40" s="1" t="s">
        <v>3064</v>
      </c>
      <c r="D40" s="1" t="s">
        <v>534</v>
      </c>
      <c r="E40" s="2">
        <v>2.5196570908E11</v>
      </c>
      <c r="F40" s="1" t="s">
        <v>26</v>
      </c>
      <c r="H40" s="19" t="s">
        <v>4236</v>
      </c>
      <c r="I40" s="20" t="s">
        <v>4208</v>
      </c>
      <c r="J40" s="19"/>
      <c r="K40" s="19"/>
      <c r="L40" s="19"/>
      <c r="M40" s="19"/>
      <c r="N40" s="21"/>
      <c r="O40" s="19"/>
      <c r="P40" s="19"/>
      <c r="Q40" s="19"/>
      <c r="R40" s="19"/>
    </row>
    <row r="41">
      <c r="A41" s="22" t="s">
        <v>4235</v>
      </c>
      <c r="B41" s="1" t="s">
        <v>3171</v>
      </c>
      <c r="C41" s="1" t="s">
        <v>693</v>
      </c>
      <c r="D41" s="1" t="s">
        <v>3172</v>
      </c>
      <c r="E41" s="2">
        <v>2.51924337456E11</v>
      </c>
      <c r="F41" s="1" t="s">
        <v>26</v>
      </c>
      <c r="H41" s="19" t="s">
        <v>4236</v>
      </c>
      <c r="I41" s="20" t="s">
        <v>4208</v>
      </c>
      <c r="J41" s="19"/>
      <c r="K41" s="19"/>
      <c r="L41" s="19"/>
      <c r="M41" s="19"/>
      <c r="N41" s="21"/>
      <c r="O41" s="19"/>
      <c r="P41" s="19"/>
      <c r="Q41" s="19"/>
      <c r="R41" s="19"/>
    </row>
    <row r="42">
      <c r="A42" s="22" t="s">
        <v>4235</v>
      </c>
      <c r="B42" s="1" t="s">
        <v>3173</v>
      </c>
      <c r="C42" s="1" t="s">
        <v>2084</v>
      </c>
      <c r="D42" s="1" t="s">
        <v>3174</v>
      </c>
      <c r="E42" s="2">
        <v>2.51912124711E11</v>
      </c>
      <c r="F42" s="1" t="s">
        <v>26</v>
      </c>
      <c r="H42" s="19" t="s">
        <v>4236</v>
      </c>
      <c r="I42" s="20" t="s">
        <v>4208</v>
      </c>
      <c r="J42" s="19"/>
      <c r="K42" s="19"/>
      <c r="L42" s="19"/>
      <c r="M42" s="19"/>
      <c r="N42" s="21"/>
      <c r="O42" s="19"/>
      <c r="P42" s="19"/>
      <c r="Q42" s="19"/>
      <c r="R42" s="19"/>
    </row>
    <row r="43">
      <c r="A43" s="22" t="s">
        <v>4235</v>
      </c>
      <c r="B43" s="1" t="s">
        <v>3180</v>
      </c>
      <c r="C43" s="1" t="s">
        <v>3181</v>
      </c>
      <c r="D43" s="1" t="s">
        <v>3182</v>
      </c>
      <c r="E43" s="2">
        <v>2.51948402148E11</v>
      </c>
      <c r="F43" s="1" t="s">
        <v>26</v>
      </c>
      <c r="H43" s="19" t="s">
        <v>4236</v>
      </c>
      <c r="I43" s="20" t="s">
        <v>4208</v>
      </c>
      <c r="J43" s="19"/>
      <c r="K43" s="19"/>
      <c r="L43" s="19"/>
      <c r="M43" s="19"/>
      <c r="N43" s="19"/>
      <c r="O43" s="19"/>
      <c r="P43" s="19"/>
      <c r="Q43" s="19"/>
      <c r="R43" s="19"/>
    </row>
    <row r="44">
      <c r="A44" s="22" t="s">
        <v>4235</v>
      </c>
      <c r="B44" s="1" t="s">
        <v>3183</v>
      </c>
      <c r="C44" s="1" t="s">
        <v>3184</v>
      </c>
      <c r="D44" s="1" t="s">
        <v>3185</v>
      </c>
      <c r="E44" s="2">
        <v>2.51946411234E11</v>
      </c>
      <c r="F44" s="1" t="s">
        <v>26</v>
      </c>
      <c r="H44" s="19" t="s">
        <v>4236</v>
      </c>
      <c r="I44" s="20" t="s">
        <v>4208</v>
      </c>
      <c r="J44" s="19"/>
      <c r="K44" s="19"/>
      <c r="L44" s="19"/>
      <c r="M44" s="19"/>
      <c r="N44" s="21"/>
      <c r="O44" s="19"/>
      <c r="P44" s="19"/>
      <c r="Q44" s="19"/>
      <c r="R44" s="19"/>
    </row>
    <row r="45">
      <c r="A45" s="22" t="s">
        <v>4235</v>
      </c>
      <c r="B45" s="1" t="s">
        <v>3207</v>
      </c>
      <c r="C45" s="1" t="s">
        <v>3208</v>
      </c>
      <c r="D45" s="1" t="s">
        <v>313</v>
      </c>
      <c r="E45" s="2">
        <v>2.51904847122E11</v>
      </c>
      <c r="F45" s="1" t="s">
        <v>26</v>
      </c>
      <c r="H45" s="19" t="s">
        <v>4236</v>
      </c>
      <c r="I45" s="20" t="s">
        <v>4208</v>
      </c>
      <c r="J45" s="19"/>
      <c r="K45" s="21"/>
      <c r="L45" s="19"/>
      <c r="M45" s="19"/>
      <c r="N45" s="21"/>
      <c r="O45" s="19"/>
      <c r="P45" s="19"/>
      <c r="Q45" s="19"/>
      <c r="R45" s="19"/>
    </row>
    <row r="46">
      <c r="A46" s="22" t="s">
        <v>4235</v>
      </c>
      <c r="B46" s="1" t="s">
        <v>3211</v>
      </c>
      <c r="C46" s="1" t="s">
        <v>3212</v>
      </c>
      <c r="D46" s="1" t="s">
        <v>3213</v>
      </c>
      <c r="E46" s="2">
        <v>2.51969061121E11</v>
      </c>
      <c r="F46" s="1" t="s">
        <v>26</v>
      </c>
      <c r="H46" s="19" t="s">
        <v>4236</v>
      </c>
      <c r="I46" s="20" t="s">
        <v>4208</v>
      </c>
      <c r="J46" s="19"/>
      <c r="K46" s="19"/>
      <c r="L46" s="19"/>
      <c r="M46" s="19"/>
      <c r="N46" s="21"/>
      <c r="O46" s="19"/>
      <c r="P46" s="19"/>
      <c r="Q46" s="19"/>
      <c r="R46" s="19"/>
    </row>
    <row r="47">
      <c r="A47" s="22" t="s">
        <v>4235</v>
      </c>
      <c r="B47" s="1" t="s">
        <v>3226</v>
      </c>
      <c r="C47" s="1" t="s">
        <v>3227</v>
      </c>
      <c r="D47" s="1" t="s">
        <v>3228</v>
      </c>
      <c r="E47" s="2">
        <v>2.51915884966E11</v>
      </c>
      <c r="F47" s="1" t="s">
        <v>26</v>
      </c>
      <c r="H47" s="19" t="s">
        <v>4236</v>
      </c>
      <c r="I47" s="20" t="s">
        <v>4208</v>
      </c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2" t="s">
        <v>4235</v>
      </c>
      <c r="B48" s="1" t="s">
        <v>3231</v>
      </c>
      <c r="C48" s="1" t="s">
        <v>3232</v>
      </c>
      <c r="D48" s="1" t="s">
        <v>3233</v>
      </c>
      <c r="E48" s="1">
        <v>9.2650499E8</v>
      </c>
      <c r="F48" s="1" t="s">
        <v>26</v>
      </c>
      <c r="H48" s="19" t="s">
        <v>4236</v>
      </c>
      <c r="I48" s="20" t="s">
        <v>4208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22" t="s">
        <v>4235</v>
      </c>
      <c r="B49" s="1" t="s">
        <v>2207</v>
      </c>
      <c r="C49" s="1" t="s">
        <v>2208</v>
      </c>
      <c r="D49" s="1" t="s">
        <v>328</v>
      </c>
      <c r="E49" s="2">
        <f>+251962965266</f>
        <v>251962965266</v>
      </c>
      <c r="F49" s="1" t="s">
        <v>26</v>
      </c>
      <c r="H49" s="19" t="s">
        <v>4161</v>
      </c>
      <c r="I49" s="20" t="s">
        <v>4208</v>
      </c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2" t="s">
        <v>4235</v>
      </c>
      <c r="B50" s="1" t="s">
        <v>2341</v>
      </c>
      <c r="C50" s="1" t="s">
        <v>2342</v>
      </c>
      <c r="D50" s="1" t="s">
        <v>363</v>
      </c>
      <c r="E50" s="2">
        <f>+251904221699</f>
        <v>251904221699</v>
      </c>
      <c r="F50" s="1" t="s">
        <v>26</v>
      </c>
      <c r="H50" s="19" t="s">
        <v>4161</v>
      </c>
      <c r="I50" s="20" t="s">
        <v>4208</v>
      </c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2" t="s">
        <v>4235</v>
      </c>
      <c r="B51" s="1" t="s">
        <v>2525</v>
      </c>
      <c r="C51" s="1" t="s">
        <v>2526</v>
      </c>
      <c r="D51" s="1" t="s">
        <v>963</v>
      </c>
      <c r="E51" s="2">
        <f>+251923495198</f>
        <v>251923495198</v>
      </c>
      <c r="F51" s="1" t="s">
        <v>26</v>
      </c>
      <c r="H51" s="19" t="s">
        <v>4161</v>
      </c>
      <c r="I51" s="20" t="s">
        <v>4208</v>
      </c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2334437.0</v>
      </c>
      <c r="B2" s="1" t="s">
        <v>3451</v>
      </c>
      <c r="C2" s="1" t="b">
        <v>1</v>
      </c>
      <c r="D2" s="1" t="b">
        <v>1</v>
      </c>
      <c r="E2" s="1" t="s">
        <v>3452</v>
      </c>
      <c r="F2" s="1" t="s">
        <v>899</v>
      </c>
      <c r="G2" s="2">
        <f>+251965487087</f>
        <v>251965487087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28.49</v>
      </c>
      <c r="M2" s="1" t="s">
        <v>21</v>
      </c>
      <c r="O2" s="1">
        <v>3.7672378358E10</v>
      </c>
    </row>
    <row r="3">
      <c r="A3" s="1">
        <v>2652054.0</v>
      </c>
      <c r="B3" s="1" t="s">
        <v>3453</v>
      </c>
      <c r="C3" s="1" t="b">
        <v>1</v>
      </c>
      <c r="D3" s="1" t="b">
        <v>1</v>
      </c>
      <c r="E3" s="1" t="s">
        <v>3454</v>
      </c>
      <c r="F3" s="1" t="s">
        <v>3455</v>
      </c>
      <c r="G3" s="2">
        <f>+251916038059</f>
        <v>251916038059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39.87</v>
      </c>
      <c r="M3" s="1" t="s">
        <v>21</v>
      </c>
      <c r="O3" s="1">
        <v>2.09345043666E11</v>
      </c>
    </row>
    <row r="4">
      <c r="A4" s="1">
        <v>2652155.0</v>
      </c>
      <c r="B4" s="1" t="s">
        <v>3139</v>
      </c>
      <c r="C4" s="1" t="b">
        <v>0</v>
      </c>
      <c r="D4" s="1" t="b">
        <v>1</v>
      </c>
      <c r="E4" s="1" t="s">
        <v>3140</v>
      </c>
      <c r="F4" s="1" t="s">
        <v>3141</v>
      </c>
      <c r="G4" s="2">
        <f>+251949240118</f>
        <v>251949240118</v>
      </c>
      <c r="H4" s="1" t="s">
        <v>310</v>
      </c>
      <c r="I4" s="1" t="s">
        <v>19</v>
      </c>
      <c r="J4" s="1" t="s">
        <v>19</v>
      </c>
      <c r="K4" s="1" t="s">
        <v>25</v>
      </c>
      <c r="L4" s="1">
        <v>33.77</v>
      </c>
      <c r="M4" s="1" t="s">
        <v>26</v>
      </c>
      <c r="O4" s="1">
        <v>2.09490187491E11</v>
      </c>
    </row>
    <row r="5">
      <c r="A5" s="1">
        <v>2508043.0</v>
      </c>
      <c r="B5" s="1" t="s">
        <v>3456</v>
      </c>
      <c r="C5" s="1" t="b">
        <v>1</v>
      </c>
      <c r="D5" s="1" t="b">
        <v>1</v>
      </c>
      <c r="E5" s="1" t="s">
        <v>951</v>
      </c>
      <c r="F5" s="1" t="s">
        <v>3457</v>
      </c>
      <c r="G5" s="2">
        <f>+251941317208</f>
        <v>251941317208</v>
      </c>
      <c r="H5" s="1" t="s">
        <v>18</v>
      </c>
      <c r="I5" s="1" t="s">
        <v>19</v>
      </c>
      <c r="J5" s="1" t="s">
        <v>19</v>
      </c>
      <c r="K5" s="1" t="s">
        <v>25</v>
      </c>
      <c r="L5" s="1">
        <v>21.5</v>
      </c>
      <c r="M5" s="1" t="s">
        <v>21</v>
      </c>
      <c r="O5" s="1">
        <v>1.42059849969E11</v>
      </c>
    </row>
    <row r="6">
      <c r="A6" s="1">
        <v>2653114.0</v>
      </c>
      <c r="B6" s="1" t="s">
        <v>3234</v>
      </c>
      <c r="C6" s="1" t="b">
        <v>1</v>
      </c>
      <c r="D6" s="1" t="b">
        <v>1</v>
      </c>
      <c r="E6" s="1" t="s">
        <v>1077</v>
      </c>
      <c r="F6" s="1" t="s">
        <v>3042</v>
      </c>
      <c r="G6" s="2">
        <f>+251912709325</f>
        <v>251912709325</v>
      </c>
      <c r="H6" s="1" t="s">
        <v>58</v>
      </c>
      <c r="I6" s="1" t="s">
        <v>19</v>
      </c>
      <c r="J6" s="1" t="s">
        <v>19</v>
      </c>
      <c r="K6" s="1" t="s">
        <v>25</v>
      </c>
      <c r="L6" s="1">
        <v>34.2</v>
      </c>
      <c r="M6" s="1" t="s">
        <v>33</v>
      </c>
      <c r="N6" s="1" t="s">
        <v>76</v>
      </c>
    </row>
    <row r="7">
      <c r="A7" s="1">
        <v>2653588.0</v>
      </c>
      <c r="B7" s="1" t="s">
        <v>3458</v>
      </c>
      <c r="C7" s="1" t="b">
        <v>1</v>
      </c>
      <c r="D7" s="1" t="b">
        <v>1</v>
      </c>
      <c r="E7" s="1" t="s">
        <v>3459</v>
      </c>
      <c r="F7" s="1" t="s">
        <v>361</v>
      </c>
      <c r="G7" s="2">
        <f>+251995468524</f>
        <v>251995468524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19.07</v>
      </c>
      <c r="M7" s="1" t="s">
        <v>21</v>
      </c>
    </row>
    <row r="8">
      <c r="A8" s="1">
        <v>2618880.0</v>
      </c>
      <c r="B8" s="1" t="s">
        <v>3460</v>
      </c>
      <c r="C8" s="1" t="b">
        <v>1</v>
      </c>
      <c r="D8" s="1" t="b">
        <v>1</v>
      </c>
      <c r="E8" s="1" t="s">
        <v>3461</v>
      </c>
      <c r="F8" s="1" t="s">
        <v>862</v>
      </c>
      <c r="G8" s="2">
        <f>+251932324407</f>
        <v>251932324407</v>
      </c>
      <c r="H8" s="1" t="s">
        <v>18</v>
      </c>
      <c r="I8" s="1" t="s">
        <v>19</v>
      </c>
      <c r="J8" s="1" t="s">
        <v>19</v>
      </c>
      <c r="K8" s="1" t="s">
        <v>25</v>
      </c>
      <c r="L8" s="1">
        <v>25.44</v>
      </c>
      <c r="M8" s="1" t="s">
        <v>21</v>
      </c>
    </row>
    <row r="9">
      <c r="A9" s="1">
        <v>2654435.0</v>
      </c>
      <c r="B9" s="1" t="s">
        <v>3462</v>
      </c>
      <c r="C9" s="1" t="b">
        <v>1</v>
      </c>
      <c r="D9" s="1" t="b">
        <v>1</v>
      </c>
      <c r="E9" s="1" t="s">
        <v>1950</v>
      </c>
      <c r="F9" s="1" t="s">
        <v>1077</v>
      </c>
      <c r="G9" s="1">
        <v>9.10491517E8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26.49</v>
      </c>
      <c r="M9" s="1" t="s">
        <v>21</v>
      </c>
      <c r="O9" s="1">
        <v>780979.0</v>
      </c>
    </row>
    <row r="10">
      <c r="A10" s="1">
        <v>2654600.0</v>
      </c>
      <c r="B10" s="1" t="s">
        <v>3463</v>
      </c>
      <c r="C10" s="1" t="b">
        <v>1</v>
      </c>
      <c r="D10" s="1" t="b">
        <v>1</v>
      </c>
      <c r="E10" s="1" t="s">
        <v>483</v>
      </c>
      <c r="F10" s="1" t="s">
        <v>108</v>
      </c>
      <c r="G10" s="2">
        <f>+251915567464</f>
        <v>251915567464</v>
      </c>
      <c r="H10" s="1" t="s">
        <v>18</v>
      </c>
      <c r="I10" s="1" t="s">
        <v>19</v>
      </c>
      <c r="J10" s="1" t="s">
        <v>19</v>
      </c>
      <c r="K10" s="1" t="s">
        <v>20</v>
      </c>
      <c r="L10" s="1">
        <v>27.11</v>
      </c>
      <c r="M10" s="1" t="s">
        <v>21</v>
      </c>
      <c r="O10" s="1">
        <v>2.10309742823E11</v>
      </c>
    </row>
    <row r="11">
      <c r="A11" s="1">
        <v>2654958.0</v>
      </c>
      <c r="B11" s="1" t="s">
        <v>3464</v>
      </c>
      <c r="C11" s="1" t="b">
        <v>1</v>
      </c>
      <c r="D11" s="1" t="b">
        <v>1</v>
      </c>
      <c r="E11" s="1" t="s">
        <v>3465</v>
      </c>
      <c r="F11" s="1" t="s">
        <v>3466</v>
      </c>
      <c r="G11" s="2">
        <f>+251920635344</f>
        <v>251920635344</v>
      </c>
      <c r="H11" s="1" t="s">
        <v>2415</v>
      </c>
      <c r="I11" s="1" t="s">
        <v>19</v>
      </c>
      <c r="J11" s="1" t="s">
        <v>19</v>
      </c>
      <c r="K11" s="1" t="s">
        <v>25</v>
      </c>
      <c r="L11" s="1">
        <v>26.73</v>
      </c>
      <c r="M11" s="1" t="s">
        <v>21</v>
      </c>
      <c r="O11" s="1">
        <v>770210.0</v>
      </c>
    </row>
    <row r="12">
      <c r="A12" s="1">
        <v>2562163.0</v>
      </c>
      <c r="B12" s="1" t="s">
        <v>3235</v>
      </c>
      <c r="C12" s="1" t="b">
        <v>1</v>
      </c>
      <c r="D12" s="1" t="b">
        <v>1</v>
      </c>
      <c r="E12" s="1" t="s">
        <v>3236</v>
      </c>
      <c r="F12" s="1" t="s">
        <v>3237</v>
      </c>
      <c r="G12" s="2">
        <f>+251913997944</f>
        <v>251913997944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31.47</v>
      </c>
      <c r="M12" s="1" t="s">
        <v>33</v>
      </c>
      <c r="N12" s="1" t="s">
        <v>166</v>
      </c>
      <c r="O12" s="1">
        <v>4.4214243565E10</v>
      </c>
    </row>
    <row r="13">
      <c r="A13" s="1">
        <v>219989.0</v>
      </c>
      <c r="B13" s="1" t="s">
        <v>3467</v>
      </c>
      <c r="C13" s="1" t="b">
        <v>1</v>
      </c>
      <c r="D13" s="1" t="b">
        <v>0</v>
      </c>
      <c r="E13" s="1" t="s">
        <v>1004</v>
      </c>
      <c r="F13" s="1" t="s">
        <v>51</v>
      </c>
      <c r="G13" s="2">
        <f>+251927696165</f>
        <v>251927696165</v>
      </c>
      <c r="H13" s="1" t="s">
        <v>18</v>
      </c>
      <c r="I13" s="1" t="s">
        <v>19</v>
      </c>
      <c r="J13" s="1" t="s">
        <v>19</v>
      </c>
      <c r="K13" s="1" t="s">
        <v>25</v>
      </c>
      <c r="L13" s="1">
        <v>26.17</v>
      </c>
      <c r="M13" s="1" t="s">
        <v>21</v>
      </c>
      <c r="O13" s="1">
        <v>9370296.0</v>
      </c>
    </row>
    <row r="14">
      <c r="A14" s="1">
        <v>2655462.0</v>
      </c>
      <c r="B14" s="1" t="s">
        <v>3468</v>
      </c>
      <c r="C14" s="1" t="b">
        <v>1</v>
      </c>
      <c r="D14" s="1" t="b">
        <v>1</v>
      </c>
      <c r="E14" s="1" t="s">
        <v>333</v>
      </c>
      <c r="F14" s="1" t="s">
        <v>189</v>
      </c>
      <c r="G14" s="2">
        <f>+251938341139</f>
        <v>251938341139</v>
      </c>
      <c r="H14" s="1" t="s">
        <v>18</v>
      </c>
      <c r="I14" s="1" t="s">
        <v>19</v>
      </c>
      <c r="J14" s="1" t="s">
        <v>19</v>
      </c>
      <c r="K14" s="1" t="s">
        <v>25</v>
      </c>
      <c r="L14" s="1">
        <v>22.31</v>
      </c>
      <c r="M14" s="1" t="s">
        <v>21</v>
      </c>
    </row>
    <row r="15">
      <c r="A15" s="1">
        <v>2655652.0</v>
      </c>
      <c r="B15" s="1" t="s">
        <v>3238</v>
      </c>
      <c r="C15" s="1" t="b">
        <v>1</v>
      </c>
      <c r="D15" s="1" t="b">
        <v>1</v>
      </c>
      <c r="E15" s="1" t="s">
        <v>60</v>
      </c>
      <c r="F15" s="1" t="s">
        <v>3239</v>
      </c>
      <c r="G15" s="2">
        <f>+251945640088</f>
        <v>251945640088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24.77</v>
      </c>
      <c r="M15" s="1" t="s">
        <v>33</v>
      </c>
      <c r="N15" s="1" t="s">
        <v>65</v>
      </c>
    </row>
    <row r="16">
      <c r="A16" s="1">
        <v>2655922.0</v>
      </c>
      <c r="B16" s="1" t="s">
        <v>3142</v>
      </c>
      <c r="C16" s="1" t="b">
        <v>0</v>
      </c>
      <c r="D16" s="1" t="b">
        <v>1</v>
      </c>
      <c r="E16" s="1" t="s">
        <v>3143</v>
      </c>
      <c r="F16" s="1" t="s">
        <v>3144</v>
      </c>
      <c r="G16" s="2">
        <f>+251911588915</f>
        <v>251911588915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33.57</v>
      </c>
      <c r="M16" s="1" t="s">
        <v>26</v>
      </c>
      <c r="O16" s="1">
        <v>2.1083855794E11</v>
      </c>
    </row>
    <row r="17">
      <c r="A17" s="1">
        <v>2657975.0</v>
      </c>
      <c r="B17" s="1" t="s">
        <v>3469</v>
      </c>
      <c r="C17" s="1" t="b">
        <v>1</v>
      </c>
      <c r="D17" s="1" t="b">
        <v>0</v>
      </c>
      <c r="E17" s="1" t="s">
        <v>3470</v>
      </c>
      <c r="F17" s="1" t="s">
        <v>1337</v>
      </c>
      <c r="G17" s="2">
        <f>+251921402198</f>
        <v>251921402198</v>
      </c>
      <c r="H17" s="1" t="s">
        <v>18</v>
      </c>
      <c r="I17" s="1" t="s">
        <v>19</v>
      </c>
      <c r="J17" s="1" t="s">
        <v>19</v>
      </c>
      <c r="K17" s="1" t="s">
        <v>20</v>
      </c>
      <c r="L17" s="1">
        <v>26.5</v>
      </c>
      <c r="M17" s="1" t="s">
        <v>21</v>
      </c>
      <c r="O17" s="1">
        <v>2.11576330445E11</v>
      </c>
    </row>
    <row r="18">
      <c r="A18" s="1">
        <v>2659342.0</v>
      </c>
      <c r="B18" s="1" t="s">
        <v>3145</v>
      </c>
      <c r="C18" s="1" t="b">
        <v>1</v>
      </c>
      <c r="D18" s="1" t="b">
        <v>0</v>
      </c>
      <c r="E18" s="1" t="s">
        <v>1899</v>
      </c>
      <c r="F18" s="1" t="s">
        <v>363</v>
      </c>
      <c r="G18" s="2">
        <f>+251919594431</f>
        <v>251919594431</v>
      </c>
      <c r="H18" s="1" t="s">
        <v>18</v>
      </c>
      <c r="I18" s="1" t="s">
        <v>19</v>
      </c>
      <c r="J18" s="1" t="s">
        <v>19</v>
      </c>
      <c r="K18" s="1" t="s">
        <v>20</v>
      </c>
      <c r="L18" s="1">
        <v>30.01</v>
      </c>
      <c r="M18" s="1" t="s">
        <v>26</v>
      </c>
      <c r="O18" s="1">
        <v>2.3391509E7</v>
      </c>
    </row>
    <row r="19">
      <c r="A19" s="1">
        <v>2452468.0</v>
      </c>
      <c r="B19" s="1" t="s">
        <v>3471</v>
      </c>
      <c r="C19" s="1" t="b">
        <v>1</v>
      </c>
      <c r="D19" s="1" t="b">
        <v>1</v>
      </c>
      <c r="E19" s="1" t="s">
        <v>3472</v>
      </c>
      <c r="F19" s="1" t="s">
        <v>3473</v>
      </c>
      <c r="G19" s="2">
        <f>+251710166990</f>
        <v>251710166990</v>
      </c>
      <c r="H19" s="1" t="s">
        <v>131</v>
      </c>
      <c r="I19" s="1" t="s">
        <v>19</v>
      </c>
      <c r="J19" s="1" t="s">
        <v>19</v>
      </c>
      <c r="K19" s="1" t="s">
        <v>25</v>
      </c>
      <c r="L19" s="1">
        <v>29.11</v>
      </c>
      <c r="M19" s="1" t="s">
        <v>21</v>
      </c>
      <c r="O19" s="1">
        <v>1570391.0</v>
      </c>
    </row>
    <row r="20">
      <c r="A20" s="1">
        <v>1361796.0</v>
      </c>
      <c r="B20" s="1" t="s">
        <v>3474</v>
      </c>
      <c r="C20" s="1" t="b">
        <v>1</v>
      </c>
      <c r="D20" s="1" t="b">
        <v>1</v>
      </c>
      <c r="E20" s="1" t="s">
        <v>3475</v>
      </c>
      <c r="F20" s="1" t="s">
        <v>328</v>
      </c>
      <c r="G20" s="2">
        <f>+251989861391</f>
        <v>251989861391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23.02</v>
      </c>
      <c r="M20" s="1" t="s">
        <v>21</v>
      </c>
      <c r="O20" s="1">
        <v>5786160.0</v>
      </c>
    </row>
    <row r="21">
      <c r="A21" s="1">
        <v>2663908.0</v>
      </c>
      <c r="B21" s="1" t="s">
        <v>3240</v>
      </c>
      <c r="C21" s="1" t="b">
        <v>0</v>
      </c>
      <c r="D21" s="1" t="b">
        <v>1</v>
      </c>
      <c r="E21" s="1" t="s">
        <v>2583</v>
      </c>
      <c r="F21" s="1" t="s">
        <v>399</v>
      </c>
      <c r="G21" s="2">
        <f>+251917831213</f>
        <v>251917831213</v>
      </c>
      <c r="H21" s="1" t="s">
        <v>18</v>
      </c>
      <c r="I21" s="1" t="s">
        <v>19</v>
      </c>
      <c r="J21" s="1" t="s">
        <v>19</v>
      </c>
      <c r="K21" s="1" t="s">
        <v>25</v>
      </c>
      <c r="L21" s="1">
        <v>26.38</v>
      </c>
      <c r="M21" s="1" t="s">
        <v>33</v>
      </c>
      <c r="N21" s="1" t="s">
        <v>34</v>
      </c>
      <c r="O21" s="1">
        <v>2.1403850981E11</v>
      </c>
    </row>
    <row r="22">
      <c r="A22" s="1">
        <v>2665550.0</v>
      </c>
      <c r="B22" s="1" t="s">
        <v>3476</v>
      </c>
      <c r="C22" s="1" t="b">
        <v>1</v>
      </c>
      <c r="D22" s="1" t="b">
        <v>1</v>
      </c>
      <c r="E22" s="1" t="s">
        <v>3477</v>
      </c>
      <c r="F22" s="1" t="s">
        <v>363</v>
      </c>
      <c r="G22" s="2">
        <f>+251923693640</f>
        <v>251923693640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22.28</v>
      </c>
      <c r="M22" s="1" t="s">
        <v>21</v>
      </c>
    </row>
    <row r="23">
      <c r="A23" s="1">
        <v>2665699.0</v>
      </c>
      <c r="B23" s="1" t="s">
        <v>3478</v>
      </c>
      <c r="C23" s="1" t="b">
        <v>1</v>
      </c>
      <c r="D23" s="1" t="b">
        <v>1</v>
      </c>
      <c r="E23" s="1" t="s">
        <v>729</v>
      </c>
      <c r="F23" s="1" t="s">
        <v>3479</v>
      </c>
      <c r="G23" s="2">
        <f>+251927007218</f>
        <v>251927007218</v>
      </c>
      <c r="H23" s="1" t="s">
        <v>488</v>
      </c>
      <c r="I23" s="1" t="s">
        <v>19</v>
      </c>
      <c r="J23" s="1" t="s">
        <v>19</v>
      </c>
      <c r="K23" s="1" t="s">
        <v>25</v>
      </c>
      <c r="L23" s="1">
        <v>36.81</v>
      </c>
      <c r="M23" s="1" t="s">
        <v>21</v>
      </c>
      <c r="O23" s="1">
        <v>2.14650952941E11</v>
      </c>
    </row>
    <row r="24">
      <c r="A24" s="1">
        <v>1476781.0</v>
      </c>
      <c r="B24" s="1" t="s">
        <v>3480</v>
      </c>
      <c r="C24" s="1" t="b">
        <v>1</v>
      </c>
      <c r="D24" s="1" t="b">
        <v>1</v>
      </c>
      <c r="E24" s="1" t="s">
        <v>3481</v>
      </c>
      <c r="F24" s="1" t="s">
        <v>3482</v>
      </c>
      <c r="G24" s="2">
        <f>+251975362166</f>
        <v>251975362166</v>
      </c>
      <c r="H24" s="1" t="s">
        <v>58</v>
      </c>
      <c r="I24" s="1" t="s">
        <v>19</v>
      </c>
      <c r="J24" s="1" t="s">
        <v>19</v>
      </c>
      <c r="K24" s="1" t="s">
        <v>25</v>
      </c>
      <c r="L24" s="1">
        <v>25.22</v>
      </c>
      <c r="M24" s="1" t="s">
        <v>21</v>
      </c>
      <c r="O24" s="1">
        <v>1.5335405762E10</v>
      </c>
    </row>
    <row r="25">
      <c r="A25" s="1">
        <v>2516644.0</v>
      </c>
      <c r="B25" s="1" t="s">
        <v>3483</v>
      </c>
      <c r="C25" s="1" t="b">
        <v>1</v>
      </c>
      <c r="D25" s="1" t="b">
        <v>1</v>
      </c>
      <c r="E25" s="1" t="s">
        <v>154</v>
      </c>
      <c r="F25" s="1" t="s">
        <v>371</v>
      </c>
      <c r="G25" s="2">
        <f>+251777564488</f>
        <v>251777564488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41.53</v>
      </c>
      <c r="M25" s="1" t="s">
        <v>21</v>
      </c>
    </row>
    <row r="26">
      <c r="A26" s="1">
        <v>124209.0</v>
      </c>
      <c r="B26" s="1" t="s">
        <v>3484</v>
      </c>
      <c r="C26" s="1" t="b">
        <v>1</v>
      </c>
      <c r="D26" s="1" t="b">
        <v>1</v>
      </c>
      <c r="E26" s="1" t="s">
        <v>3485</v>
      </c>
      <c r="F26" s="1" t="s">
        <v>3486</v>
      </c>
      <c r="G26" s="1">
        <v>9.24779439E8</v>
      </c>
      <c r="H26" s="1" t="s">
        <v>18</v>
      </c>
      <c r="I26" s="1" t="s">
        <v>19</v>
      </c>
      <c r="J26" s="1" t="s">
        <v>19</v>
      </c>
      <c r="K26" s="1" t="s">
        <v>25</v>
      </c>
      <c r="L26" s="1">
        <v>24.69</v>
      </c>
      <c r="M26" s="1" t="s">
        <v>21</v>
      </c>
      <c r="O26" s="1">
        <v>788042.0</v>
      </c>
    </row>
    <row r="27">
      <c r="A27" s="1">
        <v>2610909.0</v>
      </c>
      <c r="B27" s="1" t="s">
        <v>3241</v>
      </c>
      <c r="C27" s="1" t="b">
        <v>1</v>
      </c>
      <c r="D27" s="1" t="b">
        <v>1</v>
      </c>
      <c r="E27" s="1" t="s">
        <v>615</v>
      </c>
      <c r="F27" s="1" t="s">
        <v>3242</v>
      </c>
      <c r="G27" s="2">
        <f>+251949494319</f>
        <v>251949494319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32.0</v>
      </c>
      <c r="M27" s="1" t="s">
        <v>33</v>
      </c>
      <c r="N27" s="1" t="s">
        <v>65</v>
      </c>
    </row>
    <row r="28">
      <c r="A28" s="1">
        <v>2668176.0</v>
      </c>
      <c r="B28" s="1" t="s">
        <v>3487</v>
      </c>
      <c r="C28" s="1" t="b">
        <v>1</v>
      </c>
      <c r="D28" s="1" t="b">
        <v>1</v>
      </c>
      <c r="E28" s="1" t="s">
        <v>3488</v>
      </c>
      <c r="F28" s="1" t="s">
        <v>2022</v>
      </c>
      <c r="G28" s="2">
        <f>+251954939741</f>
        <v>251954939741</v>
      </c>
      <c r="H28" s="1" t="s">
        <v>18</v>
      </c>
      <c r="I28" s="1" t="s">
        <v>19</v>
      </c>
      <c r="J28" s="1" t="s">
        <v>19</v>
      </c>
      <c r="K28" s="1" t="s">
        <v>25</v>
      </c>
      <c r="L28" s="1">
        <v>25.69</v>
      </c>
      <c r="M28" s="1" t="s">
        <v>21</v>
      </c>
      <c r="O28" s="1">
        <v>2.15569117388E11</v>
      </c>
    </row>
    <row r="29">
      <c r="A29" s="1">
        <v>2668263.0</v>
      </c>
      <c r="B29" s="1" t="s">
        <v>3489</v>
      </c>
      <c r="C29" s="1" t="b">
        <v>1</v>
      </c>
      <c r="D29" s="1" t="b">
        <v>1</v>
      </c>
      <c r="E29" s="1" t="s">
        <v>3490</v>
      </c>
      <c r="F29" s="1" t="s">
        <v>3491</v>
      </c>
      <c r="G29" s="2">
        <f>+251924942135</f>
        <v>251924942135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29.5</v>
      </c>
      <c r="M29" s="1" t="s">
        <v>21</v>
      </c>
      <c r="O29" s="1">
        <v>2.3188761E7</v>
      </c>
    </row>
    <row r="30">
      <c r="A30" s="1">
        <v>1545680.0</v>
      </c>
      <c r="B30" s="1" t="s">
        <v>3492</v>
      </c>
      <c r="C30" s="1" t="b">
        <v>1</v>
      </c>
      <c r="D30" s="1" t="b">
        <v>1</v>
      </c>
      <c r="E30" s="1" t="s">
        <v>1947</v>
      </c>
      <c r="F30" s="1" t="s">
        <v>3493</v>
      </c>
      <c r="G30" s="2">
        <f>+251916588400</f>
        <v>251916588400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25.65</v>
      </c>
      <c r="M30" s="1" t="s">
        <v>21</v>
      </c>
      <c r="O30" s="1">
        <v>1896123.0</v>
      </c>
    </row>
    <row r="31">
      <c r="A31" s="1">
        <v>2669192.0</v>
      </c>
      <c r="B31" s="1" t="s">
        <v>3146</v>
      </c>
      <c r="C31" s="1" t="b">
        <v>0</v>
      </c>
      <c r="D31" s="1" t="b">
        <v>1</v>
      </c>
      <c r="E31" s="1" t="s">
        <v>129</v>
      </c>
      <c r="F31" s="1" t="s">
        <v>3147</v>
      </c>
      <c r="G31" s="2">
        <f>+251951075203</f>
        <v>251951075203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20.55</v>
      </c>
      <c r="M31" s="1" t="s">
        <v>26</v>
      </c>
      <c r="O31" s="1">
        <v>2.1592077132E11</v>
      </c>
    </row>
    <row r="32">
      <c r="A32" s="1">
        <v>2503767.0</v>
      </c>
      <c r="B32" s="1" t="s">
        <v>3243</v>
      </c>
      <c r="C32" s="1" t="b">
        <v>1</v>
      </c>
      <c r="D32" s="1" t="b">
        <v>1</v>
      </c>
      <c r="E32" s="1" t="s">
        <v>1086</v>
      </c>
      <c r="F32" s="1" t="s">
        <v>534</v>
      </c>
      <c r="G32" s="2">
        <f>+251994843873</f>
        <v>251994843873</v>
      </c>
      <c r="H32" s="1" t="s">
        <v>18</v>
      </c>
      <c r="I32" s="1" t="s">
        <v>19</v>
      </c>
      <c r="J32" s="1" t="s">
        <v>19</v>
      </c>
      <c r="K32" s="1" t="s">
        <v>20</v>
      </c>
      <c r="L32" s="1">
        <v>21.7</v>
      </c>
      <c r="M32" s="1" t="s">
        <v>33</v>
      </c>
      <c r="N32" s="1" t="s">
        <v>177</v>
      </c>
    </row>
    <row r="33">
      <c r="A33" s="1">
        <v>2669958.0</v>
      </c>
      <c r="B33" s="1" t="s">
        <v>3494</v>
      </c>
      <c r="C33" s="1" t="b">
        <v>1</v>
      </c>
      <c r="D33" s="1" t="b">
        <v>1</v>
      </c>
      <c r="E33" s="1" t="s">
        <v>3495</v>
      </c>
      <c r="F33" s="1" t="s">
        <v>3496</v>
      </c>
      <c r="G33" s="2">
        <f>+251911998132</f>
        <v>251911998132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37.27</v>
      </c>
      <c r="M33" s="1" t="s">
        <v>21</v>
      </c>
      <c r="O33" s="1">
        <v>2.16271800561E11</v>
      </c>
    </row>
    <row r="34">
      <c r="A34" s="1">
        <v>2670215.0</v>
      </c>
      <c r="B34" s="1" t="s">
        <v>3497</v>
      </c>
      <c r="C34" s="1" t="b">
        <v>1</v>
      </c>
      <c r="D34" s="1" t="b">
        <v>1</v>
      </c>
      <c r="E34" s="1" t="s">
        <v>517</v>
      </c>
      <c r="F34" s="1" t="s">
        <v>2189</v>
      </c>
      <c r="G34" s="2">
        <f>+251982138867</f>
        <v>251982138867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22.87</v>
      </c>
      <c r="M34" s="1" t="s">
        <v>21</v>
      </c>
      <c r="O34" s="1">
        <v>2.16713569501E11</v>
      </c>
    </row>
    <row r="35">
      <c r="A35" s="1">
        <v>2670536.0</v>
      </c>
      <c r="B35" s="1" t="s">
        <v>3244</v>
      </c>
      <c r="C35" s="1" t="b">
        <v>1</v>
      </c>
      <c r="D35" s="1" t="b">
        <v>1</v>
      </c>
      <c r="E35" s="1" t="s">
        <v>836</v>
      </c>
      <c r="F35" s="1" t="s">
        <v>1116</v>
      </c>
      <c r="G35" s="2">
        <f>+251982293746</f>
        <v>251982293746</v>
      </c>
      <c r="H35" s="1" t="s">
        <v>18</v>
      </c>
      <c r="I35" s="1" t="s">
        <v>19</v>
      </c>
      <c r="J35" s="1" t="s">
        <v>19</v>
      </c>
      <c r="K35" s="1" t="s">
        <v>25</v>
      </c>
      <c r="L35" s="1">
        <v>24.32</v>
      </c>
      <c r="M35" s="1" t="s">
        <v>33</v>
      </c>
      <c r="N35" s="1" t="s">
        <v>65</v>
      </c>
      <c r="O35" s="1">
        <v>2.13879689458E11</v>
      </c>
    </row>
    <row r="36">
      <c r="A36" s="1">
        <v>2671384.0</v>
      </c>
      <c r="B36" s="1" t="s">
        <v>3498</v>
      </c>
      <c r="C36" s="1" t="b">
        <v>1</v>
      </c>
      <c r="D36" s="1" t="b">
        <v>1</v>
      </c>
      <c r="E36" s="1" t="s">
        <v>3499</v>
      </c>
      <c r="F36" s="1" t="s">
        <v>3500</v>
      </c>
      <c r="G36" s="2">
        <f>+251980303061</f>
        <v>251980303061</v>
      </c>
      <c r="H36" s="1" t="s">
        <v>18</v>
      </c>
      <c r="I36" s="1" t="s">
        <v>19</v>
      </c>
      <c r="J36" s="1" t="s">
        <v>19</v>
      </c>
      <c r="K36" s="1" t="s">
        <v>25</v>
      </c>
      <c r="L36" s="1">
        <v>40.28</v>
      </c>
      <c r="M36" s="1" t="s">
        <v>21</v>
      </c>
      <c r="O36" s="1">
        <v>2.17329568993E11</v>
      </c>
    </row>
    <row r="37">
      <c r="A37" s="1">
        <v>2620807.0</v>
      </c>
      <c r="B37" s="1" t="s">
        <v>3245</v>
      </c>
      <c r="C37" s="1" t="b">
        <v>1</v>
      </c>
      <c r="D37" s="1" t="b">
        <v>1</v>
      </c>
      <c r="E37" s="1" t="s">
        <v>3246</v>
      </c>
      <c r="F37" s="1" t="s">
        <v>108</v>
      </c>
      <c r="G37" s="2">
        <f>+251963393929</f>
        <v>251963393929</v>
      </c>
      <c r="H37" s="1" t="s">
        <v>18</v>
      </c>
      <c r="I37" s="1" t="s">
        <v>19</v>
      </c>
      <c r="J37" s="1" t="s">
        <v>19</v>
      </c>
      <c r="K37" s="1" t="s">
        <v>25</v>
      </c>
      <c r="L37" s="1">
        <v>17.89</v>
      </c>
      <c r="M37" s="1" t="s">
        <v>33</v>
      </c>
      <c r="N37" s="1" t="s">
        <v>65</v>
      </c>
    </row>
    <row r="38">
      <c r="A38" s="1">
        <v>2672294.0</v>
      </c>
      <c r="B38" s="1" t="s">
        <v>3148</v>
      </c>
      <c r="C38" s="1" t="b">
        <v>1</v>
      </c>
      <c r="D38" s="1" t="b">
        <v>1</v>
      </c>
      <c r="E38" s="1" t="s">
        <v>3149</v>
      </c>
      <c r="F38" s="1" t="s">
        <v>3150</v>
      </c>
      <c r="G38" s="2">
        <f>+251972818384</f>
        <v>251972818384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24.86</v>
      </c>
      <c r="M38" s="1" t="s">
        <v>26</v>
      </c>
      <c r="O38" s="1">
        <v>2.1759929468E11</v>
      </c>
    </row>
    <row r="39">
      <c r="A39" s="1">
        <v>2672357.0</v>
      </c>
      <c r="B39" s="1" t="s">
        <v>3501</v>
      </c>
      <c r="C39" s="1" t="b">
        <v>1</v>
      </c>
      <c r="D39" s="1" t="b">
        <v>1</v>
      </c>
      <c r="E39" s="1" t="s">
        <v>729</v>
      </c>
      <c r="F39" s="1" t="s">
        <v>3502</v>
      </c>
      <c r="G39" s="2">
        <f>+251903074646</f>
        <v>251903074646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36.94</v>
      </c>
      <c r="M39" s="1" t="s">
        <v>21</v>
      </c>
      <c r="O39" s="1">
        <v>35563.0</v>
      </c>
    </row>
    <row r="40">
      <c r="A40" s="1">
        <v>2672664.0</v>
      </c>
      <c r="B40" s="1" t="s">
        <v>3247</v>
      </c>
      <c r="C40" s="1" t="b">
        <v>0</v>
      </c>
      <c r="D40" s="1" t="b">
        <v>1</v>
      </c>
      <c r="E40" s="1" t="s">
        <v>1817</v>
      </c>
      <c r="F40" s="1" t="s">
        <v>641</v>
      </c>
      <c r="G40" s="1">
        <v>9.79255895E8</v>
      </c>
      <c r="H40" s="1" t="s">
        <v>72</v>
      </c>
      <c r="I40" s="1" t="s">
        <v>19</v>
      </c>
      <c r="J40" s="1" t="s">
        <v>19</v>
      </c>
      <c r="K40" s="1" t="s">
        <v>20</v>
      </c>
      <c r="L40" s="1">
        <v>19.39</v>
      </c>
      <c r="M40" s="1" t="s">
        <v>33</v>
      </c>
      <c r="N40" s="1" t="s">
        <v>65</v>
      </c>
      <c r="O40" s="1">
        <v>2.17809079507E11</v>
      </c>
    </row>
    <row r="41">
      <c r="A41" s="1">
        <v>2673864.0</v>
      </c>
      <c r="B41" s="1" t="s">
        <v>3503</v>
      </c>
      <c r="C41" s="1" t="b">
        <v>1</v>
      </c>
      <c r="D41" s="1" t="b">
        <v>1</v>
      </c>
      <c r="E41" s="1" t="s">
        <v>867</v>
      </c>
      <c r="F41" s="1" t="s">
        <v>1760</v>
      </c>
      <c r="G41" s="2">
        <f>+251947763789</f>
        <v>251947763789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25.58</v>
      </c>
      <c r="M41" s="1" t="s">
        <v>21</v>
      </c>
      <c r="O41" s="1">
        <v>2.18326008003E11</v>
      </c>
    </row>
    <row r="42">
      <c r="A42" s="1">
        <v>2673963.0</v>
      </c>
      <c r="B42" s="1" t="s">
        <v>3504</v>
      </c>
      <c r="C42" s="1" t="b">
        <v>1</v>
      </c>
      <c r="D42" s="1" t="b">
        <v>1</v>
      </c>
      <c r="E42" s="1" t="s">
        <v>1756</v>
      </c>
      <c r="F42" s="1" t="s">
        <v>1291</v>
      </c>
      <c r="G42" s="2">
        <f>+251915840870</f>
        <v>251915840870</v>
      </c>
      <c r="H42" s="1" t="s">
        <v>18</v>
      </c>
      <c r="I42" s="1" t="s">
        <v>19</v>
      </c>
      <c r="J42" s="1" t="s">
        <v>19</v>
      </c>
      <c r="K42" s="1" t="s">
        <v>25</v>
      </c>
      <c r="L42" s="1">
        <v>42.66</v>
      </c>
      <c r="M42" s="1" t="s">
        <v>21</v>
      </c>
    </row>
    <row r="43">
      <c r="A43" s="1">
        <v>1345162.0</v>
      </c>
      <c r="B43" s="1" t="s">
        <v>3248</v>
      </c>
      <c r="C43" s="1" t="b">
        <v>1</v>
      </c>
      <c r="D43" s="1" t="b">
        <v>1</v>
      </c>
      <c r="E43" s="1" t="s">
        <v>750</v>
      </c>
      <c r="F43" s="1" t="s">
        <v>1036</v>
      </c>
      <c r="G43" s="1">
        <v>9.63257123E8</v>
      </c>
      <c r="H43" s="1" t="s">
        <v>18</v>
      </c>
      <c r="I43" s="1" t="s">
        <v>19</v>
      </c>
      <c r="J43" s="1" t="s">
        <v>19</v>
      </c>
      <c r="K43" s="1" t="s">
        <v>20</v>
      </c>
      <c r="L43" s="1">
        <v>26.66</v>
      </c>
      <c r="M43" s="1" t="s">
        <v>33</v>
      </c>
      <c r="N43" s="1" t="s">
        <v>34</v>
      </c>
      <c r="O43" s="1">
        <v>1.2813220836E10</v>
      </c>
    </row>
    <row r="44">
      <c r="A44" s="1">
        <v>2675295.0</v>
      </c>
      <c r="B44" s="1" t="s">
        <v>3505</v>
      </c>
      <c r="C44" s="1" t="b">
        <v>1</v>
      </c>
      <c r="D44" s="1" t="b">
        <v>0</v>
      </c>
      <c r="E44" s="1" t="s">
        <v>3506</v>
      </c>
      <c r="F44" s="1" t="s">
        <v>3507</v>
      </c>
      <c r="G44" s="2">
        <f>+251930835980</f>
        <v>251930835980</v>
      </c>
      <c r="H44" s="1" t="s">
        <v>18</v>
      </c>
      <c r="I44" s="1" t="s">
        <v>19</v>
      </c>
      <c r="J44" s="1" t="s">
        <v>19</v>
      </c>
      <c r="K44" s="1" t="s">
        <v>25</v>
      </c>
      <c r="L44" s="1">
        <v>34.13</v>
      </c>
      <c r="M44" s="1" t="s">
        <v>21</v>
      </c>
      <c r="O44" s="1">
        <v>2.18839105745E11</v>
      </c>
    </row>
    <row r="45">
      <c r="A45" s="1">
        <v>612906.0</v>
      </c>
      <c r="B45" s="1" t="s">
        <v>3508</v>
      </c>
      <c r="C45" s="1" t="b">
        <v>1</v>
      </c>
      <c r="D45" s="1" t="b">
        <v>1</v>
      </c>
      <c r="E45" s="1" t="s">
        <v>1069</v>
      </c>
      <c r="F45" s="1" t="s">
        <v>3509</v>
      </c>
      <c r="G45" s="2">
        <f>+251909768609</f>
        <v>251909768609</v>
      </c>
      <c r="H45" s="1" t="s">
        <v>488</v>
      </c>
      <c r="I45" s="1" t="s">
        <v>19</v>
      </c>
      <c r="J45" s="1" t="s">
        <v>19</v>
      </c>
      <c r="K45" s="1" t="s">
        <v>25</v>
      </c>
      <c r="L45" s="1">
        <v>23.65</v>
      </c>
      <c r="M45" s="1" t="s">
        <v>21</v>
      </c>
      <c r="O45" s="1">
        <v>686206.0</v>
      </c>
    </row>
    <row r="46">
      <c r="A46" s="1">
        <v>19012.0</v>
      </c>
      <c r="B46" s="1" t="s">
        <v>3510</v>
      </c>
      <c r="C46" s="1" t="b">
        <v>1</v>
      </c>
      <c r="D46" s="1" t="b">
        <v>1</v>
      </c>
      <c r="E46" s="1" t="s">
        <v>3511</v>
      </c>
      <c r="F46" s="1" t="s">
        <v>130</v>
      </c>
      <c r="G46" s="2">
        <f>+251942282146</f>
        <v>251942282146</v>
      </c>
      <c r="H46" s="1" t="s">
        <v>4257</v>
      </c>
      <c r="I46" s="1" t="s">
        <v>19</v>
      </c>
      <c r="J46" s="1" t="s">
        <v>19</v>
      </c>
      <c r="K46" s="1" t="s">
        <v>25</v>
      </c>
      <c r="L46" s="1">
        <v>28.55</v>
      </c>
      <c r="M46" s="1" t="s">
        <v>21</v>
      </c>
      <c r="O46" s="1">
        <v>8900523.0</v>
      </c>
    </row>
    <row r="47">
      <c r="A47" s="1">
        <v>2600958.0</v>
      </c>
      <c r="B47" s="1" t="s">
        <v>3512</v>
      </c>
      <c r="C47" s="1" t="b">
        <v>1</v>
      </c>
      <c r="D47" s="1" t="b">
        <v>1</v>
      </c>
      <c r="E47" s="1" t="s">
        <v>3513</v>
      </c>
      <c r="F47" s="1" t="s">
        <v>3514</v>
      </c>
      <c r="G47" s="2">
        <f>+251911542145</f>
        <v>251911542145</v>
      </c>
      <c r="H47" s="1" t="s">
        <v>18</v>
      </c>
      <c r="I47" s="1" t="s">
        <v>19</v>
      </c>
      <c r="J47" s="1" t="s">
        <v>19</v>
      </c>
      <c r="K47" s="1" t="s">
        <v>20</v>
      </c>
      <c r="L47" s="1">
        <v>31.21</v>
      </c>
      <c r="M47" s="1" t="s">
        <v>21</v>
      </c>
      <c r="O47" s="1">
        <v>1231013.0</v>
      </c>
    </row>
    <row r="48">
      <c r="A48" s="1">
        <v>170361.0</v>
      </c>
      <c r="B48" s="1" t="s">
        <v>3515</v>
      </c>
      <c r="C48" s="1" t="b">
        <v>1</v>
      </c>
      <c r="D48" s="1" t="b">
        <v>1</v>
      </c>
      <c r="E48" s="1" t="s">
        <v>600</v>
      </c>
      <c r="F48" s="1" t="s">
        <v>422</v>
      </c>
      <c r="G48" s="2">
        <f>+251923044301</f>
        <v>251923044301</v>
      </c>
      <c r="H48" s="1" t="s">
        <v>18</v>
      </c>
      <c r="I48" s="1" t="s">
        <v>19</v>
      </c>
      <c r="J48" s="1" t="s">
        <v>19</v>
      </c>
      <c r="K48" s="1" t="s">
        <v>25</v>
      </c>
      <c r="L48" s="1">
        <v>30.73</v>
      </c>
      <c r="M48" s="1" t="s">
        <v>21</v>
      </c>
      <c r="O48" s="1">
        <v>1225466.0</v>
      </c>
    </row>
    <row r="49">
      <c r="A49" s="1">
        <v>2407624.0</v>
      </c>
      <c r="B49" s="1" t="s">
        <v>3516</v>
      </c>
      <c r="C49" s="1" t="b">
        <v>1</v>
      </c>
      <c r="D49" s="1" t="b">
        <v>1</v>
      </c>
      <c r="E49" s="1" t="s">
        <v>264</v>
      </c>
      <c r="F49" s="1" t="s">
        <v>899</v>
      </c>
      <c r="G49" s="1">
        <v>9.35353626E8</v>
      </c>
      <c r="H49" s="1" t="s">
        <v>488</v>
      </c>
      <c r="I49" s="1" t="s">
        <v>19</v>
      </c>
      <c r="J49" s="1" t="s">
        <v>19</v>
      </c>
      <c r="K49" s="1" t="s">
        <v>25</v>
      </c>
      <c r="L49" s="1">
        <v>24.06</v>
      </c>
      <c r="M49" s="1" t="s">
        <v>21</v>
      </c>
      <c r="O49" s="1">
        <v>761751.0</v>
      </c>
    </row>
    <row r="50">
      <c r="A50" s="1">
        <v>2141732.0</v>
      </c>
      <c r="B50" s="1" t="s">
        <v>3249</v>
      </c>
      <c r="C50" s="1" t="b">
        <v>1</v>
      </c>
      <c r="D50" s="1" t="b">
        <v>1</v>
      </c>
      <c r="E50" s="1" t="s">
        <v>447</v>
      </c>
      <c r="F50" s="1" t="s">
        <v>195</v>
      </c>
      <c r="G50" s="1">
        <v>9.63029494E8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24.07</v>
      </c>
      <c r="M50" s="1" t="s">
        <v>33</v>
      </c>
      <c r="N50" s="1" t="s">
        <v>76</v>
      </c>
      <c r="O50" s="1">
        <v>6761434.0</v>
      </c>
    </row>
    <row r="51">
      <c r="A51" s="1">
        <v>2679877.0</v>
      </c>
      <c r="B51" s="1" t="s">
        <v>3517</v>
      </c>
      <c r="C51" s="1" t="b">
        <v>1</v>
      </c>
      <c r="D51" s="1" t="b">
        <v>1</v>
      </c>
      <c r="E51" s="1" t="s">
        <v>3518</v>
      </c>
      <c r="F51" s="1" t="s">
        <v>3519</v>
      </c>
      <c r="G51" s="2">
        <f>+251964095455</f>
        <v>251964095455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35.84</v>
      </c>
      <c r="M51" s="1" t="s">
        <v>21</v>
      </c>
      <c r="O51" s="1">
        <v>684003.0</v>
      </c>
    </row>
    <row r="52">
      <c r="A52" s="1">
        <v>2499363.0</v>
      </c>
      <c r="B52" s="1" t="s">
        <v>3520</v>
      </c>
      <c r="C52" s="1" t="b">
        <v>1</v>
      </c>
      <c r="D52" s="1" t="b">
        <v>1</v>
      </c>
      <c r="E52" s="1" t="s">
        <v>3521</v>
      </c>
      <c r="F52" s="1" t="s">
        <v>3522</v>
      </c>
      <c r="G52" s="2">
        <f>+251969695859</f>
        <v>251969695859</v>
      </c>
      <c r="H52" s="1" t="s">
        <v>18</v>
      </c>
      <c r="I52" s="1" t="s">
        <v>19</v>
      </c>
      <c r="J52" s="1" t="s">
        <v>19</v>
      </c>
      <c r="K52" s="1" t="s">
        <v>25</v>
      </c>
      <c r="L52" s="1">
        <v>25.02</v>
      </c>
      <c r="M52" s="1" t="s">
        <v>21</v>
      </c>
      <c r="O52" s="1">
        <v>1909570.0</v>
      </c>
    </row>
    <row r="53">
      <c r="A53" s="1">
        <v>2680950.0</v>
      </c>
      <c r="B53" s="1" t="s">
        <v>3250</v>
      </c>
      <c r="C53" s="1" t="b">
        <v>1</v>
      </c>
      <c r="D53" s="1" t="b">
        <v>1</v>
      </c>
      <c r="E53" s="1" t="s">
        <v>3251</v>
      </c>
      <c r="F53" s="1" t="s">
        <v>948</v>
      </c>
      <c r="G53" s="2">
        <f>+251968329860</f>
        <v>251968329860</v>
      </c>
      <c r="H53" s="1" t="s">
        <v>18</v>
      </c>
      <c r="I53" s="1" t="s">
        <v>19</v>
      </c>
      <c r="J53" s="1" t="s">
        <v>19</v>
      </c>
      <c r="K53" s="1" t="s">
        <v>20</v>
      </c>
      <c r="L53" s="1">
        <v>27.45</v>
      </c>
      <c r="M53" s="1" t="s">
        <v>33</v>
      </c>
      <c r="N53" s="1" t="s">
        <v>177</v>
      </c>
      <c r="O53" s="1">
        <v>1866313.0</v>
      </c>
    </row>
    <row r="54">
      <c r="A54" s="1">
        <v>2681036.0</v>
      </c>
      <c r="B54" s="1" t="s">
        <v>3523</v>
      </c>
      <c r="C54" s="1" t="b">
        <v>1</v>
      </c>
      <c r="D54" s="1" t="b">
        <v>1</v>
      </c>
      <c r="E54" s="1" t="s">
        <v>3524</v>
      </c>
      <c r="F54" s="1" t="s">
        <v>3525</v>
      </c>
      <c r="G54" s="2">
        <f>+251936624289</f>
        <v>251936624289</v>
      </c>
      <c r="H54" s="1" t="s">
        <v>18</v>
      </c>
      <c r="I54" s="1" t="s">
        <v>19</v>
      </c>
      <c r="J54" s="1" t="s">
        <v>19</v>
      </c>
      <c r="K54" s="1" t="s">
        <v>25</v>
      </c>
      <c r="L54" s="1">
        <v>18.53</v>
      </c>
      <c r="M54" s="1" t="s">
        <v>21</v>
      </c>
    </row>
    <row r="55">
      <c r="A55" s="1">
        <v>2437672.0</v>
      </c>
      <c r="B55" s="1" t="s">
        <v>3252</v>
      </c>
      <c r="C55" s="1" t="b">
        <v>1</v>
      </c>
      <c r="D55" s="1" t="b">
        <v>1</v>
      </c>
      <c r="E55" s="1" t="s">
        <v>3253</v>
      </c>
      <c r="F55" s="1" t="s">
        <v>1056</v>
      </c>
      <c r="G55" s="2">
        <f>+251932273787</f>
        <v>251932273787</v>
      </c>
      <c r="H55" s="1" t="s">
        <v>72</v>
      </c>
      <c r="I55" s="1" t="s">
        <v>19</v>
      </c>
      <c r="J55" s="1" t="s">
        <v>19</v>
      </c>
      <c r="K55" s="1" t="s">
        <v>25</v>
      </c>
      <c r="L55" s="1">
        <v>37.69</v>
      </c>
      <c r="M55" s="1" t="s">
        <v>33</v>
      </c>
      <c r="N55" s="1" t="s">
        <v>76</v>
      </c>
      <c r="O55" s="1">
        <v>1.03481024757E11</v>
      </c>
    </row>
    <row r="56">
      <c r="A56" s="1">
        <v>2683307.0</v>
      </c>
      <c r="B56" s="1" t="s">
        <v>3151</v>
      </c>
      <c r="C56" s="1" t="b">
        <v>1</v>
      </c>
      <c r="D56" s="1" t="b">
        <v>0</v>
      </c>
      <c r="E56" s="1" t="s">
        <v>3152</v>
      </c>
      <c r="F56" s="1" t="s">
        <v>3153</v>
      </c>
      <c r="G56" s="1">
        <v>9.73067273E8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21.17</v>
      </c>
      <c r="M56" s="1" t="s">
        <v>26</v>
      </c>
      <c r="O56" s="1">
        <v>2.21286070505E11</v>
      </c>
    </row>
    <row r="57">
      <c r="A57" s="1">
        <v>239089.0</v>
      </c>
      <c r="B57" s="1" t="s">
        <v>3526</v>
      </c>
      <c r="C57" s="1" t="b">
        <v>1</v>
      </c>
      <c r="D57" s="1" t="b">
        <v>1</v>
      </c>
      <c r="E57" s="1" t="s">
        <v>3527</v>
      </c>
      <c r="F57" s="1" t="s">
        <v>328</v>
      </c>
      <c r="G57" s="2">
        <f>+251911530534</f>
        <v>251911530534</v>
      </c>
      <c r="H57" s="1" t="s">
        <v>18</v>
      </c>
      <c r="I57" s="1" t="s">
        <v>19</v>
      </c>
      <c r="J57" s="1" t="s">
        <v>19</v>
      </c>
      <c r="K57" s="1" t="s">
        <v>25</v>
      </c>
      <c r="L57" s="1">
        <v>34.49</v>
      </c>
      <c r="M57" s="1" t="s">
        <v>21</v>
      </c>
      <c r="O57" s="1">
        <v>883975.0</v>
      </c>
    </row>
    <row r="58">
      <c r="A58" s="1">
        <v>2501180.0</v>
      </c>
      <c r="B58" s="1" t="s">
        <v>3254</v>
      </c>
      <c r="C58" s="1" t="b">
        <v>1</v>
      </c>
      <c r="D58" s="1" t="b">
        <v>1</v>
      </c>
      <c r="E58" s="1" t="s">
        <v>1916</v>
      </c>
      <c r="F58" s="1" t="s">
        <v>2407</v>
      </c>
      <c r="G58" s="2">
        <f>+251939957764</f>
        <v>251939957764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22.18</v>
      </c>
      <c r="M58" s="1" t="s">
        <v>33</v>
      </c>
      <c r="N58" s="1" t="s">
        <v>65</v>
      </c>
      <c r="O58" s="1">
        <v>8776380.0</v>
      </c>
    </row>
    <row r="59">
      <c r="A59" s="1">
        <v>2685557.0</v>
      </c>
      <c r="B59" s="1" t="s">
        <v>3154</v>
      </c>
      <c r="C59" s="1" t="b">
        <v>0</v>
      </c>
      <c r="D59" s="1" t="b">
        <v>1</v>
      </c>
      <c r="E59" s="1" t="s">
        <v>764</v>
      </c>
      <c r="F59" s="1" t="s">
        <v>3155</v>
      </c>
      <c r="G59" s="2">
        <f>+251911198840</f>
        <v>251911198840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39.77</v>
      </c>
      <c r="M59" s="1" t="s">
        <v>26</v>
      </c>
      <c r="O59" s="1">
        <v>2.21970777276E11</v>
      </c>
    </row>
    <row r="60">
      <c r="A60" s="1">
        <v>2685584.0</v>
      </c>
      <c r="B60" s="1" t="s">
        <v>3528</v>
      </c>
      <c r="C60" s="1" t="b">
        <v>1</v>
      </c>
      <c r="D60" s="1" t="b">
        <v>1</v>
      </c>
      <c r="E60" s="1" t="s">
        <v>3529</v>
      </c>
      <c r="F60" s="1" t="s">
        <v>3530</v>
      </c>
      <c r="G60" s="2">
        <f>+251923925061</f>
        <v>251923925061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37.95</v>
      </c>
      <c r="M60" s="1" t="s">
        <v>21</v>
      </c>
      <c r="O60" s="1">
        <v>2.21971062005E11</v>
      </c>
    </row>
    <row r="61">
      <c r="A61" s="1">
        <v>2687774.0</v>
      </c>
      <c r="B61" s="1" t="s">
        <v>3255</v>
      </c>
      <c r="C61" s="1" t="b">
        <v>1</v>
      </c>
      <c r="D61" s="1" t="b">
        <v>1</v>
      </c>
      <c r="E61" s="1" t="s">
        <v>3256</v>
      </c>
      <c r="F61" s="1" t="s">
        <v>722</v>
      </c>
      <c r="G61" s="2">
        <f>+251913019811</f>
        <v>251913019811</v>
      </c>
      <c r="H61" s="1" t="s">
        <v>18</v>
      </c>
      <c r="I61" s="1" t="s">
        <v>19</v>
      </c>
      <c r="J61" s="1" t="s">
        <v>19</v>
      </c>
      <c r="K61" s="1" t="s">
        <v>20</v>
      </c>
      <c r="L61" s="1">
        <v>40.24</v>
      </c>
      <c r="M61" s="1" t="s">
        <v>33</v>
      </c>
      <c r="N61" s="1" t="s">
        <v>65</v>
      </c>
    </row>
    <row r="62">
      <c r="A62" s="1">
        <v>2073422.0</v>
      </c>
      <c r="B62" s="1" t="s">
        <v>3531</v>
      </c>
      <c r="C62" s="1" t="b">
        <v>1</v>
      </c>
      <c r="D62" s="1" t="b">
        <v>1</v>
      </c>
      <c r="E62" s="1" t="s">
        <v>1601</v>
      </c>
      <c r="F62" s="1" t="s">
        <v>3532</v>
      </c>
      <c r="G62" s="2">
        <f>+251910231067</f>
        <v>251910231067</v>
      </c>
      <c r="H62" s="1" t="s">
        <v>18</v>
      </c>
      <c r="I62" s="1" t="s">
        <v>19</v>
      </c>
      <c r="J62" s="1" t="s">
        <v>19</v>
      </c>
      <c r="K62" s="1" t="s">
        <v>25</v>
      </c>
      <c r="L62" s="1">
        <v>29.04</v>
      </c>
      <c r="M62" s="1" t="s">
        <v>21</v>
      </c>
      <c r="O62" s="1">
        <v>3.015635761E10</v>
      </c>
    </row>
    <row r="63">
      <c r="A63" s="1">
        <v>2687951.0</v>
      </c>
      <c r="B63" s="1" t="s">
        <v>3533</v>
      </c>
      <c r="C63" s="1" t="b">
        <v>1</v>
      </c>
      <c r="D63" s="1" t="b">
        <v>1</v>
      </c>
      <c r="E63" s="1" t="s">
        <v>294</v>
      </c>
      <c r="F63" s="1" t="s">
        <v>1651</v>
      </c>
      <c r="G63" s="2">
        <f>+251935909190</f>
        <v>251935909190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18.26</v>
      </c>
      <c r="M63" s="1" t="s">
        <v>21</v>
      </c>
      <c r="O63" s="1">
        <v>2.22971251907E11</v>
      </c>
    </row>
    <row r="64">
      <c r="A64" s="1">
        <v>2687995.0</v>
      </c>
      <c r="B64" s="1" t="s">
        <v>3534</v>
      </c>
      <c r="C64" s="1" t="b">
        <v>1</v>
      </c>
      <c r="D64" s="1" t="b">
        <v>1</v>
      </c>
      <c r="E64" s="1" t="s">
        <v>328</v>
      </c>
      <c r="F64" s="1" t="s">
        <v>1161</v>
      </c>
      <c r="G64" s="2">
        <f>+251975169070</f>
        <v>251975169070</v>
      </c>
      <c r="H64" s="1" t="s">
        <v>72</v>
      </c>
      <c r="I64" s="1" t="s">
        <v>19</v>
      </c>
      <c r="J64" s="1" t="s">
        <v>19</v>
      </c>
      <c r="K64" s="1" t="s">
        <v>25</v>
      </c>
      <c r="L64" s="1">
        <v>31.93</v>
      </c>
      <c r="M64" s="1" t="s">
        <v>21</v>
      </c>
    </row>
    <row r="65">
      <c r="A65" s="1">
        <v>2688170.0</v>
      </c>
      <c r="B65" s="1" t="s">
        <v>3535</v>
      </c>
      <c r="C65" s="1" t="b">
        <v>1</v>
      </c>
      <c r="D65" s="1" t="b">
        <v>0</v>
      </c>
      <c r="E65" s="1" t="s">
        <v>480</v>
      </c>
      <c r="F65" s="1" t="s">
        <v>1149</v>
      </c>
      <c r="G65" s="2">
        <f>+251936371959</f>
        <v>251936371959</v>
      </c>
      <c r="H65" s="1" t="s">
        <v>18</v>
      </c>
      <c r="I65" s="1" t="s">
        <v>19</v>
      </c>
      <c r="J65" s="1" t="s">
        <v>4258</v>
      </c>
      <c r="K65" s="1" t="s">
        <v>20</v>
      </c>
      <c r="L65" s="1">
        <v>25.62</v>
      </c>
      <c r="M65" s="1" t="s">
        <v>21</v>
      </c>
      <c r="O65" s="1">
        <v>4.3111732697E10</v>
      </c>
    </row>
    <row r="66">
      <c r="A66" s="1">
        <v>2688854.0</v>
      </c>
      <c r="B66" s="1" t="s">
        <v>3257</v>
      </c>
      <c r="C66" s="1" t="b">
        <v>1</v>
      </c>
      <c r="D66" s="1" t="b">
        <v>1</v>
      </c>
      <c r="E66" s="1" t="s">
        <v>3258</v>
      </c>
      <c r="F66" s="1" t="s">
        <v>3259</v>
      </c>
      <c r="G66" s="2">
        <f>+251920803185</f>
        <v>251920803185</v>
      </c>
      <c r="H66" s="1" t="s">
        <v>18</v>
      </c>
      <c r="I66" s="1" t="s">
        <v>19</v>
      </c>
      <c r="J66" s="1" t="s">
        <v>19</v>
      </c>
      <c r="K66" s="1" t="s">
        <v>20</v>
      </c>
      <c r="L66" s="1">
        <v>23.09</v>
      </c>
      <c r="M66" s="1" t="s">
        <v>33</v>
      </c>
      <c r="N66" s="1" t="s">
        <v>118</v>
      </c>
      <c r="O66" s="1">
        <v>7.5029413076E10</v>
      </c>
    </row>
    <row r="67">
      <c r="A67" s="1">
        <v>2686197.0</v>
      </c>
      <c r="B67" s="1" t="s">
        <v>3536</v>
      </c>
      <c r="C67" s="1" t="b">
        <v>1</v>
      </c>
      <c r="D67" s="1" t="b">
        <v>1</v>
      </c>
      <c r="E67" s="1" t="s">
        <v>3537</v>
      </c>
      <c r="F67" s="1" t="s">
        <v>3538</v>
      </c>
      <c r="G67" s="2">
        <f>+251924030294</f>
        <v>251924030294</v>
      </c>
      <c r="H67" s="1" t="s">
        <v>18</v>
      </c>
      <c r="I67" s="1" t="s">
        <v>19</v>
      </c>
      <c r="J67" s="1" t="s">
        <v>19</v>
      </c>
      <c r="K67" s="1" t="s">
        <v>25</v>
      </c>
      <c r="L67" s="1">
        <v>38.08</v>
      </c>
      <c r="M67" s="1" t="s">
        <v>21</v>
      </c>
      <c r="O67" s="1">
        <v>2.22141004E11</v>
      </c>
    </row>
    <row r="68">
      <c r="A68" s="1">
        <v>2690749.0</v>
      </c>
      <c r="B68" s="1" t="s">
        <v>3539</v>
      </c>
      <c r="C68" s="1" t="b">
        <v>1</v>
      </c>
      <c r="D68" s="1" t="b">
        <v>1</v>
      </c>
      <c r="E68" s="1" t="s">
        <v>3540</v>
      </c>
      <c r="F68" s="1" t="s">
        <v>3541</v>
      </c>
      <c r="G68" s="2">
        <f>+251931547155</f>
        <v>251931547155</v>
      </c>
      <c r="H68" s="1" t="s">
        <v>18</v>
      </c>
      <c r="I68" s="1" t="s">
        <v>19</v>
      </c>
      <c r="J68" s="1" t="s">
        <v>19</v>
      </c>
      <c r="K68" s="1" t="s">
        <v>25</v>
      </c>
      <c r="L68" s="1">
        <v>22.27</v>
      </c>
      <c r="M68" s="1" t="s">
        <v>21</v>
      </c>
    </row>
    <row r="69">
      <c r="A69" s="1">
        <v>2690771.0</v>
      </c>
      <c r="B69" s="1" t="s">
        <v>3542</v>
      </c>
      <c r="C69" s="1" t="b">
        <v>1</v>
      </c>
      <c r="D69" s="1" t="b">
        <v>1</v>
      </c>
      <c r="E69" s="1" t="s">
        <v>3543</v>
      </c>
      <c r="F69" s="1" t="s">
        <v>3544</v>
      </c>
      <c r="G69" s="2">
        <f>+25125020907</f>
        <v>25125020907</v>
      </c>
      <c r="H69" s="1" t="s">
        <v>72</v>
      </c>
      <c r="I69" s="1" t="s">
        <v>19</v>
      </c>
      <c r="J69" s="1" t="s">
        <v>19</v>
      </c>
      <c r="K69" s="1" t="s">
        <v>25</v>
      </c>
      <c r="L69" s="1">
        <v>23.34</v>
      </c>
      <c r="M69" s="1" t="s">
        <v>21</v>
      </c>
      <c r="O69" s="1">
        <v>2.24073715958E11</v>
      </c>
    </row>
    <row r="70">
      <c r="A70" s="1">
        <v>1504342.0</v>
      </c>
      <c r="B70" s="1" t="s">
        <v>3545</v>
      </c>
      <c r="C70" s="1" t="b">
        <v>1</v>
      </c>
      <c r="D70" s="1" t="b">
        <v>1</v>
      </c>
      <c r="E70" s="1" t="s">
        <v>3546</v>
      </c>
      <c r="F70" s="1" t="s">
        <v>316</v>
      </c>
      <c r="G70" s="2">
        <f>+251968577050</f>
        <v>251968577050</v>
      </c>
      <c r="H70" s="1" t="s">
        <v>18</v>
      </c>
      <c r="I70" s="1" t="s">
        <v>19</v>
      </c>
      <c r="J70" s="1" t="s">
        <v>19</v>
      </c>
      <c r="K70" s="1" t="s">
        <v>20</v>
      </c>
      <c r="L70" s="1">
        <v>30.15</v>
      </c>
      <c r="M70" s="1" t="s">
        <v>21</v>
      </c>
      <c r="O70" s="1">
        <v>1862680.0</v>
      </c>
    </row>
    <row r="71">
      <c r="A71" s="1">
        <v>2690890.0</v>
      </c>
      <c r="B71" s="1" t="s">
        <v>3547</v>
      </c>
      <c r="C71" s="1" t="b">
        <v>1</v>
      </c>
      <c r="D71" s="1" t="b">
        <v>1</v>
      </c>
      <c r="E71" s="1" t="s">
        <v>3548</v>
      </c>
      <c r="F71" s="1" t="s">
        <v>3549</v>
      </c>
      <c r="G71" s="2">
        <f>+251967982062</f>
        <v>251967982062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20.73</v>
      </c>
      <c r="M71" s="1" t="s">
        <v>21</v>
      </c>
      <c r="O71" s="1">
        <v>2.241099246E11</v>
      </c>
    </row>
    <row r="72">
      <c r="A72" s="1">
        <v>2691308.0</v>
      </c>
      <c r="B72" s="1" t="s">
        <v>3550</v>
      </c>
      <c r="C72" s="1" t="b">
        <v>1</v>
      </c>
      <c r="D72" s="1" t="b">
        <v>1</v>
      </c>
      <c r="E72" s="1" t="s">
        <v>102</v>
      </c>
      <c r="F72" s="1" t="s">
        <v>1077</v>
      </c>
      <c r="G72" s="2">
        <f>+251935576414</f>
        <v>251935576414</v>
      </c>
      <c r="H72" s="1" t="s">
        <v>72</v>
      </c>
      <c r="I72" s="1" t="s">
        <v>19</v>
      </c>
      <c r="J72" s="1" t="s">
        <v>19</v>
      </c>
      <c r="K72" s="1" t="s">
        <v>25</v>
      </c>
      <c r="L72" s="1">
        <v>25.1</v>
      </c>
      <c r="M72" s="1" t="s">
        <v>21</v>
      </c>
      <c r="O72" s="1">
        <v>8.8947087561E10</v>
      </c>
    </row>
    <row r="73">
      <c r="A73" s="1">
        <v>231828.0</v>
      </c>
      <c r="B73" s="1" t="s">
        <v>3551</v>
      </c>
      <c r="C73" s="1" t="b">
        <v>1</v>
      </c>
      <c r="D73" s="1" t="b">
        <v>1</v>
      </c>
      <c r="E73" s="1" t="s">
        <v>3552</v>
      </c>
      <c r="F73" s="1" t="s">
        <v>3553</v>
      </c>
      <c r="G73" s="2">
        <f>+251919739680</f>
        <v>251919739680</v>
      </c>
      <c r="H73" s="1" t="s">
        <v>488</v>
      </c>
      <c r="I73" s="1" t="s">
        <v>19</v>
      </c>
      <c r="J73" s="1" t="s">
        <v>19</v>
      </c>
      <c r="K73" s="1" t="s">
        <v>25</v>
      </c>
      <c r="L73" s="1">
        <v>31.41</v>
      </c>
      <c r="M73" s="1" t="s">
        <v>21</v>
      </c>
      <c r="O73" s="1">
        <v>5490959.0</v>
      </c>
    </row>
    <row r="74">
      <c r="A74" s="1">
        <v>2692832.0</v>
      </c>
      <c r="B74" s="1" t="s">
        <v>3554</v>
      </c>
      <c r="C74" s="1" t="b">
        <v>1</v>
      </c>
      <c r="D74" s="1" t="b">
        <v>1</v>
      </c>
      <c r="E74" s="1" t="s">
        <v>3555</v>
      </c>
      <c r="F74" s="1" t="s">
        <v>110</v>
      </c>
      <c r="G74" s="2">
        <f>+251912363400</f>
        <v>251912363400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33.01</v>
      </c>
      <c r="M74" s="1" t="s">
        <v>21</v>
      </c>
      <c r="O74" s="1">
        <v>1862769.0</v>
      </c>
    </row>
    <row r="75">
      <c r="A75" s="1">
        <v>2694421.0</v>
      </c>
      <c r="B75" s="1" t="s">
        <v>3260</v>
      </c>
      <c r="C75" s="1" t="b">
        <v>1</v>
      </c>
      <c r="D75" s="1" t="b">
        <v>1</v>
      </c>
      <c r="E75" s="1" t="s">
        <v>3261</v>
      </c>
      <c r="F75" s="1" t="s">
        <v>805</v>
      </c>
      <c r="G75" s="2">
        <f>+251980222889</f>
        <v>251980222889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19.81</v>
      </c>
      <c r="M75" s="1" t="s">
        <v>33</v>
      </c>
      <c r="N75" s="1" t="s">
        <v>166</v>
      </c>
    </row>
    <row r="76">
      <c r="A76" s="1">
        <v>2695412.0</v>
      </c>
      <c r="B76" s="1" t="s">
        <v>3556</v>
      </c>
      <c r="C76" s="1" t="b">
        <v>1</v>
      </c>
      <c r="D76" s="1" t="b">
        <v>1</v>
      </c>
      <c r="E76" s="1" t="s">
        <v>764</v>
      </c>
      <c r="F76" s="1" t="s">
        <v>3557</v>
      </c>
      <c r="G76" s="2">
        <f>+251917207436</f>
        <v>251917207436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27.27</v>
      </c>
      <c r="M76" s="1" t="s">
        <v>21</v>
      </c>
      <c r="O76" s="1">
        <v>2.2589864982E11</v>
      </c>
    </row>
    <row r="77">
      <c r="A77" s="1">
        <v>2695578.0</v>
      </c>
      <c r="B77" s="1" t="s">
        <v>3558</v>
      </c>
      <c r="C77" s="1" t="b">
        <v>1</v>
      </c>
      <c r="D77" s="1" t="b">
        <v>1</v>
      </c>
      <c r="E77" s="1" t="s">
        <v>3559</v>
      </c>
      <c r="F77" s="1" t="s">
        <v>3560</v>
      </c>
      <c r="G77" s="2">
        <f>+251994296885</f>
        <v>251994296885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19.07</v>
      </c>
      <c r="M77" s="1" t="s">
        <v>21</v>
      </c>
      <c r="O77" s="1">
        <v>2.26007560403E11</v>
      </c>
    </row>
    <row r="78">
      <c r="A78" s="1">
        <v>2695775.0</v>
      </c>
      <c r="B78" s="1" t="s">
        <v>3156</v>
      </c>
      <c r="C78" s="1" t="b">
        <v>0</v>
      </c>
      <c r="D78" s="1" t="b">
        <v>1</v>
      </c>
      <c r="E78" s="1" t="s">
        <v>3157</v>
      </c>
      <c r="F78" s="1" t="s">
        <v>1237</v>
      </c>
      <c r="G78" s="2">
        <f t="shared" ref="G78:G79" si="1">+251907361111</f>
        <v>251907361111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37.81</v>
      </c>
      <c r="M78" s="1" t="s">
        <v>26</v>
      </c>
      <c r="O78" s="1">
        <v>2.2599589503E11</v>
      </c>
    </row>
    <row r="79">
      <c r="A79" s="1">
        <v>2695882.0</v>
      </c>
      <c r="B79" s="1" t="s">
        <v>3561</v>
      </c>
      <c r="C79" s="1" t="b">
        <v>1</v>
      </c>
      <c r="D79" s="1" t="b">
        <v>1</v>
      </c>
      <c r="E79" s="1" t="s">
        <v>3157</v>
      </c>
      <c r="F79" s="1" t="s">
        <v>1237</v>
      </c>
      <c r="G79" s="2">
        <f t="shared" si="1"/>
        <v>251907361111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37.81</v>
      </c>
      <c r="M79" s="1" t="s">
        <v>21</v>
      </c>
      <c r="O79" s="1">
        <v>2.2605160472E11</v>
      </c>
    </row>
    <row r="80">
      <c r="A80" s="1">
        <v>2696728.0</v>
      </c>
      <c r="B80" s="1" t="s">
        <v>3562</v>
      </c>
      <c r="C80" s="1" t="b">
        <v>1</v>
      </c>
      <c r="D80" s="1" t="b">
        <v>1</v>
      </c>
      <c r="E80" s="1" t="s">
        <v>3563</v>
      </c>
      <c r="F80" s="1" t="s">
        <v>2443</v>
      </c>
      <c r="G80" s="2">
        <f>+251977788778</f>
        <v>251977788778</v>
      </c>
      <c r="H80" s="1" t="s">
        <v>18</v>
      </c>
      <c r="I80" s="1" t="s">
        <v>19</v>
      </c>
      <c r="J80" s="1" t="s">
        <v>19</v>
      </c>
      <c r="K80" s="1" t="s">
        <v>25</v>
      </c>
      <c r="L80" s="1">
        <v>31.57</v>
      </c>
      <c r="M80" s="1" t="s">
        <v>21</v>
      </c>
      <c r="O80" s="1">
        <v>5584542.0</v>
      </c>
    </row>
    <row r="81">
      <c r="A81" s="1">
        <v>2589306.0</v>
      </c>
      <c r="B81" s="1" t="s">
        <v>3564</v>
      </c>
      <c r="C81" s="1" t="b">
        <v>1</v>
      </c>
      <c r="D81" s="1" t="b">
        <v>1</v>
      </c>
      <c r="E81" s="1" t="s">
        <v>1185</v>
      </c>
      <c r="F81" s="1" t="s">
        <v>3565</v>
      </c>
      <c r="G81" s="2">
        <f>+251940459701</f>
        <v>251940459701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37.85</v>
      </c>
      <c r="M81" s="1" t="s">
        <v>21</v>
      </c>
      <c r="O81" s="1">
        <v>768025.0</v>
      </c>
    </row>
    <row r="82">
      <c r="A82" s="1">
        <v>2697378.0</v>
      </c>
      <c r="B82" s="1" t="s">
        <v>3566</v>
      </c>
      <c r="C82" s="1" t="b">
        <v>1</v>
      </c>
      <c r="D82" s="1" t="b">
        <v>1</v>
      </c>
      <c r="E82" s="1" t="s">
        <v>3567</v>
      </c>
      <c r="F82" s="1" t="s">
        <v>420</v>
      </c>
      <c r="G82" s="2">
        <f>+251963449639</f>
        <v>251963449639</v>
      </c>
      <c r="H82" s="1" t="s">
        <v>18</v>
      </c>
      <c r="I82" s="1" t="s">
        <v>19</v>
      </c>
      <c r="J82" s="1" t="s">
        <v>19</v>
      </c>
      <c r="K82" s="1" t="s">
        <v>25</v>
      </c>
      <c r="L82" s="1">
        <v>18.87</v>
      </c>
      <c r="M82" s="1" t="s">
        <v>21</v>
      </c>
      <c r="O82" s="1">
        <v>2.26524441832E11</v>
      </c>
    </row>
    <row r="83">
      <c r="A83" s="1">
        <v>1498223.0</v>
      </c>
      <c r="B83" s="1" t="s">
        <v>3262</v>
      </c>
      <c r="C83" s="1" t="b">
        <v>1</v>
      </c>
      <c r="D83" s="1" t="b">
        <v>1</v>
      </c>
      <c r="E83" s="1" t="s">
        <v>1899</v>
      </c>
      <c r="F83" s="1" t="s">
        <v>108</v>
      </c>
      <c r="G83" s="2">
        <f>+251916055802</f>
        <v>251916055802</v>
      </c>
      <c r="H83" s="1" t="s">
        <v>18</v>
      </c>
      <c r="I83" s="1" t="s">
        <v>19</v>
      </c>
      <c r="J83" s="1" t="s">
        <v>19</v>
      </c>
      <c r="K83" s="1" t="s">
        <v>20</v>
      </c>
      <c r="L83" s="1">
        <v>25.09</v>
      </c>
      <c r="M83" s="1" t="s">
        <v>33</v>
      </c>
      <c r="N83" s="1" t="s">
        <v>166</v>
      </c>
      <c r="O83" s="1">
        <v>1.6418881248E10</v>
      </c>
    </row>
    <row r="84">
      <c r="A84" s="1">
        <v>2698018.0</v>
      </c>
      <c r="B84" s="1" t="s">
        <v>3568</v>
      </c>
      <c r="C84" s="1" t="b">
        <v>1</v>
      </c>
      <c r="D84" s="1" t="b">
        <v>1</v>
      </c>
      <c r="E84" s="1" t="s">
        <v>264</v>
      </c>
      <c r="F84" s="1" t="s">
        <v>108</v>
      </c>
      <c r="G84" s="2">
        <f>+251953995191</f>
        <v>251953995191</v>
      </c>
      <c r="H84" s="1" t="s">
        <v>18</v>
      </c>
      <c r="I84" s="1" t="s">
        <v>19</v>
      </c>
      <c r="J84" s="1" t="s">
        <v>19</v>
      </c>
      <c r="K84" s="1" t="s">
        <v>25</v>
      </c>
      <c r="L84" s="1">
        <v>18.89</v>
      </c>
      <c r="M84" s="1" t="s">
        <v>21</v>
      </c>
    </row>
    <row r="85">
      <c r="A85" s="1">
        <v>243367.0</v>
      </c>
      <c r="B85" s="1" t="s">
        <v>3569</v>
      </c>
      <c r="C85" s="1" t="b">
        <v>1</v>
      </c>
      <c r="D85" s="1" t="b">
        <v>1</v>
      </c>
      <c r="E85" s="1" t="s">
        <v>3570</v>
      </c>
      <c r="F85" s="1" t="s">
        <v>630</v>
      </c>
      <c r="G85" s="1">
        <v>9.11141578E8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35.4</v>
      </c>
      <c r="M85" s="1" t="s">
        <v>21</v>
      </c>
      <c r="O85" s="1">
        <v>9675301.0</v>
      </c>
    </row>
    <row r="86">
      <c r="A86" s="1">
        <v>230311.0</v>
      </c>
      <c r="B86" s="1" t="s">
        <v>3263</v>
      </c>
      <c r="C86" s="1" t="b">
        <v>1</v>
      </c>
      <c r="D86" s="1" t="b">
        <v>1</v>
      </c>
      <c r="E86" s="1" t="s">
        <v>184</v>
      </c>
      <c r="F86" s="1" t="s">
        <v>2557</v>
      </c>
      <c r="G86" s="2">
        <f>+251962920368</f>
        <v>251962920368</v>
      </c>
      <c r="H86" s="1" t="s">
        <v>72</v>
      </c>
      <c r="I86" s="1" t="s">
        <v>19</v>
      </c>
      <c r="J86" s="1" t="s">
        <v>19</v>
      </c>
      <c r="K86" s="1" t="s">
        <v>25</v>
      </c>
      <c r="L86" s="1">
        <v>25.56</v>
      </c>
      <c r="M86" s="1" t="s">
        <v>33</v>
      </c>
      <c r="N86" s="1" t="s">
        <v>177</v>
      </c>
      <c r="O86" s="1">
        <v>6023721.0</v>
      </c>
    </row>
    <row r="87">
      <c r="A87" s="1">
        <v>2518711.0</v>
      </c>
      <c r="B87" s="1" t="s">
        <v>3571</v>
      </c>
      <c r="C87" s="1" t="b">
        <v>1</v>
      </c>
      <c r="D87" s="1" t="b">
        <v>1</v>
      </c>
      <c r="E87" s="1" t="s">
        <v>500</v>
      </c>
      <c r="F87" s="1" t="s">
        <v>3572</v>
      </c>
      <c r="G87" s="2">
        <f>+1251917819913</f>
        <v>1251917819913</v>
      </c>
      <c r="H87" s="1" t="s">
        <v>18</v>
      </c>
      <c r="I87" s="1" t="s">
        <v>19</v>
      </c>
      <c r="J87" s="1" t="s">
        <v>19</v>
      </c>
      <c r="K87" s="1" t="s">
        <v>20</v>
      </c>
      <c r="L87" s="1">
        <v>45.36</v>
      </c>
      <c r="M87" s="1" t="s">
        <v>21</v>
      </c>
      <c r="O87" s="1">
        <v>1.48392695006E11</v>
      </c>
    </row>
    <row r="88">
      <c r="A88" s="1">
        <v>231280.0</v>
      </c>
      <c r="B88" s="1" t="s">
        <v>3573</v>
      </c>
      <c r="C88" s="1" t="b">
        <v>1</v>
      </c>
      <c r="D88" s="1" t="b">
        <v>1</v>
      </c>
      <c r="E88" s="1" t="s">
        <v>3574</v>
      </c>
      <c r="F88" s="1" t="s">
        <v>956</v>
      </c>
      <c r="G88" s="2">
        <f>+251917570611</f>
        <v>251917570611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31.32</v>
      </c>
      <c r="M88" s="1" t="s">
        <v>21</v>
      </c>
      <c r="O88" s="1">
        <v>2.6876626E7</v>
      </c>
    </row>
    <row r="89">
      <c r="A89" s="1">
        <v>2706157.0</v>
      </c>
      <c r="B89" s="1" t="s">
        <v>3264</v>
      </c>
      <c r="C89" s="1" t="b">
        <v>0</v>
      </c>
      <c r="D89" s="1" t="b">
        <v>1</v>
      </c>
      <c r="E89" s="1" t="s">
        <v>3265</v>
      </c>
      <c r="F89" s="1" t="s">
        <v>3266</v>
      </c>
      <c r="G89" s="2">
        <f>+251913509705</f>
        <v>251913509705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35.26</v>
      </c>
      <c r="M89" s="1" t="s">
        <v>33</v>
      </c>
      <c r="N89" s="1" t="s">
        <v>76</v>
      </c>
      <c r="O89" s="1">
        <v>2.29881383134E11</v>
      </c>
    </row>
    <row r="90">
      <c r="A90" s="1">
        <v>2706316.0</v>
      </c>
      <c r="B90" s="1" t="s">
        <v>3575</v>
      </c>
      <c r="C90" s="1" t="b">
        <v>1</v>
      </c>
      <c r="D90" s="1" t="b">
        <v>1</v>
      </c>
      <c r="E90" s="1" t="s">
        <v>101</v>
      </c>
      <c r="F90" s="1" t="s">
        <v>303</v>
      </c>
      <c r="G90" s="2">
        <f>+251926550516</f>
        <v>251926550516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30.14</v>
      </c>
      <c r="M90" s="1" t="s">
        <v>21</v>
      </c>
    </row>
    <row r="91">
      <c r="A91" s="1">
        <v>2706892.0</v>
      </c>
      <c r="B91" s="1" t="s">
        <v>3158</v>
      </c>
      <c r="C91" s="1" t="b">
        <v>1</v>
      </c>
      <c r="D91" s="1" t="b">
        <v>1</v>
      </c>
      <c r="E91" s="1" t="s">
        <v>792</v>
      </c>
      <c r="F91" s="1" t="s">
        <v>3159</v>
      </c>
      <c r="G91" s="2">
        <f>+251919256104</f>
        <v>251919256104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30.24</v>
      </c>
      <c r="M91" s="1" t="s">
        <v>26</v>
      </c>
      <c r="O91" s="1">
        <v>2.30108459248E11</v>
      </c>
    </row>
    <row r="92">
      <c r="A92" s="1">
        <v>2707380.0</v>
      </c>
      <c r="B92" s="1" t="s">
        <v>3576</v>
      </c>
      <c r="C92" s="1" t="b">
        <v>1</v>
      </c>
      <c r="D92" s="1" t="b">
        <v>1</v>
      </c>
      <c r="E92" s="1" t="s">
        <v>124</v>
      </c>
      <c r="F92" s="1" t="s">
        <v>71</v>
      </c>
      <c r="G92" s="2">
        <f>+251980434149</f>
        <v>251980434149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24.88</v>
      </c>
      <c r="M92" s="1" t="s">
        <v>21</v>
      </c>
      <c r="O92" s="1">
        <v>2.30262088891E11</v>
      </c>
    </row>
    <row r="93">
      <c r="A93" s="1">
        <v>1372040.0</v>
      </c>
      <c r="B93" s="1" t="s">
        <v>3577</v>
      </c>
      <c r="C93" s="1" t="b">
        <v>1</v>
      </c>
      <c r="D93" s="1" t="b">
        <v>1</v>
      </c>
      <c r="E93" s="1" t="s">
        <v>437</v>
      </c>
      <c r="F93" s="1" t="s">
        <v>524</v>
      </c>
      <c r="G93" s="2">
        <f>+251961546560</f>
        <v>251961546560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23.58</v>
      </c>
      <c r="M93" s="1" t="s">
        <v>21</v>
      </c>
      <c r="O93" s="1">
        <v>1.3612764122E10</v>
      </c>
    </row>
    <row r="94">
      <c r="A94" s="1">
        <v>2708841.0</v>
      </c>
      <c r="B94" s="1" t="s">
        <v>3578</v>
      </c>
      <c r="C94" s="1" t="b">
        <v>1</v>
      </c>
      <c r="D94" s="1" t="b">
        <v>1</v>
      </c>
      <c r="E94" s="1" t="s">
        <v>29</v>
      </c>
      <c r="F94" s="1" t="s">
        <v>630</v>
      </c>
      <c r="G94" s="2">
        <f>+2519169270700</f>
        <v>2519169270700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26.9</v>
      </c>
      <c r="M94" s="1" t="s">
        <v>21</v>
      </c>
      <c r="O94" s="1">
        <v>2.31234033903E11</v>
      </c>
    </row>
    <row r="95">
      <c r="A95" s="1">
        <v>450303.0</v>
      </c>
      <c r="B95" s="1" t="s">
        <v>3579</v>
      </c>
      <c r="C95" s="1" t="b">
        <v>1</v>
      </c>
      <c r="D95" s="1" t="b">
        <v>1</v>
      </c>
      <c r="E95" s="1" t="s">
        <v>2017</v>
      </c>
      <c r="F95" s="1" t="s">
        <v>3580</v>
      </c>
      <c r="G95" s="2">
        <f>+251995761620</f>
        <v>251995761620</v>
      </c>
      <c r="H95" s="1" t="s">
        <v>72</v>
      </c>
      <c r="I95" s="1" t="s">
        <v>19</v>
      </c>
      <c r="J95" s="1" t="s">
        <v>19</v>
      </c>
      <c r="K95" s="1" t="s">
        <v>25</v>
      </c>
      <c r="L95" s="1">
        <v>22.42</v>
      </c>
      <c r="M95" s="1" t="s">
        <v>21</v>
      </c>
      <c r="O95" s="1">
        <v>2.8626E7</v>
      </c>
    </row>
    <row r="96">
      <c r="A96" s="1">
        <v>2710236.0</v>
      </c>
      <c r="B96" s="1" t="s">
        <v>3160</v>
      </c>
      <c r="C96" s="1" t="b">
        <v>0</v>
      </c>
      <c r="D96" s="1" t="b">
        <v>1</v>
      </c>
      <c r="E96" s="1" t="s">
        <v>151</v>
      </c>
      <c r="F96" s="1" t="s">
        <v>2192</v>
      </c>
      <c r="G96" s="2">
        <f>+251944232114</f>
        <v>251944232114</v>
      </c>
      <c r="H96" s="1" t="s">
        <v>18</v>
      </c>
      <c r="I96" s="1" t="s">
        <v>19</v>
      </c>
      <c r="J96" s="1" t="s">
        <v>19</v>
      </c>
      <c r="K96" s="1" t="s">
        <v>20</v>
      </c>
      <c r="L96" s="1">
        <v>28.6</v>
      </c>
      <c r="M96" s="1" t="s">
        <v>26</v>
      </c>
      <c r="O96" s="1">
        <v>2.32088648929E11</v>
      </c>
    </row>
    <row r="97">
      <c r="A97" s="1">
        <v>2691576.0</v>
      </c>
      <c r="B97" s="1" t="s">
        <v>3581</v>
      </c>
      <c r="C97" s="1" t="b">
        <v>1</v>
      </c>
      <c r="D97" s="1" t="b">
        <v>1</v>
      </c>
      <c r="E97" s="1" t="s">
        <v>163</v>
      </c>
      <c r="F97" s="1" t="s">
        <v>1760</v>
      </c>
      <c r="G97" s="2">
        <f>+251925396586</f>
        <v>251925396586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23.3</v>
      </c>
      <c r="M97" s="1" t="s">
        <v>21</v>
      </c>
      <c r="O97" s="1">
        <v>2.24319419581E11</v>
      </c>
    </row>
    <row r="98">
      <c r="A98" s="1">
        <v>2710866.0</v>
      </c>
      <c r="B98" s="1" t="s">
        <v>3267</v>
      </c>
      <c r="C98" s="1" t="b">
        <v>1</v>
      </c>
      <c r="D98" s="1" t="b">
        <v>1</v>
      </c>
      <c r="E98" s="1" t="s">
        <v>3268</v>
      </c>
      <c r="F98" s="1" t="s">
        <v>1214</v>
      </c>
      <c r="G98" s="2">
        <f>+251909098884</f>
        <v>251909098884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25.27</v>
      </c>
      <c r="M98" s="1" t="s">
        <v>33</v>
      </c>
      <c r="N98" s="1" t="s">
        <v>166</v>
      </c>
      <c r="O98" s="1">
        <v>2.32412079312E11</v>
      </c>
    </row>
    <row r="99">
      <c r="A99" s="1">
        <v>2710224.0</v>
      </c>
      <c r="B99" s="1" t="s">
        <v>3582</v>
      </c>
      <c r="C99" s="1" t="b">
        <v>1</v>
      </c>
      <c r="D99" s="1" t="b">
        <v>1</v>
      </c>
      <c r="E99" s="1" t="s">
        <v>3583</v>
      </c>
      <c r="F99" s="1" t="s">
        <v>3584</v>
      </c>
      <c r="G99" s="2">
        <f>+251977204763</f>
        <v>251977204763</v>
      </c>
      <c r="H99" s="1" t="s">
        <v>18</v>
      </c>
      <c r="I99" s="1" t="s">
        <v>19</v>
      </c>
      <c r="J99" s="1" t="s">
        <v>19</v>
      </c>
      <c r="K99" s="1" t="s">
        <v>25</v>
      </c>
      <c r="L99" s="1">
        <v>35.98</v>
      </c>
      <c r="M99" s="1" t="s">
        <v>21</v>
      </c>
      <c r="O99" s="1">
        <v>2.32087644389E11</v>
      </c>
    </row>
    <row r="100">
      <c r="A100" s="1">
        <v>2209185.0</v>
      </c>
      <c r="B100" s="1" t="s">
        <v>3585</v>
      </c>
      <c r="C100" s="1" t="b">
        <v>1</v>
      </c>
      <c r="D100" s="1" t="b">
        <v>1</v>
      </c>
      <c r="E100" s="1" t="s">
        <v>3586</v>
      </c>
      <c r="F100" s="1" t="s">
        <v>3587</v>
      </c>
      <c r="G100" s="1">
        <v>9.0243317E8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22.58</v>
      </c>
      <c r="M100" s="1" t="s">
        <v>21</v>
      </c>
      <c r="O100" s="1">
        <v>5719382.0</v>
      </c>
    </row>
    <row r="101">
      <c r="A101" s="1">
        <v>2711409.0</v>
      </c>
      <c r="B101" s="1" t="s">
        <v>3588</v>
      </c>
      <c r="C101" s="1" t="b">
        <v>1</v>
      </c>
      <c r="D101" s="1" t="b">
        <v>1</v>
      </c>
      <c r="E101" s="1" t="s">
        <v>37</v>
      </c>
      <c r="F101" s="1" t="s">
        <v>1760</v>
      </c>
      <c r="G101" s="2">
        <f>+251927062191</f>
        <v>251927062191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23.13</v>
      </c>
      <c r="M101" s="1" t="s">
        <v>21</v>
      </c>
      <c r="O101" s="1">
        <v>2.32618168531E11</v>
      </c>
    </row>
    <row r="102">
      <c r="A102" s="1">
        <v>2699333.0</v>
      </c>
      <c r="B102" s="1" t="s">
        <v>3269</v>
      </c>
      <c r="C102" s="1" t="b">
        <v>1</v>
      </c>
      <c r="D102" s="1" t="b">
        <v>1</v>
      </c>
      <c r="E102" s="1" t="s">
        <v>3270</v>
      </c>
      <c r="F102" s="1" t="s">
        <v>3271</v>
      </c>
      <c r="G102" s="2">
        <f>+251960461321</f>
        <v>251960461321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13.27</v>
      </c>
      <c r="M102" s="1" t="s">
        <v>33</v>
      </c>
      <c r="N102" s="1" t="s">
        <v>65</v>
      </c>
      <c r="O102" s="1">
        <v>2.27395740917E11</v>
      </c>
    </row>
    <row r="103">
      <c r="A103" s="1">
        <v>2714904.0</v>
      </c>
      <c r="B103" s="1" t="s">
        <v>3589</v>
      </c>
      <c r="C103" s="1" t="b">
        <v>1</v>
      </c>
      <c r="D103" s="1" t="b">
        <v>1</v>
      </c>
      <c r="E103" s="1" t="s">
        <v>3590</v>
      </c>
      <c r="F103" s="1" t="s">
        <v>2301</v>
      </c>
      <c r="G103" s="2">
        <f>+251911656400</f>
        <v>251911656400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35.44</v>
      </c>
      <c r="M103" s="1" t="s">
        <v>21</v>
      </c>
      <c r="O103" s="1">
        <v>2.34064071867E11</v>
      </c>
    </row>
    <row r="104">
      <c r="A104" s="1">
        <v>2715156.0</v>
      </c>
      <c r="B104" s="1" t="s">
        <v>3591</v>
      </c>
      <c r="C104" s="1" t="b">
        <v>1</v>
      </c>
      <c r="D104" s="1" t="b">
        <v>1</v>
      </c>
      <c r="E104" s="1" t="s">
        <v>107</v>
      </c>
      <c r="F104" s="1" t="s">
        <v>3592</v>
      </c>
      <c r="G104" s="2">
        <f>+251978787429</f>
        <v>251978787429</v>
      </c>
      <c r="H104" s="1" t="s">
        <v>18</v>
      </c>
      <c r="I104" s="1" t="s">
        <v>19</v>
      </c>
      <c r="J104" s="1" t="s">
        <v>19</v>
      </c>
      <c r="K104" s="1" t="s">
        <v>20</v>
      </c>
      <c r="L104" s="1">
        <v>25.76</v>
      </c>
      <c r="M104" s="1" t="s">
        <v>21</v>
      </c>
      <c r="O104" s="1">
        <v>2.34122551513E11</v>
      </c>
    </row>
    <row r="105">
      <c r="A105" s="1">
        <v>123258.0</v>
      </c>
      <c r="B105" s="1" t="s">
        <v>3272</v>
      </c>
      <c r="C105" s="1" t="b">
        <v>1</v>
      </c>
      <c r="D105" s="1" t="b">
        <v>1</v>
      </c>
      <c r="E105" s="1" t="s">
        <v>3273</v>
      </c>
      <c r="F105" s="1" t="s">
        <v>3274</v>
      </c>
      <c r="G105" s="2">
        <f>+251945360611</f>
        <v>251945360611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29.18</v>
      </c>
      <c r="M105" s="1" t="s">
        <v>33</v>
      </c>
      <c r="N105" s="1" t="s">
        <v>166</v>
      </c>
      <c r="O105" s="1">
        <v>2.6211488E7</v>
      </c>
    </row>
    <row r="106">
      <c r="A106" s="1">
        <v>2715291.0</v>
      </c>
      <c r="B106" s="1" t="s">
        <v>3593</v>
      </c>
      <c r="C106" s="1" t="b">
        <v>1</v>
      </c>
      <c r="D106" s="1" t="b">
        <v>1</v>
      </c>
      <c r="E106" s="1" t="s">
        <v>3594</v>
      </c>
      <c r="F106" s="1" t="s">
        <v>3595</v>
      </c>
      <c r="G106" s="2">
        <f>+251991270606</f>
        <v>251991270606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24.02</v>
      </c>
      <c r="M106" s="1" t="s">
        <v>21</v>
      </c>
      <c r="O106" s="1">
        <v>2.34175439038E11</v>
      </c>
    </row>
    <row r="107">
      <c r="A107" s="1">
        <v>2715279.0</v>
      </c>
      <c r="B107" s="1" t="s">
        <v>3596</v>
      </c>
      <c r="C107" s="1" t="b">
        <v>1</v>
      </c>
      <c r="D107" s="1" t="b">
        <v>1</v>
      </c>
      <c r="E107" s="1" t="s">
        <v>60</v>
      </c>
      <c r="F107" s="1" t="s">
        <v>303</v>
      </c>
      <c r="G107" s="2">
        <f>+251934696272</f>
        <v>251934696272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29.42</v>
      </c>
      <c r="M107" s="1" t="s">
        <v>21</v>
      </c>
      <c r="O107" s="1">
        <v>8736544.0</v>
      </c>
    </row>
    <row r="108">
      <c r="A108" s="1">
        <v>2538555.0</v>
      </c>
      <c r="B108" s="1" t="s">
        <v>3597</v>
      </c>
      <c r="C108" s="1" t="b">
        <v>1</v>
      </c>
      <c r="D108" s="1" t="b">
        <v>1</v>
      </c>
      <c r="E108" s="1" t="s">
        <v>3496</v>
      </c>
      <c r="F108" s="1" t="s">
        <v>2505</v>
      </c>
      <c r="G108" s="2">
        <f>+251910100855</f>
        <v>251910100855</v>
      </c>
      <c r="H108" s="1" t="s">
        <v>18</v>
      </c>
      <c r="I108" s="1" t="s">
        <v>19</v>
      </c>
      <c r="J108" s="1" t="s">
        <v>19</v>
      </c>
      <c r="K108" s="1" t="s">
        <v>25</v>
      </c>
      <c r="L108" s="1">
        <v>28.79</v>
      </c>
      <c r="M108" s="1" t="s">
        <v>21</v>
      </c>
      <c r="O108" s="1">
        <v>8869030.0</v>
      </c>
    </row>
    <row r="109">
      <c r="A109" s="1">
        <v>2715381.0</v>
      </c>
      <c r="B109" s="1" t="s">
        <v>3598</v>
      </c>
      <c r="C109" s="1" t="b">
        <v>1</v>
      </c>
      <c r="D109" s="1" t="b">
        <v>1</v>
      </c>
      <c r="E109" s="1" t="s">
        <v>3599</v>
      </c>
      <c r="F109" s="1" t="s">
        <v>3600</v>
      </c>
      <c r="G109" s="2">
        <f>+251911001573</f>
        <v>251911001573</v>
      </c>
      <c r="H109" s="1" t="s">
        <v>18</v>
      </c>
      <c r="I109" s="1" t="s">
        <v>19</v>
      </c>
      <c r="J109" s="1" t="s">
        <v>19</v>
      </c>
      <c r="K109" s="1" t="s">
        <v>25</v>
      </c>
      <c r="L109" s="1">
        <v>37.81</v>
      </c>
      <c r="M109" s="1" t="s">
        <v>21</v>
      </c>
      <c r="O109" s="1">
        <v>2.34160327885E11</v>
      </c>
    </row>
    <row r="110">
      <c r="A110" s="1">
        <v>2715569.0</v>
      </c>
      <c r="B110" s="1" t="s">
        <v>3275</v>
      </c>
      <c r="C110" s="1" t="b">
        <v>0</v>
      </c>
      <c r="D110" s="1" t="b">
        <v>1</v>
      </c>
      <c r="E110" s="1" t="s">
        <v>399</v>
      </c>
      <c r="F110" s="1" t="s">
        <v>3276</v>
      </c>
      <c r="G110" s="2">
        <f>+251903085706</f>
        <v>251903085706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21.47</v>
      </c>
      <c r="M110" s="1" t="s">
        <v>33</v>
      </c>
      <c r="N110" s="1" t="s">
        <v>65</v>
      </c>
      <c r="O110" s="1">
        <v>2.3414555671E11</v>
      </c>
    </row>
    <row r="111">
      <c r="A111" s="1">
        <v>2715670.0</v>
      </c>
      <c r="B111" s="1" t="s">
        <v>3601</v>
      </c>
      <c r="C111" s="1" t="b">
        <v>1</v>
      </c>
      <c r="D111" s="1" t="b">
        <v>1</v>
      </c>
      <c r="E111" s="1" t="s">
        <v>3602</v>
      </c>
      <c r="F111" s="1" t="s">
        <v>812</v>
      </c>
      <c r="G111" s="2">
        <f>+251940812739</f>
        <v>251940812739</v>
      </c>
      <c r="H111" s="1" t="s">
        <v>18</v>
      </c>
      <c r="I111" s="1" t="s">
        <v>19</v>
      </c>
      <c r="J111" s="1" t="s">
        <v>19</v>
      </c>
      <c r="K111" s="1" t="s">
        <v>25</v>
      </c>
      <c r="L111" s="1">
        <v>31.83</v>
      </c>
      <c r="M111" s="1" t="s">
        <v>21</v>
      </c>
      <c r="O111" s="1">
        <v>2.34176120015E11</v>
      </c>
    </row>
    <row r="112">
      <c r="A112" s="1">
        <v>2715789.0</v>
      </c>
      <c r="B112" s="1" t="s">
        <v>3603</v>
      </c>
      <c r="C112" s="1" t="b">
        <v>1</v>
      </c>
      <c r="D112" s="1" t="b">
        <v>1</v>
      </c>
      <c r="E112" s="1" t="s">
        <v>3604</v>
      </c>
      <c r="F112" s="1" t="s">
        <v>3605</v>
      </c>
      <c r="G112" s="2">
        <f>+251938045753</f>
        <v>251938045753</v>
      </c>
      <c r="H112" s="1" t="s">
        <v>18</v>
      </c>
      <c r="I112" s="1" t="s">
        <v>19</v>
      </c>
      <c r="J112" s="1" t="s">
        <v>19</v>
      </c>
      <c r="K112" s="1" t="s">
        <v>20</v>
      </c>
      <c r="L112" s="1">
        <v>28.21</v>
      </c>
      <c r="M112" s="1" t="s">
        <v>21</v>
      </c>
      <c r="O112" s="1">
        <v>2.34292420804E11</v>
      </c>
    </row>
    <row r="113">
      <c r="A113" s="1">
        <v>2716160.0</v>
      </c>
      <c r="B113" s="1" t="s">
        <v>3606</v>
      </c>
      <c r="C113" s="1" t="b">
        <v>1</v>
      </c>
      <c r="D113" s="1" t="b">
        <v>1</v>
      </c>
      <c r="E113" s="1" t="s">
        <v>3607</v>
      </c>
      <c r="F113" s="1" t="s">
        <v>365</v>
      </c>
      <c r="G113" s="2">
        <f>+251931948677</f>
        <v>251931948677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27.42</v>
      </c>
      <c r="M113" s="1" t="s">
        <v>21</v>
      </c>
      <c r="O113" s="1">
        <v>2.34346651872E11</v>
      </c>
    </row>
    <row r="114">
      <c r="A114" s="1">
        <v>2716569.0</v>
      </c>
      <c r="B114" s="1" t="s">
        <v>3608</v>
      </c>
      <c r="C114" s="1" t="b">
        <v>1</v>
      </c>
      <c r="D114" s="1" t="b">
        <v>1</v>
      </c>
      <c r="E114" s="1" t="s">
        <v>3609</v>
      </c>
      <c r="F114" s="1" t="s">
        <v>3610</v>
      </c>
      <c r="G114" s="2">
        <f>+251912684004</f>
        <v>251912684004</v>
      </c>
      <c r="H114" s="1" t="s">
        <v>80</v>
      </c>
      <c r="I114" s="1" t="s">
        <v>19</v>
      </c>
      <c r="J114" s="1" t="s">
        <v>19</v>
      </c>
      <c r="K114" s="1" t="s">
        <v>25</v>
      </c>
      <c r="L114" s="1">
        <v>36.24</v>
      </c>
      <c r="M114" s="1" t="s">
        <v>21</v>
      </c>
    </row>
    <row r="115">
      <c r="A115" s="1">
        <v>2716568.0</v>
      </c>
      <c r="B115" s="1" t="s">
        <v>3611</v>
      </c>
      <c r="C115" s="1" t="b">
        <v>1</v>
      </c>
      <c r="D115" s="1" t="b">
        <v>1</v>
      </c>
      <c r="E115" s="1" t="s">
        <v>67</v>
      </c>
      <c r="F115" s="1" t="s">
        <v>110</v>
      </c>
      <c r="G115" s="2">
        <f>+251916824896</f>
        <v>251916824896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28.11</v>
      </c>
      <c r="M115" s="1" t="s">
        <v>21</v>
      </c>
      <c r="O115" s="1">
        <v>2.34396968177E11</v>
      </c>
    </row>
    <row r="116">
      <c r="A116" s="1">
        <v>2716626.0</v>
      </c>
      <c r="B116" s="1" t="s">
        <v>3612</v>
      </c>
      <c r="C116" s="1" t="b">
        <v>1</v>
      </c>
      <c r="D116" s="1" t="b">
        <v>1</v>
      </c>
      <c r="E116" s="1" t="s">
        <v>404</v>
      </c>
      <c r="F116" s="1" t="s">
        <v>3613</v>
      </c>
      <c r="G116" s="2">
        <f>+251925628579</f>
        <v>251925628579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29.77</v>
      </c>
      <c r="M116" s="1" t="s">
        <v>21</v>
      </c>
      <c r="O116" s="1">
        <v>2.34507159774E11</v>
      </c>
    </row>
    <row r="117">
      <c r="A117" s="1">
        <v>1037158.0</v>
      </c>
      <c r="B117" s="1" t="s">
        <v>3614</v>
      </c>
      <c r="C117" s="1" t="b">
        <v>1</v>
      </c>
      <c r="D117" s="1" t="b">
        <v>1</v>
      </c>
      <c r="E117" s="1" t="s">
        <v>3615</v>
      </c>
      <c r="F117" s="1" t="s">
        <v>3616</v>
      </c>
      <c r="G117" s="2">
        <f>+251923151833</f>
        <v>251923151833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33.38</v>
      </c>
      <c r="M117" s="1" t="s">
        <v>21</v>
      </c>
      <c r="O117" s="1">
        <v>6.077201653E9</v>
      </c>
    </row>
    <row r="118">
      <c r="A118" s="1">
        <v>2716667.0</v>
      </c>
      <c r="B118" s="1" t="s">
        <v>3277</v>
      </c>
      <c r="C118" s="1" t="b">
        <v>1</v>
      </c>
      <c r="D118" s="1" t="b">
        <v>1</v>
      </c>
      <c r="E118" s="1" t="s">
        <v>620</v>
      </c>
      <c r="F118" s="1" t="s">
        <v>1077</v>
      </c>
      <c r="G118" s="2">
        <f>+251920827473</f>
        <v>251920827473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21.22</v>
      </c>
      <c r="M118" s="1" t="s">
        <v>33</v>
      </c>
      <c r="N118" s="1" t="s">
        <v>34</v>
      </c>
      <c r="O118" s="1">
        <v>2.34509049061E11</v>
      </c>
    </row>
    <row r="119">
      <c r="A119" s="1">
        <v>2716672.0</v>
      </c>
      <c r="B119" s="1" t="s">
        <v>3617</v>
      </c>
      <c r="C119" s="1" t="b">
        <v>1</v>
      </c>
      <c r="D119" s="1" t="b">
        <v>1</v>
      </c>
      <c r="E119" s="1" t="s">
        <v>424</v>
      </c>
      <c r="F119" s="1" t="s">
        <v>534</v>
      </c>
      <c r="G119" s="2">
        <f>+251901908294</f>
        <v>251901908294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23.54</v>
      </c>
      <c r="M119" s="1" t="s">
        <v>21</v>
      </c>
      <c r="O119" s="1">
        <v>2.34500603111E11</v>
      </c>
    </row>
    <row r="120">
      <c r="A120" s="1">
        <v>2715456.0</v>
      </c>
      <c r="B120" s="1" t="s">
        <v>3618</v>
      </c>
      <c r="C120" s="1" t="b">
        <v>1</v>
      </c>
      <c r="D120" s="1" t="b">
        <v>1</v>
      </c>
      <c r="E120" s="1" t="s">
        <v>3619</v>
      </c>
      <c r="F120" s="1" t="s">
        <v>506</v>
      </c>
      <c r="G120" s="2">
        <f>+251966126490</f>
        <v>251966126490</v>
      </c>
      <c r="H120" s="1" t="s">
        <v>18</v>
      </c>
      <c r="I120" s="1" t="s">
        <v>19</v>
      </c>
      <c r="J120" s="1" t="s">
        <v>19</v>
      </c>
      <c r="K120" s="1" t="s">
        <v>25</v>
      </c>
      <c r="L120" s="1">
        <v>28.16</v>
      </c>
      <c r="M120" s="1" t="s">
        <v>21</v>
      </c>
      <c r="O120" s="1">
        <v>2.34149948654E11</v>
      </c>
    </row>
    <row r="121">
      <c r="A121" s="1">
        <v>2716697.0</v>
      </c>
      <c r="B121" s="1" t="s">
        <v>3278</v>
      </c>
      <c r="C121" s="1" t="b">
        <v>1</v>
      </c>
      <c r="D121" s="1" t="b">
        <v>1</v>
      </c>
      <c r="E121" s="1" t="s">
        <v>480</v>
      </c>
      <c r="F121" s="1" t="s">
        <v>3279</v>
      </c>
      <c r="G121" s="2">
        <f>+251919992602</f>
        <v>251919992602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30.73</v>
      </c>
      <c r="M121" s="1" t="s">
        <v>33</v>
      </c>
      <c r="N121" s="1" t="s">
        <v>76</v>
      </c>
      <c r="O121" s="1">
        <v>2.34403871942E11</v>
      </c>
    </row>
    <row r="122">
      <c r="A122" s="1">
        <v>2716756.0</v>
      </c>
      <c r="B122" s="1" t="s">
        <v>3620</v>
      </c>
      <c r="C122" s="1" t="b">
        <v>1</v>
      </c>
      <c r="D122" s="1" t="b">
        <v>1</v>
      </c>
      <c r="E122" s="1" t="s">
        <v>361</v>
      </c>
      <c r="F122" s="1" t="s">
        <v>3621</v>
      </c>
      <c r="G122" s="2">
        <f>+251973946687</f>
        <v>251973946687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19.13</v>
      </c>
      <c r="M122" s="1" t="s">
        <v>21</v>
      </c>
      <c r="O122" s="1">
        <v>2.34406828261E11</v>
      </c>
    </row>
    <row r="123">
      <c r="A123" s="1">
        <v>2716790.0</v>
      </c>
      <c r="B123" s="1" t="s">
        <v>3622</v>
      </c>
      <c r="C123" s="1" t="b">
        <v>1</v>
      </c>
      <c r="D123" s="1" t="b">
        <v>1</v>
      </c>
      <c r="E123" s="1" t="s">
        <v>1570</v>
      </c>
      <c r="F123" s="1" t="s">
        <v>195</v>
      </c>
      <c r="G123" s="2">
        <f>+251901609403</f>
        <v>251901609403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20.52</v>
      </c>
      <c r="M123" s="1" t="s">
        <v>21</v>
      </c>
      <c r="O123" s="1">
        <v>2.34409573588E11</v>
      </c>
    </row>
    <row r="124">
      <c r="A124" s="1">
        <v>2716854.0</v>
      </c>
      <c r="B124" s="1" t="s">
        <v>3623</v>
      </c>
      <c r="C124" s="1" t="b">
        <v>1</v>
      </c>
      <c r="D124" s="1" t="b">
        <v>1</v>
      </c>
      <c r="E124" s="1" t="s">
        <v>3624</v>
      </c>
      <c r="F124" s="1" t="s">
        <v>277</v>
      </c>
      <c r="G124" s="2">
        <f>+251936481884</f>
        <v>251936481884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27.59</v>
      </c>
      <c r="M124" s="1" t="s">
        <v>21</v>
      </c>
      <c r="O124" s="1">
        <v>888439.0</v>
      </c>
    </row>
    <row r="125">
      <c r="A125" s="1">
        <v>2716864.0</v>
      </c>
      <c r="B125" s="1" t="s">
        <v>3161</v>
      </c>
      <c r="C125" s="1" t="b">
        <v>0</v>
      </c>
      <c r="D125" s="1" t="b">
        <v>1</v>
      </c>
      <c r="E125" s="1" t="s">
        <v>3162</v>
      </c>
      <c r="F125" s="1" t="s">
        <v>1374</v>
      </c>
      <c r="G125" s="2">
        <f>+251910427620</f>
        <v>251910427620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35.37</v>
      </c>
      <c r="M125" s="1" t="s">
        <v>26</v>
      </c>
      <c r="O125" s="1">
        <v>2.3450971672E11</v>
      </c>
    </row>
    <row r="126">
      <c r="A126" s="1">
        <v>2716984.0</v>
      </c>
      <c r="B126" s="1" t="s">
        <v>3625</v>
      </c>
      <c r="C126" s="1" t="b">
        <v>1</v>
      </c>
      <c r="D126" s="1" t="b">
        <v>1</v>
      </c>
      <c r="E126" s="1" t="s">
        <v>3626</v>
      </c>
      <c r="F126" s="1" t="s">
        <v>3627</v>
      </c>
      <c r="G126" s="2">
        <f>+251912405079</f>
        <v>251912405079</v>
      </c>
      <c r="H126" s="1" t="s">
        <v>18</v>
      </c>
      <c r="I126" s="1" t="s">
        <v>19</v>
      </c>
      <c r="J126" s="1" t="s">
        <v>19</v>
      </c>
      <c r="K126" s="1" t="s">
        <v>20</v>
      </c>
      <c r="L126" s="1">
        <v>29.5</v>
      </c>
      <c r="M126" s="1" t="s">
        <v>21</v>
      </c>
    </row>
    <row r="127">
      <c r="A127" s="1">
        <v>2716900.0</v>
      </c>
      <c r="B127" s="1" t="s">
        <v>3628</v>
      </c>
      <c r="C127" s="1" t="b">
        <v>1</v>
      </c>
      <c r="D127" s="1" t="b">
        <v>1</v>
      </c>
      <c r="E127" s="1" t="s">
        <v>37</v>
      </c>
      <c r="F127" s="1" t="s">
        <v>3629</v>
      </c>
      <c r="G127" s="2">
        <f>+251912717161</f>
        <v>251912717161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20.29</v>
      </c>
      <c r="M127" s="1" t="s">
        <v>21</v>
      </c>
      <c r="O127" s="1">
        <v>2.34414980297E11</v>
      </c>
    </row>
    <row r="128">
      <c r="A128" s="1">
        <v>2717149.0</v>
      </c>
      <c r="B128" s="1" t="s">
        <v>3630</v>
      </c>
      <c r="C128" s="1" t="b">
        <v>1</v>
      </c>
      <c r="D128" s="1" t="b">
        <v>1</v>
      </c>
      <c r="E128" s="1" t="s">
        <v>1254</v>
      </c>
      <c r="F128" s="1" t="s">
        <v>3631</v>
      </c>
      <c r="G128" s="2">
        <f>+251919221265</f>
        <v>251919221265</v>
      </c>
      <c r="H128" s="1" t="s">
        <v>18</v>
      </c>
      <c r="I128" s="1" t="s">
        <v>19</v>
      </c>
      <c r="J128" s="1" t="s">
        <v>19</v>
      </c>
      <c r="K128" s="1" t="s">
        <v>25</v>
      </c>
      <c r="L128" s="1">
        <v>30.63</v>
      </c>
      <c r="M128" s="1" t="s">
        <v>21</v>
      </c>
      <c r="O128" s="1">
        <v>2.34548011221E11</v>
      </c>
    </row>
    <row r="129">
      <c r="A129" s="1">
        <v>2717153.0</v>
      </c>
      <c r="B129" s="1" t="s">
        <v>3163</v>
      </c>
      <c r="C129" s="1" t="b">
        <v>0</v>
      </c>
      <c r="D129" s="1" t="b">
        <v>1</v>
      </c>
      <c r="E129" s="1" t="s">
        <v>151</v>
      </c>
      <c r="F129" s="1" t="s">
        <v>189</v>
      </c>
      <c r="G129" s="2">
        <f>+251980331605</f>
        <v>251980331605</v>
      </c>
      <c r="H129" s="1" t="s">
        <v>1410</v>
      </c>
      <c r="I129" s="1" t="s">
        <v>19</v>
      </c>
      <c r="J129" s="1" t="s">
        <v>19</v>
      </c>
      <c r="K129" s="1" t="s">
        <v>20</v>
      </c>
      <c r="L129" s="1">
        <v>23.42</v>
      </c>
      <c r="M129" s="1" t="s">
        <v>26</v>
      </c>
      <c r="O129" s="1">
        <v>2.34547575031E11</v>
      </c>
    </row>
    <row r="130">
      <c r="A130" s="1">
        <v>2717243.0</v>
      </c>
      <c r="B130" s="1" t="s">
        <v>3280</v>
      </c>
      <c r="C130" s="1" t="b">
        <v>1</v>
      </c>
      <c r="D130" s="1" t="b">
        <v>1</v>
      </c>
      <c r="E130" s="1" t="s">
        <v>3170</v>
      </c>
      <c r="F130" s="1" t="s">
        <v>839</v>
      </c>
      <c r="G130" s="2">
        <f>+251923149652</f>
        <v>251923149652</v>
      </c>
      <c r="H130" s="1" t="s">
        <v>18</v>
      </c>
      <c r="I130" s="1" t="s">
        <v>19</v>
      </c>
      <c r="J130" s="1" t="s">
        <v>19</v>
      </c>
      <c r="K130" s="1" t="s">
        <v>25</v>
      </c>
      <c r="L130" s="1">
        <v>31.16</v>
      </c>
      <c r="M130" s="1" t="s">
        <v>33</v>
      </c>
      <c r="N130" s="1" t="s">
        <v>118</v>
      </c>
      <c r="O130" s="1">
        <v>2.34549300462E11</v>
      </c>
    </row>
    <row r="131">
      <c r="A131" s="1">
        <v>1192042.0</v>
      </c>
      <c r="B131" s="1" t="s">
        <v>3632</v>
      </c>
      <c r="C131" s="1" t="b">
        <v>1</v>
      </c>
      <c r="D131" s="1" t="b">
        <v>1</v>
      </c>
      <c r="E131" s="1" t="s">
        <v>996</v>
      </c>
      <c r="F131" s="1" t="s">
        <v>2853</v>
      </c>
      <c r="G131" s="2">
        <f>+251094877884</f>
        <v>251094877884</v>
      </c>
      <c r="H131" s="1" t="s">
        <v>18</v>
      </c>
      <c r="I131" s="1" t="s">
        <v>19</v>
      </c>
      <c r="J131" s="1" t="s">
        <v>19</v>
      </c>
      <c r="K131" s="1" t="s">
        <v>25</v>
      </c>
      <c r="L131" s="1">
        <v>29.44</v>
      </c>
      <c r="M131" s="1" t="s">
        <v>21</v>
      </c>
      <c r="O131" s="1">
        <v>8.660256228E9</v>
      </c>
    </row>
    <row r="132">
      <c r="A132" s="1">
        <v>2717389.0</v>
      </c>
      <c r="B132" s="1" t="s">
        <v>3281</v>
      </c>
      <c r="C132" s="1" t="b">
        <v>1</v>
      </c>
      <c r="D132" s="1" t="b">
        <v>1</v>
      </c>
      <c r="E132" s="1" t="s">
        <v>250</v>
      </c>
      <c r="F132" s="1" t="s">
        <v>3282</v>
      </c>
      <c r="G132" s="2">
        <f>+251988930051</f>
        <v>251988930051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23.21</v>
      </c>
      <c r="M132" s="1" t="s">
        <v>33</v>
      </c>
      <c r="N132" s="1" t="s">
        <v>166</v>
      </c>
      <c r="O132" s="1">
        <v>2.34576083185E11</v>
      </c>
    </row>
    <row r="133">
      <c r="A133" s="1">
        <v>2717487.0</v>
      </c>
      <c r="B133" s="1" t="s">
        <v>3633</v>
      </c>
      <c r="C133" s="1" t="b">
        <v>1</v>
      </c>
      <c r="D133" s="1" t="b">
        <v>1</v>
      </c>
      <c r="E133" s="1" t="s">
        <v>3634</v>
      </c>
      <c r="F133" s="1" t="s">
        <v>3635</v>
      </c>
      <c r="G133" s="2">
        <f>+251918657923</f>
        <v>251918657923</v>
      </c>
      <c r="H133" s="1" t="s">
        <v>72</v>
      </c>
      <c r="I133" s="1" t="s">
        <v>19</v>
      </c>
      <c r="J133" s="1" t="s">
        <v>19</v>
      </c>
      <c r="K133" s="1" t="s">
        <v>25</v>
      </c>
      <c r="L133" s="1">
        <v>32.15</v>
      </c>
      <c r="M133" s="1" t="s">
        <v>21</v>
      </c>
    </row>
    <row r="134">
      <c r="A134" s="1">
        <v>2717626.0</v>
      </c>
      <c r="B134" s="1" t="s">
        <v>3636</v>
      </c>
      <c r="C134" s="1" t="b">
        <v>1</v>
      </c>
      <c r="D134" s="1" t="b">
        <v>1</v>
      </c>
      <c r="E134" s="1" t="s">
        <v>1504</v>
      </c>
      <c r="F134" s="1" t="s">
        <v>96</v>
      </c>
      <c r="G134" s="2">
        <f>+251926882982</f>
        <v>251926882982</v>
      </c>
      <c r="H134" s="1" t="s">
        <v>18</v>
      </c>
      <c r="I134" s="1" t="s">
        <v>19</v>
      </c>
      <c r="J134" s="1" t="s">
        <v>19</v>
      </c>
      <c r="K134" s="1" t="s">
        <v>25</v>
      </c>
      <c r="L134" s="1">
        <v>22.45</v>
      </c>
      <c r="M134" s="1" t="s">
        <v>21</v>
      </c>
      <c r="O134" s="1">
        <v>2.34654257339E11</v>
      </c>
    </row>
    <row r="135">
      <c r="A135" s="1">
        <v>182377.0</v>
      </c>
      <c r="B135" s="1" t="s">
        <v>3637</v>
      </c>
      <c r="C135" s="1" t="b">
        <v>1</v>
      </c>
      <c r="D135" s="1" t="b">
        <v>1</v>
      </c>
      <c r="E135" s="1" t="s">
        <v>3638</v>
      </c>
      <c r="F135" s="1" t="s">
        <v>3639</v>
      </c>
      <c r="G135" s="2">
        <f>+251969421897</f>
        <v>251969421897</v>
      </c>
      <c r="H135" s="1" t="s">
        <v>18</v>
      </c>
      <c r="I135" s="1" t="s">
        <v>19</v>
      </c>
      <c r="J135" s="1" t="s">
        <v>19</v>
      </c>
      <c r="K135" s="1" t="s">
        <v>25</v>
      </c>
      <c r="L135" s="1">
        <v>31.61</v>
      </c>
      <c r="M135" s="1" t="s">
        <v>21</v>
      </c>
      <c r="O135" s="1">
        <v>8736211.0</v>
      </c>
    </row>
    <row r="136">
      <c r="A136" s="1">
        <v>1070124.0</v>
      </c>
      <c r="B136" s="1" t="s">
        <v>3640</v>
      </c>
      <c r="C136" s="1" t="b">
        <v>1</v>
      </c>
      <c r="D136" s="1" t="b">
        <v>1</v>
      </c>
      <c r="E136" s="1" t="s">
        <v>1296</v>
      </c>
      <c r="F136" s="1" t="s">
        <v>899</v>
      </c>
      <c r="G136" s="2">
        <f>+251961109553</f>
        <v>251961109553</v>
      </c>
      <c r="H136" s="1" t="s">
        <v>18</v>
      </c>
      <c r="I136" s="1" t="s">
        <v>19</v>
      </c>
      <c r="J136" s="1" t="s">
        <v>19</v>
      </c>
      <c r="K136" s="1" t="s">
        <v>25</v>
      </c>
      <c r="L136" s="1">
        <v>26.57</v>
      </c>
      <c r="M136" s="1" t="s">
        <v>21</v>
      </c>
      <c r="O136" s="1">
        <v>6.557585373E9</v>
      </c>
    </row>
    <row r="137">
      <c r="A137" s="1">
        <v>2038277.0</v>
      </c>
      <c r="B137" s="1" t="s">
        <v>3641</v>
      </c>
      <c r="C137" s="1" t="b">
        <v>1</v>
      </c>
      <c r="D137" s="1" t="b">
        <v>1</v>
      </c>
      <c r="E137" s="1" t="s">
        <v>663</v>
      </c>
      <c r="F137" s="1" t="s">
        <v>1103</v>
      </c>
      <c r="G137" s="2">
        <f>+251993483094</f>
        <v>251993483094</v>
      </c>
      <c r="H137" s="1" t="s">
        <v>93</v>
      </c>
      <c r="I137" s="1" t="s">
        <v>19</v>
      </c>
      <c r="J137" s="1" t="s">
        <v>19</v>
      </c>
      <c r="K137" s="1" t="s">
        <v>25</v>
      </c>
      <c r="L137" s="1">
        <v>19.32</v>
      </c>
      <c r="M137" s="1" t="s">
        <v>21</v>
      </c>
      <c r="O137" s="1">
        <v>3.1171221752E10</v>
      </c>
    </row>
    <row r="138">
      <c r="A138" s="1">
        <v>2717726.0</v>
      </c>
      <c r="B138" s="1" t="s">
        <v>3642</v>
      </c>
      <c r="C138" s="1" t="b">
        <v>1</v>
      </c>
      <c r="D138" s="1" t="b">
        <v>1</v>
      </c>
      <c r="E138" s="1" t="s">
        <v>3643</v>
      </c>
      <c r="F138" s="1" t="s">
        <v>3644</v>
      </c>
      <c r="G138" s="2">
        <f>+251912386254</f>
        <v>251912386254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31.72</v>
      </c>
      <c r="M138" s="1" t="s">
        <v>21</v>
      </c>
      <c r="O138" s="1">
        <v>2.34697293003E11</v>
      </c>
    </row>
    <row r="139">
      <c r="A139" s="1">
        <v>2717802.0</v>
      </c>
      <c r="B139" s="1" t="s">
        <v>3645</v>
      </c>
      <c r="C139" s="1" t="b">
        <v>1</v>
      </c>
      <c r="D139" s="1" t="b">
        <v>1</v>
      </c>
      <c r="E139" s="1" t="s">
        <v>1069</v>
      </c>
      <c r="F139" s="1" t="s">
        <v>3646</v>
      </c>
      <c r="G139" s="2">
        <f>+251715131100</f>
        <v>251715131100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25.82</v>
      </c>
      <c r="M139" s="1" t="s">
        <v>21</v>
      </c>
      <c r="O139" s="1">
        <v>791634.0</v>
      </c>
    </row>
    <row r="140">
      <c r="A140" s="1">
        <v>2717847.0</v>
      </c>
      <c r="B140" s="1" t="s">
        <v>3283</v>
      </c>
      <c r="C140" s="1" t="b">
        <v>0</v>
      </c>
      <c r="D140" s="1" t="b">
        <v>1</v>
      </c>
      <c r="E140" s="1" t="s">
        <v>3284</v>
      </c>
      <c r="F140" s="1" t="s">
        <v>3285</v>
      </c>
      <c r="G140" s="2">
        <f>+251964126589</f>
        <v>251964126589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26.96</v>
      </c>
      <c r="M140" s="1" t="s">
        <v>33</v>
      </c>
      <c r="N140" s="1" t="s">
        <v>76</v>
      </c>
      <c r="O140" s="1">
        <v>6865394.0</v>
      </c>
    </row>
    <row r="141">
      <c r="A141" s="1">
        <v>2717941.0</v>
      </c>
      <c r="B141" s="1" t="s">
        <v>3647</v>
      </c>
      <c r="C141" s="1" t="b">
        <v>1</v>
      </c>
      <c r="D141" s="1" t="b">
        <v>1</v>
      </c>
      <c r="E141" s="1" t="s">
        <v>774</v>
      </c>
      <c r="F141" s="1" t="s">
        <v>600</v>
      </c>
      <c r="G141" s="2">
        <f>+251911402283</f>
        <v>251911402283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38.88</v>
      </c>
      <c r="M141" s="1" t="s">
        <v>21</v>
      </c>
      <c r="O141" s="1">
        <v>1846672.0</v>
      </c>
    </row>
    <row r="142">
      <c r="A142" s="1">
        <v>2718095.0</v>
      </c>
      <c r="B142" s="1" t="s">
        <v>3648</v>
      </c>
      <c r="C142" s="1" t="b">
        <v>1</v>
      </c>
      <c r="D142" s="1" t="b">
        <v>1</v>
      </c>
      <c r="E142" s="1" t="s">
        <v>3649</v>
      </c>
      <c r="F142" s="1" t="s">
        <v>3650</v>
      </c>
      <c r="G142" s="2">
        <f>+251913515917</f>
        <v>251913515917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23.06</v>
      </c>
      <c r="M142" s="1" t="s">
        <v>21</v>
      </c>
      <c r="O142" s="1">
        <v>2.34730284262E11</v>
      </c>
    </row>
    <row r="143">
      <c r="A143" s="1">
        <v>2718152.0</v>
      </c>
      <c r="B143" s="1" t="s">
        <v>3164</v>
      </c>
      <c r="C143" s="1" t="b">
        <v>0</v>
      </c>
      <c r="D143" s="1" t="b">
        <v>1</v>
      </c>
      <c r="E143" s="1" t="s">
        <v>834</v>
      </c>
      <c r="F143" s="1" t="s">
        <v>630</v>
      </c>
      <c r="G143" s="2">
        <f>+251903776539</f>
        <v>251903776539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27.15</v>
      </c>
      <c r="M143" s="1" t="s">
        <v>26</v>
      </c>
      <c r="O143" s="1">
        <v>2.34744502483E11</v>
      </c>
    </row>
    <row r="144">
      <c r="A144" s="1">
        <v>2718354.0</v>
      </c>
      <c r="B144" s="1" t="s">
        <v>3651</v>
      </c>
      <c r="C144" s="1" t="b">
        <v>1</v>
      </c>
      <c r="D144" s="1" t="b">
        <v>1</v>
      </c>
      <c r="E144" s="1" t="s">
        <v>28</v>
      </c>
      <c r="F144" s="1" t="s">
        <v>1000</v>
      </c>
      <c r="G144" s="2">
        <f>+251914866008</f>
        <v>251914866008</v>
      </c>
      <c r="H144" s="1" t="s">
        <v>18</v>
      </c>
      <c r="I144" s="1" t="s">
        <v>19</v>
      </c>
      <c r="J144" s="1" t="s">
        <v>19</v>
      </c>
      <c r="K144" s="1" t="s">
        <v>25</v>
      </c>
      <c r="L144" s="1">
        <v>20.07</v>
      </c>
      <c r="M144" s="1" t="s">
        <v>21</v>
      </c>
      <c r="O144" s="1">
        <v>2.34800370919E11</v>
      </c>
    </row>
    <row r="145">
      <c r="A145" s="1">
        <v>1063187.0</v>
      </c>
      <c r="B145" s="1" t="s">
        <v>3652</v>
      </c>
      <c r="C145" s="1" t="b">
        <v>1</v>
      </c>
      <c r="D145" s="1" t="b">
        <v>1</v>
      </c>
      <c r="E145" s="1" t="s">
        <v>3653</v>
      </c>
      <c r="F145" s="1" t="s">
        <v>1527</v>
      </c>
      <c r="G145" s="2">
        <f>+251938578806</f>
        <v>251938578806</v>
      </c>
      <c r="H145" s="1" t="s">
        <v>18</v>
      </c>
      <c r="I145" s="1" t="s">
        <v>19</v>
      </c>
      <c r="J145" s="1" t="s">
        <v>19</v>
      </c>
      <c r="K145" s="1" t="s">
        <v>1418</v>
      </c>
      <c r="L145" s="1">
        <v>33.44</v>
      </c>
      <c r="M145" s="1" t="s">
        <v>21</v>
      </c>
      <c r="O145" s="1">
        <v>6.417088748E9</v>
      </c>
    </row>
    <row r="146">
      <c r="A146" s="1">
        <v>2718697.0</v>
      </c>
      <c r="B146" s="1" t="s">
        <v>3654</v>
      </c>
      <c r="C146" s="1" t="b">
        <v>1</v>
      </c>
      <c r="D146" s="1" t="b">
        <v>1</v>
      </c>
      <c r="E146" s="1" t="s">
        <v>3655</v>
      </c>
      <c r="F146" s="1" t="s">
        <v>630</v>
      </c>
      <c r="G146" s="2">
        <f>+251903776539</f>
        <v>251903776539</v>
      </c>
      <c r="H146" s="1" t="s">
        <v>18</v>
      </c>
      <c r="I146" s="1" t="s">
        <v>19</v>
      </c>
      <c r="J146" s="1" t="s">
        <v>19</v>
      </c>
      <c r="K146" s="1" t="s">
        <v>25</v>
      </c>
      <c r="L146" s="1">
        <v>27.15</v>
      </c>
      <c r="M146" s="1" t="s">
        <v>21</v>
      </c>
      <c r="O146" s="1">
        <v>2.3483636044E11</v>
      </c>
    </row>
    <row r="147">
      <c r="A147" s="1">
        <v>2127219.0</v>
      </c>
      <c r="B147" s="1" t="s">
        <v>3286</v>
      </c>
      <c r="C147" s="1" t="b">
        <v>1</v>
      </c>
      <c r="D147" s="1" t="b">
        <v>1</v>
      </c>
      <c r="E147" s="1" t="s">
        <v>836</v>
      </c>
      <c r="F147" s="1" t="s">
        <v>262</v>
      </c>
      <c r="G147" s="1">
        <v>9.54354254E8</v>
      </c>
      <c r="H147" s="1" t="s">
        <v>18</v>
      </c>
      <c r="I147" s="1" t="s">
        <v>19</v>
      </c>
      <c r="J147" s="1" t="s">
        <v>19</v>
      </c>
      <c r="K147" s="1" t="s">
        <v>25</v>
      </c>
      <c r="L147" s="1">
        <v>24.49</v>
      </c>
      <c r="M147" s="1" t="s">
        <v>33</v>
      </c>
      <c r="N147" s="1" t="s">
        <v>118</v>
      </c>
      <c r="O147" s="1">
        <v>3.1479200498E10</v>
      </c>
    </row>
    <row r="148">
      <c r="A148" s="1">
        <v>2718929.0</v>
      </c>
      <c r="B148" s="1" t="s">
        <v>3656</v>
      </c>
      <c r="C148" s="1" t="b">
        <v>1</v>
      </c>
      <c r="D148" s="1" t="b">
        <v>1</v>
      </c>
      <c r="E148" s="1" t="s">
        <v>3657</v>
      </c>
      <c r="F148" s="1" t="s">
        <v>3658</v>
      </c>
      <c r="G148" s="2">
        <f>+251910112953</f>
        <v>251910112953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36.13</v>
      </c>
      <c r="M148" s="1" t="s">
        <v>21</v>
      </c>
      <c r="O148" s="1">
        <v>2.34889651425E11</v>
      </c>
    </row>
    <row r="149">
      <c r="A149" s="1">
        <v>2718949.0</v>
      </c>
      <c r="B149" s="1" t="s">
        <v>3659</v>
      </c>
      <c r="C149" s="1" t="b">
        <v>1</v>
      </c>
      <c r="D149" s="1" t="b">
        <v>1</v>
      </c>
      <c r="E149" s="1" t="s">
        <v>1412</v>
      </c>
      <c r="F149" s="1" t="s">
        <v>3660</v>
      </c>
      <c r="G149" s="2">
        <f>+251936123022</f>
        <v>251936123022</v>
      </c>
      <c r="H149" s="1" t="s">
        <v>18</v>
      </c>
      <c r="I149" s="1" t="s">
        <v>19</v>
      </c>
      <c r="J149" s="1" t="s">
        <v>19</v>
      </c>
      <c r="K149" s="1" t="s">
        <v>25</v>
      </c>
      <c r="L149" s="1">
        <v>23.54</v>
      </c>
      <c r="M149" s="1" t="s">
        <v>21</v>
      </c>
      <c r="O149" s="1">
        <v>2.34902442226E11</v>
      </c>
    </row>
    <row r="150">
      <c r="A150" s="1">
        <v>2719325.0</v>
      </c>
      <c r="B150" s="1" t="s">
        <v>3661</v>
      </c>
      <c r="C150" s="1" t="b">
        <v>1</v>
      </c>
      <c r="D150" s="1" t="b">
        <v>1</v>
      </c>
      <c r="E150" s="1" t="s">
        <v>250</v>
      </c>
      <c r="F150" s="1" t="s">
        <v>1237</v>
      </c>
      <c r="G150" s="2">
        <f>+251935727654</f>
        <v>251935727654</v>
      </c>
      <c r="H150" s="1" t="s">
        <v>392</v>
      </c>
      <c r="I150" s="1" t="s">
        <v>19</v>
      </c>
      <c r="J150" s="1" t="s">
        <v>19</v>
      </c>
      <c r="K150" s="1" t="s">
        <v>25</v>
      </c>
      <c r="L150" s="1">
        <v>26.11</v>
      </c>
      <c r="M150" s="1" t="s">
        <v>21</v>
      </c>
      <c r="O150" s="1">
        <v>2.34984277178E11</v>
      </c>
    </row>
    <row r="151">
      <c r="A151" s="1">
        <v>2718262.0</v>
      </c>
      <c r="B151" s="1" t="s">
        <v>3662</v>
      </c>
      <c r="C151" s="1" t="b">
        <v>1</v>
      </c>
      <c r="D151" s="1" t="b">
        <v>1</v>
      </c>
      <c r="E151" s="1" t="s">
        <v>517</v>
      </c>
      <c r="F151" s="1" t="s">
        <v>2105</v>
      </c>
      <c r="G151" s="2">
        <f>+251945451557</f>
        <v>251945451557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22.35</v>
      </c>
      <c r="M151" s="1" t="s">
        <v>21</v>
      </c>
      <c r="O151" s="1">
        <v>8743961.0</v>
      </c>
    </row>
    <row r="152">
      <c r="A152" s="1">
        <v>2719527.0</v>
      </c>
      <c r="B152" s="1" t="s">
        <v>3663</v>
      </c>
      <c r="C152" s="1" t="b">
        <v>1</v>
      </c>
      <c r="D152" s="1" t="b">
        <v>1</v>
      </c>
      <c r="E152" s="1" t="s">
        <v>554</v>
      </c>
      <c r="F152" s="1" t="s">
        <v>1862</v>
      </c>
      <c r="G152" s="2">
        <f>+251911599412</f>
        <v>251911599412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31.64</v>
      </c>
      <c r="M152" s="1" t="s">
        <v>21</v>
      </c>
      <c r="O152" s="1">
        <v>2.3516827E7</v>
      </c>
    </row>
    <row r="153">
      <c r="A153" s="1">
        <v>2719714.0</v>
      </c>
      <c r="B153" s="1" t="s">
        <v>3287</v>
      </c>
      <c r="C153" s="1" t="b">
        <v>1</v>
      </c>
      <c r="D153" s="1" t="b">
        <v>1</v>
      </c>
      <c r="E153" s="1" t="s">
        <v>375</v>
      </c>
      <c r="F153" s="1" t="s">
        <v>3288</v>
      </c>
      <c r="G153" s="2">
        <f>+251918567328</f>
        <v>251918567328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29.78</v>
      </c>
      <c r="M153" s="1" t="s">
        <v>33</v>
      </c>
      <c r="N153" s="1" t="s">
        <v>118</v>
      </c>
      <c r="O153" s="1">
        <v>2.35068309702E11</v>
      </c>
    </row>
    <row r="154">
      <c r="A154" s="1">
        <v>2719373.0</v>
      </c>
      <c r="B154" s="1" t="s">
        <v>3664</v>
      </c>
      <c r="C154" s="1" t="b">
        <v>1</v>
      </c>
      <c r="D154" s="1" t="b">
        <v>1</v>
      </c>
      <c r="E154" s="1" t="s">
        <v>3665</v>
      </c>
      <c r="F154" s="1" t="s">
        <v>3666</v>
      </c>
      <c r="G154" s="2">
        <f>+251915615067</f>
        <v>251915615067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21.7</v>
      </c>
      <c r="M154" s="1" t="s">
        <v>21</v>
      </c>
      <c r="O154" s="1">
        <v>2.34983702742E11</v>
      </c>
    </row>
    <row r="155">
      <c r="A155" s="1">
        <v>2719878.0</v>
      </c>
      <c r="B155" s="1" t="s">
        <v>3667</v>
      </c>
      <c r="C155" s="1" t="b">
        <v>1</v>
      </c>
      <c r="D155" s="1" t="b">
        <v>1</v>
      </c>
      <c r="E155" s="1" t="s">
        <v>774</v>
      </c>
      <c r="F155" s="1" t="s">
        <v>28</v>
      </c>
      <c r="G155" s="2">
        <f>+251916077829</f>
        <v>251916077829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45.47</v>
      </c>
      <c r="M155" s="1" t="s">
        <v>21</v>
      </c>
    </row>
    <row r="156">
      <c r="A156" s="1">
        <v>2719996.0</v>
      </c>
      <c r="B156" s="1" t="s">
        <v>3668</v>
      </c>
      <c r="C156" s="1" t="b">
        <v>1</v>
      </c>
      <c r="D156" s="1" t="b">
        <v>1</v>
      </c>
      <c r="E156" s="1" t="s">
        <v>1371</v>
      </c>
      <c r="F156" s="1" t="s">
        <v>3669</v>
      </c>
      <c r="G156" s="2">
        <f>+251901085090</f>
        <v>251901085090</v>
      </c>
      <c r="H156" s="1" t="s">
        <v>18</v>
      </c>
      <c r="I156" s="1" t="s">
        <v>19</v>
      </c>
      <c r="J156" s="1" t="s">
        <v>19</v>
      </c>
      <c r="K156" s="1" t="s">
        <v>25</v>
      </c>
      <c r="L156" s="1">
        <v>29.21</v>
      </c>
      <c r="M156" s="1" t="s">
        <v>21</v>
      </c>
      <c r="O156" s="1">
        <v>2.35038677194E11</v>
      </c>
    </row>
    <row r="157">
      <c r="A157" s="1">
        <v>2720104.0</v>
      </c>
      <c r="B157" s="1" t="s">
        <v>3289</v>
      </c>
      <c r="C157" s="1" t="b">
        <v>0</v>
      </c>
      <c r="D157" s="1" t="b">
        <v>1</v>
      </c>
      <c r="E157" s="1" t="s">
        <v>3290</v>
      </c>
      <c r="F157" s="1" t="s">
        <v>3291</v>
      </c>
      <c r="G157" s="2">
        <f>+251953241429</f>
        <v>251953241429</v>
      </c>
      <c r="H157" s="1" t="s">
        <v>72</v>
      </c>
      <c r="I157" s="1" t="s">
        <v>19</v>
      </c>
      <c r="J157" s="1" t="s">
        <v>19</v>
      </c>
      <c r="K157" s="1" t="s">
        <v>25</v>
      </c>
      <c r="L157" s="1">
        <v>19.5</v>
      </c>
      <c r="M157" s="1" t="s">
        <v>33</v>
      </c>
      <c r="N157" s="1" t="s">
        <v>34</v>
      </c>
      <c r="O157" s="1">
        <v>2.35099426024E11</v>
      </c>
    </row>
    <row r="158">
      <c r="A158" s="1">
        <v>2720616.0</v>
      </c>
      <c r="B158" s="1" t="s">
        <v>3670</v>
      </c>
      <c r="C158" s="1" t="b">
        <v>1</v>
      </c>
      <c r="D158" s="1" t="b">
        <v>1</v>
      </c>
      <c r="E158" s="1" t="s">
        <v>141</v>
      </c>
      <c r="F158" s="1" t="s">
        <v>592</v>
      </c>
      <c r="G158" s="2">
        <f>+251996761017</f>
        <v>251996761017</v>
      </c>
      <c r="H158" s="1" t="s">
        <v>80</v>
      </c>
      <c r="I158" s="1" t="s">
        <v>19</v>
      </c>
      <c r="J158" s="1" t="s">
        <v>3109</v>
      </c>
      <c r="K158" s="1" t="s">
        <v>25</v>
      </c>
      <c r="L158" s="1">
        <v>19.92</v>
      </c>
      <c r="M158" s="1" t="s">
        <v>21</v>
      </c>
      <c r="O158" s="1">
        <v>2.35142733033E11</v>
      </c>
    </row>
    <row r="159">
      <c r="A159" s="1">
        <v>2720702.0</v>
      </c>
      <c r="B159" s="1" t="s">
        <v>3671</v>
      </c>
      <c r="C159" s="1" t="b">
        <v>1</v>
      </c>
      <c r="D159" s="1" t="b">
        <v>1</v>
      </c>
      <c r="E159" s="1" t="s">
        <v>904</v>
      </c>
      <c r="F159" s="1" t="s">
        <v>948</v>
      </c>
      <c r="G159" s="2">
        <f>+251969367139</f>
        <v>251969367139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20.39</v>
      </c>
      <c r="M159" s="1" t="s">
        <v>21</v>
      </c>
      <c r="O159" s="1">
        <v>2.35154310356E11</v>
      </c>
    </row>
    <row r="160">
      <c r="A160" s="1">
        <v>2721098.0</v>
      </c>
      <c r="B160" s="1" t="s">
        <v>3672</v>
      </c>
      <c r="C160" s="1" t="b">
        <v>1</v>
      </c>
      <c r="D160" s="1" t="b">
        <v>1</v>
      </c>
      <c r="E160" s="1" t="s">
        <v>3673</v>
      </c>
      <c r="F160" s="1" t="s">
        <v>3674</v>
      </c>
      <c r="G160" s="2">
        <f>+251922248424</f>
        <v>251922248424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35.03</v>
      </c>
      <c r="M160" s="1" t="s">
        <v>21</v>
      </c>
      <c r="O160" s="1">
        <v>2000387.0</v>
      </c>
    </row>
    <row r="161">
      <c r="A161" s="1">
        <v>2721303.0</v>
      </c>
      <c r="B161" s="1" t="s">
        <v>3675</v>
      </c>
      <c r="C161" s="1" t="b">
        <v>1</v>
      </c>
      <c r="D161" s="1" t="b">
        <v>1</v>
      </c>
      <c r="E161" s="1" t="s">
        <v>3676</v>
      </c>
      <c r="F161" s="1" t="s">
        <v>3677</v>
      </c>
      <c r="G161" s="2">
        <f>+251918986210</f>
        <v>251918986210</v>
      </c>
      <c r="H161" s="1" t="s">
        <v>18</v>
      </c>
      <c r="I161" s="1" t="s">
        <v>19</v>
      </c>
      <c r="J161" s="1" t="s">
        <v>19</v>
      </c>
      <c r="K161" s="1" t="s">
        <v>25</v>
      </c>
      <c r="L161" s="1">
        <v>29.02</v>
      </c>
      <c r="M161" s="1" t="s">
        <v>21</v>
      </c>
      <c r="O161" s="1">
        <v>2.3102608E7</v>
      </c>
    </row>
    <row r="162">
      <c r="A162" s="1">
        <v>2721283.0</v>
      </c>
      <c r="B162" s="1" t="s">
        <v>3678</v>
      </c>
      <c r="C162" s="1" t="b">
        <v>1</v>
      </c>
      <c r="D162" s="1" t="b">
        <v>1</v>
      </c>
      <c r="E162" s="1" t="s">
        <v>536</v>
      </c>
      <c r="F162" s="1" t="s">
        <v>3679</v>
      </c>
      <c r="G162" s="2">
        <f>+251948995646</f>
        <v>251948995646</v>
      </c>
      <c r="H162" s="1" t="s">
        <v>18</v>
      </c>
      <c r="I162" s="1" t="s">
        <v>19</v>
      </c>
      <c r="J162" s="1" t="s">
        <v>19</v>
      </c>
      <c r="K162" s="1" t="s">
        <v>25</v>
      </c>
      <c r="L162" s="1">
        <v>27.69</v>
      </c>
      <c r="M162" s="1" t="s">
        <v>21</v>
      </c>
      <c r="O162" s="1">
        <v>2.35336091838E11</v>
      </c>
    </row>
    <row r="163">
      <c r="A163" s="1">
        <v>2721330.0</v>
      </c>
      <c r="B163" s="1" t="s">
        <v>3292</v>
      </c>
      <c r="C163" s="1" t="b">
        <v>1</v>
      </c>
      <c r="D163" s="1" t="b">
        <v>1</v>
      </c>
      <c r="E163" s="1" t="s">
        <v>3293</v>
      </c>
      <c r="F163" s="1" t="s">
        <v>3294</v>
      </c>
      <c r="G163" s="2">
        <f>+251917358995</f>
        <v>251917358995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26.37</v>
      </c>
      <c r="M163" s="1" t="s">
        <v>33</v>
      </c>
      <c r="N163" s="1" t="s">
        <v>177</v>
      </c>
      <c r="O163" s="1">
        <v>2.35342313712E11</v>
      </c>
    </row>
    <row r="164">
      <c r="A164" s="1">
        <v>2721337.0</v>
      </c>
      <c r="B164" s="1" t="s">
        <v>3680</v>
      </c>
      <c r="C164" s="1" t="b">
        <v>1</v>
      </c>
      <c r="D164" s="1" t="b">
        <v>1</v>
      </c>
      <c r="E164" s="1" t="s">
        <v>3681</v>
      </c>
      <c r="F164" s="1" t="s">
        <v>1103</v>
      </c>
      <c r="G164" s="2">
        <f>+251954613144</f>
        <v>251954613144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23.0</v>
      </c>
      <c r="M164" s="1" t="s">
        <v>21</v>
      </c>
      <c r="O164" s="1">
        <v>9203930.0</v>
      </c>
    </row>
    <row r="165">
      <c r="A165" s="1">
        <v>2721374.0</v>
      </c>
      <c r="B165" s="1" t="s">
        <v>3682</v>
      </c>
      <c r="C165" s="1" t="b">
        <v>1</v>
      </c>
      <c r="D165" s="1" t="b">
        <v>0</v>
      </c>
      <c r="E165" s="1" t="s">
        <v>1819</v>
      </c>
      <c r="F165" s="1" t="s">
        <v>3683</v>
      </c>
      <c r="G165" s="2">
        <f>+251966042929</f>
        <v>251966042929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22.76</v>
      </c>
      <c r="M165" s="1" t="s">
        <v>21</v>
      </c>
      <c r="O165" s="1">
        <v>615619.0</v>
      </c>
    </row>
    <row r="166">
      <c r="A166" s="1">
        <v>1444919.0</v>
      </c>
      <c r="B166" s="1" t="s">
        <v>3684</v>
      </c>
      <c r="C166" s="1" t="b">
        <v>1</v>
      </c>
      <c r="D166" s="1" t="b">
        <v>1</v>
      </c>
      <c r="E166" s="1" t="s">
        <v>264</v>
      </c>
      <c r="F166" s="1" t="s">
        <v>194</v>
      </c>
      <c r="G166" s="2">
        <f>+251927403391</f>
        <v>251927403391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28.35</v>
      </c>
      <c r="M166" s="1" t="s">
        <v>21</v>
      </c>
      <c r="O166" s="1">
        <v>6090079.0</v>
      </c>
    </row>
    <row r="167">
      <c r="A167" s="1">
        <v>2721584.0</v>
      </c>
      <c r="B167" s="1" t="s">
        <v>3685</v>
      </c>
      <c r="C167" s="1" t="b">
        <v>1</v>
      </c>
      <c r="D167" s="1" t="b">
        <v>1</v>
      </c>
      <c r="E167" s="1" t="s">
        <v>110</v>
      </c>
      <c r="F167" s="1" t="s">
        <v>1077</v>
      </c>
      <c r="G167" s="1">
        <v>9.12972394E8</v>
      </c>
      <c r="H167" s="1" t="s">
        <v>72</v>
      </c>
      <c r="I167" s="1" t="s">
        <v>19</v>
      </c>
      <c r="J167" s="1" t="s">
        <v>19</v>
      </c>
      <c r="K167" s="1" t="s">
        <v>25</v>
      </c>
      <c r="L167" s="1">
        <v>32.72</v>
      </c>
      <c r="M167" s="1" t="s">
        <v>21</v>
      </c>
      <c r="O167" s="1">
        <v>8889556.0</v>
      </c>
    </row>
    <row r="168">
      <c r="A168" s="1">
        <v>2511732.0</v>
      </c>
      <c r="B168" s="1" t="s">
        <v>3686</v>
      </c>
      <c r="C168" s="1" t="b">
        <v>1</v>
      </c>
      <c r="D168" s="1" t="b">
        <v>1</v>
      </c>
      <c r="E168" s="1" t="s">
        <v>3687</v>
      </c>
      <c r="F168" s="1" t="s">
        <v>3688</v>
      </c>
      <c r="G168" s="2">
        <f>+251713087122</f>
        <v>251713087122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27.45</v>
      </c>
      <c r="M168" s="1" t="s">
        <v>21</v>
      </c>
    </row>
    <row r="169">
      <c r="A169" s="1">
        <v>2488134.0</v>
      </c>
      <c r="B169" s="1" t="s">
        <v>3689</v>
      </c>
      <c r="C169" s="1" t="b">
        <v>1</v>
      </c>
      <c r="D169" s="1" t="b">
        <v>1</v>
      </c>
      <c r="E169" s="1" t="s">
        <v>1259</v>
      </c>
      <c r="F169" s="1" t="s">
        <v>3690</v>
      </c>
      <c r="G169" s="2">
        <f>+251707248883</f>
        <v>251707248883</v>
      </c>
      <c r="H169" s="1" t="s">
        <v>80</v>
      </c>
      <c r="I169" s="1" t="s">
        <v>19</v>
      </c>
      <c r="J169" s="1" t="s">
        <v>19</v>
      </c>
      <c r="K169" s="1" t="s">
        <v>25</v>
      </c>
      <c r="L169" s="1">
        <v>20.56</v>
      </c>
      <c r="M169" s="1" t="s">
        <v>21</v>
      </c>
    </row>
    <row r="170">
      <c r="A170" s="1">
        <v>2721708.0</v>
      </c>
      <c r="B170" s="1" t="s">
        <v>3691</v>
      </c>
      <c r="C170" s="1" t="b">
        <v>1</v>
      </c>
      <c r="D170" s="1" t="b">
        <v>1</v>
      </c>
      <c r="E170" s="1" t="s">
        <v>3692</v>
      </c>
      <c r="F170" s="1" t="s">
        <v>3693</v>
      </c>
      <c r="G170" s="2">
        <f>+251986990019</f>
        <v>251986990019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27.59</v>
      </c>
      <c r="M170" s="1" t="s">
        <v>21</v>
      </c>
      <c r="O170" s="1">
        <v>60460.0</v>
      </c>
    </row>
    <row r="171">
      <c r="A171" s="1">
        <v>2721842.0</v>
      </c>
      <c r="B171" s="1" t="s">
        <v>3694</v>
      </c>
      <c r="C171" s="1" t="b">
        <v>1</v>
      </c>
      <c r="D171" s="1" t="b">
        <v>1</v>
      </c>
      <c r="E171" s="1" t="s">
        <v>554</v>
      </c>
      <c r="F171" s="1" t="s">
        <v>910</v>
      </c>
      <c r="G171" s="2">
        <f>+251938389545</f>
        <v>251938389545</v>
      </c>
      <c r="H171" s="1" t="s">
        <v>18</v>
      </c>
      <c r="I171" s="1" t="s">
        <v>19</v>
      </c>
      <c r="J171" s="1" t="s">
        <v>19</v>
      </c>
      <c r="K171" s="1" t="s">
        <v>25</v>
      </c>
      <c r="L171" s="1">
        <v>26.89</v>
      </c>
      <c r="M171" s="1" t="s">
        <v>21</v>
      </c>
      <c r="O171" s="1">
        <v>2.5787979E7</v>
      </c>
    </row>
    <row r="172">
      <c r="A172" s="1">
        <v>381979.0</v>
      </c>
      <c r="B172" s="1" t="s">
        <v>3295</v>
      </c>
      <c r="C172" s="1" t="b">
        <v>1</v>
      </c>
      <c r="D172" s="1" t="b">
        <v>1</v>
      </c>
      <c r="E172" s="1" t="s">
        <v>1004</v>
      </c>
      <c r="F172" s="1" t="s">
        <v>1061</v>
      </c>
      <c r="G172" s="2">
        <f>+251910976010</f>
        <v>251910976010</v>
      </c>
      <c r="H172" s="1" t="s">
        <v>18</v>
      </c>
      <c r="I172" s="1" t="s">
        <v>19</v>
      </c>
      <c r="J172" s="1" t="s">
        <v>19</v>
      </c>
      <c r="K172" s="1" t="s">
        <v>20</v>
      </c>
      <c r="L172" s="1">
        <v>27.09</v>
      </c>
      <c r="M172" s="1" t="s">
        <v>33</v>
      </c>
      <c r="N172" s="1" t="s">
        <v>76</v>
      </c>
      <c r="O172" s="1">
        <v>1844534.0</v>
      </c>
    </row>
    <row r="173">
      <c r="A173" s="1">
        <v>31953.0</v>
      </c>
      <c r="B173" s="1" t="s">
        <v>3695</v>
      </c>
      <c r="C173" s="1" t="b">
        <v>1</v>
      </c>
      <c r="D173" s="1" t="b">
        <v>1</v>
      </c>
      <c r="E173" s="1" t="s">
        <v>483</v>
      </c>
      <c r="F173" s="1" t="s">
        <v>2471</v>
      </c>
      <c r="G173" s="2">
        <f>+251966804651</f>
        <v>251966804651</v>
      </c>
      <c r="H173" s="1" t="s">
        <v>18</v>
      </c>
      <c r="I173" s="1" t="s">
        <v>19</v>
      </c>
      <c r="J173" s="1" t="s">
        <v>19</v>
      </c>
      <c r="K173" s="1" t="s">
        <v>20</v>
      </c>
      <c r="L173" s="1">
        <v>23.84</v>
      </c>
      <c r="M173" s="1" t="s">
        <v>21</v>
      </c>
      <c r="O173" s="1">
        <v>8761063.0</v>
      </c>
    </row>
    <row r="174">
      <c r="A174" s="1">
        <v>676808.0</v>
      </c>
      <c r="B174" s="1" t="s">
        <v>3696</v>
      </c>
      <c r="C174" s="1" t="b">
        <v>1</v>
      </c>
      <c r="D174" s="1" t="b">
        <v>1</v>
      </c>
      <c r="E174" s="1" t="s">
        <v>313</v>
      </c>
      <c r="F174" s="1" t="s">
        <v>108</v>
      </c>
      <c r="G174" s="2">
        <f>+251916280166</f>
        <v>251916280166</v>
      </c>
      <c r="H174" s="1" t="s">
        <v>18</v>
      </c>
      <c r="I174" s="1" t="s">
        <v>19</v>
      </c>
      <c r="J174" s="1" t="s">
        <v>19</v>
      </c>
      <c r="K174" s="1" t="s">
        <v>25</v>
      </c>
      <c r="L174" s="1">
        <v>41.59</v>
      </c>
      <c r="M174" s="1" t="s">
        <v>21</v>
      </c>
      <c r="O174" s="1">
        <v>1.4245363659E10</v>
      </c>
    </row>
    <row r="175">
      <c r="A175" s="1">
        <v>2723548.0</v>
      </c>
      <c r="B175" s="1" t="s">
        <v>3697</v>
      </c>
      <c r="C175" s="1" t="b">
        <v>1</v>
      </c>
      <c r="D175" s="1" t="b">
        <v>1</v>
      </c>
      <c r="E175" s="1" t="s">
        <v>3698</v>
      </c>
      <c r="F175" s="1" t="s">
        <v>3699</v>
      </c>
      <c r="G175" s="2">
        <f>+251924309698</f>
        <v>251924309698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29.11</v>
      </c>
      <c r="M175" s="1" t="s">
        <v>21</v>
      </c>
      <c r="O175" s="1">
        <v>8740109.0</v>
      </c>
    </row>
    <row r="176">
      <c r="A176" s="1">
        <v>2723508.0</v>
      </c>
      <c r="B176" s="1" t="s">
        <v>3700</v>
      </c>
      <c r="C176" s="1" t="b">
        <v>1</v>
      </c>
      <c r="D176" s="1" t="b">
        <v>1</v>
      </c>
      <c r="E176" s="1" t="s">
        <v>3701</v>
      </c>
      <c r="F176" s="1" t="s">
        <v>3702</v>
      </c>
      <c r="G176" s="2">
        <f>+251965508556</f>
        <v>251965508556</v>
      </c>
      <c r="H176" s="1" t="s">
        <v>335</v>
      </c>
      <c r="I176" s="1" t="s">
        <v>19</v>
      </c>
      <c r="J176" s="1" t="s">
        <v>19</v>
      </c>
      <c r="K176" s="1" t="s">
        <v>20</v>
      </c>
      <c r="L176" s="1">
        <v>32.98</v>
      </c>
      <c r="M176" s="1" t="s">
        <v>21</v>
      </c>
    </row>
    <row r="177">
      <c r="A177" s="1">
        <v>2723646.0</v>
      </c>
      <c r="B177" s="1" t="s">
        <v>3165</v>
      </c>
      <c r="C177" s="1" t="b">
        <v>0</v>
      </c>
      <c r="D177" s="1" t="b">
        <v>1</v>
      </c>
      <c r="E177" s="1" t="s">
        <v>1098</v>
      </c>
      <c r="F177" s="1" t="s">
        <v>195</v>
      </c>
      <c r="G177" s="2">
        <f>+251996181483</f>
        <v>251996181483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22.72</v>
      </c>
      <c r="M177" s="1" t="s">
        <v>26</v>
      </c>
      <c r="O177" s="1">
        <v>2.35688273124E11</v>
      </c>
    </row>
    <row r="178">
      <c r="A178" s="1">
        <v>2724007.0</v>
      </c>
      <c r="B178" s="1" t="s">
        <v>3703</v>
      </c>
      <c r="C178" s="1" t="b">
        <v>1</v>
      </c>
      <c r="D178" s="1" t="b">
        <v>1</v>
      </c>
      <c r="E178" s="1" t="s">
        <v>3704</v>
      </c>
      <c r="F178" s="1" t="s">
        <v>2291</v>
      </c>
      <c r="G178" s="2">
        <f>+251912642183</f>
        <v>251912642183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31.35</v>
      </c>
      <c r="M178" s="1" t="s">
        <v>21</v>
      </c>
      <c r="O178" s="1">
        <v>8758034.0</v>
      </c>
    </row>
    <row r="179">
      <c r="A179" s="1">
        <v>2724061.0</v>
      </c>
      <c r="B179" s="1" t="s">
        <v>3705</v>
      </c>
      <c r="C179" s="1" t="b">
        <v>1</v>
      </c>
      <c r="D179" s="1" t="b">
        <v>1</v>
      </c>
      <c r="E179" s="1" t="s">
        <v>241</v>
      </c>
      <c r="F179" s="1" t="s">
        <v>3706</v>
      </c>
      <c r="G179" s="2">
        <f>+251978992147</f>
        <v>251978992147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38.57</v>
      </c>
      <c r="M179" s="1" t="s">
        <v>21</v>
      </c>
      <c r="O179" s="1">
        <v>2.35867598022E11</v>
      </c>
    </row>
    <row r="180">
      <c r="A180" s="1">
        <v>2724508.0</v>
      </c>
      <c r="B180" s="1" t="s">
        <v>3707</v>
      </c>
      <c r="C180" s="1" t="b">
        <v>1</v>
      </c>
      <c r="D180" s="1" t="b">
        <v>1</v>
      </c>
      <c r="E180" s="1" t="s">
        <v>1570</v>
      </c>
      <c r="F180" s="1" t="s">
        <v>1103</v>
      </c>
      <c r="G180" s="2">
        <f>+251942190828</f>
        <v>251942190828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24.26</v>
      </c>
      <c r="M180" s="1" t="s">
        <v>21</v>
      </c>
      <c r="O180" s="1">
        <v>1358763.0</v>
      </c>
    </row>
    <row r="181">
      <c r="A181" s="1">
        <v>2724575.0</v>
      </c>
      <c r="B181" s="1" t="s">
        <v>3708</v>
      </c>
      <c r="C181" s="1" t="b">
        <v>1</v>
      </c>
      <c r="D181" s="1" t="b">
        <v>1</v>
      </c>
      <c r="E181" s="1" t="s">
        <v>3709</v>
      </c>
      <c r="F181" s="1" t="s">
        <v>3710</v>
      </c>
      <c r="G181" s="2">
        <f>+251915442728</f>
        <v>251915442728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24.66</v>
      </c>
      <c r="M181" s="1" t="s">
        <v>21</v>
      </c>
      <c r="O181" s="1">
        <v>2.36126089437E11</v>
      </c>
    </row>
    <row r="182">
      <c r="A182" s="1">
        <v>2724822.0</v>
      </c>
      <c r="B182" s="1" t="s">
        <v>3166</v>
      </c>
      <c r="C182" s="1" t="b">
        <v>1</v>
      </c>
      <c r="D182" s="1" t="b">
        <v>1</v>
      </c>
      <c r="E182" s="1" t="s">
        <v>67</v>
      </c>
      <c r="F182" s="1" t="s">
        <v>3167</v>
      </c>
      <c r="G182" s="2">
        <f>+251948402148</f>
        <v>251948402148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23.46</v>
      </c>
      <c r="M182" s="1" t="s">
        <v>26</v>
      </c>
      <c r="O182" s="1">
        <v>2.36194340074E11</v>
      </c>
    </row>
    <row r="183">
      <c r="A183" s="1">
        <v>2725179.0</v>
      </c>
      <c r="B183" s="1" t="s">
        <v>3296</v>
      </c>
      <c r="C183" s="1" t="b">
        <v>1</v>
      </c>
      <c r="D183" s="1" t="b">
        <v>1</v>
      </c>
      <c r="E183" s="1" t="s">
        <v>3297</v>
      </c>
      <c r="F183" s="1" t="s">
        <v>3298</v>
      </c>
      <c r="G183" s="2">
        <f>+251921677966</f>
        <v>251921677966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28.55</v>
      </c>
      <c r="M183" s="1" t="s">
        <v>33</v>
      </c>
      <c r="N183" s="1" t="s">
        <v>166</v>
      </c>
      <c r="O183" s="1">
        <v>1904735.0</v>
      </c>
    </row>
    <row r="184">
      <c r="A184" s="1">
        <v>2723996.0</v>
      </c>
      <c r="B184" s="1" t="s">
        <v>3711</v>
      </c>
      <c r="C184" s="1" t="b">
        <v>1</v>
      </c>
      <c r="D184" s="1" t="b">
        <v>1</v>
      </c>
      <c r="E184" s="1" t="s">
        <v>729</v>
      </c>
      <c r="F184" s="1" t="s">
        <v>3712</v>
      </c>
      <c r="G184" s="1">
        <v>9.39580953E8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19.39</v>
      </c>
      <c r="M184" s="1" t="s">
        <v>21</v>
      </c>
      <c r="O184" s="1">
        <v>2.35873945836E11</v>
      </c>
    </row>
    <row r="185">
      <c r="A185" s="1">
        <v>2725587.0</v>
      </c>
      <c r="B185" s="1" t="s">
        <v>3713</v>
      </c>
      <c r="C185" s="1" t="b">
        <v>1</v>
      </c>
      <c r="D185" s="1" t="b">
        <v>1</v>
      </c>
      <c r="E185" s="1" t="s">
        <v>3714</v>
      </c>
      <c r="F185" s="1" t="s">
        <v>2639</v>
      </c>
      <c r="G185" s="2">
        <f>+251924946852</f>
        <v>251924946852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24.73</v>
      </c>
      <c r="M185" s="1" t="s">
        <v>21</v>
      </c>
      <c r="O185" s="1">
        <v>8742816.0</v>
      </c>
    </row>
    <row r="186">
      <c r="A186" s="1">
        <v>2470520.0</v>
      </c>
      <c r="B186" s="1" t="s">
        <v>3299</v>
      </c>
      <c r="C186" s="1" t="b">
        <v>1</v>
      </c>
      <c r="D186" s="1" t="b">
        <v>1</v>
      </c>
      <c r="E186" s="1" t="s">
        <v>3300</v>
      </c>
      <c r="F186" s="1" t="s">
        <v>3301</v>
      </c>
      <c r="G186" s="2">
        <f>+251924144870</f>
        <v>251924144870</v>
      </c>
      <c r="H186" s="1" t="s">
        <v>18</v>
      </c>
      <c r="I186" s="1" t="s">
        <v>19</v>
      </c>
      <c r="J186" s="1" t="s">
        <v>19</v>
      </c>
      <c r="K186" s="1" t="s">
        <v>20</v>
      </c>
      <c r="L186" s="1">
        <v>27.14</v>
      </c>
      <c r="M186" s="1" t="s">
        <v>33</v>
      </c>
      <c r="N186" s="1" t="s">
        <v>166</v>
      </c>
    </row>
    <row r="187">
      <c r="A187" s="1">
        <v>2725718.0</v>
      </c>
      <c r="B187" s="1" t="s">
        <v>3715</v>
      </c>
      <c r="C187" s="1" t="b">
        <v>1</v>
      </c>
      <c r="D187" s="1" t="b">
        <v>1</v>
      </c>
      <c r="E187" s="1" t="s">
        <v>3716</v>
      </c>
      <c r="F187" s="1" t="s">
        <v>3717</v>
      </c>
      <c r="G187" s="2">
        <f>+251939565276</f>
        <v>251939565276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29.99</v>
      </c>
      <c r="M187" s="1" t="s">
        <v>21</v>
      </c>
      <c r="O187" s="1">
        <v>2.36451446998E11</v>
      </c>
    </row>
    <row r="188">
      <c r="A188" s="1">
        <v>2725824.0</v>
      </c>
      <c r="B188" s="1" t="s">
        <v>3718</v>
      </c>
      <c r="C188" s="1" t="b">
        <v>1</v>
      </c>
      <c r="D188" s="1" t="b">
        <v>1</v>
      </c>
      <c r="E188" s="1" t="s">
        <v>3719</v>
      </c>
      <c r="F188" s="1" t="s">
        <v>3720</v>
      </c>
      <c r="G188" s="2">
        <f>+251910140132</f>
        <v>251910140132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32.95</v>
      </c>
      <c r="M188" s="1" t="s">
        <v>21</v>
      </c>
      <c r="O188" s="1">
        <v>2.3088166E7</v>
      </c>
    </row>
    <row r="189">
      <c r="A189" s="1">
        <v>2725532.0</v>
      </c>
      <c r="B189" s="1" t="s">
        <v>3721</v>
      </c>
      <c r="C189" s="1" t="b">
        <v>1</v>
      </c>
      <c r="D189" s="1" t="b">
        <v>1</v>
      </c>
      <c r="E189" s="1" t="s">
        <v>3722</v>
      </c>
      <c r="F189" s="1" t="s">
        <v>176</v>
      </c>
      <c r="G189" s="2">
        <f>+251949008260</f>
        <v>251949008260</v>
      </c>
      <c r="H189" s="1" t="s">
        <v>58</v>
      </c>
      <c r="I189" s="1" t="s">
        <v>19</v>
      </c>
      <c r="J189" s="1" t="s">
        <v>19</v>
      </c>
      <c r="K189" s="1" t="s">
        <v>25</v>
      </c>
      <c r="L189" s="1">
        <v>22.57</v>
      </c>
      <c r="M189" s="1" t="s">
        <v>21</v>
      </c>
      <c r="O189" s="1">
        <v>2.36360431814E11</v>
      </c>
    </row>
    <row r="190">
      <c r="A190" s="1">
        <v>490984.0</v>
      </c>
      <c r="B190" s="1" t="s">
        <v>3723</v>
      </c>
      <c r="C190" s="1" t="b">
        <v>1</v>
      </c>
      <c r="D190" s="1" t="b">
        <v>1</v>
      </c>
      <c r="E190" s="1" t="s">
        <v>3724</v>
      </c>
      <c r="F190" s="1" t="s">
        <v>3725</v>
      </c>
      <c r="G190" s="2">
        <f>+251946221128</f>
        <v>251946221128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27.14</v>
      </c>
      <c r="M190" s="1" t="s">
        <v>21</v>
      </c>
      <c r="O190" s="1">
        <v>2.8399331E7</v>
      </c>
    </row>
    <row r="191">
      <c r="A191" s="1">
        <v>2726304.0</v>
      </c>
      <c r="B191" s="1" t="s">
        <v>3302</v>
      </c>
      <c r="C191" s="1" t="b">
        <v>1</v>
      </c>
      <c r="D191" s="1" t="b">
        <v>1</v>
      </c>
      <c r="E191" s="1" t="s">
        <v>123</v>
      </c>
      <c r="F191" s="1" t="s">
        <v>862</v>
      </c>
      <c r="G191" s="2">
        <f>+251944070626</f>
        <v>251944070626</v>
      </c>
      <c r="H191" s="1" t="s">
        <v>18</v>
      </c>
      <c r="I191" s="1" t="s">
        <v>19</v>
      </c>
      <c r="J191" s="1" t="s">
        <v>19</v>
      </c>
      <c r="K191" s="1" t="s">
        <v>20</v>
      </c>
      <c r="L191" s="1">
        <v>21.22</v>
      </c>
      <c r="M191" s="1" t="s">
        <v>33</v>
      </c>
      <c r="N191" s="1" t="s">
        <v>34</v>
      </c>
      <c r="O191" s="1">
        <v>2.3651543982E11</v>
      </c>
    </row>
    <row r="192">
      <c r="A192" s="1">
        <v>2726380.0</v>
      </c>
      <c r="B192" s="1" t="s">
        <v>3726</v>
      </c>
      <c r="C192" s="1" t="b">
        <v>1</v>
      </c>
      <c r="D192" s="1" t="b">
        <v>1</v>
      </c>
      <c r="E192" s="1" t="s">
        <v>3727</v>
      </c>
      <c r="F192" s="1" t="s">
        <v>195</v>
      </c>
      <c r="G192" s="2">
        <f>+251912197829</f>
        <v>251912197829</v>
      </c>
      <c r="H192" s="1" t="s">
        <v>18</v>
      </c>
      <c r="I192" s="1" t="s">
        <v>19</v>
      </c>
      <c r="J192" s="1" t="s">
        <v>19</v>
      </c>
      <c r="K192" s="1" t="s">
        <v>25</v>
      </c>
      <c r="L192" s="1">
        <v>29.09</v>
      </c>
      <c r="M192" s="1" t="s">
        <v>21</v>
      </c>
      <c r="O192" s="1">
        <v>2.3653131903E11</v>
      </c>
    </row>
    <row r="193">
      <c r="A193" s="1">
        <v>2726611.0</v>
      </c>
      <c r="B193" s="1" t="s">
        <v>3728</v>
      </c>
      <c r="C193" s="1" t="b">
        <v>1</v>
      </c>
      <c r="D193" s="1" t="b">
        <v>1</v>
      </c>
      <c r="E193" s="1" t="s">
        <v>1337</v>
      </c>
      <c r="F193" s="1" t="s">
        <v>3729</v>
      </c>
      <c r="G193" s="2">
        <f>+251923503986</f>
        <v>251923503986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34.77</v>
      </c>
      <c r="M193" s="1" t="s">
        <v>21</v>
      </c>
      <c r="O193" s="1">
        <v>2.36610330843E11</v>
      </c>
    </row>
    <row r="194">
      <c r="A194" s="1">
        <v>234279.0</v>
      </c>
      <c r="B194" s="1" t="s">
        <v>3730</v>
      </c>
      <c r="C194" s="1" t="b">
        <v>1</v>
      </c>
      <c r="D194" s="1" t="b">
        <v>1</v>
      </c>
      <c r="E194" s="1" t="s">
        <v>37</v>
      </c>
      <c r="F194" s="1" t="s">
        <v>45</v>
      </c>
      <c r="G194" s="1">
        <v>9.79011378E8</v>
      </c>
      <c r="H194" s="1" t="s">
        <v>18</v>
      </c>
      <c r="I194" s="1" t="s">
        <v>19</v>
      </c>
      <c r="J194" s="1" t="s">
        <v>19</v>
      </c>
      <c r="K194" s="1" t="s">
        <v>1418</v>
      </c>
      <c r="L194" s="1">
        <v>26.49</v>
      </c>
      <c r="M194" s="1" t="s">
        <v>21</v>
      </c>
    </row>
    <row r="195">
      <c r="A195" s="1">
        <v>2725313.0</v>
      </c>
      <c r="B195" s="1" t="s">
        <v>3303</v>
      </c>
      <c r="C195" s="1" t="b">
        <v>1</v>
      </c>
      <c r="D195" s="1" t="b">
        <v>1</v>
      </c>
      <c r="E195" s="1" t="s">
        <v>1819</v>
      </c>
      <c r="F195" s="1" t="s">
        <v>2491</v>
      </c>
      <c r="G195" s="2">
        <f>+251937920823</f>
        <v>251937920823</v>
      </c>
      <c r="H195" s="1" t="s">
        <v>93</v>
      </c>
      <c r="I195" s="1" t="s">
        <v>19</v>
      </c>
      <c r="J195" s="1" t="s">
        <v>19</v>
      </c>
      <c r="K195" s="1" t="s">
        <v>25</v>
      </c>
      <c r="L195" s="1">
        <v>24.87</v>
      </c>
      <c r="M195" s="1" t="s">
        <v>33</v>
      </c>
      <c r="N195" s="1" t="s">
        <v>118</v>
      </c>
      <c r="O195" s="1">
        <v>2.36327686369E11</v>
      </c>
    </row>
    <row r="196">
      <c r="A196" s="1">
        <v>2726926.0</v>
      </c>
      <c r="B196" s="1" t="s">
        <v>3304</v>
      </c>
      <c r="C196" s="1" t="b">
        <v>1</v>
      </c>
      <c r="D196" s="1" t="b">
        <v>1</v>
      </c>
      <c r="E196" s="1" t="s">
        <v>500</v>
      </c>
      <c r="F196" s="1" t="s">
        <v>3305</v>
      </c>
      <c r="G196" s="2">
        <f>+251913162512</f>
        <v>251913162512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25.41</v>
      </c>
      <c r="M196" s="1" t="s">
        <v>33</v>
      </c>
      <c r="N196" s="1" t="s">
        <v>166</v>
      </c>
    </row>
    <row r="197">
      <c r="A197" s="1">
        <v>138984.0</v>
      </c>
      <c r="B197" s="1" t="s">
        <v>3731</v>
      </c>
      <c r="C197" s="1" t="b">
        <v>1</v>
      </c>
      <c r="D197" s="1" t="b">
        <v>1</v>
      </c>
      <c r="E197" s="1" t="s">
        <v>264</v>
      </c>
      <c r="F197" s="1" t="s">
        <v>3732</v>
      </c>
      <c r="G197" s="2">
        <f>+251928071816</f>
        <v>251928071816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29.55</v>
      </c>
      <c r="M197" s="1" t="s">
        <v>21</v>
      </c>
      <c r="O197" s="1">
        <v>677296.0</v>
      </c>
    </row>
    <row r="198">
      <c r="A198" s="1">
        <v>2728132.0</v>
      </c>
      <c r="B198" s="1" t="s">
        <v>3306</v>
      </c>
      <c r="C198" s="1" t="b">
        <v>1</v>
      </c>
      <c r="D198" s="1" t="b">
        <v>1</v>
      </c>
      <c r="E198" s="1" t="s">
        <v>2214</v>
      </c>
      <c r="F198" s="1" t="s">
        <v>417</v>
      </c>
      <c r="G198" s="2">
        <f>+251911787791</f>
        <v>251911787791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26.97</v>
      </c>
      <c r="M198" s="1" t="s">
        <v>33</v>
      </c>
      <c r="N198" s="1" t="s">
        <v>76</v>
      </c>
      <c r="O198" s="1">
        <v>951777.0</v>
      </c>
    </row>
    <row r="199">
      <c r="A199" s="1">
        <v>2728248.0</v>
      </c>
      <c r="B199" s="1" t="s">
        <v>3733</v>
      </c>
      <c r="C199" s="1" t="b">
        <v>1</v>
      </c>
      <c r="D199" s="1" t="b">
        <v>1</v>
      </c>
      <c r="E199" s="1" t="s">
        <v>1109</v>
      </c>
      <c r="F199" s="1" t="s">
        <v>633</v>
      </c>
      <c r="G199" s="2">
        <f>+251926900504</f>
        <v>251926900504</v>
      </c>
      <c r="H199" s="1" t="s">
        <v>58</v>
      </c>
      <c r="I199" s="1" t="s">
        <v>19</v>
      </c>
      <c r="J199" s="1" t="s">
        <v>19</v>
      </c>
      <c r="K199" s="1" t="s">
        <v>25</v>
      </c>
      <c r="L199" s="1">
        <v>23.05</v>
      </c>
      <c r="M199" s="1" t="s">
        <v>21</v>
      </c>
      <c r="O199" s="1">
        <v>2.37167592695E11</v>
      </c>
    </row>
    <row r="200">
      <c r="A200" s="1">
        <v>2728448.0</v>
      </c>
      <c r="B200" s="1" t="s">
        <v>3734</v>
      </c>
      <c r="C200" s="1" t="b">
        <v>1</v>
      </c>
      <c r="D200" s="1" t="b">
        <v>1</v>
      </c>
      <c r="E200" s="1" t="s">
        <v>3735</v>
      </c>
      <c r="F200" s="1" t="s">
        <v>1077</v>
      </c>
      <c r="G200" s="2">
        <f>+251914938546</f>
        <v>251914938546</v>
      </c>
      <c r="H200" s="1" t="s">
        <v>18</v>
      </c>
      <c r="I200" s="1" t="s">
        <v>19</v>
      </c>
      <c r="J200" s="1" t="s">
        <v>19</v>
      </c>
      <c r="K200" s="1" t="s">
        <v>20</v>
      </c>
      <c r="L200" s="1">
        <v>24.7</v>
      </c>
      <c r="M200" s="1" t="s">
        <v>21</v>
      </c>
      <c r="O200" s="1">
        <v>2.37200391384E11</v>
      </c>
    </row>
    <row r="201">
      <c r="A201" s="1">
        <v>2728463.0</v>
      </c>
      <c r="B201" s="1" t="s">
        <v>3736</v>
      </c>
      <c r="C201" s="1" t="b">
        <v>1</v>
      </c>
      <c r="D201" s="1" t="b">
        <v>1</v>
      </c>
      <c r="E201" s="1" t="s">
        <v>3737</v>
      </c>
      <c r="F201" s="1" t="s">
        <v>218</v>
      </c>
      <c r="G201" s="2">
        <f>+251913813933</f>
        <v>251913813933</v>
      </c>
      <c r="H201" s="1" t="s">
        <v>18</v>
      </c>
      <c r="I201" s="1" t="s">
        <v>19</v>
      </c>
      <c r="J201" s="1" t="s">
        <v>19</v>
      </c>
      <c r="K201" s="1" t="s">
        <v>25</v>
      </c>
      <c r="L201" s="1">
        <v>20.29</v>
      </c>
      <c r="M201" s="1" t="s">
        <v>21</v>
      </c>
      <c r="O201" s="1">
        <v>2.37206159558E11</v>
      </c>
    </row>
    <row r="202">
      <c r="A202" s="1">
        <v>2728553.0</v>
      </c>
      <c r="B202" s="1" t="s">
        <v>3738</v>
      </c>
      <c r="C202" s="1" t="b">
        <v>1</v>
      </c>
      <c r="D202" s="1" t="b">
        <v>1</v>
      </c>
      <c r="E202" s="1" t="s">
        <v>3739</v>
      </c>
      <c r="F202" s="1" t="s">
        <v>110</v>
      </c>
      <c r="G202" s="2">
        <f>+251964649386</f>
        <v>251964649386</v>
      </c>
      <c r="H202" s="1" t="s">
        <v>18</v>
      </c>
      <c r="I202" s="1" t="s">
        <v>19</v>
      </c>
      <c r="J202" s="1" t="s">
        <v>19</v>
      </c>
      <c r="K202" s="1" t="s">
        <v>25</v>
      </c>
      <c r="L202" s="1">
        <v>20.73</v>
      </c>
      <c r="M202" s="1" t="s">
        <v>21</v>
      </c>
      <c r="O202" s="1">
        <v>2.37257213115E11</v>
      </c>
    </row>
    <row r="203">
      <c r="A203" s="1">
        <v>2729012.0</v>
      </c>
      <c r="B203" s="1" t="s">
        <v>3740</v>
      </c>
      <c r="C203" s="1" t="b">
        <v>1</v>
      </c>
      <c r="D203" s="1" t="b">
        <v>1</v>
      </c>
      <c r="E203" s="1" t="s">
        <v>240</v>
      </c>
      <c r="F203" s="1" t="s">
        <v>1691</v>
      </c>
      <c r="G203" s="2">
        <f>+251926752829</f>
        <v>251926752829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28.44</v>
      </c>
      <c r="M203" s="1" t="s">
        <v>21</v>
      </c>
      <c r="O203" s="1">
        <v>2.5671965E7</v>
      </c>
    </row>
    <row r="204">
      <c r="A204" s="1">
        <v>2729104.0</v>
      </c>
      <c r="B204" s="1" t="s">
        <v>3307</v>
      </c>
      <c r="C204" s="1" t="b">
        <v>1</v>
      </c>
      <c r="D204" s="1" t="b">
        <v>1</v>
      </c>
      <c r="E204" s="1" t="s">
        <v>1457</v>
      </c>
      <c r="F204" s="1" t="s">
        <v>1651</v>
      </c>
      <c r="G204" s="2">
        <f>+251931688154</f>
        <v>251931688154</v>
      </c>
      <c r="H204" s="1" t="s">
        <v>18</v>
      </c>
      <c r="I204" s="1" t="s">
        <v>19</v>
      </c>
      <c r="J204" s="1" t="s">
        <v>19</v>
      </c>
      <c r="K204" s="1" t="s">
        <v>25</v>
      </c>
      <c r="L204" s="1">
        <v>26.65</v>
      </c>
      <c r="M204" s="1" t="s">
        <v>33</v>
      </c>
      <c r="N204" s="1" t="s">
        <v>34</v>
      </c>
      <c r="O204" s="1">
        <v>811800.0</v>
      </c>
    </row>
    <row r="205">
      <c r="A205" s="1">
        <v>2729131.0</v>
      </c>
      <c r="B205" s="1" t="s">
        <v>3741</v>
      </c>
      <c r="C205" s="1" t="b">
        <v>1</v>
      </c>
      <c r="D205" s="1" t="b">
        <v>1</v>
      </c>
      <c r="E205" s="1" t="s">
        <v>321</v>
      </c>
      <c r="F205" s="1" t="s">
        <v>3627</v>
      </c>
      <c r="G205" s="2">
        <f>+251922951700</f>
        <v>251922951700</v>
      </c>
      <c r="H205" s="1" t="s">
        <v>18</v>
      </c>
      <c r="I205" s="1" t="s">
        <v>19</v>
      </c>
      <c r="J205" s="1" t="s">
        <v>19</v>
      </c>
      <c r="K205" s="1" t="s">
        <v>20</v>
      </c>
      <c r="L205" s="1">
        <v>24.37</v>
      </c>
      <c r="M205" s="1" t="s">
        <v>21</v>
      </c>
      <c r="O205" s="1">
        <v>2.37496605926E11</v>
      </c>
    </row>
    <row r="206">
      <c r="A206" s="1">
        <v>1706997.0</v>
      </c>
      <c r="B206" s="1" t="s">
        <v>3742</v>
      </c>
      <c r="C206" s="1" t="b">
        <v>1</v>
      </c>
      <c r="D206" s="1" t="b">
        <v>1</v>
      </c>
      <c r="E206" s="1" t="s">
        <v>3743</v>
      </c>
      <c r="F206" s="1" t="s">
        <v>158</v>
      </c>
      <c r="G206" s="2">
        <f>+251910999967</f>
        <v>251910999967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28.46</v>
      </c>
      <c r="M206" s="1" t="s">
        <v>21</v>
      </c>
      <c r="O206" s="1">
        <v>783094.0</v>
      </c>
    </row>
    <row r="207">
      <c r="A207" s="1">
        <v>2730138.0</v>
      </c>
      <c r="B207" s="1" t="s">
        <v>3168</v>
      </c>
      <c r="C207" s="1" t="b">
        <v>1</v>
      </c>
      <c r="D207" s="1" t="b">
        <v>1</v>
      </c>
      <c r="E207" s="1" t="s">
        <v>3064</v>
      </c>
      <c r="F207" s="1" t="s">
        <v>534</v>
      </c>
      <c r="G207" s="2">
        <f>+251965709080</f>
        <v>251965709080</v>
      </c>
      <c r="H207" s="1" t="s">
        <v>18</v>
      </c>
      <c r="I207" s="1" t="s">
        <v>19</v>
      </c>
      <c r="J207" s="1" t="s">
        <v>19</v>
      </c>
      <c r="K207" s="1" t="s">
        <v>20</v>
      </c>
      <c r="L207" s="1">
        <v>30.24</v>
      </c>
      <c r="M207" s="1" t="s">
        <v>26</v>
      </c>
      <c r="O207" s="1">
        <v>5745726.0</v>
      </c>
    </row>
    <row r="208">
      <c r="A208" s="1">
        <v>367678.0</v>
      </c>
      <c r="B208" s="1" t="s">
        <v>3744</v>
      </c>
      <c r="C208" s="1" t="b">
        <v>1</v>
      </c>
      <c r="D208" s="1" t="b">
        <v>1</v>
      </c>
      <c r="E208" s="1" t="s">
        <v>101</v>
      </c>
      <c r="F208" s="1" t="s">
        <v>1296</v>
      </c>
      <c r="G208" s="2">
        <f>+251923988846</f>
        <v>251923988846</v>
      </c>
      <c r="H208" s="1" t="s">
        <v>18</v>
      </c>
      <c r="I208" s="1" t="s">
        <v>19</v>
      </c>
      <c r="J208" s="1" t="s">
        <v>19</v>
      </c>
      <c r="K208" s="1" t="s">
        <v>25</v>
      </c>
      <c r="L208" s="1">
        <v>32.44</v>
      </c>
      <c r="M208" s="1" t="s">
        <v>21</v>
      </c>
      <c r="O208" s="1">
        <v>2118040.0</v>
      </c>
    </row>
    <row r="209">
      <c r="A209" s="1">
        <v>2730863.0</v>
      </c>
      <c r="B209" s="1" t="s">
        <v>3745</v>
      </c>
      <c r="C209" s="1" t="b">
        <v>1</v>
      </c>
      <c r="D209" s="1" t="b">
        <v>1</v>
      </c>
      <c r="E209" s="1" t="s">
        <v>179</v>
      </c>
      <c r="F209" s="1" t="s">
        <v>1296</v>
      </c>
      <c r="G209" s="2">
        <f>+251933207022</f>
        <v>251933207022</v>
      </c>
      <c r="H209" s="1" t="s">
        <v>18</v>
      </c>
      <c r="I209" s="1" t="s">
        <v>19</v>
      </c>
      <c r="J209" s="1" t="s">
        <v>19</v>
      </c>
      <c r="K209" s="1" t="s">
        <v>20</v>
      </c>
      <c r="L209" s="1">
        <v>35.83</v>
      </c>
      <c r="M209" s="1" t="s">
        <v>21</v>
      </c>
      <c r="O209" s="1">
        <v>4042956.0</v>
      </c>
    </row>
    <row r="210">
      <c r="A210" s="1">
        <v>156546.0</v>
      </c>
      <c r="B210" s="1" t="s">
        <v>3746</v>
      </c>
      <c r="C210" s="1" t="b">
        <v>1</v>
      </c>
      <c r="D210" s="1" t="b">
        <v>1</v>
      </c>
      <c r="E210" s="1" t="s">
        <v>3747</v>
      </c>
      <c r="F210" s="1" t="s">
        <v>3699</v>
      </c>
      <c r="G210" s="2">
        <f>+251913020702</f>
        <v>251913020702</v>
      </c>
      <c r="H210" s="1" t="s">
        <v>18</v>
      </c>
      <c r="I210" s="1" t="s">
        <v>19</v>
      </c>
      <c r="J210" s="1" t="s">
        <v>19</v>
      </c>
      <c r="K210" s="1" t="s">
        <v>25</v>
      </c>
      <c r="L210" s="1">
        <v>27.85</v>
      </c>
      <c r="M210" s="1" t="s">
        <v>21</v>
      </c>
      <c r="O210" s="1">
        <v>6563324.0</v>
      </c>
    </row>
    <row r="211">
      <c r="A211" s="1">
        <v>2729954.0</v>
      </c>
      <c r="B211" s="1" t="s">
        <v>3748</v>
      </c>
      <c r="C211" s="1" t="b">
        <v>1</v>
      </c>
      <c r="D211" s="1" t="b">
        <v>1</v>
      </c>
      <c r="E211" s="1" t="s">
        <v>3749</v>
      </c>
      <c r="F211" s="1" t="s">
        <v>3750</v>
      </c>
      <c r="G211" s="2">
        <f>+251985623385</f>
        <v>251985623385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25.11</v>
      </c>
      <c r="M211" s="1" t="s">
        <v>21</v>
      </c>
      <c r="O211" s="1">
        <v>2.3762728774E11</v>
      </c>
    </row>
    <row r="212">
      <c r="A212" s="1">
        <v>2731519.0</v>
      </c>
      <c r="B212" s="1" t="s">
        <v>3751</v>
      </c>
      <c r="C212" s="1" t="b">
        <v>1</v>
      </c>
      <c r="D212" s="1" t="b">
        <v>1</v>
      </c>
      <c r="E212" s="1" t="s">
        <v>1148</v>
      </c>
      <c r="F212" s="1" t="s">
        <v>3752</v>
      </c>
      <c r="G212" s="2">
        <f>+251921757770</f>
        <v>251921757770</v>
      </c>
      <c r="H212" s="1" t="s">
        <v>18</v>
      </c>
      <c r="I212" s="1" t="s">
        <v>19</v>
      </c>
      <c r="J212" s="1" t="s">
        <v>19</v>
      </c>
      <c r="K212" s="1" t="s">
        <v>20</v>
      </c>
      <c r="L212" s="1">
        <v>32.4</v>
      </c>
      <c r="M212" s="1" t="s">
        <v>21</v>
      </c>
      <c r="O212" s="1">
        <v>1912065.0</v>
      </c>
    </row>
    <row r="213">
      <c r="A213" s="1">
        <v>2731655.0</v>
      </c>
      <c r="B213" s="1" t="s">
        <v>3308</v>
      </c>
      <c r="C213" s="1" t="b">
        <v>1</v>
      </c>
      <c r="D213" s="1" t="b">
        <v>1</v>
      </c>
      <c r="E213" s="1" t="s">
        <v>3309</v>
      </c>
      <c r="F213" s="1" t="s">
        <v>3310</v>
      </c>
      <c r="G213" s="2">
        <f>+251973011104</f>
        <v>251973011104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27.74</v>
      </c>
      <c r="M213" s="1" t="s">
        <v>33</v>
      </c>
      <c r="N213" s="1" t="s">
        <v>65</v>
      </c>
    </row>
    <row r="214">
      <c r="A214" s="1">
        <v>2731883.0</v>
      </c>
      <c r="B214" s="1" t="s">
        <v>3753</v>
      </c>
      <c r="C214" s="1" t="b">
        <v>1</v>
      </c>
      <c r="D214" s="1" t="b">
        <v>1</v>
      </c>
      <c r="E214" s="1" t="s">
        <v>480</v>
      </c>
      <c r="F214" s="1" t="s">
        <v>534</v>
      </c>
      <c r="G214" s="2">
        <f>+251948909874</f>
        <v>251948909874</v>
      </c>
      <c r="H214" s="1" t="s">
        <v>18</v>
      </c>
      <c r="I214" s="1" t="s">
        <v>19</v>
      </c>
      <c r="J214" s="1" t="s">
        <v>19</v>
      </c>
      <c r="K214" s="1" t="s">
        <v>20</v>
      </c>
      <c r="L214" s="1">
        <v>24.49</v>
      </c>
      <c r="M214" s="1" t="s">
        <v>21</v>
      </c>
      <c r="O214" s="1">
        <v>2.38352605381E11</v>
      </c>
    </row>
    <row r="215">
      <c r="A215" s="1">
        <v>2496754.0</v>
      </c>
      <c r="B215" s="1" t="s">
        <v>3754</v>
      </c>
      <c r="C215" s="1" t="b">
        <v>1</v>
      </c>
      <c r="D215" s="1" t="b">
        <v>1</v>
      </c>
      <c r="E215" s="1" t="s">
        <v>3755</v>
      </c>
      <c r="F215" s="1" t="s">
        <v>2160</v>
      </c>
      <c r="G215" s="2">
        <f>+251996727325</f>
        <v>251996727325</v>
      </c>
      <c r="H215" s="1" t="s">
        <v>72</v>
      </c>
      <c r="I215" s="1" t="s">
        <v>19</v>
      </c>
      <c r="J215" s="1" t="s">
        <v>19</v>
      </c>
      <c r="K215" s="1" t="s">
        <v>25</v>
      </c>
      <c r="L215" s="1">
        <v>26.39</v>
      </c>
      <c r="M215" s="1" t="s">
        <v>21</v>
      </c>
      <c r="O215" s="1">
        <v>8813934.0</v>
      </c>
    </row>
    <row r="216">
      <c r="A216" s="1">
        <v>2732721.0</v>
      </c>
      <c r="B216" s="1" t="s">
        <v>3756</v>
      </c>
      <c r="C216" s="1" t="b">
        <v>1</v>
      </c>
      <c r="D216" s="1" t="b">
        <v>1</v>
      </c>
      <c r="E216" s="1" t="s">
        <v>98</v>
      </c>
      <c r="F216" s="1" t="s">
        <v>3367</v>
      </c>
      <c r="G216" s="2">
        <f>+251911824290</f>
        <v>251911824290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30.0</v>
      </c>
      <c r="M216" s="1" t="s">
        <v>21</v>
      </c>
      <c r="O216" s="1">
        <v>2.38523138287E11</v>
      </c>
    </row>
    <row r="217">
      <c r="A217" s="1">
        <v>2732883.0</v>
      </c>
      <c r="B217" s="1" t="s">
        <v>3169</v>
      </c>
      <c r="C217" s="1" t="b">
        <v>0</v>
      </c>
      <c r="D217" s="1" t="b">
        <v>1</v>
      </c>
      <c r="E217" s="1" t="s">
        <v>3170</v>
      </c>
      <c r="F217" s="1" t="s">
        <v>839</v>
      </c>
      <c r="G217" s="2">
        <f>+251923149652</f>
        <v>251923149652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31.16</v>
      </c>
      <c r="M217" s="1" t="s">
        <v>26</v>
      </c>
      <c r="O217" s="1">
        <v>2.38548512977E11</v>
      </c>
    </row>
    <row r="218">
      <c r="A218" s="1">
        <v>2272753.0</v>
      </c>
      <c r="B218" s="1" t="s">
        <v>3757</v>
      </c>
      <c r="C218" s="1" t="b">
        <v>1</v>
      </c>
      <c r="D218" s="1" t="b">
        <v>1</v>
      </c>
      <c r="E218" s="1" t="s">
        <v>3758</v>
      </c>
      <c r="F218" s="1" t="s">
        <v>1676</v>
      </c>
      <c r="G218" s="2">
        <f>+251938121203</f>
        <v>251938121203</v>
      </c>
      <c r="H218" s="1" t="s">
        <v>18</v>
      </c>
      <c r="I218" s="1" t="s">
        <v>19</v>
      </c>
      <c r="J218" s="1" t="s">
        <v>19</v>
      </c>
      <c r="K218" s="1" t="s">
        <v>25</v>
      </c>
      <c r="L218" s="1">
        <v>20.94</v>
      </c>
      <c r="M218" s="1" t="s">
        <v>21</v>
      </c>
      <c r="O218" s="1">
        <v>8762448.0</v>
      </c>
    </row>
    <row r="219">
      <c r="A219" s="1">
        <v>2733097.0</v>
      </c>
      <c r="B219" s="1" t="s">
        <v>3311</v>
      </c>
      <c r="C219" s="1" t="b">
        <v>0</v>
      </c>
      <c r="D219" s="1" t="b">
        <v>1</v>
      </c>
      <c r="E219" s="1" t="s">
        <v>3312</v>
      </c>
      <c r="F219" s="1" t="s">
        <v>3313</v>
      </c>
      <c r="G219" s="2">
        <f>+251904303033</f>
        <v>251904303033</v>
      </c>
      <c r="H219" s="1" t="s">
        <v>392</v>
      </c>
      <c r="I219" s="1" t="s">
        <v>19</v>
      </c>
      <c r="J219" s="1" t="s">
        <v>1014</v>
      </c>
      <c r="K219" s="1" t="s">
        <v>25</v>
      </c>
      <c r="L219" s="1">
        <v>29.62</v>
      </c>
      <c r="M219" s="1" t="s">
        <v>33</v>
      </c>
      <c r="N219" s="1" t="s">
        <v>118</v>
      </c>
      <c r="O219" s="1">
        <v>2.38700076259E11</v>
      </c>
    </row>
    <row r="220">
      <c r="A220" s="1">
        <v>2733715.0</v>
      </c>
      <c r="B220" s="1" t="s">
        <v>3171</v>
      </c>
      <c r="C220" s="1" t="b">
        <v>0</v>
      </c>
      <c r="D220" s="1" t="b">
        <v>1</v>
      </c>
      <c r="E220" s="1" t="s">
        <v>693</v>
      </c>
      <c r="F220" s="1" t="s">
        <v>3172</v>
      </c>
      <c r="G220" s="2">
        <f>+251924337456</f>
        <v>251924337456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22.52</v>
      </c>
      <c r="M220" s="1" t="s">
        <v>26</v>
      </c>
      <c r="O220" s="1">
        <v>2.38978224364E11</v>
      </c>
    </row>
    <row r="221">
      <c r="A221" s="1">
        <v>60923.0</v>
      </c>
      <c r="B221" s="1" t="s">
        <v>3173</v>
      </c>
      <c r="C221" s="1" t="b">
        <v>1</v>
      </c>
      <c r="D221" s="1" t="b">
        <v>1</v>
      </c>
      <c r="E221" s="1" t="s">
        <v>2084</v>
      </c>
      <c r="F221" s="1" t="s">
        <v>3174</v>
      </c>
      <c r="G221" s="2">
        <f>+251912124711</f>
        <v>251912124711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28.96</v>
      </c>
      <c r="M221" s="1" t="s">
        <v>26</v>
      </c>
      <c r="O221" s="1">
        <v>2.579997E7</v>
      </c>
    </row>
    <row r="222">
      <c r="A222" s="1">
        <v>832621.0</v>
      </c>
      <c r="B222" s="1" t="s">
        <v>3759</v>
      </c>
      <c r="C222" s="1" t="b">
        <v>1</v>
      </c>
      <c r="D222" s="1" t="b">
        <v>1</v>
      </c>
      <c r="E222" s="1" t="s">
        <v>474</v>
      </c>
      <c r="F222" s="1" t="s">
        <v>3760</v>
      </c>
      <c r="G222" s="2">
        <f>+251975071608</f>
        <v>251975071608</v>
      </c>
      <c r="H222" s="1" t="s">
        <v>18</v>
      </c>
      <c r="I222" s="1" t="s">
        <v>19</v>
      </c>
      <c r="J222" s="1" t="s">
        <v>19</v>
      </c>
      <c r="K222" s="1" t="s">
        <v>25</v>
      </c>
      <c r="L222" s="1">
        <v>33.16</v>
      </c>
      <c r="M222" s="1" t="s">
        <v>21</v>
      </c>
      <c r="O222" s="1">
        <v>3.301093337E9</v>
      </c>
    </row>
    <row r="223">
      <c r="A223" s="1">
        <v>109749.0</v>
      </c>
      <c r="B223" s="1" t="s">
        <v>3314</v>
      </c>
      <c r="C223" s="1" t="b">
        <v>1</v>
      </c>
      <c r="D223" s="1" t="b">
        <v>1</v>
      </c>
      <c r="E223" s="1" t="s">
        <v>503</v>
      </c>
      <c r="F223" s="1" t="s">
        <v>51</v>
      </c>
      <c r="G223" s="1">
        <v>9.20727562E8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23.57</v>
      </c>
      <c r="M223" s="1" t="s">
        <v>33</v>
      </c>
      <c r="N223" s="1" t="s">
        <v>177</v>
      </c>
      <c r="O223" s="1">
        <v>2.6159557E7</v>
      </c>
    </row>
    <row r="224">
      <c r="A224" s="1">
        <v>2736165.0</v>
      </c>
      <c r="B224" s="1" t="s">
        <v>3315</v>
      </c>
      <c r="C224" s="1" t="b">
        <v>1</v>
      </c>
      <c r="D224" s="1" t="b">
        <v>1</v>
      </c>
      <c r="E224" s="1" t="s">
        <v>517</v>
      </c>
      <c r="F224" s="1" t="s">
        <v>894</v>
      </c>
      <c r="G224" s="2">
        <f>+251933650193</f>
        <v>251933650193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29.25</v>
      </c>
      <c r="M224" s="1" t="s">
        <v>33</v>
      </c>
      <c r="N224" s="1" t="s">
        <v>34</v>
      </c>
      <c r="O224" s="1">
        <v>2.39632624829E11</v>
      </c>
    </row>
    <row r="225">
      <c r="A225" s="1">
        <v>2736245.0</v>
      </c>
      <c r="B225" s="1" t="s">
        <v>3175</v>
      </c>
      <c r="C225" s="1" t="b">
        <v>0</v>
      </c>
      <c r="D225" s="1" t="b">
        <v>1</v>
      </c>
      <c r="E225" s="1" t="s">
        <v>1128</v>
      </c>
      <c r="F225" s="1" t="s">
        <v>328</v>
      </c>
      <c r="G225" s="2">
        <f>+251936092577</f>
        <v>251936092577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21.97</v>
      </c>
      <c r="M225" s="1" t="s">
        <v>26</v>
      </c>
      <c r="O225" s="1">
        <v>2.39681621209E11</v>
      </c>
    </row>
    <row r="226">
      <c r="A226" s="1">
        <v>2736384.0</v>
      </c>
      <c r="B226" s="1" t="s">
        <v>3761</v>
      </c>
      <c r="C226" s="1" t="b">
        <v>1</v>
      </c>
      <c r="D226" s="1" t="b">
        <v>1</v>
      </c>
      <c r="E226" s="1" t="s">
        <v>3762</v>
      </c>
      <c r="F226" s="1" t="s">
        <v>3763</v>
      </c>
      <c r="G226" s="1">
        <v>9.19648107E8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23.62</v>
      </c>
      <c r="M226" s="1" t="s">
        <v>21</v>
      </c>
      <c r="O226" s="1">
        <v>2.39701478593E11</v>
      </c>
    </row>
    <row r="227">
      <c r="A227" s="1">
        <v>2736951.0</v>
      </c>
      <c r="B227" s="1" t="s">
        <v>3316</v>
      </c>
      <c r="C227" s="1" t="b">
        <v>1</v>
      </c>
      <c r="D227" s="1" t="b">
        <v>1</v>
      </c>
      <c r="E227" s="1" t="s">
        <v>1614</v>
      </c>
      <c r="F227" s="1" t="s">
        <v>3317</v>
      </c>
      <c r="G227" s="2">
        <f>+251947534650</f>
        <v>251947534650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27.06</v>
      </c>
      <c r="M227" s="1" t="s">
        <v>33</v>
      </c>
      <c r="N227" s="1" t="s">
        <v>118</v>
      </c>
      <c r="O227" s="1">
        <v>5932086.0</v>
      </c>
    </row>
    <row r="228">
      <c r="A228" s="1">
        <v>2070859.0</v>
      </c>
      <c r="B228" s="1" t="s">
        <v>3764</v>
      </c>
      <c r="C228" s="1" t="b">
        <v>1</v>
      </c>
      <c r="D228" s="1" t="b">
        <v>1</v>
      </c>
      <c r="E228" s="1" t="s">
        <v>3765</v>
      </c>
      <c r="F228" s="1" t="s">
        <v>264</v>
      </c>
      <c r="G228" s="2">
        <f>+251929004085</f>
        <v>251929004085</v>
      </c>
      <c r="H228" s="1" t="s">
        <v>18</v>
      </c>
      <c r="I228" s="1" t="s">
        <v>19</v>
      </c>
      <c r="J228" s="1" t="s">
        <v>19</v>
      </c>
      <c r="K228" s="1" t="s">
        <v>20</v>
      </c>
      <c r="L228" s="1">
        <v>25.17</v>
      </c>
      <c r="M228" s="1" t="s">
        <v>21</v>
      </c>
      <c r="O228" s="1">
        <v>1.8265001E7</v>
      </c>
    </row>
    <row r="229">
      <c r="A229" s="1">
        <v>2739427.0</v>
      </c>
      <c r="B229" s="1" t="s">
        <v>3318</v>
      </c>
      <c r="C229" s="1" t="b">
        <v>1</v>
      </c>
      <c r="D229" s="1" t="b">
        <v>1</v>
      </c>
      <c r="E229" s="1" t="s">
        <v>3319</v>
      </c>
      <c r="F229" s="1" t="s">
        <v>189</v>
      </c>
      <c r="G229" s="2">
        <f>+251920062842</f>
        <v>251920062842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34.64</v>
      </c>
      <c r="M229" s="1" t="s">
        <v>33</v>
      </c>
      <c r="N229" s="1" t="s">
        <v>166</v>
      </c>
      <c r="O229" s="1">
        <v>8826733.0</v>
      </c>
    </row>
    <row r="230">
      <c r="A230" s="1">
        <v>2739717.0</v>
      </c>
      <c r="B230" s="1" t="s">
        <v>3320</v>
      </c>
      <c r="C230" s="1" t="b">
        <v>1</v>
      </c>
      <c r="D230" s="1" t="b">
        <v>1</v>
      </c>
      <c r="E230" s="1" t="s">
        <v>328</v>
      </c>
      <c r="F230" s="1" t="s">
        <v>3125</v>
      </c>
      <c r="G230" s="2">
        <f>+251960111172</f>
        <v>251960111172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33.22</v>
      </c>
      <c r="M230" s="1" t="s">
        <v>33</v>
      </c>
      <c r="N230" s="1" t="s">
        <v>166</v>
      </c>
      <c r="O230" s="1">
        <v>1031940.0</v>
      </c>
    </row>
    <row r="231">
      <c r="A231" s="1">
        <v>1574047.0</v>
      </c>
      <c r="B231" s="1" t="s">
        <v>3766</v>
      </c>
      <c r="C231" s="1" t="b">
        <v>1</v>
      </c>
      <c r="D231" s="1" t="b">
        <v>1</v>
      </c>
      <c r="E231" s="1" t="s">
        <v>3767</v>
      </c>
      <c r="F231" s="1" t="s">
        <v>371</v>
      </c>
      <c r="G231" s="2">
        <f>+251919784305</f>
        <v>251919784305</v>
      </c>
      <c r="H231" s="1" t="s">
        <v>18</v>
      </c>
      <c r="I231" s="1" t="s">
        <v>19</v>
      </c>
      <c r="J231" s="1" t="s">
        <v>19</v>
      </c>
      <c r="K231" s="1" t="s">
        <v>25</v>
      </c>
      <c r="L231" s="1">
        <v>24.15</v>
      </c>
      <c r="M231" s="1" t="s">
        <v>21</v>
      </c>
      <c r="O231" s="1">
        <v>766470.0</v>
      </c>
    </row>
    <row r="232">
      <c r="A232" s="1">
        <v>531958.0</v>
      </c>
      <c r="B232" s="1" t="s">
        <v>3768</v>
      </c>
      <c r="C232" s="1" t="b">
        <v>1</v>
      </c>
      <c r="D232" s="1" t="b">
        <v>1</v>
      </c>
      <c r="E232" s="1" t="s">
        <v>3769</v>
      </c>
      <c r="F232" s="1" t="s">
        <v>1549</v>
      </c>
      <c r="G232" s="2">
        <f>+251913692903</f>
        <v>251913692903</v>
      </c>
      <c r="H232" s="1" t="s">
        <v>131</v>
      </c>
      <c r="I232" s="1" t="s">
        <v>19</v>
      </c>
      <c r="J232" s="1" t="s">
        <v>19</v>
      </c>
      <c r="K232" s="1" t="s">
        <v>25</v>
      </c>
      <c r="L232" s="1">
        <v>31.29</v>
      </c>
      <c r="M232" s="1" t="s">
        <v>21</v>
      </c>
      <c r="O232" s="1">
        <v>794656.0</v>
      </c>
    </row>
    <row r="233">
      <c r="A233" s="1">
        <v>2744729.0</v>
      </c>
      <c r="B233" s="1" t="s">
        <v>3770</v>
      </c>
      <c r="C233" s="1" t="b">
        <v>1</v>
      </c>
      <c r="D233" s="1" t="b">
        <v>1</v>
      </c>
      <c r="E233" s="1" t="s">
        <v>213</v>
      </c>
      <c r="F233" s="1" t="s">
        <v>1599</v>
      </c>
      <c r="G233" s="2">
        <f>+251935080301</f>
        <v>251935080301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24.34</v>
      </c>
      <c r="M233" s="1" t="s">
        <v>21</v>
      </c>
      <c r="O233" s="1">
        <v>2.42209062096E11</v>
      </c>
    </row>
    <row r="234">
      <c r="A234" s="1">
        <v>2745237.0</v>
      </c>
      <c r="B234" s="1" t="s">
        <v>3771</v>
      </c>
      <c r="C234" s="1" t="b">
        <v>1</v>
      </c>
      <c r="D234" s="1" t="b">
        <v>1</v>
      </c>
      <c r="E234" s="1" t="s">
        <v>71</v>
      </c>
      <c r="F234" s="1" t="s">
        <v>510</v>
      </c>
      <c r="G234" s="2">
        <f>+251924466550</f>
        <v>251924466550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36.21</v>
      </c>
      <c r="M234" s="1" t="s">
        <v>21</v>
      </c>
    </row>
    <row r="235">
      <c r="A235" s="1">
        <v>2746864.0</v>
      </c>
      <c r="B235" s="1" t="s">
        <v>3772</v>
      </c>
      <c r="C235" s="1" t="b">
        <v>1</v>
      </c>
      <c r="D235" s="1" t="b">
        <v>1</v>
      </c>
      <c r="E235" s="1" t="s">
        <v>1819</v>
      </c>
      <c r="F235" s="1" t="s">
        <v>996</v>
      </c>
      <c r="G235" s="2">
        <f>+251910132685</f>
        <v>251910132685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22.7</v>
      </c>
      <c r="M235" s="1" t="s">
        <v>21</v>
      </c>
      <c r="O235" s="1">
        <v>2.42891821302E11</v>
      </c>
    </row>
    <row r="236">
      <c r="A236" s="1">
        <v>2746914.0</v>
      </c>
      <c r="B236" s="1" t="s">
        <v>3773</v>
      </c>
      <c r="C236" s="1" t="b">
        <v>1</v>
      </c>
      <c r="D236" s="1" t="b">
        <v>1</v>
      </c>
      <c r="E236" s="1" t="s">
        <v>3774</v>
      </c>
      <c r="F236" s="1" t="s">
        <v>3775</v>
      </c>
      <c r="G236" s="2">
        <f>+251923163935</f>
        <v>251923163935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38.77</v>
      </c>
      <c r="M236" s="1" t="s">
        <v>21</v>
      </c>
    </row>
    <row r="237">
      <c r="A237" s="1">
        <v>2140341.0</v>
      </c>
      <c r="B237" s="1" t="s">
        <v>3321</v>
      </c>
      <c r="C237" s="1" t="b">
        <v>1</v>
      </c>
      <c r="D237" s="1" t="b">
        <v>1</v>
      </c>
      <c r="E237" s="1" t="s">
        <v>3322</v>
      </c>
      <c r="F237" s="1" t="s">
        <v>3323</v>
      </c>
      <c r="G237" s="2">
        <f>+251918667319</f>
        <v>251918667319</v>
      </c>
      <c r="H237" s="1" t="s">
        <v>18</v>
      </c>
      <c r="I237" s="1" t="s">
        <v>19</v>
      </c>
      <c r="J237" s="1" t="s">
        <v>19</v>
      </c>
      <c r="K237" s="1" t="s">
        <v>25</v>
      </c>
      <c r="L237" s="1">
        <v>34.27</v>
      </c>
      <c r="M237" s="1" t="s">
        <v>33</v>
      </c>
      <c r="N237" s="1" t="s">
        <v>34</v>
      </c>
      <c r="O237" s="1">
        <v>1846116.0</v>
      </c>
    </row>
    <row r="238">
      <c r="A238" s="1">
        <v>2747883.0</v>
      </c>
      <c r="B238" s="1" t="s">
        <v>3776</v>
      </c>
      <c r="C238" s="1" t="b">
        <v>1</v>
      </c>
      <c r="D238" s="1" t="b">
        <v>1</v>
      </c>
      <c r="E238" s="1" t="s">
        <v>437</v>
      </c>
      <c r="F238" s="1" t="s">
        <v>2013</v>
      </c>
      <c r="G238" s="2">
        <f>+251984199689</f>
        <v>251984199689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20.8</v>
      </c>
      <c r="M238" s="1" t="s">
        <v>21</v>
      </c>
    </row>
    <row r="239">
      <c r="A239" s="1">
        <v>2747807.0</v>
      </c>
      <c r="B239" s="1" t="s">
        <v>3777</v>
      </c>
      <c r="C239" s="1" t="b">
        <v>1</v>
      </c>
      <c r="D239" s="1" t="b">
        <v>1</v>
      </c>
      <c r="E239" s="1" t="s">
        <v>1376</v>
      </c>
      <c r="F239" s="1" t="s">
        <v>3778</v>
      </c>
      <c r="G239" s="2">
        <f>+251923671731</f>
        <v>251923671731</v>
      </c>
      <c r="H239" s="1" t="s">
        <v>18</v>
      </c>
      <c r="I239" s="1" t="s">
        <v>19</v>
      </c>
      <c r="J239" s="1" t="s">
        <v>19</v>
      </c>
      <c r="K239" s="1" t="s">
        <v>25</v>
      </c>
      <c r="L239" s="1">
        <v>48.31</v>
      </c>
      <c r="M239" s="1" t="s">
        <v>21</v>
      </c>
      <c r="O239" s="1">
        <v>2.43280554214E11</v>
      </c>
    </row>
    <row r="240">
      <c r="A240" s="1">
        <v>2717647.0</v>
      </c>
      <c r="B240" s="1" t="s">
        <v>3324</v>
      </c>
      <c r="C240" s="1" t="b">
        <v>1</v>
      </c>
      <c r="D240" s="1" t="b">
        <v>1</v>
      </c>
      <c r="E240" s="1" t="s">
        <v>2503</v>
      </c>
      <c r="F240" s="1" t="s">
        <v>3325</v>
      </c>
      <c r="G240" s="2">
        <f>+251933001396</f>
        <v>251933001396</v>
      </c>
      <c r="H240" s="1" t="s">
        <v>18</v>
      </c>
      <c r="I240" s="1" t="s">
        <v>19</v>
      </c>
      <c r="J240" s="1" t="s">
        <v>19</v>
      </c>
      <c r="K240" s="1" t="s">
        <v>25</v>
      </c>
      <c r="L240" s="1">
        <v>28.81</v>
      </c>
      <c r="M240" s="1" t="s">
        <v>33</v>
      </c>
      <c r="N240" s="1" t="s">
        <v>118</v>
      </c>
      <c r="O240" s="1">
        <v>8757330.0</v>
      </c>
    </row>
    <row r="241">
      <c r="A241" s="1">
        <v>2749585.0</v>
      </c>
      <c r="B241" s="1" t="s">
        <v>3326</v>
      </c>
      <c r="C241" s="1" t="b">
        <v>1</v>
      </c>
      <c r="D241" s="1" t="b">
        <v>1</v>
      </c>
      <c r="E241" s="1" t="s">
        <v>491</v>
      </c>
      <c r="F241" s="1" t="s">
        <v>3327</v>
      </c>
      <c r="G241" s="1">
        <v>9.34260137E8</v>
      </c>
      <c r="H241" s="1" t="s">
        <v>974</v>
      </c>
      <c r="I241" s="1" t="s">
        <v>19</v>
      </c>
      <c r="J241" s="1" t="s">
        <v>19</v>
      </c>
      <c r="K241" s="1" t="s">
        <v>25</v>
      </c>
      <c r="L241" s="1">
        <v>23.25</v>
      </c>
      <c r="M241" s="1" t="s">
        <v>33</v>
      </c>
      <c r="N241" s="1" t="s">
        <v>177</v>
      </c>
      <c r="O241" s="1">
        <v>2.44452430017E11</v>
      </c>
    </row>
    <row r="242">
      <c r="A242" s="1">
        <v>2749793.0</v>
      </c>
      <c r="B242" s="1" t="s">
        <v>3779</v>
      </c>
      <c r="C242" s="1" t="b">
        <v>1</v>
      </c>
      <c r="D242" s="1" t="b">
        <v>1</v>
      </c>
      <c r="E242" s="1" t="s">
        <v>116</v>
      </c>
      <c r="F242" s="1" t="s">
        <v>189</v>
      </c>
      <c r="G242" s="2">
        <f>+251935225225</f>
        <v>251935225225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20.34</v>
      </c>
      <c r="M242" s="1" t="s">
        <v>21</v>
      </c>
    </row>
    <row r="243">
      <c r="A243" s="1">
        <v>1087969.0</v>
      </c>
      <c r="B243" s="1" t="s">
        <v>3780</v>
      </c>
      <c r="C243" s="1" t="b">
        <v>1</v>
      </c>
      <c r="D243" s="1" t="b">
        <v>1</v>
      </c>
      <c r="E243" s="1" t="s">
        <v>245</v>
      </c>
      <c r="F243" s="1" t="s">
        <v>338</v>
      </c>
      <c r="G243" s="2">
        <f>+251938185229</f>
        <v>251938185229</v>
      </c>
      <c r="H243" s="1" t="s">
        <v>18</v>
      </c>
      <c r="I243" s="1" t="s">
        <v>19</v>
      </c>
      <c r="J243" s="1" t="s">
        <v>19</v>
      </c>
      <c r="K243" s="1" t="s">
        <v>20</v>
      </c>
      <c r="L243" s="1">
        <v>18.64</v>
      </c>
      <c r="M243" s="1" t="s">
        <v>21</v>
      </c>
      <c r="O243" s="1">
        <v>1.3378032E7</v>
      </c>
    </row>
    <row r="244">
      <c r="A244" s="1">
        <v>2750542.0</v>
      </c>
      <c r="B244" s="1" t="s">
        <v>3328</v>
      </c>
      <c r="C244" s="1" t="b">
        <v>1</v>
      </c>
      <c r="D244" s="1" t="b">
        <v>1</v>
      </c>
      <c r="E244" s="1" t="s">
        <v>3329</v>
      </c>
      <c r="F244" s="1" t="s">
        <v>3330</v>
      </c>
      <c r="G244" s="2">
        <f>+251979106195</f>
        <v>251979106195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19.57</v>
      </c>
      <c r="M244" s="1" t="s">
        <v>33</v>
      </c>
      <c r="N244" s="1" t="s">
        <v>65</v>
      </c>
      <c r="O244" s="1">
        <v>2.44794593524E11</v>
      </c>
    </row>
    <row r="245">
      <c r="A245" s="1">
        <v>2751974.0</v>
      </c>
      <c r="B245" s="1" t="s">
        <v>3781</v>
      </c>
      <c r="C245" s="1" t="b">
        <v>1</v>
      </c>
      <c r="D245" s="1" t="b">
        <v>1</v>
      </c>
      <c r="E245" s="1" t="s">
        <v>250</v>
      </c>
      <c r="F245" s="1" t="s">
        <v>595</v>
      </c>
      <c r="G245" s="2">
        <f>+251953612015</f>
        <v>251953612015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23.44</v>
      </c>
      <c r="M245" s="1" t="s">
        <v>21</v>
      </c>
      <c r="O245" s="1">
        <v>8738990.0</v>
      </c>
    </row>
    <row r="246">
      <c r="A246" s="1">
        <v>2737142.0</v>
      </c>
      <c r="B246" s="1" t="s">
        <v>3782</v>
      </c>
      <c r="C246" s="1" t="b">
        <v>1</v>
      </c>
      <c r="D246" s="1" t="b">
        <v>1</v>
      </c>
      <c r="E246" s="1" t="s">
        <v>328</v>
      </c>
      <c r="F246" s="1" t="s">
        <v>3783</v>
      </c>
      <c r="G246" s="2">
        <f>+251910018322</f>
        <v>251910018322</v>
      </c>
      <c r="H246" s="1" t="s">
        <v>93</v>
      </c>
      <c r="I246" s="1" t="s">
        <v>19</v>
      </c>
      <c r="J246" s="1" t="s">
        <v>19</v>
      </c>
      <c r="K246" s="1" t="s">
        <v>25</v>
      </c>
      <c r="L246" s="1">
        <v>32.47</v>
      </c>
      <c r="M246" s="1" t="s">
        <v>21</v>
      </c>
      <c r="O246" s="1">
        <v>2.39947008198E11</v>
      </c>
    </row>
    <row r="247">
      <c r="A247" s="1">
        <v>2751712.0</v>
      </c>
      <c r="B247" s="1" t="s">
        <v>3784</v>
      </c>
      <c r="C247" s="1" t="b">
        <v>1</v>
      </c>
      <c r="D247" s="1" t="b">
        <v>1</v>
      </c>
      <c r="E247" s="1" t="s">
        <v>3785</v>
      </c>
      <c r="F247" s="1" t="s">
        <v>1555</v>
      </c>
      <c r="G247" s="2">
        <f>+10921610017</f>
        <v>10921610017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29.67</v>
      </c>
      <c r="M247" s="1" t="s">
        <v>21</v>
      </c>
    </row>
    <row r="248">
      <c r="A248" s="1">
        <v>2752602.0</v>
      </c>
      <c r="B248" s="1" t="s">
        <v>3786</v>
      </c>
      <c r="C248" s="1" t="b">
        <v>1</v>
      </c>
      <c r="D248" s="1" t="b">
        <v>1</v>
      </c>
      <c r="E248" s="1" t="s">
        <v>3787</v>
      </c>
      <c r="F248" s="1" t="s">
        <v>3788</v>
      </c>
      <c r="G248" s="2">
        <f>+251975628047</f>
        <v>251975628047</v>
      </c>
      <c r="H248" s="1" t="s">
        <v>392</v>
      </c>
      <c r="I248" s="1" t="s">
        <v>19</v>
      </c>
      <c r="J248" s="1" t="s">
        <v>19</v>
      </c>
      <c r="K248" s="1" t="s">
        <v>25</v>
      </c>
      <c r="L248" s="1">
        <v>38.47</v>
      </c>
      <c r="M248" s="1" t="s">
        <v>21</v>
      </c>
      <c r="O248" s="1">
        <v>2.45550320866E11</v>
      </c>
    </row>
    <row r="249">
      <c r="A249" s="1">
        <v>2753340.0</v>
      </c>
      <c r="B249" s="1" t="s">
        <v>3176</v>
      </c>
      <c r="C249" s="1" t="b">
        <v>0</v>
      </c>
      <c r="D249" s="1" t="b">
        <v>1</v>
      </c>
      <c r="E249" s="1" t="s">
        <v>3177</v>
      </c>
      <c r="F249" s="1" t="s">
        <v>3178</v>
      </c>
      <c r="G249" s="2">
        <f>+251707175180</f>
        <v>251707175180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21.3</v>
      </c>
      <c r="M249" s="1" t="s">
        <v>26</v>
      </c>
      <c r="O249" s="1">
        <v>2.45672236221E11</v>
      </c>
    </row>
    <row r="250">
      <c r="A250" s="1">
        <v>2754834.0</v>
      </c>
      <c r="B250" s="1" t="s">
        <v>3331</v>
      </c>
      <c r="C250" s="1" t="b">
        <v>1</v>
      </c>
      <c r="D250" s="1" t="b">
        <v>1</v>
      </c>
      <c r="E250" s="1" t="s">
        <v>1476</v>
      </c>
      <c r="F250" s="1" t="s">
        <v>3332</v>
      </c>
      <c r="G250" s="2">
        <f>+251968005367</f>
        <v>251968005367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19.26</v>
      </c>
      <c r="M250" s="1" t="s">
        <v>33</v>
      </c>
      <c r="N250" s="1" t="s">
        <v>34</v>
      </c>
    </row>
    <row r="251">
      <c r="A251" s="1">
        <v>2755884.0</v>
      </c>
      <c r="B251" s="1" t="s">
        <v>3789</v>
      </c>
      <c r="C251" s="1" t="b">
        <v>1</v>
      </c>
      <c r="D251" s="1" t="b">
        <v>1</v>
      </c>
      <c r="E251" s="1" t="s">
        <v>1069</v>
      </c>
      <c r="F251" s="1" t="s">
        <v>970</v>
      </c>
      <c r="G251" s="2">
        <f>+251934010984</f>
        <v>251934010984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22.12</v>
      </c>
      <c r="M251" s="1" t="s">
        <v>21</v>
      </c>
      <c r="O251" s="1">
        <v>2.46412127477E11</v>
      </c>
    </row>
    <row r="252">
      <c r="A252" s="1">
        <v>2756191.0</v>
      </c>
      <c r="B252" s="1" t="s">
        <v>3790</v>
      </c>
      <c r="C252" s="1" t="b">
        <v>1</v>
      </c>
      <c r="D252" s="1" t="b">
        <v>1</v>
      </c>
      <c r="E252" s="1" t="s">
        <v>537</v>
      </c>
      <c r="F252" s="1" t="s">
        <v>2479</v>
      </c>
      <c r="G252" s="2">
        <f>+251943046035</f>
        <v>251943046035</v>
      </c>
      <c r="H252" s="1" t="s">
        <v>392</v>
      </c>
      <c r="I252" s="1" t="s">
        <v>19</v>
      </c>
      <c r="J252" s="1" t="s">
        <v>19</v>
      </c>
      <c r="K252" s="1" t="s">
        <v>25</v>
      </c>
      <c r="L252" s="1">
        <v>21.88</v>
      </c>
      <c r="M252" s="1" t="s">
        <v>21</v>
      </c>
      <c r="O252" s="1">
        <v>2.46564943086E11</v>
      </c>
    </row>
    <row r="253">
      <c r="A253" s="1">
        <v>2756341.0</v>
      </c>
      <c r="B253" s="1" t="s">
        <v>3791</v>
      </c>
      <c r="C253" s="1" t="b">
        <v>1</v>
      </c>
      <c r="D253" s="1" t="b">
        <v>1</v>
      </c>
      <c r="E253" s="1" t="s">
        <v>333</v>
      </c>
      <c r="F253" s="1" t="s">
        <v>3792</v>
      </c>
      <c r="G253" s="2">
        <f>+251974434488</f>
        <v>251974434488</v>
      </c>
      <c r="H253" s="1" t="s">
        <v>18</v>
      </c>
      <c r="I253" s="1" t="s">
        <v>19</v>
      </c>
      <c r="J253" s="1" t="s">
        <v>19</v>
      </c>
      <c r="K253" s="1" t="s">
        <v>25</v>
      </c>
      <c r="L253" s="1">
        <v>20.47</v>
      </c>
      <c r="M253" s="1" t="s">
        <v>21</v>
      </c>
    </row>
    <row r="254">
      <c r="A254" s="1">
        <v>2756165.0</v>
      </c>
      <c r="B254" s="1" t="s">
        <v>3179</v>
      </c>
      <c r="C254" s="1" t="b">
        <v>0</v>
      </c>
      <c r="D254" s="1" t="b">
        <v>1</v>
      </c>
      <c r="E254" s="1" t="s">
        <v>321</v>
      </c>
      <c r="F254" s="1" t="s">
        <v>195</v>
      </c>
      <c r="G254" s="2">
        <f>+251960892840</f>
        <v>251960892840</v>
      </c>
      <c r="H254" s="1" t="s">
        <v>18</v>
      </c>
      <c r="I254" s="1" t="s">
        <v>19</v>
      </c>
      <c r="J254" s="1" t="s">
        <v>19</v>
      </c>
      <c r="K254" s="1" t="s">
        <v>20</v>
      </c>
      <c r="L254" s="1">
        <v>23.98</v>
      </c>
      <c r="M254" s="1" t="s">
        <v>26</v>
      </c>
      <c r="O254" s="1">
        <v>2.46650096847E11</v>
      </c>
    </row>
    <row r="255">
      <c r="A255" s="1">
        <v>2755822.0</v>
      </c>
      <c r="B255" s="1" t="s">
        <v>3793</v>
      </c>
      <c r="C255" s="1" t="b">
        <v>1</v>
      </c>
      <c r="D255" s="1" t="b">
        <v>1</v>
      </c>
      <c r="E255" s="1" t="s">
        <v>3794</v>
      </c>
      <c r="F255" s="1" t="s">
        <v>319</v>
      </c>
      <c r="G255" s="2">
        <f>+251935326847</f>
        <v>251935326847</v>
      </c>
      <c r="H255" s="1" t="s">
        <v>18</v>
      </c>
      <c r="I255" s="1" t="s">
        <v>19</v>
      </c>
      <c r="J255" s="1" t="s">
        <v>19</v>
      </c>
      <c r="K255" s="1" t="s">
        <v>25</v>
      </c>
      <c r="L255" s="1">
        <v>37.07</v>
      </c>
      <c r="M255" s="1" t="s">
        <v>21</v>
      </c>
      <c r="O255" s="1">
        <v>6032731.0</v>
      </c>
    </row>
    <row r="256">
      <c r="A256" s="1">
        <v>2756904.0</v>
      </c>
      <c r="B256" s="1" t="s">
        <v>3795</v>
      </c>
      <c r="C256" s="1" t="b">
        <v>1</v>
      </c>
      <c r="D256" s="1" t="b">
        <v>1</v>
      </c>
      <c r="E256" s="1" t="s">
        <v>3796</v>
      </c>
      <c r="F256" s="1" t="s">
        <v>3797</v>
      </c>
      <c r="G256" s="2">
        <f>+251974238113</f>
        <v>251974238113</v>
      </c>
      <c r="H256" s="1" t="s">
        <v>18</v>
      </c>
      <c r="I256" s="1" t="s">
        <v>19</v>
      </c>
      <c r="J256" s="1" t="s">
        <v>19</v>
      </c>
      <c r="K256" s="1" t="s">
        <v>25</v>
      </c>
      <c r="L256" s="1">
        <v>21.19</v>
      </c>
      <c r="M256" s="1" t="s">
        <v>21</v>
      </c>
      <c r="O256" s="1">
        <v>2.46849530067E11</v>
      </c>
    </row>
    <row r="257">
      <c r="A257" s="1">
        <v>2756950.0</v>
      </c>
      <c r="B257" s="1" t="s">
        <v>3798</v>
      </c>
      <c r="C257" s="1" t="b">
        <v>1</v>
      </c>
      <c r="D257" s="1" t="b">
        <v>1</v>
      </c>
      <c r="E257" s="1" t="s">
        <v>240</v>
      </c>
      <c r="F257" s="1" t="s">
        <v>213</v>
      </c>
      <c r="G257" s="2">
        <f>+251993973720</f>
        <v>251993973720</v>
      </c>
      <c r="H257" s="1" t="s">
        <v>18</v>
      </c>
      <c r="I257" s="1" t="s">
        <v>19</v>
      </c>
      <c r="J257" s="1" t="s">
        <v>19</v>
      </c>
      <c r="K257" s="1" t="s">
        <v>25</v>
      </c>
      <c r="L257" s="1">
        <v>21.44</v>
      </c>
      <c r="M257" s="1" t="s">
        <v>21</v>
      </c>
      <c r="O257" s="1">
        <v>2.46989972683E11</v>
      </c>
    </row>
    <row r="258">
      <c r="A258" s="1">
        <v>2757050.0</v>
      </c>
      <c r="B258" s="1" t="s">
        <v>3799</v>
      </c>
      <c r="C258" s="1" t="b">
        <v>1</v>
      </c>
      <c r="D258" s="1" t="b">
        <v>1</v>
      </c>
      <c r="E258" s="1" t="s">
        <v>767</v>
      </c>
      <c r="F258" s="1" t="s">
        <v>601</v>
      </c>
      <c r="G258" s="2">
        <f>+251968419209</f>
        <v>251968419209</v>
      </c>
      <c r="H258" s="1" t="s">
        <v>58</v>
      </c>
      <c r="I258" s="1" t="s">
        <v>19</v>
      </c>
      <c r="J258" s="1" t="s">
        <v>19</v>
      </c>
      <c r="K258" s="1" t="s">
        <v>25</v>
      </c>
      <c r="L258" s="1">
        <v>18.94</v>
      </c>
      <c r="M258" s="1" t="s">
        <v>21</v>
      </c>
      <c r="O258" s="1">
        <v>2.47009692864E11</v>
      </c>
    </row>
    <row r="259">
      <c r="A259" s="1">
        <v>2757355.0</v>
      </c>
      <c r="B259" s="1" t="s">
        <v>3800</v>
      </c>
      <c r="C259" s="1" t="b">
        <v>1</v>
      </c>
      <c r="D259" s="1" t="b">
        <v>1</v>
      </c>
      <c r="E259" s="1" t="s">
        <v>37</v>
      </c>
      <c r="F259" s="1" t="s">
        <v>1169</v>
      </c>
      <c r="G259" s="2">
        <f>+251913802868</f>
        <v>251913802868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29.3</v>
      </c>
      <c r="M259" s="1" t="s">
        <v>21</v>
      </c>
      <c r="O259" s="1">
        <v>1896042.0</v>
      </c>
    </row>
    <row r="260">
      <c r="A260" s="1">
        <v>2757511.0</v>
      </c>
      <c r="B260" s="1" t="s">
        <v>3801</v>
      </c>
      <c r="C260" s="1" t="b">
        <v>1</v>
      </c>
      <c r="D260" s="1" t="b">
        <v>1</v>
      </c>
      <c r="E260" s="1" t="s">
        <v>663</v>
      </c>
      <c r="F260" s="1" t="s">
        <v>3802</v>
      </c>
      <c r="G260" s="2">
        <f>+251966588954</f>
        <v>251966588954</v>
      </c>
      <c r="H260" s="1" t="s">
        <v>18</v>
      </c>
      <c r="I260" s="1" t="s">
        <v>19</v>
      </c>
      <c r="J260" s="1" t="s">
        <v>19</v>
      </c>
      <c r="K260" s="1" t="s">
        <v>25</v>
      </c>
      <c r="L260" s="1">
        <v>21.64</v>
      </c>
      <c r="M260" s="1" t="s">
        <v>21</v>
      </c>
      <c r="O260" s="1">
        <v>2.47072690387E11</v>
      </c>
    </row>
    <row r="261">
      <c r="A261" s="1">
        <v>2758009.0</v>
      </c>
      <c r="B261" s="1" t="s">
        <v>3803</v>
      </c>
      <c r="C261" s="1" t="b">
        <v>1</v>
      </c>
      <c r="D261" s="1" t="b">
        <v>1</v>
      </c>
      <c r="E261" s="1" t="s">
        <v>1109</v>
      </c>
      <c r="F261" s="1" t="s">
        <v>1008</v>
      </c>
      <c r="G261" s="2">
        <f>+251979066102</f>
        <v>251979066102</v>
      </c>
      <c r="H261" s="1" t="s">
        <v>18</v>
      </c>
      <c r="I261" s="1" t="s">
        <v>19</v>
      </c>
      <c r="J261" s="1" t="s">
        <v>498</v>
      </c>
      <c r="K261" s="1" t="s">
        <v>25</v>
      </c>
      <c r="L261" s="1">
        <v>30.61</v>
      </c>
      <c r="M261" s="1" t="s">
        <v>21</v>
      </c>
      <c r="O261" s="1">
        <v>2.47172021441E11</v>
      </c>
    </row>
    <row r="262">
      <c r="A262" s="1">
        <v>2758134.0</v>
      </c>
      <c r="B262" s="1" t="s">
        <v>3333</v>
      </c>
      <c r="C262" s="1" t="b">
        <v>1</v>
      </c>
      <c r="D262" s="1" t="b">
        <v>1</v>
      </c>
      <c r="E262" s="1" t="s">
        <v>188</v>
      </c>
      <c r="F262" s="1" t="s">
        <v>1444</v>
      </c>
      <c r="G262" s="2">
        <f>+251931977571</f>
        <v>251931977571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24.28</v>
      </c>
      <c r="M262" s="1" t="s">
        <v>33</v>
      </c>
      <c r="N262" s="1" t="s">
        <v>166</v>
      </c>
      <c r="O262" s="1">
        <v>2.4718464326E11</v>
      </c>
    </row>
    <row r="263">
      <c r="A263" s="1">
        <v>1660750.0</v>
      </c>
      <c r="B263" s="1" t="s">
        <v>3804</v>
      </c>
      <c r="C263" s="1" t="b">
        <v>1</v>
      </c>
      <c r="D263" s="1" t="b">
        <v>1</v>
      </c>
      <c r="E263" s="1" t="s">
        <v>3805</v>
      </c>
      <c r="F263" s="1" t="s">
        <v>3157</v>
      </c>
      <c r="G263" s="2">
        <f>+251913457685</f>
        <v>251913457685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34.33</v>
      </c>
      <c r="M263" s="1" t="s">
        <v>21</v>
      </c>
      <c r="O263" s="1">
        <v>2.1093062369E10</v>
      </c>
    </row>
    <row r="264">
      <c r="A264" s="1">
        <v>2758348.0</v>
      </c>
      <c r="B264" s="1" t="s">
        <v>3180</v>
      </c>
      <c r="C264" s="1" t="b">
        <v>1</v>
      </c>
      <c r="D264" s="1" t="b">
        <v>1</v>
      </c>
      <c r="E264" s="1" t="s">
        <v>3181</v>
      </c>
      <c r="F264" s="1" t="s">
        <v>3182</v>
      </c>
      <c r="G264" s="2">
        <f>+251948402148</f>
        <v>251948402148</v>
      </c>
      <c r="H264" s="1" t="s">
        <v>18</v>
      </c>
      <c r="I264" s="1" t="s">
        <v>19</v>
      </c>
      <c r="J264" s="1" t="s">
        <v>19</v>
      </c>
      <c r="K264" s="1" t="s">
        <v>25</v>
      </c>
      <c r="L264" s="1">
        <v>23.44</v>
      </c>
      <c r="M264" s="1" t="s">
        <v>26</v>
      </c>
      <c r="O264" s="1">
        <v>2.47263810792E11</v>
      </c>
    </row>
    <row r="265">
      <c r="A265" s="1">
        <v>2758408.0</v>
      </c>
      <c r="B265" s="1" t="s">
        <v>3806</v>
      </c>
      <c r="C265" s="1" t="b">
        <v>1</v>
      </c>
      <c r="D265" s="1" t="b">
        <v>1</v>
      </c>
      <c r="E265" s="1" t="s">
        <v>286</v>
      </c>
      <c r="F265" s="1" t="s">
        <v>1889</v>
      </c>
      <c r="G265" s="2">
        <f>+251973418174</f>
        <v>251973418174</v>
      </c>
      <c r="H265" s="1" t="s">
        <v>18</v>
      </c>
      <c r="I265" s="1" t="s">
        <v>19</v>
      </c>
      <c r="J265" s="1" t="s">
        <v>19</v>
      </c>
      <c r="K265" s="1" t="s">
        <v>25</v>
      </c>
      <c r="L265" s="1">
        <v>19.42</v>
      </c>
      <c r="M265" s="1" t="s">
        <v>21</v>
      </c>
      <c r="O265" s="1">
        <v>2.47328032999E11</v>
      </c>
    </row>
    <row r="266">
      <c r="A266" s="1">
        <v>2758561.0</v>
      </c>
      <c r="B266" s="1" t="s">
        <v>3807</v>
      </c>
      <c r="C266" s="1" t="b">
        <v>1</v>
      </c>
      <c r="D266" s="1" t="b">
        <v>1</v>
      </c>
      <c r="E266" s="1" t="s">
        <v>123</v>
      </c>
      <c r="F266" s="1" t="s">
        <v>862</v>
      </c>
      <c r="G266" s="2">
        <f>+251944070626</f>
        <v>251944070626</v>
      </c>
      <c r="H266" s="1" t="s">
        <v>18</v>
      </c>
      <c r="I266" s="1" t="s">
        <v>19</v>
      </c>
      <c r="J266" s="1" t="s">
        <v>19</v>
      </c>
      <c r="K266" s="1" t="s">
        <v>20</v>
      </c>
      <c r="L266" s="1">
        <v>20.91</v>
      </c>
      <c r="M266" s="1" t="s">
        <v>21</v>
      </c>
      <c r="O266" s="1">
        <v>2.47280105675E11</v>
      </c>
    </row>
    <row r="267">
      <c r="A267" s="1">
        <v>2759387.0</v>
      </c>
      <c r="B267" s="1" t="s">
        <v>3334</v>
      </c>
      <c r="C267" s="1" t="b">
        <v>0</v>
      </c>
      <c r="D267" s="1" t="b">
        <v>1</v>
      </c>
      <c r="E267" s="1" t="s">
        <v>108</v>
      </c>
      <c r="F267" s="1" t="s">
        <v>130</v>
      </c>
      <c r="G267" s="2">
        <f>+251925850466</f>
        <v>251925850466</v>
      </c>
      <c r="H267" s="1" t="s">
        <v>18</v>
      </c>
      <c r="I267" s="1" t="s">
        <v>19</v>
      </c>
      <c r="J267" s="1" t="s">
        <v>19</v>
      </c>
      <c r="K267" s="1" t="s">
        <v>25</v>
      </c>
      <c r="L267" s="1">
        <v>24.59</v>
      </c>
      <c r="M267" s="1" t="s">
        <v>33</v>
      </c>
      <c r="N267" s="1" t="s">
        <v>118</v>
      </c>
      <c r="O267" s="1">
        <v>2.47444136165E11</v>
      </c>
    </row>
    <row r="268">
      <c r="A268" s="1">
        <v>2760313.0</v>
      </c>
      <c r="B268" s="1" t="s">
        <v>3335</v>
      </c>
      <c r="C268" s="1" t="b">
        <v>1</v>
      </c>
      <c r="D268" s="1" t="b">
        <v>1</v>
      </c>
      <c r="E268" s="1" t="s">
        <v>420</v>
      </c>
      <c r="F268" s="1" t="s">
        <v>3336</v>
      </c>
      <c r="G268" s="2">
        <f>+251983476692</f>
        <v>251983476692</v>
      </c>
      <c r="H268" s="1" t="s">
        <v>488</v>
      </c>
      <c r="I268" s="1" t="s">
        <v>19</v>
      </c>
      <c r="J268" s="1" t="s">
        <v>19</v>
      </c>
      <c r="K268" s="1" t="s">
        <v>25</v>
      </c>
      <c r="L268" s="1">
        <v>23.51</v>
      </c>
      <c r="M268" s="1" t="s">
        <v>33</v>
      </c>
      <c r="N268" s="1" t="s">
        <v>34</v>
      </c>
    </row>
    <row r="269">
      <c r="A269" s="1">
        <v>2759202.0</v>
      </c>
      <c r="B269" s="1" t="s">
        <v>3808</v>
      </c>
      <c r="C269" s="1" t="b">
        <v>1</v>
      </c>
      <c r="D269" s="1" t="b">
        <v>1</v>
      </c>
      <c r="E269" s="1" t="s">
        <v>620</v>
      </c>
      <c r="F269" s="1" t="s">
        <v>3809</v>
      </c>
      <c r="G269" s="1">
        <v>9.94307834E8</v>
      </c>
      <c r="H269" s="1" t="s">
        <v>18</v>
      </c>
      <c r="I269" s="1" t="s">
        <v>19</v>
      </c>
      <c r="J269" s="1" t="s">
        <v>19</v>
      </c>
      <c r="K269" s="1" t="s">
        <v>25</v>
      </c>
      <c r="L269" s="1">
        <v>25.06</v>
      </c>
      <c r="M269" s="1" t="s">
        <v>21</v>
      </c>
      <c r="O269" s="1">
        <v>8849268.0</v>
      </c>
    </row>
    <row r="270">
      <c r="A270" s="1">
        <v>2760623.0</v>
      </c>
      <c r="B270" s="1" t="s">
        <v>3337</v>
      </c>
      <c r="C270" s="1" t="b">
        <v>1</v>
      </c>
      <c r="D270" s="1" t="b">
        <v>1</v>
      </c>
      <c r="E270" s="1" t="s">
        <v>1376</v>
      </c>
      <c r="F270" s="1" t="s">
        <v>2123</v>
      </c>
      <c r="G270" s="2">
        <f>+251982111638</f>
        <v>251982111638</v>
      </c>
      <c r="H270" s="1" t="s">
        <v>18</v>
      </c>
      <c r="I270" s="1" t="s">
        <v>19</v>
      </c>
      <c r="J270" s="1" t="s">
        <v>19</v>
      </c>
      <c r="K270" s="1" t="s">
        <v>25</v>
      </c>
      <c r="L270" s="1">
        <v>22.0</v>
      </c>
      <c r="M270" s="1" t="s">
        <v>33</v>
      </c>
      <c r="N270" s="1" t="s">
        <v>166</v>
      </c>
      <c r="O270" s="1">
        <v>2.47791914226E11</v>
      </c>
    </row>
    <row r="271">
      <c r="A271" s="1">
        <v>2723025.0</v>
      </c>
      <c r="B271" s="1" t="s">
        <v>3810</v>
      </c>
      <c r="C271" s="1" t="b">
        <v>1</v>
      </c>
      <c r="D271" s="1" t="b">
        <v>1</v>
      </c>
      <c r="E271" s="1" t="s">
        <v>3064</v>
      </c>
      <c r="F271" s="1" t="s">
        <v>1765</v>
      </c>
      <c r="G271" s="2">
        <f>+251965516413</f>
        <v>251965516413</v>
      </c>
      <c r="H271" s="1" t="s">
        <v>18</v>
      </c>
      <c r="I271" s="1" t="s">
        <v>19</v>
      </c>
      <c r="J271" s="1" t="s">
        <v>19</v>
      </c>
      <c r="K271" s="1" t="s">
        <v>20</v>
      </c>
      <c r="L271" s="1">
        <v>19.59</v>
      </c>
      <c r="M271" s="1" t="s">
        <v>21</v>
      </c>
      <c r="O271" s="1">
        <v>2.35619486969E11</v>
      </c>
    </row>
    <row r="272">
      <c r="A272" s="1">
        <v>2760841.0</v>
      </c>
      <c r="B272" s="1" t="s">
        <v>3811</v>
      </c>
      <c r="C272" s="1" t="b">
        <v>1</v>
      </c>
      <c r="D272" s="1" t="b">
        <v>1</v>
      </c>
      <c r="E272" s="1" t="s">
        <v>321</v>
      </c>
      <c r="F272" s="1" t="s">
        <v>437</v>
      </c>
      <c r="G272" s="2">
        <f>+251947426987</f>
        <v>251947426987</v>
      </c>
      <c r="H272" s="1" t="s">
        <v>18</v>
      </c>
      <c r="I272" s="1" t="s">
        <v>19</v>
      </c>
      <c r="J272" s="1" t="s">
        <v>19</v>
      </c>
      <c r="K272" s="1" t="s">
        <v>20</v>
      </c>
      <c r="L272" s="1">
        <v>22.72</v>
      </c>
      <c r="M272" s="1" t="s">
        <v>21</v>
      </c>
      <c r="O272" s="1">
        <v>2.47876853949E11</v>
      </c>
    </row>
    <row r="273">
      <c r="A273" s="1">
        <v>2760929.0</v>
      </c>
      <c r="B273" s="1" t="s">
        <v>3812</v>
      </c>
      <c r="C273" s="1" t="b">
        <v>1</v>
      </c>
      <c r="D273" s="1" t="b">
        <v>0</v>
      </c>
      <c r="E273" s="1" t="s">
        <v>3813</v>
      </c>
      <c r="F273" s="1" t="s">
        <v>1760</v>
      </c>
      <c r="G273" s="2">
        <f>+251953932209</f>
        <v>251953932209</v>
      </c>
      <c r="H273" s="1" t="s">
        <v>18</v>
      </c>
      <c r="I273" s="1" t="s">
        <v>19</v>
      </c>
      <c r="J273" s="1" t="s">
        <v>19</v>
      </c>
      <c r="K273" s="1" t="s">
        <v>20</v>
      </c>
      <c r="L273" s="1">
        <v>19.87</v>
      </c>
      <c r="M273" s="1" t="s">
        <v>21</v>
      </c>
      <c r="O273" s="1">
        <v>2.47899433154E11</v>
      </c>
    </row>
    <row r="274">
      <c r="A274" s="1">
        <v>2682022.0</v>
      </c>
      <c r="B274" s="1" t="s">
        <v>3814</v>
      </c>
      <c r="C274" s="1" t="b">
        <v>1</v>
      </c>
      <c r="D274" s="1" t="b">
        <v>1</v>
      </c>
      <c r="E274" s="1" t="s">
        <v>3815</v>
      </c>
      <c r="F274" s="1" t="s">
        <v>39</v>
      </c>
      <c r="G274" s="2">
        <f>+251922492122</f>
        <v>251922492122</v>
      </c>
      <c r="H274" s="1" t="s">
        <v>18</v>
      </c>
      <c r="I274" s="1" t="s">
        <v>19</v>
      </c>
      <c r="J274" s="1" t="s">
        <v>19</v>
      </c>
      <c r="K274" s="1" t="s">
        <v>25</v>
      </c>
      <c r="L274" s="1">
        <v>28.68</v>
      </c>
      <c r="M274" s="1" t="s">
        <v>21</v>
      </c>
      <c r="O274" s="1">
        <v>5490505.0</v>
      </c>
    </row>
    <row r="275">
      <c r="A275" s="1">
        <v>2761437.0</v>
      </c>
      <c r="B275" s="1" t="s">
        <v>3816</v>
      </c>
      <c r="C275" s="1" t="b">
        <v>1</v>
      </c>
      <c r="D275" s="1" t="b">
        <v>1</v>
      </c>
      <c r="E275" s="1" t="s">
        <v>3817</v>
      </c>
      <c r="F275" s="1" t="s">
        <v>3818</v>
      </c>
      <c r="G275" s="2">
        <f>+251900552601</f>
        <v>251900552601</v>
      </c>
      <c r="H275" s="1" t="s">
        <v>392</v>
      </c>
      <c r="I275" s="1" t="s">
        <v>19</v>
      </c>
      <c r="J275" s="1" t="s">
        <v>19</v>
      </c>
      <c r="K275" s="1" t="s">
        <v>25</v>
      </c>
      <c r="L275" s="1">
        <v>21.78</v>
      </c>
      <c r="M275" s="1" t="s">
        <v>21</v>
      </c>
      <c r="O275" s="1">
        <v>2.480860582E11</v>
      </c>
    </row>
    <row r="276">
      <c r="A276" s="1">
        <v>2761977.0</v>
      </c>
      <c r="B276" s="1" t="s">
        <v>3819</v>
      </c>
      <c r="C276" s="1" t="b">
        <v>1</v>
      </c>
      <c r="D276" s="1" t="b">
        <v>1</v>
      </c>
      <c r="E276" s="1" t="s">
        <v>3820</v>
      </c>
      <c r="F276" s="1" t="s">
        <v>121</v>
      </c>
      <c r="G276" s="2">
        <f>+251985849737</f>
        <v>251985849737</v>
      </c>
      <c r="H276" s="1" t="s">
        <v>18</v>
      </c>
      <c r="I276" s="1" t="s">
        <v>19</v>
      </c>
      <c r="J276" s="1" t="s">
        <v>19</v>
      </c>
      <c r="K276" s="1" t="s">
        <v>25</v>
      </c>
      <c r="L276" s="1">
        <v>27.18</v>
      </c>
      <c r="M276" s="1" t="s">
        <v>21</v>
      </c>
      <c r="O276" s="1">
        <v>2.48207151329E11</v>
      </c>
    </row>
    <row r="277">
      <c r="A277" s="1">
        <v>346376.0</v>
      </c>
      <c r="B277" s="1" t="s">
        <v>3821</v>
      </c>
      <c r="C277" s="1" t="b">
        <v>1</v>
      </c>
      <c r="D277" s="1" t="b">
        <v>1</v>
      </c>
      <c r="E277" s="1" t="s">
        <v>3822</v>
      </c>
      <c r="F277" s="1" t="s">
        <v>3823</v>
      </c>
      <c r="G277" s="2">
        <f>+251963528984</f>
        <v>251963528984</v>
      </c>
      <c r="H277" s="1" t="s">
        <v>335</v>
      </c>
      <c r="I277" s="1" t="s">
        <v>19</v>
      </c>
      <c r="J277" s="1" t="s">
        <v>19</v>
      </c>
      <c r="K277" s="1" t="s">
        <v>25</v>
      </c>
      <c r="L277" s="1">
        <v>24.98</v>
      </c>
      <c r="M277" s="1" t="s">
        <v>21</v>
      </c>
      <c r="O277" s="1">
        <v>2034024.0</v>
      </c>
    </row>
    <row r="278">
      <c r="A278" s="1">
        <v>2762841.0</v>
      </c>
      <c r="B278" s="1" t="s">
        <v>3338</v>
      </c>
      <c r="C278" s="1" t="b">
        <v>0</v>
      </c>
      <c r="D278" s="1" t="b">
        <v>1</v>
      </c>
      <c r="E278" s="1" t="s">
        <v>842</v>
      </c>
      <c r="F278" s="1" t="s">
        <v>3339</v>
      </c>
      <c r="G278" s="2">
        <f>+251974579330</f>
        <v>251974579330</v>
      </c>
      <c r="H278" s="1" t="s">
        <v>18</v>
      </c>
      <c r="I278" s="1" t="s">
        <v>19</v>
      </c>
      <c r="J278" s="1" t="s">
        <v>19</v>
      </c>
      <c r="K278" s="1" t="s">
        <v>25</v>
      </c>
      <c r="L278" s="1">
        <v>29.44</v>
      </c>
      <c r="M278" s="1" t="s">
        <v>33</v>
      </c>
      <c r="N278" s="1" t="s">
        <v>34</v>
      </c>
      <c r="O278" s="1">
        <v>2.48434390212E11</v>
      </c>
    </row>
    <row r="279">
      <c r="A279" s="1">
        <v>2762878.0</v>
      </c>
      <c r="B279" s="1" t="s">
        <v>3183</v>
      </c>
      <c r="C279" s="1" t="b">
        <v>0</v>
      </c>
      <c r="D279" s="1" t="b">
        <v>1</v>
      </c>
      <c r="E279" s="1" t="s">
        <v>3184</v>
      </c>
      <c r="F279" s="1" t="s">
        <v>3185</v>
      </c>
      <c r="G279" s="2">
        <f>+251946411234</f>
        <v>251946411234</v>
      </c>
      <c r="H279" s="1" t="s">
        <v>18</v>
      </c>
      <c r="I279" s="1" t="s">
        <v>19</v>
      </c>
      <c r="J279" s="1" t="s">
        <v>19</v>
      </c>
      <c r="K279" s="1" t="s">
        <v>20</v>
      </c>
      <c r="L279" s="1">
        <v>19.66</v>
      </c>
      <c r="M279" s="1" t="s">
        <v>26</v>
      </c>
      <c r="O279" s="1">
        <v>2.4843515208E11</v>
      </c>
    </row>
    <row r="280">
      <c r="A280" s="1">
        <v>32494.0</v>
      </c>
      <c r="B280" s="1" t="s">
        <v>3340</v>
      </c>
      <c r="C280" s="1" t="b">
        <v>1</v>
      </c>
      <c r="D280" s="1" t="b">
        <v>1</v>
      </c>
      <c r="E280" s="1" t="s">
        <v>3341</v>
      </c>
      <c r="F280" s="1" t="s">
        <v>3342</v>
      </c>
      <c r="G280" s="2">
        <f>+251926787122</f>
        <v>251926787122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30.23</v>
      </c>
      <c r="M280" s="1" t="s">
        <v>33</v>
      </c>
      <c r="N280" s="1" t="s">
        <v>118</v>
      </c>
      <c r="O280" s="1">
        <v>6421471.0</v>
      </c>
    </row>
    <row r="281">
      <c r="A281" s="1">
        <v>2765171.0</v>
      </c>
      <c r="B281" s="1" t="s">
        <v>3186</v>
      </c>
      <c r="C281" s="1" t="b">
        <v>1</v>
      </c>
      <c r="D281" s="1" t="b">
        <v>1</v>
      </c>
      <c r="E281" s="1" t="s">
        <v>3187</v>
      </c>
      <c r="F281" s="1" t="s">
        <v>3188</v>
      </c>
      <c r="G281" s="2">
        <f>+251967268991</f>
        <v>251967268991</v>
      </c>
      <c r="H281" s="1" t="s">
        <v>18</v>
      </c>
      <c r="I281" s="1" t="s">
        <v>19</v>
      </c>
      <c r="J281" s="1" t="s">
        <v>19</v>
      </c>
      <c r="K281" s="1" t="s">
        <v>20</v>
      </c>
      <c r="L281" s="1">
        <v>19.87</v>
      </c>
      <c r="M281" s="1" t="s">
        <v>26</v>
      </c>
      <c r="O281" s="1">
        <v>2.4918414049E11</v>
      </c>
    </row>
    <row r="282">
      <c r="A282" s="1">
        <v>2767886.0</v>
      </c>
      <c r="B282" s="1" t="s">
        <v>3824</v>
      </c>
      <c r="C282" s="1" t="b">
        <v>1</v>
      </c>
      <c r="D282" s="1" t="b">
        <v>1</v>
      </c>
      <c r="E282" s="1" t="s">
        <v>2696</v>
      </c>
      <c r="F282" s="1" t="s">
        <v>108</v>
      </c>
      <c r="G282" s="2">
        <f>+251926996635</f>
        <v>251926996635</v>
      </c>
      <c r="H282" s="1" t="s">
        <v>18</v>
      </c>
      <c r="I282" s="1" t="s">
        <v>19</v>
      </c>
      <c r="J282" s="1" t="s">
        <v>19</v>
      </c>
      <c r="K282" s="1" t="s">
        <v>25</v>
      </c>
      <c r="L282" s="1">
        <v>30.86</v>
      </c>
      <c r="M282" s="1" t="s">
        <v>21</v>
      </c>
      <c r="O282" s="1">
        <v>2.49928564982E11</v>
      </c>
    </row>
    <row r="283">
      <c r="A283" s="1">
        <v>1926405.0</v>
      </c>
      <c r="B283" s="1" t="s">
        <v>3825</v>
      </c>
      <c r="C283" s="1" t="b">
        <v>1</v>
      </c>
      <c r="D283" s="1" t="b">
        <v>1</v>
      </c>
      <c r="E283" s="1" t="s">
        <v>67</v>
      </c>
      <c r="F283" s="1" t="s">
        <v>2159</v>
      </c>
      <c r="G283" s="2">
        <f>+251910244313</f>
        <v>251910244313</v>
      </c>
      <c r="H283" s="1" t="s">
        <v>93</v>
      </c>
      <c r="I283" s="1" t="s">
        <v>19</v>
      </c>
      <c r="J283" s="1" t="s">
        <v>19</v>
      </c>
      <c r="K283" s="1" t="s">
        <v>25</v>
      </c>
      <c r="L283" s="1">
        <v>32.57</v>
      </c>
      <c r="M283" s="1" t="s">
        <v>21</v>
      </c>
      <c r="O283" s="1">
        <v>28817.0</v>
      </c>
    </row>
    <row r="284">
      <c r="A284" s="1">
        <v>2768618.0</v>
      </c>
      <c r="B284" s="1" t="s">
        <v>3826</v>
      </c>
      <c r="C284" s="1" t="b">
        <v>1</v>
      </c>
      <c r="D284" s="1" t="b">
        <v>1</v>
      </c>
      <c r="E284" s="1" t="s">
        <v>3827</v>
      </c>
      <c r="F284" s="1" t="s">
        <v>292</v>
      </c>
      <c r="G284" s="2">
        <f>+251978278899</f>
        <v>251978278899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34.36</v>
      </c>
      <c r="M284" s="1" t="s">
        <v>21</v>
      </c>
      <c r="O284" s="1">
        <v>2.50171495623E11</v>
      </c>
    </row>
    <row r="285">
      <c r="A285" s="1">
        <v>2769611.0</v>
      </c>
      <c r="B285" s="1" t="s">
        <v>3828</v>
      </c>
      <c r="C285" s="1" t="b">
        <v>1</v>
      </c>
      <c r="D285" s="1" t="b">
        <v>1</v>
      </c>
      <c r="E285" s="1" t="s">
        <v>264</v>
      </c>
      <c r="F285" s="1" t="s">
        <v>3829</v>
      </c>
      <c r="G285" s="2">
        <f>+251927266281</f>
        <v>251927266281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22.68</v>
      </c>
      <c r="M285" s="1" t="s">
        <v>21</v>
      </c>
      <c r="O285" s="1">
        <v>2.50460870905E11</v>
      </c>
    </row>
    <row r="286">
      <c r="A286" s="1">
        <v>2771280.0</v>
      </c>
      <c r="B286" s="1" t="s">
        <v>3830</v>
      </c>
      <c r="C286" s="1" t="b">
        <v>1</v>
      </c>
      <c r="D286" s="1" t="b">
        <v>1</v>
      </c>
      <c r="E286" s="1" t="s">
        <v>758</v>
      </c>
      <c r="F286" s="1" t="s">
        <v>764</v>
      </c>
      <c r="G286" s="2">
        <f>+251943183437</f>
        <v>251943183437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31.52</v>
      </c>
      <c r="M286" s="1" t="s">
        <v>21</v>
      </c>
      <c r="O286" s="1">
        <v>8763782.0</v>
      </c>
    </row>
    <row r="287">
      <c r="A287" s="1">
        <v>2528147.0</v>
      </c>
      <c r="B287" s="1" t="s">
        <v>3831</v>
      </c>
      <c r="C287" s="1" t="b">
        <v>1</v>
      </c>
      <c r="D287" s="1" t="b">
        <v>1</v>
      </c>
      <c r="E287" s="1" t="s">
        <v>3832</v>
      </c>
      <c r="F287" s="1" t="s">
        <v>417</v>
      </c>
      <c r="G287" s="2">
        <f>+251904157173</f>
        <v>251904157173</v>
      </c>
      <c r="H287" s="1" t="s">
        <v>18</v>
      </c>
      <c r="I287" s="1" t="s">
        <v>19</v>
      </c>
      <c r="J287" s="1" t="s">
        <v>19</v>
      </c>
      <c r="K287" s="1" t="s">
        <v>25</v>
      </c>
      <c r="L287" s="1">
        <v>20.87</v>
      </c>
      <c r="M287" s="1" t="s">
        <v>21</v>
      </c>
      <c r="O287" s="1">
        <v>4.2061685447E10</v>
      </c>
    </row>
    <row r="288">
      <c r="A288" s="1">
        <v>2772041.0</v>
      </c>
      <c r="B288" s="1" t="s">
        <v>3343</v>
      </c>
      <c r="C288" s="1" t="b">
        <v>1</v>
      </c>
      <c r="D288" s="1" t="b">
        <v>1</v>
      </c>
      <c r="E288" s="1" t="s">
        <v>1069</v>
      </c>
      <c r="F288" s="1" t="s">
        <v>255</v>
      </c>
      <c r="G288" s="2">
        <f t="shared" ref="G288:G289" si="2">+251923092408</f>
        <v>251923092408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27.63</v>
      </c>
      <c r="M288" s="1" t="s">
        <v>33</v>
      </c>
      <c r="N288" s="1" t="s">
        <v>166</v>
      </c>
      <c r="O288" s="1">
        <v>1221485.0</v>
      </c>
    </row>
    <row r="289">
      <c r="A289" s="1">
        <v>1399813.0</v>
      </c>
      <c r="B289" s="1" t="s">
        <v>3833</v>
      </c>
      <c r="C289" s="1" t="b">
        <v>1</v>
      </c>
      <c r="D289" s="1" t="b">
        <v>1</v>
      </c>
      <c r="E289" s="1" t="s">
        <v>1069</v>
      </c>
      <c r="F289" s="1" t="s">
        <v>620</v>
      </c>
      <c r="G289" s="2">
        <f t="shared" si="2"/>
        <v>251923092408</v>
      </c>
      <c r="H289" s="1" t="s">
        <v>18</v>
      </c>
      <c r="I289" s="1" t="s">
        <v>19</v>
      </c>
      <c r="J289" s="1" t="s">
        <v>19</v>
      </c>
      <c r="K289" s="1" t="s">
        <v>25</v>
      </c>
      <c r="L289" s="1">
        <v>27.63</v>
      </c>
      <c r="M289" s="1" t="s">
        <v>21</v>
      </c>
      <c r="O289" s="1">
        <v>2.534798E7</v>
      </c>
    </row>
    <row r="290">
      <c r="A290" s="1">
        <v>2646219.0</v>
      </c>
      <c r="B290" s="1" t="s">
        <v>3834</v>
      </c>
      <c r="C290" s="1" t="b">
        <v>1</v>
      </c>
      <c r="D290" s="1" t="b">
        <v>1</v>
      </c>
      <c r="E290" s="1" t="s">
        <v>3459</v>
      </c>
      <c r="F290" s="1" t="s">
        <v>361</v>
      </c>
      <c r="G290" s="2">
        <f>+251995468524</f>
        <v>251995468524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19.07</v>
      </c>
      <c r="M290" s="1" t="s">
        <v>21</v>
      </c>
    </row>
    <row r="291">
      <c r="A291" s="1">
        <v>338746.0</v>
      </c>
      <c r="B291" s="1" t="s">
        <v>3835</v>
      </c>
      <c r="C291" s="1" t="b">
        <v>1</v>
      </c>
      <c r="D291" s="1" t="b">
        <v>1</v>
      </c>
      <c r="E291" s="1" t="s">
        <v>1407</v>
      </c>
      <c r="F291" s="1" t="s">
        <v>3836</v>
      </c>
      <c r="G291" s="2">
        <f>+251913122741</f>
        <v>251913122741</v>
      </c>
      <c r="H291" s="1" t="s">
        <v>18</v>
      </c>
      <c r="I291" s="1" t="s">
        <v>19</v>
      </c>
      <c r="J291" s="1" t="s">
        <v>19</v>
      </c>
      <c r="K291" s="1" t="s">
        <v>25</v>
      </c>
      <c r="L291" s="1">
        <v>37.1</v>
      </c>
      <c r="M291" s="1" t="s">
        <v>21</v>
      </c>
      <c r="O291" s="1">
        <v>806199.0</v>
      </c>
    </row>
    <row r="292">
      <c r="A292" s="1">
        <v>2772856.0</v>
      </c>
      <c r="B292" s="1" t="s">
        <v>3837</v>
      </c>
      <c r="C292" s="1" t="b">
        <v>1</v>
      </c>
      <c r="D292" s="1" t="b">
        <v>1</v>
      </c>
      <c r="E292" s="1" t="s">
        <v>333</v>
      </c>
      <c r="F292" s="1" t="s">
        <v>3838</v>
      </c>
      <c r="G292" s="2">
        <f>+251991604266</f>
        <v>251991604266</v>
      </c>
      <c r="H292" s="1" t="s">
        <v>18</v>
      </c>
      <c r="I292" s="1" t="s">
        <v>19</v>
      </c>
      <c r="J292" s="1" t="s">
        <v>19</v>
      </c>
      <c r="K292" s="1" t="s">
        <v>25</v>
      </c>
      <c r="L292" s="1">
        <v>21.6</v>
      </c>
      <c r="M292" s="1" t="s">
        <v>21</v>
      </c>
      <c r="O292" s="1">
        <v>3.0714503623E10</v>
      </c>
    </row>
    <row r="293">
      <c r="A293" s="1">
        <v>1678866.0</v>
      </c>
      <c r="B293" s="1" t="s">
        <v>3839</v>
      </c>
      <c r="C293" s="1" t="b">
        <v>1</v>
      </c>
      <c r="D293" s="1" t="b">
        <v>1</v>
      </c>
      <c r="E293" s="1" t="s">
        <v>3840</v>
      </c>
      <c r="F293" s="1" t="s">
        <v>189</v>
      </c>
      <c r="G293" s="2">
        <f>+251928681830</f>
        <v>251928681830</v>
      </c>
      <c r="H293" s="1" t="s">
        <v>72</v>
      </c>
      <c r="I293" s="1" t="s">
        <v>19</v>
      </c>
      <c r="J293" s="1" t="s">
        <v>19</v>
      </c>
      <c r="K293" s="1" t="s">
        <v>20</v>
      </c>
      <c r="L293" s="1">
        <v>23.17</v>
      </c>
      <c r="M293" s="1" t="s">
        <v>21</v>
      </c>
      <c r="O293" s="1">
        <v>1320176.0</v>
      </c>
    </row>
    <row r="294">
      <c r="A294" s="1">
        <v>2774010.0</v>
      </c>
      <c r="B294" s="1" t="s">
        <v>3841</v>
      </c>
      <c r="C294" s="1" t="b">
        <v>1</v>
      </c>
      <c r="D294" s="1" t="b">
        <v>1</v>
      </c>
      <c r="E294" s="1" t="s">
        <v>250</v>
      </c>
      <c r="F294" s="1" t="s">
        <v>3842</v>
      </c>
      <c r="G294" s="2">
        <f>+251906355877</f>
        <v>251906355877</v>
      </c>
      <c r="H294" s="1" t="s">
        <v>18</v>
      </c>
      <c r="I294" s="1" t="s">
        <v>19</v>
      </c>
      <c r="J294" s="1" t="s">
        <v>19</v>
      </c>
      <c r="K294" s="1" t="s">
        <v>25</v>
      </c>
      <c r="L294" s="1">
        <v>39.97</v>
      </c>
      <c r="M294" s="1" t="s">
        <v>21</v>
      </c>
      <c r="O294" s="1">
        <v>2.52317700302E11</v>
      </c>
    </row>
    <row r="295">
      <c r="A295" s="1">
        <v>2774485.0</v>
      </c>
      <c r="B295" s="1" t="s">
        <v>3189</v>
      </c>
      <c r="C295" s="1" t="b">
        <v>1</v>
      </c>
      <c r="D295" s="1" t="b">
        <v>1</v>
      </c>
      <c r="E295" s="1" t="s">
        <v>528</v>
      </c>
      <c r="F295" s="1" t="s">
        <v>3190</v>
      </c>
      <c r="G295" s="2">
        <f>+251912139895</f>
        <v>251912139895</v>
      </c>
      <c r="H295" s="1" t="s">
        <v>58</v>
      </c>
      <c r="I295" s="1" t="s">
        <v>19</v>
      </c>
      <c r="J295" s="1" t="s">
        <v>19</v>
      </c>
      <c r="K295" s="1" t="s">
        <v>25</v>
      </c>
      <c r="L295" s="1">
        <v>38.04</v>
      </c>
      <c r="M295" s="1" t="s">
        <v>26</v>
      </c>
      <c r="O295" s="1">
        <v>2.52493699276E11</v>
      </c>
    </row>
    <row r="296">
      <c r="A296" s="1">
        <v>2774555.0</v>
      </c>
      <c r="B296" s="1" t="s">
        <v>3344</v>
      </c>
      <c r="C296" s="1" t="b">
        <v>1</v>
      </c>
      <c r="D296" s="1" t="b">
        <v>1</v>
      </c>
      <c r="E296" s="1" t="s">
        <v>3345</v>
      </c>
      <c r="F296" s="1" t="s">
        <v>3346</v>
      </c>
      <c r="G296" s="2">
        <f>+251938646240</f>
        <v>251938646240</v>
      </c>
      <c r="H296" s="1" t="s">
        <v>18</v>
      </c>
      <c r="I296" s="1" t="s">
        <v>19</v>
      </c>
      <c r="J296" s="1" t="s">
        <v>19</v>
      </c>
      <c r="K296" s="1" t="s">
        <v>20</v>
      </c>
      <c r="L296" s="1">
        <v>22.63</v>
      </c>
      <c r="M296" s="1" t="s">
        <v>33</v>
      </c>
      <c r="N296" s="1" t="s">
        <v>34</v>
      </c>
    </row>
    <row r="297">
      <c r="A297" s="1">
        <v>2775034.0</v>
      </c>
      <c r="B297" s="1" t="s">
        <v>3843</v>
      </c>
      <c r="C297" s="1" t="b">
        <v>1</v>
      </c>
      <c r="D297" s="1" t="b">
        <v>1</v>
      </c>
      <c r="E297" s="1" t="s">
        <v>3844</v>
      </c>
      <c r="F297" s="1" t="s">
        <v>3845</v>
      </c>
      <c r="G297" s="2">
        <f>+251929297038</f>
        <v>251929297038</v>
      </c>
      <c r="H297" s="1" t="s">
        <v>18</v>
      </c>
      <c r="I297" s="1" t="s">
        <v>19</v>
      </c>
      <c r="J297" s="1" t="s">
        <v>19</v>
      </c>
      <c r="K297" s="1" t="s">
        <v>25</v>
      </c>
      <c r="L297" s="1">
        <v>52.56</v>
      </c>
      <c r="M297" s="1" t="s">
        <v>21</v>
      </c>
    </row>
    <row r="298">
      <c r="A298" s="1">
        <v>485797.0</v>
      </c>
      <c r="B298" s="1" t="s">
        <v>3347</v>
      </c>
      <c r="C298" s="1" t="b">
        <v>1</v>
      </c>
      <c r="D298" s="1" t="b">
        <v>1</v>
      </c>
      <c r="E298" s="1" t="s">
        <v>948</v>
      </c>
      <c r="F298" s="1" t="s">
        <v>618</v>
      </c>
      <c r="G298" s="2">
        <f>+251979075074</f>
        <v>251979075074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20.41</v>
      </c>
      <c r="M298" s="1" t="s">
        <v>33</v>
      </c>
      <c r="N298" s="1" t="s">
        <v>65</v>
      </c>
      <c r="O298" s="1">
        <v>1.1811666E7</v>
      </c>
    </row>
    <row r="299">
      <c r="A299" s="1">
        <v>2775158.0</v>
      </c>
      <c r="B299" s="1" t="s">
        <v>3846</v>
      </c>
      <c r="C299" s="1" t="b">
        <v>1</v>
      </c>
      <c r="D299" s="1" t="b">
        <v>1</v>
      </c>
      <c r="E299" s="1" t="s">
        <v>3847</v>
      </c>
      <c r="F299" s="1" t="s">
        <v>470</v>
      </c>
      <c r="G299" s="2">
        <f>+251911134762</f>
        <v>251911134762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52.28</v>
      </c>
      <c r="M299" s="1" t="s">
        <v>21</v>
      </c>
    </row>
    <row r="300">
      <c r="A300" s="1">
        <v>2775700.0</v>
      </c>
      <c r="B300" s="1" t="s">
        <v>3348</v>
      </c>
      <c r="C300" s="1" t="b">
        <v>1</v>
      </c>
      <c r="D300" s="1" t="b">
        <v>1</v>
      </c>
      <c r="E300" s="1" t="s">
        <v>113</v>
      </c>
      <c r="F300" s="1" t="s">
        <v>3349</v>
      </c>
      <c r="G300" s="2">
        <f>+251914260633</f>
        <v>251914260633</v>
      </c>
      <c r="H300" s="1" t="s">
        <v>18</v>
      </c>
      <c r="I300" s="1" t="s">
        <v>19</v>
      </c>
      <c r="J300" s="1" t="s">
        <v>19</v>
      </c>
      <c r="K300" s="1" t="s">
        <v>20</v>
      </c>
      <c r="L300" s="1">
        <v>20.72</v>
      </c>
      <c r="M300" s="1" t="s">
        <v>33</v>
      </c>
      <c r="N300" s="1" t="s">
        <v>34</v>
      </c>
      <c r="O300" s="1">
        <v>2.52935756025E11</v>
      </c>
    </row>
    <row r="301">
      <c r="A301" s="1">
        <v>1175627.0</v>
      </c>
      <c r="B301" s="1" t="s">
        <v>3848</v>
      </c>
      <c r="C301" s="1" t="b">
        <v>1</v>
      </c>
      <c r="D301" s="1" t="b">
        <v>1</v>
      </c>
      <c r="E301" s="1" t="s">
        <v>60</v>
      </c>
      <c r="F301" s="1" t="s">
        <v>2105</v>
      </c>
      <c r="G301" s="2">
        <f>+251940546769</f>
        <v>251940546769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21.75</v>
      </c>
      <c r="M301" s="1" t="s">
        <v>21</v>
      </c>
      <c r="O301" s="1">
        <v>8.268284092E9</v>
      </c>
    </row>
    <row r="302">
      <c r="A302" s="1">
        <v>2776039.0</v>
      </c>
      <c r="B302" s="1" t="s">
        <v>3191</v>
      </c>
      <c r="C302" s="1" t="b">
        <v>0</v>
      </c>
      <c r="D302" s="1" t="b">
        <v>1</v>
      </c>
      <c r="E302" s="1" t="s">
        <v>3192</v>
      </c>
      <c r="F302" s="1" t="s">
        <v>1649</v>
      </c>
      <c r="G302" s="2">
        <f>+251968757440</f>
        <v>251968757440</v>
      </c>
      <c r="H302" s="1" t="s">
        <v>18</v>
      </c>
      <c r="I302" s="1" t="s">
        <v>19</v>
      </c>
      <c r="J302" s="1" t="s">
        <v>19</v>
      </c>
      <c r="K302" s="1" t="s">
        <v>20</v>
      </c>
      <c r="L302" s="1">
        <v>24.66</v>
      </c>
      <c r="M302" s="1" t="s">
        <v>26</v>
      </c>
      <c r="O302" s="1">
        <v>2.53266988224E11</v>
      </c>
    </row>
    <row r="303">
      <c r="A303" s="1">
        <v>2776310.0</v>
      </c>
      <c r="B303" s="1" t="s">
        <v>3849</v>
      </c>
      <c r="C303" s="1" t="b">
        <v>1</v>
      </c>
      <c r="D303" s="1" t="b">
        <v>1</v>
      </c>
      <c r="E303" s="1" t="s">
        <v>548</v>
      </c>
      <c r="F303" s="1" t="s">
        <v>3850</v>
      </c>
      <c r="G303" s="2">
        <f>+251912289722</f>
        <v>251912289722</v>
      </c>
      <c r="H303" s="1" t="s">
        <v>18</v>
      </c>
      <c r="I303" s="1" t="s">
        <v>19</v>
      </c>
      <c r="J303" s="1" t="s">
        <v>19</v>
      </c>
      <c r="K303" s="1" t="s">
        <v>25</v>
      </c>
      <c r="L303" s="1">
        <v>38.17</v>
      </c>
      <c r="M303" s="1" t="s">
        <v>21</v>
      </c>
      <c r="O303" s="1">
        <v>1225168.0</v>
      </c>
    </row>
    <row r="304">
      <c r="A304" s="1">
        <v>1959116.0</v>
      </c>
      <c r="B304" s="1" t="s">
        <v>3350</v>
      </c>
      <c r="C304" s="1" t="b">
        <v>1</v>
      </c>
      <c r="D304" s="1" t="b">
        <v>1</v>
      </c>
      <c r="E304" s="1" t="s">
        <v>3351</v>
      </c>
      <c r="F304" s="1" t="s">
        <v>402</v>
      </c>
      <c r="G304" s="2">
        <f>+1251928413053</f>
        <v>1251928413053</v>
      </c>
      <c r="H304" s="1" t="s">
        <v>18</v>
      </c>
      <c r="I304" s="1" t="s">
        <v>19</v>
      </c>
      <c r="J304" s="1" t="s">
        <v>19</v>
      </c>
      <c r="K304" s="1" t="s">
        <v>20</v>
      </c>
      <c r="L304" s="1">
        <v>23.16</v>
      </c>
      <c r="M304" s="1" t="s">
        <v>33</v>
      </c>
      <c r="N304" s="1" t="s">
        <v>65</v>
      </c>
      <c r="O304" s="1">
        <v>2.7674788826E10</v>
      </c>
    </row>
    <row r="305">
      <c r="A305" s="1">
        <v>2519967.0</v>
      </c>
      <c r="B305" s="1" t="s">
        <v>3851</v>
      </c>
      <c r="C305" s="1" t="b">
        <v>1</v>
      </c>
      <c r="D305" s="1" t="b">
        <v>1</v>
      </c>
      <c r="E305" s="1" t="s">
        <v>483</v>
      </c>
      <c r="F305" s="1" t="s">
        <v>360</v>
      </c>
      <c r="G305" s="1">
        <v>9.44082304E8</v>
      </c>
      <c r="H305" s="1" t="s">
        <v>18</v>
      </c>
      <c r="I305" s="1" t="s">
        <v>19</v>
      </c>
      <c r="J305" s="1" t="s">
        <v>19</v>
      </c>
      <c r="K305" s="1" t="s">
        <v>20</v>
      </c>
      <c r="L305" s="1">
        <v>22.68</v>
      </c>
      <c r="M305" s="1" t="s">
        <v>21</v>
      </c>
      <c r="O305" s="1">
        <v>527304.0</v>
      </c>
    </row>
    <row r="306">
      <c r="A306" s="1">
        <v>2413012.0</v>
      </c>
      <c r="B306" s="1" t="s">
        <v>3352</v>
      </c>
      <c r="C306" s="1" t="b">
        <v>1</v>
      </c>
      <c r="D306" s="1" t="b">
        <v>1</v>
      </c>
      <c r="E306" s="1" t="s">
        <v>588</v>
      </c>
      <c r="F306" s="1" t="s">
        <v>500</v>
      </c>
      <c r="G306" s="2">
        <f>+251991884388</f>
        <v>251991884388</v>
      </c>
      <c r="H306" s="1" t="s">
        <v>18</v>
      </c>
      <c r="I306" s="1" t="s">
        <v>19</v>
      </c>
      <c r="J306" s="1" t="s">
        <v>19</v>
      </c>
      <c r="K306" s="1" t="s">
        <v>20</v>
      </c>
      <c r="L306" s="1">
        <v>22.53</v>
      </c>
      <c r="M306" s="1" t="s">
        <v>33</v>
      </c>
      <c r="N306" s="1" t="s">
        <v>177</v>
      </c>
      <c r="O306" s="1">
        <v>810202.0</v>
      </c>
    </row>
    <row r="307">
      <c r="A307" s="1">
        <v>2778140.0</v>
      </c>
      <c r="B307" s="1" t="s">
        <v>3852</v>
      </c>
      <c r="C307" s="1" t="b">
        <v>1</v>
      </c>
      <c r="D307" s="1" t="b">
        <v>1</v>
      </c>
      <c r="E307" s="1" t="s">
        <v>3853</v>
      </c>
      <c r="F307" s="1" t="s">
        <v>108</v>
      </c>
      <c r="G307" s="2">
        <f>+251926996635</f>
        <v>251926996635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30.86</v>
      </c>
      <c r="M307" s="1" t="s">
        <v>21</v>
      </c>
      <c r="O307" s="1">
        <v>2.47907013871E11</v>
      </c>
    </row>
    <row r="308">
      <c r="A308" s="1">
        <v>2778383.0</v>
      </c>
      <c r="B308" s="1" t="s">
        <v>3854</v>
      </c>
      <c r="C308" s="1" t="b">
        <v>1</v>
      </c>
      <c r="D308" s="1" t="b">
        <v>1</v>
      </c>
      <c r="E308" s="1" t="s">
        <v>521</v>
      </c>
      <c r="F308" s="1" t="s">
        <v>365</v>
      </c>
      <c r="G308" s="2">
        <f>+251945033060</f>
        <v>251945033060</v>
      </c>
      <c r="H308" s="1" t="s">
        <v>572</v>
      </c>
      <c r="I308" s="1" t="s">
        <v>19</v>
      </c>
      <c r="J308" s="1" t="s">
        <v>19</v>
      </c>
      <c r="K308" s="1" t="s">
        <v>25</v>
      </c>
      <c r="L308" s="1">
        <v>38.47</v>
      </c>
      <c r="M308" s="1" t="s">
        <v>21</v>
      </c>
      <c r="O308" s="1">
        <v>1878524.0</v>
      </c>
    </row>
    <row r="309">
      <c r="A309" s="1">
        <v>2779230.0</v>
      </c>
      <c r="B309" s="1" t="s">
        <v>3855</v>
      </c>
      <c r="C309" s="1" t="b">
        <v>1</v>
      </c>
      <c r="D309" s="1" t="b">
        <v>1</v>
      </c>
      <c r="E309" s="1" t="s">
        <v>3856</v>
      </c>
      <c r="F309" s="1" t="s">
        <v>3857</v>
      </c>
      <c r="G309" s="2">
        <f>+251913602260</f>
        <v>251913602260</v>
      </c>
      <c r="H309" s="1" t="s">
        <v>18</v>
      </c>
      <c r="I309" s="1" t="s">
        <v>19</v>
      </c>
      <c r="J309" s="1" t="s">
        <v>19</v>
      </c>
      <c r="K309" s="1" t="s">
        <v>20</v>
      </c>
      <c r="L309" s="1">
        <v>34.45</v>
      </c>
      <c r="M309" s="1" t="s">
        <v>21</v>
      </c>
      <c r="O309" s="1">
        <v>2.54413658356E11</v>
      </c>
    </row>
    <row r="310">
      <c r="A310" s="1">
        <v>2779256.0</v>
      </c>
      <c r="B310" s="1" t="s">
        <v>3193</v>
      </c>
      <c r="C310" s="1" t="b">
        <v>1</v>
      </c>
      <c r="D310" s="1" t="b">
        <v>1</v>
      </c>
      <c r="E310" s="1" t="s">
        <v>510</v>
      </c>
      <c r="F310" s="1" t="s">
        <v>189</v>
      </c>
      <c r="G310" s="2">
        <f>+251938408915</f>
        <v>251938408915</v>
      </c>
      <c r="H310" s="1" t="s">
        <v>18</v>
      </c>
      <c r="I310" s="1" t="s">
        <v>19</v>
      </c>
      <c r="J310" s="1" t="s">
        <v>19</v>
      </c>
      <c r="K310" s="1" t="s">
        <v>25</v>
      </c>
      <c r="L310" s="1">
        <v>30.75</v>
      </c>
      <c r="M310" s="1" t="s">
        <v>26</v>
      </c>
      <c r="O310" s="1">
        <v>2.54413992147E11</v>
      </c>
    </row>
    <row r="311">
      <c r="A311" s="1">
        <v>2719420.0</v>
      </c>
      <c r="B311" s="1" t="s">
        <v>3858</v>
      </c>
      <c r="C311" s="1" t="b">
        <v>1</v>
      </c>
      <c r="D311" s="1" t="b">
        <v>1</v>
      </c>
      <c r="E311" s="1" t="s">
        <v>503</v>
      </c>
      <c r="F311" s="1" t="s">
        <v>1435</v>
      </c>
      <c r="G311" s="2">
        <f>+251923100000</f>
        <v>251923100000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27.89</v>
      </c>
      <c r="M311" s="1" t="s">
        <v>21</v>
      </c>
      <c r="O311" s="1">
        <v>2.3500349054E11</v>
      </c>
    </row>
    <row r="312">
      <c r="A312" s="1">
        <v>2781798.0</v>
      </c>
      <c r="B312" s="1" t="s">
        <v>3859</v>
      </c>
      <c r="C312" s="1" t="b">
        <v>1</v>
      </c>
      <c r="D312" s="1" t="b">
        <v>1</v>
      </c>
      <c r="E312" s="1" t="s">
        <v>646</v>
      </c>
      <c r="F312" s="1" t="s">
        <v>3860</v>
      </c>
      <c r="G312" s="2">
        <f>+251904117053</f>
        <v>251904117053</v>
      </c>
      <c r="H312" s="1" t="s">
        <v>18</v>
      </c>
      <c r="I312" s="1" t="s">
        <v>19</v>
      </c>
      <c r="J312" s="1" t="s">
        <v>19</v>
      </c>
      <c r="K312" s="1" t="s">
        <v>20</v>
      </c>
      <c r="L312" s="1">
        <v>27.75</v>
      </c>
      <c r="M312" s="1" t="s">
        <v>21</v>
      </c>
      <c r="O312" s="1">
        <v>2.55102691541E11</v>
      </c>
    </row>
    <row r="313">
      <c r="A313" s="1">
        <v>2782123.0</v>
      </c>
      <c r="B313" s="1" t="s">
        <v>3861</v>
      </c>
      <c r="C313" s="1" t="b">
        <v>1</v>
      </c>
      <c r="D313" s="1" t="b">
        <v>1</v>
      </c>
      <c r="E313" s="1" t="s">
        <v>3862</v>
      </c>
      <c r="F313" s="1" t="s">
        <v>3863</v>
      </c>
      <c r="G313" s="2">
        <f>+2910946224454</f>
        <v>2910946224454</v>
      </c>
      <c r="H313" s="1" t="s">
        <v>72</v>
      </c>
      <c r="I313" s="1" t="s">
        <v>19</v>
      </c>
      <c r="J313" s="1" t="s">
        <v>19</v>
      </c>
      <c r="K313" s="1" t="s">
        <v>25</v>
      </c>
      <c r="L313" s="1">
        <v>22.77</v>
      </c>
      <c r="M313" s="1" t="s">
        <v>21</v>
      </c>
      <c r="O313" s="1">
        <v>2.55234340047E11</v>
      </c>
    </row>
    <row r="314">
      <c r="A314" s="1">
        <v>2782403.0</v>
      </c>
      <c r="B314" s="1" t="s">
        <v>3864</v>
      </c>
      <c r="C314" s="1" t="b">
        <v>1</v>
      </c>
      <c r="D314" s="1" t="b">
        <v>1</v>
      </c>
      <c r="E314" s="1" t="s">
        <v>510</v>
      </c>
      <c r="F314" s="1" t="s">
        <v>3865</v>
      </c>
      <c r="G314" s="2">
        <f>+251935262770</f>
        <v>251935262770</v>
      </c>
      <c r="H314" s="1" t="s">
        <v>18</v>
      </c>
      <c r="I314" s="1" t="s">
        <v>19</v>
      </c>
      <c r="J314" s="1" t="s">
        <v>19</v>
      </c>
      <c r="K314" s="1" t="s">
        <v>25</v>
      </c>
      <c r="L314" s="1">
        <v>34.55</v>
      </c>
      <c r="M314" s="1" t="s">
        <v>21</v>
      </c>
      <c r="O314" s="1">
        <v>2.55368870112E11</v>
      </c>
    </row>
    <row r="315">
      <c r="A315" s="1">
        <v>1947386.0</v>
      </c>
      <c r="B315" s="1" t="s">
        <v>3866</v>
      </c>
      <c r="C315" s="1" t="b">
        <v>1</v>
      </c>
      <c r="D315" s="1" t="b">
        <v>0</v>
      </c>
      <c r="E315" s="1" t="s">
        <v>3867</v>
      </c>
      <c r="F315" s="1" t="s">
        <v>255</v>
      </c>
      <c r="G315" s="2">
        <f>+251921238742</f>
        <v>251921238742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26.71</v>
      </c>
      <c r="M315" s="1" t="s">
        <v>21</v>
      </c>
      <c r="O315" s="1">
        <v>724186.0</v>
      </c>
    </row>
    <row r="316">
      <c r="A316" s="1">
        <v>145443.0</v>
      </c>
      <c r="B316" s="1" t="s">
        <v>3353</v>
      </c>
      <c r="C316" s="1" t="b">
        <v>1</v>
      </c>
      <c r="D316" s="1" t="b">
        <v>1</v>
      </c>
      <c r="E316" s="1" t="s">
        <v>437</v>
      </c>
      <c r="F316" s="1" t="s">
        <v>1077</v>
      </c>
      <c r="G316" s="2">
        <f>+251935968159</f>
        <v>251935968159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25.62</v>
      </c>
      <c r="M316" s="1" t="s">
        <v>33</v>
      </c>
      <c r="N316" s="1" t="s">
        <v>166</v>
      </c>
      <c r="O316" s="1">
        <v>1230109.0</v>
      </c>
    </row>
    <row r="317">
      <c r="A317" s="1">
        <v>2783651.0</v>
      </c>
      <c r="B317" s="1" t="s">
        <v>3868</v>
      </c>
      <c r="C317" s="1" t="b">
        <v>1</v>
      </c>
      <c r="D317" s="1" t="b">
        <v>1</v>
      </c>
      <c r="E317" s="1" t="s">
        <v>424</v>
      </c>
      <c r="F317" s="1" t="s">
        <v>1760</v>
      </c>
      <c r="G317" s="2">
        <f>+251913023980</f>
        <v>251913023980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36.5</v>
      </c>
      <c r="M317" s="1" t="s">
        <v>21</v>
      </c>
      <c r="O317" s="1">
        <v>2.55700473053E11</v>
      </c>
    </row>
    <row r="318">
      <c r="A318" s="1">
        <v>2783815.0</v>
      </c>
      <c r="B318" s="1" t="s">
        <v>3869</v>
      </c>
      <c r="C318" s="1" t="b">
        <v>1</v>
      </c>
      <c r="D318" s="1" t="b">
        <v>1</v>
      </c>
      <c r="E318" s="1" t="s">
        <v>3870</v>
      </c>
      <c r="F318" s="1" t="s">
        <v>3871</v>
      </c>
      <c r="G318" s="2">
        <f>+251940379709</f>
        <v>251940379709</v>
      </c>
      <c r="H318" s="1" t="s">
        <v>18</v>
      </c>
      <c r="I318" s="1" t="s">
        <v>19</v>
      </c>
      <c r="J318" s="1" t="s">
        <v>19</v>
      </c>
      <c r="K318" s="1" t="s">
        <v>20</v>
      </c>
      <c r="L318" s="1">
        <v>24.83</v>
      </c>
      <c r="M318" s="1" t="s">
        <v>21</v>
      </c>
      <c r="O318" s="1">
        <v>2.55711313135E11</v>
      </c>
    </row>
    <row r="319">
      <c r="A319" s="1">
        <v>1542638.0</v>
      </c>
      <c r="B319" s="1" t="s">
        <v>3872</v>
      </c>
      <c r="C319" s="1" t="b">
        <v>1</v>
      </c>
      <c r="D319" s="1" t="b">
        <v>1</v>
      </c>
      <c r="E319" s="1" t="s">
        <v>3873</v>
      </c>
      <c r="F319" s="1" t="s">
        <v>2171</v>
      </c>
      <c r="G319" s="2">
        <f>+251963321500</f>
        <v>251963321500</v>
      </c>
      <c r="H319" s="1" t="s">
        <v>18</v>
      </c>
      <c r="I319" s="1" t="s">
        <v>19</v>
      </c>
      <c r="J319" s="1" t="s">
        <v>19</v>
      </c>
      <c r="K319" s="1" t="s">
        <v>25</v>
      </c>
      <c r="L319" s="1">
        <v>34.64</v>
      </c>
      <c r="M319" s="1" t="s">
        <v>21</v>
      </c>
      <c r="O319" s="1">
        <v>1.8089581791E10</v>
      </c>
    </row>
    <row r="320">
      <c r="A320" s="1">
        <v>185192.0</v>
      </c>
      <c r="B320" s="1" t="s">
        <v>3874</v>
      </c>
      <c r="C320" s="1" t="b">
        <v>1</v>
      </c>
      <c r="D320" s="1" t="b">
        <v>1</v>
      </c>
      <c r="E320" s="1" t="s">
        <v>474</v>
      </c>
      <c r="F320" s="1" t="s">
        <v>3875</v>
      </c>
      <c r="G320" s="1">
        <v>9.09046285E8</v>
      </c>
      <c r="H320" s="1" t="s">
        <v>131</v>
      </c>
      <c r="I320" s="1" t="s">
        <v>19</v>
      </c>
      <c r="J320" s="1" t="s">
        <v>19</v>
      </c>
      <c r="K320" s="1" t="s">
        <v>25</v>
      </c>
      <c r="L320" s="1">
        <v>31.15</v>
      </c>
      <c r="M320" s="1" t="s">
        <v>21</v>
      </c>
      <c r="O320" s="1">
        <v>9864451.0</v>
      </c>
    </row>
    <row r="321">
      <c r="A321" s="1">
        <v>2785295.0</v>
      </c>
      <c r="B321" s="1" t="s">
        <v>3876</v>
      </c>
      <c r="C321" s="1" t="b">
        <v>1</v>
      </c>
      <c r="D321" s="1" t="b">
        <v>1</v>
      </c>
      <c r="E321" s="1" t="s">
        <v>3877</v>
      </c>
      <c r="F321" s="1" t="s">
        <v>3878</v>
      </c>
      <c r="G321" s="2">
        <f>+251988747980</f>
        <v>251988747980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25.88</v>
      </c>
      <c r="M321" s="1" t="s">
        <v>21</v>
      </c>
      <c r="O321" s="1">
        <v>2.55966954701E11</v>
      </c>
    </row>
    <row r="322">
      <c r="A322" s="1">
        <v>2782343.0</v>
      </c>
      <c r="B322" s="1" t="s">
        <v>3879</v>
      </c>
      <c r="C322" s="1" t="b">
        <v>1</v>
      </c>
      <c r="D322" s="1" t="b">
        <v>1</v>
      </c>
      <c r="E322" s="1" t="s">
        <v>3880</v>
      </c>
      <c r="F322" s="1" t="s">
        <v>3881</v>
      </c>
      <c r="G322" s="2">
        <f>+251946288614</f>
        <v>251946288614</v>
      </c>
      <c r="H322" s="1" t="s">
        <v>335</v>
      </c>
      <c r="I322" s="1" t="s">
        <v>19</v>
      </c>
      <c r="J322" s="1" t="s">
        <v>19</v>
      </c>
      <c r="K322" s="1" t="s">
        <v>25</v>
      </c>
      <c r="L322" s="1">
        <v>22.13</v>
      </c>
      <c r="M322" s="1" t="s">
        <v>21</v>
      </c>
      <c r="O322" s="1">
        <v>2.55333797068E11</v>
      </c>
    </row>
    <row r="323">
      <c r="A323" s="1">
        <v>242988.0</v>
      </c>
      <c r="B323" s="1" t="s">
        <v>3882</v>
      </c>
      <c r="C323" s="1" t="b">
        <v>1</v>
      </c>
      <c r="D323" s="1" t="b">
        <v>1</v>
      </c>
      <c r="E323" s="1" t="s">
        <v>3883</v>
      </c>
      <c r="F323" s="1" t="s">
        <v>360</v>
      </c>
      <c r="G323" s="2">
        <f t="shared" ref="G323:G324" si="3">+251966314151</f>
        <v>251966314151</v>
      </c>
      <c r="H323" s="1" t="s">
        <v>18</v>
      </c>
      <c r="I323" s="1" t="s">
        <v>19</v>
      </c>
      <c r="J323" s="1" t="s">
        <v>19</v>
      </c>
      <c r="K323" s="1" t="s">
        <v>25</v>
      </c>
      <c r="L323" s="1">
        <v>25.35</v>
      </c>
      <c r="M323" s="1" t="s">
        <v>21</v>
      </c>
      <c r="O323" s="1">
        <v>8736351.0</v>
      </c>
    </row>
    <row r="324">
      <c r="A324" s="1">
        <v>651152.0</v>
      </c>
      <c r="B324" s="1" t="s">
        <v>3884</v>
      </c>
      <c r="C324" s="1" t="b">
        <v>1</v>
      </c>
      <c r="D324" s="1" t="b">
        <v>1</v>
      </c>
      <c r="E324" s="1" t="s">
        <v>3885</v>
      </c>
      <c r="F324" s="1" t="s">
        <v>360</v>
      </c>
      <c r="G324" s="2">
        <f t="shared" si="3"/>
        <v>251966314151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25.75</v>
      </c>
      <c r="M324" s="1" t="s">
        <v>21</v>
      </c>
      <c r="O324" s="1">
        <v>2.9201964E7</v>
      </c>
    </row>
    <row r="325">
      <c r="A325" s="1">
        <v>2787472.0</v>
      </c>
      <c r="B325" s="1" t="s">
        <v>3354</v>
      </c>
      <c r="C325" s="1" t="b">
        <v>1</v>
      </c>
      <c r="D325" s="1" t="b">
        <v>1</v>
      </c>
      <c r="E325" s="1" t="s">
        <v>1476</v>
      </c>
      <c r="F325" s="1" t="s">
        <v>3355</v>
      </c>
      <c r="G325" s="2">
        <f>+251911615211</f>
        <v>251911615211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20.82</v>
      </c>
      <c r="M325" s="1" t="s">
        <v>33</v>
      </c>
      <c r="N325" s="1" t="s">
        <v>34</v>
      </c>
      <c r="O325" s="1">
        <v>2.54526925015E11</v>
      </c>
    </row>
    <row r="326">
      <c r="A326" s="1">
        <v>2788727.0</v>
      </c>
      <c r="B326" s="1" t="s">
        <v>3886</v>
      </c>
      <c r="C326" s="1" t="b">
        <v>1</v>
      </c>
      <c r="D326" s="1" t="b">
        <v>1</v>
      </c>
      <c r="E326" s="1" t="s">
        <v>3887</v>
      </c>
      <c r="F326" s="1" t="s">
        <v>3888</v>
      </c>
      <c r="G326" s="2">
        <f>+251939518095</f>
        <v>251939518095</v>
      </c>
      <c r="H326" s="1" t="s">
        <v>18</v>
      </c>
      <c r="I326" s="1" t="s">
        <v>19</v>
      </c>
      <c r="J326" s="1" t="s">
        <v>19</v>
      </c>
      <c r="K326" s="1" t="s">
        <v>25</v>
      </c>
      <c r="L326" s="1">
        <v>22.25</v>
      </c>
      <c r="M326" s="1" t="s">
        <v>21</v>
      </c>
      <c r="O326" s="1">
        <v>2.5682712396E11</v>
      </c>
    </row>
    <row r="327">
      <c r="A327" s="1">
        <v>2329711.0</v>
      </c>
      <c r="B327" s="1" t="s">
        <v>3356</v>
      </c>
      <c r="C327" s="1" t="b">
        <v>1</v>
      </c>
      <c r="D327" s="1" t="b">
        <v>1</v>
      </c>
      <c r="E327" s="1" t="s">
        <v>152</v>
      </c>
      <c r="F327" s="1" t="s">
        <v>1649</v>
      </c>
      <c r="G327" s="2">
        <f>+10963742979</f>
        <v>10963742979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25.43</v>
      </c>
      <c r="M327" s="1" t="s">
        <v>33</v>
      </c>
      <c r="N327" s="1" t="s">
        <v>34</v>
      </c>
      <c r="O327" s="1">
        <v>5185478.0</v>
      </c>
    </row>
    <row r="328">
      <c r="A328" s="1">
        <v>1469740.0</v>
      </c>
      <c r="B328" s="1" t="s">
        <v>3889</v>
      </c>
      <c r="C328" s="1" t="b">
        <v>1</v>
      </c>
      <c r="D328" s="1" t="b">
        <v>1</v>
      </c>
      <c r="E328" s="1" t="s">
        <v>496</v>
      </c>
      <c r="F328" s="1" t="s">
        <v>3890</v>
      </c>
      <c r="G328" s="2">
        <f>+251987005375</f>
        <v>251987005375</v>
      </c>
      <c r="H328" s="1" t="s">
        <v>18</v>
      </c>
      <c r="I328" s="1" t="s">
        <v>19</v>
      </c>
      <c r="J328" s="1" t="s">
        <v>19</v>
      </c>
      <c r="K328" s="1" t="s">
        <v>20</v>
      </c>
      <c r="L328" s="1">
        <v>26.95</v>
      </c>
      <c r="M328" s="1" t="s">
        <v>21</v>
      </c>
      <c r="O328" s="1">
        <v>1.5487104707E10</v>
      </c>
    </row>
    <row r="329">
      <c r="A329" s="1">
        <v>2791755.0</v>
      </c>
      <c r="B329" s="1" t="s">
        <v>3891</v>
      </c>
      <c r="C329" s="1" t="b">
        <v>1</v>
      </c>
      <c r="D329" s="1" t="b">
        <v>1</v>
      </c>
      <c r="E329" s="1" t="s">
        <v>3892</v>
      </c>
      <c r="F329" s="1" t="s">
        <v>1274</v>
      </c>
      <c r="G329" s="2">
        <f>+251902178901</f>
        <v>251902178901</v>
      </c>
      <c r="H329" s="1" t="s">
        <v>18</v>
      </c>
      <c r="I329" s="1" t="s">
        <v>19</v>
      </c>
      <c r="J329" s="1" t="s">
        <v>19</v>
      </c>
      <c r="K329" s="1" t="s">
        <v>25</v>
      </c>
      <c r="L329" s="1">
        <v>23.17</v>
      </c>
      <c r="M329" s="1" t="s">
        <v>21</v>
      </c>
      <c r="O329" s="1">
        <v>2.5315401E7</v>
      </c>
    </row>
    <row r="330">
      <c r="A330" s="1">
        <v>2495132.0</v>
      </c>
      <c r="B330" s="1" t="s">
        <v>3357</v>
      </c>
      <c r="C330" s="1" t="b">
        <v>1</v>
      </c>
      <c r="D330" s="1" t="b">
        <v>1</v>
      </c>
      <c r="E330" s="1" t="s">
        <v>1796</v>
      </c>
      <c r="F330" s="1" t="s">
        <v>96</v>
      </c>
      <c r="G330" s="2">
        <f>+251972224717</f>
        <v>251972224717</v>
      </c>
      <c r="H330" s="1" t="s">
        <v>18</v>
      </c>
      <c r="I330" s="1" t="s">
        <v>19</v>
      </c>
      <c r="J330" s="1" t="s">
        <v>19</v>
      </c>
      <c r="K330" s="1" t="s">
        <v>20</v>
      </c>
      <c r="L330" s="1">
        <v>22.15</v>
      </c>
      <c r="M330" s="1" t="s">
        <v>33</v>
      </c>
      <c r="N330" s="1" t="s">
        <v>177</v>
      </c>
    </row>
    <row r="331">
      <c r="A331" s="1">
        <v>1392202.0</v>
      </c>
      <c r="B331" s="1" t="s">
        <v>3893</v>
      </c>
      <c r="C331" s="1" t="b">
        <v>1</v>
      </c>
      <c r="D331" s="1" t="b">
        <v>1</v>
      </c>
      <c r="E331" s="1" t="s">
        <v>3894</v>
      </c>
      <c r="F331" s="1" t="s">
        <v>1107</v>
      </c>
      <c r="G331" s="2">
        <f>+251962408198</f>
        <v>251962408198</v>
      </c>
      <c r="H331" s="1" t="s">
        <v>18</v>
      </c>
      <c r="I331" s="1" t="s">
        <v>19</v>
      </c>
      <c r="J331" s="1" t="s">
        <v>19</v>
      </c>
      <c r="K331" s="1" t="s">
        <v>25</v>
      </c>
      <c r="L331" s="1">
        <v>25.12</v>
      </c>
      <c r="M331" s="1" t="s">
        <v>21</v>
      </c>
      <c r="O331" s="1">
        <v>6023885.0</v>
      </c>
    </row>
    <row r="332">
      <c r="A332" s="1">
        <v>2792910.0</v>
      </c>
      <c r="B332" s="1" t="s">
        <v>3895</v>
      </c>
      <c r="C332" s="1" t="b">
        <v>1</v>
      </c>
      <c r="D332" s="1" t="b">
        <v>1</v>
      </c>
      <c r="E332" s="1" t="s">
        <v>1796</v>
      </c>
      <c r="F332" s="1" t="s">
        <v>96</v>
      </c>
      <c r="G332" s="2">
        <f>+251987256281</f>
        <v>251987256281</v>
      </c>
      <c r="H332" s="1" t="s">
        <v>18</v>
      </c>
      <c r="I332" s="1" t="s">
        <v>19</v>
      </c>
      <c r="J332" s="1" t="s">
        <v>19</v>
      </c>
      <c r="K332" s="1" t="s">
        <v>20</v>
      </c>
      <c r="L332" s="1">
        <v>22.15</v>
      </c>
      <c r="M332" s="1" t="s">
        <v>21</v>
      </c>
      <c r="O332" s="1">
        <v>2.58034423005E11</v>
      </c>
    </row>
    <row r="333">
      <c r="A333" s="1">
        <v>2794040.0</v>
      </c>
      <c r="B333" s="1" t="s">
        <v>3896</v>
      </c>
      <c r="C333" s="1" t="b">
        <v>1</v>
      </c>
      <c r="D333" s="1" t="b">
        <v>1</v>
      </c>
      <c r="E333" s="1" t="s">
        <v>303</v>
      </c>
      <c r="F333" s="1" t="s">
        <v>3897</v>
      </c>
      <c r="G333" s="2">
        <f>+251953010560</f>
        <v>251953010560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27.67</v>
      </c>
      <c r="M333" s="1" t="s">
        <v>21</v>
      </c>
    </row>
    <row r="334">
      <c r="A334" s="1">
        <v>2793994.0</v>
      </c>
      <c r="B334" s="1" t="s">
        <v>3898</v>
      </c>
      <c r="C334" s="1" t="b">
        <v>1</v>
      </c>
      <c r="D334" s="1" t="b">
        <v>1</v>
      </c>
      <c r="E334" s="1" t="s">
        <v>370</v>
      </c>
      <c r="F334" s="1" t="s">
        <v>3899</v>
      </c>
      <c r="G334" s="2">
        <f>+251964969312</f>
        <v>251964969312</v>
      </c>
      <c r="H334" s="1" t="s">
        <v>18</v>
      </c>
      <c r="I334" s="1" t="s">
        <v>19</v>
      </c>
      <c r="J334" s="1" t="s">
        <v>19</v>
      </c>
      <c r="K334" s="1" t="s">
        <v>25</v>
      </c>
      <c r="L334" s="1">
        <v>24.54</v>
      </c>
      <c r="M334" s="1" t="s">
        <v>21</v>
      </c>
    </row>
    <row r="335">
      <c r="A335" s="1">
        <v>2794204.0</v>
      </c>
      <c r="B335" s="1" t="s">
        <v>3900</v>
      </c>
      <c r="C335" s="1" t="b">
        <v>1</v>
      </c>
      <c r="D335" s="1" t="b">
        <v>1</v>
      </c>
      <c r="E335" s="1" t="s">
        <v>447</v>
      </c>
      <c r="F335" s="1" t="s">
        <v>1542</v>
      </c>
      <c r="G335" s="2">
        <f>+251904511043</f>
        <v>251904511043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26.1</v>
      </c>
      <c r="M335" s="1" t="s">
        <v>21</v>
      </c>
      <c r="O335" s="1">
        <v>2.58266465525E11</v>
      </c>
    </row>
    <row r="336">
      <c r="A336" s="1">
        <v>2795086.0</v>
      </c>
      <c r="B336" s="1" t="s">
        <v>3901</v>
      </c>
      <c r="C336" s="1" t="b">
        <v>1</v>
      </c>
      <c r="D336" s="1" t="b">
        <v>1</v>
      </c>
      <c r="E336" s="1" t="s">
        <v>3902</v>
      </c>
      <c r="F336" s="1" t="s">
        <v>3903</v>
      </c>
      <c r="G336" s="2">
        <f>+251989053925</f>
        <v>251989053925</v>
      </c>
      <c r="H336" s="1" t="s">
        <v>18</v>
      </c>
      <c r="I336" s="1" t="s">
        <v>19</v>
      </c>
      <c r="J336" s="1" t="s">
        <v>4259</v>
      </c>
      <c r="K336" s="1" t="s">
        <v>25</v>
      </c>
      <c r="L336" s="1">
        <v>35.1</v>
      </c>
      <c r="M336" s="1" t="s">
        <v>21</v>
      </c>
      <c r="O336" s="1">
        <v>2.58509494501E11</v>
      </c>
    </row>
    <row r="337">
      <c r="A337" s="1">
        <v>1581963.0</v>
      </c>
      <c r="B337" s="1" t="s">
        <v>3904</v>
      </c>
      <c r="C337" s="1" t="b">
        <v>1</v>
      </c>
      <c r="D337" s="1" t="b">
        <v>1</v>
      </c>
      <c r="E337" s="1" t="s">
        <v>3905</v>
      </c>
      <c r="F337" s="1" t="s">
        <v>1237</v>
      </c>
      <c r="G337" s="2">
        <f>+251918210073</f>
        <v>251918210073</v>
      </c>
      <c r="H337" s="1" t="s">
        <v>18</v>
      </c>
      <c r="I337" s="1" t="s">
        <v>19</v>
      </c>
      <c r="J337" s="1" t="s">
        <v>19</v>
      </c>
      <c r="K337" s="1" t="s">
        <v>25</v>
      </c>
      <c r="L337" s="1">
        <v>30.02</v>
      </c>
      <c r="M337" s="1" t="s">
        <v>21</v>
      </c>
      <c r="O337" s="1">
        <v>1.9424146148E10</v>
      </c>
    </row>
    <row r="338">
      <c r="A338" s="1">
        <v>430141.0</v>
      </c>
      <c r="B338" s="1" t="s">
        <v>3906</v>
      </c>
      <c r="C338" s="1" t="b">
        <v>1</v>
      </c>
      <c r="D338" s="1" t="b">
        <v>1</v>
      </c>
      <c r="E338" s="1" t="s">
        <v>615</v>
      </c>
      <c r="F338" s="1" t="s">
        <v>3242</v>
      </c>
      <c r="G338" s="2">
        <f>+251949494319</f>
        <v>251949494319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31.97</v>
      </c>
      <c r="M338" s="1" t="s">
        <v>21</v>
      </c>
      <c r="O338" s="1">
        <v>8744692.0</v>
      </c>
    </row>
    <row r="339">
      <c r="A339" s="1">
        <v>2795406.0</v>
      </c>
      <c r="B339" s="1" t="s">
        <v>3194</v>
      </c>
      <c r="C339" s="1" t="b">
        <v>1</v>
      </c>
      <c r="D339" s="1" t="b">
        <v>1</v>
      </c>
      <c r="E339" s="1" t="s">
        <v>3195</v>
      </c>
      <c r="F339" s="1" t="s">
        <v>3196</v>
      </c>
      <c r="G339" s="2">
        <f>+251936637577</f>
        <v>251936637577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28.5</v>
      </c>
      <c r="M339" s="1" t="s">
        <v>26</v>
      </c>
      <c r="O339" s="1">
        <v>8750034.0</v>
      </c>
    </row>
    <row r="340">
      <c r="A340" s="1">
        <v>1800403.0</v>
      </c>
      <c r="B340" s="1" t="s">
        <v>3907</v>
      </c>
      <c r="C340" s="1" t="b">
        <v>1</v>
      </c>
      <c r="D340" s="1" t="b">
        <v>1</v>
      </c>
      <c r="E340" s="1" t="s">
        <v>108</v>
      </c>
      <c r="F340" s="1" t="s">
        <v>3908</v>
      </c>
      <c r="G340" s="2">
        <f>+251944885975</f>
        <v>251944885975</v>
      </c>
      <c r="H340" s="1" t="s">
        <v>18</v>
      </c>
      <c r="I340" s="1" t="s">
        <v>19</v>
      </c>
      <c r="J340" s="1" t="s">
        <v>19</v>
      </c>
      <c r="K340" s="1" t="s">
        <v>25</v>
      </c>
      <c r="L340" s="1">
        <v>26.01</v>
      </c>
      <c r="M340" s="1" t="s">
        <v>21</v>
      </c>
      <c r="O340" s="1">
        <v>2.4379019509E10</v>
      </c>
    </row>
    <row r="341">
      <c r="A341" s="1">
        <v>124610.0</v>
      </c>
      <c r="B341" s="1" t="s">
        <v>3909</v>
      </c>
      <c r="C341" s="1" t="b">
        <v>1</v>
      </c>
      <c r="D341" s="1" t="b">
        <v>1</v>
      </c>
      <c r="E341" s="1" t="s">
        <v>1942</v>
      </c>
      <c r="F341" s="1" t="s">
        <v>1773</v>
      </c>
      <c r="G341" s="2">
        <f>+251915566171</f>
        <v>251915566171</v>
      </c>
      <c r="H341" s="1" t="s">
        <v>18</v>
      </c>
      <c r="I341" s="1" t="s">
        <v>19</v>
      </c>
      <c r="J341" s="1" t="s">
        <v>19</v>
      </c>
      <c r="K341" s="1" t="s">
        <v>20</v>
      </c>
      <c r="L341" s="1">
        <v>29.07</v>
      </c>
      <c r="M341" s="1" t="s">
        <v>21</v>
      </c>
      <c r="O341" s="1">
        <v>1862095.0</v>
      </c>
    </row>
    <row r="342">
      <c r="A342" s="1">
        <v>2797914.0</v>
      </c>
      <c r="B342" s="1" t="s">
        <v>3910</v>
      </c>
      <c r="C342" s="1" t="b">
        <v>1</v>
      </c>
      <c r="D342" s="1" t="b">
        <v>1</v>
      </c>
      <c r="E342" s="1" t="s">
        <v>141</v>
      </c>
      <c r="F342" s="1" t="s">
        <v>932</v>
      </c>
      <c r="G342" s="2">
        <f>+251909693777</f>
        <v>251909693777</v>
      </c>
      <c r="H342" s="1" t="s">
        <v>18</v>
      </c>
      <c r="I342" s="1" t="s">
        <v>19</v>
      </c>
      <c r="J342" s="1" t="s">
        <v>19</v>
      </c>
      <c r="K342" s="1" t="s">
        <v>25</v>
      </c>
      <c r="L342" s="1">
        <v>40.5</v>
      </c>
      <c r="M342" s="1" t="s">
        <v>21</v>
      </c>
      <c r="O342" s="1">
        <v>2.59259193537E11</v>
      </c>
    </row>
    <row r="343">
      <c r="A343" s="1">
        <v>1493482.0</v>
      </c>
      <c r="B343" s="1" t="s">
        <v>3911</v>
      </c>
      <c r="C343" s="1" t="b">
        <v>1</v>
      </c>
      <c r="D343" s="1" t="b">
        <v>1</v>
      </c>
      <c r="E343" s="1" t="s">
        <v>3157</v>
      </c>
      <c r="F343" s="1" t="s">
        <v>1237</v>
      </c>
      <c r="G343" s="2">
        <f>+251918183162</f>
        <v>251918183162</v>
      </c>
      <c r="H343" s="1" t="s">
        <v>392</v>
      </c>
      <c r="I343" s="1" t="s">
        <v>19</v>
      </c>
      <c r="J343" s="1" t="s">
        <v>19</v>
      </c>
      <c r="K343" s="1" t="s">
        <v>25</v>
      </c>
      <c r="L343" s="1">
        <v>37.81</v>
      </c>
      <c r="M343" s="1" t="s">
        <v>21</v>
      </c>
      <c r="O343" s="1">
        <v>5079648.0</v>
      </c>
    </row>
    <row r="344">
      <c r="A344" s="1">
        <v>2799836.0</v>
      </c>
      <c r="B344" s="1" t="s">
        <v>3912</v>
      </c>
      <c r="C344" s="1" t="b">
        <v>1</v>
      </c>
      <c r="D344" s="1" t="b">
        <v>1</v>
      </c>
      <c r="E344" s="1" t="s">
        <v>1139</v>
      </c>
      <c r="F344" s="1" t="s">
        <v>51</v>
      </c>
      <c r="G344" s="2">
        <f>+251976838690</f>
        <v>251976838690</v>
      </c>
      <c r="H344" s="1" t="s">
        <v>18</v>
      </c>
      <c r="I344" s="1" t="s">
        <v>19</v>
      </c>
      <c r="J344" s="1" t="s">
        <v>19</v>
      </c>
      <c r="K344" s="1" t="s">
        <v>20</v>
      </c>
      <c r="L344" s="1">
        <v>18.88</v>
      </c>
      <c r="M344" s="1" t="s">
        <v>21</v>
      </c>
    </row>
    <row r="345">
      <c r="A345" s="1">
        <v>2780851.0</v>
      </c>
      <c r="B345" s="1" t="s">
        <v>3913</v>
      </c>
      <c r="C345" s="1" t="b">
        <v>1</v>
      </c>
      <c r="D345" s="1" t="b">
        <v>1</v>
      </c>
      <c r="E345" s="1" t="s">
        <v>375</v>
      </c>
      <c r="F345" s="1" t="s">
        <v>3373</v>
      </c>
      <c r="G345" s="2">
        <f>+251915288518</f>
        <v>251915288518</v>
      </c>
      <c r="H345" s="1" t="s">
        <v>18</v>
      </c>
      <c r="I345" s="1" t="s">
        <v>19</v>
      </c>
      <c r="J345" s="1" t="s">
        <v>19</v>
      </c>
      <c r="K345" s="1" t="s">
        <v>25</v>
      </c>
      <c r="L345" s="1">
        <v>24.75</v>
      </c>
      <c r="M345" s="1" t="s">
        <v>21</v>
      </c>
      <c r="O345" s="1">
        <v>2.54860787925E11</v>
      </c>
    </row>
    <row r="346">
      <c r="A346" s="1">
        <v>2799898.0</v>
      </c>
      <c r="B346" s="1" t="s">
        <v>3197</v>
      </c>
      <c r="C346" s="1" t="b">
        <v>1</v>
      </c>
      <c r="D346" s="1" t="b">
        <v>1</v>
      </c>
      <c r="E346" s="1" t="s">
        <v>527</v>
      </c>
      <c r="F346" s="1" t="s">
        <v>2786</v>
      </c>
      <c r="G346" s="2">
        <f>+251922214866</f>
        <v>251922214866</v>
      </c>
      <c r="H346" s="1" t="s">
        <v>18</v>
      </c>
      <c r="I346" s="1" t="s">
        <v>19</v>
      </c>
      <c r="J346" s="1" t="s">
        <v>19</v>
      </c>
      <c r="K346" s="1" t="s">
        <v>25</v>
      </c>
      <c r="L346" s="1">
        <v>25.39</v>
      </c>
      <c r="M346" s="1" t="s">
        <v>26</v>
      </c>
      <c r="O346" s="1">
        <v>2.59819747572E11</v>
      </c>
    </row>
    <row r="347">
      <c r="A347" s="1">
        <v>2164453.0</v>
      </c>
      <c r="B347" s="1" t="s">
        <v>3358</v>
      </c>
      <c r="C347" s="1" t="b">
        <v>1</v>
      </c>
      <c r="D347" s="1" t="b">
        <v>1</v>
      </c>
      <c r="E347" s="1" t="s">
        <v>3359</v>
      </c>
      <c r="F347" s="1" t="s">
        <v>547</v>
      </c>
      <c r="G347" s="2">
        <f>+251960033787</f>
        <v>251960033787</v>
      </c>
      <c r="H347" s="1" t="s">
        <v>18</v>
      </c>
      <c r="I347" s="1" t="s">
        <v>19</v>
      </c>
      <c r="J347" s="1" t="s">
        <v>19</v>
      </c>
      <c r="K347" s="1" t="s">
        <v>20</v>
      </c>
      <c r="L347" s="1">
        <v>23.51</v>
      </c>
      <c r="M347" s="1" t="s">
        <v>33</v>
      </c>
      <c r="N347" s="1" t="s">
        <v>118</v>
      </c>
      <c r="O347" s="1">
        <v>3.1642142407E10</v>
      </c>
    </row>
    <row r="348">
      <c r="A348" s="1">
        <v>2729983.0</v>
      </c>
      <c r="B348" s="1" t="s">
        <v>3360</v>
      </c>
      <c r="C348" s="1" t="b">
        <v>1</v>
      </c>
      <c r="D348" s="1" t="b">
        <v>1</v>
      </c>
      <c r="E348" s="1" t="s">
        <v>328</v>
      </c>
      <c r="F348" s="1" t="s">
        <v>847</v>
      </c>
      <c r="G348" s="2">
        <f>+251905892759</f>
        <v>251905892759</v>
      </c>
      <c r="H348" s="1" t="s">
        <v>72</v>
      </c>
      <c r="I348" s="1" t="s">
        <v>19</v>
      </c>
      <c r="J348" s="1" t="s">
        <v>19</v>
      </c>
      <c r="K348" s="1" t="s">
        <v>25</v>
      </c>
      <c r="L348" s="1">
        <v>42.29</v>
      </c>
      <c r="M348" s="1" t="s">
        <v>33</v>
      </c>
      <c r="N348" s="1" t="s">
        <v>166</v>
      </c>
      <c r="O348" s="1">
        <v>2.3762979041E11</v>
      </c>
    </row>
    <row r="349">
      <c r="A349" s="1">
        <v>2719824.0</v>
      </c>
      <c r="B349" s="1" t="s">
        <v>3914</v>
      </c>
      <c r="C349" s="1" t="b">
        <v>1</v>
      </c>
      <c r="D349" s="1" t="b">
        <v>1</v>
      </c>
      <c r="E349" s="1" t="s">
        <v>3915</v>
      </c>
      <c r="F349" s="1" t="s">
        <v>3916</v>
      </c>
      <c r="G349" s="2">
        <f>+251937343819</f>
        <v>251937343819</v>
      </c>
      <c r="H349" s="1" t="s">
        <v>72</v>
      </c>
      <c r="I349" s="1" t="s">
        <v>19</v>
      </c>
      <c r="J349" s="1" t="s">
        <v>19</v>
      </c>
      <c r="K349" s="1" t="s">
        <v>25</v>
      </c>
      <c r="L349" s="1">
        <v>22.29</v>
      </c>
      <c r="M349" s="1" t="s">
        <v>21</v>
      </c>
      <c r="O349" s="1">
        <v>2.35068143809E11</v>
      </c>
    </row>
    <row r="350">
      <c r="A350" s="1">
        <v>2800700.0</v>
      </c>
      <c r="B350" s="1" t="s">
        <v>3361</v>
      </c>
      <c r="C350" s="1" t="b">
        <v>1</v>
      </c>
      <c r="D350" s="1" t="b">
        <v>1</v>
      </c>
      <c r="E350" s="1" t="s">
        <v>184</v>
      </c>
      <c r="F350" s="1" t="s">
        <v>959</v>
      </c>
      <c r="G350" s="2">
        <f>+251919433258</f>
        <v>251919433258</v>
      </c>
      <c r="H350" s="1" t="s">
        <v>18</v>
      </c>
      <c r="I350" s="1" t="s">
        <v>19</v>
      </c>
      <c r="J350" s="1" t="s">
        <v>19</v>
      </c>
      <c r="K350" s="1" t="s">
        <v>25</v>
      </c>
      <c r="L350" s="1">
        <v>28.26</v>
      </c>
      <c r="M350" s="1" t="s">
        <v>33</v>
      </c>
      <c r="N350" s="1" t="s">
        <v>65</v>
      </c>
      <c r="O350" s="1">
        <v>2.60024784065E11</v>
      </c>
    </row>
    <row r="351">
      <c r="A351" s="1">
        <v>1445245.0</v>
      </c>
      <c r="B351" s="1" t="s">
        <v>3917</v>
      </c>
      <c r="C351" s="1" t="b">
        <v>1</v>
      </c>
      <c r="D351" s="1" t="b">
        <v>1</v>
      </c>
      <c r="E351" s="1" t="s">
        <v>1144</v>
      </c>
      <c r="F351" s="1" t="s">
        <v>363</v>
      </c>
      <c r="G351" s="2">
        <f t="shared" ref="G351:G352" si="4">+251927182804</f>
        <v>251927182804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32.62</v>
      </c>
      <c r="M351" s="1" t="s">
        <v>21</v>
      </c>
      <c r="O351" s="1">
        <v>1.4985037517E10</v>
      </c>
    </row>
    <row r="352">
      <c r="A352" s="1">
        <v>1443104.0</v>
      </c>
      <c r="B352" s="1" t="s">
        <v>3918</v>
      </c>
      <c r="C352" s="1" t="b">
        <v>1</v>
      </c>
      <c r="D352" s="1" t="b">
        <v>1</v>
      </c>
      <c r="E352" s="1" t="s">
        <v>1144</v>
      </c>
      <c r="F352" s="1" t="s">
        <v>363</v>
      </c>
      <c r="G352" s="2">
        <f t="shared" si="4"/>
        <v>251927182804</v>
      </c>
      <c r="H352" s="1" t="s">
        <v>18</v>
      </c>
      <c r="I352" s="1" t="s">
        <v>19</v>
      </c>
      <c r="J352" s="1" t="s">
        <v>19</v>
      </c>
      <c r="K352" s="1" t="s">
        <v>25</v>
      </c>
      <c r="L352" s="1">
        <v>32.62</v>
      </c>
      <c r="M352" s="1" t="s">
        <v>21</v>
      </c>
    </row>
    <row r="353">
      <c r="A353" s="1">
        <v>2801892.0</v>
      </c>
      <c r="B353" s="1" t="s">
        <v>3198</v>
      </c>
      <c r="C353" s="1" t="b">
        <v>1</v>
      </c>
      <c r="D353" s="1" t="b">
        <v>1</v>
      </c>
      <c r="E353" s="1" t="s">
        <v>108</v>
      </c>
      <c r="F353" s="1" t="s">
        <v>3199</v>
      </c>
      <c r="G353" s="2">
        <f>+251911342099</f>
        <v>251911342099</v>
      </c>
      <c r="H353" s="1" t="s">
        <v>93</v>
      </c>
      <c r="I353" s="1" t="s">
        <v>19</v>
      </c>
      <c r="J353" s="1" t="s">
        <v>19</v>
      </c>
      <c r="K353" s="1" t="s">
        <v>25</v>
      </c>
      <c r="L353" s="1">
        <v>38.89</v>
      </c>
      <c r="M353" s="1" t="s">
        <v>26</v>
      </c>
      <c r="O353" s="1">
        <v>2.60187996353E11</v>
      </c>
    </row>
    <row r="354">
      <c r="A354" s="1">
        <v>2802465.0</v>
      </c>
      <c r="B354" s="1" t="s">
        <v>3200</v>
      </c>
      <c r="C354" s="1" t="b">
        <v>0</v>
      </c>
      <c r="D354" s="1" t="b">
        <v>1</v>
      </c>
      <c r="E354" s="1" t="s">
        <v>3201</v>
      </c>
      <c r="F354" s="1" t="s">
        <v>3202</v>
      </c>
      <c r="G354" s="2">
        <f>+251942496086</f>
        <v>251942496086</v>
      </c>
      <c r="H354" s="1" t="s">
        <v>18</v>
      </c>
      <c r="I354" s="1" t="s">
        <v>19</v>
      </c>
      <c r="J354" s="1" t="s">
        <v>4260</v>
      </c>
      <c r="K354" s="1" t="s">
        <v>20</v>
      </c>
      <c r="L354" s="1">
        <v>19.45</v>
      </c>
      <c r="M354" s="1" t="s">
        <v>26</v>
      </c>
      <c r="O354" s="1">
        <v>2.60301532385E11</v>
      </c>
    </row>
    <row r="355">
      <c r="A355" s="1">
        <v>2615246.0</v>
      </c>
      <c r="B355" s="1" t="s">
        <v>3919</v>
      </c>
      <c r="C355" s="1" t="b">
        <v>1</v>
      </c>
      <c r="D355" s="1" t="b">
        <v>1</v>
      </c>
      <c r="E355" s="1" t="s">
        <v>3920</v>
      </c>
      <c r="F355" s="1" t="s">
        <v>3921</v>
      </c>
      <c r="G355" s="2">
        <f>+251934501464</f>
        <v>251934501464</v>
      </c>
      <c r="H355" s="1" t="s">
        <v>18</v>
      </c>
      <c r="I355" s="1" t="s">
        <v>19</v>
      </c>
      <c r="J355" s="1" t="s">
        <v>19</v>
      </c>
      <c r="K355" s="1" t="s">
        <v>20</v>
      </c>
      <c r="L355" s="1">
        <v>26.68</v>
      </c>
      <c r="M355" s="1" t="s">
        <v>21</v>
      </c>
    </row>
    <row r="356">
      <c r="A356" s="1">
        <v>2804289.0</v>
      </c>
      <c r="B356" s="1" t="s">
        <v>3922</v>
      </c>
      <c r="C356" s="1" t="b">
        <v>1</v>
      </c>
      <c r="D356" s="1" t="b">
        <v>1</v>
      </c>
      <c r="E356" s="1" t="s">
        <v>527</v>
      </c>
      <c r="F356" s="1" t="s">
        <v>3923</v>
      </c>
      <c r="G356" s="2">
        <f>+251942432406</f>
        <v>251942432406</v>
      </c>
      <c r="H356" s="1" t="s">
        <v>18</v>
      </c>
      <c r="I356" s="1" t="s">
        <v>19</v>
      </c>
      <c r="J356" s="1" t="s">
        <v>19</v>
      </c>
      <c r="K356" s="1" t="s">
        <v>25</v>
      </c>
      <c r="L356" s="1">
        <v>23.81</v>
      </c>
      <c r="M356" s="1" t="s">
        <v>21</v>
      </c>
      <c r="O356" s="1">
        <v>2.60846334174E11</v>
      </c>
    </row>
    <row r="357">
      <c r="A357" s="1">
        <v>2804570.0</v>
      </c>
      <c r="B357" s="1" t="s">
        <v>3362</v>
      </c>
      <c r="C357" s="1" t="b">
        <v>1</v>
      </c>
      <c r="D357" s="1" t="b">
        <v>1</v>
      </c>
      <c r="E357" s="1" t="s">
        <v>1544</v>
      </c>
      <c r="F357" s="1" t="s">
        <v>3363</v>
      </c>
      <c r="G357" s="2">
        <f>+251706743337</f>
        <v>251706743337</v>
      </c>
      <c r="H357" s="1" t="s">
        <v>18</v>
      </c>
      <c r="I357" s="1" t="s">
        <v>19</v>
      </c>
      <c r="J357" s="1" t="s">
        <v>19</v>
      </c>
      <c r="K357" s="1" t="s">
        <v>25</v>
      </c>
      <c r="L357" s="1">
        <v>36.41</v>
      </c>
      <c r="M357" s="1" t="s">
        <v>33</v>
      </c>
      <c r="N357" s="1" t="s">
        <v>76</v>
      </c>
      <c r="O357" s="1">
        <v>2.60974489834E11</v>
      </c>
    </row>
    <row r="358">
      <c r="A358" s="1">
        <v>33710.0</v>
      </c>
      <c r="B358" s="1" t="s">
        <v>3364</v>
      </c>
      <c r="C358" s="1" t="b">
        <v>1</v>
      </c>
      <c r="D358" s="1" t="b">
        <v>1</v>
      </c>
      <c r="E358" s="1" t="s">
        <v>447</v>
      </c>
      <c r="F358" s="1" t="s">
        <v>96</v>
      </c>
      <c r="G358" s="2">
        <f>+251962491321</f>
        <v>251962491321</v>
      </c>
      <c r="H358" s="1" t="s">
        <v>4261</v>
      </c>
      <c r="I358" s="1" t="s">
        <v>19</v>
      </c>
      <c r="J358" s="1" t="s">
        <v>19</v>
      </c>
      <c r="K358" s="1" t="s">
        <v>25</v>
      </c>
      <c r="L358" s="1">
        <v>30.1</v>
      </c>
      <c r="M358" s="1" t="s">
        <v>33</v>
      </c>
      <c r="N358" s="1" t="s">
        <v>34</v>
      </c>
      <c r="O358" s="1">
        <v>2.5862503E7</v>
      </c>
    </row>
    <row r="359">
      <c r="A359" s="1">
        <v>2805307.0</v>
      </c>
      <c r="B359" s="1" t="s">
        <v>3924</v>
      </c>
      <c r="C359" s="1" t="b">
        <v>1</v>
      </c>
      <c r="D359" s="1" t="b">
        <v>1</v>
      </c>
      <c r="E359" s="1" t="s">
        <v>286</v>
      </c>
      <c r="F359" s="1" t="s">
        <v>3925</v>
      </c>
      <c r="G359" s="1">
        <v>9.41412413E8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21.97</v>
      </c>
      <c r="M359" s="1" t="s">
        <v>21</v>
      </c>
      <c r="O359" s="1">
        <v>2.61132032248E11</v>
      </c>
    </row>
    <row r="360">
      <c r="A360" s="1">
        <v>2805796.0</v>
      </c>
      <c r="B360" s="1" t="s">
        <v>3203</v>
      </c>
      <c r="C360" s="1" t="b">
        <v>0</v>
      </c>
      <c r="D360" s="1" t="b">
        <v>1</v>
      </c>
      <c r="E360" s="1" t="s">
        <v>1945</v>
      </c>
      <c r="F360" s="1" t="s">
        <v>719</v>
      </c>
      <c r="G360" s="2">
        <f>+251930343988</f>
        <v>251930343988</v>
      </c>
      <c r="H360" s="1" t="s">
        <v>18</v>
      </c>
      <c r="I360" s="1" t="s">
        <v>19</v>
      </c>
      <c r="J360" s="1" t="s">
        <v>19</v>
      </c>
      <c r="K360" s="1" t="s">
        <v>25</v>
      </c>
      <c r="L360" s="1">
        <v>29.13</v>
      </c>
      <c r="M360" s="1" t="s">
        <v>26</v>
      </c>
      <c r="O360" s="1">
        <v>2.61242438876E11</v>
      </c>
    </row>
    <row r="361">
      <c r="A361" s="1">
        <v>2805880.0</v>
      </c>
      <c r="B361" s="1" t="s">
        <v>3926</v>
      </c>
      <c r="C361" s="1" t="b">
        <v>1</v>
      </c>
      <c r="D361" s="1" t="b">
        <v>1</v>
      </c>
      <c r="E361" s="1" t="s">
        <v>3927</v>
      </c>
      <c r="F361" s="1" t="s">
        <v>3928</v>
      </c>
      <c r="G361" s="2">
        <f>+251902003221</f>
        <v>251902003221</v>
      </c>
      <c r="H361" s="1" t="s">
        <v>18</v>
      </c>
      <c r="I361" s="1" t="s">
        <v>19</v>
      </c>
      <c r="J361" s="1" t="s">
        <v>19</v>
      </c>
      <c r="K361" s="1" t="s">
        <v>20</v>
      </c>
      <c r="L361" s="1">
        <v>19.0</v>
      </c>
      <c r="M361" s="1" t="s">
        <v>21</v>
      </c>
    </row>
    <row r="362">
      <c r="A362" s="1">
        <v>2805953.0</v>
      </c>
      <c r="B362" s="1" t="s">
        <v>3929</v>
      </c>
      <c r="C362" s="1" t="b">
        <v>1</v>
      </c>
      <c r="D362" s="1" t="b">
        <v>1</v>
      </c>
      <c r="E362" s="1" t="s">
        <v>2017</v>
      </c>
      <c r="F362" s="1" t="s">
        <v>3185</v>
      </c>
      <c r="G362" s="2">
        <f>+251912450330</f>
        <v>251912450330</v>
      </c>
      <c r="H362" s="1" t="s">
        <v>4262</v>
      </c>
      <c r="I362" s="1" t="s">
        <v>19</v>
      </c>
      <c r="J362" s="1" t="s">
        <v>19</v>
      </c>
      <c r="K362" s="1" t="s">
        <v>25</v>
      </c>
      <c r="L362" s="1">
        <v>30.42</v>
      </c>
      <c r="M362" s="1" t="s">
        <v>21</v>
      </c>
      <c r="O362" s="1">
        <v>1.2342977E7</v>
      </c>
    </row>
    <row r="363">
      <c r="A363" s="1">
        <v>2805960.0</v>
      </c>
      <c r="B363" s="1" t="s">
        <v>3204</v>
      </c>
      <c r="C363" s="1" t="b">
        <v>0</v>
      </c>
      <c r="D363" s="1" t="b">
        <v>1</v>
      </c>
      <c r="E363" s="1" t="s">
        <v>1023</v>
      </c>
      <c r="F363" s="1" t="s">
        <v>3205</v>
      </c>
      <c r="G363" s="2">
        <f>+251921583637</f>
        <v>251921583637</v>
      </c>
      <c r="H363" s="1" t="s">
        <v>18</v>
      </c>
      <c r="I363" s="1" t="s">
        <v>19</v>
      </c>
      <c r="J363" s="1" t="s">
        <v>19</v>
      </c>
      <c r="K363" s="1" t="s">
        <v>25</v>
      </c>
      <c r="L363" s="1">
        <v>22.17</v>
      </c>
      <c r="M363" s="1" t="s">
        <v>26</v>
      </c>
      <c r="O363" s="1">
        <v>2.61250109662E11</v>
      </c>
    </row>
    <row r="364">
      <c r="A364" s="1">
        <v>2806018.0</v>
      </c>
      <c r="B364" s="1" t="s">
        <v>3930</v>
      </c>
      <c r="C364" s="1" t="b">
        <v>1</v>
      </c>
      <c r="D364" s="1" t="b">
        <v>1</v>
      </c>
      <c r="E364" s="1" t="s">
        <v>371</v>
      </c>
      <c r="F364" s="1" t="s">
        <v>3931</v>
      </c>
      <c r="G364" s="2">
        <f>+251950076057</f>
        <v>251950076057</v>
      </c>
      <c r="H364" s="1" t="s">
        <v>18</v>
      </c>
      <c r="I364" s="1" t="s">
        <v>19</v>
      </c>
      <c r="J364" s="1" t="s">
        <v>19</v>
      </c>
      <c r="K364" s="1" t="s">
        <v>25</v>
      </c>
      <c r="L364" s="1">
        <v>35.05</v>
      </c>
      <c r="M364" s="1" t="s">
        <v>21</v>
      </c>
      <c r="O364" s="1">
        <v>2.61196878013E11</v>
      </c>
    </row>
    <row r="365">
      <c r="A365" s="1">
        <v>2806151.0</v>
      </c>
      <c r="B365" s="1" t="s">
        <v>3932</v>
      </c>
      <c r="C365" s="1" t="b">
        <v>1</v>
      </c>
      <c r="D365" s="1" t="b">
        <v>1</v>
      </c>
      <c r="E365" s="1" t="s">
        <v>3933</v>
      </c>
      <c r="F365" s="1" t="s">
        <v>3934</v>
      </c>
      <c r="G365" s="2">
        <f>+251918377295</f>
        <v>251918377295</v>
      </c>
      <c r="H365" s="1" t="s">
        <v>72</v>
      </c>
      <c r="I365" s="1" t="s">
        <v>19</v>
      </c>
      <c r="J365" s="1" t="s">
        <v>19</v>
      </c>
      <c r="K365" s="1" t="s">
        <v>25</v>
      </c>
      <c r="L365" s="1">
        <v>28.47</v>
      </c>
      <c r="M365" s="1" t="s">
        <v>21</v>
      </c>
      <c r="O365" s="1">
        <v>2.61260180726E11</v>
      </c>
    </row>
    <row r="366">
      <c r="A366" s="1">
        <v>2806234.0</v>
      </c>
      <c r="B366" s="1" t="s">
        <v>3365</v>
      </c>
      <c r="C366" s="1" t="b">
        <v>0</v>
      </c>
      <c r="D366" s="1" t="b">
        <v>1</v>
      </c>
      <c r="E366" s="1" t="s">
        <v>376</v>
      </c>
      <c r="F366" s="1" t="s">
        <v>2505</v>
      </c>
      <c r="G366" s="2">
        <f>+251913099662</f>
        <v>251913099662</v>
      </c>
      <c r="H366" s="1" t="s">
        <v>72</v>
      </c>
      <c r="I366" s="1" t="s">
        <v>19</v>
      </c>
      <c r="J366" s="1" t="s">
        <v>19</v>
      </c>
      <c r="K366" s="1" t="s">
        <v>25</v>
      </c>
      <c r="L366" s="1">
        <v>23.15</v>
      </c>
      <c r="M366" s="1" t="s">
        <v>33</v>
      </c>
      <c r="N366" s="1" t="s">
        <v>118</v>
      </c>
      <c r="O366" s="1">
        <v>2.61255617735E11</v>
      </c>
    </row>
    <row r="367">
      <c r="A367" s="1">
        <v>2806292.0</v>
      </c>
      <c r="B367" s="1" t="s">
        <v>3366</v>
      </c>
      <c r="C367" s="1" t="b">
        <v>1</v>
      </c>
      <c r="D367" s="1" t="b">
        <v>1</v>
      </c>
      <c r="E367" s="1" t="s">
        <v>328</v>
      </c>
      <c r="F367" s="1" t="s">
        <v>3367</v>
      </c>
      <c r="G367" s="2">
        <f>+251932144825</f>
        <v>251932144825</v>
      </c>
      <c r="H367" s="1" t="s">
        <v>18</v>
      </c>
      <c r="I367" s="1" t="s">
        <v>19</v>
      </c>
      <c r="J367" s="1" t="s">
        <v>19</v>
      </c>
      <c r="K367" s="1" t="s">
        <v>25</v>
      </c>
      <c r="L367" s="1">
        <v>35.91</v>
      </c>
      <c r="M367" s="1" t="s">
        <v>33</v>
      </c>
      <c r="N367" s="1" t="s">
        <v>166</v>
      </c>
      <c r="O367" s="1">
        <v>2.61274189026E11</v>
      </c>
    </row>
    <row r="368">
      <c r="A368" s="1">
        <v>2806312.0</v>
      </c>
      <c r="B368" s="1" t="s">
        <v>3368</v>
      </c>
      <c r="C368" s="1" t="b">
        <v>1</v>
      </c>
      <c r="D368" s="1" t="b">
        <v>1</v>
      </c>
      <c r="E368" s="1" t="s">
        <v>3369</v>
      </c>
      <c r="F368" s="1" t="s">
        <v>3370</v>
      </c>
      <c r="G368" s="2">
        <f>+251917060837</f>
        <v>251917060837</v>
      </c>
      <c r="H368" s="1" t="s">
        <v>18</v>
      </c>
      <c r="I368" s="1" t="s">
        <v>19</v>
      </c>
      <c r="J368" s="1" t="s">
        <v>19</v>
      </c>
      <c r="K368" s="1" t="s">
        <v>25</v>
      </c>
      <c r="L368" s="1">
        <v>19.34</v>
      </c>
      <c r="M368" s="1" t="s">
        <v>33</v>
      </c>
      <c r="N368" s="1" t="s">
        <v>177</v>
      </c>
      <c r="O368" s="1">
        <v>2.61278578932E11</v>
      </c>
    </row>
    <row r="369">
      <c r="A369" s="1">
        <v>2806488.0</v>
      </c>
      <c r="B369" s="1" t="s">
        <v>3935</v>
      </c>
      <c r="C369" s="1" t="b">
        <v>1</v>
      </c>
      <c r="D369" s="1" t="b">
        <v>1</v>
      </c>
      <c r="E369" s="1" t="s">
        <v>3936</v>
      </c>
      <c r="F369" s="1" t="s">
        <v>3937</v>
      </c>
      <c r="G369" s="2">
        <f>+251937512713</f>
        <v>251937512713</v>
      </c>
      <c r="H369" s="1" t="s">
        <v>131</v>
      </c>
      <c r="I369" s="1" t="s">
        <v>19</v>
      </c>
      <c r="J369" s="1" t="s">
        <v>19</v>
      </c>
      <c r="K369" s="1" t="s">
        <v>25</v>
      </c>
      <c r="L369" s="1">
        <v>22.52</v>
      </c>
      <c r="M369" s="1" t="s">
        <v>21</v>
      </c>
    </row>
    <row r="370">
      <c r="A370" s="1">
        <v>2806643.0</v>
      </c>
      <c r="B370" s="1" t="s">
        <v>3938</v>
      </c>
      <c r="C370" s="1" t="b">
        <v>1</v>
      </c>
      <c r="D370" s="1" t="b">
        <v>1</v>
      </c>
      <c r="E370" s="1" t="s">
        <v>2801</v>
      </c>
      <c r="F370" s="1" t="s">
        <v>510</v>
      </c>
      <c r="G370" s="2">
        <f>+251989330708</f>
        <v>251989330708</v>
      </c>
      <c r="H370" s="1" t="s">
        <v>18</v>
      </c>
      <c r="I370" s="1" t="s">
        <v>19</v>
      </c>
      <c r="J370" s="1" t="s">
        <v>19</v>
      </c>
      <c r="K370" s="1" t="s">
        <v>20</v>
      </c>
      <c r="L370" s="1">
        <v>23.04</v>
      </c>
      <c r="M370" s="1" t="s">
        <v>21</v>
      </c>
      <c r="O370" s="1">
        <v>2.61374689489E11</v>
      </c>
    </row>
    <row r="371">
      <c r="A371" s="1">
        <v>2806760.0</v>
      </c>
      <c r="B371" s="1" t="s">
        <v>3371</v>
      </c>
      <c r="C371" s="1" t="b">
        <v>1</v>
      </c>
      <c r="D371" s="1" t="b">
        <v>1</v>
      </c>
      <c r="E371" s="1" t="s">
        <v>3372</v>
      </c>
      <c r="F371" s="1" t="s">
        <v>3373</v>
      </c>
      <c r="G371" s="2">
        <f>+251986794260</f>
        <v>251986794260</v>
      </c>
      <c r="H371" s="1" t="s">
        <v>18</v>
      </c>
      <c r="I371" s="1" t="s">
        <v>19</v>
      </c>
      <c r="J371" s="1" t="s">
        <v>19</v>
      </c>
      <c r="K371" s="1" t="s">
        <v>25</v>
      </c>
      <c r="L371" s="1">
        <v>21.01</v>
      </c>
      <c r="M371" s="1" t="s">
        <v>33</v>
      </c>
      <c r="N371" s="1" t="s">
        <v>118</v>
      </c>
      <c r="O371" s="1">
        <v>2.61380771036E11</v>
      </c>
    </row>
    <row r="372">
      <c r="A372" s="1">
        <v>25616.0</v>
      </c>
      <c r="B372" s="1" t="s">
        <v>3939</v>
      </c>
      <c r="C372" s="1" t="b">
        <v>1</v>
      </c>
      <c r="D372" s="1" t="b">
        <v>1</v>
      </c>
      <c r="E372" s="1" t="s">
        <v>3940</v>
      </c>
      <c r="F372" s="1" t="s">
        <v>3941</v>
      </c>
      <c r="G372" s="2">
        <f>+251901375745</f>
        <v>251901375745</v>
      </c>
      <c r="H372" s="1" t="s">
        <v>18</v>
      </c>
      <c r="I372" s="1" t="s">
        <v>19</v>
      </c>
      <c r="J372" s="1" t="s">
        <v>19</v>
      </c>
      <c r="K372" s="1" t="s">
        <v>20</v>
      </c>
      <c r="L372" s="1">
        <v>31.44</v>
      </c>
      <c r="M372" s="1" t="s">
        <v>21</v>
      </c>
      <c r="O372" s="1">
        <v>1457092.0</v>
      </c>
    </row>
    <row r="373">
      <c r="A373" s="1">
        <v>2807123.0</v>
      </c>
      <c r="B373" s="1" t="s">
        <v>3206</v>
      </c>
      <c r="C373" s="1" t="b">
        <v>0</v>
      </c>
      <c r="D373" s="1" t="b">
        <v>1</v>
      </c>
      <c r="E373" s="1" t="s">
        <v>29</v>
      </c>
      <c r="F373" s="1" t="s">
        <v>2660</v>
      </c>
      <c r="G373" s="2">
        <f>+251961399372</f>
        <v>251961399372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34.21</v>
      </c>
      <c r="M373" s="1" t="s">
        <v>26</v>
      </c>
      <c r="O373" s="1">
        <v>2.61356858594E11</v>
      </c>
    </row>
    <row r="374">
      <c r="A374" s="1">
        <v>2360739.0</v>
      </c>
      <c r="B374" s="1" t="s">
        <v>3374</v>
      </c>
      <c r="C374" s="1" t="b">
        <v>1</v>
      </c>
      <c r="D374" s="1" t="b">
        <v>1</v>
      </c>
      <c r="E374" s="1" t="s">
        <v>620</v>
      </c>
      <c r="F374" s="1" t="s">
        <v>3375</v>
      </c>
      <c r="G374" s="2">
        <f>+251996034672</f>
        <v>251996034672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13.71</v>
      </c>
      <c r="M374" s="1" t="s">
        <v>33</v>
      </c>
      <c r="N374" s="1" t="s">
        <v>65</v>
      </c>
    </row>
    <row r="375">
      <c r="A375" s="1">
        <v>2807558.0</v>
      </c>
      <c r="B375" s="1" t="s">
        <v>3942</v>
      </c>
      <c r="C375" s="1" t="b">
        <v>1</v>
      </c>
      <c r="D375" s="1" t="b">
        <v>1</v>
      </c>
      <c r="E375" s="1" t="s">
        <v>213</v>
      </c>
      <c r="F375" s="1" t="s">
        <v>204</v>
      </c>
      <c r="G375" s="2">
        <f>+251977901133</f>
        <v>251977901133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20.7</v>
      </c>
      <c r="M375" s="1" t="s">
        <v>21</v>
      </c>
      <c r="O375" s="1">
        <v>2.61420686552E11</v>
      </c>
    </row>
    <row r="376">
      <c r="A376" s="1">
        <v>2807482.0</v>
      </c>
      <c r="B376" s="1" t="s">
        <v>3943</v>
      </c>
      <c r="C376" s="1" t="b">
        <v>1</v>
      </c>
      <c r="D376" s="1" t="b">
        <v>1</v>
      </c>
      <c r="E376" s="1" t="s">
        <v>3944</v>
      </c>
      <c r="F376" s="1" t="s">
        <v>213</v>
      </c>
      <c r="G376" s="2">
        <f>+251926792942</f>
        <v>251926792942</v>
      </c>
      <c r="H376" s="1" t="s">
        <v>18</v>
      </c>
      <c r="I376" s="1" t="s">
        <v>19</v>
      </c>
      <c r="J376" s="1" t="s">
        <v>19</v>
      </c>
      <c r="K376" s="1" t="s">
        <v>25</v>
      </c>
      <c r="L376" s="1">
        <v>22.95</v>
      </c>
      <c r="M376" s="1" t="s">
        <v>21</v>
      </c>
      <c r="O376" s="1">
        <v>2.61398960345E11</v>
      </c>
    </row>
    <row r="377">
      <c r="A377" s="1">
        <v>2443111.0</v>
      </c>
      <c r="B377" s="1" t="s">
        <v>3945</v>
      </c>
      <c r="C377" s="1" t="b">
        <v>1</v>
      </c>
      <c r="D377" s="1" t="b">
        <v>1</v>
      </c>
      <c r="E377" s="1" t="s">
        <v>1485</v>
      </c>
      <c r="F377" s="1" t="s">
        <v>595</v>
      </c>
      <c r="G377" s="2">
        <f>+251953385931</f>
        <v>251953385931</v>
      </c>
      <c r="H377" s="1" t="s">
        <v>18</v>
      </c>
      <c r="I377" s="1" t="s">
        <v>19</v>
      </c>
      <c r="J377" s="1" t="s">
        <v>19</v>
      </c>
      <c r="K377" s="1" t="s">
        <v>20</v>
      </c>
      <c r="L377" s="1">
        <v>22.12</v>
      </c>
      <c r="M377" s="1" t="s">
        <v>21</v>
      </c>
      <c r="O377" s="1">
        <v>8.0899423453E10</v>
      </c>
    </row>
    <row r="378">
      <c r="A378" s="1">
        <v>2807489.0</v>
      </c>
      <c r="B378" s="1" t="s">
        <v>3376</v>
      </c>
      <c r="C378" s="1" t="b">
        <v>1</v>
      </c>
      <c r="D378" s="1" t="b">
        <v>1</v>
      </c>
      <c r="E378" s="1" t="s">
        <v>257</v>
      </c>
      <c r="F378" s="1" t="s">
        <v>3377</v>
      </c>
      <c r="G378" s="2">
        <f>+251920453055</f>
        <v>251920453055</v>
      </c>
      <c r="H378" s="1" t="s">
        <v>131</v>
      </c>
      <c r="I378" s="1" t="s">
        <v>19</v>
      </c>
      <c r="J378" s="1" t="s">
        <v>19</v>
      </c>
      <c r="K378" s="1" t="s">
        <v>25</v>
      </c>
      <c r="L378" s="1">
        <v>26.65</v>
      </c>
      <c r="M378" s="1" t="s">
        <v>33</v>
      </c>
      <c r="N378" s="1" t="s">
        <v>65</v>
      </c>
      <c r="O378" s="1">
        <v>2.61442201843E11</v>
      </c>
    </row>
    <row r="379">
      <c r="A379" s="1">
        <v>2808418.0</v>
      </c>
      <c r="B379" s="1" t="s">
        <v>3378</v>
      </c>
      <c r="C379" s="1" t="b">
        <v>1</v>
      </c>
      <c r="D379" s="1" t="b">
        <v>1</v>
      </c>
      <c r="E379" s="1" t="s">
        <v>245</v>
      </c>
      <c r="F379" s="1" t="s">
        <v>371</v>
      </c>
      <c r="G379" s="2">
        <f>+251701716076</f>
        <v>251701716076</v>
      </c>
      <c r="H379" s="1" t="s">
        <v>18</v>
      </c>
      <c r="I379" s="1" t="s">
        <v>19</v>
      </c>
      <c r="J379" s="1" t="s">
        <v>19</v>
      </c>
      <c r="K379" s="1" t="s">
        <v>20</v>
      </c>
      <c r="L379" s="1">
        <v>21.99</v>
      </c>
      <c r="M379" s="1" t="s">
        <v>33</v>
      </c>
      <c r="N379" s="1" t="s">
        <v>76</v>
      </c>
    </row>
    <row r="380">
      <c r="A380" s="1">
        <v>2809151.0</v>
      </c>
      <c r="B380" s="1" t="s">
        <v>3379</v>
      </c>
      <c r="C380" s="1" t="b">
        <v>1</v>
      </c>
      <c r="D380" s="1" t="b">
        <v>1</v>
      </c>
      <c r="E380" s="1" t="s">
        <v>536</v>
      </c>
      <c r="F380" s="1" t="s">
        <v>3380</v>
      </c>
      <c r="G380" s="2">
        <f>+251923824434</f>
        <v>251923824434</v>
      </c>
      <c r="H380" s="1" t="s">
        <v>18</v>
      </c>
      <c r="I380" s="1" t="s">
        <v>19</v>
      </c>
      <c r="J380" s="1" t="s">
        <v>19</v>
      </c>
      <c r="K380" s="1" t="s">
        <v>25</v>
      </c>
      <c r="L380" s="1">
        <v>29.98</v>
      </c>
      <c r="M380" s="1" t="s">
        <v>33</v>
      </c>
      <c r="N380" s="1" t="s">
        <v>34</v>
      </c>
      <c r="O380" s="1">
        <v>2.61866645729E11</v>
      </c>
    </row>
    <row r="381">
      <c r="A381" s="1">
        <v>1969674.0</v>
      </c>
      <c r="B381" s="1" t="s">
        <v>3381</v>
      </c>
      <c r="C381" s="1" t="b">
        <v>1</v>
      </c>
      <c r="D381" s="1" t="b">
        <v>1</v>
      </c>
      <c r="E381" s="1" t="s">
        <v>663</v>
      </c>
      <c r="F381" s="1" t="s">
        <v>1773</v>
      </c>
      <c r="G381" s="2">
        <f>+251915534450</f>
        <v>251915534450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27.61</v>
      </c>
      <c r="M381" s="1" t="s">
        <v>33</v>
      </c>
      <c r="N381" s="1" t="s">
        <v>34</v>
      </c>
    </row>
    <row r="382">
      <c r="A382" s="1">
        <v>2809706.0</v>
      </c>
      <c r="B382" s="1" t="s">
        <v>3946</v>
      </c>
      <c r="C382" s="1" t="b">
        <v>1</v>
      </c>
      <c r="D382" s="1" t="b">
        <v>1</v>
      </c>
      <c r="E382" s="1" t="s">
        <v>250</v>
      </c>
      <c r="F382" s="1" t="s">
        <v>3897</v>
      </c>
      <c r="G382" s="2">
        <f>+251969589856</f>
        <v>251969589856</v>
      </c>
      <c r="H382" s="1" t="s">
        <v>138</v>
      </c>
      <c r="I382" s="1" t="s">
        <v>19</v>
      </c>
      <c r="J382" s="1" t="s">
        <v>19</v>
      </c>
      <c r="K382" s="1" t="s">
        <v>25</v>
      </c>
      <c r="L382" s="1">
        <v>28.01</v>
      </c>
      <c r="M382" s="1" t="s">
        <v>21</v>
      </c>
      <c r="O382" s="1">
        <v>2.61975617736E11</v>
      </c>
    </row>
    <row r="383">
      <c r="A383" s="1">
        <v>1633100.0</v>
      </c>
      <c r="B383" s="1" t="s">
        <v>3947</v>
      </c>
      <c r="C383" s="1" t="b">
        <v>1</v>
      </c>
      <c r="D383" s="1" t="b">
        <v>1</v>
      </c>
      <c r="E383" s="1" t="s">
        <v>761</v>
      </c>
      <c r="F383" s="1" t="s">
        <v>858</v>
      </c>
      <c r="G383" s="2">
        <f>+251977335160</f>
        <v>251977335160</v>
      </c>
      <c r="H383" s="1" t="s">
        <v>18</v>
      </c>
      <c r="I383" s="1" t="s">
        <v>19</v>
      </c>
      <c r="J383" s="1" t="s">
        <v>19</v>
      </c>
      <c r="K383" s="1" t="s">
        <v>20</v>
      </c>
      <c r="L383" s="1">
        <v>22.34</v>
      </c>
      <c r="M383" s="1" t="s">
        <v>21</v>
      </c>
      <c r="O383" s="1">
        <v>2.0373928146E10</v>
      </c>
    </row>
    <row r="384">
      <c r="A384" s="1">
        <v>2809823.0</v>
      </c>
      <c r="B384" s="1" t="s">
        <v>3948</v>
      </c>
      <c r="C384" s="1" t="b">
        <v>1</v>
      </c>
      <c r="D384" s="1" t="b">
        <v>0</v>
      </c>
      <c r="E384" s="1" t="s">
        <v>1753</v>
      </c>
      <c r="F384" s="1" t="s">
        <v>3949</v>
      </c>
      <c r="G384" s="2">
        <f>+251914150585</f>
        <v>251914150585</v>
      </c>
      <c r="H384" s="1" t="s">
        <v>18</v>
      </c>
      <c r="I384" s="1" t="s">
        <v>19</v>
      </c>
      <c r="J384" s="1" t="s">
        <v>19</v>
      </c>
      <c r="K384" s="1" t="s">
        <v>20</v>
      </c>
      <c r="L384" s="1">
        <v>22.34</v>
      </c>
      <c r="M384" s="1" t="s">
        <v>21</v>
      </c>
      <c r="O384" s="1">
        <v>2.61986008306E11</v>
      </c>
    </row>
    <row r="385">
      <c r="A385" s="1">
        <v>2809838.0</v>
      </c>
      <c r="B385" s="1" t="s">
        <v>3382</v>
      </c>
      <c r="C385" s="1" t="b">
        <v>0</v>
      </c>
      <c r="D385" s="1" t="b">
        <v>1</v>
      </c>
      <c r="E385" s="1" t="s">
        <v>3383</v>
      </c>
      <c r="F385" s="1" t="s">
        <v>91</v>
      </c>
      <c r="G385" s="2">
        <f>+251940981659</f>
        <v>251940981659</v>
      </c>
      <c r="H385" s="1" t="s">
        <v>18</v>
      </c>
      <c r="I385" s="1" t="s">
        <v>19</v>
      </c>
      <c r="J385" s="1" t="s">
        <v>19</v>
      </c>
      <c r="K385" s="1" t="s">
        <v>25</v>
      </c>
      <c r="L385" s="1">
        <v>13.6</v>
      </c>
      <c r="M385" s="1" t="s">
        <v>33</v>
      </c>
      <c r="N385" s="1" t="s">
        <v>65</v>
      </c>
      <c r="O385" s="1">
        <v>2.61990265063E11</v>
      </c>
    </row>
    <row r="386">
      <c r="A386" s="1">
        <v>2810276.0</v>
      </c>
      <c r="B386" s="1" t="s">
        <v>3207</v>
      </c>
      <c r="C386" s="1" t="b">
        <v>0</v>
      </c>
      <c r="D386" s="1" t="b">
        <v>1</v>
      </c>
      <c r="E386" s="1" t="s">
        <v>3208</v>
      </c>
      <c r="F386" s="1" t="s">
        <v>313</v>
      </c>
      <c r="G386" s="2">
        <f>+251904847122</f>
        <v>251904847122</v>
      </c>
      <c r="H386" s="1" t="s">
        <v>18</v>
      </c>
      <c r="I386" s="1" t="s">
        <v>19</v>
      </c>
      <c r="J386" s="1" t="s">
        <v>19</v>
      </c>
      <c r="K386" s="1" t="s">
        <v>25</v>
      </c>
      <c r="L386" s="1">
        <v>19.37</v>
      </c>
      <c r="M386" s="1" t="s">
        <v>26</v>
      </c>
    </row>
    <row r="387">
      <c r="A387" s="1">
        <v>2810433.0</v>
      </c>
      <c r="B387" s="1" t="s">
        <v>3950</v>
      </c>
      <c r="C387" s="1" t="b">
        <v>1</v>
      </c>
      <c r="D387" s="1" t="b">
        <v>1</v>
      </c>
      <c r="E387" s="1" t="s">
        <v>877</v>
      </c>
      <c r="F387" s="1" t="s">
        <v>3951</v>
      </c>
      <c r="G387" s="2">
        <f>+251983184964</f>
        <v>251983184964</v>
      </c>
      <c r="H387" s="1" t="s">
        <v>18</v>
      </c>
      <c r="I387" s="1" t="s">
        <v>19</v>
      </c>
      <c r="J387" s="1" t="s">
        <v>19</v>
      </c>
      <c r="K387" s="1" t="s">
        <v>20</v>
      </c>
      <c r="L387" s="1">
        <v>26.56</v>
      </c>
      <c r="M387" s="1" t="s">
        <v>21</v>
      </c>
      <c r="O387" s="1">
        <v>8732176.0</v>
      </c>
    </row>
    <row r="388">
      <c r="A388" s="1">
        <v>2810680.0</v>
      </c>
      <c r="B388" s="1" t="s">
        <v>3209</v>
      </c>
      <c r="C388" s="1" t="b">
        <v>0</v>
      </c>
      <c r="D388" s="1" t="b">
        <v>1</v>
      </c>
      <c r="E388" s="1" t="s">
        <v>817</v>
      </c>
      <c r="F388" s="1" t="s">
        <v>3210</v>
      </c>
      <c r="G388" s="2">
        <f>+251982527962</f>
        <v>251982527962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21.58</v>
      </c>
      <c r="M388" s="1" t="s">
        <v>26</v>
      </c>
      <c r="O388" s="1">
        <v>2.6214622229E11</v>
      </c>
    </row>
    <row r="389">
      <c r="A389" s="1">
        <v>2811124.0</v>
      </c>
      <c r="B389" s="1" t="s">
        <v>3952</v>
      </c>
      <c r="C389" s="1" t="b">
        <v>1</v>
      </c>
      <c r="D389" s="1" t="b">
        <v>1</v>
      </c>
      <c r="E389" s="1" t="s">
        <v>3953</v>
      </c>
      <c r="F389" s="1" t="s">
        <v>3954</v>
      </c>
      <c r="G389" s="2">
        <f>+251937323911</f>
        <v>251937323911</v>
      </c>
      <c r="H389" s="1" t="s">
        <v>18</v>
      </c>
      <c r="I389" s="1" t="s">
        <v>19</v>
      </c>
      <c r="J389" s="1" t="s">
        <v>19</v>
      </c>
      <c r="K389" s="1" t="s">
        <v>25</v>
      </c>
      <c r="L389" s="1">
        <v>22.04</v>
      </c>
      <c r="M389" s="1" t="s">
        <v>21</v>
      </c>
      <c r="O389" s="1">
        <v>2.6224351048E11</v>
      </c>
    </row>
    <row r="390">
      <c r="A390" s="1">
        <v>2811227.0</v>
      </c>
      <c r="B390" s="1" t="s">
        <v>3955</v>
      </c>
      <c r="C390" s="1" t="b">
        <v>1</v>
      </c>
      <c r="D390" s="1" t="b">
        <v>1</v>
      </c>
      <c r="E390" s="1" t="s">
        <v>3956</v>
      </c>
      <c r="F390" s="1" t="s">
        <v>3957</v>
      </c>
      <c r="G390" s="2">
        <f>+251901617173</f>
        <v>251901617173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24.03</v>
      </c>
      <c r="M390" s="1" t="s">
        <v>21</v>
      </c>
    </row>
    <row r="391">
      <c r="A391" s="1">
        <v>2811308.0</v>
      </c>
      <c r="B391" s="1" t="s">
        <v>3211</v>
      </c>
      <c r="C391" s="1" t="b">
        <v>0</v>
      </c>
      <c r="D391" s="1" t="b">
        <v>1</v>
      </c>
      <c r="E391" s="1" t="s">
        <v>3212</v>
      </c>
      <c r="F391" s="1" t="s">
        <v>3213</v>
      </c>
      <c r="G391" s="2">
        <f>+251969061121</f>
        <v>251969061121</v>
      </c>
      <c r="H391" s="1" t="s">
        <v>72</v>
      </c>
      <c r="I391" s="1" t="s">
        <v>19</v>
      </c>
      <c r="J391" s="1" t="s">
        <v>19</v>
      </c>
      <c r="K391" s="1" t="s">
        <v>25</v>
      </c>
      <c r="L391" s="1">
        <v>32.27</v>
      </c>
      <c r="M391" s="1" t="s">
        <v>26</v>
      </c>
      <c r="O391" s="1">
        <v>2.62238434526E11</v>
      </c>
    </row>
    <row r="392">
      <c r="A392" s="1">
        <v>2811581.0</v>
      </c>
      <c r="B392" s="1" t="s">
        <v>3958</v>
      </c>
      <c r="C392" s="1" t="b">
        <v>1</v>
      </c>
      <c r="D392" s="1" t="b">
        <v>1</v>
      </c>
      <c r="E392" s="1" t="s">
        <v>3683</v>
      </c>
      <c r="F392" s="1" t="s">
        <v>3959</v>
      </c>
      <c r="G392" s="2">
        <f>+251932409459</f>
        <v>251932409459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23.85</v>
      </c>
      <c r="M392" s="1" t="s">
        <v>21</v>
      </c>
      <c r="O392" s="1">
        <v>2.6226656994E11</v>
      </c>
    </row>
    <row r="393">
      <c r="A393" s="1">
        <v>2811783.0</v>
      </c>
      <c r="B393" s="1" t="s">
        <v>3960</v>
      </c>
      <c r="C393" s="1" t="b">
        <v>1</v>
      </c>
      <c r="D393" s="1" t="b">
        <v>1</v>
      </c>
      <c r="E393" s="1" t="s">
        <v>3961</v>
      </c>
      <c r="F393" s="1" t="s">
        <v>3232</v>
      </c>
      <c r="G393" s="2">
        <f>+251976140907</f>
        <v>251976140907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28.77</v>
      </c>
      <c r="M393" s="1" t="s">
        <v>21</v>
      </c>
      <c r="O393" s="1">
        <v>2.62286266556E11</v>
      </c>
    </row>
    <row r="394">
      <c r="A394" s="1">
        <v>2811814.0</v>
      </c>
      <c r="B394" s="1" t="s">
        <v>3962</v>
      </c>
      <c r="C394" s="1" t="b">
        <v>1</v>
      </c>
      <c r="D394" s="1" t="b">
        <v>1</v>
      </c>
      <c r="E394" s="1" t="s">
        <v>948</v>
      </c>
      <c r="F394" s="1" t="s">
        <v>141</v>
      </c>
      <c r="G394" s="2">
        <f>+251914548515</f>
        <v>251914548515</v>
      </c>
      <c r="H394" s="1" t="s">
        <v>572</v>
      </c>
      <c r="I394" s="1" t="s">
        <v>19</v>
      </c>
      <c r="J394" s="1" t="s">
        <v>19</v>
      </c>
      <c r="K394" s="1" t="s">
        <v>25</v>
      </c>
      <c r="L394" s="1">
        <v>20.15</v>
      </c>
      <c r="M394" s="1" t="s">
        <v>21</v>
      </c>
      <c r="O394" s="1">
        <v>2.62348963049E11</v>
      </c>
    </row>
    <row r="395">
      <c r="A395" s="1">
        <v>2811772.0</v>
      </c>
      <c r="B395" s="1" t="s">
        <v>3384</v>
      </c>
      <c r="C395" s="1" t="b">
        <v>0</v>
      </c>
      <c r="D395" s="1" t="b">
        <v>1</v>
      </c>
      <c r="E395" s="1" t="s">
        <v>1059</v>
      </c>
      <c r="F395" s="1" t="s">
        <v>319</v>
      </c>
      <c r="G395" s="2">
        <f>+251927075311</f>
        <v>251927075311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34.61</v>
      </c>
      <c r="M395" s="1" t="s">
        <v>33</v>
      </c>
      <c r="N395" s="1" t="s">
        <v>118</v>
      </c>
    </row>
    <row r="396">
      <c r="A396" s="1">
        <v>2812211.0</v>
      </c>
      <c r="B396" s="1" t="s">
        <v>3385</v>
      </c>
      <c r="C396" s="1" t="b">
        <v>1</v>
      </c>
      <c r="D396" s="1" t="b">
        <v>1</v>
      </c>
      <c r="E396" s="1" t="s">
        <v>28</v>
      </c>
      <c r="F396" s="1" t="s">
        <v>534</v>
      </c>
      <c r="G396" s="2">
        <f>+251914723108</f>
        <v>251914723108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18.47</v>
      </c>
      <c r="M396" s="1" t="s">
        <v>33</v>
      </c>
      <c r="N396" s="1" t="s">
        <v>34</v>
      </c>
      <c r="O396" s="1">
        <v>2.6231339542E11</v>
      </c>
    </row>
    <row r="397">
      <c r="A397" s="1">
        <v>2812361.0</v>
      </c>
      <c r="B397" s="1" t="s">
        <v>3963</v>
      </c>
      <c r="C397" s="1" t="b">
        <v>1</v>
      </c>
      <c r="D397" s="1" t="b">
        <v>1</v>
      </c>
      <c r="E397" s="1" t="s">
        <v>3964</v>
      </c>
      <c r="F397" s="1" t="s">
        <v>3965</v>
      </c>
      <c r="G397" s="2">
        <f>+251984264707</f>
        <v>251984264707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18.68</v>
      </c>
      <c r="M397" s="1" t="s">
        <v>21</v>
      </c>
      <c r="O397" s="1">
        <v>2.62372425968E11</v>
      </c>
    </row>
    <row r="398">
      <c r="A398" s="1">
        <v>2812944.0</v>
      </c>
      <c r="B398" s="1" t="s">
        <v>3386</v>
      </c>
      <c r="C398" s="1" t="b">
        <v>1</v>
      </c>
      <c r="D398" s="1" t="b">
        <v>1</v>
      </c>
      <c r="E398" s="1" t="s">
        <v>3387</v>
      </c>
      <c r="F398" s="1" t="s">
        <v>3388</v>
      </c>
      <c r="G398" s="2">
        <f>+251963456922</f>
        <v>251963456922</v>
      </c>
      <c r="H398" s="1" t="s">
        <v>18</v>
      </c>
      <c r="I398" s="1" t="s">
        <v>19</v>
      </c>
      <c r="J398" s="1" t="s">
        <v>19</v>
      </c>
      <c r="K398" s="1" t="s">
        <v>25</v>
      </c>
      <c r="L398" s="1">
        <v>24.42</v>
      </c>
      <c r="M398" s="1" t="s">
        <v>33</v>
      </c>
      <c r="N398" s="1" t="s">
        <v>76</v>
      </c>
      <c r="O398" s="1">
        <v>2.62341299403E11</v>
      </c>
    </row>
    <row r="399">
      <c r="A399" s="1">
        <v>766288.0</v>
      </c>
      <c r="B399" s="1" t="s">
        <v>3966</v>
      </c>
      <c r="C399" s="1" t="b">
        <v>1</v>
      </c>
      <c r="D399" s="1" t="b">
        <v>1</v>
      </c>
      <c r="E399" s="1" t="s">
        <v>3967</v>
      </c>
      <c r="F399" s="1" t="s">
        <v>3968</v>
      </c>
      <c r="G399" s="2">
        <f>+256748979059</f>
        <v>256748979059</v>
      </c>
      <c r="H399" s="1" t="s">
        <v>18</v>
      </c>
      <c r="I399" s="1" t="s">
        <v>19</v>
      </c>
      <c r="J399" s="1" t="s">
        <v>19</v>
      </c>
      <c r="K399" s="1" t="s">
        <v>25</v>
      </c>
      <c r="L399" s="1">
        <v>23.74</v>
      </c>
      <c r="M399" s="1" t="s">
        <v>21</v>
      </c>
    </row>
    <row r="400">
      <c r="A400" s="1">
        <v>2813630.0</v>
      </c>
      <c r="B400" s="1" t="s">
        <v>3969</v>
      </c>
      <c r="C400" s="1" t="b">
        <v>1</v>
      </c>
      <c r="D400" s="1" t="b">
        <v>1</v>
      </c>
      <c r="E400" s="1" t="s">
        <v>2314</v>
      </c>
      <c r="F400" s="1" t="s">
        <v>3970</v>
      </c>
      <c r="G400" s="2">
        <f>+251902932900</f>
        <v>251902932900</v>
      </c>
      <c r="H400" s="1" t="s">
        <v>80</v>
      </c>
      <c r="I400" s="1" t="s">
        <v>19</v>
      </c>
      <c r="J400" s="1" t="s">
        <v>19</v>
      </c>
      <c r="K400" s="1" t="s">
        <v>25</v>
      </c>
      <c r="L400" s="1">
        <v>23.66</v>
      </c>
      <c r="M400" s="1" t="s">
        <v>21</v>
      </c>
    </row>
    <row r="401">
      <c r="A401" s="1">
        <v>2814018.0</v>
      </c>
      <c r="B401" s="1" t="s">
        <v>3971</v>
      </c>
      <c r="C401" s="1" t="b">
        <v>1</v>
      </c>
      <c r="D401" s="1" t="b">
        <v>1</v>
      </c>
      <c r="E401" s="1" t="s">
        <v>3972</v>
      </c>
      <c r="F401" s="1" t="s">
        <v>3973</v>
      </c>
      <c r="G401" s="2">
        <f>+251946127900</f>
        <v>251946127900</v>
      </c>
      <c r="H401" s="1" t="s">
        <v>18</v>
      </c>
      <c r="I401" s="1" t="s">
        <v>19</v>
      </c>
      <c r="J401" s="1" t="s">
        <v>19</v>
      </c>
      <c r="K401" s="1" t="s">
        <v>20</v>
      </c>
      <c r="L401" s="1">
        <v>29.62</v>
      </c>
      <c r="M401" s="1" t="s">
        <v>21</v>
      </c>
      <c r="O401" s="1">
        <v>2.62628990193E11</v>
      </c>
    </row>
    <row r="402">
      <c r="A402" s="1">
        <v>2814120.0</v>
      </c>
      <c r="B402" s="1" t="s">
        <v>3974</v>
      </c>
      <c r="C402" s="1" t="b">
        <v>1</v>
      </c>
      <c r="D402" s="1" t="b">
        <v>1</v>
      </c>
      <c r="E402" s="1" t="s">
        <v>836</v>
      </c>
      <c r="F402" s="1" t="s">
        <v>1760</v>
      </c>
      <c r="G402" s="2">
        <f>+251982293746</f>
        <v>251982293746</v>
      </c>
      <c r="H402" s="1" t="s">
        <v>488</v>
      </c>
      <c r="I402" s="1" t="s">
        <v>19</v>
      </c>
      <c r="J402" s="1" t="s">
        <v>19</v>
      </c>
      <c r="K402" s="1" t="s">
        <v>25</v>
      </c>
      <c r="L402" s="1">
        <v>24.32</v>
      </c>
      <c r="M402" s="1" t="s">
        <v>21</v>
      </c>
    </row>
    <row r="403">
      <c r="A403" s="1">
        <v>2814161.0</v>
      </c>
      <c r="B403" s="1" t="s">
        <v>3975</v>
      </c>
      <c r="C403" s="1" t="b">
        <v>1</v>
      </c>
      <c r="D403" s="1" t="b">
        <v>1</v>
      </c>
      <c r="E403" s="1" t="s">
        <v>3976</v>
      </c>
      <c r="F403" s="1" t="s">
        <v>3977</v>
      </c>
      <c r="G403" s="2">
        <f>+251930830801</f>
        <v>251930830801</v>
      </c>
      <c r="H403" s="1" t="s">
        <v>18</v>
      </c>
      <c r="I403" s="1" t="s">
        <v>19</v>
      </c>
      <c r="J403" s="1" t="s">
        <v>19</v>
      </c>
      <c r="K403" s="1" t="s">
        <v>25</v>
      </c>
      <c r="L403" s="1">
        <v>25.16</v>
      </c>
      <c r="M403" s="1" t="s">
        <v>21</v>
      </c>
      <c r="O403" s="1">
        <v>2.62685568225E11</v>
      </c>
    </row>
    <row r="404">
      <c r="A404" s="1">
        <v>2814339.0</v>
      </c>
      <c r="B404" s="1" t="s">
        <v>3978</v>
      </c>
      <c r="C404" s="1" t="b">
        <v>1</v>
      </c>
      <c r="D404" s="1" t="b">
        <v>1</v>
      </c>
      <c r="E404" s="1" t="s">
        <v>3979</v>
      </c>
      <c r="F404" s="1" t="s">
        <v>3980</v>
      </c>
      <c r="G404" s="2">
        <f>+251935305716</f>
        <v>251935305716</v>
      </c>
      <c r="H404" s="1" t="s">
        <v>18</v>
      </c>
      <c r="I404" s="1" t="s">
        <v>19</v>
      </c>
      <c r="J404" s="1" t="s">
        <v>19</v>
      </c>
      <c r="K404" s="1" t="s">
        <v>20</v>
      </c>
      <c r="L404" s="1">
        <v>29.0</v>
      </c>
      <c r="M404" s="1" t="s">
        <v>21</v>
      </c>
      <c r="O404" s="1">
        <v>6403374.0</v>
      </c>
    </row>
    <row r="405">
      <c r="A405" s="1">
        <v>2814408.0</v>
      </c>
      <c r="B405" s="1" t="s">
        <v>3981</v>
      </c>
      <c r="C405" s="1" t="b">
        <v>1</v>
      </c>
      <c r="D405" s="1" t="b">
        <v>1</v>
      </c>
      <c r="E405" s="1" t="s">
        <v>108</v>
      </c>
      <c r="F405" s="1" t="s">
        <v>3982</v>
      </c>
      <c r="G405" s="2">
        <f>+251911595244</f>
        <v>251911595244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34.24</v>
      </c>
      <c r="M405" s="1" t="s">
        <v>21</v>
      </c>
      <c r="O405" s="1">
        <v>2.62709979344E11</v>
      </c>
    </row>
    <row r="406">
      <c r="A406" s="1">
        <v>2805232.0</v>
      </c>
      <c r="B406" s="1" t="s">
        <v>3983</v>
      </c>
      <c r="C406" s="1" t="b">
        <v>1</v>
      </c>
      <c r="D406" s="1" t="b">
        <v>1</v>
      </c>
      <c r="E406" s="1" t="s">
        <v>3984</v>
      </c>
      <c r="F406" s="1" t="s">
        <v>3985</v>
      </c>
      <c r="G406" s="2">
        <f>+251903899490</f>
        <v>251903899490</v>
      </c>
      <c r="H406" s="1" t="s">
        <v>18</v>
      </c>
      <c r="I406" s="1" t="s">
        <v>19</v>
      </c>
      <c r="J406" s="1" t="s">
        <v>19</v>
      </c>
      <c r="K406" s="1" t="s">
        <v>25</v>
      </c>
      <c r="L406" s="1">
        <v>18.84</v>
      </c>
      <c r="M406" s="1" t="s">
        <v>21</v>
      </c>
      <c r="O406" s="1">
        <v>2.61079736529E11</v>
      </c>
    </row>
    <row r="407">
      <c r="A407" s="1">
        <v>2814604.0</v>
      </c>
      <c r="B407" s="1" t="s">
        <v>3986</v>
      </c>
      <c r="C407" s="1" t="b">
        <v>1</v>
      </c>
      <c r="D407" s="1" t="b">
        <v>1</v>
      </c>
      <c r="E407" s="1" t="s">
        <v>3987</v>
      </c>
      <c r="F407" s="1" t="s">
        <v>3988</v>
      </c>
      <c r="G407" s="2">
        <f>+251924895558</f>
        <v>251924895558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23.46</v>
      </c>
      <c r="M407" s="1" t="s">
        <v>21</v>
      </c>
    </row>
    <row r="408">
      <c r="A408" s="1">
        <v>2815465.0</v>
      </c>
      <c r="B408" s="1" t="s">
        <v>3989</v>
      </c>
      <c r="C408" s="1" t="b">
        <v>1</v>
      </c>
      <c r="D408" s="1" t="b">
        <v>1</v>
      </c>
      <c r="E408" s="1" t="s">
        <v>2409</v>
      </c>
      <c r="F408" s="1" t="s">
        <v>644</v>
      </c>
      <c r="G408" s="2">
        <f>+251920319544</f>
        <v>251920319544</v>
      </c>
      <c r="H408" s="1" t="s">
        <v>18</v>
      </c>
      <c r="I408" s="1" t="s">
        <v>19</v>
      </c>
      <c r="J408" s="1" t="s">
        <v>19</v>
      </c>
      <c r="K408" s="1" t="s">
        <v>25</v>
      </c>
      <c r="L408" s="1">
        <v>29.61</v>
      </c>
      <c r="M408" s="1" t="s">
        <v>21</v>
      </c>
      <c r="O408" s="1">
        <v>5315802.0</v>
      </c>
    </row>
    <row r="409">
      <c r="A409" s="1">
        <v>189602.0</v>
      </c>
      <c r="B409" s="1" t="s">
        <v>3990</v>
      </c>
      <c r="C409" s="1" t="b">
        <v>1</v>
      </c>
      <c r="D409" s="1" t="b">
        <v>1</v>
      </c>
      <c r="E409" s="1" t="s">
        <v>750</v>
      </c>
      <c r="F409" s="1" t="s">
        <v>2120</v>
      </c>
      <c r="G409" s="2">
        <f>+251936212355</f>
        <v>251936212355</v>
      </c>
      <c r="H409" s="1" t="s">
        <v>18</v>
      </c>
      <c r="I409" s="1" t="s">
        <v>19</v>
      </c>
      <c r="J409" s="1" t="s">
        <v>19</v>
      </c>
      <c r="K409" s="1" t="s">
        <v>20</v>
      </c>
      <c r="L409" s="1">
        <v>27.5</v>
      </c>
      <c r="M409" s="1" t="s">
        <v>21</v>
      </c>
      <c r="O409" s="1">
        <v>776254.0</v>
      </c>
    </row>
    <row r="410">
      <c r="A410" s="1">
        <v>2815752.0</v>
      </c>
      <c r="B410" s="1" t="s">
        <v>3991</v>
      </c>
      <c r="C410" s="1" t="b">
        <v>1</v>
      </c>
      <c r="D410" s="1" t="b">
        <v>1</v>
      </c>
      <c r="E410" s="1" t="s">
        <v>474</v>
      </c>
      <c r="F410" s="1" t="s">
        <v>3992</v>
      </c>
      <c r="G410" s="2">
        <f>+251900593262</f>
        <v>251900593262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28.31</v>
      </c>
      <c r="M410" s="1" t="s">
        <v>21</v>
      </c>
      <c r="O410" s="1">
        <v>5875949.0</v>
      </c>
    </row>
    <row r="411">
      <c r="A411" s="1">
        <v>2815999.0</v>
      </c>
      <c r="B411" s="1" t="s">
        <v>3993</v>
      </c>
      <c r="C411" s="1" t="b">
        <v>1</v>
      </c>
      <c r="D411" s="1" t="b">
        <v>1</v>
      </c>
      <c r="E411" s="1" t="s">
        <v>691</v>
      </c>
      <c r="F411" s="1" t="s">
        <v>3994</v>
      </c>
      <c r="G411" s="2">
        <f>+1909275476</f>
        <v>1909275476</v>
      </c>
      <c r="H411" s="1" t="s">
        <v>18</v>
      </c>
      <c r="I411" s="1" t="s">
        <v>19</v>
      </c>
      <c r="J411" s="1" t="s">
        <v>19</v>
      </c>
      <c r="K411" s="1" t="s">
        <v>25</v>
      </c>
      <c r="L411" s="1">
        <v>33.02</v>
      </c>
      <c r="M411" s="1" t="s">
        <v>21</v>
      </c>
    </row>
    <row r="412">
      <c r="A412" s="1">
        <v>2816717.0</v>
      </c>
      <c r="B412" s="1" t="s">
        <v>3389</v>
      </c>
      <c r="C412" s="1" t="b">
        <v>1</v>
      </c>
      <c r="D412" s="1" t="b">
        <v>1</v>
      </c>
      <c r="E412" s="1" t="s">
        <v>3390</v>
      </c>
      <c r="F412" s="1" t="s">
        <v>1922</v>
      </c>
      <c r="G412" s="2">
        <f>+251967385457</f>
        <v>251967385457</v>
      </c>
      <c r="H412" s="1" t="s">
        <v>18</v>
      </c>
      <c r="I412" s="1" t="s">
        <v>19</v>
      </c>
      <c r="J412" s="1" t="s">
        <v>19</v>
      </c>
      <c r="K412" s="1" t="s">
        <v>25</v>
      </c>
      <c r="L412" s="1">
        <v>22.02</v>
      </c>
      <c r="M412" s="1" t="s">
        <v>33</v>
      </c>
      <c r="N412" s="1" t="s">
        <v>177</v>
      </c>
      <c r="O412" s="1">
        <v>2.63039322346E11</v>
      </c>
    </row>
    <row r="413">
      <c r="A413" s="1">
        <v>2817100.0</v>
      </c>
      <c r="B413" s="1" t="s">
        <v>3391</v>
      </c>
      <c r="C413" s="1" t="b">
        <v>0</v>
      </c>
      <c r="D413" s="1" t="b">
        <v>1</v>
      </c>
      <c r="E413" s="1" t="s">
        <v>1959</v>
      </c>
      <c r="F413" s="1" t="s">
        <v>3392</v>
      </c>
      <c r="G413" s="2">
        <f>+251910208206</f>
        <v>251910208206</v>
      </c>
      <c r="H413" s="1" t="s">
        <v>18</v>
      </c>
      <c r="I413" s="1" t="s">
        <v>19</v>
      </c>
      <c r="J413" s="1" t="s">
        <v>19</v>
      </c>
      <c r="K413" s="1" t="s">
        <v>25</v>
      </c>
      <c r="L413" s="1">
        <v>33.57</v>
      </c>
      <c r="M413" s="1" t="s">
        <v>33</v>
      </c>
      <c r="N413" s="1" t="s">
        <v>65</v>
      </c>
      <c r="O413" s="1">
        <v>2.63099793634E11</v>
      </c>
    </row>
    <row r="414">
      <c r="A414" s="1">
        <v>1942984.0</v>
      </c>
      <c r="B414" s="1" t="s">
        <v>3995</v>
      </c>
      <c r="C414" s="1" t="b">
        <v>1</v>
      </c>
      <c r="D414" s="1" t="b">
        <v>1</v>
      </c>
      <c r="E414" s="1" t="s">
        <v>3996</v>
      </c>
      <c r="F414" s="1" t="s">
        <v>3997</v>
      </c>
      <c r="G414" s="2">
        <f>+251912905004</f>
        <v>251912905004</v>
      </c>
      <c r="H414" s="1" t="s">
        <v>18</v>
      </c>
      <c r="I414" s="1" t="s">
        <v>19</v>
      </c>
      <c r="J414" s="1" t="s">
        <v>19</v>
      </c>
      <c r="K414" s="1" t="s">
        <v>25</v>
      </c>
      <c r="L414" s="1">
        <v>28.53</v>
      </c>
      <c r="M414" s="1" t="s">
        <v>21</v>
      </c>
      <c r="O414" s="1">
        <v>2.7263626989E10</v>
      </c>
    </row>
    <row r="415">
      <c r="A415" s="1">
        <v>2817553.0</v>
      </c>
      <c r="B415" s="1" t="s">
        <v>3998</v>
      </c>
      <c r="C415" s="1" t="b">
        <v>1</v>
      </c>
      <c r="D415" s="1" t="b">
        <v>1</v>
      </c>
      <c r="E415" s="1" t="s">
        <v>3450</v>
      </c>
      <c r="F415" s="1" t="s">
        <v>3999</v>
      </c>
      <c r="G415" s="2">
        <f>+251912467167</f>
        <v>251912467167</v>
      </c>
      <c r="H415" s="1" t="s">
        <v>18</v>
      </c>
      <c r="I415" s="1" t="s">
        <v>19</v>
      </c>
      <c r="J415" s="1" t="s">
        <v>19</v>
      </c>
      <c r="K415" s="1" t="s">
        <v>25</v>
      </c>
      <c r="L415" s="1">
        <v>30.31</v>
      </c>
      <c r="M415" s="1" t="s">
        <v>21</v>
      </c>
      <c r="O415" s="1">
        <v>2.63127308515E11</v>
      </c>
    </row>
    <row r="416">
      <c r="A416" s="1">
        <v>2819496.0</v>
      </c>
      <c r="B416" s="1" t="s">
        <v>3214</v>
      </c>
      <c r="C416" s="1" t="b">
        <v>0</v>
      </c>
      <c r="D416" s="1" t="b">
        <v>1</v>
      </c>
      <c r="E416" s="1" t="s">
        <v>411</v>
      </c>
      <c r="F416" s="1" t="s">
        <v>3215</v>
      </c>
      <c r="G416" s="2">
        <f>+251954923720</f>
        <v>251954923720</v>
      </c>
      <c r="H416" s="1" t="s">
        <v>72</v>
      </c>
      <c r="I416" s="1" t="s">
        <v>19</v>
      </c>
      <c r="J416" s="1" t="s">
        <v>19</v>
      </c>
      <c r="K416" s="1" t="s">
        <v>25</v>
      </c>
      <c r="L416" s="1">
        <v>21.9</v>
      </c>
      <c r="M416" s="1" t="s">
        <v>26</v>
      </c>
      <c r="O416" s="1">
        <v>2.63580305597E11</v>
      </c>
    </row>
    <row r="417">
      <c r="A417" s="1">
        <v>1454022.0</v>
      </c>
      <c r="B417" s="1" t="s">
        <v>4000</v>
      </c>
      <c r="C417" s="1" t="b">
        <v>1</v>
      </c>
      <c r="D417" s="1" t="b">
        <v>1</v>
      </c>
      <c r="E417" s="1" t="s">
        <v>993</v>
      </c>
      <c r="F417" s="1" t="s">
        <v>1897</v>
      </c>
      <c r="G417" s="2">
        <f>+251943137607</f>
        <v>251943137607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24.17</v>
      </c>
      <c r="M417" s="1" t="s">
        <v>21</v>
      </c>
      <c r="O417" s="1">
        <v>8900845.0</v>
      </c>
    </row>
    <row r="418">
      <c r="A418" s="1">
        <v>2820363.0</v>
      </c>
      <c r="B418" s="1" t="s">
        <v>4001</v>
      </c>
      <c r="C418" s="1" t="b">
        <v>1</v>
      </c>
      <c r="D418" s="1" t="b">
        <v>1</v>
      </c>
      <c r="E418" s="1" t="s">
        <v>4002</v>
      </c>
      <c r="F418" s="1" t="s">
        <v>4003</v>
      </c>
      <c r="G418" s="2">
        <f>+251920119464</f>
        <v>251920119464</v>
      </c>
      <c r="H418" s="1" t="s">
        <v>18</v>
      </c>
      <c r="I418" s="1" t="s">
        <v>19</v>
      </c>
      <c r="J418" s="1" t="s">
        <v>19</v>
      </c>
      <c r="K418" s="1" t="s">
        <v>25</v>
      </c>
      <c r="L418" s="1">
        <v>20.29</v>
      </c>
      <c r="M418" s="1" t="s">
        <v>21</v>
      </c>
    </row>
    <row r="419">
      <c r="A419" s="1">
        <v>1977607.0</v>
      </c>
      <c r="B419" s="1" t="s">
        <v>4004</v>
      </c>
      <c r="C419" s="1" t="b">
        <v>1</v>
      </c>
      <c r="D419" s="1" t="b">
        <v>1</v>
      </c>
      <c r="E419" s="1" t="s">
        <v>3607</v>
      </c>
      <c r="F419" s="1" t="s">
        <v>4005</v>
      </c>
      <c r="G419" s="2">
        <f>+251935353437</f>
        <v>251935353437</v>
      </c>
      <c r="H419" s="1" t="s">
        <v>18</v>
      </c>
      <c r="I419" s="1" t="s">
        <v>19</v>
      </c>
      <c r="J419" s="1" t="s">
        <v>19</v>
      </c>
      <c r="K419" s="1" t="s">
        <v>20</v>
      </c>
      <c r="L419" s="1">
        <v>20.44</v>
      </c>
      <c r="M419" s="1" t="s">
        <v>21</v>
      </c>
      <c r="O419" s="1">
        <v>3.1158847168E10</v>
      </c>
    </row>
    <row r="420">
      <c r="A420" s="1">
        <v>2755178.0</v>
      </c>
      <c r="B420" s="1" t="s">
        <v>4006</v>
      </c>
      <c r="C420" s="1" t="b">
        <v>1</v>
      </c>
      <c r="D420" s="1" t="b">
        <v>1</v>
      </c>
      <c r="E420" s="1" t="s">
        <v>2068</v>
      </c>
      <c r="F420" s="1" t="s">
        <v>91</v>
      </c>
      <c r="G420" s="2">
        <f>+251927692925</f>
        <v>251927692925</v>
      </c>
      <c r="H420" s="1" t="s">
        <v>18</v>
      </c>
      <c r="I420" s="1" t="s">
        <v>19</v>
      </c>
      <c r="J420" s="1" t="s">
        <v>19</v>
      </c>
      <c r="K420" s="1" t="s">
        <v>20</v>
      </c>
      <c r="L420" s="1">
        <v>29.26</v>
      </c>
      <c r="M420" s="1" t="s">
        <v>21</v>
      </c>
      <c r="O420" s="1">
        <v>2.46424302793E11</v>
      </c>
    </row>
    <row r="421">
      <c r="A421" s="1">
        <v>2820717.0</v>
      </c>
      <c r="B421" s="1" t="s">
        <v>4007</v>
      </c>
      <c r="C421" s="1" t="b">
        <v>1</v>
      </c>
      <c r="D421" s="1" t="b">
        <v>1</v>
      </c>
      <c r="E421" s="1" t="s">
        <v>4008</v>
      </c>
      <c r="F421" s="1" t="s">
        <v>4009</v>
      </c>
      <c r="G421" s="2">
        <f>+251900964936</f>
        <v>251900964936</v>
      </c>
      <c r="H421" s="1" t="s">
        <v>18</v>
      </c>
      <c r="I421" s="1" t="s">
        <v>19</v>
      </c>
      <c r="J421" s="1" t="s">
        <v>19</v>
      </c>
      <c r="K421" s="1" t="s">
        <v>25</v>
      </c>
      <c r="L421" s="1">
        <v>19.11</v>
      </c>
      <c r="M421" s="1" t="s">
        <v>21</v>
      </c>
    </row>
    <row r="422">
      <c r="A422" s="1">
        <v>2820747.0</v>
      </c>
      <c r="B422" s="1" t="s">
        <v>4010</v>
      </c>
      <c r="C422" s="1" t="b">
        <v>1</v>
      </c>
      <c r="D422" s="1" t="b">
        <v>1</v>
      </c>
      <c r="E422" s="1" t="s">
        <v>140</v>
      </c>
      <c r="F422" s="1" t="s">
        <v>91</v>
      </c>
      <c r="G422" s="2">
        <f>+251932097022</f>
        <v>251932097022</v>
      </c>
      <c r="H422" s="1" t="s">
        <v>18</v>
      </c>
      <c r="I422" s="1" t="s">
        <v>19</v>
      </c>
      <c r="J422" s="1" t="s">
        <v>19</v>
      </c>
      <c r="K422" s="1" t="s">
        <v>25</v>
      </c>
      <c r="L422" s="1">
        <v>23.41</v>
      </c>
      <c r="M422" s="1" t="s">
        <v>21</v>
      </c>
      <c r="O422" s="1">
        <v>2.63766826182E11</v>
      </c>
    </row>
    <row r="423">
      <c r="A423" s="1">
        <v>2821020.0</v>
      </c>
      <c r="B423" s="1" t="s">
        <v>3393</v>
      </c>
      <c r="C423" s="1" t="b">
        <v>1</v>
      </c>
      <c r="D423" s="1" t="b">
        <v>1</v>
      </c>
      <c r="E423" s="1" t="s">
        <v>3394</v>
      </c>
      <c r="F423" s="1" t="s">
        <v>3395</v>
      </c>
      <c r="G423" s="2">
        <f>+251703201413</f>
        <v>251703201413</v>
      </c>
      <c r="H423" s="1" t="s">
        <v>18</v>
      </c>
      <c r="I423" s="1" t="s">
        <v>19</v>
      </c>
      <c r="J423" s="1" t="s">
        <v>3109</v>
      </c>
      <c r="K423" s="1" t="s">
        <v>25</v>
      </c>
      <c r="L423" s="1">
        <v>28.29</v>
      </c>
      <c r="M423" s="1" t="s">
        <v>33</v>
      </c>
      <c r="N423" s="1" t="s">
        <v>118</v>
      </c>
    </row>
    <row r="424">
      <c r="A424" s="1">
        <v>2821846.0</v>
      </c>
      <c r="B424" s="1" t="s">
        <v>3396</v>
      </c>
      <c r="C424" s="1" t="b">
        <v>1</v>
      </c>
      <c r="D424" s="1" t="b">
        <v>1</v>
      </c>
      <c r="E424" s="1" t="s">
        <v>1403</v>
      </c>
      <c r="F424" s="1" t="s">
        <v>2365</v>
      </c>
      <c r="G424" s="2">
        <f>+251912682870</f>
        <v>251912682870</v>
      </c>
      <c r="H424" s="1" t="s">
        <v>18</v>
      </c>
      <c r="I424" s="1" t="s">
        <v>19</v>
      </c>
      <c r="J424" s="1" t="s">
        <v>19</v>
      </c>
      <c r="K424" s="1" t="s">
        <v>25</v>
      </c>
      <c r="L424" s="1">
        <v>18.47</v>
      </c>
      <c r="M424" s="1" t="s">
        <v>33</v>
      </c>
      <c r="N424" s="1" t="s">
        <v>34</v>
      </c>
    </row>
    <row r="425">
      <c r="A425" s="1">
        <v>2821835.0</v>
      </c>
      <c r="B425" s="1" t="s">
        <v>4011</v>
      </c>
      <c r="C425" s="1" t="b">
        <v>1</v>
      </c>
      <c r="D425" s="1" t="b">
        <v>1</v>
      </c>
      <c r="E425" s="1" t="s">
        <v>2947</v>
      </c>
      <c r="F425" s="1" t="s">
        <v>2948</v>
      </c>
      <c r="G425" s="2">
        <f>+251917117572</f>
        <v>251917117572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25.74</v>
      </c>
      <c r="M425" s="1" t="s">
        <v>21</v>
      </c>
      <c r="O425" s="1">
        <v>2.3355562E7</v>
      </c>
    </row>
    <row r="426">
      <c r="A426" s="1">
        <v>2822919.0</v>
      </c>
      <c r="B426" s="1" t="s">
        <v>4012</v>
      </c>
      <c r="C426" s="1" t="b">
        <v>1</v>
      </c>
      <c r="D426" s="1" t="b">
        <v>1</v>
      </c>
      <c r="E426" s="1" t="s">
        <v>4013</v>
      </c>
      <c r="F426" s="1" t="s">
        <v>4014</v>
      </c>
      <c r="G426" s="2">
        <f>+251910693898</f>
        <v>251910693898</v>
      </c>
      <c r="H426" s="1" t="s">
        <v>18</v>
      </c>
      <c r="I426" s="1" t="s">
        <v>19</v>
      </c>
      <c r="J426" s="1" t="s">
        <v>19</v>
      </c>
      <c r="K426" s="1" t="s">
        <v>25</v>
      </c>
      <c r="L426" s="1">
        <v>27.49</v>
      </c>
      <c r="M426" s="1" t="s">
        <v>21</v>
      </c>
      <c r="O426" s="1">
        <v>2.64306815192E11</v>
      </c>
    </row>
    <row r="427">
      <c r="A427" s="1">
        <v>2724987.0</v>
      </c>
      <c r="B427" s="1" t="s">
        <v>4015</v>
      </c>
      <c r="C427" s="1" t="b">
        <v>1</v>
      </c>
      <c r="D427" s="1" t="b">
        <v>1</v>
      </c>
      <c r="E427" s="1" t="s">
        <v>916</v>
      </c>
      <c r="F427" s="1" t="s">
        <v>4016</v>
      </c>
      <c r="G427" s="1">
        <v>9.25183207E8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22.23</v>
      </c>
      <c r="M427" s="1" t="s">
        <v>21</v>
      </c>
      <c r="O427" s="1">
        <v>2.36297565372E11</v>
      </c>
    </row>
    <row r="428">
      <c r="A428" s="1">
        <v>2823543.0</v>
      </c>
      <c r="B428" s="1" t="s">
        <v>3397</v>
      </c>
      <c r="C428" s="1" t="b">
        <v>1</v>
      </c>
      <c r="D428" s="1" t="b">
        <v>1</v>
      </c>
      <c r="E428" s="1" t="s">
        <v>37</v>
      </c>
      <c r="F428" s="1" t="s">
        <v>3398</v>
      </c>
      <c r="G428" s="2">
        <f>+251907435212</f>
        <v>251907435212</v>
      </c>
      <c r="H428" s="1" t="s">
        <v>18</v>
      </c>
      <c r="I428" s="1" t="s">
        <v>19</v>
      </c>
      <c r="J428" s="1" t="s">
        <v>19</v>
      </c>
      <c r="K428" s="1" t="s">
        <v>25</v>
      </c>
      <c r="L428" s="1">
        <v>21.61</v>
      </c>
      <c r="M428" s="1" t="s">
        <v>33</v>
      </c>
      <c r="N428" s="1" t="s">
        <v>166</v>
      </c>
    </row>
    <row r="429">
      <c r="A429" s="1">
        <v>2823857.0</v>
      </c>
      <c r="B429" s="1" t="s">
        <v>4017</v>
      </c>
      <c r="C429" s="1" t="b">
        <v>1</v>
      </c>
      <c r="D429" s="1" t="b">
        <v>1</v>
      </c>
      <c r="E429" s="1" t="s">
        <v>3774</v>
      </c>
      <c r="F429" s="1" t="s">
        <v>4018</v>
      </c>
      <c r="G429" s="2">
        <f>+251976555364</f>
        <v>251976555364</v>
      </c>
      <c r="H429" s="1" t="s">
        <v>18</v>
      </c>
      <c r="I429" s="1" t="s">
        <v>19</v>
      </c>
      <c r="J429" s="1" t="s">
        <v>19</v>
      </c>
      <c r="K429" s="1" t="s">
        <v>25</v>
      </c>
      <c r="L429" s="1">
        <v>26.86</v>
      </c>
      <c r="M429" s="1" t="s">
        <v>21</v>
      </c>
      <c r="O429" s="1">
        <v>8754997.0</v>
      </c>
    </row>
    <row r="430">
      <c r="A430" s="1">
        <v>2823341.0</v>
      </c>
      <c r="B430" s="1" t="s">
        <v>4019</v>
      </c>
      <c r="C430" s="1" t="b">
        <v>1</v>
      </c>
      <c r="D430" s="1" t="b">
        <v>1</v>
      </c>
      <c r="E430" s="1" t="s">
        <v>4020</v>
      </c>
      <c r="F430" s="1" t="s">
        <v>4021</v>
      </c>
      <c r="G430" s="2">
        <f>+251995689376</f>
        <v>251995689376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25.18</v>
      </c>
      <c r="M430" s="1" t="s">
        <v>21</v>
      </c>
      <c r="O430" s="1">
        <v>2.64453412049E11</v>
      </c>
    </row>
    <row r="431">
      <c r="A431" s="1">
        <v>2823888.0</v>
      </c>
      <c r="B431" s="1" t="s">
        <v>3216</v>
      </c>
      <c r="C431" s="1" t="b">
        <v>1</v>
      </c>
      <c r="D431" s="1" t="b">
        <v>1</v>
      </c>
      <c r="E431" s="1" t="s">
        <v>3217</v>
      </c>
      <c r="F431" s="1" t="s">
        <v>3218</v>
      </c>
      <c r="G431" s="2">
        <f>+251912423314</f>
        <v>251912423314</v>
      </c>
      <c r="H431" s="1" t="s">
        <v>18</v>
      </c>
      <c r="I431" s="1" t="s">
        <v>19</v>
      </c>
      <c r="J431" s="1" t="s">
        <v>19</v>
      </c>
      <c r="K431" s="1" t="s">
        <v>25</v>
      </c>
      <c r="L431" s="1">
        <v>30.04</v>
      </c>
      <c r="M431" s="1" t="s">
        <v>26</v>
      </c>
      <c r="O431" s="1">
        <v>759846.0</v>
      </c>
    </row>
    <row r="432">
      <c r="A432" s="1">
        <v>2824120.0</v>
      </c>
      <c r="B432" s="1" t="s">
        <v>4022</v>
      </c>
      <c r="C432" s="1" t="b">
        <v>1</v>
      </c>
      <c r="D432" s="1" t="b">
        <v>1</v>
      </c>
      <c r="E432" s="1" t="s">
        <v>4023</v>
      </c>
      <c r="F432" s="1" t="s">
        <v>4024</v>
      </c>
      <c r="G432" s="2">
        <f>+251973890414</f>
        <v>251973890414</v>
      </c>
      <c r="H432" s="1" t="s">
        <v>18</v>
      </c>
      <c r="I432" s="1" t="s">
        <v>19</v>
      </c>
      <c r="J432" s="1" t="s">
        <v>19</v>
      </c>
      <c r="K432" s="1" t="s">
        <v>25</v>
      </c>
      <c r="L432" s="1">
        <v>22.58</v>
      </c>
      <c r="M432" s="1" t="s">
        <v>21</v>
      </c>
    </row>
    <row r="433">
      <c r="A433" s="1">
        <v>2824173.0</v>
      </c>
      <c r="B433" s="1" t="s">
        <v>4025</v>
      </c>
      <c r="C433" s="1" t="b">
        <v>1</v>
      </c>
      <c r="D433" s="1" t="b">
        <v>1</v>
      </c>
      <c r="E433" s="1" t="s">
        <v>101</v>
      </c>
      <c r="F433" s="1" t="s">
        <v>2429</v>
      </c>
      <c r="G433" s="2">
        <f>+251946608413</f>
        <v>251946608413</v>
      </c>
      <c r="H433" s="1" t="s">
        <v>392</v>
      </c>
      <c r="I433" s="1" t="s">
        <v>19</v>
      </c>
      <c r="J433" s="1" t="s">
        <v>19</v>
      </c>
      <c r="K433" s="1" t="s">
        <v>25</v>
      </c>
      <c r="L433" s="1">
        <v>24.84</v>
      </c>
      <c r="M433" s="1" t="s">
        <v>21</v>
      </c>
      <c r="O433" s="1">
        <v>2.64676420846E11</v>
      </c>
    </row>
    <row r="434">
      <c r="A434" s="1">
        <v>2824361.0</v>
      </c>
      <c r="B434" s="1" t="s">
        <v>3399</v>
      </c>
      <c r="C434" s="1" t="b">
        <v>1</v>
      </c>
      <c r="D434" s="1" t="b">
        <v>1</v>
      </c>
      <c r="E434" s="1" t="s">
        <v>101</v>
      </c>
      <c r="F434" s="1" t="s">
        <v>1532</v>
      </c>
      <c r="G434" s="2">
        <f>+251947136729</f>
        <v>251947136729</v>
      </c>
      <c r="H434" s="1" t="s">
        <v>18</v>
      </c>
      <c r="I434" s="1" t="s">
        <v>19</v>
      </c>
      <c r="J434" s="1" t="s">
        <v>19</v>
      </c>
      <c r="K434" s="1" t="s">
        <v>25</v>
      </c>
      <c r="L434" s="1">
        <v>17.97</v>
      </c>
      <c r="M434" s="1" t="s">
        <v>33</v>
      </c>
      <c r="N434" s="1" t="s">
        <v>65</v>
      </c>
      <c r="O434" s="1">
        <v>2.64693428425E11</v>
      </c>
    </row>
    <row r="435">
      <c r="A435" s="1">
        <v>2823984.0</v>
      </c>
      <c r="B435" s="1" t="s">
        <v>4026</v>
      </c>
      <c r="C435" s="1" t="b">
        <v>1</v>
      </c>
      <c r="D435" s="1" t="b">
        <v>1</v>
      </c>
      <c r="E435" s="1" t="s">
        <v>1599</v>
      </c>
      <c r="F435" s="1" t="s">
        <v>4027</v>
      </c>
      <c r="G435" s="2">
        <f>+251924334829</f>
        <v>251924334829</v>
      </c>
      <c r="H435" s="1" t="s">
        <v>18</v>
      </c>
      <c r="I435" s="1" t="s">
        <v>19</v>
      </c>
      <c r="J435" s="1" t="s">
        <v>19</v>
      </c>
      <c r="K435" s="1" t="s">
        <v>25</v>
      </c>
      <c r="L435" s="1">
        <v>23.99</v>
      </c>
      <c r="M435" s="1" t="s">
        <v>21</v>
      </c>
    </row>
    <row r="436">
      <c r="A436" s="1">
        <v>86249.0</v>
      </c>
      <c r="B436" s="1" t="s">
        <v>2118</v>
      </c>
      <c r="C436" s="1" t="b">
        <v>1</v>
      </c>
      <c r="D436" s="1" t="b">
        <v>1</v>
      </c>
      <c r="E436" s="1" t="s">
        <v>2119</v>
      </c>
      <c r="F436" s="1" t="s">
        <v>2120</v>
      </c>
      <c r="G436" s="2">
        <f>+251942029245</f>
        <v>251942029245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24.06</v>
      </c>
      <c r="M436" s="1" t="s">
        <v>21</v>
      </c>
      <c r="O436" s="1">
        <v>1745207.0</v>
      </c>
    </row>
    <row r="437">
      <c r="A437" s="1">
        <v>2081425.0</v>
      </c>
      <c r="B437" s="1" t="s">
        <v>4028</v>
      </c>
      <c r="C437" s="1" t="b">
        <v>1</v>
      </c>
      <c r="D437" s="1" t="b">
        <v>1</v>
      </c>
      <c r="E437" s="1" t="s">
        <v>4029</v>
      </c>
      <c r="F437" s="1" t="s">
        <v>859</v>
      </c>
      <c r="G437" s="2">
        <f>+251968080294</f>
        <v>251968080294</v>
      </c>
      <c r="H437" s="1" t="s">
        <v>80</v>
      </c>
      <c r="I437" s="1" t="s">
        <v>19</v>
      </c>
      <c r="J437" s="1" t="s">
        <v>19</v>
      </c>
      <c r="K437" s="1" t="s">
        <v>25</v>
      </c>
      <c r="L437" s="1">
        <v>25.34</v>
      </c>
      <c r="M437" s="1" t="s">
        <v>21</v>
      </c>
      <c r="O437" s="1">
        <v>3.0376787413E10</v>
      </c>
    </row>
    <row r="438">
      <c r="A438" s="1">
        <v>2825361.0</v>
      </c>
      <c r="B438" s="1" t="s">
        <v>4030</v>
      </c>
      <c r="C438" s="1" t="b">
        <v>1</v>
      </c>
      <c r="D438" s="1" t="b">
        <v>1</v>
      </c>
      <c r="E438" s="1" t="s">
        <v>1242</v>
      </c>
      <c r="F438" s="1" t="s">
        <v>1036</v>
      </c>
      <c r="G438" s="2">
        <f>+251915137978</f>
        <v>251915137978</v>
      </c>
      <c r="H438" s="1" t="s">
        <v>18</v>
      </c>
      <c r="I438" s="1" t="s">
        <v>19</v>
      </c>
      <c r="J438" s="1" t="s">
        <v>19</v>
      </c>
      <c r="K438" s="1" t="s">
        <v>25</v>
      </c>
      <c r="L438" s="1">
        <v>20.58</v>
      </c>
      <c r="M438" s="1" t="s">
        <v>21</v>
      </c>
      <c r="O438" s="1">
        <v>2.64831061216E11</v>
      </c>
    </row>
    <row r="439">
      <c r="A439" s="1">
        <v>2825460.0</v>
      </c>
      <c r="B439" s="1" t="s">
        <v>4031</v>
      </c>
      <c r="C439" s="1" t="b">
        <v>1</v>
      </c>
      <c r="D439" s="1" t="b">
        <v>1</v>
      </c>
      <c r="E439" s="1" t="s">
        <v>4032</v>
      </c>
      <c r="F439" s="1" t="s">
        <v>3221</v>
      </c>
      <c r="G439" s="2">
        <f>+251972027037</f>
        <v>251972027037</v>
      </c>
      <c r="H439" s="1" t="s">
        <v>18</v>
      </c>
      <c r="I439" s="1" t="s">
        <v>19</v>
      </c>
      <c r="J439" s="1" t="s">
        <v>19</v>
      </c>
      <c r="K439" s="1" t="s">
        <v>25</v>
      </c>
      <c r="L439" s="1">
        <v>20.12</v>
      </c>
      <c r="M439" s="1" t="s">
        <v>21</v>
      </c>
      <c r="O439" s="1">
        <v>2.64871375087E11</v>
      </c>
    </row>
    <row r="440">
      <c r="A440" s="1">
        <v>1624306.0</v>
      </c>
      <c r="B440" s="1" t="s">
        <v>3400</v>
      </c>
      <c r="C440" s="1" t="b">
        <v>1</v>
      </c>
      <c r="D440" s="1" t="b">
        <v>1</v>
      </c>
      <c r="E440" s="1" t="s">
        <v>264</v>
      </c>
      <c r="F440" s="1" t="s">
        <v>3401</v>
      </c>
      <c r="G440" s="2">
        <f>+251969512411</f>
        <v>251969512411</v>
      </c>
      <c r="H440" s="1" t="s">
        <v>18</v>
      </c>
      <c r="I440" s="1" t="s">
        <v>19</v>
      </c>
      <c r="J440" s="1" t="s">
        <v>19</v>
      </c>
      <c r="K440" s="1" t="s">
        <v>25</v>
      </c>
      <c r="L440" s="1">
        <v>28.35</v>
      </c>
      <c r="M440" s="1" t="s">
        <v>33</v>
      </c>
      <c r="N440" s="1" t="s">
        <v>65</v>
      </c>
    </row>
    <row r="441">
      <c r="A441" s="1">
        <v>2825752.0</v>
      </c>
      <c r="B441" s="1" t="s">
        <v>4033</v>
      </c>
      <c r="C441" s="1" t="b">
        <v>1</v>
      </c>
      <c r="D441" s="1" t="b">
        <v>1</v>
      </c>
      <c r="E441" s="1" t="s">
        <v>4034</v>
      </c>
      <c r="F441" s="1" t="s">
        <v>4035</v>
      </c>
      <c r="G441" s="2">
        <f>+44911564232</f>
        <v>44911564232</v>
      </c>
      <c r="H441" s="1" t="s">
        <v>18</v>
      </c>
      <c r="I441" s="1" t="s">
        <v>19</v>
      </c>
      <c r="J441" s="1" t="s">
        <v>19</v>
      </c>
      <c r="K441" s="1" t="s">
        <v>20</v>
      </c>
      <c r="L441" s="1">
        <v>19.21</v>
      </c>
      <c r="M441" s="1" t="s">
        <v>21</v>
      </c>
    </row>
    <row r="442">
      <c r="A442" s="1">
        <v>2825923.0</v>
      </c>
      <c r="B442" s="1" t="s">
        <v>4036</v>
      </c>
      <c r="C442" s="1" t="b">
        <v>1</v>
      </c>
      <c r="D442" s="1" t="b">
        <v>1</v>
      </c>
      <c r="E442" s="1" t="s">
        <v>250</v>
      </c>
      <c r="F442" s="1" t="s">
        <v>3863</v>
      </c>
      <c r="G442" s="2">
        <f>+251912616454</f>
        <v>251912616454</v>
      </c>
      <c r="H442" s="1" t="s">
        <v>18</v>
      </c>
      <c r="I442" s="1" t="s">
        <v>19</v>
      </c>
      <c r="J442" s="1" t="s">
        <v>19</v>
      </c>
      <c r="K442" s="1" t="s">
        <v>25</v>
      </c>
      <c r="L442" s="1">
        <v>32.49</v>
      </c>
      <c r="M442" s="1" t="s">
        <v>21</v>
      </c>
      <c r="O442" s="1">
        <v>622845.0</v>
      </c>
    </row>
    <row r="443">
      <c r="A443" s="1">
        <v>2826058.0</v>
      </c>
      <c r="B443" s="1" t="s">
        <v>3219</v>
      </c>
      <c r="C443" s="1" t="b">
        <v>0</v>
      </c>
      <c r="D443" s="1" t="b">
        <v>1</v>
      </c>
      <c r="E443" s="1" t="s">
        <v>3220</v>
      </c>
      <c r="F443" s="1" t="s">
        <v>3221</v>
      </c>
      <c r="G443" s="2">
        <f>+251972027037</f>
        <v>251972027037</v>
      </c>
      <c r="H443" s="1" t="s">
        <v>18</v>
      </c>
      <c r="I443" s="1" t="s">
        <v>19</v>
      </c>
      <c r="J443" s="1" t="s">
        <v>19</v>
      </c>
      <c r="K443" s="1" t="s">
        <v>25</v>
      </c>
      <c r="L443" s="1">
        <v>20.12</v>
      </c>
      <c r="M443" s="1" t="s">
        <v>26</v>
      </c>
      <c r="O443" s="1">
        <v>2.64906937564E11</v>
      </c>
    </row>
    <row r="444">
      <c r="A444" s="1">
        <v>2825885.0</v>
      </c>
      <c r="B444" s="1" t="s">
        <v>4037</v>
      </c>
      <c r="C444" s="1" t="b">
        <v>1</v>
      </c>
      <c r="D444" s="1" t="b">
        <v>0</v>
      </c>
      <c r="E444" s="1" t="s">
        <v>37</v>
      </c>
      <c r="F444" s="1" t="s">
        <v>328</v>
      </c>
      <c r="G444" s="2">
        <f>+251943067575</f>
        <v>251943067575</v>
      </c>
      <c r="H444" s="1" t="s">
        <v>18</v>
      </c>
      <c r="I444" s="1" t="s">
        <v>19</v>
      </c>
      <c r="J444" s="1" t="s">
        <v>19</v>
      </c>
      <c r="K444" s="1" t="s">
        <v>25</v>
      </c>
      <c r="L444" s="1">
        <v>20.1</v>
      </c>
      <c r="M444" s="1" t="s">
        <v>21</v>
      </c>
      <c r="O444" s="1">
        <v>2.64903944413E11</v>
      </c>
    </row>
    <row r="445">
      <c r="A445" s="1">
        <v>2826170.0</v>
      </c>
      <c r="B445" s="1" t="s">
        <v>3222</v>
      </c>
      <c r="C445" s="1" t="b">
        <v>0</v>
      </c>
      <c r="D445" s="1" t="b">
        <v>1</v>
      </c>
      <c r="E445" s="1" t="s">
        <v>3223</v>
      </c>
      <c r="F445" s="1" t="s">
        <v>3224</v>
      </c>
      <c r="G445" s="2">
        <f>+251919466920</f>
        <v>251919466920</v>
      </c>
      <c r="H445" s="1" t="s">
        <v>18</v>
      </c>
      <c r="I445" s="1" t="s">
        <v>19</v>
      </c>
      <c r="J445" s="1" t="s">
        <v>19</v>
      </c>
      <c r="K445" s="1" t="s">
        <v>25</v>
      </c>
      <c r="L445" s="1">
        <v>22.9</v>
      </c>
      <c r="M445" s="1" t="s">
        <v>26</v>
      </c>
      <c r="O445" s="1">
        <v>2.64939357422E11</v>
      </c>
    </row>
    <row r="446">
      <c r="A446" s="1">
        <v>2826477.0</v>
      </c>
      <c r="B446" s="1" t="s">
        <v>3402</v>
      </c>
      <c r="C446" s="1" t="b">
        <v>1</v>
      </c>
      <c r="D446" s="1" t="b">
        <v>1</v>
      </c>
      <c r="E446" s="1" t="s">
        <v>250</v>
      </c>
      <c r="F446" s="1" t="s">
        <v>213</v>
      </c>
      <c r="G446" s="2">
        <f>+251984682631</f>
        <v>251984682631</v>
      </c>
      <c r="H446" s="1" t="s">
        <v>18</v>
      </c>
      <c r="I446" s="1" t="s">
        <v>19</v>
      </c>
      <c r="J446" s="1" t="s">
        <v>19</v>
      </c>
      <c r="K446" s="1" t="s">
        <v>25</v>
      </c>
      <c r="L446" s="1">
        <v>26.88</v>
      </c>
      <c r="M446" s="1" t="s">
        <v>33</v>
      </c>
      <c r="N446" s="1" t="s">
        <v>65</v>
      </c>
      <c r="O446" s="1">
        <v>2.64954640621E11</v>
      </c>
    </row>
    <row r="447">
      <c r="A447" s="1">
        <v>2826589.0</v>
      </c>
      <c r="B447" s="1" t="s">
        <v>4038</v>
      </c>
      <c r="C447" s="1" t="b">
        <v>1</v>
      </c>
      <c r="D447" s="1" t="b">
        <v>1</v>
      </c>
      <c r="E447" s="1" t="s">
        <v>4039</v>
      </c>
      <c r="F447" s="1" t="s">
        <v>4040</v>
      </c>
      <c r="G447" s="2">
        <f>+251993217060</f>
        <v>251993217060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25.04</v>
      </c>
      <c r="M447" s="1" t="s">
        <v>21</v>
      </c>
      <c r="O447" s="1">
        <v>3.0002734562E10</v>
      </c>
    </row>
    <row r="448">
      <c r="A448" s="1">
        <v>2810348.0</v>
      </c>
      <c r="B448" s="1" t="s">
        <v>4041</v>
      </c>
      <c r="C448" s="1" t="b">
        <v>1</v>
      </c>
      <c r="D448" s="1" t="b">
        <v>1</v>
      </c>
      <c r="E448" s="1" t="s">
        <v>4042</v>
      </c>
      <c r="F448" s="1" t="s">
        <v>4043</v>
      </c>
      <c r="G448" s="2">
        <f>+251987288854</f>
        <v>251987288854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22.27</v>
      </c>
      <c r="M448" s="1" t="s">
        <v>21</v>
      </c>
      <c r="O448" s="1">
        <v>2.62053701823E11</v>
      </c>
    </row>
    <row r="449">
      <c r="A449" s="1">
        <v>2826880.0</v>
      </c>
      <c r="B449" s="1" t="s">
        <v>3403</v>
      </c>
      <c r="C449" s="1" t="b">
        <v>1</v>
      </c>
      <c r="D449" s="1" t="b">
        <v>0</v>
      </c>
      <c r="E449" s="1" t="s">
        <v>1139</v>
      </c>
      <c r="F449" s="1" t="s">
        <v>3404</v>
      </c>
      <c r="G449" s="2">
        <f>+251920571133</f>
        <v>251920571133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19.2</v>
      </c>
      <c r="M449" s="1" t="s">
        <v>33</v>
      </c>
      <c r="N449" s="1" t="s">
        <v>65</v>
      </c>
      <c r="O449" s="1">
        <v>2.64998221039E11</v>
      </c>
    </row>
    <row r="450">
      <c r="A450" s="1">
        <v>2827259.0</v>
      </c>
      <c r="B450" s="1" t="s">
        <v>3405</v>
      </c>
      <c r="C450" s="1" t="b">
        <v>0</v>
      </c>
      <c r="D450" s="1" t="b">
        <v>1</v>
      </c>
      <c r="E450" s="1" t="s">
        <v>956</v>
      </c>
      <c r="F450" s="1" t="s">
        <v>3406</v>
      </c>
      <c r="G450" s="2">
        <f>+251934762307</f>
        <v>251934762307</v>
      </c>
      <c r="H450" s="1" t="s">
        <v>18</v>
      </c>
      <c r="I450" s="1" t="s">
        <v>19</v>
      </c>
      <c r="J450" s="1" t="s">
        <v>19</v>
      </c>
      <c r="K450" s="1" t="s">
        <v>25</v>
      </c>
      <c r="L450" s="1">
        <v>27.42</v>
      </c>
      <c r="M450" s="1" t="s">
        <v>33</v>
      </c>
      <c r="N450" s="1" t="s">
        <v>166</v>
      </c>
      <c r="O450" s="1">
        <v>2.6526105416E11</v>
      </c>
    </row>
    <row r="451">
      <c r="A451" s="1">
        <v>2827479.0</v>
      </c>
      <c r="B451" s="1" t="s">
        <v>2157</v>
      </c>
      <c r="C451" s="1" t="b">
        <v>1</v>
      </c>
      <c r="D451" s="1" t="b">
        <v>1</v>
      </c>
      <c r="E451" s="1" t="s">
        <v>370</v>
      </c>
      <c r="F451" s="1" t="s">
        <v>616</v>
      </c>
      <c r="G451" s="2">
        <f>+251920751809</f>
        <v>251920751809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25.05</v>
      </c>
      <c r="M451" s="1" t="s">
        <v>21</v>
      </c>
      <c r="O451" s="1">
        <v>2.65495987439E11</v>
      </c>
    </row>
    <row r="452">
      <c r="A452" s="1">
        <v>2824246.0</v>
      </c>
      <c r="B452" s="1" t="s">
        <v>4044</v>
      </c>
      <c r="C452" s="1" t="b">
        <v>1</v>
      </c>
      <c r="D452" s="1" t="b">
        <v>1</v>
      </c>
      <c r="E452" s="1" t="s">
        <v>1864</v>
      </c>
      <c r="F452" s="1" t="s">
        <v>338</v>
      </c>
      <c r="G452" s="2">
        <f>+251912294143</f>
        <v>251912294143</v>
      </c>
      <c r="H452" s="1" t="s">
        <v>392</v>
      </c>
      <c r="I452" s="1" t="s">
        <v>19</v>
      </c>
      <c r="J452" s="1" t="s">
        <v>19</v>
      </c>
      <c r="K452" s="1" t="s">
        <v>25</v>
      </c>
      <c r="L452" s="1">
        <v>34.11</v>
      </c>
      <c r="M452" s="1" t="s">
        <v>21</v>
      </c>
    </row>
    <row r="453">
      <c r="A453" s="1">
        <v>2827736.0</v>
      </c>
      <c r="B453" s="1" t="s">
        <v>4045</v>
      </c>
      <c r="C453" s="1" t="b">
        <v>1</v>
      </c>
      <c r="D453" s="1" t="b">
        <v>0</v>
      </c>
      <c r="E453" s="1" t="s">
        <v>1062</v>
      </c>
      <c r="F453" s="1" t="s">
        <v>621</v>
      </c>
      <c r="G453" s="2">
        <f>+251913639402</f>
        <v>251913639402</v>
      </c>
      <c r="H453" s="1" t="s">
        <v>72</v>
      </c>
      <c r="I453" s="1" t="s">
        <v>19</v>
      </c>
      <c r="J453" s="1" t="s">
        <v>19</v>
      </c>
      <c r="K453" s="1" t="s">
        <v>25</v>
      </c>
      <c r="L453" s="1">
        <v>39.98</v>
      </c>
      <c r="M453" s="1" t="s">
        <v>21</v>
      </c>
      <c r="O453" s="1">
        <v>2.3075159E7</v>
      </c>
    </row>
    <row r="454">
      <c r="A454" s="1">
        <v>1042699.0</v>
      </c>
      <c r="B454" s="1" t="s">
        <v>4046</v>
      </c>
      <c r="C454" s="1" t="b">
        <v>1</v>
      </c>
      <c r="D454" s="1" t="b">
        <v>1</v>
      </c>
      <c r="E454" s="1" t="s">
        <v>447</v>
      </c>
      <c r="F454" s="1" t="s">
        <v>4047</v>
      </c>
      <c r="G454" s="2">
        <f>+251923224532</f>
        <v>251923224532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33.13</v>
      </c>
      <c r="M454" s="1" t="s">
        <v>21</v>
      </c>
      <c r="O454" s="1">
        <v>6.150545911E9</v>
      </c>
    </row>
    <row r="455">
      <c r="A455" s="1">
        <v>2828037.0</v>
      </c>
      <c r="B455" s="1" t="s">
        <v>3407</v>
      </c>
      <c r="C455" s="1" t="b">
        <v>1</v>
      </c>
      <c r="D455" s="1" t="b">
        <v>1</v>
      </c>
      <c r="E455" s="1" t="s">
        <v>497</v>
      </c>
      <c r="F455" s="1" t="s">
        <v>130</v>
      </c>
      <c r="G455" s="2">
        <f>+251919600811</f>
        <v>251919600811</v>
      </c>
      <c r="H455" s="1" t="s">
        <v>18</v>
      </c>
      <c r="I455" s="1" t="s">
        <v>19</v>
      </c>
      <c r="J455" s="1" t="s">
        <v>19</v>
      </c>
      <c r="K455" s="1" t="s">
        <v>25</v>
      </c>
      <c r="L455" s="1">
        <v>31.11</v>
      </c>
      <c r="M455" s="1" t="s">
        <v>33</v>
      </c>
      <c r="N455" s="1" t="s">
        <v>177</v>
      </c>
      <c r="O455" s="1">
        <v>2.65955328232E11</v>
      </c>
    </row>
    <row r="456">
      <c r="A456" s="1">
        <v>1686946.0</v>
      </c>
      <c r="B456" s="1" t="s">
        <v>3408</v>
      </c>
      <c r="C456" s="1" t="b">
        <v>1</v>
      </c>
      <c r="D456" s="1" t="b">
        <v>1</v>
      </c>
      <c r="E456" s="1" t="s">
        <v>1504</v>
      </c>
      <c r="F456" s="1" t="s">
        <v>3409</v>
      </c>
      <c r="G456" s="2">
        <f>+251900351538</f>
        <v>251900351538</v>
      </c>
      <c r="H456" s="1" t="s">
        <v>18</v>
      </c>
      <c r="I456" s="1" t="s">
        <v>19</v>
      </c>
      <c r="J456" s="1" t="s">
        <v>19</v>
      </c>
      <c r="K456" s="1" t="s">
        <v>25</v>
      </c>
      <c r="L456" s="1">
        <v>29.97</v>
      </c>
      <c r="M456" s="1" t="s">
        <v>33</v>
      </c>
      <c r="N456" s="1" t="s">
        <v>166</v>
      </c>
      <c r="O456" s="1">
        <v>2.1647489243E10</v>
      </c>
    </row>
    <row r="457">
      <c r="A457" s="1">
        <v>26986.0</v>
      </c>
      <c r="B457" s="1" t="s">
        <v>3410</v>
      </c>
      <c r="C457" s="1" t="b">
        <v>1</v>
      </c>
      <c r="D457" s="1" t="b">
        <v>1</v>
      </c>
      <c r="E457" s="1" t="s">
        <v>37</v>
      </c>
      <c r="F457" s="1" t="s">
        <v>3411</v>
      </c>
      <c r="G457" s="2">
        <f>+251960936865</f>
        <v>251960936865</v>
      </c>
      <c r="H457" s="1" t="s">
        <v>18</v>
      </c>
      <c r="I457" s="1" t="s">
        <v>19</v>
      </c>
      <c r="J457" s="1" t="s">
        <v>19</v>
      </c>
      <c r="K457" s="1" t="s">
        <v>25</v>
      </c>
      <c r="L457" s="1">
        <v>27.03</v>
      </c>
      <c r="M457" s="1" t="s">
        <v>33</v>
      </c>
      <c r="N457" s="1" t="s">
        <v>65</v>
      </c>
      <c r="O457" s="1">
        <v>1364958.0</v>
      </c>
    </row>
    <row r="458">
      <c r="A458" s="1">
        <v>2828700.0</v>
      </c>
      <c r="B458" s="1" t="s">
        <v>3412</v>
      </c>
      <c r="C458" s="1" t="b">
        <v>0</v>
      </c>
      <c r="D458" s="1" t="b">
        <v>1</v>
      </c>
      <c r="E458" s="1" t="s">
        <v>615</v>
      </c>
      <c r="F458" s="1" t="s">
        <v>313</v>
      </c>
      <c r="G458" s="2">
        <f>+251910537575</f>
        <v>251910537575</v>
      </c>
      <c r="H458" s="1" t="s">
        <v>18</v>
      </c>
      <c r="I458" s="1" t="s">
        <v>19</v>
      </c>
      <c r="J458" s="1" t="s">
        <v>19</v>
      </c>
      <c r="K458" s="1" t="s">
        <v>20</v>
      </c>
      <c r="L458" s="1">
        <v>20.14</v>
      </c>
      <c r="M458" s="1" t="s">
        <v>33</v>
      </c>
      <c r="N458" s="1" t="s">
        <v>65</v>
      </c>
      <c r="O458" s="1">
        <v>2.66185244859E11</v>
      </c>
    </row>
    <row r="459">
      <c r="A459" s="1">
        <v>2828796.0</v>
      </c>
      <c r="B459" s="1" t="s">
        <v>3413</v>
      </c>
      <c r="C459" s="1" t="b">
        <v>0</v>
      </c>
      <c r="D459" s="1" t="b">
        <v>1</v>
      </c>
      <c r="E459" s="1" t="s">
        <v>3414</v>
      </c>
      <c r="F459" s="1" t="s">
        <v>566</v>
      </c>
      <c r="G459" s="2">
        <f>+251919512964</f>
        <v>251919512964</v>
      </c>
      <c r="H459" s="1" t="s">
        <v>72</v>
      </c>
      <c r="I459" s="1" t="s">
        <v>19</v>
      </c>
      <c r="J459" s="1" t="s">
        <v>19</v>
      </c>
      <c r="K459" s="1" t="s">
        <v>25</v>
      </c>
      <c r="L459" s="1">
        <v>27.41</v>
      </c>
      <c r="M459" s="1" t="s">
        <v>33</v>
      </c>
      <c r="N459" s="1" t="s">
        <v>177</v>
      </c>
      <c r="O459" s="1">
        <v>2.6619773871E11</v>
      </c>
    </row>
    <row r="460">
      <c r="A460" s="1">
        <v>95615.0</v>
      </c>
      <c r="B460" s="1" t="s">
        <v>3415</v>
      </c>
      <c r="C460" s="1" t="b">
        <v>1</v>
      </c>
      <c r="D460" s="1" t="b">
        <v>1</v>
      </c>
      <c r="E460" s="1" t="s">
        <v>1812</v>
      </c>
      <c r="F460" s="1" t="s">
        <v>3416</v>
      </c>
      <c r="G460" s="2">
        <f>+251947349134</f>
        <v>251947349134</v>
      </c>
      <c r="H460" s="1" t="s">
        <v>18</v>
      </c>
      <c r="I460" s="1" t="s">
        <v>19</v>
      </c>
      <c r="J460" s="1" t="s">
        <v>19</v>
      </c>
      <c r="K460" s="1" t="s">
        <v>25</v>
      </c>
      <c r="L460" s="1">
        <v>23.67</v>
      </c>
      <c r="M460" s="1" t="s">
        <v>33</v>
      </c>
      <c r="N460" s="1" t="s">
        <v>177</v>
      </c>
      <c r="O460" s="1">
        <v>1862817.0</v>
      </c>
    </row>
    <row r="461">
      <c r="A461" s="1">
        <v>2826850.0</v>
      </c>
      <c r="B461" s="1" t="s">
        <v>3417</v>
      </c>
      <c r="C461" s="1" t="b">
        <v>1</v>
      </c>
      <c r="D461" s="1" t="b">
        <v>1</v>
      </c>
      <c r="E461" s="1" t="s">
        <v>67</v>
      </c>
      <c r="F461" s="1" t="s">
        <v>3418</v>
      </c>
      <c r="G461" s="2">
        <f>+251948192703</f>
        <v>251948192703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31.43</v>
      </c>
      <c r="M461" s="1" t="s">
        <v>33</v>
      </c>
      <c r="N461" s="1" t="s">
        <v>65</v>
      </c>
      <c r="O461" s="1">
        <v>2.65121494227E11</v>
      </c>
    </row>
    <row r="462">
      <c r="A462" s="1">
        <v>460740.0</v>
      </c>
      <c r="B462" s="1" t="s">
        <v>4048</v>
      </c>
      <c r="C462" s="1" t="b">
        <v>1</v>
      </c>
      <c r="D462" s="1" t="b">
        <v>1</v>
      </c>
      <c r="E462" s="1" t="s">
        <v>333</v>
      </c>
      <c r="F462" s="1" t="s">
        <v>880</v>
      </c>
      <c r="G462" s="2">
        <f>+251948301941</f>
        <v>251948301941</v>
      </c>
      <c r="H462" s="1" t="s">
        <v>18</v>
      </c>
      <c r="I462" s="1" t="s">
        <v>19</v>
      </c>
      <c r="J462" s="1" t="s">
        <v>19</v>
      </c>
      <c r="K462" s="1" t="s">
        <v>25</v>
      </c>
      <c r="L462" s="1">
        <v>27.35</v>
      </c>
      <c r="M462" s="1" t="s">
        <v>21</v>
      </c>
      <c r="O462" s="1">
        <v>2.8228379E7</v>
      </c>
    </row>
    <row r="463">
      <c r="A463" s="1">
        <v>2829961.0</v>
      </c>
      <c r="B463" s="1" t="s">
        <v>3225</v>
      </c>
      <c r="C463" s="1" t="b">
        <v>0</v>
      </c>
      <c r="D463" s="1" t="b">
        <v>1</v>
      </c>
      <c r="E463" s="1" t="s">
        <v>554</v>
      </c>
      <c r="F463" s="1" t="s">
        <v>774</v>
      </c>
      <c r="G463" s="2">
        <f>+251927891285</f>
        <v>251927891285</v>
      </c>
      <c r="H463" s="1" t="s">
        <v>58</v>
      </c>
      <c r="I463" s="1" t="s">
        <v>19</v>
      </c>
      <c r="J463" s="1" t="s">
        <v>19</v>
      </c>
      <c r="K463" s="1" t="s">
        <v>25</v>
      </c>
      <c r="L463" s="1">
        <v>27.67</v>
      </c>
      <c r="M463" s="1" t="s">
        <v>26</v>
      </c>
      <c r="O463" s="1">
        <v>2.66653470909E11</v>
      </c>
    </row>
    <row r="464">
      <c r="A464" s="1">
        <v>2830088.0</v>
      </c>
      <c r="B464" s="1" t="s">
        <v>4049</v>
      </c>
      <c r="C464" s="1" t="b">
        <v>1</v>
      </c>
      <c r="D464" s="1" t="b">
        <v>1</v>
      </c>
      <c r="E464" s="1" t="s">
        <v>4050</v>
      </c>
      <c r="F464" s="1" t="s">
        <v>932</v>
      </c>
      <c r="G464" s="2">
        <f>+251918180038</f>
        <v>251918180038</v>
      </c>
      <c r="H464" s="1" t="s">
        <v>18</v>
      </c>
      <c r="I464" s="1" t="s">
        <v>19</v>
      </c>
      <c r="J464" s="1" t="s">
        <v>19</v>
      </c>
      <c r="K464" s="1" t="s">
        <v>25</v>
      </c>
      <c r="L464" s="1">
        <v>20.43</v>
      </c>
      <c r="M464" s="1" t="s">
        <v>21</v>
      </c>
    </row>
    <row r="465">
      <c r="A465" s="1">
        <v>1695794.0</v>
      </c>
      <c r="B465" s="1" t="s">
        <v>4051</v>
      </c>
      <c r="C465" s="1" t="b">
        <v>1</v>
      </c>
      <c r="D465" s="1" t="b">
        <v>1</v>
      </c>
      <c r="E465" s="1" t="s">
        <v>4052</v>
      </c>
      <c r="F465" s="1" t="s">
        <v>4053</v>
      </c>
      <c r="G465" s="2">
        <f>+251995277760</f>
        <v>251995277760</v>
      </c>
      <c r="H465" s="1" t="s">
        <v>18</v>
      </c>
      <c r="I465" s="1" t="s">
        <v>19</v>
      </c>
      <c r="J465" s="1" t="s">
        <v>19</v>
      </c>
      <c r="K465" s="1" t="s">
        <v>20</v>
      </c>
      <c r="L465" s="1">
        <v>23.58</v>
      </c>
      <c r="M465" s="1" t="s">
        <v>21</v>
      </c>
      <c r="O465" s="1">
        <v>2.1864940765E10</v>
      </c>
    </row>
    <row r="466">
      <c r="A466" s="1">
        <v>62376.0</v>
      </c>
      <c r="B466" s="1" t="s">
        <v>3419</v>
      </c>
      <c r="C466" s="1" t="b">
        <v>1</v>
      </c>
      <c r="D466" s="1" t="b">
        <v>1</v>
      </c>
      <c r="E466" s="1" t="s">
        <v>3420</v>
      </c>
      <c r="F466" s="1" t="s">
        <v>3421</v>
      </c>
      <c r="G466" s="2">
        <f>+251931836205</f>
        <v>251931836205</v>
      </c>
      <c r="H466" s="1" t="s">
        <v>18</v>
      </c>
      <c r="I466" s="1" t="s">
        <v>19</v>
      </c>
      <c r="J466" s="1" t="s">
        <v>19</v>
      </c>
      <c r="K466" s="1" t="s">
        <v>25</v>
      </c>
      <c r="L466" s="1">
        <v>32.94</v>
      </c>
      <c r="M466" s="1" t="s">
        <v>33</v>
      </c>
      <c r="N466" s="1" t="s">
        <v>65</v>
      </c>
      <c r="O466" s="1">
        <v>2.6061769E7</v>
      </c>
    </row>
    <row r="467">
      <c r="A467" s="1">
        <v>2831020.0</v>
      </c>
      <c r="B467" s="1" t="s">
        <v>4054</v>
      </c>
      <c r="C467" s="1" t="b">
        <v>1</v>
      </c>
      <c r="D467" s="1" t="b">
        <v>1</v>
      </c>
      <c r="E467" s="1" t="s">
        <v>2201</v>
      </c>
      <c r="F467" s="1" t="s">
        <v>4055</v>
      </c>
      <c r="G467" s="2">
        <f>+251977655065</f>
        <v>251977655065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27.58</v>
      </c>
      <c r="M467" s="1" t="s">
        <v>21</v>
      </c>
      <c r="O467" s="1">
        <v>2.67096778976E11</v>
      </c>
    </row>
    <row r="468">
      <c r="A468" s="1">
        <v>476193.0</v>
      </c>
      <c r="B468" s="1" t="s">
        <v>4056</v>
      </c>
      <c r="C468" s="1" t="b">
        <v>1</v>
      </c>
      <c r="D468" s="1" t="b">
        <v>1</v>
      </c>
      <c r="E468" s="1" t="s">
        <v>812</v>
      </c>
      <c r="F468" s="1" t="s">
        <v>4057</v>
      </c>
      <c r="G468" s="2">
        <f>+251986672910</f>
        <v>251986672910</v>
      </c>
      <c r="H468" s="1" t="s">
        <v>392</v>
      </c>
      <c r="I468" s="1" t="s">
        <v>19</v>
      </c>
      <c r="J468" s="1" t="s">
        <v>19</v>
      </c>
      <c r="K468" s="1" t="s">
        <v>25</v>
      </c>
      <c r="L468" s="1">
        <v>31.53</v>
      </c>
      <c r="M468" s="1" t="s">
        <v>21</v>
      </c>
    </row>
    <row r="469">
      <c r="A469" s="1">
        <v>2363656.0</v>
      </c>
      <c r="B469" s="1" t="s">
        <v>4058</v>
      </c>
      <c r="C469" s="1" t="b">
        <v>1</v>
      </c>
      <c r="D469" s="1" t="b">
        <v>1</v>
      </c>
      <c r="E469" s="1" t="s">
        <v>4059</v>
      </c>
      <c r="F469" s="1" t="s">
        <v>4060</v>
      </c>
      <c r="G469" s="1">
        <v>9.11359491E8</v>
      </c>
      <c r="H469" s="1" t="s">
        <v>18</v>
      </c>
      <c r="I469" s="1" t="s">
        <v>19</v>
      </c>
      <c r="J469" s="1" t="s">
        <v>19</v>
      </c>
      <c r="K469" s="1" t="s">
        <v>25</v>
      </c>
      <c r="L469" s="1">
        <v>23.32</v>
      </c>
      <c r="M469" s="1" t="s">
        <v>21</v>
      </c>
      <c r="O469" s="1">
        <v>1088449.0</v>
      </c>
    </row>
    <row r="470">
      <c r="A470" s="1">
        <v>2822865.0</v>
      </c>
      <c r="B470" s="1" t="s">
        <v>4061</v>
      </c>
      <c r="C470" s="1" t="b">
        <v>1</v>
      </c>
      <c r="D470" s="1" t="b">
        <v>1</v>
      </c>
      <c r="E470" s="1" t="s">
        <v>286</v>
      </c>
      <c r="F470" s="1" t="s">
        <v>316</v>
      </c>
      <c r="G470" s="2">
        <f>+251922115035</f>
        <v>251922115035</v>
      </c>
      <c r="H470" s="1" t="s">
        <v>488</v>
      </c>
      <c r="I470" s="1" t="s">
        <v>19</v>
      </c>
      <c r="J470" s="1" t="s">
        <v>19</v>
      </c>
      <c r="K470" s="1" t="s">
        <v>25</v>
      </c>
      <c r="L470" s="1">
        <v>22.96</v>
      </c>
      <c r="M470" s="1" t="s">
        <v>21</v>
      </c>
      <c r="O470" s="1">
        <v>1.3666417E7</v>
      </c>
    </row>
    <row r="471">
      <c r="A471" s="1">
        <v>1917570.0</v>
      </c>
      <c r="B471" s="1" t="s">
        <v>4062</v>
      </c>
      <c r="C471" s="1" t="b">
        <v>1</v>
      </c>
      <c r="D471" s="1" t="b">
        <v>1</v>
      </c>
      <c r="E471" s="1" t="s">
        <v>4063</v>
      </c>
      <c r="F471" s="1" t="s">
        <v>4064</v>
      </c>
      <c r="G471" s="2">
        <f>+25191199903</f>
        <v>25191199903</v>
      </c>
      <c r="H471" s="1" t="s">
        <v>335</v>
      </c>
      <c r="I471" s="1" t="s">
        <v>19</v>
      </c>
      <c r="J471" s="1" t="s">
        <v>19</v>
      </c>
      <c r="K471" s="1" t="s">
        <v>25</v>
      </c>
      <c r="L471" s="1">
        <v>29.41</v>
      </c>
      <c r="M471" s="1" t="s">
        <v>21</v>
      </c>
      <c r="O471" s="1">
        <v>2.6564000245E10</v>
      </c>
    </row>
    <row r="472">
      <c r="A472" s="1">
        <v>2831593.0</v>
      </c>
      <c r="B472" s="1" t="s">
        <v>4065</v>
      </c>
      <c r="C472" s="1" t="b">
        <v>1</v>
      </c>
      <c r="D472" s="1" t="b">
        <v>1</v>
      </c>
      <c r="E472" s="1" t="s">
        <v>620</v>
      </c>
      <c r="F472" s="1" t="s">
        <v>4066</v>
      </c>
      <c r="G472" s="2">
        <f>+251913469015</f>
        <v>251913469015</v>
      </c>
      <c r="H472" s="1" t="s">
        <v>18</v>
      </c>
      <c r="I472" s="1" t="s">
        <v>19</v>
      </c>
      <c r="J472" s="1" t="s">
        <v>19</v>
      </c>
      <c r="K472" s="1" t="s">
        <v>25</v>
      </c>
      <c r="L472" s="1">
        <v>32.78</v>
      </c>
      <c r="M472" s="1" t="s">
        <v>21</v>
      </c>
      <c r="O472" s="1">
        <v>2.67498418372E11</v>
      </c>
    </row>
    <row r="473">
      <c r="A473" s="1">
        <v>1038738.0</v>
      </c>
      <c r="B473" s="1" t="s">
        <v>4067</v>
      </c>
      <c r="C473" s="1" t="b">
        <v>1</v>
      </c>
      <c r="D473" s="1" t="b">
        <v>1</v>
      </c>
      <c r="E473" s="1" t="s">
        <v>4068</v>
      </c>
      <c r="F473" s="1" t="s">
        <v>4069</v>
      </c>
      <c r="G473" s="2">
        <f>+251939071992</f>
        <v>251939071992</v>
      </c>
      <c r="H473" s="1" t="s">
        <v>18</v>
      </c>
      <c r="I473" s="1" t="s">
        <v>19</v>
      </c>
      <c r="J473" s="1" t="s">
        <v>19</v>
      </c>
      <c r="K473" s="1" t="s">
        <v>25</v>
      </c>
      <c r="L473" s="1">
        <v>31.4</v>
      </c>
      <c r="M473" s="1" t="s">
        <v>21</v>
      </c>
      <c r="O473" s="1">
        <v>6.099558349E9</v>
      </c>
    </row>
    <row r="474">
      <c r="A474" s="1">
        <v>2505546.0</v>
      </c>
      <c r="B474" s="1" t="s">
        <v>4070</v>
      </c>
      <c r="C474" s="1" t="b">
        <v>1</v>
      </c>
      <c r="D474" s="1" t="b">
        <v>1</v>
      </c>
      <c r="E474" s="1" t="s">
        <v>588</v>
      </c>
      <c r="F474" s="1" t="s">
        <v>4071</v>
      </c>
      <c r="G474" s="2">
        <f>+251946143975</f>
        <v>251946143975</v>
      </c>
      <c r="H474" s="1" t="s">
        <v>18</v>
      </c>
      <c r="I474" s="1" t="s">
        <v>19</v>
      </c>
      <c r="J474" s="1" t="s">
        <v>19</v>
      </c>
      <c r="K474" s="1" t="s">
        <v>20</v>
      </c>
      <c r="L474" s="1">
        <v>23.21</v>
      </c>
      <c r="M474" s="1" t="s">
        <v>21</v>
      </c>
      <c r="O474" s="1">
        <v>1.40286927054E11</v>
      </c>
    </row>
    <row r="475">
      <c r="A475" s="1">
        <v>2833056.0</v>
      </c>
      <c r="B475" s="1" t="s">
        <v>3422</v>
      </c>
      <c r="C475" s="1" t="b">
        <v>1</v>
      </c>
      <c r="D475" s="1" t="b">
        <v>1</v>
      </c>
      <c r="E475" s="1" t="s">
        <v>221</v>
      </c>
      <c r="F475" s="1" t="s">
        <v>221</v>
      </c>
      <c r="G475" s="2">
        <f>+251920790066</f>
        <v>251920790066</v>
      </c>
      <c r="H475" s="1" t="s">
        <v>1424</v>
      </c>
      <c r="I475" s="1" t="s">
        <v>19</v>
      </c>
      <c r="J475" s="1" t="s">
        <v>19</v>
      </c>
      <c r="K475" s="1" t="s">
        <v>25</v>
      </c>
      <c r="L475" s="1">
        <v>36.74</v>
      </c>
      <c r="M475" s="1" t="s">
        <v>33</v>
      </c>
      <c r="N475" s="1" t="s">
        <v>34</v>
      </c>
      <c r="O475" s="1">
        <v>8831533.0</v>
      </c>
    </row>
    <row r="476">
      <c r="A476" s="1">
        <v>2833098.0</v>
      </c>
      <c r="B476" s="1" t="s">
        <v>4072</v>
      </c>
      <c r="C476" s="1" t="b">
        <v>1</v>
      </c>
      <c r="D476" s="1" t="b">
        <v>1</v>
      </c>
      <c r="E476" s="1" t="s">
        <v>292</v>
      </c>
      <c r="F476" s="1" t="s">
        <v>764</v>
      </c>
      <c r="G476" s="2">
        <f>+251938512380</f>
        <v>251938512380</v>
      </c>
      <c r="H476" s="1" t="s">
        <v>18</v>
      </c>
      <c r="I476" s="1" t="s">
        <v>19</v>
      </c>
      <c r="J476" s="1" t="s">
        <v>19</v>
      </c>
      <c r="K476" s="1" t="s">
        <v>25</v>
      </c>
      <c r="L476" s="1">
        <v>27.13</v>
      </c>
      <c r="M476" s="1" t="s">
        <v>21</v>
      </c>
      <c r="O476" s="1">
        <v>2.68096649459E11</v>
      </c>
    </row>
    <row r="477">
      <c r="A477" s="1">
        <v>2833185.0</v>
      </c>
      <c r="B477" s="1" t="s">
        <v>4073</v>
      </c>
      <c r="C477" s="1" t="b">
        <v>1</v>
      </c>
      <c r="D477" s="1" t="b">
        <v>1</v>
      </c>
      <c r="E477" s="1" t="s">
        <v>4074</v>
      </c>
      <c r="F477" s="1" t="s">
        <v>4075</v>
      </c>
      <c r="G477" s="2">
        <f>+251910761948</f>
        <v>251910761948</v>
      </c>
      <c r="H477" s="1" t="s">
        <v>18</v>
      </c>
      <c r="I477" s="1" t="s">
        <v>19</v>
      </c>
      <c r="J477" s="1" t="s">
        <v>19</v>
      </c>
      <c r="K477" s="1" t="s">
        <v>20</v>
      </c>
      <c r="L477" s="1">
        <v>21.63</v>
      </c>
      <c r="M477" s="1" t="s">
        <v>21</v>
      </c>
      <c r="O477" s="1">
        <v>2.68126866658E11</v>
      </c>
    </row>
    <row r="478">
      <c r="A478" s="1">
        <v>1271549.0</v>
      </c>
      <c r="B478" s="1" t="s">
        <v>4076</v>
      </c>
      <c r="C478" s="1" t="b">
        <v>1</v>
      </c>
      <c r="D478" s="1" t="b">
        <v>1</v>
      </c>
      <c r="E478" s="1" t="s">
        <v>4077</v>
      </c>
      <c r="F478" s="1" t="s">
        <v>4078</v>
      </c>
      <c r="G478" s="2">
        <f>+251945940021</f>
        <v>251945940021</v>
      </c>
      <c r="H478" s="1" t="s">
        <v>18</v>
      </c>
      <c r="I478" s="1" t="s">
        <v>19</v>
      </c>
      <c r="J478" s="1" t="s">
        <v>19</v>
      </c>
      <c r="K478" s="1" t="s">
        <v>25</v>
      </c>
      <c r="L478" s="1">
        <v>23.77</v>
      </c>
      <c r="M478" s="1" t="s">
        <v>21</v>
      </c>
    </row>
    <row r="479">
      <c r="A479" s="1">
        <v>2833488.0</v>
      </c>
      <c r="B479" s="1" t="s">
        <v>3423</v>
      </c>
      <c r="C479" s="1" t="b">
        <v>1</v>
      </c>
      <c r="D479" s="1" t="b">
        <v>1</v>
      </c>
      <c r="E479" s="1" t="s">
        <v>29</v>
      </c>
      <c r="F479" s="1" t="s">
        <v>3424</v>
      </c>
      <c r="G479" s="2">
        <f>+251965416865</f>
        <v>251965416865</v>
      </c>
      <c r="H479" s="1" t="s">
        <v>93</v>
      </c>
      <c r="I479" s="1" t="s">
        <v>19</v>
      </c>
      <c r="J479" s="1" t="s">
        <v>19</v>
      </c>
      <c r="K479" s="1" t="s">
        <v>25</v>
      </c>
      <c r="L479" s="1">
        <v>41.94</v>
      </c>
      <c r="M479" s="1" t="s">
        <v>33</v>
      </c>
      <c r="N479" s="1" t="s">
        <v>166</v>
      </c>
      <c r="O479" s="1">
        <v>2.68549903551E11</v>
      </c>
    </row>
    <row r="480">
      <c r="A480" s="1">
        <v>2833508.0</v>
      </c>
      <c r="B480" s="1" t="s">
        <v>4079</v>
      </c>
      <c r="C480" s="1" t="b">
        <v>1</v>
      </c>
      <c r="D480" s="1" t="b">
        <v>1</v>
      </c>
      <c r="E480" s="1" t="s">
        <v>4080</v>
      </c>
      <c r="F480" s="1" t="s">
        <v>4081</v>
      </c>
      <c r="G480" s="2">
        <f>+251960394156</f>
        <v>251960394156</v>
      </c>
      <c r="H480" s="1" t="s">
        <v>18</v>
      </c>
      <c r="I480" s="1" t="s">
        <v>19</v>
      </c>
      <c r="J480" s="1" t="s">
        <v>19</v>
      </c>
      <c r="K480" s="1" t="s">
        <v>20</v>
      </c>
      <c r="L480" s="1">
        <v>21.05</v>
      </c>
      <c r="M480" s="1" t="s">
        <v>21</v>
      </c>
      <c r="O480" s="1">
        <v>2.68553482429E11</v>
      </c>
    </row>
    <row r="481">
      <c r="A481" s="1">
        <v>2833569.0</v>
      </c>
      <c r="B481" s="1" t="s">
        <v>4082</v>
      </c>
      <c r="C481" s="1" t="b">
        <v>1</v>
      </c>
      <c r="D481" s="1" t="b">
        <v>0</v>
      </c>
      <c r="E481" s="1" t="s">
        <v>154</v>
      </c>
      <c r="F481" s="1" t="s">
        <v>4083</v>
      </c>
      <c r="G481" s="2">
        <f>+251920659690</f>
        <v>251920659690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35.27</v>
      </c>
      <c r="M481" s="1" t="s">
        <v>21</v>
      </c>
      <c r="O481" s="1">
        <v>8791451.0</v>
      </c>
    </row>
    <row r="482">
      <c r="A482" s="1">
        <v>2833561.0</v>
      </c>
      <c r="B482" s="1" t="s">
        <v>3425</v>
      </c>
      <c r="C482" s="1" t="b">
        <v>1</v>
      </c>
      <c r="D482" s="1" t="b">
        <v>1</v>
      </c>
      <c r="E482" s="1" t="s">
        <v>188</v>
      </c>
      <c r="F482" s="1" t="s">
        <v>1000</v>
      </c>
      <c r="G482" s="2">
        <f>+251986250088</f>
        <v>251986250088</v>
      </c>
      <c r="H482" s="1" t="s">
        <v>18</v>
      </c>
      <c r="I482" s="1" t="s">
        <v>19</v>
      </c>
      <c r="J482" s="1" t="s">
        <v>19</v>
      </c>
      <c r="K482" s="1" t="s">
        <v>25</v>
      </c>
      <c r="L482" s="1">
        <v>19.83</v>
      </c>
      <c r="M482" s="1" t="s">
        <v>33</v>
      </c>
      <c r="N482" s="1" t="s">
        <v>65</v>
      </c>
      <c r="O482" s="1">
        <v>2.68530182358E11</v>
      </c>
    </row>
    <row r="483">
      <c r="A483" s="1">
        <v>2833543.0</v>
      </c>
      <c r="B483" s="1" t="s">
        <v>4084</v>
      </c>
      <c r="C483" s="1" t="b">
        <v>1</v>
      </c>
      <c r="D483" s="1" t="b">
        <v>1</v>
      </c>
      <c r="E483" s="1" t="s">
        <v>4085</v>
      </c>
      <c r="F483" s="1" t="s">
        <v>96</v>
      </c>
      <c r="G483" s="2">
        <f>+251967560444</f>
        <v>251967560444</v>
      </c>
      <c r="H483" s="1" t="s">
        <v>18</v>
      </c>
      <c r="I483" s="1" t="s">
        <v>19</v>
      </c>
      <c r="J483" s="1" t="s">
        <v>19</v>
      </c>
      <c r="K483" s="1" t="s">
        <v>20</v>
      </c>
      <c r="L483" s="1">
        <v>27.76</v>
      </c>
      <c r="M483" s="1" t="s">
        <v>21</v>
      </c>
      <c r="O483" s="1">
        <v>2.68581549245E11</v>
      </c>
    </row>
    <row r="484">
      <c r="A484" s="1">
        <v>1486575.0</v>
      </c>
      <c r="B484" s="1" t="s">
        <v>3426</v>
      </c>
      <c r="C484" s="1" t="b">
        <v>1</v>
      </c>
      <c r="D484" s="1" t="b">
        <v>1</v>
      </c>
      <c r="E484" s="1" t="s">
        <v>3427</v>
      </c>
      <c r="F484" s="1" t="s">
        <v>3428</v>
      </c>
      <c r="G484" s="2">
        <f>+251993157092</f>
        <v>251993157092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22.0</v>
      </c>
      <c r="M484" s="1" t="s">
        <v>33</v>
      </c>
      <c r="N484" s="1" t="s">
        <v>65</v>
      </c>
      <c r="O484" s="1">
        <v>1.591263741E10</v>
      </c>
    </row>
    <row r="485">
      <c r="A485" s="1">
        <v>2694404.0</v>
      </c>
      <c r="B485" s="1" t="s">
        <v>2356</v>
      </c>
      <c r="C485" s="1" t="b">
        <v>1</v>
      </c>
      <c r="D485" s="1" t="b">
        <v>1</v>
      </c>
      <c r="E485" s="1" t="s">
        <v>1570</v>
      </c>
      <c r="F485" s="1" t="s">
        <v>213</v>
      </c>
      <c r="G485" s="2">
        <f>+251986248494</f>
        <v>251986248494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20.99</v>
      </c>
      <c r="M485" s="1" t="s">
        <v>21</v>
      </c>
    </row>
    <row r="486">
      <c r="A486" s="1">
        <v>2834277.0</v>
      </c>
      <c r="B486" s="1" t="s">
        <v>3226</v>
      </c>
      <c r="C486" s="1" t="b">
        <v>0</v>
      </c>
      <c r="D486" s="1" t="b">
        <v>1</v>
      </c>
      <c r="E486" s="1" t="s">
        <v>3227</v>
      </c>
      <c r="F486" s="1" t="s">
        <v>3228</v>
      </c>
      <c r="G486" s="2">
        <f>+251915884966</f>
        <v>251915884966</v>
      </c>
      <c r="H486" s="1" t="s">
        <v>93</v>
      </c>
      <c r="I486" s="1" t="s">
        <v>19</v>
      </c>
      <c r="J486" s="1" t="s">
        <v>19</v>
      </c>
      <c r="K486" s="1" t="s">
        <v>25</v>
      </c>
      <c r="L486" s="1">
        <v>30.72</v>
      </c>
      <c r="M486" s="1" t="s">
        <v>26</v>
      </c>
    </row>
    <row r="487">
      <c r="A487" s="1">
        <v>2718266.0</v>
      </c>
      <c r="B487" s="1" t="s">
        <v>513</v>
      </c>
      <c r="C487" s="1" t="b">
        <v>1</v>
      </c>
      <c r="D487" s="1" t="b">
        <v>1</v>
      </c>
      <c r="E487" s="1" t="s">
        <v>514</v>
      </c>
      <c r="F487" s="1" t="s">
        <v>515</v>
      </c>
      <c r="G487" s="2">
        <f>+251713298174</f>
        <v>251713298174</v>
      </c>
      <c r="H487" s="1" t="s">
        <v>18</v>
      </c>
      <c r="I487" s="1" t="s">
        <v>19</v>
      </c>
      <c r="J487" s="1" t="s">
        <v>19</v>
      </c>
      <c r="K487" s="1" t="s">
        <v>25</v>
      </c>
      <c r="L487" s="1">
        <v>27.99</v>
      </c>
      <c r="M487" s="1" t="s">
        <v>21</v>
      </c>
      <c r="O487" s="1">
        <v>2.34775243989E11</v>
      </c>
    </row>
    <row r="488">
      <c r="A488" s="1">
        <v>2834401.0</v>
      </c>
      <c r="B488" s="1" t="s">
        <v>4086</v>
      </c>
      <c r="C488" s="1" t="b">
        <v>1</v>
      </c>
      <c r="D488" s="1" t="b">
        <v>0</v>
      </c>
      <c r="E488" s="1" t="s">
        <v>437</v>
      </c>
      <c r="F488" s="1" t="s">
        <v>4087</v>
      </c>
      <c r="G488" s="2">
        <f>+251936106262</f>
        <v>251936106262</v>
      </c>
      <c r="H488" s="1" t="s">
        <v>18</v>
      </c>
      <c r="I488" s="1" t="s">
        <v>19</v>
      </c>
      <c r="J488" s="1" t="s">
        <v>19</v>
      </c>
      <c r="K488" s="1" t="s">
        <v>25</v>
      </c>
      <c r="L488" s="1">
        <v>25.79</v>
      </c>
      <c r="M488" s="1" t="s">
        <v>21</v>
      </c>
      <c r="O488" s="1">
        <v>764584.0</v>
      </c>
    </row>
    <row r="489">
      <c r="A489" s="1">
        <v>2656383.0</v>
      </c>
      <c r="B489" s="1" t="s">
        <v>4088</v>
      </c>
      <c r="C489" s="1" t="b">
        <v>1</v>
      </c>
      <c r="D489" s="1" t="b">
        <v>1</v>
      </c>
      <c r="E489" s="1" t="s">
        <v>4089</v>
      </c>
      <c r="F489" s="1" t="s">
        <v>4090</v>
      </c>
      <c r="G489" s="2">
        <f>+251929427698</f>
        <v>251929427698</v>
      </c>
      <c r="H489" s="1" t="s">
        <v>18</v>
      </c>
      <c r="I489" s="1" t="s">
        <v>19</v>
      </c>
      <c r="J489" s="1" t="s">
        <v>19</v>
      </c>
      <c r="K489" s="1" t="s">
        <v>25</v>
      </c>
      <c r="L489" s="1">
        <v>30.77</v>
      </c>
      <c r="M489" s="1" t="s">
        <v>21</v>
      </c>
    </row>
    <row r="490">
      <c r="A490" s="1">
        <v>1792156.0</v>
      </c>
      <c r="B490" s="1" t="s">
        <v>3051</v>
      </c>
      <c r="C490" s="1" t="b">
        <v>1</v>
      </c>
      <c r="D490" s="1" t="b">
        <v>1</v>
      </c>
      <c r="E490" s="1" t="s">
        <v>179</v>
      </c>
      <c r="F490" s="1" t="s">
        <v>601</v>
      </c>
      <c r="G490" s="2">
        <f>+251939953005</f>
        <v>251939953005</v>
      </c>
      <c r="H490" s="1" t="s">
        <v>18</v>
      </c>
      <c r="I490" s="1" t="s">
        <v>19</v>
      </c>
      <c r="J490" s="1" t="s">
        <v>19</v>
      </c>
      <c r="K490" s="1" t="s">
        <v>20</v>
      </c>
      <c r="L490" s="1">
        <v>26.49</v>
      </c>
      <c r="M490" s="1" t="s">
        <v>33</v>
      </c>
      <c r="N490" s="1" t="s">
        <v>76</v>
      </c>
      <c r="O490" s="1">
        <v>2.4252744649E10</v>
      </c>
    </row>
    <row r="491">
      <c r="A491" s="1">
        <v>2135299.0</v>
      </c>
      <c r="B491" s="1" t="s">
        <v>3429</v>
      </c>
      <c r="C491" s="1" t="b">
        <v>1</v>
      </c>
      <c r="D491" s="1" t="b">
        <v>1</v>
      </c>
      <c r="E491" s="1" t="s">
        <v>213</v>
      </c>
      <c r="F491" s="1" t="s">
        <v>284</v>
      </c>
      <c r="G491" s="2">
        <f>+251966036251</f>
        <v>251966036251</v>
      </c>
      <c r="H491" s="1" t="s">
        <v>18</v>
      </c>
      <c r="I491" s="1" t="s">
        <v>19</v>
      </c>
      <c r="J491" s="1" t="s">
        <v>19</v>
      </c>
      <c r="K491" s="1" t="s">
        <v>25</v>
      </c>
      <c r="L491" s="1">
        <v>24.56</v>
      </c>
      <c r="M491" s="1" t="s">
        <v>33</v>
      </c>
      <c r="N491" s="1" t="s">
        <v>166</v>
      </c>
      <c r="O491" s="1">
        <v>8736453.0</v>
      </c>
    </row>
    <row r="492">
      <c r="A492" s="1">
        <v>764783.0</v>
      </c>
      <c r="B492" s="1" t="s">
        <v>1523</v>
      </c>
      <c r="C492" s="1" t="b">
        <v>1</v>
      </c>
      <c r="D492" s="1" t="b">
        <v>1</v>
      </c>
      <c r="E492" s="1" t="s">
        <v>1355</v>
      </c>
      <c r="F492" s="1" t="s">
        <v>1524</v>
      </c>
      <c r="G492" s="2">
        <f>+251939654186</f>
        <v>251939654186</v>
      </c>
      <c r="H492" s="1" t="s">
        <v>335</v>
      </c>
      <c r="I492" s="1" t="s">
        <v>19</v>
      </c>
      <c r="J492" s="1" t="s">
        <v>19</v>
      </c>
      <c r="K492" s="1" t="s">
        <v>25</v>
      </c>
      <c r="L492" s="1">
        <v>28.54</v>
      </c>
      <c r="M492" s="1" t="s">
        <v>33</v>
      </c>
      <c r="N492" s="1" t="s">
        <v>65</v>
      </c>
    </row>
    <row r="493">
      <c r="A493" s="1">
        <v>2828393.0</v>
      </c>
      <c r="B493" s="1" t="s">
        <v>3052</v>
      </c>
      <c r="C493" s="1" t="b">
        <v>1</v>
      </c>
      <c r="D493" s="1" t="b">
        <v>1</v>
      </c>
      <c r="E493" s="1" t="s">
        <v>264</v>
      </c>
      <c r="F493" s="1" t="s">
        <v>218</v>
      </c>
      <c r="G493" s="2">
        <f>+251941418388</f>
        <v>251941418388</v>
      </c>
      <c r="H493" s="1" t="s">
        <v>18</v>
      </c>
      <c r="I493" s="1" t="s">
        <v>19</v>
      </c>
      <c r="J493" s="1" t="s">
        <v>19</v>
      </c>
      <c r="K493" s="1" t="s">
        <v>25</v>
      </c>
      <c r="L493" s="1">
        <v>27.47</v>
      </c>
      <c r="M493" s="1" t="s">
        <v>21</v>
      </c>
    </row>
    <row r="494">
      <c r="A494" s="1">
        <v>246594.0</v>
      </c>
      <c r="B494" s="1" t="s">
        <v>4091</v>
      </c>
      <c r="C494" s="1" t="b">
        <v>1</v>
      </c>
      <c r="D494" s="1" t="b">
        <v>1</v>
      </c>
      <c r="E494" s="1" t="s">
        <v>4092</v>
      </c>
      <c r="F494" s="1" t="s">
        <v>189</v>
      </c>
      <c r="G494" s="2">
        <f>+251925838279</f>
        <v>251925838279</v>
      </c>
      <c r="H494" s="1" t="s">
        <v>18</v>
      </c>
      <c r="I494" s="1" t="s">
        <v>19</v>
      </c>
      <c r="J494" s="1" t="s">
        <v>19</v>
      </c>
      <c r="K494" s="1" t="s">
        <v>25</v>
      </c>
      <c r="L494" s="1">
        <v>29.66</v>
      </c>
      <c r="M494" s="1" t="s">
        <v>21</v>
      </c>
      <c r="O494" s="1">
        <v>1081353.0</v>
      </c>
    </row>
    <row r="495">
      <c r="A495" s="1">
        <v>2835522.0</v>
      </c>
      <c r="B495" s="1" t="s">
        <v>4093</v>
      </c>
      <c r="C495" s="1" t="b">
        <v>1</v>
      </c>
      <c r="D495" s="1" t="b">
        <v>1</v>
      </c>
      <c r="E495" s="1" t="s">
        <v>477</v>
      </c>
      <c r="F495" s="1" t="s">
        <v>134</v>
      </c>
      <c r="G495" s="2">
        <f>+251926675422</f>
        <v>251926675422</v>
      </c>
      <c r="H495" s="1" t="s">
        <v>18</v>
      </c>
      <c r="I495" s="1" t="s">
        <v>19</v>
      </c>
      <c r="J495" s="1" t="s">
        <v>19</v>
      </c>
      <c r="K495" s="1" t="s">
        <v>25</v>
      </c>
      <c r="L495" s="1">
        <v>29.25</v>
      </c>
      <c r="M495" s="1" t="s">
        <v>21</v>
      </c>
      <c r="O495" s="1">
        <v>2.70188624101E11</v>
      </c>
    </row>
    <row r="496">
      <c r="A496" s="1">
        <v>141178.0</v>
      </c>
      <c r="B496" s="1" t="s">
        <v>851</v>
      </c>
      <c r="C496" s="1" t="b">
        <v>1</v>
      </c>
      <c r="D496" s="1" t="b">
        <v>1</v>
      </c>
      <c r="E496" s="1" t="s">
        <v>852</v>
      </c>
      <c r="F496" s="1" t="s">
        <v>853</v>
      </c>
      <c r="G496" s="2">
        <f>+10933714972</f>
        <v>10933714972</v>
      </c>
      <c r="H496" s="1" t="s">
        <v>18</v>
      </c>
      <c r="I496" s="1" t="s">
        <v>19</v>
      </c>
      <c r="J496" s="1" t="s">
        <v>19</v>
      </c>
      <c r="K496" s="1" t="s">
        <v>25</v>
      </c>
      <c r="L496" s="1">
        <v>31.23</v>
      </c>
      <c r="M496" s="1" t="s">
        <v>21</v>
      </c>
      <c r="O496" s="1">
        <v>761091.0</v>
      </c>
    </row>
    <row r="497">
      <c r="A497" s="1">
        <v>2719588.0</v>
      </c>
      <c r="B497" s="1" t="s">
        <v>4094</v>
      </c>
      <c r="C497" s="1" t="b">
        <v>1</v>
      </c>
      <c r="D497" s="1" t="b">
        <v>1</v>
      </c>
      <c r="E497" s="1" t="s">
        <v>4095</v>
      </c>
      <c r="F497" s="1" t="s">
        <v>4096</v>
      </c>
      <c r="G497" s="2">
        <f>+251948202077</f>
        <v>251948202077</v>
      </c>
      <c r="H497" s="1" t="s">
        <v>18</v>
      </c>
      <c r="I497" s="1" t="s">
        <v>19</v>
      </c>
      <c r="J497" s="1" t="s">
        <v>19</v>
      </c>
      <c r="K497" s="1" t="s">
        <v>25</v>
      </c>
      <c r="L497" s="1">
        <v>25.23</v>
      </c>
      <c r="M497" s="1" t="s">
        <v>21</v>
      </c>
      <c r="O497" s="1">
        <v>2.35058264312E11</v>
      </c>
    </row>
    <row r="498">
      <c r="A498" s="1">
        <v>1289574.0</v>
      </c>
      <c r="B498" s="1" t="s">
        <v>3430</v>
      </c>
      <c r="C498" s="1" t="b">
        <v>1</v>
      </c>
      <c r="D498" s="1" t="b">
        <v>1</v>
      </c>
      <c r="E498" s="1" t="s">
        <v>3431</v>
      </c>
      <c r="F498" s="1" t="s">
        <v>1959</v>
      </c>
      <c r="G498" s="2">
        <f>+251920950962</f>
        <v>251920950962</v>
      </c>
      <c r="H498" s="1" t="s">
        <v>18</v>
      </c>
      <c r="I498" s="1" t="s">
        <v>19</v>
      </c>
      <c r="J498" s="1" t="s">
        <v>19</v>
      </c>
      <c r="K498" s="1" t="s">
        <v>25</v>
      </c>
      <c r="L498" s="1">
        <v>45.3</v>
      </c>
      <c r="M498" s="1" t="s">
        <v>33</v>
      </c>
      <c r="N498" s="1" t="s">
        <v>76</v>
      </c>
      <c r="O498" s="1">
        <v>1.1179068659E10</v>
      </c>
    </row>
    <row r="499">
      <c r="A499" s="1">
        <v>2836174.0</v>
      </c>
      <c r="B499" s="1" t="s">
        <v>4097</v>
      </c>
      <c r="C499" s="1" t="b">
        <v>1</v>
      </c>
      <c r="D499" s="1" t="b">
        <v>1</v>
      </c>
      <c r="E499" s="1" t="s">
        <v>4098</v>
      </c>
      <c r="F499" s="1" t="s">
        <v>595</v>
      </c>
      <c r="G499" s="2">
        <f>+251919318620</f>
        <v>251919318620</v>
      </c>
      <c r="H499" s="1" t="s">
        <v>18</v>
      </c>
      <c r="I499" s="1" t="s">
        <v>19</v>
      </c>
      <c r="J499" s="1" t="s">
        <v>19</v>
      </c>
      <c r="K499" s="1" t="s">
        <v>25</v>
      </c>
      <c r="L499" s="1">
        <v>24.84</v>
      </c>
      <c r="M499" s="1" t="s">
        <v>21</v>
      </c>
    </row>
    <row r="500">
      <c r="A500" s="1">
        <v>2836780.0</v>
      </c>
      <c r="B500" s="1" t="s">
        <v>4099</v>
      </c>
      <c r="C500" s="1" t="b">
        <v>1</v>
      </c>
      <c r="D500" s="1" t="b">
        <v>1</v>
      </c>
      <c r="E500" s="1" t="s">
        <v>663</v>
      </c>
      <c r="F500" s="1" t="s">
        <v>51</v>
      </c>
      <c r="G500" s="2">
        <f>+251966735052</f>
        <v>251966735052</v>
      </c>
      <c r="H500" s="1" t="s">
        <v>18</v>
      </c>
      <c r="I500" s="1" t="s">
        <v>19</v>
      </c>
      <c r="J500" s="1" t="s">
        <v>19</v>
      </c>
      <c r="K500" s="1" t="s">
        <v>25</v>
      </c>
      <c r="L500" s="1">
        <v>25.21</v>
      </c>
      <c r="M500" s="1" t="s">
        <v>21</v>
      </c>
      <c r="O500" s="1">
        <v>2.71188554987E11</v>
      </c>
    </row>
    <row r="501">
      <c r="A501" s="1">
        <v>2476053.0</v>
      </c>
      <c r="B501" s="1" t="s">
        <v>3432</v>
      </c>
      <c r="C501" s="1" t="b">
        <v>1</v>
      </c>
      <c r="D501" s="1" t="b">
        <v>1</v>
      </c>
      <c r="E501" s="1" t="s">
        <v>3433</v>
      </c>
      <c r="F501" s="1" t="s">
        <v>146</v>
      </c>
      <c r="G501" s="2">
        <f>+251912401250</f>
        <v>251912401250</v>
      </c>
      <c r="H501" s="1" t="s">
        <v>18</v>
      </c>
      <c r="I501" s="1" t="s">
        <v>19</v>
      </c>
      <c r="J501" s="1" t="s">
        <v>19</v>
      </c>
      <c r="K501" s="1" t="s">
        <v>25</v>
      </c>
      <c r="L501" s="1">
        <v>24.42</v>
      </c>
      <c r="M501" s="1" t="s">
        <v>33</v>
      </c>
      <c r="N501" s="1" t="s">
        <v>65</v>
      </c>
    </row>
    <row r="502">
      <c r="A502" s="1">
        <v>2837005.0</v>
      </c>
      <c r="B502" s="1" t="s">
        <v>4100</v>
      </c>
      <c r="C502" s="1" t="b">
        <v>1</v>
      </c>
      <c r="D502" s="1" t="b">
        <v>0</v>
      </c>
      <c r="E502" s="1" t="s">
        <v>4101</v>
      </c>
      <c r="F502" s="1" t="s">
        <v>4102</v>
      </c>
      <c r="G502" s="2">
        <f>+251988126324</f>
        <v>251988126324</v>
      </c>
      <c r="H502" s="1" t="s">
        <v>18</v>
      </c>
      <c r="I502" s="1" t="s">
        <v>19</v>
      </c>
      <c r="J502" s="1" t="s">
        <v>19</v>
      </c>
      <c r="K502" s="1" t="s">
        <v>25</v>
      </c>
      <c r="L502" s="1">
        <v>25.83</v>
      </c>
      <c r="M502" s="1" t="s">
        <v>21</v>
      </c>
    </row>
    <row r="503">
      <c r="A503" s="1">
        <v>1508647.0</v>
      </c>
      <c r="B503" s="1" t="s">
        <v>917</v>
      </c>
      <c r="C503" s="1" t="b">
        <v>1</v>
      </c>
      <c r="D503" s="1" t="b">
        <v>1</v>
      </c>
      <c r="E503" s="1" t="s">
        <v>918</v>
      </c>
      <c r="F503" s="1" t="s">
        <v>919</v>
      </c>
      <c r="G503" s="2">
        <f>+251914594919</f>
        <v>251914594919</v>
      </c>
      <c r="H503" s="1" t="s">
        <v>18</v>
      </c>
      <c r="I503" s="1" t="s">
        <v>19</v>
      </c>
      <c r="J503" s="1" t="s">
        <v>19</v>
      </c>
      <c r="K503" s="1" t="s">
        <v>20</v>
      </c>
      <c r="L503" s="1">
        <v>22.17</v>
      </c>
      <c r="M503" s="1" t="s">
        <v>21</v>
      </c>
      <c r="O503" s="1">
        <v>5688399.0</v>
      </c>
    </row>
    <row r="504">
      <c r="A504" s="1">
        <v>891586.0</v>
      </c>
      <c r="B504" s="1" t="s">
        <v>4103</v>
      </c>
      <c r="C504" s="1" t="b">
        <v>1</v>
      </c>
      <c r="D504" s="1" t="b">
        <v>1</v>
      </c>
      <c r="E504" s="1" t="s">
        <v>4104</v>
      </c>
      <c r="F504" s="1" t="s">
        <v>4105</v>
      </c>
      <c r="G504" s="1">
        <v>9.20458603E8</v>
      </c>
      <c r="H504" s="1" t="s">
        <v>18</v>
      </c>
      <c r="I504" s="1" t="s">
        <v>19</v>
      </c>
      <c r="J504" s="1" t="s">
        <v>19</v>
      </c>
      <c r="K504" s="1" t="s">
        <v>25</v>
      </c>
      <c r="L504" s="1">
        <v>30.14</v>
      </c>
      <c r="M504" s="1" t="s">
        <v>21</v>
      </c>
      <c r="O504" s="1">
        <v>1914530.0</v>
      </c>
    </row>
    <row r="505">
      <c r="A505" s="1">
        <v>122585.0</v>
      </c>
      <c r="B505" s="1" t="s">
        <v>4106</v>
      </c>
      <c r="C505" s="1" t="b">
        <v>1</v>
      </c>
      <c r="D505" s="1" t="b">
        <v>1</v>
      </c>
      <c r="E505" s="1" t="s">
        <v>3232</v>
      </c>
      <c r="F505" s="1" t="s">
        <v>3627</v>
      </c>
      <c r="G505" s="2">
        <f>+251922381917</f>
        <v>251922381917</v>
      </c>
      <c r="H505" s="1" t="s">
        <v>18</v>
      </c>
      <c r="I505" s="1" t="s">
        <v>19</v>
      </c>
      <c r="J505" s="1" t="s">
        <v>19</v>
      </c>
      <c r="K505" s="1" t="s">
        <v>25</v>
      </c>
      <c r="L505" s="1">
        <v>33.06</v>
      </c>
      <c r="M505" s="1" t="s">
        <v>21</v>
      </c>
      <c r="O505" s="1">
        <v>51873.0</v>
      </c>
    </row>
    <row r="506">
      <c r="A506" s="1">
        <v>2837205.0</v>
      </c>
      <c r="B506" s="1" t="s">
        <v>4107</v>
      </c>
      <c r="C506" s="1" t="b">
        <v>1</v>
      </c>
      <c r="D506" s="1" t="b">
        <v>1</v>
      </c>
      <c r="E506" s="1" t="s">
        <v>4108</v>
      </c>
      <c r="F506" s="1" t="s">
        <v>1966</v>
      </c>
      <c r="G506" s="2">
        <f>+251911126770</f>
        <v>251911126770</v>
      </c>
      <c r="H506" s="1" t="s">
        <v>18</v>
      </c>
      <c r="I506" s="1" t="s">
        <v>19</v>
      </c>
      <c r="J506" s="1" t="s">
        <v>19</v>
      </c>
      <c r="K506" s="1" t="s">
        <v>20</v>
      </c>
      <c r="L506" s="1">
        <v>26.02</v>
      </c>
      <c r="M506" s="1" t="s">
        <v>21</v>
      </c>
      <c r="O506" s="1">
        <v>2.3575103E7</v>
      </c>
    </row>
    <row r="507">
      <c r="A507" s="1">
        <v>2783242.0</v>
      </c>
      <c r="B507" s="1" t="s">
        <v>4109</v>
      </c>
      <c r="C507" s="1" t="b">
        <v>1</v>
      </c>
      <c r="D507" s="1" t="b">
        <v>0</v>
      </c>
      <c r="E507" s="1" t="s">
        <v>483</v>
      </c>
      <c r="F507" s="1" t="s">
        <v>338</v>
      </c>
      <c r="G507" s="2">
        <f>+251911698503</f>
        <v>251911698503</v>
      </c>
      <c r="H507" s="1" t="s">
        <v>18</v>
      </c>
      <c r="I507" s="1" t="s">
        <v>19</v>
      </c>
      <c r="J507" s="1" t="s">
        <v>19</v>
      </c>
      <c r="K507" s="1" t="s">
        <v>20</v>
      </c>
      <c r="L507" s="1">
        <v>33.33</v>
      </c>
      <c r="M507" s="1" t="s">
        <v>21</v>
      </c>
      <c r="O507" s="1">
        <v>2.39743740091E11</v>
      </c>
    </row>
    <row r="508">
      <c r="A508" s="1">
        <v>2831521.0</v>
      </c>
      <c r="B508" s="1" t="s">
        <v>4110</v>
      </c>
      <c r="C508" s="1" t="b">
        <v>1</v>
      </c>
      <c r="D508" s="1" t="b">
        <v>1</v>
      </c>
      <c r="E508" s="1" t="s">
        <v>4111</v>
      </c>
      <c r="F508" s="1" t="s">
        <v>4112</v>
      </c>
      <c r="G508" s="2">
        <f>+251963064040</f>
        <v>251963064040</v>
      </c>
      <c r="H508" s="1" t="s">
        <v>18</v>
      </c>
      <c r="I508" s="1" t="s">
        <v>19</v>
      </c>
      <c r="J508" s="1" t="s">
        <v>19</v>
      </c>
      <c r="K508" s="1" t="s">
        <v>25</v>
      </c>
      <c r="L508" s="1">
        <v>25.44</v>
      </c>
      <c r="M508" s="1" t="s">
        <v>21</v>
      </c>
      <c r="O508" s="1">
        <v>4.5846866413E10</v>
      </c>
    </row>
    <row r="509">
      <c r="A509" s="1">
        <v>2748746.0</v>
      </c>
      <c r="B509" s="1" t="s">
        <v>3434</v>
      </c>
      <c r="C509" s="1" t="b">
        <v>1</v>
      </c>
      <c r="D509" s="1" t="b">
        <v>1</v>
      </c>
      <c r="E509" s="1" t="s">
        <v>3435</v>
      </c>
      <c r="F509" s="1" t="s">
        <v>661</v>
      </c>
      <c r="G509" s="2">
        <f>+251938470962</f>
        <v>251938470962</v>
      </c>
      <c r="H509" s="1" t="s">
        <v>18</v>
      </c>
      <c r="I509" s="1" t="s">
        <v>19</v>
      </c>
      <c r="J509" s="1" t="s">
        <v>19</v>
      </c>
      <c r="K509" s="1" t="s">
        <v>25</v>
      </c>
      <c r="L509" s="1">
        <v>27.22</v>
      </c>
      <c r="M509" s="1" t="s">
        <v>33</v>
      </c>
      <c r="N509" s="1" t="s">
        <v>166</v>
      </c>
      <c r="O509" s="1">
        <v>2.44021429482E11</v>
      </c>
    </row>
    <row r="510">
      <c r="A510" s="1">
        <v>2837582.0</v>
      </c>
      <c r="B510" s="1" t="s">
        <v>3229</v>
      </c>
      <c r="C510" s="1" t="b">
        <v>1</v>
      </c>
      <c r="D510" s="1" t="b">
        <v>1</v>
      </c>
      <c r="E510" s="1" t="s">
        <v>2447</v>
      </c>
      <c r="F510" s="1" t="s">
        <v>630</v>
      </c>
      <c r="G510" s="2">
        <f>+251966126175</f>
        <v>251966126175</v>
      </c>
      <c r="H510" s="1" t="s">
        <v>18</v>
      </c>
      <c r="I510" s="1" t="s">
        <v>19</v>
      </c>
      <c r="J510" s="1" t="s">
        <v>19</v>
      </c>
      <c r="K510" s="1" t="s">
        <v>25</v>
      </c>
      <c r="L510" s="1">
        <v>18.77</v>
      </c>
      <c r="M510" s="1" t="s">
        <v>26</v>
      </c>
      <c r="O510" s="1">
        <v>2.72006785224E11</v>
      </c>
    </row>
    <row r="511">
      <c r="A511" s="1">
        <v>2837728.0</v>
      </c>
      <c r="B511" s="1" t="s">
        <v>3230</v>
      </c>
      <c r="C511" s="1" t="b">
        <v>1</v>
      </c>
      <c r="D511" s="1" t="b">
        <v>1</v>
      </c>
      <c r="E511" s="1" t="s">
        <v>1348</v>
      </c>
      <c r="F511" s="1" t="s">
        <v>554</v>
      </c>
      <c r="G511" s="2">
        <f>+251970408086</f>
        <v>251970408086</v>
      </c>
      <c r="H511" s="1" t="s">
        <v>18</v>
      </c>
      <c r="I511" s="1" t="s">
        <v>19</v>
      </c>
      <c r="J511" s="1" t="s">
        <v>19</v>
      </c>
      <c r="K511" s="1" t="s">
        <v>20</v>
      </c>
      <c r="L511" s="1">
        <v>19.19</v>
      </c>
      <c r="M511" s="1" t="s">
        <v>26</v>
      </c>
      <c r="O511" s="1">
        <v>2.72138083569E11</v>
      </c>
    </row>
    <row r="512">
      <c r="A512" s="1">
        <v>2837745.0</v>
      </c>
      <c r="B512" s="1" t="s">
        <v>3436</v>
      </c>
      <c r="C512" s="1" t="b">
        <v>1</v>
      </c>
      <c r="D512" s="1" t="b">
        <v>1</v>
      </c>
      <c r="E512" s="1" t="s">
        <v>3437</v>
      </c>
      <c r="F512" s="1" t="s">
        <v>3438</v>
      </c>
      <c r="G512" s="2">
        <f t="shared" ref="G512:G513" si="5">+251911028828</f>
        <v>251911028828</v>
      </c>
      <c r="H512" s="1" t="s">
        <v>18</v>
      </c>
      <c r="I512" s="1" t="s">
        <v>19</v>
      </c>
      <c r="J512" s="1" t="s">
        <v>19</v>
      </c>
      <c r="K512" s="1" t="s">
        <v>20</v>
      </c>
      <c r="L512" s="1">
        <v>21.18</v>
      </c>
      <c r="M512" s="1" t="s">
        <v>33</v>
      </c>
      <c r="N512" s="1" t="s">
        <v>235</v>
      </c>
      <c r="O512" s="1">
        <v>2.72138327243E11</v>
      </c>
    </row>
    <row r="513">
      <c r="A513" s="1">
        <v>2837779.0</v>
      </c>
      <c r="B513" s="1" t="s">
        <v>4113</v>
      </c>
      <c r="C513" s="1" t="b">
        <v>1</v>
      </c>
      <c r="D513" s="1" t="b">
        <v>1</v>
      </c>
      <c r="E513" s="1" t="s">
        <v>4114</v>
      </c>
      <c r="F513" s="1" t="s">
        <v>3438</v>
      </c>
      <c r="G513" s="2">
        <f t="shared" si="5"/>
        <v>251911028828</v>
      </c>
      <c r="H513" s="1" t="s">
        <v>18</v>
      </c>
      <c r="I513" s="1" t="s">
        <v>19</v>
      </c>
      <c r="J513" s="1" t="s">
        <v>19</v>
      </c>
      <c r="K513" s="1" t="s">
        <v>20</v>
      </c>
      <c r="L513" s="1">
        <v>21.18</v>
      </c>
      <c r="M513" s="1" t="s">
        <v>21</v>
      </c>
    </row>
    <row r="514">
      <c r="A514" s="1">
        <v>2837903.0</v>
      </c>
      <c r="B514" s="1" t="s">
        <v>4115</v>
      </c>
      <c r="C514" s="1" t="b">
        <v>1</v>
      </c>
      <c r="D514" s="1" t="b">
        <v>1</v>
      </c>
      <c r="E514" s="1" t="s">
        <v>4116</v>
      </c>
      <c r="F514" s="1" t="s">
        <v>601</v>
      </c>
      <c r="G514" s="2">
        <f>+251935000317</f>
        <v>251935000317</v>
      </c>
      <c r="H514" s="1" t="s">
        <v>18</v>
      </c>
      <c r="I514" s="1" t="s">
        <v>19</v>
      </c>
      <c r="J514" s="1" t="s">
        <v>19</v>
      </c>
      <c r="K514" s="1" t="s">
        <v>25</v>
      </c>
      <c r="L514" s="1">
        <v>30.66</v>
      </c>
      <c r="M514" s="1" t="s">
        <v>21</v>
      </c>
      <c r="O514" s="1">
        <v>1864364.0</v>
      </c>
    </row>
    <row r="515">
      <c r="A515" s="1">
        <v>2728880.0</v>
      </c>
      <c r="B515" s="1" t="s">
        <v>3439</v>
      </c>
      <c r="C515" s="1" t="b">
        <v>1</v>
      </c>
      <c r="D515" s="1" t="b">
        <v>1</v>
      </c>
      <c r="E515" s="1" t="s">
        <v>2160</v>
      </c>
      <c r="F515" s="1" t="s">
        <v>3440</v>
      </c>
      <c r="G515" s="2">
        <f>+251925763462</f>
        <v>251925763462</v>
      </c>
      <c r="H515" s="1" t="s">
        <v>18</v>
      </c>
      <c r="I515" s="1" t="s">
        <v>19</v>
      </c>
      <c r="J515" s="1" t="s">
        <v>19</v>
      </c>
      <c r="K515" s="1" t="s">
        <v>25</v>
      </c>
      <c r="L515" s="1">
        <v>22.7</v>
      </c>
      <c r="M515" s="1" t="s">
        <v>33</v>
      </c>
      <c r="N515" s="1" t="s">
        <v>65</v>
      </c>
      <c r="O515" s="1">
        <v>2.37415429324E11</v>
      </c>
    </row>
    <row r="516">
      <c r="A516" s="1">
        <v>2838318.0</v>
      </c>
      <c r="B516" s="1" t="s">
        <v>4117</v>
      </c>
      <c r="C516" s="1" t="b">
        <v>1</v>
      </c>
      <c r="D516" s="1" t="b">
        <v>1</v>
      </c>
      <c r="E516" s="1" t="s">
        <v>824</v>
      </c>
      <c r="F516" s="1" t="s">
        <v>237</v>
      </c>
      <c r="G516" s="1">
        <v>9.1816713E8</v>
      </c>
      <c r="H516" s="1" t="s">
        <v>72</v>
      </c>
      <c r="I516" s="1" t="s">
        <v>19</v>
      </c>
      <c r="J516" s="1" t="s">
        <v>19</v>
      </c>
      <c r="K516" s="1" t="s">
        <v>25</v>
      </c>
      <c r="L516" s="1">
        <v>31.46</v>
      </c>
      <c r="M516" s="1" t="s">
        <v>21</v>
      </c>
      <c r="O516" s="1">
        <v>2.72873082093E11</v>
      </c>
    </row>
    <row r="517">
      <c r="A517" s="1">
        <v>264797.0</v>
      </c>
      <c r="B517" s="1" t="s">
        <v>3441</v>
      </c>
      <c r="C517" s="1" t="b">
        <v>1</v>
      </c>
      <c r="D517" s="1" t="b">
        <v>1</v>
      </c>
      <c r="E517" s="1" t="s">
        <v>152</v>
      </c>
      <c r="F517" s="1" t="s">
        <v>3442</v>
      </c>
      <c r="G517" s="2">
        <f>+251935511610</f>
        <v>251935511610</v>
      </c>
      <c r="H517" s="1" t="s">
        <v>18</v>
      </c>
      <c r="I517" s="1" t="s">
        <v>19</v>
      </c>
      <c r="J517" s="1" t="s">
        <v>19</v>
      </c>
      <c r="K517" s="1" t="s">
        <v>25</v>
      </c>
      <c r="L517" s="1">
        <v>27.73</v>
      </c>
      <c r="M517" s="1" t="s">
        <v>33</v>
      </c>
      <c r="N517" s="1" t="s">
        <v>235</v>
      </c>
      <c r="O517" s="1">
        <v>8792626.0</v>
      </c>
    </row>
    <row r="518">
      <c r="A518" s="1">
        <v>2727772.0</v>
      </c>
      <c r="B518" s="1" t="s">
        <v>3443</v>
      </c>
      <c r="C518" s="1" t="b">
        <v>1</v>
      </c>
      <c r="D518" s="1" t="b">
        <v>1</v>
      </c>
      <c r="E518" s="1" t="s">
        <v>1919</v>
      </c>
      <c r="F518" s="1" t="s">
        <v>3444</v>
      </c>
      <c r="G518" s="2">
        <f>+251933262424</f>
        <v>251933262424</v>
      </c>
      <c r="H518" s="1" t="s">
        <v>392</v>
      </c>
      <c r="I518" s="1" t="s">
        <v>19</v>
      </c>
      <c r="J518" s="1" t="s">
        <v>19</v>
      </c>
      <c r="K518" s="1" t="s">
        <v>25</v>
      </c>
      <c r="L518" s="1">
        <v>36.49</v>
      </c>
      <c r="M518" s="1" t="s">
        <v>33</v>
      </c>
      <c r="N518" s="1" t="s">
        <v>166</v>
      </c>
      <c r="O518" s="1">
        <v>2.36983230689E11</v>
      </c>
    </row>
    <row r="519">
      <c r="A519" s="1">
        <v>2838677.0</v>
      </c>
      <c r="B519" s="1" t="s">
        <v>3231</v>
      </c>
      <c r="C519" s="1" t="b">
        <v>0</v>
      </c>
      <c r="D519" s="1" t="b">
        <v>1</v>
      </c>
      <c r="E519" s="1" t="s">
        <v>3232</v>
      </c>
      <c r="F519" s="1" t="s">
        <v>3233</v>
      </c>
      <c r="G519" s="1">
        <v>9.2650499E8</v>
      </c>
      <c r="H519" s="1" t="s">
        <v>72</v>
      </c>
      <c r="I519" s="1" t="s">
        <v>19</v>
      </c>
      <c r="J519" s="1" t="s">
        <v>19</v>
      </c>
      <c r="K519" s="1" t="s">
        <v>25</v>
      </c>
      <c r="L519" s="1">
        <v>20.22</v>
      </c>
      <c r="M519" s="1" t="s">
        <v>26</v>
      </c>
      <c r="O519" s="1">
        <v>2.73453948141E11</v>
      </c>
    </row>
    <row r="520">
      <c r="A520" s="1">
        <v>2838761.0</v>
      </c>
      <c r="B520" s="1" t="s">
        <v>3445</v>
      </c>
      <c r="C520" s="1" t="b">
        <v>1</v>
      </c>
      <c r="D520" s="1" t="b">
        <v>1</v>
      </c>
      <c r="E520" s="1" t="s">
        <v>3217</v>
      </c>
      <c r="F520" s="1" t="s">
        <v>3446</v>
      </c>
      <c r="G520" s="2">
        <f>+251913030993</f>
        <v>251913030993</v>
      </c>
      <c r="H520" s="1" t="s">
        <v>18</v>
      </c>
      <c r="I520" s="1" t="s">
        <v>19</v>
      </c>
      <c r="J520" s="1" t="s">
        <v>19</v>
      </c>
      <c r="K520" s="1" t="s">
        <v>25</v>
      </c>
      <c r="L520" s="1">
        <v>31.01</v>
      </c>
      <c r="M520" s="1" t="s">
        <v>33</v>
      </c>
      <c r="N520" s="1" t="s">
        <v>166</v>
      </c>
      <c r="O520" s="1">
        <v>2.73369413847E11</v>
      </c>
    </row>
    <row r="521">
      <c r="A521" s="1">
        <v>225441.0</v>
      </c>
      <c r="B521" s="1" t="s">
        <v>4118</v>
      </c>
      <c r="C521" s="1" t="b">
        <v>1</v>
      </c>
      <c r="D521" s="1" t="b">
        <v>1</v>
      </c>
      <c r="E521" s="1" t="s">
        <v>4119</v>
      </c>
      <c r="F521" s="1" t="s">
        <v>1964</v>
      </c>
      <c r="G521" s="2">
        <f>+251943165195</f>
        <v>251943165195</v>
      </c>
      <c r="H521" s="1" t="s">
        <v>18</v>
      </c>
      <c r="I521" s="1" t="s">
        <v>19</v>
      </c>
      <c r="J521" s="1" t="s">
        <v>19</v>
      </c>
      <c r="K521" s="1" t="s">
        <v>25</v>
      </c>
      <c r="L521" s="1">
        <v>27.54</v>
      </c>
      <c r="M521" s="1" t="s">
        <v>21</v>
      </c>
      <c r="O521" s="1">
        <v>1421058.0</v>
      </c>
    </row>
    <row r="522">
      <c r="A522" s="1">
        <v>497319.0</v>
      </c>
      <c r="B522" s="1" t="s">
        <v>4120</v>
      </c>
      <c r="C522" s="1" t="b">
        <v>1</v>
      </c>
      <c r="D522" s="1" t="b">
        <v>1</v>
      </c>
      <c r="E522" s="1" t="s">
        <v>28</v>
      </c>
      <c r="F522" s="1" t="s">
        <v>4121</v>
      </c>
      <c r="G522" s="2">
        <f>+251920518542</f>
        <v>251920518542</v>
      </c>
      <c r="H522" s="1" t="s">
        <v>18</v>
      </c>
      <c r="I522" s="1" t="s">
        <v>19</v>
      </c>
      <c r="J522" s="1" t="s">
        <v>19</v>
      </c>
      <c r="K522" s="1" t="s">
        <v>25</v>
      </c>
      <c r="L522" s="1">
        <v>35.11</v>
      </c>
      <c r="M522" s="1" t="s">
        <v>21</v>
      </c>
      <c r="O522" s="1">
        <v>1.2822119E7</v>
      </c>
    </row>
    <row r="523">
      <c r="A523" s="1">
        <v>2726572.0</v>
      </c>
      <c r="B523" s="1" t="s">
        <v>4122</v>
      </c>
      <c r="C523" s="1" t="b">
        <v>1</v>
      </c>
      <c r="D523" s="1" t="b">
        <v>1</v>
      </c>
      <c r="E523" s="1" t="s">
        <v>4123</v>
      </c>
      <c r="F523" s="1" t="s">
        <v>1851</v>
      </c>
      <c r="G523" s="2">
        <f>+251983777812</f>
        <v>251983777812</v>
      </c>
      <c r="H523" s="1" t="s">
        <v>18</v>
      </c>
      <c r="I523" s="1" t="s">
        <v>19</v>
      </c>
      <c r="J523" s="1" t="s">
        <v>19</v>
      </c>
      <c r="K523" s="1" t="s">
        <v>25</v>
      </c>
      <c r="L523" s="1">
        <v>21.71</v>
      </c>
      <c r="M523" s="1" t="s">
        <v>21</v>
      </c>
    </row>
    <row r="524">
      <c r="A524" s="1">
        <v>13264.0</v>
      </c>
      <c r="B524" s="1" t="s">
        <v>4124</v>
      </c>
      <c r="C524" s="1" t="b">
        <v>1</v>
      </c>
      <c r="D524" s="1" t="b">
        <v>0</v>
      </c>
      <c r="E524" s="1" t="s">
        <v>693</v>
      </c>
      <c r="F524" s="1" t="s">
        <v>4125</v>
      </c>
      <c r="G524" s="2">
        <f>+251974439736</f>
        <v>251974439736</v>
      </c>
      <c r="H524" s="1" t="s">
        <v>4263</v>
      </c>
      <c r="I524" s="1" t="s">
        <v>19</v>
      </c>
      <c r="J524" s="1" t="s">
        <v>19</v>
      </c>
      <c r="K524" s="1" t="s">
        <v>25</v>
      </c>
      <c r="L524" s="1">
        <v>23.45</v>
      </c>
      <c r="M524" s="1" t="s">
        <v>21</v>
      </c>
      <c r="O524" s="1">
        <v>2.5791651E7</v>
      </c>
    </row>
    <row r="525">
      <c r="A525" s="1">
        <v>2839624.0</v>
      </c>
      <c r="B525" s="1" t="s">
        <v>4126</v>
      </c>
      <c r="C525" s="1" t="b">
        <v>1</v>
      </c>
      <c r="D525" s="1" t="b">
        <v>1</v>
      </c>
      <c r="E525" s="1" t="s">
        <v>4127</v>
      </c>
      <c r="F525" s="1" t="s">
        <v>1011</v>
      </c>
      <c r="G525" s="2">
        <f>+251912667222</f>
        <v>251912667222</v>
      </c>
      <c r="H525" s="1" t="s">
        <v>18</v>
      </c>
      <c r="I525" s="1" t="s">
        <v>19</v>
      </c>
      <c r="J525" s="1" t="s">
        <v>19</v>
      </c>
      <c r="K525" s="1" t="s">
        <v>20</v>
      </c>
      <c r="L525" s="1">
        <v>25.42</v>
      </c>
      <c r="M525" s="1" t="s">
        <v>21</v>
      </c>
      <c r="O525" s="1">
        <v>2.74169648377E11</v>
      </c>
    </row>
    <row r="526">
      <c r="A526" s="1">
        <v>2839713.0</v>
      </c>
      <c r="B526" s="1" t="s">
        <v>3447</v>
      </c>
      <c r="C526" s="1" t="b">
        <v>1</v>
      </c>
      <c r="D526" s="1" t="b">
        <v>0</v>
      </c>
      <c r="E526" s="1" t="s">
        <v>3067</v>
      </c>
      <c r="F526" s="1" t="s">
        <v>220</v>
      </c>
      <c r="G526" s="2">
        <f>+251945262227</f>
        <v>251945262227</v>
      </c>
      <c r="H526" s="1" t="s">
        <v>18</v>
      </c>
      <c r="I526" s="1" t="s">
        <v>19</v>
      </c>
      <c r="J526" s="1" t="s">
        <v>19</v>
      </c>
      <c r="K526" s="1" t="s">
        <v>25</v>
      </c>
      <c r="L526" s="1">
        <v>19.83</v>
      </c>
      <c r="M526" s="1" t="s">
        <v>33</v>
      </c>
      <c r="N526" s="1" t="s">
        <v>76</v>
      </c>
      <c r="O526" s="1">
        <v>2.74384887001E11</v>
      </c>
    </row>
    <row r="527">
      <c r="A527" s="1">
        <v>2390708.0</v>
      </c>
      <c r="B527" s="1" t="s">
        <v>4128</v>
      </c>
      <c r="C527" s="1" t="b">
        <v>1</v>
      </c>
      <c r="D527" s="1" t="b">
        <v>1</v>
      </c>
      <c r="E527" s="1" t="s">
        <v>98</v>
      </c>
      <c r="F527" s="1" t="s">
        <v>4129</v>
      </c>
      <c r="G527" s="2">
        <f>+251926800895</f>
        <v>251926800895</v>
      </c>
      <c r="H527" s="1" t="s">
        <v>18</v>
      </c>
      <c r="I527" s="1" t="s">
        <v>19</v>
      </c>
      <c r="J527" s="1" t="s">
        <v>19</v>
      </c>
      <c r="K527" s="1" t="s">
        <v>20</v>
      </c>
      <c r="L527" s="1">
        <v>38.75</v>
      </c>
      <c r="M527" s="1" t="s">
        <v>21</v>
      </c>
      <c r="O527" s="1">
        <v>2.3118636E7</v>
      </c>
    </row>
    <row r="528">
      <c r="A528" s="1">
        <v>2840227.0</v>
      </c>
      <c r="B528" s="1" t="s">
        <v>4130</v>
      </c>
      <c r="C528" s="1" t="b">
        <v>1</v>
      </c>
      <c r="D528" s="1" t="b">
        <v>1</v>
      </c>
      <c r="E528" s="1" t="s">
        <v>4131</v>
      </c>
      <c r="F528" s="1" t="s">
        <v>948</v>
      </c>
      <c r="G528" s="2">
        <f>+251937423321</f>
        <v>251937423321</v>
      </c>
      <c r="H528" s="1" t="s">
        <v>18</v>
      </c>
      <c r="I528" s="1" t="s">
        <v>19</v>
      </c>
      <c r="J528" s="1" t="s">
        <v>19</v>
      </c>
      <c r="K528" s="1" t="s">
        <v>20</v>
      </c>
      <c r="L528" s="1">
        <v>33.64</v>
      </c>
      <c r="M528" s="1" t="s">
        <v>21</v>
      </c>
      <c r="O528" s="1">
        <v>2.74870973681E11</v>
      </c>
    </row>
    <row r="529">
      <c r="A529" s="1">
        <v>1946377.0</v>
      </c>
      <c r="B529" s="1" t="s">
        <v>4132</v>
      </c>
      <c r="C529" s="1" t="b">
        <v>1</v>
      </c>
      <c r="D529" s="1" t="b">
        <v>1</v>
      </c>
      <c r="E529" s="1" t="s">
        <v>4133</v>
      </c>
      <c r="F529" s="1" t="s">
        <v>1187</v>
      </c>
      <c r="G529" s="2">
        <f>+251978483378</f>
        <v>251978483378</v>
      </c>
      <c r="H529" s="1" t="s">
        <v>18</v>
      </c>
      <c r="I529" s="1" t="s">
        <v>19</v>
      </c>
      <c r="J529" s="1" t="s">
        <v>19</v>
      </c>
      <c r="K529" s="1" t="s">
        <v>25</v>
      </c>
      <c r="L529" s="1">
        <v>28.23</v>
      </c>
      <c r="M529" s="1" t="s">
        <v>21</v>
      </c>
      <c r="O529" s="1">
        <v>2413183.0</v>
      </c>
    </row>
    <row r="530">
      <c r="A530" s="1">
        <v>2840291.0</v>
      </c>
      <c r="B530" s="1" t="s">
        <v>4134</v>
      </c>
      <c r="C530" s="1" t="b">
        <v>1</v>
      </c>
      <c r="D530" s="1" t="b">
        <v>1</v>
      </c>
      <c r="E530" s="1" t="s">
        <v>623</v>
      </c>
      <c r="F530" s="1" t="s">
        <v>4135</v>
      </c>
      <c r="G530" s="2">
        <f>+251912835149</f>
        <v>251912835149</v>
      </c>
      <c r="H530" s="1" t="s">
        <v>18</v>
      </c>
      <c r="I530" s="1" t="s">
        <v>19</v>
      </c>
      <c r="J530" s="1" t="s">
        <v>19</v>
      </c>
      <c r="K530" s="1" t="s">
        <v>25</v>
      </c>
      <c r="L530" s="1">
        <v>38.02</v>
      </c>
      <c r="M530" s="1" t="s">
        <v>21</v>
      </c>
    </row>
    <row r="531">
      <c r="A531" s="1">
        <v>1500158.0</v>
      </c>
      <c r="B531" s="1" t="s">
        <v>3448</v>
      </c>
      <c r="C531" s="1" t="b">
        <v>1</v>
      </c>
      <c r="D531" s="1" t="b">
        <v>1</v>
      </c>
      <c r="E531" s="1" t="s">
        <v>101</v>
      </c>
      <c r="F531" s="1" t="s">
        <v>338</v>
      </c>
      <c r="G531" s="2">
        <f>+251712001763</f>
        <v>251712001763</v>
      </c>
      <c r="H531" s="1" t="s">
        <v>18</v>
      </c>
      <c r="I531" s="1" t="s">
        <v>19</v>
      </c>
      <c r="J531" s="1" t="s">
        <v>19</v>
      </c>
      <c r="K531" s="1" t="s">
        <v>25</v>
      </c>
      <c r="L531" s="1">
        <v>32.44</v>
      </c>
      <c r="M531" s="1" t="s">
        <v>33</v>
      </c>
      <c r="N531" s="1" t="s">
        <v>65</v>
      </c>
    </row>
    <row r="532">
      <c r="A532" s="1">
        <v>2840668.0</v>
      </c>
      <c r="B532" s="1" t="s">
        <v>3449</v>
      </c>
      <c r="C532" s="1" t="b">
        <v>1</v>
      </c>
      <c r="D532" s="1" t="b">
        <v>1</v>
      </c>
      <c r="E532" s="1" t="s">
        <v>1899</v>
      </c>
      <c r="F532" s="1" t="s">
        <v>3450</v>
      </c>
      <c r="G532" s="2">
        <f>+251924550918</f>
        <v>251924550918</v>
      </c>
      <c r="H532" s="1" t="s">
        <v>18</v>
      </c>
      <c r="I532" s="1" t="s">
        <v>19</v>
      </c>
      <c r="J532" s="1" t="s">
        <v>19</v>
      </c>
      <c r="K532" s="1" t="s">
        <v>20</v>
      </c>
      <c r="L532" s="1">
        <v>22.17</v>
      </c>
      <c r="M532" s="1" t="s">
        <v>33</v>
      </c>
      <c r="N532" s="1" t="s">
        <v>65</v>
      </c>
      <c r="O532" s="1">
        <v>9.1861723359E10</v>
      </c>
    </row>
    <row r="533">
      <c r="A533" s="1">
        <v>2840831.0</v>
      </c>
      <c r="B533" s="1" t="s">
        <v>4136</v>
      </c>
      <c r="C533" s="1" t="b">
        <v>1</v>
      </c>
      <c r="D533" s="1" t="b">
        <v>0</v>
      </c>
      <c r="E533" s="1" t="s">
        <v>929</v>
      </c>
      <c r="F533" s="1" t="s">
        <v>2245</v>
      </c>
      <c r="G533" s="2">
        <f>+251911453893</f>
        <v>251911453893</v>
      </c>
      <c r="H533" s="1" t="s">
        <v>18</v>
      </c>
      <c r="I533" s="1" t="s">
        <v>19</v>
      </c>
      <c r="J533" s="1" t="s">
        <v>19</v>
      </c>
      <c r="K533" s="1" t="s">
        <v>25</v>
      </c>
      <c r="L533" s="1">
        <v>43.99</v>
      </c>
      <c r="M533" s="1" t="s">
        <v>21</v>
      </c>
      <c r="O533" s="1">
        <v>2.75007092947E11</v>
      </c>
    </row>
    <row r="534">
      <c r="A534" s="1">
        <v>2841219.0</v>
      </c>
      <c r="B534" s="1" t="s">
        <v>4137</v>
      </c>
      <c r="C534" s="1" t="b">
        <v>1</v>
      </c>
      <c r="D534" s="1" t="b">
        <v>1</v>
      </c>
      <c r="E534" s="1" t="s">
        <v>67</v>
      </c>
      <c r="F534" s="1" t="s">
        <v>4138</v>
      </c>
      <c r="G534" s="1">
        <v>9.20749389E8</v>
      </c>
      <c r="H534" s="1" t="s">
        <v>18</v>
      </c>
      <c r="I534" s="1" t="s">
        <v>19</v>
      </c>
      <c r="J534" s="1" t="s">
        <v>19</v>
      </c>
      <c r="K534" s="1" t="s">
        <v>25</v>
      </c>
      <c r="L534" s="1">
        <v>33.28</v>
      </c>
      <c r="M534" s="1" t="s">
        <v>21</v>
      </c>
      <c r="O534" s="1">
        <v>2.75369444569E11</v>
      </c>
    </row>
    <row r="535">
      <c r="A535" s="1">
        <v>2841432.0</v>
      </c>
      <c r="B535" s="1" t="s">
        <v>4139</v>
      </c>
      <c r="C535" s="1" t="b">
        <v>1</v>
      </c>
      <c r="D535" s="1" t="b">
        <v>1</v>
      </c>
      <c r="E535" s="1" t="s">
        <v>4140</v>
      </c>
      <c r="F535" s="1" t="s">
        <v>4141</v>
      </c>
      <c r="G535" s="2">
        <f>+251978411350</f>
        <v>251978411350</v>
      </c>
      <c r="H535" s="1" t="s">
        <v>18</v>
      </c>
      <c r="I535" s="1" t="s">
        <v>19</v>
      </c>
      <c r="J535" s="1" t="s">
        <v>19</v>
      </c>
      <c r="K535" s="1" t="s">
        <v>25</v>
      </c>
      <c r="L535" s="1">
        <v>21.11</v>
      </c>
      <c r="M535" s="1" t="s">
        <v>21</v>
      </c>
    </row>
    <row r="536">
      <c r="A536" s="1">
        <v>2841486.0</v>
      </c>
      <c r="B536" s="1" t="s">
        <v>4142</v>
      </c>
      <c r="C536" s="1" t="b">
        <v>1</v>
      </c>
      <c r="D536" s="1" t="b">
        <v>1</v>
      </c>
      <c r="E536" s="1" t="s">
        <v>60</v>
      </c>
      <c r="F536" s="1" t="s">
        <v>443</v>
      </c>
      <c r="G536" s="2">
        <f>+251989775649</f>
        <v>251989775649</v>
      </c>
      <c r="H536" s="1" t="s">
        <v>18</v>
      </c>
      <c r="I536" s="1" t="s">
        <v>19</v>
      </c>
      <c r="J536" s="1" t="s">
        <v>19</v>
      </c>
      <c r="K536" s="1" t="s">
        <v>25</v>
      </c>
      <c r="L536" s="1">
        <v>20.93</v>
      </c>
      <c r="M536" s="1" t="s">
        <v>21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13"/>
    <col customWidth="1" min="10" max="10" width="11.38"/>
    <col customWidth="1" min="11" max="11" width="16.75"/>
    <col customWidth="1" min="12" max="12" width="15.88"/>
    <col customWidth="1" min="13" max="13" width="13.38"/>
    <col customWidth="1" min="14" max="14" width="18.63"/>
    <col customWidth="1" min="15" max="15" width="17.25"/>
    <col customWidth="1" min="16" max="16" width="13.7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23" t="s">
        <v>4264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4265</v>
      </c>
      <c r="B2" s="1" t="s">
        <v>3269</v>
      </c>
      <c r="C2" s="1" t="s">
        <v>3270</v>
      </c>
      <c r="D2" s="1" t="s">
        <v>3271</v>
      </c>
      <c r="E2" s="2">
        <v>2.51960461321E11</v>
      </c>
      <c r="F2" s="1" t="s">
        <v>33</v>
      </c>
      <c r="G2" s="1" t="s">
        <v>65</v>
      </c>
      <c r="H2" s="19" t="s">
        <v>4236</v>
      </c>
      <c r="I2" s="20" t="s">
        <v>4164</v>
      </c>
      <c r="J2" s="19" t="s">
        <v>4165</v>
      </c>
      <c r="K2" s="19" t="s">
        <v>4232</v>
      </c>
      <c r="L2" s="19" t="s">
        <v>4176</v>
      </c>
      <c r="M2" s="19" t="s">
        <v>4165</v>
      </c>
      <c r="N2" s="21"/>
      <c r="O2" s="19" t="s">
        <v>4184</v>
      </c>
      <c r="P2" s="19" t="s">
        <v>4185</v>
      </c>
      <c r="Q2" s="19" t="s">
        <v>4165</v>
      </c>
      <c r="R2" s="19" t="s">
        <v>4192</v>
      </c>
      <c r="S2" s="19"/>
    </row>
    <row r="3">
      <c r="A3" s="22" t="s">
        <v>4265</v>
      </c>
      <c r="B3" s="1" t="s">
        <v>3234</v>
      </c>
      <c r="C3" s="1" t="s">
        <v>1077</v>
      </c>
      <c r="D3" s="1" t="s">
        <v>3042</v>
      </c>
      <c r="E3" s="2">
        <v>2.51912709325E11</v>
      </c>
      <c r="F3" s="1" t="s">
        <v>33</v>
      </c>
      <c r="G3" s="1" t="s">
        <v>76</v>
      </c>
      <c r="H3" s="19" t="s">
        <v>4236</v>
      </c>
      <c r="I3" s="20" t="s">
        <v>4164</v>
      </c>
      <c r="J3" s="19" t="s">
        <v>4165</v>
      </c>
      <c r="K3" s="19" t="s">
        <v>4266</v>
      </c>
      <c r="L3" s="19" t="s">
        <v>4176</v>
      </c>
      <c r="M3" s="19" t="s">
        <v>4165</v>
      </c>
      <c r="N3" s="21"/>
      <c r="O3" s="19" t="s">
        <v>4184</v>
      </c>
      <c r="P3" s="19" t="s">
        <v>4178</v>
      </c>
      <c r="Q3" s="19" t="s">
        <v>4165</v>
      </c>
      <c r="R3" s="19" t="s">
        <v>4179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>
      <c r="A4" s="22" t="s">
        <v>4265</v>
      </c>
      <c r="B4" s="1" t="s">
        <v>3243</v>
      </c>
      <c r="C4" s="1" t="s">
        <v>1086</v>
      </c>
      <c r="D4" s="1" t="s">
        <v>534</v>
      </c>
      <c r="E4" s="2">
        <v>2.51994843873E11</v>
      </c>
      <c r="F4" s="1" t="s">
        <v>33</v>
      </c>
      <c r="G4" s="1" t="s">
        <v>177</v>
      </c>
      <c r="H4" s="19" t="s">
        <v>4236</v>
      </c>
      <c r="I4" s="20" t="s">
        <v>4164</v>
      </c>
      <c r="J4" s="19" t="s">
        <v>4165</v>
      </c>
      <c r="K4" s="19" t="s">
        <v>4267</v>
      </c>
      <c r="L4" s="19" t="s">
        <v>4176</v>
      </c>
      <c r="M4" s="19" t="s">
        <v>4165</v>
      </c>
      <c r="N4" s="21"/>
      <c r="O4" s="19" t="s">
        <v>4184</v>
      </c>
      <c r="P4" s="19" t="s">
        <v>4178</v>
      </c>
      <c r="Q4" s="19" t="s">
        <v>4165</v>
      </c>
      <c r="R4" s="19" t="s">
        <v>4179</v>
      </c>
    </row>
    <row r="5">
      <c r="A5" s="22" t="s">
        <v>4265</v>
      </c>
      <c r="B5" s="1" t="s">
        <v>3316</v>
      </c>
      <c r="C5" s="1" t="s">
        <v>1614</v>
      </c>
      <c r="D5" s="1" t="s">
        <v>3317</v>
      </c>
      <c r="E5" s="2">
        <v>2.5194753465E11</v>
      </c>
      <c r="F5" s="1" t="s">
        <v>33</v>
      </c>
      <c r="G5" s="1" t="s">
        <v>118</v>
      </c>
      <c r="H5" s="19" t="s">
        <v>4236</v>
      </c>
      <c r="I5" s="20" t="s">
        <v>4164</v>
      </c>
      <c r="J5" s="19" t="s">
        <v>4165</v>
      </c>
      <c r="K5" s="19" t="s">
        <v>4268</v>
      </c>
      <c r="L5" s="19" t="s">
        <v>4176</v>
      </c>
      <c r="M5" s="19" t="s">
        <v>4165</v>
      </c>
      <c r="N5" s="21"/>
      <c r="O5" s="19" t="s">
        <v>4184</v>
      </c>
      <c r="P5" s="19" t="s">
        <v>4178</v>
      </c>
      <c r="Q5" s="19" t="s">
        <v>4165</v>
      </c>
      <c r="R5" s="19" t="s">
        <v>4179</v>
      </c>
    </row>
    <row r="6">
      <c r="A6" s="22" t="s">
        <v>4265</v>
      </c>
      <c r="B6" s="1" t="s">
        <v>3318</v>
      </c>
      <c r="C6" s="1" t="s">
        <v>3319</v>
      </c>
      <c r="D6" s="1" t="s">
        <v>189</v>
      </c>
      <c r="E6" s="2">
        <v>2.51920062842E11</v>
      </c>
      <c r="F6" s="1" t="s">
        <v>33</v>
      </c>
      <c r="G6" s="1" t="s">
        <v>166</v>
      </c>
      <c r="H6" s="19" t="s">
        <v>4236</v>
      </c>
      <c r="I6" s="20" t="s">
        <v>4164</v>
      </c>
      <c r="J6" s="19" t="s">
        <v>4165</v>
      </c>
      <c r="K6" s="19" t="s">
        <v>4269</v>
      </c>
      <c r="L6" s="19" t="s">
        <v>4176</v>
      </c>
      <c r="M6" s="19" t="s">
        <v>4165</v>
      </c>
      <c r="N6" s="21"/>
      <c r="O6" s="19" t="s">
        <v>4184</v>
      </c>
      <c r="P6" s="19" t="s">
        <v>4178</v>
      </c>
      <c r="Q6" s="19" t="s">
        <v>4165</v>
      </c>
      <c r="R6" s="19" t="s">
        <v>4179</v>
      </c>
    </row>
    <row r="7">
      <c r="A7" s="22" t="s">
        <v>4265</v>
      </c>
      <c r="B7" s="1" t="s">
        <v>3304</v>
      </c>
      <c r="C7" s="1" t="s">
        <v>500</v>
      </c>
      <c r="D7" s="1" t="s">
        <v>3305</v>
      </c>
      <c r="E7" s="2">
        <v>2.51913162512E11</v>
      </c>
      <c r="F7" s="1" t="s">
        <v>33</v>
      </c>
      <c r="G7" s="1" t="s">
        <v>166</v>
      </c>
      <c r="H7" s="19" t="s">
        <v>4236</v>
      </c>
      <c r="I7" s="20" t="s">
        <v>4164</v>
      </c>
      <c r="J7" s="19" t="s">
        <v>4165</v>
      </c>
      <c r="K7" s="19" t="s">
        <v>4270</v>
      </c>
      <c r="L7" s="19" t="s">
        <v>4176</v>
      </c>
      <c r="M7" s="19" t="s">
        <v>4165</v>
      </c>
      <c r="N7" s="21"/>
      <c r="O7" s="19" t="s">
        <v>4184</v>
      </c>
      <c r="P7" s="19" t="s">
        <v>4178</v>
      </c>
      <c r="Q7" s="19" t="s">
        <v>4165</v>
      </c>
      <c r="R7" s="19" t="s">
        <v>4179</v>
      </c>
    </row>
    <row r="8">
      <c r="A8" s="22" t="s">
        <v>4265</v>
      </c>
      <c r="B8" s="1" t="s">
        <v>3307</v>
      </c>
      <c r="C8" s="1" t="s">
        <v>1457</v>
      </c>
      <c r="D8" s="1" t="s">
        <v>1651</v>
      </c>
      <c r="E8" s="2">
        <v>2.51931688154E11</v>
      </c>
      <c r="F8" s="1" t="s">
        <v>33</v>
      </c>
      <c r="G8" s="1" t="s">
        <v>34</v>
      </c>
      <c r="H8" s="19" t="s">
        <v>4236</v>
      </c>
      <c r="I8" s="20" t="s">
        <v>4164</v>
      </c>
      <c r="J8" s="19" t="s">
        <v>4165</v>
      </c>
      <c r="K8" s="19" t="s">
        <v>4271</v>
      </c>
      <c r="L8" s="19" t="s">
        <v>4176</v>
      </c>
      <c r="M8" s="19" t="s">
        <v>4165</v>
      </c>
      <c r="N8" s="21"/>
      <c r="O8" s="19" t="s">
        <v>4184</v>
      </c>
      <c r="P8" s="19" t="s">
        <v>4178</v>
      </c>
      <c r="Q8" s="19" t="s">
        <v>4165</v>
      </c>
      <c r="R8" s="19" t="s">
        <v>4179</v>
      </c>
    </row>
    <row r="9">
      <c r="A9" s="22" t="s">
        <v>4265</v>
      </c>
      <c r="B9" s="1" t="s">
        <v>3311</v>
      </c>
      <c r="C9" s="1" t="s">
        <v>3312</v>
      </c>
      <c r="D9" s="1" t="s">
        <v>3313</v>
      </c>
      <c r="E9" s="2">
        <v>2.51904303033E11</v>
      </c>
      <c r="F9" s="1" t="s">
        <v>33</v>
      </c>
      <c r="G9" s="1" t="s">
        <v>118</v>
      </c>
      <c r="H9" s="19" t="s">
        <v>4236</v>
      </c>
      <c r="I9" s="20" t="s">
        <v>4164</v>
      </c>
      <c r="J9" s="19" t="s">
        <v>4165</v>
      </c>
      <c r="K9" s="19" t="s">
        <v>4272</v>
      </c>
      <c r="L9" s="19" t="s">
        <v>4176</v>
      </c>
      <c r="M9" s="19" t="s">
        <v>4165</v>
      </c>
      <c r="N9" s="21"/>
      <c r="O9" s="19" t="s">
        <v>4184</v>
      </c>
      <c r="P9" s="19" t="s">
        <v>4178</v>
      </c>
      <c r="Q9" s="19" t="s">
        <v>4165</v>
      </c>
      <c r="R9" s="19" t="s">
        <v>4179</v>
      </c>
    </row>
    <row r="10">
      <c r="A10" s="22" t="s">
        <v>4265</v>
      </c>
      <c r="B10" s="1" t="s">
        <v>3315</v>
      </c>
      <c r="C10" s="1" t="s">
        <v>517</v>
      </c>
      <c r="D10" s="1" t="s">
        <v>894</v>
      </c>
      <c r="E10" s="2">
        <v>2.51933650193E11</v>
      </c>
      <c r="F10" s="1" t="s">
        <v>33</v>
      </c>
      <c r="G10" s="1" t="s">
        <v>34</v>
      </c>
      <c r="H10" s="19" t="s">
        <v>4236</v>
      </c>
      <c r="I10" s="20" t="s">
        <v>4164</v>
      </c>
      <c r="J10" s="19" t="s">
        <v>4165</v>
      </c>
      <c r="K10" s="19" t="s">
        <v>4272</v>
      </c>
      <c r="L10" s="19" t="s">
        <v>4176</v>
      </c>
      <c r="M10" s="19" t="s">
        <v>4165</v>
      </c>
      <c r="N10" s="21"/>
      <c r="O10" s="19" t="s">
        <v>4184</v>
      </c>
      <c r="P10" s="19" t="s">
        <v>4185</v>
      </c>
      <c r="Q10" s="19" t="s">
        <v>4165</v>
      </c>
      <c r="R10" s="19" t="s">
        <v>4179</v>
      </c>
    </row>
    <row r="11">
      <c r="A11" s="22" t="s">
        <v>4265</v>
      </c>
      <c r="B11" s="1" t="s">
        <v>3321</v>
      </c>
      <c r="C11" s="1" t="s">
        <v>3322</v>
      </c>
      <c r="D11" s="1" t="s">
        <v>3323</v>
      </c>
      <c r="E11" s="2">
        <v>2.51918667319E11</v>
      </c>
      <c r="F11" s="1" t="s">
        <v>33</v>
      </c>
      <c r="G11" s="1" t="s">
        <v>34</v>
      </c>
      <c r="H11" s="19" t="s">
        <v>4236</v>
      </c>
      <c r="I11" s="20" t="s">
        <v>4164</v>
      </c>
      <c r="J11" s="19" t="s">
        <v>4165</v>
      </c>
      <c r="K11" s="19" t="s">
        <v>4273</v>
      </c>
      <c r="L11" s="19" t="s">
        <v>4176</v>
      </c>
      <c r="M11" s="19" t="s">
        <v>4165</v>
      </c>
      <c r="N11" s="21"/>
      <c r="O11" s="19" t="s">
        <v>4184</v>
      </c>
      <c r="P11" s="19" t="s">
        <v>4178</v>
      </c>
      <c r="Q11" s="19" t="s">
        <v>4165</v>
      </c>
      <c r="R11" s="19" t="s">
        <v>4179</v>
      </c>
    </row>
    <row r="12">
      <c r="A12" s="22" t="s">
        <v>4265</v>
      </c>
      <c r="B12" s="1" t="s">
        <v>3235</v>
      </c>
      <c r="C12" s="1" t="s">
        <v>3236</v>
      </c>
      <c r="D12" s="1" t="s">
        <v>3237</v>
      </c>
      <c r="E12" s="2">
        <v>2.51913997944E11</v>
      </c>
      <c r="F12" s="1" t="s">
        <v>33</v>
      </c>
      <c r="G12" s="1" t="s">
        <v>166</v>
      </c>
      <c r="H12" s="19" t="s">
        <v>4236</v>
      </c>
      <c r="I12" s="20" t="s">
        <v>4164</v>
      </c>
      <c r="J12" s="19" t="s">
        <v>4165</v>
      </c>
      <c r="K12" s="19" t="s">
        <v>4274</v>
      </c>
      <c r="L12" s="19" t="s">
        <v>4199</v>
      </c>
      <c r="M12" s="19" t="s">
        <v>4165</v>
      </c>
      <c r="N12" s="21"/>
      <c r="O12" s="19" t="s">
        <v>4184</v>
      </c>
      <c r="P12" s="19" t="s">
        <v>4178</v>
      </c>
      <c r="Q12" s="19" t="s">
        <v>4165</v>
      </c>
      <c r="R12" s="19" t="s">
        <v>4179</v>
      </c>
    </row>
    <row r="13">
      <c r="A13" s="22" t="s">
        <v>4265</v>
      </c>
      <c r="B13" s="1" t="s">
        <v>3238</v>
      </c>
      <c r="C13" s="1" t="s">
        <v>60</v>
      </c>
      <c r="D13" s="1" t="s">
        <v>3239</v>
      </c>
      <c r="E13" s="2">
        <v>2.51945640088E11</v>
      </c>
      <c r="F13" s="1" t="s">
        <v>33</v>
      </c>
      <c r="G13" s="1" t="s">
        <v>65</v>
      </c>
      <c r="H13" s="19" t="s">
        <v>4236</v>
      </c>
      <c r="I13" s="20" t="s">
        <v>4164</v>
      </c>
      <c r="J13" s="19" t="s">
        <v>4165</v>
      </c>
      <c r="K13" s="19" t="s">
        <v>4274</v>
      </c>
      <c r="L13" s="19" t="s">
        <v>4199</v>
      </c>
      <c r="M13" s="19" t="s">
        <v>4165</v>
      </c>
      <c r="N13" s="21"/>
      <c r="O13" s="19" t="s">
        <v>4184</v>
      </c>
      <c r="P13" s="19" t="s">
        <v>4178</v>
      </c>
      <c r="Q13" s="19" t="s">
        <v>4165</v>
      </c>
      <c r="R13" s="19" t="s">
        <v>4179</v>
      </c>
    </row>
    <row r="14">
      <c r="A14" s="22" t="s">
        <v>4265</v>
      </c>
      <c r="B14" s="1" t="s">
        <v>3252</v>
      </c>
      <c r="C14" s="1" t="s">
        <v>3253</v>
      </c>
      <c r="D14" s="1" t="s">
        <v>1056</v>
      </c>
      <c r="E14" s="2">
        <v>2.51932273787E11</v>
      </c>
      <c r="F14" s="1" t="s">
        <v>33</v>
      </c>
      <c r="G14" s="1" t="s">
        <v>76</v>
      </c>
      <c r="H14" s="19" t="s">
        <v>4236</v>
      </c>
      <c r="I14" s="20" t="s">
        <v>4164</v>
      </c>
      <c r="J14" s="19" t="s">
        <v>4165</v>
      </c>
      <c r="K14" s="19" t="s">
        <v>4275</v>
      </c>
      <c r="L14" s="19" t="s">
        <v>4199</v>
      </c>
      <c r="M14" s="19" t="s">
        <v>4165</v>
      </c>
      <c r="N14" s="21"/>
      <c r="O14" s="19" t="s">
        <v>4184</v>
      </c>
      <c r="P14" s="19" t="s">
        <v>4178</v>
      </c>
      <c r="Q14" s="19" t="s">
        <v>4165</v>
      </c>
      <c r="R14" s="19" t="s">
        <v>4179</v>
      </c>
    </row>
    <row r="15">
      <c r="A15" s="22" t="s">
        <v>4265</v>
      </c>
      <c r="B15" s="1" t="s">
        <v>3254</v>
      </c>
      <c r="C15" s="1" t="s">
        <v>1916</v>
      </c>
      <c r="D15" s="1" t="s">
        <v>2407</v>
      </c>
      <c r="E15" s="2">
        <v>2.51939957764E11</v>
      </c>
      <c r="F15" s="1" t="s">
        <v>33</v>
      </c>
      <c r="G15" s="1" t="s">
        <v>65</v>
      </c>
      <c r="H15" s="19" t="s">
        <v>4236</v>
      </c>
      <c r="I15" s="20" t="s">
        <v>4164</v>
      </c>
      <c r="J15" s="19" t="s">
        <v>4165</v>
      </c>
      <c r="K15" s="19" t="s">
        <v>4276</v>
      </c>
      <c r="L15" s="19" t="s">
        <v>4199</v>
      </c>
      <c r="M15" s="19" t="s">
        <v>4165</v>
      </c>
      <c r="N15" s="21"/>
      <c r="O15" s="19" t="s">
        <v>4184</v>
      </c>
      <c r="P15" s="19" t="s">
        <v>4178</v>
      </c>
      <c r="Q15" s="19" t="s">
        <v>4165</v>
      </c>
      <c r="R15" s="19" t="s">
        <v>4179</v>
      </c>
    </row>
    <row r="16">
      <c r="A16" s="22" t="s">
        <v>4265</v>
      </c>
      <c r="B16" s="1" t="s">
        <v>3263</v>
      </c>
      <c r="C16" s="1" t="s">
        <v>184</v>
      </c>
      <c r="D16" s="1" t="s">
        <v>2557</v>
      </c>
      <c r="E16" s="2">
        <v>2.51962920368E11</v>
      </c>
      <c r="F16" s="1" t="s">
        <v>33</v>
      </c>
      <c r="G16" s="1" t="s">
        <v>177</v>
      </c>
      <c r="H16" s="19" t="s">
        <v>4236</v>
      </c>
      <c r="I16" s="20" t="s">
        <v>4164</v>
      </c>
      <c r="J16" s="19" t="s">
        <v>4165</v>
      </c>
      <c r="K16" s="19" t="s">
        <v>4277</v>
      </c>
      <c r="L16" s="19" t="s">
        <v>4199</v>
      </c>
      <c r="M16" s="19" t="s">
        <v>4165</v>
      </c>
      <c r="N16" s="21"/>
      <c r="O16" s="19" t="s">
        <v>4184</v>
      </c>
      <c r="P16" s="19" t="s">
        <v>4185</v>
      </c>
      <c r="Q16" s="19" t="s">
        <v>4165</v>
      </c>
      <c r="R16" s="19" t="s">
        <v>4179</v>
      </c>
    </row>
    <row r="17">
      <c r="A17" s="22" t="s">
        <v>4265</v>
      </c>
      <c r="B17" s="1" t="s">
        <v>3280</v>
      </c>
      <c r="C17" s="1" t="s">
        <v>3170</v>
      </c>
      <c r="D17" s="1" t="s">
        <v>839</v>
      </c>
      <c r="E17" s="2">
        <v>2.51923149652E11</v>
      </c>
      <c r="F17" s="1" t="s">
        <v>33</v>
      </c>
      <c r="G17" s="1" t="s">
        <v>118</v>
      </c>
      <c r="H17" s="19" t="s">
        <v>4236</v>
      </c>
      <c r="I17" s="20" t="s">
        <v>4164</v>
      </c>
      <c r="J17" s="19" t="s">
        <v>4165</v>
      </c>
      <c r="K17" s="19" t="s">
        <v>4278</v>
      </c>
      <c r="L17" s="19" t="s">
        <v>4199</v>
      </c>
      <c r="M17" s="19" t="s">
        <v>4165</v>
      </c>
      <c r="N17" s="21"/>
      <c r="O17" s="19" t="s">
        <v>4184</v>
      </c>
      <c r="P17" s="19" t="s">
        <v>4178</v>
      </c>
      <c r="Q17" s="19" t="s">
        <v>4165</v>
      </c>
      <c r="R17" s="19" t="s">
        <v>4179</v>
      </c>
    </row>
    <row r="18">
      <c r="A18" s="22" t="s">
        <v>4265</v>
      </c>
      <c r="B18" s="1" t="s">
        <v>3286</v>
      </c>
      <c r="C18" s="1" t="s">
        <v>836</v>
      </c>
      <c r="D18" s="1" t="s">
        <v>262</v>
      </c>
      <c r="E18" s="1">
        <v>9.54354254E8</v>
      </c>
      <c r="F18" s="1" t="s">
        <v>33</v>
      </c>
      <c r="G18" s="1" t="s">
        <v>118</v>
      </c>
      <c r="H18" s="19" t="s">
        <v>4236</v>
      </c>
      <c r="I18" s="20" t="s">
        <v>4164</v>
      </c>
      <c r="J18" s="19" t="s">
        <v>4165</v>
      </c>
      <c r="K18" s="19" t="s">
        <v>4274</v>
      </c>
      <c r="L18" s="19" t="s">
        <v>4199</v>
      </c>
      <c r="M18" s="19" t="s">
        <v>4165</v>
      </c>
      <c r="N18" s="21"/>
      <c r="O18" s="19" t="s">
        <v>4184</v>
      </c>
      <c r="P18" s="19" t="s">
        <v>4178</v>
      </c>
      <c r="Q18" s="19" t="s">
        <v>4165</v>
      </c>
      <c r="R18" s="19" t="s">
        <v>4179</v>
      </c>
    </row>
    <row r="19">
      <c r="A19" s="22" t="s">
        <v>4265</v>
      </c>
      <c r="B19" s="1" t="s">
        <v>3302</v>
      </c>
      <c r="C19" s="1" t="s">
        <v>123</v>
      </c>
      <c r="D19" s="1" t="s">
        <v>862</v>
      </c>
      <c r="E19" s="2">
        <v>2.51944070626E11</v>
      </c>
      <c r="F19" s="1" t="s">
        <v>33</v>
      </c>
      <c r="G19" s="1" t="s">
        <v>34</v>
      </c>
      <c r="H19" s="19" t="s">
        <v>4236</v>
      </c>
      <c r="I19" s="20" t="s">
        <v>4164</v>
      </c>
      <c r="J19" s="19" t="s">
        <v>4165</v>
      </c>
      <c r="K19" s="19" t="s">
        <v>4279</v>
      </c>
      <c r="L19" s="19" t="s">
        <v>4199</v>
      </c>
      <c r="M19" s="19" t="s">
        <v>4165</v>
      </c>
      <c r="N19" s="21"/>
      <c r="O19" s="19" t="s">
        <v>4184</v>
      </c>
      <c r="P19" s="19" t="s">
        <v>4178</v>
      </c>
      <c r="Q19" s="19" t="s">
        <v>4165</v>
      </c>
      <c r="R19" s="19" t="s">
        <v>4179</v>
      </c>
    </row>
    <row r="20">
      <c r="A20" s="22" t="s">
        <v>4265</v>
      </c>
      <c r="B20" s="1" t="s">
        <v>3314</v>
      </c>
      <c r="C20" s="1" t="s">
        <v>503</v>
      </c>
      <c r="D20" s="1" t="s">
        <v>51</v>
      </c>
      <c r="E20" s="1">
        <v>9.20727562E8</v>
      </c>
      <c r="F20" s="1" t="s">
        <v>33</v>
      </c>
      <c r="G20" s="1" t="s">
        <v>177</v>
      </c>
      <c r="H20" s="19" t="s">
        <v>4236</v>
      </c>
      <c r="I20" s="20" t="s">
        <v>4164</v>
      </c>
      <c r="J20" s="19" t="s">
        <v>4165</v>
      </c>
      <c r="K20" s="19" t="s">
        <v>4270</v>
      </c>
      <c r="L20" s="19" t="s">
        <v>4199</v>
      </c>
      <c r="M20" s="19" t="s">
        <v>4165</v>
      </c>
      <c r="N20" s="21"/>
      <c r="O20" s="19" t="s">
        <v>4184</v>
      </c>
      <c r="P20" s="19" t="s">
        <v>4178</v>
      </c>
      <c r="Q20" s="19" t="s">
        <v>4165</v>
      </c>
      <c r="R20" s="19" t="s">
        <v>4179</v>
      </c>
    </row>
    <row r="21">
      <c r="A21" s="22" t="s">
        <v>4265</v>
      </c>
      <c r="B21" s="1" t="s">
        <v>3244</v>
      </c>
      <c r="C21" s="1" t="s">
        <v>836</v>
      </c>
      <c r="D21" s="1" t="s">
        <v>1116</v>
      </c>
      <c r="E21" s="2">
        <v>2.51982293746E11</v>
      </c>
      <c r="F21" s="1" t="s">
        <v>33</v>
      </c>
      <c r="G21" s="1" t="s">
        <v>65</v>
      </c>
      <c r="H21" s="19" t="s">
        <v>4236</v>
      </c>
      <c r="I21" s="20" t="s">
        <v>4164</v>
      </c>
      <c r="J21" s="19" t="s">
        <v>4165</v>
      </c>
      <c r="K21" s="19" t="s">
        <v>4280</v>
      </c>
      <c r="L21" s="19" t="s">
        <v>4172</v>
      </c>
      <c r="M21" s="19" t="s">
        <v>4165</v>
      </c>
      <c r="N21" s="21"/>
      <c r="O21" s="19" t="s">
        <v>4172</v>
      </c>
      <c r="P21" s="19" t="s">
        <v>4173</v>
      </c>
      <c r="Q21" s="19" t="s">
        <v>4165</v>
      </c>
      <c r="R21" s="19" t="s">
        <v>4281</v>
      </c>
      <c r="S21" s="1" t="s">
        <v>4282</v>
      </c>
    </row>
    <row r="22">
      <c r="A22" s="22" t="s">
        <v>4265</v>
      </c>
      <c r="B22" s="1" t="s">
        <v>3240</v>
      </c>
      <c r="C22" s="1" t="s">
        <v>2583</v>
      </c>
      <c r="D22" s="1" t="s">
        <v>399</v>
      </c>
      <c r="E22" s="2">
        <v>2.51917831213E11</v>
      </c>
      <c r="F22" s="1" t="s">
        <v>33</v>
      </c>
      <c r="G22" s="1" t="s">
        <v>34</v>
      </c>
      <c r="H22" s="19" t="s">
        <v>4236</v>
      </c>
      <c r="I22" s="20" t="s">
        <v>4164</v>
      </c>
      <c r="J22" s="19" t="s">
        <v>4165</v>
      </c>
      <c r="K22" s="19" t="s">
        <v>4283</v>
      </c>
      <c r="L22" s="19" t="s">
        <v>4176</v>
      </c>
      <c r="M22" s="19" t="s">
        <v>4165</v>
      </c>
      <c r="N22" s="21"/>
      <c r="O22" s="19" t="s">
        <v>4184</v>
      </c>
      <c r="P22" s="19" t="s">
        <v>4178</v>
      </c>
      <c r="Q22" s="19" t="s">
        <v>4165</v>
      </c>
      <c r="R22" s="19" t="s">
        <v>4190</v>
      </c>
      <c r="S22" s="1" t="s">
        <v>4284</v>
      </c>
    </row>
    <row r="23">
      <c r="A23" s="22" t="s">
        <v>4265</v>
      </c>
      <c r="B23" s="1" t="s">
        <v>3260</v>
      </c>
      <c r="C23" s="1" t="s">
        <v>3261</v>
      </c>
      <c r="D23" s="1" t="s">
        <v>805</v>
      </c>
      <c r="E23" s="2">
        <v>2.51980222889E11</v>
      </c>
      <c r="F23" s="1" t="s">
        <v>33</v>
      </c>
      <c r="G23" s="1" t="s">
        <v>166</v>
      </c>
      <c r="H23" s="19" t="s">
        <v>4236</v>
      </c>
      <c r="I23" s="20" t="s">
        <v>4164</v>
      </c>
      <c r="J23" s="19" t="s">
        <v>4165</v>
      </c>
      <c r="K23" s="19" t="s">
        <v>4285</v>
      </c>
      <c r="L23" s="19" t="s">
        <v>4176</v>
      </c>
      <c r="M23" s="19" t="s">
        <v>4165</v>
      </c>
      <c r="N23" s="21"/>
      <c r="O23" s="19" t="s">
        <v>4184</v>
      </c>
      <c r="P23" s="19" t="s">
        <v>4178</v>
      </c>
      <c r="Q23" s="19" t="s">
        <v>4165</v>
      </c>
      <c r="R23" s="19" t="s">
        <v>4190</v>
      </c>
      <c r="S23" s="1" t="s">
        <v>4286</v>
      </c>
    </row>
    <row r="24">
      <c r="A24" s="22" t="s">
        <v>4265</v>
      </c>
      <c r="B24" s="1" t="s">
        <v>3281</v>
      </c>
      <c r="C24" s="1" t="s">
        <v>250</v>
      </c>
      <c r="D24" s="1" t="s">
        <v>3282</v>
      </c>
      <c r="E24" s="2">
        <v>2.51988930051E11</v>
      </c>
      <c r="F24" s="1" t="s">
        <v>33</v>
      </c>
      <c r="G24" s="1" t="s">
        <v>166</v>
      </c>
      <c r="H24" s="19" t="s">
        <v>4236</v>
      </c>
      <c r="I24" s="20" t="s">
        <v>4164</v>
      </c>
      <c r="J24" s="19" t="s">
        <v>4165</v>
      </c>
      <c r="K24" s="19" t="s">
        <v>4283</v>
      </c>
      <c r="L24" s="19" t="s">
        <v>4176</v>
      </c>
      <c r="M24" s="19" t="s">
        <v>4165</v>
      </c>
      <c r="N24" s="21"/>
      <c r="O24" s="19" t="s">
        <v>4184</v>
      </c>
      <c r="P24" s="19" t="s">
        <v>4178</v>
      </c>
      <c r="Q24" s="19" t="s">
        <v>4165</v>
      </c>
      <c r="R24" s="19" t="s">
        <v>4190</v>
      </c>
      <c r="S24" s="1" t="s">
        <v>4266</v>
      </c>
    </row>
    <row r="25">
      <c r="A25" s="22" t="s">
        <v>4265</v>
      </c>
      <c r="B25" s="1" t="s">
        <v>3283</v>
      </c>
      <c r="C25" s="1" t="s">
        <v>3284</v>
      </c>
      <c r="D25" s="1" t="s">
        <v>3285</v>
      </c>
      <c r="E25" s="2">
        <v>2.51964126589E11</v>
      </c>
      <c r="F25" s="1" t="s">
        <v>33</v>
      </c>
      <c r="G25" s="1" t="s">
        <v>76</v>
      </c>
      <c r="H25" s="19" t="s">
        <v>4236</v>
      </c>
      <c r="I25" s="20" t="s">
        <v>4164</v>
      </c>
      <c r="J25" s="19" t="s">
        <v>4165</v>
      </c>
      <c r="K25" s="19" t="s">
        <v>4283</v>
      </c>
      <c r="L25" s="19" t="s">
        <v>4176</v>
      </c>
      <c r="M25" s="19" t="s">
        <v>4165</v>
      </c>
      <c r="N25" s="21"/>
      <c r="O25" s="19" t="s">
        <v>4184</v>
      </c>
      <c r="P25" s="19" t="s">
        <v>4178</v>
      </c>
      <c r="Q25" s="19" t="s">
        <v>4165</v>
      </c>
      <c r="R25" s="19" t="s">
        <v>4190</v>
      </c>
      <c r="S25" s="1" t="s">
        <v>4287</v>
      </c>
    </row>
    <row r="26">
      <c r="A26" s="22" t="s">
        <v>4265</v>
      </c>
      <c r="B26" s="1" t="s">
        <v>3303</v>
      </c>
      <c r="C26" s="1" t="s">
        <v>1819</v>
      </c>
      <c r="D26" s="1" t="s">
        <v>2491</v>
      </c>
      <c r="E26" s="2">
        <v>2.51937920823E11</v>
      </c>
      <c r="F26" s="1" t="s">
        <v>33</v>
      </c>
      <c r="G26" s="1" t="s">
        <v>118</v>
      </c>
      <c r="H26" s="19" t="s">
        <v>4236</v>
      </c>
      <c r="I26" s="20" t="s">
        <v>4164</v>
      </c>
      <c r="J26" s="19" t="s">
        <v>4165</v>
      </c>
      <c r="K26" s="19" t="s">
        <v>4274</v>
      </c>
      <c r="L26" s="19" t="s">
        <v>4176</v>
      </c>
      <c r="M26" s="19" t="s">
        <v>4165</v>
      </c>
      <c r="N26" s="21"/>
      <c r="O26" s="19" t="s">
        <v>4184</v>
      </c>
      <c r="P26" s="19" t="s">
        <v>4178</v>
      </c>
      <c r="Q26" s="19" t="s">
        <v>4165</v>
      </c>
      <c r="R26" s="19" t="s">
        <v>4190</v>
      </c>
      <c r="S26" s="1" t="s">
        <v>4288</v>
      </c>
    </row>
    <row r="27">
      <c r="A27" s="22" t="s">
        <v>4265</v>
      </c>
      <c r="B27" s="1" t="s">
        <v>3306</v>
      </c>
      <c r="C27" s="1" t="s">
        <v>2214</v>
      </c>
      <c r="D27" s="1" t="s">
        <v>417</v>
      </c>
      <c r="E27" s="2">
        <v>2.51911787791E11</v>
      </c>
      <c r="F27" s="1" t="s">
        <v>33</v>
      </c>
      <c r="G27" s="1" t="s">
        <v>76</v>
      </c>
      <c r="H27" s="19" t="s">
        <v>4236</v>
      </c>
      <c r="I27" s="20" t="s">
        <v>4164</v>
      </c>
      <c r="J27" s="19" t="s">
        <v>4165</v>
      </c>
      <c r="K27" s="19" t="s">
        <v>4289</v>
      </c>
      <c r="L27" s="19" t="s">
        <v>4176</v>
      </c>
      <c r="M27" s="19" t="s">
        <v>4165</v>
      </c>
      <c r="N27" s="21"/>
      <c r="O27" s="19" t="s">
        <v>4184</v>
      </c>
      <c r="P27" s="19" t="s">
        <v>4178</v>
      </c>
      <c r="Q27" s="19" t="s">
        <v>4165</v>
      </c>
      <c r="R27" s="19" t="s">
        <v>4190</v>
      </c>
      <c r="S27" s="1" t="s">
        <v>4290</v>
      </c>
    </row>
    <row r="28">
      <c r="A28" s="22" t="s">
        <v>4265</v>
      </c>
      <c r="B28" s="1" t="s">
        <v>3247</v>
      </c>
      <c r="C28" s="1" t="s">
        <v>1817</v>
      </c>
      <c r="D28" s="1" t="s">
        <v>641</v>
      </c>
      <c r="E28" s="1">
        <v>9.79255895E8</v>
      </c>
      <c r="F28" s="1" t="s">
        <v>33</v>
      </c>
      <c r="G28" s="1" t="s">
        <v>65</v>
      </c>
      <c r="H28" s="19" t="s">
        <v>4236</v>
      </c>
      <c r="I28" s="20" t="s">
        <v>4164</v>
      </c>
      <c r="J28" s="19" t="s">
        <v>4165</v>
      </c>
      <c r="K28" s="19" t="s">
        <v>4211</v>
      </c>
      <c r="L28" s="19" t="s">
        <v>4166</v>
      </c>
      <c r="M28" s="19" t="s">
        <v>4165</v>
      </c>
      <c r="N28" s="21"/>
      <c r="O28" s="19" t="s">
        <v>4167</v>
      </c>
      <c r="P28" s="19" t="s">
        <v>4168</v>
      </c>
      <c r="Q28" s="19" t="s">
        <v>4165</v>
      </c>
      <c r="R28" s="19" t="s">
        <v>4169</v>
      </c>
    </row>
    <row r="29">
      <c r="A29" s="22" t="s">
        <v>4265</v>
      </c>
      <c r="B29" s="1" t="s">
        <v>3250</v>
      </c>
      <c r="C29" s="1" t="s">
        <v>3251</v>
      </c>
      <c r="D29" s="1" t="s">
        <v>948</v>
      </c>
      <c r="E29" s="2">
        <v>2.5196832986E11</v>
      </c>
      <c r="F29" s="1" t="s">
        <v>33</v>
      </c>
      <c r="G29" s="1" t="s">
        <v>177</v>
      </c>
      <c r="H29" s="19" t="s">
        <v>4236</v>
      </c>
      <c r="I29" s="20" t="s">
        <v>4164</v>
      </c>
      <c r="J29" s="19" t="s">
        <v>4165</v>
      </c>
      <c r="K29" s="19" t="s">
        <v>4274</v>
      </c>
      <c r="L29" s="19" t="s">
        <v>4166</v>
      </c>
      <c r="M29" s="19" t="s">
        <v>4165</v>
      </c>
      <c r="N29" s="21"/>
      <c r="O29" s="19" t="s">
        <v>4167</v>
      </c>
      <c r="P29" s="19" t="s">
        <v>4168</v>
      </c>
      <c r="Q29" s="19" t="s">
        <v>4165</v>
      </c>
      <c r="R29" s="19" t="s">
        <v>4169</v>
      </c>
      <c r="S29" s="1" t="s">
        <v>4288</v>
      </c>
    </row>
    <row r="30">
      <c r="A30" s="22" t="s">
        <v>4265</v>
      </c>
      <c r="B30" s="1" t="s">
        <v>3257</v>
      </c>
      <c r="C30" s="1" t="s">
        <v>3258</v>
      </c>
      <c r="D30" s="1" t="s">
        <v>3259</v>
      </c>
      <c r="E30" s="2">
        <v>2.51920803185E11</v>
      </c>
      <c r="F30" s="1" t="s">
        <v>33</v>
      </c>
      <c r="G30" s="1" t="s">
        <v>118</v>
      </c>
      <c r="H30" s="19" t="s">
        <v>4236</v>
      </c>
      <c r="I30" s="20" t="s">
        <v>4164</v>
      </c>
      <c r="J30" s="19" t="s">
        <v>4165</v>
      </c>
      <c r="K30" s="19" t="s">
        <v>4291</v>
      </c>
      <c r="L30" s="19" t="s">
        <v>4166</v>
      </c>
      <c r="M30" s="19" t="s">
        <v>4165</v>
      </c>
      <c r="N30" s="21"/>
      <c r="O30" s="19" t="s">
        <v>4167</v>
      </c>
      <c r="P30" s="19" t="s">
        <v>4168</v>
      </c>
      <c r="Q30" s="19" t="s">
        <v>4165</v>
      </c>
      <c r="R30" s="19" t="s">
        <v>4169</v>
      </c>
      <c r="S30" s="19" t="s">
        <v>4291</v>
      </c>
    </row>
    <row r="31">
      <c r="A31" s="22" t="s">
        <v>4265</v>
      </c>
      <c r="B31" s="1" t="s">
        <v>3296</v>
      </c>
      <c r="C31" s="1" t="s">
        <v>3297</v>
      </c>
      <c r="D31" s="1" t="s">
        <v>3298</v>
      </c>
      <c r="E31" s="2">
        <v>2.51921677966E11</v>
      </c>
      <c r="F31" s="1" t="s">
        <v>33</v>
      </c>
      <c r="G31" s="1" t="s">
        <v>166</v>
      </c>
      <c r="H31" s="19" t="s">
        <v>4236</v>
      </c>
      <c r="I31" s="20" t="s">
        <v>4164</v>
      </c>
      <c r="J31" s="19" t="s">
        <v>4165</v>
      </c>
      <c r="K31" s="19" t="s">
        <v>4292</v>
      </c>
      <c r="L31" s="19" t="s">
        <v>4166</v>
      </c>
      <c r="M31" s="19" t="s">
        <v>4165</v>
      </c>
      <c r="N31" s="21"/>
      <c r="O31" s="19" t="s">
        <v>4167</v>
      </c>
      <c r="P31" s="19" t="s">
        <v>4168</v>
      </c>
      <c r="Q31" s="19" t="s">
        <v>4165</v>
      </c>
      <c r="R31" s="19" t="s">
        <v>4169</v>
      </c>
    </row>
    <row r="32">
      <c r="A32" s="22" t="s">
        <v>4265</v>
      </c>
      <c r="B32" s="1" t="s">
        <v>3320</v>
      </c>
      <c r="C32" s="1" t="s">
        <v>328</v>
      </c>
      <c r="D32" s="1" t="s">
        <v>3125</v>
      </c>
      <c r="E32" s="2">
        <v>2.51960111172E11</v>
      </c>
      <c r="F32" s="1" t="s">
        <v>33</v>
      </c>
      <c r="G32" s="1" t="s">
        <v>166</v>
      </c>
      <c r="H32" s="19" t="s">
        <v>4236</v>
      </c>
      <c r="I32" s="20" t="s">
        <v>4164</v>
      </c>
      <c r="J32" s="19" t="s">
        <v>4165</v>
      </c>
      <c r="K32" s="19" t="s">
        <v>4274</v>
      </c>
      <c r="L32" s="19" t="s">
        <v>4166</v>
      </c>
      <c r="M32" s="19" t="s">
        <v>4165</v>
      </c>
      <c r="N32" s="21"/>
      <c r="O32" s="19" t="s">
        <v>4167</v>
      </c>
      <c r="P32" s="19" t="s">
        <v>4168</v>
      </c>
      <c r="Q32" s="19" t="s">
        <v>4165</v>
      </c>
      <c r="R32" s="19" t="s">
        <v>4169</v>
      </c>
    </row>
    <row r="33">
      <c r="A33" s="22" t="s">
        <v>4265</v>
      </c>
      <c r="B33" s="1" t="s">
        <v>3299</v>
      </c>
      <c r="C33" s="1" t="s">
        <v>3300</v>
      </c>
      <c r="D33" s="1" t="s">
        <v>3301</v>
      </c>
      <c r="E33" s="2">
        <v>2.5192414487E11</v>
      </c>
      <c r="F33" s="1" t="s">
        <v>33</v>
      </c>
      <c r="G33" s="1" t="s">
        <v>166</v>
      </c>
      <c r="H33" s="19" t="s">
        <v>4236</v>
      </c>
      <c r="I33" s="20" t="s">
        <v>4164</v>
      </c>
      <c r="J33" s="19" t="s">
        <v>4165</v>
      </c>
      <c r="K33" s="19" t="s">
        <v>4292</v>
      </c>
      <c r="L33" s="19" t="s">
        <v>4166</v>
      </c>
      <c r="M33" s="19" t="s">
        <v>4165</v>
      </c>
      <c r="N33" s="21"/>
      <c r="O33" s="19" t="s">
        <v>4167</v>
      </c>
      <c r="P33" s="19" t="s">
        <v>4168</v>
      </c>
      <c r="Q33" s="19" t="s">
        <v>4165</v>
      </c>
      <c r="R33" s="19" t="s">
        <v>4169</v>
      </c>
    </row>
    <row r="34">
      <c r="A34" s="22" t="s">
        <v>4265</v>
      </c>
      <c r="B34" s="1" t="s">
        <v>3248</v>
      </c>
      <c r="C34" s="1" t="s">
        <v>750</v>
      </c>
      <c r="D34" s="1" t="s">
        <v>1036</v>
      </c>
      <c r="E34" s="1">
        <v>9.63257123E8</v>
      </c>
      <c r="F34" s="1" t="s">
        <v>33</v>
      </c>
      <c r="G34" s="1" t="s">
        <v>34</v>
      </c>
      <c r="H34" s="19" t="s">
        <v>4236</v>
      </c>
      <c r="I34" s="20" t="s">
        <v>4164</v>
      </c>
      <c r="J34" s="19" t="s">
        <v>4165</v>
      </c>
      <c r="K34" s="19" t="s">
        <v>4293</v>
      </c>
      <c r="L34" s="19" t="s">
        <v>4166</v>
      </c>
      <c r="M34" s="19" t="s">
        <v>4165</v>
      </c>
      <c r="N34" s="21"/>
      <c r="O34" s="19" t="s">
        <v>4167</v>
      </c>
      <c r="P34" s="19" t="s">
        <v>4168</v>
      </c>
      <c r="Q34" s="19" t="s">
        <v>4165</v>
      </c>
      <c r="R34" s="19" t="s">
        <v>4195</v>
      </c>
    </row>
    <row r="35">
      <c r="A35" s="22" t="s">
        <v>4265</v>
      </c>
      <c r="B35" s="1" t="s">
        <v>3255</v>
      </c>
      <c r="C35" s="1" t="s">
        <v>3256</v>
      </c>
      <c r="D35" s="1" t="s">
        <v>722</v>
      </c>
      <c r="E35" s="2">
        <v>2.51913019811E11</v>
      </c>
      <c r="F35" s="1" t="s">
        <v>33</v>
      </c>
      <c r="G35" s="1" t="s">
        <v>65</v>
      </c>
      <c r="H35" s="19" t="s">
        <v>4236</v>
      </c>
      <c r="I35" s="20" t="s">
        <v>4164</v>
      </c>
      <c r="J35" s="19" t="s">
        <v>4165</v>
      </c>
      <c r="K35" s="19" t="s">
        <v>4293</v>
      </c>
      <c r="L35" s="19" t="s">
        <v>4166</v>
      </c>
      <c r="M35" s="19" t="s">
        <v>4165</v>
      </c>
      <c r="N35" s="21"/>
      <c r="O35" s="19" t="s">
        <v>4167</v>
      </c>
      <c r="P35" s="19" t="s">
        <v>4168</v>
      </c>
      <c r="Q35" s="19" t="s">
        <v>4165</v>
      </c>
      <c r="R35" s="19" t="s">
        <v>4195</v>
      </c>
    </row>
    <row r="36">
      <c r="A36" s="22" t="s">
        <v>4265</v>
      </c>
      <c r="B36" s="1" t="s">
        <v>3267</v>
      </c>
      <c r="C36" s="1" t="s">
        <v>3268</v>
      </c>
      <c r="D36" s="1" t="s">
        <v>1214</v>
      </c>
      <c r="E36" s="2">
        <v>2.51909098884E11</v>
      </c>
      <c r="F36" s="1" t="s">
        <v>33</v>
      </c>
      <c r="G36" s="1" t="s">
        <v>166</v>
      </c>
      <c r="H36" s="19" t="s">
        <v>4236</v>
      </c>
      <c r="I36" s="20" t="s">
        <v>4164</v>
      </c>
      <c r="J36" s="19" t="s">
        <v>4165</v>
      </c>
      <c r="K36" s="19" t="s">
        <v>4293</v>
      </c>
      <c r="L36" s="19" t="s">
        <v>4166</v>
      </c>
      <c r="M36" s="19" t="s">
        <v>4165</v>
      </c>
      <c r="N36" s="21"/>
      <c r="O36" s="19" t="s">
        <v>4167</v>
      </c>
      <c r="P36" s="19" t="s">
        <v>4168</v>
      </c>
      <c r="Q36" s="19" t="s">
        <v>4165</v>
      </c>
      <c r="R36" s="19" t="s">
        <v>4195</v>
      </c>
    </row>
    <row r="37">
      <c r="A37" s="22" t="s">
        <v>4265</v>
      </c>
      <c r="B37" s="1" t="s">
        <v>3292</v>
      </c>
      <c r="C37" s="1" t="s">
        <v>3293</v>
      </c>
      <c r="D37" s="1" t="s">
        <v>3294</v>
      </c>
      <c r="E37" s="2">
        <v>2.51917358995E11</v>
      </c>
      <c r="F37" s="1" t="s">
        <v>33</v>
      </c>
      <c r="G37" s="1" t="s">
        <v>177</v>
      </c>
      <c r="H37" s="19" t="s">
        <v>4236</v>
      </c>
      <c r="I37" s="20" t="s">
        <v>4164</v>
      </c>
      <c r="J37" s="19" t="s">
        <v>4165</v>
      </c>
      <c r="K37" s="19" t="s">
        <v>4293</v>
      </c>
      <c r="L37" s="19" t="s">
        <v>4166</v>
      </c>
      <c r="M37" s="19" t="s">
        <v>4165</v>
      </c>
      <c r="N37" s="21"/>
      <c r="O37" s="19" t="s">
        <v>4167</v>
      </c>
      <c r="P37" s="19" t="s">
        <v>4168</v>
      </c>
      <c r="Q37" s="19" t="s">
        <v>4165</v>
      </c>
      <c r="R37" s="19" t="s">
        <v>4195</v>
      </c>
    </row>
    <row r="38">
      <c r="A38" s="22" t="s">
        <v>4265</v>
      </c>
      <c r="B38" s="1" t="s">
        <v>3241</v>
      </c>
      <c r="C38" s="1" t="s">
        <v>615</v>
      </c>
      <c r="D38" s="1" t="s">
        <v>3242</v>
      </c>
      <c r="E38" s="2">
        <v>2.51949494319E11</v>
      </c>
      <c r="F38" s="1" t="s">
        <v>33</v>
      </c>
      <c r="G38" s="1" t="s">
        <v>65</v>
      </c>
      <c r="H38" s="19" t="s">
        <v>4236</v>
      </c>
      <c r="I38" s="20" t="s">
        <v>4207</v>
      </c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22" t="s">
        <v>4265</v>
      </c>
      <c r="B39" s="1" t="s">
        <v>3272</v>
      </c>
      <c r="C39" s="1" t="s">
        <v>3273</v>
      </c>
      <c r="D39" s="1" t="s">
        <v>3274</v>
      </c>
      <c r="E39" s="2">
        <v>2.51945360611E11</v>
      </c>
      <c r="F39" s="1" t="s">
        <v>33</v>
      </c>
      <c r="G39" s="1" t="s">
        <v>166</v>
      </c>
      <c r="H39" s="19" t="s">
        <v>4236</v>
      </c>
      <c r="I39" s="20" t="s">
        <v>4207</v>
      </c>
      <c r="J39" s="19"/>
      <c r="K39" s="21"/>
      <c r="L39" s="19"/>
      <c r="M39" s="19"/>
      <c r="N39" s="21"/>
      <c r="O39" s="19"/>
      <c r="P39" s="19"/>
      <c r="Q39" s="19"/>
      <c r="R39" s="19"/>
    </row>
    <row r="40">
      <c r="A40" s="22" t="s">
        <v>4265</v>
      </c>
      <c r="B40" s="1" t="s">
        <v>3277</v>
      </c>
      <c r="C40" s="1" t="s">
        <v>620</v>
      </c>
      <c r="D40" s="1" t="s">
        <v>1077</v>
      </c>
      <c r="E40" s="2">
        <v>2.51920827473E11</v>
      </c>
      <c r="F40" s="1" t="s">
        <v>33</v>
      </c>
      <c r="G40" s="1" t="s">
        <v>34</v>
      </c>
      <c r="H40" s="19" t="s">
        <v>4236</v>
      </c>
      <c r="I40" s="20" t="s">
        <v>4207</v>
      </c>
      <c r="J40" s="19"/>
      <c r="K40" s="19"/>
      <c r="L40" s="19"/>
      <c r="M40" s="19"/>
      <c r="N40" s="21"/>
      <c r="O40" s="19"/>
      <c r="P40" s="19"/>
      <c r="Q40" s="19"/>
      <c r="R40" s="19"/>
    </row>
    <row r="41">
      <c r="A41" s="22" t="s">
        <v>4265</v>
      </c>
      <c r="B41" s="1" t="s">
        <v>3278</v>
      </c>
      <c r="C41" s="1" t="s">
        <v>480</v>
      </c>
      <c r="D41" s="1" t="s">
        <v>3279</v>
      </c>
      <c r="E41" s="2">
        <v>2.51919992602E11</v>
      </c>
      <c r="F41" s="1" t="s">
        <v>33</v>
      </c>
      <c r="G41" s="1" t="s">
        <v>76</v>
      </c>
      <c r="H41" s="19" t="s">
        <v>4236</v>
      </c>
      <c r="I41" s="20" t="s">
        <v>4207</v>
      </c>
      <c r="J41" s="19"/>
      <c r="K41" s="19"/>
      <c r="L41" s="19"/>
      <c r="M41" s="19"/>
      <c r="N41" s="21"/>
      <c r="O41" s="19"/>
      <c r="P41" s="19"/>
      <c r="Q41" s="19"/>
      <c r="R41" s="19"/>
    </row>
    <row r="42">
      <c r="A42" s="22" t="s">
        <v>4265</v>
      </c>
      <c r="B42" s="1" t="s">
        <v>3289</v>
      </c>
      <c r="C42" s="1" t="s">
        <v>3290</v>
      </c>
      <c r="D42" s="1" t="s">
        <v>3291</v>
      </c>
      <c r="E42" s="2">
        <v>2.51953241429E11</v>
      </c>
      <c r="F42" s="1" t="s">
        <v>33</v>
      </c>
      <c r="G42" s="1" t="s">
        <v>34</v>
      </c>
      <c r="H42" s="19" t="s">
        <v>4236</v>
      </c>
      <c r="I42" s="20" t="s">
        <v>4207</v>
      </c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22" t="s">
        <v>4265</v>
      </c>
      <c r="B43" s="1" t="s">
        <v>3308</v>
      </c>
      <c r="C43" s="1" t="s">
        <v>3309</v>
      </c>
      <c r="D43" s="1" t="s">
        <v>3310</v>
      </c>
      <c r="E43" s="2">
        <v>2.51973011104E11</v>
      </c>
      <c r="F43" s="1" t="s">
        <v>33</v>
      </c>
      <c r="G43" s="1" t="s">
        <v>65</v>
      </c>
      <c r="H43" s="19" t="s">
        <v>4236</v>
      </c>
      <c r="I43" s="20" t="s">
        <v>4207</v>
      </c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22" t="s">
        <v>4265</v>
      </c>
      <c r="B44" s="1" t="s">
        <v>3262</v>
      </c>
      <c r="C44" s="1" t="s">
        <v>1899</v>
      </c>
      <c r="D44" s="1" t="s">
        <v>108</v>
      </c>
      <c r="E44" s="2">
        <v>2.51916055802E11</v>
      </c>
      <c r="F44" s="1" t="s">
        <v>33</v>
      </c>
      <c r="G44" s="1" t="s">
        <v>166</v>
      </c>
      <c r="H44" s="19" t="s">
        <v>4236</v>
      </c>
      <c r="I44" s="20" t="s">
        <v>4207</v>
      </c>
      <c r="J44" s="19"/>
      <c r="K44" s="21"/>
      <c r="L44" s="19"/>
      <c r="M44" s="19"/>
      <c r="N44" s="21"/>
      <c r="O44" s="19"/>
      <c r="P44" s="19"/>
      <c r="Q44" s="19"/>
      <c r="R44" s="19"/>
    </row>
    <row r="45">
      <c r="A45" s="22" t="s">
        <v>4265</v>
      </c>
      <c r="B45" s="1" t="s">
        <v>3245</v>
      </c>
      <c r="C45" s="1" t="s">
        <v>3246</v>
      </c>
      <c r="D45" s="1" t="s">
        <v>108</v>
      </c>
      <c r="E45" s="2">
        <v>2.51963393929E11</v>
      </c>
      <c r="F45" s="1" t="s">
        <v>33</v>
      </c>
      <c r="G45" s="1" t="s">
        <v>65</v>
      </c>
      <c r="H45" s="19" t="s">
        <v>4236</v>
      </c>
      <c r="I45" s="20" t="s">
        <v>4208</v>
      </c>
      <c r="J45" s="19"/>
      <c r="K45" s="19"/>
      <c r="L45" s="19"/>
      <c r="M45" s="19"/>
      <c r="N45" s="21"/>
      <c r="O45" s="19"/>
      <c r="P45" s="19"/>
      <c r="Q45" s="19"/>
      <c r="R45" s="19"/>
    </row>
    <row r="46">
      <c r="A46" s="22" t="s">
        <v>4265</v>
      </c>
      <c r="B46" s="1" t="s">
        <v>3249</v>
      </c>
      <c r="C46" s="1" t="s">
        <v>447</v>
      </c>
      <c r="D46" s="1" t="s">
        <v>195</v>
      </c>
      <c r="E46" s="1">
        <v>9.63029494E8</v>
      </c>
      <c r="F46" s="1" t="s">
        <v>33</v>
      </c>
      <c r="G46" s="1" t="s">
        <v>76</v>
      </c>
      <c r="H46" s="19" t="s">
        <v>4236</v>
      </c>
      <c r="I46" s="20" t="s">
        <v>4208</v>
      </c>
      <c r="J46" s="19"/>
      <c r="K46" s="19"/>
      <c r="L46" s="19"/>
      <c r="M46" s="19"/>
      <c r="N46" s="21"/>
      <c r="O46" s="19"/>
      <c r="P46" s="19"/>
      <c r="Q46" s="19"/>
      <c r="R46" s="19"/>
    </row>
    <row r="47">
      <c r="A47" s="22" t="s">
        <v>4265</v>
      </c>
      <c r="B47" s="1" t="s">
        <v>3264</v>
      </c>
      <c r="C47" s="1" t="s">
        <v>3265</v>
      </c>
      <c r="D47" s="1" t="s">
        <v>3266</v>
      </c>
      <c r="E47" s="2">
        <v>2.51913509705E11</v>
      </c>
      <c r="F47" s="1" t="s">
        <v>33</v>
      </c>
      <c r="G47" s="1" t="s">
        <v>76</v>
      </c>
      <c r="H47" s="19" t="s">
        <v>4236</v>
      </c>
      <c r="I47" s="20" t="s">
        <v>4208</v>
      </c>
      <c r="J47" s="19"/>
      <c r="K47" s="19"/>
      <c r="L47" s="19"/>
      <c r="M47" s="19"/>
      <c r="N47" s="21"/>
      <c r="O47" s="19"/>
      <c r="P47" s="19"/>
      <c r="Q47" s="19"/>
      <c r="R47" s="19"/>
    </row>
    <row r="48">
      <c r="A48" s="22" t="s">
        <v>4265</v>
      </c>
      <c r="B48" s="1" t="s">
        <v>3275</v>
      </c>
      <c r="C48" s="1" t="s">
        <v>399</v>
      </c>
      <c r="D48" s="1" t="s">
        <v>3276</v>
      </c>
      <c r="E48" s="2">
        <v>2.51903085706E11</v>
      </c>
      <c r="F48" s="1" t="s">
        <v>33</v>
      </c>
      <c r="G48" s="1" t="s">
        <v>65</v>
      </c>
      <c r="H48" s="19" t="s">
        <v>4236</v>
      </c>
      <c r="I48" s="20" t="s">
        <v>4208</v>
      </c>
      <c r="J48" s="19"/>
      <c r="K48" s="21"/>
      <c r="L48" s="19"/>
      <c r="M48" s="19"/>
      <c r="N48" s="21"/>
      <c r="O48" s="19"/>
      <c r="P48" s="19"/>
      <c r="Q48" s="19"/>
      <c r="R48" s="19"/>
    </row>
    <row r="49">
      <c r="A49" s="22" t="s">
        <v>4265</v>
      </c>
      <c r="B49" s="1" t="s">
        <v>3287</v>
      </c>
      <c r="C49" s="1" t="s">
        <v>375</v>
      </c>
      <c r="D49" s="1" t="s">
        <v>3288</v>
      </c>
      <c r="E49" s="2">
        <v>2.51918567328E11</v>
      </c>
      <c r="F49" s="1" t="s">
        <v>33</v>
      </c>
      <c r="G49" s="1" t="s">
        <v>118</v>
      </c>
      <c r="H49" s="19" t="s">
        <v>4236</v>
      </c>
      <c r="I49" s="20" t="s">
        <v>4208</v>
      </c>
      <c r="J49" s="19"/>
      <c r="K49" s="19"/>
      <c r="L49" s="19"/>
      <c r="M49" s="19"/>
      <c r="N49" s="21"/>
      <c r="O49" s="19"/>
      <c r="P49" s="19"/>
      <c r="Q49" s="19"/>
      <c r="R49" s="19"/>
    </row>
    <row r="50">
      <c r="A50" s="22" t="s">
        <v>4265</v>
      </c>
      <c r="B50" s="1" t="s">
        <v>3295</v>
      </c>
      <c r="C50" s="1" t="s">
        <v>1004</v>
      </c>
      <c r="D50" s="1" t="s">
        <v>1061</v>
      </c>
      <c r="E50" s="2">
        <v>2.5191097601E11</v>
      </c>
      <c r="F50" s="1" t="s">
        <v>33</v>
      </c>
      <c r="G50" s="1" t="s">
        <v>76</v>
      </c>
      <c r="H50" s="19" t="s">
        <v>4236</v>
      </c>
      <c r="I50" s="20" t="s">
        <v>4208</v>
      </c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2" t="s">
        <v>4265</v>
      </c>
      <c r="B51" s="1" t="s">
        <v>3324</v>
      </c>
      <c r="C51" s="1" t="s">
        <v>2503</v>
      </c>
      <c r="D51" s="1" t="s">
        <v>3325</v>
      </c>
      <c r="E51" s="2">
        <v>2.51933001396E11</v>
      </c>
      <c r="F51" s="1" t="s">
        <v>33</v>
      </c>
      <c r="G51" s="1" t="s">
        <v>118</v>
      </c>
      <c r="H51" s="19" t="s">
        <v>4236</v>
      </c>
      <c r="I51" s="20" t="s">
        <v>4208</v>
      </c>
      <c r="J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75"/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4294</v>
      </c>
      <c r="B2" s="21" t="s">
        <v>1486</v>
      </c>
      <c r="C2" s="21" t="s">
        <v>1487</v>
      </c>
      <c r="D2" s="21" t="s">
        <v>1488</v>
      </c>
      <c r="E2" s="24">
        <f>+971556263426</f>
        <v>971556263426</v>
      </c>
      <c r="F2" s="21" t="s">
        <v>33</v>
      </c>
      <c r="G2" s="21" t="s">
        <v>166</v>
      </c>
      <c r="H2" s="19" t="s">
        <v>4295</v>
      </c>
      <c r="I2" s="25" t="s">
        <v>4164</v>
      </c>
      <c r="J2" s="26" t="s">
        <v>4165</v>
      </c>
      <c r="K2" s="26"/>
      <c r="L2" s="26" t="s">
        <v>4166</v>
      </c>
      <c r="M2" s="26" t="s">
        <v>4165</v>
      </c>
      <c r="N2" s="21"/>
      <c r="O2" s="26" t="s">
        <v>4167</v>
      </c>
      <c r="P2" s="26" t="s">
        <v>4168</v>
      </c>
      <c r="Q2" s="26" t="s">
        <v>4165</v>
      </c>
      <c r="R2" s="26" t="s">
        <v>4169</v>
      </c>
    </row>
    <row r="3">
      <c r="A3" s="22" t="s">
        <v>4294</v>
      </c>
      <c r="B3" s="21" t="s">
        <v>1613</v>
      </c>
      <c r="C3" s="21" t="s">
        <v>1614</v>
      </c>
      <c r="D3" s="21" t="s">
        <v>1615</v>
      </c>
      <c r="E3" s="24">
        <f>+251996572740</f>
        <v>251996572740</v>
      </c>
      <c r="F3" s="21" t="s">
        <v>33</v>
      </c>
      <c r="G3" s="21" t="s">
        <v>166</v>
      </c>
      <c r="H3" s="19" t="s">
        <v>4295</v>
      </c>
      <c r="I3" s="20" t="s">
        <v>4208</v>
      </c>
      <c r="J3" s="21"/>
      <c r="K3" s="21"/>
      <c r="L3" s="21"/>
      <c r="M3" s="21"/>
      <c r="N3" s="21"/>
      <c r="O3" s="21"/>
      <c r="P3" s="21"/>
      <c r="Q3" s="21"/>
      <c r="R3" s="21"/>
    </row>
    <row r="4">
      <c r="A4" s="22" t="s">
        <v>4294</v>
      </c>
      <c r="B4" s="21" t="s">
        <v>1554</v>
      </c>
      <c r="C4" s="21" t="s">
        <v>893</v>
      </c>
      <c r="D4" s="21" t="s">
        <v>1555</v>
      </c>
      <c r="E4" s="24">
        <f>+251986589983</f>
        <v>251986589983</v>
      </c>
      <c r="F4" s="21" t="s">
        <v>33</v>
      </c>
      <c r="G4" s="21" t="s">
        <v>65</v>
      </c>
      <c r="H4" s="19" t="s">
        <v>4295</v>
      </c>
      <c r="I4" s="20" t="s">
        <v>4207</v>
      </c>
      <c r="J4" s="21"/>
      <c r="K4" s="21"/>
      <c r="L4" s="21"/>
      <c r="M4" s="21"/>
      <c r="N4" s="21"/>
      <c r="O4" s="21"/>
      <c r="P4" s="21"/>
      <c r="Q4" s="21"/>
      <c r="R4" s="21"/>
    </row>
    <row r="5">
      <c r="A5" s="22" t="s">
        <v>4294</v>
      </c>
      <c r="B5" s="21" t="s">
        <v>1592</v>
      </c>
      <c r="C5" s="21" t="s">
        <v>1593</v>
      </c>
      <c r="D5" s="21" t="s">
        <v>91</v>
      </c>
      <c r="E5" s="24">
        <f>+251984812005</f>
        <v>251984812005</v>
      </c>
      <c r="F5" s="21" t="s">
        <v>33</v>
      </c>
      <c r="G5" s="21" t="s">
        <v>166</v>
      </c>
      <c r="H5" s="19" t="s">
        <v>4295</v>
      </c>
      <c r="I5" s="20" t="s">
        <v>4164</v>
      </c>
      <c r="J5" s="19" t="s">
        <v>4165</v>
      </c>
      <c r="K5" s="21"/>
      <c r="L5" s="19" t="s">
        <v>4166</v>
      </c>
      <c r="M5" s="19" t="s">
        <v>4165</v>
      </c>
      <c r="N5" s="21"/>
      <c r="O5" s="19" t="s">
        <v>4167</v>
      </c>
      <c r="P5" s="19" t="s">
        <v>4168</v>
      </c>
      <c r="Q5" s="19" t="s">
        <v>4165</v>
      </c>
      <c r="R5" s="19" t="s">
        <v>4169</v>
      </c>
      <c r="S5" s="1" t="s">
        <v>4296</v>
      </c>
    </row>
    <row r="6">
      <c r="A6" s="22" t="s">
        <v>4294</v>
      </c>
      <c r="B6" s="21" t="s">
        <v>1469</v>
      </c>
      <c r="C6" s="21" t="s">
        <v>1470</v>
      </c>
      <c r="D6" s="21" t="s">
        <v>1471</v>
      </c>
      <c r="E6" s="24">
        <f>+251977346862</f>
        <v>251977346862</v>
      </c>
      <c r="F6" s="21" t="s">
        <v>33</v>
      </c>
      <c r="G6" s="21" t="s">
        <v>65</v>
      </c>
      <c r="H6" s="19" t="s">
        <v>4295</v>
      </c>
      <c r="I6" s="25" t="s">
        <v>4208</v>
      </c>
      <c r="J6" s="26"/>
      <c r="K6" s="21"/>
      <c r="L6" s="26"/>
      <c r="M6" s="26"/>
      <c r="N6" s="21"/>
      <c r="O6" s="26"/>
      <c r="P6" s="26"/>
      <c r="Q6" s="26"/>
      <c r="R6" s="26"/>
    </row>
    <row r="7">
      <c r="A7" s="22" t="s">
        <v>4294</v>
      </c>
      <c r="B7" s="21" t="s">
        <v>1491</v>
      </c>
      <c r="C7" s="21" t="s">
        <v>503</v>
      </c>
      <c r="D7" s="21" t="s">
        <v>1492</v>
      </c>
      <c r="E7" s="24">
        <f>+251964671948</f>
        <v>251964671948</v>
      </c>
      <c r="F7" s="21" t="s">
        <v>33</v>
      </c>
      <c r="G7" s="21" t="s">
        <v>34</v>
      </c>
      <c r="H7" s="19" t="s">
        <v>4295</v>
      </c>
      <c r="I7" s="25" t="s">
        <v>4207</v>
      </c>
      <c r="J7" s="26"/>
      <c r="K7" s="21"/>
      <c r="L7" s="26"/>
      <c r="M7" s="26"/>
      <c r="N7" s="21"/>
      <c r="O7" s="26"/>
      <c r="P7" s="26"/>
      <c r="Q7" s="26"/>
      <c r="R7" s="26"/>
    </row>
    <row r="8">
      <c r="A8" s="22" t="s">
        <v>4294</v>
      </c>
      <c r="B8" s="21" t="s">
        <v>1576</v>
      </c>
      <c r="C8" s="21" t="s">
        <v>1577</v>
      </c>
      <c r="D8" s="21" t="s">
        <v>1578</v>
      </c>
      <c r="E8" s="24">
        <f>+251955098708</f>
        <v>251955098708</v>
      </c>
      <c r="F8" s="21" t="s">
        <v>33</v>
      </c>
      <c r="G8" s="21" t="s">
        <v>166</v>
      </c>
      <c r="H8" s="19" t="s">
        <v>4295</v>
      </c>
      <c r="I8" s="20" t="s">
        <v>4164</v>
      </c>
      <c r="J8" s="19" t="s">
        <v>4165</v>
      </c>
      <c r="K8" s="21"/>
      <c r="L8" s="19" t="s">
        <v>4172</v>
      </c>
      <c r="M8" s="19" t="s">
        <v>4165</v>
      </c>
      <c r="N8" s="21"/>
      <c r="O8" s="19" t="s">
        <v>4172</v>
      </c>
      <c r="P8" s="19" t="s">
        <v>4173</v>
      </c>
      <c r="Q8" s="19" t="s">
        <v>4165</v>
      </c>
      <c r="R8" s="19" t="s">
        <v>4174</v>
      </c>
      <c r="S8" s="1" t="s">
        <v>4297</v>
      </c>
    </row>
    <row r="9">
      <c r="A9" s="22" t="s">
        <v>4294</v>
      </c>
      <c r="B9" s="21" t="s">
        <v>1557</v>
      </c>
      <c r="C9" s="21" t="s">
        <v>1558</v>
      </c>
      <c r="D9" s="21" t="s">
        <v>1559</v>
      </c>
      <c r="E9" s="24">
        <f>+251954898573</f>
        <v>251954898573</v>
      </c>
      <c r="F9" s="21" t="s">
        <v>33</v>
      </c>
      <c r="G9" s="21" t="s">
        <v>34</v>
      </c>
      <c r="H9" s="19" t="s">
        <v>4295</v>
      </c>
      <c r="I9" s="20" t="s">
        <v>4164</v>
      </c>
      <c r="J9" s="19" t="s">
        <v>4165</v>
      </c>
      <c r="K9" s="21"/>
      <c r="L9" s="19" t="s">
        <v>4172</v>
      </c>
      <c r="M9" s="19" t="s">
        <v>4165</v>
      </c>
      <c r="N9" s="21"/>
      <c r="O9" s="19" t="s">
        <v>4172</v>
      </c>
      <c r="P9" s="19" t="s">
        <v>4173</v>
      </c>
      <c r="Q9" s="19" t="s">
        <v>4165</v>
      </c>
      <c r="R9" s="19" t="s">
        <v>4174</v>
      </c>
    </row>
    <row r="10">
      <c r="A10" s="22" t="s">
        <v>4294</v>
      </c>
      <c r="B10" s="21" t="s">
        <v>1472</v>
      </c>
      <c r="C10" s="21" t="s">
        <v>812</v>
      </c>
      <c r="D10" s="21" t="s">
        <v>601</v>
      </c>
      <c r="E10" s="24">
        <f>+251953224474</f>
        <v>251953224474</v>
      </c>
      <c r="F10" s="21" t="s">
        <v>33</v>
      </c>
      <c r="G10" s="21" t="s">
        <v>118</v>
      </c>
      <c r="H10" s="19" t="s">
        <v>4295</v>
      </c>
      <c r="I10" s="25" t="s">
        <v>4208</v>
      </c>
      <c r="J10" s="26"/>
      <c r="K10" s="21"/>
      <c r="L10" s="26"/>
      <c r="M10" s="26"/>
      <c r="N10" s="21"/>
      <c r="O10" s="26"/>
      <c r="P10" s="26"/>
      <c r="Q10" s="26"/>
      <c r="R10" s="26"/>
    </row>
    <row r="11">
      <c r="A11" s="22" t="s">
        <v>4294</v>
      </c>
      <c r="B11" s="21" t="s">
        <v>1523</v>
      </c>
      <c r="C11" s="21" t="s">
        <v>1355</v>
      </c>
      <c r="D11" s="21" t="s">
        <v>1524</v>
      </c>
      <c r="E11" s="24">
        <f>+251939654186</f>
        <v>251939654186</v>
      </c>
      <c r="F11" s="21" t="s">
        <v>33</v>
      </c>
      <c r="G11" s="21" t="s">
        <v>166</v>
      </c>
      <c r="H11" s="19" t="s">
        <v>4295</v>
      </c>
      <c r="I11" s="25" t="s">
        <v>4164</v>
      </c>
      <c r="J11" s="26" t="s">
        <v>4165</v>
      </c>
      <c r="K11" s="26"/>
      <c r="L11" s="26" t="s">
        <v>4183</v>
      </c>
      <c r="M11" s="26" t="s">
        <v>4165</v>
      </c>
      <c r="N11" s="21"/>
      <c r="O11" s="26" t="s">
        <v>4184</v>
      </c>
      <c r="P11" s="26" t="s">
        <v>4178</v>
      </c>
      <c r="Q11" s="26" t="s">
        <v>4165</v>
      </c>
      <c r="R11" s="26" t="s">
        <v>4179</v>
      </c>
    </row>
    <row r="12">
      <c r="A12" s="22" t="s">
        <v>4294</v>
      </c>
      <c r="B12" s="21" t="s">
        <v>1443</v>
      </c>
      <c r="C12" s="21" t="s">
        <v>60</v>
      </c>
      <c r="D12" s="21" t="s">
        <v>1444</v>
      </c>
      <c r="E12" s="24">
        <f>+251938839586</f>
        <v>251938839586</v>
      </c>
      <c r="F12" s="21" t="s">
        <v>33</v>
      </c>
      <c r="G12" s="21" t="s">
        <v>235</v>
      </c>
      <c r="H12" s="19" t="s">
        <v>4295</v>
      </c>
      <c r="I12" s="25" t="s">
        <v>4164</v>
      </c>
      <c r="J12" s="26" t="s">
        <v>4165</v>
      </c>
      <c r="K12" s="21"/>
      <c r="L12" s="26" t="s">
        <v>4199</v>
      </c>
      <c r="M12" s="26" t="s">
        <v>4165</v>
      </c>
      <c r="N12" s="21"/>
      <c r="O12" s="26" t="s">
        <v>4184</v>
      </c>
      <c r="P12" s="26" t="s">
        <v>4185</v>
      </c>
      <c r="Q12" s="26" t="s">
        <v>4165</v>
      </c>
      <c r="R12" s="26" t="s">
        <v>4179</v>
      </c>
    </row>
    <row r="13">
      <c r="A13" s="22" t="s">
        <v>4294</v>
      </c>
      <c r="B13" s="21" t="s">
        <v>1526</v>
      </c>
      <c r="C13" s="21" t="s">
        <v>264</v>
      </c>
      <c r="D13" s="21" t="s">
        <v>1527</v>
      </c>
      <c r="E13" s="24">
        <f>+251938308521</f>
        <v>251938308521</v>
      </c>
      <c r="F13" s="21" t="s">
        <v>33</v>
      </c>
      <c r="G13" s="21" t="s">
        <v>235</v>
      </c>
      <c r="H13" s="19" t="s">
        <v>4295</v>
      </c>
      <c r="I13" s="25" t="s">
        <v>4208</v>
      </c>
      <c r="J13" s="21"/>
      <c r="K13" s="21"/>
      <c r="L13" s="21"/>
      <c r="M13" s="21"/>
      <c r="N13" s="21"/>
      <c r="O13" s="21"/>
      <c r="P13" s="21"/>
      <c r="Q13" s="21"/>
      <c r="R13" s="21"/>
    </row>
    <row r="14">
      <c r="A14" s="22" t="s">
        <v>4294</v>
      </c>
      <c r="B14" s="21" t="s">
        <v>1552</v>
      </c>
      <c r="C14" s="21" t="s">
        <v>1553</v>
      </c>
      <c r="D14" s="21" t="s">
        <v>716</v>
      </c>
      <c r="E14" s="24">
        <f>+251936635548</f>
        <v>251936635548</v>
      </c>
      <c r="F14" s="21" t="s">
        <v>33</v>
      </c>
      <c r="G14" s="21" t="s">
        <v>166</v>
      </c>
      <c r="H14" s="19" t="s">
        <v>4295</v>
      </c>
      <c r="I14" s="20" t="s">
        <v>4164</v>
      </c>
      <c r="J14" s="19" t="s">
        <v>4165</v>
      </c>
      <c r="K14" s="21"/>
      <c r="L14" s="19" t="s">
        <v>4166</v>
      </c>
      <c r="M14" s="19" t="s">
        <v>4165</v>
      </c>
      <c r="N14" s="21"/>
      <c r="O14" s="19" t="s">
        <v>4167</v>
      </c>
      <c r="P14" s="19" t="s">
        <v>4168</v>
      </c>
      <c r="Q14" s="19" t="s">
        <v>4165</v>
      </c>
      <c r="R14" s="19" t="s">
        <v>4169</v>
      </c>
    </row>
    <row r="15">
      <c r="A15" s="22" t="s">
        <v>4294</v>
      </c>
      <c r="B15" s="21" t="s">
        <v>1493</v>
      </c>
      <c r="C15" s="21" t="s">
        <v>1494</v>
      </c>
      <c r="D15" s="21" t="s">
        <v>1495</v>
      </c>
      <c r="E15" s="24">
        <f>+251933620339</f>
        <v>251933620339</v>
      </c>
      <c r="F15" s="21" t="s">
        <v>33</v>
      </c>
      <c r="G15" s="21" t="s">
        <v>76</v>
      </c>
      <c r="H15" s="19" t="s">
        <v>4295</v>
      </c>
      <c r="I15" s="25" t="s">
        <v>4164</v>
      </c>
      <c r="J15" s="26" t="s">
        <v>4165</v>
      </c>
      <c r="K15" s="21" t="s">
        <v>4298</v>
      </c>
      <c r="L15" s="26" t="s">
        <v>4166</v>
      </c>
      <c r="M15" s="26" t="s">
        <v>4165</v>
      </c>
      <c r="N15" s="21"/>
      <c r="O15" s="26" t="s">
        <v>4167</v>
      </c>
      <c r="P15" s="26" t="s">
        <v>4168</v>
      </c>
      <c r="Q15" s="26" t="s">
        <v>4165</v>
      </c>
      <c r="R15" s="26" t="s">
        <v>4281</v>
      </c>
    </row>
    <row r="16">
      <c r="A16" s="22" t="s">
        <v>4294</v>
      </c>
      <c r="B16" s="21" t="s">
        <v>1453</v>
      </c>
      <c r="C16" s="21" t="s">
        <v>1128</v>
      </c>
      <c r="D16" s="21" t="s">
        <v>1454</v>
      </c>
      <c r="E16" s="24">
        <f>+251933082993</f>
        <v>251933082993</v>
      </c>
      <c r="F16" s="21" t="s">
        <v>33</v>
      </c>
      <c r="G16" s="21" t="s">
        <v>65</v>
      </c>
      <c r="H16" s="19" t="s">
        <v>4295</v>
      </c>
      <c r="I16" s="25" t="s">
        <v>4164</v>
      </c>
      <c r="J16" s="26" t="s">
        <v>4165</v>
      </c>
      <c r="K16" s="26"/>
      <c r="L16" s="26" t="s">
        <v>4199</v>
      </c>
      <c r="M16" s="26" t="s">
        <v>4165</v>
      </c>
      <c r="N16" s="21"/>
      <c r="O16" s="26" t="s">
        <v>4184</v>
      </c>
      <c r="P16" s="26" t="s">
        <v>4185</v>
      </c>
      <c r="Q16" s="26" t="s">
        <v>4165</v>
      </c>
      <c r="R16" s="26" t="s">
        <v>4188</v>
      </c>
    </row>
    <row r="17">
      <c r="A17" s="22" t="s">
        <v>4294</v>
      </c>
      <c r="B17" s="21" t="s">
        <v>1441</v>
      </c>
      <c r="C17" s="21" t="s">
        <v>1442</v>
      </c>
      <c r="D17" s="21" t="s">
        <v>724</v>
      </c>
      <c r="E17" s="24">
        <f>+251931559554</f>
        <v>251931559554</v>
      </c>
      <c r="F17" s="21" t="s">
        <v>33</v>
      </c>
      <c r="G17" s="21" t="s">
        <v>65</v>
      </c>
      <c r="H17" s="19" t="s">
        <v>4295</v>
      </c>
      <c r="I17" s="25" t="s">
        <v>4164</v>
      </c>
      <c r="J17" s="26" t="s">
        <v>4165</v>
      </c>
      <c r="K17" s="21"/>
      <c r="L17" s="19" t="s">
        <v>4199</v>
      </c>
      <c r="M17" s="26" t="s">
        <v>4165</v>
      </c>
      <c r="N17" s="21"/>
      <c r="O17" s="26" t="s">
        <v>4184</v>
      </c>
      <c r="P17" s="26" t="s">
        <v>4178</v>
      </c>
      <c r="Q17" s="26" t="s">
        <v>4165</v>
      </c>
      <c r="R17" s="26" t="s">
        <v>4179</v>
      </c>
    </row>
    <row r="18">
      <c r="A18" s="22" t="s">
        <v>4294</v>
      </c>
      <c r="B18" s="21" t="s">
        <v>1565</v>
      </c>
      <c r="C18" s="21" t="s">
        <v>101</v>
      </c>
      <c r="D18" s="21" t="s">
        <v>1566</v>
      </c>
      <c r="E18" s="24">
        <f>+251930958877</f>
        <v>251930958877</v>
      </c>
      <c r="F18" s="21" t="s">
        <v>33</v>
      </c>
      <c r="G18" s="21" t="s">
        <v>76</v>
      </c>
      <c r="H18" s="19" t="s">
        <v>4295</v>
      </c>
      <c r="I18" s="20" t="s">
        <v>4208</v>
      </c>
      <c r="J18" s="21"/>
      <c r="K18" s="21"/>
      <c r="L18" s="21"/>
      <c r="M18" s="21"/>
      <c r="N18" s="21"/>
      <c r="O18" s="21"/>
      <c r="P18" s="21"/>
      <c r="Q18" s="21"/>
      <c r="R18" s="21"/>
    </row>
    <row r="19">
      <c r="A19" s="22" t="s">
        <v>4294</v>
      </c>
      <c r="B19" s="21" t="s">
        <v>1589</v>
      </c>
      <c r="C19" s="21" t="s">
        <v>1590</v>
      </c>
      <c r="D19" s="21" t="s">
        <v>1591</v>
      </c>
      <c r="E19" s="24">
        <f>+251927919556</f>
        <v>251927919556</v>
      </c>
      <c r="F19" s="21" t="s">
        <v>33</v>
      </c>
      <c r="G19" s="21" t="s">
        <v>177</v>
      </c>
      <c r="H19" s="19" t="s">
        <v>4295</v>
      </c>
      <c r="I19" s="20" t="s">
        <v>4164</v>
      </c>
      <c r="J19" s="19" t="s">
        <v>4165</v>
      </c>
      <c r="K19" s="21"/>
      <c r="L19" s="19" t="s">
        <v>4166</v>
      </c>
      <c r="M19" s="19" t="s">
        <v>4165</v>
      </c>
      <c r="N19" s="21"/>
      <c r="O19" s="19" t="s">
        <v>4167</v>
      </c>
      <c r="P19" s="19" t="s">
        <v>4168</v>
      </c>
      <c r="Q19" s="19" t="s">
        <v>4165</v>
      </c>
      <c r="R19" s="19" t="s">
        <v>4169</v>
      </c>
    </row>
    <row r="20">
      <c r="A20" s="22" t="s">
        <v>4294</v>
      </c>
      <c r="B20" s="21" t="s">
        <v>1456</v>
      </c>
      <c r="C20" s="21" t="s">
        <v>1457</v>
      </c>
      <c r="D20" s="21" t="s">
        <v>328</v>
      </c>
      <c r="E20" s="24">
        <f>+251924097574</f>
        <v>251924097574</v>
      </c>
      <c r="F20" s="21" t="s">
        <v>33</v>
      </c>
      <c r="G20" s="21" t="s">
        <v>65</v>
      </c>
      <c r="H20" s="19" t="s">
        <v>4295</v>
      </c>
      <c r="I20" s="25" t="s">
        <v>4164</v>
      </c>
      <c r="J20" s="26" t="s">
        <v>4165</v>
      </c>
      <c r="K20" s="21"/>
      <c r="L20" s="26" t="s">
        <v>4166</v>
      </c>
      <c r="M20" s="26" t="s">
        <v>4165</v>
      </c>
      <c r="N20" s="21"/>
      <c r="O20" s="26" t="s">
        <v>4167</v>
      </c>
      <c r="P20" s="26" t="s">
        <v>4168</v>
      </c>
      <c r="Q20" s="26" t="s">
        <v>4165</v>
      </c>
      <c r="R20" s="26" t="s">
        <v>4195</v>
      </c>
    </row>
    <row r="21">
      <c r="A21" s="22" t="s">
        <v>4294</v>
      </c>
      <c r="B21" s="21" t="s">
        <v>1525</v>
      </c>
      <c r="C21" s="21" t="s">
        <v>944</v>
      </c>
      <c r="D21" s="21" t="s">
        <v>1000</v>
      </c>
      <c r="E21" s="24">
        <f>+251920160236</f>
        <v>251920160236</v>
      </c>
      <c r="F21" s="21" t="s">
        <v>33</v>
      </c>
      <c r="G21" s="21" t="s">
        <v>166</v>
      </c>
      <c r="H21" s="19" t="s">
        <v>4295</v>
      </c>
      <c r="I21" s="25" t="s">
        <v>4207</v>
      </c>
      <c r="J21" s="26"/>
      <c r="K21" s="21"/>
      <c r="L21" s="26"/>
      <c r="M21" s="26"/>
      <c r="N21" s="21"/>
      <c r="O21" s="26"/>
      <c r="P21" s="26"/>
      <c r="Q21" s="26"/>
      <c r="R21" s="26"/>
    </row>
    <row r="22">
      <c r="A22" s="22" t="s">
        <v>4294</v>
      </c>
      <c r="B22" s="21" t="s">
        <v>1432</v>
      </c>
      <c r="C22" s="21" t="s">
        <v>483</v>
      </c>
      <c r="D22" s="21" t="s">
        <v>1433</v>
      </c>
      <c r="E22" s="24">
        <f>+251918461548</f>
        <v>251918461548</v>
      </c>
      <c r="F22" s="21" t="s">
        <v>33</v>
      </c>
      <c r="G22" s="21" t="s">
        <v>65</v>
      </c>
      <c r="H22" s="19" t="s">
        <v>4295</v>
      </c>
      <c r="I22" s="25" t="s">
        <v>4164</v>
      </c>
      <c r="J22" s="21" t="s">
        <v>4165</v>
      </c>
      <c r="K22" s="21"/>
      <c r="L22" s="19" t="s">
        <v>4199</v>
      </c>
      <c r="M22" s="21" t="s">
        <v>4165</v>
      </c>
      <c r="N22" s="21"/>
      <c r="O22" s="19" t="s">
        <v>4184</v>
      </c>
      <c r="P22" s="19" t="s">
        <v>4299</v>
      </c>
      <c r="Q22" s="21" t="s">
        <v>4165</v>
      </c>
      <c r="R22" s="19" t="s">
        <v>4179</v>
      </c>
    </row>
    <row r="23">
      <c r="A23" s="22" t="s">
        <v>4294</v>
      </c>
      <c r="B23" s="21" t="s">
        <v>1547</v>
      </c>
      <c r="C23" s="21" t="s">
        <v>1548</v>
      </c>
      <c r="D23" s="21" t="s">
        <v>1549</v>
      </c>
      <c r="E23" s="24">
        <f>+251916255375</f>
        <v>251916255375</v>
      </c>
      <c r="F23" s="21" t="s">
        <v>33</v>
      </c>
      <c r="G23" s="21" t="s">
        <v>34</v>
      </c>
      <c r="H23" s="19" t="s">
        <v>4295</v>
      </c>
      <c r="I23" s="20" t="s">
        <v>4164</v>
      </c>
      <c r="J23" s="19" t="s">
        <v>4165</v>
      </c>
      <c r="K23" s="21"/>
      <c r="L23" s="19" t="s">
        <v>4176</v>
      </c>
      <c r="M23" s="19" t="s">
        <v>4165</v>
      </c>
      <c r="N23" s="21"/>
      <c r="O23" s="19" t="s">
        <v>4184</v>
      </c>
      <c r="P23" s="19" t="s">
        <v>4178</v>
      </c>
      <c r="Q23" s="19" t="s">
        <v>4165</v>
      </c>
      <c r="R23" s="19" t="s">
        <v>4179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22" t="s">
        <v>4294</v>
      </c>
      <c r="B24" s="21" t="s">
        <v>1497</v>
      </c>
      <c r="C24" s="21" t="s">
        <v>1237</v>
      </c>
      <c r="D24" s="21" t="s">
        <v>189</v>
      </c>
      <c r="E24" s="24">
        <f>+251913339939</f>
        <v>251913339939</v>
      </c>
      <c r="F24" s="21" t="s">
        <v>33</v>
      </c>
      <c r="G24" s="21" t="s">
        <v>65</v>
      </c>
      <c r="H24" s="19" t="s">
        <v>4295</v>
      </c>
      <c r="I24" s="25" t="s">
        <v>4164</v>
      </c>
      <c r="J24" s="26" t="s">
        <v>4165</v>
      </c>
      <c r="K24" s="21" t="s">
        <v>4300</v>
      </c>
      <c r="L24" s="26" t="s">
        <v>4166</v>
      </c>
      <c r="M24" s="26" t="s">
        <v>4165</v>
      </c>
      <c r="N24" s="21"/>
      <c r="O24" s="26" t="s">
        <v>4167</v>
      </c>
      <c r="P24" s="26" t="s">
        <v>4168</v>
      </c>
      <c r="Q24" s="26" t="s">
        <v>4165</v>
      </c>
      <c r="R24" s="26" t="s">
        <v>4169</v>
      </c>
    </row>
    <row r="25">
      <c r="A25" s="22" t="s">
        <v>4294</v>
      </c>
      <c r="B25" s="21" t="s">
        <v>1462</v>
      </c>
      <c r="C25" s="21" t="s">
        <v>1463</v>
      </c>
      <c r="D25" s="21" t="s">
        <v>1464</v>
      </c>
      <c r="E25" s="24">
        <f>+251913222798</f>
        <v>251913222798</v>
      </c>
      <c r="F25" s="21" t="s">
        <v>33</v>
      </c>
      <c r="G25" s="21" t="s">
        <v>65</v>
      </c>
      <c r="H25" s="19" t="s">
        <v>4295</v>
      </c>
      <c r="I25" s="25" t="s">
        <v>4207</v>
      </c>
      <c r="J25" s="26"/>
      <c r="K25" s="21"/>
      <c r="L25" s="26"/>
      <c r="M25" s="26"/>
      <c r="N25" s="21"/>
      <c r="O25" s="26"/>
      <c r="P25" s="26"/>
      <c r="Q25" s="26"/>
      <c r="R25" s="26"/>
    </row>
    <row r="26">
      <c r="A26" s="22" t="s">
        <v>4294</v>
      </c>
      <c r="B26" s="21" t="s">
        <v>1528</v>
      </c>
      <c r="C26" s="21" t="s">
        <v>337</v>
      </c>
      <c r="D26" s="21" t="s">
        <v>338</v>
      </c>
      <c r="E26" s="24">
        <f>+251912406308</f>
        <v>251912406308</v>
      </c>
      <c r="F26" s="21" t="s">
        <v>33</v>
      </c>
      <c r="G26" s="21" t="s">
        <v>177</v>
      </c>
      <c r="H26" s="19" t="s">
        <v>4295</v>
      </c>
      <c r="I26" s="25" t="s">
        <v>4208</v>
      </c>
      <c r="J26" s="21"/>
      <c r="K26" s="21"/>
      <c r="L26" s="21"/>
      <c r="M26" s="21"/>
      <c r="N26" s="21"/>
      <c r="O26" s="21"/>
      <c r="P26" s="21"/>
      <c r="Q26" s="21"/>
      <c r="R26" s="21"/>
    </row>
    <row r="27">
      <c r="A27" s="22" t="s">
        <v>4294</v>
      </c>
      <c r="B27" s="21" t="s">
        <v>1582</v>
      </c>
      <c r="C27" s="21" t="s">
        <v>1583</v>
      </c>
      <c r="D27" s="21" t="s">
        <v>951</v>
      </c>
      <c r="E27" s="24">
        <f>+251910936769</f>
        <v>251910936769</v>
      </c>
      <c r="F27" s="21" t="s">
        <v>33</v>
      </c>
      <c r="G27" s="21" t="s">
        <v>76</v>
      </c>
      <c r="H27" s="19" t="s">
        <v>4295</v>
      </c>
      <c r="I27" s="20" t="s">
        <v>4164</v>
      </c>
      <c r="J27" s="19" t="s">
        <v>4165</v>
      </c>
      <c r="K27" s="21"/>
      <c r="L27" s="19" t="s">
        <v>4176</v>
      </c>
      <c r="M27" s="19" t="s">
        <v>4165</v>
      </c>
      <c r="N27" s="21"/>
      <c r="O27" s="19" t="s">
        <v>4184</v>
      </c>
      <c r="P27" s="19" t="s">
        <v>4168</v>
      </c>
      <c r="Q27" s="19" t="s">
        <v>4165</v>
      </c>
      <c r="R27" s="19" t="s">
        <v>4179</v>
      </c>
    </row>
    <row r="28">
      <c r="A28" s="22" t="s">
        <v>4294</v>
      </c>
      <c r="B28" s="21" t="s">
        <v>1569</v>
      </c>
      <c r="C28" s="21" t="s">
        <v>1570</v>
      </c>
      <c r="D28" s="21" t="s">
        <v>316</v>
      </c>
      <c r="E28" s="24">
        <f>+251909267912</f>
        <v>251909267912</v>
      </c>
      <c r="F28" s="21" t="s">
        <v>33</v>
      </c>
      <c r="G28" s="21" t="s">
        <v>76</v>
      </c>
      <c r="H28" s="19" t="s">
        <v>4295</v>
      </c>
      <c r="I28" s="20" t="s">
        <v>4164</v>
      </c>
      <c r="J28" s="19" t="s">
        <v>4165</v>
      </c>
      <c r="K28" s="21"/>
      <c r="L28" s="19" t="s">
        <v>4166</v>
      </c>
      <c r="M28" s="19" t="s">
        <v>4165</v>
      </c>
      <c r="N28" s="21"/>
      <c r="O28" s="19" t="s">
        <v>4167</v>
      </c>
      <c r="P28" s="19" t="s">
        <v>4168</v>
      </c>
      <c r="Q28" s="19" t="s">
        <v>4165</v>
      </c>
      <c r="R28" s="19" t="s">
        <v>4169</v>
      </c>
    </row>
    <row r="29">
      <c r="A29" s="22" t="s">
        <v>4294</v>
      </c>
      <c r="B29" s="21" t="s">
        <v>1538</v>
      </c>
      <c r="C29" s="21" t="s">
        <v>1539</v>
      </c>
      <c r="D29" s="21" t="s">
        <v>601</v>
      </c>
      <c r="E29" s="24">
        <f>+251909146096</f>
        <v>251909146096</v>
      </c>
      <c r="F29" s="21" t="s">
        <v>33</v>
      </c>
      <c r="G29" s="21" t="s">
        <v>65</v>
      </c>
      <c r="H29" s="19" t="s">
        <v>4295</v>
      </c>
      <c r="I29" s="20" t="s">
        <v>4208</v>
      </c>
      <c r="J29" s="21"/>
      <c r="K29" s="21"/>
      <c r="L29" s="21"/>
      <c r="M29" s="21"/>
      <c r="N29" s="21"/>
      <c r="O29" s="21"/>
      <c r="P29" s="21"/>
      <c r="Q29" s="21"/>
      <c r="R29" s="21"/>
    </row>
    <row r="30">
      <c r="A30" s="22" t="s">
        <v>4294</v>
      </c>
      <c r="B30" s="21" t="s">
        <v>1445</v>
      </c>
      <c r="C30" s="21" t="s">
        <v>1446</v>
      </c>
      <c r="D30" s="21" t="s">
        <v>1447</v>
      </c>
      <c r="E30" s="24">
        <f>+251904000846</f>
        <v>251904000846</v>
      </c>
      <c r="F30" s="21" t="s">
        <v>33</v>
      </c>
      <c r="G30" s="21" t="s">
        <v>118</v>
      </c>
      <c r="H30" s="19" t="s">
        <v>4295</v>
      </c>
      <c r="I30" s="25" t="s">
        <v>4164</v>
      </c>
      <c r="J30" s="26" t="s">
        <v>4165</v>
      </c>
      <c r="K30" s="21"/>
      <c r="L30" s="19" t="s">
        <v>4199</v>
      </c>
      <c r="M30" s="26" t="s">
        <v>4165</v>
      </c>
      <c r="N30" s="21"/>
      <c r="O30" s="26" t="s">
        <v>4184</v>
      </c>
      <c r="P30" s="26" t="s">
        <v>4178</v>
      </c>
      <c r="Q30" s="26" t="s">
        <v>4165</v>
      </c>
      <c r="R30" s="26" t="s">
        <v>4179</v>
      </c>
    </row>
    <row r="31">
      <c r="A31" s="22" t="s">
        <v>4294</v>
      </c>
      <c r="B31" s="21" t="s">
        <v>1505</v>
      </c>
      <c r="C31" s="21" t="s">
        <v>333</v>
      </c>
      <c r="D31" s="21" t="s">
        <v>963</v>
      </c>
      <c r="E31" s="24">
        <f>+251901121188</f>
        <v>251901121188</v>
      </c>
      <c r="F31" s="21" t="s">
        <v>33</v>
      </c>
      <c r="G31" s="21" t="s">
        <v>166</v>
      </c>
      <c r="H31" s="19" t="s">
        <v>4295</v>
      </c>
      <c r="I31" s="25" t="s">
        <v>4164</v>
      </c>
      <c r="J31" s="26" t="s">
        <v>4165</v>
      </c>
      <c r="K31" s="26"/>
      <c r="L31" s="26" t="s">
        <v>4176</v>
      </c>
      <c r="M31" s="26" t="s">
        <v>4165</v>
      </c>
      <c r="N31" s="21"/>
      <c r="O31" s="26" t="s">
        <v>4184</v>
      </c>
      <c r="P31" s="26" t="s">
        <v>4178</v>
      </c>
      <c r="Q31" s="26" t="s">
        <v>4165</v>
      </c>
      <c r="R31" s="26" t="s">
        <v>4179</v>
      </c>
    </row>
    <row r="35">
      <c r="A35" s="18"/>
      <c r="B35" s="21"/>
      <c r="C35" s="21"/>
      <c r="D35" s="21"/>
      <c r="E35" s="24"/>
      <c r="F35" s="21"/>
      <c r="G35" s="21"/>
      <c r="H35" s="21"/>
      <c r="I35" s="27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18"/>
      <c r="B36" s="21"/>
      <c r="C36" s="21"/>
      <c r="D36" s="21"/>
      <c r="E36" s="24"/>
      <c r="F36" s="21"/>
      <c r="G36" s="21"/>
      <c r="H36" s="21"/>
      <c r="I36" s="27"/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18"/>
      <c r="B37" s="21"/>
      <c r="C37" s="21"/>
      <c r="D37" s="21"/>
      <c r="E37" s="24"/>
      <c r="F37" s="21"/>
      <c r="G37" s="21"/>
      <c r="H37" s="21"/>
      <c r="I37" s="27"/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18"/>
      <c r="B38" s="21"/>
      <c r="C38" s="21"/>
      <c r="D38" s="21"/>
      <c r="E38" s="24"/>
      <c r="F38" s="21"/>
      <c r="G38" s="21"/>
      <c r="H38" s="21"/>
      <c r="I38" s="27"/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18"/>
      <c r="B39" s="21"/>
      <c r="C39" s="21"/>
      <c r="D39" s="21"/>
      <c r="E39" s="24"/>
      <c r="F39" s="21"/>
      <c r="G39" s="21"/>
      <c r="H39" s="21"/>
      <c r="I39" s="27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18"/>
      <c r="B40" s="21"/>
      <c r="C40" s="21"/>
      <c r="D40" s="21"/>
      <c r="E40" s="24"/>
      <c r="F40" s="21"/>
      <c r="G40" s="21"/>
      <c r="H40" s="21"/>
      <c r="I40" s="27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18"/>
      <c r="B41" s="21"/>
      <c r="C41" s="21"/>
      <c r="D41" s="21"/>
      <c r="E41" s="24"/>
      <c r="F41" s="21"/>
      <c r="G41" s="21"/>
      <c r="H41" s="21"/>
      <c r="I41" s="27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18"/>
      <c r="B42" s="21"/>
      <c r="C42" s="21"/>
      <c r="D42" s="21"/>
      <c r="E42" s="24"/>
      <c r="F42" s="21"/>
      <c r="G42" s="21"/>
      <c r="H42" s="21"/>
      <c r="I42" s="27"/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18"/>
      <c r="B43" s="21"/>
      <c r="C43" s="21"/>
      <c r="D43" s="21"/>
      <c r="E43" s="24"/>
      <c r="F43" s="21"/>
      <c r="G43" s="21"/>
      <c r="H43" s="21"/>
      <c r="I43" s="27"/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18"/>
      <c r="B44" s="21"/>
      <c r="C44" s="21"/>
      <c r="D44" s="21"/>
      <c r="E44" s="24"/>
      <c r="F44" s="21"/>
      <c r="G44" s="21"/>
      <c r="H44" s="21"/>
      <c r="I44" s="27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18"/>
      <c r="B45" s="21"/>
      <c r="C45" s="21"/>
      <c r="D45" s="21"/>
      <c r="E45" s="24"/>
      <c r="F45" s="21"/>
      <c r="G45" s="21"/>
      <c r="H45" s="21"/>
      <c r="I45" s="27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18"/>
      <c r="B46" s="21"/>
      <c r="C46" s="21"/>
      <c r="D46" s="21"/>
      <c r="E46" s="24"/>
      <c r="F46" s="21"/>
      <c r="G46" s="21"/>
      <c r="H46" s="21"/>
      <c r="I46" s="27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18"/>
      <c r="B47" s="21"/>
      <c r="C47" s="21"/>
      <c r="D47" s="21"/>
      <c r="E47" s="24"/>
      <c r="F47" s="21"/>
      <c r="G47" s="21"/>
      <c r="H47" s="21"/>
      <c r="I47" s="27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18"/>
      <c r="B48" s="21"/>
      <c r="C48" s="21"/>
      <c r="D48" s="21"/>
      <c r="E48" s="24"/>
      <c r="F48" s="21"/>
      <c r="G48" s="21"/>
      <c r="H48" s="21"/>
      <c r="I48" s="27"/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18"/>
      <c r="B49" s="21"/>
      <c r="C49" s="21"/>
      <c r="D49" s="21"/>
      <c r="E49" s="24"/>
      <c r="F49" s="21"/>
      <c r="G49" s="21"/>
      <c r="H49" s="21"/>
      <c r="I49" s="27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18"/>
      <c r="B50" s="21"/>
      <c r="C50" s="21"/>
      <c r="D50" s="21"/>
      <c r="E50" s="24"/>
      <c r="F50" s="21"/>
      <c r="G50" s="21"/>
      <c r="H50" s="21"/>
      <c r="I50" s="27"/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18"/>
      <c r="B51" s="21"/>
      <c r="C51" s="21"/>
      <c r="D51" s="21"/>
      <c r="E51" s="24"/>
      <c r="F51" s="21"/>
      <c r="G51" s="21"/>
      <c r="H51" s="21"/>
      <c r="I51" s="27"/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3:L5 L8:L9 L14 L18:L19 L23 L27:L29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L2 L6:L7 L10:L13 L15:L17 L20:L22 L24:L26 L30:L31">
      <formula1>"Immediately ,Later Today,This Week,Not interested anymore,Aready Finished,tomorrow"</formula1>
    </dataValidation>
    <dataValidation type="list" allowBlank="1" showErrorMessage="1" sqref="J2:J31 M2:M31 Q2:Q31">
      <formula1>"YES,NO"</formula1>
    </dataValidation>
    <dataValidation type="list" allowBlank="1" showErrorMessage="1" sqref="P2 P6:P7 P10:P13 P15:P17 P20:P22 P24:P26 P30:P31">
      <formula1>"Wednesday,Friday,Won't Attend,Done,Today,tomorrow,next week 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3:P5 P8:P9 P14 P18:P19 P23 P27:P29">
      <formula1>"Wednesday,Friday,Won't Attend,Done,Today"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2" t="s">
        <v>1068</v>
      </c>
      <c r="B2" s="1" t="s">
        <v>3016</v>
      </c>
      <c r="C2" s="1" t="s">
        <v>3017</v>
      </c>
      <c r="D2" s="1" t="s">
        <v>102</v>
      </c>
      <c r="E2" s="2">
        <f>+251901967169</f>
        <v>251901967169</v>
      </c>
      <c r="F2" s="1" t="s">
        <v>33</v>
      </c>
      <c r="G2" s="1" t="s">
        <v>65</v>
      </c>
      <c r="H2" s="19" t="s">
        <v>4161</v>
      </c>
      <c r="I2" s="20"/>
      <c r="J2" s="21"/>
      <c r="K2" s="21"/>
      <c r="L2" s="21"/>
      <c r="M2" s="21"/>
      <c r="N2" s="21"/>
      <c r="O2" s="21"/>
      <c r="P2" s="21"/>
      <c r="Q2" s="21"/>
      <c r="R2" s="21"/>
    </row>
    <row r="3">
      <c r="A3" s="22" t="s">
        <v>1068</v>
      </c>
      <c r="B3" s="1" t="s">
        <v>3018</v>
      </c>
      <c r="C3" s="1" t="s">
        <v>1385</v>
      </c>
      <c r="D3" s="1" t="s">
        <v>3019</v>
      </c>
      <c r="E3" s="2">
        <f>+251913091983</f>
        <v>251913091983</v>
      </c>
      <c r="F3" s="1" t="s">
        <v>33</v>
      </c>
      <c r="G3" s="1" t="s">
        <v>118</v>
      </c>
      <c r="H3" s="19" t="s">
        <v>4161</v>
      </c>
      <c r="I3" s="20"/>
      <c r="J3" s="19"/>
      <c r="K3" s="21"/>
      <c r="L3" s="19"/>
      <c r="M3" s="19"/>
      <c r="N3" s="21"/>
      <c r="O3" s="19"/>
      <c r="P3" s="19"/>
      <c r="Q3" s="19"/>
      <c r="R3" s="19"/>
    </row>
    <row r="4">
      <c r="A4" s="22" t="s">
        <v>1068</v>
      </c>
      <c r="B4" s="1" t="s">
        <v>3034</v>
      </c>
      <c r="C4" s="1" t="s">
        <v>146</v>
      </c>
      <c r="D4" s="1" t="s">
        <v>375</v>
      </c>
      <c r="E4" s="2">
        <f>+251915887886</f>
        <v>251915887886</v>
      </c>
      <c r="F4" s="1" t="s">
        <v>33</v>
      </c>
      <c r="G4" s="1" t="s">
        <v>65</v>
      </c>
      <c r="H4" s="19" t="s">
        <v>4161</v>
      </c>
      <c r="I4" s="20"/>
      <c r="J4" s="19"/>
      <c r="K4" s="21"/>
      <c r="L4" s="19"/>
      <c r="M4" s="19"/>
      <c r="N4" s="21"/>
      <c r="O4" s="19"/>
      <c r="P4" s="19"/>
      <c r="Q4" s="19"/>
      <c r="R4" s="19"/>
    </row>
    <row r="5">
      <c r="A5" s="22" t="s">
        <v>1068</v>
      </c>
      <c r="B5" s="1" t="s">
        <v>3051</v>
      </c>
      <c r="C5" s="1" t="s">
        <v>179</v>
      </c>
      <c r="D5" s="1" t="s">
        <v>601</v>
      </c>
      <c r="E5" s="2">
        <f>+251939953005</f>
        <v>251939953005</v>
      </c>
      <c r="F5" s="1" t="s">
        <v>33</v>
      </c>
      <c r="G5" s="1" t="s">
        <v>65</v>
      </c>
      <c r="H5" s="19" t="s">
        <v>4161</v>
      </c>
      <c r="I5" s="20"/>
      <c r="J5" s="19"/>
      <c r="K5" s="21"/>
      <c r="L5" s="19"/>
      <c r="M5" s="19"/>
      <c r="N5" s="21"/>
      <c r="O5" s="19"/>
      <c r="P5" s="19"/>
      <c r="Q5" s="19"/>
      <c r="R5" s="19"/>
    </row>
    <row r="6">
      <c r="A6" s="22" t="s">
        <v>1068</v>
      </c>
      <c r="B6" s="1" t="s">
        <v>3053</v>
      </c>
      <c r="C6" s="1" t="s">
        <v>480</v>
      </c>
      <c r="D6" s="1" t="s">
        <v>189</v>
      </c>
      <c r="E6" s="2">
        <f>+251967119880</f>
        <v>251967119880</v>
      </c>
      <c r="F6" s="1" t="s">
        <v>33</v>
      </c>
      <c r="G6" s="1" t="s">
        <v>76</v>
      </c>
      <c r="H6" s="19" t="s">
        <v>4161</v>
      </c>
      <c r="I6" s="20"/>
      <c r="J6" s="19"/>
      <c r="K6" s="19"/>
      <c r="L6" s="19"/>
      <c r="M6" s="19"/>
      <c r="N6" s="21"/>
      <c r="O6" s="19"/>
      <c r="P6" s="19"/>
      <c r="Q6" s="19"/>
      <c r="R6" s="19"/>
    </row>
    <row r="7">
      <c r="A7" s="22" t="s">
        <v>1068</v>
      </c>
      <c r="B7" s="1" t="s">
        <v>1879</v>
      </c>
      <c r="C7" s="1" t="s">
        <v>1880</v>
      </c>
      <c r="D7" s="1" t="s">
        <v>1881</v>
      </c>
      <c r="E7" s="2">
        <f>+251911420552</f>
        <v>251911420552</v>
      </c>
      <c r="F7" s="1" t="s">
        <v>33</v>
      </c>
      <c r="G7" s="1" t="s">
        <v>65</v>
      </c>
      <c r="H7" s="19" t="s">
        <v>4161</v>
      </c>
      <c r="I7" s="20"/>
      <c r="J7" s="19"/>
      <c r="K7" s="21"/>
      <c r="L7" s="19"/>
      <c r="M7" s="19"/>
      <c r="N7" s="21"/>
      <c r="O7" s="19"/>
      <c r="P7" s="19"/>
      <c r="Q7" s="19"/>
      <c r="R7" s="19"/>
    </row>
    <row r="8">
      <c r="A8" s="22" t="s">
        <v>1068</v>
      </c>
      <c r="B8" s="1" t="s">
        <v>3080</v>
      </c>
      <c r="C8" s="1" t="s">
        <v>3081</v>
      </c>
      <c r="D8" s="1" t="s">
        <v>411</v>
      </c>
      <c r="E8" s="2">
        <f>+251922997120</f>
        <v>251922997120</v>
      </c>
      <c r="F8" s="1" t="s">
        <v>33</v>
      </c>
      <c r="G8" s="1" t="s">
        <v>65</v>
      </c>
      <c r="H8" s="19" t="s">
        <v>4161</v>
      </c>
      <c r="I8" s="20"/>
      <c r="J8" s="19"/>
      <c r="K8" s="21"/>
      <c r="L8" s="19"/>
      <c r="M8" s="19"/>
      <c r="N8" s="21"/>
      <c r="O8" s="19"/>
      <c r="P8" s="19"/>
      <c r="Q8" s="19"/>
      <c r="R8" s="19"/>
    </row>
    <row r="9">
      <c r="A9" s="22" t="s">
        <v>1068</v>
      </c>
      <c r="B9" s="1" t="s">
        <v>3082</v>
      </c>
      <c r="C9" s="1" t="s">
        <v>47</v>
      </c>
      <c r="D9" s="1" t="s">
        <v>3083</v>
      </c>
      <c r="E9" s="2">
        <f>+251934839921</f>
        <v>251934839921</v>
      </c>
      <c r="F9" s="1" t="s">
        <v>33</v>
      </c>
      <c r="G9" s="1" t="s">
        <v>177</v>
      </c>
      <c r="H9" s="19" t="s">
        <v>4161</v>
      </c>
      <c r="I9" s="20"/>
      <c r="J9" s="19"/>
      <c r="K9" s="21"/>
      <c r="L9" s="19"/>
      <c r="M9" s="19"/>
      <c r="N9" s="21"/>
      <c r="O9" s="19"/>
      <c r="P9" s="19"/>
      <c r="Q9" s="19"/>
      <c r="R9" s="19"/>
    </row>
    <row r="10">
      <c r="A10" s="22" t="s">
        <v>1068</v>
      </c>
      <c r="B10" s="1" t="s">
        <v>3089</v>
      </c>
      <c r="C10" s="1" t="s">
        <v>1385</v>
      </c>
      <c r="D10" s="1" t="s">
        <v>3019</v>
      </c>
      <c r="E10" s="2">
        <f>+251913091983</f>
        <v>251913091983</v>
      </c>
      <c r="F10" s="1" t="s">
        <v>33</v>
      </c>
      <c r="G10" s="1" t="s">
        <v>65</v>
      </c>
      <c r="H10" s="19" t="s">
        <v>4161</v>
      </c>
      <c r="I10" s="20"/>
      <c r="J10" s="19"/>
      <c r="K10" s="21"/>
      <c r="L10" s="19"/>
      <c r="M10" s="19"/>
      <c r="N10" s="21"/>
      <c r="O10" s="19"/>
      <c r="P10" s="19"/>
      <c r="Q10" s="19"/>
      <c r="R10" s="19"/>
    </row>
    <row r="11">
      <c r="A11" s="22" t="s">
        <v>1068</v>
      </c>
      <c r="B11" s="1" t="s">
        <v>3095</v>
      </c>
      <c r="C11" s="1" t="s">
        <v>3096</v>
      </c>
      <c r="D11" s="1" t="s">
        <v>3097</v>
      </c>
      <c r="E11" s="2">
        <f>+251916402874</f>
        <v>251916402874</v>
      </c>
      <c r="F11" s="1" t="s">
        <v>33</v>
      </c>
      <c r="G11" s="1" t="s">
        <v>65</v>
      </c>
      <c r="H11" s="19" t="s">
        <v>4161</v>
      </c>
      <c r="I11" s="20"/>
      <c r="J11" s="19"/>
      <c r="K11" s="19"/>
      <c r="L11" s="19"/>
      <c r="M11" s="19"/>
      <c r="N11" s="21"/>
      <c r="O11" s="19"/>
      <c r="P11" s="19"/>
      <c r="Q11" s="19"/>
      <c r="R11" s="19"/>
    </row>
    <row r="12">
      <c r="A12" s="22" t="s">
        <v>1068</v>
      </c>
      <c r="B12" s="1" t="s">
        <v>3106</v>
      </c>
      <c r="C12" s="1" t="s">
        <v>3107</v>
      </c>
      <c r="D12" s="1" t="s">
        <v>3108</v>
      </c>
      <c r="E12" s="2">
        <f>+251954330866</f>
        <v>251954330866</v>
      </c>
      <c r="F12" s="1" t="s">
        <v>33</v>
      </c>
      <c r="G12" s="1" t="s">
        <v>34</v>
      </c>
      <c r="H12" s="19" t="s">
        <v>4161</v>
      </c>
      <c r="I12" s="20"/>
      <c r="J12" s="19"/>
      <c r="K12" s="21"/>
      <c r="L12" s="19"/>
      <c r="M12" s="19"/>
      <c r="N12" s="21"/>
      <c r="O12" s="19"/>
      <c r="P12" s="19"/>
      <c r="Q12" s="19"/>
      <c r="R12" s="19"/>
    </row>
    <row r="13">
      <c r="A13" s="22" t="s">
        <v>1068</v>
      </c>
      <c r="B13" s="1" t="s">
        <v>3116</v>
      </c>
      <c r="C13" s="1" t="s">
        <v>3117</v>
      </c>
      <c r="D13" s="1" t="s">
        <v>3118</v>
      </c>
      <c r="E13" s="2">
        <f>+251976319595</f>
        <v>251976319595</v>
      </c>
      <c r="F13" s="1" t="s">
        <v>33</v>
      </c>
      <c r="G13" s="1" t="s">
        <v>34</v>
      </c>
      <c r="H13" s="19" t="s">
        <v>4161</v>
      </c>
      <c r="I13" s="20"/>
      <c r="J13" s="19"/>
      <c r="K13" s="21"/>
      <c r="L13" s="19"/>
      <c r="M13" s="19"/>
      <c r="N13" s="21"/>
      <c r="O13" s="19"/>
      <c r="P13" s="19"/>
      <c r="Q13" s="19"/>
      <c r="R13" s="19"/>
    </row>
    <row r="14">
      <c r="A14" s="22" t="s">
        <v>1068</v>
      </c>
      <c r="B14" s="1" t="s">
        <v>3119</v>
      </c>
      <c r="C14" s="1" t="s">
        <v>1942</v>
      </c>
      <c r="D14" s="1" t="s">
        <v>3120</v>
      </c>
      <c r="E14" s="2">
        <f>+251911790382</f>
        <v>251911790382</v>
      </c>
      <c r="F14" s="1" t="s">
        <v>33</v>
      </c>
      <c r="G14" s="1" t="s">
        <v>65</v>
      </c>
      <c r="H14" s="19" t="s">
        <v>4161</v>
      </c>
      <c r="I14" s="20"/>
      <c r="J14" s="19"/>
      <c r="K14" s="21"/>
      <c r="L14" s="19"/>
      <c r="M14" s="19"/>
      <c r="N14" s="21"/>
      <c r="O14" s="19"/>
      <c r="P14" s="19"/>
      <c r="Q14" s="19"/>
      <c r="R14" s="19"/>
    </row>
    <row r="15">
      <c r="A15" s="22" t="s">
        <v>1068</v>
      </c>
      <c r="B15" s="1" t="s">
        <v>3130</v>
      </c>
      <c r="C15" s="1" t="s">
        <v>3131</v>
      </c>
      <c r="D15" s="1" t="s">
        <v>796</v>
      </c>
      <c r="E15" s="1">
        <v>2.51913971614E11</v>
      </c>
      <c r="F15" s="1" t="s">
        <v>33</v>
      </c>
      <c r="G15" s="1" t="s">
        <v>65</v>
      </c>
      <c r="H15" s="19" t="s">
        <v>4161</v>
      </c>
      <c r="I15" s="20"/>
      <c r="J15" s="19"/>
      <c r="K15" s="19"/>
      <c r="L15" s="19"/>
      <c r="M15" s="19"/>
      <c r="N15" s="21"/>
      <c r="O15" s="19"/>
      <c r="P15" s="19"/>
      <c r="Q15" s="19"/>
      <c r="R15" s="19"/>
    </row>
    <row r="16">
      <c r="A16" s="22" t="s">
        <v>1068</v>
      </c>
      <c r="B16" s="1" t="s">
        <v>3135</v>
      </c>
      <c r="C16" s="1" t="s">
        <v>257</v>
      </c>
      <c r="D16" s="1" t="s">
        <v>171</v>
      </c>
      <c r="E16" s="2">
        <f>+251962394122</f>
        <v>251962394122</v>
      </c>
      <c r="F16" s="1" t="s">
        <v>33</v>
      </c>
      <c r="G16" s="1" t="s">
        <v>65</v>
      </c>
      <c r="H16" s="19" t="s">
        <v>4161</v>
      </c>
      <c r="I16" s="20"/>
      <c r="J16" s="19"/>
      <c r="K16" s="19"/>
      <c r="L16" s="19"/>
      <c r="M16" s="19"/>
      <c r="N16" s="21"/>
      <c r="O16" s="19"/>
      <c r="P16" s="19"/>
      <c r="Q16" s="19"/>
      <c r="R16" s="19"/>
    </row>
    <row r="17">
      <c r="A17" s="22" t="s">
        <v>1068</v>
      </c>
      <c r="B17" s="21" t="s">
        <v>1632</v>
      </c>
      <c r="C17" s="21" t="s">
        <v>28</v>
      </c>
      <c r="D17" s="21" t="s">
        <v>341</v>
      </c>
      <c r="E17" s="24">
        <f>+251944142258</f>
        <v>251944142258</v>
      </c>
      <c r="F17" s="21" t="s">
        <v>33</v>
      </c>
      <c r="G17" s="21" t="s">
        <v>65</v>
      </c>
      <c r="H17" s="19" t="s">
        <v>4295</v>
      </c>
      <c r="I17" s="20"/>
      <c r="J17" s="21"/>
      <c r="K17" s="21"/>
      <c r="L17" s="21"/>
      <c r="M17" s="21"/>
      <c r="N17" s="21"/>
      <c r="O17" s="21"/>
      <c r="P17" s="21"/>
      <c r="Q17" s="21"/>
      <c r="R17" s="21"/>
    </row>
    <row r="18">
      <c r="A18" s="22" t="s">
        <v>1068</v>
      </c>
      <c r="B18" s="21" t="s">
        <v>1638</v>
      </c>
      <c r="C18" s="21" t="s">
        <v>1639</v>
      </c>
      <c r="D18" s="21" t="s">
        <v>1640</v>
      </c>
      <c r="E18" s="24">
        <f>+251923735867</f>
        <v>251923735867</v>
      </c>
      <c r="F18" s="21" t="s">
        <v>33</v>
      </c>
      <c r="G18" s="21" t="s">
        <v>65</v>
      </c>
      <c r="H18" s="19" t="s">
        <v>4295</v>
      </c>
      <c r="I18" s="20"/>
      <c r="J18" s="21"/>
      <c r="K18" s="21"/>
      <c r="L18" s="21"/>
      <c r="M18" s="21"/>
      <c r="N18" s="21"/>
      <c r="O18" s="21"/>
      <c r="P18" s="21"/>
      <c r="Q18" s="21"/>
      <c r="R18" s="21"/>
    </row>
    <row r="19">
      <c r="A19" s="22" t="s">
        <v>1068</v>
      </c>
      <c r="B19" s="21" t="s">
        <v>1641</v>
      </c>
      <c r="C19" s="21" t="s">
        <v>1642</v>
      </c>
      <c r="D19" s="21" t="s">
        <v>108</v>
      </c>
      <c r="E19" s="24">
        <v>9.47355515E8</v>
      </c>
      <c r="F19" s="21" t="s">
        <v>33</v>
      </c>
      <c r="G19" s="21" t="s">
        <v>34</v>
      </c>
      <c r="H19" s="19" t="s">
        <v>4295</v>
      </c>
      <c r="I19" s="20"/>
      <c r="J19" s="21"/>
      <c r="K19" s="21"/>
      <c r="L19" s="21"/>
      <c r="M19" s="21"/>
      <c r="N19" s="21"/>
      <c r="O19" s="21"/>
      <c r="P19" s="21"/>
      <c r="Q19" s="21"/>
      <c r="R19" s="21"/>
    </row>
    <row r="20">
      <c r="A20" s="22" t="s">
        <v>1068</v>
      </c>
      <c r="B20" s="1" t="s">
        <v>3139</v>
      </c>
      <c r="C20" s="1" t="s">
        <v>3140</v>
      </c>
      <c r="D20" s="1" t="s">
        <v>3141</v>
      </c>
      <c r="E20" s="2">
        <f>+251949240118</f>
        <v>251949240118</v>
      </c>
      <c r="F20" s="1" t="s">
        <v>26</v>
      </c>
      <c r="H20" s="19" t="s">
        <v>4236</v>
      </c>
      <c r="I20" s="20"/>
      <c r="J20" s="21"/>
      <c r="K20" s="21"/>
      <c r="L20" s="21"/>
      <c r="M20" s="21"/>
      <c r="N20" s="21"/>
      <c r="O20" s="21"/>
      <c r="P20" s="21"/>
      <c r="Q20" s="21"/>
      <c r="R20" s="21"/>
    </row>
    <row r="21">
      <c r="A21" s="22" t="s">
        <v>1068</v>
      </c>
      <c r="B21" s="1" t="s">
        <v>3142</v>
      </c>
      <c r="C21" s="1" t="s">
        <v>3143</v>
      </c>
      <c r="D21" s="1" t="s">
        <v>3144</v>
      </c>
      <c r="E21" s="2">
        <f>+251911588915</f>
        <v>251911588915</v>
      </c>
      <c r="F21" s="1" t="s">
        <v>26</v>
      </c>
      <c r="H21" s="19" t="s">
        <v>4236</v>
      </c>
      <c r="I21" s="20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>
      <c r="A22" s="22" t="s">
        <v>1068</v>
      </c>
      <c r="B22" s="1" t="s">
        <v>3145</v>
      </c>
      <c r="C22" s="1" t="s">
        <v>1899</v>
      </c>
      <c r="D22" s="1" t="s">
        <v>363</v>
      </c>
      <c r="E22" s="2">
        <f>+251919594431</f>
        <v>251919594431</v>
      </c>
      <c r="F22" s="1" t="s">
        <v>26</v>
      </c>
      <c r="H22" s="19" t="s">
        <v>4236</v>
      </c>
      <c r="I22" s="20"/>
      <c r="J22" s="21"/>
      <c r="K22" s="21"/>
      <c r="L22" s="21"/>
      <c r="M22" s="21"/>
      <c r="N22" s="21"/>
      <c r="O22" s="21"/>
      <c r="P22" s="21"/>
      <c r="Q22" s="21"/>
      <c r="R22" s="21"/>
    </row>
    <row r="23">
      <c r="A23" s="22" t="s">
        <v>1068</v>
      </c>
      <c r="B23" s="1" t="s">
        <v>3146</v>
      </c>
      <c r="C23" s="1" t="s">
        <v>129</v>
      </c>
      <c r="D23" s="1" t="s">
        <v>3147</v>
      </c>
      <c r="E23" s="2">
        <f>+251951075203</f>
        <v>251951075203</v>
      </c>
      <c r="F23" s="1" t="s">
        <v>26</v>
      </c>
      <c r="H23" s="19" t="s">
        <v>4236</v>
      </c>
      <c r="I23" s="20"/>
      <c r="J23" s="21"/>
      <c r="K23" s="21"/>
      <c r="L23" s="21"/>
      <c r="M23" s="21"/>
      <c r="N23" s="21"/>
      <c r="O23" s="21"/>
      <c r="P23" s="21"/>
      <c r="Q23" s="21"/>
      <c r="R23" s="21"/>
    </row>
    <row r="24">
      <c r="A24" s="22" t="s">
        <v>1068</v>
      </c>
      <c r="B24" s="1" t="s">
        <v>3148</v>
      </c>
      <c r="C24" s="1" t="s">
        <v>3149</v>
      </c>
      <c r="D24" s="1" t="s">
        <v>3150</v>
      </c>
      <c r="E24" s="2">
        <f>+251972818384</f>
        <v>251972818384</v>
      </c>
      <c r="F24" s="1" t="s">
        <v>26</v>
      </c>
      <c r="H24" s="19" t="s">
        <v>4236</v>
      </c>
      <c r="I24" s="20"/>
      <c r="J24" s="21"/>
      <c r="K24" s="21"/>
      <c r="L24" s="21"/>
      <c r="M24" s="21"/>
      <c r="N24" s="21"/>
      <c r="O24" s="21"/>
      <c r="P24" s="21"/>
      <c r="Q24" s="21"/>
      <c r="R24" s="21"/>
    </row>
    <row r="25">
      <c r="A25" s="22" t="s">
        <v>1068</v>
      </c>
      <c r="B25" s="1" t="s">
        <v>3151</v>
      </c>
      <c r="C25" s="1" t="s">
        <v>3152</v>
      </c>
      <c r="D25" s="1" t="s">
        <v>3153</v>
      </c>
      <c r="E25" s="1">
        <v>9.73067273E8</v>
      </c>
      <c r="F25" s="1" t="s">
        <v>26</v>
      </c>
      <c r="H25" s="19" t="s">
        <v>4236</v>
      </c>
      <c r="I25" s="20"/>
      <c r="J25" s="21"/>
      <c r="K25" s="21"/>
      <c r="L25" s="21"/>
      <c r="M25" s="21"/>
      <c r="N25" s="21"/>
      <c r="O25" s="21"/>
      <c r="P25" s="21"/>
      <c r="Q25" s="21"/>
      <c r="R25" s="21"/>
    </row>
    <row r="26">
      <c r="A26" s="22" t="s">
        <v>1068</v>
      </c>
      <c r="B26" s="1" t="s">
        <v>3154</v>
      </c>
      <c r="C26" s="1" t="s">
        <v>764</v>
      </c>
      <c r="D26" s="1" t="s">
        <v>3155</v>
      </c>
      <c r="E26" s="2">
        <f>+251911198840</f>
        <v>251911198840</v>
      </c>
      <c r="F26" s="1" t="s">
        <v>26</v>
      </c>
      <c r="H26" s="19" t="s">
        <v>4236</v>
      </c>
      <c r="I26" s="20"/>
      <c r="J26" s="21"/>
      <c r="K26" s="21"/>
      <c r="L26" s="21"/>
      <c r="M26" s="21"/>
      <c r="N26" s="21"/>
      <c r="O26" s="21"/>
      <c r="P26" s="21"/>
      <c r="Q26" s="21"/>
      <c r="R26" s="21"/>
    </row>
    <row r="27">
      <c r="A27" s="22" t="s">
        <v>1068</v>
      </c>
      <c r="B27" s="1" t="s">
        <v>3156</v>
      </c>
      <c r="C27" s="1" t="s">
        <v>3157</v>
      </c>
      <c r="D27" s="1" t="s">
        <v>1237</v>
      </c>
      <c r="E27" s="2">
        <f>+251907361111</f>
        <v>251907361111</v>
      </c>
      <c r="F27" s="1" t="s">
        <v>26</v>
      </c>
      <c r="H27" s="19" t="s">
        <v>4236</v>
      </c>
      <c r="I27" s="20"/>
      <c r="J27" s="21"/>
      <c r="K27" s="21"/>
      <c r="L27" s="21"/>
      <c r="M27" s="21"/>
      <c r="N27" s="21"/>
      <c r="O27" s="21"/>
      <c r="P27" s="21"/>
      <c r="Q27" s="21"/>
      <c r="R27" s="21"/>
    </row>
    <row r="28">
      <c r="A28" s="22" t="s">
        <v>1068</v>
      </c>
      <c r="B28" s="1" t="s">
        <v>3158</v>
      </c>
      <c r="C28" s="1" t="s">
        <v>792</v>
      </c>
      <c r="D28" s="1" t="s">
        <v>3159</v>
      </c>
      <c r="E28" s="2">
        <f>+251919256104</f>
        <v>251919256104</v>
      </c>
      <c r="F28" s="1" t="s">
        <v>26</v>
      </c>
      <c r="H28" s="19" t="s">
        <v>4236</v>
      </c>
      <c r="I28" s="20"/>
      <c r="J28" s="19"/>
      <c r="K28" s="21"/>
      <c r="L28" s="19"/>
      <c r="M28" s="19"/>
      <c r="N28" s="21"/>
      <c r="O28" s="19"/>
      <c r="P28" s="19"/>
      <c r="Q28" s="19"/>
      <c r="R28" s="19"/>
    </row>
    <row r="29">
      <c r="A29" s="22" t="s">
        <v>1068</v>
      </c>
      <c r="B29" s="1" t="s">
        <v>3160</v>
      </c>
      <c r="C29" s="1" t="s">
        <v>151</v>
      </c>
      <c r="D29" s="1" t="s">
        <v>2192</v>
      </c>
      <c r="E29" s="2">
        <f>+251944232114</f>
        <v>251944232114</v>
      </c>
      <c r="F29" s="1" t="s">
        <v>26</v>
      </c>
      <c r="H29" s="19" t="s">
        <v>4236</v>
      </c>
      <c r="I29" s="20"/>
      <c r="J29" s="21"/>
      <c r="K29" s="21"/>
      <c r="L29" s="21"/>
      <c r="M29" s="21"/>
      <c r="N29" s="21"/>
      <c r="O29" s="21"/>
      <c r="P29" s="21"/>
      <c r="Q29" s="21"/>
      <c r="R29" s="21"/>
    </row>
    <row r="30">
      <c r="A30" s="22" t="s">
        <v>1068</v>
      </c>
      <c r="B30" s="1" t="s">
        <v>3161</v>
      </c>
      <c r="C30" s="1" t="s">
        <v>3162</v>
      </c>
      <c r="D30" s="1" t="s">
        <v>1374</v>
      </c>
      <c r="E30" s="2">
        <f>+251910427620</f>
        <v>251910427620</v>
      </c>
      <c r="F30" s="1" t="s">
        <v>26</v>
      </c>
      <c r="H30" s="19" t="s">
        <v>4236</v>
      </c>
      <c r="I30" s="20"/>
      <c r="J30" s="21"/>
      <c r="K30" s="21"/>
      <c r="L30" s="21"/>
      <c r="M30" s="21"/>
      <c r="N30" s="21"/>
      <c r="O30" s="21"/>
      <c r="P30" s="21"/>
      <c r="Q30" s="21"/>
      <c r="R30" s="21"/>
    </row>
    <row r="31">
      <c r="A31" s="22" t="s">
        <v>1068</v>
      </c>
      <c r="B31" s="1" t="s">
        <v>3163</v>
      </c>
      <c r="C31" s="1" t="s">
        <v>151</v>
      </c>
      <c r="D31" s="1" t="s">
        <v>189</v>
      </c>
      <c r="E31" s="2">
        <f>+251980331605</f>
        <v>251980331605</v>
      </c>
      <c r="F31" s="1" t="s">
        <v>26</v>
      </c>
      <c r="H31" s="19" t="s">
        <v>4236</v>
      </c>
      <c r="I31" s="20"/>
      <c r="J31" s="21"/>
      <c r="K31" s="21"/>
      <c r="L31" s="21"/>
      <c r="M31" s="21"/>
      <c r="N31" s="21"/>
      <c r="O31" s="21"/>
      <c r="P31" s="21"/>
      <c r="Q31" s="21"/>
      <c r="R31" s="21"/>
    </row>
    <row r="32">
      <c r="A32" s="22"/>
      <c r="H32" s="19"/>
      <c r="I32" s="20"/>
      <c r="J32" s="21"/>
      <c r="K32" s="21"/>
      <c r="L32" s="21"/>
      <c r="M32" s="21"/>
      <c r="N32" s="21"/>
      <c r="O32" s="21"/>
      <c r="P32" s="21"/>
      <c r="Q32" s="21"/>
      <c r="R32" s="21"/>
    </row>
    <row r="33">
      <c r="A33" s="22"/>
      <c r="H33" s="19"/>
      <c r="I33" s="20"/>
      <c r="J33" s="21"/>
      <c r="K33" s="21"/>
      <c r="L33" s="21"/>
      <c r="M33" s="21"/>
      <c r="N33" s="21"/>
      <c r="O33" s="21"/>
      <c r="P33" s="21"/>
      <c r="Q33" s="21"/>
      <c r="R33" s="21"/>
    </row>
    <row r="34">
      <c r="A34" s="22"/>
      <c r="H34" s="19"/>
      <c r="I34" s="20"/>
      <c r="J34" s="21"/>
      <c r="K34" s="21"/>
      <c r="L34" s="21"/>
      <c r="M34" s="21"/>
      <c r="N34" s="21"/>
      <c r="O34" s="21"/>
      <c r="P34" s="21"/>
      <c r="Q34" s="21"/>
      <c r="R34" s="21"/>
    </row>
    <row r="35">
      <c r="A35" s="18"/>
      <c r="H35" s="21"/>
      <c r="I35" s="27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18"/>
      <c r="H36" s="21"/>
      <c r="I36" s="27"/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18"/>
      <c r="H37" s="21"/>
      <c r="I37" s="27"/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18"/>
      <c r="H38" s="21"/>
      <c r="I38" s="27"/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18"/>
      <c r="H39" s="21"/>
      <c r="I39" s="27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18"/>
      <c r="H40" s="21"/>
      <c r="I40" s="27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18"/>
      <c r="H41" s="21"/>
      <c r="I41" s="27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18"/>
      <c r="H42" s="21"/>
      <c r="I42" s="27"/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18"/>
      <c r="H43" s="21"/>
      <c r="I43" s="27"/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18"/>
      <c r="B44" s="21"/>
      <c r="C44" s="21"/>
      <c r="D44" s="21"/>
      <c r="E44" s="24"/>
      <c r="F44" s="21"/>
      <c r="G44" s="21"/>
      <c r="H44" s="21"/>
      <c r="I44" s="27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18"/>
      <c r="B45" s="21"/>
      <c r="C45" s="21"/>
      <c r="D45" s="21"/>
      <c r="E45" s="24"/>
      <c r="F45" s="21"/>
      <c r="G45" s="21"/>
      <c r="H45" s="21"/>
      <c r="I45" s="27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18"/>
      <c r="B46" s="21"/>
      <c r="C46" s="21"/>
      <c r="D46" s="21"/>
      <c r="E46" s="24"/>
      <c r="F46" s="21"/>
      <c r="G46" s="21"/>
      <c r="H46" s="21"/>
      <c r="I46" s="27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18"/>
      <c r="B47" s="21"/>
      <c r="C47" s="21"/>
      <c r="D47" s="21"/>
      <c r="E47" s="24"/>
      <c r="F47" s="21"/>
      <c r="G47" s="21"/>
      <c r="H47" s="21"/>
      <c r="I47" s="27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18"/>
      <c r="B48" s="21"/>
      <c r="C48" s="21"/>
      <c r="D48" s="21"/>
      <c r="E48" s="24"/>
      <c r="F48" s="21"/>
      <c r="G48" s="21"/>
      <c r="H48" s="21"/>
      <c r="I48" s="27"/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18"/>
      <c r="B49" s="21"/>
      <c r="C49" s="21"/>
      <c r="D49" s="21"/>
      <c r="E49" s="24"/>
      <c r="F49" s="21"/>
      <c r="G49" s="21"/>
      <c r="H49" s="21"/>
      <c r="I49" s="27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18"/>
      <c r="B50" s="21"/>
      <c r="C50" s="21"/>
      <c r="D50" s="21"/>
      <c r="E50" s="24"/>
      <c r="F50" s="21"/>
      <c r="G50" s="21"/>
      <c r="H50" s="21"/>
      <c r="I50" s="27"/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18"/>
      <c r="B51" s="21"/>
      <c r="C51" s="21"/>
      <c r="D51" s="21"/>
      <c r="E51" s="24"/>
      <c r="F51" s="21"/>
      <c r="G51" s="21"/>
      <c r="H51" s="21"/>
      <c r="I51" s="27"/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