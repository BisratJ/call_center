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E C8" sheetId="1" r:id="rId4"/>
    <sheet state="hidden" name="BE C8" sheetId="2" r:id="rId5"/>
    <sheet state="visible" name="Nati" sheetId="3" r:id="rId6"/>
    <sheet state="hidden" name="DS C6" sheetId="4" r:id="rId7"/>
    <sheet state="visible" name="Yoseph" sheetId="5" r:id="rId8"/>
    <sheet state="visible" name="Dagmawi" sheetId="6" r:id="rId9"/>
    <sheet state="hidden" name="DA C10" sheetId="7" r:id="rId10"/>
    <sheet state="hidden" name="i" sheetId="8" r:id="rId11"/>
  </sheets>
  <definedNames/>
  <calcPr/>
</workbook>
</file>

<file path=xl/sharedStrings.xml><?xml version="1.0" encoding="utf-8"?>
<sst xmlns="http://schemas.openxmlformats.org/spreadsheetml/2006/main" count="9019" uniqueCount="3320">
  <si>
    <t>email</t>
  </si>
  <si>
    <t>first name</t>
  </si>
  <si>
    <t>last name</t>
  </si>
  <si>
    <t>phone</t>
  </si>
  <si>
    <t>status</t>
  </si>
  <si>
    <t>current step</t>
  </si>
  <si>
    <t>city of residence</t>
  </si>
  <si>
    <t>gender</t>
  </si>
  <si>
    <t>age</t>
  </si>
  <si>
    <t>girmanahaileslassie@gmail.com</t>
  </si>
  <si>
    <t>Girma</t>
  </si>
  <si>
    <t>Haileslassie</t>
  </si>
  <si>
    <t>+251902534669</t>
  </si>
  <si>
    <t>passed</t>
  </si>
  <si>
    <t>Addis Ababa</t>
  </si>
  <si>
    <t>Male</t>
  </si>
  <si>
    <t>eldana.chane@aastustudent.edu.et</t>
  </si>
  <si>
    <t>Eldana</t>
  </si>
  <si>
    <t>Ali</t>
  </si>
  <si>
    <t>+251906374748</t>
  </si>
  <si>
    <t>Female</t>
  </si>
  <si>
    <t>matiwosteferi@gmail.com</t>
  </si>
  <si>
    <t>Matiwos</t>
  </si>
  <si>
    <t>Teferi</t>
  </si>
  <si>
    <t>+251910504252</t>
  </si>
  <si>
    <t>wasihunb@du.edu.et</t>
  </si>
  <si>
    <t>Wasihun Baye</t>
  </si>
  <si>
    <t>Birhanu</t>
  </si>
  <si>
    <t>+251919434893</t>
  </si>
  <si>
    <t>redietlemecha2@gmail.com</t>
  </si>
  <si>
    <t>Rediet</t>
  </si>
  <si>
    <t>sisay</t>
  </si>
  <si>
    <t>+251949626619</t>
  </si>
  <si>
    <t>sifentesfaye95@gmail.com</t>
  </si>
  <si>
    <t>sifen</t>
  </si>
  <si>
    <t>tesfaye</t>
  </si>
  <si>
    <t>+251953732120</t>
  </si>
  <si>
    <t>ritaeyob0@gmail.com</t>
  </si>
  <si>
    <t>Rahel</t>
  </si>
  <si>
    <t>Eyob</t>
  </si>
  <si>
    <t>+251961157230</t>
  </si>
  <si>
    <t>yoseflamaro@gmail.com</t>
  </si>
  <si>
    <t>Yosef</t>
  </si>
  <si>
    <t>Lamago</t>
  </si>
  <si>
    <t>+251969609282</t>
  </si>
  <si>
    <t>sihambirhanu751@gmail.com</t>
  </si>
  <si>
    <t>siham</t>
  </si>
  <si>
    <t>bogale</t>
  </si>
  <si>
    <t>+251973637000</t>
  </si>
  <si>
    <t>olidab@gmail.com</t>
  </si>
  <si>
    <t>Olantu</t>
  </si>
  <si>
    <t>Dabesa</t>
  </si>
  <si>
    <t>+251973704069</t>
  </si>
  <si>
    <t>olidab98@gmail.com</t>
  </si>
  <si>
    <t>akssahun5145@gmail.com</t>
  </si>
  <si>
    <t>Abel</t>
  </si>
  <si>
    <t>kassahun</t>
  </si>
  <si>
    <t>+251979272313</t>
  </si>
  <si>
    <t>ahmedhusmk@gmail.com</t>
  </si>
  <si>
    <t>Ahmed</t>
  </si>
  <si>
    <t>Mekonnen</t>
  </si>
  <si>
    <t>+251984746051</t>
  </si>
  <si>
    <t>hermonbisrat22@gmail.com</t>
  </si>
  <si>
    <t>HERMON</t>
  </si>
  <si>
    <t>BISRAT</t>
  </si>
  <si>
    <t>+251708104013</t>
  </si>
  <si>
    <t>in progress</t>
  </si>
  <si>
    <t>Qualification</t>
  </si>
  <si>
    <t>ahmedmohammedkiar2@gmail.com</t>
  </si>
  <si>
    <t>Mohammed</t>
  </si>
  <si>
    <t>+251714367176</t>
  </si>
  <si>
    <t>Program Overview</t>
  </si>
  <si>
    <t>abdoeman1216@gmail.con</t>
  </si>
  <si>
    <t>Eman</t>
  </si>
  <si>
    <t>Abdo</t>
  </si>
  <si>
    <t>+251900680809</t>
  </si>
  <si>
    <t>Personal Information</t>
  </si>
  <si>
    <t>hailemariamedom6723@gmail.com</t>
  </si>
  <si>
    <t>Edom</t>
  </si>
  <si>
    <t>Mulugeta</t>
  </si>
  <si>
    <t>+251901216723</t>
  </si>
  <si>
    <t>henekkebede@gmail.com</t>
  </si>
  <si>
    <t>Henok</t>
  </si>
  <si>
    <t>Abate</t>
  </si>
  <si>
    <t>+251904178100</t>
  </si>
  <si>
    <t>Bishoftu</t>
  </si>
  <si>
    <t>hannahbekele21@gmail.com</t>
  </si>
  <si>
    <t>hanna</t>
  </si>
  <si>
    <t>bekele</t>
  </si>
  <si>
    <t>+251904695221</t>
  </si>
  <si>
    <t>Humanitarian Status</t>
  </si>
  <si>
    <t>jgebeyew@gmail.com</t>
  </si>
  <si>
    <t>Jerusalem</t>
  </si>
  <si>
    <t>gebeyew</t>
  </si>
  <si>
    <t>+251908593316</t>
  </si>
  <si>
    <t>Start Your Registration</t>
  </si>
  <si>
    <t>segni.girma@a2sv.org</t>
  </si>
  <si>
    <t>Segni</t>
  </si>
  <si>
    <t>+251909021537</t>
  </si>
  <si>
    <t>heavenalemudncr@gmail.com</t>
  </si>
  <si>
    <t>Heaven</t>
  </si>
  <si>
    <t>Alemu</t>
  </si>
  <si>
    <t>+251909544756</t>
  </si>
  <si>
    <t>ethiop748@gmail.com</t>
  </si>
  <si>
    <t>Ermiyas</t>
  </si>
  <si>
    <t>Maru</t>
  </si>
  <si>
    <t>+251909780134</t>
  </si>
  <si>
    <t>bira6531@gmail.com</t>
  </si>
  <si>
    <t>Bira</t>
  </si>
  <si>
    <t>Feyisa</t>
  </si>
  <si>
    <t>+251910355274</t>
  </si>
  <si>
    <t>reshidhydr@gmail.com</t>
  </si>
  <si>
    <t>Reshid</t>
  </si>
  <si>
    <t>Abdella</t>
  </si>
  <si>
    <t>+251911073274</t>
  </si>
  <si>
    <t>abyallewyohannes11@gmail.com</t>
  </si>
  <si>
    <t>Abyallew</t>
  </si>
  <si>
    <t>Yohannes</t>
  </si>
  <si>
    <t>+251911138559</t>
  </si>
  <si>
    <t>tsegaanberber07@gmail.com</t>
  </si>
  <si>
    <t>Tsega</t>
  </si>
  <si>
    <t>Kiros</t>
  </si>
  <si>
    <t>+251912140829</t>
  </si>
  <si>
    <t>12admas21@gmail.com</t>
  </si>
  <si>
    <t>Admas</t>
  </si>
  <si>
    <t>+251912225753</t>
  </si>
  <si>
    <t>vetm37@gmail.com</t>
  </si>
  <si>
    <t>Seid</t>
  </si>
  <si>
    <t>+251913913434</t>
  </si>
  <si>
    <t>Application Consent and Agreement</t>
  </si>
  <si>
    <t>Dessie</t>
  </si>
  <si>
    <t>abyalewtetsafe@gmail.com</t>
  </si>
  <si>
    <t>Abyalew</t>
  </si>
  <si>
    <t>Tetsafe</t>
  </si>
  <si>
    <t>+251915270679</t>
  </si>
  <si>
    <t>iam.mohame123@hotmail.com</t>
  </si>
  <si>
    <t>Mohamed</t>
  </si>
  <si>
    <t>Hassen</t>
  </si>
  <si>
    <t>+251915532291</t>
  </si>
  <si>
    <t>endalamawmolla17@gmail.com</t>
  </si>
  <si>
    <t>Endalamaw</t>
  </si>
  <si>
    <t>Molla</t>
  </si>
  <si>
    <t>+251917180279</t>
  </si>
  <si>
    <t>mengestaroman@gmail.com</t>
  </si>
  <si>
    <t>Roman</t>
  </si>
  <si>
    <t>Andualem</t>
  </si>
  <si>
    <t>+251919184599</t>
  </si>
  <si>
    <t>habtamufilku@gmail.com</t>
  </si>
  <si>
    <t>Habtamu</t>
  </si>
  <si>
    <t>tegeng</t>
  </si>
  <si>
    <t>+251921482073</t>
  </si>
  <si>
    <t>Dire Dawa</t>
  </si>
  <si>
    <t>mekidesfikr@gmail.com</t>
  </si>
  <si>
    <t>Mekides</t>
  </si>
  <si>
    <t>Derbie</t>
  </si>
  <si>
    <t>+251921752689</t>
  </si>
  <si>
    <t>ezan9511@gmail.com</t>
  </si>
  <si>
    <t>Ayele</t>
  </si>
  <si>
    <t>+251922427297</t>
  </si>
  <si>
    <t>yeabsra.t123@gmail.com</t>
  </si>
  <si>
    <t>Yeabsra</t>
  </si>
  <si>
    <t>Tefera</t>
  </si>
  <si>
    <t>+251925260516</t>
  </si>
  <si>
    <t>seeb1809@gmail.com</t>
  </si>
  <si>
    <t>SETEgn</t>
  </si>
  <si>
    <t>SEnare</t>
  </si>
  <si>
    <t>+251927156279</t>
  </si>
  <si>
    <t>abdurehimseidd@gmail.com</t>
  </si>
  <si>
    <t>Abdurehim</t>
  </si>
  <si>
    <t>Yasin</t>
  </si>
  <si>
    <t>+251928362959</t>
  </si>
  <si>
    <t>ahadu.akalu@aastustudent.edu.et</t>
  </si>
  <si>
    <t>Ahadu</t>
  </si>
  <si>
    <t>Akalu</t>
  </si>
  <si>
    <t>+251929121471</t>
  </si>
  <si>
    <t>alemunatnael95@gmail.com</t>
  </si>
  <si>
    <t>natnael</t>
  </si>
  <si>
    <t>alemu</t>
  </si>
  <si>
    <t>+251929141531</t>
  </si>
  <si>
    <t>wubishet132@gmail.com</t>
  </si>
  <si>
    <t>Wubishet</t>
  </si>
  <si>
    <t>Tamru</t>
  </si>
  <si>
    <t>+251930603105</t>
  </si>
  <si>
    <t>natifx901@gmail.com</t>
  </si>
  <si>
    <t>Natnael</t>
  </si>
  <si>
    <t>Mamush</t>
  </si>
  <si>
    <t>+251932189742</t>
  </si>
  <si>
    <t>adaneanjulo53@gmail.com</t>
  </si>
  <si>
    <t>ADANE</t>
  </si>
  <si>
    <t>ANJULO</t>
  </si>
  <si>
    <t>+251932562424</t>
  </si>
  <si>
    <t>dejendemeke57@gmail.com</t>
  </si>
  <si>
    <t>Dejen</t>
  </si>
  <si>
    <t>Tibiti</t>
  </si>
  <si>
    <t>+251933262424</t>
  </si>
  <si>
    <t>Gondar</t>
  </si>
  <si>
    <t>hgirma841@gmail.com</t>
  </si>
  <si>
    <t>haymanot</t>
  </si>
  <si>
    <t>teklemariam</t>
  </si>
  <si>
    <t>+251938046623</t>
  </si>
  <si>
    <t>Diversity &amp; Inclusion</t>
  </si>
  <si>
    <t>ermiasbishaw4@gmail.com</t>
  </si>
  <si>
    <t>Ermias</t>
  </si>
  <si>
    <t>Bishaw</t>
  </si>
  <si>
    <t>+251938195444</t>
  </si>
  <si>
    <t>Bahir Dar</t>
  </si>
  <si>
    <t>feyselmohammed041@gmail.com</t>
  </si>
  <si>
    <t>Feysel</t>
  </si>
  <si>
    <t>+251939790336</t>
  </si>
  <si>
    <t>hannakinfe2@gmail.com</t>
  </si>
  <si>
    <t>Hanna</t>
  </si>
  <si>
    <t>Lule</t>
  </si>
  <si>
    <t>+251940303334</t>
  </si>
  <si>
    <t>alhabesha995@gmail.com</t>
  </si>
  <si>
    <t>Yusuf</t>
  </si>
  <si>
    <t>+251941062208</t>
  </si>
  <si>
    <t>dagimfeyisa34@gmail.com</t>
  </si>
  <si>
    <t>Dagim</t>
  </si>
  <si>
    <t>Gudeta</t>
  </si>
  <si>
    <t>+251942030046</t>
  </si>
  <si>
    <t>misrachbelay@gmail.com</t>
  </si>
  <si>
    <t>Misrach</t>
  </si>
  <si>
    <t>Belay</t>
  </si>
  <si>
    <t>+251942232731</t>
  </si>
  <si>
    <t>yaziemulie17@gmail.com</t>
  </si>
  <si>
    <t>yazie</t>
  </si>
  <si>
    <t>mulie</t>
  </si>
  <si>
    <t>+251942865019</t>
  </si>
  <si>
    <t>samuelabenezer070@gmail.com</t>
  </si>
  <si>
    <t>Abenezer</t>
  </si>
  <si>
    <t>Samuel</t>
  </si>
  <si>
    <t>+251943105398</t>
  </si>
  <si>
    <t>nardoshaile06@gmail.com</t>
  </si>
  <si>
    <t>Nardos</t>
  </si>
  <si>
    <t>Wubeneh</t>
  </si>
  <si>
    <t>+251943259430</t>
  </si>
  <si>
    <t>fifiyirdaw@gmail.com</t>
  </si>
  <si>
    <t>FIKER</t>
  </si>
  <si>
    <t>YIRDAW</t>
  </si>
  <si>
    <t>+251944344317</t>
  </si>
  <si>
    <t>aseid9114@gmail.com</t>
  </si>
  <si>
    <t>Arage</t>
  </si>
  <si>
    <t>+251945709114</t>
  </si>
  <si>
    <t>matusalasana@gmail.com</t>
  </si>
  <si>
    <t>Sana</t>
  </si>
  <si>
    <t>Matusala</t>
  </si>
  <si>
    <t>+251945807386</t>
  </si>
  <si>
    <t>rewinagmeles@gmail.com</t>
  </si>
  <si>
    <t>Rewina</t>
  </si>
  <si>
    <t>Meles</t>
  </si>
  <si>
    <t>+251946413396</t>
  </si>
  <si>
    <t>rodasabera577@gmail.com</t>
  </si>
  <si>
    <t>Rodas</t>
  </si>
  <si>
    <t>Abera</t>
  </si>
  <si>
    <t>+251949989925</t>
  </si>
  <si>
    <t>workineshwolde5186@gmail.com</t>
  </si>
  <si>
    <t>Yeabsira</t>
  </si>
  <si>
    <t>WeldeMariam</t>
  </si>
  <si>
    <t>+251951302554</t>
  </si>
  <si>
    <t>jominial0@gmail.com</t>
  </si>
  <si>
    <t>Sisay</t>
  </si>
  <si>
    <t>+251955975426</t>
  </si>
  <si>
    <t>jowicreatives@gmail.com</t>
  </si>
  <si>
    <t>Jowi</t>
  </si>
  <si>
    <t>Hailue</t>
  </si>
  <si>
    <t>+251960124908</t>
  </si>
  <si>
    <t>chalabelay74@gmail.com</t>
  </si>
  <si>
    <t>Chala</t>
  </si>
  <si>
    <t>+251963375940</t>
  </si>
  <si>
    <t>kenaulfata584@gmail.com</t>
  </si>
  <si>
    <t>Kena</t>
  </si>
  <si>
    <t>Ulfata</t>
  </si>
  <si>
    <t>+251965248541</t>
  </si>
  <si>
    <t>aberabante96@gmail.com</t>
  </si>
  <si>
    <t>Bante</t>
  </si>
  <si>
    <t>Abebe</t>
  </si>
  <si>
    <t>+251966587521</t>
  </si>
  <si>
    <t>hailumeron03@gmail.com</t>
  </si>
  <si>
    <t>meron</t>
  </si>
  <si>
    <t>hailu</t>
  </si>
  <si>
    <t>+251967747310</t>
  </si>
  <si>
    <t>yabuggirma@gmail.com</t>
  </si>
  <si>
    <t>Yeabtsega</t>
  </si>
  <si>
    <t>Tilahun</t>
  </si>
  <si>
    <t>+251969121401</t>
  </si>
  <si>
    <t>hayuahm61@gmail.com</t>
  </si>
  <si>
    <t>Hayat</t>
  </si>
  <si>
    <t>+251969566216</t>
  </si>
  <si>
    <t>ananiyatessema123@gmail.com</t>
  </si>
  <si>
    <t>Ananiya</t>
  </si>
  <si>
    <t>Hylemaryam</t>
  </si>
  <si>
    <t>+251970231104</t>
  </si>
  <si>
    <t>tewodrossimeneh11@gmail.com</t>
  </si>
  <si>
    <t>Tewodros</t>
  </si>
  <si>
    <t>simeneh</t>
  </si>
  <si>
    <t>+251970981944</t>
  </si>
  <si>
    <t>zewdienahom@gmail.com</t>
  </si>
  <si>
    <t>NAHOM</t>
  </si>
  <si>
    <t>ABERA</t>
  </si>
  <si>
    <t>+251973168688</t>
  </si>
  <si>
    <t>dagagadasta09@gmail.com</t>
  </si>
  <si>
    <t>Degaga</t>
  </si>
  <si>
    <t>Desta</t>
  </si>
  <si>
    <t>+251974285820</t>
  </si>
  <si>
    <t>elijahsoll079@gmail.com</t>
  </si>
  <si>
    <t>Elias</t>
  </si>
  <si>
    <t>Kasa</t>
  </si>
  <si>
    <t>+251976611547</t>
  </si>
  <si>
    <t>yosephbiruk20@gmail.com</t>
  </si>
  <si>
    <t>Biruk</t>
  </si>
  <si>
    <t>Liranso</t>
  </si>
  <si>
    <t>+251977214005</t>
  </si>
  <si>
    <t>anaol.atinafu-ug@aau.edu.et</t>
  </si>
  <si>
    <t>Anaol</t>
  </si>
  <si>
    <t>Atinafu</t>
  </si>
  <si>
    <t>+251978967912</t>
  </si>
  <si>
    <t>tsionlegesse0@gmail.com</t>
  </si>
  <si>
    <t>Tsion</t>
  </si>
  <si>
    <t>mulu</t>
  </si>
  <si>
    <t>+251980292336</t>
  </si>
  <si>
    <t>hanagebremedhin2019@gmail.com</t>
  </si>
  <si>
    <t>Hana</t>
  </si>
  <si>
    <t>Gebremedhin</t>
  </si>
  <si>
    <t>+251980630346</t>
  </si>
  <si>
    <t>nahomawoke7@gmail.com</t>
  </si>
  <si>
    <t>Nahom</t>
  </si>
  <si>
    <t>Kassaye</t>
  </si>
  <si>
    <t>+251983039018</t>
  </si>
  <si>
    <t>davidbeckahm333@gmail.com</t>
  </si>
  <si>
    <t>Bekam</t>
  </si>
  <si>
    <t>Dawit</t>
  </si>
  <si>
    <t>+251983713126</t>
  </si>
  <si>
    <t>dianaendashaw180@gmail.com</t>
  </si>
  <si>
    <t>diana</t>
  </si>
  <si>
    <t>kurfa</t>
  </si>
  <si>
    <t>+251984672672</t>
  </si>
  <si>
    <t>amirfaysel1133@gmail.com</t>
  </si>
  <si>
    <t>Amir</t>
  </si>
  <si>
    <t>Abamecha</t>
  </si>
  <si>
    <t>+251984718176</t>
  </si>
  <si>
    <t>tsedenawit3@gmail.com</t>
  </si>
  <si>
    <t>Tsedenawit</t>
  </si>
  <si>
    <t>Lemma</t>
  </si>
  <si>
    <t>+251984791377</t>
  </si>
  <si>
    <t>natib5996@gmail.com</t>
  </si>
  <si>
    <t>Natnael Belay</t>
  </si>
  <si>
    <t>Tsegaye</t>
  </si>
  <si>
    <t>+251985236045</t>
  </si>
  <si>
    <t>ammarmufti22@gmail.com</t>
  </si>
  <si>
    <t>Ammar</t>
  </si>
  <si>
    <t>+251986994385</t>
  </si>
  <si>
    <t>undefined</t>
  </si>
  <si>
    <t>dawittsion45@gmail.com</t>
  </si>
  <si>
    <t>+251987070964</t>
  </si>
  <si>
    <t>biniyamgetahun46@gmail.com</t>
  </si>
  <si>
    <t>Biniyam</t>
  </si>
  <si>
    <t>Mara</t>
  </si>
  <si>
    <t>+251987175912</t>
  </si>
  <si>
    <t>nabonialemayehu349@gmail.com</t>
  </si>
  <si>
    <t>Naboni</t>
  </si>
  <si>
    <t>Nesga</t>
  </si>
  <si>
    <t>+251988033340</t>
  </si>
  <si>
    <t>abelgirma92@gmail.com</t>
  </si>
  <si>
    <t>+251988132890</t>
  </si>
  <si>
    <t>menhem032@gmail.com</t>
  </si>
  <si>
    <t>Hemen</t>
  </si>
  <si>
    <t>Mengistu</t>
  </si>
  <si>
    <t>+251991846079</t>
  </si>
  <si>
    <t>elfevlalem@gmail.com</t>
  </si>
  <si>
    <t>Feven</t>
  </si>
  <si>
    <t>Gebremichael</t>
  </si>
  <si>
    <t>+251991853263</t>
  </si>
  <si>
    <t>betibetelhem010@gmail.com</t>
  </si>
  <si>
    <t>Bethelhem</t>
  </si>
  <si>
    <t>Sinshaw</t>
  </si>
  <si>
    <t>+251991968686</t>
  </si>
  <si>
    <t>tinsaejembere4@gmail.com</t>
  </si>
  <si>
    <t>Tinsae</t>
  </si>
  <si>
    <t>Jembere</t>
  </si>
  <si>
    <t>+251993890237</t>
  </si>
  <si>
    <t>semirayibro@gmail.com</t>
  </si>
  <si>
    <t>Semira</t>
  </si>
  <si>
    <t>Hussen</t>
  </si>
  <si>
    <t>+251994307095</t>
  </si>
  <si>
    <t>1amir.muhammed99@gmail.com</t>
  </si>
  <si>
    <t>Awol</t>
  </si>
  <si>
    <t>+251995068707</t>
  </si>
  <si>
    <t>abiyeasaye@gmail.com</t>
  </si>
  <si>
    <t>Abiye</t>
  </si>
  <si>
    <t>Kassa</t>
  </si>
  <si>
    <t>+79992086318</t>
  </si>
  <si>
    <t>lillianmulu@gmail.com</t>
  </si>
  <si>
    <t>Lily</t>
  </si>
  <si>
    <t>Teshome</t>
  </si>
  <si>
    <t>090 311 4414</t>
  </si>
  <si>
    <t>mohammedseid444@gmail.com</t>
  </si>
  <si>
    <t>+251703677535</t>
  </si>
  <si>
    <t>confirmed</t>
  </si>
  <si>
    <t>eldanakililu@gmail.com</t>
  </si>
  <si>
    <t>Legese</t>
  </si>
  <si>
    <t>+251705719473</t>
  </si>
  <si>
    <t>semira122004@gmail.com</t>
  </si>
  <si>
    <t>semira</t>
  </si>
  <si>
    <t>+251799443119</t>
  </si>
  <si>
    <t>abdullahtate3@gmail.com</t>
  </si>
  <si>
    <t>Abdulmenan</t>
  </si>
  <si>
    <t>Amin</t>
  </si>
  <si>
    <t>+251900049734</t>
  </si>
  <si>
    <t>elulishan42@gmail.com</t>
  </si>
  <si>
    <t>Hurisa</t>
  </si>
  <si>
    <t>+251900193874</t>
  </si>
  <si>
    <t>joeldereje00@gmail.com</t>
  </si>
  <si>
    <t>Eyuel</t>
  </si>
  <si>
    <t>Dereje</t>
  </si>
  <si>
    <t>+251900404862</t>
  </si>
  <si>
    <t>fan234566@gmail.com</t>
  </si>
  <si>
    <t>Fantahun</t>
  </si>
  <si>
    <t>Adam</t>
  </si>
  <si>
    <t>+251901113665</t>
  </si>
  <si>
    <t>melatlemma21@gmail.com</t>
  </si>
  <si>
    <t>Melat</t>
  </si>
  <si>
    <t>Demisie</t>
  </si>
  <si>
    <t>+251901206069</t>
  </si>
  <si>
    <t>yabsirahanne@gmail.com</t>
  </si>
  <si>
    <t>yabsira</t>
  </si>
  <si>
    <t>hanne</t>
  </si>
  <si>
    <t>+251901328461</t>
  </si>
  <si>
    <t>lehasetyohannes@gmail.com</t>
  </si>
  <si>
    <t>Lehaset</t>
  </si>
  <si>
    <t>+251901366030</t>
  </si>
  <si>
    <t>chuchugetnet21@gmail.com</t>
  </si>
  <si>
    <t>Yheyis</t>
  </si>
  <si>
    <t>Getnet</t>
  </si>
  <si>
    <t>+251901458393</t>
  </si>
  <si>
    <t>pesnasser2023@gmail.com</t>
  </si>
  <si>
    <t>Nasser</t>
  </si>
  <si>
    <t>+251902675322</t>
  </si>
  <si>
    <t>frontenddeveloperb451@gmail.com</t>
  </si>
  <si>
    <t>Bela</t>
  </si>
  <si>
    <t>Berihu</t>
  </si>
  <si>
    <t>+251903430059</t>
  </si>
  <si>
    <t>yekiberk@gmail.com</t>
  </si>
  <si>
    <t>Yekiber</t>
  </si>
  <si>
    <t>mengesha</t>
  </si>
  <si>
    <t>+251904188274</t>
  </si>
  <si>
    <t>kasahunalemayehu23@gmail.com</t>
  </si>
  <si>
    <t>Kasahun</t>
  </si>
  <si>
    <t>Alemayehu</t>
  </si>
  <si>
    <t>+251904199988</t>
  </si>
  <si>
    <t>museget14@gmail.com</t>
  </si>
  <si>
    <t>Muse</t>
  </si>
  <si>
    <t>Getachew</t>
  </si>
  <si>
    <t>+251905093441</t>
  </si>
  <si>
    <t>girma7575@gmail.com</t>
  </si>
  <si>
    <t>Gerawork</t>
  </si>
  <si>
    <t>+251905599969</t>
  </si>
  <si>
    <t>aymexo04@gmail.com</t>
  </si>
  <si>
    <t>AYMEN</t>
  </si>
  <si>
    <t>ABDULHAK</t>
  </si>
  <si>
    <t>+251905814454</t>
  </si>
  <si>
    <t>riseup.et@gmail.com</t>
  </si>
  <si>
    <t>Mahamed</t>
  </si>
  <si>
    <t>Alele</t>
  </si>
  <si>
    <t>+25190598589858</t>
  </si>
  <si>
    <t>biniyamgenanaw1@gmail.com</t>
  </si>
  <si>
    <t>senbeta</t>
  </si>
  <si>
    <t>+251906147803</t>
  </si>
  <si>
    <t>rasdarick@gmail.com</t>
  </si>
  <si>
    <t>Surafel</t>
  </si>
  <si>
    <t>+251906332759</t>
  </si>
  <si>
    <t>alieldana22@gmail.com</t>
  </si>
  <si>
    <t>barkelzeferu54@gmail.com</t>
  </si>
  <si>
    <t>Barkel</t>
  </si>
  <si>
    <t>+251907276571</t>
  </si>
  <si>
    <t>ashenafiadola05@gmail.com</t>
  </si>
  <si>
    <t>Ashenafi</t>
  </si>
  <si>
    <t>Adola</t>
  </si>
  <si>
    <t>+251908933578</t>
  </si>
  <si>
    <t>leulrealone22@gmail.com</t>
  </si>
  <si>
    <t>leul</t>
  </si>
  <si>
    <t>mesfin</t>
  </si>
  <si>
    <t>+251908976578</t>
  </si>
  <si>
    <t>tomasgirma07@gmail.com</t>
  </si>
  <si>
    <t>Tomas</t>
  </si>
  <si>
    <t>Tayachew</t>
  </si>
  <si>
    <t>+251909042212</t>
  </si>
  <si>
    <t>firabelachew79@gmail.com</t>
  </si>
  <si>
    <t>Getahun</t>
  </si>
  <si>
    <t>Melaku</t>
  </si>
  <si>
    <t>+251909106908</t>
  </si>
  <si>
    <t>mercibeu24@gmail.com</t>
  </si>
  <si>
    <t>Mihreteab</t>
  </si>
  <si>
    <t>+251909449074</t>
  </si>
  <si>
    <t>Asosa</t>
  </si>
  <si>
    <t>arsu.gezahegn@gmail.com</t>
  </si>
  <si>
    <t>Arsema</t>
  </si>
  <si>
    <t>Chemeda</t>
  </si>
  <si>
    <t>+251909472544</t>
  </si>
  <si>
    <t>aynalematsbaha0@gmail.com</t>
  </si>
  <si>
    <t>Aynalem</t>
  </si>
  <si>
    <t>Atsbaha</t>
  </si>
  <si>
    <t>+251910029749</t>
  </si>
  <si>
    <t>yesuf852@gmail.com</t>
  </si>
  <si>
    <t>Yesuf</t>
  </si>
  <si>
    <t>+251910101770</t>
  </si>
  <si>
    <t>hintukinaimaltuuhaqaa4300@gmail.com</t>
  </si>
  <si>
    <t>Hintukina</t>
  </si>
  <si>
    <t>Desalegn</t>
  </si>
  <si>
    <t>+251910676171</t>
  </si>
  <si>
    <t>gneway8@gmail.com</t>
  </si>
  <si>
    <t>Daniel</t>
  </si>
  <si>
    <t>Gizaw</t>
  </si>
  <si>
    <t>+251910818250</t>
  </si>
  <si>
    <t>crackerace7@gmail.com</t>
  </si>
  <si>
    <t>Ansif</t>
  </si>
  <si>
    <t>Hiymenu</t>
  </si>
  <si>
    <t>+251911103028</t>
  </si>
  <si>
    <t>yididyat4@gmail.com</t>
  </si>
  <si>
    <t>Yididya</t>
  </si>
  <si>
    <t>Sima</t>
  </si>
  <si>
    <t>+251911128746</t>
  </si>
  <si>
    <t>ziontown19@gmail.com</t>
  </si>
  <si>
    <t>Biru</t>
  </si>
  <si>
    <t>+251911519977</t>
  </si>
  <si>
    <t>estifoterefe@gmail.com</t>
  </si>
  <si>
    <t>Estifanos</t>
  </si>
  <si>
    <t>Sahle</t>
  </si>
  <si>
    <t>+251911663094</t>
  </si>
  <si>
    <t>ethioitclub@gmail.com</t>
  </si>
  <si>
    <t>+251911758202</t>
  </si>
  <si>
    <t>unknownrekcah63@gmail.com</t>
  </si>
  <si>
    <t>Adoniyas</t>
  </si>
  <si>
    <t>Shimelis</t>
  </si>
  <si>
    <t>+251911805057</t>
  </si>
  <si>
    <t>tarikuassefa14@gmail.com</t>
  </si>
  <si>
    <t>Tariku</t>
  </si>
  <si>
    <t>+251911835397</t>
  </si>
  <si>
    <t>nurmisra835@gmail.com</t>
  </si>
  <si>
    <t>Misra</t>
  </si>
  <si>
    <t>+251912037649</t>
  </si>
  <si>
    <t>juliademissiee@gmail.com</t>
  </si>
  <si>
    <t>Julia</t>
  </si>
  <si>
    <t>Mojja</t>
  </si>
  <si>
    <t>+251912355232</t>
  </si>
  <si>
    <t>sumeyahassensumi@gmail.com</t>
  </si>
  <si>
    <t>Sumeya</t>
  </si>
  <si>
    <t>mohamed</t>
  </si>
  <si>
    <t>+251912380076</t>
  </si>
  <si>
    <t>caalaadd2@gmail.com</t>
  </si>
  <si>
    <t>Debela</t>
  </si>
  <si>
    <t>+251912391908</t>
  </si>
  <si>
    <t>yeshakman40@gmail.com</t>
  </si>
  <si>
    <t>YESEHAK</t>
  </si>
  <si>
    <t>MESFIN</t>
  </si>
  <si>
    <t>+251912674153</t>
  </si>
  <si>
    <t>circularsprit@gmail.com</t>
  </si>
  <si>
    <t>bereket</t>
  </si>
  <si>
    <t>birhanu</t>
  </si>
  <si>
    <t>+251912693110</t>
  </si>
  <si>
    <t>eshet22@gmail.com</t>
  </si>
  <si>
    <t>Tadesse</t>
  </si>
  <si>
    <t>+251912838092</t>
  </si>
  <si>
    <t>sirakotsegaye@gmail.com</t>
  </si>
  <si>
    <t>Sirak</t>
  </si>
  <si>
    <t>Negerie</t>
  </si>
  <si>
    <t>+251912863256</t>
  </si>
  <si>
    <t>hana.adege12@gmail.com</t>
  </si>
  <si>
    <t>Adege</t>
  </si>
  <si>
    <t>+251912922412</t>
  </si>
  <si>
    <t>johnnymed759@gmail.com</t>
  </si>
  <si>
    <t>Mulatu</t>
  </si>
  <si>
    <t>+251913003984</t>
  </si>
  <si>
    <t>t23der5@gmail.com</t>
  </si>
  <si>
    <t>Tsedey</t>
  </si>
  <si>
    <t>Demissie</t>
  </si>
  <si>
    <t>+251913438081</t>
  </si>
  <si>
    <t>alemselamf@gmail.com</t>
  </si>
  <si>
    <t>Alemselam</t>
  </si>
  <si>
    <t>Fekadu</t>
  </si>
  <si>
    <t>+251913516999</t>
  </si>
  <si>
    <t>kasst63@gmail.com</t>
  </si>
  <si>
    <t>Kassahun</t>
  </si>
  <si>
    <t>Fekade</t>
  </si>
  <si>
    <t>+251913564337</t>
  </si>
  <si>
    <t>yohanneswelday777@gmail.com</t>
  </si>
  <si>
    <t>yohannes</t>
  </si>
  <si>
    <t>welday</t>
  </si>
  <si>
    <t>+251914426078</t>
  </si>
  <si>
    <t>iam.mohame123@gmail.com</t>
  </si>
  <si>
    <t>atilahun445@gmail.com</t>
  </si>
  <si>
    <t>AMANUEL</t>
  </si>
  <si>
    <t>MEKONNEN</t>
  </si>
  <si>
    <t>+251916560859</t>
  </si>
  <si>
    <t>yohusolo@gmail.com</t>
  </si>
  <si>
    <t>Solomon</t>
  </si>
  <si>
    <t>+251916863974</t>
  </si>
  <si>
    <t>biladenmustefa521@gmail.com</t>
  </si>
  <si>
    <t>Biladen</t>
  </si>
  <si>
    <t>Mustefa</t>
  </si>
  <si>
    <t>+251917139676</t>
  </si>
  <si>
    <t>laterameseret2@gmail.com</t>
  </si>
  <si>
    <t>Latera</t>
  </si>
  <si>
    <t>Meseret</t>
  </si>
  <si>
    <t>+251917734667</t>
  </si>
  <si>
    <t>ayubiru3847@gmail.com</t>
  </si>
  <si>
    <t>Ayantu</t>
  </si>
  <si>
    <t>Deresa</t>
  </si>
  <si>
    <t>+251917813661</t>
  </si>
  <si>
    <t>alxmar2000@gmail.com</t>
  </si>
  <si>
    <t>Alene</t>
  </si>
  <si>
    <t>+251918674078</t>
  </si>
  <si>
    <t>gutuyaekob2021@gmail.com</t>
  </si>
  <si>
    <t>Gutu</t>
  </si>
  <si>
    <t>Chibsa</t>
  </si>
  <si>
    <t>+251919516429</t>
  </si>
  <si>
    <t>abelendale112@gmail.com</t>
  </si>
  <si>
    <t>Mesfin</t>
  </si>
  <si>
    <t>+251920358866</t>
  </si>
  <si>
    <t>eliasabyu21@gmail.com</t>
  </si>
  <si>
    <t>Abyu</t>
  </si>
  <si>
    <t>+251920959105</t>
  </si>
  <si>
    <t>haymanotmitku@gmail.com</t>
  </si>
  <si>
    <t>Haymanot</t>
  </si>
  <si>
    <t>Mitku</t>
  </si>
  <si>
    <t>+251921016331</t>
  </si>
  <si>
    <t>nusi851.12@gmail.com</t>
  </si>
  <si>
    <t>Nuseyba</t>
  </si>
  <si>
    <t>+251921457363</t>
  </si>
  <si>
    <t>lilbossevert1@gmail.com</t>
  </si>
  <si>
    <t>Yonathan</t>
  </si>
  <si>
    <t>Tesfatsion Samuel</t>
  </si>
  <si>
    <t>+251922129394</t>
  </si>
  <si>
    <t>abdurahmanmohammed920@gmail.com</t>
  </si>
  <si>
    <t>Abdurahman</t>
  </si>
  <si>
    <t>+251923669190</t>
  </si>
  <si>
    <t>yosephteklebirhan9@gmail.com</t>
  </si>
  <si>
    <t>Yoseph</t>
  </si>
  <si>
    <t>Teklebirhan</t>
  </si>
  <si>
    <t>+251924105486</t>
  </si>
  <si>
    <t>journeyofstudy3@gmail.com</t>
  </si>
  <si>
    <t>+251924257081</t>
  </si>
  <si>
    <t>hh924345@gmail.com</t>
  </si>
  <si>
    <t>Tigist</t>
  </si>
  <si>
    <t>Kebede</t>
  </si>
  <si>
    <t>+251924335742</t>
  </si>
  <si>
    <t>ruthambaw610@gmail.com</t>
  </si>
  <si>
    <t>Ruth</t>
  </si>
  <si>
    <t>Ambaw</t>
  </si>
  <si>
    <t>+251924570799</t>
  </si>
  <si>
    <t>maeregmesfin53@gmail.com</t>
  </si>
  <si>
    <t>Maereg</t>
  </si>
  <si>
    <t>sileshi</t>
  </si>
  <si>
    <t>+251924585675</t>
  </si>
  <si>
    <t>semirahussein71@gmail.com</t>
  </si>
  <si>
    <t>Hussein</t>
  </si>
  <si>
    <t>+251924847686</t>
  </si>
  <si>
    <t>yofromsis88@gmail.com</t>
  </si>
  <si>
    <t>Fro</t>
  </si>
  <si>
    <t>Jo</t>
  </si>
  <si>
    <t>+251924898428</t>
  </si>
  <si>
    <t>gechsmart.uta@gmail.com</t>
  </si>
  <si>
    <t>Getaneh</t>
  </si>
  <si>
    <t>Melese</t>
  </si>
  <si>
    <t>+251925700473</t>
  </si>
  <si>
    <t>samuel357abebe357@gmail.com</t>
  </si>
  <si>
    <t>+251925935401</t>
  </si>
  <si>
    <t>havenedomadinew@gmail.com</t>
  </si>
  <si>
    <t>Adinew</t>
  </si>
  <si>
    <t>+251926523487</t>
  </si>
  <si>
    <t>Nazret</t>
  </si>
  <si>
    <t>feventadele9@gmail.com</t>
  </si>
  <si>
    <t>Tadele</t>
  </si>
  <si>
    <t>+251927423606</t>
  </si>
  <si>
    <t>yohannesabebaw1@gmail.com</t>
  </si>
  <si>
    <t>Sentie</t>
  </si>
  <si>
    <t>+251927702879</t>
  </si>
  <si>
    <t>christiannegese777@gmail.com</t>
  </si>
  <si>
    <t>Christian</t>
  </si>
  <si>
    <t>Negese</t>
  </si>
  <si>
    <t>+251927710070</t>
  </si>
  <si>
    <t>diboratesfalem32@gmail.com</t>
  </si>
  <si>
    <t>Dibora</t>
  </si>
  <si>
    <t>Tesfalem</t>
  </si>
  <si>
    <t>+251928878280</t>
  </si>
  <si>
    <t>rasteddy0@gmail.com</t>
  </si>
  <si>
    <t>Terefe</t>
  </si>
  <si>
    <t>+251929230572</t>
  </si>
  <si>
    <t>rajifefreelancer@gmail.com</t>
  </si>
  <si>
    <t>RAJIFE</t>
  </si>
  <si>
    <t>NEGUSSE</t>
  </si>
  <si>
    <t>+251929303030</t>
  </si>
  <si>
    <t>kevinmitchell3390@gmail.com</t>
  </si>
  <si>
    <t>Bikila</t>
  </si>
  <si>
    <t>Feyissa</t>
  </si>
  <si>
    <t>+251930745012</t>
  </si>
  <si>
    <t>dawitbelayg@gmail.com</t>
  </si>
  <si>
    <t>dawit</t>
  </si>
  <si>
    <t>belay</t>
  </si>
  <si>
    <t>+251930917748</t>
  </si>
  <si>
    <t>ajabaece@gmail.com</t>
  </si>
  <si>
    <t>Ajaba</t>
  </si>
  <si>
    <t>Ahemad</t>
  </si>
  <si>
    <t>+251931101557</t>
  </si>
  <si>
    <t>abdurogenamo317@gmail.com</t>
  </si>
  <si>
    <t>Abduro</t>
  </si>
  <si>
    <t>Gunje</t>
  </si>
  <si>
    <t>+251931709602</t>
  </si>
  <si>
    <t>amla.y360@gmail.com</t>
  </si>
  <si>
    <t>Amlaku</t>
  </si>
  <si>
    <t>fetene</t>
  </si>
  <si>
    <t>+251931792660</t>
  </si>
  <si>
    <t>solomonweshiso@gmail.com</t>
  </si>
  <si>
    <t>Sulito</t>
  </si>
  <si>
    <t>+251932674568</t>
  </si>
  <si>
    <t>samsonjisso17+alx@gmail.com</t>
  </si>
  <si>
    <t>Samson</t>
  </si>
  <si>
    <t>Jisso</t>
  </si>
  <si>
    <t>+251932696834</t>
  </si>
  <si>
    <t>yabetsbeyene78@gmail.com</t>
  </si>
  <si>
    <t>Yabets</t>
  </si>
  <si>
    <t>Beyene</t>
  </si>
  <si>
    <t>+251933171216</t>
  </si>
  <si>
    <t>Soddo</t>
  </si>
  <si>
    <t>feven0307@gmail.com</t>
  </si>
  <si>
    <t>+251933940493</t>
  </si>
  <si>
    <t>nahome.nb29@gmail.com</t>
  </si>
  <si>
    <t>Gebreegziabher</t>
  </si>
  <si>
    <t>+251935080400</t>
  </si>
  <si>
    <t>redietsisay32@gmail.com</t>
  </si>
  <si>
    <t>rediet</t>
  </si>
  <si>
    <t>Tesfaye</t>
  </si>
  <si>
    <t>+251935115911</t>
  </si>
  <si>
    <t>pandataru21@gmail.com</t>
  </si>
  <si>
    <t>+251936868056</t>
  </si>
  <si>
    <t>abgedefaw@gmail.com</t>
  </si>
  <si>
    <t>Tegegne</t>
  </si>
  <si>
    <t>+251937003478</t>
  </si>
  <si>
    <t>lapozelall@gmail.com</t>
  </si>
  <si>
    <t>Natan</t>
  </si>
  <si>
    <t>Assefa</t>
  </si>
  <si>
    <t>+251937031168</t>
  </si>
  <si>
    <t>elshadayelias.19@gmail.com</t>
  </si>
  <si>
    <t>Elshaday</t>
  </si>
  <si>
    <t>+251937244770</t>
  </si>
  <si>
    <t>amanuelk6993@gmail.com</t>
  </si>
  <si>
    <t>Amanuel</t>
  </si>
  <si>
    <t>+2519377415</t>
  </si>
  <si>
    <t>henokumulugeta@gmail.com</t>
  </si>
  <si>
    <t>+251937809504</t>
  </si>
  <si>
    <t>ashenafiyirgalem@gmail.com</t>
  </si>
  <si>
    <t>Yirgalem</t>
  </si>
  <si>
    <t>+251938388677</t>
  </si>
  <si>
    <t>yosephmengistu18@gmail.com</t>
  </si>
  <si>
    <t>+251938489390</t>
  </si>
  <si>
    <t>meetabdisa@gmail.com</t>
  </si>
  <si>
    <t>Abdisa</t>
  </si>
  <si>
    <t>Ketema</t>
  </si>
  <si>
    <t>+251938542951</t>
  </si>
  <si>
    <t>abebemare9@gmail.com</t>
  </si>
  <si>
    <t>Marefu</t>
  </si>
  <si>
    <t>Tegegn</t>
  </si>
  <si>
    <t>+251938543853</t>
  </si>
  <si>
    <t>abebemarefu266@gmail.com</t>
  </si>
  <si>
    <t>fishaasegid137@gmail.com</t>
  </si>
  <si>
    <t>Fisha</t>
  </si>
  <si>
    <t>+251938904022</t>
  </si>
  <si>
    <t>jhonafework1s@gmail.com</t>
  </si>
  <si>
    <t>Asfaw</t>
  </si>
  <si>
    <t>+251939316169</t>
  </si>
  <si>
    <t>sofonyasabreha@gmail.com</t>
  </si>
  <si>
    <t>sofanyas</t>
  </si>
  <si>
    <t>Abraha</t>
  </si>
  <si>
    <t>+251939531281</t>
  </si>
  <si>
    <t>mihiretoljira@gmail.com</t>
  </si>
  <si>
    <t>Mihiret</t>
  </si>
  <si>
    <t>Oljira</t>
  </si>
  <si>
    <t>+251939684657</t>
  </si>
  <si>
    <t>tigistdebru@gmail.com</t>
  </si>
  <si>
    <t>Ameha</t>
  </si>
  <si>
    <t>+251940359610</t>
  </si>
  <si>
    <t>edlawitsewasew90@gmail.com</t>
  </si>
  <si>
    <t>Edlawit</t>
  </si>
  <si>
    <t>Pawlos</t>
  </si>
  <si>
    <t>+251940517997</t>
  </si>
  <si>
    <t>kidusdawit1921@gmail.com</t>
  </si>
  <si>
    <t>Kidus</t>
  </si>
  <si>
    <t>Zewde</t>
  </si>
  <si>
    <t>+251940734849</t>
  </si>
  <si>
    <t>sebenmuler@gmail.com</t>
  </si>
  <si>
    <t>Seben</t>
  </si>
  <si>
    <t>+251940839912</t>
  </si>
  <si>
    <t>bikilaliru25@gmail.com</t>
  </si>
  <si>
    <t>+251941338597</t>
  </si>
  <si>
    <t>gebrehiwotleulseged@gmail.com</t>
  </si>
  <si>
    <t>leulseged</t>
  </si>
  <si>
    <t>semere</t>
  </si>
  <si>
    <t>+251941735970</t>
  </si>
  <si>
    <t>natnaelmekuriaw50@gmail.com</t>
  </si>
  <si>
    <t>Mekuriaw</t>
  </si>
  <si>
    <t>+251941782315</t>
  </si>
  <si>
    <t>natty437384@gmail.com</t>
  </si>
  <si>
    <t>Habteselassie</t>
  </si>
  <si>
    <t>+251942098807</t>
  </si>
  <si>
    <t>natnaelhabteselassiedemissie@gmail.com</t>
  </si>
  <si>
    <t>natty19601997@gmail.com</t>
  </si>
  <si>
    <t>abrhamlegesse2@gmail.com</t>
  </si>
  <si>
    <t>Abrham</t>
  </si>
  <si>
    <t>Balcha</t>
  </si>
  <si>
    <t>+251942191909</t>
  </si>
  <si>
    <t>misrachbelay19@gmail.com</t>
  </si>
  <si>
    <t>nardoshaile08@gmail.com</t>
  </si>
  <si>
    <t>nufisabdena@gmail.com</t>
  </si>
  <si>
    <t>Nufis</t>
  </si>
  <si>
    <t>Tolera</t>
  </si>
  <si>
    <t>+251943894284</t>
  </si>
  <si>
    <t>edomlegesse4@gmail.com</t>
  </si>
  <si>
    <t>Legesse</t>
  </si>
  <si>
    <t>+251943918458</t>
  </si>
  <si>
    <t>tesfayeleta721@gmail.com</t>
  </si>
  <si>
    <t>Bekele</t>
  </si>
  <si>
    <t>+251944236995</t>
  </si>
  <si>
    <t>fikeryirdaw87@gmail.com</t>
  </si>
  <si>
    <t>fenanged@gmail.com</t>
  </si>
  <si>
    <t>Fenan</t>
  </si>
  <si>
    <t>Gebisa</t>
  </si>
  <si>
    <t>+251945181868</t>
  </si>
  <si>
    <t>bieky47@gmail.com</t>
  </si>
  <si>
    <t>Bereket</t>
  </si>
  <si>
    <t>+251945472550</t>
  </si>
  <si>
    <t>betya3191@gmail.com</t>
  </si>
  <si>
    <t>bety</t>
  </si>
  <si>
    <t>adane</t>
  </si>
  <si>
    <t>+251945775985</t>
  </si>
  <si>
    <t>amsaludagmawit@gmail.com</t>
  </si>
  <si>
    <t>Dagmawit</t>
  </si>
  <si>
    <t>Kelemework</t>
  </si>
  <si>
    <t>+251946079428</t>
  </si>
  <si>
    <t>abenezer.kassayef@gmail.com</t>
  </si>
  <si>
    <t>Feleg</t>
  </si>
  <si>
    <t>+251946352181</t>
  </si>
  <si>
    <t>natnaelakalewold@gmail.com</t>
  </si>
  <si>
    <t>Akalewold</t>
  </si>
  <si>
    <t>+251946366664</t>
  </si>
  <si>
    <t>ermiaseyerus20@gmail.com</t>
  </si>
  <si>
    <t>Eyerusalem</t>
  </si>
  <si>
    <t>+251946434367</t>
  </si>
  <si>
    <t>addisukirubel@gmail.com</t>
  </si>
  <si>
    <t>Kirubel Addisu</t>
  </si>
  <si>
    <t>+251946461592</t>
  </si>
  <si>
    <t>kalkidanurga+@gmail.com</t>
  </si>
  <si>
    <t>Kalkidan</t>
  </si>
  <si>
    <t>Urga</t>
  </si>
  <si>
    <t>+251946754611</t>
  </si>
  <si>
    <t>lidiakeralem7@gmail.com</t>
  </si>
  <si>
    <t>Lidia</t>
  </si>
  <si>
    <t>+251947031492</t>
  </si>
  <si>
    <t>zedinglet@gmail.com</t>
  </si>
  <si>
    <t>Zedingle</t>
  </si>
  <si>
    <t>+251947355515</t>
  </si>
  <si>
    <t>wengelez@gmail.com</t>
  </si>
  <si>
    <t>wengelle</t>
  </si>
  <si>
    <t>+251947408007</t>
  </si>
  <si>
    <t>kalworkineh454@gmail.com</t>
  </si>
  <si>
    <t>Kaleab</t>
  </si>
  <si>
    <t>Degefu</t>
  </si>
  <si>
    <t>+251947530246</t>
  </si>
  <si>
    <t>ephratahg.1623@gmail.com</t>
  </si>
  <si>
    <t>Ephratah</t>
  </si>
  <si>
    <t>+251947650166</t>
  </si>
  <si>
    <t>amu12ye@gmail.com</t>
  </si>
  <si>
    <t>seyoum</t>
  </si>
  <si>
    <t>+251947947139</t>
  </si>
  <si>
    <t>roberainsarmu@gmail.com</t>
  </si>
  <si>
    <t>Robera</t>
  </si>
  <si>
    <t>Insarmu</t>
  </si>
  <si>
    <t>+251948348363</t>
  </si>
  <si>
    <t>ytessema138@gmail.com</t>
  </si>
  <si>
    <t>Yonatan</t>
  </si>
  <si>
    <t>Tessema</t>
  </si>
  <si>
    <t>+251948598267</t>
  </si>
  <si>
    <t>beninasefa@gmail.com</t>
  </si>
  <si>
    <t>Asefa</t>
  </si>
  <si>
    <t>+251948672411</t>
  </si>
  <si>
    <t>senayemekdes@gmail.com</t>
  </si>
  <si>
    <t>Mekdes</t>
  </si>
  <si>
    <t>senaye</t>
  </si>
  <si>
    <t>+251949547154</t>
  </si>
  <si>
    <t>robtade4@gmail.com</t>
  </si>
  <si>
    <t>Robsan</t>
  </si>
  <si>
    <t>+251951532208</t>
  </si>
  <si>
    <t>nigusmuluken6@gmail.com</t>
  </si>
  <si>
    <t>Nigus</t>
  </si>
  <si>
    <t>Muluken</t>
  </si>
  <si>
    <t>+251952045141</t>
  </si>
  <si>
    <t>calebasnake@gmail.com</t>
  </si>
  <si>
    <t>Kaleb</t>
  </si>
  <si>
    <t>Bogale</t>
  </si>
  <si>
    <t>+251952161949</t>
  </si>
  <si>
    <t>kalebasnake6@gmail.com</t>
  </si>
  <si>
    <t>samidamoljira2@gmail.com</t>
  </si>
  <si>
    <t>SAMUEL</t>
  </si>
  <si>
    <t>DAMTEW</t>
  </si>
  <si>
    <t>+251952459575</t>
  </si>
  <si>
    <t>mekwanintabera@gmail.com</t>
  </si>
  <si>
    <t>Mekwanint</t>
  </si>
  <si>
    <t>+251953106357</t>
  </si>
  <si>
    <t>natnaelarega2536@gmail.com</t>
  </si>
  <si>
    <t>Yeshanew</t>
  </si>
  <si>
    <t>+251953626629</t>
  </si>
  <si>
    <t>yaadiqaabato@gmail.com</t>
  </si>
  <si>
    <t>Kengitan</t>
  </si>
  <si>
    <t>Duga</t>
  </si>
  <si>
    <t>+251953705602</t>
  </si>
  <si>
    <t>matiyasmulugeta31@gmail.com</t>
  </si>
  <si>
    <t>Matiyas</t>
  </si>
  <si>
    <t>+251953708103</t>
  </si>
  <si>
    <t>multuzmoha@gmail.com</t>
  </si>
  <si>
    <t>Multzem</t>
  </si>
  <si>
    <t>Kemal</t>
  </si>
  <si>
    <t>+251953860042</t>
  </si>
  <si>
    <t>ermidbu@gmail.com</t>
  </si>
  <si>
    <t>+251954356992</t>
  </si>
  <si>
    <t>Jimma</t>
  </si>
  <si>
    <t>tsinukalttt@gmail.com</t>
  </si>
  <si>
    <t>Tsinukal</t>
  </si>
  <si>
    <t>Deboch</t>
  </si>
  <si>
    <t>+251954769134</t>
  </si>
  <si>
    <t>tamirathaile96@gmail.com</t>
  </si>
  <si>
    <t>Tamirat</t>
  </si>
  <si>
    <t>+251955282254</t>
  </si>
  <si>
    <t>derejegudisa1992@gmail.com</t>
  </si>
  <si>
    <t>Gudisa</t>
  </si>
  <si>
    <t>+251955347181</t>
  </si>
  <si>
    <t>firewrediet@gmail.com</t>
  </si>
  <si>
    <t>Firew</t>
  </si>
  <si>
    <t>+251955450924</t>
  </si>
  <si>
    <t>yemisrachanduamlak13@gmail.com</t>
  </si>
  <si>
    <t>Yemisrach</t>
  </si>
  <si>
    <t>Feleke</t>
  </si>
  <si>
    <t>+251960222134</t>
  </si>
  <si>
    <t>abdisawake5@gmail.com</t>
  </si>
  <si>
    <t>Tufa</t>
  </si>
  <si>
    <t>+251961543704</t>
  </si>
  <si>
    <t>edenwalle484@gmail.com</t>
  </si>
  <si>
    <t>Eden</t>
  </si>
  <si>
    <t>Mengst</t>
  </si>
  <si>
    <t>+251962073378</t>
  </si>
  <si>
    <t>senperelias6@gmail.com</t>
  </si>
  <si>
    <t>Senper</t>
  </si>
  <si>
    <t>+251962328402</t>
  </si>
  <si>
    <t>abrehamarerti@gmail.com</t>
  </si>
  <si>
    <t>abreham</t>
  </si>
  <si>
    <t>mekuria</t>
  </si>
  <si>
    <t>+251963083960</t>
  </si>
  <si>
    <t>euaelnigus@gmail.com</t>
  </si>
  <si>
    <t>Euael</t>
  </si>
  <si>
    <t>+251963292815</t>
  </si>
  <si>
    <t>teshueni@gmail.com</t>
  </si>
  <si>
    <t>Teshager</t>
  </si>
  <si>
    <t>Teklu</t>
  </si>
  <si>
    <t>+251963429000</t>
  </si>
  <si>
    <t>eyobpetros753@gmail.com</t>
  </si>
  <si>
    <t>Petros</t>
  </si>
  <si>
    <t>+251964081567</t>
  </si>
  <si>
    <t>zachabera1999@gmail.com</t>
  </si>
  <si>
    <t>Zekarias</t>
  </si>
  <si>
    <t>+251964138608</t>
  </si>
  <si>
    <t>yeliulzewdu@gmail.com</t>
  </si>
  <si>
    <t>Yeliul</t>
  </si>
  <si>
    <t>+251964555212</t>
  </si>
  <si>
    <t>menmek1997@gmail.com</t>
  </si>
  <si>
    <t>Mena</t>
  </si>
  <si>
    <t>+251965099774</t>
  </si>
  <si>
    <t>bistes52@gmail.com</t>
  </si>
  <si>
    <t>Bisrat</t>
  </si>
  <si>
    <t>+251965555584</t>
  </si>
  <si>
    <t>bezaderibie683@gmail.com</t>
  </si>
  <si>
    <t>Beza</t>
  </si>
  <si>
    <t>Deribie</t>
  </si>
  <si>
    <t>+251965911094</t>
  </si>
  <si>
    <t>meronk51@gmail.com</t>
  </si>
  <si>
    <t>eshete</t>
  </si>
  <si>
    <t>+251965913921</t>
  </si>
  <si>
    <t>teabealze23@gmail.com</t>
  </si>
  <si>
    <t>Tamrat</t>
  </si>
  <si>
    <t>+251966126175</t>
  </si>
  <si>
    <t>meklityemane00@gmail.com</t>
  </si>
  <si>
    <t>Meklit</t>
  </si>
  <si>
    <t>Yemane</t>
  </si>
  <si>
    <t>+251967177278</t>
  </si>
  <si>
    <t>makizena12@gmail.com</t>
  </si>
  <si>
    <t>Mahlet</t>
  </si>
  <si>
    <t>Zena</t>
  </si>
  <si>
    <t>+251967496209</t>
  </si>
  <si>
    <t>simonmichaele0@gmail.com</t>
  </si>
  <si>
    <t>Simon</t>
  </si>
  <si>
    <t>Kinfe</t>
  </si>
  <si>
    <t>+251967743868</t>
  </si>
  <si>
    <t>bemnetzelalem8@gmail.com</t>
  </si>
  <si>
    <t>Bemnet</t>
  </si>
  <si>
    <t>Zelalem</t>
  </si>
  <si>
    <t>+251967994702</t>
  </si>
  <si>
    <t>emanaliya197@gmail.com</t>
  </si>
  <si>
    <t>iman</t>
  </si>
  <si>
    <t>rejbe</t>
  </si>
  <si>
    <t>+251968406777</t>
  </si>
  <si>
    <t>samuelbirhane0909@gmail.com</t>
  </si>
  <si>
    <t>Girmay</t>
  </si>
  <si>
    <t>+251968915106</t>
  </si>
  <si>
    <t>surafelyosef27@gmail.com</t>
  </si>
  <si>
    <t>Surafeal</t>
  </si>
  <si>
    <t>BELAYNEH</t>
  </si>
  <si>
    <t>+251969470224</t>
  </si>
  <si>
    <t>goychuolmakuachmot@gmail.com</t>
  </si>
  <si>
    <t>Goy</t>
  </si>
  <si>
    <t>Makuach</t>
  </si>
  <si>
    <t>+251969990831</t>
  </si>
  <si>
    <t>getacherkifilie23@gmail.com</t>
  </si>
  <si>
    <t>Getacher</t>
  </si>
  <si>
    <t>Asalfew</t>
  </si>
  <si>
    <t>+251970143109</t>
  </si>
  <si>
    <t>gesasega00@gmail.com</t>
  </si>
  <si>
    <t>Gesa</t>
  </si>
  <si>
    <t>Endale</t>
  </si>
  <si>
    <t>+251970685164</t>
  </si>
  <si>
    <t>nolawitmulugeta@gmail.com</t>
  </si>
  <si>
    <t>Nolawit</t>
  </si>
  <si>
    <t>+251970702785</t>
  </si>
  <si>
    <t>dawitgebreselama@gmail.com</t>
  </si>
  <si>
    <t>dorab</t>
  </si>
  <si>
    <t>teher</t>
  </si>
  <si>
    <t>+251972459529</t>
  </si>
  <si>
    <t>meklitmulugeta551@gmail.com</t>
  </si>
  <si>
    <t>+251972658665</t>
  </si>
  <si>
    <t>demekemetsihet@gmail.com</t>
  </si>
  <si>
    <t>Metsihet</t>
  </si>
  <si>
    <t>Debssaye</t>
  </si>
  <si>
    <t>+251972772046</t>
  </si>
  <si>
    <t>ym47484988@gmail.com</t>
  </si>
  <si>
    <t>+251972989507</t>
  </si>
  <si>
    <t>abelmina1515@gmail.com</t>
  </si>
  <si>
    <t>ABEL</t>
  </si>
  <si>
    <t>+251973257771</t>
  </si>
  <si>
    <t>simonkahsay66@gmail.com</t>
  </si>
  <si>
    <t>Kahsay</t>
  </si>
  <si>
    <t>+251973325979</t>
  </si>
  <si>
    <t>tessemaasarifew@gmail.com</t>
  </si>
  <si>
    <t>ASARIFEW</t>
  </si>
  <si>
    <t>TESSEMA</t>
  </si>
  <si>
    <t>+251974392722</t>
  </si>
  <si>
    <t>ditadedefo19@gmail.com</t>
  </si>
  <si>
    <t>Dita</t>
  </si>
  <si>
    <t>Dedefo</t>
  </si>
  <si>
    <t>+251975018101</t>
  </si>
  <si>
    <t>semhalbrkti21@gmail.com</t>
  </si>
  <si>
    <t>semhal</t>
  </si>
  <si>
    <t>Shmuye</t>
  </si>
  <si>
    <t>+251978585994</t>
  </si>
  <si>
    <t>Adigrat</t>
  </si>
  <si>
    <t>yeabsiratilahun78@gmail.com</t>
  </si>
  <si>
    <t>+251978997345</t>
  </si>
  <si>
    <t>akassahun514@gmail.com</t>
  </si>
  <si>
    <t>bushu</t>
  </si>
  <si>
    <t>abrihamatinkut@gmail.com</t>
  </si>
  <si>
    <t>Abriham</t>
  </si>
  <si>
    <t>Atinkut</t>
  </si>
  <si>
    <t>+251980284040</t>
  </si>
  <si>
    <t>biruhweyessa@gmail.com</t>
  </si>
  <si>
    <t>Biruh</t>
  </si>
  <si>
    <t>Weyessa</t>
  </si>
  <si>
    <t>+251982005683</t>
  </si>
  <si>
    <t>berhanufen@gmail.com</t>
  </si>
  <si>
    <t>FENET BERHANU</t>
  </si>
  <si>
    <t>EDEA</t>
  </si>
  <si>
    <t>+251982410564</t>
  </si>
  <si>
    <t>lydiagetnet19@gmail.com</t>
  </si>
  <si>
    <t>Lydia</t>
  </si>
  <si>
    <t>+251983118128</t>
  </si>
  <si>
    <t>habtishasrat27@gmail.com</t>
  </si>
  <si>
    <t>Yitay</t>
  </si>
  <si>
    <t>+251983286156</t>
  </si>
  <si>
    <t>dejendegu21@gmail.com</t>
  </si>
  <si>
    <t>+251983580222</t>
  </si>
  <si>
    <t>sarakibru2021@gmail.com</t>
  </si>
  <si>
    <t>Sara</t>
  </si>
  <si>
    <t>Fersha</t>
  </si>
  <si>
    <t>+251984076735</t>
  </si>
  <si>
    <t>endakmew02@gmail.com</t>
  </si>
  <si>
    <t>Endakmew</t>
  </si>
  <si>
    <t>Addis</t>
  </si>
  <si>
    <t>+251984670404</t>
  </si>
  <si>
    <t>melatsolomon506@gmail.com</t>
  </si>
  <si>
    <t>+251984952658</t>
  </si>
  <si>
    <t>michaelmelaku74@gmail.com</t>
  </si>
  <si>
    <t>MICHAEL</t>
  </si>
  <si>
    <t>LEMMA</t>
  </si>
  <si>
    <t>+251985241305</t>
  </si>
  <si>
    <t>mikilagirmay80@gmail.com</t>
  </si>
  <si>
    <t>Hermela</t>
  </si>
  <si>
    <t>+251986281963</t>
  </si>
  <si>
    <t>berehanutolosa@gmail.com</t>
  </si>
  <si>
    <t>berehanu</t>
  </si>
  <si>
    <t>tolosa</t>
  </si>
  <si>
    <t>+251986541642</t>
  </si>
  <si>
    <t>brooktekalgn645@gmail.com</t>
  </si>
  <si>
    <t>Brook</t>
  </si>
  <si>
    <t>Woldtsadik</t>
  </si>
  <si>
    <t>+251987043531</t>
  </si>
  <si>
    <t>meronajire680@gmail.com</t>
  </si>
  <si>
    <t>Meron</t>
  </si>
  <si>
    <t>Bisema</t>
  </si>
  <si>
    <t>+251987455656</t>
  </si>
  <si>
    <t>meronajire6@gmail.com</t>
  </si>
  <si>
    <t>fasilbest16@gmail.com</t>
  </si>
  <si>
    <t>Fasil</t>
  </si>
  <si>
    <t>Shbabawu</t>
  </si>
  <si>
    <t>+251988029614</t>
  </si>
  <si>
    <t>leulaaa12@gmail.com</t>
  </si>
  <si>
    <t>Leul</t>
  </si>
  <si>
    <t>Chekol</t>
  </si>
  <si>
    <t>+251988039192</t>
  </si>
  <si>
    <t>meazamamaye1@gmail.com</t>
  </si>
  <si>
    <t>Meaza</t>
  </si>
  <si>
    <t>Mamaye</t>
  </si>
  <si>
    <t>+251988222261</t>
  </si>
  <si>
    <t>fikermesfin999@gmail.com</t>
  </si>
  <si>
    <t>Fiker</t>
  </si>
  <si>
    <t>+251988241287</t>
  </si>
  <si>
    <t>nahomambachew8@gmail.com</t>
  </si>
  <si>
    <t>Shitahun</t>
  </si>
  <si>
    <t>+251988346607</t>
  </si>
  <si>
    <t>endugunte@gmail.com</t>
  </si>
  <si>
    <t>+251988721629</t>
  </si>
  <si>
    <t>kendashaw8898@gmail.com</t>
  </si>
  <si>
    <t>Endashaw</t>
  </si>
  <si>
    <t>+251988984584</t>
  </si>
  <si>
    <t>fishatiemay19@gmail.com</t>
  </si>
  <si>
    <t>Tiemay</t>
  </si>
  <si>
    <t>Yilma</t>
  </si>
  <si>
    <t>+251990252029</t>
  </si>
  <si>
    <t>merontty1@gmail.com</t>
  </si>
  <si>
    <t>+251991002181</t>
  </si>
  <si>
    <t>abdulwahabjarra8@gmail.com</t>
  </si>
  <si>
    <t>Abdulwahab</t>
  </si>
  <si>
    <t>Beshir</t>
  </si>
  <si>
    <t>+251991291683</t>
  </si>
  <si>
    <t>nafkotemaye2013m@gmail.com</t>
  </si>
  <si>
    <t>+251993645874</t>
  </si>
  <si>
    <t>eyoelmelaku94@gmail.com</t>
  </si>
  <si>
    <t>Eyoel</t>
  </si>
  <si>
    <t>+251994016117</t>
  </si>
  <si>
    <t>workatnaf0@gmail.com</t>
  </si>
  <si>
    <t>Atnafwork</t>
  </si>
  <si>
    <t>Grmawu</t>
  </si>
  <si>
    <t>+251994685918</t>
  </si>
  <si>
    <t>tsiont07@gmail.com</t>
  </si>
  <si>
    <t>Wolde</t>
  </si>
  <si>
    <t>+251994804461</t>
  </si>
  <si>
    <t>fikriegirma@gmail.com</t>
  </si>
  <si>
    <t>Fikrie</t>
  </si>
  <si>
    <t>+251996162835</t>
  </si>
  <si>
    <t>kenokg07@gmail.com</t>
  </si>
  <si>
    <t>Kenenisa</t>
  </si>
  <si>
    <t>Edao</t>
  </si>
  <si>
    <t>+251996969521</t>
  </si>
  <si>
    <t>abduselammehadi79@gmail.com</t>
  </si>
  <si>
    <t>Abduselam</t>
  </si>
  <si>
    <t>Mehadi</t>
  </si>
  <si>
    <t>+251998006133</t>
  </si>
  <si>
    <t>fikirthefirst@gmail.com</t>
  </si>
  <si>
    <t>Fikirtemariam</t>
  </si>
  <si>
    <t>mame@dafis.com</t>
  </si>
  <si>
    <t>Mahammadsafi</t>
  </si>
  <si>
    <t>Hasan</t>
  </si>
  <si>
    <t>matiwos.teferi@astu.edu.et</t>
  </si>
  <si>
    <t>senpairalemenh@gmail.com</t>
  </si>
  <si>
    <t>Senpair</t>
  </si>
  <si>
    <t>Alemneh</t>
  </si>
  <si>
    <t>mikimmoha23@gmail.com</t>
  </si>
  <si>
    <t>mohammed</t>
  </si>
  <si>
    <t>hussen</t>
  </si>
  <si>
    <t>haimanot030@gmail.com</t>
  </si>
  <si>
    <t>Haimanot</t>
  </si>
  <si>
    <t>YITAYIH</t>
  </si>
  <si>
    <t>ermiyasabebe48@gmail.com</t>
  </si>
  <si>
    <t>Shewafera</t>
  </si>
  <si>
    <t>chistianeyob92@gmail.com</t>
  </si>
  <si>
    <t>christian</t>
  </si>
  <si>
    <t>eyob</t>
  </si>
  <si>
    <t>ahaduakalu03@gmail.com</t>
  </si>
  <si>
    <t>theworld783@gmail.com</t>
  </si>
  <si>
    <t>YOHANNES</t>
  </si>
  <si>
    <t>BEKELE</t>
  </si>
  <si>
    <t>abushe339@gmail.com</t>
  </si>
  <si>
    <t>seid</t>
  </si>
  <si>
    <t>eyoabniguise@gmail.com</t>
  </si>
  <si>
    <t>Eyoab</t>
  </si>
  <si>
    <t>Niguise</t>
  </si>
  <si>
    <t>minalutekle@gmail.com</t>
  </si>
  <si>
    <t>Minalu</t>
  </si>
  <si>
    <t>Tekle</t>
  </si>
  <si>
    <t>abelgebremedhin.73@gmail.com</t>
  </si>
  <si>
    <t>Haylemelekot</t>
  </si>
  <si>
    <t>Gebregiyorgis</t>
  </si>
  <si>
    <t>berhanub760@gmail.com</t>
  </si>
  <si>
    <t>Fikru</t>
  </si>
  <si>
    <t>nigatuchali168@gmail.com</t>
  </si>
  <si>
    <t>Hawi</t>
  </si>
  <si>
    <t>Nigatu</t>
  </si>
  <si>
    <t>cdd91472@gamail.com</t>
  </si>
  <si>
    <t>Welde</t>
  </si>
  <si>
    <t>selamhora5@gmail.com</t>
  </si>
  <si>
    <t>selam</t>
  </si>
  <si>
    <t>Fiseha</t>
  </si>
  <si>
    <t>segnimiju4@gmail.com</t>
  </si>
  <si>
    <t>Miju</t>
  </si>
  <si>
    <t>yeabsraseyoum23@gmail.com</t>
  </si>
  <si>
    <t>Yeabsra Seyoum</t>
  </si>
  <si>
    <t>Hailu</t>
  </si>
  <si>
    <t>Kemise</t>
  </si>
  <si>
    <t>kalkidavi2525@gmail.com</t>
  </si>
  <si>
    <t>Vin</t>
  </si>
  <si>
    <t>gundantech@gmail.com</t>
  </si>
  <si>
    <t>GUNDAN</t>
  </si>
  <si>
    <t>TECH</t>
  </si>
  <si>
    <t>gela.sirta3@gmail.com</t>
  </si>
  <si>
    <t>Gelagay</t>
  </si>
  <si>
    <t>abenzertbjo116@gmail.com</t>
  </si>
  <si>
    <t>TMarian</t>
  </si>
  <si>
    <t>menwyeleteden@gmail.com</t>
  </si>
  <si>
    <t>Menwyelet</t>
  </si>
  <si>
    <t>gedsamhawassa9@gmail.com</t>
  </si>
  <si>
    <t>Gedion</t>
  </si>
  <si>
    <t>yonasdegarege21@gmail.com</t>
  </si>
  <si>
    <t>Yonas</t>
  </si>
  <si>
    <t>ahimadyasinm47@gmail.com</t>
  </si>
  <si>
    <t>kalebbeyene23@gmail.com</t>
  </si>
  <si>
    <t>Jemo</t>
  </si>
  <si>
    <t>shahgasaf@gmail.com</t>
  </si>
  <si>
    <t>Shahon</t>
  </si>
  <si>
    <t>Gezahegne</t>
  </si>
  <si>
    <t>kaliyanaasgedom@icloud.com</t>
  </si>
  <si>
    <t>Asgedom</t>
  </si>
  <si>
    <t>yhwh.dgse@gmail.com</t>
  </si>
  <si>
    <t>Deborah</t>
  </si>
  <si>
    <t>arwanasir04@gmail.com</t>
  </si>
  <si>
    <t>Arwa</t>
  </si>
  <si>
    <t>Kedir</t>
  </si>
  <si>
    <t>petrosberhan8@gmail.com</t>
  </si>
  <si>
    <t>Amare</t>
  </si>
  <si>
    <t>tselotmillion8@gmail.com</t>
  </si>
  <si>
    <t>Tselot</t>
  </si>
  <si>
    <t>Negussie</t>
  </si>
  <si>
    <t>zekariyas@bhu.edu.et</t>
  </si>
  <si>
    <t>Zekariyas</t>
  </si>
  <si>
    <t>bedadaa121@gmail.com</t>
  </si>
  <si>
    <t>Ashetu</t>
  </si>
  <si>
    <t>misganawayitegeb@gmail.com</t>
  </si>
  <si>
    <t>Misganaw</t>
  </si>
  <si>
    <t>Ayitegeb</t>
  </si>
  <si>
    <t>gebreslassiekahsay517@gmail.com</t>
  </si>
  <si>
    <t>Gebreslassie</t>
  </si>
  <si>
    <t>Kebedew</t>
  </si>
  <si>
    <t>biniamalemayehu281@gmail.com</t>
  </si>
  <si>
    <t>Biniam</t>
  </si>
  <si>
    <t>bogaleyordanos64@gmail.com</t>
  </si>
  <si>
    <t>Yordanos</t>
  </si>
  <si>
    <t>halidmohammed.16.hm@gmail.com</t>
  </si>
  <si>
    <t>Khalid</t>
  </si>
  <si>
    <t>Mahammed</t>
  </si>
  <si>
    <t>ermiaslemesa21@gmail.com</t>
  </si>
  <si>
    <t>Lemesa</t>
  </si>
  <si>
    <t>juharseid40@gmail.com</t>
  </si>
  <si>
    <t>Juhar</t>
  </si>
  <si>
    <t>amanuelasegid20@gmail.com</t>
  </si>
  <si>
    <t>ASEGID</t>
  </si>
  <si>
    <t>admas8100@gmail.com</t>
  </si>
  <si>
    <t>Engdashet</t>
  </si>
  <si>
    <t>guyosahar738@gmail.com</t>
  </si>
  <si>
    <t>Sahar</t>
  </si>
  <si>
    <t>Dadacha</t>
  </si>
  <si>
    <t>Harar</t>
  </si>
  <si>
    <t>niguseyeabsira@gmail.com</t>
  </si>
  <si>
    <t>Niguse</t>
  </si>
  <si>
    <t>abenidemiss300@gmail.com</t>
  </si>
  <si>
    <t>Demissew</t>
  </si>
  <si>
    <t>tadwtay@gmail.com</t>
  </si>
  <si>
    <t>Taye</t>
  </si>
  <si>
    <t>tumimtaye40@gmail.com</t>
  </si>
  <si>
    <t>Tumim</t>
  </si>
  <si>
    <t>ekedir37@gmail.com</t>
  </si>
  <si>
    <t>Ekram</t>
  </si>
  <si>
    <t>Sherif</t>
  </si>
  <si>
    <t>musemuliye21@gmail.com</t>
  </si>
  <si>
    <t>Wondmnew</t>
  </si>
  <si>
    <t>etelethiopia@gmail.com</t>
  </si>
  <si>
    <t>mettadesse@gmail.com</t>
  </si>
  <si>
    <t>meti</t>
  </si>
  <si>
    <t>tadesse</t>
  </si>
  <si>
    <t>hayatzeynu576@gmail.com</t>
  </si>
  <si>
    <t>Jemal</t>
  </si>
  <si>
    <t>betelnigatu365@gmail.com</t>
  </si>
  <si>
    <t>Betel</t>
  </si>
  <si>
    <t>miftahaadem@gmail.com</t>
  </si>
  <si>
    <t>Miftah</t>
  </si>
  <si>
    <t>Adem</t>
  </si>
  <si>
    <t>nathanshemsu03@gmail.com</t>
  </si>
  <si>
    <t>Nathan</t>
  </si>
  <si>
    <t>Shemsu</t>
  </si>
  <si>
    <t>djtadgo321@gmail.com</t>
  </si>
  <si>
    <t>Dejene</t>
  </si>
  <si>
    <t>Gojamo</t>
  </si>
  <si>
    <t>robelbelete3940@gmail.com</t>
  </si>
  <si>
    <t>robel</t>
  </si>
  <si>
    <t>belete</t>
  </si>
  <si>
    <t>mhabtamu501@gmail.com</t>
  </si>
  <si>
    <t>setesmart98@gmail.com</t>
  </si>
  <si>
    <t>setegn</t>
  </si>
  <si>
    <t>melese</t>
  </si>
  <si>
    <t>nebadave000@gmail.com</t>
  </si>
  <si>
    <t>Nebiyu</t>
  </si>
  <si>
    <t>koniabdu81@gmail.com</t>
  </si>
  <si>
    <t>Elham</t>
  </si>
  <si>
    <t>Abdu</t>
  </si>
  <si>
    <t>natimule2023@gmail.com</t>
  </si>
  <si>
    <t>Sifir</t>
  </si>
  <si>
    <t>mekyikuno@gmail.com</t>
  </si>
  <si>
    <t>meklit</t>
  </si>
  <si>
    <t>yikuno</t>
  </si>
  <si>
    <t>michaelzewdu1996@gmail.com</t>
  </si>
  <si>
    <t>Michael</t>
  </si>
  <si>
    <t>Zewdu</t>
  </si>
  <si>
    <t>eyuelmesfin4@gmail.com</t>
  </si>
  <si>
    <t>nwwnadawwondimu@gmail.com</t>
  </si>
  <si>
    <t>Nadew</t>
  </si>
  <si>
    <t>Wolancho</t>
  </si>
  <si>
    <t>truketlema9489@gmail.com</t>
  </si>
  <si>
    <t>Truket</t>
  </si>
  <si>
    <t>Haile</t>
  </si>
  <si>
    <t>nigusubezawit862@gmail.com</t>
  </si>
  <si>
    <t>Bezawit</t>
  </si>
  <si>
    <t>Nigusu</t>
  </si>
  <si>
    <t>alemu8045@gmail.com</t>
  </si>
  <si>
    <t>abubekrahmedin10@gmail.com</t>
  </si>
  <si>
    <t>Abubeker</t>
  </si>
  <si>
    <t>Ahmedin</t>
  </si>
  <si>
    <t>zekariyasamdu24@gmail.com</t>
  </si>
  <si>
    <t>Amdu</t>
  </si>
  <si>
    <t>alemayehubethelhem12@gmail.com</t>
  </si>
  <si>
    <t>Bethelhem Alemayehu</t>
  </si>
  <si>
    <t>Ejigu</t>
  </si>
  <si>
    <t>leulgezahegn485@gmail.com</t>
  </si>
  <si>
    <t>Gezahegn</t>
  </si>
  <si>
    <t>abdigashahun00@gmail.com</t>
  </si>
  <si>
    <t>Abdi</t>
  </si>
  <si>
    <t>Wandimu</t>
  </si>
  <si>
    <t>tsionshimelis900@gmail.com</t>
  </si>
  <si>
    <t>geletamieso2024@gmail.com</t>
  </si>
  <si>
    <t>Geleta</t>
  </si>
  <si>
    <t>Seboro</t>
  </si>
  <si>
    <t>asmarestu12@gmail.com</t>
  </si>
  <si>
    <t>Asmare</t>
  </si>
  <si>
    <t>johnbement8@gmail.com</t>
  </si>
  <si>
    <t>BERHANU</t>
  </si>
  <si>
    <t>shuti9387@gmail.com</t>
  </si>
  <si>
    <t>sumeya</t>
  </si>
  <si>
    <t>murad</t>
  </si>
  <si>
    <t>bizuayehuagide@gmail.com</t>
  </si>
  <si>
    <t>Bzuayehu</t>
  </si>
  <si>
    <t>Mamuye</t>
  </si>
  <si>
    <t>kallabb.8@gmail.com</t>
  </si>
  <si>
    <t>Abay</t>
  </si>
  <si>
    <t>tsionmekonnen559@gmail.com</t>
  </si>
  <si>
    <t>Tsedenia</t>
  </si>
  <si>
    <t>dagnawbeyene5@gmail.com</t>
  </si>
  <si>
    <t>Dagnaw</t>
  </si>
  <si>
    <t>rockswiftelia01@gmail.com</t>
  </si>
  <si>
    <t>solomon</t>
  </si>
  <si>
    <t>Agegn</t>
  </si>
  <si>
    <t>ditadedefo9@gmail.com</t>
  </si>
  <si>
    <t>tsegadesu6@gmail.com</t>
  </si>
  <si>
    <t>Tseganesh</t>
  </si>
  <si>
    <t>Lira</t>
  </si>
  <si>
    <t>ananiyadaniel66@gmail.com</t>
  </si>
  <si>
    <t>dankisss729@gmail.com</t>
  </si>
  <si>
    <t>Bayu</t>
  </si>
  <si>
    <t>seidahmedmoh64@gmail.com</t>
  </si>
  <si>
    <t>Seid Ahmed</t>
  </si>
  <si>
    <t>elbetelteshome2023@gmail.com</t>
  </si>
  <si>
    <t>Bethel</t>
  </si>
  <si>
    <t>Debele</t>
  </si>
  <si>
    <t>tigistubegashaw62@gmail.com</t>
  </si>
  <si>
    <t>Tigistu</t>
  </si>
  <si>
    <t>Begashaw</t>
  </si>
  <si>
    <t>iyosyastesfaye23@gmail.com</t>
  </si>
  <si>
    <t>Eyosiyas</t>
  </si>
  <si>
    <t>aberayosef123@gmail.com</t>
  </si>
  <si>
    <t>Yosef Abera</t>
  </si>
  <si>
    <t>Zerga</t>
  </si>
  <si>
    <t>efrataaklilu98@gmail.com</t>
  </si>
  <si>
    <t>Efrata</t>
  </si>
  <si>
    <t>Aklilu</t>
  </si>
  <si>
    <t>rabebe32@gmail.com</t>
  </si>
  <si>
    <t>Robel</t>
  </si>
  <si>
    <t>mesudmelaku25@gmail.com</t>
  </si>
  <si>
    <t>Mesud</t>
  </si>
  <si>
    <t>mikiyassamuel01@gmail.com</t>
  </si>
  <si>
    <t>MIKIyas</t>
  </si>
  <si>
    <t>SAmuel</t>
  </si>
  <si>
    <t>gabriellaasrat27@gmail.com</t>
  </si>
  <si>
    <t>GABRIELLA</t>
  </si>
  <si>
    <t>SEIFEGEBRIEL</t>
  </si>
  <si>
    <t>oumer7778@gmail.com</t>
  </si>
  <si>
    <t>Oumer</t>
  </si>
  <si>
    <t>abeltheodor12@gmail.com</t>
  </si>
  <si>
    <t>yordanos27tekalign@gmail.com</t>
  </si>
  <si>
    <t>Tekalign</t>
  </si>
  <si>
    <t>tewodrosgebretsadik7@gmail.com</t>
  </si>
  <si>
    <t>Gebretsadik</t>
  </si>
  <si>
    <t>endawekeanagaw3@gmail.com</t>
  </si>
  <si>
    <t>endaweke</t>
  </si>
  <si>
    <t>anagaw</t>
  </si>
  <si>
    <t>kirishe360@gmail.com</t>
  </si>
  <si>
    <t>Haddis</t>
  </si>
  <si>
    <t>Alex</t>
  </si>
  <si>
    <t>galgeberiso@gmail.com</t>
  </si>
  <si>
    <t>Gelgelo</t>
  </si>
  <si>
    <t>Beriso</t>
  </si>
  <si>
    <t>mryadanigu@gmail.com</t>
  </si>
  <si>
    <t>Yared</t>
  </si>
  <si>
    <t>Shiferaw</t>
  </si>
  <si>
    <t>tinsae16befekadu@gmail.com</t>
  </si>
  <si>
    <t>Befekadu</t>
  </si>
  <si>
    <t>gammamotivation@gmail.com</t>
  </si>
  <si>
    <t>Dagmawi</t>
  </si>
  <si>
    <t>penaye779@gmail.com</t>
  </si>
  <si>
    <t>Peniel</t>
  </si>
  <si>
    <t>Negasa</t>
  </si>
  <si>
    <t>sophoniyas09@gmail.com</t>
  </si>
  <si>
    <t>sophoniyas</t>
  </si>
  <si>
    <t>yonathanyilma0124@gmail.com</t>
  </si>
  <si>
    <t>yonathan</t>
  </si>
  <si>
    <t>yilma</t>
  </si>
  <si>
    <t>amanuelwendimu19@gmail.com</t>
  </si>
  <si>
    <t>Wendimu</t>
  </si>
  <si>
    <t>aklilwassie@gmail.com</t>
  </si>
  <si>
    <t>Wassie</t>
  </si>
  <si>
    <t>hailukaleab3118@gmail.com</t>
  </si>
  <si>
    <t>testisalih894@gmail.com</t>
  </si>
  <si>
    <t>Testi</t>
  </si>
  <si>
    <t>Salih</t>
  </si>
  <si>
    <t>tsigab.kube.aregawi2573@gmail.com</t>
  </si>
  <si>
    <t>Tsigab</t>
  </si>
  <si>
    <t>Kube</t>
  </si>
  <si>
    <t>linaahmed541@gmail.com</t>
  </si>
  <si>
    <t>Lina</t>
  </si>
  <si>
    <t>Abdela</t>
  </si>
  <si>
    <t>wendwosen03@gmail.com</t>
  </si>
  <si>
    <t>Wendwosen</t>
  </si>
  <si>
    <t>Muluneh</t>
  </si>
  <si>
    <t>abrhamasrat10@gmail.com</t>
  </si>
  <si>
    <t>Asrat</t>
  </si>
  <si>
    <t>haniyagebeyehu28@gmail.com</t>
  </si>
  <si>
    <t>Haniya</t>
  </si>
  <si>
    <t>Gebeyehu</t>
  </si>
  <si>
    <t>readykidlove@gmail.com</t>
  </si>
  <si>
    <t>Zigiju</t>
  </si>
  <si>
    <t>Worku</t>
  </si>
  <si>
    <t>amirabdu.com@gmail.com</t>
  </si>
  <si>
    <t>blankoprog86@gmail.com</t>
  </si>
  <si>
    <t>Aweke</t>
  </si>
  <si>
    <t>blenkassahun08@gmail.com</t>
  </si>
  <si>
    <t>blen</t>
  </si>
  <si>
    <t>birukedjn@gmail.com</t>
  </si>
  <si>
    <t>abelbir340@gmail.com</t>
  </si>
  <si>
    <t>Gebregzabher</t>
  </si>
  <si>
    <t>yeshi19zena@gmail.com</t>
  </si>
  <si>
    <t>Yeshituaf Assabu</t>
  </si>
  <si>
    <t>Denkew</t>
  </si>
  <si>
    <t>assefasamson24@gmail.com</t>
  </si>
  <si>
    <t>samson</t>
  </si>
  <si>
    <t>assefa</t>
  </si>
  <si>
    <t>merrygizaw55@gmail.com</t>
  </si>
  <si>
    <t>merry</t>
  </si>
  <si>
    <t>gizaw</t>
  </si>
  <si>
    <t>yafet.eth@gmail.com</t>
  </si>
  <si>
    <t>Yafet</t>
  </si>
  <si>
    <t>KoBro</t>
  </si>
  <si>
    <t>behailu.simachew4@gmail.com</t>
  </si>
  <si>
    <t>Behailu Simachew</t>
  </si>
  <si>
    <t>anthony30sa@gmail.com</t>
  </si>
  <si>
    <t>Taddesse</t>
  </si>
  <si>
    <t>abrahamyishak571@gmail.com</t>
  </si>
  <si>
    <t>Yishak</t>
  </si>
  <si>
    <t>Abraham</t>
  </si>
  <si>
    <t>regasagurmi@gmail.com</t>
  </si>
  <si>
    <t>Gurmesa</t>
  </si>
  <si>
    <t>Worke</t>
  </si>
  <si>
    <t>kaleabay99@gmail.com</t>
  </si>
  <si>
    <t>miftahkemal@gmail.com</t>
  </si>
  <si>
    <t>kemal</t>
  </si>
  <si>
    <t>merdekiyosestifanos502@gmail.com</t>
  </si>
  <si>
    <t>Merdekiyos</t>
  </si>
  <si>
    <t>tinbiteyonas52@gmail.com</t>
  </si>
  <si>
    <t>Tinbite</t>
  </si>
  <si>
    <t>bbbbem3@gmail.com</t>
  </si>
  <si>
    <t>admassu</t>
  </si>
  <si>
    <t>laladekeba@gmail.com</t>
  </si>
  <si>
    <t>Lelisa</t>
  </si>
  <si>
    <t>Keba</t>
  </si>
  <si>
    <t>soldawit143@gmail.com</t>
  </si>
  <si>
    <t>haygirum.2022@gmail.com</t>
  </si>
  <si>
    <t>GIRUM</t>
  </si>
  <si>
    <t>DESTA</t>
  </si>
  <si>
    <t>johnabe2004@gmail.com</t>
  </si>
  <si>
    <t>Abegaz</t>
  </si>
  <si>
    <t>mikemmoha23@gmail.com</t>
  </si>
  <si>
    <t>est8717@gmail.com</t>
  </si>
  <si>
    <t>Karato</t>
  </si>
  <si>
    <t>antenehgebru96@gmail.com</t>
  </si>
  <si>
    <t>Anteneh</t>
  </si>
  <si>
    <t>Gebru</t>
  </si>
  <si>
    <t>simalido721@gmail.com</t>
  </si>
  <si>
    <t>simon</t>
  </si>
  <si>
    <t>Argaw</t>
  </si>
  <si>
    <t>svacademy12m@gmail.com</t>
  </si>
  <si>
    <t>bikase</t>
  </si>
  <si>
    <t>ted.hus80@gmail.com</t>
  </si>
  <si>
    <t>Hussien</t>
  </si>
  <si>
    <t>jemmsman12@gmail.com</t>
  </si>
  <si>
    <t>nahommekuria19@gmail.com</t>
  </si>
  <si>
    <t>Mekuria</t>
  </si>
  <si>
    <t>samimihretu12@gmail.com</t>
  </si>
  <si>
    <t>kaljohn6529@gmail.com</t>
  </si>
  <si>
    <t>Kalewengel</t>
  </si>
  <si>
    <t>bantayehugeta@gmail.com</t>
  </si>
  <si>
    <t>Bantayehu</t>
  </si>
  <si>
    <t>meklittadie@gmail.com</t>
  </si>
  <si>
    <t>Talema</t>
  </si>
  <si>
    <t>lijalemman204@gmail.com</t>
  </si>
  <si>
    <t>lijalem</t>
  </si>
  <si>
    <t>Gashaye</t>
  </si>
  <si>
    <t>paulasrat240@gmail.com</t>
  </si>
  <si>
    <t>Paul</t>
  </si>
  <si>
    <t>yumna1234h@gmail.com</t>
  </si>
  <si>
    <t>Siham</t>
  </si>
  <si>
    <t>Ebrahim</t>
  </si>
  <si>
    <t>eliwak430@gmail.com</t>
  </si>
  <si>
    <t>Eliyas</t>
  </si>
  <si>
    <t>Hirpa</t>
  </si>
  <si>
    <t>melkiasapo@gmail.com</t>
  </si>
  <si>
    <t>Melkias</t>
  </si>
  <si>
    <t>Teshoma</t>
  </si>
  <si>
    <t>natnaelwosen2004@gmail.com</t>
  </si>
  <si>
    <t>melakudires240@gmail.com</t>
  </si>
  <si>
    <t>melaku</t>
  </si>
  <si>
    <t>Dires</t>
  </si>
  <si>
    <t>anexmass12@gmail.com</t>
  </si>
  <si>
    <t>Anmut</t>
  </si>
  <si>
    <t>Masresha</t>
  </si>
  <si>
    <t>yinual3@gmail.com</t>
  </si>
  <si>
    <t>YNEBEB</t>
  </si>
  <si>
    <t>betselotertumo@gmail.com</t>
  </si>
  <si>
    <t>betselot</t>
  </si>
  <si>
    <t>erdako</t>
  </si>
  <si>
    <t>yishakabraham89@gmail.com</t>
  </si>
  <si>
    <t>yohannesabel398@gmail.com</t>
  </si>
  <si>
    <t>ahmedousman777@gmail.com</t>
  </si>
  <si>
    <t>Abdle</t>
  </si>
  <si>
    <t>ytegod12@gmail.com</t>
  </si>
  <si>
    <t>Yitayew</t>
  </si>
  <si>
    <t>Tegod</t>
  </si>
  <si>
    <t>abemak556@gmail.com</t>
  </si>
  <si>
    <t>Mekonen</t>
  </si>
  <si>
    <t>nahusenaytasew@gmail.com</t>
  </si>
  <si>
    <t>Nahusenay</t>
  </si>
  <si>
    <t>Tasew</t>
  </si>
  <si>
    <t>shad1991hm@gmail.com</t>
  </si>
  <si>
    <t>Sidrak</t>
  </si>
  <si>
    <t>H</t>
  </si>
  <si>
    <t>christianeyob92@gmail.com</t>
  </si>
  <si>
    <t>eyuamd@gmail.com</t>
  </si>
  <si>
    <t>Moges</t>
  </si>
  <si>
    <t>medhintame08@gmail.com</t>
  </si>
  <si>
    <t>Medhine</t>
  </si>
  <si>
    <t>Gebregziabher</t>
  </si>
  <si>
    <t>hayuyonatan@gmail.com</t>
  </si>
  <si>
    <t>hayu</t>
  </si>
  <si>
    <t>yonatan</t>
  </si>
  <si>
    <t>nahdes@yahoo.com</t>
  </si>
  <si>
    <t>nahom</t>
  </si>
  <si>
    <t>Adisu</t>
  </si>
  <si>
    <t>yitbarekteklu5@gmail.com</t>
  </si>
  <si>
    <t>Yitbarek</t>
  </si>
  <si>
    <t>teklu</t>
  </si>
  <si>
    <t>egatakebede7@gmail.com</t>
  </si>
  <si>
    <t>Egata Hirpa</t>
  </si>
  <si>
    <t>doiamdissa94@gmail.com</t>
  </si>
  <si>
    <t>Doi</t>
  </si>
  <si>
    <t>Amdissa</t>
  </si>
  <si>
    <t>eladaba2022@gmail.com</t>
  </si>
  <si>
    <t>Daba</t>
  </si>
  <si>
    <t>solomongetasew54@gmail.com</t>
  </si>
  <si>
    <t>addisum2129@gmail.com</t>
  </si>
  <si>
    <t>Addisu</t>
  </si>
  <si>
    <t>Batu</t>
  </si>
  <si>
    <t>burka4573@gmail.com</t>
  </si>
  <si>
    <t>Burka</t>
  </si>
  <si>
    <t>ermiasmezgebe@gmail.com</t>
  </si>
  <si>
    <t>Mezgebe</t>
  </si>
  <si>
    <t>eyuelc@gmail.com</t>
  </si>
  <si>
    <t>eyuel</t>
  </si>
  <si>
    <t>cherenet</t>
  </si>
  <si>
    <t>esayasmengesha235@gmail.com</t>
  </si>
  <si>
    <t>Esayas</t>
  </si>
  <si>
    <t>Nicola</t>
  </si>
  <si>
    <t>aleeshimelis21@gmail.com</t>
  </si>
  <si>
    <t>Alazar</t>
  </si>
  <si>
    <t>endalegashaw64@gmail.com</t>
  </si>
  <si>
    <t>ENDALEW</t>
  </si>
  <si>
    <t>GASHAW</t>
  </si>
  <si>
    <t>aabiabdilahi@gmail.com</t>
  </si>
  <si>
    <t>Abdillahi</t>
  </si>
  <si>
    <t>aabi</t>
  </si>
  <si>
    <t>ellaab804@gmail.com</t>
  </si>
  <si>
    <t>Elyas</t>
  </si>
  <si>
    <t>hizkyas0@gmail.com</t>
  </si>
  <si>
    <t>Hizkyas</t>
  </si>
  <si>
    <t>yalew</t>
  </si>
  <si>
    <t>mickeykera8@gmail.com</t>
  </si>
  <si>
    <t>biniyamnur9@gmail.com</t>
  </si>
  <si>
    <t>mersy11dan@gmail.com</t>
  </si>
  <si>
    <t>Mihret</t>
  </si>
  <si>
    <t>mameali2285@gmail.com</t>
  </si>
  <si>
    <t>MAHAMAD</t>
  </si>
  <si>
    <t>ABDULAHI</t>
  </si>
  <si>
    <t>behaylugule@gmail.com</t>
  </si>
  <si>
    <t>Behaylu</t>
  </si>
  <si>
    <t>Gebrekidan</t>
  </si>
  <si>
    <t>selamgkirstos12@gmail.com</t>
  </si>
  <si>
    <t>Selam</t>
  </si>
  <si>
    <t>Gebreyohannes</t>
  </si>
  <si>
    <t>kedirseid48@gmail.com</t>
  </si>
  <si>
    <t>bamlakefele@gmail.com</t>
  </si>
  <si>
    <t>Bamlake</t>
  </si>
  <si>
    <t>Sugamo</t>
  </si>
  <si>
    <t>leoulzerihun06@gmail.com</t>
  </si>
  <si>
    <t>Leoul</t>
  </si>
  <si>
    <t>Tafesse</t>
  </si>
  <si>
    <t>fraolm41@gmail.com</t>
  </si>
  <si>
    <t>Firaol</t>
  </si>
  <si>
    <t>Merga</t>
  </si>
  <si>
    <t>abinettsegawabinet@gmail.com</t>
  </si>
  <si>
    <t>Abinet</t>
  </si>
  <si>
    <t>Aragie</t>
  </si>
  <si>
    <t>munaofii@gmail.com</t>
  </si>
  <si>
    <t>Beka</t>
  </si>
  <si>
    <t>nati.sami.mata@gmail.com</t>
  </si>
  <si>
    <t>Sameul</t>
  </si>
  <si>
    <t>zeruamar87@gmail.com</t>
  </si>
  <si>
    <t>Amar</t>
  </si>
  <si>
    <t>Ereta</t>
  </si>
  <si>
    <t>ebsaebse@gmail.com</t>
  </si>
  <si>
    <t>Ebise</t>
  </si>
  <si>
    <t>Jinfessa</t>
  </si>
  <si>
    <t>surafelmoges01@gmail.com</t>
  </si>
  <si>
    <t>nebiyuyonas111@gmail.com</t>
  </si>
  <si>
    <t>Woldesemayat</t>
  </si>
  <si>
    <t>tareqaldhaifani@gmail.com</t>
  </si>
  <si>
    <t>Tareq</t>
  </si>
  <si>
    <t>Aldhaifani</t>
  </si>
  <si>
    <t>kidusmekuria9@gmail.com</t>
  </si>
  <si>
    <t>abrhamyishak222@gmail.com</t>
  </si>
  <si>
    <t>Yifat</t>
  </si>
  <si>
    <t>eredietgebrehiwot@gmail.com</t>
  </si>
  <si>
    <t>Erediet</t>
  </si>
  <si>
    <t>Gebreiwot</t>
  </si>
  <si>
    <t>yagidaobit@gmail.com</t>
  </si>
  <si>
    <t>imranabdella47@gmail.com</t>
  </si>
  <si>
    <t>Imran</t>
  </si>
  <si>
    <t>pasegid@gmail.com</t>
  </si>
  <si>
    <t>Asegid</t>
  </si>
  <si>
    <t>natitilahun2@gmail.com</t>
  </si>
  <si>
    <t>Tebelu</t>
  </si>
  <si>
    <t>natinael.96@gmail.com</t>
  </si>
  <si>
    <t>Natinael</t>
  </si>
  <si>
    <t>Mequanent</t>
  </si>
  <si>
    <t>yohannessolomontesh373@gmail.com</t>
  </si>
  <si>
    <t>eyualemu777@gmail.com</t>
  </si>
  <si>
    <t>bethg0924@gmail.com</t>
  </si>
  <si>
    <t>Bethlehem</t>
  </si>
  <si>
    <t>ermonaadisu@gmail.com</t>
  </si>
  <si>
    <t>Ermona</t>
  </si>
  <si>
    <t>tamrathabtamu1@gmail.com</t>
  </si>
  <si>
    <t>tamrat</t>
  </si>
  <si>
    <t>hoyeso</t>
  </si>
  <si>
    <t>tigistalexgech@gmail.com</t>
  </si>
  <si>
    <t>haileyesusasrat7@gmail.com</t>
  </si>
  <si>
    <t>Haileyesus</t>
  </si>
  <si>
    <t>eyujoel08@gmail.com</t>
  </si>
  <si>
    <t>desyegashaw0@gmail.com</t>
  </si>
  <si>
    <t>Desye</t>
  </si>
  <si>
    <t>Wasie</t>
  </si>
  <si>
    <t>abrhamkindie805@gmail.com</t>
  </si>
  <si>
    <t>takele</t>
  </si>
  <si>
    <t>mnati8779@gmail.com</t>
  </si>
  <si>
    <t>Wondimu</t>
  </si>
  <si>
    <t>mesalemtsegaye@gmail.com</t>
  </si>
  <si>
    <t>Mesale</t>
  </si>
  <si>
    <t>yared4193@gmail.com</t>
  </si>
  <si>
    <t>Azene</t>
  </si>
  <si>
    <t>kidusptr@gmail.com</t>
  </si>
  <si>
    <t>saronabebe2019@gmail.com</t>
  </si>
  <si>
    <t>Saron</t>
  </si>
  <si>
    <t>Demisu</t>
  </si>
  <si>
    <t>cstafesebiruk23@gmail.com</t>
  </si>
  <si>
    <t>Tafese</t>
  </si>
  <si>
    <t>amirnasir7530@gmail.com</t>
  </si>
  <si>
    <t>Naser</t>
  </si>
  <si>
    <t>ermiyas4944@gmail.com</t>
  </si>
  <si>
    <t>Tadese</t>
  </si>
  <si>
    <t>hailenigist123@gmail.com</t>
  </si>
  <si>
    <t>Hailegebriel</t>
  </si>
  <si>
    <t>natnaelabebe848@gmail.com</t>
  </si>
  <si>
    <t>seudsahm2@gmail.com</t>
  </si>
  <si>
    <t>Seud</t>
  </si>
  <si>
    <t>bezawitelias99@gmail.com</t>
  </si>
  <si>
    <t>hikma0227@gmail.com</t>
  </si>
  <si>
    <t>Hikma</t>
  </si>
  <si>
    <t>Ibrahim</t>
  </si>
  <si>
    <t>isaacgursha569@gmail.com</t>
  </si>
  <si>
    <t>Yisehak</t>
  </si>
  <si>
    <t>yeshuash2002@gmail.com</t>
  </si>
  <si>
    <t>Regassa</t>
  </si>
  <si>
    <t>gizawnati27@gmail.com</t>
  </si>
  <si>
    <t>Aeman</t>
  </si>
  <si>
    <t>yafetzekarias23@gmail.com</t>
  </si>
  <si>
    <t>yafet</t>
  </si>
  <si>
    <t>zekariyas</t>
  </si>
  <si>
    <t>abuhubeybibnuabdella@gmail.com</t>
  </si>
  <si>
    <t>bobbysalah62@gmail.com</t>
  </si>
  <si>
    <t>workeabigiya08@gmail.com</t>
  </si>
  <si>
    <t>Abigiya</t>
  </si>
  <si>
    <t>dagimfasil78@gmail.com</t>
  </si>
  <si>
    <t>sihambirhanu4@gmail.com</t>
  </si>
  <si>
    <t>abenezerdanielnigistab@gmail.com</t>
  </si>
  <si>
    <t>redwannugus@gmail.com</t>
  </si>
  <si>
    <t>Redwan</t>
  </si>
  <si>
    <t>Mohammad</t>
  </si>
  <si>
    <t>yohanness1621@gmail.com</t>
  </si>
  <si>
    <t>desalegn</t>
  </si>
  <si>
    <t>yohanagezahagn@gmail.com</t>
  </si>
  <si>
    <t>Yohana</t>
  </si>
  <si>
    <t>kebedomhagos00@gmail.com</t>
  </si>
  <si>
    <t>HAGOS</t>
  </si>
  <si>
    <t>KEBEDOM</t>
  </si>
  <si>
    <t>matanworkneh77@gmail.com</t>
  </si>
  <si>
    <t>Matan</t>
  </si>
  <si>
    <t>Workneh</t>
  </si>
  <si>
    <t>eyualalemu2002@gmail.com</t>
  </si>
  <si>
    <t>Eyual</t>
  </si>
  <si>
    <t>meksudreshid47@gmail.com</t>
  </si>
  <si>
    <t>Meksud</t>
  </si>
  <si>
    <t>getacheweyuel3@gmail.com</t>
  </si>
  <si>
    <t>Beteselase</t>
  </si>
  <si>
    <t>ezanasfu@gmail.com</t>
  </si>
  <si>
    <t>Ezana</t>
  </si>
  <si>
    <t>Seifu</t>
  </si>
  <si>
    <t>eyufeyisa7@gmail.com</t>
  </si>
  <si>
    <t>Eyyu</t>
  </si>
  <si>
    <t>ymebratu64@gmail.com</t>
  </si>
  <si>
    <t>Gebremariam</t>
  </si>
  <si>
    <t>natigirma.code@gmail.com</t>
  </si>
  <si>
    <t>Fatula</t>
  </si>
  <si>
    <t>debelelbethel@gmail.com</t>
  </si>
  <si>
    <t>batatefera7@gmail.com</t>
  </si>
  <si>
    <t>Bata</t>
  </si>
  <si>
    <t>kebede</t>
  </si>
  <si>
    <t>adimasuba123@gmail.com</t>
  </si>
  <si>
    <t>ADIMASU</t>
  </si>
  <si>
    <t>BASHU</t>
  </si>
  <si>
    <t>nathanpreneur7@gmail.com</t>
  </si>
  <si>
    <t>Natnael Abebe</t>
  </si>
  <si>
    <t>Demesie</t>
  </si>
  <si>
    <t>ruthephrem1925@gmail.com</t>
  </si>
  <si>
    <t>Bahiru</t>
  </si>
  <si>
    <t>yaficofi@gmail.com</t>
  </si>
  <si>
    <t>johnbement575@gmail.com</t>
  </si>
  <si>
    <t>ayalewtamiru548@gmail.com</t>
  </si>
  <si>
    <t>Ayalew</t>
  </si>
  <si>
    <t>Deriseh</t>
  </si>
  <si>
    <t>hosedereje@gmail.com</t>
  </si>
  <si>
    <t>Hosie</t>
  </si>
  <si>
    <t>fassika53@gmail.com</t>
  </si>
  <si>
    <t>Fassika</t>
  </si>
  <si>
    <t>isam.ahmedh8@gmail.com</t>
  </si>
  <si>
    <t>Isam</t>
  </si>
  <si>
    <t>yosef.debela@ju.edu.et</t>
  </si>
  <si>
    <t>mikyast01@gmail.com</t>
  </si>
  <si>
    <t>Mikyas</t>
  </si>
  <si>
    <t>tadessebirhanu000@gmail.com</t>
  </si>
  <si>
    <t>aarongebremariam.94@gmail.com</t>
  </si>
  <si>
    <t>Aaron</t>
  </si>
  <si>
    <t>GebreMariam</t>
  </si>
  <si>
    <t>eyobedtewodros106@gmail.com</t>
  </si>
  <si>
    <t>Eyobed</t>
  </si>
  <si>
    <t>belemagirma31@gmail.com</t>
  </si>
  <si>
    <t>Belema</t>
  </si>
  <si>
    <t>kevenwedialex@gmail.com</t>
  </si>
  <si>
    <t>Keven</t>
  </si>
  <si>
    <t>Gebreslasie</t>
  </si>
  <si>
    <t>aderawyeshwa@gmail.com</t>
  </si>
  <si>
    <t>Aderaw</t>
  </si>
  <si>
    <t>Kebebew</t>
  </si>
  <si>
    <t>dagmawigashaw339@gmail.com</t>
  </si>
  <si>
    <t>Gashaw</t>
  </si>
  <si>
    <t>ddtsquad24@gmail.com</t>
  </si>
  <si>
    <t>Rabira</t>
  </si>
  <si>
    <t>Tolossa</t>
  </si>
  <si>
    <t>uraelyafet@gmail.com</t>
  </si>
  <si>
    <t>romanabdella74@gmail.com</t>
  </si>
  <si>
    <t>Hamza</t>
  </si>
  <si>
    <t>maykberahigoitom.pro@gmail.com</t>
  </si>
  <si>
    <t>mayk</t>
  </si>
  <si>
    <t>goitom</t>
  </si>
  <si>
    <t>hermelatesfayebekele@gmail.com</t>
  </si>
  <si>
    <t>bekumabiranu978@gmail.com</t>
  </si>
  <si>
    <t>Bekuma</t>
  </si>
  <si>
    <t>Biranu</t>
  </si>
  <si>
    <t>betelhemgirum89@gmail.com</t>
  </si>
  <si>
    <t>Betelhem</t>
  </si>
  <si>
    <t>girum</t>
  </si>
  <si>
    <t>cdd91472@gmail.com</t>
  </si>
  <si>
    <t>natnaeltamiru98@gmail.com</t>
  </si>
  <si>
    <t>Tamiru</t>
  </si>
  <si>
    <t>fenet128t@gmail.com</t>
  </si>
  <si>
    <t>fenet</t>
  </si>
  <si>
    <t>hamajispic@gmail.com</t>
  </si>
  <si>
    <t>Nafargi</t>
  </si>
  <si>
    <t>Damena</t>
  </si>
  <si>
    <t>merrymary121212@gmail.com</t>
  </si>
  <si>
    <t>Mery</t>
  </si>
  <si>
    <t>surafelgetu1415@gmail.com</t>
  </si>
  <si>
    <t>surafel</t>
  </si>
  <si>
    <t>getu</t>
  </si>
  <si>
    <t>metthewsteferi@gmail.com</t>
  </si>
  <si>
    <t>251910504252</t>
  </si>
  <si>
    <t xml:space="preserve">Email </t>
  </si>
  <si>
    <t>First Name</t>
  </si>
  <si>
    <t xml:space="preserve">  Last Name</t>
  </si>
  <si>
    <t>phone number</t>
  </si>
  <si>
    <t>Status</t>
  </si>
  <si>
    <t>Program</t>
  </si>
  <si>
    <t>Call Status</t>
  </si>
  <si>
    <t>Could you kindly log in to alxethiopia.com right now?</t>
  </si>
  <si>
    <t xml:space="preserve">
If they are unable to log in right now, what could be the reason?</t>
  </si>
  <si>
    <t xml:space="preserve">
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</si>
  <si>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</si>
  <si>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</si>
  <si>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</si>
  <si>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</si>
  <si>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</si>
  <si>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</si>
  <si>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 xml:space="preserve">Additonal Comment </t>
  </si>
  <si>
    <t>Nati</t>
  </si>
  <si>
    <t>Front-End</t>
  </si>
  <si>
    <t>Reached</t>
  </si>
  <si>
    <t>NO</t>
  </si>
  <si>
    <t>Not interested</t>
  </si>
  <si>
    <t>Not interested anymore</t>
  </si>
  <si>
    <t>Not interested at the moment</t>
  </si>
  <si>
    <t>Won't Attend</t>
  </si>
  <si>
    <t>Not Interested</t>
  </si>
  <si>
    <t>Wanted Other Cource</t>
  </si>
  <si>
    <t>Enrolled AI Kit</t>
  </si>
  <si>
    <t>Knows the process</t>
  </si>
  <si>
    <t>Later Today</t>
  </si>
  <si>
    <t>No contact need</t>
  </si>
  <si>
    <t>Done</t>
  </si>
  <si>
    <t>They Will Finish</t>
  </si>
  <si>
    <t>Back-end</t>
  </si>
  <si>
    <t>Not in a comfortable situation</t>
  </si>
  <si>
    <t>Phone call</t>
  </si>
  <si>
    <t>Today</t>
  </si>
  <si>
    <t>YES</t>
  </si>
  <si>
    <t xml:space="preserve">Immediately </t>
  </si>
  <si>
    <t>done</t>
  </si>
  <si>
    <t>Aready Finished</t>
  </si>
  <si>
    <t>Already Finished</t>
  </si>
  <si>
    <t>PW</t>
  </si>
  <si>
    <t>Enrolled</t>
  </si>
  <si>
    <t>Already enrolled</t>
  </si>
  <si>
    <t>This Week</t>
  </si>
  <si>
    <t>Unable to Talk</t>
  </si>
  <si>
    <t>Thought it was free</t>
  </si>
  <si>
    <t>Can't Afford</t>
  </si>
  <si>
    <t>Enrolled last year</t>
  </si>
  <si>
    <t>Busy</t>
  </si>
  <si>
    <t>Friday</t>
  </si>
  <si>
    <t>Wednesday</t>
  </si>
  <si>
    <t>not interested</t>
  </si>
  <si>
    <t>Staff</t>
  </si>
  <si>
    <t>Language</t>
  </si>
  <si>
    <t xml:space="preserve">Laguage </t>
  </si>
  <si>
    <t xml:space="preserve">Done </t>
  </si>
  <si>
    <t>Will pass the message</t>
  </si>
  <si>
    <t>They will pass the messagee</t>
  </si>
  <si>
    <t>Can't afford</t>
  </si>
  <si>
    <t>Too busy schedule</t>
  </si>
  <si>
    <t>Internet access</t>
  </si>
  <si>
    <t xml:space="preserve">Not interested </t>
  </si>
  <si>
    <t>Applied for DS</t>
  </si>
  <si>
    <t>Phone Not Working</t>
  </si>
  <si>
    <t>Not Picking Up</t>
  </si>
  <si>
    <t>kiratsagatiru000@gmail.com</t>
  </si>
  <si>
    <t>Kirubel</t>
  </si>
  <si>
    <t>Wondu</t>
  </si>
  <si>
    <t>sisayngusey16@gmail.com</t>
  </si>
  <si>
    <t>ngusey</t>
  </si>
  <si>
    <t>shadyroba3@gmail.com</t>
  </si>
  <si>
    <t>Gonfa</t>
  </si>
  <si>
    <t>marietamiru@gmail.com</t>
  </si>
  <si>
    <t>betelhem08@gmail.com</t>
  </si>
  <si>
    <t>betelhem</t>
  </si>
  <si>
    <t>abdulazizseb1@gmail.com</t>
  </si>
  <si>
    <t>Abdulaziz</t>
  </si>
  <si>
    <t>sadikabdela@hotmail.com</t>
  </si>
  <si>
    <t>Sadik</t>
  </si>
  <si>
    <t>Musa</t>
  </si>
  <si>
    <t>amanuelabrhamagape@gmail.com</t>
  </si>
  <si>
    <t>zednig2017@gmail.comzed</t>
  </si>
  <si>
    <t>Zegeye</t>
  </si>
  <si>
    <t>mikiyasgebre@1912gmail.com</t>
  </si>
  <si>
    <t>Thomas</t>
  </si>
  <si>
    <t>yilkaldaniel70@gmail.com</t>
  </si>
  <si>
    <t>Yilkal</t>
  </si>
  <si>
    <t>lidiaddisu36@gmail.com</t>
  </si>
  <si>
    <t>heneryy61@gmail.com</t>
  </si>
  <si>
    <t>Henery Yisak</t>
  </si>
  <si>
    <t>Reasehaimanot</t>
  </si>
  <si>
    <t>efratadejene15@gmail.com</t>
  </si>
  <si>
    <t>tadekaldas1992@gmail.com</t>
  </si>
  <si>
    <t>Menaso</t>
  </si>
  <si>
    <t>yosfemyayu@gmail.com</t>
  </si>
  <si>
    <t>Emyayu</t>
  </si>
  <si>
    <t>fikareselam.tesema@gmail.com</t>
  </si>
  <si>
    <t>FikareSelam</t>
  </si>
  <si>
    <t>Tesema</t>
  </si>
  <si>
    <t>eshetuaddis00@gmail.com</t>
  </si>
  <si>
    <t>Eshetu</t>
  </si>
  <si>
    <t>birhanushiferaw29@gmail.com</t>
  </si>
  <si>
    <t>amanalex66@gmail.com</t>
  </si>
  <si>
    <t>reabdabi@gmail.com</t>
  </si>
  <si>
    <t>Reab</t>
  </si>
  <si>
    <t>Dabi</t>
  </si>
  <si>
    <t>semalignm@gmail.com</t>
  </si>
  <si>
    <t>Semalign</t>
  </si>
  <si>
    <t>Markos</t>
  </si>
  <si>
    <t>tilahunwegene.t@gmail.com</t>
  </si>
  <si>
    <t>Wegene</t>
  </si>
  <si>
    <t>chernettafesse35@gmail.com</t>
  </si>
  <si>
    <t>Chernet</t>
  </si>
  <si>
    <t>miman0296@gmail.com</t>
  </si>
  <si>
    <t>Iman</t>
  </si>
  <si>
    <t>yosefgmariam41@gmail.com</t>
  </si>
  <si>
    <t>yosef</t>
  </si>
  <si>
    <t>gebremariam</t>
  </si>
  <si>
    <t>tsionwubale22@gmail.com</t>
  </si>
  <si>
    <t>tesfminte@gmail.com</t>
  </si>
  <si>
    <t>Mintesnot</t>
  </si>
  <si>
    <t>Megisso</t>
  </si>
  <si>
    <t>tsegaab04@gmail.com</t>
  </si>
  <si>
    <t>Tsegab</t>
  </si>
  <si>
    <t>Zeyede</t>
  </si>
  <si>
    <t>elshadaytalu037@gmail.com</t>
  </si>
  <si>
    <t>Talu</t>
  </si>
  <si>
    <t>meronbirhanu522@gmail.com</t>
  </si>
  <si>
    <t>natanshimelis041@gmail.com</t>
  </si>
  <si>
    <t>munirn490@gmail.com</t>
  </si>
  <si>
    <t>Munir</t>
  </si>
  <si>
    <t>Nasr</t>
  </si>
  <si>
    <t>gechagech21@gmail.com</t>
  </si>
  <si>
    <t>Getasew</t>
  </si>
  <si>
    <t>ruthalexbaya@gmail.com</t>
  </si>
  <si>
    <t>ruthjewaro@gmail.com</t>
  </si>
  <si>
    <t>Jewaro</t>
  </si>
  <si>
    <t>yaredabadi2149@gmail.com</t>
  </si>
  <si>
    <t>Gebrekirestos</t>
  </si>
  <si>
    <t>esmaeluta@gmail.com</t>
  </si>
  <si>
    <t>Esmael</t>
  </si>
  <si>
    <t>Uta</t>
  </si>
  <si>
    <t>daniaabdulmalik662@gmail.com</t>
  </si>
  <si>
    <t>Dania</t>
  </si>
  <si>
    <t>Ebro</t>
  </si>
  <si>
    <t>kidoexplore@gmail.com</t>
  </si>
  <si>
    <t>remedanhyeredin@gmail.com</t>
  </si>
  <si>
    <t>Remedan</t>
  </si>
  <si>
    <t>mahiaregahegn1@gmail.com</t>
  </si>
  <si>
    <t>Aregahegn</t>
  </si>
  <si>
    <t>yord.alemayehu@gmail.com</t>
  </si>
  <si>
    <t>yabsrashimekt@gmail.com</t>
  </si>
  <si>
    <t>nafyadhailu99@gmail.com</t>
  </si>
  <si>
    <t>Nafyad</t>
  </si>
  <si>
    <t>masreshashumye03@gmail.com</t>
  </si>
  <si>
    <t>addisada810@gmail.com</t>
  </si>
  <si>
    <t>Adune</t>
  </si>
  <si>
    <t>lisanm201024@gmail.com</t>
  </si>
  <si>
    <t>Melkamu</t>
  </si>
  <si>
    <t>Mola</t>
  </si>
  <si>
    <t>linabelay221292@gmail.com</t>
  </si>
  <si>
    <t>lina</t>
  </si>
  <si>
    <t>tamenemihret@gmail.com</t>
  </si>
  <si>
    <t>Mihret Tamene</t>
  </si>
  <si>
    <t>hanibalgirmay@gmail.com</t>
  </si>
  <si>
    <t>Hanibal</t>
  </si>
  <si>
    <t>yosefsamuel87@gmail.com</t>
  </si>
  <si>
    <t>YOSEF</t>
  </si>
  <si>
    <t>kekeshetu@gmail.com</t>
  </si>
  <si>
    <t>Keamlak</t>
  </si>
  <si>
    <t>nasnesredin281@gmail.com</t>
  </si>
  <si>
    <t>Nesredin</t>
  </si>
  <si>
    <t>nuredinadem720@gmail.com</t>
  </si>
  <si>
    <t>Nuredin</t>
  </si>
  <si>
    <t>belayasfawu600@gmail.como</t>
  </si>
  <si>
    <t>Belay Asfaw</t>
  </si>
  <si>
    <t>Gindaba</t>
  </si>
  <si>
    <t>kalida456@gmail.com</t>
  </si>
  <si>
    <t>Kaid</t>
  </si>
  <si>
    <t>addscobashu@gmail.com</t>
  </si>
  <si>
    <t>Ayalkibet</t>
  </si>
  <si>
    <t>Aldabo</t>
  </si>
  <si>
    <t>asiyaburka@gmail.com</t>
  </si>
  <si>
    <t>Asiya</t>
  </si>
  <si>
    <t>Gudure</t>
  </si>
  <si>
    <t>estifanosabera143@gmail.com</t>
  </si>
  <si>
    <t>ESTIFANOS</t>
  </si>
  <si>
    <t>LEMA</t>
  </si>
  <si>
    <t>danielshelema11@gmail.com</t>
  </si>
  <si>
    <t>Mogasa</t>
  </si>
  <si>
    <t>zyegif@gmail.com</t>
  </si>
  <si>
    <t>Zekaryas</t>
  </si>
  <si>
    <t>sharmaakerooblemoordhe@gmail.com</t>
  </si>
  <si>
    <t>Sharmaake</t>
  </si>
  <si>
    <t>Rooble</t>
  </si>
  <si>
    <t>hailugidey85@gmail.com</t>
  </si>
  <si>
    <t>Mebratu</t>
  </si>
  <si>
    <t>cami.fg44@gmail.com</t>
  </si>
  <si>
    <t>ammonb6@gmail.com</t>
  </si>
  <si>
    <t>Ammon</t>
  </si>
  <si>
    <t>Leuleseged</t>
  </si>
  <si>
    <t>amannure77@gmail.com</t>
  </si>
  <si>
    <t>tsalilew@gmail.com</t>
  </si>
  <si>
    <t>Salilew</t>
  </si>
  <si>
    <t>berhanuersamo@gmail.com</t>
  </si>
  <si>
    <t>Berhanu Ersamo</t>
  </si>
  <si>
    <t>Gabore</t>
  </si>
  <si>
    <t>mickobooss88@gmail.com</t>
  </si>
  <si>
    <t>Michael Arega</t>
  </si>
  <si>
    <t>abaynehdemesa@gmail.com</t>
  </si>
  <si>
    <t>Abayneh</t>
  </si>
  <si>
    <t>Demesa</t>
  </si>
  <si>
    <t>fasilteshsoft@gmail.com</t>
  </si>
  <si>
    <t>tsegakabeta5@gmail.com</t>
  </si>
  <si>
    <t>Gelalcha</t>
  </si>
  <si>
    <t>www.abdre1@gmail.com</t>
  </si>
  <si>
    <t>zewdieworkneh1942@gmail.com</t>
  </si>
  <si>
    <t>Zewdie</t>
  </si>
  <si>
    <t>sbintucumer@gmail.com</t>
  </si>
  <si>
    <t>EHSAN</t>
  </si>
  <si>
    <t>OLHAYE</t>
  </si>
  <si>
    <t>2421elias@gmail.com</t>
  </si>
  <si>
    <t>ELIAS</t>
  </si>
  <si>
    <t>GEBREKIDAN</t>
  </si>
  <si>
    <t>hnktefera@gmail.com</t>
  </si>
  <si>
    <t>hagosm68@gmail.com</t>
  </si>
  <si>
    <t>Hagos</t>
  </si>
  <si>
    <t>Mebrahtom</t>
  </si>
  <si>
    <t>segnigirma11@gmail.com</t>
  </si>
  <si>
    <t>hebronenyeww@gmail.com</t>
  </si>
  <si>
    <t>Hebron</t>
  </si>
  <si>
    <t>Enyew</t>
  </si>
  <si>
    <t>abrehamwondimu13@gmail.com</t>
  </si>
  <si>
    <t>Abreham</t>
  </si>
  <si>
    <t>Buzuneh</t>
  </si>
  <si>
    <t>waiswaroni@gmail.com</t>
  </si>
  <si>
    <t>Ronald</t>
  </si>
  <si>
    <t>Waiswa</t>
  </si>
  <si>
    <t>abrham.kidu512@gmail.com</t>
  </si>
  <si>
    <t>zawdetadesse2014@gmail.com</t>
  </si>
  <si>
    <t>Zawde</t>
  </si>
  <si>
    <t>TAdesse</t>
  </si>
  <si>
    <t>misramuzeyin12@gmail.com</t>
  </si>
  <si>
    <t>Muzeyin</t>
  </si>
  <si>
    <t>ahmedmahjoub1717@gmail.com</t>
  </si>
  <si>
    <t>Mahjoub</t>
  </si>
  <si>
    <t>nebagela439@gmail.com</t>
  </si>
  <si>
    <t>Nebiyu Gelagay</t>
  </si>
  <si>
    <t>Emiru</t>
  </si>
  <si>
    <t>yitdan17@gmail.com</t>
  </si>
  <si>
    <t>anwarmehamed872@gmail.com</t>
  </si>
  <si>
    <t>Anwar</t>
  </si>
  <si>
    <t>amanuelsamsonbayu@gmail.com</t>
  </si>
  <si>
    <t>Amanuel Samson</t>
  </si>
  <si>
    <t>berhanuabel25@gmail.com</t>
  </si>
  <si>
    <t>Berhanu</t>
  </si>
  <si>
    <t>mihretaman@gmail.com</t>
  </si>
  <si>
    <t>SIGAMO</t>
  </si>
  <si>
    <t>lemmitamiru721@gmail.com</t>
  </si>
  <si>
    <t>Lemmi</t>
  </si>
  <si>
    <t>Tasissa</t>
  </si>
  <si>
    <t>fanossetie077@gmail.com</t>
  </si>
  <si>
    <t>Setie</t>
  </si>
  <si>
    <t>eyosiyashabtam41@gmail.com</t>
  </si>
  <si>
    <t>eyosiyas</t>
  </si>
  <si>
    <t>Wodaynew</t>
  </si>
  <si>
    <t>yohannestadeleac@gmail.com</t>
  </si>
  <si>
    <t>hizkyastadele@gmail.com</t>
  </si>
  <si>
    <t>hizkyas tadele</t>
  </si>
  <si>
    <t>kotiso</t>
  </si>
  <si>
    <t>henokmekonnen24@gmail.com</t>
  </si>
  <si>
    <t>Gebreyohanes</t>
  </si>
  <si>
    <t>kalhaile094155@gmail.com</t>
  </si>
  <si>
    <t>Kaleab Hailemariam</t>
  </si>
  <si>
    <t>Ferede</t>
  </si>
  <si>
    <t>giftikebede21@gmail.com</t>
  </si>
  <si>
    <t>Gifti</t>
  </si>
  <si>
    <t>izedarahmed11@gmail.com</t>
  </si>
  <si>
    <t>Izedar</t>
  </si>
  <si>
    <t>izedarahmed@gmail.com</t>
  </si>
  <si>
    <t>roznoviski23@gmail.com</t>
  </si>
  <si>
    <t>misgana</t>
  </si>
  <si>
    <t>shibiru</t>
  </si>
  <si>
    <t>redietasfawzuzu@gmail.com</t>
  </si>
  <si>
    <t>birukdesalegn961@gmail.com</t>
  </si>
  <si>
    <t>Bizuayehu</t>
  </si>
  <si>
    <t>anwarbey2002@gmail.com</t>
  </si>
  <si>
    <t>amanuelberhe2198@gmail.com</t>
  </si>
  <si>
    <t>Berhe</t>
  </si>
  <si>
    <t>manmame066@gmail.com</t>
  </si>
  <si>
    <t>mnahom23@gmail.com</t>
  </si>
  <si>
    <t>fenanbeyene12@gmail.com</t>
  </si>
  <si>
    <t>ysenamoss@gmail.com</t>
  </si>
  <si>
    <t>Sena</t>
  </si>
  <si>
    <t>Y</t>
  </si>
  <si>
    <t>fenetdamena74@gmail.com</t>
  </si>
  <si>
    <t>Fenet</t>
  </si>
  <si>
    <t>gebretewodros73@gmail.com</t>
  </si>
  <si>
    <t>Gebre</t>
  </si>
  <si>
    <t>dereje.legesse232@gmail.com</t>
  </si>
  <si>
    <t>Obole</t>
  </si>
  <si>
    <t>rediendalk22@gmail.com</t>
  </si>
  <si>
    <t>Rediet Endalkachew</t>
  </si>
  <si>
    <t>abenezerhailu25@gmail.com</t>
  </si>
  <si>
    <t>samifasu527@gmail.com</t>
  </si>
  <si>
    <t>ruttty00@gmail.com</t>
  </si>
  <si>
    <t>Ruhama</t>
  </si>
  <si>
    <t>ribikaayele@gmail.com</t>
  </si>
  <si>
    <t>Ribika</t>
  </si>
  <si>
    <t>Ayide</t>
  </si>
  <si>
    <t>mengsteyordanos328@gmail.com</t>
  </si>
  <si>
    <t>Mengste</t>
  </si>
  <si>
    <t>meronaddisu66@gmail.com</t>
  </si>
  <si>
    <t>meronaddisu55@gmail.com</t>
  </si>
  <si>
    <t>eliasmengis2@gmail.com</t>
  </si>
  <si>
    <t>dagmawimisker1@gmail.com</t>
  </si>
  <si>
    <t>dagmawi</t>
  </si>
  <si>
    <t>misker</t>
  </si>
  <si>
    <t>alemgezahu7@gmail.com</t>
  </si>
  <si>
    <t>Alemgezahu</t>
  </si>
  <si>
    <t>Akeberegn</t>
  </si>
  <si>
    <t>gelanafiraol@gmail.com</t>
  </si>
  <si>
    <t>Ararsa</t>
  </si>
  <si>
    <t>azariadaniel360@gmail.com</t>
  </si>
  <si>
    <t>Azaria</t>
  </si>
  <si>
    <t>alemugemechu44@gmail.com</t>
  </si>
  <si>
    <t>Gemechu</t>
  </si>
  <si>
    <t>Bedasa</t>
  </si>
  <si>
    <t>mamarhabtamu570@gmail.com</t>
  </si>
  <si>
    <t>Mamar</t>
  </si>
  <si>
    <t>tesfay1069@gmail.com</t>
  </si>
  <si>
    <t>Tesfay</t>
  </si>
  <si>
    <t>Ghebrehiwet</t>
  </si>
  <si>
    <t>tsehayilkal21@gmail.com</t>
  </si>
  <si>
    <t>yilkal</t>
  </si>
  <si>
    <t>zelalem</t>
  </si>
  <si>
    <t>kirub21gulilat@gmail.com</t>
  </si>
  <si>
    <t>gulilat</t>
  </si>
  <si>
    <t>meronbirhanuuu@gmail.com</t>
  </si>
  <si>
    <t>Bergena</t>
  </si>
  <si>
    <t>kiyagnegash@gmail.com</t>
  </si>
  <si>
    <t>Kiya</t>
  </si>
  <si>
    <t>alazaremls44@gmail.com</t>
  </si>
  <si>
    <t>tesfaye.ngatu123@gmail.com</t>
  </si>
  <si>
    <t>Derbe</t>
  </si>
  <si>
    <t>kinfegebrieltesema@gmail.com</t>
  </si>
  <si>
    <t>Kinfegebriel Kebede</t>
  </si>
  <si>
    <t>dagitsehay121921@gmail.com</t>
  </si>
  <si>
    <t>Dagemawie</t>
  </si>
  <si>
    <t>Tsehay</t>
  </si>
  <si>
    <t>benealtibebu1@gmail.com</t>
  </si>
  <si>
    <t>Beneal</t>
  </si>
  <si>
    <t>Tibebu</t>
  </si>
  <si>
    <t>linaalemayehu1@gmail.com</t>
  </si>
  <si>
    <t>Lulu</t>
  </si>
  <si>
    <t>naolblenu@gmail.com</t>
  </si>
  <si>
    <t>Naol</t>
  </si>
  <si>
    <t>ayanasamuel1@gmail.com</t>
  </si>
  <si>
    <t>Ayana</t>
  </si>
  <si>
    <t>abebayehutenaw77@gmail.com</t>
  </si>
  <si>
    <t>Abebayehu</t>
  </si>
  <si>
    <t>Alem</t>
  </si>
  <si>
    <t>waqgari03@gmail.com</t>
  </si>
  <si>
    <t>Cherinet</t>
  </si>
  <si>
    <t>Hailemichael</t>
  </si>
  <si>
    <t>wondachew14@gmail.com</t>
  </si>
  <si>
    <t>Wondachew</t>
  </si>
  <si>
    <t>HATIYA</t>
  </si>
  <si>
    <t>nardoschachidaniel@gmail.com</t>
  </si>
  <si>
    <t>gebrehenok122@gmail.com</t>
  </si>
  <si>
    <t>fishfekadueg53@gmail.com</t>
  </si>
  <si>
    <t>fekadu</t>
  </si>
  <si>
    <t>bulideressa@gmail.com</t>
  </si>
  <si>
    <t>Buli</t>
  </si>
  <si>
    <t>Deressa</t>
  </si>
  <si>
    <t>kirubeldesta97@gmail.com</t>
  </si>
  <si>
    <t>Hordofa</t>
  </si>
  <si>
    <t>samitechane12@gmail.com</t>
  </si>
  <si>
    <t>ermiasalemayehu512@gmail.com</t>
  </si>
  <si>
    <t>Alemayehu Beriso</t>
  </si>
  <si>
    <t>zelalembirhangirma@gmail.com</t>
  </si>
  <si>
    <t>Zelalembirhan</t>
  </si>
  <si>
    <t>gedionyekunoamlak@gmail.com</t>
  </si>
  <si>
    <t>Yekunoamlak</t>
  </si>
  <si>
    <t>tagekyea1991@gmail.com</t>
  </si>
  <si>
    <t>Tagicho</t>
  </si>
  <si>
    <t>Shitaye</t>
  </si>
  <si>
    <t>silitanuleamilak@gmail.com</t>
  </si>
  <si>
    <t>Leamilak</t>
  </si>
  <si>
    <t>abdulhakimmusamm@gmail.com</t>
  </si>
  <si>
    <t>Abdulhakim</t>
  </si>
  <si>
    <t>etsegenet981.ea@gmail.com</t>
  </si>
  <si>
    <t>Etsegenet</t>
  </si>
  <si>
    <t>Balkew</t>
  </si>
  <si>
    <t>ermiasalemayehu93@gmail.com</t>
  </si>
  <si>
    <t>Ermias Alemayehu</t>
  </si>
  <si>
    <t>Asfefa</t>
  </si>
  <si>
    <t>dberhanu011@gmail.com</t>
  </si>
  <si>
    <t>dirshaye.erdachew@gmail.com</t>
  </si>
  <si>
    <t>Dirshaye</t>
  </si>
  <si>
    <t>Erdachew</t>
  </si>
  <si>
    <t>aser.fekadu.yf7055@gmail.com</t>
  </si>
  <si>
    <t>Aser</t>
  </si>
  <si>
    <t>musamosisa24@gmail.com</t>
  </si>
  <si>
    <t>taziemuluye@gmail.com</t>
  </si>
  <si>
    <t>muluye</t>
  </si>
  <si>
    <t>Kasie</t>
  </si>
  <si>
    <t>danielgmw.dg@gmail.com</t>
  </si>
  <si>
    <t>Mamo</t>
  </si>
  <si>
    <t>demeke.darcha@gmail.com</t>
  </si>
  <si>
    <t>Demeke</t>
  </si>
  <si>
    <t>Sewagegn</t>
  </si>
  <si>
    <t>tagel2011@gmail.com</t>
  </si>
  <si>
    <t>Taggle</t>
  </si>
  <si>
    <t>WOLDMICHEAL</t>
  </si>
  <si>
    <t>rakuset@gmail.com</t>
  </si>
  <si>
    <t>Rakeb</t>
  </si>
  <si>
    <t>nushuhu297@gmail.com</t>
  </si>
  <si>
    <t>Teshale Terefe</t>
  </si>
  <si>
    <t>beimni927@gmail.com</t>
  </si>
  <si>
    <t>Beimnet</t>
  </si>
  <si>
    <t>Sintayehu</t>
  </si>
  <si>
    <t>anatoliab82@gmail.com</t>
  </si>
  <si>
    <t>Anatoli</t>
  </si>
  <si>
    <t>nahutasew89@gmail.com</t>
  </si>
  <si>
    <t>nahusenay</t>
  </si>
  <si>
    <t>yosefdaniel4@gmail.com</t>
  </si>
  <si>
    <t>mekonen.a28@gmail.com</t>
  </si>
  <si>
    <t>getualemu88@gmail.com</t>
  </si>
  <si>
    <t>Getu</t>
  </si>
  <si>
    <t>Bedane</t>
  </si>
  <si>
    <t>kalajanegassykoki@gmail.com</t>
  </si>
  <si>
    <t>Dagnu</t>
  </si>
  <si>
    <t>zeneberobel5@gmail.com</t>
  </si>
  <si>
    <t>Berihe</t>
  </si>
  <si>
    <t>sagnistudy@gmail.com</t>
  </si>
  <si>
    <t>Sagni</t>
  </si>
  <si>
    <t>File</t>
  </si>
  <si>
    <t>gutemai430@gmail.com</t>
  </si>
  <si>
    <t>ban4flag@gmail.com</t>
  </si>
  <si>
    <t>Bantewalu Hailekidan</t>
  </si>
  <si>
    <t>Dukamo</t>
  </si>
  <si>
    <t>samuelababu@gmail.com</t>
  </si>
  <si>
    <t>Ababu</t>
  </si>
  <si>
    <t>abdurezakkedirkedir@gmail.com</t>
  </si>
  <si>
    <t>Abdurezak</t>
  </si>
  <si>
    <t>abreham3209@gmail.com</t>
  </si>
  <si>
    <t>ABREHAM</t>
  </si>
  <si>
    <t>KELELA</t>
  </si>
  <si>
    <t>ruhamaenyew2007@gmail.com</t>
  </si>
  <si>
    <t>Ruhama Enyew</t>
  </si>
  <si>
    <t>Mengiste</t>
  </si>
  <si>
    <t>yeabsirashumiye@gmail.com</t>
  </si>
  <si>
    <t>Abuhay</t>
  </si>
  <si>
    <t>israelseleshi09@gmail.com</t>
  </si>
  <si>
    <t>Israel</t>
  </si>
  <si>
    <t>Seleshi</t>
  </si>
  <si>
    <t>nigusueshetu57@gmail.com</t>
  </si>
  <si>
    <t>NIGUSU</t>
  </si>
  <si>
    <t>ESHETU</t>
  </si>
  <si>
    <t>teshomebe2023@gmail.com</t>
  </si>
  <si>
    <t>Shewamen</t>
  </si>
  <si>
    <t>mussiemesele44@gmail.com</t>
  </si>
  <si>
    <t>Mussie</t>
  </si>
  <si>
    <t>Mesele</t>
  </si>
  <si>
    <t>n8203556@gmail.com</t>
  </si>
  <si>
    <t>yisakmitiku32@gmail.com</t>
  </si>
  <si>
    <t>Yisak</t>
  </si>
  <si>
    <t>namietorban9@gmail.com</t>
  </si>
  <si>
    <t>Namie</t>
  </si>
  <si>
    <t>Wakwoya</t>
  </si>
  <si>
    <t>wesentadesse99@gmail.com</t>
  </si>
  <si>
    <t>Wesen</t>
  </si>
  <si>
    <t>samrikiya92@gmail.com</t>
  </si>
  <si>
    <t>Samrawit</t>
  </si>
  <si>
    <t>Gemede</t>
  </si>
  <si>
    <t>fitsumgetu88@gmail.com</t>
  </si>
  <si>
    <t>Fitsum</t>
  </si>
  <si>
    <t>henokm219@gmail.com</t>
  </si>
  <si>
    <t>henok</t>
  </si>
  <si>
    <t>mulugeta</t>
  </si>
  <si>
    <t>sifentadesse16@gmail.com</t>
  </si>
  <si>
    <t>Sifen</t>
  </si>
  <si>
    <t>Abaire</t>
  </si>
  <si>
    <t>donsalim716@gmail.com</t>
  </si>
  <si>
    <t>Salim</t>
  </si>
  <si>
    <t>tesfaneh.shimelis@aau.edu.et</t>
  </si>
  <si>
    <t>Tesfaneh</t>
  </si>
  <si>
    <t>paulosbay27@gmail.com</t>
  </si>
  <si>
    <t>PAULOS</t>
  </si>
  <si>
    <t>ANELEY</t>
  </si>
  <si>
    <t>betelhemirachew@gmail.com</t>
  </si>
  <si>
    <t>mirachew</t>
  </si>
  <si>
    <t>asgkid23@gmail.com</t>
  </si>
  <si>
    <t>Kidane</t>
  </si>
  <si>
    <t>zock267@gmail.com</t>
  </si>
  <si>
    <t>robelarega88@gmail.com</t>
  </si>
  <si>
    <t>arega</t>
  </si>
  <si>
    <t>yohannes.a@prokaltech.com</t>
  </si>
  <si>
    <t>amenadeneke@gmail.com</t>
  </si>
  <si>
    <t>Amen</t>
  </si>
  <si>
    <t>Deneke</t>
  </si>
  <si>
    <t>yisakora@gmail.com</t>
  </si>
  <si>
    <t>Yisakor</t>
  </si>
  <si>
    <t>Kibret</t>
  </si>
  <si>
    <t>hiber.ipdc@gmail.com</t>
  </si>
  <si>
    <t>Hibrework Mekonnen</t>
  </si>
  <si>
    <t>hiber.mekonnen@outlook.com</t>
  </si>
  <si>
    <t>Hibrework</t>
  </si>
  <si>
    <t>game.beko@gmail.com</t>
  </si>
  <si>
    <t>Gemechis</t>
  </si>
  <si>
    <t>Beksisa</t>
  </si>
  <si>
    <t>mahitemtemesgen@gmail.com</t>
  </si>
  <si>
    <t>MAHETEM</t>
  </si>
  <si>
    <t>GEBRE</t>
  </si>
  <si>
    <t>abdujebarabrahim33@gmail.com</t>
  </si>
  <si>
    <t>Abdujebar</t>
  </si>
  <si>
    <t>Abrahim</t>
  </si>
  <si>
    <t>chimd2017@gmail.com</t>
  </si>
  <si>
    <t>Megersa</t>
  </si>
  <si>
    <t>Bakana</t>
  </si>
  <si>
    <t>rafiaa05k@gmail.com</t>
  </si>
  <si>
    <t>Rafia</t>
  </si>
  <si>
    <t>sitotasisay@gmail.com</t>
  </si>
  <si>
    <t>Sitota</t>
  </si>
  <si>
    <t>Mitiku</t>
  </si>
  <si>
    <t>yaredkuma28@gmail.com</t>
  </si>
  <si>
    <t>yared</t>
  </si>
  <si>
    <t>kuma</t>
  </si>
  <si>
    <t>bachamagarsa0912@gmail.com</t>
  </si>
  <si>
    <t>Buchure</t>
  </si>
  <si>
    <t>aklilu.mekonnen.tes@gmail.com</t>
  </si>
  <si>
    <t>wondwork.go@gmail.com</t>
  </si>
  <si>
    <t>dagited20@gmail.com</t>
  </si>
  <si>
    <t>Bezu</t>
  </si>
  <si>
    <t>behaylumelsew@gmail.com</t>
  </si>
  <si>
    <t>Wolelaw</t>
  </si>
  <si>
    <t>megertumetchi@gmail.com</t>
  </si>
  <si>
    <t>megertu</t>
  </si>
  <si>
    <t>abebe</t>
  </si>
  <si>
    <t>fikrugtsadik@gmail.com</t>
  </si>
  <si>
    <t>mthaile1985@gmail.com</t>
  </si>
  <si>
    <t>Mihretu</t>
  </si>
  <si>
    <t>aliyans99@gmail.com</t>
  </si>
  <si>
    <t>Selehadin</t>
  </si>
  <si>
    <t>tesfabera@gmail.com</t>
  </si>
  <si>
    <t>Bokoro</t>
  </si>
  <si>
    <t>birukgetaa@gmail.com</t>
  </si>
  <si>
    <t>Tsige</t>
  </si>
  <si>
    <t>devnatnaels@gmail.com</t>
  </si>
  <si>
    <t>Seyoum</t>
  </si>
  <si>
    <t>antenehzhelelo@gmail.com</t>
  </si>
  <si>
    <t>Helelo</t>
  </si>
  <si>
    <t>sermartial24@gmail.com</t>
  </si>
  <si>
    <t>Serawit</t>
  </si>
  <si>
    <t>workjordana57@gmail.com</t>
  </si>
  <si>
    <t>jordana</t>
  </si>
  <si>
    <t>michael_ad@ymail.com</t>
  </si>
  <si>
    <t>Admassu</t>
  </si>
  <si>
    <t>ketitemesgen2@gmail.com</t>
  </si>
  <si>
    <t>Koket</t>
  </si>
  <si>
    <t>Neme</t>
  </si>
  <si>
    <t>temesgeneskedar@gmail.com</t>
  </si>
  <si>
    <t>Eskedar</t>
  </si>
  <si>
    <t>hiruygizachew6@gmail.com</t>
  </si>
  <si>
    <t>HIRUY</t>
  </si>
  <si>
    <t>KASSA</t>
  </si>
  <si>
    <t>tbereket1221@gmail.com</t>
  </si>
  <si>
    <t>Abebaw</t>
  </si>
  <si>
    <t>Teklie</t>
  </si>
  <si>
    <t>amanwel2017@gmail.com</t>
  </si>
  <si>
    <t>Weldekidan</t>
  </si>
  <si>
    <t>alazarhailu7@gmail.com</t>
  </si>
  <si>
    <t>mesfin435@gmail.com</t>
  </si>
  <si>
    <t>beletedegu2022@gmail.com</t>
  </si>
  <si>
    <t>Belete</t>
  </si>
  <si>
    <t>Zellele</t>
  </si>
  <si>
    <t>tareweyni@gmail.com</t>
  </si>
  <si>
    <t>Wendemu</t>
  </si>
  <si>
    <t>nathnaelberhanulearn@gmail.com</t>
  </si>
  <si>
    <t>Nathnael</t>
  </si>
  <si>
    <t>mirodir04@gmail.com</t>
  </si>
  <si>
    <t>Miresa</t>
  </si>
  <si>
    <t>Keno</t>
  </si>
  <si>
    <t>tibebutesema66@gmail.com</t>
  </si>
  <si>
    <t>Amsalu</t>
  </si>
  <si>
    <t>sabamengesha25@gmail.com</t>
  </si>
  <si>
    <t>Saba</t>
  </si>
  <si>
    <t>Tantu</t>
  </si>
  <si>
    <t>mohammedsultan739000@gmail.com</t>
  </si>
  <si>
    <t>hiwottamirat21@gmail.com</t>
  </si>
  <si>
    <t>Hiwot</t>
  </si>
  <si>
    <t>tadenegamualem@gmail.com</t>
  </si>
  <si>
    <t>MULUALEM</t>
  </si>
  <si>
    <t>NEGA</t>
  </si>
  <si>
    <t>naafsoya@gmail.com</t>
  </si>
  <si>
    <t>dawityimer08@gmail.com</t>
  </si>
  <si>
    <t>abebawaau2016@gmail.com</t>
  </si>
  <si>
    <t>Belayneh</t>
  </si>
  <si>
    <t>hulugetu12@gmail.com</t>
  </si>
  <si>
    <t>naodabeben@gmail.com</t>
  </si>
  <si>
    <t>Naod</t>
  </si>
  <si>
    <t>mikiyas.desalegn1@gmail.com</t>
  </si>
  <si>
    <t>Mikias</t>
  </si>
  <si>
    <t>Amerga</t>
  </si>
  <si>
    <t>dannnyjohn007@gmail.com</t>
  </si>
  <si>
    <t>Philemon</t>
  </si>
  <si>
    <t>muradamin186@gmail.com</t>
  </si>
  <si>
    <t>Murad</t>
  </si>
  <si>
    <t>Imer</t>
  </si>
  <si>
    <t>muradamen10@gmail.com</t>
  </si>
  <si>
    <t>israelsamuelgoo@gmail.com</t>
  </si>
  <si>
    <t>Godamo</t>
  </si>
  <si>
    <t>leulymamo@gmail.com</t>
  </si>
  <si>
    <t>mamo</t>
  </si>
  <si>
    <t>eldanaderese@gmail.com</t>
  </si>
  <si>
    <t>Derese</t>
  </si>
  <si>
    <t>bethellegesse12@gmail.com</t>
  </si>
  <si>
    <t>jobkebede47@gmail.com</t>
  </si>
  <si>
    <t>natnaeldeyas0@gmail.com</t>
  </si>
  <si>
    <t>Deyas</t>
  </si>
  <si>
    <t>burukmaedot16@gmail.com</t>
  </si>
  <si>
    <t>Maedot</t>
  </si>
  <si>
    <t>eyobhailu090@gmail.com</t>
  </si>
  <si>
    <t>abelatesh171@gmail.com</t>
  </si>
  <si>
    <t>Abiel Teshome</t>
  </si>
  <si>
    <t>Kefale</t>
  </si>
  <si>
    <t>abdukeget@gmail.com</t>
  </si>
  <si>
    <t>Abdulkadir</t>
  </si>
  <si>
    <t>balewtena21@gmail.com</t>
  </si>
  <si>
    <t>Esubalew</t>
  </si>
  <si>
    <t>Tena</t>
  </si>
  <si>
    <t>Caller</t>
  </si>
  <si>
    <t>Data Science</t>
  </si>
  <si>
    <t>SHE KNOWS THE PROCESS</t>
  </si>
  <si>
    <t xml:space="preserve">HE IS IN MEETING </t>
  </si>
  <si>
    <t>HE WILL CALL BACK</t>
  </si>
  <si>
    <t>Wrong Person</t>
  </si>
  <si>
    <t>SHE NEEDS TO BE SURE</t>
  </si>
  <si>
    <t>Not sure</t>
  </si>
  <si>
    <t>HE ALREADY STARTED CLASS</t>
  </si>
  <si>
    <t>PC ISSUE</t>
  </si>
  <si>
    <t>Other</t>
  </si>
  <si>
    <t>HE DONT HV PC</t>
  </si>
  <si>
    <t>SHE ALREADY STARTED CLASS</t>
  </si>
  <si>
    <t>HE IS AT WORK</t>
  </si>
  <si>
    <t>NOT INTERESTED</t>
  </si>
  <si>
    <t>SHE ALREAY STARTED CLASS</t>
  </si>
  <si>
    <t>HE NEEDS TO CHECK THE LINK FIRST</t>
  </si>
  <si>
    <t>HE NEEDS TO BE SURE</t>
  </si>
  <si>
    <t>SHE NEEDS TIME</t>
  </si>
  <si>
    <t>BUSY SCEDULED</t>
  </si>
  <si>
    <t>HE KNOWS THE PROCESS</t>
  </si>
  <si>
    <t>SHE ALREADY TAKEN THE COURSE</t>
  </si>
  <si>
    <t>In person</t>
  </si>
  <si>
    <t xml:space="preserve">HE WILL COME TO 22 HUB </t>
  </si>
  <si>
    <t>NET ISSUE</t>
  </si>
  <si>
    <t>LANGUAGE</t>
  </si>
  <si>
    <t>SOMMALEE SPEAKER</t>
  </si>
  <si>
    <t xml:space="preserve">Busy </t>
  </si>
  <si>
    <t>abduendris5196@gmail.com</t>
  </si>
  <si>
    <t>abdu</t>
  </si>
  <si>
    <t>endris</t>
  </si>
  <si>
    <t>+251951960920</t>
  </si>
  <si>
    <t>Data Analytics</t>
  </si>
  <si>
    <t>+251934495670</t>
  </si>
  <si>
    <t>Wrong Number</t>
  </si>
  <si>
    <t>kibrommichael703@gmail.com</t>
  </si>
  <si>
    <t>Michael kibrom</t>
  </si>
  <si>
    <t>Mehari</t>
  </si>
  <si>
    <t>+251991679931</t>
  </si>
  <si>
    <t>Busy &amp; no money</t>
  </si>
  <si>
    <t>paulgeremew4@gmail.com</t>
  </si>
  <si>
    <t>Paulos</t>
  </si>
  <si>
    <t>Geremew</t>
  </si>
  <si>
    <t>+251985278065</t>
  </si>
  <si>
    <t>here</t>
  </si>
  <si>
    <t>ribkaberhane7@gmail.com</t>
  </si>
  <si>
    <t>Ribka</t>
  </si>
  <si>
    <t>Berhane</t>
  </si>
  <si>
    <t>+251985222886</t>
  </si>
  <si>
    <t>cerrently learning</t>
  </si>
  <si>
    <t>yeabsiradaniel86@gmail.com</t>
  </si>
  <si>
    <t>+251955382289</t>
  </si>
  <si>
    <t>metiassefa4@gmail.com</t>
  </si>
  <si>
    <t>Meti</t>
  </si>
  <si>
    <t>+251953385931</t>
  </si>
  <si>
    <t>kaleabtsegaw@gmail.com</t>
  </si>
  <si>
    <t>getachew</t>
  </si>
  <si>
    <t>+251951766068</t>
  </si>
  <si>
    <t>learning BE</t>
  </si>
  <si>
    <t>+251905108549</t>
  </si>
  <si>
    <t>already finished</t>
  </si>
  <si>
    <t>abdulkerimsheferaw@gmail.com</t>
  </si>
  <si>
    <t>Abdulkerim</t>
  </si>
  <si>
    <t>+251962627938</t>
  </si>
  <si>
    <t>+251960859422</t>
  </si>
  <si>
    <t>+251910342815</t>
  </si>
  <si>
    <t>+251930070644</t>
  </si>
  <si>
    <t>Not Yet Called</t>
  </si>
  <si>
    <t>+251712001763</t>
  </si>
  <si>
    <t>endalebam@gmail.com</t>
  </si>
  <si>
    <t>Beamlak</t>
  </si>
  <si>
    <t>Gorfu</t>
  </si>
  <si>
    <t>+251993488008</t>
  </si>
  <si>
    <t>jobani8265@gmail.com</t>
  </si>
  <si>
    <t>EYOB TESFAYE</t>
  </si>
  <si>
    <t>CHANE</t>
  </si>
  <si>
    <t>+251982650805</t>
  </si>
  <si>
    <t>axmed5961@gmail.com</t>
  </si>
  <si>
    <t>Ahmed Wali</t>
  </si>
  <si>
    <t>+251966124203</t>
  </si>
  <si>
    <t>girmalidya03@gmail.com</t>
  </si>
  <si>
    <t>Lidya</t>
  </si>
  <si>
    <t>+251965670285</t>
  </si>
  <si>
    <t>yosephtesfaye10@gmail.com</t>
  </si>
  <si>
    <t>yoseph</t>
  </si>
  <si>
    <t>+251947952388</t>
  </si>
  <si>
    <t>yordanosfasil25@gmail.com</t>
  </si>
  <si>
    <t>YORDANOS</t>
  </si>
  <si>
    <t>FASIL</t>
  </si>
  <si>
    <t>+251947405327</t>
  </si>
  <si>
    <t>+251909433658</t>
  </si>
  <si>
    <t>+251908412771</t>
  </si>
  <si>
    <t>+251905892759</t>
  </si>
  <si>
    <t>+251905261068</t>
  </si>
  <si>
    <t>+251929271909</t>
  </si>
  <si>
    <t>deboramekurya@gmail.com</t>
  </si>
  <si>
    <t>Debora</t>
  </si>
  <si>
    <t>Mekurya</t>
  </si>
  <si>
    <t>+251983913538</t>
  </si>
  <si>
    <t>nathanimberhanudechasa@gmail.com</t>
  </si>
  <si>
    <t>Nathanim</t>
  </si>
  <si>
    <t>Dechasa</t>
  </si>
  <si>
    <t>+251975700929</t>
  </si>
  <si>
    <t>kasayemoges721@gmail.com</t>
  </si>
  <si>
    <t>Kasaye</t>
  </si>
  <si>
    <t>+251988602077</t>
  </si>
  <si>
    <t>rahelfisaha7@gmail.com</t>
  </si>
  <si>
    <t>Fisaha</t>
  </si>
  <si>
    <t>+251984022740</t>
  </si>
  <si>
    <t>abebawlast@gmail.com</t>
  </si>
  <si>
    <t>+251963302664</t>
  </si>
  <si>
    <t>samikoomul@gmail.com</t>
  </si>
  <si>
    <t>TEFERI</t>
  </si>
  <si>
    <t>+251936923156</t>
  </si>
  <si>
    <t>bayisagebeyehu765@gmail.com</t>
  </si>
  <si>
    <t>Bayisa</t>
  </si>
  <si>
    <t>+251932040738</t>
  </si>
  <si>
    <t>getchget1921@gmail.com</t>
  </si>
  <si>
    <t>+251923728978</t>
  </si>
  <si>
    <t>shelemaaberageneti@gmail.com</t>
  </si>
  <si>
    <t>shelema</t>
  </si>
  <si>
    <t>Geneti</t>
  </si>
  <si>
    <t>+251913482900</t>
  </si>
  <si>
    <t>lidyaamare76@gmail.com</t>
  </si>
  <si>
    <t>+251707542600</t>
  </si>
  <si>
    <t>ethiopingpong@gmail.com</t>
  </si>
  <si>
    <t>Daniel Tadesse</t>
  </si>
  <si>
    <t>+251946656428</t>
  </si>
  <si>
    <t>dumaraduwe7094@gmail.com</t>
  </si>
  <si>
    <t>Dumara</t>
  </si>
  <si>
    <t>Duwe</t>
  </si>
  <si>
    <t>+251946034518</t>
  </si>
  <si>
    <t>abraham.k1710@gmail.com</t>
  </si>
  <si>
    <t>Korsa</t>
  </si>
  <si>
    <t>+251945776678</t>
  </si>
  <si>
    <t>rahelketema494@gmail.com</t>
  </si>
  <si>
    <t>+251944355358</t>
  </si>
  <si>
    <t>medhanitareb9@gmail.com</t>
  </si>
  <si>
    <t>Medhanit</t>
  </si>
  <si>
    <t>Hedir</t>
  </si>
  <si>
    <t>+251944254371</t>
  </si>
  <si>
    <t>zionalemu4020@gmail.com</t>
  </si>
  <si>
    <t>+251942559031</t>
  </si>
  <si>
    <t>mulugetarahel440@gmail.com</t>
  </si>
  <si>
    <t>+251942419336</t>
  </si>
  <si>
    <t>ayalkibetmikru4906@gmail.com</t>
  </si>
  <si>
    <t>Tarekegn</t>
  </si>
  <si>
    <t>+251942032716</t>
  </si>
  <si>
    <t>+251939785378</t>
  </si>
  <si>
    <t>abel36605@gmail.com</t>
  </si>
  <si>
    <t>+251938231571</t>
  </si>
  <si>
    <t>biniyam.yr@gmail.com</t>
  </si>
  <si>
    <t>+251936895184</t>
  </si>
  <si>
    <t>bamlakalex00@gmail.com</t>
  </si>
  <si>
    <t>Bamlak</t>
  </si>
  <si>
    <t>Biset</t>
  </si>
  <si>
    <t>+251936829670</t>
  </si>
  <si>
    <t>esubalewteshome349@gmail.com</t>
  </si>
  <si>
    <t>+251935049349</t>
  </si>
  <si>
    <t>yakobbeyene337371@gmail.com</t>
  </si>
  <si>
    <t>Yakob</t>
  </si>
  <si>
    <t>+251933737196</t>
  </si>
  <si>
    <t>hannaasmamaw101@gmail.com</t>
  </si>
  <si>
    <t>Mulualem</t>
  </si>
  <si>
    <t>+251923216469</t>
  </si>
  <si>
    <t>+251923125041</t>
  </si>
  <si>
    <t>habtamubethel@gmail.com</t>
  </si>
  <si>
    <t>+251923027213</t>
  </si>
  <si>
    <t>eliaseshete94@gmail.com</t>
  </si>
  <si>
    <t>+251922958931</t>
  </si>
  <si>
    <t>hairaer02@gmail.com</t>
  </si>
  <si>
    <t>samrawit</t>
  </si>
  <si>
    <t>ayalew</t>
  </si>
  <si>
    <t>+251922787213</t>
  </si>
  <si>
    <t>henok_legesse@yahoo.com</t>
  </si>
  <si>
    <t>+251921646772</t>
  </si>
  <si>
    <t>nuretofik3@gmail.com</t>
  </si>
  <si>
    <t>Nure</t>
  </si>
  <si>
    <t>Tofik</t>
  </si>
  <si>
    <t>+251921271000</t>
  </si>
  <si>
    <t>kidanetafa2021@gmail.com</t>
  </si>
  <si>
    <t>Tola</t>
  </si>
  <si>
    <t>+251919998801</t>
  </si>
  <si>
    <t>temesgenabate29@gmail.com</t>
  </si>
  <si>
    <t>Temesgen</t>
  </si>
  <si>
    <t>Lulye</t>
  </si>
  <si>
    <t>+251919978269</t>
  </si>
  <si>
    <t>mebre58@gmail.com</t>
  </si>
  <si>
    <t>Kebere</t>
  </si>
  <si>
    <t>+251919444358</t>
  </si>
  <si>
    <t>teme80256@gmail.com</t>
  </si>
  <si>
    <t>Golo</t>
  </si>
  <si>
    <t>+251916700103</t>
  </si>
  <si>
    <t>afeworkteklu@gmail.com</t>
  </si>
  <si>
    <t>Afework</t>
  </si>
  <si>
    <t>Betemariam</t>
  </si>
  <si>
    <t>+251915762768</t>
  </si>
  <si>
    <t>hamermekuanenet@gmail.com</t>
  </si>
  <si>
    <t>Hamer</t>
  </si>
  <si>
    <t>Mekuanenet</t>
  </si>
  <si>
    <t>+251913139790</t>
  </si>
  <si>
    <t>mecrymulugeta@gmail.com</t>
  </si>
  <si>
    <t>+251913091983</t>
  </si>
  <si>
    <t>yohannesteshome82@gmail.com</t>
  </si>
  <si>
    <t>+251913047638</t>
  </si>
  <si>
    <t>mesayassefa95@gmail.com</t>
  </si>
  <si>
    <t>Mesay Assefa</t>
  </si>
  <si>
    <t>+251912650041</t>
  </si>
  <si>
    <t>abiyotgebre05@gmail.com</t>
  </si>
  <si>
    <t>Abiyot</t>
  </si>
  <si>
    <t>Hailemariam</t>
  </si>
  <si>
    <t>+251912061008</t>
  </si>
  <si>
    <t>baretokoo@gmail.com</t>
  </si>
  <si>
    <t>Roba</t>
  </si>
  <si>
    <t>Gada</t>
  </si>
  <si>
    <t>+251911798438</t>
  </si>
  <si>
    <t>amenhaji3@gmail.com</t>
  </si>
  <si>
    <t>Bekeli</t>
  </si>
  <si>
    <t>+251911744413</t>
  </si>
  <si>
    <t>kebrongizachew@gmail.com</t>
  </si>
  <si>
    <t>Kebron</t>
  </si>
  <si>
    <t>Eshete</t>
  </si>
  <si>
    <t>+251911671865</t>
  </si>
  <si>
    <t>yineger.wondwosen@gmail.com</t>
  </si>
  <si>
    <t>WONDWOSEN</t>
  </si>
  <si>
    <t>TARIKU</t>
  </si>
  <si>
    <t>+251911390990</t>
  </si>
  <si>
    <t>addis.molla66@gmail.com</t>
  </si>
  <si>
    <t>ADDIS</t>
  </si>
  <si>
    <t>MASSEBO</t>
  </si>
  <si>
    <t>+251911390489</t>
  </si>
  <si>
    <t>heavengudina09@gmail.com</t>
  </si>
  <si>
    <t>Gudina</t>
  </si>
  <si>
    <t>+251910872274</t>
  </si>
  <si>
    <t>dagimhailu27@gmail.com</t>
  </si>
  <si>
    <t>+251910464677</t>
  </si>
  <si>
    <t>+251907491499</t>
  </si>
  <si>
    <t>ifreina4@gmail.com</t>
  </si>
  <si>
    <t>Iftu</t>
  </si>
  <si>
    <t>+251906849409</t>
  </si>
  <si>
    <t>tamiratbezabih84@gmail.com</t>
  </si>
  <si>
    <t>TAMIRAT</t>
  </si>
  <si>
    <t>GETAHUN</t>
  </si>
  <si>
    <t>+251904416947</t>
  </si>
  <si>
    <t>+251903567074</t>
  </si>
  <si>
    <t>aschalewankea505@gmail.com</t>
  </si>
  <si>
    <t>Aschalew</t>
  </si>
  <si>
    <t>Mudea</t>
  </si>
  <si>
    <t>+251902466319</t>
  </si>
  <si>
    <t>saronhadish84@gmail.com</t>
  </si>
  <si>
    <t>Hadish</t>
  </si>
  <si>
    <t>+251900030925</t>
  </si>
  <si>
    <t>meronberhanu1605@gmail.com</t>
  </si>
  <si>
    <t>Meron Berhanu</t>
  </si>
  <si>
    <t>Adugna</t>
  </si>
  <si>
    <t>+251715566171</t>
  </si>
  <si>
    <t>abenimathi62@gmail.com</t>
  </si>
  <si>
    <t>Godebo</t>
  </si>
  <si>
    <t>+251091562004</t>
  </si>
  <si>
    <t>mukemil.rahmeto-ug@aau.edu.et</t>
  </si>
  <si>
    <t>Mukemil</t>
  </si>
  <si>
    <t>Esa</t>
  </si>
  <si>
    <t>wondalegetachew91@gmail.com</t>
  </si>
  <si>
    <t>WONDALE</t>
  </si>
  <si>
    <t>Minuye</t>
  </si>
  <si>
    <t>netsanetnigatu532@gmail.com</t>
  </si>
  <si>
    <t>Netsanet</t>
  </si>
  <si>
    <t>Bereshe</t>
  </si>
  <si>
    <t>+251994953857</t>
  </si>
  <si>
    <t>tekakivan@gmail.com</t>
  </si>
  <si>
    <t>Kirbon</t>
  </si>
  <si>
    <t>+251994605261</t>
  </si>
  <si>
    <t>hayatfedlu12@gmail.com</t>
  </si>
  <si>
    <t>Bame</t>
  </si>
  <si>
    <t>+251993528348</t>
  </si>
  <si>
    <t>mulukenbalcha6@gmail.com</t>
  </si>
  <si>
    <t>+251991738568</t>
  </si>
  <si>
    <t>haklilu330@gmail.com</t>
  </si>
  <si>
    <t>+251991190485</t>
  </si>
  <si>
    <t>amanuelsmsn@gmail.com</t>
  </si>
  <si>
    <t>+251989063031</t>
  </si>
  <si>
    <t>solomonbrihan215@gmail.com</t>
  </si>
  <si>
    <t>+251988141775</t>
  </si>
  <si>
    <t>mekedemamare9@gmail.com</t>
  </si>
  <si>
    <t>Mekedem</t>
  </si>
  <si>
    <t>Tadege</t>
  </si>
  <si>
    <t>+251987574731</t>
  </si>
  <si>
    <t>surrastf28@gmail.com</t>
  </si>
  <si>
    <t>+251986305697</t>
  </si>
  <si>
    <t>sosibehailu4@gmail.com</t>
  </si>
  <si>
    <t>sosina</t>
  </si>
  <si>
    <t>+251985444750</t>
  </si>
  <si>
    <t>betlhem46t@gmail.com</t>
  </si>
  <si>
    <t>Betlhem</t>
  </si>
  <si>
    <t>Emshaw</t>
  </si>
  <si>
    <t>+251985345700</t>
  </si>
  <si>
    <t>nuhametad@gmail.com</t>
  </si>
  <si>
    <t>nuhame</t>
  </si>
  <si>
    <t>tad</t>
  </si>
  <si>
    <t>+251984415074</t>
  </si>
  <si>
    <t>solmulu19@gmail.com</t>
  </si>
  <si>
    <t>+251983827542</t>
  </si>
  <si>
    <t>adugenetmarkos50@gmail.com</t>
  </si>
  <si>
    <t>Adugenet</t>
  </si>
  <si>
    <t>+251979342096</t>
  </si>
  <si>
    <t>cweletaw2021@gmail.com</t>
  </si>
  <si>
    <t>HABTAMU</t>
  </si>
  <si>
    <t>YEHUALA</t>
  </si>
  <si>
    <t>+251979026443</t>
  </si>
  <si>
    <t>natnaelgashaw97@gmail.com</t>
  </si>
  <si>
    <t>+251977776787</t>
  </si>
  <si>
    <t>burapole2@gmail.com</t>
  </si>
  <si>
    <t>+251977767000</t>
  </si>
  <si>
    <t>goshumezemir28@gmail.com</t>
  </si>
  <si>
    <t>Goshu</t>
  </si>
  <si>
    <t>+251975798523</t>
  </si>
  <si>
    <t>kaleabsolomon128@gmail.com</t>
  </si>
  <si>
    <t>+251974734077</t>
  </si>
  <si>
    <t>hilinamulu907@gmail.com</t>
  </si>
  <si>
    <t>Hilina</t>
  </si>
  <si>
    <t>Mulu</t>
  </si>
  <si>
    <t>+251974424575</t>
  </si>
  <si>
    <t>mekyoh007@gmail.com</t>
  </si>
  <si>
    <t>Mekdelawit</t>
  </si>
  <si>
    <t>+251974239507</t>
  </si>
  <si>
    <t>mlleharjorke@gmail.com</t>
  </si>
  <si>
    <t>Maryam</t>
  </si>
  <si>
    <t>Saheeb</t>
  </si>
  <si>
    <t>+251974100283</t>
  </si>
  <si>
    <t>natnaelmurad@gmail.com</t>
  </si>
  <si>
    <t>temam</t>
  </si>
  <si>
    <t>+251973277784</t>
  </si>
  <si>
    <t>yonasnigussie1995@gmail.com</t>
  </si>
  <si>
    <t>Sheferaw</t>
  </si>
  <si>
    <t>+251970593635</t>
  </si>
  <si>
    <t>+251969906254</t>
  </si>
  <si>
    <t>hamzatosh33@gmail.com</t>
  </si>
  <si>
    <t>+251969865483</t>
  </si>
  <si>
    <t>yordanostadese99@gmail.com</t>
  </si>
  <si>
    <t>Kumbi</t>
  </si>
  <si>
    <t>+251968137788</t>
  </si>
  <si>
    <t>abigailgetu98@gmail.com</t>
  </si>
  <si>
    <t>Abigail Getu</t>
  </si>
  <si>
    <t>Belihu</t>
  </si>
  <si>
    <t>+251967997061</t>
  </si>
  <si>
    <t>yirdawmengistu1985@gmail.com</t>
  </si>
  <si>
    <t>mengistu</t>
  </si>
  <si>
    <t>yirdaw</t>
  </si>
  <si>
    <t>+251967834499</t>
  </si>
  <si>
    <t>marthaberhe922@gmail.com</t>
  </si>
  <si>
    <t>martha</t>
  </si>
  <si>
    <t>+251967163844</t>
  </si>
  <si>
    <t>berechadugasa9552@gmail.com</t>
  </si>
  <si>
    <t>BERECHA</t>
  </si>
  <si>
    <t>AMENA</t>
  </si>
  <si>
    <t>+251966874326</t>
  </si>
  <si>
    <t>betaniaberhanu@gmail.com</t>
  </si>
  <si>
    <t>Betania</t>
  </si>
  <si>
    <t>+251966006114</t>
  </si>
  <si>
    <t>yaredmelesse2@gmail.com</t>
  </si>
  <si>
    <t>Melesse</t>
  </si>
  <si>
    <t>+251965601950</t>
  </si>
  <si>
    <t>jerryyalemberhan@gmail.com</t>
  </si>
  <si>
    <t>Woldegebriel</t>
  </si>
  <si>
    <t>+251961343610</t>
  </si>
  <si>
    <t>adesu6833@gmail.com</t>
  </si>
  <si>
    <t>Asamerewu</t>
  </si>
  <si>
    <t>+251960803904</t>
  </si>
  <si>
    <t>ephremhenok5427@gmail.com</t>
  </si>
  <si>
    <t>ephrem</t>
  </si>
  <si>
    <t>+251960335427</t>
  </si>
  <si>
    <t>kemeneshawtechnologies@gmail.com</t>
  </si>
  <si>
    <t>Bantamlak</t>
  </si>
  <si>
    <t>Fikadu Alemu</t>
  </si>
  <si>
    <t>+251954697098</t>
  </si>
  <si>
    <t>yidu74660@gmail.com</t>
  </si>
  <si>
    <t>+251954554548</t>
  </si>
  <si>
    <t>diadere64@gmail.com</t>
  </si>
  <si>
    <t>Dina</t>
  </si>
  <si>
    <t>+251951055242</t>
  </si>
  <si>
    <t>+251948252410</t>
  </si>
  <si>
    <t>abdusemedgutema@gmail.com</t>
  </si>
  <si>
    <t>Gutema</t>
  </si>
  <si>
    <t>Abdusemed</t>
  </si>
  <si>
    <t>+251948120290</t>
  </si>
  <si>
    <t>yaredshiferaw599@gmail.com</t>
  </si>
  <si>
    <t>Heyi</t>
  </si>
  <si>
    <t>+251947978513</t>
  </si>
  <si>
    <t>mulleryemariyame@gmail.com</t>
  </si>
  <si>
    <t>+251947450828</t>
  </si>
  <si>
    <t>adonyasworku88@gmail.com</t>
  </si>
  <si>
    <t>Adonyas</t>
  </si>
  <si>
    <t>+251946730296</t>
  </si>
  <si>
    <t>adiyaye014@gmail.com</t>
  </si>
  <si>
    <t>Adonayt</t>
  </si>
  <si>
    <t>+251946726679</t>
  </si>
  <si>
    <t>amesiyas6721@gmail.com</t>
  </si>
  <si>
    <t>Amesiyas</t>
  </si>
  <si>
    <t>zewude</t>
  </si>
  <si>
    <t>+251946423386</t>
  </si>
  <si>
    <t>natinaelasefaakuma@gmail.com</t>
  </si>
  <si>
    <t>+251946380087</t>
  </si>
  <si>
    <t>+251946329915</t>
  </si>
  <si>
    <t>bentisileshi2000@gmail.com</t>
  </si>
  <si>
    <t>Banti</t>
  </si>
  <si>
    <t>Sileshi</t>
  </si>
  <si>
    <t>+251946221128</t>
  </si>
  <si>
    <t>situtiyash@gmail.com</t>
  </si>
  <si>
    <t>Situtiya</t>
  </si>
  <si>
    <t>+251944113231</t>
  </si>
  <si>
    <t>gelilasolomon058@gmail.com</t>
  </si>
  <si>
    <t>Gelila</t>
  </si>
  <si>
    <t>+251944101016</t>
  </si>
  <si>
    <t>debyteka@gmail.com</t>
  </si>
  <si>
    <t>Deborah Telahun</t>
  </si>
  <si>
    <t>Teka</t>
  </si>
  <si>
    <t>+251944076971</t>
  </si>
  <si>
    <t>+251943334736</t>
  </si>
  <si>
    <t>+251943322555</t>
  </si>
  <si>
    <t>aminabdirage114@gmail.com</t>
  </si>
  <si>
    <t>AMIN</t>
  </si>
  <si>
    <t>RAGE</t>
  </si>
  <si>
    <t>+251943004848</t>
  </si>
  <si>
    <t>hunde.ddh@gmail.com</t>
  </si>
  <si>
    <t>Hunde</t>
  </si>
  <si>
    <t>+251941413100</t>
  </si>
  <si>
    <t>abelbeyene23@gmail.com</t>
  </si>
  <si>
    <t>Araya</t>
  </si>
  <si>
    <t>+251941298810</t>
  </si>
  <si>
    <t>sofiaibrahim2000@gmail.com</t>
  </si>
  <si>
    <t>Sofia</t>
  </si>
  <si>
    <t>+251941124583</t>
  </si>
  <si>
    <t>amanualdawit1978@gmail.com</t>
  </si>
  <si>
    <t>Amannuel</t>
  </si>
  <si>
    <t>gebresilasse</t>
  </si>
  <si>
    <t>+251940981302</t>
  </si>
  <si>
    <t>+251940605802</t>
  </si>
  <si>
    <t>+251940113262</t>
  </si>
  <si>
    <t>nera2422ketye@gmail.com</t>
  </si>
  <si>
    <t>Fantu</t>
  </si>
  <si>
    <t>+251939881380</t>
  </si>
  <si>
    <t>milkesa1.abera@gmail.com</t>
  </si>
  <si>
    <t>milkesa</t>
  </si>
  <si>
    <t>abera</t>
  </si>
  <si>
    <t>+251937167878</t>
  </si>
  <si>
    <t>abushabreham@gmail.com</t>
  </si>
  <si>
    <t>Abush</t>
  </si>
  <si>
    <t>+251936728288</t>
  </si>
  <si>
    <t>girmaynani123@gmail.com</t>
  </si>
  <si>
    <t>helen</t>
  </si>
  <si>
    <t>girmay</t>
  </si>
  <si>
    <t>+251936563170</t>
  </si>
  <si>
    <t>misganatamire2@gmail.com</t>
  </si>
  <si>
    <t>Misgana</t>
  </si>
  <si>
    <t>Tamire</t>
  </si>
  <si>
    <t>+251936523317</t>
  </si>
  <si>
    <t>abdulselam4246@gmail.com</t>
  </si>
  <si>
    <t>abdulselam</t>
  </si>
  <si>
    <t>molla</t>
  </si>
  <si>
    <t>+251935664245</t>
  </si>
  <si>
    <t>melespalriang@gmail.com</t>
  </si>
  <si>
    <t>RUACH</t>
  </si>
  <si>
    <t>RIANG</t>
  </si>
  <si>
    <t>+251935632806</t>
  </si>
  <si>
    <t>elrufael75@gmail.com</t>
  </si>
  <si>
    <t>+251935329438</t>
  </si>
  <si>
    <t>luwam016@gmail.com</t>
  </si>
  <si>
    <t>Luwam</t>
  </si>
  <si>
    <t>+251934777709</t>
  </si>
  <si>
    <t>misganabelete19@gmail.com</t>
  </si>
  <si>
    <t>+251934429601</t>
  </si>
  <si>
    <t>misganabelete7@gmail.com</t>
  </si>
  <si>
    <t>yordansisay21@gmail.com</t>
  </si>
  <si>
    <t>+251934400192</t>
  </si>
  <si>
    <t>tewodrosdula1@gmail.com</t>
  </si>
  <si>
    <t>Dula</t>
  </si>
  <si>
    <t>+251933746017</t>
  </si>
  <si>
    <t>kewmuslimah33@gmail.com</t>
  </si>
  <si>
    <t>Kewser</t>
  </si>
  <si>
    <t>Yassin</t>
  </si>
  <si>
    <t>+251933696155</t>
  </si>
  <si>
    <t>eyakemtesfaye21@gmail.com</t>
  </si>
  <si>
    <t>Eyakem</t>
  </si>
  <si>
    <t>+251933580969</t>
  </si>
  <si>
    <t>motigemechu19@gmail.com</t>
  </si>
  <si>
    <t>Moti</t>
  </si>
  <si>
    <t>+251933308861</t>
  </si>
  <si>
    <t>tsionfithalew@gmail.com</t>
  </si>
  <si>
    <t>+251933179566</t>
  </si>
  <si>
    <t>melkamutadesse32@gmail.com</t>
  </si>
  <si>
    <t>Gebrehiwot</t>
  </si>
  <si>
    <t>+251932674645</t>
  </si>
  <si>
    <t>bezanega200@gmail.com</t>
  </si>
  <si>
    <t>Nega Addisu</t>
  </si>
  <si>
    <t>+251932204623</t>
  </si>
  <si>
    <t>khalidabdulhafiz29@gmail.com</t>
  </si>
  <si>
    <t>+251932097022</t>
  </si>
  <si>
    <t>bayisagebeyehu072@gmail.com</t>
  </si>
  <si>
    <t>fozzali24@gmail.com</t>
  </si>
  <si>
    <t>K</t>
  </si>
  <si>
    <t>+251931387445</t>
  </si>
  <si>
    <t>amanueldesalegn365@gmail.com</t>
  </si>
  <si>
    <t>+251931152754</t>
  </si>
  <si>
    <t>yadealadnew57@gmail.com</t>
  </si>
  <si>
    <t>yadeal</t>
  </si>
  <si>
    <t>+251929137294</t>
  </si>
  <si>
    <t>samriayu49@gmail.com</t>
  </si>
  <si>
    <t>+251929032607</t>
  </si>
  <si>
    <t>davedawit208@gmail.com</t>
  </si>
  <si>
    <t>+251928680723</t>
  </si>
  <si>
    <t>gechw147@gmail.com</t>
  </si>
  <si>
    <t>Workie</t>
  </si>
  <si>
    <t>+251928491544</t>
  </si>
  <si>
    <t>siyanesamuel5@gmail.com</t>
  </si>
  <si>
    <t>Siyane</t>
  </si>
  <si>
    <t>+251928398112</t>
  </si>
  <si>
    <t>bethelyeyesus@gmail.com</t>
  </si>
  <si>
    <t>+251926997212</t>
  </si>
  <si>
    <t>woyesadeliso4@gmail.com</t>
  </si>
  <si>
    <t>Woyesa</t>
  </si>
  <si>
    <t>Deliso</t>
  </si>
  <si>
    <t>+251925656685</t>
  </si>
  <si>
    <t>temuyegamo@gmail.com</t>
  </si>
  <si>
    <t>Timotewos</t>
  </si>
  <si>
    <t>Gamo</t>
  </si>
  <si>
    <t>+251925567220</t>
  </si>
  <si>
    <t>nesrosultan4@gmail.com</t>
  </si>
  <si>
    <t>Sultan</t>
  </si>
  <si>
    <t>+251925052357</t>
  </si>
  <si>
    <t>samuellmes@yahoo.com</t>
  </si>
  <si>
    <t>+251925001820</t>
  </si>
  <si>
    <t>tinsaeelias53@gmail.com</t>
  </si>
  <si>
    <t>+251924756648</t>
  </si>
  <si>
    <t>nahil932@gmail.com</t>
  </si>
  <si>
    <t>Nahil</t>
  </si>
  <si>
    <t>+251924436462</t>
  </si>
  <si>
    <t>getasewgashu@gmail.com</t>
  </si>
  <si>
    <t>Dr Getasew Gashu</t>
  </si>
  <si>
    <t>Garie</t>
  </si>
  <si>
    <t>+251924400720</t>
  </si>
  <si>
    <t>restin7bark2025@gmail.com</t>
  </si>
  <si>
    <t>Barkilign</t>
  </si>
  <si>
    <t>+251924171769</t>
  </si>
  <si>
    <t>eyobamb2021@gmail.com</t>
  </si>
  <si>
    <t>+251924150155</t>
  </si>
  <si>
    <t>adeyedessa@gmail.com</t>
  </si>
  <si>
    <t>Adey</t>
  </si>
  <si>
    <t>Edessa</t>
  </si>
  <si>
    <t>+251924135820</t>
  </si>
  <si>
    <t>tsegayesamuel21@gmail.com</t>
  </si>
  <si>
    <t>+251923242060</t>
  </si>
  <si>
    <t>yonath2008@gmail.com</t>
  </si>
  <si>
    <t>Habtom</t>
  </si>
  <si>
    <t>+251923003387</t>
  </si>
  <si>
    <t>kidanabayneh@gmail.com</t>
  </si>
  <si>
    <t>Kidan</t>
  </si>
  <si>
    <t>+251922997120</t>
  </si>
  <si>
    <t>saron97shiferaw@gmail.com</t>
  </si>
  <si>
    <t>+251922977252</t>
  </si>
  <si>
    <t>tsedalmuluneh19@gmail.com</t>
  </si>
  <si>
    <t>Tsedal</t>
  </si>
  <si>
    <t>+251922960813</t>
  </si>
  <si>
    <t>+251922908388</t>
  </si>
  <si>
    <t>kirubeltewodros@gmail.com</t>
  </si>
  <si>
    <t>+251922744053</t>
  </si>
  <si>
    <t>girmaamanuel8@gmail.com</t>
  </si>
  <si>
    <t>+251921696067</t>
  </si>
  <si>
    <t>+251921498392</t>
  </si>
  <si>
    <t>abeni8249@gmail.com</t>
  </si>
  <si>
    <t>abenezer</t>
  </si>
  <si>
    <t>Abrha</t>
  </si>
  <si>
    <t>+251921332064</t>
  </si>
  <si>
    <t>asma405maw@gmail.com</t>
  </si>
  <si>
    <t>Asmamaw</t>
  </si>
  <si>
    <t>+251921284180</t>
  </si>
  <si>
    <t>yalemyig19@gmail.com</t>
  </si>
  <si>
    <t>Yalemsew</t>
  </si>
  <si>
    <t>Agaje</t>
  </si>
  <si>
    <t>+251921280981</t>
  </si>
  <si>
    <t>guutatesema@gmail.com</t>
  </si>
  <si>
    <t>Guta</t>
  </si>
  <si>
    <t>+251921255712</t>
  </si>
  <si>
    <t>tsionhailu119@gmail.com</t>
  </si>
  <si>
    <t>woldemariam</t>
  </si>
  <si>
    <t>+251920748440</t>
  </si>
  <si>
    <t>matyasmekbib@gmail.com</t>
  </si>
  <si>
    <t>Matyas</t>
  </si>
  <si>
    <t>+251920467499</t>
  </si>
  <si>
    <t>+251920256645</t>
  </si>
  <si>
    <t>gudisagebi1@gmail.com</t>
  </si>
  <si>
    <t>Gebi</t>
  </si>
  <si>
    <t>+251920178933</t>
  </si>
  <si>
    <t>deretamedere@gmail.com</t>
  </si>
  <si>
    <t>Tamene</t>
  </si>
  <si>
    <t>+251920011859</t>
  </si>
  <si>
    <t>saronkidanekal98@gmail.com</t>
  </si>
  <si>
    <t>saron</t>
  </si>
  <si>
    <t>kidanekal</t>
  </si>
  <si>
    <t>+251919397160</t>
  </si>
  <si>
    <t>nahomsalu@gmail.com</t>
  </si>
  <si>
    <t>+251919314093</t>
  </si>
  <si>
    <t>natfaye98@gmail.com</t>
  </si>
  <si>
    <t>+251919234259</t>
  </si>
  <si>
    <t>tesfa547527@gmail.com</t>
  </si>
  <si>
    <t>TESFAYE</t>
  </si>
  <si>
    <t>MULIE</t>
  </si>
  <si>
    <t>+251919220412</t>
  </si>
  <si>
    <t>sosinagezahegn567@gmail.com</t>
  </si>
  <si>
    <t>Sosina Gezahegn</t>
  </si>
  <si>
    <t>+251919155625</t>
  </si>
  <si>
    <t>+251918440700</t>
  </si>
  <si>
    <t>mollaandebet80@gmail.com</t>
  </si>
  <si>
    <t>Andebet</t>
  </si>
  <si>
    <t>+251918210073</t>
  </si>
  <si>
    <t>atinafuasefa@gmail.com</t>
  </si>
  <si>
    <t>+251916389473</t>
  </si>
  <si>
    <t>sosinask23@gmail.com</t>
  </si>
  <si>
    <t>Sosina</t>
  </si>
  <si>
    <t>Kuru</t>
  </si>
  <si>
    <t>+251916048022</t>
  </si>
  <si>
    <t>badmassu7@gmail.com</t>
  </si>
  <si>
    <t>Bruk</t>
  </si>
  <si>
    <t>+251915554558</t>
  </si>
  <si>
    <t>abdirahmansulub70@gmail.com</t>
  </si>
  <si>
    <t>Abdirahman</t>
  </si>
  <si>
    <t>+251915152644</t>
  </si>
  <si>
    <t>baarinbg@gmail.com</t>
  </si>
  <si>
    <t>Nur Barre</t>
  </si>
  <si>
    <t>Gamadid</t>
  </si>
  <si>
    <t>+251915103707</t>
  </si>
  <si>
    <t>abdiwalia79@gmail.com</t>
  </si>
  <si>
    <t>Abdiwali</t>
  </si>
  <si>
    <t>Siyad</t>
  </si>
  <si>
    <t>+251915095524</t>
  </si>
  <si>
    <t>jamalabdulahi68@gmail.com</t>
  </si>
  <si>
    <t>Jamal</t>
  </si>
  <si>
    <t>Hayd</t>
  </si>
  <si>
    <t>+251915078638</t>
  </si>
  <si>
    <t>yareoselemon@gmail.com</t>
  </si>
  <si>
    <t>Selemon</t>
  </si>
  <si>
    <t>+251914370612</t>
  </si>
  <si>
    <t>petrosbruh.et@gmail.com</t>
  </si>
  <si>
    <t>Bruh</t>
  </si>
  <si>
    <t>Arficho</t>
  </si>
  <si>
    <t>+251914247818</t>
  </si>
  <si>
    <t>hermelakibrom56@gmail.com</t>
  </si>
  <si>
    <t>Kibrom</t>
  </si>
  <si>
    <t>+251914134814</t>
  </si>
  <si>
    <t>seidiya12@gmail.com</t>
  </si>
  <si>
    <t>+251914068528</t>
  </si>
  <si>
    <t>johnmekonen86@gmail.com</t>
  </si>
  <si>
    <t>Yohannes Gidey</t>
  </si>
  <si>
    <t>+251913974941</t>
  </si>
  <si>
    <t>wondejan7@gmail.com</t>
  </si>
  <si>
    <t>Wondwossen</t>
  </si>
  <si>
    <t>+251913967059</t>
  </si>
  <si>
    <t>eldeguevara@gmail.com</t>
  </si>
  <si>
    <t>Gedle</t>
  </si>
  <si>
    <t>+251913751353</t>
  </si>
  <si>
    <t>mulualemberhanu3@gmail.com</t>
  </si>
  <si>
    <t>+251913724797</t>
  </si>
  <si>
    <t>meswg21@gmail.com</t>
  </si>
  <si>
    <t>Gebreselassie</t>
  </si>
  <si>
    <t>+251913705093</t>
  </si>
  <si>
    <t>+251913562965</t>
  </si>
  <si>
    <t>+251913539651</t>
  </si>
  <si>
    <t>biniyamaltie@gmail.com</t>
  </si>
  <si>
    <t>Ashengo</t>
  </si>
  <si>
    <t>+251913352216</t>
  </si>
  <si>
    <t>wubishetmekonin1313@gmail.com</t>
  </si>
  <si>
    <t>Mekonin</t>
  </si>
  <si>
    <t>+251913321417</t>
  </si>
  <si>
    <t>yaredgrum16@gmail.com</t>
  </si>
  <si>
    <t>+251913242685</t>
  </si>
  <si>
    <t>eyobab23@gmail.com</t>
  </si>
  <si>
    <t>Molito</t>
  </si>
  <si>
    <t>+251913138011</t>
  </si>
  <si>
    <t>tesphili07@gmail.com</t>
  </si>
  <si>
    <t>Philimon</t>
  </si>
  <si>
    <t>+251913092963</t>
  </si>
  <si>
    <t>johnteshome8019@gmail.com</t>
  </si>
  <si>
    <t>John</t>
  </si>
  <si>
    <t>lensadesalegn78@gmail.com</t>
  </si>
  <si>
    <t>Lensa</t>
  </si>
  <si>
    <t>Wakeyo</t>
  </si>
  <si>
    <t>+251912684537</t>
  </si>
  <si>
    <t>getasewfentahun200@gmail.com</t>
  </si>
  <si>
    <t>Fentahun</t>
  </si>
  <si>
    <t>+251912445171</t>
  </si>
  <si>
    <t>kalebxebek5@gmail.com</t>
  </si>
  <si>
    <t>+251912335700</t>
  </si>
  <si>
    <t>sebahadin@gmail.com</t>
  </si>
  <si>
    <t>Sebahadin</t>
  </si>
  <si>
    <t>Nasir</t>
  </si>
  <si>
    <t>+251911988021</t>
  </si>
  <si>
    <t>meazasamson@gmail.com</t>
  </si>
  <si>
    <t>+251911911534</t>
  </si>
  <si>
    <t>makigt24@gmail.com</t>
  </si>
  <si>
    <t>Makda</t>
  </si>
  <si>
    <t>+251911767956</t>
  </si>
  <si>
    <t>nebintf@gmail.com</t>
  </si>
  <si>
    <t>+251911519394</t>
  </si>
  <si>
    <t>+251911511812</t>
  </si>
  <si>
    <t>konjitd@gmail.com</t>
  </si>
  <si>
    <t>Konjit</t>
  </si>
  <si>
    <t>Gebreyes</t>
  </si>
  <si>
    <t>+251911510506</t>
  </si>
  <si>
    <t>metileg@gmail.com</t>
  </si>
  <si>
    <t>leggese</t>
  </si>
  <si>
    <t>+251911416417</t>
  </si>
  <si>
    <t>newtef398@gmail.com</t>
  </si>
  <si>
    <t>Neway</t>
  </si>
  <si>
    <t>Menkir</t>
  </si>
  <si>
    <t>+251911414368</t>
  </si>
  <si>
    <t>wgezahegn@gmail.com</t>
  </si>
  <si>
    <t>Wondimagegnehu</t>
  </si>
  <si>
    <t>+251911335411</t>
  </si>
  <si>
    <t>bireedebela@gmail.com</t>
  </si>
  <si>
    <t>Negassa</t>
  </si>
  <si>
    <t>+251911179343</t>
  </si>
  <si>
    <t>merdasadaba@gmail.com</t>
  </si>
  <si>
    <t>Merdasa</t>
  </si>
  <si>
    <t>+251911174779</t>
  </si>
  <si>
    <t>sabahabtub@gmail.com</t>
  </si>
  <si>
    <t>Saba Habtu</t>
  </si>
  <si>
    <t>+251911170753</t>
  </si>
  <si>
    <t>brukworku47@gmail.com</t>
  </si>
  <si>
    <t>Beruk</t>
  </si>
  <si>
    <t>+251911126661</t>
  </si>
  <si>
    <t>leniyad2@gmail.com</t>
  </si>
  <si>
    <t>Lense</t>
  </si>
  <si>
    <t>Wordofa</t>
  </si>
  <si>
    <t>+251910886341</t>
  </si>
  <si>
    <t>bayukemawuarc@gmail.com</t>
  </si>
  <si>
    <t>+251910814632</t>
  </si>
  <si>
    <t>eskedarnegese659@gmail.com</t>
  </si>
  <si>
    <t>Negash</t>
  </si>
  <si>
    <t>+251910699461</t>
  </si>
  <si>
    <t>+251910584048</t>
  </si>
  <si>
    <t>antenehmendaye.am@gmail.com</t>
  </si>
  <si>
    <t>Mendaye</t>
  </si>
  <si>
    <t>+251910546161</t>
  </si>
  <si>
    <t>gemaged2@gmail.com</t>
  </si>
  <si>
    <t>Gedefa</t>
  </si>
  <si>
    <t>+251910523288</t>
  </si>
  <si>
    <t>+251910436951</t>
  </si>
  <si>
    <t>tesfayemegarsa2000@gmail.com</t>
  </si>
  <si>
    <t>Dame</t>
  </si>
  <si>
    <t>+251910332304</t>
  </si>
  <si>
    <t>abyia474@gmail.com</t>
  </si>
  <si>
    <t>abinet</t>
  </si>
  <si>
    <t>+251910326102</t>
  </si>
  <si>
    <t>fitsum.deriba@gmail.com</t>
  </si>
  <si>
    <t>Deriba</t>
  </si>
  <si>
    <t>+251910193462</t>
  </si>
  <si>
    <t>tnsugenene@gmail.com</t>
  </si>
  <si>
    <t>Genene</t>
  </si>
  <si>
    <t>+251910104070</t>
  </si>
  <si>
    <t>selamuberhanu0909@gmail.com</t>
  </si>
  <si>
    <t>Selamu</t>
  </si>
  <si>
    <t>Takiso</t>
  </si>
  <si>
    <t>+251909750975</t>
  </si>
  <si>
    <t>tsm112208@gmail.com</t>
  </si>
  <si>
    <t>TSEGAY</t>
  </si>
  <si>
    <t>ABEBE</t>
  </si>
  <si>
    <t>+251909545430</t>
  </si>
  <si>
    <t>ephremtaye24@gmail.com</t>
  </si>
  <si>
    <t>Ephrem</t>
  </si>
  <si>
    <t>+251909328390</t>
  </si>
  <si>
    <t>samueldagne26@gmail.com</t>
  </si>
  <si>
    <t>+251908760463</t>
  </si>
  <si>
    <t>frezermengistu3@gmail.com</t>
  </si>
  <si>
    <t>Frezer</t>
  </si>
  <si>
    <t>+251908475599</t>
  </si>
  <si>
    <t>ziongenene@gmail.com</t>
  </si>
  <si>
    <t>+251907870620</t>
  </si>
  <si>
    <t>biruktitm@gmail.com</t>
  </si>
  <si>
    <t>Biruktawit</t>
  </si>
  <si>
    <t>+251905784388</t>
  </si>
  <si>
    <t>salihakemal2011@gmail.com</t>
  </si>
  <si>
    <t>Saliya</t>
  </si>
  <si>
    <t>+251904609397</t>
  </si>
  <si>
    <t>mahammadsafidafis@gmail.com</t>
  </si>
  <si>
    <t>Dafis</t>
  </si>
  <si>
    <t>natnaelbz25@gmail.com</t>
  </si>
  <si>
    <t>Bazezew</t>
  </si>
  <si>
    <t>+251902211515</t>
  </si>
  <si>
    <t>bamlaknem@gmail.com</t>
  </si>
  <si>
    <t>Fikadu</t>
  </si>
  <si>
    <t>+251901967169</t>
  </si>
  <si>
    <t>teshomehermella01@gmail.com</t>
  </si>
  <si>
    <t>Hermella</t>
  </si>
  <si>
    <t>+251901942023</t>
  </si>
  <si>
    <t>abdoeman1216@gmail.com</t>
  </si>
  <si>
    <t>yenebitu83@gmail.com</t>
  </si>
  <si>
    <t>Emebet</t>
  </si>
  <si>
    <t>Ayalewu</t>
  </si>
  <si>
    <t>+251900620983</t>
  </si>
  <si>
    <t>chalafufa@gmail.com</t>
  </si>
  <si>
    <t>Fufa</t>
  </si>
  <si>
    <t>+251900351538</t>
  </si>
  <si>
    <t>liyateklemariam1234@gmail.com</t>
  </si>
  <si>
    <t>Gebremeskel</t>
  </si>
  <si>
    <t>+251900302039</t>
  </si>
  <si>
    <t>adieriberelroy2@gmail.com</t>
  </si>
  <si>
    <t>Tam</t>
  </si>
  <si>
    <t>Kwot</t>
  </si>
  <si>
    <t>+251900117007</t>
  </si>
  <si>
    <t>destalemab4@gmail.com</t>
  </si>
  <si>
    <t>Destalem</t>
  </si>
  <si>
    <t>Baraki</t>
  </si>
  <si>
    <t>+251703660601</t>
  </si>
  <si>
    <t>habtamu2383@gmail.com</t>
  </si>
  <si>
    <t>+251096766064</t>
  </si>
  <si>
    <t>+251 0937078729</t>
  </si>
  <si>
    <t>dmxzpsych@gmail.com</t>
  </si>
  <si>
    <t>+1912691049</t>
  </si>
  <si>
    <t>wintanahm@gmail.com</t>
  </si>
  <si>
    <t>Wintana</t>
  </si>
  <si>
    <t>tirsitgirma10@gmail.com</t>
  </si>
  <si>
    <t>tirsit</t>
  </si>
  <si>
    <t>Siyum</t>
  </si>
  <si>
    <t>temam.dagne-ug@aau.edu.et</t>
  </si>
  <si>
    <t>Temam</t>
  </si>
  <si>
    <t>amanuhibam@gmail.com</t>
  </si>
  <si>
    <t>Gashayehu</t>
  </si>
  <si>
    <t>meski4695@gmail.com</t>
  </si>
  <si>
    <t>Meskerem</t>
  </si>
  <si>
    <t>yeabsiratekalegn@gmail.com</t>
  </si>
  <si>
    <t>Yabsira</t>
  </si>
  <si>
    <t>Tekalegn</t>
  </si>
  <si>
    <t>fitsumamare450@gmail.com</t>
  </si>
  <si>
    <t>Fitsum Zelalem Amare</t>
  </si>
  <si>
    <t>Fitsumish</t>
  </si>
  <si>
    <t>mamejesus@gmail.com</t>
  </si>
  <si>
    <t>kibreyesus</t>
  </si>
  <si>
    <t>menebo</t>
  </si>
  <si>
    <t>dejwold@gmail.com</t>
  </si>
  <si>
    <t>Tollosa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</si>
</sst>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color theme="1"/>
      <name val="Poppins"/>
    </font>
    <font>
      <color rgb="FFFFCFC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vertical="bottom"/>
    </xf>
    <xf quotePrefix="1"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2" fontId="1" numFmtId="1" xfId="0" applyAlignment="1" applyFont="1" applyNumberFormat="1">
      <alignment vertical="bottom"/>
    </xf>
    <xf borderId="0" fillId="2" fontId="2" numFmtId="0" xfId="0" applyFont="1"/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2" fontId="1" numFmtId="0" xfId="0" applyAlignment="1" applyFont="1">
      <alignment horizontal="left" vertical="bottom"/>
    </xf>
    <xf quotePrefix="1"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2">
        <v>20.41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13</v>
      </c>
      <c r="F3" s="1"/>
      <c r="G3" s="1" t="s">
        <v>14</v>
      </c>
      <c r="H3" s="1" t="s">
        <v>20</v>
      </c>
      <c r="I3" s="2">
        <v>21.39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13</v>
      </c>
      <c r="F4" s="1"/>
      <c r="G4" s="1" t="s">
        <v>14</v>
      </c>
      <c r="H4" s="1" t="s">
        <v>15</v>
      </c>
      <c r="I4" s="2">
        <v>30.54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13</v>
      </c>
      <c r="F5" s="1"/>
      <c r="G5" s="1" t="s">
        <v>14</v>
      </c>
      <c r="H5" s="1" t="s">
        <v>15</v>
      </c>
      <c r="I5" s="2">
        <v>29.65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13</v>
      </c>
      <c r="F6" s="1"/>
      <c r="G6" s="1" t="s">
        <v>14</v>
      </c>
      <c r="H6" s="1" t="s">
        <v>20</v>
      </c>
      <c r="I6" s="2">
        <v>26.43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13</v>
      </c>
      <c r="F7" s="1"/>
      <c r="G7" s="1" t="s">
        <v>14</v>
      </c>
      <c r="H7" s="1" t="s">
        <v>20</v>
      </c>
      <c r="I7" s="2">
        <v>21.53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13</v>
      </c>
      <c r="F8" s="1"/>
      <c r="G8" s="1" t="s">
        <v>14</v>
      </c>
      <c r="H8" s="1" t="s">
        <v>20</v>
      </c>
      <c r="I8" s="2">
        <v>20.34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13</v>
      </c>
      <c r="F9" s="1"/>
      <c r="G9" s="1" t="s">
        <v>14</v>
      </c>
      <c r="H9" s="1" t="s">
        <v>15</v>
      </c>
      <c r="I9" s="2">
        <v>34.0</v>
      </c>
    </row>
    <row r="10">
      <c r="A10" s="1" t="s">
        <v>45</v>
      </c>
      <c r="B10" s="1" t="s">
        <v>46</v>
      </c>
      <c r="C10" s="1" t="s">
        <v>47</v>
      </c>
      <c r="D10" s="3" t="s">
        <v>48</v>
      </c>
      <c r="E10" s="1" t="s">
        <v>13</v>
      </c>
      <c r="F10" s="1"/>
      <c r="G10" s="1" t="s">
        <v>14</v>
      </c>
      <c r="H10" s="1" t="s">
        <v>20</v>
      </c>
      <c r="I10" s="2">
        <v>19.62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13</v>
      </c>
      <c r="F11" s="1"/>
      <c r="G11" s="1" t="s">
        <v>14</v>
      </c>
      <c r="H11" s="1" t="s">
        <v>20</v>
      </c>
      <c r="I11" s="2">
        <v>24.38</v>
      </c>
    </row>
    <row r="12">
      <c r="A12" s="1" t="s">
        <v>53</v>
      </c>
      <c r="B12" s="1" t="s">
        <v>50</v>
      </c>
      <c r="C12" s="1" t="s">
        <v>51</v>
      </c>
      <c r="D12" s="1" t="s">
        <v>52</v>
      </c>
      <c r="E12" s="1" t="s">
        <v>13</v>
      </c>
      <c r="F12" s="1"/>
      <c r="G12" s="1" t="s">
        <v>14</v>
      </c>
      <c r="H12" s="1" t="s">
        <v>20</v>
      </c>
      <c r="I12" s="2">
        <v>24.38</v>
      </c>
    </row>
    <row r="13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13</v>
      </c>
      <c r="F13" s="1"/>
      <c r="G13" s="1" t="s">
        <v>14</v>
      </c>
      <c r="H13" s="1" t="s">
        <v>15</v>
      </c>
      <c r="I13" s="2">
        <v>25.35</v>
      </c>
    </row>
    <row r="14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13</v>
      </c>
      <c r="F14" s="1"/>
      <c r="G14" s="1" t="s">
        <v>14</v>
      </c>
      <c r="H14" s="1" t="s">
        <v>15</v>
      </c>
      <c r="I14" s="2">
        <v>19.07</v>
      </c>
    </row>
    <row r="15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66</v>
      </c>
      <c r="F15" s="1" t="s">
        <v>67</v>
      </c>
      <c r="G15" s="1" t="s">
        <v>14</v>
      </c>
      <c r="H15" s="1" t="s">
        <v>15</v>
      </c>
      <c r="I15" s="2">
        <v>22.92</v>
      </c>
    </row>
    <row r="16">
      <c r="A16" s="1" t="s">
        <v>68</v>
      </c>
      <c r="B16" s="1" t="s">
        <v>59</v>
      </c>
      <c r="C16" s="1" t="s">
        <v>69</v>
      </c>
      <c r="D16" s="1" t="s">
        <v>70</v>
      </c>
      <c r="E16" s="1" t="s">
        <v>66</v>
      </c>
      <c r="F16" s="1" t="s">
        <v>71</v>
      </c>
      <c r="G16" s="1" t="s">
        <v>14</v>
      </c>
      <c r="H16" s="1" t="s">
        <v>15</v>
      </c>
      <c r="I16" s="2">
        <v>19.89</v>
      </c>
    </row>
    <row r="17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66</v>
      </c>
      <c r="F17" s="1" t="s">
        <v>76</v>
      </c>
      <c r="G17" s="1" t="s">
        <v>14</v>
      </c>
      <c r="H17" s="1" t="s">
        <v>20</v>
      </c>
      <c r="I17" s="2">
        <v>22.42</v>
      </c>
    </row>
    <row r="18">
      <c r="A18" s="1" t="s">
        <v>77</v>
      </c>
      <c r="B18" s="1" t="s">
        <v>78</v>
      </c>
      <c r="C18" s="1" t="s">
        <v>79</v>
      </c>
      <c r="D18" s="1" t="s">
        <v>80</v>
      </c>
      <c r="E18" s="1" t="s">
        <v>66</v>
      </c>
      <c r="F18" s="1" t="s">
        <v>67</v>
      </c>
      <c r="G18" s="1" t="s">
        <v>14</v>
      </c>
      <c r="H18" s="1" t="s">
        <v>20</v>
      </c>
      <c r="I18" s="2">
        <v>22.46</v>
      </c>
    </row>
    <row r="19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66</v>
      </c>
      <c r="F19" s="1" t="s">
        <v>67</v>
      </c>
      <c r="G19" s="1" t="s">
        <v>85</v>
      </c>
      <c r="H19" s="1" t="s">
        <v>15</v>
      </c>
      <c r="I19" s="2">
        <v>24.75</v>
      </c>
    </row>
    <row r="20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66</v>
      </c>
      <c r="F20" s="1" t="s">
        <v>90</v>
      </c>
      <c r="G20" s="1" t="s">
        <v>14</v>
      </c>
      <c r="H20" s="1" t="s">
        <v>20</v>
      </c>
      <c r="I20" s="2">
        <v>22.21</v>
      </c>
    </row>
    <row r="21">
      <c r="A21" s="1" t="s">
        <v>91</v>
      </c>
      <c r="B21" s="1" t="s">
        <v>92</v>
      </c>
      <c r="C21" s="1" t="s">
        <v>93</v>
      </c>
      <c r="D21" s="1" t="s">
        <v>94</v>
      </c>
      <c r="E21" s="1" t="s">
        <v>66</v>
      </c>
      <c r="F21" s="1" t="s">
        <v>95</v>
      </c>
      <c r="G21" s="1" t="s">
        <v>14</v>
      </c>
      <c r="H21" s="1" t="s">
        <v>20</v>
      </c>
      <c r="I21" s="2">
        <v>19.52</v>
      </c>
    </row>
    <row r="22">
      <c r="A22" s="1" t="s">
        <v>96</v>
      </c>
      <c r="B22" s="1" t="s">
        <v>97</v>
      </c>
      <c r="C22" s="1" t="s">
        <v>10</v>
      </c>
      <c r="D22" s="1" t="s">
        <v>98</v>
      </c>
      <c r="E22" s="1" t="s">
        <v>66</v>
      </c>
      <c r="F22" s="1" t="s">
        <v>67</v>
      </c>
      <c r="G22" s="1" t="s">
        <v>14</v>
      </c>
      <c r="H22" s="1" t="s">
        <v>15</v>
      </c>
      <c r="I22" s="2">
        <v>23.03</v>
      </c>
    </row>
    <row r="23">
      <c r="A23" s="1" t="s">
        <v>99</v>
      </c>
      <c r="B23" s="1" t="s">
        <v>100</v>
      </c>
      <c r="C23" s="1" t="s">
        <v>101</v>
      </c>
      <c r="D23" s="3" t="s">
        <v>102</v>
      </c>
      <c r="E23" s="1" t="s">
        <v>66</v>
      </c>
      <c r="F23" s="1" t="s">
        <v>67</v>
      </c>
      <c r="G23" s="1" t="s">
        <v>14</v>
      </c>
      <c r="H23" s="1" t="s">
        <v>20</v>
      </c>
      <c r="I23" s="2">
        <v>20.88</v>
      </c>
    </row>
    <row r="24">
      <c r="A24" s="1" t="s">
        <v>103</v>
      </c>
      <c r="B24" s="1" t="s">
        <v>104</v>
      </c>
      <c r="C24" s="1" t="s">
        <v>105</v>
      </c>
      <c r="D24" s="1" t="s">
        <v>106</v>
      </c>
      <c r="E24" s="1" t="s">
        <v>66</v>
      </c>
      <c r="F24" s="1" t="s">
        <v>67</v>
      </c>
      <c r="G24" s="1" t="s">
        <v>14</v>
      </c>
      <c r="H24" s="1" t="s">
        <v>15</v>
      </c>
      <c r="I24" s="2">
        <v>24.68</v>
      </c>
    </row>
    <row r="25">
      <c r="A25" s="1" t="s">
        <v>107</v>
      </c>
      <c r="B25" s="1" t="s">
        <v>108</v>
      </c>
      <c r="C25" s="1" t="s">
        <v>109</v>
      </c>
      <c r="D25" s="1" t="s">
        <v>110</v>
      </c>
      <c r="E25" s="1" t="s">
        <v>66</v>
      </c>
      <c r="F25" s="1" t="s">
        <v>95</v>
      </c>
      <c r="G25" s="1" t="s">
        <v>14</v>
      </c>
      <c r="H25" s="1" t="s">
        <v>15</v>
      </c>
      <c r="I25" s="2">
        <v>20.57</v>
      </c>
    </row>
    <row r="26">
      <c r="A26" s="1" t="s">
        <v>111</v>
      </c>
      <c r="B26" s="1" t="s">
        <v>112</v>
      </c>
      <c r="C26" s="1" t="s">
        <v>113</v>
      </c>
      <c r="D26" s="1" t="s">
        <v>114</v>
      </c>
      <c r="E26" s="1" t="s">
        <v>66</v>
      </c>
      <c r="F26" s="1" t="s">
        <v>67</v>
      </c>
      <c r="G26" s="1" t="s">
        <v>14</v>
      </c>
      <c r="H26" s="1" t="s">
        <v>15</v>
      </c>
      <c r="I26" s="2">
        <v>60.77</v>
      </c>
    </row>
    <row r="27">
      <c r="A27" s="1" t="s">
        <v>115</v>
      </c>
      <c r="B27" s="1" t="s">
        <v>116</v>
      </c>
      <c r="C27" s="1" t="s">
        <v>117</v>
      </c>
      <c r="D27" s="1" t="s">
        <v>118</v>
      </c>
      <c r="E27" s="1" t="s">
        <v>66</v>
      </c>
      <c r="F27" s="1" t="s">
        <v>67</v>
      </c>
      <c r="G27" s="1" t="s">
        <v>14</v>
      </c>
      <c r="H27" s="1" t="s">
        <v>15</v>
      </c>
      <c r="I27" s="2">
        <v>18.97</v>
      </c>
    </row>
    <row r="28">
      <c r="A28" s="1" t="s">
        <v>119</v>
      </c>
      <c r="B28" s="1" t="s">
        <v>120</v>
      </c>
      <c r="C28" s="1" t="s">
        <v>121</v>
      </c>
      <c r="D28" s="1" t="s">
        <v>122</v>
      </c>
      <c r="E28" s="1" t="s">
        <v>66</v>
      </c>
      <c r="F28" s="1" t="s">
        <v>95</v>
      </c>
      <c r="G28" s="1" t="s">
        <v>14</v>
      </c>
      <c r="H28" s="1" t="s">
        <v>20</v>
      </c>
      <c r="I28" s="2">
        <v>25.27</v>
      </c>
    </row>
    <row r="29">
      <c r="A29" s="1" t="s">
        <v>123</v>
      </c>
      <c r="B29" s="1" t="s">
        <v>124</v>
      </c>
      <c r="C29" s="1" t="s">
        <v>10</v>
      </c>
      <c r="D29" s="1" t="s">
        <v>125</v>
      </c>
      <c r="E29" s="1" t="s">
        <v>66</v>
      </c>
      <c r="F29" s="1" t="s">
        <v>67</v>
      </c>
      <c r="G29" s="1" t="s">
        <v>14</v>
      </c>
      <c r="H29" s="1" t="s">
        <v>15</v>
      </c>
      <c r="I29" s="2">
        <v>27.29</v>
      </c>
    </row>
    <row r="30">
      <c r="A30" s="1" t="s">
        <v>126</v>
      </c>
      <c r="B30" s="1" t="s">
        <v>69</v>
      </c>
      <c r="C30" s="1" t="s">
        <v>127</v>
      </c>
      <c r="D30" s="1" t="s">
        <v>128</v>
      </c>
      <c r="E30" s="1" t="s">
        <v>66</v>
      </c>
      <c r="F30" s="1" t="s">
        <v>129</v>
      </c>
      <c r="G30" s="1" t="s">
        <v>130</v>
      </c>
      <c r="H30" s="1" t="s">
        <v>15</v>
      </c>
      <c r="I30" s="2">
        <v>35.01</v>
      </c>
    </row>
    <row r="31">
      <c r="A31" s="4" t="s">
        <v>131</v>
      </c>
      <c r="B31" s="4" t="s">
        <v>132</v>
      </c>
      <c r="C31" s="4" t="s">
        <v>133</v>
      </c>
      <c r="D31" s="4" t="s">
        <v>134</v>
      </c>
      <c r="E31" s="4" t="s">
        <v>66</v>
      </c>
      <c r="F31" s="4" t="s">
        <v>95</v>
      </c>
      <c r="G31" s="4" t="s">
        <v>14</v>
      </c>
      <c r="H31" s="4" t="s">
        <v>15</v>
      </c>
      <c r="I31" s="5">
        <v>28.85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" t="s">
        <v>135</v>
      </c>
      <c r="B32" s="1" t="s">
        <v>136</v>
      </c>
      <c r="C32" s="1" t="s">
        <v>137</v>
      </c>
      <c r="D32" s="1" t="s">
        <v>138</v>
      </c>
      <c r="E32" s="1" t="s">
        <v>66</v>
      </c>
      <c r="F32" s="1" t="s">
        <v>90</v>
      </c>
      <c r="G32" s="1" t="s">
        <v>14</v>
      </c>
      <c r="H32" s="1" t="s">
        <v>15</v>
      </c>
      <c r="I32" s="2">
        <v>21.68</v>
      </c>
    </row>
    <row r="33">
      <c r="A33" s="1" t="s">
        <v>139</v>
      </c>
      <c r="B33" s="1" t="s">
        <v>140</v>
      </c>
      <c r="C33" s="1" t="s">
        <v>141</v>
      </c>
      <c r="D33" s="1" t="s">
        <v>142</v>
      </c>
      <c r="E33" s="1" t="s">
        <v>66</v>
      </c>
      <c r="F33" s="1" t="s">
        <v>90</v>
      </c>
      <c r="G33" s="1" t="s">
        <v>14</v>
      </c>
      <c r="H33" s="1" t="s">
        <v>15</v>
      </c>
      <c r="I33" s="2">
        <v>36.22</v>
      </c>
    </row>
    <row r="34">
      <c r="A34" s="1" t="s">
        <v>143</v>
      </c>
      <c r="B34" s="1" t="s">
        <v>144</v>
      </c>
      <c r="C34" s="1" t="s">
        <v>145</v>
      </c>
      <c r="D34" s="1" t="s">
        <v>146</v>
      </c>
      <c r="E34" s="1" t="s">
        <v>66</v>
      </c>
      <c r="F34" s="1" t="s">
        <v>71</v>
      </c>
      <c r="G34" s="1" t="s">
        <v>14</v>
      </c>
      <c r="H34" s="1" t="s">
        <v>20</v>
      </c>
      <c r="I34" s="2">
        <v>21.3</v>
      </c>
    </row>
    <row r="35">
      <c r="A35" s="1" t="s">
        <v>147</v>
      </c>
      <c r="B35" s="1" t="s">
        <v>148</v>
      </c>
      <c r="C35" s="1" t="s">
        <v>149</v>
      </c>
      <c r="D35" s="1" t="s">
        <v>150</v>
      </c>
      <c r="E35" s="1" t="s">
        <v>66</v>
      </c>
      <c r="F35" s="1" t="s">
        <v>71</v>
      </c>
      <c r="G35" s="1" t="s">
        <v>151</v>
      </c>
      <c r="H35" s="1" t="s">
        <v>15</v>
      </c>
      <c r="I35" s="2">
        <v>20.5</v>
      </c>
    </row>
    <row r="36">
      <c r="A36" s="1" t="s">
        <v>152</v>
      </c>
      <c r="B36" s="1" t="s">
        <v>153</v>
      </c>
      <c r="C36" s="1" t="s">
        <v>154</v>
      </c>
      <c r="D36" s="1" t="s">
        <v>155</v>
      </c>
      <c r="E36" s="1" t="s">
        <v>66</v>
      </c>
      <c r="F36" s="1" t="s">
        <v>76</v>
      </c>
      <c r="G36" s="1" t="s">
        <v>151</v>
      </c>
      <c r="H36" s="1" t="s">
        <v>20</v>
      </c>
      <c r="I36" s="2">
        <v>19.59</v>
      </c>
    </row>
    <row r="37">
      <c r="A37" s="1" t="s">
        <v>156</v>
      </c>
      <c r="B37" s="1" t="s">
        <v>30</v>
      </c>
      <c r="C37" s="1" t="s">
        <v>157</v>
      </c>
      <c r="D37" s="1" t="s">
        <v>158</v>
      </c>
      <c r="E37" s="1" t="s">
        <v>66</v>
      </c>
      <c r="F37" s="1" t="s">
        <v>67</v>
      </c>
      <c r="G37" s="1" t="s">
        <v>14</v>
      </c>
      <c r="H37" s="1" t="s">
        <v>15</v>
      </c>
      <c r="I37" s="2">
        <v>25.95</v>
      </c>
    </row>
    <row r="38">
      <c r="A38" s="1" t="s">
        <v>159</v>
      </c>
      <c r="B38" s="1" t="s">
        <v>160</v>
      </c>
      <c r="C38" s="1" t="s">
        <v>161</v>
      </c>
      <c r="D38" s="1" t="s">
        <v>162</v>
      </c>
      <c r="E38" s="1" t="s">
        <v>66</v>
      </c>
      <c r="F38" s="1" t="s">
        <v>129</v>
      </c>
      <c r="G38" s="1" t="s">
        <v>14</v>
      </c>
      <c r="H38" s="1" t="s">
        <v>15</v>
      </c>
      <c r="I38" s="2">
        <v>25.89</v>
      </c>
    </row>
    <row r="39">
      <c r="A39" s="1" t="s">
        <v>163</v>
      </c>
      <c r="B39" s="1" t="s">
        <v>164</v>
      </c>
      <c r="C39" s="1" t="s">
        <v>165</v>
      </c>
      <c r="D39" s="1" t="s">
        <v>166</v>
      </c>
      <c r="E39" s="1" t="s">
        <v>66</v>
      </c>
      <c r="F39" s="1" t="s">
        <v>67</v>
      </c>
      <c r="G39" s="1" t="s">
        <v>14</v>
      </c>
      <c r="H39" s="1" t="s">
        <v>15</v>
      </c>
      <c r="I39" s="2">
        <v>13.01</v>
      </c>
    </row>
    <row r="40">
      <c r="A40" s="1" t="s">
        <v>167</v>
      </c>
      <c r="B40" s="1" t="s">
        <v>168</v>
      </c>
      <c r="C40" s="1" t="s">
        <v>169</v>
      </c>
      <c r="D40" s="1" t="s">
        <v>170</v>
      </c>
      <c r="E40" s="1" t="s">
        <v>66</v>
      </c>
      <c r="F40" s="1" t="s">
        <v>67</v>
      </c>
      <c r="G40" s="1" t="s">
        <v>130</v>
      </c>
      <c r="H40" s="1" t="s">
        <v>15</v>
      </c>
      <c r="I40" s="2">
        <v>19.89</v>
      </c>
    </row>
    <row r="41">
      <c r="A41" s="1" t="s">
        <v>171</v>
      </c>
      <c r="B41" s="1" t="s">
        <v>172</v>
      </c>
      <c r="C41" s="1" t="s">
        <v>173</v>
      </c>
      <c r="D41" s="1" t="s">
        <v>174</v>
      </c>
      <c r="E41" s="1" t="s">
        <v>66</v>
      </c>
      <c r="F41" s="1" t="s">
        <v>67</v>
      </c>
      <c r="G41" s="1" t="s">
        <v>14</v>
      </c>
      <c r="H41" s="1" t="s">
        <v>15</v>
      </c>
      <c r="I41" s="2">
        <v>20.55</v>
      </c>
    </row>
    <row r="42">
      <c r="A42" s="1" t="s">
        <v>175</v>
      </c>
      <c r="B42" s="1" t="s">
        <v>176</v>
      </c>
      <c r="C42" s="1" t="s">
        <v>177</v>
      </c>
      <c r="D42" s="1" t="s">
        <v>178</v>
      </c>
      <c r="E42" s="1" t="s">
        <v>66</v>
      </c>
      <c r="F42" s="1" t="s">
        <v>67</v>
      </c>
      <c r="G42" s="1" t="s">
        <v>14</v>
      </c>
      <c r="H42" s="1" t="s">
        <v>15</v>
      </c>
      <c r="I42" s="2">
        <v>22.62</v>
      </c>
    </row>
    <row r="43">
      <c r="A43" s="1" t="s">
        <v>179</v>
      </c>
      <c r="B43" s="1" t="s">
        <v>180</v>
      </c>
      <c r="C43" s="1" t="s">
        <v>181</v>
      </c>
      <c r="D43" s="1" t="s">
        <v>182</v>
      </c>
      <c r="E43" s="1" t="s">
        <v>66</v>
      </c>
      <c r="F43" s="1" t="s">
        <v>76</v>
      </c>
      <c r="G43" s="1" t="s">
        <v>14</v>
      </c>
      <c r="H43" s="1" t="s">
        <v>15</v>
      </c>
      <c r="I43" s="2">
        <v>34.64</v>
      </c>
    </row>
    <row r="44">
      <c r="A44" s="1" t="s">
        <v>183</v>
      </c>
      <c r="B44" s="1" t="s">
        <v>184</v>
      </c>
      <c r="C44" s="1" t="s">
        <v>185</v>
      </c>
      <c r="D44" s="1" t="s">
        <v>186</v>
      </c>
      <c r="E44" s="1" t="s">
        <v>66</v>
      </c>
      <c r="F44" s="1" t="s">
        <v>67</v>
      </c>
      <c r="G44" s="1" t="s">
        <v>14</v>
      </c>
      <c r="H44" s="1" t="s">
        <v>15</v>
      </c>
      <c r="I44" s="2">
        <v>23.57</v>
      </c>
    </row>
    <row r="45">
      <c r="A45" s="1" t="s">
        <v>187</v>
      </c>
      <c r="B45" s="1" t="s">
        <v>188</v>
      </c>
      <c r="C45" s="1" t="s">
        <v>189</v>
      </c>
      <c r="D45" s="1" t="s">
        <v>190</v>
      </c>
      <c r="E45" s="1" t="s">
        <v>66</v>
      </c>
      <c r="F45" s="1" t="s">
        <v>129</v>
      </c>
      <c r="G45" s="1" t="s">
        <v>151</v>
      </c>
      <c r="H45" s="1" t="s">
        <v>15</v>
      </c>
      <c r="I45" s="2">
        <v>27.31</v>
      </c>
    </row>
    <row r="46">
      <c r="A46" s="1" t="s">
        <v>191</v>
      </c>
      <c r="B46" s="1" t="s">
        <v>192</v>
      </c>
      <c r="C46" s="1" t="s">
        <v>193</v>
      </c>
      <c r="D46" s="1" t="s">
        <v>194</v>
      </c>
      <c r="E46" s="1" t="s">
        <v>66</v>
      </c>
      <c r="F46" s="1" t="s">
        <v>67</v>
      </c>
      <c r="G46" s="1" t="s">
        <v>195</v>
      </c>
      <c r="H46" s="1" t="s">
        <v>15</v>
      </c>
      <c r="I46" s="2">
        <v>36.51</v>
      </c>
    </row>
    <row r="47">
      <c r="A47" s="1" t="s">
        <v>196</v>
      </c>
      <c r="B47" s="1" t="s">
        <v>197</v>
      </c>
      <c r="C47" s="1" t="s">
        <v>198</v>
      </c>
      <c r="D47" s="1" t="s">
        <v>199</v>
      </c>
      <c r="E47" s="1" t="s">
        <v>66</v>
      </c>
      <c r="F47" s="1" t="s">
        <v>200</v>
      </c>
      <c r="G47" s="1" t="s">
        <v>14</v>
      </c>
      <c r="H47" s="1" t="s">
        <v>20</v>
      </c>
      <c r="I47" s="2">
        <v>30.12</v>
      </c>
    </row>
    <row r="48">
      <c r="A48" s="1" t="s">
        <v>201</v>
      </c>
      <c r="B48" s="1" t="s">
        <v>202</v>
      </c>
      <c r="C48" s="1" t="s">
        <v>203</v>
      </c>
      <c r="D48" s="1" t="s">
        <v>204</v>
      </c>
      <c r="E48" s="1" t="s">
        <v>66</v>
      </c>
      <c r="F48" s="1" t="s">
        <v>67</v>
      </c>
      <c r="G48" s="1" t="s">
        <v>205</v>
      </c>
      <c r="H48" s="1" t="s">
        <v>15</v>
      </c>
      <c r="I48" s="2">
        <v>21.24</v>
      </c>
    </row>
    <row r="49">
      <c r="A49" s="1" t="s">
        <v>206</v>
      </c>
      <c r="B49" s="1" t="s">
        <v>207</v>
      </c>
      <c r="C49" s="1" t="s">
        <v>69</v>
      </c>
      <c r="D49" s="1" t="s">
        <v>208</v>
      </c>
      <c r="E49" s="1" t="s">
        <v>66</v>
      </c>
      <c r="F49" s="1" t="s">
        <v>67</v>
      </c>
      <c r="G49" s="1" t="s">
        <v>14</v>
      </c>
      <c r="H49" s="1" t="s">
        <v>15</v>
      </c>
      <c r="I49" s="2">
        <v>13.05</v>
      </c>
    </row>
    <row r="50">
      <c r="A50" s="1" t="s">
        <v>209</v>
      </c>
      <c r="B50" s="1" t="s">
        <v>210</v>
      </c>
      <c r="C50" s="1" t="s">
        <v>211</v>
      </c>
      <c r="D50" s="1" t="s">
        <v>212</v>
      </c>
      <c r="E50" s="1" t="s">
        <v>66</v>
      </c>
      <c r="F50" s="1" t="s">
        <v>71</v>
      </c>
      <c r="G50" s="1" t="s">
        <v>14</v>
      </c>
      <c r="H50" s="1" t="s">
        <v>20</v>
      </c>
      <c r="I50" s="2">
        <v>20.79</v>
      </c>
    </row>
    <row r="51">
      <c r="A51" s="1" t="s">
        <v>213</v>
      </c>
      <c r="B51" s="1" t="s">
        <v>59</v>
      </c>
      <c r="C51" s="1" t="s">
        <v>214</v>
      </c>
      <c r="D51" s="1" t="s">
        <v>215</v>
      </c>
      <c r="E51" s="1" t="s">
        <v>66</v>
      </c>
      <c r="F51" s="1" t="s">
        <v>90</v>
      </c>
      <c r="G51" s="1" t="s">
        <v>14</v>
      </c>
      <c r="H51" s="1" t="s">
        <v>15</v>
      </c>
      <c r="I51" s="2">
        <v>19.52</v>
      </c>
    </row>
    <row r="52">
      <c r="A52" s="1" t="s">
        <v>216</v>
      </c>
      <c r="B52" s="1" t="s">
        <v>217</v>
      </c>
      <c r="C52" s="1" t="s">
        <v>218</v>
      </c>
      <c r="D52" s="1" t="s">
        <v>219</v>
      </c>
      <c r="E52" s="1" t="s">
        <v>66</v>
      </c>
      <c r="F52" s="1" t="s">
        <v>129</v>
      </c>
      <c r="G52" s="1" t="s">
        <v>85</v>
      </c>
      <c r="H52" s="1" t="s">
        <v>15</v>
      </c>
      <c r="I52" s="2">
        <v>21.3</v>
      </c>
    </row>
    <row r="53">
      <c r="A53" s="1" t="s">
        <v>220</v>
      </c>
      <c r="B53" s="1" t="s">
        <v>221</v>
      </c>
      <c r="C53" s="1" t="s">
        <v>222</v>
      </c>
      <c r="D53" s="1" t="s">
        <v>223</v>
      </c>
      <c r="E53" s="1" t="s">
        <v>66</v>
      </c>
      <c r="F53" s="1" t="s">
        <v>76</v>
      </c>
      <c r="G53" s="1" t="s">
        <v>14</v>
      </c>
      <c r="H53" s="1" t="s">
        <v>20</v>
      </c>
      <c r="I53" s="2">
        <v>21.39</v>
      </c>
    </row>
    <row r="54">
      <c r="A54" s="1" t="s">
        <v>224</v>
      </c>
      <c r="B54" s="1" t="s">
        <v>225</v>
      </c>
      <c r="C54" s="1" t="s">
        <v>226</v>
      </c>
      <c r="D54" s="1" t="s">
        <v>227</v>
      </c>
      <c r="E54" s="1" t="s">
        <v>66</v>
      </c>
      <c r="F54" s="1" t="s">
        <v>95</v>
      </c>
      <c r="G54" s="1" t="s">
        <v>14</v>
      </c>
      <c r="H54" s="1" t="s">
        <v>15</v>
      </c>
      <c r="I54" s="2">
        <v>30.66</v>
      </c>
    </row>
    <row r="55">
      <c r="A55" s="1" t="s">
        <v>228</v>
      </c>
      <c r="B55" s="1" t="s">
        <v>229</v>
      </c>
      <c r="C55" s="1" t="s">
        <v>230</v>
      </c>
      <c r="D55" s="1" t="s">
        <v>231</v>
      </c>
      <c r="E55" s="1" t="s">
        <v>66</v>
      </c>
      <c r="F55" s="1" t="s">
        <v>67</v>
      </c>
      <c r="G55" s="1" t="s">
        <v>14</v>
      </c>
      <c r="H55" s="1" t="s">
        <v>15</v>
      </c>
      <c r="I55" s="2">
        <v>25.36</v>
      </c>
    </row>
    <row r="56">
      <c r="A56" s="1" t="s">
        <v>232</v>
      </c>
      <c r="B56" s="1" t="s">
        <v>233</v>
      </c>
      <c r="C56" s="1" t="s">
        <v>234</v>
      </c>
      <c r="D56" s="3" t="s">
        <v>235</v>
      </c>
      <c r="E56" s="1" t="s">
        <v>66</v>
      </c>
      <c r="F56" s="1" t="s">
        <v>71</v>
      </c>
      <c r="G56" s="1" t="s">
        <v>14</v>
      </c>
      <c r="H56" s="1" t="s">
        <v>20</v>
      </c>
      <c r="I56" s="2">
        <v>19.83</v>
      </c>
    </row>
    <row r="57">
      <c r="A57" s="1" t="s">
        <v>236</v>
      </c>
      <c r="B57" s="1" t="s">
        <v>237</v>
      </c>
      <c r="C57" s="1" t="s">
        <v>238</v>
      </c>
      <c r="D57" s="1" t="s">
        <v>239</v>
      </c>
      <c r="E57" s="1" t="s">
        <v>66</v>
      </c>
      <c r="F57" s="1" t="s">
        <v>71</v>
      </c>
      <c r="G57" s="1" t="s">
        <v>14</v>
      </c>
      <c r="H57" s="1" t="s">
        <v>20</v>
      </c>
      <c r="I57" s="2">
        <v>23.11</v>
      </c>
    </row>
    <row r="58">
      <c r="A58" s="1" t="s">
        <v>240</v>
      </c>
      <c r="B58" s="1" t="s">
        <v>59</v>
      </c>
      <c r="C58" s="1" t="s">
        <v>241</v>
      </c>
      <c r="D58" s="1" t="s">
        <v>242</v>
      </c>
      <c r="E58" s="1" t="s">
        <v>66</v>
      </c>
      <c r="F58" s="1" t="s">
        <v>67</v>
      </c>
      <c r="G58" s="1" t="s">
        <v>14</v>
      </c>
      <c r="H58" s="1" t="s">
        <v>15</v>
      </c>
      <c r="I58" s="2">
        <v>23.27</v>
      </c>
    </row>
    <row r="59">
      <c r="A59" s="1" t="s">
        <v>243</v>
      </c>
      <c r="B59" s="1" t="s">
        <v>244</v>
      </c>
      <c r="C59" s="1" t="s">
        <v>245</v>
      </c>
      <c r="D59" s="1" t="s">
        <v>246</v>
      </c>
      <c r="E59" s="1" t="s">
        <v>66</v>
      </c>
      <c r="F59" s="1" t="s">
        <v>67</v>
      </c>
      <c r="G59" s="1" t="s">
        <v>14</v>
      </c>
      <c r="H59" s="1" t="s">
        <v>15</v>
      </c>
      <c r="I59" s="2">
        <v>22.39</v>
      </c>
    </row>
    <row r="60">
      <c r="A60" s="1" t="s">
        <v>247</v>
      </c>
      <c r="B60" s="1" t="s">
        <v>248</v>
      </c>
      <c r="C60" s="1" t="s">
        <v>249</v>
      </c>
      <c r="D60" s="1" t="s">
        <v>250</v>
      </c>
      <c r="E60" s="1" t="s">
        <v>66</v>
      </c>
      <c r="F60" s="1" t="s">
        <v>129</v>
      </c>
      <c r="G60" s="1" t="s">
        <v>14</v>
      </c>
      <c r="H60" s="1" t="s">
        <v>20</v>
      </c>
      <c r="I60" s="2">
        <v>22.56</v>
      </c>
    </row>
    <row r="61">
      <c r="A61" s="1" t="s">
        <v>251</v>
      </c>
      <c r="B61" s="1" t="s">
        <v>252</v>
      </c>
      <c r="C61" s="1" t="s">
        <v>253</v>
      </c>
      <c r="D61" s="1" t="s">
        <v>254</v>
      </c>
      <c r="E61" s="1" t="s">
        <v>66</v>
      </c>
      <c r="F61" s="1" t="s">
        <v>71</v>
      </c>
      <c r="G61" s="1" t="s">
        <v>195</v>
      </c>
      <c r="H61" s="1" t="s">
        <v>15</v>
      </c>
      <c r="I61" s="2">
        <v>23.11</v>
      </c>
    </row>
    <row r="62">
      <c r="A62" s="1" t="s">
        <v>255</v>
      </c>
      <c r="B62" s="1" t="s">
        <v>256</v>
      </c>
      <c r="C62" s="1" t="s">
        <v>257</v>
      </c>
      <c r="D62" s="1" t="s">
        <v>258</v>
      </c>
      <c r="E62" s="1" t="s">
        <v>66</v>
      </c>
      <c r="F62" s="1" t="s">
        <v>90</v>
      </c>
      <c r="G62" s="1" t="s">
        <v>14</v>
      </c>
      <c r="H62" s="1" t="s">
        <v>15</v>
      </c>
      <c r="I62" s="2">
        <v>18.22</v>
      </c>
    </row>
    <row r="63">
      <c r="A63" s="1" t="s">
        <v>259</v>
      </c>
      <c r="B63" s="1" t="s">
        <v>42</v>
      </c>
      <c r="C63" s="1" t="s">
        <v>260</v>
      </c>
      <c r="D63" s="1" t="s">
        <v>261</v>
      </c>
      <c r="E63" s="1" t="s">
        <v>66</v>
      </c>
      <c r="F63" s="1" t="s">
        <v>67</v>
      </c>
      <c r="G63" s="1" t="s">
        <v>14</v>
      </c>
      <c r="H63" s="1" t="s">
        <v>15</v>
      </c>
      <c r="I63" s="2">
        <v>22.62</v>
      </c>
    </row>
    <row r="64">
      <c r="A64" s="1" t="s">
        <v>262</v>
      </c>
      <c r="B64" s="1" t="s">
        <v>263</v>
      </c>
      <c r="C64" s="1" t="s">
        <v>264</v>
      </c>
      <c r="D64" s="1" t="s">
        <v>265</v>
      </c>
      <c r="E64" s="1" t="s">
        <v>66</v>
      </c>
      <c r="F64" s="1" t="s">
        <v>71</v>
      </c>
      <c r="G64" s="1" t="s">
        <v>14</v>
      </c>
      <c r="H64" s="1" t="s">
        <v>15</v>
      </c>
      <c r="I64" s="2">
        <v>20.15</v>
      </c>
    </row>
    <row r="65">
      <c r="A65" s="1" t="s">
        <v>266</v>
      </c>
      <c r="B65" s="1" t="s">
        <v>267</v>
      </c>
      <c r="C65" s="1" t="s">
        <v>222</v>
      </c>
      <c r="D65" s="1" t="s">
        <v>268</v>
      </c>
      <c r="E65" s="1" t="s">
        <v>66</v>
      </c>
      <c r="F65" s="1" t="s">
        <v>67</v>
      </c>
      <c r="G65" s="1" t="s">
        <v>14</v>
      </c>
      <c r="H65" s="1" t="s">
        <v>15</v>
      </c>
      <c r="I65" s="2">
        <v>22.91</v>
      </c>
    </row>
    <row r="66">
      <c r="A66" s="1" t="s">
        <v>269</v>
      </c>
      <c r="B66" s="1" t="s">
        <v>270</v>
      </c>
      <c r="C66" s="1" t="s">
        <v>271</v>
      </c>
      <c r="D66" s="1" t="s">
        <v>272</v>
      </c>
      <c r="E66" s="1" t="s">
        <v>66</v>
      </c>
      <c r="F66" s="1" t="s">
        <v>67</v>
      </c>
      <c r="G66" s="1" t="s">
        <v>14</v>
      </c>
      <c r="H66" s="1" t="s">
        <v>15</v>
      </c>
      <c r="I66" s="2">
        <v>19.01</v>
      </c>
    </row>
    <row r="67">
      <c r="A67" s="1" t="s">
        <v>273</v>
      </c>
      <c r="B67" s="1" t="s">
        <v>274</v>
      </c>
      <c r="C67" s="1" t="s">
        <v>275</v>
      </c>
      <c r="D67" s="1" t="s">
        <v>276</v>
      </c>
      <c r="E67" s="1" t="s">
        <v>66</v>
      </c>
      <c r="F67" s="1" t="s">
        <v>90</v>
      </c>
      <c r="G67" s="1" t="s">
        <v>14</v>
      </c>
      <c r="H67" s="1" t="s">
        <v>15</v>
      </c>
      <c r="I67" s="2">
        <v>18.08</v>
      </c>
    </row>
    <row r="68">
      <c r="A68" s="1" t="s">
        <v>277</v>
      </c>
      <c r="B68" s="1" t="s">
        <v>278</v>
      </c>
      <c r="C68" s="1" t="s">
        <v>279</v>
      </c>
      <c r="D68" s="1" t="s">
        <v>280</v>
      </c>
      <c r="E68" s="1" t="s">
        <v>66</v>
      </c>
      <c r="F68" s="1" t="s">
        <v>67</v>
      </c>
      <c r="G68" s="1" t="s">
        <v>14</v>
      </c>
      <c r="H68" s="1" t="s">
        <v>20</v>
      </c>
      <c r="I68" s="2">
        <v>27.67</v>
      </c>
    </row>
    <row r="69">
      <c r="A69" s="1" t="s">
        <v>281</v>
      </c>
      <c r="B69" s="1" t="s">
        <v>282</v>
      </c>
      <c r="C69" s="1" t="s">
        <v>283</v>
      </c>
      <c r="D69" s="1" t="s">
        <v>284</v>
      </c>
      <c r="E69" s="1" t="s">
        <v>66</v>
      </c>
      <c r="F69" s="1" t="s">
        <v>129</v>
      </c>
      <c r="G69" s="1" t="s">
        <v>14</v>
      </c>
      <c r="H69" s="1" t="s">
        <v>15</v>
      </c>
      <c r="I69" s="2">
        <v>22.06</v>
      </c>
    </row>
    <row r="70">
      <c r="A70" s="1" t="s">
        <v>285</v>
      </c>
      <c r="B70" s="1" t="s">
        <v>286</v>
      </c>
      <c r="C70" s="1" t="s">
        <v>59</v>
      </c>
      <c r="D70" s="1" t="s">
        <v>287</v>
      </c>
      <c r="E70" s="1" t="s">
        <v>66</v>
      </c>
      <c r="F70" s="1" t="s">
        <v>129</v>
      </c>
      <c r="G70" s="1" t="s">
        <v>14</v>
      </c>
      <c r="H70" s="1" t="s">
        <v>20</v>
      </c>
      <c r="I70" s="2">
        <v>20.78</v>
      </c>
    </row>
    <row r="71">
      <c r="A71" s="1" t="s">
        <v>288</v>
      </c>
      <c r="B71" s="1" t="s">
        <v>289</v>
      </c>
      <c r="C71" s="1" t="s">
        <v>290</v>
      </c>
      <c r="D71" s="1" t="s">
        <v>291</v>
      </c>
      <c r="E71" s="1" t="s">
        <v>66</v>
      </c>
      <c r="F71" s="1" t="s">
        <v>67</v>
      </c>
      <c r="G71" s="1" t="s">
        <v>130</v>
      </c>
      <c r="H71" s="1" t="s">
        <v>15</v>
      </c>
      <c r="I71" s="2">
        <v>17.95</v>
      </c>
    </row>
    <row r="72">
      <c r="A72" s="1" t="s">
        <v>292</v>
      </c>
      <c r="B72" s="1" t="s">
        <v>293</v>
      </c>
      <c r="C72" s="1" t="s">
        <v>294</v>
      </c>
      <c r="D72" s="1" t="s">
        <v>295</v>
      </c>
      <c r="E72" s="1" t="s">
        <v>66</v>
      </c>
      <c r="F72" s="1" t="s">
        <v>71</v>
      </c>
      <c r="G72" s="1" t="s">
        <v>14</v>
      </c>
      <c r="H72" s="1" t="s">
        <v>15</v>
      </c>
      <c r="I72" s="2">
        <v>24.04</v>
      </c>
    </row>
    <row r="73">
      <c r="A73" s="1" t="s">
        <v>296</v>
      </c>
      <c r="B73" s="1" t="s">
        <v>297</v>
      </c>
      <c r="C73" s="1" t="s">
        <v>298</v>
      </c>
      <c r="D73" s="1" t="s">
        <v>299</v>
      </c>
      <c r="E73" s="1" t="s">
        <v>66</v>
      </c>
      <c r="F73" s="1" t="s">
        <v>67</v>
      </c>
      <c r="G73" s="1" t="s">
        <v>14</v>
      </c>
      <c r="H73" s="1" t="s">
        <v>15</v>
      </c>
      <c r="I73" s="2">
        <v>25.93</v>
      </c>
    </row>
    <row r="74">
      <c r="A74" s="1" t="s">
        <v>300</v>
      </c>
      <c r="B74" s="1" t="s">
        <v>301</v>
      </c>
      <c r="C74" s="1" t="s">
        <v>302</v>
      </c>
      <c r="D74" s="1" t="s">
        <v>303</v>
      </c>
      <c r="E74" s="1" t="s">
        <v>66</v>
      </c>
      <c r="F74" s="1" t="s">
        <v>71</v>
      </c>
      <c r="G74" s="1" t="s">
        <v>14</v>
      </c>
      <c r="H74" s="1" t="s">
        <v>15</v>
      </c>
      <c r="I74" s="2">
        <v>19.96</v>
      </c>
    </row>
    <row r="75">
      <c r="A75" s="1" t="s">
        <v>304</v>
      </c>
      <c r="B75" s="1" t="s">
        <v>305</v>
      </c>
      <c r="C75" s="1" t="s">
        <v>306</v>
      </c>
      <c r="D75" s="1" t="s">
        <v>307</v>
      </c>
      <c r="E75" s="1" t="s">
        <v>66</v>
      </c>
      <c r="F75" s="1" t="s">
        <v>76</v>
      </c>
      <c r="G75" s="1" t="s">
        <v>14</v>
      </c>
      <c r="H75" s="1" t="s">
        <v>15</v>
      </c>
      <c r="I75" s="2">
        <v>22.32</v>
      </c>
    </row>
    <row r="76">
      <c r="A76" s="1" t="s">
        <v>308</v>
      </c>
      <c r="B76" s="1" t="s">
        <v>309</v>
      </c>
      <c r="C76" s="1" t="s">
        <v>310</v>
      </c>
      <c r="D76" s="1" t="s">
        <v>311</v>
      </c>
      <c r="E76" s="1" t="s">
        <v>66</v>
      </c>
      <c r="F76" s="1" t="s">
        <v>95</v>
      </c>
      <c r="G76" s="1" t="s">
        <v>14</v>
      </c>
      <c r="H76" s="1" t="s">
        <v>15</v>
      </c>
      <c r="I76" s="2">
        <v>23.5</v>
      </c>
    </row>
    <row r="77">
      <c r="A77" s="1" t="s">
        <v>312</v>
      </c>
      <c r="B77" s="1" t="s">
        <v>313</v>
      </c>
      <c r="C77" s="1" t="s">
        <v>314</v>
      </c>
      <c r="D77" s="1" t="s">
        <v>315</v>
      </c>
      <c r="E77" s="1" t="s">
        <v>66</v>
      </c>
      <c r="F77" s="1" t="s">
        <v>67</v>
      </c>
      <c r="G77" s="1" t="s">
        <v>14</v>
      </c>
      <c r="H77" s="1" t="s">
        <v>15</v>
      </c>
      <c r="I77" s="2">
        <v>20.64</v>
      </c>
    </row>
    <row r="78">
      <c r="A78" s="1" t="s">
        <v>316</v>
      </c>
      <c r="B78" s="1" t="s">
        <v>317</v>
      </c>
      <c r="C78" s="1" t="s">
        <v>318</v>
      </c>
      <c r="D78" s="1" t="s">
        <v>319</v>
      </c>
      <c r="E78" s="1" t="s">
        <v>66</v>
      </c>
      <c r="F78" s="1" t="s">
        <v>71</v>
      </c>
      <c r="G78" s="1" t="s">
        <v>14</v>
      </c>
      <c r="H78" s="1" t="s">
        <v>20</v>
      </c>
      <c r="I78" s="2">
        <v>23.6</v>
      </c>
    </row>
    <row r="79">
      <c r="A79" s="1" t="s">
        <v>320</v>
      </c>
      <c r="B79" s="1" t="s">
        <v>321</v>
      </c>
      <c r="C79" s="1" t="s">
        <v>322</v>
      </c>
      <c r="D79" s="1" t="s">
        <v>323</v>
      </c>
      <c r="E79" s="1" t="s">
        <v>66</v>
      </c>
      <c r="F79" s="1" t="s">
        <v>67</v>
      </c>
      <c r="G79" s="1" t="s">
        <v>14</v>
      </c>
      <c r="H79" s="1" t="s">
        <v>20</v>
      </c>
      <c r="I79" s="2">
        <v>22.51</v>
      </c>
    </row>
    <row r="80">
      <c r="A80" s="1" t="s">
        <v>324</v>
      </c>
      <c r="B80" s="1" t="s">
        <v>325</v>
      </c>
      <c r="C80" s="1" t="s">
        <v>326</v>
      </c>
      <c r="D80" s="1" t="s">
        <v>327</v>
      </c>
      <c r="E80" s="1" t="s">
        <v>66</v>
      </c>
      <c r="F80" s="1" t="s">
        <v>67</v>
      </c>
      <c r="G80" s="1" t="s">
        <v>14</v>
      </c>
      <c r="H80" s="1" t="s">
        <v>15</v>
      </c>
      <c r="I80" s="2">
        <v>20.9</v>
      </c>
    </row>
    <row r="81">
      <c r="A81" s="1" t="s">
        <v>328</v>
      </c>
      <c r="B81" s="1" t="s">
        <v>329</v>
      </c>
      <c r="C81" s="1" t="s">
        <v>330</v>
      </c>
      <c r="D81" s="3" t="s">
        <v>331</v>
      </c>
      <c r="E81" s="1" t="s">
        <v>66</v>
      </c>
      <c r="F81" s="1" t="s">
        <v>76</v>
      </c>
      <c r="G81" s="1" t="s">
        <v>14</v>
      </c>
      <c r="H81" s="1" t="s">
        <v>15</v>
      </c>
      <c r="I81" s="2">
        <v>19.76</v>
      </c>
    </row>
    <row r="82">
      <c r="A82" s="1" t="s">
        <v>332</v>
      </c>
      <c r="B82" s="1" t="s">
        <v>333</v>
      </c>
      <c r="C82" s="1" t="s">
        <v>334</v>
      </c>
      <c r="D82" s="1" t="s">
        <v>335</v>
      </c>
      <c r="E82" s="1" t="s">
        <v>66</v>
      </c>
      <c r="F82" s="1" t="s">
        <v>67</v>
      </c>
      <c r="G82" s="1" t="s">
        <v>14</v>
      </c>
      <c r="H82" s="1" t="s">
        <v>20</v>
      </c>
      <c r="I82" s="2">
        <v>22.34</v>
      </c>
    </row>
    <row r="83">
      <c r="A83" s="1" t="s">
        <v>336</v>
      </c>
      <c r="B83" s="1" t="s">
        <v>337</v>
      </c>
      <c r="C83" s="1" t="s">
        <v>338</v>
      </c>
      <c r="D83" s="1" t="s">
        <v>339</v>
      </c>
      <c r="E83" s="1" t="s">
        <v>66</v>
      </c>
      <c r="F83" s="1" t="s">
        <v>67</v>
      </c>
      <c r="G83" s="1" t="s">
        <v>14</v>
      </c>
      <c r="H83" s="1" t="s">
        <v>15</v>
      </c>
      <c r="I83" s="2">
        <v>21.51</v>
      </c>
    </row>
    <row r="84">
      <c r="A84" s="1" t="s">
        <v>340</v>
      </c>
      <c r="B84" s="1" t="s">
        <v>341</v>
      </c>
      <c r="C84" s="1" t="s">
        <v>342</v>
      </c>
      <c r="D84" s="1" t="s">
        <v>343</v>
      </c>
      <c r="E84" s="1" t="s">
        <v>66</v>
      </c>
      <c r="F84" s="1" t="s">
        <v>67</v>
      </c>
      <c r="G84" s="1" t="s">
        <v>14</v>
      </c>
      <c r="H84" s="1" t="s">
        <v>20</v>
      </c>
      <c r="I84" s="2">
        <v>24.06</v>
      </c>
    </row>
    <row r="85">
      <c r="A85" s="1" t="s">
        <v>344</v>
      </c>
      <c r="B85" s="1" t="s">
        <v>345</v>
      </c>
      <c r="C85" s="1" t="s">
        <v>346</v>
      </c>
      <c r="D85" s="1" t="s">
        <v>347</v>
      </c>
      <c r="E85" s="1" t="s">
        <v>66</v>
      </c>
      <c r="F85" s="1" t="s">
        <v>71</v>
      </c>
      <c r="G85" s="1" t="s">
        <v>14</v>
      </c>
      <c r="H85" s="1" t="s">
        <v>15</v>
      </c>
      <c r="I85" s="2">
        <v>20.69</v>
      </c>
    </row>
    <row r="86">
      <c r="A86" s="1" t="s">
        <v>348</v>
      </c>
      <c r="B86" s="1" t="s">
        <v>349</v>
      </c>
      <c r="C86" s="1" t="s">
        <v>69</v>
      </c>
      <c r="D86" s="3" t="s">
        <v>350</v>
      </c>
      <c r="E86" s="1" t="s">
        <v>66</v>
      </c>
      <c r="F86" s="1" t="s">
        <v>67</v>
      </c>
      <c r="G86" s="1" t="s">
        <v>14</v>
      </c>
      <c r="H86" s="1" t="s">
        <v>351</v>
      </c>
      <c r="I86" s="2">
        <v>26.69</v>
      </c>
    </row>
    <row r="87">
      <c r="A87" s="1" t="s">
        <v>352</v>
      </c>
      <c r="B87" s="1" t="s">
        <v>317</v>
      </c>
      <c r="C87" s="1" t="s">
        <v>330</v>
      </c>
      <c r="D87" s="1" t="s">
        <v>353</v>
      </c>
      <c r="E87" s="1" t="s">
        <v>66</v>
      </c>
      <c r="F87" s="1" t="s">
        <v>129</v>
      </c>
      <c r="G87" s="1" t="s">
        <v>14</v>
      </c>
      <c r="H87" s="1" t="s">
        <v>20</v>
      </c>
      <c r="I87" s="2">
        <v>25.09</v>
      </c>
    </row>
    <row r="88">
      <c r="A88" s="1" t="s">
        <v>354</v>
      </c>
      <c r="B88" s="1" t="s">
        <v>355</v>
      </c>
      <c r="C88" s="1" t="s">
        <v>356</v>
      </c>
      <c r="D88" s="1" t="s">
        <v>357</v>
      </c>
      <c r="E88" s="1" t="s">
        <v>66</v>
      </c>
      <c r="F88" s="1" t="s">
        <v>67</v>
      </c>
      <c r="G88" s="1" t="s">
        <v>14</v>
      </c>
      <c r="H88" s="1" t="s">
        <v>15</v>
      </c>
      <c r="I88" s="2">
        <v>19.32</v>
      </c>
    </row>
    <row r="89">
      <c r="A89" s="1" t="s">
        <v>358</v>
      </c>
      <c r="B89" s="1" t="s">
        <v>359</v>
      </c>
      <c r="C89" s="1" t="s">
        <v>360</v>
      </c>
      <c r="D89" s="1" t="s">
        <v>361</v>
      </c>
      <c r="E89" s="1" t="s">
        <v>66</v>
      </c>
      <c r="F89" s="1" t="s">
        <v>90</v>
      </c>
      <c r="G89" s="1" t="s">
        <v>14</v>
      </c>
      <c r="H89" s="1" t="s">
        <v>15</v>
      </c>
      <c r="I89" s="2">
        <v>20.35</v>
      </c>
    </row>
    <row r="90">
      <c r="A90" s="1" t="s">
        <v>362</v>
      </c>
      <c r="B90" s="1" t="s">
        <v>55</v>
      </c>
      <c r="C90" s="1" t="s">
        <v>10</v>
      </c>
      <c r="D90" s="1" t="s">
        <v>363</v>
      </c>
      <c r="E90" s="1" t="s">
        <v>66</v>
      </c>
      <c r="F90" s="1" t="s">
        <v>71</v>
      </c>
      <c r="G90" s="1" t="s">
        <v>14</v>
      </c>
      <c r="H90" s="1" t="s">
        <v>15</v>
      </c>
      <c r="I90" s="2">
        <v>24.28</v>
      </c>
    </row>
    <row r="91">
      <c r="A91" s="4" t="s">
        <v>364</v>
      </c>
      <c r="B91" s="4" t="s">
        <v>365</v>
      </c>
      <c r="C91" s="4" t="s">
        <v>366</v>
      </c>
      <c r="D91" s="4" t="s">
        <v>367</v>
      </c>
      <c r="E91" s="4" t="s">
        <v>66</v>
      </c>
      <c r="F91" s="4" t="s">
        <v>76</v>
      </c>
      <c r="G91" s="4" t="s">
        <v>14</v>
      </c>
      <c r="H91" s="4" t="s">
        <v>20</v>
      </c>
      <c r="I91" s="5">
        <v>20.35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" t="s">
        <v>368</v>
      </c>
      <c r="B92" s="1" t="s">
        <v>369</v>
      </c>
      <c r="C92" s="1" t="s">
        <v>370</v>
      </c>
      <c r="D92" s="1" t="s">
        <v>371</v>
      </c>
      <c r="E92" s="1" t="s">
        <v>66</v>
      </c>
      <c r="F92" s="1" t="s">
        <v>76</v>
      </c>
      <c r="G92" s="1" t="s">
        <v>14</v>
      </c>
      <c r="H92" s="1" t="s">
        <v>20</v>
      </c>
      <c r="I92" s="2">
        <v>22.05</v>
      </c>
    </row>
    <row r="93">
      <c r="A93" s="1" t="s">
        <v>372</v>
      </c>
      <c r="B93" s="1" t="s">
        <v>373</v>
      </c>
      <c r="C93" s="1" t="s">
        <v>374</v>
      </c>
      <c r="D93" s="1" t="s">
        <v>375</v>
      </c>
      <c r="E93" s="1" t="s">
        <v>66</v>
      </c>
      <c r="F93" s="1" t="s">
        <v>67</v>
      </c>
      <c r="G93" s="1" t="s">
        <v>14</v>
      </c>
      <c r="H93" s="1" t="s">
        <v>20</v>
      </c>
      <c r="I93" s="2">
        <v>20.35</v>
      </c>
    </row>
    <row r="94">
      <c r="A94" s="1" t="s">
        <v>376</v>
      </c>
      <c r="B94" s="1" t="s">
        <v>377</v>
      </c>
      <c r="C94" s="1" t="s">
        <v>378</v>
      </c>
      <c r="D94" s="1" t="s">
        <v>379</v>
      </c>
      <c r="E94" s="1" t="s">
        <v>66</v>
      </c>
      <c r="F94" s="1" t="s">
        <v>71</v>
      </c>
      <c r="G94" s="1" t="s">
        <v>14</v>
      </c>
      <c r="H94" s="1" t="s">
        <v>20</v>
      </c>
      <c r="I94" s="2">
        <v>20.15</v>
      </c>
    </row>
    <row r="95">
      <c r="A95" s="1" t="s">
        <v>380</v>
      </c>
      <c r="B95" s="1" t="s">
        <v>381</v>
      </c>
      <c r="C95" s="1" t="s">
        <v>382</v>
      </c>
      <c r="D95" s="1" t="s">
        <v>383</v>
      </c>
      <c r="E95" s="1" t="s">
        <v>66</v>
      </c>
      <c r="F95" s="1" t="s">
        <v>129</v>
      </c>
      <c r="G95" s="1" t="s">
        <v>14</v>
      </c>
      <c r="H95" s="1" t="s">
        <v>20</v>
      </c>
      <c r="I95" s="2">
        <v>20.84</v>
      </c>
    </row>
    <row r="96">
      <c r="A96" s="1" t="s">
        <v>384</v>
      </c>
      <c r="B96" s="1" t="s">
        <v>337</v>
      </c>
      <c r="C96" s="1" t="s">
        <v>385</v>
      </c>
      <c r="D96" s="1" t="s">
        <v>386</v>
      </c>
      <c r="E96" s="1" t="s">
        <v>66</v>
      </c>
      <c r="F96" s="1" t="s">
        <v>76</v>
      </c>
      <c r="G96" s="1" t="s">
        <v>14</v>
      </c>
      <c r="H96" s="1" t="s">
        <v>15</v>
      </c>
      <c r="I96" s="2">
        <v>19.66</v>
      </c>
    </row>
    <row r="97">
      <c r="A97" s="1" t="s">
        <v>387</v>
      </c>
      <c r="B97" s="1" t="s">
        <v>388</v>
      </c>
      <c r="C97" s="1" t="s">
        <v>389</v>
      </c>
      <c r="D97" s="1" t="s">
        <v>390</v>
      </c>
      <c r="E97" s="1" t="s">
        <v>66</v>
      </c>
      <c r="F97" s="1" t="s">
        <v>67</v>
      </c>
      <c r="G97" s="1" t="s">
        <v>14</v>
      </c>
      <c r="H97" s="1" t="s">
        <v>15</v>
      </c>
      <c r="I97" s="2">
        <v>25.18</v>
      </c>
    </row>
    <row r="98">
      <c r="A98" s="1" t="s">
        <v>391</v>
      </c>
      <c r="B98" s="1" t="s">
        <v>392</v>
      </c>
      <c r="C98" s="1" t="s">
        <v>393</v>
      </c>
      <c r="D98" s="1" t="s">
        <v>394</v>
      </c>
      <c r="E98" s="1" t="s">
        <v>66</v>
      </c>
      <c r="F98" s="1" t="s">
        <v>95</v>
      </c>
      <c r="G98" s="1" t="s">
        <v>14</v>
      </c>
      <c r="H98" s="1" t="s">
        <v>15</v>
      </c>
      <c r="I98" s="2">
        <v>19.23</v>
      </c>
    </row>
    <row r="99">
      <c r="A99" s="1" t="s">
        <v>395</v>
      </c>
      <c r="B99" s="1" t="s">
        <v>136</v>
      </c>
      <c r="C99" s="1" t="s">
        <v>137</v>
      </c>
      <c r="D99" s="1" t="s">
        <v>396</v>
      </c>
      <c r="E99" s="1" t="s">
        <v>397</v>
      </c>
      <c r="F99" s="1"/>
      <c r="G99" s="1" t="s">
        <v>130</v>
      </c>
      <c r="H99" s="1" t="s">
        <v>15</v>
      </c>
      <c r="I99" s="2">
        <v>30.66</v>
      </c>
    </row>
    <row r="100">
      <c r="A100" s="1" t="s">
        <v>398</v>
      </c>
      <c r="B100" s="1" t="s">
        <v>117</v>
      </c>
      <c r="C100" s="1" t="s">
        <v>399</v>
      </c>
      <c r="D100" s="1" t="s">
        <v>400</v>
      </c>
      <c r="E100" s="1" t="s">
        <v>397</v>
      </c>
      <c r="F100" s="1"/>
      <c r="G100" s="1" t="s">
        <v>14</v>
      </c>
      <c r="H100" s="1" t="s">
        <v>15</v>
      </c>
      <c r="I100" s="2">
        <v>18.22</v>
      </c>
    </row>
    <row r="101">
      <c r="A101" s="1" t="s">
        <v>401</v>
      </c>
      <c r="B101" s="1" t="s">
        <v>402</v>
      </c>
      <c r="C101" s="1" t="s">
        <v>136</v>
      </c>
      <c r="D101" s="1" t="s">
        <v>403</v>
      </c>
      <c r="E101" s="1" t="s">
        <v>397</v>
      </c>
      <c r="F101" s="1"/>
      <c r="G101" s="1" t="s">
        <v>14</v>
      </c>
      <c r="H101" s="1" t="s">
        <v>20</v>
      </c>
      <c r="I101" s="2">
        <v>21.43</v>
      </c>
    </row>
    <row r="102">
      <c r="A102" s="1" t="s">
        <v>404</v>
      </c>
      <c r="B102" s="1" t="s">
        <v>405</v>
      </c>
      <c r="C102" s="1" t="s">
        <v>406</v>
      </c>
      <c r="D102" s="1" t="s">
        <v>407</v>
      </c>
      <c r="E102" s="1" t="s">
        <v>397</v>
      </c>
      <c r="F102" s="1"/>
      <c r="G102" s="1" t="s">
        <v>14</v>
      </c>
      <c r="H102" s="1" t="s">
        <v>15</v>
      </c>
      <c r="I102" s="2">
        <v>22.52</v>
      </c>
    </row>
    <row r="103">
      <c r="A103" s="1" t="s">
        <v>408</v>
      </c>
      <c r="B103" s="1" t="s">
        <v>305</v>
      </c>
      <c r="C103" s="1" t="s">
        <v>409</v>
      </c>
      <c r="D103" s="3" t="s">
        <v>410</v>
      </c>
      <c r="E103" s="1" t="s">
        <v>397</v>
      </c>
      <c r="F103" s="1"/>
      <c r="G103" s="1" t="s">
        <v>14</v>
      </c>
      <c r="H103" s="1" t="s">
        <v>15</v>
      </c>
      <c r="I103" s="2">
        <v>25.0</v>
      </c>
    </row>
    <row r="104">
      <c r="A104" s="1" t="s">
        <v>411</v>
      </c>
      <c r="B104" s="1" t="s">
        <v>412</v>
      </c>
      <c r="C104" s="1" t="s">
        <v>413</v>
      </c>
      <c r="D104" s="1" t="s">
        <v>414</v>
      </c>
      <c r="E104" s="1" t="s">
        <v>397</v>
      </c>
      <c r="F104" s="1"/>
      <c r="G104" s="1" t="s">
        <v>14</v>
      </c>
      <c r="H104" s="1" t="s">
        <v>15</v>
      </c>
      <c r="I104" s="2">
        <v>22.25</v>
      </c>
    </row>
    <row r="105">
      <c r="A105" s="1" t="s">
        <v>415</v>
      </c>
      <c r="B105" s="1" t="s">
        <v>416</v>
      </c>
      <c r="C105" s="1" t="s">
        <v>417</v>
      </c>
      <c r="D105" s="1" t="s">
        <v>418</v>
      </c>
      <c r="E105" s="1" t="s">
        <v>397</v>
      </c>
      <c r="F105" s="1"/>
      <c r="G105" s="1" t="s">
        <v>14</v>
      </c>
      <c r="H105" s="1" t="s">
        <v>15</v>
      </c>
      <c r="I105" s="2">
        <v>21.36</v>
      </c>
    </row>
    <row r="106">
      <c r="A106" s="1" t="s">
        <v>419</v>
      </c>
      <c r="B106" s="1" t="s">
        <v>420</v>
      </c>
      <c r="C106" s="1" t="s">
        <v>421</v>
      </c>
      <c r="D106" s="1" t="s">
        <v>422</v>
      </c>
      <c r="E106" s="1" t="s">
        <v>397</v>
      </c>
      <c r="F106" s="1"/>
      <c r="G106" s="1" t="s">
        <v>14</v>
      </c>
      <c r="H106" s="1" t="s">
        <v>20</v>
      </c>
      <c r="I106" s="2">
        <v>21.92</v>
      </c>
    </row>
    <row r="107">
      <c r="A107" s="1" t="s">
        <v>423</v>
      </c>
      <c r="B107" s="1" t="s">
        <v>424</v>
      </c>
      <c r="C107" s="1" t="s">
        <v>425</v>
      </c>
      <c r="D107" s="1" t="s">
        <v>426</v>
      </c>
      <c r="E107" s="1" t="s">
        <v>397</v>
      </c>
      <c r="F107" s="1"/>
      <c r="G107" s="1" t="s">
        <v>14</v>
      </c>
      <c r="H107" s="1" t="s">
        <v>20</v>
      </c>
      <c r="I107" s="2">
        <v>19.6</v>
      </c>
    </row>
    <row r="108">
      <c r="A108" s="1" t="s">
        <v>427</v>
      </c>
      <c r="B108" s="1" t="s">
        <v>428</v>
      </c>
      <c r="C108" s="1" t="s">
        <v>283</v>
      </c>
      <c r="D108" s="1" t="s">
        <v>429</v>
      </c>
      <c r="E108" s="1" t="s">
        <v>397</v>
      </c>
      <c r="F108" s="1"/>
      <c r="G108" s="1" t="s">
        <v>14</v>
      </c>
      <c r="H108" s="1" t="s">
        <v>20</v>
      </c>
      <c r="I108" s="2">
        <v>20.62</v>
      </c>
    </row>
    <row r="109">
      <c r="A109" s="1" t="s">
        <v>430</v>
      </c>
      <c r="B109" s="1" t="s">
        <v>431</v>
      </c>
      <c r="C109" s="1" t="s">
        <v>432</v>
      </c>
      <c r="D109" s="1" t="s">
        <v>433</v>
      </c>
      <c r="E109" s="1" t="s">
        <v>397</v>
      </c>
      <c r="F109" s="1"/>
      <c r="G109" s="1" t="s">
        <v>14</v>
      </c>
      <c r="H109" s="1" t="s">
        <v>15</v>
      </c>
      <c r="I109" s="2">
        <v>19.81</v>
      </c>
    </row>
    <row r="110">
      <c r="A110" s="1" t="s">
        <v>434</v>
      </c>
      <c r="B110" s="1" t="s">
        <v>435</v>
      </c>
      <c r="C110" s="1" t="s">
        <v>59</v>
      </c>
      <c r="D110" s="1" t="s">
        <v>436</v>
      </c>
      <c r="E110" s="1" t="s">
        <v>397</v>
      </c>
      <c r="F110" s="1"/>
      <c r="G110" s="1" t="s">
        <v>205</v>
      </c>
      <c r="H110" s="1" t="s">
        <v>15</v>
      </c>
      <c r="I110" s="2">
        <v>20.55</v>
      </c>
    </row>
    <row r="111">
      <c r="A111" s="1" t="s">
        <v>437</v>
      </c>
      <c r="B111" s="1" t="s">
        <v>438</v>
      </c>
      <c r="C111" s="1" t="s">
        <v>439</v>
      </c>
      <c r="D111" s="1" t="s">
        <v>440</v>
      </c>
      <c r="E111" s="1" t="s">
        <v>397</v>
      </c>
      <c r="F111" s="1"/>
      <c r="G111" s="1" t="s">
        <v>14</v>
      </c>
      <c r="H111" s="1" t="s">
        <v>15</v>
      </c>
      <c r="I111" s="2">
        <v>25.1</v>
      </c>
    </row>
    <row r="112">
      <c r="A112" s="1" t="s">
        <v>441</v>
      </c>
      <c r="B112" s="1" t="s">
        <v>442</v>
      </c>
      <c r="C112" s="1" t="s">
        <v>443</v>
      </c>
      <c r="D112" s="1" t="s">
        <v>444</v>
      </c>
      <c r="E112" s="1" t="s">
        <v>397</v>
      </c>
      <c r="F112" s="1"/>
      <c r="G112" s="1" t="s">
        <v>14</v>
      </c>
      <c r="H112" s="1" t="s">
        <v>20</v>
      </c>
      <c r="I112" s="2">
        <v>22.95</v>
      </c>
    </row>
    <row r="113">
      <c r="A113" s="1" t="s">
        <v>445</v>
      </c>
      <c r="B113" s="1" t="s">
        <v>446</v>
      </c>
      <c r="C113" s="1" t="s">
        <v>447</v>
      </c>
      <c r="D113" s="1" t="s">
        <v>448</v>
      </c>
      <c r="E113" s="1" t="s">
        <v>397</v>
      </c>
      <c r="F113" s="1"/>
      <c r="G113" s="1" t="s">
        <v>14</v>
      </c>
      <c r="H113" s="1" t="s">
        <v>15</v>
      </c>
      <c r="I113" s="2">
        <v>30.33</v>
      </c>
    </row>
    <row r="114">
      <c r="A114" s="1" t="s">
        <v>449</v>
      </c>
      <c r="B114" s="1" t="s">
        <v>450</v>
      </c>
      <c r="C114" s="1" t="s">
        <v>451</v>
      </c>
      <c r="D114" s="1" t="s">
        <v>452</v>
      </c>
      <c r="E114" s="1" t="s">
        <v>397</v>
      </c>
      <c r="F114" s="1"/>
      <c r="G114" s="1" t="s">
        <v>14</v>
      </c>
      <c r="H114" s="1" t="s">
        <v>15</v>
      </c>
      <c r="I114" s="2">
        <v>18.83</v>
      </c>
    </row>
    <row r="115">
      <c r="A115" s="1" t="s">
        <v>453</v>
      </c>
      <c r="B115" s="1" t="s">
        <v>184</v>
      </c>
      <c r="C115" s="1" t="s">
        <v>454</v>
      </c>
      <c r="D115" s="1" t="s">
        <v>455</v>
      </c>
      <c r="E115" s="1" t="s">
        <v>397</v>
      </c>
      <c r="F115" s="1"/>
      <c r="G115" s="1" t="s">
        <v>14</v>
      </c>
      <c r="H115" s="1" t="s">
        <v>15</v>
      </c>
      <c r="I115" s="2">
        <v>20.01</v>
      </c>
    </row>
    <row r="116">
      <c r="A116" s="1" t="s">
        <v>456</v>
      </c>
      <c r="B116" s="1" t="s">
        <v>457</v>
      </c>
      <c r="C116" s="1" t="s">
        <v>458</v>
      </c>
      <c r="D116" s="1" t="s">
        <v>459</v>
      </c>
      <c r="E116" s="1" t="s">
        <v>397</v>
      </c>
      <c r="F116" s="1"/>
      <c r="G116" s="1" t="s">
        <v>130</v>
      </c>
      <c r="H116" s="1" t="s">
        <v>15</v>
      </c>
      <c r="I116" s="2">
        <v>20.44</v>
      </c>
    </row>
    <row r="117">
      <c r="A117" s="1" t="s">
        <v>460</v>
      </c>
      <c r="B117" s="1" t="s">
        <v>461</v>
      </c>
      <c r="C117" s="1" t="s">
        <v>462</v>
      </c>
      <c r="D117" s="1" t="s">
        <v>463</v>
      </c>
      <c r="E117" s="1" t="s">
        <v>397</v>
      </c>
      <c r="F117" s="1"/>
      <c r="G117" s="1" t="s">
        <v>14</v>
      </c>
      <c r="H117" s="1" t="s">
        <v>15</v>
      </c>
      <c r="I117" s="2">
        <v>32.25</v>
      </c>
    </row>
    <row r="118">
      <c r="A118" s="1" t="s">
        <v>464</v>
      </c>
      <c r="B118" s="1" t="s">
        <v>355</v>
      </c>
      <c r="C118" s="1" t="s">
        <v>465</v>
      </c>
      <c r="D118" s="1" t="s">
        <v>466</v>
      </c>
      <c r="E118" s="1" t="s">
        <v>397</v>
      </c>
      <c r="F118" s="1"/>
      <c r="G118" s="1" t="s">
        <v>14</v>
      </c>
      <c r="H118" s="1" t="s">
        <v>15</v>
      </c>
      <c r="I118" s="2">
        <v>19.92</v>
      </c>
    </row>
    <row r="119">
      <c r="A119" s="1" t="s">
        <v>467</v>
      </c>
      <c r="B119" s="1" t="s">
        <v>468</v>
      </c>
      <c r="C119" s="1" t="s">
        <v>283</v>
      </c>
      <c r="D119" s="1" t="s">
        <v>469</v>
      </c>
      <c r="E119" s="1" t="s">
        <v>397</v>
      </c>
      <c r="F119" s="1"/>
      <c r="G119" s="1" t="s">
        <v>14</v>
      </c>
      <c r="H119" s="1" t="s">
        <v>15</v>
      </c>
      <c r="I119" s="2">
        <v>22.03</v>
      </c>
    </row>
    <row r="120">
      <c r="A120" s="1" t="s">
        <v>470</v>
      </c>
      <c r="B120" s="1" t="s">
        <v>17</v>
      </c>
      <c r="C120" s="1" t="s">
        <v>18</v>
      </c>
      <c r="D120" s="1" t="s">
        <v>19</v>
      </c>
      <c r="E120" s="1" t="s">
        <v>397</v>
      </c>
      <c r="F120" s="1"/>
      <c r="G120" s="1" t="s">
        <v>14</v>
      </c>
      <c r="H120" s="1" t="s">
        <v>20</v>
      </c>
      <c r="I120" s="2">
        <v>23.39</v>
      </c>
    </row>
    <row r="121">
      <c r="A121" s="1" t="s">
        <v>471</v>
      </c>
      <c r="B121" s="1" t="s">
        <v>472</v>
      </c>
      <c r="C121" s="1" t="s">
        <v>389</v>
      </c>
      <c r="D121" s="1" t="s">
        <v>473</v>
      </c>
      <c r="E121" s="1" t="s">
        <v>397</v>
      </c>
      <c r="F121" s="1"/>
      <c r="G121" s="1" t="s">
        <v>14</v>
      </c>
      <c r="H121" s="1" t="s">
        <v>15</v>
      </c>
      <c r="I121" s="2">
        <v>18.58</v>
      </c>
    </row>
    <row r="122">
      <c r="A122" s="1" t="s">
        <v>474</v>
      </c>
      <c r="B122" s="1" t="s">
        <v>475</v>
      </c>
      <c r="C122" s="1" t="s">
        <v>476</v>
      </c>
      <c r="D122" s="1" t="s">
        <v>477</v>
      </c>
      <c r="E122" s="1" t="s">
        <v>397</v>
      </c>
      <c r="F122" s="1"/>
      <c r="G122" s="1" t="s">
        <v>14</v>
      </c>
      <c r="H122" s="1" t="s">
        <v>15</v>
      </c>
      <c r="I122" s="2">
        <v>20.2</v>
      </c>
    </row>
    <row r="123">
      <c r="A123" s="1" t="s">
        <v>478</v>
      </c>
      <c r="B123" s="1" t="s">
        <v>479</v>
      </c>
      <c r="C123" s="1" t="s">
        <v>480</v>
      </c>
      <c r="D123" s="1" t="s">
        <v>481</v>
      </c>
      <c r="E123" s="1" t="s">
        <v>397</v>
      </c>
      <c r="F123" s="1"/>
      <c r="G123" s="1" t="s">
        <v>14</v>
      </c>
      <c r="H123" s="1" t="s">
        <v>15</v>
      </c>
      <c r="I123" s="2">
        <v>20.99</v>
      </c>
    </row>
    <row r="124">
      <c r="A124" s="1" t="s">
        <v>482</v>
      </c>
      <c r="B124" s="1" t="s">
        <v>483</v>
      </c>
      <c r="C124" s="1" t="s">
        <v>484</v>
      </c>
      <c r="D124" s="1" t="s">
        <v>485</v>
      </c>
      <c r="E124" s="1" t="s">
        <v>397</v>
      </c>
      <c r="F124" s="1"/>
      <c r="G124" s="1" t="s">
        <v>14</v>
      </c>
      <c r="H124" s="1" t="s">
        <v>15</v>
      </c>
      <c r="I124" s="2">
        <v>24.7</v>
      </c>
    </row>
    <row r="125">
      <c r="A125" s="1" t="s">
        <v>486</v>
      </c>
      <c r="B125" s="1" t="s">
        <v>487</v>
      </c>
      <c r="C125" s="1" t="s">
        <v>488</v>
      </c>
      <c r="D125" s="1" t="s">
        <v>489</v>
      </c>
      <c r="E125" s="1" t="s">
        <v>397</v>
      </c>
      <c r="F125" s="1"/>
      <c r="G125" s="1" t="s">
        <v>14</v>
      </c>
      <c r="H125" s="1" t="s">
        <v>15</v>
      </c>
      <c r="I125" s="2">
        <v>22.08</v>
      </c>
    </row>
    <row r="126">
      <c r="A126" s="1" t="s">
        <v>490</v>
      </c>
      <c r="B126" s="1" t="s">
        <v>491</v>
      </c>
      <c r="C126" s="1" t="s">
        <v>101</v>
      </c>
      <c r="D126" s="1" t="s">
        <v>492</v>
      </c>
      <c r="E126" s="1" t="s">
        <v>397</v>
      </c>
      <c r="F126" s="1"/>
      <c r="G126" s="1" t="s">
        <v>493</v>
      </c>
      <c r="H126" s="1" t="s">
        <v>15</v>
      </c>
      <c r="I126" s="2">
        <v>22.34</v>
      </c>
    </row>
    <row r="127">
      <c r="A127" s="1" t="s">
        <v>494</v>
      </c>
      <c r="B127" s="1" t="s">
        <v>495</v>
      </c>
      <c r="C127" s="1" t="s">
        <v>496</v>
      </c>
      <c r="D127" s="1" t="s">
        <v>497</v>
      </c>
      <c r="E127" s="1" t="s">
        <v>397</v>
      </c>
      <c r="F127" s="1"/>
      <c r="G127" s="1" t="s">
        <v>14</v>
      </c>
      <c r="H127" s="1" t="s">
        <v>20</v>
      </c>
      <c r="I127" s="2">
        <v>19.39</v>
      </c>
    </row>
    <row r="128">
      <c r="A128" s="1" t="s">
        <v>498</v>
      </c>
      <c r="B128" s="1" t="s">
        <v>499</v>
      </c>
      <c r="C128" s="1" t="s">
        <v>500</v>
      </c>
      <c r="D128" s="1" t="s">
        <v>501</v>
      </c>
      <c r="E128" s="1" t="s">
        <v>397</v>
      </c>
      <c r="F128" s="1"/>
      <c r="G128" s="1" t="s">
        <v>14</v>
      </c>
      <c r="H128" s="1" t="s">
        <v>15</v>
      </c>
      <c r="I128" s="2">
        <v>40.77</v>
      </c>
    </row>
    <row r="129">
      <c r="A129" s="1" t="s">
        <v>502</v>
      </c>
      <c r="B129" s="1" t="s">
        <v>503</v>
      </c>
      <c r="C129" s="1" t="s">
        <v>59</v>
      </c>
      <c r="D129" s="1" t="s">
        <v>504</v>
      </c>
      <c r="E129" s="1" t="s">
        <v>397</v>
      </c>
      <c r="F129" s="1"/>
      <c r="G129" s="1" t="s">
        <v>205</v>
      </c>
      <c r="H129" s="1" t="s">
        <v>15</v>
      </c>
      <c r="I129" s="2">
        <v>27.01</v>
      </c>
    </row>
    <row r="130">
      <c r="A130" s="1" t="s">
        <v>505</v>
      </c>
      <c r="B130" s="1" t="s">
        <v>506</v>
      </c>
      <c r="C130" s="1" t="s">
        <v>507</v>
      </c>
      <c r="D130" s="1" t="s">
        <v>508</v>
      </c>
      <c r="E130" s="1" t="s">
        <v>397</v>
      </c>
      <c r="F130" s="1"/>
      <c r="G130" s="1" t="s">
        <v>14</v>
      </c>
      <c r="H130" s="1" t="s">
        <v>15</v>
      </c>
      <c r="I130" s="2">
        <v>35.6</v>
      </c>
    </row>
    <row r="131">
      <c r="A131" s="1" t="s">
        <v>509</v>
      </c>
      <c r="B131" s="1" t="s">
        <v>510</v>
      </c>
      <c r="C131" s="1" t="s">
        <v>511</v>
      </c>
      <c r="D131" s="1" t="s">
        <v>512</v>
      </c>
      <c r="E131" s="1" t="s">
        <v>397</v>
      </c>
      <c r="F131" s="1"/>
      <c r="G131" s="1" t="s">
        <v>14</v>
      </c>
      <c r="H131" s="1" t="s">
        <v>15</v>
      </c>
      <c r="I131" s="2">
        <v>31.68</v>
      </c>
    </row>
    <row r="132">
      <c r="A132" s="1" t="s">
        <v>513</v>
      </c>
      <c r="B132" s="1" t="s">
        <v>514</v>
      </c>
      <c r="C132" s="1" t="s">
        <v>515</v>
      </c>
      <c r="D132" s="1" t="s">
        <v>516</v>
      </c>
      <c r="E132" s="1" t="s">
        <v>397</v>
      </c>
      <c r="F132" s="1"/>
      <c r="G132" s="1" t="s">
        <v>14</v>
      </c>
      <c r="H132" s="1" t="s">
        <v>15</v>
      </c>
      <c r="I132" s="2">
        <v>31.38</v>
      </c>
    </row>
    <row r="133">
      <c r="A133" s="1" t="s">
        <v>517</v>
      </c>
      <c r="B133" s="1" t="s">
        <v>518</v>
      </c>
      <c r="C133" s="1" t="s">
        <v>519</v>
      </c>
      <c r="D133" s="1" t="s">
        <v>520</v>
      </c>
      <c r="E133" s="1" t="s">
        <v>397</v>
      </c>
      <c r="F133" s="1"/>
      <c r="G133" s="1" t="s">
        <v>14</v>
      </c>
      <c r="H133" s="1" t="s">
        <v>20</v>
      </c>
      <c r="I133" s="2">
        <v>24.3</v>
      </c>
    </row>
    <row r="134">
      <c r="A134" s="1" t="s">
        <v>521</v>
      </c>
      <c r="B134" s="1" t="s">
        <v>317</v>
      </c>
      <c r="C134" s="1" t="s">
        <v>522</v>
      </c>
      <c r="D134" s="1" t="s">
        <v>523</v>
      </c>
      <c r="E134" s="1" t="s">
        <v>397</v>
      </c>
      <c r="F134" s="1"/>
      <c r="G134" s="1" t="s">
        <v>14</v>
      </c>
      <c r="H134" s="1" t="s">
        <v>20</v>
      </c>
      <c r="I134" s="2">
        <v>36.12</v>
      </c>
    </row>
    <row r="135">
      <c r="A135" s="1" t="s">
        <v>524</v>
      </c>
      <c r="B135" s="1" t="s">
        <v>525</v>
      </c>
      <c r="C135" s="1" t="s">
        <v>526</v>
      </c>
      <c r="D135" s="1" t="s">
        <v>527</v>
      </c>
      <c r="E135" s="1" t="s">
        <v>397</v>
      </c>
      <c r="F135" s="1"/>
      <c r="G135" s="1" t="s">
        <v>14</v>
      </c>
      <c r="H135" s="1" t="s">
        <v>15</v>
      </c>
      <c r="I135" s="2">
        <v>26.77</v>
      </c>
    </row>
    <row r="136">
      <c r="A136" s="1" t="s">
        <v>528</v>
      </c>
      <c r="B136" s="1" t="s">
        <v>309</v>
      </c>
      <c r="C136" s="1" t="s">
        <v>275</v>
      </c>
      <c r="D136" s="1" t="s">
        <v>529</v>
      </c>
      <c r="E136" s="1" t="s">
        <v>397</v>
      </c>
      <c r="F136" s="1"/>
      <c r="G136" s="1" t="s">
        <v>14</v>
      </c>
      <c r="H136" s="1" t="s">
        <v>15</v>
      </c>
      <c r="I136" s="2">
        <v>37.95</v>
      </c>
    </row>
    <row r="137">
      <c r="A137" s="1" t="s">
        <v>530</v>
      </c>
      <c r="B137" s="1" t="s">
        <v>531</v>
      </c>
      <c r="C137" s="1" t="s">
        <v>532</v>
      </c>
      <c r="D137" s="1" t="s">
        <v>533</v>
      </c>
      <c r="E137" s="1" t="s">
        <v>397</v>
      </c>
      <c r="F137" s="1"/>
      <c r="G137" s="1" t="s">
        <v>14</v>
      </c>
      <c r="H137" s="1" t="s">
        <v>15</v>
      </c>
      <c r="I137" s="2">
        <v>20.08</v>
      </c>
    </row>
    <row r="138">
      <c r="A138" s="1" t="s">
        <v>534</v>
      </c>
      <c r="B138" s="1" t="s">
        <v>535</v>
      </c>
      <c r="C138" s="1" t="s">
        <v>83</v>
      </c>
      <c r="D138" s="1" t="s">
        <v>536</v>
      </c>
      <c r="E138" s="1" t="s">
        <v>397</v>
      </c>
      <c r="F138" s="1"/>
      <c r="G138" s="1" t="s">
        <v>14</v>
      </c>
      <c r="H138" s="1" t="s">
        <v>15</v>
      </c>
      <c r="I138" s="2">
        <v>33.03</v>
      </c>
    </row>
    <row r="139">
      <c r="A139" s="1" t="s">
        <v>537</v>
      </c>
      <c r="B139" s="1" t="s">
        <v>538</v>
      </c>
      <c r="C139" s="1" t="s">
        <v>137</v>
      </c>
      <c r="D139" s="1" t="s">
        <v>539</v>
      </c>
      <c r="E139" s="1" t="s">
        <v>397</v>
      </c>
      <c r="F139" s="1"/>
      <c r="G139" s="1" t="s">
        <v>14</v>
      </c>
      <c r="H139" s="1" t="s">
        <v>20</v>
      </c>
      <c r="I139" s="2">
        <v>19.93</v>
      </c>
    </row>
    <row r="140">
      <c r="A140" s="1" t="s">
        <v>540</v>
      </c>
      <c r="B140" s="1" t="s">
        <v>541</v>
      </c>
      <c r="C140" s="1" t="s">
        <v>542</v>
      </c>
      <c r="D140" s="1" t="s">
        <v>543</v>
      </c>
      <c r="E140" s="1" t="s">
        <v>397</v>
      </c>
      <c r="F140" s="1"/>
      <c r="G140" s="1" t="s">
        <v>14</v>
      </c>
      <c r="H140" s="1" t="s">
        <v>20</v>
      </c>
      <c r="I140" s="2">
        <v>21.39</v>
      </c>
    </row>
    <row r="141">
      <c r="A141" s="1" t="s">
        <v>544</v>
      </c>
      <c r="B141" s="1" t="s">
        <v>545</v>
      </c>
      <c r="C141" s="1" t="s">
        <v>546</v>
      </c>
      <c r="D141" s="1" t="s">
        <v>547</v>
      </c>
      <c r="E141" s="1" t="s">
        <v>397</v>
      </c>
      <c r="F141" s="1"/>
      <c r="G141" s="1" t="s">
        <v>205</v>
      </c>
      <c r="H141" s="1" t="s">
        <v>20</v>
      </c>
      <c r="I141" s="2">
        <v>21.33</v>
      </c>
    </row>
    <row r="142">
      <c r="A142" s="1" t="s">
        <v>548</v>
      </c>
      <c r="B142" s="1" t="s">
        <v>267</v>
      </c>
      <c r="C142" s="1" t="s">
        <v>549</v>
      </c>
      <c r="D142" s="1" t="s">
        <v>550</v>
      </c>
      <c r="E142" s="1" t="s">
        <v>397</v>
      </c>
      <c r="F142" s="1"/>
      <c r="G142" s="1" t="s">
        <v>14</v>
      </c>
      <c r="H142" s="1" t="s">
        <v>15</v>
      </c>
      <c r="I142" s="2">
        <v>36.32</v>
      </c>
    </row>
    <row r="143">
      <c r="A143" s="1" t="s">
        <v>551</v>
      </c>
      <c r="B143" s="1" t="s">
        <v>552</v>
      </c>
      <c r="C143" s="1" t="s">
        <v>553</v>
      </c>
      <c r="D143" s="1" t="s">
        <v>554</v>
      </c>
      <c r="E143" s="1" t="s">
        <v>397</v>
      </c>
      <c r="F143" s="1"/>
      <c r="G143" s="1" t="s">
        <v>14</v>
      </c>
      <c r="H143" s="1" t="s">
        <v>15</v>
      </c>
      <c r="I143" s="2">
        <v>25.43</v>
      </c>
    </row>
    <row r="144">
      <c r="A144" s="1" t="s">
        <v>555</v>
      </c>
      <c r="B144" s="1" t="s">
        <v>556</v>
      </c>
      <c r="C144" s="1" t="s">
        <v>557</v>
      </c>
      <c r="D144" s="1" t="s">
        <v>558</v>
      </c>
      <c r="E144" s="1" t="s">
        <v>397</v>
      </c>
      <c r="F144" s="1"/>
      <c r="G144" s="1" t="s">
        <v>205</v>
      </c>
      <c r="H144" s="1" t="s">
        <v>15</v>
      </c>
      <c r="I144" s="2">
        <v>20.78</v>
      </c>
    </row>
    <row r="145">
      <c r="A145" s="1" t="s">
        <v>559</v>
      </c>
      <c r="B145" s="1" t="s">
        <v>229</v>
      </c>
      <c r="C145" s="1" t="s">
        <v>560</v>
      </c>
      <c r="D145" s="1" t="s">
        <v>561</v>
      </c>
      <c r="E145" s="1" t="s">
        <v>397</v>
      </c>
      <c r="F145" s="1"/>
      <c r="G145" s="1" t="s">
        <v>14</v>
      </c>
      <c r="H145" s="1" t="s">
        <v>15</v>
      </c>
      <c r="I145" s="2">
        <v>32.98</v>
      </c>
    </row>
    <row r="146">
      <c r="A146" s="1" t="s">
        <v>562</v>
      </c>
      <c r="B146" s="1" t="s">
        <v>563</v>
      </c>
      <c r="C146" s="1" t="s">
        <v>564</v>
      </c>
      <c r="D146" s="1" t="s">
        <v>565</v>
      </c>
      <c r="E146" s="1" t="s">
        <v>397</v>
      </c>
      <c r="F146" s="1"/>
      <c r="G146" s="1" t="s">
        <v>14</v>
      </c>
      <c r="H146" s="1" t="s">
        <v>15</v>
      </c>
      <c r="I146" s="2">
        <v>30.96</v>
      </c>
    </row>
    <row r="147">
      <c r="A147" s="1" t="s">
        <v>566</v>
      </c>
      <c r="B147" s="1" t="s">
        <v>321</v>
      </c>
      <c r="C147" s="1" t="s">
        <v>567</v>
      </c>
      <c r="D147" s="1" t="s">
        <v>568</v>
      </c>
      <c r="E147" s="1" t="s">
        <v>397</v>
      </c>
      <c r="F147" s="1"/>
      <c r="G147" s="1" t="s">
        <v>14</v>
      </c>
      <c r="H147" s="1" t="s">
        <v>20</v>
      </c>
      <c r="I147" s="2">
        <v>28.22</v>
      </c>
    </row>
    <row r="148">
      <c r="A148" s="1" t="s">
        <v>569</v>
      </c>
      <c r="B148" s="1" t="s">
        <v>117</v>
      </c>
      <c r="C148" s="1" t="s">
        <v>570</v>
      </c>
      <c r="D148" s="1" t="s">
        <v>571</v>
      </c>
      <c r="E148" s="1" t="s">
        <v>397</v>
      </c>
      <c r="F148" s="1"/>
      <c r="G148" s="1" t="s">
        <v>14</v>
      </c>
      <c r="H148" s="1" t="s">
        <v>15</v>
      </c>
      <c r="I148" s="2">
        <v>28.26</v>
      </c>
    </row>
    <row r="149">
      <c r="A149" s="1" t="s">
        <v>572</v>
      </c>
      <c r="B149" s="1" t="s">
        <v>573</v>
      </c>
      <c r="C149" s="1" t="s">
        <v>574</v>
      </c>
      <c r="D149" s="1" t="s">
        <v>575</v>
      </c>
      <c r="E149" s="1" t="s">
        <v>397</v>
      </c>
      <c r="F149" s="1"/>
      <c r="G149" s="1" t="s">
        <v>14</v>
      </c>
      <c r="H149" s="1" t="s">
        <v>20</v>
      </c>
      <c r="I149" s="2">
        <v>23.74</v>
      </c>
    </row>
    <row r="150">
      <c r="A150" s="1" t="s">
        <v>576</v>
      </c>
      <c r="B150" s="1" t="s">
        <v>577</v>
      </c>
      <c r="C150" s="1" t="s">
        <v>578</v>
      </c>
      <c r="D150" s="1" t="s">
        <v>579</v>
      </c>
      <c r="E150" s="1" t="s">
        <v>397</v>
      </c>
      <c r="F150" s="1"/>
      <c r="G150" s="1" t="s">
        <v>85</v>
      </c>
      <c r="H150" s="1" t="s">
        <v>15</v>
      </c>
      <c r="I150" s="2">
        <v>44.21</v>
      </c>
    </row>
    <row r="151">
      <c r="A151" s="1" t="s">
        <v>580</v>
      </c>
      <c r="B151" s="1" t="s">
        <v>581</v>
      </c>
      <c r="C151" s="1" t="s">
        <v>582</v>
      </c>
      <c r="D151" s="1" t="s">
        <v>583</v>
      </c>
      <c r="E151" s="1" t="s">
        <v>397</v>
      </c>
      <c r="F151" s="1"/>
      <c r="G151" s="1" t="s">
        <v>14</v>
      </c>
      <c r="H151" s="1" t="s">
        <v>15</v>
      </c>
      <c r="I151" s="2">
        <v>32.32</v>
      </c>
    </row>
    <row r="152">
      <c r="A152" s="1" t="s">
        <v>584</v>
      </c>
      <c r="B152" s="1" t="s">
        <v>585</v>
      </c>
      <c r="C152" s="1" t="s">
        <v>586</v>
      </c>
      <c r="D152" s="1" t="s">
        <v>587</v>
      </c>
      <c r="E152" s="1" t="s">
        <v>397</v>
      </c>
      <c r="F152" s="1"/>
      <c r="G152" s="1" t="s">
        <v>14</v>
      </c>
      <c r="H152" s="1" t="s">
        <v>15</v>
      </c>
      <c r="I152" s="2">
        <v>29.54</v>
      </c>
    </row>
    <row r="153">
      <c r="A153" s="1" t="s">
        <v>588</v>
      </c>
      <c r="B153" s="1" t="s">
        <v>136</v>
      </c>
      <c r="C153" s="1" t="s">
        <v>137</v>
      </c>
      <c r="D153" s="1" t="s">
        <v>138</v>
      </c>
      <c r="E153" s="1" t="s">
        <v>397</v>
      </c>
      <c r="F153" s="1"/>
      <c r="G153" s="1" t="s">
        <v>14</v>
      </c>
      <c r="H153" s="1" t="s">
        <v>15</v>
      </c>
      <c r="I153" s="2">
        <v>21.52</v>
      </c>
    </row>
    <row r="154">
      <c r="A154" s="1" t="s">
        <v>589</v>
      </c>
      <c r="B154" s="1" t="s">
        <v>590</v>
      </c>
      <c r="C154" s="1" t="s">
        <v>591</v>
      </c>
      <c r="D154" s="1" t="s">
        <v>592</v>
      </c>
      <c r="E154" s="1" t="s">
        <v>397</v>
      </c>
      <c r="F154" s="1"/>
      <c r="G154" s="1" t="s">
        <v>14</v>
      </c>
      <c r="H154" s="1" t="s">
        <v>15</v>
      </c>
      <c r="I154" s="2">
        <v>23.7</v>
      </c>
    </row>
    <row r="155">
      <c r="A155" s="1" t="s">
        <v>593</v>
      </c>
      <c r="B155" s="1" t="s">
        <v>117</v>
      </c>
      <c r="C155" s="1" t="s">
        <v>594</v>
      </c>
      <c r="D155" s="1" t="s">
        <v>595</v>
      </c>
      <c r="E155" s="1" t="s">
        <v>397</v>
      </c>
      <c r="F155" s="1"/>
      <c r="G155" s="1" t="s">
        <v>14</v>
      </c>
      <c r="H155" s="1" t="s">
        <v>15</v>
      </c>
      <c r="I155" s="2">
        <v>32.46</v>
      </c>
    </row>
    <row r="156">
      <c r="A156" s="1" t="s">
        <v>596</v>
      </c>
      <c r="B156" s="1" t="s">
        <v>597</v>
      </c>
      <c r="C156" s="1" t="s">
        <v>598</v>
      </c>
      <c r="D156" s="1" t="s">
        <v>599</v>
      </c>
      <c r="E156" s="1" t="s">
        <v>397</v>
      </c>
      <c r="F156" s="1"/>
      <c r="G156" s="1" t="s">
        <v>14</v>
      </c>
      <c r="H156" s="1" t="s">
        <v>15</v>
      </c>
      <c r="I156" s="2">
        <v>22.06</v>
      </c>
    </row>
    <row r="157">
      <c r="A157" s="1" t="s">
        <v>600</v>
      </c>
      <c r="B157" s="1" t="s">
        <v>601</v>
      </c>
      <c r="C157" s="1" t="s">
        <v>602</v>
      </c>
      <c r="D157" s="1" t="s">
        <v>603</v>
      </c>
      <c r="E157" s="1" t="s">
        <v>397</v>
      </c>
      <c r="F157" s="1"/>
      <c r="G157" s="1" t="s">
        <v>14</v>
      </c>
      <c r="H157" s="1" t="s">
        <v>15</v>
      </c>
      <c r="I157" s="2">
        <v>25.11</v>
      </c>
    </row>
    <row r="158">
      <c r="A158" s="1" t="s">
        <v>604</v>
      </c>
      <c r="B158" s="1" t="s">
        <v>605</v>
      </c>
      <c r="C158" s="1" t="s">
        <v>606</v>
      </c>
      <c r="D158" s="1" t="s">
        <v>607</v>
      </c>
      <c r="E158" s="1" t="s">
        <v>397</v>
      </c>
      <c r="F158" s="1"/>
      <c r="G158" s="1" t="s">
        <v>14</v>
      </c>
      <c r="H158" s="1" t="s">
        <v>20</v>
      </c>
      <c r="I158" s="2">
        <v>23.34</v>
      </c>
    </row>
    <row r="159">
      <c r="A159" s="1" t="s">
        <v>608</v>
      </c>
      <c r="B159" s="1" t="s">
        <v>447</v>
      </c>
      <c r="C159" s="1" t="s">
        <v>609</v>
      </c>
      <c r="D159" s="3" t="s">
        <v>610</v>
      </c>
      <c r="E159" s="1" t="s">
        <v>397</v>
      </c>
      <c r="F159" s="1"/>
      <c r="G159" s="1" t="s">
        <v>14</v>
      </c>
      <c r="H159" s="1" t="s">
        <v>15</v>
      </c>
      <c r="I159" s="2">
        <v>30.97</v>
      </c>
    </row>
    <row r="160">
      <c r="A160" s="1" t="s">
        <v>611</v>
      </c>
      <c r="B160" s="1" t="s">
        <v>612</v>
      </c>
      <c r="C160" s="1" t="s">
        <v>613</v>
      </c>
      <c r="D160" s="1" t="s">
        <v>614</v>
      </c>
      <c r="E160" s="1" t="s">
        <v>397</v>
      </c>
      <c r="F160" s="1"/>
      <c r="G160" s="1" t="s">
        <v>14</v>
      </c>
      <c r="H160" s="1" t="s">
        <v>15</v>
      </c>
      <c r="I160" s="2">
        <v>25.21</v>
      </c>
    </row>
    <row r="161">
      <c r="A161" s="1" t="s">
        <v>615</v>
      </c>
      <c r="B161" s="1" t="s">
        <v>55</v>
      </c>
      <c r="C161" s="1" t="s">
        <v>616</v>
      </c>
      <c r="D161" s="1" t="s">
        <v>617</v>
      </c>
      <c r="E161" s="1" t="s">
        <v>397</v>
      </c>
      <c r="F161" s="1"/>
      <c r="G161" s="1" t="s">
        <v>14</v>
      </c>
      <c r="H161" s="1" t="s">
        <v>15</v>
      </c>
      <c r="I161" s="2">
        <v>21.13</v>
      </c>
    </row>
    <row r="162">
      <c r="A162" s="1" t="s">
        <v>618</v>
      </c>
      <c r="B162" s="1" t="s">
        <v>305</v>
      </c>
      <c r="C162" s="1" t="s">
        <v>619</v>
      </c>
      <c r="D162" s="1" t="s">
        <v>620</v>
      </c>
      <c r="E162" s="1" t="s">
        <v>397</v>
      </c>
      <c r="F162" s="1"/>
      <c r="G162" s="1" t="s">
        <v>14</v>
      </c>
      <c r="H162" s="1" t="s">
        <v>15</v>
      </c>
      <c r="I162" s="2">
        <v>28.26</v>
      </c>
    </row>
    <row r="163">
      <c r="A163" s="1" t="s">
        <v>621</v>
      </c>
      <c r="B163" s="1" t="s">
        <v>622</v>
      </c>
      <c r="C163" s="1" t="s">
        <v>623</v>
      </c>
      <c r="D163" s="1" t="s">
        <v>624</v>
      </c>
      <c r="E163" s="1" t="s">
        <v>397</v>
      </c>
      <c r="F163" s="1"/>
      <c r="G163" s="1" t="s">
        <v>14</v>
      </c>
      <c r="H163" s="1" t="s">
        <v>20</v>
      </c>
      <c r="I163" s="2">
        <v>25.73</v>
      </c>
    </row>
    <row r="164">
      <c r="A164" s="1" t="s">
        <v>625</v>
      </c>
      <c r="B164" s="1" t="s">
        <v>626</v>
      </c>
      <c r="C164" s="1" t="s">
        <v>59</v>
      </c>
      <c r="D164" s="1" t="s">
        <v>627</v>
      </c>
      <c r="E164" s="1" t="s">
        <v>397</v>
      </c>
      <c r="F164" s="1"/>
      <c r="G164" s="1" t="s">
        <v>14</v>
      </c>
      <c r="H164" s="1" t="s">
        <v>20</v>
      </c>
      <c r="I164" s="2">
        <v>23.33</v>
      </c>
    </row>
    <row r="165">
      <c r="A165" s="1" t="s">
        <v>628</v>
      </c>
      <c r="B165" s="1" t="s">
        <v>629</v>
      </c>
      <c r="C165" s="1" t="s">
        <v>630</v>
      </c>
      <c r="D165" s="1" t="s">
        <v>631</v>
      </c>
      <c r="E165" s="1" t="s">
        <v>397</v>
      </c>
      <c r="F165" s="1"/>
      <c r="G165" s="1" t="s">
        <v>14</v>
      </c>
      <c r="H165" s="1" t="s">
        <v>15</v>
      </c>
      <c r="I165" s="2">
        <v>22.52</v>
      </c>
    </row>
    <row r="166">
      <c r="A166" s="1" t="s">
        <v>632</v>
      </c>
      <c r="B166" s="1" t="s">
        <v>633</v>
      </c>
      <c r="C166" s="1" t="s">
        <v>69</v>
      </c>
      <c r="D166" s="1" t="s">
        <v>634</v>
      </c>
      <c r="E166" s="1" t="s">
        <v>397</v>
      </c>
      <c r="F166" s="1"/>
      <c r="G166" s="1" t="s">
        <v>14</v>
      </c>
      <c r="H166" s="1" t="s">
        <v>15</v>
      </c>
      <c r="I166" s="2">
        <v>24.82</v>
      </c>
    </row>
    <row r="167">
      <c r="A167" s="1" t="s">
        <v>635</v>
      </c>
      <c r="B167" s="1" t="s">
        <v>636</v>
      </c>
      <c r="C167" s="1" t="s">
        <v>637</v>
      </c>
      <c r="D167" s="1" t="s">
        <v>638</v>
      </c>
      <c r="E167" s="1" t="s">
        <v>397</v>
      </c>
      <c r="F167" s="1"/>
      <c r="G167" s="1" t="s">
        <v>14</v>
      </c>
      <c r="H167" s="1" t="s">
        <v>15</v>
      </c>
      <c r="I167" s="2">
        <v>31.43</v>
      </c>
    </row>
    <row r="168">
      <c r="A168" s="1" t="s">
        <v>639</v>
      </c>
      <c r="B168" s="1" t="s">
        <v>602</v>
      </c>
      <c r="C168" s="1" t="s">
        <v>124</v>
      </c>
      <c r="D168" s="1" t="s">
        <v>640</v>
      </c>
      <c r="E168" s="1" t="s">
        <v>397</v>
      </c>
      <c r="F168" s="1"/>
      <c r="G168" s="1" t="s">
        <v>14</v>
      </c>
      <c r="H168" s="1" t="s">
        <v>20</v>
      </c>
      <c r="I168" s="2">
        <v>20.46</v>
      </c>
    </row>
    <row r="169">
      <c r="A169" s="1" t="s">
        <v>641</v>
      </c>
      <c r="B169" s="1" t="s">
        <v>642</v>
      </c>
      <c r="C169" s="1" t="s">
        <v>643</v>
      </c>
      <c r="D169" s="1" t="s">
        <v>644</v>
      </c>
      <c r="E169" s="1" t="s">
        <v>397</v>
      </c>
      <c r="F169" s="1"/>
      <c r="G169" s="1" t="s">
        <v>14</v>
      </c>
      <c r="H169" s="1" t="s">
        <v>20</v>
      </c>
      <c r="I169" s="2">
        <v>33.1</v>
      </c>
    </row>
    <row r="170">
      <c r="A170" s="1" t="s">
        <v>645</v>
      </c>
      <c r="B170" s="1" t="s">
        <v>646</v>
      </c>
      <c r="C170" s="1" t="s">
        <v>647</v>
      </c>
      <c r="D170" s="1" t="s">
        <v>648</v>
      </c>
      <c r="E170" s="1" t="s">
        <v>397</v>
      </c>
      <c r="F170" s="1"/>
      <c r="G170" s="1" t="s">
        <v>14</v>
      </c>
      <c r="H170" s="1" t="s">
        <v>20</v>
      </c>
      <c r="I170" s="2">
        <v>21.65</v>
      </c>
    </row>
    <row r="171">
      <c r="A171" s="1" t="s">
        <v>649</v>
      </c>
      <c r="B171" s="1" t="s">
        <v>650</v>
      </c>
      <c r="C171" s="1" t="s">
        <v>651</v>
      </c>
      <c r="D171" s="1" t="s">
        <v>652</v>
      </c>
      <c r="E171" s="1" t="s">
        <v>397</v>
      </c>
      <c r="F171" s="1"/>
      <c r="G171" s="1" t="s">
        <v>14</v>
      </c>
      <c r="H171" s="1" t="s">
        <v>15</v>
      </c>
      <c r="I171" s="2">
        <v>23.31</v>
      </c>
    </row>
    <row r="172">
      <c r="A172" s="1" t="s">
        <v>653</v>
      </c>
      <c r="B172" s="1" t="s">
        <v>381</v>
      </c>
      <c r="C172" s="1" t="s">
        <v>654</v>
      </c>
      <c r="D172" s="1" t="s">
        <v>655</v>
      </c>
      <c r="E172" s="1" t="s">
        <v>397</v>
      </c>
      <c r="F172" s="1"/>
      <c r="G172" s="1" t="s">
        <v>14</v>
      </c>
      <c r="H172" s="1" t="s">
        <v>20</v>
      </c>
      <c r="I172" s="2">
        <v>23.53</v>
      </c>
    </row>
    <row r="173">
      <c r="A173" s="1" t="s">
        <v>656</v>
      </c>
      <c r="B173" s="1" t="s">
        <v>657</v>
      </c>
      <c r="C173" s="1" t="s">
        <v>658</v>
      </c>
      <c r="D173" s="1" t="s">
        <v>659</v>
      </c>
      <c r="E173" s="1" t="s">
        <v>397</v>
      </c>
      <c r="F173" s="1"/>
      <c r="G173" s="1" t="s">
        <v>14</v>
      </c>
      <c r="H173" s="1" t="s">
        <v>15</v>
      </c>
      <c r="I173" s="2">
        <v>23.62</v>
      </c>
    </row>
    <row r="174">
      <c r="A174" s="1" t="s">
        <v>660</v>
      </c>
      <c r="B174" s="1" t="s">
        <v>661</v>
      </c>
      <c r="C174" s="1" t="s">
        <v>662</v>
      </c>
      <c r="D174" s="1" t="s">
        <v>663</v>
      </c>
      <c r="E174" s="1" t="s">
        <v>397</v>
      </c>
      <c r="F174" s="1"/>
      <c r="G174" s="1" t="s">
        <v>14</v>
      </c>
      <c r="H174" s="1" t="s">
        <v>15</v>
      </c>
      <c r="I174" s="2">
        <v>25.46</v>
      </c>
    </row>
    <row r="175">
      <c r="A175" s="1" t="s">
        <v>664</v>
      </c>
      <c r="B175" s="1" t="s">
        <v>230</v>
      </c>
      <c r="C175" s="1" t="s">
        <v>560</v>
      </c>
      <c r="D175" s="1" t="s">
        <v>665</v>
      </c>
      <c r="E175" s="1" t="s">
        <v>397</v>
      </c>
      <c r="F175" s="1"/>
      <c r="G175" s="1" t="s">
        <v>130</v>
      </c>
      <c r="H175" s="1" t="s">
        <v>15</v>
      </c>
      <c r="I175" s="2">
        <v>29.52</v>
      </c>
    </row>
    <row r="176">
      <c r="A176" s="1" t="s">
        <v>666</v>
      </c>
      <c r="B176" s="1" t="s">
        <v>78</v>
      </c>
      <c r="C176" s="1" t="s">
        <v>667</v>
      </c>
      <c r="D176" s="1" t="s">
        <v>668</v>
      </c>
      <c r="E176" s="1" t="s">
        <v>397</v>
      </c>
      <c r="F176" s="1"/>
      <c r="G176" s="1" t="s">
        <v>669</v>
      </c>
      <c r="H176" s="1" t="s">
        <v>15</v>
      </c>
      <c r="I176" s="2">
        <v>25.28</v>
      </c>
    </row>
    <row r="177">
      <c r="A177" s="1" t="s">
        <v>670</v>
      </c>
      <c r="B177" s="1" t="s">
        <v>369</v>
      </c>
      <c r="C177" s="1" t="s">
        <v>671</v>
      </c>
      <c r="D177" s="1" t="s">
        <v>672</v>
      </c>
      <c r="E177" s="1" t="s">
        <v>397</v>
      </c>
      <c r="F177" s="1"/>
      <c r="G177" s="1" t="s">
        <v>14</v>
      </c>
      <c r="H177" s="1" t="s">
        <v>20</v>
      </c>
      <c r="I177" s="2">
        <v>28.78</v>
      </c>
    </row>
    <row r="178">
      <c r="A178" s="1" t="s">
        <v>673</v>
      </c>
      <c r="B178" s="1" t="s">
        <v>117</v>
      </c>
      <c r="C178" s="1" t="s">
        <v>674</v>
      </c>
      <c r="D178" s="1" t="s">
        <v>675</v>
      </c>
      <c r="E178" s="1" t="s">
        <v>397</v>
      </c>
      <c r="F178" s="1"/>
      <c r="G178" s="1" t="s">
        <v>14</v>
      </c>
      <c r="H178" s="1" t="s">
        <v>15</v>
      </c>
      <c r="I178" s="2">
        <v>24.68</v>
      </c>
    </row>
    <row r="179">
      <c r="A179" s="1" t="s">
        <v>676</v>
      </c>
      <c r="B179" s="1" t="s">
        <v>677</v>
      </c>
      <c r="C179" s="1" t="s">
        <v>678</v>
      </c>
      <c r="D179" s="1" t="s">
        <v>679</v>
      </c>
      <c r="E179" s="1" t="s">
        <v>397</v>
      </c>
      <c r="F179" s="1"/>
      <c r="G179" s="1" t="s">
        <v>14</v>
      </c>
      <c r="H179" s="1" t="s">
        <v>20</v>
      </c>
      <c r="I179" s="2">
        <v>31.29</v>
      </c>
    </row>
    <row r="180">
      <c r="A180" s="1" t="s">
        <v>680</v>
      </c>
      <c r="B180" s="1" t="s">
        <v>681</v>
      </c>
      <c r="C180" s="1" t="s">
        <v>682</v>
      </c>
      <c r="D180" s="1" t="s">
        <v>683</v>
      </c>
      <c r="E180" s="1" t="s">
        <v>397</v>
      </c>
      <c r="F180" s="1"/>
      <c r="G180" s="1" t="s">
        <v>14</v>
      </c>
      <c r="H180" s="1" t="s">
        <v>20</v>
      </c>
      <c r="I180" s="2">
        <v>22.62</v>
      </c>
    </row>
    <row r="181">
      <c r="A181" s="1" t="s">
        <v>684</v>
      </c>
      <c r="B181" s="1" t="s">
        <v>293</v>
      </c>
      <c r="C181" s="1" t="s">
        <v>685</v>
      </c>
      <c r="D181" s="1" t="s">
        <v>686</v>
      </c>
      <c r="E181" s="1" t="s">
        <v>397</v>
      </c>
      <c r="F181" s="1"/>
      <c r="G181" s="1" t="s">
        <v>14</v>
      </c>
      <c r="H181" s="1" t="s">
        <v>15</v>
      </c>
      <c r="I181" s="2">
        <v>30.43</v>
      </c>
    </row>
    <row r="182">
      <c r="A182" s="1" t="s">
        <v>687</v>
      </c>
      <c r="B182" s="1" t="s">
        <v>688</v>
      </c>
      <c r="C182" s="1" t="s">
        <v>689</v>
      </c>
      <c r="D182" s="1" t="s">
        <v>690</v>
      </c>
      <c r="E182" s="1" t="s">
        <v>397</v>
      </c>
      <c r="F182" s="1"/>
      <c r="G182" s="1" t="s">
        <v>14</v>
      </c>
      <c r="H182" s="1" t="s">
        <v>15</v>
      </c>
      <c r="I182" s="2">
        <v>34.5</v>
      </c>
    </row>
    <row r="183">
      <c r="A183" s="1" t="s">
        <v>691</v>
      </c>
      <c r="B183" s="1" t="s">
        <v>692</v>
      </c>
      <c r="C183" s="1" t="s">
        <v>693</v>
      </c>
      <c r="D183" s="1" t="s">
        <v>694</v>
      </c>
      <c r="E183" s="1" t="s">
        <v>397</v>
      </c>
      <c r="F183" s="1"/>
      <c r="G183" s="1" t="s">
        <v>14</v>
      </c>
      <c r="H183" s="1" t="s">
        <v>15</v>
      </c>
      <c r="I183" s="2">
        <v>18.55</v>
      </c>
    </row>
    <row r="184">
      <c r="A184" s="1" t="s">
        <v>695</v>
      </c>
      <c r="B184" s="1" t="s">
        <v>696</v>
      </c>
      <c r="C184" s="1" t="s">
        <v>697</v>
      </c>
      <c r="D184" s="1" t="s">
        <v>698</v>
      </c>
      <c r="E184" s="1" t="s">
        <v>397</v>
      </c>
      <c r="F184" s="1"/>
      <c r="G184" s="1" t="s">
        <v>14</v>
      </c>
      <c r="H184" s="1" t="s">
        <v>15</v>
      </c>
      <c r="I184" s="2">
        <v>28.46</v>
      </c>
    </row>
    <row r="185">
      <c r="A185" s="1" t="s">
        <v>699</v>
      </c>
      <c r="B185" s="1" t="s">
        <v>700</v>
      </c>
      <c r="C185" s="1" t="s">
        <v>701</v>
      </c>
      <c r="D185" s="3" t="s">
        <v>702</v>
      </c>
      <c r="E185" s="1" t="s">
        <v>397</v>
      </c>
      <c r="F185" s="1"/>
      <c r="G185" s="1" t="s">
        <v>14</v>
      </c>
      <c r="H185" s="1" t="s">
        <v>15</v>
      </c>
      <c r="I185" s="2">
        <v>25.48</v>
      </c>
    </row>
    <row r="186">
      <c r="A186" s="1" t="s">
        <v>703</v>
      </c>
      <c r="B186" s="1" t="s">
        <v>704</v>
      </c>
      <c r="C186" s="1" t="s">
        <v>705</v>
      </c>
      <c r="D186" s="1" t="s">
        <v>706</v>
      </c>
      <c r="E186" s="1" t="s">
        <v>397</v>
      </c>
      <c r="F186" s="1"/>
      <c r="G186" s="1" t="s">
        <v>14</v>
      </c>
      <c r="H186" s="1" t="s">
        <v>15</v>
      </c>
      <c r="I186" s="2">
        <v>35.29</v>
      </c>
    </row>
    <row r="187">
      <c r="A187" s="1" t="s">
        <v>707</v>
      </c>
      <c r="B187" s="1" t="s">
        <v>708</v>
      </c>
      <c r="C187" s="1" t="s">
        <v>709</v>
      </c>
      <c r="D187" s="1" t="s">
        <v>710</v>
      </c>
      <c r="E187" s="1" t="s">
        <v>397</v>
      </c>
      <c r="F187" s="1"/>
      <c r="G187" s="1" t="s">
        <v>14</v>
      </c>
      <c r="H187" s="1" t="s">
        <v>15</v>
      </c>
      <c r="I187" s="2">
        <v>30.95</v>
      </c>
    </row>
    <row r="188">
      <c r="A188" s="1" t="s">
        <v>711</v>
      </c>
      <c r="B188" s="1" t="s">
        <v>594</v>
      </c>
      <c r="C188" s="1" t="s">
        <v>712</v>
      </c>
      <c r="D188" s="1" t="s">
        <v>713</v>
      </c>
      <c r="E188" s="1" t="s">
        <v>397</v>
      </c>
      <c r="F188" s="1"/>
      <c r="G188" s="1" t="s">
        <v>14</v>
      </c>
      <c r="H188" s="1" t="s">
        <v>15</v>
      </c>
      <c r="I188" s="2">
        <v>29.35</v>
      </c>
    </row>
    <row r="189">
      <c r="A189" s="1" t="s">
        <v>714</v>
      </c>
      <c r="B189" s="1" t="s">
        <v>715</v>
      </c>
      <c r="C189" s="1" t="s">
        <v>716</v>
      </c>
      <c r="D189" s="1" t="s">
        <v>717</v>
      </c>
      <c r="E189" s="1" t="s">
        <v>397</v>
      </c>
      <c r="F189" s="1"/>
      <c r="G189" s="1" t="s">
        <v>14</v>
      </c>
      <c r="H189" s="1" t="s">
        <v>15</v>
      </c>
      <c r="I189" s="2">
        <v>26.23</v>
      </c>
    </row>
    <row r="190">
      <c r="A190" s="1" t="s">
        <v>718</v>
      </c>
      <c r="B190" s="1" t="s">
        <v>719</v>
      </c>
      <c r="C190" s="1" t="s">
        <v>720</v>
      </c>
      <c r="D190" s="1" t="s">
        <v>721</v>
      </c>
      <c r="E190" s="1" t="s">
        <v>397</v>
      </c>
      <c r="F190" s="1"/>
      <c r="G190" s="1" t="s">
        <v>722</v>
      </c>
      <c r="H190" s="1" t="s">
        <v>15</v>
      </c>
      <c r="I190" s="2">
        <v>20.85</v>
      </c>
    </row>
    <row r="191">
      <c r="A191" s="1" t="s">
        <v>723</v>
      </c>
      <c r="B191" s="1" t="s">
        <v>369</v>
      </c>
      <c r="C191" s="1" t="s">
        <v>389</v>
      </c>
      <c r="D191" s="1" t="s">
        <v>724</v>
      </c>
      <c r="E191" s="1" t="s">
        <v>397</v>
      </c>
      <c r="F191" s="1"/>
      <c r="G191" s="1" t="s">
        <v>14</v>
      </c>
      <c r="H191" s="1" t="s">
        <v>20</v>
      </c>
      <c r="I191" s="2">
        <v>22.25</v>
      </c>
    </row>
    <row r="192">
      <c r="A192" s="1" t="s">
        <v>725</v>
      </c>
      <c r="B192" s="1" t="s">
        <v>325</v>
      </c>
      <c r="C192" s="1" t="s">
        <v>726</v>
      </c>
      <c r="D192" s="1" t="s">
        <v>727</v>
      </c>
      <c r="E192" s="1" t="s">
        <v>397</v>
      </c>
      <c r="F192" s="1"/>
      <c r="G192" s="1" t="s">
        <v>14</v>
      </c>
      <c r="H192" s="1" t="s">
        <v>15</v>
      </c>
      <c r="I192" s="2">
        <v>22.83</v>
      </c>
    </row>
    <row r="193">
      <c r="A193" s="1" t="s">
        <v>728</v>
      </c>
      <c r="B193" s="1" t="s">
        <v>729</v>
      </c>
      <c r="C193" s="1" t="s">
        <v>730</v>
      </c>
      <c r="D193" s="1" t="s">
        <v>731</v>
      </c>
      <c r="E193" s="1" t="s">
        <v>397</v>
      </c>
      <c r="F193" s="1"/>
      <c r="G193" s="1" t="s">
        <v>14</v>
      </c>
      <c r="H193" s="1" t="s">
        <v>20</v>
      </c>
      <c r="I193" s="2">
        <v>20.65</v>
      </c>
    </row>
    <row r="194">
      <c r="A194" s="1" t="s">
        <v>732</v>
      </c>
      <c r="B194" s="1" t="s">
        <v>535</v>
      </c>
      <c r="C194" s="1" t="s">
        <v>730</v>
      </c>
      <c r="D194" s="1" t="s">
        <v>733</v>
      </c>
      <c r="E194" s="1" t="s">
        <v>397</v>
      </c>
      <c r="F194" s="1"/>
      <c r="G194" s="1" t="s">
        <v>14</v>
      </c>
      <c r="H194" s="1" t="s">
        <v>15</v>
      </c>
      <c r="I194" s="2">
        <v>21.28</v>
      </c>
    </row>
    <row r="195">
      <c r="A195" s="1" t="s">
        <v>734</v>
      </c>
      <c r="B195" s="1" t="s">
        <v>275</v>
      </c>
      <c r="C195" s="1" t="s">
        <v>735</v>
      </c>
      <c r="D195" s="1" t="s">
        <v>736</v>
      </c>
      <c r="E195" s="1" t="s">
        <v>397</v>
      </c>
      <c r="F195" s="1"/>
      <c r="G195" s="1" t="s">
        <v>14</v>
      </c>
      <c r="H195" s="1" t="s">
        <v>15</v>
      </c>
      <c r="I195" s="2">
        <v>30.97</v>
      </c>
    </row>
    <row r="196">
      <c r="A196" s="1" t="s">
        <v>737</v>
      </c>
      <c r="B196" s="1" t="s">
        <v>738</v>
      </c>
      <c r="C196" s="1" t="s">
        <v>739</v>
      </c>
      <c r="D196" s="3" t="s">
        <v>740</v>
      </c>
      <c r="E196" s="1" t="s">
        <v>397</v>
      </c>
      <c r="F196" s="1"/>
      <c r="G196" s="1" t="s">
        <v>14</v>
      </c>
      <c r="H196" s="1" t="s">
        <v>15</v>
      </c>
      <c r="I196" s="2">
        <v>20.93</v>
      </c>
    </row>
    <row r="197">
      <c r="A197" s="1" t="s">
        <v>741</v>
      </c>
      <c r="B197" s="1" t="s">
        <v>742</v>
      </c>
      <c r="C197" s="1" t="s">
        <v>560</v>
      </c>
      <c r="D197" s="1" t="s">
        <v>743</v>
      </c>
      <c r="E197" s="1" t="s">
        <v>397</v>
      </c>
      <c r="F197" s="1"/>
      <c r="G197" s="1" t="s">
        <v>14</v>
      </c>
      <c r="H197" s="1" t="s">
        <v>20</v>
      </c>
      <c r="I197" s="2">
        <v>27.7</v>
      </c>
    </row>
    <row r="198">
      <c r="A198" s="1" t="s">
        <v>744</v>
      </c>
      <c r="B198" s="1" t="s">
        <v>745</v>
      </c>
      <c r="C198" s="1" t="s">
        <v>643</v>
      </c>
      <c r="D198" s="1" t="s">
        <v>746</v>
      </c>
      <c r="E198" s="1" t="s">
        <v>397</v>
      </c>
      <c r="F198" s="1"/>
      <c r="G198" s="1" t="s">
        <v>14</v>
      </c>
      <c r="H198" s="1" t="s">
        <v>15</v>
      </c>
      <c r="I198" s="2">
        <v>29.51</v>
      </c>
    </row>
    <row r="199">
      <c r="A199" s="1" t="s">
        <v>747</v>
      </c>
      <c r="B199" s="1" t="s">
        <v>82</v>
      </c>
      <c r="C199" s="1" t="s">
        <v>79</v>
      </c>
      <c r="D199" s="1" t="s">
        <v>748</v>
      </c>
      <c r="E199" s="1" t="s">
        <v>397</v>
      </c>
      <c r="F199" s="1"/>
      <c r="G199" s="1" t="s">
        <v>14</v>
      </c>
      <c r="H199" s="1" t="s">
        <v>15</v>
      </c>
      <c r="I199" s="2">
        <v>26.83</v>
      </c>
    </row>
    <row r="200">
      <c r="A200" s="1" t="s">
        <v>749</v>
      </c>
      <c r="B200" s="1" t="s">
        <v>475</v>
      </c>
      <c r="C200" s="1" t="s">
        <v>750</v>
      </c>
      <c r="D200" s="3" t="s">
        <v>751</v>
      </c>
      <c r="E200" s="1" t="s">
        <v>397</v>
      </c>
      <c r="F200" s="1"/>
      <c r="G200" s="1" t="s">
        <v>14</v>
      </c>
      <c r="H200" s="1" t="s">
        <v>15</v>
      </c>
      <c r="I200" s="2">
        <v>25.47</v>
      </c>
    </row>
    <row r="201">
      <c r="A201" s="1" t="s">
        <v>752</v>
      </c>
      <c r="B201" s="1" t="s">
        <v>636</v>
      </c>
      <c r="C201" s="1" t="s">
        <v>366</v>
      </c>
      <c r="D201" s="1" t="s">
        <v>753</v>
      </c>
      <c r="E201" s="1" t="s">
        <v>397</v>
      </c>
      <c r="F201" s="1"/>
      <c r="G201" s="1" t="s">
        <v>14</v>
      </c>
      <c r="H201" s="1" t="s">
        <v>15</v>
      </c>
      <c r="I201" s="2">
        <v>24.93</v>
      </c>
    </row>
    <row r="202">
      <c r="A202" s="1" t="s">
        <v>754</v>
      </c>
      <c r="B202" s="1" t="s">
        <v>755</v>
      </c>
      <c r="C202" s="1" t="s">
        <v>756</v>
      </c>
      <c r="D202" s="1" t="s">
        <v>757</v>
      </c>
      <c r="E202" s="1" t="s">
        <v>397</v>
      </c>
      <c r="F202" s="1"/>
      <c r="G202" s="1" t="s">
        <v>14</v>
      </c>
      <c r="H202" s="1" t="s">
        <v>15</v>
      </c>
      <c r="I202" s="2">
        <v>19.87</v>
      </c>
    </row>
    <row r="203">
      <c r="A203" s="1" t="s">
        <v>758</v>
      </c>
      <c r="B203" s="1" t="s">
        <v>759</v>
      </c>
      <c r="C203" s="1" t="s">
        <v>760</v>
      </c>
      <c r="D203" s="1" t="s">
        <v>761</v>
      </c>
      <c r="E203" s="1" t="s">
        <v>397</v>
      </c>
      <c r="F203" s="1"/>
      <c r="G203" s="1" t="s">
        <v>14</v>
      </c>
      <c r="H203" s="1" t="s">
        <v>15</v>
      </c>
      <c r="I203" s="2">
        <v>20.81</v>
      </c>
    </row>
    <row r="204">
      <c r="A204" s="1" t="s">
        <v>762</v>
      </c>
      <c r="B204" s="1" t="s">
        <v>759</v>
      </c>
      <c r="C204" s="1" t="s">
        <v>760</v>
      </c>
      <c r="D204" s="1" t="s">
        <v>761</v>
      </c>
      <c r="E204" s="1" t="s">
        <v>397</v>
      </c>
      <c r="F204" s="1"/>
      <c r="G204" s="1" t="s">
        <v>14</v>
      </c>
      <c r="H204" s="1" t="s">
        <v>15</v>
      </c>
      <c r="I204" s="2">
        <v>19.81</v>
      </c>
    </row>
    <row r="205">
      <c r="A205" s="1" t="s">
        <v>763</v>
      </c>
      <c r="B205" s="1" t="s">
        <v>764</v>
      </c>
      <c r="C205" s="1" t="s">
        <v>275</v>
      </c>
      <c r="D205" s="1" t="s">
        <v>765</v>
      </c>
      <c r="E205" s="1" t="s">
        <v>397</v>
      </c>
      <c r="F205" s="1"/>
      <c r="G205" s="1" t="s">
        <v>14</v>
      </c>
      <c r="H205" s="1" t="s">
        <v>15</v>
      </c>
      <c r="I205" s="2">
        <v>24.6</v>
      </c>
    </row>
    <row r="206">
      <c r="A206" s="1" t="s">
        <v>766</v>
      </c>
      <c r="B206" s="1" t="s">
        <v>117</v>
      </c>
      <c r="C206" s="1" t="s">
        <v>767</v>
      </c>
      <c r="D206" s="1" t="s">
        <v>768</v>
      </c>
      <c r="E206" s="1" t="s">
        <v>397</v>
      </c>
      <c r="F206" s="1"/>
      <c r="G206" s="1" t="s">
        <v>14</v>
      </c>
      <c r="H206" s="1" t="s">
        <v>15</v>
      </c>
      <c r="I206" s="2">
        <v>18.9</v>
      </c>
    </row>
    <row r="207">
      <c r="A207" s="1" t="s">
        <v>769</v>
      </c>
      <c r="B207" s="1" t="s">
        <v>770</v>
      </c>
      <c r="C207" s="1" t="s">
        <v>771</v>
      </c>
      <c r="D207" s="1" t="s">
        <v>772</v>
      </c>
      <c r="E207" s="1" t="s">
        <v>397</v>
      </c>
      <c r="F207" s="1"/>
      <c r="G207" s="1" t="s">
        <v>14</v>
      </c>
      <c r="H207" s="1" t="s">
        <v>15</v>
      </c>
      <c r="I207" s="2">
        <v>27.09</v>
      </c>
    </row>
    <row r="208">
      <c r="A208" s="1" t="s">
        <v>773</v>
      </c>
      <c r="B208" s="1" t="s">
        <v>774</v>
      </c>
      <c r="C208" s="1" t="s">
        <v>775</v>
      </c>
      <c r="D208" s="1" t="s">
        <v>776</v>
      </c>
      <c r="E208" s="1" t="s">
        <v>397</v>
      </c>
      <c r="F208" s="1"/>
      <c r="G208" s="1" t="s">
        <v>14</v>
      </c>
      <c r="H208" s="1" t="s">
        <v>20</v>
      </c>
      <c r="I208" s="2">
        <v>26.15</v>
      </c>
    </row>
    <row r="209">
      <c r="A209" s="1" t="s">
        <v>777</v>
      </c>
      <c r="B209" s="1" t="s">
        <v>642</v>
      </c>
      <c r="C209" s="1" t="s">
        <v>778</v>
      </c>
      <c r="D209" s="1" t="s">
        <v>779</v>
      </c>
      <c r="E209" s="1" t="s">
        <v>397</v>
      </c>
      <c r="F209" s="1"/>
      <c r="G209" s="1" t="s">
        <v>14</v>
      </c>
      <c r="H209" s="1" t="s">
        <v>20</v>
      </c>
      <c r="I209" s="2">
        <v>25.12</v>
      </c>
    </row>
    <row r="210">
      <c r="A210" s="1" t="s">
        <v>780</v>
      </c>
      <c r="B210" s="1" t="s">
        <v>781</v>
      </c>
      <c r="C210" s="1" t="s">
        <v>782</v>
      </c>
      <c r="D210" s="1" t="s">
        <v>783</v>
      </c>
      <c r="E210" s="1" t="s">
        <v>397</v>
      </c>
      <c r="F210" s="1"/>
      <c r="G210" s="1" t="s">
        <v>14</v>
      </c>
      <c r="H210" s="1" t="s">
        <v>20</v>
      </c>
      <c r="I210" s="2">
        <v>19.98</v>
      </c>
    </row>
    <row r="211">
      <c r="A211" s="1" t="s">
        <v>784</v>
      </c>
      <c r="B211" s="1" t="s">
        <v>785</v>
      </c>
      <c r="C211" s="1" t="s">
        <v>786</v>
      </c>
      <c r="D211" s="1" t="s">
        <v>787</v>
      </c>
      <c r="E211" s="1" t="s">
        <v>397</v>
      </c>
      <c r="F211" s="1"/>
      <c r="G211" s="1" t="s">
        <v>14</v>
      </c>
      <c r="H211" s="1" t="s">
        <v>15</v>
      </c>
      <c r="I211" s="2">
        <v>19.22</v>
      </c>
    </row>
    <row r="212">
      <c r="A212" s="1" t="s">
        <v>788</v>
      </c>
      <c r="B212" s="1" t="s">
        <v>789</v>
      </c>
      <c r="C212" s="1" t="s">
        <v>79</v>
      </c>
      <c r="D212" s="1" t="s">
        <v>790</v>
      </c>
      <c r="E212" s="1" t="s">
        <v>397</v>
      </c>
      <c r="F212" s="1"/>
      <c r="G212" s="1" t="s">
        <v>14</v>
      </c>
      <c r="H212" s="1" t="s">
        <v>20</v>
      </c>
      <c r="I212" s="2">
        <v>25.18</v>
      </c>
    </row>
    <row r="213">
      <c r="A213" s="1" t="s">
        <v>791</v>
      </c>
      <c r="B213" s="1" t="s">
        <v>692</v>
      </c>
      <c r="C213" s="1" t="s">
        <v>161</v>
      </c>
      <c r="D213" s="1" t="s">
        <v>792</v>
      </c>
      <c r="E213" s="1" t="s">
        <v>397</v>
      </c>
      <c r="F213" s="1"/>
      <c r="G213" s="1" t="s">
        <v>14</v>
      </c>
      <c r="H213" s="1" t="s">
        <v>15</v>
      </c>
      <c r="I213" s="2">
        <v>33.03</v>
      </c>
    </row>
    <row r="214">
      <c r="A214" s="1" t="s">
        <v>793</v>
      </c>
      <c r="B214" s="1" t="s">
        <v>794</v>
      </c>
      <c r="C214" s="1" t="s">
        <v>795</v>
      </c>
      <c r="D214" s="1" t="s">
        <v>796</v>
      </c>
      <c r="E214" s="1" t="s">
        <v>397</v>
      </c>
      <c r="F214" s="1"/>
      <c r="G214" s="1" t="s">
        <v>14</v>
      </c>
      <c r="H214" s="1" t="s">
        <v>15</v>
      </c>
      <c r="I214" s="2">
        <v>23.98</v>
      </c>
    </row>
    <row r="215">
      <c r="A215" s="1" t="s">
        <v>797</v>
      </c>
      <c r="B215" s="1" t="s">
        <v>184</v>
      </c>
      <c r="C215" s="1" t="s">
        <v>798</v>
      </c>
      <c r="D215" s="1" t="s">
        <v>799</v>
      </c>
      <c r="E215" s="1" t="s">
        <v>397</v>
      </c>
      <c r="F215" s="1"/>
      <c r="G215" s="1" t="s">
        <v>14</v>
      </c>
      <c r="H215" s="1" t="s">
        <v>15</v>
      </c>
      <c r="I215" s="2">
        <v>26.15</v>
      </c>
    </row>
    <row r="216">
      <c r="A216" s="1" t="s">
        <v>800</v>
      </c>
      <c r="B216" s="1" t="s">
        <v>184</v>
      </c>
      <c r="C216" s="1" t="s">
        <v>801</v>
      </c>
      <c r="D216" s="1" t="s">
        <v>802</v>
      </c>
      <c r="E216" s="1" t="s">
        <v>397</v>
      </c>
      <c r="F216" s="1"/>
      <c r="G216" s="1" t="s">
        <v>14</v>
      </c>
      <c r="H216" s="1" t="s">
        <v>15</v>
      </c>
      <c r="I216" s="2">
        <v>20.43</v>
      </c>
    </row>
    <row r="217">
      <c r="A217" s="1" t="s">
        <v>803</v>
      </c>
      <c r="B217" s="1" t="s">
        <v>184</v>
      </c>
      <c r="C217" s="1" t="s">
        <v>801</v>
      </c>
      <c r="D217" s="1" t="s">
        <v>802</v>
      </c>
      <c r="E217" s="1" t="s">
        <v>397</v>
      </c>
      <c r="F217" s="1"/>
      <c r="G217" s="1" t="s">
        <v>14</v>
      </c>
      <c r="H217" s="1" t="s">
        <v>15</v>
      </c>
      <c r="I217" s="2">
        <v>20.43</v>
      </c>
    </row>
    <row r="218">
      <c r="A218" s="1" t="s">
        <v>804</v>
      </c>
      <c r="B218" s="1" t="s">
        <v>184</v>
      </c>
      <c r="C218" s="1" t="s">
        <v>801</v>
      </c>
      <c r="D218" s="1" t="s">
        <v>802</v>
      </c>
      <c r="E218" s="1" t="s">
        <v>397</v>
      </c>
      <c r="F218" s="1"/>
      <c r="G218" s="1" t="s">
        <v>14</v>
      </c>
      <c r="H218" s="1" t="s">
        <v>15</v>
      </c>
      <c r="I218" s="2">
        <v>20.43</v>
      </c>
    </row>
    <row r="219">
      <c r="A219" s="1" t="s">
        <v>805</v>
      </c>
      <c r="B219" s="1" t="s">
        <v>806</v>
      </c>
      <c r="C219" s="1" t="s">
        <v>807</v>
      </c>
      <c r="D219" s="1" t="s">
        <v>808</v>
      </c>
      <c r="E219" s="1" t="s">
        <v>397</v>
      </c>
      <c r="F219" s="1"/>
      <c r="G219" s="1" t="s">
        <v>14</v>
      </c>
      <c r="H219" s="1" t="s">
        <v>15</v>
      </c>
      <c r="I219" s="2">
        <v>27.89</v>
      </c>
    </row>
    <row r="220">
      <c r="A220" s="1" t="s">
        <v>809</v>
      </c>
      <c r="B220" s="1" t="s">
        <v>221</v>
      </c>
      <c r="C220" s="1" t="s">
        <v>222</v>
      </c>
      <c r="D220" s="1" t="s">
        <v>223</v>
      </c>
      <c r="E220" s="1" t="s">
        <v>397</v>
      </c>
      <c r="F220" s="1"/>
      <c r="G220" s="1" t="s">
        <v>14</v>
      </c>
      <c r="H220" s="1" t="s">
        <v>20</v>
      </c>
      <c r="I220" s="2">
        <v>21.39</v>
      </c>
    </row>
    <row r="221">
      <c r="A221" s="1" t="s">
        <v>810</v>
      </c>
      <c r="B221" s="1" t="s">
        <v>233</v>
      </c>
      <c r="C221" s="1" t="s">
        <v>234</v>
      </c>
      <c r="D221" s="1" t="s">
        <v>235</v>
      </c>
      <c r="E221" s="1" t="s">
        <v>397</v>
      </c>
      <c r="F221" s="1"/>
      <c r="G221" s="1" t="s">
        <v>14</v>
      </c>
      <c r="H221" s="1" t="s">
        <v>20</v>
      </c>
      <c r="I221" s="2">
        <v>19.83</v>
      </c>
    </row>
    <row r="222">
      <c r="A222" s="1" t="s">
        <v>811</v>
      </c>
      <c r="B222" s="1" t="s">
        <v>812</v>
      </c>
      <c r="C222" s="1" t="s">
        <v>813</v>
      </c>
      <c r="D222" s="1" t="s">
        <v>814</v>
      </c>
      <c r="E222" s="1" t="s">
        <v>397</v>
      </c>
      <c r="F222" s="1"/>
      <c r="G222" s="1" t="s">
        <v>14</v>
      </c>
      <c r="H222" s="1" t="s">
        <v>20</v>
      </c>
      <c r="I222" s="2">
        <v>24.84</v>
      </c>
    </row>
    <row r="223">
      <c r="A223" s="1" t="s">
        <v>815</v>
      </c>
      <c r="B223" s="1" t="s">
        <v>78</v>
      </c>
      <c r="C223" s="1" t="s">
        <v>816</v>
      </c>
      <c r="D223" s="1" t="s">
        <v>817</v>
      </c>
      <c r="E223" s="1" t="s">
        <v>397</v>
      </c>
      <c r="F223" s="1"/>
      <c r="G223" s="1" t="s">
        <v>14</v>
      </c>
      <c r="H223" s="1" t="s">
        <v>20</v>
      </c>
      <c r="I223" s="2">
        <v>23.6</v>
      </c>
    </row>
    <row r="224">
      <c r="A224" s="1" t="s">
        <v>818</v>
      </c>
      <c r="B224" s="1" t="s">
        <v>730</v>
      </c>
      <c r="C224" s="1" t="s">
        <v>819</v>
      </c>
      <c r="D224" s="1" t="s">
        <v>820</v>
      </c>
      <c r="E224" s="1" t="s">
        <v>397</v>
      </c>
      <c r="F224" s="1"/>
      <c r="G224" s="1" t="s">
        <v>14</v>
      </c>
      <c r="H224" s="1" t="s">
        <v>15</v>
      </c>
      <c r="I224" s="2">
        <v>28.71</v>
      </c>
    </row>
    <row r="225">
      <c r="A225" s="1" t="s">
        <v>821</v>
      </c>
      <c r="B225" s="1" t="s">
        <v>237</v>
      </c>
      <c r="C225" s="1" t="s">
        <v>238</v>
      </c>
      <c r="D225" s="1" t="s">
        <v>239</v>
      </c>
      <c r="E225" s="1" t="s">
        <v>397</v>
      </c>
      <c r="F225" s="1"/>
      <c r="G225" s="1" t="s">
        <v>14</v>
      </c>
      <c r="H225" s="1" t="s">
        <v>20</v>
      </c>
      <c r="I225" s="2">
        <v>23.11</v>
      </c>
    </row>
    <row r="226">
      <c r="A226" s="1" t="s">
        <v>822</v>
      </c>
      <c r="B226" s="1" t="s">
        <v>823</v>
      </c>
      <c r="C226" s="1" t="s">
        <v>824</v>
      </c>
      <c r="D226" s="1" t="s">
        <v>825</v>
      </c>
      <c r="E226" s="1" t="s">
        <v>397</v>
      </c>
      <c r="F226" s="1"/>
      <c r="G226" s="1" t="s">
        <v>669</v>
      </c>
      <c r="H226" s="1" t="s">
        <v>20</v>
      </c>
      <c r="I226" s="2">
        <v>21.38</v>
      </c>
    </row>
    <row r="227">
      <c r="A227" s="1" t="s">
        <v>826</v>
      </c>
      <c r="B227" s="1" t="s">
        <v>827</v>
      </c>
      <c r="C227" s="1" t="s">
        <v>302</v>
      </c>
      <c r="D227" s="1" t="s">
        <v>828</v>
      </c>
      <c r="E227" s="1" t="s">
        <v>397</v>
      </c>
      <c r="F227" s="1"/>
      <c r="G227" s="1" t="s">
        <v>14</v>
      </c>
      <c r="H227" s="1" t="s">
        <v>15</v>
      </c>
      <c r="I227" s="2">
        <v>28.46</v>
      </c>
    </row>
    <row r="228">
      <c r="A228" s="1" t="s">
        <v>829</v>
      </c>
      <c r="B228" s="1" t="s">
        <v>830</v>
      </c>
      <c r="C228" s="1" t="s">
        <v>831</v>
      </c>
      <c r="D228" s="1" t="s">
        <v>832</v>
      </c>
      <c r="E228" s="1" t="s">
        <v>397</v>
      </c>
      <c r="F228" s="1"/>
      <c r="G228" s="1" t="s">
        <v>14</v>
      </c>
      <c r="H228" s="1" t="s">
        <v>20</v>
      </c>
      <c r="I228" s="2">
        <v>22.11</v>
      </c>
    </row>
    <row r="229">
      <c r="A229" s="1" t="s">
        <v>833</v>
      </c>
      <c r="B229" s="1" t="s">
        <v>834</v>
      </c>
      <c r="C229" s="1" t="s">
        <v>835</v>
      </c>
      <c r="D229" s="3" t="s">
        <v>836</v>
      </c>
      <c r="E229" s="1" t="s">
        <v>397</v>
      </c>
      <c r="F229" s="1"/>
      <c r="G229" s="1" t="s">
        <v>14</v>
      </c>
      <c r="H229" s="1" t="s">
        <v>20</v>
      </c>
      <c r="I229" s="2">
        <v>20.07</v>
      </c>
    </row>
    <row r="230">
      <c r="A230" s="1" t="s">
        <v>837</v>
      </c>
      <c r="B230" s="1" t="s">
        <v>229</v>
      </c>
      <c r="C230" s="1" t="s">
        <v>838</v>
      </c>
      <c r="D230" s="1" t="s">
        <v>839</v>
      </c>
      <c r="E230" s="1" t="s">
        <v>397</v>
      </c>
      <c r="F230" s="1"/>
      <c r="G230" s="1" t="s">
        <v>14</v>
      </c>
      <c r="H230" s="1" t="s">
        <v>15</v>
      </c>
      <c r="I230" s="2">
        <v>29.01</v>
      </c>
    </row>
    <row r="231">
      <c r="A231" s="1" t="s">
        <v>840</v>
      </c>
      <c r="B231" s="1" t="s">
        <v>184</v>
      </c>
      <c r="C231" s="1" t="s">
        <v>841</v>
      </c>
      <c r="D231" s="3" t="s">
        <v>842</v>
      </c>
      <c r="E231" s="1" t="s">
        <v>397</v>
      </c>
      <c r="F231" s="1"/>
      <c r="G231" s="1" t="s">
        <v>14</v>
      </c>
      <c r="H231" s="1" t="s">
        <v>15</v>
      </c>
      <c r="I231" s="2">
        <v>24.2</v>
      </c>
    </row>
    <row r="232">
      <c r="A232" s="1" t="s">
        <v>843</v>
      </c>
      <c r="B232" s="1" t="s">
        <v>844</v>
      </c>
      <c r="C232" s="1" t="s">
        <v>202</v>
      </c>
      <c r="D232" s="1" t="s">
        <v>845</v>
      </c>
      <c r="E232" s="1" t="s">
        <v>397</v>
      </c>
      <c r="F232" s="1"/>
      <c r="G232" s="1" t="s">
        <v>14</v>
      </c>
      <c r="H232" s="1" t="s">
        <v>20</v>
      </c>
      <c r="I232" s="2">
        <v>21.55</v>
      </c>
    </row>
    <row r="233">
      <c r="A233" s="1" t="s">
        <v>846</v>
      </c>
      <c r="B233" s="1" t="s">
        <v>847</v>
      </c>
      <c r="C233" s="1" t="s">
        <v>253</v>
      </c>
      <c r="D233" s="1" t="s">
        <v>848</v>
      </c>
      <c r="E233" s="1" t="s">
        <v>397</v>
      </c>
      <c r="F233" s="1"/>
      <c r="G233" s="1" t="s">
        <v>14</v>
      </c>
      <c r="H233" s="1" t="s">
        <v>15</v>
      </c>
      <c r="I233" s="2">
        <v>28.7</v>
      </c>
    </row>
    <row r="234">
      <c r="A234" s="1" t="s">
        <v>849</v>
      </c>
      <c r="B234" s="1" t="s">
        <v>850</v>
      </c>
      <c r="C234" s="1" t="s">
        <v>851</v>
      </c>
      <c r="D234" s="1" t="s">
        <v>852</v>
      </c>
      <c r="E234" s="1" t="s">
        <v>397</v>
      </c>
      <c r="F234" s="1"/>
      <c r="G234" s="1" t="s">
        <v>14</v>
      </c>
      <c r="H234" s="1" t="s">
        <v>20</v>
      </c>
      <c r="I234" s="2">
        <v>27.17</v>
      </c>
    </row>
    <row r="235">
      <c r="A235" s="1" t="s">
        <v>853</v>
      </c>
      <c r="B235" s="1" t="s">
        <v>854</v>
      </c>
      <c r="C235" s="1" t="s">
        <v>560</v>
      </c>
      <c r="D235" s="1" t="s">
        <v>855</v>
      </c>
      <c r="E235" s="1" t="s">
        <v>397</v>
      </c>
      <c r="F235" s="1"/>
      <c r="G235" s="1" t="s">
        <v>14</v>
      </c>
      <c r="H235" s="1" t="s">
        <v>20</v>
      </c>
      <c r="I235" s="2">
        <v>26.85</v>
      </c>
    </row>
    <row r="236">
      <c r="A236" s="1" t="s">
        <v>856</v>
      </c>
      <c r="B236" s="1" t="s">
        <v>857</v>
      </c>
      <c r="C236" s="1" t="s">
        <v>730</v>
      </c>
      <c r="D236" s="3" t="s">
        <v>858</v>
      </c>
      <c r="E236" s="1" t="s">
        <v>397</v>
      </c>
      <c r="F236" s="1"/>
      <c r="G236" s="1" t="s">
        <v>14</v>
      </c>
      <c r="H236" s="1" t="s">
        <v>15</v>
      </c>
      <c r="I236" s="2">
        <v>19.98</v>
      </c>
    </row>
    <row r="237">
      <c r="A237" s="1" t="s">
        <v>859</v>
      </c>
      <c r="B237" s="1" t="s">
        <v>860</v>
      </c>
      <c r="C237" s="1" t="s">
        <v>585</v>
      </c>
      <c r="D237" s="1" t="s">
        <v>861</v>
      </c>
      <c r="E237" s="1" t="s">
        <v>397</v>
      </c>
      <c r="F237" s="1"/>
      <c r="G237" s="1" t="s">
        <v>14</v>
      </c>
      <c r="H237" s="1" t="s">
        <v>20</v>
      </c>
      <c r="I237" s="2">
        <v>20.98</v>
      </c>
    </row>
    <row r="238">
      <c r="A238" s="1" t="s">
        <v>862</v>
      </c>
      <c r="B238" s="1" t="s">
        <v>863</v>
      </c>
      <c r="C238" s="1" t="s">
        <v>864</v>
      </c>
      <c r="D238" s="1" t="s">
        <v>865</v>
      </c>
      <c r="E238" s="1" t="s">
        <v>397</v>
      </c>
      <c r="F238" s="1"/>
      <c r="G238" s="1" t="s">
        <v>14</v>
      </c>
      <c r="H238" s="1" t="s">
        <v>15</v>
      </c>
      <c r="I238" s="2">
        <v>24.29</v>
      </c>
    </row>
    <row r="239">
      <c r="A239" s="1" t="s">
        <v>866</v>
      </c>
      <c r="B239" s="1" t="s">
        <v>867</v>
      </c>
      <c r="C239" s="1" t="s">
        <v>10</v>
      </c>
      <c r="D239" s="1" t="s">
        <v>868</v>
      </c>
      <c r="E239" s="1" t="s">
        <v>397</v>
      </c>
      <c r="F239" s="1"/>
      <c r="G239" s="1" t="s">
        <v>14</v>
      </c>
      <c r="H239" s="1" t="s">
        <v>20</v>
      </c>
      <c r="I239" s="2">
        <v>19.38</v>
      </c>
    </row>
    <row r="240">
      <c r="A240" s="1" t="s">
        <v>869</v>
      </c>
      <c r="B240" s="1" t="s">
        <v>745</v>
      </c>
      <c r="C240" s="1" t="s">
        <v>870</v>
      </c>
      <c r="D240" s="1" t="s">
        <v>871</v>
      </c>
      <c r="E240" s="1" t="s">
        <v>397</v>
      </c>
      <c r="F240" s="1"/>
      <c r="G240" s="1" t="s">
        <v>14</v>
      </c>
      <c r="H240" s="1" t="s">
        <v>15</v>
      </c>
      <c r="I240" s="2">
        <v>18.12</v>
      </c>
    </row>
    <row r="241">
      <c r="A241" s="1" t="s">
        <v>872</v>
      </c>
      <c r="B241" s="1" t="s">
        <v>873</v>
      </c>
      <c r="C241" s="1" t="s">
        <v>874</v>
      </c>
      <c r="D241" s="1" t="s">
        <v>875</v>
      </c>
      <c r="E241" s="1" t="s">
        <v>397</v>
      </c>
      <c r="F241" s="1"/>
      <c r="G241" s="1" t="s">
        <v>14</v>
      </c>
      <c r="H241" s="1" t="s">
        <v>15</v>
      </c>
      <c r="I241" s="2">
        <v>23.97</v>
      </c>
    </row>
    <row r="242">
      <c r="A242" s="1" t="s">
        <v>876</v>
      </c>
      <c r="B242" s="1" t="s">
        <v>877</v>
      </c>
      <c r="C242" s="1" t="s">
        <v>878</v>
      </c>
      <c r="D242" s="1" t="s">
        <v>879</v>
      </c>
      <c r="E242" s="1" t="s">
        <v>397</v>
      </c>
      <c r="F242" s="1"/>
      <c r="G242" s="1" t="s">
        <v>14</v>
      </c>
      <c r="H242" s="1" t="s">
        <v>15</v>
      </c>
      <c r="I242" s="2">
        <v>18.65</v>
      </c>
    </row>
    <row r="243">
      <c r="A243" s="1" t="s">
        <v>880</v>
      </c>
      <c r="B243" s="1" t="s">
        <v>355</v>
      </c>
      <c r="C243" s="1" t="s">
        <v>881</v>
      </c>
      <c r="D243" s="1" t="s">
        <v>882</v>
      </c>
      <c r="E243" s="1" t="s">
        <v>397</v>
      </c>
      <c r="F243" s="1"/>
      <c r="G243" s="1" t="s">
        <v>14</v>
      </c>
      <c r="H243" s="1" t="s">
        <v>15</v>
      </c>
      <c r="I243" s="2">
        <v>23.56</v>
      </c>
    </row>
    <row r="244">
      <c r="A244" s="1" t="s">
        <v>883</v>
      </c>
      <c r="B244" s="1" t="s">
        <v>884</v>
      </c>
      <c r="C244" s="1" t="s">
        <v>885</v>
      </c>
      <c r="D244" s="1" t="s">
        <v>886</v>
      </c>
      <c r="E244" s="1" t="s">
        <v>397</v>
      </c>
      <c r="F244" s="1"/>
      <c r="G244" s="1" t="s">
        <v>14</v>
      </c>
      <c r="H244" s="1" t="s">
        <v>20</v>
      </c>
      <c r="I244" s="2">
        <v>25.44</v>
      </c>
    </row>
    <row r="245">
      <c r="A245" s="1" t="s">
        <v>887</v>
      </c>
      <c r="B245" s="1" t="s">
        <v>888</v>
      </c>
      <c r="C245" s="1" t="s">
        <v>560</v>
      </c>
      <c r="D245" s="1" t="s">
        <v>889</v>
      </c>
      <c r="E245" s="1" t="s">
        <v>397</v>
      </c>
      <c r="F245" s="1"/>
      <c r="G245" s="1" t="s">
        <v>14</v>
      </c>
      <c r="H245" s="1" t="s">
        <v>15</v>
      </c>
      <c r="I245" s="2">
        <v>21.7</v>
      </c>
    </row>
    <row r="246">
      <c r="A246" s="1" t="s">
        <v>890</v>
      </c>
      <c r="B246" s="1" t="s">
        <v>891</v>
      </c>
      <c r="C246" s="1" t="s">
        <v>892</v>
      </c>
      <c r="D246" s="1" t="s">
        <v>893</v>
      </c>
      <c r="E246" s="1" t="s">
        <v>397</v>
      </c>
      <c r="F246" s="1"/>
      <c r="G246" s="1" t="s">
        <v>205</v>
      </c>
      <c r="H246" s="1" t="s">
        <v>15</v>
      </c>
      <c r="I246" s="2">
        <v>24.24</v>
      </c>
    </row>
    <row r="247">
      <c r="A247" s="1" t="s">
        <v>894</v>
      </c>
      <c r="B247" s="1" t="s">
        <v>895</v>
      </c>
      <c r="C247" s="1" t="s">
        <v>896</v>
      </c>
      <c r="D247" s="1" t="s">
        <v>897</v>
      </c>
      <c r="E247" s="1" t="s">
        <v>397</v>
      </c>
      <c r="F247" s="1"/>
      <c r="G247" s="1" t="s">
        <v>14</v>
      </c>
      <c r="H247" s="1" t="s">
        <v>15</v>
      </c>
      <c r="I247" s="2">
        <v>21.99</v>
      </c>
    </row>
    <row r="248">
      <c r="A248" s="1" t="s">
        <v>898</v>
      </c>
      <c r="B248" s="1" t="s">
        <v>895</v>
      </c>
      <c r="C248" s="1" t="s">
        <v>896</v>
      </c>
      <c r="D248" s="1" t="s">
        <v>897</v>
      </c>
      <c r="E248" s="1" t="s">
        <v>397</v>
      </c>
      <c r="F248" s="1"/>
      <c r="G248" s="1" t="s">
        <v>14</v>
      </c>
      <c r="H248" s="1" t="s">
        <v>15</v>
      </c>
      <c r="I248" s="2">
        <v>21.01</v>
      </c>
    </row>
    <row r="249">
      <c r="A249" s="1" t="s">
        <v>899</v>
      </c>
      <c r="B249" s="1" t="s">
        <v>900</v>
      </c>
      <c r="C249" s="1" t="s">
        <v>901</v>
      </c>
      <c r="D249" s="1" t="s">
        <v>902</v>
      </c>
      <c r="E249" s="1" t="s">
        <v>397</v>
      </c>
      <c r="F249" s="1"/>
      <c r="G249" s="1" t="s">
        <v>14</v>
      </c>
      <c r="H249" s="1" t="s">
        <v>15</v>
      </c>
      <c r="I249" s="2">
        <v>22.71</v>
      </c>
    </row>
    <row r="250">
      <c r="A250" s="1" t="s">
        <v>903</v>
      </c>
      <c r="B250" s="1" t="s">
        <v>904</v>
      </c>
      <c r="C250" s="1" t="s">
        <v>253</v>
      </c>
      <c r="D250" s="1" t="s">
        <v>905</v>
      </c>
      <c r="E250" s="1" t="s">
        <v>397</v>
      </c>
      <c r="F250" s="1"/>
      <c r="G250" s="1" t="s">
        <v>85</v>
      </c>
      <c r="H250" s="1" t="s">
        <v>15</v>
      </c>
      <c r="I250" s="2">
        <v>20.42</v>
      </c>
    </row>
    <row r="251">
      <c r="A251" s="1" t="s">
        <v>906</v>
      </c>
      <c r="B251" s="1" t="s">
        <v>184</v>
      </c>
      <c r="C251" s="1" t="s">
        <v>907</v>
      </c>
      <c r="D251" s="1" t="s">
        <v>908</v>
      </c>
      <c r="E251" s="1" t="s">
        <v>397</v>
      </c>
      <c r="F251" s="1"/>
      <c r="G251" s="1" t="s">
        <v>14</v>
      </c>
      <c r="H251" s="1" t="s">
        <v>15</v>
      </c>
      <c r="I251" s="2">
        <v>20.7</v>
      </c>
    </row>
    <row r="252">
      <c r="A252" s="1" t="s">
        <v>909</v>
      </c>
      <c r="B252" s="1" t="s">
        <v>910</v>
      </c>
      <c r="C252" s="1" t="s">
        <v>911</v>
      </c>
      <c r="D252" s="1" t="s">
        <v>912</v>
      </c>
      <c r="E252" s="1" t="s">
        <v>397</v>
      </c>
      <c r="F252" s="1"/>
      <c r="G252" s="1" t="s">
        <v>14</v>
      </c>
      <c r="H252" s="1" t="s">
        <v>15</v>
      </c>
      <c r="I252" s="2">
        <v>24.47</v>
      </c>
    </row>
    <row r="253">
      <c r="A253" s="1" t="s">
        <v>913</v>
      </c>
      <c r="B253" s="1" t="s">
        <v>79</v>
      </c>
      <c r="C253" s="1" t="s">
        <v>914</v>
      </c>
      <c r="D253" s="1" t="s">
        <v>915</v>
      </c>
      <c r="E253" s="1" t="s">
        <v>397</v>
      </c>
      <c r="F253" s="1"/>
      <c r="G253" s="1" t="s">
        <v>14</v>
      </c>
      <c r="H253" s="1" t="s">
        <v>15</v>
      </c>
      <c r="I253" s="2">
        <v>32.11</v>
      </c>
    </row>
    <row r="254">
      <c r="A254" s="1" t="s">
        <v>916</v>
      </c>
      <c r="B254" s="1" t="s">
        <v>917</v>
      </c>
      <c r="C254" s="1" t="s">
        <v>918</v>
      </c>
      <c r="D254" s="1" t="s">
        <v>919</v>
      </c>
      <c r="E254" s="1" t="s">
        <v>397</v>
      </c>
      <c r="F254" s="1"/>
      <c r="G254" s="1" t="s">
        <v>14</v>
      </c>
      <c r="H254" s="1" t="s">
        <v>20</v>
      </c>
      <c r="I254" s="2">
        <v>22.34</v>
      </c>
    </row>
    <row r="255">
      <c r="A255" s="1" t="s">
        <v>920</v>
      </c>
      <c r="B255" s="1" t="s">
        <v>104</v>
      </c>
      <c r="C255" s="1" t="s">
        <v>730</v>
      </c>
      <c r="D255" s="1" t="s">
        <v>921</v>
      </c>
      <c r="E255" s="1" t="s">
        <v>397</v>
      </c>
      <c r="F255" s="1"/>
      <c r="G255" s="1" t="s">
        <v>922</v>
      </c>
      <c r="H255" s="1" t="s">
        <v>15</v>
      </c>
      <c r="I255" s="2">
        <v>33.25</v>
      </c>
    </row>
    <row r="256">
      <c r="A256" s="1" t="s">
        <v>923</v>
      </c>
      <c r="B256" s="1" t="s">
        <v>924</v>
      </c>
      <c r="C256" s="1" t="s">
        <v>925</v>
      </c>
      <c r="D256" s="1" t="s">
        <v>926</v>
      </c>
      <c r="E256" s="1" t="s">
        <v>397</v>
      </c>
      <c r="F256" s="1"/>
      <c r="G256" s="1" t="s">
        <v>14</v>
      </c>
      <c r="H256" s="1" t="s">
        <v>15</v>
      </c>
      <c r="I256" s="2">
        <v>22.55</v>
      </c>
    </row>
    <row r="257">
      <c r="A257" s="1" t="s">
        <v>927</v>
      </c>
      <c r="B257" s="1" t="s">
        <v>928</v>
      </c>
      <c r="C257" s="1" t="s">
        <v>560</v>
      </c>
      <c r="D257" s="1" t="s">
        <v>929</v>
      </c>
      <c r="E257" s="1" t="s">
        <v>397</v>
      </c>
      <c r="F257" s="1"/>
      <c r="G257" s="1" t="s">
        <v>14</v>
      </c>
      <c r="H257" s="1" t="s">
        <v>15</v>
      </c>
      <c r="I257" s="2">
        <v>20.68</v>
      </c>
    </row>
    <row r="258">
      <c r="A258" s="1" t="s">
        <v>930</v>
      </c>
      <c r="B258" s="1" t="s">
        <v>413</v>
      </c>
      <c r="C258" s="1" t="s">
        <v>931</v>
      </c>
      <c r="D258" s="1" t="s">
        <v>932</v>
      </c>
      <c r="E258" s="1" t="s">
        <v>397</v>
      </c>
      <c r="F258" s="1"/>
      <c r="G258" s="1" t="s">
        <v>14</v>
      </c>
      <c r="H258" s="1" t="s">
        <v>15</v>
      </c>
      <c r="I258" s="2">
        <v>24.37</v>
      </c>
    </row>
    <row r="259">
      <c r="A259" s="1" t="s">
        <v>933</v>
      </c>
      <c r="B259" s="1" t="s">
        <v>30</v>
      </c>
      <c r="C259" s="1" t="s">
        <v>934</v>
      </c>
      <c r="D259" s="1" t="s">
        <v>935</v>
      </c>
      <c r="E259" s="1" t="s">
        <v>397</v>
      </c>
      <c r="F259" s="1"/>
      <c r="G259" s="1" t="s">
        <v>14</v>
      </c>
      <c r="H259" s="1" t="s">
        <v>20</v>
      </c>
      <c r="I259" s="2">
        <v>19.9</v>
      </c>
    </row>
    <row r="260">
      <c r="A260" s="1" t="s">
        <v>936</v>
      </c>
      <c r="B260" s="1" t="s">
        <v>937</v>
      </c>
      <c r="C260" s="1" t="s">
        <v>938</v>
      </c>
      <c r="D260" s="1" t="s">
        <v>939</v>
      </c>
      <c r="E260" s="1" t="s">
        <v>397</v>
      </c>
      <c r="F260" s="1"/>
      <c r="G260" s="1" t="s">
        <v>14</v>
      </c>
      <c r="H260" s="1" t="s">
        <v>20</v>
      </c>
      <c r="I260" s="2">
        <v>21.72</v>
      </c>
    </row>
    <row r="261">
      <c r="A261" s="1" t="s">
        <v>940</v>
      </c>
      <c r="B261" s="1" t="s">
        <v>755</v>
      </c>
      <c r="C261" s="1" t="s">
        <v>941</v>
      </c>
      <c r="D261" s="1" t="s">
        <v>942</v>
      </c>
      <c r="E261" s="1" t="s">
        <v>397</v>
      </c>
      <c r="F261" s="1"/>
      <c r="G261" s="1" t="s">
        <v>14</v>
      </c>
      <c r="H261" s="1" t="s">
        <v>15</v>
      </c>
      <c r="I261" s="2">
        <v>24.74</v>
      </c>
    </row>
    <row r="262">
      <c r="A262" s="1" t="s">
        <v>943</v>
      </c>
      <c r="B262" s="1" t="s">
        <v>944</v>
      </c>
      <c r="C262" s="1" t="s">
        <v>945</v>
      </c>
      <c r="D262" s="3" t="s">
        <v>946</v>
      </c>
      <c r="E262" s="1" t="s">
        <v>397</v>
      </c>
      <c r="F262" s="1"/>
      <c r="G262" s="1" t="s">
        <v>14</v>
      </c>
      <c r="H262" s="1" t="s">
        <v>20</v>
      </c>
      <c r="I262" s="2">
        <v>21.02</v>
      </c>
    </row>
    <row r="263">
      <c r="A263" s="1" t="s">
        <v>947</v>
      </c>
      <c r="B263" s="1" t="s">
        <v>948</v>
      </c>
      <c r="C263" s="1" t="s">
        <v>305</v>
      </c>
      <c r="D263" s="1" t="s">
        <v>949</v>
      </c>
      <c r="E263" s="1" t="s">
        <v>397</v>
      </c>
      <c r="F263" s="1"/>
      <c r="G263" s="1" t="s">
        <v>14</v>
      </c>
      <c r="H263" s="1" t="s">
        <v>20</v>
      </c>
      <c r="I263" s="2">
        <v>20.8</v>
      </c>
    </row>
    <row r="264">
      <c r="A264" s="1" t="s">
        <v>950</v>
      </c>
      <c r="B264" s="1" t="s">
        <v>951</v>
      </c>
      <c r="C264" s="1" t="s">
        <v>952</v>
      </c>
      <c r="D264" s="1" t="s">
        <v>953</v>
      </c>
      <c r="E264" s="1" t="s">
        <v>397</v>
      </c>
      <c r="F264" s="1"/>
      <c r="G264" s="1" t="s">
        <v>14</v>
      </c>
      <c r="H264" s="1" t="s">
        <v>15</v>
      </c>
      <c r="I264" s="2">
        <v>22.55</v>
      </c>
    </row>
    <row r="265">
      <c r="A265" s="1" t="s">
        <v>954</v>
      </c>
      <c r="B265" s="1" t="s">
        <v>955</v>
      </c>
      <c r="C265" s="1" t="s">
        <v>891</v>
      </c>
      <c r="D265" s="1" t="s">
        <v>956</v>
      </c>
      <c r="E265" s="1" t="s">
        <v>397</v>
      </c>
      <c r="F265" s="1"/>
      <c r="G265" s="1" t="s">
        <v>14</v>
      </c>
      <c r="H265" s="1" t="s">
        <v>15</v>
      </c>
      <c r="I265" s="2">
        <v>21.48</v>
      </c>
    </row>
    <row r="266">
      <c r="A266" s="1" t="s">
        <v>957</v>
      </c>
      <c r="B266" s="1" t="s">
        <v>958</v>
      </c>
      <c r="C266" s="1" t="s">
        <v>959</v>
      </c>
      <c r="D266" s="1" t="s">
        <v>960</v>
      </c>
      <c r="E266" s="1" t="s">
        <v>397</v>
      </c>
      <c r="F266" s="1"/>
      <c r="G266" s="1" t="s">
        <v>14</v>
      </c>
      <c r="H266" s="1" t="s">
        <v>15</v>
      </c>
      <c r="I266" s="2">
        <v>23.67</v>
      </c>
    </row>
    <row r="267">
      <c r="A267" s="1" t="s">
        <v>961</v>
      </c>
      <c r="B267" s="1" t="s">
        <v>39</v>
      </c>
      <c r="C267" s="1" t="s">
        <v>962</v>
      </c>
      <c r="D267" s="1" t="s">
        <v>963</v>
      </c>
      <c r="E267" s="1" t="s">
        <v>397</v>
      </c>
      <c r="F267" s="1"/>
      <c r="G267" s="1" t="s">
        <v>14</v>
      </c>
      <c r="H267" s="1" t="s">
        <v>15</v>
      </c>
      <c r="I267" s="2">
        <v>19.43</v>
      </c>
    </row>
    <row r="268">
      <c r="A268" s="1" t="s">
        <v>964</v>
      </c>
      <c r="B268" s="1" t="s">
        <v>965</v>
      </c>
      <c r="C268" s="1" t="s">
        <v>253</v>
      </c>
      <c r="D268" s="1" t="s">
        <v>966</v>
      </c>
      <c r="E268" s="1" t="s">
        <v>397</v>
      </c>
      <c r="F268" s="1"/>
      <c r="G268" s="1" t="s">
        <v>14</v>
      </c>
      <c r="H268" s="1" t="s">
        <v>15</v>
      </c>
      <c r="I268" s="2">
        <v>26.01</v>
      </c>
    </row>
    <row r="269">
      <c r="A269" s="1" t="s">
        <v>967</v>
      </c>
      <c r="B269" s="1" t="s">
        <v>968</v>
      </c>
      <c r="C269" s="1" t="s">
        <v>366</v>
      </c>
      <c r="D269" s="1" t="s">
        <v>969</v>
      </c>
      <c r="E269" s="1" t="s">
        <v>397</v>
      </c>
      <c r="F269" s="1"/>
      <c r="G269" s="1" t="s">
        <v>14</v>
      </c>
      <c r="H269" s="1" t="s">
        <v>15</v>
      </c>
      <c r="I269" s="2">
        <v>20.79</v>
      </c>
    </row>
    <row r="270">
      <c r="A270" s="1" t="s">
        <v>970</v>
      </c>
      <c r="B270" s="1" t="s">
        <v>971</v>
      </c>
      <c r="C270" s="1" t="s">
        <v>79</v>
      </c>
      <c r="D270" s="1" t="s">
        <v>972</v>
      </c>
      <c r="E270" s="1" t="s">
        <v>397</v>
      </c>
      <c r="F270" s="1"/>
      <c r="G270" s="1" t="s">
        <v>130</v>
      </c>
      <c r="H270" s="1" t="s">
        <v>20</v>
      </c>
      <c r="I270" s="2">
        <v>19.95</v>
      </c>
    </row>
    <row r="271">
      <c r="A271" s="1" t="s">
        <v>973</v>
      </c>
      <c r="B271" s="1" t="s">
        <v>974</v>
      </c>
      <c r="C271" s="1" t="s">
        <v>730</v>
      </c>
      <c r="D271" s="3" t="s">
        <v>975</v>
      </c>
      <c r="E271" s="1" t="s">
        <v>397</v>
      </c>
      <c r="F271" s="1"/>
      <c r="G271" s="1" t="s">
        <v>14</v>
      </c>
      <c r="H271" s="1" t="s">
        <v>15</v>
      </c>
      <c r="I271" s="2">
        <v>27.64</v>
      </c>
    </row>
    <row r="272">
      <c r="A272" s="1" t="s">
        <v>976</v>
      </c>
      <c r="B272" s="1" t="s">
        <v>977</v>
      </c>
      <c r="C272" s="1" t="s">
        <v>978</v>
      </c>
      <c r="D272" s="1" t="s">
        <v>979</v>
      </c>
      <c r="E272" s="1" t="s">
        <v>397</v>
      </c>
      <c r="F272" s="1"/>
      <c r="G272" s="1" t="s">
        <v>14</v>
      </c>
      <c r="H272" s="1" t="s">
        <v>20</v>
      </c>
      <c r="I272" s="2">
        <v>23.17</v>
      </c>
    </row>
    <row r="273">
      <c r="A273" s="1" t="s">
        <v>980</v>
      </c>
      <c r="B273" s="1" t="s">
        <v>278</v>
      </c>
      <c r="C273" s="1" t="s">
        <v>981</v>
      </c>
      <c r="D273" s="1" t="s">
        <v>982</v>
      </c>
      <c r="E273" s="1" t="s">
        <v>397</v>
      </c>
      <c r="F273" s="1"/>
      <c r="G273" s="1" t="s">
        <v>14</v>
      </c>
      <c r="H273" s="1" t="s">
        <v>20</v>
      </c>
      <c r="I273" s="2">
        <v>24.74</v>
      </c>
    </row>
    <row r="274">
      <c r="A274" s="1" t="s">
        <v>983</v>
      </c>
      <c r="B274" s="1" t="s">
        <v>984</v>
      </c>
      <c r="C274" s="1" t="s">
        <v>896</v>
      </c>
      <c r="D274" s="1" t="s">
        <v>985</v>
      </c>
      <c r="E274" s="1" t="s">
        <v>397</v>
      </c>
      <c r="F274" s="1"/>
      <c r="G274" s="1" t="s">
        <v>14</v>
      </c>
      <c r="H274" s="1" t="s">
        <v>15</v>
      </c>
      <c r="I274" s="2">
        <v>18.79</v>
      </c>
    </row>
    <row r="275">
      <c r="A275" s="1" t="s">
        <v>986</v>
      </c>
      <c r="B275" s="1" t="s">
        <v>987</v>
      </c>
      <c r="C275" s="1" t="s">
        <v>988</v>
      </c>
      <c r="D275" s="1" t="s">
        <v>989</v>
      </c>
      <c r="E275" s="1" t="s">
        <v>397</v>
      </c>
      <c r="F275" s="1"/>
      <c r="G275" s="1" t="s">
        <v>14</v>
      </c>
      <c r="H275" s="1" t="s">
        <v>20</v>
      </c>
      <c r="I275" s="2">
        <v>19.7</v>
      </c>
    </row>
    <row r="276">
      <c r="A276" s="1" t="s">
        <v>990</v>
      </c>
      <c r="B276" s="1" t="s">
        <v>991</v>
      </c>
      <c r="C276" s="1" t="s">
        <v>992</v>
      </c>
      <c r="D276" s="1" t="s">
        <v>993</v>
      </c>
      <c r="E276" s="1" t="s">
        <v>397</v>
      </c>
      <c r="F276" s="1"/>
      <c r="G276" s="1" t="s">
        <v>14</v>
      </c>
      <c r="H276" s="1" t="s">
        <v>20</v>
      </c>
      <c r="I276" s="2">
        <v>21.34</v>
      </c>
    </row>
    <row r="277">
      <c r="A277" s="1" t="s">
        <v>994</v>
      </c>
      <c r="B277" s="1" t="s">
        <v>995</v>
      </c>
      <c r="C277" s="1" t="s">
        <v>996</v>
      </c>
      <c r="D277" s="1" t="s">
        <v>997</v>
      </c>
      <c r="E277" s="1" t="s">
        <v>397</v>
      </c>
      <c r="F277" s="1"/>
      <c r="G277" s="1" t="s">
        <v>14</v>
      </c>
      <c r="H277" s="1" t="s">
        <v>15</v>
      </c>
      <c r="I277" s="2">
        <v>22.17</v>
      </c>
    </row>
    <row r="278">
      <c r="A278" s="1" t="s">
        <v>998</v>
      </c>
      <c r="B278" s="1" t="s">
        <v>999</v>
      </c>
      <c r="C278" s="1" t="s">
        <v>1000</v>
      </c>
      <c r="D278" s="1" t="s">
        <v>1001</v>
      </c>
      <c r="E278" s="1" t="s">
        <v>397</v>
      </c>
      <c r="F278" s="1"/>
      <c r="G278" s="1" t="s">
        <v>14</v>
      </c>
      <c r="H278" s="1" t="s">
        <v>15</v>
      </c>
      <c r="I278" s="2">
        <v>20.82</v>
      </c>
    </row>
    <row r="279">
      <c r="A279" s="1" t="s">
        <v>1002</v>
      </c>
      <c r="B279" s="1" t="s">
        <v>1003</v>
      </c>
      <c r="C279" s="1" t="s">
        <v>1004</v>
      </c>
      <c r="D279" s="1" t="s">
        <v>1005</v>
      </c>
      <c r="E279" s="1" t="s">
        <v>397</v>
      </c>
      <c r="F279" s="1"/>
      <c r="G279" s="1" t="s">
        <v>14</v>
      </c>
      <c r="H279" s="1" t="s">
        <v>20</v>
      </c>
      <c r="I279" s="2">
        <v>21.28</v>
      </c>
    </row>
    <row r="280">
      <c r="A280" s="1" t="s">
        <v>1006</v>
      </c>
      <c r="B280" s="1" t="s">
        <v>230</v>
      </c>
      <c r="C280" s="1" t="s">
        <v>1007</v>
      </c>
      <c r="D280" s="1" t="s">
        <v>1008</v>
      </c>
      <c r="E280" s="1" t="s">
        <v>397</v>
      </c>
      <c r="F280" s="1"/>
      <c r="G280" s="1" t="s">
        <v>14</v>
      </c>
      <c r="H280" s="1" t="s">
        <v>15</v>
      </c>
      <c r="I280" s="2">
        <v>23.22</v>
      </c>
    </row>
    <row r="281">
      <c r="A281" s="1" t="s">
        <v>1009</v>
      </c>
      <c r="B281" s="1" t="s">
        <v>1010</v>
      </c>
      <c r="C281" s="1" t="s">
        <v>1011</v>
      </c>
      <c r="D281" s="1" t="s">
        <v>1012</v>
      </c>
      <c r="E281" s="1" t="s">
        <v>397</v>
      </c>
      <c r="F281" s="1"/>
      <c r="G281" s="1" t="s">
        <v>14</v>
      </c>
      <c r="H281" s="1" t="s">
        <v>15</v>
      </c>
      <c r="I281" s="2">
        <v>25.46</v>
      </c>
    </row>
    <row r="282">
      <c r="A282" s="1" t="s">
        <v>1013</v>
      </c>
      <c r="B282" s="1" t="s">
        <v>1014</v>
      </c>
      <c r="C282" s="1" t="s">
        <v>1015</v>
      </c>
      <c r="D282" s="1" t="s">
        <v>1016</v>
      </c>
      <c r="E282" s="1" t="s">
        <v>397</v>
      </c>
      <c r="F282" s="1"/>
      <c r="G282" s="1" t="s">
        <v>14</v>
      </c>
      <c r="H282" s="1" t="s">
        <v>15</v>
      </c>
      <c r="I282" s="2">
        <v>23.56</v>
      </c>
    </row>
    <row r="283">
      <c r="A283" s="1" t="s">
        <v>1017</v>
      </c>
      <c r="B283" s="1" t="s">
        <v>1018</v>
      </c>
      <c r="C283" s="1" t="s">
        <v>1019</v>
      </c>
      <c r="D283" s="1" t="s">
        <v>1020</v>
      </c>
      <c r="E283" s="1" t="s">
        <v>397</v>
      </c>
      <c r="F283" s="1"/>
      <c r="G283" s="1" t="s">
        <v>205</v>
      </c>
      <c r="H283" s="1" t="s">
        <v>15</v>
      </c>
      <c r="I283" s="2">
        <v>20.79</v>
      </c>
    </row>
    <row r="284">
      <c r="A284" s="1" t="s">
        <v>1021</v>
      </c>
      <c r="B284" s="1" t="s">
        <v>1022</v>
      </c>
      <c r="C284" s="1" t="s">
        <v>1023</v>
      </c>
      <c r="D284" s="1" t="s">
        <v>1024</v>
      </c>
      <c r="E284" s="1" t="s">
        <v>397</v>
      </c>
      <c r="F284" s="1"/>
      <c r="G284" s="1" t="s">
        <v>14</v>
      </c>
      <c r="H284" s="1" t="s">
        <v>15</v>
      </c>
      <c r="I284" s="2">
        <v>20.05</v>
      </c>
    </row>
    <row r="285">
      <c r="A285" s="1" t="s">
        <v>1025</v>
      </c>
      <c r="B285" s="1" t="s">
        <v>1026</v>
      </c>
      <c r="C285" s="1" t="s">
        <v>79</v>
      </c>
      <c r="D285" s="1" t="s">
        <v>1027</v>
      </c>
      <c r="E285" s="1" t="s">
        <v>397</v>
      </c>
      <c r="F285" s="1"/>
      <c r="G285" s="1" t="s">
        <v>205</v>
      </c>
      <c r="H285" s="1" t="s">
        <v>20</v>
      </c>
      <c r="I285" s="2">
        <v>23.85</v>
      </c>
    </row>
    <row r="286">
      <c r="A286" s="1" t="s">
        <v>1028</v>
      </c>
      <c r="B286" s="1" t="s">
        <v>1029</v>
      </c>
      <c r="C286" s="1" t="s">
        <v>1030</v>
      </c>
      <c r="D286" s="1" t="s">
        <v>1031</v>
      </c>
      <c r="E286" s="1" t="s">
        <v>397</v>
      </c>
      <c r="F286" s="1"/>
      <c r="G286" s="1" t="s">
        <v>14</v>
      </c>
      <c r="H286" s="1" t="s">
        <v>15</v>
      </c>
      <c r="I286" s="2">
        <v>19.08</v>
      </c>
    </row>
    <row r="287">
      <c r="A287" s="1" t="s">
        <v>1032</v>
      </c>
      <c r="B287" s="1" t="s">
        <v>987</v>
      </c>
      <c r="C287" s="1" t="s">
        <v>79</v>
      </c>
      <c r="D287" s="1" t="s">
        <v>1033</v>
      </c>
      <c r="E287" s="1" t="s">
        <v>397</v>
      </c>
      <c r="F287" s="1"/>
      <c r="G287" s="1" t="s">
        <v>130</v>
      </c>
      <c r="H287" s="1" t="s">
        <v>20</v>
      </c>
      <c r="I287" s="2">
        <v>19.95</v>
      </c>
    </row>
    <row r="288">
      <c r="A288" s="1" t="s">
        <v>1034</v>
      </c>
      <c r="B288" s="1" t="s">
        <v>1035</v>
      </c>
      <c r="C288" s="1" t="s">
        <v>1036</v>
      </c>
      <c r="D288" s="1" t="s">
        <v>1037</v>
      </c>
      <c r="E288" s="1" t="s">
        <v>397</v>
      </c>
      <c r="F288" s="1"/>
      <c r="G288" s="1" t="s">
        <v>14</v>
      </c>
      <c r="H288" s="1" t="s">
        <v>20</v>
      </c>
      <c r="I288" s="2">
        <v>33.35</v>
      </c>
    </row>
    <row r="289">
      <c r="A289" s="1" t="s">
        <v>1038</v>
      </c>
      <c r="B289" s="1" t="s">
        <v>214</v>
      </c>
      <c r="C289" s="1" t="s">
        <v>69</v>
      </c>
      <c r="D289" s="3" t="s">
        <v>1039</v>
      </c>
      <c r="E289" s="1" t="s">
        <v>397</v>
      </c>
      <c r="F289" s="1"/>
      <c r="G289" s="1" t="s">
        <v>14</v>
      </c>
      <c r="H289" s="1" t="s">
        <v>15</v>
      </c>
      <c r="I289" s="2">
        <v>21.0</v>
      </c>
    </row>
    <row r="290">
      <c r="A290" s="1" t="s">
        <v>1040</v>
      </c>
      <c r="B290" s="1" t="s">
        <v>1041</v>
      </c>
      <c r="C290" s="1" t="s">
        <v>439</v>
      </c>
      <c r="D290" s="1" t="s">
        <v>1042</v>
      </c>
      <c r="E290" s="1" t="s">
        <v>397</v>
      </c>
      <c r="F290" s="1"/>
      <c r="G290" s="1" t="s">
        <v>151</v>
      </c>
      <c r="H290" s="1" t="s">
        <v>15</v>
      </c>
      <c r="I290" s="2">
        <v>23.08</v>
      </c>
    </row>
    <row r="291">
      <c r="A291" s="1" t="s">
        <v>1043</v>
      </c>
      <c r="B291" s="1" t="s">
        <v>995</v>
      </c>
      <c r="C291" s="1" t="s">
        <v>1044</v>
      </c>
      <c r="D291" s="1" t="s">
        <v>1045</v>
      </c>
      <c r="E291" s="1" t="s">
        <v>397</v>
      </c>
      <c r="F291" s="1"/>
      <c r="G291" s="1" t="s">
        <v>14</v>
      </c>
      <c r="H291" s="1" t="s">
        <v>15</v>
      </c>
      <c r="I291" s="2">
        <v>19.68</v>
      </c>
    </row>
    <row r="292">
      <c r="A292" s="1" t="s">
        <v>1046</v>
      </c>
      <c r="B292" s="1" t="s">
        <v>1047</v>
      </c>
      <c r="C292" s="1" t="s">
        <v>1048</v>
      </c>
      <c r="D292" s="1" t="s">
        <v>1049</v>
      </c>
      <c r="E292" s="1" t="s">
        <v>397</v>
      </c>
      <c r="F292" s="1"/>
      <c r="G292" s="1" t="s">
        <v>14</v>
      </c>
      <c r="H292" s="1" t="s">
        <v>15</v>
      </c>
      <c r="I292" s="2">
        <v>18.96</v>
      </c>
    </row>
    <row r="293">
      <c r="A293" s="1" t="s">
        <v>1050</v>
      </c>
      <c r="B293" s="1" t="s">
        <v>1051</v>
      </c>
      <c r="C293" s="1" t="s">
        <v>1052</v>
      </c>
      <c r="D293" s="1" t="s">
        <v>1053</v>
      </c>
      <c r="E293" s="1" t="s">
        <v>397</v>
      </c>
      <c r="F293" s="1"/>
      <c r="G293" s="1" t="s">
        <v>14</v>
      </c>
      <c r="H293" s="1" t="s">
        <v>15</v>
      </c>
      <c r="I293" s="2">
        <v>23.22</v>
      </c>
    </row>
    <row r="294">
      <c r="A294" s="1" t="s">
        <v>1054</v>
      </c>
      <c r="B294" s="1" t="s">
        <v>1055</v>
      </c>
      <c r="C294" s="1" t="s">
        <v>1056</v>
      </c>
      <c r="D294" s="1" t="s">
        <v>1057</v>
      </c>
      <c r="E294" s="1" t="s">
        <v>397</v>
      </c>
      <c r="F294" s="1"/>
      <c r="G294" s="1" t="s">
        <v>1058</v>
      </c>
      <c r="H294" s="1" t="s">
        <v>20</v>
      </c>
      <c r="I294" s="2">
        <v>25.04</v>
      </c>
    </row>
    <row r="295">
      <c r="A295" s="1" t="s">
        <v>1059</v>
      </c>
      <c r="B295" s="1" t="s">
        <v>256</v>
      </c>
      <c r="C295" s="1" t="s">
        <v>283</v>
      </c>
      <c r="D295" s="1" t="s">
        <v>1060</v>
      </c>
      <c r="E295" s="1" t="s">
        <v>397</v>
      </c>
      <c r="F295" s="1"/>
      <c r="G295" s="1" t="s">
        <v>14</v>
      </c>
      <c r="H295" s="1" t="s">
        <v>15</v>
      </c>
      <c r="I295" s="2">
        <v>24.79</v>
      </c>
    </row>
    <row r="296">
      <c r="A296" s="1" t="s">
        <v>1061</v>
      </c>
      <c r="B296" s="1" t="s">
        <v>55</v>
      </c>
      <c r="C296" s="1" t="s">
        <v>1062</v>
      </c>
      <c r="D296" s="1" t="s">
        <v>57</v>
      </c>
      <c r="E296" s="1" t="s">
        <v>397</v>
      </c>
      <c r="F296" s="1"/>
      <c r="G296" s="1" t="s">
        <v>14</v>
      </c>
      <c r="H296" s="1" t="s">
        <v>15</v>
      </c>
      <c r="I296" s="2">
        <v>25.35</v>
      </c>
    </row>
    <row r="297">
      <c r="A297" s="1" t="s">
        <v>1063</v>
      </c>
      <c r="B297" s="1" t="s">
        <v>1064</v>
      </c>
      <c r="C297" s="1" t="s">
        <v>1065</v>
      </c>
      <c r="D297" s="1" t="s">
        <v>1066</v>
      </c>
      <c r="E297" s="1" t="s">
        <v>397</v>
      </c>
      <c r="F297" s="1"/>
      <c r="G297" s="1" t="s">
        <v>205</v>
      </c>
      <c r="H297" s="1" t="s">
        <v>15</v>
      </c>
      <c r="I297" s="2">
        <v>21.31</v>
      </c>
    </row>
    <row r="298">
      <c r="A298" s="1" t="s">
        <v>1067</v>
      </c>
      <c r="B298" s="1" t="s">
        <v>1068</v>
      </c>
      <c r="C298" s="1" t="s">
        <v>1069</v>
      </c>
      <c r="D298" s="1" t="s">
        <v>1070</v>
      </c>
      <c r="E298" s="1" t="s">
        <v>397</v>
      </c>
      <c r="F298" s="1"/>
      <c r="G298" s="1" t="s">
        <v>14</v>
      </c>
      <c r="H298" s="1" t="s">
        <v>15</v>
      </c>
      <c r="I298" s="2">
        <v>20.94</v>
      </c>
    </row>
    <row r="299">
      <c r="A299" s="1" t="s">
        <v>1071</v>
      </c>
      <c r="B299" s="1" t="s">
        <v>1072</v>
      </c>
      <c r="C299" s="1" t="s">
        <v>1073</v>
      </c>
      <c r="D299" s="1" t="s">
        <v>1074</v>
      </c>
      <c r="E299" s="1" t="s">
        <v>397</v>
      </c>
      <c r="F299" s="1"/>
      <c r="G299" s="1" t="s">
        <v>14</v>
      </c>
      <c r="H299" s="1" t="s">
        <v>20</v>
      </c>
      <c r="I299" s="2">
        <v>20.32</v>
      </c>
    </row>
    <row r="300">
      <c r="A300" s="1" t="s">
        <v>1075</v>
      </c>
      <c r="B300" s="1" t="s">
        <v>1076</v>
      </c>
      <c r="C300" s="1" t="s">
        <v>1076</v>
      </c>
      <c r="D300" s="1" t="s">
        <v>1077</v>
      </c>
      <c r="E300" s="1" t="s">
        <v>397</v>
      </c>
      <c r="F300" s="1"/>
      <c r="G300" s="1" t="s">
        <v>14</v>
      </c>
      <c r="H300" s="1" t="s">
        <v>20</v>
      </c>
      <c r="I300" s="2">
        <v>27.77</v>
      </c>
    </row>
    <row r="301">
      <c r="A301" s="1" t="s">
        <v>1078</v>
      </c>
      <c r="B301" s="1" t="s">
        <v>148</v>
      </c>
      <c r="C301" s="1" t="s">
        <v>1079</v>
      </c>
      <c r="D301" s="1" t="s">
        <v>1080</v>
      </c>
      <c r="E301" s="1" t="s">
        <v>397</v>
      </c>
      <c r="F301" s="1"/>
      <c r="G301" s="1" t="s">
        <v>14</v>
      </c>
      <c r="H301" s="1" t="s">
        <v>15</v>
      </c>
      <c r="I301" s="2">
        <v>30.08</v>
      </c>
    </row>
    <row r="302">
      <c r="A302" s="1" t="s">
        <v>1081</v>
      </c>
      <c r="B302" s="1" t="s">
        <v>192</v>
      </c>
      <c r="C302" s="1" t="s">
        <v>120</v>
      </c>
      <c r="D302" s="1" t="s">
        <v>1082</v>
      </c>
      <c r="E302" s="1" t="s">
        <v>397</v>
      </c>
      <c r="F302" s="1"/>
      <c r="G302" s="1" t="s">
        <v>14</v>
      </c>
      <c r="H302" s="1" t="s">
        <v>15</v>
      </c>
      <c r="I302" s="2">
        <v>28.16</v>
      </c>
    </row>
    <row r="303">
      <c r="A303" s="1" t="s">
        <v>1083</v>
      </c>
      <c r="B303" s="1" t="s">
        <v>1084</v>
      </c>
      <c r="C303" s="1" t="s">
        <v>1085</v>
      </c>
      <c r="D303" s="1" t="s">
        <v>1086</v>
      </c>
      <c r="E303" s="1" t="s">
        <v>397</v>
      </c>
      <c r="F303" s="1"/>
      <c r="G303" s="1" t="s">
        <v>14</v>
      </c>
      <c r="H303" s="1" t="s">
        <v>20</v>
      </c>
      <c r="I303" s="2">
        <v>21.11</v>
      </c>
    </row>
    <row r="304">
      <c r="A304" s="1" t="s">
        <v>1087</v>
      </c>
      <c r="B304" s="1" t="s">
        <v>1088</v>
      </c>
      <c r="C304" s="1" t="s">
        <v>1089</v>
      </c>
      <c r="D304" s="1" t="s">
        <v>1090</v>
      </c>
      <c r="E304" s="1" t="s">
        <v>397</v>
      </c>
      <c r="F304" s="1"/>
      <c r="G304" s="1" t="s">
        <v>14</v>
      </c>
      <c r="H304" s="1" t="s">
        <v>15</v>
      </c>
      <c r="I304" s="2">
        <v>29.57</v>
      </c>
    </row>
    <row r="305">
      <c r="A305" s="1" t="s">
        <v>1091</v>
      </c>
      <c r="B305" s="1" t="s">
        <v>420</v>
      </c>
      <c r="C305" s="1" t="s">
        <v>594</v>
      </c>
      <c r="D305" s="1" t="s">
        <v>1092</v>
      </c>
      <c r="E305" s="1" t="s">
        <v>397</v>
      </c>
      <c r="F305" s="1"/>
      <c r="G305" s="1" t="s">
        <v>14</v>
      </c>
      <c r="H305" s="1" t="s">
        <v>20</v>
      </c>
      <c r="I305" s="2">
        <v>20.89</v>
      </c>
    </row>
    <row r="306">
      <c r="A306" s="1" t="s">
        <v>1093</v>
      </c>
      <c r="B306" s="1" t="s">
        <v>1094</v>
      </c>
      <c r="C306" s="1" t="s">
        <v>1095</v>
      </c>
      <c r="D306" s="1" t="s">
        <v>1096</v>
      </c>
      <c r="E306" s="1" t="s">
        <v>397</v>
      </c>
      <c r="F306" s="1"/>
      <c r="G306" s="1" t="s">
        <v>14</v>
      </c>
      <c r="H306" s="1" t="s">
        <v>15</v>
      </c>
      <c r="I306" s="2">
        <v>26.03</v>
      </c>
    </row>
    <row r="307">
      <c r="A307" s="1" t="s">
        <v>1097</v>
      </c>
      <c r="B307" s="1" t="s">
        <v>1098</v>
      </c>
      <c r="C307" s="1" t="s">
        <v>1007</v>
      </c>
      <c r="D307" s="1" t="s">
        <v>1099</v>
      </c>
      <c r="E307" s="1" t="s">
        <v>397</v>
      </c>
      <c r="F307" s="1"/>
      <c r="G307" s="1" t="s">
        <v>14</v>
      </c>
      <c r="H307" s="1" t="s">
        <v>20</v>
      </c>
      <c r="I307" s="2">
        <v>24.24</v>
      </c>
    </row>
    <row r="308">
      <c r="A308" s="1" t="s">
        <v>1100</v>
      </c>
      <c r="B308" s="1" t="s">
        <v>1101</v>
      </c>
      <c r="C308" s="1" t="s">
        <v>1102</v>
      </c>
      <c r="D308" s="1" t="s">
        <v>1103</v>
      </c>
      <c r="E308" s="1" t="s">
        <v>397</v>
      </c>
      <c r="F308" s="1"/>
      <c r="G308" s="1" t="s">
        <v>14</v>
      </c>
      <c r="H308" s="1" t="s">
        <v>15</v>
      </c>
      <c r="I308" s="2">
        <v>21.53</v>
      </c>
    </row>
    <row r="309">
      <c r="A309" s="1" t="s">
        <v>1104</v>
      </c>
      <c r="B309" s="1" t="s">
        <v>1105</v>
      </c>
      <c r="C309" s="1" t="s">
        <v>1106</v>
      </c>
      <c r="D309" s="1" t="s">
        <v>1107</v>
      </c>
      <c r="E309" s="1" t="s">
        <v>397</v>
      </c>
      <c r="F309" s="1"/>
      <c r="G309" s="1" t="s">
        <v>14</v>
      </c>
      <c r="H309" s="1" t="s">
        <v>15</v>
      </c>
      <c r="I309" s="2">
        <v>20.12</v>
      </c>
    </row>
    <row r="310">
      <c r="A310" s="1" t="s">
        <v>1108</v>
      </c>
      <c r="B310" s="1" t="s">
        <v>1109</v>
      </c>
      <c r="C310" s="1" t="s">
        <v>1110</v>
      </c>
      <c r="D310" s="1" t="s">
        <v>1111</v>
      </c>
      <c r="E310" s="1" t="s">
        <v>397</v>
      </c>
      <c r="F310" s="1"/>
      <c r="G310" s="1" t="s">
        <v>14</v>
      </c>
      <c r="H310" s="1" t="s">
        <v>20</v>
      </c>
      <c r="I310" s="2">
        <v>20.32</v>
      </c>
    </row>
    <row r="311">
      <c r="A311" s="1" t="s">
        <v>1112</v>
      </c>
      <c r="B311" s="1" t="s">
        <v>1109</v>
      </c>
      <c r="C311" s="1" t="s">
        <v>1110</v>
      </c>
      <c r="D311" s="1" t="s">
        <v>1111</v>
      </c>
      <c r="E311" s="1" t="s">
        <v>397</v>
      </c>
      <c r="F311" s="1"/>
      <c r="G311" s="1" t="s">
        <v>14</v>
      </c>
      <c r="H311" s="1" t="s">
        <v>20</v>
      </c>
      <c r="I311" s="2">
        <v>20.32</v>
      </c>
    </row>
    <row r="312">
      <c r="A312" s="1" t="s">
        <v>1113</v>
      </c>
      <c r="B312" s="1" t="s">
        <v>1114</v>
      </c>
      <c r="C312" s="1" t="s">
        <v>1115</v>
      </c>
      <c r="D312" s="1" t="s">
        <v>1116</v>
      </c>
      <c r="E312" s="1" t="s">
        <v>397</v>
      </c>
      <c r="F312" s="1"/>
      <c r="G312" s="1" t="s">
        <v>205</v>
      </c>
      <c r="H312" s="1" t="s">
        <v>15</v>
      </c>
      <c r="I312" s="2">
        <v>30.62</v>
      </c>
    </row>
    <row r="313">
      <c r="A313" s="1" t="s">
        <v>1117</v>
      </c>
      <c r="B313" s="1" t="s">
        <v>1118</v>
      </c>
      <c r="C313" s="1" t="s">
        <v>1119</v>
      </c>
      <c r="D313" s="1" t="s">
        <v>1120</v>
      </c>
      <c r="E313" s="1" t="s">
        <v>397</v>
      </c>
      <c r="F313" s="1"/>
      <c r="G313" s="1" t="s">
        <v>14</v>
      </c>
      <c r="H313" s="1" t="s">
        <v>15</v>
      </c>
      <c r="I313" s="2">
        <v>21.75</v>
      </c>
    </row>
    <row r="314">
      <c r="A314" s="1" t="s">
        <v>1121</v>
      </c>
      <c r="B314" s="1" t="s">
        <v>1122</v>
      </c>
      <c r="C314" s="1" t="s">
        <v>1123</v>
      </c>
      <c r="D314" s="1" t="s">
        <v>1124</v>
      </c>
      <c r="E314" s="1" t="s">
        <v>397</v>
      </c>
      <c r="F314" s="1"/>
      <c r="G314" s="1" t="s">
        <v>14</v>
      </c>
      <c r="H314" s="1" t="s">
        <v>20</v>
      </c>
      <c r="I314" s="2">
        <v>20.44</v>
      </c>
    </row>
    <row r="315">
      <c r="A315" s="1" t="s">
        <v>1125</v>
      </c>
      <c r="B315" s="1" t="s">
        <v>1126</v>
      </c>
      <c r="C315" s="1" t="s">
        <v>616</v>
      </c>
      <c r="D315" s="1" t="s">
        <v>1127</v>
      </c>
      <c r="E315" s="1" t="s">
        <v>397</v>
      </c>
      <c r="F315" s="1"/>
      <c r="G315" s="1" t="s">
        <v>14</v>
      </c>
      <c r="H315" s="1" t="s">
        <v>20</v>
      </c>
      <c r="I315" s="2">
        <v>19.99</v>
      </c>
    </row>
    <row r="316">
      <c r="A316" s="1" t="s">
        <v>1128</v>
      </c>
      <c r="B316" s="1" t="s">
        <v>325</v>
      </c>
      <c r="C316" s="1" t="s">
        <v>1129</v>
      </c>
      <c r="D316" s="1" t="s">
        <v>1130</v>
      </c>
      <c r="E316" s="1" t="s">
        <v>397</v>
      </c>
      <c r="F316" s="1"/>
      <c r="G316" s="1" t="s">
        <v>14</v>
      </c>
      <c r="H316" s="1" t="s">
        <v>15</v>
      </c>
      <c r="I316" s="2">
        <v>21.54</v>
      </c>
    </row>
    <row r="317">
      <c r="A317" s="1" t="s">
        <v>1131</v>
      </c>
      <c r="B317" s="1" t="s">
        <v>1023</v>
      </c>
      <c r="C317" s="1" t="s">
        <v>1064</v>
      </c>
      <c r="D317" s="1" t="s">
        <v>1132</v>
      </c>
      <c r="E317" s="1" t="s">
        <v>397</v>
      </c>
      <c r="F317" s="1"/>
      <c r="G317" s="1" t="s">
        <v>14</v>
      </c>
      <c r="H317" s="1" t="s">
        <v>15</v>
      </c>
      <c r="I317" s="2">
        <v>21.5</v>
      </c>
    </row>
    <row r="318">
      <c r="A318" s="1" t="s">
        <v>1133</v>
      </c>
      <c r="B318" s="1" t="s">
        <v>850</v>
      </c>
      <c r="C318" s="1" t="s">
        <v>1134</v>
      </c>
      <c r="D318" s="1" t="s">
        <v>1135</v>
      </c>
      <c r="E318" s="1" t="s">
        <v>397</v>
      </c>
      <c r="F318" s="1"/>
      <c r="G318" s="1" t="s">
        <v>14</v>
      </c>
      <c r="H318" s="1" t="s">
        <v>20</v>
      </c>
      <c r="I318" s="2">
        <v>24.26</v>
      </c>
    </row>
    <row r="319">
      <c r="A319" s="1" t="s">
        <v>1136</v>
      </c>
      <c r="B319" s="1" t="s">
        <v>1137</v>
      </c>
      <c r="C319" s="1" t="s">
        <v>1138</v>
      </c>
      <c r="D319" s="1" t="s">
        <v>1139</v>
      </c>
      <c r="E319" s="1" t="s">
        <v>397</v>
      </c>
      <c r="F319" s="1"/>
      <c r="G319" s="1" t="s">
        <v>1058</v>
      </c>
      <c r="H319" s="1" t="s">
        <v>15</v>
      </c>
      <c r="I319" s="2">
        <v>21.95</v>
      </c>
    </row>
    <row r="320">
      <c r="A320" s="1" t="s">
        <v>1140</v>
      </c>
      <c r="B320" s="1" t="s">
        <v>1109</v>
      </c>
      <c r="C320" s="1" t="s">
        <v>346</v>
      </c>
      <c r="D320" s="1" t="s">
        <v>1141</v>
      </c>
      <c r="E320" s="1" t="s">
        <v>397</v>
      </c>
      <c r="F320" s="1"/>
      <c r="G320" s="1" t="s">
        <v>14</v>
      </c>
      <c r="H320" s="1" t="s">
        <v>20</v>
      </c>
      <c r="I320" s="2">
        <v>21.59</v>
      </c>
    </row>
    <row r="321">
      <c r="A321" s="1" t="s">
        <v>1142</v>
      </c>
      <c r="B321" s="1" t="s">
        <v>1143</v>
      </c>
      <c r="C321" s="1" t="s">
        <v>1144</v>
      </c>
      <c r="D321" s="1" t="s">
        <v>1145</v>
      </c>
      <c r="E321" s="1" t="s">
        <v>397</v>
      </c>
      <c r="F321" s="1"/>
      <c r="G321" s="1" t="s">
        <v>151</v>
      </c>
      <c r="H321" s="1" t="s">
        <v>15</v>
      </c>
      <c r="I321" s="2">
        <v>26.88</v>
      </c>
    </row>
    <row r="322">
      <c r="A322" s="1" t="s">
        <v>1146</v>
      </c>
      <c r="B322" s="1" t="s">
        <v>1122</v>
      </c>
      <c r="C322" s="1" t="s">
        <v>525</v>
      </c>
      <c r="D322" s="1" t="s">
        <v>1147</v>
      </c>
      <c r="E322" s="1" t="s">
        <v>397</v>
      </c>
      <c r="F322" s="1"/>
      <c r="G322" s="1" t="s">
        <v>14</v>
      </c>
      <c r="H322" s="1" t="s">
        <v>20</v>
      </c>
      <c r="I322" s="2">
        <v>21.03</v>
      </c>
    </row>
    <row r="323">
      <c r="A323" s="1" t="s">
        <v>1148</v>
      </c>
      <c r="B323" s="1" t="s">
        <v>1149</v>
      </c>
      <c r="C323" s="1" t="s">
        <v>819</v>
      </c>
      <c r="D323" s="1" t="s">
        <v>1150</v>
      </c>
      <c r="E323" s="1" t="s">
        <v>397</v>
      </c>
      <c r="F323" s="1"/>
      <c r="G323" s="1" t="s">
        <v>205</v>
      </c>
      <c r="H323" s="1" t="s">
        <v>15</v>
      </c>
      <c r="I323" s="2">
        <v>25.42</v>
      </c>
    </row>
    <row r="324">
      <c r="A324" s="1" t="s">
        <v>1151</v>
      </c>
      <c r="B324" s="1" t="s">
        <v>1152</v>
      </c>
      <c r="C324" s="1" t="s">
        <v>1153</v>
      </c>
      <c r="D324" s="1" t="s">
        <v>1154</v>
      </c>
      <c r="E324" s="1" t="s">
        <v>397</v>
      </c>
      <c r="F324" s="1"/>
      <c r="G324" s="1" t="s">
        <v>14</v>
      </c>
      <c r="H324" s="1" t="s">
        <v>15</v>
      </c>
      <c r="I324" s="2">
        <v>23.77</v>
      </c>
    </row>
    <row r="325">
      <c r="A325" s="1" t="s">
        <v>1155</v>
      </c>
      <c r="B325" s="1" t="s">
        <v>317</v>
      </c>
      <c r="C325" s="1" t="s">
        <v>1156</v>
      </c>
      <c r="D325" s="1" t="s">
        <v>1157</v>
      </c>
      <c r="E325" s="1" t="s">
        <v>397</v>
      </c>
      <c r="F325" s="1"/>
      <c r="G325" s="1" t="s">
        <v>14</v>
      </c>
      <c r="H325" s="1" t="s">
        <v>20</v>
      </c>
      <c r="I325" s="2">
        <v>25.08</v>
      </c>
    </row>
    <row r="326">
      <c r="A326" s="1" t="s">
        <v>1158</v>
      </c>
      <c r="B326" s="1" t="s">
        <v>1159</v>
      </c>
      <c r="C326" s="1" t="s">
        <v>10</v>
      </c>
      <c r="D326" s="3" t="s">
        <v>1160</v>
      </c>
      <c r="E326" s="1" t="s">
        <v>397</v>
      </c>
      <c r="F326" s="1"/>
      <c r="G326" s="1" t="s">
        <v>14</v>
      </c>
      <c r="H326" s="1" t="s">
        <v>15</v>
      </c>
      <c r="I326" s="2">
        <v>29.23</v>
      </c>
    </row>
    <row r="327">
      <c r="A327" s="1" t="s">
        <v>1161</v>
      </c>
      <c r="B327" s="1" t="s">
        <v>1162</v>
      </c>
      <c r="C327" s="1" t="s">
        <v>1163</v>
      </c>
      <c r="D327" s="1" t="s">
        <v>1164</v>
      </c>
      <c r="E327" s="1" t="s">
        <v>397</v>
      </c>
      <c r="F327" s="1"/>
      <c r="G327" s="1" t="s">
        <v>14</v>
      </c>
      <c r="H327" s="1" t="s">
        <v>15</v>
      </c>
      <c r="I327" s="2">
        <v>22.39</v>
      </c>
    </row>
    <row r="328">
      <c r="A328" s="1" t="s">
        <v>1165</v>
      </c>
      <c r="B328" s="1" t="s">
        <v>1166</v>
      </c>
      <c r="C328" s="1" t="s">
        <v>1167</v>
      </c>
      <c r="D328" s="1" t="s">
        <v>1168</v>
      </c>
      <c r="E328" s="1" t="s">
        <v>397</v>
      </c>
      <c r="F328" s="1"/>
      <c r="G328" s="1" t="s">
        <v>14</v>
      </c>
      <c r="H328" s="1" t="s">
        <v>15</v>
      </c>
      <c r="I328" s="2">
        <v>24.93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0"/>
  </cols>
  <sheetData>
    <row r="1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 t="s">
        <v>1169</v>
      </c>
      <c r="B2" s="1" t="s">
        <v>1170</v>
      </c>
      <c r="C2" s="1" t="s">
        <v>959</v>
      </c>
      <c r="D2" s="7">
        <f>+251900481207</f>
        <v>251900481207</v>
      </c>
      <c r="E2" s="1" t="s">
        <v>13</v>
      </c>
      <c r="F2" s="1"/>
      <c r="G2" s="1" t="s">
        <v>14</v>
      </c>
      <c r="H2" s="1" t="s">
        <v>20</v>
      </c>
      <c r="I2" s="2">
        <v>18.84</v>
      </c>
    </row>
    <row r="3">
      <c r="A3" s="1" t="s">
        <v>1171</v>
      </c>
      <c r="B3" s="1" t="s">
        <v>1172</v>
      </c>
      <c r="C3" s="1" t="s">
        <v>1173</v>
      </c>
      <c r="D3" s="7">
        <f>+251903567074</f>
        <v>251903567074</v>
      </c>
      <c r="E3" s="1" t="s">
        <v>13</v>
      </c>
      <c r="F3" s="1"/>
      <c r="G3" s="1" t="s">
        <v>14</v>
      </c>
      <c r="H3" s="1" t="s">
        <v>15</v>
      </c>
      <c r="I3" s="2">
        <v>18.02</v>
      </c>
    </row>
    <row r="4">
      <c r="A4" s="1" t="s">
        <v>1174</v>
      </c>
      <c r="B4" s="1" t="s">
        <v>22</v>
      </c>
      <c r="C4" s="1" t="s">
        <v>23</v>
      </c>
      <c r="D4" s="7">
        <f>+251910504252</f>
        <v>251910504252</v>
      </c>
      <c r="E4" s="1" t="s">
        <v>13</v>
      </c>
      <c r="F4" s="1"/>
      <c r="G4" s="1" t="s">
        <v>14</v>
      </c>
      <c r="H4" s="1" t="s">
        <v>15</v>
      </c>
      <c r="I4" s="2">
        <v>29.54</v>
      </c>
    </row>
    <row r="5">
      <c r="A5" s="1" t="s">
        <v>1175</v>
      </c>
      <c r="B5" s="1" t="s">
        <v>1176</v>
      </c>
      <c r="C5" s="1" t="s">
        <v>1177</v>
      </c>
      <c r="D5" s="7">
        <f>+251912901759</f>
        <v>251912901759</v>
      </c>
      <c r="E5" s="1" t="s">
        <v>13</v>
      </c>
      <c r="F5" s="1"/>
      <c r="G5" s="1" t="s">
        <v>14</v>
      </c>
      <c r="H5" s="1" t="s">
        <v>20</v>
      </c>
      <c r="I5" s="2">
        <v>20.54</v>
      </c>
    </row>
    <row r="6">
      <c r="A6" s="1" t="s">
        <v>1178</v>
      </c>
      <c r="B6" s="1" t="s">
        <v>1179</v>
      </c>
      <c r="C6" s="1" t="s">
        <v>1180</v>
      </c>
      <c r="D6" s="7">
        <f>+251913100761</f>
        <v>251913100761</v>
      </c>
      <c r="E6" s="1" t="s">
        <v>13</v>
      </c>
      <c r="F6" s="1"/>
      <c r="G6" s="1" t="s">
        <v>130</v>
      </c>
      <c r="H6" s="1" t="s">
        <v>15</v>
      </c>
      <c r="I6" s="2">
        <v>21.04</v>
      </c>
    </row>
    <row r="7">
      <c r="A7" s="1" t="s">
        <v>1181</v>
      </c>
      <c r="B7" s="1" t="s">
        <v>1182</v>
      </c>
      <c r="C7" s="1" t="s">
        <v>1183</v>
      </c>
      <c r="D7" s="7">
        <f>+251920759362</f>
        <v>251920759362</v>
      </c>
      <c r="E7" s="1" t="s">
        <v>13</v>
      </c>
      <c r="F7" s="1"/>
      <c r="G7" s="1" t="s">
        <v>14</v>
      </c>
      <c r="H7" s="1" t="s">
        <v>15</v>
      </c>
      <c r="I7" s="2">
        <v>28.38</v>
      </c>
    </row>
    <row r="8">
      <c r="A8" s="1" t="s">
        <v>621</v>
      </c>
      <c r="B8" s="1" t="s">
        <v>622</v>
      </c>
      <c r="C8" s="1" t="s">
        <v>623</v>
      </c>
      <c r="D8" s="7">
        <f>+251921016331</f>
        <v>251921016331</v>
      </c>
      <c r="E8" s="1" t="s">
        <v>13</v>
      </c>
      <c r="F8" s="1"/>
      <c r="G8" s="1" t="s">
        <v>14</v>
      </c>
      <c r="H8" s="1" t="s">
        <v>20</v>
      </c>
      <c r="I8" s="2">
        <v>25.73</v>
      </c>
    </row>
    <row r="9">
      <c r="A9" s="1" t="s">
        <v>1184</v>
      </c>
      <c r="B9" s="1" t="s">
        <v>104</v>
      </c>
      <c r="C9" s="1" t="s">
        <v>1185</v>
      </c>
      <c r="D9" s="7">
        <f>+251921694776</f>
        <v>251921694776</v>
      </c>
      <c r="E9" s="1" t="s">
        <v>13</v>
      </c>
      <c r="F9" s="1"/>
      <c r="G9" s="1" t="s">
        <v>14</v>
      </c>
      <c r="H9" s="1" t="s">
        <v>15</v>
      </c>
      <c r="I9" s="2">
        <v>27.57</v>
      </c>
    </row>
    <row r="10">
      <c r="A10" s="1" t="s">
        <v>1186</v>
      </c>
      <c r="B10" s="1" t="s">
        <v>1187</v>
      </c>
      <c r="C10" s="1" t="s">
        <v>1188</v>
      </c>
      <c r="D10" s="7">
        <f>+251923289881</f>
        <v>251923289881</v>
      </c>
      <c r="E10" s="1" t="s">
        <v>13</v>
      </c>
      <c r="F10" s="1"/>
      <c r="G10" s="1" t="s">
        <v>14</v>
      </c>
      <c r="H10" s="1" t="s">
        <v>15</v>
      </c>
      <c r="I10" s="2">
        <v>25.13</v>
      </c>
    </row>
    <row r="11">
      <c r="A11" s="1" t="s">
        <v>1189</v>
      </c>
      <c r="B11" s="1" t="s">
        <v>172</v>
      </c>
      <c r="C11" s="1" t="s">
        <v>173</v>
      </c>
      <c r="D11" s="8">
        <v>2.51929121471E11</v>
      </c>
      <c r="E11" s="1" t="s">
        <v>13</v>
      </c>
      <c r="F11" s="1"/>
      <c r="G11" s="1" t="s">
        <v>14</v>
      </c>
      <c r="H11" s="1" t="s">
        <v>15</v>
      </c>
      <c r="I11" s="2">
        <v>20.55</v>
      </c>
    </row>
    <row r="12">
      <c r="A12" s="1" t="s">
        <v>1190</v>
      </c>
      <c r="B12" s="1" t="s">
        <v>1191</v>
      </c>
      <c r="C12" s="1" t="s">
        <v>1192</v>
      </c>
      <c r="D12" s="7">
        <f>+251939949908</f>
        <v>251939949908</v>
      </c>
      <c r="E12" s="1" t="s">
        <v>13</v>
      </c>
      <c r="F12" s="1"/>
      <c r="G12" s="1" t="s">
        <v>14</v>
      </c>
      <c r="H12" s="1" t="s">
        <v>15</v>
      </c>
      <c r="I12" s="2">
        <v>26.42</v>
      </c>
    </row>
    <row r="13">
      <c r="A13" s="1" t="s">
        <v>1193</v>
      </c>
      <c r="B13" s="1" t="s">
        <v>337</v>
      </c>
      <c r="C13" s="1" t="s">
        <v>1194</v>
      </c>
      <c r="D13" s="7">
        <f>+251962945025</f>
        <v>251962945025</v>
      </c>
      <c r="E13" s="1" t="s">
        <v>13</v>
      </c>
      <c r="F13" s="1"/>
      <c r="G13" s="1" t="s">
        <v>14</v>
      </c>
      <c r="H13" s="1" t="s">
        <v>15</v>
      </c>
      <c r="I13" s="2">
        <v>22.35</v>
      </c>
    </row>
    <row r="14">
      <c r="A14" s="1" t="s">
        <v>1195</v>
      </c>
      <c r="B14" s="1" t="s">
        <v>1196</v>
      </c>
      <c r="C14" s="1" t="s">
        <v>1197</v>
      </c>
      <c r="D14" s="7">
        <f>+251967727865</f>
        <v>251967727865</v>
      </c>
      <c r="E14" s="1" t="s">
        <v>13</v>
      </c>
      <c r="F14" s="1"/>
      <c r="G14" s="1" t="s">
        <v>14</v>
      </c>
      <c r="H14" s="1" t="s">
        <v>15</v>
      </c>
      <c r="I14" s="2">
        <v>20.68</v>
      </c>
    </row>
    <row r="15">
      <c r="A15" s="1" t="s">
        <v>1198</v>
      </c>
      <c r="B15" s="1" t="s">
        <v>1199</v>
      </c>
      <c r="C15" s="1" t="s">
        <v>1200</v>
      </c>
      <c r="D15" s="7">
        <f>+251970793273</f>
        <v>251970793273</v>
      </c>
      <c r="E15" s="1" t="s">
        <v>13</v>
      </c>
      <c r="F15" s="1"/>
      <c r="G15" s="1" t="s">
        <v>14</v>
      </c>
      <c r="H15" s="1" t="s">
        <v>15</v>
      </c>
      <c r="I15" s="2">
        <v>23.01</v>
      </c>
    </row>
    <row r="16">
      <c r="A16" s="1" t="s">
        <v>1201</v>
      </c>
      <c r="B16" s="1" t="s">
        <v>1202</v>
      </c>
      <c r="C16" s="1" t="s">
        <v>1203</v>
      </c>
      <c r="D16" s="7">
        <f>+251973046345</f>
        <v>251973046345</v>
      </c>
      <c r="E16" s="1" t="s">
        <v>13</v>
      </c>
      <c r="F16" s="1"/>
      <c r="G16" s="1" t="s">
        <v>14</v>
      </c>
      <c r="H16" s="1" t="s">
        <v>15</v>
      </c>
      <c r="I16" s="2">
        <v>29.97</v>
      </c>
    </row>
    <row r="17">
      <c r="A17" s="1" t="s">
        <v>1204</v>
      </c>
      <c r="B17" s="1" t="s">
        <v>827</v>
      </c>
      <c r="C17" s="1" t="s">
        <v>1205</v>
      </c>
      <c r="D17" s="7">
        <f>+251975698266</f>
        <v>251975698266</v>
      </c>
      <c r="E17" s="1" t="s">
        <v>13</v>
      </c>
      <c r="F17" s="1"/>
      <c r="G17" s="1" t="s">
        <v>14</v>
      </c>
      <c r="H17" s="1" t="s">
        <v>15</v>
      </c>
      <c r="I17" s="2">
        <v>23.83</v>
      </c>
    </row>
    <row r="18">
      <c r="A18" s="1" t="s">
        <v>1206</v>
      </c>
      <c r="B18" s="1" t="s">
        <v>1207</v>
      </c>
      <c r="C18" s="1" t="s">
        <v>1208</v>
      </c>
      <c r="D18" s="7">
        <f>+251990630270</f>
        <v>251990630270</v>
      </c>
      <c r="E18" s="1" t="s">
        <v>13</v>
      </c>
      <c r="F18" s="1"/>
      <c r="G18" s="1" t="s">
        <v>14</v>
      </c>
      <c r="H18" s="1" t="s">
        <v>20</v>
      </c>
      <c r="I18" s="2">
        <v>18.32</v>
      </c>
    </row>
    <row r="19">
      <c r="A19" s="1" t="s">
        <v>1209</v>
      </c>
      <c r="B19" s="1" t="s">
        <v>864</v>
      </c>
      <c r="C19" s="1" t="s">
        <v>1210</v>
      </c>
      <c r="D19" s="7">
        <f>+251994433925</f>
        <v>251994433925</v>
      </c>
      <c r="E19" s="1" t="s">
        <v>13</v>
      </c>
      <c r="F19" s="1"/>
      <c r="G19" s="1" t="s">
        <v>14</v>
      </c>
      <c r="H19" s="1" t="s">
        <v>15</v>
      </c>
      <c r="I19" s="2">
        <v>27.63</v>
      </c>
    </row>
    <row r="20">
      <c r="A20" s="1" t="s">
        <v>1211</v>
      </c>
      <c r="B20" s="1" t="s">
        <v>1212</v>
      </c>
      <c r="C20" s="1" t="s">
        <v>1213</v>
      </c>
      <c r="D20" s="8">
        <v>2.51945463767E12</v>
      </c>
      <c r="E20" s="1" t="s">
        <v>13</v>
      </c>
      <c r="F20" s="1"/>
      <c r="G20" s="1" t="s">
        <v>151</v>
      </c>
      <c r="H20" s="1" t="s">
        <v>20</v>
      </c>
      <c r="I20" s="2">
        <v>29.35</v>
      </c>
    </row>
    <row r="21">
      <c r="A21" s="1" t="s">
        <v>1214</v>
      </c>
      <c r="B21" s="1" t="s">
        <v>97</v>
      </c>
      <c r="C21" s="1" t="s">
        <v>1215</v>
      </c>
      <c r="D21" s="7">
        <f>+251701554200</f>
        <v>251701554200</v>
      </c>
      <c r="E21" s="1" t="s">
        <v>66</v>
      </c>
      <c r="F21" s="1" t="s">
        <v>76</v>
      </c>
      <c r="G21" s="1" t="s">
        <v>14</v>
      </c>
      <c r="H21" s="1" t="s">
        <v>15</v>
      </c>
      <c r="I21" s="2">
        <v>24.82</v>
      </c>
    </row>
    <row r="22">
      <c r="A22" s="1" t="s">
        <v>1216</v>
      </c>
      <c r="B22" s="1" t="s">
        <v>1217</v>
      </c>
      <c r="C22" s="1" t="s">
        <v>1218</v>
      </c>
      <c r="D22" s="7">
        <f>+251712279344</f>
        <v>251712279344</v>
      </c>
      <c r="E22" s="1" t="s">
        <v>66</v>
      </c>
      <c r="F22" s="1" t="s">
        <v>67</v>
      </c>
      <c r="G22" s="1" t="s">
        <v>1219</v>
      </c>
      <c r="H22" s="1" t="s">
        <v>15</v>
      </c>
      <c r="I22" s="2">
        <v>20.7</v>
      </c>
    </row>
    <row r="23">
      <c r="A23" s="4" t="s">
        <v>1220</v>
      </c>
      <c r="B23" s="4" t="s">
        <v>850</v>
      </c>
      <c r="C23" s="4" t="s">
        <v>1221</v>
      </c>
      <c r="D23" s="9">
        <f>+251791693564</f>
        <v>251791693564</v>
      </c>
      <c r="E23" s="4" t="s">
        <v>66</v>
      </c>
      <c r="F23" s="4" t="s">
        <v>67</v>
      </c>
      <c r="G23" s="4" t="s">
        <v>14</v>
      </c>
      <c r="H23" s="4" t="s">
        <v>20</v>
      </c>
      <c r="I23" s="5">
        <v>26.56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" t="s">
        <v>1222</v>
      </c>
      <c r="B24" s="1" t="s">
        <v>1223</v>
      </c>
      <c r="C24" s="1" t="s">
        <v>1224</v>
      </c>
      <c r="D24" s="7">
        <f>+251900652515</f>
        <v>251900652515</v>
      </c>
      <c r="E24" s="1" t="s">
        <v>66</v>
      </c>
      <c r="F24" s="1" t="s">
        <v>129</v>
      </c>
      <c r="G24" s="1" t="s">
        <v>14</v>
      </c>
      <c r="H24" s="1" t="s">
        <v>15</v>
      </c>
      <c r="I24" s="2">
        <v>29.42</v>
      </c>
    </row>
    <row r="25">
      <c r="A25" s="1" t="s">
        <v>1225</v>
      </c>
      <c r="B25" s="1" t="s">
        <v>1226</v>
      </c>
      <c r="C25" s="1" t="s">
        <v>487</v>
      </c>
      <c r="D25" s="7">
        <f>+251900758742</f>
        <v>251900758742</v>
      </c>
      <c r="E25" s="1" t="s">
        <v>66</v>
      </c>
      <c r="F25" s="1" t="s">
        <v>67</v>
      </c>
      <c r="G25" s="1" t="s">
        <v>14</v>
      </c>
      <c r="H25" s="1" t="s">
        <v>15</v>
      </c>
      <c r="I25" s="2">
        <v>22.9</v>
      </c>
    </row>
    <row r="26">
      <c r="A26" s="1" t="s">
        <v>1227</v>
      </c>
      <c r="B26" s="1" t="s">
        <v>229</v>
      </c>
      <c r="C26" s="1" t="s">
        <v>1228</v>
      </c>
      <c r="D26" s="7">
        <f>+251902472056</f>
        <v>251902472056</v>
      </c>
      <c r="E26" s="1" t="s">
        <v>66</v>
      </c>
      <c r="F26" s="1" t="s">
        <v>76</v>
      </c>
      <c r="G26" s="1" t="s">
        <v>14</v>
      </c>
      <c r="H26" s="1" t="s">
        <v>15</v>
      </c>
      <c r="I26" s="2">
        <v>24.23</v>
      </c>
    </row>
    <row r="27">
      <c r="A27" s="1" t="s">
        <v>1229</v>
      </c>
      <c r="B27" s="1" t="s">
        <v>944</v>
      </c>
      <c r="C27" s="1" t="s">
        <v>1230</v>
      </c>
      <c r="D27" s="7">
        <f>+251902670088</f>
        <v>251902670088</v>
      </c>
      <c r="E27" s="1" t="s">
        <v>66</v>
      </c>
      <c r="F27" s="1" t="s">
        <v>129</v>
      </c>
      <c r="G27" s="1" t="s">
        <v>14</v>
      </c>
      <c r="H27" s="1" t="s">
        <v>20</v>
      </c>
      <c r="I27" s="2">
        <v>22.78</v>
      </c>
    </row>
    <row r="28">
      <c r="A28" s="1" t="s">
        <v>1231</v>
      </c>
      <c r="B28" s="1" t="s">
        <v>1232</v>
      </c>
      <c r="C28" s="1" t="s">
        <v>230</v>
      </c>
      <c r="D28" s="7">
        <f>+251902884540</f>
        <v>251902884540</v>
      </c>
      <c r="E28" s="1" t="s">
        <v>66</v>
      </c>
      <c r="F28" s="1" t="s">
        <v>67</v>
      </c>
      <c r="G28" s="1" t="s">
        <v>14</v>
      </c>
      <c r="H28" s="1" t="s">
        <v>15</v>
      </c>
      <c r="I28" s="2">
        <v>20.55</v>
      </c>
    </row>
    <row r="29">
      <c r="A29" s="1" t="s">
        <v>1233</v>
      </c>
      <c r="B29" s="1" t="s">
        <v>1234</v>
      </c>
      <c r="C29" s="1" t="s">
        <v>487</v>
      </c>
      <c r="D29" s="7">
        <f>+251904359836</f>
        <v>251904359836</v>
      </c>
      <c r="E29" s="1" t="s">
        <v>66</v>
      </c>
      <c r="F29" s="1" t="s">
        <v>76</v>
      </c>
      <c r="G29" s="1" t="s">
        <v>14</v>
      </c>
      <c r="H29" s="1" t="s">
        <v>15</v>
      </c>
      <c r="I29" s="2">
        <v>23.15</v>
      </c>
    </row>
    <row r="30">
      <c r="A30" s="1" t="s">
        <v>1235</v>
      </c>
      <c r="B30" s="1" t="s">
        <v>59</v>
      </c>
      <c r="C30" s="1" t="s">
        <v>69</v>
      </c>
      <c r="D30" s="7">
        <f>+251907994254</f>
        <v>251907994254</v>
      </c>
      <c r="E30" s="1" t="s">
        <v>66</v>
      </c>
      <c r="F30" s="1" t="s">
        <v>67</v>
      </c>
      <c r="G30" s="1" t="s">
        <v>14</v>
      </c>
      <c r="H30" s="1" t="s">
        <v>15</v>
      </c>
      <c r="I30" s="2">
        <v>13.38</v>
      </c>
    </row>
    <row r="31">
      <c r="A31" s="1" t="s">
        <v>1236</v>
      </c>
      <c r="B31" s="1" t="s">
        <v>895</v>
      </c>
      <c r="C31" s="1" t="s">
        <v>720</v>
      </c>
      <c r="D31" s="7">
        <f>+251909267912</f>
        <v>251909267912</v>
      </c>
      <c r="E31" s="1" t="s">
        <v>66</v>
      </c>
      <c r="F31" s="1" t="s">
        <v>129</v>
      </c>
      <c r="G31" s="1" t="s">
        <v>1237</v>
      </c>
      <c r="H31" s="1" t="s">
        <v>15</v>
      </c>
      <c r="I31" s="2">
        <v>25.35</v>
      </c>
    </row>
    <row r="32">
      <c r="A32" s="1" t="s">
        <v>1238</v>
      </c>
      <c r="B32" s="1" t="s">
        <v>1239</v>
      </c>
      <c r="C32" s="1" t="s">
        <v>1240</v>
      </c>
      <c r="D32" s="8">
        <v>2.51910222238E11</v>
      </c>
      <c r="E32" s="1" t="s">
        <v>66</v>
      </c>
      <c r="F32" s="1" t="s">
        <v>200</v>
      </c>
      <c r="G32" s="1" t="s">
        <v>14</v>
      </c>
      <c r="H32" s="1" t="s">
        <v>15</v>
      </c>
      <c r="I32" s="2">
        <v>19.78</v>
      </c>
    </row>
    <row r="33">
      <c r="A33" s="1" t="s">
        <v>1241</v>
      </c>
      <c r="B33" s="1" t="s">
        <v>850</v>
      </c>
      <c r="C33" s="1" t="s">
        <v>1242</v>
      </c>
      <c r="D33" s="7">
        <f>+251911626334</f>
        <v>251911626334</v>
      </c>
      <c r="E33" s="1" t="s">
        <v>66</v>
      </c>
      <c r="F33" s="1" t="s">
        <v>90</v>
      </c>
      <c r="G33" s="1" t="s">
        <v>14</v>
      </c>
      <c r="H33" s="1" t="s">
        <v>20</v>
      </c>
      <c r="I33" s="2">
        <v>21.38</v>
      </c>
    </row>
    <row r="34">
      <c r="A34" s="1" t="s">
        <v>1243</v>
      </c>
      <c r="B34" s="1" t="s">
        <v>1244</v>
      </c>
      <c r="C34" s="1" t="s">
        <v>161</v>
      </c>
      <c r="D34" s="7">
        <f>+251912406308</f>
        <v>251912406308</v>
      </c>
      <c r="E34" s="1" t="s">
        <v>66</v>
      </c>
      <c r="F34" s="1" t="s">
        <v>67</v>
      </c>
      <c r="G34" s="1" t="s">
        <v>14</v>
      </c>
      <c r="H34" s="1" t="s">
        <v>20</v>
      </c>
      <c r="I34" s="2">
        <v>26.18</v>
      </c>
    </row>
    <row r="35">
      <c r="A35" s="1" t="s">
        <v>1245</v>
      </c>
      <c r="B35" s="1" t="s">
        <v>1246</v>
      </c>
      <c r="C35" s="1" t="s">
        <v>1247</v>
      </c>
      <c r="D35" s="7">
        <f>+251912649998</f>
        <v>251912649998</v>
      </c>
      <c r="E35" s="1" t="s">
        <v>66</v>
      </c>
      <c r="F35" s="1" t="s">
        <v>76</v>
      </c>
      <c r="G35" s="1" t="s">
        <v>14</v>
      </c>
      <c r="H35" s="1" t="s">
        <v>20</v>
      </c>
      <c r="I35" s="2">
        <v>20.62</v>
      </c>
    </row>
    <row r="36">
      <c r="A36" s="1" t="s">
        <v>1248</v>
      </c>
      <c r="B36" s="1" t="s">
        <v>962</v>
      </c>
      <c r="C36" s="1" t="s">
        <v>1249</v>
      </c>
      <c r="D36" s="7">
        <f>+251912965398</f>
        <v>251912965398</v>
      </c>
      <c r="E36" s="1" t="s">
        <v>66</v>
      </c>
      <c r="F36" s="1" t="s">
        <v>67</v>
      </c>
      <c r="G36" s="1" t="s">
        <v>14</v>
      </c>
      <c r="H36" s="1" t="s">
        <v>15</v>
      </c>
      <c r="I36" s="2">
        <v>23.8</v>
      </c>
    </row>
    <row r="37">
      <c r="A37" s="1" t="s">
        <v>1250</v>
      </c>
      <c r="B37" s="1" t="s">
        <v>1251</v>
      </c>
      <c r="C37" s="1" t="s">
        <v>1252</v>
      </c>
      <c r="D37" s="7">
        <f>+251913819625</f>
        <v>251913819625</v>
      </c>
      <c r="E37" s="1" t="s">
        <v>66</v>
      </c>
      <c r="F37" s="1" t="s">
        <v>67</v>
      </c>
      <c r="G37" s="1" t="s">
        <v>14</v>
      </c>
      <c r="H37" s="1" t="s">
        <v>20</v>
      </c>
      <c r="I37" s="2">
        <v>21.19</v>
      </c>
    </row>
    <row r="38">
      <c r="A38" s="1" t="s">
        <v>1253</v>
      </c>
      <c r="B38" s="1" t="s">
        <v>1254</v>
      </c>
      <c r="C38" s="1" t="s">
        <v>560</v>
      </c>
      <c r="D38" s="7">
        <f>+251913862531</f>
        <v>251913862531</v>
      </c>
      <c r="E38" s="1" t="s">
        <v>66</v>
      </c>
      <c r="F38" s="1" t="s">
        <v>71</v>
      </c>
      <c r="G38" s="1" t="s">
        <v>14</v>
      </c>
      <c r="H38" s="1" t="s">
        <v>15</v>
      </c>
      <c r="I38" s="2">
        <v>31.43</v>
      </c>
    </row>
    <row r="39">
      <c r="A39" s="1" t="s">
        <v>1255</v>
      </c>
      <c r="B39" s="1" t="s">
        <v>1256</v>
      </c>
      <c r="C39" s="1" t="s">
        <v>267</v>
      </c>
      <c r="D39" s="7">
        <f>+251914678082</f>
        <v>251914678082</v>
      </c>
      <c r="E39" s="1" t="s">
        <v>66</v>
      </c>
      <c r="F39" s="1" t="s">
        <v>200</v>
      </c>
      <c r="G39" s="1" t="s">
        <v>14</v>
      </c>
      <c r="H39" s="1" t="s">
        <v>15</v>
      </c>
      <c r="I39" s="2">
        <v>30.6</v>
      </c>
    </row>
    <row r="40">
      <c r="A40" s="1" t="s">
        <v>1257</v>
      </c>
      <c r="B40" s="1" t="s">
        <v>1258</v>
      </c>
      <c r="C40" s="1" t="s">
        <v>1259</v>
      </c>
      <c r="D40" s="7">
        <f>+251917552761</f>
        <v>251917552761</v>
      </c>
      <c r="E40" s="1" t="s">
        <v>66</v>
      </c>
      <c r="F40" s="1" t="s">
        <v>67</v>
      </c>
      <c r="G40" s="1" t="s">
        <v>14</v>
      </c>
      <c r="H40" s="1" t="s">
        <v>15</v>
      </c>
      <c r="I40" s="2">
        <v>24.9</v>
      </c>
    </row>
    <row r="41">
      <c r="A41" s="1" t="s">
        <v>1260</v>
      </c>
      <c r="B41" s="1" t="s">
        <v>1261</v>
      </c>
      <c r="C41" s="1" t="s">
        <v>1262</v>
      </c>
      <c r="D41" s="7">
        <f>+251919175029</f>
        <v>251919175029</v>
      </c>
      <c r="E41" s="1" t="s">
        <v>66</v>
      </c>
      <c r="F41" s="1" t="s">
        <v>67</v>
      </c>
      <c r="G41" s="1" t="s">
        <v>14</v>
      </c>
      <c r="H41" s="1" t="s">
        <v>15</v>
      </c>
      <c r="I41" s="2">
        <v>13.13</v>
      </c>
    </row>
    <row r="42">
      <c r="A42" s="1" t="s">
        <v>143</v>
      </c>
      <c r="B42" s="1" t="s">
        <v>144</v>
      </c>
      <c r="C42" s="1" t="s">
        <v>145</v>
      </c>
      <c r="D42" s="7">
        <f>+251919184599</f>
        <v>251919184599</v>
      </c>
      <c r="E42" s="1" t="s">
        <v>66</v>
      </c>
      <c r="F42" s="1" t="s">
        <v>67</v>
      </c>
      <c r="G42" s="1" t="s">
        <v>14</v>
      </c>
      <c r="H42" s="1" t="s">
        <v>20</v>
      </c>
      <c r="I42" s="2">
        <v>21.3</v>
      </c>
    </row>
    <row r="43">
      <c r="A43" s="1" t="s">
        <v>1263</v>
      </c>
      <c r="B43" s="1" t="s">
        <v>1264</v>
      </c>
      <c r="C43" s="1" t="s">
        <v>393</v>
      </c>
      <c r="D43" s="7">
        <f>+251919231519</f>
        <v>251919231519</v>
      </c>
      <c r="E43" s="1" t="s">
        <v>66</v>
      </c>
      <c r="F43" s="1" t="s">
        <v>200</v>
      </c>
      <c r="G43" s="1" t="s">
        <v>14</v>
      </c>
      <c r="H43" s="1" t="s">
        <v>15</v>
      </c>
      <c r="I43" s="2">
        <v>25.85</v>
      </c>
    </row>
    <row r="44">
      <c r="A44" s="1" t="s">
        <v>1265</v>
      </c>
      <c r="B44" s="1" t="s">
        <v>1266</v>
      </c>
      <c r="C44" s="1" t="s">
        <v>896</v>
      </c>
      <c r="D44" s="7">
        <f>+251919709237</f>
        <v>251919709237</v>
      </c>
      <c r="E44" s="1" t="s">
        <v>66</v>
      </c>
      <c r="F44" s="1" t="s">
        <v>76</v>
      </c>
      <c r="G44" s="1" t="s">
        <v>14</v>
      </c>
      <c r="H44" s="1" t="s">
        <v>15</v>
      </c>
      <c r="I44" s="2">
        <v>24.7</v>
      </c>
    </row>
    <row r="45">
      <c r="A45" s="1" t="s">
        <v>1267</v>
      </c>
      <c r="B45" s="1" t="s">
        <v>1268</v>
      </c>
      <c r="C45" s="1" t="s">
        <v>1269</v>
      </c>
      <c r="D45" s="8">
        <v>2.51921223482E11</v>
      </c>
      <c r="E45" s="1" t="s">
        <v>66</v>
      </c>
      <c r="F45" s="1" t="s">
        <v>76</v>
      </c>
      <c r="G45" s="1" t="s">
        <v>14</v>
      </c>
      <c r="H45" s="1" t="s">
        <v>15</v>
      </c>
      <c r="I45" s="2">
        <v>21.64</v>
      </c>
    </row>
    <row r="46">
      <c r="A46" s="1" t="s">
        <v>1270</v>
      </c>
      <c r="B46" s="1" t="s">
        <v>202</v>
      </c>
      <c r="C46" s="1" t="s">
        <v>1271</v>
      </c>
      <c r="D46" s="7">
        <f>+251921615244</f>
        <v>251921615244</v>
      </c>
      <c r="E46" s="1" t="s">
        <v>66</v>
      </c>
      <c r="F46" s="1" t="s">
        <v>76</v>
      </c>
      <c r="G46" s="1" t="s">
        <v>14</v>
      </c>
      <c r="H46" s="1" t="s">
        <v>15</v>
      </c>
      <c r="I46" s="2">
        <v>23.99</v>
      </c>
    </row>
    <row r="47">
      <c r="A47" s="1" t="s">
        <v>1272</v>
      </c>
      <c r="B47" s="1" t="s">
        <v>1273</v>
      </c>
      <c r="C47" s="1" t="s">
        <v>643</v>
      </c>
      <c r="D47" s="7">
        <f>+251922908388</f>
        <v>251922908388</v>
      </c>
      <c r="E47" s="1" t="s">
        <v>66</v>
      </c>
      <c r="F47" s="1" t="s">
        <v>67</v>
      </c>
      <c r="G47" s="1" t="s">
        <v>14</v>
      </c>
      <c r="H47" s="1" t="s">
        <v>15</v>
      </c>
      <c r="I47" s="2">
        <v>32.92</v>
      </c>
    </row>
    <row r="48">
      <c r="A48" s="1" t="s">
        <v>1274</v>
      </c>
      <c r="B48" s="1" t="s">
        <v>590</v>
      </c>
      <c r="C48" s="1" t="s">
        <v>1275</v>
      </c>
      <c r="D48" s="7">
        <f>+251923799711</f>
        <v>251923799711</v>
      </c>
      <c r="E48" s="1" t="s">
        <v>66</v>
      </c>
      <c r="F48" s="1" t="s">
        <v>76</v>
      </c>
      <c r="G48" s="1" t="s">
        <v>14</v>
      </c>
      <c r="H48" s="1" t="s">
        <v>15</v>
      </c>
      <c r="I48" s="2">
        <v>22.83</v>
      </c>
    </row>
    <row r="49">
      <c r="A49" s="1" t="s">
        <v>1276</v>
      </c>
      <c r="B49" s="1" t="s">
        <v>124</v>
      </c>
      <c r="C49" s="1" t="s">
        <v>1277</v>
      </c>
      <c r="D49" s="7">
        <f>+251926818747</f>
        <v>251926818747</v>
      </c>
      <c r="E49" s="1" t="s">
        <v>66</v>
      </c>
      <c r="F49" s="1" t="s">
        <v>90</v>
      </c>
      <c r="G49" s="1" t="s">
        <v>14</v>
      </c>
      <c r="H49" s="1" t="s">
        <v>15</v>
      </c>
      <c r="I49" s="2">
        <v>33.39</v>
      </c>
    </row>
    <row r="50">
      <c r="A50" s="1" t="s">
        <v>167</v>
      </c>
      <c r="B50" s="1" t="s">
        <v>168</v>
      </c>
      <c r="C50" s="1" t="s">
        <v>169</v>
      </c>
      <c r="D50" s="7">
        <f>+251928362959</f>
        <v>251928362959</v>
      </c>
      <c r="E50" s="1" t="s">
        <v>66</v>
      </c>
      <c r="F50" s="1" t="s">
        <v>129</v>
      </c>
      <c r="G50" s="1" t="s">
        <v>130</v>
      </c>
      <c r="H50" s="1" t="s">
        <v>15</v>
      </c>
      <c r="I50" s="2">
        <v>19.89</v>
      </c>
    </row>
    <row r="51">
      <c r="A51" s="1" t="s">
        <v>1278</v>
      </c>
      <c r="B51" s="1" t="s">
        <v>1279</v>
      </c>
      <c r="C51" s="1" t="s">
        <v>1280</v>
      </c>
      <c r="D51" s="7">
        <f>+251929149533</f>
        <v>251929149533</v>
      </c>
      <c r="E51" s="1" t="s">
        <v>66</v>
      </c>
      <c r="F51" s="1" t="s">
        <v>67</v>
      </c>
      <c r="G51" s="1" t="s">
        <v>1281</v>
      </c>
      <c r="H51" s="1" t="s">
        <v>15</v>
      </c>
      <c r="I51" s="2">
        <v>18.94</v>
      </c>
    </row>
    <row r="52">
      <c r="A52" s="1" t="s">
        <v>1282</v>
      </c>
      <c r="B52" s="1" t="s">
        <v>256</v>
      </c>
      <c r="C52" s="1" t="s">
        <v>1283</v>
      </c>
      <c r="D52" s="7">
        <f>+251929920580</f>
        <v>251929920580</v>
      </c>
      <c r="E52" s="1" t="s">
        <v>66</v>
      </c>
      <c r="F52" s="1" t="s">
        <v>67</v>
      </c>
      <c r="G52" s="1" t="s">
        <v>14</v>
      </c>
      <c r="H52" s="1" t="s">
        <v>20</v>
      </c>
      <c r="I52" s="2">
        <v>20.76</v>
      </c>
    </row>
    <row r="53">
      <c r="A53" s="1" t="s">
        <v>1284</v>
      </c>
      <c r="B53" s="1" t="s">
        <v>229</v>
      </c>
      <c r="C53" s="1" t="s">
        <v>1285</v>
      </c>
      <c r="D53" s="7">
        <f>+251930905014</f>
        <v>251930905014</v>
      </c>
      <c r="E53" s="1" t="s">
        <v>66</v>
      </c>
      <c r="F53" s="1" t="s">
        <v>67</v>
      </c>
      <c r="G53" s="1" t="s">
        <v>14</v>
      </c>
      <c r="H53" s="1" t="s">
        <v>15</v>
      </c>
      <c r="I53" s="2">
        <v>22.12</v>
      </c>
    </row>
    <row r="54">
      <c r="A54" s="1" t="s">
        <v>1286</v>
      </c>
      <c r="B54" s="1" t="s">
        <v>671</v>
      </c>
      <c r="C54" s="1" t="s">
        <v>1287</v>
      </c>
      <c r="D54" s="7">
        <f>+251930927984</f>
        <v>251930927984</v>
      </c>
      <c r="E54" s="1" t="s">
        <v>66</v>
      </c>
      <c r="F54" s="1" t="s">
        <v>67</v>
      </c>
      <c r="G54" s="1" t="s">
        <v>14</v>
      </c>
      <c r="H54" s="1" t="s">
        <v>15</v>
      </c>
      <c r="I54" s="2">
        <v>25.76</v>
      </c>
    </row>
    <row r="55">
      <c r="A55" s="1" t="s">
        <v>1288</v>
      </c>
      <c r="B55" s="1" t="s">
        <v>1289</v>
      </c>
      <c r="C55" s="1" t="s">
        <v>451</v>
      </c>
      <c r="D55" s="7">
        <f>+251931559320</f>
        <v>251931559320</v>
      </c>
      <c r="E55" s="1" t="s">
        <v>66</v>
      </c>
      <c r="F55" s="1" t="s">
        <v>129</v>
      </c>
      <c r="G55" s="1" t="s">
        <v>14</v>
      </c>
      <c r="H55" s="1" t="s">
        <v>20</v>
      </c>
      <c r="I55" s="2">
        <v>22.98</v>
      </c>
    </row>
    <row r="56">
      <c r="A56" s="1" t="s">
        <v>1290</v>
      </c>
      <c r="B56" s="1" t="s">
        <v>1291</v>
      </c>
      <c r="C56" s="1" t="s">
        <v>1292</v>
      </c>
      <c r="D56" s="7">
        <f>+251932711476</f>
        <v>251932711476</v>
      </c>
      <c r="E56" s="1" t="s">
        <v>66</v>
      </c>
      <c r="F56" s="1" t="s">
        <v>129</v>
      </c>
      <c r="G56" s="1" t="s">
        <v>14</v>
      </c>
      <c r="H56" s="1" t="s">
        <v>20</v>
      </c>
      <c r="I56" s="2">
        <v>21.83</v>
      </c>
    </row>
    <row r="57">
      <c r="A57" s="1" t="s">
        <v>1293</v>
      </c>
      <c r="B57" s="1" t="s">
        <v>450</v>
      </c>
      <c r="C57" s="1" t="s">
        <v>1294</v>
      </c>
      <c r="D57" s="7">
        <f>+251934839877</f>
        <v>251934839877</v>
      </c>
      <c r="E57" s="1" t="s">
        <v>66</v>
      </c>
      <c r="F57" s="1" t="s">
        <v>95</v>
      </c>
      <c r="G57" s="1" t="s">
        <v>14</v>
      </c>
      <c r="H57" s="1" t="s">
        <v>15</v>
      </c>
      <c r="I57" s="2">
        <v>26.6</v>
      </c>
    </row>
    <row r="58">
      <c r="A58" s="1" t="s">
        <v>1295</v>
      </c>
      <c r="B58" s="1" t="s">
        <v>581</v>
      </c>
      <c r="C58" s="1" t="s">
        <v>366</v>
      </c>
      <c r="D58" s="7">
        <f>+251934966939</f>
        <v>251934966939</v>
      </c>
      <c r="E58" s="1" t="s">
        <v>66</v>
      </c>
      <c r="F58" s="1" t="s">
        <v>67</v>
      </c>
      <c r="G58" s="1" t="s">
        <v>14</v>
      </c>
      <c r="H58" s="1" t="s">
        <v>15</v>
      </c>
      <c r="I58" s="2">
        <v>23.35</v>
      </c>
    </row>
    <row r="59">
      <c r="A59" s="1" t="s">
        <v>1296</v>
      </c>
      <c r="B59" s="1" t="s">
        <v>1297</v>
      </c>
      <c r="C59" s="1" t="s">
        <v>1298</v>
      </c>
      <c r="D59" s="8">
        <v>2.5193559553E11</v>
      </c>
      <c r="E59" s="1" t="s">
        <v>66</v>
      </c>
      <c r="F59" s="1" t="s">
        <v>129</v>
      </c>
      <c r="G59" s="1" t="s">
        <v>14</v>
      </c>
      <c r="H59" s="1" t="s">
        <v>20</v>
      </c>
      <c r="I59" s="2">
        <v>23.94</v>
      </c>
    </row>
    <row r="60">
      <c r="A60" s="1" t="s">
        <v>1299</v>
      </c>
      <c r="B60" s="1" t="s">
        <v>286</v>
      </c>
      <c r="C60" s="1" t="s">
        <v>1300</v>
      </c>
      <c r="D60" s="7">
        <f>+251935615149</f>
        <v>251935615149</v>
      </c>
      <c r="E60" s="1" t="s">
        <v>66</v>
      </c>
      <c r="F60" s="1" t="s">
        <v>129</v>
      </c>
      <c r="G60" s="1" t="s">
        <v>14</v>
      </c>
      <c r="H60" s="1" t="s">
        <v>20</v>
      </c>
      <c r="I60" s="2">
        <v>20.55</v>
      </c>
    </row>
    <row r="61">
      <c r="A61" s="1" t="s">
        <v>1301</v>
      </c>
      <c r="B61" s="1" t="s">
        <v>1302</v>
      </c>
      <c r="C61" s="1" t="s">
        <v>260</v>
      </c>
      <c r="D61" s="8">
        <v>2.51936202387E11</v>
      </c>
      <c r="E61" s="1" t="s">
        <v>66</v>
      </c>
      <c r="F61" s="1" t="s">
        <v>200</v>
      </c>
      <c r="G61" s="1" t="s">
        <v>14</v>
      </c>
      <c r="H61" s="1" t="s">
        <v>15</v>
      </c>
      <c r="I61" s="2">
        <v>21.65</v>
      </c>
    </row>
    <row r="62">
      <c r="A62" s="1" t="s">
        <v>1303</v>
      </c>
      <c r="B62" s="1" t="s">
        <v>1304</v>
      </c>
      <c r="C62" s="1" t="s">
        <v>1305</v>
      </c>
      <c r="D62" s="8">
        <v>2.51936999041E11</v>
      </c>
      <c r="E62" s="1" t="s">
        <v>66</v>
      </c>
      <c r="F62" s="1" t="s">
        <v>129</v>
      </c>
      <c r="G62" s="1" t="s">
        <v>205</v>
      </c>
      <c r="H62" s="1" t="s">
        <v>15</v>
      </c>
      <c r="I62" s="2">
        <v>31.77</v>
      </c>
    </row>
    <row r="63">
      <c r="A63" s="1" t="s">
        <v>1306</v>
      </c>
      <c r="B63" s="1" t="s">
        <v>1307</v>
      </c>
      <c r="C63" s="1" t="s">
        <v>1308</v>
      </c>
      <c r="D63" s="7">
        <f>+251937360668</f>
        <v>251937360668</v>
      </c>
      <c r="E63" s="1" t="s">
        <v>66</v>
      </c>
      <c r="F63" s="1" t="s">
        <v>67</v>
      </c>
      <c r="G63" s="1" t="s">
        <v>14</v>
      </c>
      <c r="H63" s="1" t="s">
        <v>15</v>
      </c>
      <c r="I63" s="2">
        <v>18.94</v>
      </c>
    </row>
    <row r="64">
      <c r="A64" s="1" t="s">
        <v>1309</v>
      </c>
      <c r="B64" s="1" t="s">
        <v>1310</v>
      </c>
      <c r="C64" s="1" t="s">
        <v>1311</v>
      </c>
      <c r="D64" s="7">
        <f>+251941010665</f>
        <v>251941010665</v>
      </c>
      <c r="E64" s="1" t="s">
        <v>66</v>
      </c>
      <c r="F64" s="1" t="s">
        <v>90</v>
      </c>
      <c r="G64" s="1" t="s">
        <v>14</v>
      </c>
      <c r="H64" s="1" t="s">
        <v>15</v>
      </c>
      <c r="I64" s="2">
        <v>27.93</v>
      </c>
    </row>
    <row r="65">
      <c r="A65" s="1" t="s">
        <v>1312</v>
      </c>
      <c r="B65" s="1" t="s">
        <v>1313</v>
      </c>
      <c r="C65" s="1" t="s">
        <v>1314</v>
      </c>
      <c r="D65" s="7">
        <f>+251941277535</f>
        <v>251941277535</v>
      </c>
      <c r="E65" s="1" t="s">
        <v>66</v>
      </c>
      <c r="F65" s="1" t="s">
        <v>71</v>
      </c>
      <c r="G65" s="1" t="s">
        <v>14</v>
      </c>
      <c r="H65" s="1" t="s">
        <v>15</v>
      </c>
      <c r="I65" s="2">
        <v>24.94</v>
      </c>
    </row>
    <row r="66">
      <c r="A66" s="1" t="s">
        <v>1315</v>
      </c>
      <c r="B66" s="1" t="s">
        <v>148</v>
      </c>
      <c r="C66" s="1" t="s">
        <v>1249</v>
      </c>
      <c r="D66" s="7">
        <f>+251941298600</f>
        <v>251941298600</v>
      </c>
      <c r="E66" s="1" t="s">
        <v>66</v>
      </c>
      <c r="F66" s="1" t="s">
        <v>67</v>
      </c>
      <c r="G66" s="1" t="s">
        <v>14</v>
      </c>
      <c r="H66" s="1" t="s">
        <v>15</v>
      </c>
      <c r="I66" s="2">
        <v>31.67</v>
      </c>
    </row>
    <row r="67">
      <c r="A67" s="1" t="s">
        <v>1316</v>
      </c>
      <c r="B67" s="1" t="s">
        <v>1317</v>
      </c>
      <c r="C67" s="1" t="s">
        <v>1318</v>
      </c>
      <c r="D67" s="7">
        <f>+251942358217</f>
        <v>251942358217</v>
      </c>
      <c r="E67" s="1" t="s">
        <v>66</v>
      </c>
      <c r="F67" s="1" t="s">
        <v>129</v>
      </c>
      <c r="G67" s="1" t="s">
        <v>14</v>
      </c>
      <c r="H67" s="1" t="s">
        <v>15</v>
      </c>
      <c r="I67" s="2">
        <v>22.9</v>
      </c>
    </row>
    <row r="68">
      <c r="A68" s="1" t="s">
        <v>1319</v>
      </c>
      <c r="B68" s="1" t="s">
        <v>1320</v>
      </c>
      <c r="C68" s="1" t="s">
        <v>330</v>
      </c>
      <c r="D68" s="7">
        <f>+251943871236</f>
        <v>251943871236</v>
      </c>
      <c r="E68" s="1" t="s">
        <v>66</v>
      </c>
      <c r="F68" s="1" t="s">
        <v>76</v>
      </c>
      <c r="G68" s="1" t="s">
        <v>14</v>
      </c>
      <c r="H68" s="1" t="s">
        <v>15</v>
      </c>
      <c r="I68" s="2">
        <v>23.36</v>
      </c>
    </row>
    <row r="69">
      <c r="A69" s="1" t="s">
        <v>1321</v>
      </c>
      <c r="B69" s="1" t="s">
        <v>1322</v>
      </c>
      <c r="C69" s="1" t="s">
        <v>1323</v>
      </c>
      <c r="D69" s="7">
        <f>+251944300770</f>
        <v>251944300770</v>
      </c>
      <c r="E69" s="1" t="s">
        <v>66</v>
      </c>
      <c r="F69" s="1" t="s">
        <v>129</v>
      </c>
      <c r="G69" s="1" t="s">
        <v>14</v>
      </c>
      <c r="H69" s="1" t="s">
        <v>20</v>
      </c>
      <c r="I69" s="2">
        <v>20.67</v>
      </c>
    </row>
    <row r="70">
      <c r="A70" s="4" t="s">
        <v>1324</v>
      </c>
      <c r="B70" s="4" t="s">
        <v>184</v>
      </c>
      <c r="C70" s="4" t="s">
        <v>1325</v>
      </c>
      <c r="D70" s="9">
        <f>+251945510203</f>
        <v>251945510203</v>
      </c>
      <c r="E70" s="4" t="s">
        <v>66</v>
      </c>
      <c r="F70" s="4" t="s">
        <v>67</v>
      </c>
      <c r="G70" s="4" t="s">
        <v>14</v>
      </c>
      <c r="H70" s="4" t="s">
        <v>15</v>
      </c>
      <c r="I70" s="5">
        <v>18.54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" t="s">
        <v>1326</v>
      </c>
      <c r="B71" s="1" t="s">
        <v>1327</v>
      </c>
      <c r="C71" s="1" t="s">
        <v>1328</v>
      </c>
      <c r="D71" s="8">
        <v>2.5194700965E11</v>
      </c>
      <c r="E71" s="1" t="s">
        <v>66</v>
      </c>
      <c r="F71" s="1" t="s">
        <v>90</v>
      </c>
      <c r="G71" s="1" t="s">
        <v>14</v>
      </c>
      <c r="H71" s="1" t="s">
        <v>20</v>
      </c>
      <c r="I71" s="2">
        <v>20.49</v>
      </c>
    </row>
    <row r="72">
      <c r="A72" s="1" t="s">
        <v>1329</v>
      </c>
      <c r="B72" s="1" t="s">
        <v>1330</v>
      </c>
      <c r="C72" s="1" t="s">
        <v>1331</v>
      </c>
      <c r="D72" s="7">
        <f>+251947371901</f>
        <v>251947371901</v>
      </c>
      <c r="E72" s="1" t="s">
        <v>66</v>
      </c>
      <c r="F72" s="1" t="s">
        <v>67</v>
      </c>
      <c r="G72" s="1" t="s">
        <v>14</v>
      </c>
      <c r="H72" s="1" t="s">
        <v>15</v>
      </c>
      <c r="I72" s="2">
        <v>21.28</v>
      </c>
    </row>
    <row r="73">
      <c r="A73" s="1" t="s">
        <v>1332</v>
      </c>
      <c r="B73" s="1" t="s">
        <v>412</v>
      </c>
      <c r="C73" s="1" t="s">
        <v>616</v>
      </c>
      <c r="D73" s="7">
        <f>+251947762091</f>
        <v>251947762091</v>
      </c>
      <c r="E73" s="1" t="s">
        <v>66</v>
      </c>
      <c r="F73" s="1" t="s">
        <v>76</v>
      </c>
      <c r="G73" s="1" t="s">
        <v>14</v>
      </c>
      <c r="H73" s="1" t="s">
        <v>15</v>
      </c>
      <c r="I73" s="2">
        <v>21.02</v>
      </c>
    </row>
    <row r="74">
      <c r="A74" s="1" t="s">
        <v>1333</v>
      </c>
      <c r="B74" s="1" t="s">
        <v>1334</v>
      </c>
      <c r="C74" s="1" t="s">
        <v>1335</v>
      </c>
      <c r="D74" s="7">
        <f>+251949389582</f>
        <v>251949389582</v>
      </c>
      <c r="E74" s="1" t="s">
        <v>66</v>
      </c>
      <c r="F74" s="1" t="s">
        <v>71</v>
      </c>
      <c r="G74" s="1" t="s">
        <v>14</v>
      </c>
      <c r="H74" s="1" t="s">
        <v>15</v>
      </c>
      <c r="I74" s="2">
        <v>26.02</v>
      </c>
    </row>
    <row r="75">
      <c r="A75" s="1" t="s">
        <v>1336</v>
      </c>
      <c r="B75" s="1" t="s">
        <v>1337</v>
      </c>
      <c r="C75" s="1" t="s">
        <v>1338</v>
      </c>
      <c r="D75" s="7">
        <f>+251949630199</f>
        <v>251949630199</v>
      </c>
      <c r="E75" s="1" t="s">
        <v>66</v>
      </c>
      <c r="F75" s="1" t="s">
        <v>67</v>
      </c>
      <c r="G75" s="1" t="s">
        <v>14</v>
      </c>
      <c r="H75" s="1" t="s">
        <v>20</v>
      </c>
      <c r="I75" s="2">
        <v>21.12</v>
      </c>
    </row>
    <row r="76">
      <c r="A76" s="1" t="s">
        <v>1339</v>
      </c>
      <c r="B76" s="1" t="s">
        <v>1340</v>
      </c>
      <c r="C76" s="1" t="s">
        <v>1341</v>
      </c>
      <c r="D76" s="7">
        <f>+251951180417</f>
        <v>251951180417</v>
      </c>
      <c r="E76" s="1" t="s">
        <v>66</v>
      </c>
      <c r="F76" s="1" t="s">
        <v>67</v>
      </c>
      <c r="G76" s="1" t="s">
        <v>14</v>
      </c>
      <c r="H76" s="1" t="s">
        <v>20</v>
      </c>
      <c r="I76" s="2">
        <v>22.3</v>
      </c>
    </row>
    <row r="77">
      <c r="A77" s="1" t="s">
        <v>1342</v>
      </c>
      <c r="B77" s="1" t="s">
        <v>642</v>
      </c>
      <c r="C77" s="1" t="s">
        <v>661</v>
      </c>
      <c r="D77" s="7">
        <f>+251952955080</f>
        <v>251952955080</v>
      </c>
      <c r="E77" s="1" t="s">
        <v>66</v>
      </c>
      <c r="F77" s="1" t="s">
        <v>67</v>
      </c>
      <c r="G77" s="1" t="s">
        <v>14</v>
      </c>
      <c r="H77" s="1" t="s">
        <v>20</v>
      </c>
      <c r="I77" s="2">
        <v>25.87</v>
      </c>
    </row>
    <row r="78">
      <c r="A78" s="1" t="s">
        <v>1343</v>
      </c>
      <c r="B78" s="1" t="s">
        <v>1344</v>
      </c>
      <c r="C78" s="1" t="s">
        <v>1345</v>
      </c>
      <c r="D78" s="7">
        <f>+251954884513</f>
        <v>251954884513</v>
      </c>
      <c r="E78" s="1" t="s">
        <v>66</v>
      </c>
      <c r="F78" s="1" t="s">
        <v>67</v>
      </c>
      <c r="G78" s="1" t="s">
        <v>130</v>
      </c>
      <c r="H78" s="1" t="s">
        <v>15</v>
      </c>
      <c r="I78" s="2">
        <v>21.7</v>
      </c>
    </row>
    <row r="79">
      <c r="A79" s="1" t="s">
        <v>1346</v>
      </c>
      <c r="B79" s="1" t="s">
        <v>1254</v>
      </c>
      <c r="C79" s="1" t="s">
        <v>1347</v>
      </c>
      <c r="D79" s="7">
        <f>+251954898573</f>
        <v>251954898573</v>
      </c>
      <c r="E79" s="1" t="s">
        <v>66</v>
      </c>
      <c r="F79" s="1" t="s">
        <v>76</v>
      </c>
      <c r="G79" s="1" t="s">
        <v>14</v>
      </c>
      <c r="H79" s="1" t="s">
        <v>15</v>
      </c>
      <c r="I79" s="2">
        <v>19.62</v>
      </c>
    </row>
    <row r="80">
      <c r="A80" s="1" t="s">
        <v>1348</v>
      </c>
      <c r="B80" s="1" t="s">
        <v>1349</v>
      </c>
      <c r="C80" s="1" t="s">
        <v>1350</v>
      </c>
      <c r="D80" s="7">
        <f>+251955098708</f>
        <v>251955098708</v>
      </c>
      <c r="E80" s="1" t="s">
        <v>66</v>
      </c>
      <c r="F80" s="1" t="s">
        <v>67</v>
      </c>
      <c r="G80" s="1" t="s">
        <v>493</v>
      </c>
      <c r="H80" s="1" t="s">
        <v>20</v>
      </c>
      <c r="I80" s="2">
        <v>20.69</v>
      </c>
    </row>
    <row r="81">
      <c r="A81" s="1" t="s">
        <v>1351</v>
      </c>
      <c r="B81" s="1" t="s">
        <v>1118</v>
      </c>
      <c r="C81" s="1" t="s">
        <v>1352</v>
      </c>
      <c r="D81" s="8">
        <v>2.51956501242E11</v>
      </c>
      <c r="E81" s="1" t="s">
        <v>66</v>
      </c>
      <c r="F81" s="1" t="s">
        <v>67</v>
      </c>
      <c r="G81" s="1" t="s">
        <v>14</v>
      </c>
      <c r="H81" s="1" t="s">
        <v>15</v>
      </c>
      <c r="I81" s="2">
        <v>22.93</v>
      </c>
    </row>
    <row r="82">
      <c r="A82" s="1" t="s">
        <v>1353</v>
      </c>
      <c r="B82" s="1" t="s">
        <v>1354</v>
      </c>
      <c r="C82" s="1" t="s">
        <v>1355</v>
      </c>
      <c r="D82" s="7">
        <f>+251961205863</f>
        <v>251961205863</v>
      </c>
      <c r="E82" s="1" t="s">
        <v>66</v>
      </c>
      <c r="F82" s="1" t="s">
        <v>71</v>
      </c>
      <c r="G82" s="1" t="s">
        <v>14</v>
      </c>
      <c r="H82" s="1" t="s">
        <v>15</v>
      </c>
      <c r="I82" s="2">
        <v>22.65</v>
      </c>
    </row>
    <row r="83">
      <c r="A83" s="1" t="s">
        <v>1356</v>
      </c>
      <c r="B83" s="1" t="s">
        <v>317</v>
      </c>
      <c r="C83" s="1" t="s">
        <v>532</v>
      </c>
      <c r="D83" s="8">
        <v>2.51961610085E11</v>
      </c>
      <c r="E83" s="1" t="s">
        <v>66</v>
      </c>
      <c r="F83" s="1" t="s">
        <v>67</v>
      </c>
      <c r="G83" s="1" t="s">
        <v>14</v>
      </c>
      <c r="H83" s="1" t="s">
        <v>20</v>
      </c>
      <c r="I83" s="2">
        <v>20.56</v>
      </c>
    </row>
    <row r="84">
      <c r="A84" s="1" t="s">
        <v>1357</v>
      </c>
      <c r="B84" s="1" t="s">
        <v>1358</v>
      </c>
      <c r="C84" s="1" t="s">
        <v>1359</v>
      </c>
      <c r="D84" s="7">
        <f>+251963498569</f>
        <v>251963498569</v>
      </c>
      <c r="E84" s="1" t="s">
        <v>66</v>
      </c>
      <c r="F84" s="1" t="s">
        <v>71</v>
      </c>
      <c r="G84" s="1" t="s">
        <v>14</v>
      </c>
      <c r="H84" s="1" t="s">
        <v>15</v>
      </c>
      <c r="I84" s="2">
        <v>24.11</v>
      </c>
    </row>
    <row r="85">
      <c r="A85" s="1" t="s">
        <v>1360</v>
      </c>
      <c r="B85" s="1" t="s">
        <v>1361</v>
      </c>
      <c r="C85" s="1" t="s">
        <v>1000</v>
      </c>
      <c r="D85" s="7">
        <f>+251966314151</f>
        <v>251966314151</v>
      </c>
      <c r="E85" s="1" t="s">
        <v>66</v>
      </c>
      <c r="F85" s="1" t="s">
        <v>95</v>
      </c>
      <c r="G85" s="1" t="s">
        <v>14</v>
      </c>
      <c r="H85" s="1" t="s">
        <v>15</v>
      </c>
      <c r="I85" s="2">
        <v>25.37</v>
      </c>
    </row>
    <row r="86">
      <c r="A86" s="1" t="s">
        <v>1362</v>
      </c>
      <c r="B86" s="1" t="s">
        <v>1191</v>
      </c>
      <c r="C86" s="1" t="s">
        <v>1363</v>
      </c>
      <c r="D86" s="7">
        <f>+251966787790</f>
        <v>251966787790</v>
      </c>
      <c r="E86" s="1" t="s">
        <v>66</v>
      </c>
      <c r="F86" s="1" t="s">
        <v>67</v>
      </c>
      <c r="G86" s="1" t="s">
        <v>14</v>
      </c>
      <c r="H86" s="1" t="s">
        <v>15</v>
      </c>
      <c r="I86" s="2">
        <v>19.94</v>
      </c>
    </row>
    <row r="87">
      <c r="A87" s="1" t="s">
        <v>1364</v>
      </c>
      <c r="B87" s="1" t="s">
        <v>1365</v>
      </c>
      <c r="C87" s="1" t="s">
        <v>1366</v>
      </c>
      <c r="D87" s="7">
        <f>+251967432235</f>
        <v>251967432235</v>
      </c>
      <c r="E87" s="1" t="s">
        <v>66</v>
      </c>
      <c r="F87" s="1" t="s">
        <v>76</v>
      </c>
      <c r="G87" s="1" t="s">
        <v>14</v>
      </c>
      <c r="H87" s="1" t="s">
        <v>20</v>
      </c>
      <c r="I87" s="2">
        <v>31.05</v>
      </c>
    </row>
    <row r="88">
      <c r="A88" s="1" t="s">
        <v>1367</v>
      </c>
      <c r="B88" s="1" t="s">
        <v>1368</v>
      </c>
      <c r="C88" s="1" t="s">
        <v>1369</v>
      </c>
      <c r="D88" s="8">
        <v>2.51969063839E11</v>
      </c>
      <c r="E88" s="1" t="s">
        <v>66</v>
      </c>
      <c r="F88" s="1" t="s">
        <v>67</v>
      </c>
      <c r="G88" s="1" t="s">
        <v>14</v>
      </c>
      <c r="H88" s="1" t="s">
        <v>15</v>
      </c>
      <c r="I88" s="2">
        <v>23.21</v>
      </c>
    </row>
    <row r="89">
      <c r="A89" s="1" t="s">
        <v>1370</v>
      </c>
      <c r="B89" s="1" t="s">
        <v>863</v>
      </c>
      <c r="C89" s="1" t="s">
        <v>1371</v>
      </c>
      <c r="D89" s="7">
        <f>+251969311476</f>
        <v>251969311476</v>
      </c>
      <c r="E89" s="1" t="s">
        <v>66</v>
      </c>
      <c r="F89" s="1" t="s">
        <v>71</v>
      </c>
      <c r="G89" s="1" t="s">
        <v>14</v>
      </c>
      <c r="H89" s="1" t="s">
        <v>15</v>
      </c>
      <c r="I89" s="2">
        <v>20.31</v>
      </c>
    </row>
    <row r="90">
      <c r="A90" s="1" t="s">
        <v>1372</v>
      </c>
      <c r="B90" s="1" t="s">
        <v>1373</v>
      </c>
      <c r="C90" s="1" t="s">
        <v>275</v>
      </c>
      <c r="D90" s="7">
        <f>+251969424122</f>
        <v>251969424122</v>
      </c>
      <c r="E90" s="1" t="s">
        <v>66</v>
      </c>
      <c r="F90" s="1" t="s">
        <v>71</v>
      </c>
      <c r="G90" s="1" t="s">
        <v>14</v>
      </c>
      <c r="H90" s="1" t="s">
        <v>20</v>
      </c>
      <c r="I90" s="2">
        <v>24.25</v>
      </c>
    </row>
    <row r="91">
      <c r="A91" s="1" t="s">
        <v>1374</v>
      </c>
      <c r="B91" s="1" t="s">
        <v>1375</v>
      </c>
      <c r="C91" s="1" t="s">
        <v>720</v>
      </c>
      <c r="D91" s="7">
        <f>+251972389175</f>
        <v>251972389175</v>
      </c>
      <c r="E91" s="1" t="s">
        <v>66</v>
      </c>
      <c r="F91" s="1" t="s">
        <v>67</v>
      </c>
      <c r="G91" s="1" t="s">
        <v>14</v>
      </c>
      <c r="H91" s="1" t="s">
        <v>15</v>
      </c>
      <c r="I91" s="2">
        <v>113.48</v>
      </c>
    </row>
    <row r="92">
      <c r="A92" s="1" t="s">
        <v>1376</v>
      </c>
      <c r="B92" s="1" t="s">
        <v>1377</v>
      </c>
      <c r="C92" s="1" t="s">
        <v>1378</v>
      </c>
      <c r="D92" s="8">
        <v>2.51973545545E11</v>
      </c>
      <c r="E92" s="1" t="s">
        <v>66</v>
      </c>
      <c r="F92" s="1" t="s">
        <v>71</v>
      </c>
      <c r="G92" s="1" t="s">
        <v>14</v>
      </c>
      <c r="H92" s="1" t="s">
        <v>15</v>
      </c>
      <c r="I92" s="2">
        <v>28.29</v>
      </c>
    </row>
    <row r="93">
      <c r="A93" s="1" t="s">
        <v>1379</v>
      </c>
      <c r="B93" s="1" t="s">
        <v>1051</v>
      </c>
      <c r="C93" s="1" t="s">
        <v>1052</v>
      </c>
      <c r="D93" s="7">
        <f>+251975018101</f>
        <v>251975018101</v>
      </c>
      <c r="E93" s="1" t="s">
        <v>66</v>
      </c>
      <c r="F93" s="1" t="s">
        <v>67</v>
      </c>
      <c r="G93" s="1" t="s">
        <v>14</v>
      </c>
      <c r="H93" s="1" t="s">
        <v>15</v>
      </c>
      <c r="I93" s="2">
        <v>23.22</v>
      </c>
    </row>
    <row r="94">
      <c r="A94" s="1" t="s">
        <v>1380</v>
      </c>
      <c r="B94" s="1" t="s">
        <v>1381</v>
      </c>
      <c r="C94" s="1" t="s">
        <v>1382</v>
      </c>
      <c r="D94" s="7">
        <f>+251976554864</f>
        <v>251976554864</v>
      </c>
      <c r="E94" s="1" t="s">
        <v>66</v>
      </c>
      <c r="F94" s="1" t="s">
        <v>67</v>
      </c>
      <c r="G94" s="1" t="s">
        <v>14</v>
      </c>
      <c r="H94" s="1" t="s">
        <v>20</v>
      </c>
      <c r="I94" s="2">
        <v>20.93</v>
      </c>
    </row>
    <row r="95">
      <c r="A95" s="1" t="s">
        <v>1383</v>
      </c>
      <c r="B95" s="1" t="s">
        <v>289</v>
      </c>
      <c r="C95" s="1" t="s">
        <v>510</v>
      </c>
      <c r="D95" s="7">
        <f>+251976941176</f>
        <v>251976941176</v>
      </c>
      <c r="E95" s="1" t="s">
        <v>66</v>
      </c>
      <c r="F95" s="1" t="s">
        <v>67</v>
      </c>
      <c r="G95" s="1" t="s">
        <v>14</v>
      </c>
      <c r="H95" s="1" t="s">
        <v>15</v>
      </c>
      <c r="I95" s="2">
        <v>21.36</v>
      </c>
    </row>
    <row r="96">
      <c r="A96" s="1" t="s">
        <v>1384</v>
      </c>
      <c r="B96" s="1" t="s">
        <v>510</v>
      </c>
      <c r="C96" s="1" t="s">
        <v>1385</v>
      </c>
      <c r="D96" s="7">
        <f>+251979078890</f>
        <v>251979078890</v>
      </c>
      <c r="E96" s="1" t="s">
        <v>66</v>
      </c>
      <c r="F96" s="1" t="s">
        <v>90</v>
      </c>
      <c r="G96" s="1" t="s">
        <v>14</v>
      </c>
      <c r="H96" s="1" t="s">
        <v>15</v>
      </c>
      <c r="I96" s="2">
        <v>21.17</v>
      </c>
    </row>
    <row r="97">
      <c r="A97" s="1" t="s">
        <v>1386</v>
      </c>
      <c r="B97" s="1" t="s">
        <v>1387</v>
      </c>
      <c r="C97" s="1" t="s">
        <v>69</v>
      </c>
      <c r="D97" s="7">
        <f>+251979450063</f>
        <v>251979450063</v>
      </c>
      <c r="E97" s="1" t="s">
        <v>66</v>
      </c>
      <c r="F97" s="1" t="s">
        <v>71</v>
      </c>
      <c r="G97" s="1" t="s">
        <v>14</v>
      </c>
      <c r="H97" s="1" t="s">
        <v>15</v>
      </c>
      <c r="I97" s="2">
        <v>25.74</v>
      </c>
    </row>
    <row r="98">
      <c r="A98" s="1" t="s">
        <v>1388</v>
      </c>
      <c r="B98" s="1" t="s">
        <v>1389</v>
      </c>
      <c r="C98" s="1" t="s">
        <v>1390</v>
      </c>
      <c r="D98" s="7">
        <f>+251979727910</f>
        <v>251979727910</v>
      </c>
      <c r="E98" s="1" t="s">
        <v>66</v>
      </c>
      <c r="F98" s="1" t="s">
        <v>95</v>
      </c>
      <c r="G98" s="1" t="s">
        <v>14</v>
      </c>
      <c r="H98" s="1" t="s">
        <v>20</v>
      </c>
      <c r="I98" s="2">
        <v>22.29</v>
      </c>
    </row>
    <row r="99">
      <c r="A99" s="1" t="s">
        <v>1391</v>
      </c>
      <c r="B99" s="1" t="s">
        <v>1392</v>
      </c>
      <c r="C99" s="1" t="s">
        <v>1393</v>
      </c>
      <c r="D99" s="7">
        <f>+251985285225</f>
        <v>251985285225</v>
      </c>
      <c r="E99" s="1" t="s">
        <v>66</v>
      </c>
      <c r="F99" s="1" t="s">
        <v>76</v>
      </c>
      <c r="G99" s="1" t="s">
        <v>14</v>
      </c>
      <c r="H99" s="1" t="s">
        <v>15</v>
      </c>
      <c r="I99" s="2">
        <v>22.55</v>
      </c>
    </row>
    <row r="100">
      <c r="A100" s="1" t="s">
        <v>1394</v>
      </c>
      <c r="B100" s="1" t="s">
        <v>1395</v>
      </c>
      <c r="C100" s="1" t="s">
        <v>730</v>
      </c>
      <c r="D100" s="7">
        <f>+251985466563</f>
        <v>251985466563</v>
      </c>
      <c r="E100" s="1" t="s">
        <v>66</v>
      </c>
      <c r="F100" s="1" t="s">
        <v>76</v>
      </c>
      <c r="G100" s="1" t="s">
        <v>14</v>
      </c>
      <c r="H100" s="1" t="s">
        <v>15</v>
      </c>
      <c r="I100" s="2">
        <v>20.33</v>
      </c>
    </row>
    <row r="101">
      <c r="A101" s="1" t="s">
        <v>1396</v>
      </c>
      <c r="B101" s="1" t="s">
        <v>1397</v>
      </c>
      <c r="C101" s="1" t="s">
        <v>1398</v>
      </c>
      <c r="D101" s="7">
        <f>+251985600775</f>
        <v>251985600775</v>
      </c>
      <c r="E101" s="1" t="s">
        <v>66</v>
      </c>
      <c r="F101" s="1" t="s">
        <v>90</v>
      </c>
      <c r="G101" s="1" t="s">
        <v>14</v>
      </c>
      <c r="H101" s="1" t="s">
        <v>15</v>
      </c>
      <c r="I101" s="2">
        <v>19.89</v>
      </c>
    </row>
    <row r="102">
      <c r="A102" s="1" t="s">
        <v>1399</v>
      </c>
      <c r="B102" s="1" t="s">
        <v>1400</v>
      </c>
      <c r="C102" s="1" t="s">
        <v>1401</v>
      </c>
      <c r="D102" s="7">
        <f>+251986351031</f>
        <v>251986351031</v>
      </c>
      <c r="E102" s="1" t="s">
        <v>66</v>
      </c>
      <c r="F102" s="1" t="s">
        <v>67</v>
      </c>
      <c r="G102" s="1" t="s">
        <v>14</v>
      </c>
      <c r="H102" s="1" t="s">
        <v>20</v>
      </c>
      <c r="I102" s="2">
        <v>19.75</v>
      </c>
    </row>
    <row r="103">
      <c r="A103" s="1" t="s">
        <v>1402</v>
      </c>
      <c r="B103" s="1" t="s">
        <v>1403</v>
      </c>
      <c r="C103" s="1" t="s">
        <v>275</v>
      </c>
      <c r="D103" s="7">
        <f>+251987345621</f>
        <v>251987345621</v>
      </c>
      <c r="E103" s="1" t="s">
        <v>66</v>
      </c>
      <c r="F103" s="1" t="s">
        <v>67</v>
      </c>
      <c r="G103" s="1" t="s">
        <v>14</v>
      </c>
      <c r="H103" s="1" t="s">
        <v>20</v>
      </c>
      <c r="I103" s="2">
        <v>24.39</v>
      </c>
    </row>
    <row r="104">
      <c r="A104" s="1" t="s">
        <v>1404</v>
      </c>
      <c r="B104" s="1" t="s">
        <v>1405</v>
      </c>
      <c r="C104" s="1" t="s">
        <v>767</v>
      </c>
      <c r="D104" s="7">
        <f>+251989210447</f>
        <v>251989210447</v>
      </c>
      <c r="E104" s="1" t="s">
        <v>66</v>
      </c>
      <c r="F104" s="1" t="s">
        <v>67</v>
      </c>
      <c r="G104" s="1" t="s">
        <v>14</v>
      </c>
      <c r="H104" s="1" t="s">
        <v>15</v>
      </c>
      <c r="I104" s="2">
        <v>21.55</v>
      </c>
    </row>
    <row r="105">
      <c r="A105" s="1" t="s">
        <v>1406</v>
      </c>
      <c r="B105" s="1" t="s">
        <v>1407</v>
      </c>
      <c r="C105" s="1" t="s">
        <v>1408</v>
      </c>
      <c r="D105" s="7">
        <f>+251991858758</f>
        <v>251991858758</v>
      </c>
      <c r="E105" s="1" t="s">
        <v>66</v>
      </c>
      <c r="F105" s="1" t="s">
        <v>67</v>
      </c>
      <c r="G105" s="1" t="s">
        <v>14</v>
      </c>
      <c r="H105" s="1" t="s">
        <v>15</v>
      </c>
      <c r="I105" s="2">
        <v>24.43</v>
      </c>
    </row>
    <row r="106">
      <c r="A106" s="1" t="s">
        <v>372</v>
      </c>
      <c r="B106" s="1" t="s">
        <v>373</v>
      </c>
      <c r="C106" s="1" t="s">
        <v>374</v>
      </c>
      <c r="D106" s="7">
        <f>+251991968686</f>
        <v>251991968686</v>
      </c>
      <c r="E106" s="1" t="s">
        <v>66</v>
      </c>
      <c r="F106" s="1" t="s">
        <v>67</v>
      </c>
      <c r="G106" s="1" t="s">
        <v>14</v>
      </c>
      <c r="H106" s="1" t="s">
        <v>20</v>
      </c>
      <c r="I106" s="2">
        <v>20.35</v>
      </c>
    </row>
    <row r="107">
      <c r="A107" s="1" t="s">
        <v>1409</v>
      </c>
      <c r="B107" s="1" t="s">
        <v>1410</v>
      </c>
      <c r="C107" s="1" t="s">
        <v>1411</v>
      </c>
      <c r="D107" s="7">
        <f>+251992280490</f>
        <v>251992280490</v>
      </c>
      <c r="E107" s="1" t="s">
        <v>66</v>
      </c>
      <c r="F107" s="1" t="s">
        <v>76</v>
      </c>
      <c r="G107" s="1" t="s">
        <v>14</v>
      </c>
      <c r="H107" s="1" t="s">
        <v>20</v>
      </c>
      <c r="I107" s="2">
        <v>22.22</v>
      </c>
    </row>
    <row r="108">
      <c r="A108" s="1" t="s">
        <v>1412</v>
      </c>
      <c r="B108" s="1" t="s">
        <v>1413</v>
      </c>
      <c r="C108" s="1" t="s">
        <v>918</v>
      </c>
      <c r="D108" s="7">
        <f>+251992703620</f>
        <v>251992703620</v>
      </c>
      <c r="E108" s="1" t="s">
        <v>66</v>
      </c>
      <c r="F108" s="1" t="s">
        <v>200</v>
      </c>
      <c r="G108" s="1" t="s">
        <v>14</v>
      </c>
      <c r="H108" s="1" t="s">
        <v>15</v>
      </c>
      <c r="I108" s="2">
        <v>23.17</v>
      </c>
    </row>
    <row r="109">
      <c r="A109" s="1" t="s">
        <v>1414</v>
      </c>
      <c r="B109" s="1" t="s">
        <v>55</v>
      </c>
      <c r="C109" s="1" t="s">
        <v>739</v>
      </c>
      <c r="D109" s="7">
        <f>+251993099396</f>
        <v>251993099396</v>
      </c>
      <c r="E109" s="1" t="s">
        <v>66</v>
      </c>
      <c r="F109" s="1" t="s">
        <v>76</v>
      </c>
      <c r="G109" s="1" t="s">
        <v>14</v>
      </c>
      <c r="H109" s="1" t="s">
        <v>15</v>
      </c>
      <c r="I109" s="2">
        <v>21.08</v>
      </c>
    </row>
    <row r="110">
      <c r="A110" s="1" t="s">
        <v>1415</v>
      </c>
      <c r="B110" s="1" t="s">
        <v>1266</v>
      </c>
      <c r="C110" s="1" t="s">
        <v>1416</v>
      </c>
      <c r="D110" s="7">
        <f>+251993677291</f>
        <v>251993677291</v>
      </c>
      <c r="E110" s="1" t="s">
        <v>66</v>
      </c>
      <c r="F110" s="1" t="s">
        <v>90</v>
      </c>
      <c r="G110" s="1" t="s">
        <v>14</v>
      </c>
      <c r="H110" s="1" t="s">
        <v>20</v>
      </c>
      <c r="I110" s="2">
        <v>21.64</v>
      </c>
    </row>
    <row r="111">
      <c r="A111" s="1" t="s">
        <v>1417</v>
      </c>
      <c r="B111" s="1" t="s">
        <v>293</v>
      </c>
      <c r="C111" s="1" t="s">
        <v>1418</v>
      </c>
      <c r="D111" s="7">
        <f>+251994640605</f>
        <v>251994640605</v>
      </c>
      <c r="E111" s="1" t="s">
        <v>66</v>
      </c>
      <c r="F111" s="1" t="s">
        <v>95</v>
      </c>
      <c r="G111" s="1" t="s">
        <v>14</v>
      </c>
      <c r="H111" s="1" t="s">
        <v>15</v>
      </c>
      <c r="I111" s="2">
        <v>22.79</v>
      </c>
    </row>
    <row r="112">
      <c r="A112" s="1" t="s">
        <v>1419</v>
      </c>
      <c r="B112" s="1" t="s">
        <v>1420</v>
      </c>
      <c r="C112" s="1" t="s">
        <v>1421</v>
      </c>
      <c r="D112" s="7">
        <f>+251995216021</f>
        <v>251995216021</v>
      </c>
      <c r="E112" s="1" t="s">
        <v>66</v>
      </c>
      <c r="F112" s="1" t="s">
        <v>90</v>
      </c>
      <c r="G112" s="1" t="s">
        <v>14</v>
      </c>
      <c r="H112" s="1" t="s">
        <v>15</v>
      </c>
      <c r="I112" s="2">
        <v>34.81</v>
      </c>
    </row>
    <row r="113">
      <c r="A113" s="1" t="s">
        <v>1422</v>
      </c>
      <c r="B113" s="1" t="s">
        <v>1423</v>
      </c>
      <c r="C113" s="1" t="s">
        <v>1424</v>
      </c>
      <c r="D113" s="7">
        <f>+251996242353</f>
        <v>251996242353</v>
      </c>
      <c r="E113" s="1" t="s">
        <v>66</v>
      </c>
      <c r="F113" s="1" t="s">
        <v>67</v>
      </c>
      <c r="G113" s="1" t="s">
        <v>14</v>
      </c>
      <c r="H113" s="1" t="s">
        <v>15</v>
      </c>
      <c r="I113" s="2">
        <v>22.31</v>
      </c>
    </row>
    <row r="114">
      <c r="A114" s="1" t="s">
        <v>1425</v>
      </c>
      <c r="B114" s="1" t="s">
        <v>1426</v>
      </c>
      <c r="C114" s="1" t="s">
        <v>1427</v>
      </c>
      <c r="D114" s="7">
        <f>+251704211995</f>
        <v>251704211995</v>
      </c>
      <c r="E114" s="1" t="s">
        <v>397</v>
      </c>
      <c r="F114" s="1"/>
      <c r="G114" s="1" t="s">
        <v>14</v>
      </c>
      <c r="H114" s="1" t="s">
        <v>15</v>
      </c>
      <c r="I114" s="2">
        <v>25.08</v>
      </c>
    </row>
    <row r="115">
      <c r="A115" s="1" t="s">
        <v>1428</v>
      </c>
      <c r="B115" s="1" t="s">
        <v>1429</v>
      </c>
      <c r="C115" s="1" t="s">
        <v>1430</v>
      </c>
      <c r="D115" s="7">
        <f>+251707621247</f>
        <v>251707621247</v>
      </c>
      <c r="E115" s="1" t="s">
        <v>397</v>
      </c>
      <c r="F115" s="1"/>
      <c r="G115" s="1" t="s">
        <v>14</v>
      </c>
      <c r="H115" s="1" t="s">
        <v>15</v>
      </c>
      <c r="I115" s="2">
        <v>25.73</v>
      </c>
    </row>
    <row r="116">
      <c r="A116" s="1" t="s">
        <v>1431</v>
      </c>
      <c r="B116" s="1" t="s">
        <v>377</v>
      </c>
      <c r="C116" s="1" t="s">
        <v>1432</v>
      </c>
      <c r="D116" s="7">
        <f>+251713880465</f>
        <v>251713880465</v>
      </c>
      <c r="E116" s="1" t="s">
        <v>397</v>
      </c>
      <c r="F116" s="1"/>
      <c r="G116" s="1" t="s">
        <v>14</v>
      </c>
      <c r="H116" s="1" t="s">
        <v>20</v>
      </c>
      <c r="I116" s="2">
        <v>20.13</v>
      </c>
    </row>
    <row r="117">
      <c r="A117" s="1" t="s">
        <v>1433</v>
      </c>
      <c r="B117" s="1" t="s">
        <v>1434</v>
      </c>
      <c r="C117" s="1" t="s">
        <v>693</v>
      </c>
      <c r="D117" s="7">
        <f>+251777149468</f>
        <v>251777149468</v>
      </c>
      <c r="E117" s="1" t="s">
        <v>397</v>
      </c>
      <c r="F117" s="1"/>
      <c r="G117" s="1" t="s">
        <v>14</v>
      </c>
      <c r="H117" s="1" t="s">
        <v>15</v>
      </c>
      <c r="I117" s="2">
        <v>21.05</v>
      </c>
    </row>
    <row r="118">
      <c r="A118" s="1" t="s">
        <v>1435</v>
      </c>
      <c r="B118" s="1" t="s">
        <v>1436</v>
      </c>
      <c r="C118" s="1" t="s">
        <v>1437</v>
      </c>
      <c r="D118" s="7">
        <f>+251799001238</f>
        <v>251799001238</v>
      </c>
      <c r="E118" s="1" t="s">
        <v>397</v>
      </c>
      <c r="F118" s="1"/>
      <c r="G118" s="1" t="s">
        <v>14</v>
      </c>
      <c r="H118" s="1" t="s">
        <v>15</v>
      </c>
      <c r="I118" s="2">
        <v>25.65</v>
      </c>
    </row>
    <row r="119">
      <c r="A119" s="1" t="s">
        <v>404</v>
      </c>
      <c r="B119" s="1" t="s">
        <v>405</v>
      </c>
      <c r="C119" s="1" t="s">
        <v>406</v>
      </c>
      <c r="D119" s="7">
        <f>+251900049734</f>
        <v>251900049734</v>
      </c>
      <c r="E119" s="1" t="s">
        <v>397</v>
      </c>
      <c r="F119" s="1"/>
      <c r="G119" s="1" t="s">
        <v>14</v>
      </c>
      <c r="H119" s="1" t="s">
        <v>15</v>
      </c>
      <c r="I119" s="2">
        <v>22.52</v>
      </c>
    </row>
    <row r="120">
      <c r="A120" s="1" t="s">
        <v>1438</v>
      </c>
      <c r="B120" s="1" t="s">
        <v>1439</v>
      </c>
      <c r="C120" s="1" t="s">
        <v>253</v>
      </c>
      <c r="D120" s="7">
        <f>+251900628156</f>
        <v>251900628156</v>
      </c>
      <c r="E120" s="1" t="s">
        <v>397</v>
      </c>
      <c r="F120" s="1"/>
      <c r="G120" s="1" t="s">
        <v>14</v>
      </c>
      <c r="H120" s="1" t="s">
        <v>15</v>
      </c>
      <c r="I120" s="2">
        <v>24.0</v>
      </c>
    </row>
    <row r="121">
      <c r="A121" s="1" t="s">
        <v>1440</v>
      </c>
      <c r="B121" s="1" t="s">
        <v>1441</v>
      </c>
      <c r="C121" s="1" t="s">
        <v>1442</v>
      </c>
      <c r="D121" s="7">
        <f>+251901243334</f>
        <v>251901243334</v>
      </c>
      <c r="E121" s="1" t="s">
        <v>397</v>
      </c>
      <c r="F121" s="1"/>
      <c r="G121" s="1" t="s">
        <v>14</v>
      </c>
      <c r="H121" s="1" t="s">
        <v>15</v>
      </c>
      <c r="I121" s="2">
        <v>20.12</v>
      </c>
    </row>
    <row r="122">
      <c r="A122" s="1" t="s">
        <v>1443</v>
      </c>
      <c r="B122" s="1" t="s">
        <v>745</v>
      </c>
      <c r="C122" s="1" t="s">
        <v>1444</v>
      </c>
      <c r="D122" s="7">
        <f>+251901964335</f>
        <v>251901964335</v>
      </c>
      <c r="E122" s="1" t="s">
        <v>397</v>
      </c>
      <c r="F122" s="1"/>
      <c r="G122" s="1" t="s">
        <v>14</v>
      </c>
      <c r="H122" s="1" t="s">
        <v>15</v>
      </c>
      <c r="I122" s="2">
        <v>23.14</v>
      </c>
    </row>
    <row r="123">
      <c r="A123" s="1" t="s">
        <v>1445</v>
      </c>
      <c r="B123" s="1" t="s">
        <v>1401</v>
      </c>
      <c r="C123" s="1" t="s">
        <v>1446</v>
      </c>
      <c r="D123" s="7">
        <f>+251902242427</f>
        <v>251902242427</v>
      </c>
      <c r="E123" s="1" t="s">
        <v>397</v>
      </c>
      <c r="F123" s="1"/>
      <c r="G123" s="1" t="s">
        <v>14</v>
      </c>
      <c r="H123" s="1" t="s">
        <v>15</v>
      </c>
      <c r="I123" s="2">
        <v>19.82</v>
      </c>
    </row>
    <row r="124">
      <c r="A124" s="1" t="s">
        <v>1447</v>
      </c>
      <c r="B124" s="1" t="s">
        <v>863</v>
      </c>
      <c r="C124" s="1" t="s">
        <v>1218</v>
      </c>
      <c r="D124" s="7">
        <f>+251902527270</f>
        <v>251902527270</v>
      </c>
      <c r="E124" s="1" t="s">
        <v>397</v>
      </c>
      <c r="F124" s="1"/>
      <c r="G124" s="1" t="s">
        <v>14</v>
      </c>
      <c r="H124" s="1" t="s">
        <v>15</v>
      </c>
      <c r="I124" s="2">
        <v>20.18</v>
      </c>
    </row>
    <row r="125">
      <c r="A125" s="1" t="s">
        <v>1448</v>
      </c>
      <c r="B125" s="1" t="s">
        <v>1449</v>
      </c>
      <c r="C125" s="1" t="s">
        <v>1450</v>
      </c>
      <c r="D125" s="7">
        <f>+251903558575</f>
        <v>251903558575</v>
      </c>
      <c r="E125" s="1" t="s">
        <v>397</v>
      </c>
      <c r="F125" s="1"/>
      <c r="G125" s="1" t="s">
        <v>1281</v>
      </c>
      <c r="H125" s="1" t="s">
        <v>15</v>
      </c>
      <c r="I125" s="2">
        <v>21.58</v>
      </c>
    </row>
    <row r="126">
      <c r="A126" s="1" t="s">
        <v>1451</v>
      </c>
      <c r="B126" s="1" t="s">
        <v>1452</v>
      </c>
      <c r="C126" s="1" t="s">
        <v>1453</v>
      </c>
      <c r="D126" s="7">
        <f>+251904185695</f>
        <v>251904185695</v>
      </c>
      <c r="E126" s="1" t="s">
        <v>397</v>
      </c>
      <c r="F126" s="1"/>
      <c r="G126" s="1" t="s">
        <v>14</v>
      </c>
      <c r="H126" s="1" t="s">
        <v>15</v>
      </c>
      <c r="I126" s="2">
        <v>26.5</v>
      </c>
    </row>
    <row r="127">
      <c r="A127" s="1" t="s">
        <v>1454</v>
      </c>
      <c r="B127" s="1" t="s">
        <v>1455</v>
      </c>
      <c r="C127" s="1" t="s">
        <v>1456</v>
      </c>
      <c r="D127" s="7">
        <f>+251904388678</f>
        <v>251904388678</v>
      </c>
      <c r="E127" s="1" t="s">
        <v>397</v>
      </c>
      <c r="F127" s="1"/>
      <c r="G127" s="1" t="s">
        <v>14</v>
      </c>
      <c r="H127" s="1" t="s">
        <v>20</v>
      </c>
      <c r="I127" s="2">
        <v>27.49</v>
      </c>
    </row>
    <row r="128">
      <c r="A128" s="1" t="s">
        <v>1457</v>
      </c>
      <c r="B128" s="1" t="s">
        <v>1458</v>
      </c>
      <c r="C128" s="1" t="s">
        <v>1459</v>
      </c>
      <c r="D128" s="7">
        <f>+251905082039</f>
        <v>251905082039</v>
      </c>
      <c r="E128" s="1" t="s">
        <v>397</v>
      </c>
      <c r="F128" s="1"/>
      <c r="G128" s="1" t="s">
        <v>14</v>
      </c>
      <c r="H128" s="1" t="s">
        <v>15</v>
      </c>
      <c r="I128" s="2">
        <v>21.49</v>
      </c>
    </row>
    <row r="129">
      <c r="A129" s="1" t="s">
        <v>1460</v>
      </c>
      <c r="B129" s="1" t="s">
        <v>806</v>
      </c>
      <c r="C129" s="1" t="s">
        <v>1461</v>
      </c>
      <c r="D129" s="7">
        <f>+251905292752</f>
        <v>251905292752</v>
      </c>
      <c r="E129" s="1" t="s">
        <v>397</v>
      </c>
      <c r="F129" s="1"/>
      <c r="G129" s="1" t="s">
        <v>14</v>
      </c>
      <c r="H129" s="1" t="s">
        <v>15</v>
      </c>
      <c r="I129" s="2">
        <v>23.67</v>
      </c>
    </row>
    <row r="130">
      <c r="A130" s="1" t="s">
        <v>1462</v>
      </c>
      <c r="B130" s="1" t="s">
        <v>1463</v>
      </c>
      <c r="C130" s="1" t="s">
        <v>1464</v>
      </c>
      <c r="D130" s="7">
        <f>+251905506476</f>
        <v>251905506476</v>
      </c>
      <c r="E130" s="1" t="s">
        <v>397</v>
      </c>
      <c r="F130" s="1"/>
      <c r="G130" s="1" t="s">
        <v>205</v>
      </c>
      <c r="H130" s="1" t="s">
        <v>20</v>
      </c>
      <c r="I130" s="2">
        <v>20.31</v>
      </c>
    </row>
    <row r="131">
      <c r="A131" s="1" t="s">
        <v>1465</v>
      </c>
      <c r="B131" s="1" t="s">
        <v>1466</v>
      </c>
      <c r="C131" s="1" t="s">
        <v>1467</v>
      </c>
      <c r="D131" s="7">
        <f>+251906534893</f>
        <v>251906534893</v>
      </c>
      <c r="E131" s="1" t="s">
        <v>397</v>
      </c>
      <c r="F131" s="1"/>
      <c r="G131" s="1" t="s">
        <v>14</v>
      </c>
      <c r="H131" s="1" t="s">
        <v>15</v>
      </c>
      <c r="I131" s="2">
        <v>23.73</v>
      </c>
    </row>
    <row r="132">
      <c r="A132" s="1" t="s">
        <v>1468</v>
      </c>
      <c r="B132" s="1" t="s">
        <v>337</v>
      </c>
      <c r="C132" s="1" t="s">
        <v>1323</v>
      </c>
      <c r="D132" s="7">
        <f>+251906573377</f>
        <v>251906573377</v>
      </c>
      <c r="E132" s="1" t="s">
        <v>397</v>
      </c>
      <c r="F132" s="1"/>
      <c r="G132" s="1" t="s">
        <v>14</v>
      </c>
      <c r="H132" s="1" t="s">
        <v>15</v>
      </c>
      <c r="I132" s="2">
        <v>22.74</v>
      </c>
    </row>
    <row r="133">
      <c r="A133" s="1" t="s">
        <v>1469</v>
      </c>
      <c r="B133" s="1" t="s">
        <v>636</v>
      </c>
      <c r="C133" s="1" t="s">
        <v>1470</v>
      </c>
      <c r="D133" s="7">
        <f>+251907703592</f>
        <v>251907703592</v>
      </c>
      <c r="E133" s="1" t="s">
        <v>397</v>
      </c>
      <c r="F133" s="1"/>
      <c r="G133" s="1" t="s">
        <v>14</v>
      </c>
      <c r="H133" s="1" t="s">
        <v>15</v>
      </c>
      <c r="I133" s="2">
        <v>22.54</v>
      </c>
    </row>
    <row r="134">
      <c r="A134" s="1" t="s">
        <v>1471</v>
      </c>
      <c r="B134" s="1" t="s">
        <v>1472</v>
      </c>
      <c r="C134" s="1" t="s">
        <v>1208</v>
      </c>
      <c r="D134" s="7">
        <f>+251908279572</f>
        <v>251908279572</v>
      </c>
      <c r="E134" s="1" t="s">
        <v>397</v>
      </c>
      <c r="F134" s="1"/>
      <c r="G134" s="1" t="s">
        <v>14</v>
      </c>
      <c r="H134" s="1" t="s">
        <v>20</v>
      </c>
      <c r="I134" s="2">
        <v>23.77</v>
      </c>
    </row>
    <row r="135">
      <c r="A135" s="1" t="s">
        <v>1473</v>
      </c>
      <c r="B135" s="1" t="s">
        <v>309</v>
      </c>
      <c r="C135" s="1" t="s">
        <v>1310</v>
      </c>
      <c r="D135" s="7">
        <f>+251908574808</f>
        <v>251908574808</v>
      </c>
      <c r="E135" s="1" t="s">
        <v>397</v>
      </c>
      <c r="F135" s="1"/>
      <c r="G135" s="1" t="s">
        <v>14</v>
      </c>
      <c r="H135" s="1" t="s">
        <v>15</v>
      </c>
      <c r="I135" s="2">
        <v>24.34</v>
      </c>
    </row>
    <row r="136">
      <c r="A136" s="1" t="s">
        <v>1474</v>
      </c>
      <c r="B136" s="1" t="s">
        <v>55</v>
      </c>
      <c r="C136" s="1" t="s">
        <v>1475</v>
      </c>
      <c r="D136" s="7">
        <f>+251908614113</f>
        <v>251908614113</v>
      </c>
      <c r="E136" s="1" t="s">
        <v>397</v>
      </c>
      <c r="F136" s="1"/>
      <c r="G136" s="1" t="s">
        <v>14</v>
      </c>
      <c r="H136" s="1" t="s">
        <v>15</v>
      </c>
      <c r="I136" s="2">
        <v>19.87</v>
      </c>
    </row>
    <row r="137">
      <c r="A137" s="1" t="s">
        <v>482</v>
      </c>
      <c r="B137" s="1" t="s">
        <v>483</v>
      </c>
      <c r="C137" s="1" t="s">
        <v>484</v>
      </c>
      <c r="D137" s="7">
        <f>+251909042212</f>
        <v>251909042212</v>
      </c>
      <c r="E137" s="1" t="s">
        <v>397</v>
      </c>
      <c r="F137" s="1"/>
      <c r="G137" s="1" t="s">
        <v>14</v>
      </c>
      <c r="H137" s="1" t="s">
        <v>15</v>
      </c>
      <c r="I137" s="2">
        <v>24.7</v>
      </c>
    </row>
    <row r="138">
      <c r="A138" s="1" t="s">
        <v>494</v>
      </c>
      <c r="B138" s="1" t="s">
        <v>495</v>
      </c>
      <c r="C138" s="1" t="s">
        <v>496</v>
      </c>
      <c r="D138" s="7">
        <f>+251909472544</f>
        <v>251909472544</v>
      </c>
      <c r="E138" s="1" t="s">
        <v>397</v>
      </c>
      <c r="F138" s="1"/>
      <c r="G138" s="1" t="s">
        <v>14</v>
      </c>
      <c r="H138" s="1" t="s">
        <v>20</v>
      </c>
      <c r="I138" s="2">
        <v>19.39</v>
      </c>
    </row>
    <row r="139">
      <c r="A139" s="1" t="s">
        <v>1476</v>
      </c>
      <c r="B139" s="1" t="s">
        <v>1477</v>
      </c>
      <c r="C139" s="1" t="s">
        <v>1478</v>
      </c>
      <c r="D139" s="7">
        <f>+251910020544</f>
        <v>251910020544</v>
      </c>
      <c r="E139" s="1" t="s">
        <v>397</v>
      </c>
      <c r="F139" s="1"/>
      <c r="G139" s="1" t="s">
        <v>14</v>
      </c>
      <c r="H139" s="1" t="s">
        <v>20</v>
      </c>
      <c r="I139" s="2">
        <v>32.94</v>
      </c>
    </row>
    <row r="140">
      <c r="A140" s="1" t="s">
        <v>1479</v>
      </c>
      <c r="B140" s="1" t="s">
        <v>1480</v>
      </c>
      <c r="C140" s="1" t="s">
        <v>1481</v>
      </c>
      <c r="D140" s="8">
        <v>2.51910527676E11</v>
      </c>
      <c r="E140" s="1" t="s">
        <v>397</v>
      </c>
      <c r="F140" s="1"/>
      <c r="G140" s="1" t="s">
        <v>14</v>
      </c>
      <c r="H140" s="1" t="s">
        <v>15</v>
      </c>
      <c r="I140" s="2">
        <v>31.2</v>
      </c>
    </row>
    <row r="141">
      <c r="A141" s="1" t="s">
        <v>1482</v>
      </c>
      <c r="B141" s="1" t="s">
        <v>1483</v>
      </c>
      <c r="C141" s="1" t="s">
        <v>1484</v>
      </c>
      <c r="D141" s="7">
        <f>+251910798012</f>
        <v>251910798012</v>
      </c>
      <c r="E141" s="1" t="s">
        <v>397</v>
      </c>
      <c r="F141" s="1"/>
      <c r="G141" s="1" t="s">
        <v>14</v>
      </c>
      <c r="H141" s="1" t="s">
        <v>20</v>
      </c>
      <c r="I141" s="2">
        <v>31.11</v>
      </c>
    </row>
    <row r="142">
      <c r="A142" s="1" t="s">
        <v>513</v>
      </c>
      <c r="B142" s="1" t="s">
        <v>514</v>
      </c>
      <c r="C142" s="1" t="s">
        <v>515</v>
      </c>
      <c r="D142" s="7">
        <f>+251911103028</f>
        <v>251911103028</v>
      </c>
      <c r="E142" s="1" t="s">
        <v>397</v>
      </c>
      <c r="F142" s="1"/>
      <c r="G142" s="1" t="s">
        <v>14</v>
      </c>
      <c r="H142" s="1" t="s">
        <v>15</v>
      </c>
      <c r="I142" s="2">
        <v>31.38</v>
      </c>
    </row>
    <row r="143">
      <c r="A143" s="1" t="s">
        <v>1485</v>
      </c>
      <c r="B143" s="1" t="s">
        <v>1486</v>
      </c>
      <c r="C143" s="1" t="s">
        <v>1487</v>
      </c>
      <c r="D143" s="7">
        <f>+251911461086</f>
        <v>251911461086</v>
      </c>
      <c r="E143" s="1" t="s">
        <v>397</v>
      </c>
      <c r="F143" s="1"/>
      <c r="G143" s="1" t="s">
        <v>14</v>
      </c>
      <c r="H143" s="1" t="s">
        <v>15</v>
      </c>
      <c r="I143" s="2">
        <v>35.38</v>
      </c>
    </row>
    <row r="144">
      <c r="A144" s="1" t="s">
        <v>1488</v>
      </c>
      <c r="B144" s="1" t="s">
        <v>1489</v>
      </c>
      <c r="C144" s="1" t="s">
        <v>487</v>
      </c>
      <c r="D144" s="7">
        <f>+251911596182</f>
        <v>251911596182</v>
      </c>
      <c r="E144" s="1" t="s">
        <v>397</v>
      </c>
      <c r="F144" s="1"/>
      <c r="G144" s="1" t="s">
        <v>14</v>
      </c>
      <c r="H144" s="1" t="s">
        <v>15</v>
      </c>
      <c r="I144" s="2">
        <v>33.16</v>
      </c>
    </row>
    <row r="145">
      <c r="A145" s="1" t="s">
        <v>1490</v>
      </c>
      <c r="B145" s="1" t="s">
        <v>230</v>
      </c>
      <c r="C145" s="1" t="s">
        <v>1491</v>
      </c>
      <c r="D145" s="7">
        <f>+251911614251</f>
        <v>251911614251</v>
      </c>
      <c r="E145" s="1" t="s">
        <v>397</v>
      </c>
      <c r="F145" s="1"/>
      <c r="G145" s="1" t="s">
        <v>14</v>
      </c>
      <c r="H145" s="1" t="s">
        <v>15</v>
      </c>
      <c r="I145" s="2">
        <v>19.11</v>
      </c>
    </row>
    <row r="146">
      <c r="A146" s="1" t="s">
        <v>1492</v>
      </c>
      <c r="B146" s="1" t="s">
        <v>1493</v>
      </c>
      <c r="C146" s="1" t="s">
        <v>1494</v>
      </c>
      <c r="D146" s="7">
        <f>+251911689049</f>
        <v>251911689049</v>
      </c>
      <c r="E146" s="1" t="s">
        <v>397</v>
      </c>
      <c r="F146" s="1"/>
      <c r="G146" s="1" t="s">
        <v>14</v>
      </c>
      <c r="H146" s="1" t="s">
        <v>15</v>
      </c>
      <c r="I146" s="2">
        <v>20.38</v>
      </c>
    </row>
    <row r="147">
      <c r="A147" s="1" t="s">
        <v>528</v>
      </c>
      <c r="B147" s="1" t="s">
        <v>309</v>
      </c>
      <c r="C147" s="1" t="s">
        <v>275</v>
      </c>
      <c r="D147" s="7">
        <f>+251911758202</f>
        <v>251911758202</v>
      </c>
      <c r="E147" s="1" t="s">
        <v>397</v>
      </c>
      <c r="F147" s="1"/>
      <c r="G147" s="1" t="s">
        <v>14</v>
      </c>
      <c r="H147" s="1" t="s">
        <v>15</v>
      </c>
      <c r="I147" s="2">
        <v>37.95</v>
      </c>
    </row>
    <row r="148">
      <c r="A148" s="1" t="s">
        <v>1495</v>
      </c>
      <c r="B148" s="1" t="s">
        <v>1496</v>
      </c>
      <c r="C148" s="1" t="s">
        <v>1497</v>
      </c>
      <c r="D148" s="7">
        <f>+251911827047</f>
        <v>251911827047</v>
      </c>
      <c r="E148" s="1" t="s">
        <v>397</v>
      </c>
      <c r="F148" s="1"/>
      <c r="G148" s="1" t="s">
        <v>14</v>
      </c>
      <c r="H148" s="1" t="s">
        <v>15</v>
      </c>
      <c r="I148" s="2">
        <v>23.4</v>
      </c>
    </row>
    <row r="149">
      <c r="A149" s="1" t="s">
        <v>1498</v>
      </c>
      <c r="B149" s="1" t="s">
        <v>863</v>
      </c>
      <c r="C149" s="1" t="s">
        <v>157</v>
      </c>
      <c r="D149" s="7">
        <f>+251912084862</f>
        <v>251912084862</v>
      </c>
      <c r="E149" s="1" t="s">
        <v>397</v>
      </c>
      <c r="F149" s="1"/>
      <c r="G149" s="1" t="s">
        <v>14</v>
      </c>
      <c r="H149" s="1" t="s">
        <v>15</v>
      </c>
      <c r="I149" s="2">
        <v>36.99</v>
      </c>
    </row>
    <row r="150">
      <c r="A150" s="1" t="s">
        <v>1499</v>
      </c>
      <c r="B150" s="1" t="s">
        <v>1304</v>
      </c>
      <c r="C150" s="1" t="s">
        <v>1500</v>
      </c>
      <c r="D150" s="7">
        <f>+251912155758</f>
        <v>251912155758</v>
      </c>
      <c r="E150" s="1" t="s">
        <v>397</v>
      </c>
      <c r="F150" s="1"/>
      <c r="G150" s="1" t="s">
        <v>14</v>
      </c>
      <c r="H150" s="1" t="s">
        <v>15</v>
      </c>
      <c r="I150" s="2">
        <v>39.78</v>
      </c>
    </row>
    <row r="151">
      <c r="A151" s="1" t="s">
        <v>1501</v>
      </c>
      <c r="B151" s="1" t="s">
        <v>1502</v>
      </c>
      <c r="C151" s="1" t="s">
        <v>525</v>
      </c>
      <c r="D151" s="7">
        <f>+251912234527</f>
        <v>251912234527</v>
      </c>
      <c r="E151" s="1" t="s">
        <v>397</v>
      </c>
      <c r="F151" s="1"/>
      <c r="G151" s="1" t="s">
        <v>14</v>
      </c>
      <c r="H151" s="1" t="s">
        <v>15</v>
      </c>
      <c r="I151" s="2">
        <v>21.79</v>
      </c>
    </row>
    <row r="152">
      <c r="A152" s="1" t="s">
        <v>1503</v>
      </c>
      <c r="B152" s="1" t="s">
        <v>1504</v>
      </c>
      <c r="C152" s="1" t="s">
        <v>959</v>
      </c>
      <c r="D152" s="7">
        <f>+251912491880</f>
        <v>251912491880</v>
      </c>
      <c r="E152" s="1" t="s">
        <v>397</v>
      </c>
      <c r="F152" s="1"/>
      <c r="G152" s="1" t="s">
        <v>14</v>
      </c>
      <c r="H152" s="1" t="s">
        <v>15</v>
      </c>
      <c r="I152" s="2">
        <v>21.65</v>
      </c>
    </row>
    <row r="153">
      <c r="A153" s="1" t="s">
        <v>1505</v>
      </c>
      <c r="B153" s="1" t="s">
        <v>999</v>
      </c>
      <c r="C153" s="1" t="s">
        <v>1506</v>
      </c>
      <c r="D153" s="7">
        <f>+251912655477</f>
        <v>251912655477</v>
      </c>
      <c r="E153" s="1" t="s">
        <v>397</v>
      </c>
      <c r="F153" s="1"/>
      <c r="G153" s="1" t="s">
        <v>14</v>
      </c>
      <c r="H153" s="1" t="s">
        <v>15</v>
      </c>
      <c r="I153" s="2">
        <v>37.22</v>
      </c>
    </row>
    <row r="154">
      <c r="A154" s="1" t="s">
        <v>1507</v>
      </c>
      <c r="B154" s="1" t="s">
        <v>1508</v>
      </c>
      <c r="C154" s="1" t="s">
        <v>1509</v>
      </c>
      <c r="D154" s="7">
        <f>+251912709165</f>
        <v>251912709165</v>
      </c>
      <c r="E154" s="1" t="s">
        <v>397</v>
      </c>
      <c r="F154" s="1"/>
      <c r="G154" s="1" t="s">
        <v>151</v>
      </c>
      <c r="H154" s="1" t="s">
        <v>15</v>
      </c>
      <c r="I154" s="2">
        <v>25.04</v>
      </c>
    </row>
    <row r="155">
      <c r="A155" s="1" t="s">
        <v>1510</v>
      </c>
      <c r="B155" s="1" t="s">
        <v>330</v>
      </c>
      <c r="C155" s="1" t="s">
        <v>594</v>
      </c>
      <c r="D155" s="7">
        <f>+251912742826</f>
        <v>251912742826</v>
      </c>
      <c r="E155" s="1" t="s">
        <v>397</v>
      </c>
      <c r="F155" s="1"/>
      <c r="G155" s="1" t="s">
        <v>14</v>
      </c>
      <c r="H155" s="1" t="s">
        <v>15</v>
      </c>
      <c r="I155" s="2">
        <v>28.08</v>
      </c>
    </row>
    <row r="156">
      <c r="A156" s="1" t="s">
        <v>1511</v>
      </c>
      <c r="B156" s="1" t="s">
        <v>1512</v>
      </c>
      <c r="C156" s="1" t="s">
        <v>1513</v>
      </c>
      <c r="D156" s="7">
        <f>+251912767469</f>
        <v>251912767469</v>
      </c>
      <c r="E156" s="1" t="s">
        <v>397</v>
      </c>
      <c r="F156" s="1"/>
      <c r="G156" s="1" t="s">
        <v>14</v>
      </c>
      <c r="H156" s="1" t="s">
        <v>15</v>
      </c>
      <c r="I156" s="2">
        <v>35.25</v>
      </c>
    </row>
    <row r="157">
      <c r="A157" s="1" t="s">
        <v>1514</v>
      </c>
      <c r="B157" s="1" t="s">
        <v>117</v>
      </c>
      <c r="C157" s="1" t="s">
        <v>1515</v>
      </c>
      <c r="D157" s="7">
        <f>+251912876588</f>
        <v>251912876588</v>
      </c>
      <c r="E157" s="1" t="s">
        <v>397</v>
      </c>
      <c r="F157" s="1"/>
      <c r="G157" s="1" t="s">
        <v>14</v>
      </c>
      <c r="H157" s="1" t="s">
        <v>15</v>
      </c>
      <c r="I157" s="2">
        <v>35.37</v>
      </c>
    </row>
    <row r="158">
      <c r="A158" s="1" t="s">
        <v>1516</v>
      </c>
      <c r="B158" s="1" t="s">
        <v>1179</v>
      </c>
      <c r="C158" s="1" t="s">
        <v>1180</v>
      </c>
      <c r="D158" s="7">
        <f>+251913100761</f>
        <v>251913100761</v>
      </c>
      <c r="E158" s="1" t="s">
        <v>397</v>
      </c>
      <c r="F158" s="1"/>
      <c r="G158" s="1" t="s">
        <v>130</v>
      </c>
      <c r="H158" s="1" t="s">
        <v>15</v>
      </c>
      <c r="I158" s="2">
        <v>21.04</v>
      </c>
    </row>
    <row r="159">
      <c r="A159" s="1" t="s">
        <v>1517</v>
      </c>
      <c r="B159" s="1" t="s">
        <v>525</v>
      </c>
      <c r="C159" s="1" t="s">
        <v>1518</v>
      </c>
      <c r="D159" s="7">
        <f>+251913377046</f>
        <v>251913377046</v>
      </c>
      <c r="E159" s="1" t="s">
        <v>397</v>
      </c>
      <c r="F159" s="1"/>
      <c r="G159" s="1" t="s">
        <v>14</v>
      </c>
      <c r="H159" s="1" t="s">
        <v>15</v>
      </c>
      <c r="I159" s="2">
        <v>29.4</v>
      </c>
    </row>
    <row r="160">
      <c r="A160" s="1" t="s">
        <v>1519</v>
      </c>
      <c r="B160" s="1" t="s">
        <v>1520</v>
      </c>
      <c r="C160" s="1" t="s">
        <v>1521</v>
      </c>
      <c r="D160" s="7">
        <f>+251913748200</f>
        <v>251913748200</v>
      </c>
      <c r="E160" s="1" t="s">
        <v>397</v>
      </c>
      <c r="F160" s="1"/>
      <c r="G160" s="1" t="s">
        <v>14</v>
      </c>
      <c r="H160" s="1" t="s">
        <v>15</v>
      </c>
      <c r="I160" s="2">
        <v>34.74</v>
      </c>
    </row>
    <row r="161">
      <c r="A161" s="1" t="s">
        <v>1522</v>
      </c>
      <c r="B161" s="1" t="s">
        <v>1523</v>
      </c>
      <c r="C161" s="1" t="s">
        <v>1524</v>
      </c>
      <c r="D161" s="7">
        <f>+251913758407</f>
        <v>251913758407</v>
      </c>
      <c r="E161" s="1" t="s">
        <v>397</v>
      </c>
      <c r="F161" s="1"/>
      <c r="G161" s="1" t="s">
        <v>14</v>
      </c>
      <c r="H161" s="1" t="s">
        <v>15</v>
      </c>
      <c r="I161" s="2">
        <v>40.12</v>
      </c>
    </row>
    <row r="162">
      <c r="A162" s="1" t="s">
        <v>1525</v>
      </c>
      <c r="B162" s="1" t="s">
        <v>230</v>
      </c>
      <c r="C162" s="1" t="s">
        <v>1526</v>
      </c>
      <c r="D162" s="7">
        <f>+251913767842</f>
        <v>251913767842</v>
      </c>
      <c r="E162" s="1" t="s">
        <v>397</v>
      </c>
      <c r="F162" s="1"/>
      <c r="G162" s="1" t="s">
        <v>205</v>
      </c>
      <c r="H162" s="1" t="s">
        <v>15</v>
      </c>
      <c r="I162" s="2">
        <v>30.08</v>
      </c>
    </row>
    <row r="163">
      <c r="A163" s="1" t="s">
        <v>1527</v>
      </c>
      <c r="B163" s="1" t="s">
        <v>293</v>
      </c>
      <c r="C163" s="1" t="s">
        <v>1528</v>
      </c>
      <c r="D163" s="8">
        <v>2.51913805569E11</v>
      </c>
      <c r="E163" s="1" t="s">
        <v>397</v>
      </c>
      <c r="F163" s="1"/>
      <c r="G163" s="1" t="s">
        <v>1281</v>
      </c>
      <c r="H163" s="1" t="s">
        <v>15</v>
      </c>
      <c r="I163" s="2">
        <v>26.52</v>
      </c>
    </row>
    <row r="164">
      <c r="A164" s="1" t="s">
        <v>1529</v>
      </c>
      <c r="B164" s="1" t="s">
        <v>1300</v>
      </c>
      <c r="C164" s="1" t="s">
        <v>127</v>
      </c>
      <c r="D164" s="7">
        <f>+251913847328</f>
        <v>251913847328</v>
      </c>
      <c r="E164" s="1" t="s">
        <v>397</v>
      </c>
      <c r="F164" s="1"/>
      <c r="G164" s="1" t="s">
        <v>14</v>
      </c>
      <c r="H164" s="1" t="s">
        <v>15</v>
      </c>
      <c r="I164" s="2">
        <v>28.79</v>
      </c>
    </row>
    <row r="165">
      <c r="A165" s="1" t="s">
        <v>1530</v>
      </c>
      <c r="B165" s="1" t="s">
        <v>325</v>
      </c>
      <c r="C165" s="1" t="s">
        <v>1531</v>
      </c>
      <c r="D165" s="8">
        <v>2.51914054544E11</v>
      </c>
      <c r="E165" s="1" t="s">
        <v>397</v>
      </c>
      <c r="F165" s="1"/>
      <c r="G165" s="1" t="s">
        <v>14</v>
      </c>
      <c r="H165" s="1" t="s">
        <v>15</v>
      </c>
      <c r="I165" s="2">
        <v>27.03</v>
      </c>
    </row>
    <row r="166">
      <c r="A166" s="1" t="s">
        <v>1532</v>
      </c>
      <c r="B166" s="1" t="s">
        <v>230</v>
      </c>
      <c r="C166" s="1" t="s">
        <v>720</v>
      </c>
      <c r="D166" s="8">
        <v>2.51914614787E11</v>
      </c>
      <c r="E166" s="1" t="s">
        <v>397</v>
      </c>
      <c r="F166" s="1"/>
      <c r="G166" s="1" t="s">
        <v>130</v>
      </c>
      <c r="H166" s="1" t="s">
        <v>15</v>
      </c>
      <c r="I166" s="2">
        <v>25.38</v>
      </c>
    </row>
    <row r="167">
      <c r="A167" s="1" t="s">
        <v>131</v>
      </c>
      <c r="B167" s="1" t="s">
        <v>132</v>
      </c>
      <c r="C167" s="1" t="s">
        <v>133</v>
      </c>
      <c r="D167" s="7">
        <f>+251915270679</f>
        <v>251915270679</v>
      </c>
      <c r="E167" s="1" t="s">
        <v>397</v>
      </c>
      <c r="F167" s="1"/>
      <c r="G167" s="1" t="s">
        <v>14</v>
      </c>
      <c r="H167" s="1" t="s">
        <v>15</v>
      </c>
      <c r="I167" s="2">
        <v>28.85</v>
      </c>
    </row>
    <row r="168">
      <c r="A168" s="1" t="s">
        <v>1533</v>
      </c>
      <c r="B168" s="1" t="s">
        <v>1534</v>
      </c>
      <c r="C168" s="1" t="s">
        <v>819</v>
      </c>
      <c r="D168" s="7">
        <f>+251916775426</f>
        <v>251916775426</v>
      </c>
      <c r="E168" s="1" t="s">
        <v>397</v>
      </c>
      <c r="F168" s="1"/>
      <c r="G168" s="1" t="s">
        <v>14</v>
      </c>
      <c r="H168" s="1" t="s">
        <v>15</v>
      </c>
      <c r="I168" s="2">
        <v>29.03</v>
      </c>
    </row>
    <row r="169">
      <c r="A169" s="1" t="s">
        <v>596</v>
      </c>
      <c r="B169" s="1" t="s">
        <v>597</v>
      </c>
      <c r="C169" s="1" t="s">
        <v>598</v>
      </c>
      <c r="D169" s="7">
        <f>+251917139676</f>
        <v>251917139676</v>
      </c>
      <c r="E169" s="1" t="s">
        <v>397</v>
      </c>
      <c r="F169" s="1"/>
      <c r="G169" s="1" t="s">
        <v>14</v>
      </c>
      <c r="H169" s="1" t="s">
        <v>15</v>
      </c>
      <c r="I169" s="2">
        <v>22.06</v>
      </c>
    </row>
    <row r="170">
      <c r="A170" s="1" t="s">
        <v>600</v>
      </c>
      <c r="B170" s="1" t="s">
        <v>601</v>
      </c>
      <c r="C170" s="1" t="s">
        <v>602</v>
      </c>
      <c r="D170" s="7">
        <f>+251917734667</f>
        <v>251917734667</v>
      </c>
      <c r="E170" s="1" t="s">
        <v>397</v>
      </c>
      <c r="F170" s="1"/>
      <c r="G170" s="1" t="s">
        <v>14</v>
      </c>
      <c r="H170" s="1" t="s">
        <v>15</v>
      </c>
      <c r="I170" s="2">
        <v>25.11</v>
      </c>
    </row>
    <row r="171">
      <c r="A171" s="1" t="s">
        <v>1535</v>
      </c>
      <c r="B171" s="1" t="s">
        <v>1536</v>
      </c>
      <c r="C171" s="1" t="s">
        <v>451</v>
      </c>
      <c r="D171" s="7">
        <f>+251917914722</f>
        <v>251917914722</v>
      </c>
      <c r="E171" s="1" t="s">
        <v>397</v>
      </c>
      <c r="F171" s="1"/>
      <c r="G171" s="1" t="s">
        <v>14</v>
      </c>
      <c r="H171" s="1" t="s">
        <v>15</v>
      </c>
      <c r="I171" s="2">
        <v>30.96</v>
      </c>
    </row>
    <row r="172">
      <c r="A172" s="1" t="s">
        <v>1537</v>
      </c>
      <c r="B172" s="1" t="s">
        <v>987</v>
      </c>
      <c r="C172" s="1" t="s">
        <v>1538</v>
      </c>
      <c r="D172" s="7">
        <f>+251918466647</f>
        <v>251918466647</v>
      </c>
      <c r="E172" s="1" t="s">
        <v>397</v>
      </c>
      <c r="F172" s="1"/>
      <c r="G172" s="1" t="s">
        <v>14</v>
      </c>
      <c r="H172" s="1" t="s">
        <v>20</v>
      </c>
      <c r="I172" s="2">
        <v>21.25</v>
      </c>
    </row>
    <row r="173">
      <c r="A173" s="1" t="s">
        <v>1539</v>
      </c>
      <c r="B173" s="1" t="s">
        <v>1540</v>
      </c>
      <c r="C173" s="1" t="s">
        <v>1541</v>
      </c>
      <c r="D173" s="7">
        <f>+251918482803</f>
        <v>251918482803</v>
      </c>
      <c r="E173" s="1" t="s">
        <v>397</v>
      </c>
      <c r="F173" s="1"/>
      <c r="G173" s="1" t="s">
        <v>14</v>
      </c>
      <c r="H173" s="1" t="s">
        <v>15</v>
      </c>
      <c r="I173" s="2">
        <v>23.7</v>
      </c>
    </row>
    <row r="174">
      <c r="A174" s="1" t="s">
        <v>1542</v>
      </c>
      <c r="B174" s="1" t="s">
        <v>1543</v>
      </c>
      <c r="C174" s="1" t="s">
        <v>827</v>
      </c>
      <c r="D174" s="7">
        <f>+251919387476</f>
        <v>251919387476</v>
      </c>
      <c r="E174" s="1" t="s">
        <v>397</v>
      </c>
      <c r="F174" s="1"/>
      <c r="G174" s="1" t="s">
        <v>14</v>
      </c>
      <c r="H174" s="1" t="s">
        <v>15</v>
      </c>
      <c r="I174" s="2">
        <v>22.0</v>
      </c>
    </row>
    <row r="175">
      <c r="A175" s="1" t="s">
        <v>1544</v>
      </c>
      <c r="B175" s="1" t="s">
        <v>1545</v>
      </c>
      <c r="C175" s="1" t="s">
        <v>1546</v>
      </c>
      <c r="D175" s="7">
        <f>+251919464343</f>
        <v>251919464343</v>
      </c>
      <c r="E175" s="1" t="s">
        <v>397</v>
      </c>
      <c r="F175" s="1"/>
      <c r="G175" s="1" t="s">
        <v>14</v>
      </c>
      <c r="H175" s="1" t="s">
        <v>20</v>
      </c>
      <c r="I175" s="2">
        <v>20.85</v>
      </c>
    </row>
    <row r="176">
      <c r="A176" s="1" t="s">
        <v>1547</v>
      </c>
      <c r="B176" s="1" t="s">
        <v>1548</v>
      </c>
      <c r="C176" s="1" t="s">
        <v>1549</v>
      </c>
      <c r="D176" s="7">
        <f>+251919501238</f>
        <v>251919501238</v>
      </c>
      <c r="E176" s="1" t="s">
        <v>397</v>
      </c>
      <c r="F176" s="1"/>
      <c r="G176" s="1" t="s">
        <v>14</v>
      </c>
      <c r="H176" s="1" t="s">
        <v>15</v>
      </c>
      <c r="I176" s="2">
        <v>29.49</v>
      </c>
    </row>
    <row r="177">
      <c r="A177" s="1" t="s">
        <v>1550</v>
      </c>
      <c r="B177" s="1" t="s">
        <v>1551</v>
      </c>
      <c r="C177" s="1" t="s">
        <v>1552</v>
      </c>
      <c r="D177" s="8">
        <v>2.51919779032E11</v>
      </c>
      <c r="E177" s="1" t="s">
        <v>397</v>
      </c>
      <c r="F177" s="1"/>
      <c r="G177" s="1" t="s">
        <v>14</v>
      </c>
      <c r="H177" s="1" t="s">
        <v>15</v>
      </c>
      <c r="I177" s="2">
        <v>21.78</v>
      </c>
    </row>
    <row r="178">
      <c r="A178" s="1" t="s">
        <v>1553</v>
      </c>
      <c r="B178" s="1" t="s">
        <v>184</v>
      </c>
      <c r="C178" s="1" t="s">
        <v>1218</v>
      </c>
      <c r="D178" s="7">
        <f>+251920269570</f>
        <v>251920269570</v>
      </c>
      <c r="E178" s="1" t="s">
        <v>397</v>
      </c>
      <c r="F178" s="1"/>
      <c r="G178" s="1" t="s">
        <v>14</v>
      </c>
      <c r="H178" s="1" t="s">
        <v>15</v>
      </c>
      <c r="I178" s="2">
        <v>21.23</v>
      </c>
    </row>
    <row r="179">
      <c r="A179" s="1" t="s">
        <v>1554</v>
      </c>
      <c r="B179" s="1" t="s">
        <v>1555</v>
      </c>
      <c r="C179" s="1" t="s">
        <v>1556</v>
      </c>
      <c r="D179" s="7">
        <f>+251920644832</f>
        <v>251920644832</v>
      </c>
      <c r="E179" s="1" t="s">
        <v>397</v>
      </c>
      <c r="F179" s="1"/>
      <c r="G179" s="1" t="s">
        <v>205</v>
      </c>
      <c r="H179" s="1" t="s">
        <v>15</v>
      </c>
      <c r="I179" s="2">
        <v>20.78</v>
      </c>
    </row>
    <row r="180">
      <c r="A180" s="1" t="s">
        <v>1557</v>
      </c>
      <c r="B180" s="1" t="s">
        <v>1558</v>
      </c>
      <c r="C180" s="1" t="s">
        <v>1559</v>
      </c>
      <c r="D180" s="7">
        <f>+251920767880</f>
        <v>251920767880</v>
      </c>
      <c r="E180" s="1" t="s">
        <v>397</v>
      </c>
      <c r="F180" s="1"/>
      <c r="G180" s="1" t="s">
        <v>14</v>
      </c>
      <c r="H180" s="1" t="s">
        <v>15</v>
      </c>
      <c r="I180" s="2">
        <v>37.42</v>
      </c>
    </row>
    <row r="181">
      <c r="A181" s="1" t="s">
        <v>1560</v>
      </c>
      <c r="B181" s="1" t="s">
        <v>1561</v>
      </c>
      <c r="C181" s="1" t="s">
        <v>275</v>
      </c>
      <c r="D181" s="7">
        <f>+251921188140</f>
        <v>251921188140</v>
      </c>
      <c r="E181" s="1" t="s">
        <v>397</v>
      </c>
      <c r="F181" s="1"/>
      <c r="G181" s="1" t="s">
        <v>205</v>
      </c>
      <c r="H181" s="1" t="s">
        <v>15</v>
      </c>
      <c r="I181" s="2">
        <v>23.06</v>
      </c>
    </row>
    <row r="182">
      <c r="A182" s="1" t="s">
        <v>1562</v>
      </c>
      <c r="B182" s="1" t="s">
        <v>1563</v>
      </c>
      <c r="C182" s="1" t="s">
        <v>1564</v>
      </c>
      <c r="D182" s="7">
        <f>+251921352337</f>
        <v>251921352337</v>
      </c>
      <c r="E182" s="1" t="s">
        <v>397</v>
      </c>
      <c r="F182" s="1"/>
      <c r="G182" s="1" t="s">
        <v>14</v>
      </c>
      <c r="H182" s="1" t="s">
        <v>20</v>
      </c>
      <c r="I182" s="2">
        <v>21.91</v>
      </c>
    </row>
    <row r="183">
      <c r="A183" s="1" t="s">
        <v>1565</v>
      </c>
      <c r="B183" s="1" t="s">
        <v>1493</v>
      </c>
      <c r="C183" s="1" t="s">
        <v>1494</v>
      </c>
      <c r="D183" s="7">
        <f>+251921606173</f>
        <v>251921606173</v>
      </c>
      <c r="E183" s="1" t="s">
        <v>397</v>
      </c>
      <c r="F183" s="1"/>
      <c r="G183" s="1" t="s">
        <v>14</v>
      </c>
      <c r="H183" s="1" t="s">
        <v>15</v>
      </c>
      <c r="I183" s="2">
        <v>23.36</v>
      </c>
    </row>
    <row r="184">
      <c r="A184" s="1" t="s">
        <v>1566</v>
      </c>
      <c r="B184" s="1" t="s">
        <v>55</v>
      </c>
      <c r="C184" s="1" t="s">
        <v>117</v>
      </c>
      <c r="D184" s="7">
        <f>+251921787397</f>
        <v>251921787397</v>
      </c>
      <c r="E184" s="1" t="s">
        <v>397</v>
      </c>
      <c r="F184" s="1"/>
      <c r="G184" s="1" t="s">
        <v>14</v>
      </c>
      <c r="H184" s="1" t="s">
        <v>15</v>
      </c>
      <c r="I184" s="2">
        <v>24.41</v>
      </c>
    </row>
    <row r="185">
      <c r="A185" s="1" t="s">
        <v>1567</v>
      </c>
      <c r="B185" s="1" t="s">
        <v>59</v>
      </c>
      <c r="C185" s="1" t="s">
        <v>1568</v>
      </c>
      <c r="D185" s="7">
        <f>+251922123699</f>
        <v>251922123699</v>
      </c>
      <c r="E185" s="1" t="s">
        <v>397</v>
      </c>
      <c r="F185" s="1"/>
      <c r="G185" s="1" t="s">
        <v>14</v>
      </c>
      <c r="H185" s="1" t="s">
        <v>15</v>
      </c>
      <c r="I185" s="2">
        <v>32.46</v>
      </c>
    </row>
    <row r="186">
      <c r="A186" s="1" t="s">
        <v>1569</v>
      </c>
      <c r="B186" s="1" t="s">
        <v>1570</v>
      </c>
      <c r="C186" s="1" t="s">
        <v>1571</v>
      </c>
      <c r="D186" s="7">
        <f>+251922261405</f>
        <v>251922261405</v>
      </c>
      <c r="E186" s="1" t="s">
        <v>397</v>
      </c>
      <c r="F186" s="1"/>
      <c r="G186" s="1" t="s">
        <v>205</v>
      </c>
      <c r="H186" s="1" t="s">
        <v>15</v>
      </c>
      <c r="I186" s="2">
        <v>36.9</v>
      </c>
    </row>
    <row r="187">
      <c r="A187" s="1" t="s">
        <v>1572</v>
      </c>
      <c r="B187" s="1" t="s">
        <v>275</v>
      </c>
      <c r="C187" s="1" t="s">
        <v>1573</v>
      </c>
      <c r="D187" s="7">
        <f>+251923125041</f>
        <v>251923125041</v>
      </c>
      <c r="E187" s="1" t="s">
        <v>397</v>
      </c>
      <c r="F187" s="1"/>
      <c r="G187" s="1" t="s">
        <v>14</v>
      </c>
      <c r="H187" s="1" t="s">
        <v>15</v>
      </c>
      <c r="I187" s="2">
        <v>30.97</v>
      </c>
    </row>
    <row r="188">
      <c r="A188" s="1" t="s">
        <v>1574</v>
      </c>
      <c r="B188" s="1" t="s">
        <v>1575</v>
      </c>
      <c r="C188" s="1" t="s">
        <v>1576</v>
      </c>
      <c r="D188" s="7">
        <f>+251923129640</f>
        <v>251923129640</v>
      </c>
      <c r="E188" s="1" t="s">
        <v>397</v>
      </c>
      <c r="F188" s="1"/>
      <c r="G188" s="1" t="s">
        <v>14</v>
      </c>
      <c r="H188" s="1" t="s">
        <v>15</v>
      </c>
      <c r="I188" s="2">
        <v>19.14</v>
      </c>
    </row>
    <row r="189">
      <c r="A189" s="1" t="s">
        <v>1577</v>
      </c>
      <c r="B189" s="1" t="s">
        <v>1578</v>
      </c>
      <c r="C189" s="1" t="s">
        <v>1579</v>
      </c>
      <c r="D189" s="7">
        <f>+251923271060</f>
        <v>251923271060</v>
      </c>
      <c r="E189" s="1" t="s">
        <v>397</v>
      </c>
      <c r="F189" s="1"/>
      <c r="G189" s="1" t="s">
        <v>14</v>
      </c>
      <c r="H189" s="1" t="s">
        <v>15</v>
      </c>
      <c r="I189" s="2">
        <v>34.33</v>
      </c>
    </row>
    <row r="190">
      <c r="A190" s="1" t="s">
        <v>1580</v>
      </c>
      <c r="B190" s="1" t="s">
        <v>1187</v>
      </c>
      <c r="C190" s="1" t="s">
        <v>1188</v>
      </c>
      <c r="D190" s="7">
        <f>+251923289881</f>
        <v>251923289881</v>
      </c>
      <c r="E190" s="1" t="s">
        <v>397</v>
      </c>
      <c r="F190" s="1"/>
      <c r="G190" s="1" t="s">
        <v>14</v>
      </c>
      <c r="H190" s="1" t="s">
        <v>15</v>
      </c>
      <c r="I190" s="2">
        <v>25.29</v>
      </c>
    </row>
    <row r="191">
      <c r="A191" s="1" t="s">
        <v>1581</v>
      </c>
      <c r="B191" s="1" t="s">
        <v>412</v>
      </c>
      <c r="C191" s="1" t="s">
        <v>1582</v>
      </c>
      <c r="D191" s="7">
        <f>+251923811020</f>
        <v>251923811020</v>
      </c>
      <c r="E191" s="1" t="s">
        <v>397</v>
      </c>
      <c r="F191" s="1"/>
      <c r="G191" s="1" t="s">
        <v>14</v>
      </c>
      <c r="H191" s="1" t="s">
        <v>15</v>
      </c>
      <c r="I191" s="2">
        <v>22.88</v>
      </c>
    </row>
    <row r="192">
      <c r="A192" s="1" t="s">
        <v>1583</v>
      </c>
      <c r="B192" s="1" t="s">
        <v>1584</v>
      </c>
      <c r="C192" s="1" t="s">
        <v>1585</v>
      </c>
      <c r="D192" s="7">
        <f>+251924108992</f>
        <v>251924108992</v>
      </c>
      <c r="E192" s="1" t="s">
        <v>397</v>
      </c>
      <c r="F192" s="1"/>
      <c r="G192" s="1" t="s">
        <v>14</v>
      </c>
      <c r="H192" s="1" t="s">
        <v>20</v>
      </c>
      <c r="I192" s="2">
        <v>30.04</v>
      </c>
    </row>
    <row r="193">
      <c r="A193" s="1" t="s">
        <v>1586</v>
      </c>
      <c r="B193" s="1" t="s">
        <v>1587</v>
      </c>
      <c r="C193" s="1" t="s">
        <v>1588</v>
      </c>
      <c r="D193" s="7">
        <f>+251924555706</f>
        <v>251924555706</v>
      </c>
      <c r="E193" s="1" t="s">
        <v>397</v>
      </c>
      <c r="F193" s="1"/>
      <c r="G193" s="1" t="s">
        <v>14</v>
      </c>
      <c r="H193" s="1" t="s">
        <v>15</v>
      </c>
      <c r="I193" s="2">
        <v>22.46</v>
      </c>
    </row>
    <row r="194">
      <c r="A194" s="1" t="s">
        <v>1589</v>
      </c>
      <c r="B194" s="1" t="s">
        <v>1590</v>
      </c>
      <c r="C194" s="1" t="s">
        <v>1591</v>
      </c>
      <c r="D194" s="8">
        <v>2.51925037347E11</v>
      </c>
      <c r="E194" s="1" t="s">
        <v>397</v>
      </c>
      <c r="F194" s="1"/>
      <c r="G194" s="1" t="s">
        <v>130</v>
      </c>
      <c r="H194" s="1" t="s">
        <v>15</v>
      </c>
      <c r="I194" s="2">
        <v>30.98</v>
      </c>
    </row>
    <row r="195">
      <c r="A195" s="1" t="s">
        <v>660</v>
      </c>
      <c r="B195" s="1" t="s">
        <v>661</v>
      </c>
      <c r="C195" s="1" t="s">
        <v>662</v>
      </c>
      <c r="D195" s="7">
        <f>+251925700473</f>
        <v>251925700473</v>
      </c>
      <c r="E195" s="1" t="s">
        <v>397</v>
      </c>
      <c r="F195" s="1"/>
      <c r="G195" s="1" t="s">
        <v>14</v>
      </c>
      <c r="H195" s="1" t="s">
        <v>15</v>
      </c>
      <c r="I195" s="2">
        <v>25.46</v>
      </c>
    </row>
    <row r="196">
      <c r="A196" s="1" t="s">
        <v>1592</v>
      </c>
      <c r="B196" s="1" t="s">
        <v>1593</v>
      </c>
      <c r="C196" s="1" t="s">
        <v>1594</v>
      </c>
      <c r="D196" s="7">
        <f>+251927191855</f>
        <v>251927191855</v>
      </c>
      <c r="E196" s="1" t="s">
        <v>397</v>
      </c>
      <c r="F196" s="1"/>
      <c r="G196" s="1" t="s">
        <v>14</v>
      </c>
      <c r="H196" s="1" t="s">
        <v>15</v>
      </c>
      <c r="I196" s="2">
        <v>25.47</v>
      </c>
    </row>
    <row r="197">
      <c r="A197" s="1" t="s">
        <v>1595</v>
      </c>
      <c r="B197" s="1" t="s">
        <v>1596</v>
      </c>
      <c r="C197" s="1" t="s">
        <v>643</v>
      </c>
      <c r="D197" s="7">
        <f>+251928598596</f>
        <v>251928598596</v>
      </c>
      <c r="E197" s="1" t="s">
        <v>397</v>
      </c>
      <c r="F197" s="1"/>
      <c r="G197" s="1" t="s">
        <v>14</v>
      </c>
      <c r="H197" s="1" t="s">
        <v>15</v>
      </c>
      <c r="I197" s="2">
        <v>21.73</v>
      </c>
    </row>
    <row r="198">
      <c r="A198" s="1" t="s">
        <v>1597</v>
      </c>
      <c r="B198" s="1" t="s">
        <v>1598</v>
      </c>
      <c r="C198" s="1" t="s">
        <v>1599</v>
      </c>
      <c r="D198" s="7">
        <f>+251929098312</f>
        <v>251929098312</v>
      </c>
      <c r="E198" s="1" t="s">
        <v>397</v>
      </c>
      <c r="F198" s="1"/>
      <c r="G198" s="1" t="s">
        <v>14</v>
      </c>
      <c r="H198" s="1" t="s">
        <v>20</v>
      </c>
      <c r="I198" s="2">
        <v>23.18</v>
      </c>
    </row>
    <row r="199">
      <c r="A199" s="1" t="s">
        <v>684</v>
      </c>
      <c r="B199" s="1" t="s">
        <v>293</v>
      </c>
      <c r="C199" s="1" t="s">
        <v>685</v>
      </c>
      <c r="D199" s="7">
        <f>+251929230572</f>
        <v>251929230572</v>
      </c>
      <c r="E199" s="1" t="s">
        <v>397</v>
      </c>
      <c r="F199" s="1"/>
      <c r="G199" s="1" t="s">
        <v>14</v>
      </c>
      <c r="H199" s="1" t="s">
        <v>15</v>
      </c>
      <c r="I199" s="2">
        <v>30.43</v>
      </c>
    </row>
    <row r="200">
      <c r="A200" s="1" t="s">
        <v>1600</v>
      </c>
      <c r="B200" s="1" t="s">
        <v>1548</v>
      </c>
      <c r="C200" s="1" t="s">
        <v>1601</v>
      </c>
      <c r="D200" s="7">
        <f>+251929245959</f>
        <v>251929245959</v>
      </c>
      <c r="E200" s="1" t="s">
        <v>397</v>
      </c>
      <c r="F200" s="1"/>
      <c r="G200" s="1" t="s">
        <v>14</v>
      </c>
      <c r="H200" s="1" t="s">
        <v>15</v>
      </c>
      <c r="I200" s="2">
        <v>35.74</v>
      </c>
    </row>
    <row r="201">
      <c r="A201" s="1" t="s">
        <v>687</v>
      </c>
      <c r="B201" s="1" t="s">
        <v>688</v>
      </c>
      <c r="C201" s="1" t="s">
        <v>689</v>
      </c>
      <c r="D201" s="7">
        <f>+251929303030</f>
        <v>251929303030</v>
      </c>
      <c r="E201" s="1" t="s">
        <v>397</v>
      </c>
      <c r="F201" s="1"/>
      <c r="G201" s="1" t="s">
        <v>14</v>
      </c>
      <c r="H201" s="1" t="s">
        <v>15</v>
      </c>
      <c r="I201" s="2">
        <v>34.5</v>
      </c>
    </row>
    <row r="202">
      <c r="A202" s="1" t="s">
        <v>1602</v>
      </c>
      <c r="B202" s="1" t="s">
        <v>39</v>
      </c>
      <c r="C202" s="1" t="s">
        <v>594</v>
      </c>
      <c r="D202" s="7">
        <f>+251929347963</f>
        <v>251929347963</v>
      </c>
      <c r="E202" s="1" t="s">
        <v>397</v>
      </c>
      <c r="F202" s="1"/>
      <c r="G202" s="1" t="s">
        <v>14</v>
      </c>
      <c r="H202" s="1" t="s">
        <v>15</v>
      </c>
      <c r="I202" s="2">
        <v>19.77</v>
      </c>
    </row>
    <row r="203">
      <c r="A203" s="1" t="s">
        <v>1603</v>
      </c>
      <c r="B203" s="1" t="s">
        <v>1604</v>
      </c>
      <c r="C203" s="1" t="s">
        <v>1605</v>
      </c>
      <c r="D203" s="7">
        <f>+251929496731</f>
        <v>251929496731</v>
      </c>
      <c r="E203" s="1" t="s">
        <v>397</v>
      </c>
      <c r="F203" s="1"/>
      <c r="G203" s="1" t="s">
        <v>14</v>
      </c>
      <c r="H203" s="1" t="s">
        <v>15</v>
      </c>
      <c r="I203" s="2">
        <v>29.05</v>
      </c>
    </row>
    <row r="204">
      <c r="A204" s="1" t="s">
        <v>1606</v>
      </c>
      <c r="B204" s="1" t="s">
        <v>1607</v>
      </c>
      <c r="C204" s="1" t="s">
        <v>393</v>
      </c>
      <c r="D204" s="7">
        <f>+251930447740</f>
        <v>251930447740</v>
      </c>
      <c r="E204" s="1" t="s">
        <v>397</v>
      </c>
      <c r="F204" s="1"/>
      <c r="G204" s="1" t="s">
        <v>14</v>
      </c>
      <c r="H204" s="1" t="s">
        <v>15</v>
      </c>
      <c r="I204" s="2">
        <v>26.63</v>
      </c>
    </row>
    <row r="205">
      <c r="A205" s="1" t="s">
        <v>1608</v>
      </c>
      <c r="B205" s="1" t="s">
        <v>202</v>
      </c>
      <c r="C205" s="1" t="s">
        <v>1609</v>
      </c>
      <c r="D205" s="7">
        <f>+251930926317</f>
        <v>251930926317</v>
      </c>
      <c r="E205" s="1" t="s">
        <v>397</v>
      </c>
      <c r="F205" s="1"/>
      <c r="G205" s="1" t="s">
        <v>14</v>
      </c>
      <c r="H205" s="1" t="s">
        <v>15</v>
      </c>
      <c r="I205" s="2">
        <v>27.3</v>
      </c>
    </row>
    <row r="206">
      <c r="A206" s="1" t="s">
        <v>1610</v>
      </c>
      <c r="B206" s="1" t="s">
        <v>1611</v>
      </c>
      <c r="C206" s="1" t="s">
        <v>1612</v>
      </c>
      <c r="D206" s="7">
        <f>+251931396325</f>
        <v>251931396325</v>
      </c>
      <c r="E206" s="1" t="s">
        <v>397</v>
      </c>
      <c r="F206" s="1"/>
      <c r="G206" s="1" t="s">
        <v>14</v>
      </c>
      <c r="H206" s="1" t="s">
        <v>15</v>
      </c>
      <c r="I206" s="2">
        <v>21.13</v>
      </c>
    </row>
    <row r="207">
      <c r="A207" s="1" t="s">
        <v>1613</v>
      </c>
      <c r="B207" s="1" t="s">
        <v>1614</v>
      </c>
      <c r="C207" s="1" t="s">
        <v>1615</v>
      </c>
      <c r="D207" s="7">
        <f>+251931568960</f>
        <v>251931568960</v>
      </c>
      <c r="E207" s="1" t="s">
        <v>397</v>
      </c>
      <c r="F207" s="1"/>
      <c r="G207" s="1" t="s">
        <v>14</v>
      </c>
      <c r="H207" s="1" t="s">
        <v>15</v>
      </c>
      <c r="I207" s="2">
        <v>19.94</v>
      </c>
    </row>
    <row r="208">
      <c r="A208" s="1" t="s">
        <v>1616</v>
      </c>
      <c r="B208" s="1" t="s">
        <v>1617</v>
      </c>
      <c r="C208" s="1" t="s">
        <v>532</v>
      </c>
      <c r="D208" s="7">
        <f>+251931611806</f>
        <v>251931611806</v>
      </c>
      <c r="E208" s="1" t="s">
        <v>397</v>
      </c>
      <c r="F208" s="1"/>
      <c r="G208" s="1" t="s">
        <v>14</v>
      </c>
      <c r="H208" s="1" t="s">
        <v>15</v>
      </c>
      <c r="I208" s="2">
        <v>28.98</v>
      </c>
    </row>
    <row r="209">
      <c r="A209" s="1" t="s">
        <v>1618</v>
      </c>
      <c r="B209" s="1" t="s">
        <v>1619</v>
      </c>
      <c r="C209" s="1" t="s">
        <v>1620</v>
      </c>
      <c r="D209" s="7">
        <f>+251932380297</f>
        <v>251932380297</v>
      </c>
      <c r="E209" s="1" t="s">
        <v>397</v>
      </c>
      <c r="F209" s="1"/>
      <c r="G209" s="1" t="s">
        <v>14</v>
      </c>
      <c r="H209" s="1" t="s">
        <v>15</v>
      </c>
      <c r="I209" s="2">
        <v>21.61</v>
      </c>
    </row>
    <row r="210">
      <c r="A210" s="1" t="s">
        <v>1621</v>
      </c>
      <c r="B210" s="1" t="s">
        <v>1622</v>
      </c>
      <c r="C210" s="1" t="s">
        <v>1623</v>
      </c>
      <c r="D210" s="7">
        <f>+251932622945</f>
        <v>251932622945</v>
      </c>
      <c r="E210" s="1" t="s">
        <v>397</v>
      </c>
      <c r="F210" s="1"/>
      <c r="G210" s="1" t="s">
        <v>14</v>
      </c>
      <c r="H210" s="1" t="s">
        <v>15</v>
      </c>
      <c r="I210" s="2">
        <v>22.21</v>
      </c>
    </row>
    <row r="211">
      <c r="A211" s="1" t="s">
        <v>1624</v>
      </c>
      <c r="B211" s="1" t="s">
        <v>1625</v>
      </c>
      <c r="C211" s="1" t="s">
        <v>275</v>
      </c>
      <c r="D211" s="7">
        <f>+251932945417</f>
        <v>251932945417</v>
      </c>
      <c r="E211" s="1" t="s">
        <v>397</v>
      </c>
      <c r="F211" s="1"/>
      <c r="G211" s="1" t="s">
        <v>14</v>
      </c>
      <c r="H211" s="1" t="s">
        <v>15</v>
      </c>
      <c r="I211" s="2">
        <v>27.79</v>
      </c>
    </row>
    <row r="212">
      <c r="A212" s="1" t="s">
        <v>191</v>
      </c>
      <c r="B212" s="1" t="s">
        <v>192</v>
      </c>
      <c r="C212" s="1" t="s">
        <v>193</v>
      </c>
      <c r="D212" s="7">
        <f>+251933262424</f>
        <v>251933262424</v>
      </c>
      <c r="E212" s="1" t="s">
        <v>397</v>
      </c>
      <c r="F212" s="1"/>
      <c r="G212" s="1" t="s">
        <v>195</v>
      </c>
      <c r="H212" s="1" t="s">
        <v>15</v>
      </c>
      <c r="I212" s="2">
        <v>36.51</v>
      </c>
    </row>
    <row r="213">
      <c r="A213" s="1" t="s">
        <v>1626</v>
      </c>
      <c r="B213" s="1" t="s">
        <v>1627</v>
      </c>
      <c r="C213" s="1" t="s">
        <v>1628</v>
      </c>
      <c r="D213" s="7">
        <f>+251935923693</f>
        <v>251935923693</v>
      </c>
      <c r="E213" s="1" t="s">
        <v>397</v>
      </c>
      <c r="F213" s="1"/>
      <c r="G213" s="1" t="s">
        <v>14</v>
      </c>
      <c r="H213" s="1" t="s">
        <v>15</v>
      </c>
      <c r="I213" s="2">
        <v>21.52</v>
      </c>
    </row>
    <row r="214">
      <c r="A214" s="1" t="s">
        <v>1629</v>
      </c>
      <c r="B214" s="1" t="s">
        <v>1330</v>
      </c>
      <c r="C214" s="1" t="s">
        <v>145</v>
      </c>
      <c r="D214" s="7">
        <f>+251936650202</f>
        <v>251936650202</v>
      </c>
      <c r="E214" s="1" t="s">
        <v>397</v>
      </c>
      <c r="F214" s="1"/>
      <c r="G214" s="1" t="s">
        <v>14</v>
      </c>
      <c r="H214" s="1" t="s">
        <v>15</v>
      </c>
      <c r="I214" s="2">
        <v>21.73</v>
      </c>
    </row>
    <row r="215">
      <c r="A215" s="1" t="s">
        <v>1630</v>
      </c>
      <c r="B215" s="1" t="s">
        <v>355</v>
      </c>
      <c r="C215" s="1" t="s">
        <v>59</v>
      </c>
      <c r="D215" s="7">
        <f>+251937510274</f>
        <v>251937510274</v>
      </c>
      <c r="E215" s="1" t="s">
        <v>397</v>
      </c>
      <c r="F215" s="1"/>
      <c r="G215" s="1" t="s">
        <v>151</v>
      </c>
      <c r="H215" s="1" t="s">
        <v>15</v>
      </c>
      <c r="I215" s="2">
        <v>28.78</v>
      </c>
    </row>
    <row r="216">
      <c r="A216" s="1" t="s">
        <v>1631</v>
      </c>
      <c r="B216" s="1" t="s">
        <v>1632</v>
      </c>
      <c r="C216" s="1" t="s">
        <v>560</v>
      </c>
      <c r="D216" s="8">
        <v>2.51937591141E11</v>
      </c>
      <c r="E216" s="1" t="s">
        <v>397</v>
      </c>
      <c r="F216" s="1"/>
      <c r="G216" s="1" t="s">
        <v>14</v>
      </c>
      <c r="H216" s="1" t="s">
        <v>20</v>
      </c>
      <c r="I216" s="2">
        <v>20.91</v>
      </c>
    </row>
    <row r="217">
      <c r="A217" s="1" t="s">
        <v>1633</v>
      </c>
      <c r="B217" s="1" t="s">
        <v>1634</v>
      </c>
      <c r="C217" s="1" t="s">
        <v>1635</v>
      </c>
      <c r="D217" s="7">
        <f>+251937660200</f>
        <v>251937660200</v>
      </c>
      <c r="E217" s="1" t="s">
        <v>397</v>
      </c>
      <c r="F217" s="1"/>
      <c r="G217" s="1" t="s">
        <v>14</v>
      </c>
      <c r="H217" s="1" t="s">
        <v>15</v>
      </c>
      <c r="I217" s="2">
        <v>22.97</v>
      </c>
    </row>
    <row r="218">
      <c r="A218" s="1" t="s">
        <v>1636</v>
      </c>
      <c r="B218" s="1" t="s">
        <v>1637</v>
      </c>
      <c r="C218" s="1" t="s">
        <v>1638</v>
      </c>
      <c r="D218" s="7">
        <f>+251938018734</f>
        <v>251938018734</v>
      </c>
      <c r="E218" s="1" t="s">
        <v>397</v>
      </c>
      <c r="F218" s="1"/>
      <c r="G218" s="1" t="s">
        <v>14</v>
      </c>
      <c r="H218" s="1" t="s">
        <v>15</v>
      </c>
      <c r="I218" s="2">
        <v>27.67</v>
      </c>
    </row>
    <row r="219">
      <c r="A219" s="1" t="s">
        <v>1639</v>
      </c>
      <c r="B219" s="1" t="s">
        <v>1640</v>
      </c>
      <c r="C219" s="1" t="s">
        <v>1641</v>
      </c>
      <c r="D219" s="7">
        <f>+251938332013</f>
        <v>251938332013</v>
      </c>
      <c r="E219" s="1" t="s">
        <v>397</v>
      </c>
      <c r="F219" s="1"/>
      <c r="G219" s="1" t="s">
        <v>14</v>
      </c>
      <c r="H219" s="1" t="s">
        <v>20</v>
      </c>
      <c r="I219" s="2">
        <v>26.9</v>
      </c>
    </row>
    <row r="220">
      <c r="A220" s="1" t="s">
        <v>749</v>
      </c>
      <c r="B220" s="1" t="s">
        <v>475</v>
      </c>
      <c r="C220" s="1" t="s">
        <v>750</v>
      </c>
      <c r="D220" s="8">
        <v>2.51938388677E11</v>
      </c>
      <c r="E220" s="1" t="s">
        <v>397</v>
      </c>
      <c r="F220" s="1"/>
      <c r="G220" s="1" t="s">
        <v>14</v>
      </c>
      <c r="H220" s="1" t="s">
        <v>15</v>
      </c>
      <c r="I220" s="2">
        <v>25.47</v>
      </c>
    </row>
    <row r="221">
      <c r="A221" s="1" t="s">
        <v>752</v>
      </c>
      <c r="B221" s="1" t="s">
        <v>636</v>
      </c>
      <c r="C221" s="1" t="s">
        <v>366</v>
      </c>
      <c r="D221" s="7">
        <f>+251938489390</f>
        <v>251938489390</v>
      </c>
      <c r="E221" s="1" t="s">
        <v>397</v>
      </c>
      <c r="F221" s="1"/>
      <c r="G221" s="1" t="s">
        <v>14</v>
      </c>
      <c r="H221" s="1" t="s">
        <v>15</v>
      </c>
      <c r="I221" s="2">
        <v>24.93</v>
      </c>
    </row>
    <row r="222">
      <c r="A222" s="1" t="s">
        <v>754</v>
      </c>
      <c r="B222" s="1" t="s">
        <v>755</v>
      </c>
      <c r="C222" s="1" t="s">
        <v>756</v>
      </c>
      <c r="D222" s="7">
        <f>+251938542951</f>
        <v>251938542951</v>
      </c>
      <c r="E222" s="1" t="s">
        <v>397</v>
      </c>
      <c r="F222" s="1"/>
      <c r="G222" s="1" t="s">
        <v>14</v>
      </c>
      <c r="H222" s="1" t="s">
        <v>15</v>
      </c>
      <c r="I222" s="2">
        <v>19.87</v>
      </c>
    </row>
    <row r="223">
      <c r="A223" s="1" t="s">
        <v>1642</v>
      </c>
      <c r="B223" s="1" t="s">
        <v>1247</v>
      </c>
      <c r="C223" s="1" t="s">
        <v>127</v>
      </c>
      <c r="D223" s="7">
        <f>+251938823882</f>
        <v>251938823882</v>
      </c>
      <c r="E223" s="1" t="s">
        <v>397</v>
      </c>
      <c r="F223" s="1"/>
      <c r="G223" s="1" t="s">
        <v>14</v>
      </c>
      <c r="H223" s="1" t="s">
        <v>15</v>
      </c>
      <c r="I223" s="2">
        <v>24.42</v>
      </c>
    </row>
    <row r="224">
      <c r="A224" s="1" t="s">
        <v>1643</v>
      </c>
      <c r="B224" s="1" t="s">
        <v>1644</v>
      </c>
      <c r="C224" s="1" t="s">
        <v>1645</v>
      </c>
      <c r="D224" s="7">
        <f>+251939616044</f>
        <v>251939616044</v>
      </c>
      <c r="E224" s="1" t="s">
        <v>397</v>
      </c>
      <c r="F224" s="1"/>
      <c r="G224" s="1" t="s">
        <v>14</v>
      </c>
      <c r="H224" s="1" t="s">
        <v>15</v>
      </c>
      <c r="I224" s="2">
        <v>24.33</v>
      </c>
    </row>
    <row r="225">
      <c r="A225" s="1" t="s">
        <v>1646</v>
      </c>
      <c r="B225" s="1" t="s">
        <v>1647</v>
      </c>
      <c r="C225" s="1" t="s">
        <v>1648</v>
      </c>
      <c r="D225" s="7">
        <f>+251940436576</f>
        <v>251940436576</v>
      </c>
      <c r="E225" s="1" t="s">
        <v>397</v>
      </c>
      <c r="F225" s="1"/>
      <c r="G225" s="1" t="s">
        <v>14</v>
      </c>
      <c r="H225" s="1" t="s">
        <v>15</v>
      </c>
      <c r="I225" s="2">
        <v>19.42</v>
      </c>
    </row>
    <row r="226">
      <c r="A226" s="1" t="s">
        <v>1649</v>
      </c>
      <c r="B226" s="1" t="s">
        <v>1650</v>
      </c>
      <c r="C226" s="1" t="s">
        <v>1651</v>
      </c>
      <c r="D226" s="7">
        <f>+251941318298</f>
        <v>251941318298</v>
      </c>
      <c r="E226" s="1" t="s">
        <v>397</v>
      </c>
      <c r="F226" s="1"/>
      <c r="G226" s="1" t="s">
        <v>14</v>
      </c>
      <c r="H226" s="1" t="s">
        <v>15</v>
      </c>
      <c r="I226" s="2">
        <v>21.04</v>
      </c>
    </row>
    <row r="227">
      <c r="A227" s="1" t="s">
        <v>1652</v>
      </c>
      <c r="B227" s="1" t="s">
        <v>1653</v>
      </c>
      <c r="C227" s="1" t="s">
        <v>1654</v>
      </c>
      <c r="D227" s="7">
        <f>+251941960154</f>
        <v>251941960154</v>
      </c>
      <c r="E227" s="1" t="s">
        <v>397</v>
      </c>
      <c r="F227" s="1"/>
      <c r="G227" s="1" t="s">
        <v>14</v>
      </c>
      <c r="H227" s="1" t="s">
        <v>15</v>
      </c>
      <c r="I227" s="2">
        <v>27.64</v>
      </c>
    </row>
    <row r="228">
      <c r="A228" s="1" t="s">
        <v>1655</v>
      </c>
      <c r="B228" s="1" t="s">
        <v>1354</v>
      </c>
      <c r="C228" s="1" t="s">
        <v>1656</v>
      </c>
      <c r="D228" s="7">
        <f>+251942866323</f>
        <v>251942866323</v>
      </c>
      <c r="E228" s="1" t="s">
        <v>397</v>
      </c>
      <c r="F228" s="1"/>
      <c r="G228" s="1" t="s">
        <v>14</v>
      </c>
      <c r="H228" s="1" t="s">
        <v>15</v>
      </c>
      <c r="I228" s="2">
        <v>21.77</v>
      </c>
    </row>
    <row r="229">
      <c r="A229" s="1" t="s">
        <v>1657</v>
      </c>
      <c r="B229" s="1" t="s">
        <v>184</v>
      </c>
      <c r="C229" s="1" t="s">
        <v>1658</v>
      </c>
      <c r="D229" s="7">
        <f>+251943016897</f>
        <v>251943016897</v>
      </c>
      <c r="E229" s="1" t="s">
        <v>397</v>
      </c>
      <c r="F229" s="1"/>
      <c r="G229" s="1" t="s">
        <v>14</v>
      </c>
      <c r="H229" s="1" t="s">
        <v>15</v>
      </c>
      <c r="I229" s="2">
        <v>29.39</v>
      </c>
    </row>
    <row r="230">
      <c r="A230" s="1" t="s">
        <v>1659</v>
      </c>
      <c r="B230" s="1" t="s">
        <v>1660</v>
      </c>
      <c r="C230" s="1" t="s">
        <v>1661</v>
      </c>
      <c r="D230" s="7">
        <f>+251943100166</f>
        <v>251943100166</v>
      </c>
      <c r="E230" s="1" t="s">
        <v>397</v>
      </c>
      <c r="F230" s="1"/>
      <c r="G230" s="1" t="s">
        <v>14</v>
      </c>
      <c r="H230" s="1" t="s">
        <v>15</v>
      </c>
      <c r="I230" s="2">
        <v>37.36</v>
      </c>
    </row>
    <row r="231">
      <c r="A231" s="1" t="s">
        <v>1662</v>
      </c>
      <c r="B231" s="1" t="s">
        <v>1663</v>
      </c>
      <c r="C231" s="1" t="s">
        <v>1664</v>
      </c>
      <c r="D231" s="7">
        <f>+251943322555</f>
        <v>251943322555</v>
      </c>
      <c r="E231" s="1" t="s">
        <v>397</v>
      </c>
      <c r="F231" s="1"/>
      <c r="G231" s="1" t="s">
        <v>14</v>
      </c>
      <c r="H231" s="1" t="s">
        <v>20</v>
      </c>
      <c r="I231" s="2">
        <v>21.19</v>
      </c>
    </row>
    <row r="232">
      <c r="A232" s="1" t="s">
        <v>1665</v>
      </c>
      <c r="B232" s="1" t="s">
        <v>468</v>
      </c>
      <c r="C232" s="1" t="s">
        <v>1582</v>
      </c>
      <c r="D232" s="7">
        <f>+251943504322</f>
        <v>251943504322</v>
      </c>
      <c r="E232" s="1" t="s">
        <v>397</v>
      </c>
      <c r="F232" s="1"/>
      <c r="G232" s="1" t="s">
        <v>14</v>
      </c>
      <c r="H232" s="1" t="s">
        <v>15</v>
      </c>
      <c r="I232" s="2">
        <v>25.73</v>
      </c>
    </row>
    <row r="233">
      <c r="A233" s="1" t="s">
        <v>1666</v>
      </c>
      <c r="B233" s="1" t="s">
        <v>1320</v>
      </c>
      <c r="C233" s="1" t="s">
        <v>1667</v>
      </c>
      <c r="D233" s="7">
        <f>+251944060823</f>
        <v>251944060823</v>
      </c>
      <c r="E233" s="1" t="s">
        <v>397</v>
      </c>
      <c r="F233" s="1"/>
      <c r="G233" s="1" t="s">
        <v>14</v>
      </c>
      <c r="H233" s="1" t="s">
        <v>15</v>
      </c>
      <c r="I233" s="2">
        <v>22.82</v>
      </c>
    </row>
    <row r="234">
      <c r="A234" s="1" t="s">
        <v>1668</v>
      </c>
      <c r="B234" s="1" t="s">
        <v>1669</v>
      </c>
      <c r="C234" s="1" t="s">
        <v>1670</v>
      </c>
      <c r="D234" s="7">
        <f>+251944101219</f>
        <v>251944101219</v>
      </c>
      <c r="E234" s="1" t="s">
        <v>397</v>
      </c>
      <c r="F234" s="1"/>
      <c r="G234" s="1" t="s">
        <v>14</v>
      </c>
      <c r="H234" s="1" t="s">
        <v>15</v>
      </c>
      <c r="I234" s="2">
        <v>21.02</v>
      </c>
    </row>
    <row r="235">
      <c r="A235" s="1" t="s">
        <v>1671</v>
      </c>
      <c r="B235" s="1" t="s">
        <v>785</v>
      </c>
      <c r="C235" s="1" t="s">
        <v>1531</v>
      </c>
      <c r="D235" s="7">
        <f>+251944214770</f>
        <v>251944214770</v>
      </c>
      <c r="E235" s="1" t="s">
        <v>397</v>
      </c>
      <c r="F235" s="1"/>
      <c r="G235" s="1" t="s">
        <v>14</v>
      </c>
      <c r="H235" s="1" t="s">
        <v>15</v>
      </c>
      <c r="I235" s="2">
        <v>21.14</v>
      </c>
    </row>
    <row r="236">
      <c r="A236" s="1" t="s">
        <v>1672</v>
      </c>
      <c r="B236" s="1" t="s">
        <v>806</v>
      </c>
      <c r="C236" s="1" t="s">
        <v>1673</v>
      </c>
      <c r="D236" s="7">
        <f>+251944225845</f>
        <v>251944225845</v>
      </c>
      <c r="E236" s="1" t="s">
        <v>397</v>
      </c>
      <c r="F236" s="1"/>
      <c r="G236" s="1" t="s">
        <v>14</v>
      </c>
      <c r="H236" s="1" t="s">
        <v>15</v>
      </c>
      <c r="I236" s="2">
        <v>20.06</v>
      </c>
    </row>
    <row r="237">
      <c r="A237" s="1" t="s">
        <v>1674</v>
      </c>
      <c r="B237" s="1" t="s">
        <v>1675</v>
      </c>
      <c r="C237" s="1" t="s">
        <v>1676</v>
      </c>
      <c r="D237" s="7">
        <f>+251945452049</f>
        <v>251945452049</v>
      </c>
      <c r="E237" s="1" t="s">
        <v>397</v>
      </c>
      <c r="F237" s="1"/>
      <c r="G237" s="1" t="s">
        <v>205</v>
      </c>
      <c r="H237" s="1" t="s">
        <v>20</v>
      </c>
      <c r="I237" s="2">
        <v>21.15</v>
      </c>
    </row>
    <row r="238">
      <c r="A238" s="1" t="s">
        <v>1677</v>
      </c>
      <c r="B238" s="1" t="s">
        <v>1429</v>
      </c>
      <c r="C238" s="1" t="s">
        <v>451</v>
      </c>
      <c r="D238" s="7">
        <f>+251945708481</f>
        <v>251945708481</v>
      </c>
      <c r="E238" s="1" t="s">
        <v>397</v>
      </c>
      <c r="F238" s="1"/>
      <c r="G238" s="1" t="s">
        <v>14</v>
      </c>
      <c r="H238" s="1" t="s">
        <v>15</v>
      </c>
      <c r="I238" s="2">
        <v>22.42</v>
      </c>
    </row>
    <row r="239">
      <c r="A239" s="1" t="s">
        <v>1678</v>
      </c>
      <c r="B239" s="1" t="s">
        <v>1679</v>
      </c>
      <c r="C239" s="1" t="s">
        <v>113</v>
      </c>
      <c r="D239" s="7">
        <f>+251945751422</f>
        <v>251945751422</v>
      </c>
      <c r="E239" s="1" t="s">
        <v>397</v>
      </c>
      <c r="F239" s="1"/>
      <c r="G239" s="1" t="s">
        <v>14</v>
      </c>
      <c r="H239" s="1" t="s">
        <v>15</v>
      </c>
      <c r="I239" s="2">
        <v>19.03</v>
      </c>
    </row>
    <row r="240">
      <c r="A240" s="1" t="s">
        <v>1680</v>
      </c>
      <c r="B240" s="1" t="s">
        <v>962</v>
      </c>
      <c r="C240" s="1" t="s">
        <v>1681</v>
      </c>
      <c r="D240" s="7">
        <f>+251945801419</f>
        <v>251945801419</v>
      </c>
      <c r="E240" s="1" t="s">
        <v>397</v>
      </c>
      <c r="F240" s="1"/>
      <c r="G240" s="1" t="s">
        <v>14</v>
      </c>
      <c r="H240" s="1" t="s">
        <v>15</v>
      </c>
      <c r="I240" s="2">
        <v>20.06</v>
      </c>
    </row>
    <row r="241">
      <c r="A241" s="1" t="s">
        <v>1682</v>
      </c>
      <c r="B241" s="1" t="s">
        <v>184</v>
      </c>
      <c r="C241" s="1" t="s">
        <v>1683</v>
      </c>
      <c r="D241" s="7">
        <f>+251945881280</f>
        <v>251945881280</v>
      </c>
      <c r="E241" s="1" t="s">
        <v>397</v>
      </c>
      <c r="F241" s="1"/>
      <c r="G241" s="1" t="s">
        <v>14</v>
      </c>
      <c r="H241" s="1" t="s">
        <v>15</v>
      </c>
      <c r="I241" s="2">
        <v>25.24</v>
      </c>
    </row>
    <row r="242">
      <c r="A242" s="1" t="s">
        <v>1684</v>
      </c>
      <c r="B242" s="1" t="s">
        <v>1685</v>
      </c>
      <c r="C242" s="1" t="s">
        <v>1686</v>
      </c>
      <c r="D242" s="7">
        <f>+251946100695</f>
        <v>251946100695</v>
      </c>
      <c r="E242" s="1" t="s">
        <v>397</v>
      </c>
      <c r="F242" s="1"/>
      <c r="G242" s="1" t="s">
        <v>14</v>
      </c>
      <c r="H242" s="1" t="s">
        <v>15</v>
      </c>
      <c r="I242" s="2">
        <v>21.54</v>
      </c>
    </row>
    <row r="243">
      <c r="A243" s="1" t="s">
        <v>1687</v>
      </c>
      <c r="B243" s="1" t="s">
        <v>117</v>
      </c>
      <c r="C243" s="1" t="s">
        <v>594</v>
      </c>
      <c r="D243" s="7">
        <f>+251946346545</f>
        <v>251946346545</v>
      </c>
      <c r="E243" s="1" t="s">
        <v>397</v>
      </c>
      <c r="F243" s="1"/>
      <c r="G243" s="1" t="s">
        <v>14</v>
      </c>
      <c r="H243" s="1" t="s">
        <v>15</v>
      </c>
      <c r="I243" s="2">
        <v>24.03</v>
      </c>
    </row>
    <row r="244">
      <c r="A244" s="1" t="s">
        <v>837</v>
      </c>
      <c r="B244" s="1" t="s">
        <v>229</v>
      </c>
      <c r="C244" s="1" t="s">
        <v>838</v>
      </c>
      <c r="D244" s="7">
        <f>+251946352181</f>
        <v>251946352181</v>
      </c>
      <c r="E244" s="1" t="s">
        <v>397</v>
      </c>
      <c r="F244" s="1"/>
      <c r="G244" s="1" t="s">
        <v>14</v>
      </c>
      <c r="H244" s="1" t="s">
        <v>15</v>
      </c>
      <c r="I244" s="2">
        <v>29.01</v>
      </c>
    </row>
    <row r="245">
      <c r="A245" s="1" t="s">
        <v>1688</v>
      </c>
      <c r="B245" s="1" t="s">
        <v>1149</v>
      </c>
      <c r="C245" s="1" t="s">
        <v>101</v>
      </c>
      <c r="D245" s="7">
        <f>+251946410382</f>
        <v>251946410382</v>
      </c>
      <c r="E245" s="1" t="s">
        <v>397</v>
      </c>
      <c r="F245" s="1"/>
      <c r="G245" s="1" t="s">
        <v>14</v>
      </c>
      <c r="H245" s="1" t="s">
        <v>15</v>
      </c>
      <c r="I245" s="2">
        <v>20.34</v>
      </c>
    </row>
    <row r="246">
      <c r="A246" s="1" t="s">
        <v>1689</v>
      </c>
      <c r="B246" s="1" t="s">
        <v>1690</v>
      </c>
      <c r="C246" s="1" t="s">
        <v>342</v>
      </c>
      <c r="D246" s="8">
        <v>2.51946428897E11</v>
      </c>
      <c r="E246" s="1" t="s">
        <v>397</v>
      </c>
      <c r="F246" s="1"/>
      <c r="G246" s="1" t="s">
        <v>14</v>
      </c>
      <c r="H246" s="1" t="s">
        <v>20</v>
      </c>
      <c r="I246" s="2">
        <v>25.35</v>
      </c>
    </row>
    <row r="247">
      <c r="A247" s="1" t="s">
        <v>1691</v>
      </c>
      <c r="B247" s="1" t="s">
        <v>1692</v>
      </c>
      <c r="C247" s="1" t="s">
        <v>667</v>
      </c>
      <c r="D247" s="7">
        <f>+251946564739</f>
        <v>251946564739</v>
      </c>
      <c r="E247" s="1" t="s">
        <v>397</v>
      </c>
      <c r="F247" s="1"/>
      <c r="G247" s="1" t="s">
        <v>14</v>
      </c>
      <c r="H247" s="1" t="s">
        <v>20</v>
      </c>
      <c r="I247" s="2">
        <v>27.86</v>
      </c>
    </row>
    <row r="248">
      <c r="A248" s="1" t="s">
        <v>1693</v>
      </c>
      <c r="B248" s="1" t="s">
        <v>1694</v>
      </c>
      <c r="C248" s="1" t="s">
        <v>1695</v>
      </c>
      <c r="D248" s="7">
        <f>+251946651487</f>
        <v>251946651487</v>
      </c>
      <c r="E248" s="1" t="s">
        <v>397</v>
      </c>
      <c r="F248" s="1"/>
      <c r="G248" s="1" t="s">
        <v>14</v>
      </c>
      <c r="H248" s="1" t="s">
        <v>15</v>
      </c>
      <c r="I248" s="2">
        <v>21.88</v>
      </c>
    </row>
    <row r="249">
      <c r="A249" s="1" t="s">
        <v>1696</v>
      </c>
      <c r="B249" s="1" t="s">
        <v>642</v>
      </c>
      <c r="C249" s="1" t="s">
        <v>661</v>
      </c>
      <c r="D249" s="7">
        <f>+251952955080</f>
        <v>251952955080</v>
      </c>
      <c r="E249" s="1" t="s">
        <v>397</v>
      </c>
      <c r="F249" s="1"/>
      <c r="G249" s="1" t="s">
        <v>14</v>
      </c>
      <c r="H249" s="1" t="s">
        <v>20</v>
      </c>
      <c r="I249" s="2">
        <v>25.87</v>
      </c>
    </row>
    <row r="250">
      <c r="A250" s="1" t="s">
        <v>1697</v>
      </c>
      <c r="B250" s="1" t="s">
        <v>1698</v>
      </c>
      <c r="C250" s="1" t="s">
        <v>1461</v>
      </c>
      <c r="D250" s="7">
        <f>+251953056201</f>
        <v>251953056201</v>
      </c>
      <c r="E250" s="1" t="s">
        <v>397</v>
      </c>
      <c r="F250" s="1"/>
      <c r="G250" s="1" t="s">
        <v>14</v>
      </c>
      <c r="H250" s="1" t="s">
        <v>15</v>
      </c>
      <c r="I250" s="2">
        <v>23.24</v>
      </c>
    </row>
    <row r="251">
      <c r="A251" s="1" t="s">
        <v>1699</v>
      </c>
      <c r="B251" s="1" t="s">
        <v>412</v>
      </c>
      <c r="C251" s="1" t="s">
        <v>101</v>
      </c>
      <c r="D251" s="7">
        <f>+251953340876</f>
        <v>251953340876</v>
      </c>
      <c r="E251" s="1" t="s">
        <v>397</v>
      </c>
      <c r="F251" s="1"/>
      <c r="G251" s="1" t="s">
        <v>14</v>
      </c>
      <c r="H251" s="1" t="s">
        <v>15</v>
      </c>
      <c r="I251" s="2">
        <v>21.74</v>
      </c>
    </row>
    <row r="252">
      <c r="A252" s="1" t="s">
        <v>1700</v>
      </c>
      <c r="B252" s="1" t="s">
        <v>1701</v>
      </c>
      <c r="C252" s="1" t="s">
        <v>1702</v>
      </c>
      <c r="D252" s="7">
        <f>+251953463688</f>
        <v>251953463688</v>
      </c>
      <c r="E252" s="1" t="s">
        <v>397</v>
      </c>
      <c r="F252" s="1"/>
      <c r="G252" s="1" t="s">
        <v>195</v>
      </c>
      <c r="H252" s="1" t="s">
        <v>15</v>
      </c>
      <c r="I252" s="2">
        <v>20.35</v>
      </c>
    </row>
    <row r="253">
      <c r="A253" s="1" t="s">
        <v>1703</v>
      </c>
      <c r="B253" s="1" t="s">
        <v>806</v>
      </c>
      <c r="C253" s="1" t="s">
        <v>1704</v>
      </c>
      <c r="D253" s="7">
        <f>+251953581906</f>
        <v>251953581906</v>
      </c>
      <c r="E253" s="1" t="s">
        <v>397</v>
      </c>
      <c r="F253" s="1"/>
      <c r="G253" s="1" t="s">
        <v>195</v>
      </c>
      <c r="H253" s="1" t="s">
        <v>15</v>
      </c>
      <c r="I253" s="2">
        <v>23.13</v>
      </c>
    </row>
    <row r="254">
      <c r="A254" s="1" t="s">
        <v>1705</v>
      </c>
      <c r="B254" s="1" t="s">
        <v>184</v>
      </c>
      <c r="C254" s="1" t="s">
        <v>1706</v>
      </c>
      <c r="D254" s="7">
        <f>+251953902958</f>
        <v>251953902958</v>
      </c>
      <c r="E254" s="1" t="s">
        <v>397</v>
      </c>
      <c r="F254" s="1"/>
      <c r="G254" s="1" t="s">
        <v>14</v>
      </c>
      <c r="H254" s="1" t="s">
        <v>15</v>
      </c>
      <c r="I254" s="2">
        <v>22.63</v>
      </c>
    </row>
    <row r="255">
      <c r="A255" s="1" t="s">
        <v>1707</v>
      </c>
      <c r="B255" s="1" t="s">
        <v>1708</v>
      </c>
      <c r="C255" s="1" t="s">
        <v>346</v>
      </c>
      <c r="D255" s="7">
        <f>+251955338566</f>
        <v>251955338566</v>
      </c>
      <c r="E255" s="1" t="s">
        <v>397</v>
      </c>
      <c r="F255" s="1"/>
      <c r="G255" s="1" t="s">
        <v>14</v>
      </c>
      <c r="H255" s="1" t="s">
        <v>15</v>
      </c>
      <c r="I255" s="2">
        <v>22.81</v>
      </c>
    </row>
    <row r="256">
      <c r="A256" s="1" t="s">
        <v>1709</v>
      </c>
      <c r="B256" s="1" t="s">
        <v>1429</v>
      </c>
      <c r="C256" s="1" t="s">
        <v>1710</v>
      </c>
      <c r="D256" s="7">
        <f>+251960781348</f>
        <v>251960781348</v>
      </c>
      <c r="E256" s="1" t="s">
        <v>397</v>
      </c>
      <c r="F256" s="1"/>
      <c r="G256" s="1" t="s">
        <v>205</v>
      </c>
      <c r="H256" s="1" t="s">
        <v>15</v>
      </c>
      <c r="I256" s="2">
        <v>23.93</v>
      </c>
    </row>
    <row r="257">
      <c r="A257" s="1" t="s">
        <v>1711</v>
      </c>
      <c r="B257" s="1" t="s">
        <v>785</v>
      </c>
      <c r="C257" s="1" t="s">
        <v>962</v>
      </c>
      <c r="D257" s="7">
        <f>+251963176266</f>
        <v>251963176266</v>
      </c>
      <c r="E257" s="1" t="s">
        <v>397</v>
      </c>
      <c r="F257" s="1"/>
      <c r="G257" s="1" t="s">
        <v>14</v>
      </c>
      <c r="H257" s="1" t="s">
        <v>15</v>
      </c>
      <c r="I257" s="2">
        <v>25.11</v>
      </c>
    </row>
    <row r="258">
      <c r="A258" s="1" t="s">
        <v>1712</v>
      </c>
      <c r="B258" s="1" t="s">
        <v>1713</v>
      </c>
      <c r="C258" s="1" t="s">
        <v>1714</v>
      </c>
      <c r="D258" s="7">
        <f>+251963494990</f>
        <v>251963494990</v>
      </c>
      <c r="E258" s="1" t="s">
        <v>397</v>
      </c>
      <c r="F258" s="1"/>
      <c r="G258" s="1" t="s">
        <v>14</v>
      </c>
      <c r="H258" s="1" t="s">
        <v>20</v>
      </c>
      <c r="I258" s="2">
        <v>22.38</v>
      </c>
    </row>
    <row r="259">
      <c r="A259" s="1" t="s">
        <v>964</v>
      </c>
      <c r="B259" s="1" t="s">
        <v>965</v>
      </c>
      <c r="C259" s="1" t="s">
        <v>253</v>
      </c>
      <c r="D259" s="7">
        <f>+251964138608</f>
        <v>251964138608</v>
      </c>
      <c r="E259" s="1" t="s">
        <v>397</v>
      </c>
      <c r="F259" s="1"/>
      <c r="G259" s="1" t="s">
        <v>14</v>
      </c>
      <c r="H259" s="1" t="s">
        <v>15</v>
      </c>
      <c r="I259" s="2">
        <v>26.01</v>
      </c>
    </row>
    <row r="260">
      <c r="A260" s="1" t="s">
        <v>1715</v>
      </c>
      <c r="B260" s="1" t="s">
        <v>309</v>
      </c>
      <c r="C260" s="1" t="s">
        <v>1716</v>
      </c>
      <c r="D260" s="7">
        <f>+251964377216</f>
        <v>251964377216</v>
      </c>
      <c r="E260" s="1" t="s">
        <v>397</v>
      </c>
      <c r="F260" s="1"/>
      <c r="G260" s="1" t="s">
        <v>14</v>
      </c>
      <c r="H260" s="1" t="s">
        <v>15</v>
      </c>
      <c r="I260" s="2">
        <v>21.95</v>
      </c>
    </row>
    <row r="261">
      <c r="A261" s="1" t="s">
        <v>1717</v>
      </c>
      <c r="B261" s="1" t="s">
        <v>337</v>
      </c>
      <c r="C261" s="1" t="s">
        <v>1718</v>
      </c>
      <c r="D261" s="7">
        <f>+251964798951</f>
        <v>251964798951</v>
      </c>
      <c r="E261" s="1" t="s">
        <v>397</v>
      </c>
      <c r="F261" s="1"/>
      <c r="G261" s="1" t="s">
        <v>14</v>
      </c>
      <c r="H261" s="1" t="s">
        <v>15</v>
      </c>
      <c r="I261" s="2">
        <v>22.89</v>
      </c>
    </row>
    <row r="262">
      <c r="A262" s="1" t="s">
        <v>1719</v>
      </c>
      <c r="B262" s="1" t="s">
        <v>104</v>
      </c>
      <c r="C262" s="1" t="s">
        <v>1720</v>
      </c>
      <c r="D262" s="7">
        <f>+251965370960</f>
        <v>251965370960</v>
      </c>
      <c r="E262" s="1" t="s">
        <v>397</v>
      </c>
      <c r="F262" s="1"/>
      <c r="G262" s="1" t="s">
        <v>669</v>
      </c>
      <c r="H262" s="1" t="s">
        <v>15</v>
      </c>
      <c r="I262" s="2">
        <v>28.58</v>
      </c>
    </row>
    <row r="263">
      <c r="A263" s="1" t="s">
        <v>1721</v>
      </c>
      <c r="B263" s="1" t="s">
        <v>1722</v>
      </c>
      <c r="C263" s="1" t="s">
        <v>643</v>
      </c>
      <c r="D263" s="7">
        <f>+251965772763</f>
        <v>251965772763</v>
      </c>
      <c r="E263" s="1" t="s">
        <v>397</v>
      </c>
      <c r="F263" s="1"/>
      <c r="G263" s="1" t="s">
        <v>14</v>
      </c>
      <c r="H263" s="1" t="s">
        <v>15</v>
      </c>
      <c r="I263" s="2">
        <v>24.09</v>
      </c>
    </row>
    <row r="264">
      <c r="A264" s="1" t="s">
        <v>1723</v>
      </c>
      <c r="B264" s="1" t="s">
        <v>184</v>
      </c>
      <c r="C264" s="1" t="s">
        <v>275</v>
      </c>
      <c r="D264" s="7">
        <f>+251966080363</f>
        <v>251966080363</v>
      </c>
      <c r="E264" s="1" t="s">
        <v>397</v>
      </c>
      <c r="F264" s="1"/>
      <c r="G264" s="1" t="s">
        <v>14</v>
      </c>
      <c r="H264" s="1" t="s">
        <v>15</v>
      </c>
      <c r="I264" s="2">
        <v>19.9</v>
      </c>
    </row>
    <row r="265">
      <c r="A265" s="1" t="s">
        <v>1724</v>
      </c>
      <c r="B265" s="1" t="s">
        <v>1725</v>
      </c>
      <c r="C265" s="1" t="s">
        <v>382</v>
      </c>
      <c r="D265" s="7">
        <f>+251966143454</f>
        <v>251966143454</v>
      </c>
      <c r="E265" s="1" t="s">
        <v>397</v>
      </c>
      <c r="F265" s="1"/>
      <c r="G265" s="1" t="s">
        <v>14</v>
      </c>
      <c r="H265" s="1" t="s">
        <v>15</v>
      </c>
      <c r="I265" s="2">
        <v>25.03</v>
      </c>
    </row>
    <row r="266">
      <c r="A266" s="1" t="s">
        <v>1726</v>
      </c>
      <c r="B266" s="1" t="s">
        <v>1340</v>
      </c>
      <c r="C266" s="1" t="s">
        <v>305</v>
      </c>
      <c r="D266" s="7">
        <f>+251966144194</f>
        <v>251966144194</v>
      </c>
      <c r="E266" s="1" t="s">
        <v>397</v>
      </c>
      <c r="F266" s="1"/>
      <c r="G266" s="1" t="s">
        <v>14</v>
      </c>
      <c r="H266" s="1" t="s">
        <v>20</v>
      </c>
      <c r="I266" s="2">
        <v>25.14</v>
      </c>
    </row>
    <row r="267">
      <c r="A267" s="1" t="s">
        <v>1727</v>
      </c>
      <c r="B267" s="1" t="s">
        <v>1728</v>
      </c>
      <c r="C267" s="1" t="s">
        <v>1729</v>
      </c>
      <c r="D267" s="7">
        <f>+251966303020</f>
        <v>251966303020</v>
      </c>
      <c r="E267" s="1" t="s">
        <v>397</v>
      </c>
      <c r="F267" s="1"/>
      <c r="G267" s="1" t="s">
        <v>205</v>
      </c>
      <c r="H267" s="1" t="s">
        <v>15</v>
      </c>
      <c r="I267" s="2">
        <v>18.19</v>
      </c>
    </row>
    <row r="268">
      <c r="A268" s="1" t="s">
        <v>1730</v>
      </c>
      <c r="B268" s="1" t="s">
        <v>1731</v>
      </c>
      <c r="C268" s="1" t="s">
        <v>1393</v>
      </c>
      <c r="D268" s="7">
        <f>+251966621660</f>
        <v>251966621660</v>
      </c>
      <c r="E268" s="1" t="s">
        <v>397</v>
      </c>
      <c r="F268" s="1"/>
      <c r="G268" s="1" t="s">
        <v>14</v>
      </c>
      <c r="H268" s="1" t="s">
        <v>15</v>
      </c>
      <c r="I268" s="2">
        <v>25.58</v>
      </c>
    </row>
    <row r="269">
      <c r="A269" s="1" t="s">
        <v>1732</v>
      </c>
      <c r="B269" s="1" t="s">
        <v>636</v>
      </c>
      <c r="C269" s="1" t="s">
        <v>1733</v>
      </c>
      <c r="D269" s="8">
        <v>2.51966741303E11</v>
      </c>
      <c r="E269" s="1" t="s">
        <v>397</v>
      </c>
      <c r="F269" s="1"/>
      <c r="G269" s="1" t="s">
        <v>14</v>
      </c>
      <c r="H269" s="1" t="s">
        <v>15</v>
      </c>
      <c r="I269" s="2">
        <v>23.41</v>
      </c>
    </row>
    <row r="270">
      <c r="A270" s="1" t="s">
        <v>1734</v>
      </c>
      <c r="B270" s="1" t="s">
        <v>1735</v>
      </c>
      <c r="C270" s="1" t="s">
        <v>616</v>
      </c>
      <c r="D270" s="7">
        <f>+251966916214</f>
        <v>251966916214</v>
      </c>
      <c r="E270" s="1" t="s">
        <v>397</v>
      </c>
      <c r="F270" s="1"/>
      <c r="G270" s="1" t="s">
        <v>14</v>
      </c>
      <c r="H270" s="1" t="s">
        <v>15</v>
      </c>
      <c r="I270" s="2">
        <v>24.18</v>
      </c>
    </row>
    <row r="271">
      <c r="A271" s="1" t="s">
        <v>994</v>
      </c>
      <c r="B271" s="1" t="s">
        <v>995</v>
      </c>
      <c r="C271" s="1" t="s">
        <v>996</v>
      </c>
      <c r="D271" s="7">
        <f>+251967743868</f>
        <v>251967743868</v>
      </c>
      <c r="E271" s="1" t="s">
        <v>397</v>
      </c>
      <c r="F271" s="1"/>
      <c r="G271" s="1" t="s">
        <v>14</v>
      </c>
      <c r="H271" s="1" t="s">
        <v>15</v>
      </c>
      <c r="I271" s="2">
        <v>22.17</v>
      </c>
    </row>
    <row r="272">
      <c r="A272" s="1" t="s">
        <v>1006</v>
      </c>
      <c r="B272" s="1" t="s">
        <v>230</v>
      </c>
      <c r="C272" s="1" t="s">
        <v>1007</v>
      </c>
      <c r="D272" s="7">
        <f>+251968915106</f>
        <v>251968915106</v>
      </c>
      <c r="E272" s="1" t="s">
        <v>397</v>
      </c>
      <c r="F272" s="1"/>
      <c r="G272" s="1" t="s">
        <v>14</v>
      </c>
      <c r="H272" s="1" t="s">
        <v>15</v>
      </c>
      <c r="I272" s="2">
        <v>23.22</v>
      </c>
    </row>
    <row r="273">
      <c r="A273" s="1" t="s">
        <v>1736</v>
      </c>
      <c r="B273" s="1" t="s">
        <v>1737</v>
      </c>
      <c r="C273" s="1" t="s">
        <v>1738</v>
      </c>
      <c r="D273" s="7">
        <f>+251969175632</f>
        <v>251969175632</v>
      </c>
      <c r="E273" s="1" t="s">
        <v>397</v>
      </c>
      <c r="F273" s="1"/>
      <c r="G273" s="1" t="s">
        <v>14</v>
      </c>
      <c r="H273" s="1" t="s">
        <v>15</v>
      </c>
      <c r="I273" s="2">
        <v>25.44</v>
      </c>
    </row>
    <row r="274">
      <c r="A274" s="1" t="s">
        <v>1739</v>
      </c>
      <c r="B274" s="1" t="s">
        <v>113</v>
      </c>
      <c r="C274" s="1" t="s">
        <v>1305</v>
      </c>
      <c r="D274" s="7">
        <f>+251969293941</f>
        <v>251969293941</v>
      </c>
      <c r="E274" s="1" t="s">
        <v>397</v>
      </c>
      <c r="F274" s="1"/>
      <c r="G274" s="1" t="s">
        <v>130</v>
      </c>
      <c r="H274" s="1" t="s">
        <v>15</v>
      </c>
      <c r="I274" s="2">
        <v>24.32</v>
      </c>
    </row>
    <row r="275">
      <c r="A275" s="1" t="s">
        <v>1740</v>
      </c>
      <c r="B275" s="1" t="s">
        <v>1310</v>
      </c>
      <c r="C275" s="1" t="s">
        <v>253</v>
      </c>
      <c r="D275" s="7">
        <f>+251970668268</f>
        <v>251970668268</v>
      </c>
      <c r="E275" s="1" t="s">
        <v>397</v>
      </c>
      <c r="F275" s="1"/>
      <c r="G275" s="1" t="s">
        <v>14</v>
      </c>
      <c r="H275" s="1" t="s">
        <v>15</v>
      </c>
      <c r="I275" s="2">
        <v>28.4</v>
      </c>
    </row>
    <row r="276">
      <c r="A276" s="1" t="s">
        <v>1741</v>
      </c>
      <c r="B276" s="1" t="s">
        <v>1742</v>
      </c>
      <c r="C276" s="1" t="s">
        <v>1497</v>
      </c>
      <c r="D276" s="7">
        <f>+251972373863</f>
        <v>251972373863</v>
      </c>
      <c r="E276" s="1" t="s">
        <v>397</v>
      </c>
      <c r="F276" s="1"/>
      <c r="G276" s="1" t="s">
        <v>14</v>
      </c>
      <c r="H276" s="1" t="s">
        <v>20</v>
      </c>
      <c r="I276" s="2">
        <v>21.76</v>
      </c>
    </row>
    <row r="277">
      <c r="A277" s="1" t="s">
        <v>1743</v>
      </c>
      <c r="B277" s="1" t="s">
        <v>217</v>
      </c>
      <c r="C277" s="1" t="s">
        <v>1720</v>
      </c>
      <c r="D277" s="7">
        <f>+251973599842</f>
        <v>251973599842</v>
      </c>
      <c r="E277" s="1" t="s">
        <v>397</v>
      </c>
      <c r="F277" s="1"/>
      <c r="G277" s="1" t="s">
        <v>14</v>
      </c>
      <c r="H277" s="1" t="s">
        <v>15</v>
      </c>
      <c r="I277" s="2">
        <v>18.61</v>
      </c>
    </row>
    <row r="278">
      <c r="A278" s="1" t="s">
        <v>1744</v>
      </c>
      <c r="B278" s="1" t="s">
        <v>1545</v>
      </c>
      <c r="C278" s="1" t="s">
        <v>47</v>
      </c>
      <c r="D278" s="7">
        <f>+251973897373</f>
        <v>251973897373</v>
      </c>
      <c r="E278" s="1" t="s">
        <v>397</v>
      </c>
      <c r="F278" s="1"/>
      <c r="G278" s="1" t="s">
        <v>14</v>
      </c>
      <c r="H278" s="1" t="s">
        <v>20</v>
      </c>
      <c r="I278" s="2">
        <v>19.62</v>
      </c>
    </row>
    <row r="279">
      <c r="A279" s="1" t="s">
        <v>1745</v>
      </c>
      <c r="B279" s="1" t="s">
        <v>229</v>
      </c>
      <c r="C279" s="1" t="s">
        <v>510</v>
      </c>
      <c r="D279" s="7">
        <f>+251973975792</f>
        <v>251973975792</v>
      </c>
      <c r="E279" s="1" t="s">
        <v>397</v>
      </c>
      <c r="F279" s="1"/>
      <c r="G279" s="1" t="s">
        <v>14</v>
      </c>
      <c r="H279" s="1" t="s">
        <v>15</v>
      </c>
      <c r="I279" s="2">
        <v>25.23</v>
      </c>
    </row>
    <row r="280">
      <c r="A280" s="1" t="s">
        <v>1746</v>
      </c>
      <c r="B280" s="1" t="s">
        <v>1747</v>
      </c>
      <c r="C280" s="1" t="s">
        <v>1748</v>
      </c>
      <c r="D280" s="7">
        <f>+251974030383</f>
        <v>251974030383</v>
      </c>
      <c r="E280" s="1" t="s">
        <v>397</v>
      </c>
      <c r="F280" s="1"/>
      <c r="G280" s="1" t="s">
        <v>14</v>
      </c>
      <c r="H280" s="1" t="s">
        <v>15</v>
      </c>
      <c r="I280" s="2">
        <v>24.32</v>
      </c>
    </row>
    <row r="281">
      <c r="A281" s="1" t="s">
        <v>1749</v>
      </c>
      <c r="B281" s="1" t="s">
        <v>585</v>
      </c>
      <c r="C281" s="1" t="s">
        <v>1750</v>
      </c>
      <c r="D281" s="7">
        <f>+251974852985</f>
        <v>251974852985</v>
      </c>
      <c r="E281" s="1" t="s">
        <v>397</v>
      </c>
      <c r="F281" s="1"/>
      <c r="G281" s="1" t="s">
        <v>14</v>
      </c>
      <c r="H281" s="1" t="s">
        <v>15</v>
      </c>
      <c r="I281" s="2">
        <v>23.03</v>
      </c>
    </row>
    <row r="282">
      <c r="A282" s="1" t="s">
        <v>1050</v>
      </c>
      <c r="B282" s="1" t="s">
        <v>1051</v>
      </c>
      <c r="C282" s="1" t="s">
        <v>1052</v>
      </c>
      <c r="D282" s="7">
        <f>+251975018101</f>
        <v>251975018101</v>
      </c>
      <c r="E282" s="1" t="s">
        <v>397</v>
      </c>
      <c r="F282" s="1"/>
      <c r="G282" s="1" t="s">
        <v>14</v>
      </c>
      <c r="H282" s="1" t="s">
        <v>15</v>
      </c>
      <c r="I282" s="2">
        <v>23.22</v>
      </c>
    </row>
    <row r="283">
      <c r="A283" s="1" t="s">
        <v>1751</v>
      </c>
      <c r="B283" s="1" t="s">
        <v>1752</v>
      </c>
      <c r="C283" s="1" t="s">
        <v>121</v>
      </c>
      <c r="D283" s="7">
        <f>+251975261287</f>
        <v>251975261287</v>
      </c>
      <c r="E283" s="1" t="s">
        <v>397</v>
      </c>
      <c r="F283" s="1"/>
      <c r="G283" s="1" t="s">
        <v>14</v>
      </c>
      <c r="H283" s="1" t="s">
        <v>20</v>
      </c>
      <c r="I283" s="2">
        <v>20.19</v>
      </c>
    </row>
    <row r="284">
      <c r="A284" s="1" t="s">
        <v>1753</v>
      </c>
      <c r="B284" s="1" t="s">
        <v>1754</v>
      </c>
      <c r="C284" s="1" t="s">
        <v>1755</v>
      </c>
      <c r="D284" s="7">
        <f>+251975562230</f>
        <v>251975562230</v>
      </c>
      <c r="E284" s="1" t="s">
        <v>397</v>
      </c>
      <c r="F284" s="1"/>
      <c r="G284" s="1" t="s">
        <v>14</v>
      </c>
      <c r="H284" s="1" t="s">
        <v>15</v>
      </c>
      <c r="I284" s="2">
        <v>23.15</v>
      </c>
    </row>
    <row r="285">
      <c r="A285" s="1" t="s">
        <v>1756</v>
      </c>
      <c r="B285" s="1" t="s">
        <v>1757</v>
      </c>
      <c r="C285" s="1" t="s">
        <v>1758</v>
      </c>
      <c r="D285" s="7">
        <f>+251976431439</f>
        <v>251976431439</v>
      </c>
      <c r="E285" s="1" t="s">
        <v>397</v>
      </c>
      <c r="F285" s="1"/>
      <c r="G285" s="1" t="s">
        <v>14</v>
      </c>
      <c r="H285" s="1" t="s">
        <v>15</v>
      </c>
      <c r="I285" s="2">
        <v>21.38</v>
      </c>
    </row>
    <row r="286">
      <c r="A286" s="1" t="s">
        <v>1759</v>
      </c>
      <c r="B286" s="1" t="s">
        <v>1760</v>
      </c>
      <c r="C286" s="1" t="s">
        <v>101</v>
      </c>
      <c r="D286" s="7">
        <f>+251978102646</f>
        <v>251978102646</v>
      </c>
      <c r="E286" s="1" t="s">
        <v>397</v>
      </c>
      <c r="F286" s="1"/>
      <c r="G286" s="1" t="s">
        <v>14</v>
      </c>
      <c r="H286" s="1" t="s">
        <v>15</v>
      </c>
      <c r="I286" s="2">
        <v>22.63</v>
      </c>
    </row>
    <row r="287">
      <c r="A287" s="1" t="s">
        <v>1761</v>
      </c>
      <c r="B287" s="1" t="s">
        <v>1762</v>
      </c>
      <c r="C287" s="1" t="s">
        <v>112</v>
      </c>
      <c r="D287" s="7">
        <f>+251978478240</f>
        <v>251978478240</v>
      </c>
      <c r="E287" s="1" t="s">
        <v>397</v>
      </c>
      <c r="F287" s="1"/>
      <c r="G287" s="1" t="s">
        <v>14</v>
      </c>
      <c r="H287" s="1" t="s">
        <v>15</v>
      </c>
      <c r="I287" s="2">
        <v>24.74</v>
      </c>
    </row>
    <row r="288">
      <c r="A288" s="1" t="s">
        <v>1763</v>
      </c>
      <c r="B288" s="1" t="s">
        <v>412</v>
      </c>
      <c r="C288" s="1" t="s">
        <v>1764</v>
      </c>
      <c r="D288" s="7">
        <f>+251978784751</f>
        <v>251978784751</v>
      </c>
      <c r="E288" s="1" t="s">
        <v>397</v>
      </c>
      <c r="F288" s="1"/>
      <c r="G288" s="1" t="s">
        <v>14</v>
      </c>
      <c r="H288" s="1" t="s">
        <v>15</v>
      </c>
      <c r="I288" s="2">
        <v>21.7</v>
      </c>
    </row>
    <row r="289">
      <c r="A289" s="1" t="s">
        <v>1765</v>
      </c>
      <c r="B289" s="1" t="s">
        <v>1766</v>
      </c>
      <c r="C289" s="1" t="s">
        <v>1767</v>
      </c>
      <c r="D289" s="7">
        <f>+251978903519</f>
        <v>251978903519</v>
      </c>
      <c r="E289" s="1" t="s">
        <v>397</v>
      </c>
      <c r="F289" s="1"/>
      <c r="G289" s="1" t="s">
        <v>151</v>
      </c>
      <c r="H289" s="1" t="s">
        <v>15</v>
      </c>
      <c r="I289" s="2">
        <v>18.58</v>
      </c>
    </row>
    <row r="290">
      <c r="A290" s="1" t="s">
        <v>1768</v>
      </c>
      <c r="B290" s="1" t="s">
        <v>1769</v>
      </c>
      <c r="C290" s="1" t="s">
        <v>1733</v>
      </c>
      <c r="D290" s="7">
        <f>+251978942989</f>
        <v>251978942989</v>
      </c>
      <c r="E290" s="1" t="s">
        <v>397</v>
      </c>
      <c r="F290" s="1"/>
      <c r="G290" s="1" t="s">
        <v>14</v>
      </c>
      <c r="H290" s="1" t="s">
        <v>15</v>
      </c>
      <c r="I290" s="2">
        <v>20.17</v>
      </c>
    </row>
    <row r="291">
      <c r="A291" s="1" t="s">
        <v>1770</v>
      </c>
      <c r="B291" s="1" t="s">
        <v>877</v>
      </c>
      <c r="C291" s="1" t="s">
        <v>1771</v>
      </c>
      <c r="D291" s="7">
        <f>+251978996721</f>
        <v>251978996721</v>
      </c>
      <c r="E291" s="1" t="s">
        <v>397</v>
      </c>
      <c r="F291" s="1"/>
      <c r="G291" s="1" t="s">
        <v>14</v>
      </c>
      <c r="H291" s="1" t="s">
        <v>15</v>
      </c>
      <c r="I291" s="2">
        <v>23.28</v>
      </c>
    </row>
    <row r="292">
      <c r="A292" s="1" t="s">
        <v>1772</v>
      </c>
      <c r="B292" s="1" t="s">
        <v>184</v>
      </c>
      <c r="C292" s="1" t="s">
        <v>1773</v>
      </c>
      <c r="D292" s="7">
        <f>+251979641598</f>
        <v>251979641598</v>
      </c>
      <c r="E292" s="1" t="s">
        <v>397</v>
      </c>
      <c r="F292" s="1"/>
      <c r="G292" s="1" t="s">
        <v>14</v>
      </c>
      <c r="H292" s="1" t="s">
        <v>15</v>
      </c>
      <c r="I292" s="2">
        <v>23.89</v>
      </c>
    </row>
    <row r="293">
      <c r="A293" s="1" t="s">
        <v>1774</v>
      </c>
      <c r="B293" s="1" t="s">
        <v>1389</v>
      </c>
      <c r="C293" s="1" t="s">
        <v>1390</v>
      </c>
      <c r="D293" s="7">
        <f>+251979727910</f>
        <v>251979727910</v>
      </c>
      <c r="E293" s="1" t="s">
        <v>397</v>
      </c>
      <c r="F293" s="1"/>
      <c r="G293" s="1" t="s">
        <v>14</v>
      </c>
      <c r="H293" s="1" t="s">
        <v>20</v>
      </c>
      <c r="I293" s="2">
        <v>22.29</v>
      </c>
    </row>
    <row r="294">
      <c r="A294" s="1" t="s">
        <v>1775</v>
      </c>
      <c r="B294" s="1" t="s">
        <v>1776</v>
      </c>
      <c r="C294" s="1" t="s">
        <v>1777</v>
      </c>
      <c r="D294" s="7">
        <f>+251982085927</f>
        <v>251982085927</v>
      </c>
      <c r="E294" s="1" t="s">
        <v>397</v>
      </c>
      <c r="F294" s="1"/>
      <c r="G294" s="1" t="s">
        <v>14</v>
      </c>
      <c r="H294" s="1" t="s">
        <v>20</v>
      </c>
      <c r="I294" s="2">
        <v>21.24</v>
      </c>
    </row>
    <row r="295">
      <c r="A295" s="1" t="s">
        <v>1778</v>
      </c>
      <c r="B295" s="1" t="s">
        <v>1779</v>
      </c>
      <c r="C295" s="1" t="s">
        <v>1780</v>
      </c>
      <c r="D295" s="7">
        <f>+251983204587</f>
        <v>251983204587</v>
      </c>
      <c r="E295" s="1" t="s">
        <v>397</v>
      </c>
      <c r="F295" s="1"/>
      <c r="G295" s="1" t="s">
        <v>14</v>
      </c>
      <c r="H295" s="1" t="s">
        <v>15</v>
      </c>
      <c r="I295" s="2">
        <v>26.04</v>
      </c>
    </row>
    <row r="296">
      <c r="A296" s="1" t="s">
        <v>1781</v>
      </c>
      <c r="B296" s="1" t="s">
        <v>1782</v>
      </c>
      <c r="C296" s="1" t="s">
        <v>1783</v>
      </c>
      <c r="D296" s="7">
        <f>+251983315117</f>
        <v>251983315117</v>
      </c>
      <c r="E296" s="1" t="s">
        <v>397</v>
      </c>
      <c r="F296" s="1"/>
      <c r="G296" s="1" t="s">
        <v>14</v>
      </c>
      <c r="H296" s="1" t="s">
        <v>15</v>
      </c>
      <c r="I296" s="2">
        <v>25.11</v>
      </c>
    </row>
    <row r="297">
      <c r="A297" s="1" t="s">
        <v>1784</v>
      </c>
      <c r="B297" s="1" t="s">
        <v>646</v>
      </c>
      <c r="C297" s="1" t="s">
        <v>1785</v>
      </c>
      <c r="D297" s="7">
        <f>+251983796515</f>
        <v>251983796515</v>
      </c>
      <c r="E297" s="1" t="s">
        <v>397</v>
      </c>
      <c r="F297" s="1"/>
      <c r="G297" s="1" t="s">
        <v>14</v>
      </c>
      <c r="H297" s="1" t="s">
        <v>20</v>
      </c>
      <c r="I297" s="2">
        <v>19.24</v>
      </c>
    </row>
    <row r="298">
      <c r="A298" s="1" t="s">
        <v>1786</v>
      </c>
      <c r="B298" s="1" t="s">
        <v>1486</v>
      </c>
      <c r="C298" s="1" t="s">
        <v>1138</v>
      </c>
      <c r="D298" s="7">
        <f>+251983847677</f>
        <v>251983847677</v>
      </c>
      <c r="E298" s="1" t="s">
        <v>397</v>
      </c>
      <c r="F298" s="1"/>
      <c r="G298" s="1" t="s">
        <v>14</v>
      </c>
      <c r="H298" s="1" t="s">
        <v>15</v>
      </c>
      <c r="I298" s="2">
        <v>22.14</v>
      </c>
    </row>
    <row r="299">
      <c r="A299" s="1" t="s">
        <v>1787</v>
      </c>
      <c r="B299" s="1" t="s">
        <v>117</v>
      </c>
      <c r="C299" s="1" t="s">
        <v>27</v>
      </c>
      <c r="D299" s="7">
        <f>+251983863130</f>
        <v>251983863130</v>
      </c>
      <c r="E299" s="1" t="s">
        <v>397</v>
      </c>
      <c r="F299" s="1"/>
      <c r="G299" s="1" t="s">
        <v>14</v>
      </c>
      <c r="H299" s="1" t="s">
        <v>15</v>
      </c>
      <c r="I299" s="2">
        <v>19.69</v>
      </c>
    </row>
    <row r="300">
      <c r="A300" s="1" t="s">
        <v>1788</v>
      </c>
      <c r="B300" s="1" t="s">
        <v>1789</v>
      </c>
      <c r="C300" s="1" t="s">
        <v>1790</v>
      </c>
      <c r="D300" s="7">
        <f>+251983985608</f>
        <v>251983985608</v>
      </c>
      <c r="E300" s="1" t="s">
        <v>397</v>
      </c>
      <c r="F300" s="1"/>
      <c r="G300" s="1" t="s">
        <v>14</v>
      </c>
      <c r="H300" s="1" t="s">
        <v>15</v>
      </c>
      <c r="I300" s="2">
        <v>25.36</v>
      </c>
    </row>
    <row r="301">
      <c r="A301" s="1" t="s">
        <v>1791</v>
      </c>
      <c r="B301" s="1" t="s">
        <v>1792</v>
      </c>
      <c r="C301" s="1" t="s">
        <v>413</v>
      </c>
      <c r="D301" s="7">
        <f>+251984037713</f>
        <v>251984037713</v>
      </c>
      <c r="E301" s="1" t="s">
        <v>397</v>
      </c>
      <c r="F301" s="1"/>
      <c r="G301" s="1" t="s">
        <v>14</v>
      </c>
      <c r="H301" s="1" t="s">
        <v>15</v>
      </c>
      <c r="I301" s="2">
        <v>18.94</v>
      </c>
    </row>
    <row r="302">
      <c r="A302" s="1" t="s">
        <v>1793</v>
      </c>
      <c r="B302" s="1" t="s">
        <v>1794</v>
      </c>
      <c r="C302" s="1" t="s">
        <v>1156</v>
      </c>
      <c r="D302" s="7">
        <f>+251984062836</f>
        <v>251984062836</v>
      </c>
      <c r="E302" s="1" t="s">
        <v>397</v>
      </c>
      <c r="F302" s="1"/>
      <c r="G302" s="1" t="s">
        <v>205</v>
      </c>
      <c r="H302" s="1" t="s">
        <v>20</v>
      </c>
      <c r="I302" s="2">
        <v>22.12</v>
      </c>
    </row>
    <row r="303">
      <c r="A303" s="1" t="s">
        <v>1795</v>
      </c>
      <c r="B303" s="1" t="s">
        <v>1796</v>
      </c>
      <c r="C303" s="1" t="s">
        <v>59</v>
      </c>
      <c r="D303" s="7">
        <f>+251984071423</f>
        <v>251984071423</v>
      </c>
      <c r="E303" s="1" t="s">
        <v>397</v>
      </c>
      <c r="F303" s="1"/>
      <c r="G303" s="1" t="s">
        <v>14</v>
      </c>
      <c r="H303" s="1" t="s">
        <v>15</v>
      </c>
      <c r="I303" s="2">
        <v>23.67</v>
      </c>
    </row>
    <row r="304">
      <c r="A304" s="1" t="s">
        <v>1797</v>
      </c>
      <c r="B304" s="1" t="s">
        <v>42</v>
      </c>
      <c r="C304" s="1" t="s">
        <v>101</v>
      </c>
      <c r="D304" s="7">
        <f>+251984747405</f>
        <v>251984747405</v>
      </c>
      <c r="E304" s="1" t="s">
        <v>397</v>
      </c>
      <c r="F304" s="1"/>
      <c r="G304" s="1" t="s">
        <v>14</v>
      </c>
      <c r="H304" s="1" t="s">
        <v>15</v>
      </c>
      <c r="I304" s="2">
        <v>35.49</v>
      </c>
    </row>
    <row r="305">
      <c r="A305" s="1" t="s">
        <v>1798</v>
      </c>
      <c r="B305" s="1" t="s">
        <v>1799</v>
      </c>
      <c r="C305" s="1" t="s">
        <v>535</v>
      </c>
      <c r="D305" s="7">
        <f>+251984836296</f>
        <v>251984836296</v>
      </c>
      <c r="E305" s="1" t="s">
        <v>397</v>
      </c>
      <c r="F305" s="1"/>
      <c r="G305" s="1" t="s">
        <v>14</v>
      </c>
      <c r="H305" s="1" t="s">
        <v>15</v>
      </c>
      <c r="I305" s="2">
        <v>24.76</v>
      </c>
    </row>
    <row r="306">
      <c r="A306" s="1" t="s">
        <v>1800</v>
      </c>
      <c r="B306" s="1" t="s">
        <v>560</v>
      </c>
      <c r="C306" s="1" t="s">
        <v>1218</v>
      </c>
      <c r="D306" s="7">
        <f>+251985683316</f>
        <v>251985683316</v>
      </c>
      <c r="E306" s="1" t="s">
        <v>397</v>
      </c>
      <c r="F306" s="1"/>
      <c r="G306" s="1" t="s">
        <v>14</v>
      </c>
      <c r="H306" s="1" t="s">
        <v>15</v>
      </c>
      <c r="I306" s="2">
        <v>29.3</v>
      </c>
    </row>
    <row r="307">
      <c r="A307" s="1" t="s">
        <v>1801</v>
      </c>
      <c r="B307" s="1" t="s">
        <v>1802</v>
      </c>
      <c r="C307" s="1" t="s">
        <v>1803</v>
      </c>
      <c r="D307" s="7">
        <f>+251986042431</f>
        <v>251986042431</v>
      </c>
      <c r="E307" s="1" t="s">
        <v>397</v>
      </c>
      <c r="F307" s="1"/>
      <c r="G307" s="1" t="s">
        <v>14</v>
      </c>
      <c r="H307" s="1" t="s">
        <v>15</v>
      </c>
      <c r="I307" s="2">
        <v>31.09</v>
      </c>
    </row>
    <row r="308">
      <c r="A308" s="1" t="s">
        <v>1804</v>
      </c>
      <c r="B308" s="1" t="s">
        <v>1805</v>
      </c>
      <c r="C308" s="1" t="s">
        <v>293</v>
      </c>
      <c r="D308" s="7">
        <f>+251986136990</f>
        <v>251986136990</v>
      </c>
      <c r="E308" s="1" t="s">
        <v>397</v>
      </c>
      <c r="F308" s="1"/>
      <c r="G308" s="1" t="s">
        <v>14</v>
      </c>
      <c r="H308" s="1" t="s">
        <v>15</v>
      </c>
      <c r="I308" s="2">
        <v>28.82</v>
      </c>
    </row>
    <row r="309">
      <c r="A309" s="1" t="s">
        <v>1806</v>
      </c>
      <c r="B309" s="1" t="s">
        <v>1807</v>
      </c>
      <c r="C309" s="1" t="s">
        <v>1496</v>
      </c>
      <c r="D309" s="7">
        <f>+251986250817</f>
        <v>251986250817</v>
      </c>
      <c r="E309" s="1" t="s">
        <v>397</v>
      </c>
      <c r="F309" s="1"/>
      <c r="G309" s="1" t="s">
        <v>14</v>
      </c>
      <c r="H309" s="1" t="s">
        <v>15</v>
      </c>
      <c r="I309" s="2">
        <v>21.35</v>
      </c>
    </row>
    <row r="310">
      <c r="A310" s="1" t="s">
        <v>1808</v>
      </c>
      <c r="B310" s="1" t="s">
        <v>1809</v>
      </c>
      <c r="C310" s="1" t="s">
        <v>1810</v>
      </c>
      <c r="D310" s="7">
        <f>+251986777178</f>
        <v>251986777178</v>
      </c>
      <c r="E310" s="1" t="s">
        <v>397</v>
      </c>
      <c r="F310" s="1"/>
      <c r="G310" s="1" t="s">
        <v>14</v>
      </c>
      <c r="H310" s="1" t="s">
        <v>15</v>
      </c>
      <c r="I310" s="2">
        <v>21.85</v>
      </c>
    </row>
    <row r="311">
      <c r="A311" s="1" t="s">
        <v>1113</v>
      </c>
      <c r="B311" s="1" t="s">
        <v>1114</v>
      </c>
      <c r="C311" s="1" t="s">
        <v>1115</v>
      </c>
      <c r="D311" s="7">
        <f>+251988029614</f>
        <v>251988029614</v>
      </c>
      <c r="E311" s="1" t="s">
        <v>397</v>
      </c>
      <c r="F311" s="1"/>
      <c r="G311" s="1" t="s">
        <v>205</v>
      </c>
      <c r="H311" s="1" t="s">
        <v>15</v>
      </c>
      <c r="I311" s="2">
        <v>30.62</v>
      </c>
    </row>
    <row r="312">
      <c r="A312" s="1" t="s">
        <v>1811</v>
      </c>
      <c r="B312" s="1" t="s">
        <v>1812</v>
      </c>
      <c r="C312" s="1" t="s">
        <v>1813</v>
      </c>
      <c r="D312" s="7">
        <f>+251988805436</f>
        <v>251988805436</v>
      </c>
      <c r="E312" s="1" t="s">
        <v>397</v>
      </c>
      <c r="F312" s="1"/>
      <c r="G312" s="1" t="s">
        <v>14</v>
      </c>
      <c r="H312" s="1" t="s">
        <v>15</v>
      </c>
      <c r="I312" s="2">
        <v>30.23</v>
      </c>
    </row>
    <row r="313">
      <c r="A313" s="1" t="s">
        <v>1814</v>
      </c>
      <c r="B313" s="1" t="s">
        <v>1434</v>
      </c>
      <c r="C313" s="1" t="s">
        <v>1815</v>
      </c>
      <c r="D313" s="7">
        <f>+251989992409</f>
        <v>251989992409</v>
      </c>
      <c r="E313" s="1" t="s">
        <v>397</v>
      </c>
      <c r="F313" s="1"/>
      <c r="G313" s="1" t="s">
        <v>14</v>
      </c>
      <c r="H313" s="1" t="s">
        <v>15</v>
      </c>
      <c r="I313" s="2">
        <v>20.32</v>
      </c>
    </row>
    <row r="314">
      <c r="A314" s="1" t="s">
        <v>1136</v>
      </c>
      <c r="B314" s="1" t="s">
        <v>1137</v>
      </c>
      <c r="C314" s="1" t="s">
        <v>1138</v>
      </c>
      <c r="D314" s="7">
        <f>+251990252029</f>
        <v>251990252029</v>
      </c>
      <c r="E314" s="1" t="s">
        <v>397</v>
      </c>
      <c r="F314" s="1"/>
      <c r="G314" s="1" t="s">
        <v>1058</v>
      </c>
      <c r="H314" s="1" t="s">
        <v>15</v>
      </c>
      <c r="I314" s="2">
        <v>21.95</v>
      </c>
    </row>
    <row r="315">
      <c r="A315" s="1" t="s">
        <v>1816</v>
      </c>
      <c r="B315" s="1" t="s">
        <v>1817</v>
      </c>
      <c r="C315" s="1" t="s">
        <v>1818</v>
      </c>
      <c r="D315" s="7">
        <f>+251991188727</f>
        <v>251991188727</v>
      </c>
      <c r="E315" s="1" t="s">
        <v>397</v>
      </c>
      <c r="F315" s="1"/>
      <c r="G315" s="1" t="s">
        <v>14</v>
      </c>
      <c r="H315" s="1" t="s">
        <v>15</v>
      </c>
      <c r="I315" s="2">
        <v>24.65</v>
      </c>
    </row>
    <row r="316">
      <c r="A316" s="1" t="s">
        <v>1819</v>
      </c>
      <c r="B316" s="1" t="s">
        <v>1486</v>
      </c>
      <c r="C316" s="1" t="s">
        <v>322</v>
      </c>
      <c r="D316" s="7">
        <f>+251991440631</f>
        <v>251991440631</v>
      </c>
      <c r="E316" s="1" t="s">
        <v>397</v>
      </c>
      <c r="F316" s="1"/>
      <c r="G316" s="1" t="s">
        <v>14</v>
      </c>
      <c r="H316" s="1" t="s">
        <v>15</v>
      </c>
      <c r="I316" s="2">
        <v>21.97</v>
      </c>
    </row>
    <row r="317">
      <c r="A317" s="1" t="s">
        <v>1820</v>
      </c>
      <c r="B317" s="1" t="s">
        <v>1821</v>
      </c>
      <c r="C317" s="1" t="s">
        <v>382</v>
      </c>
      <c r="D317" s="7">
        <f>+251992294492</f>
        <v>251992294492</v>
      </c>
      <c r="E317" s="1" t="s">
        <v>397</v>
      </c>
      <c r="F317" s="1"/>
      <c r="G317" s="1" t="s">
        <v>14</v>
      </c>
      <c r="H317" s="1" t="s">
        <v>15</v>
      </c>
      <c r="I317" s="2">
        <v>18.29</v>
      </c>
    </row>
    <row r="318">
      <c r="A318" s="1" t="s">
        <v>1822</v>
      </c>
      <c r="B318" s="1" t="s">
        <v>1823</v>
      </c>
      <c r="C318" s="1" t="s">
        <v>1824</v>
      </c>
      <c r="D318" s="7">
        <f>+251993200690</f>
        <v>251993200690</v>
      </c>
      <c r="E318" s="1" t="s">
        <v>397</v>
      </c>
      <c r="F318" s="1"/>
      <c r="G318" s="1" t="s">
        <v>14</v>
      </c>
      <c r="H318" s="1" t="s">
        <v>15</v>
      </c>
      <c r="I318" s="2">
        <v>21.01</v>
      </c>
    </row>
    <row r="319">
      <c r="A319" s="1" t="s">
        <v>1825</v>
      </c>
      <c r="B319" s="1" t="s">
        <v>1098</v>
      </c>
      <c r="C319" s="1" t="s">
        <v>819</v>
      </c>
      <c r="D319" s="7">
        <f>+251993245818</f>
        <v>251993245818</v>
      </c>
      <c r="E319" s="1" t="s">
        <v>397</v>
      </c>
      <c r="F319" s="1"/>
      <c r="G319" s="1" t="s">
        <v>14</v>
      </c>
      <c r="H319" s="1" t="s">
        <v>20</v>
      </c>
      <c r="I319" s="2">
        <v>22.39</v>
      </c>
    </row>
    <row r="320">
      <c r="A320" s="1" t="s">
        <v>1826</v>
      </c>
      <c r="B320" s="1" t="s">
        <v>1827</v>
      </c>
      <c r="C320" s="1" t="s">
        <v>1828</v>
      </c>
      <c r="D320" s="7">
        <f>+251993547015</f>
        <v>251993547015</v>
      </c>
      <c r="E320" s="1" t="s">
        <v>397</v>
      </c>
      <c r="F320" s="1"/>
      <c r="G320" s="1" t="s">
        <v>14</v>
      </c>
      <c r="H320" s="1" t="s">
        <v>15</v>
      </c>
      <c r="I320" s="2">
        <v>18.89</v>
      </c>
    </row>
    <row r="321">
      <c r="A321" s="1" t="s">
        <v>1829</v>
      </c>
      <c r="B321" s="1" t="s">
        <v>1830</v>
      </c>
      <c r="C321" s="1" t="s">
        <v>1831</v>
      </c>
      <c r="D321" s="7">
        <f>+251993593999</f>
        <v>251993593999</v>
      </c>
      <c r="E321" s="1" t="s">
        <v>397</v>
      </c>
      <c r="F321" s="1"/>
      <c r="G321" s="1" t="s">
        <v>14</v>
      </c>
      <c r="H321" s="1" t="s">
        <v>20</v>
      </c>
      <c r="I321" s="2">
        <v>21.08</v>
      </c>
    </row>
    <row r="322">
      <c r="A322" s="1" t="s">
        <v>1832</v>
      </c>
      <c r="B322" s="1" t="s">
        <v>864</v>
      </c>
      <c r="C322" s="1" t="s">
        <v>1210</v>
      </c>
      <c r="D322" s="7">
        <f>+251994433925</f>
        <v>251994433925</v>
      </c>
      <c r="E322" s="1" t="s">
        <v>397</v>
      </c>
      <c r="F322" s="1"/>
      <c r="G322" s="1" t="s">
        <v>14</v>
      </c>
      <c r="H322" s="1" t="s">
        <v>15</v>
      </c>
      <c r="I322" s="2">
        <v>27.63</v>
      </c>
    </row>
    <row r="323">
      <c r="A323" s="1" t="s">
        <v>1833</v>
      </c>
      <c r="B323" s="1" t="s">
        <v>184</v>
      </c>
      <c r="C323" s="1" t="s">
        <v>1834</v>
      </c>
      <c r="D323" s="7">
        <f>+251994627985</f>
        <v>251994627985</v>
      </c>
      <c r="E323" s="1" t="s">
        <v>397</v>
      </c>
      <c r="F323" s="1"/>
      <c r="G323" s="1" t="s">
        <v>14</v>
      </c>
      <c r="H323" s="1" t="s">
        <v>15</v>
      </c>
      <c r="I323" s="2">
        <v>19.33</v>
      </c>
    </row>
    <row r="324">
      <c r="A324" s="1" t="s">
        <v>1835</v>
      </c>
      <c r="B324" s="1" t="s">
        <v>1836</v>
      </c>
      <c r="C324" s="1" t="s">
        <v>1287</v>
      </c>
      <c r="D324" s="7">
        <f>+251995496010</f>
        <v>251995496010</v>
      </c>
      <c r="E324" s="1" t="s">
        <v>397</v>
      </c>
      <c r="F324" s="1"/>
      <c r="G324" s="1" t="s">
        <v>14</v>
      </c>
      <c r="H324" s="1" t="s">
        <v>20</v>
      </c>
      <c r="I324" s="2">
        <v>21.59</v>
      </c>
    </row>
    <row r="325">
      <c r="A325" s="1" t="s">
        <v>1837</v>
      </c>
      <c r="B325" s="1" t="s">
        <v>1838</v>
      </c>
      <c r="C325" s="1" t="s">
        <v>1839</v>
      </c>
      <c r="D325" s="7">
        <f>+251996789508</f>
        <v>251996789508</v>
      </c>
      <c r="E325" s="1" t="s">
        <v>397</v>
      </c>
      <c r="F325" s="1"/>
      <c r="G325" s="1" t="s">
        <v>14</v>
      </c>
      <c r="H325" s="1" t="s">
        <v>15</v>
      </c>
      <c r="I325" s="2">
        <v>22.95</v>
      </c>
    </row>
    <row r="326">
      <c r="A326" s="1" t="s">
        <v>1840</v>
      </c>
      <c r="B326" s="1" t="s">
        <v>1841</v>
      </c>
      <c r="C326" s="1" t="s">
        <v>574</v>
      </c>
      <c r="D326" s="7">
        <f>+251996857336</f>
        <v>251996857336</v>
      </c>
      <c r="E326" s="1" t="s">
        <v>397</v>
      </c>
      <c r="F326" s="1"/>
      <c r="G326" s="1" t="s">
        <v>14</v>
      </c>
      <c r="H326" s="1" t="s">
        <v>20</v>
      </c>
      <c r="I326" s="2">
        <v>22.22</v>
      </c>
    </row>
    <row r="327">
      <c r="A327" s="1" t="s">
        <v>1842</v>
      </c>
      <c r="B327" s="1" t="s">
        <v>1843</v>
      </c>
      <c r="C327" s="1" t="s">
        <v>1844</v>
      </c>
      <c r="D327" s="7">
        <f>+2519835053009</f>
        <v>2519835053009</v>
      </c>
      <c r="E327" s="1" t="s">
        <v>397</v>
      </c>
      <c r="F327" s="1"/>
      <c r="G327" s="1" t="s">
        <v>14</v>
      </c>
      <c r="H327" s="1" t="s">
        <v>15</v>
      </c>
      <c r="I327" s="2">
        <v>27.05</v>
      </c>
    </row>
    <row r="328">
      <c r="A328" s="1" t="s">
        <v>1845</v>
      </c>
      <c r="B328" s="1" t="s">
        <v>22</v>
      </c>
      <c r="C328" s="1" t="s">
        <v>23</v>
      </c>
      <c r="D328" s="10" t="s">
        <v>1846</v>
      </c>
      <c r="E328" s="1" t="s">
        <v>397</v>
      </c>
      <c r="F328" s="1"/>
      <c r="G328" s="1" t="s">
        <v>14</v>
      </c>
      <c r="H328" s="1" t="s">
        <v>15</v>
      </c>
      <c r="I328" s="2">
        <v>30.88</v>
      </c>
    </row>
    <row r="329">
      <c r="D329" s="11"/>
    </row>
    <row r="330">
      <c r="D330" s="11"/>
    </row>
    <row r="331">
      <c r="D331" s="11"/>
    </row>
    <row r="332">
      <c r="D332" s="11"/>
    </row>
    <row r="333">
      <c r="D333" s="11"/>
    </row>
    <row r="334">
      <c r="D334" s="11"/>
    </row>
    <row r="335">
      <c r="D335" s="11"/>
    </row>
    <row r="336">
      <c r="D336" s="11"/>
    </row>
    <row r="337">
      <c r="D337" s="11"/>
    </row>
    <row r="338">
      <c r="D338" s="11"/>
    </row>
    <row r="339">
      <c r="D339" s="11"/>
    </row>
    <row r="340">
      <c r="D340" s="11"/>
    </row>
    <row r="341">
      <c r="D341" s="11"/>
    </row>
    <row r="342">
      <c r="D342" s="11"/>
    </row>
    <row r="343">
      <c r="D343" s="11"/>
    </row>
    <row r="344">
      <c r="D344" s="11"/>
    </row>
    <row r="345">
      <c r="D345" s="11"/>
    </row>
    <row r="346">
      <c r="D346" s="11"/>
    </row>
    <row r="347">
      <c r="D347" s="11"/>
    </row>
    <row r="348">
      <c r="D348" s="11"/>
    </row>
    <row r="349">
      <c r="D349" s="11"/>
    </row>
    <row r="350">
      <c r="D350" s="11"/>
    </row>
    <row r="351">
      <c r="D351" s="11"/>
    </row>
    <row r="352">
      <c r="D352" s="11"/>
    </row>
    <row r="353">
      <c r="D353" s="11"/>
    </row>
    <row r="354">
      <c r="D354" s="11"/>
    </row>
    <row r="355">
      <c r="D355" s="11"/>
    </row>
    <row r="356">
      <c r="D356" s="11"/>
    </row>
    <row r="357">
      <c r="D357" s="11"/>
    </row>
    <row r="358">
      <c r="D358" s="11"/>
    </row>
    <row r="359">
      <c r="D359" s="11"/>
    </row>
    <row r="360">
      <c r="D360" s="11"/>
    </row>
    <row r="361">
      <c r="D361" s="11"/>
    </row>
    <row r="362">
      <c r="D362" s="11"/>
    </row>
    <row r="363">
      <c r="D363" s="11"/>
    </row>
    <row r="364">
      <c r="D364" s="11"/>
    </row>
    <row r="365">
      <c r="D365" s="11"/>
    </row>
    <row r="366">
      <c r="D366" s="11"/>
    </row>
    <row r="367">
      <c r="D367" s="11"/>
    </row>
    <row r="368">
      <c r="D368" s="11"/>
    </row>
    <row r="369">
      <c r="D369" s="11"/>
    </row>
    <row r="370">
      <c r="D370" s="11"/>
    </row>
    <row r="371">
      <c r="D371" s="11"/>
    </row>
    <row r="372">
      <c r="D372" s="11"/>
    </row>
    <row r="373">
      <c r="D373" s="11"/>
    </row>
    <row r="374">
      <c r="D374" s="11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5.38"/>
    <col customWidth="1" min="11" max="11" width="17.13"/>
    <col customWidth="1" min="12" max="12" width="20.25"/>
    <col customWidth="1" min="13" max="13" width="17.88"/>
    <col customWidth="1" min="14" max="14" width="18.13"/>
    <col customWidth="1" min="15" max="15" width="20.5"/>
    <col customWidth="1" min="16" max="16" width="15.0"/>
  </cols>
  <sheetData>
    <row r="1">
      <c r="A1" s="12"/>
      <c r="B1" s="13" t="s">
        <v>1847</v>
      </c>
      <c r="C1" s="13" t="s">
        <v>1848</v>
      </c>
      <c r="D1" s="13" t="s">
        <v>1849</v>
      </c>
      <c r="E1" s="14" t="s">
        <v>1850</v>
      </c>
      <c r="F1" s="13" t="s">
        <v>1851</v>
      </c>
      <c r="G1" s="13" t="s">
        <v>5</v>
      </c>
      <c r="H1" s="13" t="s">
        <v>1852</v>
      </c>
      <c r="I1" s="13" t="s">
        <v>1853</v>
      </c>
      <c r="J1" s="13" t="s">
        <v>1854</v>
      </c>
      <c r="K1" s="13" t="s">
        <v>1855</v>
      </c>
      <c r="L1" s="13" t="s">
        <v>1856</v>
      </c>
      <c r="M1" s="13" t="s">
        <v>1857</v>
      </c>
      <c r="N1" s="13" t="s">
        <v>1858</v>
      </c>
      <c r="O1" s="13" t="s">
        <v>1859</v>
      </c>
      <c r="P1" s="13" t="s">
        <v>1860</v>
      </c>
      <c r="Q1" s="13" t="s">
        <v>1861</v>
      </c>
      <c r="R1" s="13" t="s">
        <v>1862</v>
      </c>
      <c r="S1" s="13" t="s">
        <v>1863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1864</v>
      </c>
      <c r="B2" s="1" t="s">
        <v>96</v>
      </c>
      <c r="C2" s="1" t="s">
        <v>97</v>
      </c>
      <c r="D2" s="1" t="s">
        <v>10</v>
      </c>
      <c r="E2" s="1" t="s">
        <v>98</v>
      </c>
      <c r="F2" s="1" t="s">
        <v>66</v>
      </c>
      <c r="G2" s="1" t="s">
        <v>67</v>
      </c>
      <c r="H2" s="16" t="s">
        <v>1865</v>
      </c>
      <c r="I2" s="17" t="s">
        <v>1866</v>
      </c>
      <c r="J2" s="18" t="s">
        <v>1867</v>
      </c>
      <c r="K2" s="18" t="s">
        <v>1868</v>
      </c>
      <c r="L2" s="18" t="s">
        <v>1869</v>
      </c>
      <c r="M2" s="18" t="s">
        <v>1867</v>
      </c>
      <c r="N2" s="1"/>
      <c r="O2" s="18" t="s">
        <v>1870</v>
      </c>
      <c r="P2" s="18" t="s">
        <v>1871</v>
      </c>
      <c r="Q2" s="18" t="s">
        <v>1867</v>
      </c>
      <c r="R2" s="18" t="s">
        <v>1872</v>
      </c>
    </row>
    <row r="3">
      <c r="A3" s="16" t="s">
        <v>1864</v>
      </c>
      <c r="B3" s="1" t="s">
        <v>123</v>
      </c>
      <c r="C3" s="1" t="s">
        <v>124</v>
      </c>
      <c r="D3" s="1" t="s">
        <v>10</v>
      </c>
      <c r="E3" s="1" t="s">
        <v>125</v>
      </c>
      <c r="F3" s="1" t="s">
        <v>66</v>
      </c>
      <c r="G3" s="1" t="s">
        <v>67</v>
      </c>
      <c r="H3" s="16" t="s">
        <v>1865</v>
      </c>
      <c r="I3" s="17" t="s">
        <v>1866</v>
      </c>
      <c r="J3" s="18" t="s">
        <v>1867</v>
      </c>
      <c r="K3" s="18" t="s">
        <v>1868</v>
      </c>
      <c r="L3" s="18" t="s">
        <v>1869</v>
      </c>
      <c r="M3" s="18" t="s">
        <v>1867</v>
      </c>
      <c r="N3" s="1"/>
      <c r="O3" s="18" t="s">
        <v>1870</v>
      </c>
      <c r="P3" s="18" t="s">
        <v>1871</v>
      </c>
      <c r="Q3" s="18" t="s">
        <v>1867</v>
      </c>
      <c r="R3" s="18" t="s">
        <v>1873</v>
      </c>
      <c r="S3" s="19" t="s">
        <v>1874</v>
      </c>
    </row>
    <row r="4">
      <c r="A4" s="16" t="s">
        <v>1864</v>
      </c>
      <c r="B4" s="1" t="s">
        <v>131</v>
      </c>
      <c r="C4" s="1" t="s">
        <v>132</v>
      </c>
      <c r="D4" s="1" t="s">
        <v>133</v>
      </c>
      <c r="E4" s="1" t="s">
        <v>134</v>
      </c>
      <c r="F4" s="1" t="s">
        <v>66</v>
      </c>
      <c r="G4" s="1" t="s">
        <v>95</v>
      </c>
      <c r="H4" s="16" t="s">
        <v>1865</v>
      </c>
      <c r="I4" s="17" t="s">
        <v>1866</v>
      </c>
      <c r="J4" s="18" t="s">
        <v>1867</v>
      </c>
      <c r="K4" s="18" t="s">
        <v>1875</v>
      </c>
      <c r="L4" s="18" t="s">
        <v>1876</v>
      </c>
      <c r="M4" s="18" t="s">
        <v>1867</v>
      </c>
      <c r="N4" s="1"/>
      <c r="O4" s="18" t="s">
        <v>1877</v>
      </c>
      <c r="P4" s="18" t="s">
        <v>1878</v>
      </c>
      <c r="Q4" s="18" t="s">
        <v>1867</v>
      </c>
      <c r="R4" s="18" t="s">
        <v>1879</v>
      </c>
    </row>
    <row r="5">
      <c r="A5" s="16" t="s">
        <v>1864</v>
      </c>
      <c r="B5" s="1" t="s">
        <v>1329</v>
      </c>
      <c r="C5" s="1" t="s">
        <v>1330</v>
      </c>
      <c r="D5" s="1" t="s">
        <v>1331</v>
      </c>
      <c r="E5" s="7">
        <f>+251947371901</f>
        <v>251947371901</v>
      </c>
      <c r="F5" s="1" t="s">
        <v>66</v>
      </c>
      <c r="G5" s="1" t="s">
        <v>67</v>
      </c>
      <c r="H5" s="16" t="s">
        <v>1880</v>
      </c>
      <c r="I5" s="17" t="s">
        <v>1866</v>
      </c>
      <c r="J5" s="18" t="s">
        <v>1867</v>
      </c>
      <c r="K5" s="18" t="s">
        <v>1881</v>
      </c>
      <c r="L5" s="18" t="s">
        <v>1876</v>
      </c>
      <c r="M5" s="18" t="s">
        <v>1867</v>
      </c>
      <c r="N5" s="1"/>
      <c r="O5" s="18" t="s">
        <v>1882</v>
      </c>
      <c r="P5" s="18" t="s">
        <v>1883</v>
      </c>
      <c r="Q5" s="18" t="s">
        <v>1867</v>
      </c>
      <c r="R5" s="18" t="s">
        <v>1879</v>
      </c>
    </row>
    <row r="6">
      <c r="A6" s="16" t="s">
        <v>1864</v>
      </c>
      <c r="B6" s="1" t="s">
        <v>1332</v>
      </c>
      <c r="C6" s="1" t="s">
        <v>412</v>
      </c>
      <c r="D6" s="1" t="s">
        <v>616</v>
      </c>
      <c r="E6" s="7">
        <f>+251947762091</f>
        <v>251947762091</v>
      </c>
      <c r="F6" s="1" t="s">
        <v>66</v>
      </c>
      <c r="G6" s="1" t="s">
        <v>76</v>
      </c>
      <c r="H6" s="16" t="s">
        <v>1880</v>
      </c>
      <c r="I6" s="17" t="s">
        <v>1866</v>
      </c>
      <c r="J6" s="18" t="s">
        <v>1884</v>
      </c>
      <c r="K6" s="1"/>
      <c r="L6" s="18" t="s">
        <v>1885</v>
      </c>
      <c r="M6" s="18" t="s">
        <v>1867</v>
      </c>
      <c r="N6" s="1"/>
      <c r="O6" s="18" t="s">
        <v>1882</v>
      </c>
      <c r="P6" s="18" t="s">
        <v>1883</v>
      </c>
      <c r="Q6" s="18" t="s">
        <v>1867</v>
      </c>
      <c r="R6" s="18" t="s">
        <v>1879</v>
      </c>
    </row>
    <row r="7">
      <c r="A7" s="16" t="s">
        <v>1864</v>
      </c>
      <c r="B7" s="1" t="s">
        <v>1336</v>
      </c>
      <c r="C7" s="1" t="s">
        <v>1337</v>
      </c>
      <c r="D7" s="1" t="s">
        <v>1338</v>
      </c>
      <c r="E7" s="7">
        <f>+251949630199</f>
        <v>251949630199</v>
      </c>
      <c r="F7" s="1" t="s">
        <v>66</v>
      </c>
      <c r="G7" s="1" t="s">
        <v>67</v>
      </c>
      <c r="H7" s="16" t="s">
        <v>1880</v>
      </c>
      <c r="I7" s="17" t="s">
        <v>1866</v>
      </c>
      <c r="J7" s="18" t="s">
        <v>1867</v>
      </c>
      <c r="K7" s="18" t="s">
        <v>1875</v>
      </c>
      <c r="L7" s="18" t="s">
        <v>1885</v>
      </c>
      <c r="M7" s="18" t="s">
        <v>1867</v>
      </c>
      <c r="N7" s="1"/>
      <c r="O7" s="18" t="s">
        <v>1877</v>
      </c>
      <c r="P7" s="18" t="s">
        <v>1878</v>
      </c>
      <c r="Q7" s="18" t="s">
        <v>1867</v>
      </c>
      <c r="R7" s="18" t="s">
        <v>1879</v>
      </c>
    </row>
    <row r="8">
      <c r="A8" s="16" t="s">
        <v>1864</v>
      </c>
      <c r="B8" s="1" t="s">
        <v>1339</v>
      </c>
      <c r="C8" s="1" t="s">
        <v>1340</v>
      </c>
      <c r="D8" s="1" t="s">
        <v>1341</v>
      </c>
      <c r="E8" s="7">
        <f>+251951180417</f>
        <v>251951180417</v>
      </c>
      <c r="F8" s="1" t="s">
        <v>66</v>
      </c>
      <c r="G8" s="1" t="s">
        <v>67</v>
      </c>
      <c r="H8" s="16" t="s">
        <v>1880</v>
      </c>
      <c r="I8" s="17" t="s">
        <v>1866</v>
      </c>
      <c r="J8" s="18" t="s">
        <v>1867</v>
      </c>
      <c r="K8" s="18" t="s">
        <v>1886</v>
      </c>
      <c r="L8" s="18" t="s">
        <v>1887</v>
      </c>
      <c r="M8" s="18" t="s">
        <v>1867</v>
      </c>
      <c r="N8" s="1"/>
      <c r="O8" s="18" t="s">
        <v>1887</v>
      </c>
      <c r="P8" s="18" t="s">
        <v>1878</v>
      </c>
      <c r="Q8" s="18" t="s">
        <v>1867</v>
      </c>
      <c r="R8" s="18" t="s">
        <v>1888</v>
      </c>
    </row>
    <row r="9">
      <c r="A9" s="16" t="s">
        <v>1864</v>
      </c>
      <c r="B9" s="1" t="s">
        <v>1342</v>
      </c>
      <c r="C9" s="1" t="s">
        <v>642</v>
      </c>
      <c r="D9" s="1" t="s">
        <v>661</v>
      </c>
      <c r="E9" s="7">
        <f>+251952955080</f>
        <v>251952955080</v>
      </c>
      <c r="F9" s="1" t="s">
        <v>66</v>
      </c>
      <c r="G9" s="1" t="s">
        <v>67</v>
      </c>
      <c r="H9" s="16" t="s">
        <v>1880</v>
      </c>
      <c r="I9" s="17" t="s">
        <v>1866</v>
      </c>
      <c r="J9" s="18" t="s">
        <v>1867</v>
      </c>
      <c r="K9" s="18" t="s">
        <v>1878</v>
      </c>
      <c r="L9" s="18" t="s">
        <v>1887</v>
      </c>
      <c r="M9" s="18" t="s">
        <v>1867</v>
      </c>
      <c r="N9" s="1"/>
      <c r="O9" s="18" t="s">
        <v>1887</v>
      </c>
      <c r="P9" s="18" t="s">
        <v>1878</v>
      </c>
      <c r="Q9" s="18" t="s">
        <v>1867</v>
      </c>
      <c r="R9" s="18" t="s">
        <v>1888</v>
      </c>
    </row>
    <row r="10">
      <c r="A10" s="16" t="s">
        <v>1864</v>
      </c>
      <c r="B10" s="1" t="s">
        <v>1343</v>
      </c>
      <c r="C10" s="1" t="s">
        <v>1344</v>
      </c>
      <c r="D10" s="1" t="s">
        <v>1345</v>
      </c>
      <c r="E10" s="7">
        <f>+251954884513</f>
        <v>251954884513</v>
      </c>
      <c r="F10" s="1" t="s">
        <v>66</v>
      </c>
      <c r="G10" s="1" t="s">
        <v>67</v>
      </c>
      <c r="H10" s="16" t="s">
        <v>1880</v>
      </c>
      <c r="I10" s="17" t="s">
        <v>1866</v>
      </c>
      <c r="J10" s="18" t="s">
        <v>1867</v>
      </c>
      <c r="K10" s="18" t="s">
        <v>1868</v>
      </c>
      <c r="L10" s="18" t="s">
        <v>1869</v>
      </c>
      <c r="M10" s="18" t="s">
        <v>1867</v>
      </c>
      <c r="N10" s="1"/>
      <c r="O10" s="18" t="s">
        <v>1870</v>
      </c>
      <c r="P10" s="18" t="s">
        <v>1871</v>
      </c>
      <c r="Q10" s="18" t="s">
        <v>1867</v>
      </c>
      <c r="R10" s="18" t="s">
        <v>1873</v>
      </c>
      <c r="S10" s="19" t="s">
        <v>1889</v>
      </c>
    </row>
    <row r="11">
      <c r="A11" s="16" t="s">
        <v>1864</v>
      </c>
      <c r="B11" s="1" t="s">
        <v>1348</v>
      </c>
      <c r="C11" s="1" t="s">
        <v>1349</v>
      </c>
      <c r="D11" s="1" t="s">
        <v>1350</v>
      </c>
      <c r="E11" s="7">
        <f>+251955098708</f>
        <v>251955098708</v>
      </c>
      <c r="F11" s="1" t="s">
        <v>66</v>
      </c>
      <c r="G11" s="1" t="s">
        <v>67</v>
      </c>
      <c r="H11" s="16" t="s">
        <v>1880</v>
      </c>
      <c r="I11" s="17" t="s">
        <v>1866</v>
      </c>
      <c r="J11" s="18" t="s">
        <v>1867</v>
      </c>
      <c r="K11" s="18" t="s">
        <v>1890</v>
      </c>
      <c r="L11" s="18" t="s">
        <v>1887</v>
      </c>
      <c r="M11" s="18" t="s">
        <v>1867</v>
      </c>
      <c r="N11" s="1"/>
      <c r="O11" s="18" t="s">
        <v>1887</v>
      </c>
      <c r="P11" s="18" t="s">
        <v>1878</v>
      </c>
      <c r="Q11" s="18" t="s">
        <v>1867</v>
      </c>
      <c r="R11" s="18" t="s">
        <v>1888</v>
      </c>
      <c r="S11" s="19" t="s">
        <v>1891</v>
      </c>
    </row>
    <row r="12">
      <c r="A12" s="16" t="s">
        <v>1864</v>
      </c>
      <c r="B12" s="1" t="s">
        <v>1351</v>
      </c>
      <c r="C12" s="1" t="s">
        <v>1118</v>
      </c>
      <c r="D12" s="1" t="s">
        <v>1352</v>
      </c>
      <c r="E12" s="8">
        <v>2.51956501242E11</v>
      </c>
      <c r="F12" s="1" t="s">
        <v>66</v>
      </c>
      <c r="G12" s="1" t="s">
        <v>67</v>
      </c>
      <c r="H12" s="16" t="s">
        <v>1880</v>
      </c>
      <c r="I12" s="17" t="s">
        <v>1866</v>
      </c>
      <c r="J12" s="18" t="s">
        <v>1867</v>
      </c>
      <c r="K12" s="18" t="s">
        <v>1881</v>
      </c>
      <c r="L12" s="18" t="s">
        <v>1892</v>
      </c>
      <c r="M12" s="18" t="s">
        <v>1867</v>
      </c>
      <c r="N12" s="1"/>
      <c r="O12" s="18" t="s">
        <v>1882</v>
      </c>
      <c r="P12" s="18" t="s">
        <v>1883</v>
      </c>
      <c r="Q12" s="18" t="s">
        <v>1867</v>
      </c>
      <c r="R12" s="18" t="s">
        <v>1893</v>
      </c>
    </row>
    <row r="13">
      <c r="A13" s="16" t="s">
        <v>1864</v>
      </c>
      <c r="B13" s="1" t="s">
        <v>1357</v>
      </c>
      <c r="C13" s="1" t="s">
        <v>1358</v>
      </c>
      <c r="D13" s="1" t="s">
        <v>1359</v>
      </c>
      <c r="E13" s="7">
        <f>+251963498569</f>
        <v>251963498569</v>
      </c>
      <c r="F13" s="1" t="s">
        <v>66</v>
      </c>
      <c r="G13" s="1" t="s">
        <v>71</v>
      </c>
      <c r="H13" s="16" t="s">
        <v>1880</v>
      </c>
      <c r="I13" s="17" t="s">
        <v>1866</v>
      </c>
      <c r="J13" s="18" t="s">
        <v>1867</v>
      </c>
      <c r="K13" s="18" t="s">
        <v>1894</v>
      </c>
      <c r="L13" s="18" t="s">
        <v>1869</v>
      </c>
      <c r="M13" s="18" t="s">
        <v>1867</v>
      </c>
      <c r="N13" s="1"/>
      <c r="O13" s="18" t="s">
        <v>1870</v>
      </c>
      <c r="P13" s="18" t="s">
        <v>1871</v>
      </c>
      <c r="Q13" s="18" t="s">
        <v>1867</v>
      </c>
      <c r="R13" s="18" t="s">
        <v>1895</v>
      </c>
    </row>
    <row r="14">
      <c r="A14" s="16" t="s">
        <v>1864</v>
      </c>
      <c r="B14" s="1" t="s">
        <v>1360</v>
      </c>
      <c r="C14" s="1" t="s">
        <v>1361</v>
      </c>
      <c r="D14" s="1" t="s">
        <v>1000</v>
      </c>
      <c r="E14" s="7">
        <f>+251966314151</f>
        <v>251966314151</v>
      </c>
      <c r="F14" s="1" t="s">
        <v>66</v>
      </c>
      <c r="G14" s="1" t="s">
        <v>95</v>
      </c>
      <c r="H14" s="16" t="s">
        <v>1880</v>
      </c>
      <c r="I14" s="17" t="s">
        <v>1866</v>
      </c>
      <c r="J14" s="18" t="s">
        <v>1867</v>
      </c>
      <c r="K14" s="18" t="s">
        <v>1890</v>
      </c>
      <c r="L14" s="18" t="s">
        <v>1887</v>
      </c>
      <c r="M14" s="18" t="s">
        <v>1867</v>
      </c>
      <c r="N14" s="1"/>
      <c r="O14" s="18" t="s">
        <v>1887</v>
      </c>
      <c r="P14" s="18" t="s">
        <v>1878</v>
      </c>
      <c r="Q14" s="18" t="s">
        <v>1867</v>
      </c>
      <c r="R14" s="18" t="s">
        <v>1888</v>
      </c>
      <c r="S14" s="19" t="s">
        <v>1896</v>
      </c>
    </row>
    <row r="15">
      <c r="A15" s="16" t="s">
        <v>1864</v>
      </c>
      <c r="B15" s="1" t="s">
        <v>1367</v>
      </c>
      <c r="C15" s="1" t="s">
        <v>1368</v>
      </c>
      <c r="D15" s="1" t="s">
        <v>1369</v>
      </c>
      <c r="E15" s="8">
        <v>2.51969063839E11</v>
      </c>
      <c r="F15" s="1" t="s">
        <v>66</v>
      </c>
      <c r="G15" s="1" t="s">
        <v>67</v>
      </c>
      <c r="H15" s="16" t="s">
        <v>1880</v>
      </c>
      <c r="I15" s="17" t="s">
        <v>1866</v>
      </c>
      <c r="J15" s="18" t="s">
        <v>1867</v>
      </c>
      <c r="K15" s="18" t="s">
        <v>1897</v>
      </c>
      <c r="L15" s="18" t="s">
        <v>1876</v>
      </c>
      <c r="M15" s="18" t="s">
        <v>1867</v>
      </c>
      <c r="N15" s="1"/>
      <c r="O15" s="18" t="s">
        <v>1882</v>
      </c>
      <c r="P15" s="18" t="s">
        <v>1898</v>
      </c>
      <c r="Q15" s="18" t="s">
        <v>1867</v>
      </c>
      <c r="R15" s="18" t="s">
        <v>1879</v>
      </c>
    </row>
    <row r="16">
      <c r="A16" s="16" t="s">
        <v>1864</v>
      </c>
      <c r="B16" s="1" t="s">
        <v>1370</v>
      </c>
      <c r="C16" s="1" t="s">
        <v>863</v>
      </c>
      <c r="D16" s="1" t="s">
        <v>1371</v>
      </c>
      <c r="E16" s="7">
        <f>+251969311476</f>
        <v>251969311476</v>
      </c>
      <c r="F16" s="1" t="s">
        <v>66</v>
      </c>
      <c r="G16" s="1" t="s">
        <v>71</v>
      </c>
      <c r="H16" s="16" t="s">
        <v>1880</v>
      </c>
      <c r="I16" s="17" t="s">
        <v>1866</v>
      </c>
      <c r="J16" s="18" t="s">
        <v>1867</v>
      </c>
      <c r="K16" s="18" t="s">
        <v>1881</v>
      </c>
      <c r="L16" s="18" t="s">
        <v>1876</v>
      </c>
      <c r="M16" s="18" t="s">
        <v>1867</v>
      </c>
      <c r="N16" s="1"/>
      <c r="O16" s="18" t="s">
        <v>1882</v>
      </c>
      <c r="P16" s="18" t="s">
        <v>1899</v>
      </c>
      <c r="Q16" s="18" t="s">
        <v>1867</v>
      </c>
      <c r="R16" s="18" t="s">
        <v>1879</v>
      </c>
    </row>
    <row r="17">
      <c r="A17" s="16" t="s">
        <v>1864</v>
      </c>
      <c r="B17" s="1" t="s">
        <v>1372</v>
      </c>
      <c r="C17" s="1" t="s">
        <v>1373</v>
      </c>
      <c r="D17" s="1" t="s">
        <v>275</v>
      </c>
      <c r="E17" s="7">
        <f>+251969424122</f>
        <v>251969424122</v>
      </c>
      <c r="F17" s="1" t="s">
        <v>66</v>
      </c>
      <c r="G17" s="1" t="s">
        <v>71</v>
      </c>
      <c r="H17" s="16" t="s">
        <v>1880</v>
      </c>
      <c r="I17" s="17" t="s">
        <v>1866</v>
      </c>
      <c r="J17" s="18" t="s">
        <v>1867</v>
      </c>
      <c r="K17" s="18" t="s">
        <v>1900</v>
      </c>
      <c r="L17" s="18" t="s">
        <v>1869</v>
      </c>
      <c r="M17" s="18" t="s">
        <v>1867</v>
      </c>
      <c r="N17" s="1"/>
      <c r="O17" s="18" t="s">
        <v>1870</v>
      </c>
      <c r="P17" s="18" t="s">
        <v>1871</v>
      </c>
      <c r="Q17" s="18" t="s">
        <v>1867</v>
      </c>
      <c r="R17" s="18" t="s">
        <v>1872</v>
      </c>
      <c r="S17" s="19" t="s">
        <v>1901</v>
      </c>
    </row>
    <row r="18">
      <c r="A18" s="16" t="s">
        <v>1864</v>
      </c>
      <c r="B18" s="1" t="s">
        <v>1379</v>
      </c>
      <c r="C18" s="1" t="s">
        <v>1051</v>
      </c>
      <c r="D18" s="1" t="s">
        <v>1052</v>
      </c>
      <c r="E18" s="7">
        <f>+251975018101</f>
        <v>251975018101</v>
      </c>
      <c r="F18" s="1" t="s">
        <v>66</v>
      </c>
      <c r="G18" s="1" t="s">
        <v>67</v>
      </c>
      <c r="H18" s="16" t="s">
        <v>1880</v>
      </c>
      <c r="I18" s="17" t="s">
        <v>1866</v>
      </c>
      <c r="J18" s="18" t="s">
        <v>1867</v>
      </c>
      <c r="K18" s="18" t="s">
        <v>1902</v>
      </c>
      <c r="L18" s="18" t="s">
        <v>1869</v>
      </c>
      <c r="M18" s="18" t="s">
        <v>1867</v>
      </c>
      <c r="N18" s="1"/>
      <c r="O18" s="18" t="s">
        <v>1870</v>
      </c>
      <c r="P18" s="18" t="s">
        <v>1871</v>
      </c>
      <c r="Q18" s="18" t="s">
        <v>1867</v>
      </c>
      <c r="R18" s="18" t="s">
        <v>1903</v>
      </c>
    </row>
    <row r="19">
      <c r="A19" s="16" t="s">
        <v>1864</v>
      </c>
      <c r="B19" s="1" t="s">
        <v>1380</v>
      </c>
      <c r="C19" s="1" t="s">
        <v>1381</v>
      </c>
      <c r="D19" s="1" t="s">
        <v>1382</v>
      </c>
      <c r="E19" s="7">
        <f>+251976554864</f>
        <v>251976554864</v>
      </c>
      <c r="F19" s="1" t="s">
        <v>66</v>
      </c>
      <c r="G19" s="1" t="s">
        <v>67</v>
      </c>
      <c r="H19" s="16" t="s">
        <v>1880</v>
      </c>
      <c r="I19" s="17" t="s">
        <v>1866</v>
      </c>
      <c r="J19" s="18" t="s">
        <v>1884</v>
      </c>
      <c r="K19" s="1"/>
      <c r="L19" s="18" t="s">
        <v>1887</v>
      </c>
      <c r="M19" s="18" t="s">
        <v>1867</v>
      </c>
      <c r="N19" s="1"/>
      <c r="O19" s="18" t="s">
        <v>1887</v>
      </c>
      <c r="P19" s="18" t="s">
        <v>1878</v>
      </c>
      <c r="Q19" s="18" t="s">
        <v>1867</v>
      </c>
      <c r="R19" s="18" t="s">
        <v>1888</v>
      </c>
    </row>
    <row r="20">
      <c r="A20" s="16" t="s">
        <v>1864</v>
      </c>
      <c r="B20" s="1" t="s">
        <v>1384</v>
      </c>
      <c r="C20" s="1" t="s">
        <v>510</v>
      </c>
      <c r="D20" s="1" t="s">
        <v>1385</v>
      </c>
      <c r="E20" s="7">
        <f>+251979078890</f>
        <v>251979078890</v>
      </c>
      <c r="F20" s="1" t="s">
        <v>66</v>
      </c>
      <c r="G20" s="1" t="s">
        <v>90</v>
      </c>
      <c r="H20" s="16" t="s">
        <v>1880</v>
      </c>
      <c r="I20" s="17" t="s">
        <v>1866</v>
      </c>
      <c r="J20" s="18" t="s">
        <v>1884</v>
      </c>
      <c r="K20" s="1"/>
      <c r="L20" s="18" t="s">
        <v>1885</v>
      </c>
      <c r="M20" s="18" t="s">
        <v>1867</v>
      </c>
      <c r="N20" s="1"/>
      <c r="O20" s="18" t="s">
        <v>1882</v>
      </c>
      <c r="P20" s="18" t="s">
        <v>1883</v>
      </c>
      <c r="Q20" s="18" t="s">
        <v>1867</v>
      </c>
      <c r="R20" s="18" t="s">
        <v>1879</v>
      </c>
    </row>
    <row r="21">
      <c r="A21" s="16" t="s">
        <v>1864</v>
      </c>
      <c r="B21" s="1" t="s">
        <v>1388</v>
      </c>
      <c r="C21" s="1" t="s">
        <v>1389</v>
      </c>
      <c r="D21" s="1" t="s">
        <v>1390</v>
      </c>
      <c r="E21" s="7">
        <f>+251979727910</f>
        <v>251979727910</v>
      </c>
      <c r="F21" s="1" t="s">
        <v>66</v>
      </c>
      <c r="G21" s="1" t="s">
        <v>95</v>
      </c>
      <c r="H21" s="16" t="s">
        <v>1880</v>
      </c>
      <c r="I21" s="17" t="s">
        <v>1866</v>
      </c>
      <c r="J21" s="18" t="s">
        <v>1867</v>
      </c>
      <c r="K21" s="18" t="s">
        <v>1904</v>
      </c>
      <c r="L21" s="18" t="s">
        <v>1887</v>
      </c>
      <c r="M21" s="18" t="s">
        <v>1867</v>
      </c>
      <c r="N21" s="1"/>
      <c r="O21" s="18" t="s">
        <v>1887</v>
      </c>
      <c r="P21" s="18" t="s">
        <v>1878</v>
      </c>
      <c r="Q21" s="18" t="s">
        <v>1867</v>
      </c>
      <c r="R21" s="18" t="s">
        <v>1888</v>
      </c>
    </row>
    <row r="22">
      <c r="A22" s="16" t="s">
        <v>1864</v>
      </c>
      <c r="B22" s="1" t="s">
        <v>1391</v>
      </c>
      <c r="C22" s="1" t="s">
        <v>1392</v>
      </c>
      <c r="D22" s="1" t="s">
        <v>1393</v>
      </c>
      <c r="E22" s="7">
        <f>+251985285225</f>
        <v>251985285225</v>
      </c>
      <c r="F22" s="1" t="s">
        <v>66</v>
      </c>
      <c r="G22" s="1" t="s">
        <v>76</v>
      </c>
      <c r="H22" s="16" t="s">
        <v>1880</v>
      </c>
      <c r="I22" s="17" t="s">
        <v>1866</v>
      </c>
      <c r="J22" s="18" t="s">
        <v>1867</v>
      </c>
      <c r="K22" s="18" t="s">
        <v>1875</v>
      </c>
      <c r="L22" s="18" t="s">
        <v>1876</v>
      </c>
      <c r="M22" s="18" t="s">
        <v>1867</v>
      </c>
      <c r="N22" s="1"/>
      <c r="O22" s="18" t="s">
        <v>1877</v>
      </c>
      <c r="P22" s="18" t="s">
        <v>1878</v>
      </c>
      <c r="Q22" s="18" t="s">
        <v>1867</v>
      </c>
      <c r="R22" s="18" t="s">
        <v>1879</v>
      </c>
    </row>
    <row r="23">
      <c r="A23" s="16" t="s">
        <v>1864</v>
      </c>
      <c r="B23" s="1" t="s">
        <v>1394</v>
      </c>
      <c r="C23" s="1" t="s">
        <v>1395</v>
      </c>
      <c r="D23" s="1" t="s">
        <v>730</v>
      </c>
      <c r="E23" s="7">
        <f>+251985466563</f>
        <v>251985466563</v>
      </c>
      <c r="F23" s="1" t="s">
        <v>66</v>
      </c>
      <c r="G23" s="1" t="s">
        <v>76</v>
      </c>
      <c r="H23" s="16" t="s">
        <v>1880</v>
      </c>
      <c r="I23" s="17" t="s">
        <v>1866</v>
      </c>
      <c r="J23" s="18" t="s">
        <v>1867</v>
      </c>
      <c r="K23" s="18" t="s">
        <v>1881</v>
      </c>
      <c r="L23" s="18" t="s">
        <v>1876</v>
      </c>
      <c r="M23" s="18" t="s">
        <v>1867</v>
      </c>
      <c r="N23" s="1"/>
      <c r="O23" s="18" t="s">
        <v>1882</v>
      </c>
      <c r="P23" s="18" t="s">
        <v>1899</v>
      </c>
      <c r="Q23" s="18" t="s">
        <v>1867</v>
      </c>
      <c r="R23" s="18" t="s">
        <v>1879</v>
      </c>
    </row>
    <row r="24">
      <c r="A24" s="16" t="s">
        <v>1864</v>
      </c>
      <c r="B24" s="1" t="s">
        <v>1396</v>
      </c>
      <c r="C24" s="1" t="s">
        <v>1397</v>
      </c>
      <c r="D24" s="1" t="s">
        <v>1398</v>
      </c>
      <c r="E24" s="7">
        <f>+251985600775</f>
        <v>251985600775</v>
      </c>
      <c r="F24" s="1" t="s">
        <v>66</v>
      </c>
      <c r="G24" s="1" t="s">
        <v>90</v>
      </c>
      <c r="H24" s="16" t="s">
        <v>1880</v>
      </c>
      <c r="I24" s="17" t="s">
        <v>1866</v>
      </c>
      <c r="J24" s="18" t="s">
        <v>1867</v>
      </c>
      <c r="K24" s="18" t="s">
        <v>1881</v>
      </c>
      <c r="L24" s="18" t="s">
        <v>1876</v>
      </c>
      <c r="M24" s="18" t="s">
        <v>1867</v>
      </c>
      <c r="N24" s="1"/>
      <c r="O24" s="18" t="s">
        <v>1882</v>
      </c>
      <c r="P24" s="18" t="s">
        <v>1899</v>
      </c>
      <c r="Q24" s="18" t="s">
        <v>1867</v>
      </c>
      <c r="R24" s="18" t="s">
        <v>1879</v>
      </c>
    </row>
    <row r="25">
      <c r="A25" s="16" t="s">
        <v>1864</v>
      </c>
      <c r="B25" s="1" t="s">
        <v>1399</v>
      </c>
      <c r="C25" s="1" t="s">
        <v>1400</v>
      </c>
      <c r="D25" s="1" t="s">
        <v>1401</v>
      </c>
      <c r="E25" s="7">
        <f>+251986351031</f>
        <v>251986351031</v>
      </c>
      <c r="F25" s="1" t="s">
        <v>66</v>
      </c>
      <c r="G25" s="1" t="s">
        <v>67</v>
      </c>
      <c r="H25" s="16" t="s">
        <v>1880</v>
      </c>
      <c r="I25" s="17" t="s">
        <v>1866</v>
      </c>
      <c r="J25" s="18" t="s">
        <v>1867</v>
      </c>
      <c r="K25" s="18" t="s">
        <v>1905</v>
      </c>
      <c r="L25" s="18" t="s">
        <v>1892</v>
      </c>
      <c r="M25" s="18" t="s">
        <v>1867</v>
      </c>
      <c r="N25" s="1"/>
      <c r="O25" s="18" t="s">
        <v>1882</v>
      </c>
      <c r="P25" s="18" t="s">
        <v>1883</v>
      </c>
      <c r="Q25" s="18" t="s">
        <v>1867</v>
      </c>
      <c r="R25" s="18" t="s">
        <v>1906</v>
      </c>
    </row>
    <row r="26">
      <c r="A26" s="16" t="s">
        <v>1864</v>
      </c>
      <c r="B26" s="1" t="s">
        <v>1404</v>
      </c>
      <c r="C26" s="1" t="s">
        <v>1405</v>
      </c>
      <c r="D26" s="1" t="s">
        <v>767</v>
      </c>
      <c r="E26" s="7">
        <f>+251989210447</f>
        <v>251989210447</v>
      </c>
      <c r="F26" s="1" t="s">
        <v>66</v>
      </c>
      <c r="G26" s="1" t="s">
        <v>67</v>
      </c>
      <c r="H26" s="16" t="s">
        <v>1880</v>
      </c>
      <c r="I26" s="17" t="s">
        <v>1866</v>
      </c>
      <c r="J26" s="18" t="s">
        <v>1867</v>
      </c>
      <c r="K26" s="18" t="s">
        <v>1890</v>
      </c>
      <c r="L26" s="18" t="s">
        <v>1887</v>
      </c>
      <c r="M26" s="18" t="s">
        <v>1867</v>
      </c>
      <c r="N26" s="1"/>
      <c r="O26" s="18" t="s">
        <v>1887</v>
      </c>
      <c r="P26" s="18" t="s">
        <v>1878</v>
      </c>
      <c r="Q26" s="18" t="s">
        <v>1867</v>
      </c>
      <c r="R26" s="18" t="s">
        <v>1888</v>
      </c>
    </row>
    <row r="27">
      <c r="A27" s="16" t="s">
        <v>1864</v>
      </c>
      <c r="B27" s="1" t="s">
        <v>1406</v>
      </c>
      <c r="C27" s="1" t="s">
        <v>1407</v>
      </c>
      <c r="D27" s="1" t="s">
        <v>1408</v>
      </c>
      <c r="E27" s="7">
        <f>+251991858758</f>
        <v>251991858758</v>
      </c>
      <c r="F27" s="1" t="s">
        <v>66</v>
      </c>
      <c r="G27" s="1" t="s">
        <v>67</v>
      </c>
      <c r="H27" s="16" t="s">
        <v>1880</v>
      </c>
      <c r="I27" s="17" t="s">
        <v>1866</v>
      </c>
      <c r="J27" s="18" t="s">
        <v>1867</v>
      </c>
      <c r="K27" s="18" t="s">
        <v>1907</v>
      </c>
      <c r="L27" s="18" t="s">
        <v>1869</v>
      </c>
      <c r="M27" s="18" t="s">
        <v>1867</v>
      </c>
      <c r="N27" s="1"/>
      <c r="O27" s="18" t="s">
        <v>1870</v>
      </c>
      <c r="P27" s="18" t="s">
        <v>1871</v>
      </c>
      <c r="Q27" s="18" t="s">
        <v>1867</v>
      </c>
      <c r="R27" s="18" t="s">
        <v>1895</v>
      </c>
    </row>
    <row r="28">
      <c r="A28" s="16" t="s">
        <v>1864</v>
      </c>
      <c r="B28" s="1" t="s">
        <v>1409</v>
      </c>
      <c r="C28" s="1" t="s">
        <v>1410</v>
      </c>
      <c r="D28" s="1" t="s">
        <v>1411</v>
      </c>
      <c r="E28" s="7">
        <f>+251992280490</f>
        <v>251992280490</v>
      </c>
      <c r="F28" s="1" t="s">
        <v>66</v>
      </c>
      <c r="G28" s="1" t="s">
        <v>76</v>
      </c>
      <c r="H28" s="16" t="s">
        <v>1880</v>
      </c>
      <c r="I28" s="17" t="s">
        <v>1866</v>
      </c>
      <c r="J28" s="18" t="s">
        <v>1867</v>
      </c>
      <c r="K28" s="18" t="s">
        <v>1870</v>
      </c>
      <c r="L28" s="18" t="s">
        <v>1869</v>
      </c>
      <c r="M28" s="18" t="s">
        <v>1867</v>
      </c>
      <c r="N28" s="1"/>
      <c r="O28" s="18" t="s">
        <v>1870</v>
      </c>
      <c r="P28" s="18" t="s">
        <v>1871</v>
      </c>
      <c r="Q28" s="18" t="s">
        <v>1867</v>
      </c>
      <c r="R28" s="18" t="s">
        <v>1872</v>
      </c>
      <c r="S28" s="19" t="s">
        <v>1908</v>
      </c>
    </row>
    <row r="29">
      <c r="A29" s="16" t="s">
        <v>1864</v>
      </c>
      <c r="B29" s="1" t="s">
        <v>1412</v>
      </c>
      <c r="C29" s="1" t="s">
        <v>1413</v>
      </c>
      <c r="D29" s="1" t="s">
        <v>918</v>
      </c>
      <c r="E29" s="7">
        <f>+251992703620</f>
        <v>251992703620</v>
      </c>
      <c r="F29" s="1" t="s">
        <v>66</v>
      </c>
      <c r="G29" s="1" t="s">
        <v>200</v>
      </c>
      <c r="H29" s="16" t="s">
        <v>1880</v>
      </c>
      <c r="I29" s="17" t="s">
        <v>1866</v>
      </c>
      <c r="J29" s="18" t="s">
        <v>1867</v>
      </c>
      <c r="K29" s="18" t="s">
        <v>1909</v>
      </c>
      <c r="L29" s="18" t="s">
        <v>1869</v>
      </c>
      <c r="M29" s="18" t="s">
        <v>1867</v>
      </c>
      <c r="N29" s="1"/>
      <c r="O29" s="18" t="s">
        <v>1870</v>
      </c>
      <c r="P29" s="18" t="s">
        <v>1871</v>
      </c>
      <c r="Q29" s="18" t="s">
        <v>1867</v>
      </c>
      <c r="R29" s="18" t="s">
        <v>1872</v>
      </c>
    </row>
    <row r="30">
      <c r="A30" s="16" t="s">
        <v>1864</v>
      </c>
      <c r="B30" s="1" t="s">
        <v>1414</v>
      </c>
      <c r="C30" s="1" t="s">
        <v>55</v>
      </c>
      <c r="D30" s="1" t="s">
        <v>739</v>
      </c>
      <c r="E30" s="7">
        <f>+251993099396</f>
        <v>251993099396</v>
      </c>
      <c r="F30" s="1" t="s">
        <v>66</v>
      </c>
      <c r="G30" s="1" t="s">
        <v>76</v>
      </c>
      <c r="H30" s="16" t="s">
        <v>1880</v>
      </c>
      <c r="I30" s="17" t="s">
        <v>1866</v>
      </c>
      <c r="J30" s="18" t="s">
        <v>1867</v>
      </c>
      <c r="K30" s="18" t="s">
        <v>1910</v>
      </c>
      <c r="L30" s="18" t="s">
        <v>1869</v>
      </c>
      <c r="M30" s="18" t="s">
        <v>1867</v>
      </c>
      <c r="N30" s="1"/>
      <c r="O30" s="18" t="s">
        <v>1870</v>
      </c>
      <c r="P30" s="18" t="s">
        <v>1871</v>
      </c>
      <c r="Q30" s="18" t="s">
        <v>1867</v>
      </c>
      <c r="R30" s="18" t="s">
        <v>1873</v>
      </c>
      <c r="S30" s="19" t="s">
        <v>1911</v>
      </c>
    </row>
    <row r="31">
      <c r="A31" s="16" t="s">
        <v>1864</v>
      </c>
      <c r="B31" s="1" t="s">
        <v>1415</v>
      </c>
      <c r="C31" s="1" t="s">
        <v>1266</v>
      </c>
      <c r="D31" s="1" t="s">
        <v>1416</v>
      </c>
      <c r="E31" s="7">
        <f>+251993677291</f>
        <v>251993677291</v>
      </c>
      <c r="F31" s="1" t="s">
        <v>66</v>
      </c>
      <c r="G31" s="1" t="s">
        <v>90</v>
      </c>
      <c r="H31" s="16" t="s">
        <v>1880</v>
      </c>
      <c r="I31" s="17" t="s">
        <v>1866</v>
      </c>
      <c r="J31" s="18" t="s">
        <v>1884</v>
      </c>
      <c r="K31" s="1"/>
      <c r="L31" s="18" t="s">
        <v>1887</v>
      </c>
      <c r="M31" s="18" t="s">
        <v>1867</v>
      </c>
      <c r="N31" s="1"/>
      <c r="O31" s="18" t="s">
        <v>1887</v>
      </c>
      <c r="P31" s="18" t="s">
        <v>1878</v>
      </c>
      <c r="Q31" s="18" t="s">
        <v>1867</v>
      </c>
      <c r="R31" s="18" t="s">
        <v>1888</v>
      </c>
    </row>
    <row r="32">
      <c r="A32" s="16" t="s">
        <v>1864</v>
      </c>
      <c r="B32" s="1" t="s">
        <v>107</v>
      </c>
      <c r="C32" s="1" t="s">
        <v>108</v>
      </c>
      <c r="D32" s="1" t="s">
        <v>109</v>
      </c>
      <c r="E32" s="1" t="s">
        <v>110</v>
      </c>
      <c r="F32" s="1" t="s">
        <v>66</v>
      </c>
      <c r="G32" s="1" t="s">
        <v>95</v>
      </c>
      <c r="H32" s="16" t="s">
        <v>1865</v>
      </c>
      <c r="I32" s="17" t="s">
        <v>1912</v>
      </c>
      <c r="J32" s="1"/>
      <c r="K32" s="1"/>
      <c r="L32" s="1"/>
      <c r="M32" s="1"/>
      <c r="N32" s="1"/>
      <c r="O32" s="1"/>
      <c r="P32" s="1"/>
      <c r="Q32" s="1"/>
      <c r="R32" s="1"/>
    </row>
    <row r="33">
      <c r="A33" s="16" t="s">
        <v>1864</v>
      </c>
      <c r="B33" s="1" t="s">
        <v>1333</v>
      </c>
      <c r="C33" s="1" t="s">
        <v>1334</v>
      </c>
      <c r="D33" s="1" t="s">
        <v>1335</v>
      </c>
      <c r="E33" s="7">
        <f>+251949389582</f>
        <v>251949389582</v>
      </c>
      <c r="F33" s="1" t="s">
        <v>66</v>
      </c>
      <c r="G33" s="1" t="s">
        <v>71</v>
      </c>
      <c r="H33" s="16" t="s">
        <v>1880</v>
      </c>
      <c r="I33" s="17" t="s">
        <v>1912</v>
      </c>
      <c r="J33" s="1"/>
      <c r="K33" s="1"/>
      <c r="L33" s="1"/>
      <c r="M33" s="1"/>
      <c r="N33" s="1"/>
      <c r="O33" s="1"/>
      <c r="P33" s="1"/>
      <c r="Q33" s="1"/>
      <c r="R33" s="1"/>
    </row>
    <row r="34">
      <c r="A34" s="16" t="s">
        <v>1864</v>
      </c>
      <c r="B34" s="1" t="s">
        <v>1353</v>
      </c>
      <c r="C34" s="1" t="s">
        <v>1354</v>
      </c>
      <c r="D34" s="1" t="s">
        <v>1355</v>
      </c>
      <c r="E34" s="7">
        <f>+251961205863</f>
        <v>251961205863</v>
      </c>
      <c r="F34" s="1" t="s">
        <v>66</v>
      </c>
      <c r="G34" s="1" t="s">
        <v>71</v>
      </c>
      <c r="H34" s="16" t="s">
        <v>1880</v>
      </c>
      <c r="I34" s="17" t="s">
        <v>1912</v>
      </c>
      <c r="J34" s="1"/>
      <c r="K34" s="1"/>
      <c r="L34" s="1"/>
      <c r="M34" s="1"/>
      <c r="N34" s="1"/>
      <c r="O34" s="1"/>
      <c r="P34" s="1"/>
      <c r="Q34" s="1"/>
      <c r="R34" s="1"/>
    </row>
    <row r="35">
      <c r="A35" s="16" t="s">
        <v>1864</v>
      </c>
      <c r="B35" s="1" t="s">
        <v>1362</v>
      </c>
      <c r="C35" s="1" t="s">
        <v>1191</v>
      </c>
      <c r="D35" s="1" t="s">
        <v>1363</v>
      </c>
      <c r="E35" s="7">
        <f>+251966787790</f>
        <v>251966787790</v>
      </c>
      <c r="F35" s="1" t="s">
        <v>66</v>
      </c>
      <c r="G35" s="1" t="s">
        <v>67</v>
      </c>
      <c r="H35" s="16" t="s">
        <v>1880</v>
      </c>
      <c r="I35" s="17" t="s">
        <v>1912</v>
      </c>
      <c r="J35" s="1"/>
      <c r="K35" s="1"/>
      <c r="L35" s="1"/>
      <c r="M35" s="1"/>
      <c r="N35" s="1"/>
      <c r="O35" s="1"/>
      <c r="P35" s="1"/>
      <c r="Q35" s="1"/>
      <c r="R35" s="1"/>
    </row>
    <row r="36">
      <c r="A36" s="16" t="s">
        <v>1864</v>
      </c>
      <c r="B36" s="1" t="s">
        <v>1374</v>
      </c>
      <c r="C36" s="1" t="s">
        <v>1375</v>
      </c>
      <c r="D36" s="1" t="s">
        <v>720</v>
      </c>
      <c r="E36" s="7">
        <f>+251972389175</f>
        <v>251972389175</v>
      </c>
      <c r="F36" s="1" t="s">
        <v>66</v>
      </c>
      <c r="G36" s="1" t="s">
        <v>67</v>
      </c>
      <c r="H36" s="16" t="s">
        <v>1880</v>
      </c>
      <c r="I36" s="17" t="s">
        <v>1912</v>
      </c>
      <c r="J36" s="1"/>
      <c r="K36" s="1"/>
      <c r="L36" s="1"/>
      <c r="M36" s="1"/>
      <c r="N36" s="1"/>
      <c r="O36" s="1"/>
      <c r="P36" s="1"/>
      <c r="Q36" s="1"/>
      <c r="R36" s="1"/>
    </row>
    <row r="37">
      <c r="A37" s="16" t="s">
        <v>1864</v>
      </c>
      <c r="B37" s="1" t="s">
        <v>1376</v>
      </c>
      <c r="C37" s="1" t="s">
        <v>1377</v>
      </c>
      <c r="D37" s="1" t="s">
        <v>1378</v>
      </c>
      <c r="E37" s="8">
        <v>2.51973545545E11</v>
      </c>
      <c r="F37" s="1" t="s">
        <v>66</v>
      </c>
      <c r="G37" s="1" t="s">
        <v>71</v>
      </c>
      <c r="H37" s="16" t="s">
        <v>1880</v>
      </c>
      <c r="I37" s="17" t="s">
        <v>1912</v>
      </c>
      <c r="J37" s="1"/>
      <c r="K37" s="1"/>
      <c r="L37" s="1"/>
      <c r="M37" s="1"/>
      <c r="N37" s="1"/>
      <c r="O37" s="1"/>
      <c r="P37" s="1"/>
      <c r="Q37" s="1"/>
      <c r="R37" s="1"/>
    </row>
    <row r="38">
      <c r="A38" s="16" t="s">
        <v>1864</v>
      </c>
      <c r="B38" s="1" t="s">
        <v>1383</v>
      </c>
      <c r="C38" s="1" t="s">
        <v>289</v>
      </c>
      <c r="D38" s="1" t="s">
        <v>510</v>
      </c>
      <c r="E38" s="7">
        <f>+251976941176</f>
        <v>251976941176</v>
      </c>
      <c r="F38" s="1" t="s">
        <v>66</v>
      </c>
      <c r="G38" s="1" t="s">
        <v>67</v>
      </c>
      <c r="H38" s="16" t="s">
        <v>1880</v>
      </c>
      <c r="I38" s="17" t="s">
        <v>1912</v>
      </c>
      <c r="J38" s="1"/>
      <c r="K38" s="1"/>
      <c r="L38" s="1"/>
      <c r="M38" s="1"/>
      <c r="N38" s="1"/>
      <c r="O38" s="1"/>
      <c r="P38" s="1"/>
      <c r="Q38" s="1"/>
      <c r="R38" s="1"/>
    </row>
    <row r="39">
      <c r="A39" s="16" t="s">
        <v>1864</v>
      </c>
      <c r="B39" s="1" t="s">
        <v>1402</v>
      </c>
      <c r="C39" s="1" t="s">
        <v>1403</v>
      </c>
      <c r="D39" s="1" t="s">
        <v>275</v>
      </c>
      <c r="E39" s="7">
        <f>+251987345621</f>
        <v>251987345621</v>
      </c>
      <c r="F39" s="1" t="s">
        <v>66</v>
      </c>
      <c r="G39" s="1" t="s">
        <v>67</v>
      </c>
      <c r="H39" s="16" t="s">
        <v>1880</v>
      </c>
      <c r="I39" s="17" t="s">
        <v>1912</v>
      </c>
      <c r="J39" s="1"/>
      <c r="K39" s="1"/>
      <c r="L39" s="1"/>
      <c r="M39" s="1"/>
      <c r="N39" s="1"/>
      <c r="O39" s="1"/>
      <c r="P39" s="1"/>
      <c r="Q39" s="1"/>
      <c r="R39" s="1"/>
    </row>
    <row r="40">
      <c r="A40" s="16" t="s">
        <v>1864</v>
      </c>
      <c r="B40" s="1" t="s">
        <v>1417</v>
      </c>
      <c r="C40" s="1" t="s">
        <v>293</v>
      </c>
      <c r="D40" s="1" t="s">
        <v>1418</v>
      </c>
      <c r="E40" s="7">
        <f>+251994640605</f>
        <v>251994640605</v>
      </c>
      <c r="F40" s="1" t="s">
        <v>66</v>
      </c>
      <c r="G40" s="1" t="s">
        <v>95</v>
      </c>
      <c r="H40" s="16" t="s">
        <v>1880</v>
      </c>
      <c r="I40" s="17" t="s">
        <v>1912</v>
      </c>
      <c r="J40" s="1"/>
      <c r="K40" s="1"/>
      <c r="L40" s="1"/>
      <c r="M40" s="1"/>
      <c r="N40" s="1"/>
      <c r="O40" s="1"/>
      <c r="P40" s="1"/>
      <c r="Q40" s="1"/>
      <c r="R40" s="1"/>
    </row>
    <row r="41">
      <c r="A41" s="16" t="s">
        <v>1864</v>
      </c>
      <c r="B41" s="1" t="s">
        <v>1422</v>
      </c>
      <c r="C41" s="1" t="s">
        <v>1423</v>
      </c>
      <c r="D41" s="1" t="s">
        <v>1424</v>
      </c>
      <c r="E41" s="7">
        <f>+251996242353</f>
        <v>251996242353</v>
      </c>
      <c r="F41" s="1" t="s">
        <v>66</v>
      </c>
      <c r="G41" s="1" t="s">
        <v>67</v>
      </c>
      <c r="H41" s="16" t="s">
        <v>1880</v>
      </c>
      <c r="I41" s="17" t="s">
        <v>1912</v>
      </c>
      <c r="J41" s="1"/>
      <c r="K41" s="1"/>
      <c r="L41" s="1"/>
      <c r="M41" s="1"/>
      <c r="N41" s="1"/>
      <c r="O41" s="1"/>
      <c r="P41" s="1"/>
      <c r="Q41" s="1"/>
      <c r="R41" s="1"/>
    </row>
    <row r="42">
      <c r="A42" s="16" t="s">
        <v>1864</v>
      </c>
      <c r="B42" s="1" t="s">
        <v>103</v>
      </c>
      <c r="C42" s="1" t="s">
        <v>104</v>
      </c>
      <c r="D42" s="1" t="s">
        <v>105</v>
      </c>
      <c r="E42" s="1" t="s">
        <v>106</v>
      </c>
      <c r="F42" s="1" t="s">
        <v>66</v>
      </c>
      <c r="G42" s="1" t="s">
        <v>67</v>
      </c>
      <c r="H42" s="16" t="s">
        <v>1865</v>
      </c>
      <c r="I42" s="17" t="s">
        <v>1913</v>
      </c>
      <c r="J42" s="1"/>
      <c r="K42" s="1"/>
      <c r="L42" s="1"/>
      <c r="M42" s="1"/>
      <c r="N42" s="1"/>
      <c r="O42" s="1"/>
      <c r="P42" s="1"/>
      <c r="Q42" s="1"/>
      <c r="R42" s="1"/>
    </row>
    <row r="43">
      <c r="A43" s="16" t="s">
        <v>1864</v>
      </c>
      <c r="B43" s="1" t="s">
        <v>111</v>
      </c>
      <c r="C43" s="1" t="s">
        <v>112</v>
      </c>
      <c r="D43" s="1" t="s">
        <v>113</v>
      </c>
      <c r="E43" s="1" t="s">
        <v>114</v>
      </c>
      <c r="F43" s="1" t="s">
        <v>66</v>
      </c>
      <c r="G43" s="1" t="s">
        <v>67</v>
      </c>
      <c r="H43" s="16" t="s">
        <v>1865</v>
      </c>
      <c r="I43" s="17" t="s">
        <v>1913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6" t="s">
        <v>1864</v>
      </c>
      <c r="B44" s="1" t="s">
        <v>115</v>
      </c>
      <c r="C44" s="1" t="s">
        <v>116</v>
      </c>
      <c r="D44" s="1" t="s">
        <v>117</v>
      </c>
      <c r="E44" s="1" t="s">
        <v>118</v>
      </c>
      <c r="F44" s="1" t="s">
        <v>66</v>
      </c>
      <c r="G44" s="1" t="s">
        <v>67</v>
      </c>
      <c r="H44" s="16" t="s">
        <v>1865</v>
      </c>
      <c r="I44" s="17" t="s">
        <v>1913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6" t="s">
        <v>1864</v>
      </c>
      <c r="B45" s="1" t="s">
        <v>119</v>
      </c>
      <c r="C45" s="1" t="s">
        <v>120</v>
      </c>
      <c r="D45" s="1" t="s">
        <v>121</v>
      </c>
      <c r="E45" s="1" t="s">
        <v>122</v>
      </c>
      <c r="F45" s="1" t="s">
        <v>66</v>
      </c>
      <c r="G45" s="1" t="s">
        <v>95</v>
      </c>
      <c r="H45" s="16" t="s">
        <v>1865</v>
      </c>
      <c r="I45" s="17" t="s">
        <v>1913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6" t="s">
        <v>1864</v>
      </c>
      <c r="B46" s="1" t="s">
        <v>126</v>
      </c>
      <c r="C46" s="1" t="s">
        <v>69</v>
      </c>
      <c r="D46" s="1" t="s">
        <v>127</v>
      </c>
      <c r="E46" s="1" t="s">
        <v>128</v>
      </c>
      <c r="F46" s="1" t="s">
        <v>66</v>
      </c>
      <c r="G46" s="1" t="s">
        <v>129</v>
      </c>
      <c r="H46" s="16" t="s">
        <v>1865</v>
      </c>
      <c r="I46" s="17" t="s">
        <v>1913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6" t="s">
        <v>1864</v>
      </c>
      <c r="B47" s="1" t="s">
        <v>1326</v>
      </c>
      <c r="C47" s="1" t="s">
        <v>1327</v>
      </c>
      <c r="D47" s="1" t="s">
        <v>1328</v>
      </c>
      <c r="E47" s="8">
        <v>2.5194700965E11</v>
      </c>
      <c r="F47" s="1" t="s">
        <v>66</v>
      </c>
      <c r="G47" s="1" t="s">
        <v>90</v>
      </c>
      <c r="H47" s="16" t="s">
        <v>1880</v>
      </c>
      <c r="I47" s="17" t="s">
        <v>1913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6" t="s">
        <v>1864</v>
      </c>
      <c r="B48" s="1" t="s">
        <v>1346</v>
      </c>
      <c r="C48" s="1" t="s">
        <v>1254</v>
      </c>
      <c r="D48" s="1" t="s">
        <v>1347</v>
      </c>
      <c r="E48" s="7">
        <f>+251954898573</f>
        <v>251954898573</v>
      </c>
      <c r="F48" s="1" t="s">
        <v>66</v>
      </c>
      <c r="G48" s="1" t="s">
        <v>76</v>
      </c>
      <c r="H48" s="16" t="s">
        <v>1880</v>
      </c>
      <c r="I48" s="17" t="s">
        <v>1913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6" t="s">
        <v>1864</v>
      </c>
      <c r="B49" s="1" t="s">
        <v>1356</v>
      </c>
      <c r="C49" s="1" t="s">
        <v>317</v>
      </c>
      <c r="D49" s="1" t="s">
        <v>532</v>
      </c>
      <c r="E49" s="8">
        <v>2.51961610085E11</v>
      </c>
      <c r="F49" s="1" t="s">
        <v>66</v>
      </c>
      <c r="G49" s="1" t="s">
        <v>67</v>
      </c>
      <c r="H49" s="16" t="s">
        <v>1880</v>
      </c>
      <c r="I49" s="17" t="s">
        <v>1913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6" t="s">
        <v>1864</v>
      </c>
      <c r="B50" s="1" t="s">
        <v>1364</v>
      </c>
      <c r="C50" s="1" t="s">
        <v>1365</v>
      </c>
      <c r="D50" s="1" t="s">
        <v>1366</v>
      </c>
      <c r="E50" s="7">
        <f>+251967432235</f>
        <v>251967432235</v>
      </c>
      <c r="F50" s="1" t="s">
        <v>66</v>
      </c>
      <c r="G50" s="1" t="s">
        <v>76</v>
      </c>
      <c r="H50" s="16" t="s">
        <v>1880</v>
      </c>
      <c r="I50" s="17" t="s">
        <v>1913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6" t="s">
        <v>1864</v>
      </c>
      <c r="B51" s="1" t="s">
        <v>1386</v>
      </c>
      <c r="C51" s="1" t="s">
        <v>1387</v>
      </c>
      <c r="D51" s="1" t="s">
        <v>69</v>
      </c>
      <c r="E51" s="7">
        <f>+251979450063</f>
        <v>251979450063</v>
      </c>
      <c r="F51" s="1" t="s">
        <v>66</v>
      </c>
      <c r="G51" s="1" t="s">
        <v>71</v>
      </c>
      <c r="H51" s="16" t="s">
        <v>1880</v>
      </c>
      <c r="I51" s="17" t="s">
        <v>1913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6" t="s">
        <v>1864</v>
      </c>
      <c r="B52" s="1" t="s">
        <v>372</v>
      </c>
      <c r="C52" s="1" t="s">
        <v>373</v>
      </c>
      <c r="D52" s="1" t="s">
        <v>374</v>
      </c>
      <c r="E52" s="7">
        <f>+251991968686</f>
        <v>251991968686</v>
      </c>
      <c r="F52" s="1" t="s">
        <v>66</v>
      </c>
      <c r="G52" s="1" t="s">
        <v>67</v>
      </c>
      <c r="H52" s="16" t="s">
        <v>1880</v>
      </c>
      <c r="I52" s="17" t="s">
        <v>1913</v>
      </c>
      <c r="J52" s="1"/>
      <c r="K52" s="1"/>
      <c r="L52" s="1"/>
      <c r="M52" s="1"/>
      <c r="N52" s="1"/>
      <c r="O52" s="1"/>
      <c r="P52" s="1"/>
      <c r="Q52" s="1"/>
      <c r="R52" s="1"/>
    </row>
    <row r="53">
      <c r="A53" s="16" t="s">
        <v>1864</v>
      </c>
      <c r="B53" s="1" t="s">
        <v>1419</v>
      </c>
      <c r="C53" s="1" t="s">
        <v>1420</v>
      </c>
      <c r="D53" s="1" t="s">
        <v>1421</v>
      </c>
      <c r="E53" s="7">
        <f>+251995216021</f>
        <v>251995216021</v>
      </c>
      <c r="F53" s="1" t="s">
        <v>66</v>
      </c>
      <c r="G53" s="1" t="s">
        <v>90</v>
      </c>
      <c r="H53" s="16" t="s">
        <v>1880</v>
      </c>
      <c r="I53" s="17" t="s">
        <v>1913</v>
      </c>
      <c r="J53" s="1"/>
      <c r="K53" s="1"/>
      <c r="L53" s="1"/>
      <c r="M53" s="1"/>
      <c r="N53" s="1"/>
      <c r="O53" s="1"/>
      <c r="P53" s="1"/>
      <c r="Q53" s="1"/>
      <c r="R53" s="1"/>
    </row>
  </sheetData>
  <dataValidations>
    <dataValidation type="list" allowBlank="1" showErrorMessage="1" sqref="H2:H53">
      <formula1>"Data Analytics,Pro Dev,Front-end,Back-end,AWS ,Salesforce,AiCE,Pathway,virtual assistant,Data Science,Content Creation,Cyber Security,Data Engeneer,Front-End"</formula1>
    </dataValidation>
    <dataValidation type="list" allowBlank="1" showErrorMessage="1" sqref="L2:L53">
      <formula1>"Immediately ,Later Today,This Week,Not interested anymore,Aready Finished"</formula1>
    </dataValidation>
    <dataValidation type="list" allowBlank="1" showErrorMessage="1" sqref="O2:O53">
      <formula1>"Virtual session,In person,Phone call,Not interested at the moment,Aready Finished,No contact need"</formula1>
    </dataValidation>
    <dataValidation type="list" allowBlank="1" showErrorMessage="1" sqref="I2:I53">
      <formula1>"Reached,Not Picking Up,Phone Not Working,Wrong Person,Not Yet Called,Wrong Number,Busy "</formula1>
    </dataValidation>
    <dataValidation type="list" allowBlank="1" showErrorMessage="1" sqref="A2:A53">
      <formula1>"Abeba,Dagmawi,Eyerusalem,Girumsew,Tsedenia,Yosef,Nati,Haemnen"</formula1>
    </dataValidation>
    <dataValidation type="list" allowBlank="1" showErrorMessage="1" sqref="J2:J53 M2:M53 Q2:Q53">
      <formula1>"YES,NO"</formula1>
    </dataValidation>
    <dataValidation type="list" allowBlank="1" showErrorMessage="1" sqref="P2:P53">
      <formula1>"Wednesday,Friday,Won't Attend,Done,Today"</formula1>
    </dataValidation>
    <dataValidation type="list" allowBlank="1" showErrorMessage="1" sqref="R2:R53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1914</v>
      </c>
      <c r="B2" s="1" t="s">
        <v>1915</v>
      </c>
      <c r="C2" s="1" t="s">
        <v>1916</v>
      </c>
      <c r="D2" s="1">
        <f>+251993549491</f>
        <v>251993549491</v>
      </c>
      <c r="E2" s="1" t="s">
        <v>13</v>
      </c>
      <c r="F2" s="1"/>
    </row>
    <row r="3">
      <c r="A3" s="1" t="s">
        <v>1917</v>
      </c>
      <c r="B3" s="1" t="s">
        <v>31</v>
      </c>
      <c r="C3" s="1" t="s">
        <v>1918</v>
      </c>
      <c r="D3" s="1">
        <f>+251989955713</f>
        <v>251989955713</v>
      </c>
      <c r="E3" s="1" t="s">
        <v>13</v>
      </c>
      <c r="F3" s="1"/>
    </row>
    <row r="4">
      <c r="A4" s="1" t="s">
        <v>1919</v>
      </c>
      <c r="B4" s="1" t="s">
        <v>873</v>
      </c>
      <c r="C4" s="1" t="s">
        <v>1920</v>
      </c>
      <c r="D4" s="1">
        <f>+251989223977</f>
        <v>251989223977</v>
      </c>
      <c r="E4" s="1" t="s">
        <v>13</v>
      </c>
      <c r="F4" s="1"/>
    </row>
    <row r="5">
      <c r="A5" s="1" t="s">
        <v>1921</v>
      </c>
      <c r="B5" s="1" t="s">
        <v>1834</v>
      </c>
      <c r="C5" s="1" t="s">
        <v>1467</v>
      </c>
      <c r="D5" s="1">
        <f>+251945961053</f>
        <v>251945961053</v>
      </c>
      <c r="E5" s="1" t="s">
        <v>13</v>
      </c>
      <c r="F5" s="1"/>
    </row>
    <row r="6">
      <c r="A6" s="1" t="s">
        <v>1922</v>
      </c>
      <c r="B6" s="1" t="s">
        <v>1923</v>
      </c>
      <c r="C6" s="1" t="s">
        <v>1777</v>
      </c>
      <c r="D6" s="1">
        <f>+251939785378</f>
        <v>251939785378</v>
      </c>
      <c r="E6" s="1" t="s">
        <v>13</v>
      </c>
      <c r="F6" s="1"/>
    </row>
    <row r="7">
      <c r="A7" s="1" t="s">
        <v>1924</v>
      </c>
      <c r="B7" s="1" t="s">
        <v>1925</v>
      </c>
      <c r="C7" s="1" t="s">
        <v>1546</v>
      </c>
      <c r="D7" s="1">
        <f>+251933799196</f>
        <v>251933799196</v>
      </c>
      <c r="E7" s="1" t="s">
        <v>13</v>
      </c>
      <c r="F7" s="1"/>
    </row>
    <row r="8">
      <c r="A8" s="1" t="s">
        <v>1926</v>
      </c>
      <c r="B8" s="1" t="s">
        <v>1927</v>
      </c>
      <c r="C8" s="1" t="s">
        <v>1928</v>
      </c>
      <c r="D8" s="1">
        <f>+251931046665</f>
        <v>251931046665</v>
      </c>
      <c r="E8" s="1" t="s">
        <v>13</v>
      </c>
      <c r="F8" s="1"/>
    </row>
    <row r="9">
      <c r="A9" s="1" t="s">
        <v>1929</v>
      </c>
      <c r="B9" s="1" t="s">
        <v>745</v>
      </c>
      <c r="C9" s="1" t="s">
        <v>806</v>
      </c>
      <c r="D9" s="1">
        <f>+251923238800</f>
        <v>251923238800</v>
      </c>
      <c r="E9" s="1" t="s">
        <v>13</v>
      </c>
      <c r="F9" s="1"/>
    </row>
    <row r="10">
      <c r="A10" s="1" t="s">
        <v>1930</v>
      </c>
      <c r="B10" s="1" t="s">
        <v>1931</v>
      </c>
      <c r="C10" s="1" t="s">
        <v>1208</v>
      </c>
      <c r="D10" s="1">
        <f>+251923149652</f>
        <v>251923149652</v>
      </c>
      <c r="E10" s="1" t="s">
        <v>13</v>
      </c>
      <c r="F10" s="1"/>
    </row>
    <row r="11">
      <c r="A11" s="1" t="s">
        <v>1932</v>
      </c>
      <c r="B11" s="1" t="s">
        <v>1933</v>
      </c>
      <c r="C11" s="1" t="s">
        <v>346</v>
      </c>
      <c r="D11" s="1">
        <f>+251904847122</f>
        <v>251904847122</v>
      </c>
      <c r="E11" s="1" t="s">
        <v>13</v>
      </c>
      <c r="F11" s="1"/>
    </row>
    <row r="12">
      <c r="A12" s="4" t="s">
        <v>1934</v>
      </c>
      <c r="B12" s="4" t="s">
        <v>510</v>
      </c>
      <c r="C12" s="4" t="s">
        <v>1935</v>
      </c>
      <c r="D12" s="4">
        <v>9.92381157E8</v>
      </c>
      <c r="E12" s="4" t="s">
        <v>13</v>
      </c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1" t="s">
        <v>1936</v>
      </c>
      <c r="B13" s="1" t="s">
        <v>854</v>
      </c>
      <c r="C13" s="1" t="s">
        <v>1604</v>
      </c>
      <c r="D13" s="1">
        <f>+251996741935</f>
        <v>251996741935</v>
      </c>
      <c r="E13" s="1" t="s">
        <v>66</v>
      </c>
      <c r="F13" s="1" t="s">
        <v>67</v>
      </c>
    </row>
    <row r="14">
      <c r="A14" s="1" t="s">
        <v>1937</v>
      </c>
      <c r="B14" s="1" t="s">
        <v>1938</v>
      </c>
      <c r="C14" s="1" t="s">
        <v>1939</v>
      </c>
      <c r="D14" s="1">
        <f>+251987977967</f>
        <v>251987977967</v>
      </c>
      <c r="E14" s="1" t="s">
        <v>66</v>
      </c>
      <c r="F14" s="1" t="s">
        <v>71</v>
      </c>
    </row>
    <row r="15">
      <c r="A15" s="1" t="s">
        <v>1940</v>
      </c>
      <c r="B15" s="1" t="s">
        <v>1400</v>
      </c>
      <c r="C15" s="1" t="s">
        <v>643</v>
      </c>
      <c r="D15" s="1">
        <f>+251972838134</f>
        <v>251972838134</v>
      </c>
      <c r="E15" s="1" t="s">
        <v>66</v>
      </c>
      <c r="F15" s="1" t="s">
        <v>76</v>
      </c>
    </row>
    <row r="16">
      <c r="A16" s="1" t="s">
        <v>1941</v>
      </c>
      <c r="B16" s="1" t="s">
        <v>671</v>
      </c>
      <c r="C16" s="1" t="s">
        <v>1942</v>
      </c>
      <c r="D16" s="1">
        <f>+251969695859</f>
        <v>251969695859</v>
      </c>
      <c r="E16" s="1" t="s">
        <v>66</v>
      </c>
      <c r="F16" s="1" t="s">
        <v>67</v>
      </c>
    </row>
    <row r="17">
      <c r="A17" s="1" t="s">
        <v>1943</v>
      </c>
      <c r="B17" s="1" t="s">
        <v>42</v>
      </c>
      <c r="C17" s="1" t="s">
        <v>1944</v>
      </c>
      <c r="D17" s="1">
        <f>+251969139694</f>
        <v>251969139694</v>
      </c>
      <c r="E17" s="1" t="s">
        <v>66</v>
      </c>
      <c r="F17" s="1" t="s">
        <v>71</v>
      </c>
    </row>
    <row r="18">
      <c r="A18" s="1" t="s">
        <v>1945</v>
      </c>
      <c r="B18" s="1" t="s">
        <v>1946</v>
      </c>
      <c r="C18" s="1" t="s">
        <v>1947</v>
      </c>
      <c r="D18" s="1">
        <f>+251967255318</f>
        <v>251967255318</v>
      </c>
      <c r="E18" s="1" t="s">
        <v>66</v>
      </c>
      <c r="F18" s="1" t="s">
        <v>71</v>
      </c>
    </row>
    <row r="19">
      <c r="A19" s="1" t="s">
        <v>1948</v>
      </c>
      <c r="B19" s="1" t="s">
        <v>1604</v>
      </c>
      <c r="C19" s="1" t="s">
        <v>1949</v>
      </c>
      <c r="D19" s="1">
        <f>+251966896746</f>
        <v>251966896746</v>
      </c>
      <c r="E19" s="1" t="s">
        <v>66</v>
      </c>
      <c r="F19" s="1" t="s">
        <v>67</v>
      </c>
    </row>
    <row r="20">
      <c r="A20" s="1" t="s">
        <v>1950</v>
      </c>
      <c r="B20" s="1" t="s">
        <v>27</v>
      </c>
      <c r="C20" s="1" t="s">
        <v>1430</v>
      </c>
      <c r="D20" s="1">
        <f>+251966827083</f>
        <v>251966827083</v>
      </c>
      <c r="E20" s="1" t="s">
        <v>66</v>
      </c>
      <c r="F20" s="1" t="s">
        <v>129</v>
      </c>
    </row>
    <row r="21">
      <c r="A21" s="1" t="s">
        <v>1951</v>
      </c>
      <c r="B21" s="1" t="s">
        <v>745</v>
      </c>
      <c r="C21" s="1" t="s">
        <v>447</v>
      </c>
      <c r="D21" s="1">
        <f>+251966716205</f>
        <v>251966716205</v>
      </c>
      <c r="E21" s="1" t="s">
        <v>66</v>
      </c>
      <c r="F21" s="1" t="s">
        <v>67</v>
      </c>
    </row>
    <row r="22">
      <c r="A22" s="1" t="s">
        <v>1952</v>
      </c>
      <c r="B22" s="1" t="s">
        <v>1953</v>
      </c>
      <c r="C22" s="1" t="s">
        <v>1954</v>
      </c>
      <c r="D22" s="1">
        <f>+251963797076</f>
        <v>251963797076</v>
      </c>
      <c r="E22" s="1" t="s">
        <v>66</v>
      </c>
      <c r="F22" s="1" t="s">
        <v>129</v>
      </c>
    </row>
    <row r="23">
      <c r="A23" s="1" t="s">
        <v>1955</v>
      </c>
      <c r="B23" s="1" t="s">
        <v>1956</v>
      </c>
      <c r="C23" s="1" t="s">
        <v>1957</v>
      </c>
      <c r="D23" s="1">
        <f>+251961519817</f>
        <v>251961519817</v>
      </c>
      <c r="E23" s="1" t="s">
        <v>66</v>
      </c>
      <c r="F23" s="1" t="s">
        <v>67</v>
      </c>
    </row>
    <row r="24">
      <c r="A24" s="1" t="s">
        <v>1958</v>
      </c>
      <c r="B24" s="1" t="s">
        <v>283</v>
      </c>
      <c r="C24" s="1" t="s">
        <v>1959</v>
      </c>
      <c r="D24" s="1">
        <f>+251960658788</f>
        <v>251960658788</v>
      </c>
      <c r="E24" s="1" t="s">
        <v>66</v>
      </c>
      <c r="F24" s="1" t="s">
        <v>90</v>
      </c>
    </row>
    <row r="25">
      <c r="A25" s="1" t="s">
        <v>1960</v>
      </c>
      <c r="B25" s="1" t="s">
        <v>1961</v>
      </c>
      <c r="C25" s="1" t="s">
        <v>739</v>
      </c>
      <c r="D25" s="1">
        <f>+251955452837</f>
        <v>251955452837</v>
      </c>
      <c r="E25" s="1" t="s">
        <v>66</v>
      </c>
      <c r="F25" s="1" t="s">
        <v>129</v>
      </c>
    </row>
    <row r="26">
      <c r="A26" s="1" t="s">
        <v>1962</v>
      </c>
      <c r="B26" s="1" t="s">
        <v>1963</v>
      </c>
      <c r="C26" s="1" t="s">
        <v>169</v>
      </c>
      <c r="D26" s="1">
        <f>+251954923543</f>
        <v>251954923543</v>
      </c>
      <c r="E26" s="1" t="s">
        <v>66</v>
      </c>
      <c r="F26" s="1" t="s">
        <v>67</v>
      </c>
    </row>
    <row r="27">
      <c r="A27" s="1" t="s">
        <v>1964</v>
      </c>
      <c r="B27" s="1" t="s">
        <v>1965</v>
      </c>
      <c r="C27" s="1" t="s">
        <v>1966</v>
      </c>
      <c r="D27" s="1">
        <f>+251953916042</f>
        <v>251953916042</v>
      </c>
      <c r="E27" s="1" t="s">
        <v>66</v>
      </c>
      <c r="F27" s="1" t="s">
        <v>71</v>
      </c>
    </row>
    <row r="28">
      <c r="A28" s="1" t="s">
        <v>1967</v>
      </c>
      <c r="B28" s="1" t="s">
        <v>317</v>
      </c>
      <c r="C28" s="1" t="s">
        <v>451</v>
      </c>
      <c r="D28" s="1">
        <f>+251951744805</f>
        <v>251951744805</v>
      </c>
      <c r="E28" s="1" t="s">
        <v>66</v>
      </c>
      <c r="F28" s="1" t="s">
        <v>67</v>
      </c>
    </row>
    <row r="29">
      <c r="A29" s="1" t="s">
        <v>1968</v>
      </c>
      <c r="B29" s="1" t="s">
        <v>1969</v>
      </c>
      <c r="C29" s="1" t="s">
        <v>1970</v>
      </c>
      <c r="D29" s="1">
        <f>+251949195957</f>
        <v>251949195957</v>
      </c>
      <c r="E29" s="1" t="s">
        <v>66</v>
      </c>
      <c r="F29" s="1" t="s">
        <v>71</v>
      </c>
    </row>
    <row r="30">
      <c r="A30" s="1" t="s">
        <v>1971</v>
      </c>
      <c r="B30" s="1" t="s">
        <v>1972</v>
      </c>
      <c r="C30" s="1" t="s">
        <v>1973</v>
      </c>
      <c r="D30" s="1">
        <f>+251947349134</f>
        <v>251947349134</v>
      </c>
      <c r="E30" s="1" t="s">
        <v>66</v>
      </c>
      <c r="F30" s="1" t="s">
        <v>76</v>
      </c>
    </row>
    <row r="31">
      <c r="A31" s="1" t="s">
        <v>1974</v>
      </c>
      <c r="B31" s="1" t="s">
        <v>742</v>
      </c>
      <c r="C31" s="1" t="s">
        <v>1975</v>
      </c>
      <c r="D31" s="1">
        <f>+251947139308</f>
        <v>251947139308</v>
      </c>
      <c r="E31" s="1" t="s">
        <v>66</v>
      </c>
      <c r="F31" s="1" t="s">
        <v>67</v>
      </c>
    </row>
    <row r="32">
      <c r="A32" s="1" t="s">
        <v>1976</v>
      </c>
      <c r="B32" s="1" t="s">
        <v>1109</v>
      </c>
      <c r="C32" s="1" t="s">
        <v>27</v>
      </c>
      <c r="D32" s="1">
        <f>+251946577930</f>
        <v>251946577930</v>
      </c>
      <c r="E32" s="1" t="s">
        <v>66</v>
      </c>
      <c r="F32" s="1" t="s">
        <v>129</v>
      </c>
    </row>
    <row r="33">
      <c r="A33" s="1" t="s">
        <v>1977</v>
      </c>
      <c r="B33" s="1" t="s">
        <v>738</v>
      </c>
      <c r="C33" s="1" t="s">
        <v>730</v>
      </c>
      <c r="D33" s="1">
        <f>+251941147254</f>
        <v>251941147254</v>
      </c>
      <c r="E33" s="1" t="s">
        <v>66</v>
      </c>
      <c r="F33" s="1" t="s">
        <v>76</v>
      </c>
    </row>
    <row r="34">
      <c r="A34" s="1" t="s">
        <v>1978</v>
      </c>
      <c r="B34" s="1" t="s">
        <v>1979</v>
      </c>
      <c r="C34" s="1" t="s">
        <v>1980</v>
      </c>
      <c r="D34" s="1">
        <f>+251939654186</f>
        <v>251939654186</v>
      </c>
      <c r="E34" s="1" t="s">
        <v>66</v>
      </c>
      <c r="F34" s="1" t="s">
        <v>90</v>
      </c>
    </row>
    <row r="35">
      <c r="A35" s="1" t="s">
        <v>1981</v>
      </c>
      <c r="B35" s="1" t="s">
        <v>1982</v>
      </c>
      <c r="C35" s="1" t="s">
        <v>1350</v>
      </c>
      <c r="D35" s="1">
        <f>+251938999699</f>
        <v>251938999699</v>
      </c>
      <c r="E35" s="1" t="s">
        <v>66</v>
      </c>
      <c r="F35" s="1" t="s">
        <v>67</v>
      </c>
    </row>
    <row r="36">
      <c r="A36" s="1" t="s">
        <v>1983</v>
      </c>
      <c r="B36" s="1" t="s">
        <v>646</v>
      </c>
      <c r="C36" s="1" t="s">
        <v>161</v>
      </c>
      <c r="D36" s="1">
        <f>+251938185229</f>
        <v>251938185229</v>
      </c>
      <c r="E36" s="1" t="s">
        <v>66</v>
      </c>
      <c r="F36" s="1" t="s">
        <v>67</v>
      </c>
    </row>
    <row r="37">
      <c r="A37" s="1" t="s">
        <v>1984</v>
      </c>
      <c r="B37" s="1" t="s">
        <v>646</v>
      </c>
      <c r="C37" s="1" t="s">
        <v>1985</v>
      </c>
      <c r="D37" s="1">
        <f>+251937888273</f>
        <v>251937888273</v>
      </c>
      <c r="E37" s="1" t="s">
        <v>66</v>
      </c>
      <c r="F37" s="1" t="s">
        <v>71</v>
      </c>
    </row>
    <row r="38">
      <c r="A38" s="1" t="s">
        <v>1986</v>
      </c>
      <c r="B38" s="1" t="s">
        <v>1429</v>
      </c>
      <c r="C38" s="1" t="s">
        <v>1987</v>
      </c>
      <c r="D38" s="1">
        <f>+251934456237</f>
        <v>251934456237</v>
      </c>
      <c r="E38" s="1" t="s">
        <v>66</v>
      </c>
      <c r="F38" s="1" t="s">
        <v>67</v>
      </c>
    </row>
    <row r="39">
      <c r="A39" s="1" t="s">
        <v>1988</v>
      </c>
      <c r="B39" s="1" t="s">
        <v>1989</v>
      </c>
      <c r="C39" s="1" t="s">
        <v>1990</v>
      </c>
      <c r="D39" s="1">
        <f>+251933822008</f>
        <v>251933822008</v>
      </c>
      <c r="E39" s="1" t="s">
        <v>66</v>
      </c>
      <c r="F39" s="1" t="s">
        <v>67</v>
      </c>
    </row>
    <row r="40">
      <c r="A40" s="1" t="s">
        <v>1991</v>
      </c>
      <c r="B40" s="1" t="s">
        <v>1992</v>
      </c>
      <c r="C40" s="1" t="s">
        <v>1993</v>
      </c>
      <c r="D40" s="1">
        <f>+251932204626</f>
        <v>251932204626</v>
      </c>
      <c r="E40" s="1" t="s">
        <v>66</v>
      </c>
      <c r="F40" s="1" t="s">
        <v>71</v>
      </c>
    </row>
    <row r="41">
      <c r="A41" s="1" t="s">
        <v>1994</v>
      </c>
      <c r="B41" s="1" t="s">
        <v>785</v>
      </c>
      <c r="C41" s="1" t="s">
        <v>1377</v>
      </c>
      <c r="D41" s="1">
        <f>+251932064555</f>
        <v>251932064555</v>
      </c>
      <c r="E41" s="1" t="s">
        <v>66</v>
      </c>
      <c r="F41" s="1" t="s">
        <v>67</v>
      </c>
    </row>
    <row r="42">
      <c r="A42" s="1" t="s">
        <v>1995</v>
      </c>
      <c r="B42" s="1" t="s">
        <v>1996</v>
      </c>
      <c r="C42" s="1" t="s">
        <v>1247</v>
      </c>
      <c r="D42" s="1">
        <f>+251929517703</f>
        <v>251929517703</v>
      </c>
      <c r="E42" s="1" t="s">
        <v>66</v>
      </c>
      <c r="F42" s="1" t="s">
        <v>90</v>
      </c>
    </row>
    <row r="43">
      <c r="A43" s="1" t="s">
        <v>1997</v>
      </c>
      <c r="B43" s="1" t="s">
        <v>991</v>
      </c>
      <c r="C43" s="1" t="s">
        <v>1998</v>
      </c>
      <c r="D43" s="1">
        <f>+251929229920</f>
        <v>251929229920</v>
      </c>
      <c r="E43" s="1" t="s">
        <v>66</v>
      </c>
      <c r="F43" s="1" t="s">
        <v>67</v>
      </c>
    </row>
    <row r="44">
      <c r="A44" s="1" t="s">
        <v>1999</v>
      </c>
      <c r="B44" s="1" t="s">
        <v>1266</v>
      </c>
      <c r="C44" s="1" t="s">
        <v>447</v>
      </c>
      <c r="D44" s="1">
        <f>+251929161063</f>
        <v>251929161063</v>
      </c>
      <c r="E44" s="1" t="s">
        <v>66</v>
      </c>
      <c r="F44" s="1" t="s">
        <v>67</v>
      </c>
    </row>
    <row r="45">
      <c r="A45" s="1" t="s">
        <v>2000</v>
      </c>
      <c r="B45" s="1" t="s">
        <v>256</v>
      </c>
      <c r="C45" s="1" t="s">
        <v>399</v>
      </c>
      <c r="D45" s="1">
        <f>+251928051355</f>
        <v>251928051355</v>
      </c>
      <c r="E45" s="1" t="s">
        <v>66</v>
      </c>
      <c r="F45" s="1" t="s">
        <v>67</v>
      </c>
    </row>
    <row r="46">
      <c r="A46" s="1" t="s">
        <v>2001</v>
      </c>
      <c r="B46" s="1" t="s">
        <v>2002</v>
      </c>
      <c r="C46" s="1" t="s">
        <v>1218</v>
      </c>
      <c r="D46" s="1">
        <f>+251927183407</f>
        <v>251927183407</v>
      </c>
      <c r="E46" s="1" t="s">
        <v>66</v>
      </c>
      <c r="F46" s="1" t="s">
        <v>129</v>
      </c>
    </row>
    <row r="47">
      <c r="A47" s="1" t="s">
        <v>2003</v>
      </c>
      <c r="B47" s="1" t="s">
        <v>1559</v>
      </c>
      <c r="C47" s="1" t="s">
        <v>878</v>
      </c>
      <c r="D47" s="1">
        <f>+251927075311</f>
        <v>251927075311</v>
      </c>
      <c r="E47" s="1" t="s">
        <v>66</v>
      </c>
      <c r="F47" s="1" t="s">
        <v>67</v>
      </c>
    </row>
    <row r="48">
      <c r="A48" s="1" t="s">
        <v>2004</v>
      </c>
      <c r="B48" s="1" t="s">
        <v>1604</v>
      </c>
      <c r="C48" s="1" t="s">
        <v>2005</v>
      </c>
      <c r="D48" s="1">
        <f>+251925763462</f>
        <v>251925763462</v>
      </c>
      <c r="E48" s="1" t="s">
        <v>66</v>
      </c>
      <c r="F48" s="1" t="s">
        <v>71</v>
      </c>
    </row>
    <row r="49">
      <c r="A49" s="1" t="s">
        <v>2006</v>
      </c>
      <c r="B49" s="1" t="s">
        <v>2007</v>
      </c>
      <c r="C49" s="1" t="s">
        <v>2008</v>
      </c>
      <c r="D49" s="1">
        <f>+251923824434</f>
        <v>251923824434</v>
      </c>
      <c r="E49" s="1" t="s">
        <v>66</v>
      </c>
      <c r="F49" s="1" t="s">
        <v>129</v>
      </c>
    </row>
    <row r="50">
      <c r="A50" s="1" t="s">
        <v>2009</v>
      </c>
      <c r="B50" s="1" t="s">
        <v>2010</v>
      </c>
      <c r="C50" s="1" t="s">
        <v>697</v>
      </c>
      <c r="D50" s="1">
        <f>+251923284190</f>
        <v>251923284190</v>
      </c>
      <c r="E50" s="1" t="s">
        <v>66</v>
      </c>
      <c r="F50" s="1" t="s">
        <v>95</v>
      </c>
    </row>
    <row r="51">
      <c r="A51" s="1" t="s">
        <v>2011</v>
      </c>
      <c r="B51" s="1" t="s">
        <v>2012</v>
      </c>
      <c r="C51" s="1" t="s">
        <v>267</v>
      </c>
      <c r="D51" s="1">
        <f>+251923149114</f>
        <v>251923149114</v>
      </c>
      <c r="E51" s="1" t="s">
        <v>66</v>
      </c>
      <c r="F51" s="1" t="s">
        <v>67</v>
      </c>
    </row>
    <row r="52">
      <c r="A52" s="1" t="s">
        <v>2013</v>
      </c>
      <c r="B52" s="1" t="s">
        <v>2014</v>
      </c>
      <c r="C52" s="1" t="s">
        <v>1007</v>
      </c>
      <c r="D52" s="1">
        <f>+251922850480</f>
        <v>251922850480</v>
      </c>
      <c r="E52" s="1" t="s">
        <v>66</v>
      </c>
      <c r="F52" s="1" t="s">
        <v>95</v>
      </c>
    </row>
    <row r="53">
      <c r="A53" s="1" t="s">
        <v>2015</v>
      </c>
      <c r="B53" s="1" t="s">
        <v>900</v>
      </c>
      <c r="C53" s="1" t="s">
        <v>2016</v>
      </c>
      <c r="D53" s="1">
        <f>+251922214866</f>
        <v>251922214866</v>
      </c>
      <c r="E53" s="1" t="s">
        <v>66</v>
      </c>
      <c r="F53" s="1" t="s">
        <v>95</v>
      </c>
    </row>
    <row r="54">
      <c r="A54" s="1" t="s">
        <v>2017</v>
      </c>
      <c r="B54" s="1" t="s">
        <v>2018</v>
      </c>
      <c r="C54" s="1" t="s">
        <v>1949</v>
      </c>
      <c r="D54" s="1">
        <f>+251921498392</f>
        <v>251921498392</v>
      </c>
      <c r="E54" s="1" t="s">
        <v>66</v>
      </c>
      <c r="F54" s="1" t="s">
        <v>67</v>
      </c>
    </row>
    <row r="55">
      <c r="A55" s="1" t="s">
        <v>2019</v>
      </c>
      <c r="B55" s="1" t="s">
        <v>2020</v>
      </c>
      <c r="C55" s="1" t="s">
        <v>1546</v>
      </c>
      <c r="D55" s="1">
        <v>2.5191998127E11</v>
      </c>
      <c r="E55" s="1" t="s">
        <v>66</v>
      </c>
      <c r="F55" s="1" t="s">
        <v>67</v>
      </c>
    </row>
    <row r="56">
      <c r="A56" s="1" t="s">
        <v>2021</v>
      </c>
      <c r="B56" s="1" t="s">
        <v>2022</v>
      </c>
      <c r="C56" s="1" t="s">
        <v>1305</v>
      </c>
      <c r="D56" s="1">
        <f>+251918384162</f>
        <v>251918384162</v>
      </c>
      <c r="E56" s="1" t="s">
        <v>66</v>
      </c>
      <c r="F56" s="1" t="s">
        <v>71</v>
      </c>
    </row>
    <row r="57">
      <c r="A57" s="1" t="s">
        <v>2023</v>
      </c>
      <c r="B57" s="1" t="s">
        <v>2024</v>
      </c>
      <c r="C57" s="1" t="s">
        <v>2025</v>
      </c>
      <c r="D57" s="1">
        <f>+251917911085</f>
        <v>251917911085</v>
      </c>
      <c r="E57" s="1" t="s">
        <v>66</v>
      </c>
      <c r="F57" s="1" t="s">
        <v>67</v>
      </c>
    </row>
    <row r="58">
      <c r="A58" s="1" t="s">
        <v>2026</v>
      </c>
      <c r="B58" s="1" t="s">
        <v>2027</v>
      </c>
      <c r="C58" s="1" t="s">
        <v>59</v>
      </c>
      <c r="D58" s="1">
        <f>+251917076206</f>
        <v>251917076206</v>
      </c>
      <c r="E58" s="1" t="s">
        <v>66</v>
      </c>
      <c r="F58" s="1" t="s">
        <v>67</v>
      </c>
    </row>
    <row r="59">
      <c r="A59" s="1" t="s">
        <v>2028</v>
      </c>
      <c r="B59" s="1" t="s">
        <v>2029</v>
      </c>
      <c r="C59" s="1" t="s">
        <v>2030</v>
      </c>
      <c r="D59" s="1">
        <f>+251916986638</f>
        <v>251916986638</v>
      </c>
      <c r="E59" s="1" t="s">
        <v>66</v>
      </c>
      <c r="F59" s="1" t="s">
        <v>67</v>
      </c>
    </row>
    <row r="60">
      <c r="A60" s="1" t="s">
        <v>2031</v>
      </c>
      <c r="B60" s="1" t="s">
        <v>2032</v>
      </c>
      <c r="C60" s="1" t="s">
        <v>2033</v>
      </c>
      <c r="D60" s="1">
        <f>+251916623344</f>
        <v>251916623344</v>
      </c>
      <c r="E60" s="1" t="s">
        <v>66</v>
      </c>
      <c r="F60" s="1" t="s">
        <v>71</v>
      </c>
    </row>
    <row r="61">
      <c r="A61" s="1" t="s">
        <v>2034</v>
      </c>
      <c r="B61" s="1" t="s">
        <v>2035</v>
      </c>
      <c r="C61" s="1" t="s">
        <v>2036</v>
      </c>
      <c r="D61" s="1">
        <f>+251916409334</f>
        <v>251916409334</v>
      </c>
      <c r="E61" s="1" t="s">
        <v>66</v>
      </c>
      <c r="F61" s="1" t="s">
        <v>90</v>
      </c>
    </row>
    <row r="62">
      <c r="A62" s="1" t="s">
        <v>2037</v>
      </c>
      <c r="B62" s="1" t="s">
        <v>510</v>
      </c>
      <c r="C62" s="1" t="s">
        <v>2038</v>
      </c>
      <c r="D62" s="1">
        <f>+251915963822</f>
        <v>251915963822</v>
      </c>
      <c r="E62" s="1" t="s">
        <v>66</v>
      </c>
      <c r="F62" s="1" t="s">
        <v>90</v>
      </c>
    </row>
    <row r="63">
      <c r="A63" s="1" t="s">
        <v>2039</v>
      </c>
      <c r="B63" s="1" t="s">
        <v>2040</v>
      </c>
      <c r="C63" s="1" t="s">
        <v>1464</v>
      </c>
      <c r="D63" s="1">
        <f>+251915305220</f>
        <v>251915305220</v>
      </c>
      <c r="E63" s="1" t="s">
        <v>66</v>
      </c>
      <c r="F63" s="1" t="s">
        <v>200</v>
      </c>
    </row>
    <row r="64">
      <c r="A64" s="1" t="s">
        <v>2041</v>
      </c>
      <c r="B64" s="1" t="s">
        <v>2042</v>
      </c>
      <c r="C64" s="1" t="s">
        <v>2043</v>
      </c>
      <c r="D64" s="1">
        <f>+251915167376</f>
        <v>251915167376</v>
      </c>
      <c r="E64" s="1" t="s">
        <v>66</v>
      </c>
      <c r="F64" s="1" t="s">
        <v>67</v>
      </c>
    </row>
    <row r="65">
      <c r="A65" s="1" t="s">
        <v>2044</v>
      </c>
      <c r="B65" s="1" t="s">
        <v>1218</v>
      </c>
      <c r="C65" s="1" t="s">
        <v>2045</v>
      </c>
      <c r="D65" s="1">
        <f>+251913333903</f>
        <v>251913333903</v>
      </c>
      <c r="E65" s="1" t="s">
        <v>66</v>
      </c>
      <c r="F65" s="1" t="s">
        <v>71</v>
      </c>
    </row>
    <row r="66">
      <c r="A66" s="1" t="s">
        <v>2046</v>
      </c>
      <c r="B66" s="1" t="s">
        <v>230</v>
      </c>
      <c r="C66" s="1" t="s">
        <v>938</v>
      </c>
      <c r="D66" s="1">
        <f>+251912795277</f>
        <v>251912795277</v>
      </c>
      <c r="E66" s="1" t="s">
        <v>66</v>
      </c>
      <c r="F66" s="1" t="s">
        <v>67</v>
      </c>
    </row>
    <row r="67">
      <c r="A67" s="1" t="s">
        <v>2047</v>
      </c>
      <c r="B67" s="1" t="s">
        <v>2048</v>
      </c>
      <c r="C67" s="1" t="s">
        <v>2049</v>
      </c>
      <c r="D67" s="1">
        <f>+251912669087</f>
        <v>251912669087</v>
      </c>
      <c r="E67" s="1" t="s">
        <v>66</v>
      </c>
      <c r="F67" s="1" t="s">
        <v>67</v>
      </c>
    </row>
    <row r="68">
      <c r="A68" s="1" t="s">
        <v>2050</v>
      </c>
      <c r="B68" s="1" t="s">
        <v>745</v>
      </c>
      <c r="C68" s="1" t="s">
        <v>2022</v>
      </c>
      <c r="D68" s="1">
        <f>+251912141115</f>
        <v>251912141115</v>
      </c>
      <c r="E68" s="1" t="s">
        <v>66</v>
      </c>
      <c r="F68" s="1" t="s">
        <v>67</v>
      </c>
    </row>
    <row r="69">
      <c r="A69" s="1" t="s">
        <v>2051</v>
      </c>
      <c r="B69" s="1" t="s">
        <v>730</v>
      </c>
      <c r="C69" s="1" t="s">
        <v>2052</v>
      </c>
      <c r="D69" s="1">
        <f>+251911608543</f>
        <v>251911608543</v>
      </c>
      <c r="E69" s="1" t="s">
        <v>66</v>
      </c>
      <c r="F69" s="1" t="s">
        <v>67</v>
      </c>
    </row>
    <row r="70">
      <c r="A70" s="1" t="s">
        <v>2053</v>
      </c>
      <c r="B70" s="1" t="s">
        <v>2054</v>
      </c>
      <c r="C70" s="1" t="s">
        <v>2055</v>
      </c>
      <c r="D70" s="1">
        <f>+251911535727</f>
        <v>251911535727</v>
      </c>
      <c r="E70" s="1" t="s">
        <v>66</v>
      </c>
      <c r="F70" s="1" t="s">
        <v>95</v>
      </c>
    </row>
    <row r="71">
      <c r="A71" s="1" t="s">
        <v>2056</v>
      </c>
      <c r="B71" s="1" t="s">
        <v>2057</v>
      </c>
      <c r="C71" s="1" t="s">
        <v>389</v>
      </c>
      <c r="D71" s="1">
        <f>+251911028876</f>
        <v>251911028876</v>
      </c>
      <c r="E71" s="1" t="s">
        <v>66</v>
      </c>
      <c r="F71" s="1" t="s">
        <v>67</v>
      </c>
    </row>
    <row r="72">
      <c r="A72" s="4" t="s">
        <v>2058</v>
      </c>
      <c r="B72" s="4" t="s">
        <v>2059</v>
      </c>
      <c r="C72" s="4" t="s">
        <v>2060</v>
      </c>
      <c r="D72" s="4">
        <f>+251910526357</f>
        <v>251910526357</v>
      </c>
      <c r="E72" s="4" t="s">
        <v>66</v>
      </c>
      <c r="F72" s="4" t="s">
        <v>67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1" t="s">
        <v>2061</v>
      </c>
      <c r="B73" s="1" t="s">
        <v>1114</v>
      </c>
      <c r="C73" s="1" t="s">
        <v>393</v>
      </c>
      <c r="D73" s="1">
        <f>+251910342815</f>
        <v>251910342815</v>
      </c>
      <c r="E73" s="1" t="s">
        <v>66</v>
      </c>
      <c r="F73" s="1" t="s">
        <v>67</v>
      </c>
    </row>
    <row r="74">
      <c r="A74" s="1" t="s">
        <v>2062</v>
      </c>
      <c r="B74" s="1" t="s">
        <v>120</v>
      </c>
      <c r="C74" s="1" t="s">
        <v>2063</v>
      </c>
      <c r="D74" s="1">
        <f>+251909433658</f>
        <v>251909433658</v>
      </c>
      <c r="E74" s="1" t="s">
        <v>66</v>
      </c>
      <c r="F74" s="1" t="s">
        <v>76</v>
      </c>
    </row>
    <row r="75">
      <c r="A75" s="1" t="s">
        <v>2064</v>
      </c>
      <c r="B75" s="1" t="s">
        <v>1323</v>
      </c>
      <c r="C75" s="1" t="s">
        <v>69</v>
      </c>
      <c r="D75" s="1">
        <f>+251908412771</f>
        <v>251908412771</v>
      </c>
      <c r="E75" s="1" t="s">
        <v>66</v>
      </c>
      <c r="F75" s="1" t="s">
        <v>67</v>
      </c>
    </row>
    <row r="76">
      <c r="A76" s="1" t="s">
        <v>2065</v>
      </c>
      <c r="B76" s="1" t="s">
        <v>275</v>
      </c>
      <c r="C76" s="1" t="s">
        <v>2066</v>
      </c>
      <c r="D76" s="1">
        <f>+251905892759</f>
        <v>251905892759</v>
      </c>
      <c r="E76" s="1" t="s">
        <v>66</v>
      </c>
      <c r="F76" s="1" t="s">
        <v>90</v>
      </c>
    </row>
    <row r="77">
      <c r="A77" s="1" t="s">
        <v>2067</v>
      </c>
      <c r="B77" s="1" t="s">
        <v>2068</v>
      </c>
      <c r="C77" s="1" t="s">
        <v>2069</v>
      </c>
      <c r="D77" s="1">
        <f>+251905261068</f>
        <v>251905261068</v>
      </c>
      <c r="E77" s="1" t="s">
        <v>66</v>
      </c>
      <c r="F77" s="1" t="s">
        <v>67</v>
      </c>
    </row>
    <row r="78">
      <c r="A78" s="1" t="s">
        <v>2070</v>
      </c>
      <c r="B78" s="1" t="s">
        <v>2071</v>
      </c>
      <c r="C78" s="1" t="s">
        <v>2072</v>
      </c>
      <c r="D78" s="1">
        <f>+251905108549</f>
        <v>251905108549</v>
      </c>
      <c r="E78" s="1" t="s">
        <v>66</v>
      </c>
      <c r="F78" s="1" t="s">
        <v>67</v>
      </c>
    </row>
    <row r="79">
      <c r="A79" s="1" t="s">
        <v>2073</v>
      </c>
      <c r="B79" s="1" t="s">
        <v>82</v>
      </c>
      <c r="C79" s="1" t="s">
        <v>161</v>
      </c>
      <c r="D79" s="1">
        <f>+251712001763</f>
        <v>251712001763</v>
      </c>
      <c r="E79" s="1" t="s">
        <v>66</v>
      </c>
      <c r="F79" s="1" t="s">
        <v>67</v>
      </c>
    </row>
    <row r="80">
      <c r="A80" s="1" t="s">
        <v>62</v>
      </c>
      <c r="B80" s="1" t="s">
        <v>63</v>
      </c>
      <c r="C80" s="1" t="s">
        <v>64</v>
      </c>
      <c r="D80" s="1">
        <f>+251708104013</f>
        <v>251708104013</v>
      </c>
      <c r="E80" s="1" t="s">
        <v>66</v>
      </c>
      <c r="F80" s="1" t="s">
        <v>67</v>
      </c>
    </row>
    <row r="81">
      <c r="A81" s="1" t="s">
        <v>2074</v>
      </c>
      <c r="B81" s="1" t="s">
        <v>2075</v>
      </c>
      <c r="C81" s="1" t="s">
        <v>2076</v>
      </c>
      <c r="D81" s="1">
        <v>9.3449567E8</v>
      </c>
      <c r="E81" s="1" t="s">
        <v>66</v>
      </c>
      <c r="F81" s="1" t="s">
        <v>95</v>
      </c>
    </row>
    <row r="82">
      <c r="A82" s="1" t="s">
        <v>2077</v>
      </c>
      <c r="B82" s="1" t="s">
        <v>97</v>
      </c>
      <c r="C82" s="1" t="s">
        <v>10</v>
      </c>
      <c r="D82" s="1">
        <v>9.30070644E8</v>
      </c>
      <c r="E82" s="1" t="s">
        <v>66</v>
      </c>
      <c r="F82" s="1" t="s">
        <v>90</v>
      </c>
    </row>
    <row r="83">
      <c r="A83" s="1" t="s">
        <v>2078</v>
      </c>
      <c r="B83" s="1" t="s">
        <v>2079</v>
      </c>
      <c r="C83" s="1" t="s">
        <v>2080</v>
      </c>
      <c r="D83" s="1">
        <v>9.29271909E8</v>
      </c>
      <c r="E83" s="1" t="s">
        <v>66</v>
      </c>
      <c r="F83" s="1" t="s">
        <v>90</v>
      </c>
    </row>
    <row r="84">
      <c r="A84" s="1" t="s">
        <v>2081</v>
      </c>
      <c r="B84" s="1" t="s">
        <v>2082</v>
      </c>
      <c r="C84" s="1" t="s">
        <v>2083</v>
      </c>
      <c r="D84" s="1" t="str">
        <f>+251 0937078729</f>
        <v>#ERROR!</v>
      </c>
      <c r="E84" s="1" t="s">
        <v>397</v>
      </c>
      <c r="F84" s="1"/>
    </row>
    <row r="85">
      <c r="A85" s="1" t="s">
        <v>460</v>
      </c>
      <c r="B85" s="1" t="s">
        <v>461</v>
      </c>
      <c r="C85" s="1" t="s">
        <v>462</v>
      </c>
      <c r="D85" s="1">
        <f>+25190598589858</f>
        <v>25190598589858</v>
      </c>
      <c r="E85" s="1" t="s">
        <v>397</v>
      </c>
      <c r="F85" s="1"/>
    </row>
    <row r="86">
      <c r="A86" s="1" t="s">
        <v>2084</v>
      </c>
      <c r="B86" s="1" t="s">
        <v>2085</v>
      </c>
      <c r="C86" s="1" t="s">
        <v>2086</v>
      </c>
      <c r="D86" s="1">
        <f>+256783721126</f>
        <v>256783721126</v>
      </c>
      <c r="E86" s="1" t="s">
        <v>397</v>
      </c>
      <c r="F86" s="1"/>
    </row>
    <row r="87">
      <c r="A87" s="1" t="s">
        <v>2087</v>
      </c>
      <c r="B87" s="1" t="s">
        <v>806</v>
      </c>
      <c r="C87" s="1" t="s">
        <v>121</v>
      </c>
      <c r="D87" s="1">
        <f>+251996249030</f>
        <v>251996249030</v>
      </c>
      <c r="E87" s="1" t="s">
        <v>397</v>
      </c>
      <c r="F87" s="1"/>
    </row>
    <row r="88">
      <c r="A88" s="1" t="s">
        <v>2088</v>
      </c>
      <c r="B88" s="1" t="s">
        <v>2089</v>
      </c>
      <c r="C88" s="1" t="s">
        <v>2090</v>
      </c>
      <c r="D88" s="1">
        <f>+251994810568</f>
        <v>251994810568</v>
      </c>
      <c r="E88" s="1" t="s">
        <v>397</v>
      </c>
      <c r="F88" s="1"/>
    </row>
    <row r="89">
      <c r="A89" s="1" t="s">
        <v>2091</v>
      </c>
      <c r="B89" s="1" t="s">
        <v>538</v>
      </c>
      <c r="C89" s="1" t="s">
        <v>2092</v>
      </c>
      <c r="D89" s="1">
        <f>+251994376846</f>
        <v>251994376846</v>
      </c>
      <c r="E89" s="1" t="s">
        <v>397</v>
      </c>
      <c r="F89" s="1"/>
    </row>
    <row r="90">
      <c r="A90" s="1" t="s">
        <v>2093</v>
      </c>
      <c r="B90" s="1" t="s">
        <v>59</v>
      </c>
      <c r="C90" s="1" t="s">
        <v>2094</v>
      </c>
      <c r="D90" s="1">
        <f>+251993933630</f>
        <v>251993933630</v>
      </c>
      <c r="E90" s="1" t="s">
        <v>397</v>
      </c>
      <c r="F90" s="1"/>
    </row>
    <row r="91">
      <c r="A91" s="1" t="s">
        <v>2095</v>
      </c>
      <c r="B91" s="1" t="s">
        <v>2096</v>
      </c>
      <c r="C91" s="1" t="s">
        <v>2097</v>
      </c>
      <c r="D91" s="1">
        <f>+251992471846</f>
        <v>251992471846</v>
      </c>
      <c r="E91" s="1" t="s">
        <v>397</v>
      </c>
      <c r="F91" s="1"/>
    </row>
    <row r="92">
      <c r="A92" s="1" t="s">
        <v>2098</v>
      </c>
      <c r="B92" s="1" t="s">
        <v>1593</v>
      </c>
      <c r="C92" s="1" t="s">
        <v>510</v>
      </c>
      <c r="D92" s="1">
        <f>+251991189834</f>
        <v>251991189834</v>
      </c>
      <c r="E92" s="1" t="s">
        <v>397</v>
      </c>
      <c r="F92" s="1"/>
    </row>
    <row r="93">
      <c r="A93" s="1" t="s">
        <v>2099</v>
      </c>
      <c r="B93" s="1" t="s">
        <v>2100</v>
      </c>
      <c r="C93" s="1" t="s">
        <v>1144</v>
      </c>
      <c r="D93" s="1">
        <f>+251989132355</f>
        <v>251989132355</v>
      </c>
      <c r="E93" s="1" t="s">
        <v>397</v>
      </c>
      <c r="F93" s="1"/>
    </row>
    <row r="94">
      <c r="A94" s="1" t="s">
        <v>2101</v>
      </c>
      <c r="B94" s="1" t="s">
        <v>2102</v>
      </c>
      <c r="C94" s="1" t="s">
        <v>1385</v>
      </c>
      <c r="D94" s="1">
        <f>+251989063031</f>
        <v>251989063031</v>
      </c>
      <c r="E94" s="1" t="s">
        <v>397</v>
      </c>
      <c r="F94" s="1"/>
    </row>
    <row r="95">
      <c r="A95" s="1" t="s">
        <v>2103</v>
      </c>
      <c r="B95" s="1" t="s">
        <v>55</v>
      </c>
      <c r="C95" s="1" t="s">
        <v>2104</v>
      </c>
      <c r="D95" s="1">
        <f>+251988320636</f>
        <v>251988320636</v>
      </c>
      <c r="E95" s="1" t="s">
        <v>397</v>
      </c>
      <c r="F95" s="1"/>
    </row>
    <row r="96">
      <c r="A96" s="1" t="s">
        <v>1113</v>
      </c>
      <c r="B96" s="1" t="s">
        <v>1114</v>
      </c>
      <c r="C96" s="1" t="s">
        <v>1115</v>
      </c>
      <c r="D96" s="1">
        <f>+251988029614</f>
        <v>251988029614</v>
      </c>
      <c r="E96" s="1" t="s">
        <v>397</v>
      </c>
      <c r="F96" s="1"/>
    </row>
    <row r="97">
      <c r="A97" s="1" t="s">
        <v>2105</v>
      </c>
      <c r="B97" s="1" t="s">
        <v>590</v>
      </c>
      <c r="C97" s="1" t="s">
        <v>2106</v>
      </c>
      <c r="D97" s="1">
        <f>+251986488809</f>
        <v>251986488809</v>
      </c>
      <c r="E97" s="1" t="s">
        <v>397</v>
      </c>
      <c r="F97" s="1"/>
    </row>
    <row r="98">
      <c r="A98" s="1" t="s">
        <v>1800</v>
      </c>
      <c r="B98" s="1" t="s">
        <v>560</v>
      </c>
      <c r="C98" s="1" t="s">
        <v>1218</v>
      </c>
      <c r="D98" s="1">
        <f>+251985683316</f>
        <v>251985683316</v>
      </c>
      <c r="E98" s="1" t="s">
        <v>397</v>
      </c>
      <c r="F98" s="1"/>
    </row>
    <row r="99">
      <c r="A99" s="1" t="s">
        <v>2107</v>
      </c>
      <c r="B99" s="1" t="s">
        <v>2108</v>
      </c>
      <c r="C99" s="1" t="s">
        <v>2109</v>
      </c>
      <c r="D99" s="1">
        <f>+251983276210</f>
        <v>251983276210</v>
      </c>
      <c r="E99" s="1" t="s">
        <v>397</v>
      </c>
      <c r="F99" s="1"/>
    </row>
    <row r="100">
      <c r="A100" s="1" t="s">
        <v>2110</v>
      </c>
      <c r="B100" s="1" t="s">
        <v>525</v>
      </c>
      <c r="C100" s="1" t="s">
        <v>2111</v>
      </c>
      <c r="D100" s="1">
        <f>+251982527962</f>
        <v>251982527962</v>
      </c>
      <c r="E100" s="1" t="s">
        <v>397</v>
      </c>
      <c r="F100" s="1"/>
    </row>
    <row r="101">
      <c r="A101" s="1" t="s">
        <v>2112</v>
      </c>
      <c r="B101" s="1" t="s">
        <v>2113</v>
      </c>
      <c r="C101" s="1" t="s">
        <v>2114</v>
      </c>
      <c r="D101" s="1">
        <f>+251982428363</f>
        <v>251982428363</v>
      </c>
      <c r="E101" s="1" t="s">
        <v>397</v>
      </c>
      <c r="F101" s="1"/>
    </row>
    <row r="102">
      <c r="A102" s="1" t="s">
        <v>2115</v>
      </c>
      <c r="B102" s="1" t="s">
        <v>117</v>
      </c>
      <c r="C102" s="1" t="s">
        <v>671</v>
      </c>
      <c r="D102" s="1">
        <f>+251982404805</f>
        <v>251982404805</v>
      </c>
      <c r="E102" s="1" t="s">
        <v>397</v>
      </c>
      <c r="F102" s="1"/>
    </row>
    <row r="103">
      <c r="A103" s="1" t="s">
        <v>2116</v>
      </c>
      <c r="B103" s="1" t="s">
        <v>2117</v>
      </c>
      <c r="C103" s="1" t="s">
        <v>2118</v>
      </c>
      <c r="D103" s="1">
        <f>+251979852848</f>
        <v>251979852848</v>
      </c>
      <c r="E103" s="1" t="s">
        <v>397</v>
      </c>
      <c r="F103" s="1"/>
    </row>
    <row r="104">
      <c r="A104" s="1" t="s">
        <v>2119</v>
      </c>
      <c r="B104" s="1" t="s">
        <v>82</v>
      </c>
      <c r="C104" s="1" t="s">
        <v>2120</v>
      </c>
      <c r="D104" s="1">
        <f>+251978680882</f>
        <v>251978680882</v>
      </c>
      <c r="E104" s="1" t="s">
        <v>397</v>
      </c>
      <c r="F104" s="1"/>
    </row>
    <row r="105">
      <c r="A105" s="1" t="s">
        <v>2121</v>
      </c>
      <c r="B105" s="1" t="s">
        <v>2122</v>
      </c>
      <c r="C105" s="1" t="s">
        <v>2123</v>
      </c>
      <c r="D105" s="1">
        <f>+251978483378</f>
        <v>251978483378</v>
      </c>
      <c r="E105" s="1" t="s">
        <v>397</v>
      </c>
      <c r="F105" s="1"/>
    </row>
    <row r="106">
      <c r="A106" s="1" t="s">
        <v>2124</v>
      </c>
      <c r="B106" s="1" t="s">
        <v>2125</v>
      </c>
      <c r="C106" s="1" t="s">
        <v>643</v>
      </c>
      <c r="D106" s="1">
        <f>+251976541895</f>
        <v>251976541895</v>
      </c>
      <c r="E106" s="1" t="s">
        <v>397</v>
      </c>
      <c r="F106" s="1"/>
    </row>
    <row r="107">
      <c r="A107" s="1" t="s">
        <v>2126</v>
      </c>
      <c r="B107" s="1" t="s">
        <v>2127</v>
      </c>
      <c r="C107" s="1" t="s">
        <v>69</v>
      </c>
      <c r="D107" s="1">
        <f t="shared" ref="D107:D108" si="1">+251976026703</f>
        <v>251976026703</v>
      </c>
      <c r="E107" s="1" t="s">
        <v>397</v>
      </c>
      <c r="F107" s="1"/>
    </row>
    <row r="108">
      <c r="A108" s="1" t="s">
        <v>2128</v>
      </c>
      <c r="B108" s="1" t="s">
        <v>2127</v>
      </c>
      <c r="C108" s="1" t="s">
        <v>69</v>
      </c>
      <c r="D108" s="1">
        <f t="shared" si="1"/>
        <v>251976026703</v>
      </c>
      <c r="E108" s="1" t="s">
        <v>397</v>
      </c>
      <c r="F108" s="1"/>
    </row>
    <row r="109">
      <c r="A109" s="1" t="s">
        <v>2129</v>
      </c>
      <c r="B109" s="1" t="s">
        <v>2130</v>
      </c>
      <c r="C109" s="1" t="s">
        <v>2131</v>
      </c>
      <c r="D109" s="1">
        <f>+251975945424</f>
        <v>251975945424</v>
      </c>
      <c r="E109" s="1" t="s">
        <v>397</v>
      </c>
      <c r="F109" s="1"/>
    </row>
    <row r="110">
      <c r="A110" s="1" t="s">
        <v>2132</v>
      </c>
      <c r="B110" s="1" t="s">
        <v>30</v>
      </c>
      <c r="C110" s="1" t="s">
        <v>767</v>
      </c>
      <c r="D110" s="1">
        <f>+251975080410</f>
        <v>251975080410</v>
      </c>
      <c r="E110" s="1" t="s">
        <v>397</v>
      </c>
      <c r="F110" s="1"/>
    </row>
    <row r="111">
      <c r="A111" s="1" t="s">
        <v>2133</v>
      </c>
      <c r="B111" s="1" t="s">
        <v>309</v>
      </c>
      <c r="C111" s="1" t="s">
        <v>2134</v>
      </c>
      <c r="D111" s="1">
        <f>+251974964021</f>
        <v>251974964021</v>
      </c>
      <c r="E111" s="1" t="s">
        <v>397</v>
      </c>
      <c r="F111" s="1"/>
    </row>
    <row r="112">
      <c r="A112" s="1" t="s">
        <v>2135</v>
      </c>
      <c r="B112" s="1" t="s">
        <v>2100</v>
      </c>
      <c r="C112" s="1" t="s">
        <v>1729</v>
      </c>
      <c r="D112" s="1">
        <f>+251974137842</f>
        <v>251974137842</v>
      </c>
      <c r="E112" s="1" t="s">
        <v>397</v>
      </c>
      <c r="F112" s="1"/>
    </row>
    <row r="113">
      <c r="A113" s="1" t="s">
        <v>2136</v>
      </c>
      <c r="B113" s="1" t="s">
        <v>745</v>
      </c>
      <c r="C113" s="1" t="s">
        <v>2137</v>
      </c>
      <c r="D113" s="1">
        <f>+251973647278</f>
        <v>251973647278</v>
      </c>
      <c r="E113" s="1" t="s">
        <v>397</v>
      </c>
      <c r="F113" s="1"/>
    </row>
    <row r="114">
      <c r="A114" s="1" t="s">
        <v>2138</v>
      </c>
      <c r="B114" s="1" t="s">
        <v>1728</v>
      </c>
      <c r="C114" s="1" t="s">
        <v>169</v>
      </c>
      <c r="D114" s="1">
        <f>+251970408086</f>
        <v>251970408086</v>
      </c>
      <c r="E114" s="1" t="s">
        <v>397</v>
      </c>
      <c r="F114" s="1"/>
    </row>
    <row r="115">
      <c r="A115" s="1" t="s">
        <v>2139</v>
      </c>
      <c r="B115" s="1" t="s">
        <v>325</v>
      </c>
      <c r="C115" s="1" t="s">
        <v>1330</v>
      </c>
      <c r="D115" s="1">
        <f>+251969906254</f>
        <v>251969906254</v>
      </c>
      <c r="E115" s="1" t="s">
        <v>397</v>
      </c>
      <c r="F115" s="1"/>
    </row>
    <row r="116">
      <c r="A116" s="1" t="s">
        <v>1736</v>
      </c>
      <c r="B116" s="1" t="s">
        <v>1737</v>
      </c>
      <c r="C116" s="1" t="s">
        <v>1738</v>
      </c>
      <c r="D116" s="1">
        <f>+251969175632</f>
        <v>251969175632</v>
      </c>
      <c r="E116" s="1" t="s">
        <v>397</v>
      </c>
      <c r="F116" s="1"/>
    </row>
    <row r="117">
      <c r="A117" s="1" t="s">
        <v>2140</v>
      </c>
      <c r="B117" s="1" t="s">
        <v>823</v>
      </c>
      <c r="C117" s="1" t="s">
        <v>720</v>
      </c>
      <c r="D117" s="1">
        <f>+251968577050</f>
        <v>251968577050</v>
      </c>
      <c r="E117" s="1" t="s">
        <v>397</v>
      </c>
      <c r="F117" s="1"/>
    </row>
    <row r="118">
      <c r="A118" s="1" t="s">
        <v>994</v>
      </c>
      <c r="B118" s="1" t="s">
        <v>995</v>
      </c>
      <c r="C118" s="1" t="s">
        <v>996</v>
      </c>
      <c r="D118" s="1">
        <f>+251967743868</f>
        <v>251967743868</v>
      </c>
      <c r="E118" s="1" t="s">
        <v>397</v>
      </c>
      <c r="F118" s="1"/>
    </row>
    <row r="119">
      <c r="A119" s="1" t="s">
        <v>1734</v>
      </c>
      <c r="B119" s="1" t="s">
        <v>1735</v>
      </c>
      <c r="C119" s="1" t="s">
        <v>616</v>
      </c>
      <c r="D119" s="1">
        <f>+251966916214</f>
        <v>251966916214</v>
      </c>
      <c r="E119" s="1" t="s">
        <v>397</v>
      </c>
      <c r="F119" s="1"/>
    </row>
    <row r="120">
      <c r="A120" s="1" t="s">
        <v>2141</v>
      </c>
      <c r="B120" s="1" t="s">
        <v>2142</v>
      </c>
      <c r="C120" s="1" t="s">
        <v>2143</v>
      </c>
      <c r="D120" s="1">
        <f>+251966843668</f>
        <v>251966843668</v>
      </c>
      <c r="E120" s="1" t="s">
        <v>397</v>
      </c>
      <c r="F120" s="1"/>
    </row>
    <row r="121">
      <c r="A121" s="1" t="s">
        <v>2144</v>
      </c>
      <c r="B121" s="1" t="s">
        <v>2145</v>
      </c>
      <c r="C121" s="1" t="s">
        <v>161</v>
      </c>
      <c r="D121" s="1">
        <f>+251966217113</f>
        <v>251966217113</v>
      </c>
      <c r="E121" s="1" t="s">
        <v>397</v>
      </c>
      <c r="F121" s="1"/>
    </row>
    <row r="122">
      <c r="A122" s="1" t="s">
        <v>964</v>
      </c>
      <c r="B122" s="1" t="s">
        <v>965</v>
      </c>
      <c r="C122" s="1" t="s">
        <v>253</v>
      </c>
      <c r="D122" s="1">
        <f>+251964138608</f>
        <v>251964138608</v>
      </c>
      <c r="E122" s="1" t="s">
        <v>397</v>
      </c>
      <c r="F122" s="1"/>
    </row>
    <row r="123">
      <c r="A123" s="1" t="s">
        <v>2146</v>
      </c>
      <c r="B123" s="1" t="s">
        <v>293</v>
      </c>
      <c r="C123" s="1" t="s">
        <v>2147</v>
      </c>
      <c r="D123" s="1">
        <f>+251964108463</f>
        <v>251964108463</v>
      </c>
      <c r="E123" s="1" t="s">
        <v>397</v>
      </c>
      <c r="F123" s="1"/>
    </row>
    <row r="124">
      <c r="A124" s="1" t="s">
        <v>2148</v>
      </c>
      <c r="B124" s="1" t="s">
        <v>413</v>
      </c>
      <c r="C124" s="1" t="s">
        <v>2149</v>
      </c>
      <c r="D124" s="1">
        <f>+251961517200</f>
        <v>251961517200</v>
      </c>
      <c r="E124" s="1" t="s">
        <v>397</v>
      </c>
      <c r="F124" s="1"/>
    </row>
    <row r="125">
      <c r="A125" s="1" t="s">
        <v>2150</v>
      </c>
      <c r="B125" s="1" t="s">
        <v>2151</v>
      </c>
      <c r="C125" s="1" t="s">
        <v>230</v>
      </c>
      <c r="D125" s="1">
        <f>+251960884288</f>
        <v>251960884288</v>
      </c>
      <c r="E125" s="1" t="s">
        <v>397</v>
      </c>
      <c r="F125" s="1"/>
    </row>
    <row r="126">
      <c r="A126" s="1" t="s">
        <v>2152</v>
      </c>
      <c r="B126" s="1" t="s">
        <v>229</v>
      </c>
      <c r="C126" s="1" t="s">
        <v>1218</v>
      </c>
      <c r="D126" s="1">
        <f>+251960859422</f>
        <v>251960859422</v>
      </c>
      <c r="E126" s="1" t="s">
        <v>397</v>
      </c>
      <c r="F126" s="1"/>
    </row>
    <row r="127">
      <c r="A127" s="1" t="s">
        <v>2153</v>
      </c>
      <c r="B127" s="1" t="s">
        <v>230</v>
      </c>
      <c r="C127" s="1" t="s">
        <v>101</v>
      </c>
      <c r="D127" s="1">
        <f>+251960568993</f>
        <v>251960568993</v>
      </c>
      <c r="E127" s="1" t="s">
        <v>397</v>
      </c>
      <c r="F127" s="1"/>
    </row>
    <row r="128">
      <c r="A128" s="1" t="s">
        <v>2154</v>
      </c>
      <c r="B128" s="1" t="s">
        <v>2155</v>
      </c>
      <c r="C128" s="1" t="s">
        <v>984</v>
      </c>
      <c r="D128" s="1">
        <f>+251955999637</f>
        <v>251955999637</v>
      </c>
      <c r="E128" s="1" t="s">
        <v>397</v>
      </c>
      <c r="F128" s="1"/>
    </row>
    <row r="129">
      <c r="A129" s="1" t="s">
        <v>2156</v>
      </c>
      <c r="B129" s="1" t="s">
        <v>2157</v>
      </c>
      <c r="C129" s="1" t="s">
        <v>2158</v>
      </c>
      <c r="D129" s="1">
        <f>+251955963058</f>
        <v>251955963058</v>
      </c>
      <c r="E129" s="1" t="s">
        <v>397</v>
      </c>
      <c r="F129" s="1"/>
    </row>
    <row r="130">
      <c r="A130" s="1" t="s">
        <v>2159</v>
      </c>
      <c r="B130" s="1" t="s">
        <v>1266</v>
      </c>
      <c r="C130" s="1" t="s">
        <v>2160</v>
      </c>
      <c r="D130" s="1">
        <f>+251955455273</f>
        <v>251955455273</v>
      </c>
      <c r="E130" s="1" t="s">
        <v>397</v>
      </c>
      <c r="F130" s="1"/>
    </row>
    <row r="131">
      <c r="A131" s="1" t="s">
        <v>2161</v>
      </c>
      <c r="B131" s="1" t="s">
        <v>1109</v>
      </c>
      <c r="C131" s="1" t="s">
        <v>1427</v>
      </c>
      <c r="D131" s="1">
        <f t="shared" ref="D131:D132" si="2">+251955271869</f>
        <v>251955271869</v>
      </c>
      <c r="E131" s="1" t="s">
        <v>397</v>
      </c>
      <c r="F131" s="1"/>
    </row>
    <row r="132">
      <c r="A132" s="1" t="s">
        <v>2162</v>
      </c>
      <c r="B132" s="1" t="s">
        <v>1109</v>
      </c>
      <c r="C132" s="1" t="s">
        <v>1427</v>
      </c>
      <c r="D132" s="1">
        <f t="shared" si="2"/>
        <v>251955271869</v>
      </c>
      <c r="E132" s="1" t="s">
        <v>397</v>
      </c>
      <c r="F132" s="1"/>
    </row>
    <row r="133">
      <c r="A133" s="1" t="s">
        <v>2163</v>
      </c>
      <c r="B133" s="1" t="s">
        <v>305</v>
      </c>
      <c r="C133" s="1" t="s">
        <v>366</v>
      </c>
      <c r="D133" s="1">
        <f>+251953623209</f>
        <v>251953623209</v>
      </c>
      <c r="E133" s="1" t="s">
        <v>397</v>
      </c>
      <c r="F133" s="1"/>
    </row>
    <row r="134">
      <c r="A134" s="1" t="s">
        <v>2164</v>
      </c>
      <c r="B134" s="1" t="s">
        <v>2165</v>
      </c>
      <c r="C134" s="1" t="s">
        <v>2166</v>
      </c>
      <c r="D134" s="1">
        <f>+251953099662</f>
        <v>251953099662</v>
      </c>
      <c r="E134" s="1" t="s">
        <v>397</v>
      </c>
      <c r="F134" s="1"/>
    </row>
    <row r="135">
      <c r="A135" s="1" t="s">
        <v>2167</v>
      </c>
      <c r="B135" s="1" t="s">
        <v>2168</v>
      </c>
      <c r="C135" s="1" t="s">
        <v>2169</v>
      </c>
      <c r="D135" s="1">
        <f>+251952672502</f>
        <v>251952672502</v>
      </c>
      <c r="E135" s="1" t="s">
        <v>397</v>
      </c>
      <c r="F135" s="1"/>
    </row>
    <row r="136">
      <c r="A136" s="1" t="s">
        <v>2170</v>
      </c>
      <c r="B136" s="1" t="s">
        <v>1650</v>
      </c>
      <c r="C136" s="1" t="s">
        <v>2171</v>
      </c>
      <c r="D136" s="1">
        <f>+251952441687</f>
        <v>251952441687</v>
      </c>
      <c r="E136" s="1" t="s">
        <v>397</v>
      </c>
      <c r="F136" s="1"/>
    </row>
    <row r="137">
      <c r="A137" s="1" t="s">
        <v>2172</v>
      </c>
      <c r="B137" s="1" t="s">
        <v>2173</v>
      </c>
      <c r="C137" s="1" t="s">
        <v>1549</v>
      </c>
      <c r="D137" s="1">
        <f>+251951068662</f>
        <v>251951068662</v>
      </c>
      <c r="E137" s="1" t="s">
        <v>397</v>
      </c>
      <c r="F137" s="1"/>
    </row>
    <row r="138">
      <c r="A138" s="1" t="s">
        <v>2174</v>
      </c>
      <c r="B138" s="1" t="s">
        <v>2175</v>
      </c>
      <c r="C138" s="1" t="s">
        <v>2176</v>
      </c>
      <c r="D138" s="1">
        <f>+251949297359</f>
        <v>251949297359</v>
      </c>
      <c r="E138" s="1" t="s">
        <v>397</v>
      </c>
      <c r="F138" s="1"/>
    </row>
    <row r="139">
      <c r="A139" s="1" t="s">
        <v>2177</v>
      </c>
      <c r="B139" s="1" t="s">
        <v>2178</v>
      </c>
      <c r="C139" s="1" t="s">
        <v>148</v>
      </c>
      <c r="D139" s="1">
        <f>+251949050454</f>
        <v>251949050454</v>
      </c>
      <c r="E139" s="1" t="s">
        <v>397</v>
      </c>
      <c r="F139" s="1"/>
    </row>
    <row r="140">
      <c r="A140" s="1" t="s">
        <v>2179</v>
      </c>
      <c r="B140" s="1" t="s">
        <v>2180</v>
      </c>
      <c r="C140" s="1" t="s">
        <v>2181</v>
      </c>
      <c r="D140" s="1">
        <f>+251948454506</f>
        <v>251948454506</v>
      </c>
      <c r="E140" s="1" t="s">
        <v>397</v>
      </c>
      <c r="F140" s="1"/>
    </row>
    <row r="141">
      <c r="A141" s="1" t="s">
        <v>2182</v>
      </c>
      <c r="B141" s="1" t="s">
        <v>2183</v>
      </c>
      <c r="C141" s="1" t="s">
        <v>2184</v>
      </c>
      <c r="D141" s="1">
        <f>+251948252410</f>
        <v>251948252410</v>
      </c>
      <c r="E141" s="1" t="s">
        <v>397</v>
      </c>
      <c r="F141" s="1"/>
    </row>
    <row r="142">
      <c r="A142" s="1" t="s">
        <v>2185</v>
      </c>
      <c r="B142" s="1" t="s">
        <v>1915</v>
      </c>
      <c r="C142" s="1" t="s">
        <v>2186</v>
      </c>
      <c r="D142" s="1">
        <f>+251947600082</f>
        <v>251947600082</v>
      </c>
      <c r="E142" s="1" t="s">
        <v>397</v>
      </c>
      <c r="F142" s="1"/>
    </row>
    <row r="143">
      <c r="A143" s="1" t="s">
        <v>2187</v>
      </c>
      <c r="B143" s="1" t="s">
        <v>1109</v>
      </c>
      <c r="C143" s="1" t="s">
        <v>2188</v>
      </c>
      <c r="D143" s="1">
        <f>+251946577930</f>
        <v>251946577930</v>
      </c>
      <c r="E143" s="1" t="s">
        <v>397</v>
      </c>
      <c r="F143" s="1"/>
    </row>
    <row r="144">
      <c r="A144" s="1" t="s">
        <v>2189</v>
      </c>
      <c r="B144" s="1" t="s">
        <v>2190</v>
      </c>
      <c r="C144" s="1" t="s">
        <v>10</v>
      </c>
      <c r="D144" s="1">
        <f>+251946329915</f>
        <v>251946329915</v>
      </c>
      <c r="E144" s="1" t="s">
        <v>397</v>
      </c>
      <c r="F144" s="1"/>
    </row>
    <row r="145">
      <c r="A145" s="1" t="s">
        <v>2191</v>
      </c>
      <c r="B145" s="1" t="s">
        <v>1617</v>
      </c>
      <c r="C145" s="1" t="s">
        <v>662</v>
      </c>
      <c r="D145" s="1">
        <f>+251945135261</f>
        <v>251945135261</v>
      </c>
      <c r="E145" s="1" t="s">
        <v>397</v>
      </c>
      <c r="F145" s="1"/>
    </row>
    <row r="146">
      <c r="A146" s="1" t="s">
        <v>2192</v>
      </c>
      <c r="B146" s="1" t="s">
        <v>730</v>
      </c>
      <c r="C146" s="1" t="s">
        <v>2193</v>
      </c>
      <c r="D146" s="1">
        <f>+251944885975</f>
        <v>251944885975</v>
      </c>
      <c r="E146" s="1" t="s">
        <v>397</v>
      </c>
      <c r="F146" s="1"/>
    </row>
    <row r="147">
      <c r="A147" s="1" t="s">
        <v>2194</v>
      </c>
      <c r="B147" s="1" t="s">
        <v>2195</v>
      </c>
      <c r="C147" s="1" t="s">
        <v>1947</v>
      </c>
      <c r="D147" s="1">
        <f>+251944129561</f>
        <v>251944129561</v>
      </c>
      <c r="E147" s="1" t="s">
        <v>397</v>
      </c>
      <c r="F147" s="1"/>
    </row>
    <row r="148">
      <c r="A148" s="1" t="s">
        <v>2196</v>
      </c>
      <c r="B148" s="1" t="s">
        <v>2197</v>
      </c>
      <c r="C148" s="1" t="s">
        <v>2198</v>
      </c>
      <c r="D148" s="1">
        <f>+251943334736</f>
        <v>251943334736</v>
      </c>
      <c r="E148" s="1" t="s">
        <v>397</v>
      </c>
      <c r="F148" s="1"/>
    </row>
    <row r="149">
      <c r="A149" s="1" t="s">
        <v>2199</v>
      </c>
      <c r="B149" s="1" t="s">
        <v>2200</v>
      </c>
      <c r="C149" s="1" t="s">
        <v>2201</v>
      </c>
      <c r="D149" s="1">
        <f>+251943131974</f>
        <v>251943131974</v>
      </c>
      <c r="E149" s="1" t="s">
        <v>397</v>
      </c>
      <c r="F149" s="1"/>
    </row>
    <row r="150">
      <c r="A150" s="1" t="s">
        <v>1657</v>
      </c>
      <c r="B150" s="1" t="s">
        <v>184</v>
      </c>
      <c r="C150" s="1" t="s">
        <v>1658</v>
      </c>
      <c r="D150" s="1">
        <f>+251943016897</f>
        <v>251943016897</v>
      </c>
      <c r="E150" s="1" t="s">
        <v>397</v>
      </c>
      <c r="F150" s="1"/>
    </row>
    <row r="151">
      <c r="A151" s="1" t="s">
        <v>2202</v>
      </c>
      <c r="B151" s="1" t="s">
        <v>1455</v>
      </c>
      <c r="C151" s="1" t="s">
        <v>2203</v>
      </c>
      <c r="D151" s="1">
        <f>+251942548219</f>
        <v>251942548219</v>
      </c>
      <c r="E151" s="1" t="s">
        <v>397</v>
      </c>
      <c r="F151" s="1"/>
    </row>
    <row r="152">
      <c r="A152" s="1" t="s">
        <v>2204</v>
      </c>
      <c r="B152" s="1" t="s">
        <v>2205</v>
      </c>
      <c r="C152" s="1" t="s">
        <v>511</v>
      </c>
      <c r="D152" s="1">
        <f>+251942199374</f>
        <v>251942199374</v>
      </c>
      <c r="E152" s="1" t="s">
        <v>397</v>
      </c>
      <c r="F152" s="1"/>
    </row>
    <row r="153">
      <c r="A153" s="1" t="s">
        <v>2206</v>
      </c>
      <c r="B153" s="1" t="s">
        <v>2207</v>
      </c>
      <c r="C153" s="1" t="s">
        <v>685</v>
      </c>
      <c r="D153" s="1">
        <f>+251941514921</f>
        <v>251941514921</v>
      </c>
      <c r="E153" s="1" t="s">
        <v>397</v>
      </c>
      <c r="F153" s="1"/>
    </row>
    <row r="154">
      <c r="A154" s="1" t="s">
        <v>2208</v>
      </c>
      <c r="B154" s="1" t="s">
        <v>2209</v>
      </c>
      <c r="C154" s="1" t="s">
        <v>2210</v>
      </c>
      <c r="D154" s="1">
        <f>+251940605802</f>
        <v>251940605802</v>
      </c>
      <c r="E154" s="1" t="s">
        <v>397</v>
      </c>
      <c r="F154" s="1"/>
    </row>
    <row r="155">
      <c r="A155" s="1" t="s">
        <v>2211</v>
      </c>
      <c r="B155" s="1" t="s">
        <v>2212</v>
      </c>
      <c r="C155" s="1" t="s">
        <v>2213</v>
      </c>
      <c r="D155" s="1">
        <f>+251940113262</f>
        <v>251940113262</v>
      </c>
      <c r="E155" s="1" t="s">
        <v>397</v>
      </c>
      <c r="F155" s="1"/>
    </row>
    <row r="156">
      <c r="A156" s="1" t="s">
        <v>2214</v>
      </c>
      <c r="B156" s="1" t="s">
        <v>2215</v>
      </c>
      <c r="C156" s="1" t="s">
        <v>2216</v>
      </c>
      <c r="D156" s="1">
        <f>+251940098131</f>
        <v>251940098131</v>
      </c>
      <c r="E156" s="1" t="s">
        <v>397</v>
      </c>
      <c r="F156" s="1"/>
    </row>
    <row r="157">
      <c r="A157" s="1" t="s">
        <v>2217</v>
      </c>
      <c r="B157" s="1" t="s">
        <v>233</v>
      </c>
      <c r="C157" s="1" t="s">
        <v>510</v>
      </c>
      <c r="D157" s="1">
        <f>+251938903153</f>
        <v>251938903153</v>
      </c>
      <c r="E157" s="1" t="s">
        <v>397</v>
      </c>
      <c r="F157" s="1"/>
    </row>
    <row r="158">
      <c r="A158" s="1" t="s">
        <v>2218</v>
      </c>
      <c r="B158" s="1" t="s">
        <v>82</v>
      </c>
      <c r="C158" s="1" t="s">
        <v>2147</v>
      </c>
      <c r="D158" s="1">
        <f>+251938337517</f>
        <v>251938337517</v>
      </c>
      <c r="E158" s="1" t="s">
        <v>397</v>
      </c>
      <c r="F158" s="1"/>
    </row>
    <row r="159">
      <c r="A159" s="1" t="s">
        <v>2219</v>
      </c>
      <c r="B159" s="1" t="s">
        <v>730</v>
      </c>
      <c r="C159" s="1" t="s">
        <v>2220</v>
      </c>
      <c r="D159" s="1">
        <f>+251936678553</f>
        <v>251936678553</v>
      </c>
      <c r="E159" s="1" t="s">
        <v>397</v>
      </c>
      <c r="F159" s="1"/>
    </row>
    <row r="160">
      <c r="A160" s="1" t="s">
        <v>2221</v>
      </c>
      <c r="B160" s="1" t="s">
        <v>2222</v>
      </c>
      <c r="C160" s="1" t="s">
        <v>2223</v>
      </c>
      <c r="D160" s="1">
        <f>+251936675358</f>
        <v>251936675358</v>
      </c>
      <c r="E160" s="1" t="s">
        <v>397</v>
      </c>
      <c r="F160" s="1"/>
    </row>
    <row r="161">
      <c r="A161" s="1" t="s">
        <v>2224</v>
      </c>
      <c r="B161" s="1" t="s">
        <v>1915</v>
      </c>
      <c r="C161" s="1" t="s">
        <v>2225</v>
      </c>
      <c r="D161" s="1">
        <f>+251936637577</f>
        <v>251936637577</v>
      </c>
      <c r="E161" s="1" t="s">
        <v>397</v>
      </c>
      <c r="F161" s="1"/>
    </row>
    <row r="162">
      <c r="A162" s="1" t="s">
        <v>2226</v>
      </c>
      <c r="B162" s="1" t="s">
        <v>230</v>
      </c>
      <c r="C162" s="1" t="s">
        <v>141</v>
      </c>
      <c r="D162" s="1">
        <f>+251936202048</f>
        <v>251936202048</v>
      </c>
      <c r="E162" s="1" t="s">
        <v>397</v>
      </c>
      <c r="F162" s="1"/>
    </row>
    <row r="163">
      <c r="A163" s="1" t="s">
        <v>2227</v>
      </c>
      <c r="B163" s="1" t="s">
        <v>202</v>
      </c>
      <c r="C163" s="1" t="s">
        <v>2228</v>
      </c>
      <c r="D163" s="1">
        <f>+251935511610</f>
        <v>251935511610</v>
      </c>
      <c r="E163" s="1" t="s">
        <v>397</v>
      </c>
      <c r="F163" s="1"/>
    </row>
    <row r="164">
      <c r="A164" s="1" t="s">
        <v>2229</v>
      </c>
      <c r="B164" s="1" t="s">
        <v>2230</v>
      </c>
      <c r="C164" s="1" t="s">
        <v>10</v>
      </c>
      <c r="D164" s="1">
        <f>+251935509777</f>
        <v>251935509777</v>
      </c>
      <c r="E164" s="1" t="s">
        <v>397</v>
      </c>
      <c r="F164" s="1"/>
    </row>
    <row r="165">
      <c r="A165" s="1" t="s">
        <v>2231</v>
      </c>
      <c r="B165" s="1" t="s">
        <v>1232</v>
      </c>
      <c r="C165" s="1" t="s">
        <v>2232</v>
      </c>
      <c r="D165" s="1">
        <f>+251935441796</f>
        <v>251935441796</v>
      </c>
      <c r="E165" s="1" t="s">
        <v>397</v>
      </c>
      <c r="F165" s="1"/>
    </row>
    <row r="166">
      <c r="A166" s="1" t="s">
        <v>2233</v>
      </c>
      <c r="B166" s="1" t="s">
        <v>2234</v>
      </c>
      <c r="C166" s="1" t="s">
        <v>2235</v>
      </c>
      <c r="D166" s="1">
        <f>+251934711534</f>
        <v>251934711534</v>
      </c>
      <c r="E166" s="1" t="s">
        <v>397</v>
      </c>
      <c r="F166" s="1"/>
    </row>
    <row r="167">
      <c r="A167" s="1" t="s">
        <v>2236</v>
      </c>
      <c r="B167" s="1" t="s">
        <v>2237</v>
      </c>
      <c r="C167" s="1" t="s">
        <v>2184</v>
      </c>
      <c r="D167" s="1">
        <f>+251934397418</f>
        <v>251934397418</v>
      </c>
      <c r="E167" s="1" t="s">
        <v>397</v>
      </c>
      <c r="F167" s="1"/>
    </row>
    <row r="168">
      <c r="A168" s="1" t="s">
        <v>2238</v>
      </c>
      <c r="B168" s="1" t="s">
        <v>2239</v>
      </c>
      <c r="C168" s="1" t="s">
        <v>1928</v>
      </c>
      <c r="D168" s="1">
        <f>+251933913075</f>
        <v>251933913075</v>
      </c>
      <c r="E168" s="1" t="s">
        <v>397</v>
      </c>
      <c r="F168" s="1"/>
    </row>
    <row r="169">
      <c r="A169" s="1" t="s">
        <v>2240</v>
      </c>
      <c r="B169" s="1" t="s">
        <v>2241</v>
      </c>
      <c r="C169" s="1" t="s">
        <v>2242</v>
      </c>
      <c r="D169" s="1">
        <f>+251933533657</f>
        <v>251933533657</v>
      </c>
      <c r="E169" s="1" t="s">
        <v>397</v>
      </c>
      <c r="F169" s="1"/>
    </row>
    <row r="170">
      <c r="A170" s="1" t="s">
        <v>2243</v>
      </c>
      <c r="B170" s="1" t="s">
        <v>2244</v>
      </c>
      <c r="C170" s="1" t="s">
        <v>2245</v>
      </c>
      <c r="D170" s="1">
        <f>+251933288993</f>
        <v>251933288993</v>
      </c>
      <c r="E170" s="1" t="s">
        <v>397</v>
      </c>
      <c r="F170" s="1"/>
    </row>
    <row r="171">
      <c r="A171" s="1" t="s">
        <v>2246</v>
      </c>
      <c r="B171" s="1" t="s">
        <v>507</v>
      </c>
      <c r="C171" s="1" t="s">
        <v>2104</v>
      </c>
      <c r="D171" s="1">
        <f>+251933220175</f>
        <v>251933220175</v>
      </c>
      <c r="E171" s="1" t="s">
        <v>397</v>
      </c>
      <c r="F171" s="1"/>
    </row>
    <row r="172">
      <c r="A172" s="1" t="s">
        <v>2247</v>
      </c>
      <c r="B172" s="1" t="s">
        <v>2248</v>
      </c>
      <c r="C172" s="1" t="s">
        <v>2249</v>
      </c>
      <c r="D172" s="1">
        <f>+251932631594</f>
        <v>251932631594</v>
      </c>
      <c r="E172" s="1" t="s">
        <v>397</v>
      </c>
      <c r="F172" s="1"/>
    </row>
    <row r="173">
      <c r="A173" s="1" t="s">
        <v>2250</v>
      </c>
      <c r="B173" s="1" t="s">
        <v>2251</v>
      </c>
      <c r="C173" s="1" t="s">
        <v>79</v>
      </c>
      <c r="D173" s="1">
        <f>+251931545113</f>
        <v>251931545113</v>
      </c>
      <c r="E173" s="1" t="s">
        <v>397</v>
      </c>
      <c r="F173" s="1"/>
    </row>
    <row r="174">
      <c r="A174" s="1" t="s">
        <v>2252</v>
      </c>
      <c r="B174" s="1" t="s">
        <v>1927</v>
      </c>
      <c r="C174" s="1" t="s">
        <v>1928</v>
      </c>
      <c r="D174" s="1">
        <f>+251931046665</f>
        <v>251931046665</v>
      </c>
      <c r="E174" s="1" t="s">
        <v>397</v>
      </c>
      <c r="F174" s="1"/>
    </row>
    <row r="175">
      <c r="A175" s="1" t="s">
        <v>2253</v>
      </c>
      <c r="B175" s="1" t="s">
        <v>2254</v>
      </c>
      <c r="C175" s="1" t="s">
        <v>2255</v>
      </c>
      <c r="D175" s="1">
        <f>+251930831292</f>
        <v>251930831292</v>
      </c>
      <c r="E175" s="1" t="s">
        <v>397</v>
      </c>
      <c r="F175" s="1"/>
    </row>
    <row r="176">
      <c r="A176" s="1" t="s">
        <v>2256</v>
      </c>
      <c r="B176" s="1" t="s">
        <v>510</v>
      </c>
      <c r="C176" s="1" t="s">
        <v>2257</v>
      </c>
      <c r="D176" s="1">
        <f>+251929380846</f>
        <v>251929380846</v>
      </c>
      <c r="E176" s="1" t="s">
        <v>397</v>
      </c>
      <c r="F176" s="1"/>
    </row>
    <row r="177">
      <c r="A177" s="1" t="s">
        <v>2258</v>
      </c>
      <c r="B177" s="1" t="s">
        <v>2259</v>
      </c>
      <c r="C177" s="1" t="s">
        <v>2260</v>
      </c>
      <c r="D177" s="1">
        <f>+251927629073</f>
        <v>251927629073</v>
      </c>
      <c r="E177" s="1" t="s">
        <v>397</v>
      </c>
      <c r="F177" s="1"/>
    </row>
    <row r="178">
      <c r="A178" s="1" t="s">
        <v>2261</v>
      </c>
      <c r="B178" s="1" t="s">
        <v>2262</v>
      </c>
      <c r="C178" s="1" t="s">
        <v>2263</v>
      </c>
      <c r="D178" s="1">
        <f>+251926787122</f>
        <v>251926787122</v>
      </c>
      <c r="E178" s="1" t="s">
        <v>397</v>
      </c>
      <c r="F178" s="1"/>
    </row>
    <row r="179">
      <c r="A179" s="1" t="s">
        <v>660</v>
      </c>
      <c r="B179" s="1" t="s">
        <v>661</v>
      </c>
      <c r="C179" s="1" t="s">
        <v>662</v>
      </c>
      <c r="D179" s="1">
        <f>+251925700473</f>
        <v>251925700473</v>
      </c>
      <c r="E179" s="1" t="s">
        <v>397</v>
      </c>
      <c r="F179" s="1"/>
    </row>
    <row r="180">
      <c r="A180" s="1" t="s">
        <v>2264</v>
      </c>
      <c r="B180" s="1" t="s">
        <v>2265</v>
      </c>
      <c r="C180" s="1" t="s">
        <v>389</v>
      </c>
      <c r="D180" s="1">
        <f>+251925695743</f>
        <v>251925695743</v>
      </c>
      <c r="E180" s="1" t="s">
        <v>397</v>
      </c>
      <c r="F180" s="1"/>
    </row>
    <row r="181">
      <c r="A181" s="1" t="s">
        <v>2266</v>
      </c>
      <c r="B181" s="1" t="s">
        <v>230</v>
      </c>
      <c r="C181" s="1" t="s">
        <v>2267</v>
      </c>
      <c r="D181" s="1">
        <f>+251925396586</f>
        <v>251925396586</v>
      </c>
      <c r="E181" s="1" t="s">
        <v>397</v>
      </c>
      <c r="F181" s="1"/>
    </row>
    <row r="182">
      <c r="A182" s="1" t="s">
        <v>2268</v>
      </c>
      <c r="B182" s="1" t="s">
        <v>2269</v>
      </c>
      <c r="C182" s="1" t="s">
        <v>2270</v>
      </c>
      <c r="D182" s="1">
        <f>+251925303131</f>
        <v>251925303131</v>
      </c>
      <c r="E182" s="1" t="s">
        <v>397</v>
      </c>
      <c r="F182" s="1"/>
    </row>
    <row r="183">
      <c r="A183" s="1" t="s">
        <v>2271</v>
      </c>
      <c r="B183" s="1" t="s">
        <v>2272</v>
      </c>
      <c r="C183" s="1" t="s">
        <v>253</v>
      </c>
      <c r="D183" s="1">
        <f>+251923481961</f>
        <v>251923481961</v>
      </c>
      <c r="E183" s="1" t="s">
        <v>397</v>
      </c>
      <c r="F183" s="1"/>
    </row>
    <row r="184">
      <c r="A184" s="1" t="s">
        <v>1574</v>
      </c>
      <c r="B184" s="1" t="s">
        <v>1575</v>
      </c>
      <c r="C184" s="1" t="s">
        <v>1576</v>
      </c>
      <c r="D184" s="1">
        <f t="shared" ref="D184:D185" si="3">+251923129640</f>
        <v>251923129640</v>
      </c>
      <c r="E184" s="1" t="s">
        <v>397</v>
      </c>
      <c r="F184" s="1"/>
    </row>
    <row r="185">
      <c r="A185" s="1" t="s">
        <v>2273</v>
      </c>
      <c r="B185" s="1" t="s">
        <v>2274</v>
      </c>
      <c r="C185" s="1" t="s">
        <v>1576</v>
      </c>
      <c r="D185" s="1">
        <f t="shared" si="3"/>
        <v>251923129640</v>
      </c>
      <c r="E185" s="1" t="s">
        <v>397</v>
      </c>
      <c r="F185" s="1"/>
    </row>
    <row r="186">
      <c r="A186" s="1" t="s">
        <v>2275</v>
      </c>
      <c r="B186" s="1" t="s">
        <v>42</v>
      </c>
      <c r="C186" s="1" t="s">
        <v>2147</v>
      </c>
      <c r="D186" s="1">
        <f>+251923092408</f>
        <v>251923092408</v>
      </c>
      <c r="E186" s="1" t="s">
        <v>397</v>
      </c>
      <c r="F186" s="1"/>
    </row>
    <row r="187">
      <c r="A187" s="1" t="s">
        <v>2276</v>
      </c>
      <c r="B187" s="1" t="s">
        <v>1573</v>
      </c>
      <c r="C187" s="1" t="s">
        <v>253</v>
      </c>
      <c r="D187" s="1">
        <f>+251922955651</f>
        <v>251922955651</v>
      </c>
      <c r="E187" s="1" t="s">
        <v>397</v>
      </c>
      <c r="F187" s="1"/>
    </row>
    <row r="188">
      <c r="A188" s="1" t="s">
        <v>2277</v>
      </c>
      <c r="B188" s="1" t="s">
        <v>2278</v>
      </c>
      <c r="C188" s="1" t="s">
        <v>2279</v>
      </c>
      <c r="D188" s="1">
        <f>+251922687483</f>
        <v>251922687483</v>
      </c>
      <c r="E188" s="1" t="s">
        <v>397</v>
      </c>
      <c r="F188" s="1"/>
    </row>
    <row r="189">
      <c r="A189" s="1" t="s">
        <v>2280</v>
      </c>
      <c r="B189" s="1" t="s">
        <v>850</v>
      </c>
      <c r="C189" s="1" t="s">
        <v>2281</v>
      </c>
      <c r="D189" s="1">
        <f>+251922528215</f>
        <v>251922528215</v>
      </c>
      <c r="E189" s="1" t="s">
        <v>397</v>
      </c>
      <c r="F189" s="1"/>
    </row>
    <row r="190">
      <c r="A190" s="1" t="s">
        <v>2282</v>
      </c>
      <c r="B190" s="1" t="s">
        <v>1403</v>
      </c>
      <c r="C190" s="1" t="s">
        <v>2283</v>
      </c>
      <c r="D190" s="1">
        <f>+251922409759</f>
        <v>251922409759</v>
      </c>
      <c r="E190" s="1" t="s">
        <v>397</v>
      </c>
      <c r="F190" s="1"/>
    </row>
    <row r="191">
      <c r="A191" s="1" t="s">
        <v>1569</v>
      </c>
      <c r="B191" s="1" t="s">
        <v>1570</v>
      </c>
      <c r="C191" s="1" t="s">
        <v>1571</v>
      </c>
      <c r="D191" s="1">
        <f>+251922261405</f>
        <v>251922261405</v>
      </c>
      <c r="E191" s="1" t="s">
        <v>397</v>
      </c>
      <c r="F191" s="1"/>
    </row>
    <row r="192">
      <c r="A192" s="1" t="s">
        <v>2284</v>
      </c>
      <c r="B192" s="1" t="s">
        <v>2285</v>
      </c>
      <c r="C192" s="1" t="s">
        <v>2286</v>
      </c>
      <c r="D192" s="1">
        <f>+251922123179</f>
        <v>251922123179</v>
      </c>
      <c r="E192" s="1" t="s">
        <v>397</v>
      </c>
      <c r="F192" s="1"/>
    </row>
    <row r="193">
      <c r="A193" s="1" t="s">
        <v>2287</v>
      </c>
      <c r="B193" s="1" t="s">
        <v>1354</v>
      </c>
      <c r="C193" s="1" t="s">
        <v>59</v>
      </c>
      <c r="D193" s="1">
        <f>+251921843068</f>
        <v>251921843068</v>
      </c>
      <c r="E193" s="1" t="s">
        <v>397</v>
      </c>
      <c r="F193" s="1"/>
    </row>
    <row r="194">
      <c r="A194" s="1" t="s">
        <v>2288</v>
      </c>
      <c r="B194" s="1" t="s">
        <v>2289</v>
      </c>
      <c r="C194" s="1" t="s">
        <v>2290</v>
      </c>
      <c r="D194" s="1">
        <f>+251921452421</f>
        <v>251921452421</v>
      </c>
      <c r="E194" s="1" t="s">
        <v>397</v>
      </c>
      <c r="F194" s="1"/>
    </row>
    <row r="195">
      <c r="A195" s="1" t="s">
        <v>2291</v>
      </c>
      <c r="B195" s="1" t="s">
        <v>230</v>
      </c>
      <c r="C195" s="1" t="s">
        <v>2292</v>
      </c>
      <c r="D195" s="1">
        <f>+251921345678</f>
        <v>251921345678</v>
      </c>
      <c r="E195" s="1" t="s">
        <v>397</v>
      </c>
      <c r="F195" s="1"/>
    </row>
    <row r="196">
      <c r="A196" s="1" t="s">
        <v>2293</v>
      </c>
      <c r="B196" s="1" t="s">
        <v>2294</v>
      </c>
      <c r="C196" s="1" t="s">
        <v>74</v>
      </c>
      <c r="D196" s="1">
        <f>+251920997463</f>
        <v>251920997463</v>
      </c>
      <c r="E196" s="1" t="s">
        <v>397</v>
      </c>
      <c r="F196" s="1"/>
    </row>
    <row r="197">
      <c r="A197" s="1" t="s">
        <v>2295</v>
      </c>
      <c r="B197" s="1" t="s">
        <v>2296</v>
      </c>
      <c r="C197" s="1" t="s">
        <v>2297</v>
      </c>
      <c r="D197" s="1">
        <f>+251920713209</f>
        <v>251920713209</v>
      </c>
      <c r="E197" s="1" t="s">
        <v>397</v>
      </c>
      <c r="F197" s="1"/>
    </row>
    <row r="198">
      <c r="A198" s="1" t="s">
        <v>2298</v>
      </c>
      <c r="B198" s="1" t="s">
        <v>2299</v>
      </c>
      <c r="C198" s="1" t="s">
        <v>2300</v>
      </c>
      <c r="D198" s="1">
        <f>+251920318265</f>
        <v>251920318265</v>
      </c>
      <c r="E198" s="1" t="s">
        <v>397</v>
      </c>
      <c r="F198" s="1"/>
    </row>
    <row r="199">
      <c r="A199" s="1" t="s">
        <v>2301</v>
      </c>
      <c r="B199" s="1" t="s">
        <v>256</v>
      </c>
      <c r="C199" s="1" t="s">
        <v>2302</v>
      </c>
      <c r="D199" s="1">
        <f>+251920256645</f>
        <v>251920256645</v>
      </c>
      <c r="E199" s="1" t="s">
        <v>397</v>
      </c>
      <c r="F199" s="1"/>
    </row>
    <row r="200">
      <c r="A200" s="1" t="s">
        <v>2303</v>
      </c>
      <c r="B200" s="1" t="s">
        <v>2304</v>
      </c>
      <c r="C200" s="1" t="s">
        <v>2305</v>
      </c>
      <c r="D200" s="1">
        <f>+251920190438</f>
        <v>251920190438</v>
      </c>
      <c r="E200" s="1" t="s">
        <v>397</v>
      </c>
      <c r="F200" s="1"/>
    </row>
    <row r="201">
      <c r="A201" s="1" t="s">
        <v>2306</v>
      </c>
      <c r="B201" s="1" t="s">
        <v>2307</v>
      </c>
      <c r="C201" s="1" t="s">
        <v>2308</v>
      </c>
      <c r="D201" s="1">
        <f>+251919505059</f>
        <v>251919505059</v>
      </c>
      <c r="E201" s="1" t="s">
        <v>397</v>
      </c>
      <c r="F201" s="1"/>
    </row>
    <row r="202">
      <c r="A202" s="1" t="s">
        <v>2309</v>
      </c>
      <c r="B202" s="1" t="s">
        <v>393</v>
      </c>
      <c r="C202" s="1" t="s">
        <v>2310</v>
      </c>
      <c r="D202" s="1">
        <v>2.51919106671E11</v>
      </c>
      <c r="E202" s="1" t="s">
        <v>397</v>
      </c>
      <c r="F202" s="1"/>
    </row>
    <row r="203">
      <c r="A203" s="1" t="s">
        <v>2311</v>
      </c>
      <c r="B203" s="1" t="s">
        <v>2312</v>
      </c>
      <c r="C203" s="1" t="s">
        <v>2313</v>
      </c>
      <c r="D203" s="1">
        <f>+251918440700</f>
        <v>251918440700</v>
      </c>
      <c r="E203" s="1" t="s">
        <v>397</v>
      </c>
      <c r="F203" s="1"/>
    </row>
    <row r="204">
      <c r="A204" s="1" t="s">
        <v>2314</v>
      </c>
      <c r="B204" s="1" t="s">
        <v>2022</v>
      </c>
      <c r="C204" s="1" t="s">
        <v>59</v>
      </c>
      <c r="D204" s="1">
        <f>+251918384162</f>
        <v>251918384162</v>
      </c>
      <c r="E204" s="1" t="s">
        <v>397</v>
      </c>
      <c r="F204" s="1"/>
    </row>
    <row r="205">
      <c r="A205" s="1" t="s">
        <v>2315</v>
      </c>
      <c r="B205" s="1" t="s">
        <v>2316</v>
      </c>
      <c r="C205" s="1" t="s">
        <v>549</v>
      </c>
      <c r="D205" s="1">
        <f>+251917868130</f>
        <v>251917868130</v>
      </c>
      <c r="E205" s="1" t="s">
        <v>397</v>
      </c>
      <c r="F205" s="1"/>
    </row>
    <row r="206">
      <c r="A206" s="1" t="s">
        <v>600</v>
      </c>
      <c r="B206" s="1" t="s">
        <v>601</v>
      </c>
      <c r="C206" s="1" t="s">
        <v>602</v>
      </c>
      <c r="D206" s="1">
        <f>+251917734667</f>
        <v>251917734667</v>
      </c>
      <c r="E206" s="1" t="s">
        <v>397</v>
      </c>
      <c r="F206" s="1"/>
    </row>
    <row r="207">
      <c r="A207" s="1" t="s">
        <v>2317</v>
      </c>
      <c r="B207" s="1" t="s">
        <v>2318</v>
      </c>
      <c r="C207" s="1" t="s">
        <v>2319</v>
      </c>
      <c r="D207" s="1">
        <f>+251917671055</f>
        <v>251917671055</v>
      </c>
      <c r="E207" s="1" t="s">
        <v>397</v>
      </c>
      <c r="F207" s="1"/>
    </row>
    <row r="208">
      <c r="A208" s="1" t="s">
        <v>2320</v>
      </c>
      <c r="B208" s="1" t="s">
        <v>2321</v>
      </c>
      <c r="C208" s="1" t="s">
        <v>560</v>
      </c>
      <c r="D208" s="1">
        <f>+251917001299</f>
        <v>251917001299</v>
      </c>
      <c r="E208" s="1" t="s">
        <v>397</v>
      </c>
      <c r="F208" s="1"/>
    </row>
    <row r="209">
      <c r="A209" s="1" t="s">
        <v>2322</v>
      </c>
      <c r="B209" s="1" t="s">
        <v>2323</v>
      </c>
      <c r="C209" s="1" t="s">
        <v>2324</v>
      </c>
      <c r="D209" s="1">
        <f>+251916404246</f>
        <v>251916404246</v>
      </c>
      <c r="E209" s="1" t="s">
        <v>397</v>
      </c>
      <c r="F209" s="1"/>
    </row>
    <row r="210">
      <c r="A210" s="1" t="s">
        <v>2325</v>
      </c>
      <c r="B210" s="1" t="s">
        <v>2326</v>
      </c>
      <c r="C210" s="1" t="s">
        <v>2278</v>
      </c>
      <c r="D210" s="1">
        <f>+251916363294</f>
        <v>251916363294</v>
      </c>
      <c r="E210" s="1" t="s">
        <v>397</v>
      </c>
      <c r="F210" s="1"/>
    </row>
    <row r="211">
      <c r="A211" s="1" t="s">
        <v>2327</v>
      </c>
      <c r="B211" s="1" t="s">
        <v>2328</v>
      </c>
      <c r="C211" s="1" t="s">
        <v>2329</v>
      </c>
      <c r="D211" s="1">
        <f>+251916017495</f>
        <v>251916017495</v>
      </c>
      <c r="E211" s="1" t="s">
        <v>397</v>
      </c>
      <c r="F211" s="1"/>
    </row>
    <row r="212">
      <c r="A212" s="1" t="s">
        <v>2330</v>
      </c>
      <c r="B212" s="1" t="s">
        <v>2331</v>
      </c>
      <c r="C212" s="1" t="s">
        <v>2332</v>
      </c>
      <c r="D212" s="1">
        <f>+251915973473</f>
        <v>251915973473</v>
      </c>
      <c r="E212" s="1" t="s">
        <v>397</v>
      </c>
      <c r="F212" s="1"/>
    </row>
    <row r="213">
      <c r="A213" s="1" t="s">
        <v>2333</v>
      </c>
      <c r="B213" s="1" t="s">
        <v>2334</v>
      </c>
      <c r="C213" s="1" t="s">
        <v>59</v>
      </c>
      <c r="D213" s="1">
        <f>+251914797215</f>
        <v>251914797215</v>
      </c>
      <c r="E213" s="1" t="s">
        <v>397</v>
      </c>
      <c r="F213" s="1"/>
    </row>
    <row r="214">
      <c r="A214" s="1" t="s">
        <v>2335</v>
      </c>
      <c r="B214" s="1" t="s">
        <v>2336</v>
      </c>
      <c r="C214" s="1" t="s">
        <v>157</v>
      </c>
      <c r="D214" s="1">
        <f>+251914342009</f>
        <v>251914342009</v>
      </c>
      <c r="E214" s="1" t="s">
        <v>397</v>
      </c>
      <c r="F214" s="1"/>
    </row>
    <row r="215">
      <c r="A215" s="1" t="s">
        <v>2337</v>
      </c>
      <c r="B215" s="1" t="s">
        <v>2338</v>
      </c>
      <c r="C215" s="1" t="s">
        <v>2339</v>
      </c>
      <c r="D215" s="1">
        <f>+251913997944</f>
        <v>251913997944</v>
      </c>
      <c r="E215" s="1" t="s">
        <v>397</v>
      </c>
      <c r="F215" s="1"/>
    </row>
    <row r="216">
      <c r="A216" s="1" t="s">
        <v>2340</v>
      </c>
      <c r="B216" s="1" t="s">
        <v>1923</v>
      </c>
      <c r="C216" s="1" t="s">
        <v>2341</v>
      </c>
      <c r="D216" s="1">
        <f>+251913874442</f>
        <v>251913874442</v>
      </c>
      <c r="E216" s="1" t="s">
        <v>397</v>
      </c>
      <c r="F216" s="1"/>
    </row>
    <row r="217">
      <c r="A217" s="1" t="s">
        <v>2342</v>
      </c>
      <c r="B217" s="1" t="s">
        <v>1242</v>
      </c>
      <c r="C217" s="1" t="s">
        <v>2343</v>
      </c>
      <c r="D217" s="1">
        <f>+251913649264</f>
        <v>251913649264</v>
      </c>
      <c r="E217" s="1" t="s">
        <v>397</v>
      </c>
      <c r="F217" s="1"/>
    </row>
    <row r="218">
      <c r="A218" s="1" t="s">
        <v>2344</v>
      </c>
      <c r="B218" s="1" t="s">
        <v>2040</v>
      </c>
      <c r="C218" s="1" t="s">
        <v>819</v>
      </c>
      <c r="D218" s="1">
        <f>+251913573784</f>
        <v>251913573784</v>
      </c>
      <c r="E218" s="1" t="s">
        <v>397</v>
      </c>
      <c r="F218" s="1"/>
    </row>
    <row r="219">
      <c r="A219" s="1" t="s">
        <v>2345</v>
      </c>
      <c r="B219" s="1" t="s">
        <v>1313</v>
      </c>
      <c r="C219" s="1" t="s">
        <v>2346</v>
      </c>
      <c r="D219" s="1">
        <f>+251913562965</f>
        <v>251913562965</v>
      </c>
      <c r="E219" s="1" t="s">
        <v>397</v>
      </c>
      <c r="F219" s="1"/>
    </row>
    <row r="220">
      <c r="A220" s="1" t="s">
        <v>2347</v>
      </c>
      <c r="B220" s="1" t="s">
        <v>117</v>
      </c>
      <c r="C220" s="1" t="s">
        <v>101</v>
      </c>
      <c r="D220" s="1">
        <f>+251913539651</f>
        <v>251913539651</v>
      </c>
      <c r="E220" s="1" t="s">
        <v>397</v>
      </c>
      <c r="F220" s="1"/>
    </row>
    <row r="221">
      <c r="A221" s="1" t="s">
        <v>2348</v>
      </c>
      <c r="B221" s="1" t="s">
        <v>2349</v>
      </c>
      <c r="C221" s="1" t="s">
        <v>2350</v>
      </c>
      <c r="D221" s="1">
        <f>+251913472144</f>
        <v>251913472144</v>
      </c>
      <c r="E221" s="1" t="s">
        <v>397</v>
      </c>
      <c r="F221" s="1"/>
    </row>
    <row r="222">
      <c r="A222" s="1" t="s">
        <v>2351</v>
      </c>
      <c r="B222" s="1" t="s">
        <v>2352</v>
      </c>
      <c r="C222" s="1" t="s">
        <v>2353</v>
      </c>
      <c r="D222" s="1">
        <f>+251913457685</f>
        <v>251913457685</v>
      </c>
      <c r="E222" s="1" t="s">
        <v>397</v>
      </c>
      <c r="F222" s="1"/>
    </row>
    <row r="223">
      <c r="A223" s="1" t="s">
        <v>2354</v>
      </c>
      <c r="B223" s="1" t="s">
        <v>2355</v>
      </c>
      <c r="C223" s="1" t="s">
        <v>574</v>
      </c>
      <c r="D223" s="1">
        <f t="shared" ref="D223:D224" si="4">+251913324279</f>
        <v>251913324279</v>
      </c>
      <c r="E223" s="1" t="s">
        <v>397</v>
      </c>
      <c r="F223" s="1"/>
    </row>
    <row r="224">
      <c r="A224" s="1" t="s">
        <v>2356</v>
      </c>
      <c r="B224" s="1" t="s">
        <v>2357</v>
      </c>
      <c r="C224" s="1" t="s">
        <v>574</v>
      </c>
      <c r="D224" s="1">
        <f t="shared" si="4"/>
        <v>251913324279</v>
      </c>
      <c r="E224" s="1" t="s">
        <v>397</v>
      </c>
      <c r="F224" s="1"/>
    </row>
    <row r="225">
      <c r="A225" s="1" t="s">
        <v>2358</v>
      </c>
      <c r="B225" s="1" t="s">
        <v>2359</v>
      </c>
      <c r="C225" s="1" t="s">
        <v>2360</v>
      </c>
      <c r="D225" s="1">
        <f>+251913266123</f>
        <v>251913266123</v>
      </c>
      <c r="E225" s="1" t="s">
        <v>397</v>
      </c>
      <c r="F225" s="1"/>
    </row>
    <row r="226">
      <c r="A226" s="1" t="s">
        <v>2361</v>
      </c>
      <c r="B226" s="1" t="s">
        <v>2362</v>
      </c>
      <c r="C226" s="1" t="s">
        <v>2363</v>
      </c>
      <c r="D226" s="1">
        <f>+251913237791</f>
        <v>251913237791</v>
      </c>
      <c r="E226" s="1" t="s">
        <v>397</v>
      </c>
      <c r="F226" s="1"/>
    </row>
    <row r="227">
      <c r="A227" s="1" t="s">
        <v>2364</v>
      </c>
      <c r="B227" s="1" t="s">
        <v>2365</v>
      </c>
      <c r="C227" s="1" t="s">
        <v>2366</v>
      </c>
      <c r="D227" s="1">
        <f>+251913068933</f>
        <v>251913068933</v>
      </c>
      <c r="E227" s="1" t="s">
        <v>397</v>
      </c>
      <c r="F227" s="1"/>
    </row>
    <row r="228">
      <c r="A228" s="1" t="s">
        <v>2367</v>
      </c>
      <c r="B228" s="1" t="s">
        <v>2368</v>
      </c>
      <c r="C228" s="1" t="s">
        <v>2369</v>
      </c>
      <c r="D228" s="1">
        <f>+251913030993</f>
        <v>251913030993</v>
      </c>
      <c r="E228" s="1" t="s">
        <v>397</v>
      </c>
      <c r="F228" s="1"/>
    </row>
    <row r="229">
      <c r="A229" s="1" t="s">
        <v>2370</v>
      </c>
      <c r="B229" s="1" t="s">
        <v>2371</v>
      </c>
      <c r="C229" s="1" t="s">
        <v>1247</v>
      </c>
      <c r="D229" s="1">
        <f>+251912991622</f>
        <v>251912991622</v>
      </c>
      <c r="E229" s="1" t="s">
        <v>397</v>
      </c>
      <c r="F229" s="1"/>
    </row>
    <row r="230">
      <c r="A230" s="1" t="s">
        <v>2372</v>
      </c>
      <c r="B230" s="1" t="s">
        <v>2373</v>
      </c>
      <c r="C230" s="1" t="s">
        <v>2374</v>
      </c>
      <c r="D230" s="1">
        <f>+251912812501</f>
        <v>251912812501</v>
      </c>
      <c r="E230" s="1" t="s">
        <v>397</v>
      </c>
      <c r="F230" s="1"/>
    </row>
    <row r="231">
      <c r="A231" s="1" t="s">
        <v>2375</v>
      </c>
      <c r="B231" s="1" t="s">
        <v>2376</v>
      </c>
      <c r="C231" s="1" t="s">
        <v>2377</v>
      </c>
      <c r="D231" s="1">
        <f>+251912690139</f>
        <v>251912690139</v>
      </c>
      <c r="E231" s="1" t="s">
        <v>397</v>
      </c>
      <c r="F231" s="1"/>
    </row>
    <row r="232">
      <c r="A232" s="1" t="s">
        <v>2378</v>
      </c>
      <c r="B232" s="1" t="s">
        <v>2368</v>
      </c>
      <c r="C232" s="1" t="s">
        <v>2379</v>
      </c>
      <c r="D232" s="1">
        <f>+251912423314</f>
        <v>251912423314</v>
      </c>
      <c r="E232" s="1" t="s">
        <v>397</v>
      </c>
      <c r="F232" s="1"/>
    </row>
    <row r="233">
      <c r="A233" s="1" t="s">
        <v>2380</v>
      </c>
      <c r="B233" s="1" t="s">
        <v>1401</v>
      </c>
      <c r="C233" s="1" t="s">
        <v>878</v>
      </c>
      <c r="D233" s="1">
        <f>+251912321074</f>
        <v>251912321074</v>
      </c>
      <c r="E233" s="1" t="s">
        <v>397</v>
      </c>
      <c r="F233" s="1"/>
    </row>
    <row r="234">
      <c r="A234" s="1" t="s">
        <v>2381</v>
      </c>
      <c r="B234" s="1" t="s">
        <v>1706</v>
      </c>
      <c r="C234" s="1" t="s">
        <v>1467</v>
      </c>
      <c r="D234" s="1">
        <f>+251912183279</f>
        <v>251912183279</v>
      </c>
      <c r="E234" s="1" t="s">
        <v>397</v>
      </c>
      <c r="F234" s="1"/>
    </row>
    <row r="235">
      <c r="A235" s="1" t="s">
        <v>2382</v>
      </c>
      <c r="B235" s="1" t="s">
        <v>1434</v>
      </c>
      <c r="C235" s="1" t="s">
        <v>2383</v>
      </c>
      <c r="D235" s="1">
        <f>+251912171903</f>
        <v>251912171903</v>
      </c>
      <c r="E235" s="1" t="s">
        <v>397</v>
      </c>
      <c r="F235" s="1"/>
    </row>
    <row r="236">
      <c r="A236" s="1" t="s">
        <v>2384</v>
      </c>
      <c r="B236" s="1" t="s">
        <v>184</v>
      </c>
      <c r="C236" s="1" t="s">
        <v>2385</v>
      </c>
      <c r="D236" s="1">
        <f>+251911852140</f>
        <v>251911852140</v>
      </c>
      <c r="E236" s="1" t="s">
        <v>397</v>
      </c>
      <c r="F236" s="1"/>
    </row>
    <row r="237">
      <c r="A237" s="1" t="s">
        <v>2386</v>
      </c>
      <c r="B237" s="1" t="s">
        <v>2387</v>
      </c>
      <c r="C237" s="1" t="s">
        <v>2388</v>
      </c>
      <c r="D237" s="1">
        <f>+251911650917</f>
        <v>251911650917</v>
      </c>
      <c r="E237" s="1" t="s">
        <v>397</v>
      </c>
      <c r="F237" s="1"/>
    </row>
    <row r="238">
      <c r="A238" s="1" t="s">
        <v>2389</v>
      </c>
      <c r="B238" s="1" t="s">
        <v>1205</v>
      </c>
      <c r="C238" s="1" t="s">
        <v>1418</v>
      </c>
      <c r="D238" s="1">
        <f>+251911515444</f>
        <v>251911515444</v>
      </c>
      <c r="E238" s="1" t="s">
        <v>397</v>
      </c>
      <c r="F238" s="1"/>
    </row>
    <row r="239">
      <c r="A239" s="1" t="s">
        <v>2390</v>
      </c>
      <c r="B239" s="1" t="s">
        <v>2391</v>
      </c>
      <c r="C239" s="1" t="s">
        <v>730</v>
      </c>
      <c r="D239" s="1">
        <f>+251911511812</f>
        <v>251911511812</v>
      </c>
      <c r="E239" s="1" t="s">
        <v>397</v>
      </c>
      <c r="F239" s="1"/>
    </row>
    <row r="240">
      <c r="A240" s="1" t="s">
        <v>2392</v>
      </c>
      <c r="B240" s="1" t="s">
        <v>2393</v>
      </c>
      <c r="C240" s="1" t="s">
        <v>18</v>
      </c>
      <c r="D240" s="1">
        <f>+251911466278</f>
        <v>251911466278</v>
      </c>
      <c r="E240" s="1" t="s">
        <v>397</v>
      </c>
      <c r="F240" s="1"/>
    </row>
    <row r="241">
      <c r="A241" s="1" t="s">
        <v>2394</v>
      </c>
      <c r="B241" s="1" t="s">
        <v>730</v>
      </c>
      <c r="C241" s="1" t="s">
        <v>2395</v>
      </c>
      <c r="D241" s="1">
        <f>+251911342099</f>
        <v>251911342099</v>
      </c>
      <c r="E241" s="1" t="s">
        <v>397</v>
      </c>
      <c r="F241" s="1"/>
    </row>
    <row r="242">
      <c r="A242" s="1" t="s">
        <v>2396</v>
      </c>
      <c r="B242" s="1" t="s">
        <v>309</v>
      </c>
      <c r="C242" s="1" t="s">
        <v>2397</v>
      </c>
      <c r="D242" s="1">
        <f>+251911287107</f>
        <v>251911287107</v>
      </c>
      <c r="E242" s="1" t="s">
        <v>397</v>
      </c>
      <c r="F242" s="1"/>
    </row>
    <row r="243">
      <c r="A243" s="1" t="s">
        <v>2398</v>
      </c>
      <c r="B243" s="1" t="s">
        <v>184</v>
      </c>
      <c r="C243" s="1" t="s">
        <v>2399</v>
      </c>
      <c r="D243" s="1">
        <f>+251911282237</f>
        <v>251911282237</v>
      </c>
      <c r="E243" s="1" t="s">
        <v>397</v>
      </c>
      <c r="F243" s="1"/>
    </row>
    <row r="244">
      <c r="A244" s="1" t="s">
        <v>2400</v>
      </c>
      <c r="B244" s="1" t="s">
        <v>1520</v>
      </c>
      <c r="C244" s="1" t="s">
        <v>2401</v>
      </c>
      <c r="D244" s="1">
        <f>+251911198211</f>
        <v>251911198211</v>
      </c>
      <c r="E244" s="1" t="s">
        <v>397</v>
      </c>
      <c r="F244" s="1"/>
    </row>
    <row r="245">
      <c r="A245" s="1" t="s">
        <v>2402</v>
      </c>
      <c r="B245" s="1" t="s">
        <v>2403</v>
      </c>
      <c r="C245" s="1" t="s">
        <v>388</v>
      </c>
      <c r="D245" s="1">
        <f>+251911076419</f>
        <v>251911076419</v>
      </c>
      <c r="E245" s="1" t="s">
        <v>397</v>
      </c>
      <c r="F245" s="1"/>
    </row>
    <row r="246">
      <c r="A246" s="1" t="s">
        <v>2404</v>
      </c>
      <c r="B246" s="1" t="s">
        <v>2405</v>
      </c>
      <c r="C246" s="1" t="s">
        <v>819</v>
      </c>
      <c r="D246" s="1">
        <f>+251911060644</f>
        <v>251911060644</v>
      </c>
      <c r="E246" s="1" t="s">
        <v>397</v>
      </c>
      <c r="F246" s="1"/>
    </row>
    <row r="247">
      <c r="A247" s="1" t="s">
        <v>2406</v>
      </c>
      <c r="B247" s="1" t="s">
        <v>1330</v>
      </c>
      <c r="C247" s="1" t="s">
        <v>2407</v>
      </c>
      <c r="D247" s="1">
        <f>+251911041706</f>
        <v>251911041706</v>
      </c>
      <c r="E247" s="1" t="s">
        <v>397</v>
      </c>
      <c r="F247" s="1"/>
    </row>
    <row r="248">
      <c r="A248" s="1" t="s">
        <v>2408</v>
      </c>
      <c r="B248" s="1" t="s">
        <v>2409</v>
      </c>
      <c r="C248" s="1" t="s">
        <v>2410</v>
      </c>
      <c r="D248" s="1">
        <f>+251911028828</f>
        <v>251911028828</v>
      </c>
      <c r="E248" s="1" t="s">
        <v>397</v>
      </c>
      <c r="F248" s="1"/>
    </row>
    <row r="249">
      <c r="A249" s="1" t="s">
        <v>2411</v>
      </c>
      <c r="B249" s="1" t="s">
        <v>2412</v>
      </c>
      <c r="C249" s="1" t="s">
        <v>1208</v>
      </c>
      <c r="D249" s="1">
        <f>+251910967748</f>
        <v>251910967748</v>
      </c>
      <c r="E249" s="1" t="s">
        <v>397</v>
      </c>
      <c r="F249" s="1"/>
    </row>
    <row r="250">
      <c r="A250" s="1" t="s">
        <v>2413</v>
      </c>
      <c r="B250" s="1" t="s">
        <v>2414</v>
      </c>
      <c r="C250" s="1" t="s">
        <v>2415</v>
      </c>
      <c r="D250" s="1">
        <f>+251910923426</f>
        <v>251910923426</v>
      </c>
      <c r="E250" s="1" t="s">
        <v>397</v>
      </c>
      <c r="F250" s="1"/>
    </row>
    <row r="251">
      <c r="A251" s="1" t="s">
        <v>2416</v>
      </c>
      <c r="B251" s="1" t="s">
        <v>2417</v>
      </c>
      <c r="C251" s="1" t="s">
        <v>2418</v>
      </c>
      <c r="D251" s="1">
        <f>+251910663214</f>
        <v>251910663214</v>
      </c>
      <c r="E251" s="1" t="s">
        <v>397</v>
      </c>
      <c r="F251" s="1"/>
    </row>
    <row r="252">
      <c r="A252" s="1" t="s">
        <v>2419</v>
      </c>
      <c r="B252" s="1" t="s">
        <v>745</v>
      </c>
      <c r="C252" s="1" t="s">
        <v>2420</v>
      </c>
      <c r="D252" s="1">
        <f>+251910584048</f>
        <v>251910584048</v>
      </c>
      <c r="E252" s="1" t="s">
        <v>397</v>
      </c>
      <c r="F252" s="1"/>
    </row>
    <row r="253">
      <c r="A253" s="1" t="s">
        <v>2421</v>
      </c>
      <c r="B253" s="1" t="s">
        <v>1617</v>
      </c>
      <c r="C253" s="1" t="s">
        <v>720</v>
      </c>
      <c r="D253" s="1">
        <f>+251910511681</f>
        <v>251910511681</v>
      </c>
      <c r="E253" s="1" t="s">
        <v>397</v>
      </c>
      <c r="F253" s="1"/>
    </row>
    <row r="254">
      <c r="A254" s="1" t="s">
        <v>2422</v>
      </c>
      <c r="B254" s="1" t="s">
        <v>616</v>
      </c>
      <c r="C254" s="1" t="s">
        <v>10</v>
      </c>
      <c r="D254" s="1">
        <f>+251910436951</f>
        <v>251910436951</v>
      </c>
      <c r="E254" s="1" t="s">
        <v>397</v>
      </c>
      <c r="F254" s="1"/>
    </row>
    <row r="255">
      <c r="A255" s="1" t="s">
        <v>2423</v>
      </c>
      <c r="B255" s="1" t="s">
        <v>2424</v>
      </c>
      <c r="C255" s="1" t="s">
        <v>2425</v>
      </c>
      <c r="D255" s="1">
        <f>+251910321805</f>
        <v>251910321805</v>
      </c>
      <c r="E255" s="1" t="s">
        <v>397</v>
      </c>
      <c r="F255" s="1"/>
    </row>
    <row r="256">
      <c r="A256" s="1" t="s">
        <v>2426</v>
      </c>
      <c r="B256" s="1" t="s">
        <v>535</v>
      </c>
      <c r="C256" s="1" t="s">
        <v>2427</v>
      </c>
      <c r="D256" s="1">
        <f>+251909839803</f>
        <v>251909839803</v>
      </c>
      <c r="E256" s="1" t="s">
        <v>397</v>
      </c>
      <c r="F256" s="1"/>
    </row>
    <row r="257">
      <c r="A257" s="1" t="s">
        <v>2428</v>
      </c>
      <c r="B257" s="1" t="s">
        <v>2429</v>
      </c>
      <c r="C257" s="1" t="s">
        <v>2104</v>
      </c>
      <c r="D257" s="1">
        <f>+251909768236</f>
        <v>251909768236</v>
      </c>
      <c r="E257" s="1" t="s">
        <v>397</v>
      </c>
      <c r="F257" s="1"/>
    </row>
    <row r="258">
      <c r="A258" s="1" t="s">
        <v>2430</v>
      </c>
      <c r="B258" s="1" t="s">
        <v>2431</v>
      </c>
      <c r="C258" s="1" t="s">
        <v>2432</v>
      </c>
      <c r="D258" s="1">
        <f>+251909458057</f>
        <v>251909458057</v>
      </c>
      <c r="E258" s="1" t="s">
        <v>397</v>
      </c>
      <c r="F258" s="1"/>
    </row>
    <row r="259">
      <c r="A259" s="1" t="s">
        <v>2433</v>
      </c>
      <c r="B259" s="1" t="s">
        <v>2434</v>
      </c>
      <c r="C259" s="1" t="s">
        <v>302</v>
      </c>
      <c r="D259" s="1">
        <f>+251907491499</f>
        <v>251907491499</v>
      </c>
      <c r="E259" s="1" t="s">
        <v>397</v>
      </c>
      <c r="F259" s="1"/>
    </row>
    <row r="260">
      <c r="A260" s="1" t="s">
        <v>2435</v>
      </c>
      <c r="B260" s="1" t="s">
        <v>2436</v>
      </c>
      <c r="C260" s="1" t="s">
        <v>2437</v>
      </c>
      <c r="D260" s="1">
        <f>+251904778246</f>
        <v>251904778246</v>
      </c>
      <c r="E260" s="1" t="s">
        <v>397</v>
      </c>
      <c r="F260" s="1"/>
    </row>
    <row r="261">
      <c r="A261" s="1" t="s">
        <v>2438</v>
      </c>
      <c r="B261" s="1" t="s">
        <v>69</v>
      </c>
      <c r="C261" s="1" t="s">
        <v>137</v>
      </c>
      <c r="D261" s="1">
        <f>+251904186945</f>
        <v>251904186945</v>
      </c>
      <c r="E261" s="1" t="s">
        <v>397</v>
      </c>
      <c r="F261" s="1"/>
    </row>
    <row r="262">
      <c r="A262" s="1" t="s">
        <v>2439</v>
      </c>
      <c r="B262" s="1" t="s">
        <v>2440</v>
      </c>
      <c r="C262" s="1" t="s">
        <v>346</v>
      </c>
      <c r="D262" s="1">
        <f>+251902982522</f>
        <v>251902982522</v>
      </c>
      <c r="E262" s="1" t="s">
        <v>397</v>
      </c>
      <c r="F262" s="1"/>
    </row>
    <row r="263">
      <c r="A263" s="1" t="s">
        <v>2441</v>
      </c>
      <c r="B263" s="1" t="s">
        <v>2442</v>
      </c>
      <c r="C263" s="1" t="s">
        <v>2443</v>
      </c>
      <c r="D263" s="1">
        <f>+251902726015</f>
        <v>251902726015</v>
      </c>
      <c r="E263" s="1" t="s">
        <v>397</v>
      </c>
      <c r="F263" s="1"/>
    </row>
    <row r="264">
      <c r="A264" s="1" t="s">
        <v>2444</v>
      </c>
      <c r="B264" s="1" t="s">
        <v>1928</v>
      </c>
      <c r="C264" s="1" t="s">
        <v>69</v>
      </c>
      <c r="D264" s="1">
        <f>+251902577496</f>
        <v>251902577496</v>
      </c>
      <c r="E264" s="1" t="s">
        <v>397</v>
      </c>
      <c r="F264" s="1"/>
    </row>
    <row r="265">
      <c r="A265" s="1" t="s">
        <v>2445</v>
      </c>
      <c r="B265" s="1" t="s">
        <v>330</v>
      </c>
      <c r="C265" s="1" t="s">
        <v>503</v>
      </c>
      <c r="D265" s="1">
        <f>+251901235908</f>
        <v>251901235908</v>
      </c>
      <c r="E265" s="1" t="s">
        <v>397</v>
      </c>
      <c r="F265" s="1"/>
    </row>
    <row r="266">
      <c r="A266" s="1" t="s">
        <v>2446</v>
      </c>
      <c r="B266" s="1" t="s">
        <v>2417</v>
      </c>
      <c r="C266" s="1" t="s">
        <v>2447</v>
      </c>
      <c r="D266" s="1">
        <f>+251901085010</f>
        <v>251901085010</v>
      </c>
      <c r="E266" s="1" t="s">
        <v>397</v>
      </c>
      <c r="F266" s="1"/>
    </row>
    <row r="267">
      <c r="A267" s="1" t="s">
        <v>2448</v>
      </c>
      <c r="B267" s="1" t="s">
        <v>377</v>
      </c>
      <c r="C267" s="1" t="s">
        <v>283</v>
      </c>
      <c r="D267" s="1">
        <f>+251900483934</f>
        <v>251900483934</v>
      </c>
      <c r="E267" s="1" t="s">
        <v>397</v>
      </c>
      <c r="F267" s="1"/>
    </row>
    <row r="268">
      <c r="A268" s="1" t="s">
        <v>2449</v>
      </c>
      <c r="B268" s="1" t="s">
        <v>2450</v>
      </c>
      <c r="C268" s="1" t="s">
        <v>275</v>
      </c>
      <c r="D268" s="1">
        <f>+251900059146</f>
        <v>251900059146</v>
      </c>
      <c r="E268" s="1" t="s">
        <v>397</v>
      </c>
      <c r="F268" s="1"/>
    </row>
    <row r="269">
      <c r="A269" s="1" t="s">
        <v>2451</v>
      </c>
      <c r="B269" s="1" t="s">
        <v>2452</v>
      </c>
      <c r="C269" s="1" t="s">
        <v>2453</v>
      </c>
      <c r="D269" s="1">
        <f>+251799407400</f>
        <v>251799407400</v>
      </c>
      <c r="E269" s="1" t="s">
        <v>397</v>
      </c>
      <c r="F269" s="1"/>
    </row>
    <row r="270">
      <c r="A270" s="1" t="s">
        <v>1433</v>
      </c>
      <c r="B270" s="1" t="s">
        <v>1434</v>
      </c>
      <c r="C270" s="1" t="s">
        <v>693</v>
      </c>
      <c r="D270" s="1">
        <f>+251777149468</f>
        <v>251777149468</v>
      </c>
      <c r="E270" s="1" t="s">
        <v>397</v>
      </c>
      <c r="F270" s="1"/>
    </row>
    <row r="271">
      <c r="A271" s="1" t="s">
        <v>2454</v>
      </c>
      <c r="B271" s="1" t="s">
        <v>2455</v>
      </c>
      <c r="C271" s="1" t="s">
        <v>984</v>
      </c>
      <c r="D271" s="1">
        <f>+251712623587</f>
        <v>251712623587</v>
      </c>
      <c r="E271" s="1" t="s">
        <v>397</v>
      </c>
      <c r="F271" s="1"/>
    </row>
    <row r="272">
      <c r="A272" s="1" t="s">
        <v>2456</v>
      </c>
      <c r="B272" s="1" t="s">
        <v>2457</v>
      </c>
      <c r="C272" s="1" t="s">
        <v>2458</v>
      </c>
      <c r="D272" s="1">
        <f>+251710166990</f>
        <v>251710166990</v>
      </c>
      <c r="E272" s="1" t="s">
        <v>397</v>
      </c>
      <c r="F272" s="1"/>
    </row>
    <row r="273">
      <c r="A273" s="1" t="s">
        <v>2459</v>
      </c>
      <c r="B273" s="1" t="s">
        <v>2457</v>
      </c>
      <c r="C273" s="1" t="s">
        <v>406</v>
      </c>
      <c r="D273" s="1">
        <f>+10987370441</f>
        <v>10987370441</v>
      </c>
      <c r="E273" s="1" t="s">
        <v>397</v>
      </c>
      <c r="F273" s="1"/>
    </row>
    <row r="274">
      <c r="A274" s="1" t="s">
        <v>2460</v>
      </c>
      <c r="B274" s="1" t="s">
        <v>2304</v>
      </c>
      <c r="C274" s="1" t="s">
        <v>2461</v>
      </c>
      <c r="D274" s="1">
        <f>+10946030878</f>
        <v>10946030878</v>
      </c>
      <c r="E274" s="1" t="s">
        <v>397</v>
      </c>
      <c r="F274" s="1"/>
    </row>
    <row r="275">
      <c r="A275" s="1" t="s">
        <v>2462</v>
      </c>
      <c r="B275" s="1" t="s">
        <v>479</v>
      </c>
      <c r="C275" s="1" t="s">
        <v>2463</v>
      </c>
      <c r="D275" s="1">
        <f>+10921610017</f>
        <v>10921610017</v>
      </c>
      <c r="E275" s="1" t="s">
        <v>397</v>
      </c>
      <c r="F275" s="1"/>
    </row>
    <row r="276">
      <c r="A276" s="1" t="s">
        <v>2464</v>
      </c>
      <c r="B276" s="1" t="s">
        <v>17</v>
      </c>
      <c r="C276" s="1" t="s">
        <v>2465</v>
      </c>
      <c r="D276" s="1">
        <v>9.9186734E8</v>
      </c>
      <c r="E276" s="1" t="s">
        <v>397</v>
      </c>
      <c r="F276" s="1"/>
    </row>
    <row r="277">
      <c r="A277" s="1" t="s">
        <v>2466</v>
      </c>
      <c r="B277" s="1" t="s">
        <v>1389</v>
      </c>
      <c r="C277" s="1" t="s">
        <v>816</v>
      </c>
      <c r="D277" s="1">
        <v>9.77311833E8</v>
      </c>
      <c r="E277" s="1" t="s">
        <v>397</v>
      </c>
      <c r="F277" s="1"/>
    </row>
    <row r="278">
      <c r="A278" s="1" t="s">
        <v>2467</v>
      </c>
      <c r="B278" s="1" t="s">
        <v>39</v>
      </c>
      <c r="C278" s="1" t="s">
        <v>643</v>
      </c>
      <c r="D278" s="1">
        <v>9.63029494E8</v>
      </c>
      <c r="E278" s="1" t="s">
        <v>397</v>
      </c>
      <c r="F278" s="1"/>
    </row>
    <row r="279">
      <c r="A279" s="1" t="s">
        <v>2468</v>
      </c>
      <c r="B279" s="1" t="s">
        <v>184</v>
      </c>
      <c r="C279" s="1" t="s">
        <v>2469</v>
      </c>
      <c r="D279" s="1">
        <v>9.45640088E8</v>
      </c>
      <c r="E279" s="1" t="s">
        <v>397</v>
      </c>
      <c r="F279" s="1"/>
    </row>
    <row r="280">
      <c r="A280" s="1" t="s">
        <v>2470</v>
      </c>
      <c r="B280" s="1" t="s">
        <v>309</v>
      </c>
      <c r="C280" s="1" t="s">
        <v>2471</v>
      </c>
      <c r="D280" s="1">
        <v>9.30235374E8</v>
      </c>
      <c r="E280" s="1" t="s">
        <v>397</v>
      </c>
      <c r="F280" s="1"/>
    </row>
    <row r="281">
      <c r="A281" s="1" t="s">
        <v>2472</v>
      </c>
      <c r="B281" s="1" t="s">
        <v>39</v>
      </c>
      <c r="C281" s="1" t="s">
        <v>1218</v>
      </c>
      <c r="D281" s="1">
        <v>9.2144849E8</v>
      </c>
      <c r="E281" s="1" t="s">
        <v>397</v>
      </c>
      <c r="F281" s="1"/>
    </row>
    <row r="282">
      <c r="A282" s="1" t="s">
        <v>2473</v>
      </c>
      <c r="B282" s="1" t="s">
        <v>2474</v>
      </c>
      <c r="C282" s="1" t="s">
        <v>2475</v>
      </c>
      <c r="D282" s="1">
        <v>9.20458603E8</v>
      </c>
      <c r="E282" s="1" t="s">
        <v>397</v>
      </c>
      <c r="F282" s="1"/>
    </row>
    <row r="283">
      <c r="A283" s="1" t="s">
        <v>2476</v>
      </c>
      <c r="B283" s="1" t="s">
        <v>2477</v>
      </c>
      <c r="C283" s="1" t="s">
        <v>487</v>
      </c>
      <c r="D283" s="1">
        <v>9.13307549E8</v>
      </c>
      <c r="E283" s="1" t="s">
        <v>397</v>
      </c>
      <c r="F283" s="1"/>
    </row>
    <row r="284">
      <c r="A284" s="1" t="s">
        <v>2478</v>
      </c>
      <c r="B284" s="1" t="s">
        <v>2479</v>
      </c>
      <c r="C284" s="1" t="s">
        <v>2480</v>
      </c>
      <c r="D284" s="1">
        <v>9.10088283E8</v>
      </c>
      <c r="E284" s="1" t="s">
        <v>397</v>
      </c>
      <c r="F284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7.38"/>
    <col customWidth="1" min="11" max="11" width="17.13"/>
    <col customWidth="1" min="12" max="12" width="20.25"/>
    <col customWidth="1" min="13" max="13" width="27.0"/>
    <col customWidth="1" min="14" max="14" width="18.13"/>
    <col customWidth="1" min="15" max="15" width="35.25"/>
    <col customWidth="1" min="16" max="16" width="15.0"/>
  </cols>
  <sheetData>
    <row r="1">
      <c r="A1" s="12" t="s">
        <v>2481</v>
      </c>
      <c r="B1" s="13" t="s">
        <v>1847</v>
      </c>
      <c r="C1" s="13" t="s">
        <v>1848</v>
      </c>
      <c r="D1" s="13" t="s">
        <v>1849</v>
      </c>
      <c r="E1" s="14" t="s">
        <v>1850</v>
      </c>
      <c r="F1" s="13" t="s">
        <v>1851</v>
      </c>
      <c r="G1" s="13" t="s">
        <v>5</v>
      </c>
      <c r="H1" s="13" t="s">
        <v>1852</v>
      </c>
      <c r="I1" s="13" t="s">
        <v>1853</v>
      </c>
      <c r="J1" s="13" t="s">
        <v>1854</v>
      </c>
      <c r="K1" s="13" t="s">
        <v>1855</v>
      </c>
      <c r="L1" s="13" t="s">
        <v>1856</v>
      </c>
      <c r="M1" s="13" t="s">
        <v>1857</v>
      </c>
      <c r="N1" s="13" t="s">
        <v>1858</v>
      </c>
      <c r="O1" s="13" t="s">
        <v>1859</v>
      </c>
      <c r="P1" s="13" t="s">
        <v>1860</v>
      </c>
      <c r="Q1" s="13" t="s">
        <v>1861</v>
      </c>
      <c r="R1" s="13" t="s">
        <v>1862</v>
      </c>
      <c r="S1" s="13" t="s">
        <v>1863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42</v>
      </c>
      <c r="B2" s="1" t="s">
        <v>1940</v>
      </c>
      <c r="C2" s="1" t="s">
        <v>1400</v>
      </c>
      <c r="D2" s="1" t="s">
        <v>643</v>
      </c>
      <c r="E2" s="1">
        <f>+251972838134</f>
        <v>251972838134</v>
      </c>
      <c r="F2" s="1" t="s">
        <v>66</v>
      </c>
      <c r="G2" s="1" t="s">
        <v>76</v>
      </c>
      <c r="H2" s="16" t="s">
        <v>2482</v>
      </c>
      <c r="I2" s="17" t="s">
        <v>1866</v>
      </c>
      <c r="J2" s="18" t="s">
        <v>1867</v>
      </c>
      <c r="K2" s="18" t="s">
        <v>2483</v>
      </c>
      <c r="L2" s="18" t="s">
        <v>1876</v>
      </c>
      <c r="M2" s="18" t="s">
        <v>1867</v>
      </c>
      <c r="N2" s="1"/>
      <c r="O2" s="18" t="s">
        <v>1882</v>
      </c>
      <c r="P2" s="18" t="s">
        <v>1883</v>
      </c>
      <c r="Q2" s="18" t="s">
        <v>1867</v>
      </c>
      <c r="R2" s="18" t="s">
        <v>1879</v>
      </c>
    </row>
    <row r="3">
      <c r="A3" s="16" t="s">
        <v>42</v>
      </c>
      <c r="B3" s="1" t="s">
        <v>1943</v>
      </c>
      <c r="C3" s="1" t="s">
        <v>42</v>
      </c>
      <c r="D3" s="1" t="s">
        <v>1944</v>
      </c>
      <c r="E3" s="1">
        <f>+251969139694</f>
        <v>251969139694</v>
      </c>
      <c r="F3" s="1" t="s">
        <v>66</v>
      </c>
      <c r="G3" s="1" t="s">
        <v>71</v>
      </c>
      <c r="H3" s="16" t="s">
        <v>2482</v>
      </c>
      <c r="I3" s="17" t="s">
        <v>1866</v>
      </c>
      <c r="J3" s="18" t="s">
        <v>1867</v>
      </c>
      <c r="K3" s="18" t="s">
        <v>2484</v>
      </c>
      <c r="L3" s="18"/>
      <c r="M3" s="18"/>
      <c r="N3" s="1"/>
      <c r="O3" s="18"/>
      <c r="P3" s="18"/>
      <c r="Q3" s="18"/>
      <c r="R3" s="18" t="s">
        <v>1893</v>
      </c>
      <c r="S3" s="19" t="s">
        <v>2485</v>
      </c>
    </row>
    <row r="4">
      <c r="A4" s="16" t="s">
        <v>42</v>
      </c>
      <c r="B4" s="1" t="s">
        <v>2058</v>
      </c>
      <c r="C4" s="1" t="s">
        <v>2059</v>
      </c>
      <c r="D4" s="1" t="s">
        <v>2060</v>
      </c>
      <c r="E4" s="1">
        <f>+251910526357</f>
        <v>251910526357</v>
      </c>
      <c r="F4" s="1" t="s">
        <v>66</v>
      </c>
      <c r="G4" s="1" t="s">
        <v>67</v>
      </c>
      <c r="H4" s="16" t="s">
        <v>2482</v>
      </c>
      <c r="I4" s="17" t="s">
        <v>2486</v>
      </c>
      <c r="J4" s="1"/>
      <c r="K4" s="1"/>
      <c r="L4" s="1"/>
      <c r="M4" s="1"/>
      <c r="N4" s="1"/>
      <c r="O4" s="1"/>
      <c r="P4" s="1"/>
      <c r="Q4" s="1"/>
      <c r="R4" s="1"/>
    </row>
    <row r="5">
      <c r="A5" s="16" t="s">
        <v>42</v>
      </c>
      <c r="B5" s="1" t="s">
        <v>1945</v>
      </c>
      <c r="C5" s="1" t="s">
        <v>1946</v>
      </c>
      <c r="D5" s="1" t="s">
        <v>1947</v>
      </c>
      <c r="E5" s="1">
        <f>+251967255318</f>
        <v>251967255318</v>
      </c>
      <c r="F5" s="1" t="s">
        <v>66</v>
      </c>
      <c r="G5" s="1" t="s">
        <v>71</v>
      </c>
      <c r="H5" s="16" t="s">
        <v>2482</v>
      </c>
      <c r="I5" s="17" t="s">
        <v>1866</v>
      </c>
      <c r="J5" s="18" t="s">
        <v>1867</v>
      </c>
      <c r="K5" s="18" t="s">
        <v>2487</v>
      </c>
      <c r="L5" s="18" t="s">
        <v>1892</v>
      </c>
      <c r="M5" s="18" t="s">
        <v>1867</v>
      </c>
      <c r="N5" s="1"/>
      <c r="O5" s="18" t="s">
        <v>1882</v>
      </c>
      <c r="P5" s="18" t="s">
        <v>1883</v>
      </c>
      <c r="Q5" s="18" t="s">
        <v>1867</v>
      </c>
      <c r="R5" s="18" t="s">
        <v>2488</v>
      </c>
    </row>
    <row r="6">
      <c r="A6" s="16" t="s">
        <v>42</v>
      </c>
      <c r="B6" s="1" t="s">
        <v>1951</v>
      </c>
      <c r="C6" s="1" t="s">
        <v>745</v>
      </c>
      <c r="D6" s="1" t="s">
        <v>447</v>
      </c>
      <c r="E6" s="1">
        <f>+251966716205</f>
        <v>251966716205</v>
      </c>
      <c r="F6" s="1" t="s">
        <v>66</v>
      </c>
      <c r="G6" s="1" t="s">
        <v>67</v>
      </c>
      <c r="H6" s="16" t="s">
        <v>2482</v>
      </c>
      <c r="I6" s="17" t="s">
        <v>1866</v>
      </c>
      <c r="J6" s="18" t="s">
        <v>1867</v>
      </c>
      <c r="K6" s="1"/>
      <c r="L6" s="18" t="s">
        <v>1887</v>
      </c>
      <c r="M6" s="18" t="s">
        <v>1867</v>
      </c>
      <c r="N6" s="1"/>
      <c r="O6" s="18" t="s">
        <v>1887</v>
      </c>
      <c r="P6" s="18" t="s">
        <v>1878</v>
      </c>
      <c r="Q6" s="18" t="s">
        <v>1867</v>
      </c>
      <c r="R6" s="18" t="s">
        <v>1888</v>
      </c>
      <c r="S6" s="19" t="s">
        <v>2489</v>
      </c>
    </row>
    <row r="7">
      <c r="A7" s="16" t="s">
        <v>42</v>
      </c>
      <c r="B7" s="1" t="s">
        <v>1952</v>
      </c>
      <c r="C7" s="1" t="s">
        <v>1953</v>
      </c>
      <c r="D7" s="1" t="s">
        <v>1954</v>
      </c>
      <c r="E7" s="1">
        <f>+251963797076</f>
        <v>251963797076</v>
      </c>
      <c r="F7" s="1" t="s">
        <v>66</v>
      </c>
      <c r="G7" s="1" t="s">
        <v>129</v>
      </c>
      <c r="H7" s="16" t="s">
        <v>2482</v>
      </c>
      <c r="I7" s="17" t="s">
        <v>1866</v>
      </c>
      <c r="J7" s="18" t="s">
        <v>1867</v>
      </c>
      <c r="K7" s="18"/>
      <c r="L7" s="18" t="s">
        <v>1887</v>
      </c>
      <c r="M7" s="18" t="s">
        <v>1867</v>
      </c>
      <c r="N7" s="1"/>
      <c r="O7" s="18" t="s">
        <v>1887</v>
      </c>
      <c r="P7" s="18" t="s">
        <v>1878</v>
      </c>
      <c r="Q7" s="18" t="s">
        <v>1867</v>
      </c>
      <c r="R7" s="18" t="s">
        <v>1888</v>
      </c>
    </row>
    <row r="8">
      <c r="A8" s="16" t="s">
        <v>42</v>
      </c>
      <c r="B8" s="1" t="s">
        <v>1960</v>
      </c>
      <c r="C8" s="1" t="s">
        <v>1961</v>
      </c>
      <c r="D8" s="1" t="s">
        <v>739</v>
      </c>
      <c r="E8" s="1">
        <f>+251955452837</f>
        <v>251955452837</v>
      </c>
      <c r="F8" s="1" t="s">
        <v>66</v>
      </c>
      <c r="G8" s="1" t="s">
        <v>129</v>
      </c>
      <c r="H8" s="16" t="s">
        <v>2482</v>
      </c>
      <c r="I8" s="17" t="s">
        <v>1866</v>
      </c>
      <c r="J8" s="18" t="s">
        <v>1867</v>
      </c>
      <c r="K8" s="18" t="s">
        <v>2490</v>
      </c>
      <c r="L8" s="18" t="s">
        <v>1869</v>
      </c>
      <c r="M8" s="18" t="s">
        <v>1867</v>
      </c>
      <c r="N8" s="1"/>
      <c r="O8" s="18" t="s">
        <v>1870</v>
      </c>
      <c r="P8" s="18" t="s">
        <v>1871</v>
      </c>
      <c r="Q8" s="18" t="s">
        <v>1867</v>
      </c>
      <c r="R8" s="18" t="s">
        <v>2491</v>
      </c>
      <c r="S8" s="19" t="s">
        <v>2492</v>
      </c>
    </row>
    <row r="9">
      <c r="A9" s="16" t="s">
        <v>42</v>
      </c>
      <c r="B9" s="1" t="s">
        <v>1964</v>
      </c>
      <c r="C9" s="1" t="s">
        <v>1965</v>
      </c>
      <c r="D9" s="1" t="s">
        <v>1966</v>
      </c>
      <c r="E9" s="1">
        <f>+251953916042</f>
        <v>251953916042</v>
      </c>
      <c r="F9" s="1" t="s">
        <v>66</v>
      </c>
      <c r="G9" s="1" t="s">
        <v>71</v>
      </c>
      <c r="H9" s="16" t="s">
        <v>2482</v>
      </c>
      <c r="I9" s="17" t="s">
        <v>1866</v>
      </c>
      <c r="J9" s="18" t="s">
        <v>1867</v>
      </c>
      <c r="K9" s="1"/>
      <c r="L9" s="18" t="s">
        <v>1887</v>
      </c>
      <c r="M9" s="18" t="s">
        <v>1867</v>
      </c>
      <c r="N9" s="1"/>
      <c r="O9" s="18" t="s">
        <v>1887</v>
      </c>
      <c r="P9" s="18" t="s">
        <v>1878</v>
      </c>
      <c r="Q9" s="18" t="s">
        <v>1867</v>
      </c>
      <c r="R9" s="18" t="s">
        <v>1888</v>
      </c>
    </row>
    <row r="10">
      <c r="A10" s="16" t="s">
        <v>42</v>
      </c>
      <c r="B10" s="1" t="s">
        <v>1967</v>
      </c>
      <c r="C10" s="1" t="s">
        <v>317</v>
      </c>
      <c r="D10" s="1" t="s">
        <v>451</v>
      </c>
      <c r="E10" s="1">
        <f>+251951744805</f>
        <v>251951744805</v>
      </c>
      <c r="F10" s="1" t="s">
        <v>66</v>
      </c>
      <c r="G10" s="1" t="s">
        <v>67</v>
      </c>
      <c r="H10" s="16" t="s">
        <v>2482</v>
      </c>
      <c r="I10" s="17" t="s">
        <v>1866</v>
      </c>
      <c r="J10" s="18" t="s">
        <v>1867</v>
      </c>
      <c r="K10" s="18"/>
      <c r="L10" s="18" t="s">
        <v>1887</v>
      </c>
      <c r="M10" s="18" t="s">
        <v>1867</v>
      </c>
      <c r="N10" s="1"/>
      <c r="O10" s="18" t="s">
        <v>1887</v>
      </c>
      <c r="P10" s="18" t="s">
        <v>1878</v>
      </c>
      <c r="Q10" s="18" t="s">
        <v>1867</v>
      </c>
      <c r="R10" s="18" t="s">
        <v>1888</v>
      </c>
      <c r="S10" s="19" t="s">
        <v>2493</v>
      </c>
    </row>
    <row r="11">
      <c r="A11" s="16" t="s">
        <v>42</v>
      </c>
      <c r="B11" s="1" t="s">
        <v>1968</v>
      </c>
      <c r="C11" s="1" t="s">
        <v>1969</v>
      </c>
      <c r="D11" s="1" t="s">
        <v>1970</v>
      </c>
      <c r="E11" s="1">
        <f>+251949195957</f>
        <v>251949195957</v>
      </c>
      <c r="F11" s="1" t="s">
        <v>66</v>
      </c>
      <c r="G11" s="1" t="s">
        <v>71</v>
      </c>
      <c r="H11" s="16" t="s">
        <v>2482</v>
      </c>
      <c r="I11" s="17" t="s">
        <v>1866</v>
      </c>
      <c r="J11" s="18" t="s">
        <v>1867</v>
      </c>
      <c r="K11" s="18" t="s">
        <v>2494</v>
      </c>
      <c r="L11" s="18" t="s">
        <v>1876</v>
      </c>
      <c r="M11" s="18" t="s">
        <v>1867</v>
      </c>
      <c r="N11" s="1"/>
      <c r="O11" s="18" t="s">
        <v>1882</v>
      </c>
      <c r="P11" s="18" t="s">
        <v>1883</v>
      </c>
      <c r="Q11" s="18" t="s">
        <v>1867</v>
      </c>
      <c r="R11" s="18" t="s">
        <v>1879</v>
      </c>
    </row>
    <row r="12">
      <c r="A12" s="16" t="s">
        <v>42</v>
      </c>
      <c r="B12" s="1" t="s">
        <v>1976</v>
      </c>
      <c r="C12" s="1" t="s">
        <v>1109</v>
      </c>
      <c r="D12" s="1" t="s">
        <v>27</v>
      </c>
      <c r="E12" s="1">
        <f>+251946577930</f>
        <v>251946577930</v>
      </c>
      <c r="F12" s="1" t="s">
        <v>66</v>
      </c>
      <c r="G12" s="1" t="s">
        <v>129</v>
      </c>
      <c r="H12" s="16" t="s">
        <v>2482</v>
      </c>
      <c r="I12" s="17" t="s">
        <v>1866</v>
      </c>
      <c r="J12" s="18" t="s">
        <v>1867</v>
      </c>
      <c r="K12" s="18" t="s">
        <v>2495</v>
      </c>
      <c r="L12" s="18" t="s">
        <v>1876</v>
      </c>
      <c r="M12" s="18" t="s">
        <v>1867</v>
      </c>
      <c r="N12" s="1"/>
      <c r="O12" s="18" t="s">
        <v>1882</v>
      </c>
      <c r="P12" s="18" t="s">
        <v>1883</v>
      </c>
      <c r="Q12" s="18" t="s">
        <v>1867</v>
      </c>
      <c r="R12" s="18" t="s">
        <v>1879</v>
      </c>
    </row>
    <row r="13">
      <c r="A13" s="16" t="s">
        <v>42</v>
      </c>
      <c r="B13" s="1" t="s">
        <v>1936</v>
      </c>
      <c r="C13" s="1" t="s">
        <v>854</v>
      </c>
      <c r="D13" s="1" t="s">
        <v>1604</v>
      </c>
      <c r="E13" s="1">
        <f>+251996741935</f>
        <v>251996741935</v>
      </c>
      <c r="F13" s="1" t="s">
        <v>66</v>
      </c>
      <c r="G13" s="1" t="s">
        <v>67</v>
      </c>
      <c r="H13" s="16" t="s">
        <v>2482</v>
      </c>
      <c r="I13" s="17" t="s">
        <v>1866</v>
      </c>
      <c r="J13" s="18" t="s">
        <v>1867</v>
      </c>
      <c r="K13" s="1"/>
      <c r="L13" s="18" t="s">
        <v>1887</v>
      </c>
      <c r="M13" s="18" t="s">
        <v>1867</v>
      </c>
      <c r="N13" s="1"/>
      <c r="O13" s="18" t="s">
        <v>1887</v>
      </c>
      <c r="P13" s="18" t="s">
        <v>1878</v>
      </c>
      <c r="Q13" s="18" t="s">
        <v>1867</v>
      </c>
      <c r="R13" s="18" t="s">
        <v>1888</v>
      </c>
      <c r="S13" s="19" t="s">
        <v>2496</v>
      </c>
    </row>
    <row r="14">
      <c r="A14" s="16" t="s">
        <v>42</v>
      </c>
      <c r="B14" s="1" t="s">
        <v>1978</v>
      </c>
      <c r="C14" s="1" t="s">
        <v>1979</v>
      </c>
      <c r="D14" s="1" t="s">
        <v>1980</v>
      </c>
      <c r="E14" s="1">
        <f>+251939654186</f>
        <v>251939654186</v>
      </c>
      <c r="F14" s="1" t="s">
        <v>66</v>
      </c>
      <c r="G14" s="1" t="s">
        <v>90</v>
      </c>
      <c r="H14" s="16" t="s">
        <v>2482</v>
      </c>
      <c r="I14" s="17" t="s">
        <v>1866</v>
      </c>
      <c r="J14" s="18" t="s">
        <v>1867</v>
      </c>
      <c r="K14" s="18" t="s">
        <v>2497</v>
      </c>
      <c r="L14" s="18" t="s">
        <v>1876</v>
      </c>
      <c r="M14" s="18" t="s">
        <v>1867</v>
      </c>
      <c r="N14" s="1"/>
      <c r="O14" s="18" t="s">
        <v>1882</v>
      </c>
      <c r="P14" s="18" t="s">
        <v>1883</v>
      </c>
      <c r="Q14" s="18" t="s">
        <v>1867</v>
      </c>
      <c r="R14" s="18" t="s">
        <v>1879</v>
      </c>
    </row>
    <row r="15">
      <c r="A15" s="16" t="s">
        <v>42</v>
      </c>
      <c r="B15" s="1" t="s">
        <v>1981</v>
      </c>
      <c r="C15" s="1" t="s">
        <v>1982</v>
      </c>
      <c r="D15" s="1" t="s">
        <v>1350</v>
      </c>
      <c r="E15" s="1">
        <f>+251938999699</f>
        <v>251938999699</v>
      </c>
      <c r="F15" s="1" t="s">
        <v>66</v>
      </c>
      <c r="G15" s="1" t="s">
        <v>67</v>
      </c>
      <c r="H15" s="16" t="s">
        <v>2482</v>
      </c>
      <c r="I15" s="17" t="s">
        <v>1866</v>
      </c>
      <c r="J15" s="18" t="s">
        <v>1867</v>
      </c>
      <c r="K15" s="18" t="s">
        <v>2498</v>
      </c>
      <c r="L15" s="18" t="s">
        <v>1892</v>
      </c>
      <c r="M15" s="18" t="s">
        <v>1867</v>
      </c>
      <c r="N15" s="1"/>
      <c r="O15" s="18" t="s">
        <v>1882</v>
      </c>
      <c r="P15" s="18" t="s">
        <v>1883</v>
      </c>
      <c r="Q15" s="18" t="s">
        <v>1867</v>
      </c>
      <c r="R15" s="18" t="s">
        <v>2488</v>
      </c>
    </row>
    <row r="16">
      <c r="A16" s="16" t="s">
        <v>42</v>
      </c>
      <c r="B16" s="1" t="s">
        <v>1983</v>
      </c>
      <c r="C16" s="1" t="s">
        <v>646</v>
      </c>
      <c r="D16" s="1" t="s">
        <v>161</v>
      </c>
      <c r="E16" s="1">
        <f>+251938185229</f>
        <v>251938185229</v>
      </c>
      <c r="F16" s="1" t="s">
        <v>66</v>
      </c>
      <c r="G16" s="1" t="s">
        <v>67</v>
      </c>
      <c r="H16" s="16" t="s">
        <v>2482</v>
      </c>
      <c r="I16" s="17" t="s">
        <v>1866</v>
      </c>
      <c r="J16" s="18" t="s">
        <v>1867</v>
      </c>
      <c r="K16" s="1"/>
      <c r="L16" s="18" t="s">
        <v>1887</v>
      </c>
      <c r="M16" s="18" t="s">
        <v>1867</v>
      </c>
      <c r="N16" s="1"/>
      <c r="O16" s="18" t="s">
        <v>1887</v>
      </c>
      <c r="P16" s="18" t="s">
        <v>1878</v>
      </c>
      <c r="Q16" s="18" t="s">
        <v>1867</v>
      </c>
      <c r="R16" s="18" t="s">
        <v>1888</v>
      </c>
    </row>
    <row r="17">
      <c r="A17" s="16" t="s">
        <v>42</v>
      </c>
      <c r="B17" s="1" t="s">
        <v>1984</v>
      </c>
      <c r="C17" s="1" t="s">
        <v>646</v>
      </c>
      <c r="D17" s="1" t="s">
        <v>1985</v>
      </c>
      <c r="E17" s="1">
        <f>+251937888273</f>
        <v>251937888273</v>
      </c>
      <c r="F17" s="1" t="s">
        <v>66</v>
      </c>
      <c r="G17" s="1" t="s">
        <v>71</v>
      </c>
      <c r="H17" s="16" t="s">
        <v>2482</v>
      </c>
      <c r="I17" s="17" t="s">
        <v>1866</v>
      </c>
      <c r="J17" s="18" t="s">
        <v>1867</v>
      </c>
      <c r="K17" s="18" t="s">
        <v>2499</v>
      </c>
      <c r="L17" s="18" t="s">
        <v>1892</v>
      </c>
      <c r="M17" s="18" t="s">
        <v>1867</v>
      </c>
      <c r="N17" s="1"/>
      <c r="O17" s="18" t="s">
        <v>1882</v>
      </c>
      <c r="P17" s="18" t="s">
        <v>1883</v>
      </c>
      <c r="Q17" s="18" t="s">
        <v>1867</v>
      </c>
      <c r="R17" s="18" t="s">
        <v>1879</v>
      </c>
    </row>
    <row r="18">
      <c r="A18" s="16" t="s">
        <v>42</v>
      </c>
      <c r="B18" s="1" t="s">
        <v>1986</v>
      </c>
      <c r="C18" s="1" t="s">
        <v>1429</v>
      </c>
      <c r="D18" s="1" t="s">
        <v>1987</v>
      </c>
      <c r="E18" s="1">
        <f>+251934456237</f>
        <v>251934456237</v>
      </c>
      <c r="F18" s="1" t="s">
        <v>66</v>
      </c>
      <c r="G18" s="1" t="s">
        <v>67</v>
      </c>
      <c r="H18" s="16" t="s">
        <v>2482</v>
      </c>
      <c r="I18" s="17" t="s">
        <v>1866</v>
      </c>
      <c r="J18" s="18" t="s">
        <v>1867</v>
      </c>
      <c r="K18" s="18"/>
      <c r="L18" s="18" t="s">
        <v>1869</v>
      </c>
      <c r="M18" s="18" t="s">
        <v>1867</v>
      </c>
      <c r="N18" s="1"/>
      <c r="O18" s="18" t="s">
        <v>1870</v>
      </c>
      <c r="P18" s="18" t="s">
        <v>1871</v>
      </c>
      <c r="Q18" s="18" t="s">
        <v>1867</v>
      </c>
      <c r="R18" s="18" t="s">
        <v>1872</v>
      </c>
      <c r="S18" s="19" t="s">
        <v>2500</v>
      </c>
    </row>
    <row r="19">
      <c r="A19" s="16" t="s">
        <v>42</v>
      </c>
      <c r="B19" s="1" t="s">
        <v>1991</v>
      </c>
      <c r="C19" s="1" t="s">
        <v>1992</v>
      </c>
      <c r="D19" s="1" t="s">
        <v>1993</v>
      </c>
      <c r="E19" s="1">
        <f>+251932204626</f>
        <v>251932204626</v>
      </c>
      <c r="F19" s="1" t="s">
        <v>66</v>
      </c>
      <c r="G19" s="1" t="s">
        <v>71</v>
      </c>
      <c r="H19" s="16" t="s">
        <v>2482</v>
      </c>
      <c r="I19" s="17" t="s">
        <v>1866</v>
      </c>
      <c r="J19" s="18" t="s">
        <v>1867</v>
      </c>
      <c r="K19" s="1"/>
      <c r="L19" s="18" t="s">
        <v>1887</v>
      </c>
      <c r="M19" s="18" t="s">
        <v>1867</v>
      </c>
      <c r="N19" s="1"/>
      <c r="O19" s="18" t="s">
        <v>1887</v>
      </c>
      <c r="P19" s="18" t="s">
        <v>1878</v>
      </c>
      <c r="Q19" s="18" t="s">
        <v>1867</v>
      </c>
      <c r="R19" s="18" t="s">
        <v>1888</v>
      </c>
      <c r="S19" s="19" t="s">
        <v>2493</v>
      </c>
    </row>
    <row r="20">
      <c r="A20" s="16" t="s">
        <v>42</v>
      </c>
      <c r="B20" s="1" t="s">
        <v>1995</v>
      </c>
      <c r="C20" s="1" t="s">
        <v>1996</v>
      </c>
      <c r="D20" s="1" t="s">
        <v>1247</v>
      </c>
      <c r="E20" s="1">
        <f>+251929517703</f>
        <v>251929517703</v>
      </c>
      <c r="F20" s="1" t="s">
        <v>66</v>
      </c>
      <c r="G20" s="1" t="s">
        <v>90</v>
      </c>
      <c r="H20" s="16" t="s">
        <v>2482</v>
      </c>
      <c r="I20" s="17" t="s">
        <v>1866</v>
      </c>
      <c r="J20" s="18" t="s">
        <v>1867</v>
      </c>
      <c r="K20" s="18"/>
      <c r="L20" s="18" t="s">
        <v>1869</v>
      </c>
      <c r="M20" s="18" t="s">
        <v>1867</v>
      </c>
      <c r="N20" s="1"/>
      <c r="O20" s="18" t="s">
        <v>1870</v>
      </c>
      <c r="P20" s="18" t="s">
        <v>1871</v>
      </c>
      <c r="Q20" s="18" t="s">
        <v>1867</v>
      </c>
      <c r="R20" s="18" t="s">
        <v>1895</v>
      </c>
    </row>
    <row r="21">
      <c r="A21" s="16" t="s">
        <v>42</v>
      </c>
      <c r="B21" s="1" t="s">
        <v>2000</v>
      </c>
      <c r="C21" s="1" t="s">
        <v>256</v>
      </c>
      <c r="D21" s="1" t="s">
        <v>399</v>
      </c>
      <c r="E21" s="1">
        <f>+251928051355</f>
        <v>251928051355</v>
      </c>
      <c r="F21" s="1" t="s">
        <v>66</v>
      </c>
      <c r="G21" s="1" t="s">
        <v>67</v>
      </c>
      <c r="H21" s="16" t="s">
        <v>2482</v>
      </c>
      <c r="I21" s="17" t="s">
        <v>1866</v>
      </c>
      <c r="J21" s="18" t="s">
        <v>1867</v>
      </c>
      <c r="K21" s="18"/>
      <c r="L21" s="18" t="s">
        <v>1869</v>
      </c>
      <c r="M21" s="18" t="s">
        <v>1867</v>
      </c>
      <c r="N21" s="1"/>
      <c r="O21" s="18" t="s">
        <v>1870</v>
      </c>
      <c r="P21" s="18" t="s">
        <v>1871</v>
      </c>
      <c r="Q21" s="18" t="s">
        <v>1867</v>
      </c>
      <c r="R21" s="18" t="s">
        <v>1873</v>
      </c>
    </row>
    <row r="22">
      <c r="A22" s="16" t="s">
        <v>42</v>
      </c>
      <c r="B22" s="1" t="s">
        <v>2001</v>
      </c>
      <c r="C22" s="1" t="s">
        <v>2002</v>
      </c>
      <c r="D22" s="1" t="s">
        <v>1218</v>
      </c>
      <c r="E22" s="1">
        <f>+251927183407</f>
        <v>251927183407</v>
      </c>
      <c r="F22" s="1" t="s">
        <v>66</v>
      </c>
      <c r="G22" s="1" t="s">
        <v>129</v>
      </c>
      <c r="H22" s="16" t="s">
        <v>2482</v>
      </c>
      <c r="I22" s="17" t="s">
        <v>1866</v>
      </c>
      <c r="J22" s="18" t="s">
        <v>1867</v>
      </c>
      <c r="K22" s="18" t="s">
        <v>2501</v>
      </c>
      <c r="L22" s="18" t="s">
        <v>1876</v>
      </c>
      <c r="M22" s="18" t="s">
        <v>1867</v>
      </c>
      <c r="N22" s="1"/>
      <c r="O22" s="18" t="s">
        <v>1882</v>
      </c>
      <c r="P22" s="18" t="s">
        <v>1883</v>
      </c>
      <c r="Q22" s="18" t="s">
        <v>1867</v>
      </c>
      <c r="R22" s="18" t="s">
        <v>1879</v>
      </c>
    </row>
    <row r="23">
      <c r="A23" s="16" t="s">
        <v>42</v>
      </c>
      <c r="B23" s="1" t="s">
        <v>2003</v>
      </c>
      <c r="C23" s="1" t="s">
        <v>1559</v>
      </c>
      <c r="D23" s="1" t="s">
        <v>878</v>
      </c>
      <c r="E23" s="1">
        <f>+251927075311</f>
        <v>251927075311</v>
      </c>
      <c r="F23" s="1" t="s">
        <v>66</v>
      </c>
      <c r="G23" s="1" t="s">
        <v>67</v>
      </c>
      <c r="H23" s="16" t="s">
        <v>2482</v>
      </c>
      <c r="I23" s="17" t="s">
        <v>1866</v>
      </c>
      <c r="J23" s="18" t="s">
        <v>1867</v>
      </c>
      <c r="K23" s="18" t="s">
        <v>2501</v>
      </c>
      <c r="L23" s="18" t="s">
        <v>1885</v>
      </c>
      <c r="M23" s="18" t="s">
        <v>1867</v>
      </c>
      <c r="N23" s="1"/>
      <c r="O23" s="18" t="s">
        <v>1882</v>
      </c>
      <c r="P23" s="18" t="s">
        <v>1883</v>
      </c>
      <c r="Q23" s="18" t="s">
        <v>1867</v>
      </c>
      <c r="R23" s="18" t="s">
        <v>1879</v>
      </c>
    </row>
    <row r="24">
      <c r="A24" s="16" t="s">
        <v>42</v>
      </c>
      <c r="B24" s="1" t="s">
        <v>2004</v>
      </c>
      <c r="C24" s="1" t="s">
        <v>1604</v>
      </c>
      <c r="D24" s="1" t="s">
        <v>2005</v>
      </c>
      <c r="E24" s="1">
        <f>+251925763462</f>
        <v>251925763462</v>
      </c>
      <c r="F24" s="1" t="s">
        <v>66</v>
      </c>
      <c r="G24" s="1" t="s">
        <v>71</v>
      </c>
      <c r="H24" s="16" t="s">
        <v>2482</v>
      </c>
      <c r="I24" s="17" t="s">
        <v>1866</v>
      </c>
      <c r="J24" s="18" t="s">
        <v>1867</v>
      </c>
      <c r="K24" s="18"/>
      <c r="L24" s="18" t="s">
        <v>1885</v>
      </c>
      <c r="M24" s="18" t="s">
        <v>1867</v>
      </c>
      <c r="N24" s="1"/>
      <c r="O24" s="18" t="s">
        <v>1882</v>
      </c>
      <c r="P24" s="18" t="s">
        <v>1883</v>
      </c>
      <c r="Q24" s="18" t="s">
        <v>1867</v>
      </c>
      <c r="R24" s="18" t="s">
        <v>1879</v>
      </c>
    </row>
    <row r="25">
      <c r="A25" s="16" t="s">
        <v>42</v>
      </c>
      <c r="B25" s="1" t="s">
        <v>2009</v>
      </c>
      <c r="C25" s="1" t="s">
        <v>2010</v>
      </c>
      <c r="D25" s="1" t="s">
        <v>697</v>
      </c>
      <c r="E25" s="1">
        <f>+251923284190</f>
        <v>251923284190</v>
      </c>
      <c r="F25" s="1" t="s">
        <v>66</v>
      </c>
      <c r="G25" s="1" t="s">
        <v>95</v>
      </c>
      <c r="H25" s="16" t="s">
        <v>2482</v>
      </c>
      <c r="I25" s="17" t="s">
        <v>1866</v>
      </c>
      <c r="J25" s="18" t="s">
        <v>1867</v>
      </c>
      <c r="K25" s="1"/>
      <c r="L25" s="18" t="s">
        <v>1869</v>
      </c>
      <c r="M25" s="18" t="s">
        <v>1867</v>
      </c>
      <c r="N25" s="1"/>
      <c r="O25" s="18" t="s">
        <v>1870</v>
      </c>
      <c r="P25" s="18" t="s">
        <v>1871</v>
      </c>
      <c r="Q25" s="18" t="s">
        <v>1867</v>
      </c>
      <c r="R25" s="18" t="s">
        <v>1872</v>
      </c>
      <c r="S25" s="19" t="s">
        <v>2502</v>
      </c>
    </row>
    <row r="26">
      <c r="A26" s="16" t="s">
        <v>42</v>
      </c>
      <c r="B26" s="1" t="s">
        <v>2013</v>
      </c>
      <c r="C26" s="1" t="s">
        <v>2014</v>
      </c>
      <c r="D26" s="1" t="s">
        <v>1007</v>
      </c>
      <c r="E26" s="1">
        <f>+251922850480</f>
        <v>251922850480</v>
      </c>
      <c r="F26" s="1" t="s">
        <v>66</v>
      </c>
      <c r="G26" s="1" t="s">
        <v>95</v>
      </c>
      <c r="H26" s="16" t="s">
        <v>2482</v>
      </c>
      <c r="I26" s="17" t="s">
        <v>1866</v>
      </c>
      <c r="J26" s="18" t="s">
        <v>1867</v>
      </c>
      <c r="K26" s="1"/>
      <c r="L26" s="18" t="s">
        <v>1887</v>
      </c>
      <c r="M26" s="18" t="s">
        <v>1867</v>
      </c>
      <c r="N26" s="1"/>
      <c r="O26" s="18" t="s">
        <v>1887</v>
      </c>
      <c r="P26" s="18" t="s">
        <v>1878</v>
      </c>
      <c r="Q26" s="18" t="s">
        <v>1867</v>
      </c>
      <c r="R26" s="18" t="s">
        <v>1888</v>
      </c>
    </row>
    <row r="27">
      <c r="A27" s="16" t="s">
        <v>42</v>
      </c>
      <c r="B27" s="1" t="s">
        <v>2017</v>
      </c>
      <c r="C27" s="1" t="s">
        <v>2018</v>
      </c>
      <c r="D27" s="1" t="s">
        <v>1949</v>
      </c>
      <c r="E27" s="1">
        <f>+251921498392</f>
        <v>251921498392</v>
      </c>
      <c r="F27" s="1" t="s">
        <v>66</v>
      </c>
      <c r="G27" s="1" t="s">
        <v>67</v>
      </c>
      <c r="H27" s="16" t="s">
        <v>2482</v>
      </c>
      <c r="I27" s="17" t="s">
        <v>1866</v>
      </c>
      <c r="J27" s="18" t="s">
        <v>1867</v>
      </c>
      <c r="K27" s="1"/>
      <c r="L27" s="18" t="s">
        <v>1887</v>
      </c>
      <c r="M27" s="18" t="s">
        <v>1867</v>
      </c>
      <c r="N27" s="1"/>
      <c r="O27" s="18" t="s">
        <v>1887</v>
      </c>
      <c r="P27" s="18" t="s">
        <v>1878</v>
      </c>
      <c r="Q27" s="18" t="s">
        <v>1867</v>
      </c>
      <c r="R27" s="18" t="s">
        <v>1888</v>
      </c>
    </row>
    <row r="28">
      <c r="A28" s="16" t="s">
        <v>42</v>
      </c>
      <c r="B28" s="1" t="s">
        <v>2034</v>
      </c>
      <c r="C28" s="1" t="s">
        <v>2035</v>
      </c>
      <c r="D28" s="1" t="s">
        <v>2036</v>
      </c>
      <c r="E28" s="1">
        <f>+251916409334</f>
        <v>251916409334</v>
      </c>
      <c r="F28" s="1" t="s">
        <v>66</v>
      </c>
      <c r="G28" s="1" t="s">
        <v>90</v>
      </c>
      <c r="H28" s="16" t="s">
        <v>2482</v>
      </c>
      <c r="I28" s="17" t="s">
        <v>1866</v>
      </c>
      <c r="J28" s="18" t="s">
        <v>1867</v>
      </c>
      <c r="K28" s="18" t="s">
        <v>2501</v>
      </c>
      <c r="L28" s="18" t="s">
        <v>1876</v>
      </c>
      <c r="M28" s="18" t="s">
        <v>1867</v>
      </c>
      <c r="N28" s="1"/>
      <c r="O28" s="18" t="s">
        <v>1882</v>
      </c>
      <c r="P28" s="18" t="s">
        <v>1883</v>
      </c>
      <c r="Q28" s="18" t="s">
        <v>1867</v>
      </c>
      <c r="R28" s="18" t="s">
        <v>1879</v>
      </c>
    </row>
    <row r="29">
      <c r="A29" s="16" t="s">
        <v>42</v>
      </c>
      <c r="B29" s="1" t="s">
        <v>2037</v>
      </c>
      <c r="C29" s="1" t="s">
        <v>510</v>
      </c>
      <c r="D29" s="1" t="s">
        <v>2038</v>
      </c>
      <c r="E29" s="1">
        <f>+251915963822</f>
        <v>251915963822</v>
      </c>
      <c r="F29" s="1" t="s">
        <v>66</v>
      </c>
      <c r="G29" s="1" t="s">
        <v>90</v>
      </c>
      <c r="H29" s="16" t="s">
        <v>2482</v>
      </c>
      <c r="I29" s="17" t="s">
        <v>1866</v>
      </c>
      <c r="J29" s="18" t="s">
        <v>1867</v>
      </c>
      <c r="K29" s="1"/>
      <c r="L29" s="18" t="s">
        <v>1892</v>
      </c>
      <c r="M29" s="18" t="s">
        <v>1867</v>
      </c>
      <c r="N29" s="1"/>
      <c r="O29" s="18" t="s">
        <v>2503</v>
      </c>
      <c r="P29" s="18" t="s">
        <v>1883</v>
      </c>
      <c r="Q29" s="18" t="s">
        <v>1867</v>
      </c>
      <c r="R29" s="18" t="s">
        <v>1879</v>
      </c>
      <c r="S29" s="19" t="s">
        <v>2504</v>
      </c>
    </row>
    <row r="30">
      <c r="A30" s="16" t="s">
        <v>42</v>
      </c>
      <c r="B30" s="1" t="s">
        <v>2028</v>
      </c>
      <c r="C30" s="1" t="s">
        <v>2029</v>
      </c>
      <c r="D30" s="1" t="s">
        <v>2030</v>
      </c>
      <c r="E30" s="1">
        <f>+251916986638</f>
        <v>251916986638</v>
      </c>
      <c r="F30" s="1" t="s">
        <v>66</v>
      </c>
      <c r="G30" s="1" t="s">
        <v>67</v>
      </c>
      <c r="H30" s="16" t="s">
        <v>2482</v>
      </c>
      <c r="I30" s="17" t="s">
        <v>1866</v>
      </c>
      <c r="J30" s="18" t="s">
        <v>1867</v>
      </c>
      <c r="K30" s="18" t="s">
        <v>2505</v>
      </c>
      <c r="L30" s="1"/>
      <c r="M30" s="1"/>
      <c r="N30" s="1"/>
      <c r="O30" s="1"/>
      <c r="P30" s="1"/>
      <c r="Q30" s="1"/>
      <c r="R30" s="18" t="s">
        <v>1893</v>
      </c>
      <c r="S30" s="19" t="s">
        <v>2485</v>
      </c>
    </row>
    <row r="31">
      <c r="A31" s="16" t="s">
        <v>42</v>
      </c>
      <c r="B31" s="1" t="s">
        <v>2039</v>
      </c>
      <c r="C31" s="1" t="s">
        <v>2040</v>
      </c>
      <c r="D31" s="1" t="s">
        <v>1464</v>
      </c>
      <c r="E31" s="1">
        <f>+251915305220</f>
        <v>251915305220</v>
      </c>
      <c r="F31" s="1" t="s">
        <v>66</v>
      </c>
      <c r="G31" s="1" t="s">
        <v>200</v>
      </c>
      <c r="H31" s="16" t="s">
        <v>2482</v>
      </c>
      <c r="I31" s="17" t="s">
        <v>1866</v>
      </c>
      <c r="J31" s="18" t="s">
        <v>1867</v>
      </c>
      <c r="K31" s="1"/>
      <c r="L31" s="18" t="s">
        <v>1887</v>
      </c>
      <c r="M31" s="18" t="s">
        <v>1867</v>
      </c>
      <c r="N31" s="1"/>
      <c r="O31" s="18" t="s">
        <v>1887</v>
      </c>
      <c r="P31" s="18" t="s">
        <v>1878</v>
      </c>
      <c r="Q31" s="18" t="s">
        <v>1867</v>
      </c>
      <c r="R31" s="18" t="s">
        <v>1888</v>
      </c>
    </row>
    <row r="32">
      <c r="A32" s="16" t="s">
        <v>42</v>
      </c>
      <c r="B32" s="1" t="s">
        <v>2041</v>
      </c>
      <c r="C32" s="1" t="s">
        <v>2042</v>
      </c>
      <c r="D32" s="1" t="s">
        <v>2043</v>
      </c>
      <c r="E32" s="1">
        <f>+251915167376</f>
        <v>251915167376</v>
      </c>
      <c r="F32" s="1" t="s">
        <v>66</v>
      </c>
      <c r="G32" s="1" t="s">
        <v>67</v>
      </c>
      <c r="H32" s="16" t="s">
        <v>2482</v>
      </c>
      <c r="I32" s="17" t="s">
        <v>1866</v>
      </c>
      <c r="J32" s="18" t="s">
        <v>1867</v>
      </c>
      <c r="K32" s="18" t="s">
        <v>2506</v>
      </c>
      <c r="L32" s="1"/>
      <c r="M32" s="1"/>
      <c r="N32" s="1"/>
      <c r="O32" s="1"/>
      <c r="P32" s="1"/>
      <c r="Q32" s="1"/>
      <c r="R32" s="18" t="s">
        <v>1903</v>
      </c>
      <c r="S32" s="19" t="s">
        <v>2507</v>
      </c>
    </row>
    <row r="33">
      <c r="A33" s="16" t="s">
        <v>42</v>
      </c>
      <c r="B33" s="1" t="s">
        <v>2050</v>
      </c>
      <c r="C33" s="1" t="s">
        <v>745</v>
      </c>
      <c r="D33" s="1" t="s">
        <v>2022</v>
      </c>
      <c r="E33" s="1">
        <f>+251912141115</f>
        <v>251912141115</v>
      </c>
      <c r="F33" s="1" t="s">
        <v>66</v>
      </c>
      <c r="G33" s="1" t="s">
        <v>67</v>
      </c>
      <c r="H33" s="16" t="s">
        <v>2482</v>
      </c>
      <c r="I33" s="17" t="s">
        <v>1866</v>
      </c>
      <c r="J33" s="18" t="s">
        <v>1867</v>
      </c>
      <c r="K33" s="1"/>
      <c r="L33" s="18" t="s">
        <v>1887</v>
      </c>
      <c r="M33" s="18" t="s">
        <v>1867</v>
      </c>
      <c r="N33" s="1"/>
      <c r="O33" s="18" t="s">
        <v>1887</v>
      </c>
      <c r="P33" s="18" t="s">
        <v>1878</v>
      </c>
      <c r="Q33" s="18" t="s">
        <v>1867</v>
      </c>
      <c r="R33" s="18" t="s">
        <v>1888</v>
      </c>
      <c r="S33" s="19" t="s">
        <v>2489</v>
      </c>
    </row>
    <row r="34">
      <c r="A34" s="16" t="s">
        <v>42</v>
      </c>
      <c r="B34" s="1" t="s">
        <v>2053</v>
      </c>
      <c r="C34" s="1" t="s">
        <v>2054</v>
      </c>
      <c r="D34" s="1" t="s">
        <v>2055</v>
      </c>
      <c r="E34" s="1">
        <f>+251911535727</f>
        <v>251911535727</v>
      </c>
      <c r="F34" s="1" t="s">
        <v>66</v>
      </c>
      <c r="G34" s="1" t="s">
        <v>95</v>
      </c>
      <c r="H34" s="16" t="s">
        <v>2482</v>
      </c>
      <c r="I34" s="17" t="s">
        <v>1866</v>
      </c>
      <c r="J34" s="18" t="s">
        <v>1867</v>
      </c>
      <c r="K34" s="18" t="s">
        <v>2498</v>
      </c>
      <c r="L34" s="18" t="s">
        <v>1892</v>
      </c>
      <c r="M34" s="18" t="s">
        <v>1867</v>
      </c>
      <c r="N34" s="1"/>
      <c r="O34" s="18" t="s">
        <v>1882</v>
      </c>
      <c r="P34" s="18" t="s">
        <v>1883</v>
      </c>
      <c r="Q34" s="18" t="s">
        <v>1867</v>
      </c>
      <c r="R34" s="18" t="s">
        <v>1879</v>
      </c>
    </row>
    <row r="35">
      <c r="A35" s="16" t="s">
        <v>42</v>
      </c>
      <c r="B35" s="1" t="s">
        <v>2056</v>
      </c>
      <c r="C35" s="1" t="s">
        <v>2057</v>
      </c>
      <c r="D35" s="1" t="s">
        <v>389</v>
      </c>
      <c r="E35" s="1">
        <f>+251911028876</f>
        <v>251911028876</v>
      </c>
      <c r="F35" s="1" t="s">
        <v>66</v>
      </c>
      <c r="G35" s="1" t="s">
        <v>67</v>
      </c>
      <c r="H35" s="16" t="s">
        <v>2482</v>
      </c>
      <c r="I35" s="17" t="s">
        <v>1866</v>
      </c>
      <c r="J35" s="18" t="s">
        <v>1867</v>
      </c>
      <c r="K35" s="1"/>
      <c r="L35" s="18" t="s">
        <v>1876</v>
      </c>
      <c r="M35" s="18" t="s">
        <v>1867</v>
      </c>
      <c r="N35" s="1"/>
      <c r="O35" s="18" t="s">
        <v>1882</v>
      </c>
      <c r="P35" s="18" t="s">
        <v>1883</v>
      </c>
      <c r="Q35" s="18" t="s">
        <v>1867</v>
      </c>
      <c r="R35" s="18" t="s">
        <v>1879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6" t="s">
        <v>42</v>
      </c>
      <c r="B36" s="1" t="s">
        <v>1941</v>
      </c>
      <c r="C36" s="1" t="s">
        <v>671</v>
      </c>
      <c r="D36" s="1" t="s">
        <v>1942</v>
      </c>
      <c r="E36" s="1">
        <f>+251969695859</f>
        <v>251969695859</v>
      </c>
      <c r="F36" s="1" t="s">
        <v>66</v>
      </c>
      <c r="G36" s="1" t="s">
        <v>67</v>
      </c>
      <c r="H36" s="16" t="s">
        <v>2482</v>
      </c>
      <c r="I36" s="17" t="s">
        <v>1912</v>
      </c>
      <c r="J36" s="18"/>
      <c r="K36" s="18"/>
      <c r="L36" s="18"/>
      <c r="M36" s="18"/>
      <c r="N36" s="1"/>
      <c r="O36" s="18"/>
      <c r="P36" s="18"/>
      <c r="Q36" s="18"/>
      <c r="R36" s="18"/>
    </row>
    <row r="37">
      <c r="A37" s="16" t="s">
        <v>42</v>
      </c>
      <c r="B37" s="1" t="s">
        <v>1974</v>
      </c>
      <c r="C37" s="1" t="s">
        <v>742</v>
      </c>
      <c r="D37" s="1" t="s">
        <v>1975</v>
      </c>
      <c r="E37" s="1">
        <f>+251947139308</f>
        <v>251947139308</v>
      </c>
      <c r="F37" s="1" t="s">
        <v>66</v>
      </c>
      <c r="G37" s="1" t="s">
        <v>67</v>
      </c>
      <c r="H37" s="16" t="s">
        <v>2482</v>
      </c>
      <c r="I37" s="17" t="s">
        <v>1912</v>
      </c>
      <c r="J37" s="18"/>
      <c r="K37" s="1"/>
      <c r="L37" s="18"/>
      <c r="M37" s="18"/>
      <c r="N37" s="18"/>
      <c r="O37" s="18"/>
      <c r="P37" s="18"/>
      <c r="Q37" s="18"/>
      <c r="R37" s="18"/>
    </row>
    <row r="38">
      <c r="A38" s="16" t="s">
        <v>42</v>
      </c>
      <c r="B38" s="1" t="s">
        <v>1994</v>
      </c>
      <c r="C38" s="1" t="s">
        <v>785</v>
      </c>
      <c r="D38" s="1" t="s">
        <v>1377</v>
      </c>
      <c r="E38" s="1">
        <f>+251932064555</f>
        <v>251932064555</v>
      </c>
      <c r="F38" s="1" t="s">
        <v>66</v>
      </c>
      <c r="G38" s="1" t="s">
        <v>67</v>
      </c>
      <c r="H38" s="16" t="s">
        <v>2482</v>
      </c>
      <c r="I38" s="17" t="s">
        <v>1912</v>
      </c>
      <c r="J38" s="18"/>
      <c r="K38" s="1"/>
      <c r="L38" s="18"/>
      <c r="M38" s="18"/>
      <c r="N38" s="1"/>
      <c r="O38" s="18"/>
      <c r="P38" s="18"/>
      <c r="Q38" s="18"/>
      <c r="R38" s="18"/>
    </row>
    <row r="39">
      <c r="A39" s="16" t="s">
        <v>42</v>
      </c>
      <c r="B39" s="1" t="s">
        <v>1997</v>
      </c>
      <c r="C39" s="1" t="s">
        <v>991</v>
      </c>
      <c r="D39" s="1" t="s">
        <v>1998</v>
      </c>
      <c r="E39" s="1">
        <f>+251929229920</f>
        <v>251929229920</v>
      </c>
      <c r="F39" s="1" t="s">
        <v>66</v>
      </c>
      <c r="G39" s="1" t="s">
        <v>67</v>
      </c>
      <c r="H39" s="16" t="s">
        <v>2482</v>
      </c>
      <c r="I39" s="17" t="s">
        <v>1912</v>
      </c>
      <c r="J39" s="18"/>
      <c r="K39" s="18"/>
      <c r="L39" s="1"/>
      <c r="M39" s="1"/>
      <c r="N39" s="1"/>
      <c r="O39" s="1"/>
      <c r="P39" s="1"/>
      <c r="Q39" s="1"/>
      <c r="R39" s="18"/>
    </row>
    <row r="40">
      <c r="A40" s="16" t="s">
        <v>42</v>
      </c>
      <c r="B40" s="1" t="s">
        <v>2006</v>
      </c>
      <c r="C40" s="1" t="s">
        <v>2007</v>
      </c>
      <c r="D40" s="1" t="s">
        <v>2008</v>
      </c>
      <c r="E40" s="1">
        <f>+251923824434</f>
        <v>251923824434</v>
      </c>
      <c r="F40" s="1" t="s">
        <v>66</v>
      </c>
      <c r="G40" s="1" t="s">
        <v>129</v>
      </c>
      <c r="H40" s="16" t="s">
        <v>2482</v>
      </c>
      <c r="I40" s="17" t="s">
        <v>1912</v>
      </c>
      <c r="J40" s="18"/>
      <c r="K40" s="18"/>
      <c r="L40" s="18"/>
      <c r="M40" s="18"/>
      <c r="N40" s="1"/>
      <c r="O40" s="18"/>
      <c r="P40" s="18"/>
      <c r="Q40" s="18"/>
      <c r="R40" s="18"/>
    </row>
    <row r="41">
      <c r="A41" s="16" t="s">
        <v>42</v>
      </c>
      <c r="B41" s="1" t="s">
        <v>2021</v>
      </c>
      <c r="C41" s="1" t="s">
        <v>2022</v>
      </c>
      <c r="D41" s="1" t="s">
        <v>1305</v>
      </c>
      <c r="E41" s="1">
        <f>+251918384162</f>
        <v>251918384162</v>
      </c>
      <c r="F41" s="1" t="s">
        <v>66</v>
      </c>
      <c r="G41" s="1" t="s">
        <v>71</v>
      </c>
      <c r="H41" s="16" t="s">
        <v>2482</v>
      </c>
      <c r="I41" s="17" t="s">
        <v>1912</v>
      </c>
      <c r="J41" s="1"/>
      <c r="K41" s="1"/>
      <c r="L41" s="1"/>
      <c r="M41" s="1"/>
      <c r="N41" s="1"/>
      <c r="O41" s="1"/>
      <c r="P41" s="1"/>
      <c r="Q41" s="1"/>
      <c r="R41" s="1"/>
    </row>
    <row r="42">
      <c r="A42" s="16" t="s">
        <v>42</v>
      </c>
      <c r="B42" s="1" t="s">
        <v>2023</v>
      </c>
      <c r="C42" s="1" t="s">
        <v>2024</v>
      </c>
      <c r="D42" s="1" t="s">
        <v>2025</v>
      </c>
      <c r="E42" s="1">
        <f>+251917911085</f>
        <v>251917911085</v>
      </c>
      <c r="F42" s="1" t="s">
        <v>66</v>
      </c>
      <c r="G42" s="1" t="s">
        <v>67</v>
      </c>
      <c r="H42" s="16" t="s">
        <v>2482</v>
      </c>
      <c r="I42" s="17" t="s">
        <v>1912</v>
      </c>
      <c r="J42" s="1"/>
      <c r="K42" s="1"/>
      <c r="L42" s="1"/>
      <c r="M42" s="1"/>
      <c r="N42" s="1"/>
      <c r="O42" s="1"/>
      <c r="P42" s="1"/>
      <c r="Q42" s="1"/>
      <c r="R42" s="1"/>
    </row>
    <row r="43">
      <c r="A43" s="16" t="s">
        <v>42</v>
      </c>
      <c r="B43" s="1" t="s">
        <v>2044</v>
      </c>
      <c r="C43" s="1" t="s">
        <v>1218</v>
      </c>
      <c r="D43" s="1" t="s">
        <v>2045</v>
      </c>
      <c r="E43" s="1">
        <f>+251913333903</f>
        <v>251913333903</v>
      </c>
      <c r="F43" s="1" t="s">
        <v>66</v>
      </c>
      <c r="G43" s="1" t="s">
        <v>71</v>
      </c>
      <c r="H43" s="16" t="s">
        <v>2482</v>
      </c>
      <c r="I43" s="17" t="s">
        <v>1912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6" t="s">
        <v>42</v>
      </c>
      <c r="B44" s="1" t="s">
        <v>2046</v>
      </c>
      <c r="C44" s="1" t="s">
        <v>230</v>
      </c>
      <c r="D44" s="1" t="s">
        <v>938</v>
      </c>
      <c r="E44" s="1">
        <f>+251912795277</f>
        <v>251912795277</v>
      </c>
      <c r="F44" s="1" t="s">
        <v>66</v>
      </c>
      <c r="G44" s="1" t="s">
        <v>67</v>
      </c>
      <c r="H44" s="16" t="s">
        <v>2482</v>
      </c>
      <c r="I44" s="17" t="s">
        <v>1912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6" t="s">
        <v>42</v>
      </c>
      <c r="B45" s="1" t="s">
        <v>1937</v>
      </c>
      <c r="C45" s="1" t="s">
        <v>1938</v>
      </c>
      <c r="D45" s="1" t="s">
        <v>1939</v>
      </c>
      <c r="E45" s="1">
        <f>+251987977967</f>
        <v>251987977967</v>
      </c>
      <c r="F45" s="1" t="s">
        <v>66</v>
      </c>
      <c r="G45" s="1" t="s">
        <v>71</v>
      </c>
      <c r="H45" s="16" t="s">
        <v>2482</v>
      </c>
      <c r="I45" s="17" t="s">
        <v>1913</v>
      </c>
      <c r="J45" s="18"/>
      <c r="K45" s="18"/>
      <c r="L45" s="18"/>
      <c r="M45" s="18"/>
      <c r="N45" s="1"/>
      <c r="O45" s="18"/>
      <c r="P45" s="18"/>
      <c r="Q45" s="18"/>
      <c r="R45" s="18"/>
    </row>
    <row r="46">
      <c r="A46" s="16" t="s">
        <v>42</v>
      </c>
      <c r="B46" s="1" t="s">
        <v>1948</v>
      </c>
      <c r="C46" s="1" t="s">
        <v>1604</v>
      </c>
      <c r="D46" s="1" t="s">
        <v>1949</v>
      </c>
      <c r="E46" s="1">
        <f>+251966896746</f>
        <v>251966896746</v>
      </c>
      <c r="F46" s="1" t="s">
        <v>66</v>
      </c>
      <c r="G46" s="1" t="s">
        <v>67</v>
      </c>
      <c r="H46" s="16" t="s">
        <v>2482</v>
      </c>
      <c r="I46" s="17" t="s">
        <v>1913</v>
      </c>
      <c r="J46" s="18"/>
      <c r="K46" s="1"/>
      <c r="L46" s="18"/>
      <c r="M46" s="18"/>
      <c r="N46" s="1"/>
      <c r="O46" s="18"/>
      <c r="P46" s="18"/>
      <c r="Q46" s="18"/>
      <c r="R46" s="18"/>
    </row>
    <row r="47">
      <c r="A47" s="16" t="s">
        <v>42</v>
      </c>
      <c r="B47" s="1" t="s">
        <v>1950</v>
      </c>
      <c r="C47" s="1" t="s">
        <v>27</v>
      </c>
      <c r="D47" s="1" t="s">
        <v>1430</v>
      </c>
      <c r="E47" s="1">
        <f>+251966827083</f>
        <v>251966827083</v>
      </c>
      <c r="F47" s="1" t="s">
        <v>66</v>
      </c>
      <c r="G47" s="1" t="s">
        <v>129</v>
      </c>
      <c r="H47" s="16" t="s">
        <v>2482</v>
      </c>
      <c r="I47" s="17" t="s">
        <v>1913</v>
      </c>
      <c r="J47" s="18"/>
      <c r="K47" s="18"/>
      <c r="L47" s="18"/>
      <c r="M47" s="18"/>
      <c r="N47" s="1"/>
      <c r="O47" s="18"/>
      <c r="P47" s="18"/>
      <c r="Q47" s="18"/>
      <c r="R47" s="18"/>
    </row>
    <row r="48">
      <c r="A48" s="16" t="s">
        <v>42</v>
      </c>
      <c r="B48" s="1" t="s">
        <v>1955</v>
      </c>
      <c r="C48" s="1" t="s">
        <v>1956</v>
      </c>
      <c r="D48" s="1" t="s">
        <v>1957</v>
      </c>
      <c r="E48" s="1">
        <f>+251961519817</f>
        <v>251961519817</v>
      </c>
      <c r="F48" s="1" t="s">
        <v>66</v>
      </c>
      <c r="G48" s="1" t="s">
        <v>67</v>
      </c>
      <c r="H48" s="16" t="s">
        <v>2482</v>
      </c>
      <c r="I48" s="17" t="s">
        <v>1913</v>
      </c>
      <c r="J48" s="18"/>
      <c r="K48" s="18"/>
      <c r="L48" s="18"/>
      <c r="M48" s="18"/>
      <c r="N48" s="1"/>
      <c r="O48" s="18"/>
      <c r="P48" s="18"/>
      <c r="Q48" s="18"/>
      <c r="R48" s="18"/>
    </row>
    <row r="49">
      <c r="A49" s="16" t="s">
        <v>42</v>
      </c>
      <c r="B49" s="1" t="s">
        <v>1958</v>
      </c>
      <c r="C49" s="1" t="s">
        <v>283</v>
      </c>
      <c r="D49" s="1" t="s">
        <v>1959</v>
      </c>
      <c r="E49" s="1">
        <f>+251960658788</f>
        <v>251960658788</v>
      </c>
      <c r="F49" s="1" t="s">
        <v>66</v>
      </c>
      <c r="G49" s="1" t="s">
        <v>90</v>
      </c>
      <c r="H49" s="16" t="s">
        <v>2482</v>
      </c>
      <c r="I49" s="17" t="s">
        <v>1913</v>
      </c>
      <c r="J49" s="18"/>
      <c r="K49" s="1"/>
      <c r="L49" s="18"/>
      <c r="M49" s="18"/>
      <c r="N49" s="1"/>
      <c r="O49" s="18"/>
      <c r="P49" s="18"/>
      <c r="Q49" s="18"/>
      <c r="R49" s="18"/>
    </row>
    <row r="50">
      <c r="A50" s="16" t="s">
        <v>42</v>
      </c>
      <c r="B50" s="1" t="s">
        <v>1962</v>
      </c>
      <c r="C50" s="1" t="s">
        <v>1963</v>
      </c>
      <c r="D50" s="1" t="s">
        <v>169</v>
      </c>
      <c r="E50" s="1">
        <f>+251954923543</f>
        <v>251954923543</v>
      </c>
      <c r="F50" s="1" t="s">
        <v>66</v>
      </c>
      <c r="G50" s="1" t="s">
        <v>67</v>
      </c>
      <c r="H50" s="16" t="s">
        <v>2482</v>
      </c>
      <c r="I50" s="17" t="s">
        <v>1913</v>
      </c>
      <c r="J50" s="18"/>
      <c r="K50" s="1"/>
      <c r="L50" s="18"/>
      <c r="M50" s="18"/>
      <c r="N50" s="1"/>
      <c r="O50" s="18"/>
      <c r="P50" s="18"/>
      <c r="Q50" s="18"/>
      <c r="R50" s="18"/>
    </row>
    <row r="51">
      <c r="A51" s="16" t="s">
        <v>42</v>
      </c>
      <c r="B51" s="1" t="s">
        <v>1971</v>
      </c>
      <c r="C51" s="1" t="s">
        <v>1972</v>
      </c>
      <c r="D51" s="1" t="s">
        <v>1973</v>
      </c>
      <c r="E51" s="1">
        <f>+251947349134</f>
        <v>251947349134</v>
      </c>
      <c r="F51" s="1" t="s">
        <v>66</v>
      </c>
      <c r="G51" s="1" t="s">
        <v>76</v>
      </c>
      <c r="H51" s="16" t="s">
        <v>2482</v>
      </c>
      <c r="I51" s="17" t="s">
        <v>1913</v>
      </c>
      <c r="J51" s="18"/>
      <c r="K51" s="18"/>
      <c r="L51" s="18"/>
      <c r="M51" s="18"/>
      <c r="N51" s="1"/>
      <c r="O51" s="18"/>
      <c r="P51" s="18"/>
      <c r="Q51" s="18"/>
      <c r="R51" s="18"/>
    </row>
    <row r="52">
      <c r="A52" s="16" t="s">
        <v>42</v>
      </c>
      <c r="B52" s="1" t="s">
        <v>1977</v>
      </c>
      <c r="C52" s="1" t="s">
        <v>738</v>
      </c>
      <c r="D52" s="1" t="s">
        <v>730</v>
      </c>
      <c r="E52" s="1">
        <f>+251941147254</f>
        <v>251941147254</v>
      </c>
      <c r="F52" s="1" t="s">
        <v>66</v>
      </c>
      <c r="G52" s="1" t="s">
        <v>76</v>
      </c>
      <c r="H52" s="16" t="s">
        <v>2482</v>
      </c>
      <c r="I52" s="17" t="s">
        <v>1913</v>
      </c>
      <c r="J52" s="18"/>
      <c r="K52" s="18"/>
      <c r="L52" s="18"/>
      <c r="M52" s="18"/>
      <c r="N52" s="1"/>
      <c r="O52" s="18"/>
      <c r="P52" s="18"/>
      <c r="Q52" s="18"/>
      <c r="R52" s="18"/>
    </row>
    <row r="53">
      <c r="A53" s="16" t="s">
        <v>42</v>
      </c>
      <c r="B53" s="1" t="s">
        <v>1988</v>
      </c>
      <c r="C53" s="1" t="s">
        <v>1989</v>
      </c>
      <c r="D53" s="1" t="s">
        <v>1990</v>
      </c>
      <c r="E53" s="1">
        <f>+251933822008</f>
        <v>251933822008</v>
      </c>
      <c r="F53" s="1" t="s">
        <v>66</v>
      </c>
      <c r="G53" s="1" t="s">
        <v>67</v>
      </c>
      <c r="H53" s="16" t="s">
        <v>2482</v>
      </c>
      <c r="I53" s="17" t="s">
        <v>1913</v>
      </c>
      <c r="J53" s="18"/>
      <c r="K53" s="1"/>
      <c r="L53" s="18"/>
      <c r="M53" s="18"/>
      <c r="N53" s="1"/>
      <c r="O53" s="18"/>
      <c r="P53" s="18"/>
      <c r="Q53" s="18"/>
      <c r="R53" s="18"/>
    </row>
    <row r="54">
      <c r="A54" s="16" t="s">
        <v>42</v>
      </c>
      <c r="B54" s="1" t="s">
        <v>1999</v>
      </c>
      <c r="C54" s="1" t="s">
        <v>1266</v>
      </c>
      <c r="D54" s="1" t="s">
        <v>447</v>
      </c>
      <c r="E54" s="1">
        <f>+251929161063</f>
        <v>251929161063</v>
      </c>
      <c r="F54" s="1" t="s">
        <v>66</v>
      </c>
      <c r="G54" s="1" t="s">
        <v>67</v>
      </c>
      <c r="H54" s="16" t="s">
        <v>2482</v>
      </c>
      <c r="I54" s="17" t="s">
        <v>1913</v>
      </c>
      <c r="J54" s="18"/>
      <c r="K54" s="18"/>
      <c r="L54" s="18"/>
      <c r="M54" s="18"/>
      <c r="N54" s="1"/>
      <c r="O54" s="18"/>
      <c r="P54" s="18"/>
      <c r="Q54" s="18"/>
      <c r="R54" s="18"/>
    </row>
    <row r="55">
      <c r="A55" s="16" t="s">
        <v>42</v>
      </c>
      <c r="B55" s="1" t="s">
        <v>2015</v>
      </c>
      <c r="C55" s="1" t="s">
        <v>900</v>
      </c>
      <c r="D55" s="1" t="s">
        <v>2016</v>
      </c>
      <c r="E55" s="1">
        <f>+251922214866</f>
        <v>251922214866</v>
      </c>
      <c r="F55" s="1" t="s">
        <v>66</v>
      </c>
      <c r="G55" s="1" t="s">
        <v>95</v>
      </c>
      <c r="H55" s="16" t="s">
        <v>2482</v>
      </c>
      <c r="I55" s="17" t="s">
        <v>1913</v>
      </c>
      <c r="J55" s="1"/>
      <c r="K55" s="1"/>
      <c r="L55" s="1"/>
      <c r="M55" s="1"/>
      <c r="N55" s="1"/>
      <c r="O55" s="1"/>
      <c r="P55" s="1"/>
      <c r="Q55" s="1"/>
      <c r="R55" s="1"/>
    </row>
    <row r="56">
      <c r="A56" s="16" t="s">
        <v>42</v>
      </c>
      <c r="B56" s="1" t="s">
        <v>2019</v>
      </c>
      <c r="C56" s="1" t="s">
        <v>2020</v>
      </c>
      <c r="D56" s="1" t="s">
        <v>1546</v>
      </c>
      <c r="E56" s="1">
        <v>2.5191998127E11</v>
      </c>
      <c r="F56" s="1" t="s">
        <v>66</v>
      </c>
      <c r="G56" s="1" t="s">
        <v>67</v>
      </c>
      <c r="H56" s="16" t="s">
        <v>2482</v>
      </c>
      <c r="I56" s="17" t="s">
        <v>1913</v>
      </c>
      <c r="J56" s="1"/>
      <c r="K56" s="1"/>
      <c r="L56" s="1"/>
      <c r="M56" s="1"/>
      <c r="N56" s="1"/>
      <c r="O56" s="1"/>
      <c r="P56" s="1"/>
      <c r="Q56" s="1"/>
      <c r="R56" s="1"/>
    </row>
    <row r="57">
      <c r="A57" s="16" t="s">
        <v>42</v>
      </c>
      <c r="B57" s="1" t="s">
        <v>2026</v>
      </c>
      <c r="C57" s="1" t="s">
        <v>2027</v>
      </c>
      <c r="D57" s="1" t="s">
        <v>59</v>
      </c>
      <c r="E57" s="1">
        <f>+251917076206</f>
        <v>251917076206</v>
      </c>
      <c r="F57" s="1" t="s">
        <v>66</v>
      </c>
      <c r="G57" s="1" t="s">
        <v>67</v>
      </c>
      <c r="H57" s="16" t="s">
        <v>2482</v>
      </c>
      <c r="I57" s="17" t="s">
        <v>1913</v>
      </c>
      <c r="J57" s="1"/>
      <c r="K57" s="1"/>
      <c r="L57" s="1"/>
      <c r="M57" s="1"/>
      <c r="N57" s="1"/>
      <c r="O57" s="1"/>
      <c r="P57" s="1"/>
      <c r="Q57" s="1"/>
      <c r="R57" s="1"/>
    </row>
    <row r="58">
      <c r="A58" s="16" t="s">
        <v>42</v>
      </c>
      <c r="B58" s="1" t="s">
        <v>2031</v>
      </c>
      <c r="C58" s="1" t="s">
        <v>2032</v>
      </c>
      <c r="D58" s="1" t="s">
        <v>2033</v>
      </c>
      <c r="E58" s="1">
        <f>+251916623344</f>
        <v>251916623344</v>
      </c>
      <c r="F58" s="1" t="s">
        <v>66</v>
      </c>
      <c r="G58" s="1" t="s">
        <v>71</v>
      </c>
      <c r="H58" s="16" t="s">
        <v>2482</v>
      </c>
      <c r="I58" s="17" t="s">
        <v>1913</v>
      </c>
      <c r="J58" s="1"/>
      <c r="K58" s="1"/>
      <c r="L58" s="1"/>
      <c r="M58" s="1"/>
      <c r="N58" s="1"/>
      <c r="O58" s="1"/>
      <c r="P58" s="1"/>
      <c r="Q58" s="1"/>
      <c r="R58" s="1"/>
    </row>
    <row r="59">
      <c r="A59" s="16" t="s">
        <v>42</v>
      </c>
      <c r="B59" s="1" t="s">
        <v>2011</v>
      </c>
      <c r="C59" s="1" t="s">
        <v>2012</v>
      </c>
      <c r="D59" s="1" t="s">
        <v>267</v>
      </c>
      <c r="E59" s="1">
        <f>+251923149114</f>
        <v>251923149114</v>
      </c>
      <c r="F59" s="1" t="s">
        <v>66</v>
      </c>
      <c r="G59" s="1" t="s">
        <v>67</v>
      </c>
      <c r="H59" s="16" t="s">
        <v>2482</v>
      </c>
      <c r="I59" s="17" t="s">
        <v>2508</v>
      </c>
      <c r="J59" s="1"/>
      <c r="K59" s="1"/>
      <c r="L59" s="1"/>
      <c r="M59" s="1"/>
      <c r="N59" s="1"/>
      <c r="O59" s="1"/>
      <c r="P59" s="1"/>
      <c r="Q59" s="1"/>
      <c r="R59" s="1"/>
    </row>
    <row r="60">
      <c r="A60" s="16" t="s">
        <v>42</v>
      </c>
      <c r="B60" s="1" t="s">
        <v>2047</v>
      </c>
      <c r="C60" s="1" t="s">
        <v>2048</v>
      </c>
      <c r="D60" s="1" t="s">
        <v>2049</v>
      </c>
      <c r="E60" s="1">
        <f>+251912669087</f>
        <v>251912669087</v>
      </c>
      <c r="F60" s="1" t="s">
        <v>66</v>
      </c>
      <c r="G60" s="1" t="s">
        <v>67</v>
      </c>
      <c r="H60" s="16" t="s">
        <v>2482</v>
      </c>
      <c r="I60" s="17" t="s">
        <v>2508</v>
      </c>
      <c r="J60" s="1"/>
      <c r="K60" s="1"/>
      <c r="L60" s="1"/>
      <c r="M60" s="1"/>
      <c r="N60" s="1"/>
      <c r="O60" s="1"/>
      <c r="P60" s="1"/>
      <c r="Q60" s="1"/>
      <c r="R60" s="1"/>
    </row>
    <row r="61">
      <c r="A61" s="16" t="s">
        <v>42</v>
      </c>
      <c r="B61" s="1" t="s">
        <v>2051</v>
      </c>
      <c r="C61" s="1" t="s">
        <v>730</v>
      </c>
      <c r="D61" s="1" t="s">
        <v>2052</v>
      </c>
      <c r="E61" s="1">
        <f>+251911608543</f>
        <v>251911608543</v>
      </c>
      <c r="F61" s="1" t="s">
        <v>66</v>
      </c>
      <c r="G61" s="1" t="s">
        <v>67</v>
      </c>
      <c r="H61" s="16" t="s">
        <v>2482</v>
      </c>
      <c r="I61" s="17" t="s">
        <v>2508</v>
      </c>
      <c r="J61" s="1"/>
      <c r="K61" s="1"/>
      <c r="L61" s="1"/>
      <c r="M61" s="1"/>
      <c r="N61" s="1"/>
      <c r="O61" s="1"/>
      <c r="P61" s="1"/>
      <c r="Q61" s="1"/>
      <c r="R61" s="1"/>
    </row>
  </sheetData>
  <dataValidations>
    <dataValidation type="list" allowBlank="1" showErrorMessage="1" sqref="O2:O61">
      <formula1>"Virtual session,In person,Phone call,Not interested at the moment,Aready Finished"</formula1>
    </dataValidation>
    <dataValidation type="list" allowBlank="1" showErrorMessage="1" sqref="H2:H61">
      <formula1>"Data Analytics,Pro Dev,Front-end,Back-end,AWS ,Salesforce,AiCE,Pathway,virtual assistant,Data Science,Content Creation,Cyber Security,Data Engeneer,Front-End"</formula1>
    </dataValidation>
    <dataValidation type="list" allowBlank="1" showErrorMessage="1" sqref="L2:L61">
      <formula1>"Immediately ,Later Today,This Week,Not interested anymore,Aready Finished"</formula1>
    </dataValidation>
    <dataValidation type="list" allowBlank="1" showErrorMessage="1" sqref="I2:I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J2:J61 M2:M61 Q2:Q61">
      <formula1>"YES,NO"</formula1>
    </dataValidation>
    <dataValidation type="list" allowBlank="1" showErrorMessage="1" sqref="P2:P61">
      <formula1>"Wednesday,Friday,Won't Attend,Done,Today"</formula1>
    </dataValidation>
    <dataValidation type="list" allowBlank="1" showErrorMessage="1" sqref="R2:R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9.25"/>
    <col customWidth="1" min="7" max="7" width="27.63"/>
    <col customWidth="1" min="10" max="10" width="17.38"/>
    <col customWidth="1" min="11" max="11" width="17.13"/>
    <col customWidth="1" min="12" max="12" width="20.25"/>
    <col customWidth="1" min="13" max="13" width="27.0"/>
    <col customWidth="1" min="14" max="14" width="18.13"/>
    <col customWidth="1" min="15" max="15" width="35.25"/>
    <col customWidth="1" min="16" max="16" width="15.0"/>
  </cols>
  <sheetData>
    <row r="1">
      <c r="A1" s="12" t="s">
        <v>2481</v>
      </c>
      <c r="B1" s="13" t="s">
        <v>1847</v>
      </c>
      <c r="C1" s="13" t="s">
        <v>1848</v>
      </c>
      <c r="D1" s="13" t="s">
        <v>1849</v>
      </c>
      <c r="E1" s="14" t="s">
        <v>1850</v>
      </c>
      <c r="F1" s="13" t="s">
        <v>1851</v>
      </c>
      <c r="G1" s="13" t="s">
        <v>5</v>
      </c>
      <c r="H1" s="13" t="s">
        <v>1852</v>
      </c>
      <c r="I1" s="13" t="s">
        <v>1853</v>
      </c>
      <c r="J1" s="13" t="s">
        <v>1854</v>
      </c>
      <c r="K1" s="13" t="s">
        <v>1855</v>
      </c>
      <c r="L1" s="13" t="s">
        <v>1856</v>
      </c>
      <c r="M1" s="13" t="s">
        <v>1857</v>
      </c>
      <c r="N1" s="13" t="s">
        <v>1858</v>
      </c>
      <c r="O1" s="13" t="s">
        <v>1859</v>
      </c>
      <c r="P1" s="13" t="s">
        <v>1860</v>
      </c>
      <c r="Q1" s="13" t="s">
        <v>1861</v>
      </c>
      <c r="R1" s="13" t="s">
        <v>1862</v>
      </c>
      <c r="S1" s="13" t="s">
        <v>1863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16" t="s">
        <v>1434</v>
      </c>
      <c r="B2" s="1" t="s">
        <v>2509</v>
      </c>
      <c r="C2" s="1" t="s">
        <v>2510</v>
      </c>
      <c r="D2" s="1" t="s">
        <v>2511</v>
      </c>
      <c r="E2" s="1" t="s">
        <v>2512</v>
      </c>
      <c r="F2" s="1" t="s">
        <v>66</v>
      </c>
      <c r="G2" s="1" t="s">
        <v>67</v>
      </c>
      <c r="H2" s="16" t="s">
        <v>2513</v>
      </c>
      <c r="I2" s="17" t="s">
        <v>2486</v>
      </c>
      <c r="J2" s="20" t="s">
        <v>1867</v>
      </c>
      <c r="K2" s="18">
        <v>9.29937853E8</v>
      </c>
      <c r="L2" s="20" t="s">
        <v>1869</v>
      </c>
      <c r="M2" s="20" t="s">
        <v>1867</v>
      </c>
      <c r="N2" s="1"/>
      <c r="O2" s="20" t="s">
        <v>1870</v>
      </c>
      <c r="P2" s="20" t="s">
        <v>1871</v>
      </c>
      <c r="Q2" s="20" t="s">
        <v>1867</v>
      </c>
      <c r="R2" s="20" t="s">
        <v>1872</v>
      </c>
    </row>
    <row r="3">
      <c r="A3" s="16" t="s">
        <v>1434</v>
      </c>
      <c r="B3" s="1" t="s">
        <v>2074</v>
      </c>
      <c r="C3" s="1" t="s">
        <v>2075</v>
      </c>
      <c r="D3" s="1" t="s">
        <v>2076</v>
      </c>
      <c r="E3" s="3" t="s">
        <v>2514</v>
      </c>
      <c r="F3" s="1" t="s">
        <v>66</v>
      </c>
      <c r="G3" s="1" t="s">
        <v>95</v>
      </c>
      <c r="H3" s="16" t="s">
        <v>2482</v>
      </c>
      <c r="I3" s="17" t="s">
        <v>2515</v>
      </c>
      <c r="J3" s="18"/>
      <c r="K3" s="1"/>
      <c r="L3" s="18"/>
      <c r="M3" s="18"/>
      <c r="N3" s="1"/>
      <c r="O3" s="18"/>
      <c r="P3" s="18"/>
      <c r="Q3" s="18"/>
      <c r="R3" s="18"/>
    </row>
    <row r="4">
      <c r="A4" s="16" t="s">
        <v>1434</v>
      </c>
      <c r="B4" s="1" t="s">
        <v>2516</v>
      </c>
      <c r="C4" s="1" t="s">
        <v>2517</v>
      </c>
      <c r="D4" s="1" t="s">
        <v>2518</v>
      </c>
      <c r="E4" s="1" t="s">
        <v>2519</v>
      </c>
      <c r="F4" s="1" t="s">
        <v>66</v>
      </c>
      <c r="G4" s="1" t="s">
        <v>90</v>
      </c>
      <c r="H4" s="16" t="s">
        <v>2513</v>
      </c>
      <c r="I4" s="17" t="s">
        <v>1866</v>
      </c>
      <c r="J4" s="18" t="s">
        <v>1867</v>
      </c>
      <c r="K4" s="18" t="s">
        <v>1897</v>
      </c>
      <c r="L4" s="18" t="s">
        <v>1869</v>
      </c>
      <c r="M4" s="18" t="s">
        <v>1867</v>
      </c>
      <c r="N4" s="1"/>
      <c r="O4" s="18" t="s">
        <v>1870</v>
      </c>
      <c r="P4" s="18" t="s">
        <v>1871</v>
      </c>
      <c r="Q4" s="18" t="s">
        <v>1867</v>
      </c>
      <c r="R4" s="18" t="s">
        <v>1872</v>
      </c>
    </row>
    <row r="5">
      <c r="A5" s="16" t="s">
        <v>1434</v>
      </c>
      <c r="B5" s="1" t="s">
        <v>352</v>
      </c>
      <c r="C5" s="1" t="s">
        <v>317</v>
      </c>
      <c r="D5" s="1" t="s">
        <v>330</v>
      </c>
      <c r="E5" s="1" t="s">
        <v>353</v>
      </c>
      <c r="F5" s="1" t="s">
        <v>66</v>
      </c>
      <c r="G5" s="1" t="s">
        <v>67</v>
      </c>
      <c r="H5" s="16" t="s">
        <v>2513</v>
      </c>
      <c r="I5" s="17" t="s">
        <v>1866</v>
      </c>
      <c r="J5" s="18" t="s">
        <v>1867</v>
      </c>
      <c r="K5" s="18" t="s">
        <v>2520</v>
      </c>
      <c r="L5" s="18" t="s">
        <v>1869</v>
      </c>
      <c r="M5" s="18" t="s">
        <v>1867</v>
      </c>
      <c r="N5" s="1"/>
      <c r="O5" s="18" t="s">
        <v>1870</v>
      </c>
      <c r="P5" s="18" t="s">
        <v>1871</v>
      </c>
      <c r="Q5" s="18" t="s">
        <v>1867</v>
      </c>
      <c r="R5" s="18" t="s">
        <v>1895</v>
      </c>
    </row>
    <row r="6">
      <c r="A6" s="16" t="s">
        <v>1434</v>
      </c>
      <c r="B6" s="1" t="s">
        <v>2521</v>
      </c>
      <c r="C6" s="1" t="s">
        <v>2522</v>
      </c>
      <c r="D6" s="1" t="s">
        <v>2523</v>
      </c>
      <c r="E6" s="1" t="s">
        <v>2524</v>
      </c>
      <c r="F6" s="1" t="s">
        <v>66</v>
      </c>
      <c r="G6" s="1" t="s">
        <v>95</v>
      </c>
      <c r="H6" s="16" t="s">
        <v>2513</v>
      </c>
      <c r="I6" s="17" t="s">
        <v>1866</v>
      </c>
      <c r="J6" s="18" t="s">
        <v>1884</v>
      </c>
      <c r="K6" s="18"/>
      <c r="L6" s="18" t="s">
        <v>1887</v>
      </c>
      <c r="M6" s="18" t="s">
        <v>1867</v>
      </c>
      <c r="N6" s="1"/>
      <c r="O6" s="18" t="s">
        <v>1887</v>
      </c>
      <c r="P6" s="18" t="s">
        <v>1878</v>
      </c>
      <c r="Q6" s="18" t="s">
        <v>1867</v>
      </c>
      <c r="R6" s="18" t="s">
        <v>1888</v>
      </c>
      <c r="S6" s="19" t="s">
        <v>2525</v>
      </c>
    </row>
    <row r="7">
      <c r="A7" s="16" t="s">
        <v>1434</v>
      </c>
      <c r="B7" s="1" t="s">
        <v>2526</v>
      </c>
      <c r="C7" s="1" t="s">
        <v>2527</v>
      </c>
      <c r="D7" s="1" t="s">
        <v>2528</v>
      </c>
      <c r="E7" s="1" t="s">
        <v>2529</v>
      </c>
      <c r="F7" s="1" t="s">
        <v>66</v>
      </c>
      <c r="G7" s="1" t="s">
        <v>95</v>
      </c>
      <c r="H7" s="16" t="s">
        <v>2513</v>
      </c>
      <c r="I7" s="17" t="s">
        <v>1866</v>
      </c>
      <c r="J7" s="18" t="s">
        <v>1867</v>
      </c>
      <c r="K7" s="18" t="s">
        <v>2530</v>
      </c>
      <c r="L7" s="18" t="s">
        <v>1869</v>
      </c>
      <c r="M7" s="18" t="s">
        <v>1867</v>
      </c>
      <c r="N7" s="1"/>
      <c r="O7" s="18" t="s">
        <v>1870</v>
      </c>
      <c r="P7" s="18" t="s">
        <v>1871</v>
      </c>
      <c r="Q7" s="18" t="s">
        <v>1867</v>
      </c>
      <c r="R7" s="18" t="s">
        <v>1872</v>
      </c>
    </row>
    <row r="8">
      <c r="A8" s="16" t="s">
        <v>1434</v>
      </c>
      <c r="B8" s="1" t="s">
        <v>2531</v>
      </c>
      <c r="C8" s="1" t="s">
        <v>256</v>
      </c>
      <c r="D8" s="1" t="s">
        <v>510</v>
      </c>
      <c r="E8" s="1" t="s">
        <v>2532</v>
      </c>
      <c r="F8" s="1" t="s">
        <v>66</v>
      </c>
      <c r="G8" s="1" t="s">
        <v>129</v>
      </c>
      <c r="H8" s="16" t="s">
        <v>2513</v>
      </c>
      <c r="I8" s="17" t="s">
        <v>1866</v>
      </c>
      <c r="J8" s="21" t="s">
        <v>1867</v>
      </c>
      <c r="K8" s="1" t="s">
        <v>1897</v>
      </c>
      <c r="L8" s="21" t="s">
        <v>1869</v>
      </c>
      <c r="M8" s="21" t="s">
        <v>1867</v>
      </c>
      <c r="N8" s="1"/>
      <c r="O8" s="21" t="s">
        <v>1870</v>
      </c>
      <c r="P8" s="21" t="s">
        <v>1871</v>
      </c>
      <c r="Q8" s="21" t="s">
        <v>1867</v>
      </c>
      <c r="R8" s="21" t="s">
        <v>1872</v>
      </c>
    </row>
    <row r="9">
      <c r="A9" s="16" t="s">
        <v>1434</v>
      </c>
      <c r="B9" s="1" t="s">
        <v>2533</v>
      </c>
      <c r="C9" s="1" t="s">
        <v>2534</v>
      </c>
      <c r="D9" s="1" t="s">
        <v>739</v>
      </c>
      <c r="E9" s="1" t="s">
        <v>2535</v>
      </c>
      <c r="F9" s="1" t="s">
        <v>66</v>
      </c>
      <c r="G9" s="1" t="s">
        <v>67</v>
      </c>
      <c r="H9" s="16" t="s">
        <v>2513</v>
      </c>
      <c r="I9" s="17" t="s">
        <v>1866</v>
      </c>
      <c r="J9" s="18" t="s">
        <v>1867</v>
      </c>
      <c r="K9" s="18" t="s">
        <v>2530</v>
      </c>
      <c r="L9" s="18" t="s">
        <v>1869</v>
      </c>
      <c r="M9" s="18" t="s">
        <v>1867</v>
      </c>
      <c r="N9" s="1"/>
      <c r="O9" s="18" t="s">
        <v>1870</v>
      </c>
      <c r="P9" s="18" t="s">
        <v>1871</v>
      </c>
      <c r="Q9" s="18" t="s">
        <v>1867</v>
      </c>
      <c r="R9" s="18" t="s">
        <v>1872</v>
      </c>
    </row>
    <row r="10">
      <c r="A10" s="16" t="s">
        <v>1434</v>
      </c>
      <c r="B10" s="1" t="s">
        <v>2536</v>
      </c>
      <c r="C10" s="1" t="s">
        <v>863</v>
      </c>
      <c r="D10" s="1" t="s">
        <v>2537</v>
      </c>
      <c r="E10" s="1" t="s">
        <v>2538</v>
      </c>
      <c r="F10" s="1" t="s">
        <v>66</v>
      </c>
      <c r="G10" s="1" t="s">
        <v>67</v>
      </c>
      <c r="H10" s="16" t="s">
        <v>2513</v>
      </c>
      <c r="I10" s="17" t="s">
        <v>1866</v>
      </c>
      <c r="J10" s="20" t="s">
        <v>1867</v>
      </c>
      <c r="K10" s="18" t="s">
        <v>2539</v>
      </c>
      <c r="L10" s="20" t="s">
        <v>1869</v>
      </c>
      <c r="M10" s="20" t="s">
        <v>1867</v>
      </c>
      <c r="N10" s="1"/>
      <c r="O10" s="20" t="s">
        <v>1870</v>
      </c>
      <c r="P10" s="20" t="s">
        <v>1871</v>
      </c>
      <c r="Q10" s="20" t="s">
        <v>1867</v>
      </c>
      <c r="R10" s="20" t="s">
        <v>1872</v>
      </c>
    </row>
    <row r="11">
      <c r="A11" s="16" t="s">
        <v>1434</v>
      </c>
      <c r="B11" s="1" t="s">
        <v>2070</v>
      </c>
      <c r="C11" s="1" t="s">
        <v>2071</v>
      </c>
      <c r="D11" s="1" t="s">
        <v>2072</v>
      </c>
      <c r="E11" s="3" t="s">
        <v>2540</v>
      </c>
      <c r="F11" s="1" t="s">
        <v>66</v>
      </c>
      <c r="G11" s="1" t="s">
        <v>67</v>
      </c>
      <c r="H11" s="16" t="s">
        <v>2482</v>
      </c>
      <c r="I11" s="17" t="s">
        <v>1866</v>
      </c>
      <c r="J11" s="18" t="s">
        <v>1867</v>
      </c>
      <c r="K11" s="18" t="s">
        <v>2541</v>
      </c>
      <c r="L11" s="18" t="s">
        <v>1887</v>
      </c>
      <c r="M11" s="18" t="s">
        <v>1867</v>
      </c>
      <c r="N11" s="1"/>
      <c r="O11" s="18" t="s">
        <v>1887</v>
      </c>
      <c r="P11" s="18" t="s">
        <v>1878</v>
      </c>
      <c r="Q11" s="18" t="s">
        <v>1867</v>
      </c>
      <c r="R11" s="18" t="s">
        <v>1888</v>
      </c>
    </row>
    <row r="12">
      <c r="A12" s="16" t="s">
        <v>1434</v>
      </c>
      <c r="B12" s="1" t="s">
        <v>2542</v>
      </c>
      <c r="C12" s="1" t="s">
        <v>2543</v>
      </c>
      <c r="D12" s="1" t="s">
        <v>127</v>
      </c>
      <c r="E12" s="1" t="s">
        <v>2544</v>
      </c>
      <c r="F12" s="1" t="s">
        <v>66</v>
      </c>
      <c r="G12" s="1" t="s">
        <v>67</v>
      </c>
      <c r="H12" s="16" t="s">
        <v>2513</v>
      </c>
      <c r="I12" s="17" t="s">
        <v>1912</v>
      </c>
      <c r="J12" s="18"/>
      <c r="K12" s="1"/>
      <c r="L12" s="18"/>
      <c r="M12" s="18"/>
      <c r="N12" s="1"/>
      <c r="O12" s="18"/>
      <c r="P12" s="18"/>
      <c r="Q12" s="18"/>
      <c r="R12" s="18"/>
    </row>
    <row r="13">
      <c r="A13" s="16" t="s">
        <v>1434</v>
      </c>
      <c r="B13" s="1" t="s">
        <v>2152</v>
      </c>
      <c r="C13" s="1" t="s">
        <v>229</v>
      </c>
      <c r="D13" s="1" t="s">
        <v>1218</v>
      </c>
      <c r="E13" s="1" t="s">
        <v>2545</v>
      </c>
      <c r="F13" s="1" t="s">
        <v>66</v>
      </c>
      <c r="G13" s="1" t="s">
        <v>67</v>
      </c>
      <c r="H13" s="16" t="s">
        <v>2513</v>
      </c>
      <c r="I13" s="17" t="s">
        <v>1912</v>
      </c>
      <c r="J13" s="18"/>
      <c r="K13" s="1"/>
      <c r="L13" s="18"/>
      <c r="M13" s="18"/>
      <c r="N13" s="1"/>
      <c r="O13" s="18"/>
      <c r="P13" s="18"/>
      <c r="Q13" s="18"/>
      <c r="R13" s="18"/>
    </row>
    <row r="14">
      <c r="A14" s="16" t="s">
        <v>1434</v>
      </c>
      <c r="B14" s="1" t="s">
        <v>2061</v>
      </c>
      <c r="C14" s="1" t="s">
        <v>1114</v>
      </c>
      <c r="D14" s="1" t="s">
        <v>393</v>
      </c>
      <c r="E14" s="3" t="s">
        <v>2546</v>
      </c>
      <c r="F14" s="1" t="s">
        <v>66</v>
      </c>
      <c r="G14" s="1" t="s">
        <v>67</v>
      </c>
      <c r="H14" s="16" t="s">
        <v>2482</v>
      </c>
      <c r="I14" s="17" t="s">
        <v>1912</v>
      </c>
      <c r="J14" s="1"/>
      <c r="K14" s="1"/>
      <c r="L14" s="1"/>
      <c r="M14" s="1"/>
      <c r="N14" s="1"/>
      <c r="O14" s="1"/>
      <c r="P14" s="1"/>
      <c r="Q14" s="1"/>
      <c r="R14" s="1"/>
    </row>
    <row r="15">
      <c r="A15" s="16" t="s">
        <v>1434</v>
      </c>
      <c r="B15" s="1" t="s">
        <v>2077</v>
      </c>
      <c r="C15" s="1" t="s">
        <v>97</v>
      </c>
      <c r="D15" s="1" t="s">
        <v>10</v>
      </c>
      <c r="E15" s="3" t="s">
        <v>2547</v>
      </c>
      <c r="F15" s="1" t="s">
        <v>66</v>
      </c>
      <c r="G15" s="1" t="s">
        <v>90</v>
      </c>
      <c r="H15" s="16" t="s">
        <v>2482</v>
      </c>
      <c r="I15" s="17" t="s">
        <v>1912</v>
      </c>
      <c r="J15" s="18"/>
      <c r="K15" s="18"/>
      <c r="L15" s="1"/>
      <c r="M15" s="1"/>
      <c r="N15" s="1"/>
      <c r="O15" s="1"/>
      <c r="P15" s="1"/>
      <c r="Q15" s="1"/>
      <c r="R15" s="18"/>
    </row>
    <row r="16">
      <c r="A16" s="16" t="s">
        <v>1434</v>
      </c>
      <c r="B16" s="1" t="s">
        <v>387</v>
      </c>
      <c r="C16" s="1" t="s">
        <v>388</v>
      </c>
      <c r="D16" s="1" t="s">
        <v>389</v>
      </c>
      <c r="E16" s="1" t="s">
        <v>390</v>
      </c>
      <c r="F16" s="1" t="s">
        <v>66</v>
      </c>
      <c r="G16" s="1" t="s">
        <v>67</v>
      </c>
      <c r="H16" s="16" t="s">
        <v>2513</v>
      </c>
      <c r="I16" s="17" t="s">
        <v>2548</v>
      </c>
      <c r="J16" s="18"/>
      <c r="K16" s="1"/>
      <c r="L16" s="18"/>
      <c r="M16" s="18"/>
      <c r="N16" s="1"/>
      <c r="O16" s="18"/>
      <c r="P16" s="18"/>
      <c r="Q16" s="18"/>
      <c r="R16" s="18"/>
    </row>
    <row r="17">
      <c r="A17" s="16" t="s">
        <v>1434</v>
      </c>
      <c r="B17" s="1" t="s">
        <v>2073</v>
      </c>
      <c r="C17" s="1" t="s">
        <v>82</v>
      </c>
      <c r="D17" s="1" t="s">
        <v>161</v>
      </c>
      <c r="E17" s="3" t="s">
        <v>2549</v>
      </c>
      <c r="F17" s="1" t="s">
        <v>66</v>
      </c>
      <c r="G17" s="1" t="s">
        <v>67</v>
      </c>
      <c r="H17" s="16" t="s">
        <v>2482</v>
      </c>
      <c r="I17" s="17" t="s">
        <v>2548</v>
      </c>
      <c r="J17" s="18"/>
      <c r="K17" s="1"/>
      <c r="L17" s="18"/>
      <c r="M17" s="18"/>
      <c r="N17" s="1"/>
      <c r="O17" s="18"/>
      <c r="P17" s="18"/>
      <c r="Q17" s="18"/>
      <c r="R17" s="18"/>
    </row>
    <row r="18">
      <c r="A18" s="16" t="s">
        <v>1434</v>
      </c>
      <c r="B18" s="1" t="s">
        <v>62</v>
      </c>
      <c r="C18" s="1" t="s">
        <v>63</v>
      </c>
      <c r="D18" s="1" t="s">
        <v>64</v>
      </c>
      <c r="E18" s="3" t="s">
        <v>65</v>
      </c>
      <c r="F18" s="1" t="s">
        <v>66</v>
      </c>
      <c r="G18" s="1" t="s">
        <v>67</v>
      </c>
      <c r="H18" s="16" t="s">
        <v>2482</v>
      </c>
      <c r="I18" s="17" t="s">
        <v>2548</v>
      </c>
      <c r="J18" s="18"/>
      <c r="K18" s="18"/>
      <c r="L18" s="18"/>
      <c r="M18" s="18"/>
      <c r="N18" s="1"/>
      <c r="O18" s="18"/>
      <c r="P18" s="18"/>
      <c r="Q18" s="18"/>
      <c r="R18" s="18"/>
    </row>
    <row r="19">
      <c r="A19" s="16" t="s">
        <v>1434</v>
      </c>
      <c r="B19" s="1" t="s">
        <v>2550</v>
      </c>
      <c r="C19" s="1" t="s">
        <v>2551</v>
      </c>
      <c r="D19" s="1" t="s">
        <v>2552</v>
      </c>
      <c r="E19" s="1" t="s">
        <v>2553</v>
      </c>
      <c r="F19" s="1" t="s">
        <v>66</v>
      </c>
      <c r="G19" s="1" t="s">
        <v>129</v>
      </c>
      <c r="H19" s="16" t="s">
        <v>2513</v>
      </c>
      <c r="I19" s="17" t="s">
        <v>1913</v>
      </c>
      <c r="J19" s="18"/>
      <c r="K19" s="1"/>
      <c r="L19" s="18"/>
      <c r="M19" s="18"/>
      <c r="N19" s="1"/>
      <c r="O19" s="18"/>
      <c r="P19" s="18"/>
      <c r="Q19" s="18"/>
      <c r="R19" s="18"/>
    </row>
    <row r="20">
      <c r="A20" s="16" t="s">
        <v>1434</v>
      </c>
      <c r="B20" s="1" t="s">
        <v>2554</v>
      </c>
      <c r="C20" s="1" t="s">
        <v>2555</v>
      </c>
      <c r="D20" s="1" t="s">
        <v>2556</v>
      </c>
      <c r="E20" s="1" t="s">
        <v>2557</v>
      </c>
      <c r="F20" s="1" t="s">
        <v>66</v>
      </c>
      <c r="G20" s="1" t="s">
        <v>67</v>
      </c>
      <c r="H20" s="16" t="s">
        <v>2513</v>
      </c>
      <c r="I20" s="17" t="s">
        <v>1913</v>
      </c>
      <c r="J20" s="18"/>
      <c r="K20" s="1"/>
      <c r="L20" s="18"/>
      <c r="M20" s="18"/>
      <c r="N20" s="18"/>
      <c r="O20" s="18"/>
      <c r="P20" s="18"/>
      <c r="Q20" s="18"/>
      <c r="R20" s="18"/>
    </row>
    <row r="21">
      <c r="A21" s="16" t="s">
        <v>1434</v>
      </c>
      <c r="B21" s="1" t="s">
        <v>2558</v>
      </c>
      <c r="C21" s="1" t="s">
        <v>2559</v>
      </c>
      <c r="D21" s="1" t="s">
        <v>1354</v>
      </c>
      <c r="E21" s="1" t="s">
        <v>2560</v>
      </c>
      <c r="F21" s="1" t="s">
        <v>66</v>
      </c>
      <c r="G21" s="1" t="s">
        <v>129</v>
      </c>
      <c r="H21" s="16" t="s">
        <v>2513</v>
      </c>
      <c r="I21" s="17" t="s">
        <v>1913</v>
      </c>
      <c r="J21" s="18"/>
      <c r="K21" s="18"/>
      <c r="L21" s="18"/>
      <c r="M21" s="18"/>
      <c r="N21" s="1"/>
      <c r="O21" s="18"/>
      <c r="P21" s="18"/>
      <c r="Q21" s="18"/>
      <c r="R21" s="18"/>
    </row>
    <row r="22">
      <c r="A22" s="16" t="s">
        <v>1434</v>
      </c>
      <c r="B22" s="1" t="s">
        <v>2561</v>
      </c>
      <c r="C22" s="1" t="s">
        <v>2562</v>
      </c>
      <c r="D22" s="1" t="s">
        <v>10</v>
      </c>
      <c r="E22" s="1" t="s">
        <v>2563</v>
      </c>
      <c r="F22" s="1" t="s">
        <v>66</v>
      </c>
      <c r="G22" s="1" t="s">
        <v>67</v>
      </c>
      <c r="H22" s="16" t="s">
        <v>2513</v>
      </c>
      <c r="I22" s="17" t="s">
        <v>1913</v>
      </c>
      <c r="J22" s="18"/>
      <c r="K22" s="1"/>
      <c r="L22" s="18"/>
      <c r="M22" s="18"/>
      <c r="N22" s="1"/>
      <c r="O22" s="18"/>
      <c r="P22" s="18"/>
      <c r="Q22" s="18"/>
      <c r="R22" s="18"/>
    </row>
    <row r="23">
      <c r="A23" s="16" t="s">
        <v>1434</v>
      </c>
      <c r="B23" s="1" t="s">
        <v>2564</v>
      </c>
      <c r="C23" s="1" t="s">
        <v>2565</v>
      </c>
      <c r="D23" s="1" t="s">
        <v>730</v>
      </c>
      <c r="E23" s="1" t="s">
        <v>2566</v>
      </c>
      <c r="F23" s="1" t="s">
        <v>66</v>
      </c>
      <c r="G23" s="1" t="s">
        <v>67</v>
      </c>
      <c r="H23" s="16" t="s">
        <v>2513</v>
      </c>
      <c r="I23" s="17" t="s">
        <v>1913</v>
      </c>
      <c r="J23" s="18"/>
      <c r="L23" s="18"/>
      <c r="M23" s="18"/>
      <c r="N23" s="1"/>
      <c r="O23" s="18"/>
      <c r="P23" s="18"/>
      <c r="Q23" s="18"/>
      <c r="R23" s="18"/>
    </row>
    <row r="24">
      <c r="A24" s="16" t="s">
        <v>1434</v>
      </c>
      <c r="B24" s="1" t="s">
        <v>2567</v>
      </c>
      <c r="C24" s="1" t="s">
        <v>2568</v>
      </c>
      <c r="D24" s="1" t="s">
        <v>2569</v>
      </c>
      <c r="E24" s="1" t="s">
        <v>2570</v>
      </c>
      <c r="F24" s="1" t="s">
        <v>66</v>
      </c>
      <c r="G24" s="1" t="s">
        <v>90</v>
      </c>
      <c r="H24" s="16" t="s">
        <v>2513</v>
      </c>
      <c r="I24" s="17" t="s">
        <v>1913</v>
      </c>
      <c r="J24" s="18"/>
      <c r="K24" s="18"/>
      <c r="L24" s="18"/>
      <c r="M24" s="18"/>
      <c r="N24" s="1"/>
      <c r="O24" s="18"/>
      <c r="P24" s="18"/>
      <c r="Q24" s="18"/>
      <c r="R24" s="18"/>
    </row>
    <row r="25">
      <c r="A25" s="16" t="s">
        <v>1434</v>
      </c>
      <c r="B25" s="1" t="s">
        <v>2062</v>
      </c>
      <c r="C25" s="1" t="s">
        <v>120</v>
      </c>
      <c r="D25" s="1" t="s">
        <v>2063</v>
      </c>
      <c r="E25" s="3" t="s">
        <v>2571</v>
      </c>
      <c r="F25" s="1" t="s">
        <v>66</v>
      </c>
      <c r="G25" s="1" t="s">
        <v>76</v>
      </c>
      <c r="H25" s="16" t="s">
        <v>2482</v>
      </c>
      <c r="I25" s="17" t="s">
        <v>1913</v>
      </c>
      <c r="J25" s="18"/>
      <c r="K25" s="18"/>
      <c r="L25" s="18"/>
      <c r="M25" s="18"/>
      <c r="N25" s="1"/>
      <c r="O25" s="18"/>
      <c r="P25" s="18"/>
      <c r="Q25" s="18"/>
      <c r="R25" s="18"/>
    </row>
    <row r="26">
      <c r="A26" s="16" t="s">
        <v>1434</v>
      </c>
      <c r="B26" s="1" t="s">
        <v>2064</v>
      </c>
      <c r="C26" s="1" t="s">
        <v>1323</v>
      </c>
      <c r="D26" s="1" t="s">
        <v>69</v>
      </c>
      <c r="E26" s="3" t="s">
        <v>2572</v>
      </c>
      <c r="F26" s="1" t="s">
        <v>66</v>
      </c>
      <c r="G26" s="1" t="s">
        <v>67</v>
      </c>
      <c r="H26" s="16" t="s">
        <v>2482</v>
      </c>
      <c r="I26" s="17" t="s">
        <v>1913</v>
      </c>
      <c r="J26" s="18"/>
      <c r="K26" s="18"/>
      <c r="L26" s="18"/>
      <c r="M26" s="18"/>
      <c r="N26" s="1"/>
      <c r="O26" s="18"/>
      <c r="P26" s="18"/>
      <c r="Q26" s="18"/>
      <c r="R26" s="18"/>
    </row>
    <row r="27">
      <c r="A27" s="16" t="s">
        <v>1434</v>
      </c>
      <c r="B27" s="1" t="s">
        <v>2065</v>
      </c>
      <c r="C27" s="1" t="s">
        <v>275</v>
      </c>
      <c r="D27" s="1" t="s">
        <v>2066</v>
      </c>
      <c r="E27" s="3" t="s">
        <v>2573</v>
      </c>
      <c r="F27" s="1" t="s">
        <v>66</v>
      </c>
      <c r="G27" s="1" t="s">
        <v>90</v>
      </c>
      <c r="H27" s="16" t="s">
        <v>2482</v>
      </c>
      <c r="I27" s="17" t="s">
        <v>1913</v>
      </c>
      <c r="J27" s="18"/>
      <c r="K27" s="18"/>
      <c r="L27" s="18"/>
      <c r="M27" s="18"/>
      <c r="N27" s="1"/>
      <c r="O27" s="18"/>
      <c r="P27" s="18"/>
      <c r="Q27" s="18"/>
      <c r="R27" s="18"/>
    </row>
    <row r="28">
      <c r="A28" s="16" t="s">
        <v>1434</v>
      </c>
      <c r="B28" s="1" t="s">
        <v>2067</v>
      </c>
      <c r="C28" s="1" t="s">
        <v>2068</v>
      </c>
      <c r="D28" s="1" t="s">
        <v>2069</v>
      </c>
      <c r="E28" s="3" t="s">
        <v>2574</v>
      </c>
      <c r="F28" s="1" t="s">
        <v>66</v>
      </c>
      <c r="G28" s="1" t="s">
        <v>67</v>
      </c>
      <c r="H28" s="16" t="s">
        <v>2482</v>
      </c>
      <c r="I28" s="17" t="s">
        <v>1913</v>
      </c>
      <c r="J28" s="18"/>
      <c r="K28" s="18"/>
      <c r="L28" s="18"/>
      <c r="M28" s="18"/>
      <c r="N28" s="1"/>
      <c r="O28" s="18"/>
      <c r="P28" s="18"/>
      <c r="Q28" s="18"/>
      <c r="R28" s="18"/>
    </row>
    <row r="29">
      <c r="A29" s="16" t="s">
        <v>1434</v>
      </c>
      <c r="B29" s="1" t="s">
        <v>2078</v>
      </c>
      <c r="C29" s="1" t="s">
        <v>2079</v>
      </c>
      <c r="D29" s="1" t="s">
        <v>2080</v>
      </c>
      <c r="E29" s="3" t="s">
        <v>2575</v>
      </c>
      <c r="F29" s="1" t="s">
        <v>66</v>
      </c>
      <c r="G29" s="1" t="s">
        <v>90</v>
      </c>
      <c r="H29" s="16" t="s">
        <v>2482</v>
      </c>
      <c r="I29" s="17" t="s">
        <v>1913</v>
      </c>
      <c r="J29" s="18"/>
      <c r="K29" s="18"/>
      <c r="L29" s="18"/>
      <c r="M29" s="18"/>
      <c r="N29" s="1"/>
      <c r="O29" s="18"/>
      <c r="P29" s="18"/>
      <c r="Q29" s="18"/>
      <c r="R29" s="18"/>
    </row>
    <row r="30">
      <c r="A30" s="16" t="s">
        <v>1434</v>
      </c>
      <c r="B30" s="1" t="s">
        <v>2576</v>
      </c>
      <c r="C30" s="1" t="s">
        <v>2577</v>
      </c>
      <c r="D30" s="1" t="s">
        <v>2578</v>
      </c>
      <c r="E30" s="1" t="s">
        <v>2579</v>
      </c>
      <c r="F30" s="1" t="s">
        <v>66</v>
      </c>
      <c r="G30" s="1" t="s">
        <v>71</v>
      </c>
      <c r="H30" s="16" t="s">
        <v>2513</v>
      </c>
      <c r="I30" s="17" t="s">
        <v>1866</v>
      </c>
      <c r="J30" s="18" t="s">
        <v>1867</v>
      </c>
      <c r="K30" s="18" t="s">
        <v>2530</v>
      </c>
      <c r="L30" s="18" t="s">
        <v>1869</v>
      </c>
      <c r="M30" s="18" t="s">
        <v>1867</v>
      </c>
      <c r="N30" s="1"/>
      <c r="O30" s="18" t="s">
        <v>1870</v>
      </c>
      <c r="P30" s="18" t="s">
        <v>1871</v>
      </c>
      <c r="Q30" s="18" t="s">
        <v>1867</v>
      </c>
      <c r="R30" s="18" t="s">
        <v>1872</v>
      </c>
    </row>
    <row r="31">
      <c r="A31" s="16" t="s">
        <v>1434</v>
      </c>
      <c r="B31" s="1" t="s">
        <v>2580</v>
      </c>
      <c r="C31" s="1" t="s">
        <v>2581</v>
      </c>
      <c r="D31" s="1" t="s">
        <v>2582</v>
      </c>
      <c r="E31" s="1" t="s">
        <v>2583</v>
      </c>
      <c r="F31" s="1" t="s">
        <v>66</v>
      </c>
      <c r="G31" s="1" t="s">
        <v>67</v>
      </c>
      <c r="H31" s="16" t="s">
        <v>2513</v>
      </c>
      <c r="I31" s="17" t="s">
        <v>1866</v>
      </c>
      <c r="J31" s="18" t="s">
        <v>1867</v>
      </c>
      <c r="K31" s="18" t="s">
        <v>2530</v>
      </c>
      <c r="L31" s="18" t="s">
        <v>1869</v>
      </c>
      <c r="M31" s="18" t="s">
        <v>1867</v>
      </c>
      <c r="N31" s="1"/>
      <c r="O31" s="18" t="s">
        <v>1870</v>
      </c>
      <c r="P31" s="18" t="s">
        <v>1871</v>
      </c>
      <c r="Q31" s="18" t="s">
        <v>1867</v>
      </c>
      <c r="R31" s="18" t="s">
        <v>1872</v>
      </c>
    </row>
    <row r="32">
      <c r="A32" s="16"/>
      <c r="B32" s="1"/>
      <c r="C32" s="1"/>
      <c r="D32" s="1"/>
      <c r="E32" s="18"/>
      <c r="F32" s="1"/>
      <c r="G32" s="1"/>
      <c r="H32" s="16"/>
      <c r="I32" s="17"/>
      <c r="J32" s="18"/>
      <c r="K32" s="18"/>
      <c r="L32" s="1"/>
      <c r="M32" s="1"/>
      <c r="N32" s="1"/>
      <c r="O32" s="1"/>
      <c r="P32" s="1"/>
      <c r="Q32" s="1"/>
      <c r="R32" s="18"/>
    </row>
    <row r="33">
      <c r="A33" s="16"/>
      <c r="B33" s="1"/>
      <c r="C33" s="1"/>
      <c r="D33" s="1"/>
      <c r="E33" s="1"/>
      <c r="F33" s="1"/>
      <c r="G33" s="1"/>
      <c r="H33" s="16"/>
      <c r="I33" s="17"/>
      <c r="J33" s="18"/>
      <c r="K33" s="18"/>
      <c r="L33" s="18"/>
      <c r="M33" s="18"/>
      <c r="N33" s="1"/>
      <c r="O33" s="18"/>
      <c r="P33" s="18"/>
      <c r="Q33" s="18"/>
      <c r="R33" s="18"/>
    </row>
    <row r="34">
      <c r="A34" s="16"/>
      <c r="B34" s="1"/>
      <c r="C34" s="1"/>
      <c r="D34" s="1"/>
      <c r="E34" s="1"/>
      <c r="F34" s="1"/>
      <c r="G34" s="1"/>
      <c r="H34" s="16"/>
      <c r="I34" s="17"/>
      <c r="J34" s="18"/>
      <c r="K34" s="18"/>
      <c r="L34" s="18"/>
      <c r="M34" s="18"/>
      <c r="N34" s="1"/>
      <c r="O34" s="18"/>
      <c r="P34" s="18"/>
      <c r="Q34" s="18"/>
      <c r="R34" s="18"/>
    </row>
    <row r="35">
      <c r="A35" s="16"/>
      <c r="B35" s="1"/>
      <c r="C35" s="1"/>
      <c r="D35" s="1"/>
      <c r="E35" s="18"/>
      <c r="F35" s="1"/>
      <c r="G35" s="1"/>
      <c r="H35" s="16"/>
      <c r="I35" s="17"/>
      <c r="J35" s="18"/>
      <c r="K35" s="1"/>
      <c r="L35" s="18"/>
      <c r="M35" s="18"/>
      <c r="N35" s="1"/>
      <c r="O35" s="18"/>
      <c r="P35" s="18"/>
      <c r="Q35" s="18"/>
      <c r="R35" s="18"/>
    </row>
    <row r="36">
      <c r="A36" s="16"/>
      <c r="B36" s="1"/>
      <c r="C36" s="1"/>
      <c r="D36" s="1"/>
      <c r="E36" s="1"/>
      <c r="F36" s="1"/>
      <c r="G36" s="1"/>
      <c r="H36" s="16"/>
      <c r="I36" s="17"/>
      <c r="J36" s="18"/>
      <c r="K36" s="18"/>
      <c r="L36" s="18"/>
      <c r="M36" s="18"/>
      <c r="N36" s="1"/>
      <c r="O36" s="18"/>
      <c r="P36" s="18"/>
      <c r="Q36" s="18"/>
      <c r="R36" s="18"/>
    </row>
    <row r="37">
      <c r="A37" s="16"/>
      <c r="B37" s="1"/>
      <c r="C37" s="1"/>
      <c r="D37" s="1"/>
      <c r="E37" s="1"/>
      <c r="F37" s="1"/>
      <c r="G37" s="1"/>
      <c r="H37" s="16"/>
      <c r="I37" s="17"/>
      <c r="J37" s="18"/>
      <c r="K37" s="18"/>
      <c r="L37" s="18"/>
      <c r="M37" s="18"/>
      <c r="N37" s="1"/>
      <c r="O37" s="18"/>
      <c r="P37" s="18"/>
      <c r="Q37" s="18"/>
      <c r="R37" s="18"/>
    </row>
    <row r="38">
      <c r="A38" s="16"/>
      <c r="B38" s="1"/>
      <c r="C38" s="1"/>
      <c r="D38" s="1"/>
      <c r="E38" s="1"/>
      <c r="F38" s="1"/>
      <c r="G38" s="1"/>
      <c r="H38" s="16"/>
      <c r="I38" s="17"/>
      <c r="J38" s="18"/>
      <c r="K38" s="18"/>
      <c r="L38" s="18"/>
      <c r="M38" s="18"/>
      <c r="N38" s="1"/>
      <c r="O38" s="18"/>
      <c r="P38" s="18"/>
      <c r="Q38" s="18"/>
      <c r="R38" s="18"/>
    </row>
    <row r="39">
      <c r="A39" s="16"/>
      <c r="B39" s="1"/>
      <c r="C39" s="1"/>
      <c r="D39" s="1"/>
      <c r="E39" s="1"/>
      <c r="F39" s="1"/>
      <c r="G39" s="1"/>
      <c r="H39" s="16"/>
      <c r="I39" s="17"/>
      <c r="J39" s="1"/>
      <c r="K39" s="1"/>
      <c r="L39" s="1"/>
      <c r="M39" s="1"/>
      <c r="N39" s="1"/>
      <c r="O39" s="1"/>
      <c r="P39" s="1"/>
      <c r="Q39" s="1"/>
      <c r="R39" s="1"/>
    </row>
    <row r="40">
      <c r="A40" s="16"/>
      <c r="B40" s="1"/>
      <c r="C40" s="1"/>
      <c r="D40" s="1"/>
      <c r="E40" s="1"/>
      <c r="F40" s="1"/>
      <c r="G40" s="1"/>
      <c r="H40" s="16"/>
      <c r="I40" s="17"/>
      <c r="J40" s="1"/>
      <c r="K40" s="1"/>
      <c r="L40" s="1"/>
      <c r="M40" s="1"/>
      <c r="N40" s="1"/>
      <c r="O40" s="1"/>
      <c r="P40" s="1"/>
      <c r="Q40" s="1"/>
      <c r="R40" s="1"/>
    </row>
    <row r="41">
      <c r="A41" s="16"/>
      <c r="B41" s="1"/>
      <c r="C41" s="1"/>
      <c r="D41" s="1"/>
      <c r="E41" s="1"/>
      <c r="F41" s="1"/>
      <c r="G41" s="1"/>
      <c r="H41" s="16"/>
      <c r="I41" s="17"/>
      <c r="J41" s="1"/>
      <c r="K41" s="1"/>
      <c r="L41" s="1"/>
      <c r="M41" s="1"/>
      <c r="N41" s="1"/>
      <c r="O41" s="1"/>
      <c r="P41" s="1"/>
      <c r="Q41" s="1"/>
      <c r="R41" s="1"/>
    </row>
    <row r="42">
      <c r="A42" s="16"/>
      <c r="B42" s="1"/>
      <c r="C42" s="1"/>
      <c r="D42" s="1"/>
      <c r="E42" s="1"/>
      <c r="F42" s="1"/>
      <c r="G42" s="1"/>
      <c r="H42" s="16"/>
      <c r="I42" s="17"/>
      <c r="J42" s="1"/>
      <c r="K42" s="1"/>
      <c r="L42" s="1"/>
      <c r="M42" s="1"/>
      <c r="N42" s="1"/>
      <c r="O42" s="1"/>
      <c r="P42" s="1"/>
      <c r="Q42" s="1"/>
      <c r="R42" s="1"/>
    </row>
    <row r="43">
      <c r="A43" s="16"/>
      <c r="B43" s="1"/>
      <c r="C43" s="1"/>
      <c r="D43" s="1"/>
      <c r="E43" s="1"/>
      <c r="F43" s="1"/>
      <c r="G43" s="1"/>
      <c r="H43" s="16"/>
      <c r="I43" s="17"/>
      <c r="J43" s="1"/>
      <c r="K43" s="1"/>
      <c r="L43" s="1"/>
      <c r="M43" s="1"/>
      <c r="N43" s="1"/>
      <c r="O43" s="1"/>
      <c r="P43" s="1"/>
      <c r="Q43" s="1"/>
      <c r="R43" s="1"/>
    </row>
    <row r="44">
      <c r="A44" s="16"/>
      <c r="B44" s="1"/>
      <c r="C44" s="1"/>
      <c r="D44" s="1"/>
      <c r="E44" s="1"/>
      <c r="F44" s="1"/>
      <c r="G44" s="1"/>
      <c r="H44" s="16"/>
      <c r="I44" s="17"/>
      <c r="J44" s="1"/>
      <c r="K44" s="1"/>
      <c r="L44" s="1"/>
      <c r="M44" s="1"/>
      <c r="N44" s="1"/>
      <c r="O44" s="1"/>
      <c r="P44" s="1"/>
      <c r="Q44" s="1"/>
      <c r="R44" s="1"/>
    </row>
    <row r="45">
      <c r="A45" s="16"/>
      <c r="B45" s="1"/>
      <c r="C45" s="1"/>
      <c r="D45" s="1"/>
      <c r="E45" s="1"/>
      <c r="F45" s="1"/>
      <c r="G45" s="1"/>
      <c r="H45" s="16"/>
      <c r="I45" s="17"/>
      <c r="J45" s="1"/>
      <c r="K45" s="1"/>
      <c r="L45" s="1"/>
      <c r="M45" s="1"/>
      <c r="N45" s="1"/>
      <c r="O45" s="1"/>
      <c r="P45" s="1"/>
      <c r="Q45" s="1"/>
      <c r="R45" s="1"/>
    </row>
    <row r="46">
      <c r="A46" s="16"/>
      <c r="B46" s="1"/>
      <c r="C46" s="1"/>
      <c r="D46" s="1"/>
      <c r="E46" s="1"/>
      <c r="F46" s="1"/>
      <c r="G46" s="1"/>
      <c r="H46" s="16"/>
      <c r="I46" s="17"/>
      <c r="J46" s="1"/>
      <c r="K46" s="1"/>
      <c r="L46" s="1"/>
      <c r="M46" s="1"/>
      <c r="N46" s="1"/>
      <c r="O46" s="1"/>
      <c r="P46" s="1"/>
      <c r="Q46" s="1"/>
      <c r="R46" s="1"/>
    </row>
    <row r="47">
      <c r="A47" s="16"/>
      <c r="B47" s="1"/>
      <c r="C47" s="1"/>
      <c r="D47" s="1"/>
      <c r="E47" s="1"/>
      <c r="F47" s="1"/>
      <c r="G47" s="1"/>
      <c r="H47" s="16"/>
      <c r="I47" s="17"/>
      <c r="J47" s="1"/>
      <c r="K47" s="1"/>
      <c r="L47" s="1"/>
      <c r="M47" s="1"/>
      <c r="N47" s="1"/>
      <c r="O47" s="1"/>
      <c r="P47" s="1"/>
      <c r="Q47" s="1"/>
      <c r="R47" s="1"/>
    </row>
    <row r="48">
      <c r="A48" s="16"/>
      <c r="B48" s="1"/>
      <c r="C48" s="1"/>
      <c r="D48" s="1"/>
      <c r="E48" s="1"/>
      <c r="F48" s="1"/>
      <c r="G48" s="1"/>
      <c r="H48" s="16"/>
      <c r="I48" s="17"/>
      <c r="J48" s="1"/>
      <c r="K48" s="1"/>
      <c r="L48" s="1"/>
      <c r="M48" s="1"/>
      <c r="N48" s="1"/>
      <c r="O48" s="1"/>
      <c r="P48" s="1"/>
      <c r="Q48" s="1"/>
      <c r="R48" s="1"/>
    </row>
    <row r="49">
      <c r="A49" s="16"/>
      <c r="B49" s="1"/>
      <c r="C49" s="1"/>
      <c r="D49" s="1"/>
      <c r="E49" s="1"/>
      <c r="F49" s="1"/>
      <c r="G49" s="1"/>
      <c r="H49" s="16"/>
      <c r="I49" s="17"/>
      <c r="J49" s="1"/>
      <c r="K49" s="1"/>
      <c r="L49" s="1"/>
      <c r="M49" s="1"/>
      <c r="N49" s="1"/>
      <c r="O49" s="1"/>
      <c r="P49" s="1"/>
      <c r="Q49" s="1"/>
      <c r="R49" s="1"/>
    </row>
    <row r="50">
      <c r="A50" s="16"/>
      <c r="B50" s="1"/>
      <c r="C50" s="1"/>
      <c r="D50" s="1"/>
      <c r="E50" s="1"/>
      <c r="F50" s="1"/>
      <c r="G50" s="1"/>
      <c r="H50" s="16"/>
      <c r="I50" s="17"/>
      <c r="J50" s="1"/>
      <c r="K50" s="1"/>
      <c r="L50" s="1"/>
      <c r="M50" s="1"/>
      <c r="N50" s="1"/>
      <c r="O50" s="1"/>
      <c r="P50" s="1"/>
      <c r="Q50" s="1"/>
      <c r="R50" s="1"/>
    </row>
    <row r="51">
      <c r="A51" s="16"/>
      <c r="B51" s="1"/>
      <c r="C51" s="1"/>
      <c r="D51" s="1"/>
      <c r="E51" s="1"/>
      <c r="F51" s="1"/>
      <c r="G51" s="1"/>
      <c r="H51" s="16"/>
      <c r="I51" s="17"/>
      <c r="J51" s="1"/>
      <c r="K51" s="1"/>
      <c r="L51" s="1"/>
      <c r="M51" s="1"/>
      <c r="N51" s="1"/>
      <c r="O51" s="1"/>
      <c r="P51" s="1"/>
      <c r="Q51" s="1"/>
      <c r="R51" s="1"/>
    </row>
    <row r="52">
      <c r="A52" s="16"/>
      <c r="B52" s="1"/>
      <c r="C52" s="1"/>
      <c r="D52" s="1"/>
      <c r="E52" s="1"/>
      <c r="F52" s="1"/>
      <c r="G52" s="1"/>
      <c r="H52" s="16"/>
      <c r="I52" s="17"/>
      <c r="J52" s="1"/>
      <c r="K52" s="1"/>
      <c r="L52" s="1"/>
      <c r="M52" s="1"/>
      <c r="N52" s="1"/>
      <c r="O52" s="1"/>
      <c r="P52" s="1"/>
      <c r="Q52" s="1"/>
      <c r="R52" s="1"/>
    </row>
    <row r="53">
      <c r="A53" s="16"/>
      <c r="B53" s="1"/>
      <c r="C53" s="1"/>
      <c r="D53" s="1"/>
      <c r="E53" s="1"/>
      <c r="F53" s="1"/>
      <c r="G53" s="1"/>
      <c r="H53" s="16"/>
      <c r="I53" s="17"/>
      <c r="J53" s="1"/>
      <c r="K53" s="1"/>
      <c r="L53" s="1"/>
      <c r="M53" s="1"/>
      <c r="N53" s="1"/>
      <c r="O53" s="1"/>
      <c r="P53" s="1"/>
      <c r="Q53" s="1"/>
      <c r="R53" s="1"/>
    </row>
    <row r="54">
      <c r="A54" s="16"/>
      <c r="B54" s="1"/>
      <c r="C54" s="1"/>
      <c r="D54" s="1"/>
      <c r="E54" s="1"/>
      <c r="F54" s="1"/>
      <c r="G54" s="1"/>
      <c r="H54" s="16"/>
      <c r="I54" s="17"/>
      <c r="J54" s="1"/>
      <c r="K54" s="1"/>
      <c r="L54" s="1"/>
      <c r="M54" s="1"/>
      <c r="N54" s="1"/>
      <c r="O54" s="1"/>
      <c r="P54" s="1"/>
      <c r="Q54" s="1"/>
      <c r="R54" s="1"/>
    </row>
    <row r="55">
      <c r="A55" s="16"/>
      <c r="B55" s="1"/>
      <c r="C55" s="1"/>
      <c r="D55" s="1"/>
      <c r="E55" s="1"/>
      <c r="F55" s="1"/>
      <c r="G55" s="1"/>
      <c r="H55" s="16"/>
      <c r="I55" s="17"/>
      <c r="J55" s="1"/>
      <c r="K55" s="1"/>
      <c r="L55" s="1"/>
      <c r="M55" s="1"/>
      <c r="N55" s="1"/>
      <c r="O55" s="1"/>
      <c r="P55" s="1"/>
      <c r="Q55" s="1"/>
      <c r="R55" s="1"/>
    </row>
    <row r="56">
      <c r="A56" s="16"/>
      <c r="B56" s="1"/>
      <c r="C56" s="1"/>
      <c r="D56" s="1"/>
      <c r="E56" s="1"/>
      <c r="F56" s="1"/>
      <c r="G56" s="1"/>
      <c r="H56" s="16"/>
      <c r="I56" s="17"/>
      <c r="J56" s="1"/>
      <c r="K56" s="1"/>
      <c r="L56" s="1"/>
      <c r="M56" s="1"/>
      <c r="N56" s="1"/>
      <c r="O56" s="1"/>
      <c r="P56" s="1"/>
      <c r="Q56" s="1"/>
      <c r="R56" s="1"/>
    </row>
    <row r="57">
      <c r="A57" s="16"/>
      <c r="B57" s="1"/>
      <c r="C57" s="1"/>
      <c r="D57" s="1"/>
      <c r="E57" s="1"/>
      <c r="F57" s="1"/>
      <c r="G57" s="1"/>
      <c r="H57" s="16"/>
      <c r="I57" s="17"/>
      <c r="J57" s="1"/>
      <c r="K57" s="1"/>
      <c r="L57" s="1"/>
      <c r="M57" s="1"/>
      <c r="N57" s="1"/>
      <c r="O57" s="1"/>
      <c r="P57" s="1"/>
      <c r="Q57" s="1"/>
      <c r="R57" s="1"/>
    </row>
    <row r="58">
      <c r="A58" s="16"/>
      <c r="B58" s="1"/>
      <c r="C58" s="1"/>
      <c r="D58" s="1"/>
      <c r="E58" s="1"/>
      <c r="F58" s="1"/>
      <c r="G58" s="1"/>
      <c r="H58" s="16"/>
      <c r="I58" s="17"/>
      <c r="J58" s="1"/>
      <c r="K58" s="1"/>
      <c r="L58" s="1"/>
      <c r="M58" s="1"/>
      <c r="N58" s="1"/>
      <c r="O58" s="1"/>
      <c r="P58" s="1"/>
      <c r="Q58" s="1"/>
      <c r="R58" s="1"/>
    </row>
    <row r="59">
      <c r="A59" s="16"/>
      <c r="B59" s="1"/>
      <c r="C59" s="1"/>
      <c r="D59" s="1"/>
      <c r="E59" s="1"/>
      <c r="F59" s="1"/>
      <c r="G59" s="1"/>
      <c r="H59" s="16"/>
      <c r="I59" s="17"/>
      <c r="J59" s="1"/>
      <c r="K59" s="1"/>
      <c r="L59" s="1"/>
      <c r="M59" s="1"/>
      <c r="N59" s="1"/>
      <c r="O59" s="1"/>
      <c r="P59" s="1"/>
      <c r="Q59" s="1"/>
      <c r="R59" s="1"/>
    </row>
    <row r="60">
      <c r="A60" s="16"/>
      <c r="B60" s="1"/>
      <c r="C60" s="1"/>
      <c r="D60" s="1"/>
      <c r="E60" s="1"/>
      <c r="F60" s="1"/>
      <c r="G60" s="1"/>
      <c r="H60" s="16"/>
      <c r="I60" s="1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6"/>
      <c r="B61" s="1"/>
      <c r="C61" s="1"/>
      <c r="D61" s="1"/>
      <c r="E61" s="1"/>
      <c r="F61" s="1"/>
      <c r="G61" s="1"/>
      <c r="H61" s="16"/>
      <c r="I61" s="17"/>
      <c r="J61" s="1"/>
      <c r="K61" s="1"/>
      <c r="L61" s="1"/>
      <c r="M61" s="1"/>
      <c r="N61" s="1"/>
      <c r="O61" s="1"/>
      <c r="P61" s="1"/>
      <c r="Q61" s="1"/>
      <c r="R61" s="1"/>
    </row>
  </sheetData>
  <dataValidations>
    <dataValidation type="list" allowBlank="1" showErrorMessage="1" sqref="O2:O31">
      <formula1>"Virtual session,In person,Phone call,Not interested at the moment,Aready Finished"</formula1>
    </dataValidation>
    <dataValidation type="list" allowBlank="1" showErrorMessage="1" sqref="H2:H31">
      <formula1>"Data Analytics,Pro Dev,Front-end,Back-end,AWS ,Salesforce,AiCE,Pathway,virtual assistant,Data Science,Content Creation,Cyber Security,Data Engeneer,Front-End"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P2:P31">
      <formula1>"Wednesday,Friday,Won't Attend,Done,Today"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2584</v>
      </c>
      <c r="B2" s="1" t="s">
        <v>1582</v>
      </c>
      <c r="C2" s="1" t="s">
        <v>2585</v>
      </c>
      <c r="D2" s="1" t="s">
        <v>2586</v>
      </c>
      <c r="E2" s="1" t="s">
        <v>13</v>
      </c>
      <c r="F2" s="1"/>
    </row>
    <row r="3">
      <c r="A3" s="1" t="s">
        <v>2587</v>
      </c>
      <c r="B3" s="1" t="s">
        <v>38</v>
      </c>
      <c r="C3" s="1" t="s">
        <v>2588</v>
      </c>
      <c r="D3" s="1" t="s">
        <v>2589</v>
      </c>
      <c r="E3" s="1" t="s">
        <v>13</v>
      </c>
      <c r="F3" s="1"/>
    </row>
    <row r="4">
      <c r="A4" s="1" t="s">
        <v>2590</v>
      </c>
      <c r="B4" s="1" t="s">
        <v>2209</v>
      </c>
      <c r="C4" s="1" t="s">
        <v>2210</v>
      </c>
      <c r="D4" s="1" t="s">
        <v>2591</v>
      </c>
      <c r="E4" s="1" t="s">
        <v>13</v>
      </c>
      <c r="F4" s="1"/>
    </row>
    <row r="5">
      <c r="A5" s="1" t="s">
        <v>2592</v>
      </c>
      <c r="B5" s="1" t="s">
        <v>900</v>
      </c>
      <c r="C5" s="1" t="s">
        <v>2593</v>
      </c>
      <c r="D5" s="1" t="s">
        <v>2594</v>
      </c>
      <c r="E5" s="1" t="s">
        <v>13</v>
      </c>
      <c r="F5" s="1"/>
    </row>
    <row r="6">
      <c r="A6" s="1" t="s">
        <v>2595</v>
      </c>
      <c r="B6" s="1" t="s">
        <v>2596</v>
      </c>
      <c r="C6" s="1" t="s">
        <v>1464</v>
      </c>
      <c r="D6" s="1" t="s">
        <v>2597</v>
      </c>
      <c r="E6" s="1" t="s">
        <v>13</v>
      </c>
      <c r="F6" s="1"/>
    </row>
    <row r="7">
      <c r="A7" s="1" t="s">
        <v>2598</v>
      </c>
      <c r="B7" s="1" t="s">
        <v>451</v>
      </c>
      <c r="C7" s="1" t="s">
        <v>487</v>
      </c>
      <c r="D7" s="1" t="s">
        <v>2599</v>
      </c>
      <c r="E7" s="1" t="s">
        <v>13</v>
      </c>
      <c r="F7" s="1"/>
    </row>
    <row r="8">
      <c r="A8" s="1" t="s">
        <v>2600</v>
      </c>
      <c r="B8" s="1" t="s">
        <v>2601</v>
      </c>
      <c r="C8" s="1" t="s">
        <v>2602</v>
      </c>
      <c r="D8" s="1" t="s">
        <v>2603</v>
      </c>
      <c r="E8" s="1" t="s">
        <v>13</v>
      </c>
      <c r="F8" s="1"/>
    </row>
    <row r="9">
      <c r="A9" s="1" t="s">
        <v>62</v>
      </c>
      <c r="B9" s="1" t="s">
        <v>63</v>
      </c>
      <c r="C9" s="1" t="s">
        <v>64</v>
      </c>
      <c r="D9" s="1" t="s">
        <v>65</v>
      </c>
      <c r="E9" s="1" t="s">
        <v>13</v>
      </c>
      <c r="F9" s="1"/>
    </row>
    <row r="10">
      <c r="A10" s="4" t="s">
        <v>2604</v>
      </c>
      <c r="B10" s="4" t="s">
        <v>2562</v>
      </c>
      <c r="C10" s="4" t="s">
        <v>767</v>
      </c>
      <c r="D10" s="4" t="s">
        <v>2605</v>
      </c>
      <c r="E10" s="4" t="s">
        <v>13</v>
      </c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>
      <c r="A11" s="1" t="s">
        <v>387</v>
      </c>
      <c r="B11" s="1" t="s">
        <v>388</v>
      </c>
      <c r="C11" s="1" t="s">
        <v>389</v>
      </c>
      <c r="D11" s="1" t="s">
        <v>390</v>
      </c>
      <c r="E11" s="1" t="s">
        <v>66</v>
      </c>
      <c r="F11" s="1" t="s">
        <v>67</v>
      </c>
    </row>
    <row r="12">
      <c r="A12" s="1" t="s">
        <v>2550</v>
      </c>
      <c r="B12" s="1" t="s">
        <v>2551</v>
      </c>
      <c r="C12" s="1" t="s">
        <v>2552</v>
      </c>
      <c r="D12" s="1" t="s">
        <v>2553</v>
      </c>
      <c r="E12" s="1" t="s">
        <v>66</v>
      </c>
      <c r="F12" s="1" t="s">
        <v>129</v>
      </c>
    </row>
    <row r="13">
      <c r="A13" s="1" t="s">
        <v>2516</v>
      </c>
      <c r="B13" s="1" t="s">
        <v>2517</v>
      </c>
      <c r="C13" s="1" t="s">
        <v>2518</v>
      </c>
      <c r="D13" s="1" t="s">
        <v>2519</v>
      </c>
      <c r="E13" s="1" t="s">
        <v>66</v>
      </c>
      <c r="F13" s="1" t="s">
        <v>90</v>
      </c>
    </row>
    <row r="14">
      <c r="A14" s="1" t="s">
        <v>352</v>
      </c>
      <c r="B14" s="1" t="s">
        <v>317</v>
      </c>
      <c r="C14" s="1" t="s">
        <v>330</v>
      </c>
      <c r="D14" s="1" t="s">
        <v>353</v>
      </c>
      <c r="E14" s="1" t="s">
        <v>66</v>
      </c>
      <c r="F14" s="1" t="s">
        <v>67</v>
      </c>
    </row>
    <row r="15">
      <c r="A15" s="1" t="s">
        <v>2521</v>
      </c>
      <c r="B15" s="1" t="s">
        <v>2522</v>
      </c>
      <c r="C15" s="1" t="s">
        <v>2523</v>
      </c>
      <c r="D15" s="1" t="s">
        <v>2524</v>
      </c>
      <c r="E15" s="1" t="s">
        <v>66</v>
      </c>
      <c r="F15" s="1" t="s">
        <v>95</v>
      </c>
    </row>
    <row r="16">
      <c r="A16" s="1" t="s">
        <v>2526</v>
      </c>
      <c r="B16" s="1" t="s">
        <v>2527</v>
      </c>
      <c r="C16" s="1" t="s">
        <v>2528</v>
      </c>
      <c r="D16" s="1" t="s">
        <v>2529</v>
      </c>
      <c r="E16" s="1" t="s">
        <v>66</v>
      </c>
      <c r="F16" s="1" t="s">
        <v>95</v>
      </c>
    </row>
    <row r="17">
      <c r="A17" s="1" t="s">
        <v>2576</v>
      </c>
      <c r="B17" s="1" t="s">
        <v>2577</v>
      </c>
      <c r="C17" s="1" t="s">
        <v>2578</v>
      </c>
      <c r="D17" s="1" t="s">
        <v>2579</v>
      </c>
      <c r="E17" s="1" t="s">
        <v>66</v>
      </c>
      <c r="F17" s="1" t="s">
        <v>71</v>
      </c>
    </row>
    <row r="18">
      <c r="A18" s="1" t="s">
        <v>2554</v>
      </c>
      <c r="B18" s="1" t="s">
        <v>2555</v>
      </c>
      <c r="C18" s="1" t="s">
        <v>2556</v>
      </c>
      <c r="D18" s="1" t="s">
        <v>2557</v>
      </c>
      <c r="E18" s="1" t="s">
        <v>66</v>
      </c>
      <c r="F18" s="1" t="s">
        <v>67</v>
      </c>
    </row>
    <row r="19">
      <c r="A19" s="1" t="s">
        <v>2580</v>
      </c>
      <c r="B19" s="1" t="s">
        <v>2581</v>
      </c>
      <c r="C19" s="1" t="s">
        <v>2582</v>
      </c>
      <c r="D19" s="1" t="s">
        <v>2583</v>
      </c>
      <c r="E19" s="1" t="s">
        <v>66</v>
      </c>
      <c r="F19" s="1" t="s">
        <v>67</v>
      </c>
    </row>
    <row r="20">
      <c r="A20" s="1" t="s">
        <v>2558</v>
      </c>
      <c r="B20" s="1" t="s">
        <v>2559</v>
      </c>
      <c r="C20" s="1" t="s">
        <v>1354</v>
      </c>
      <c r="D20" s="1" t="s">
        <v>2560</v>
      </c>
      <c r="E20" s="1" t="s">
        <v>66</v>
      </c>
      <c r="F20" s="1" t="s">
        <v>129</v>
      </c>
    </row>
    <row r="21">
      <c r="A21" s="1" t="s">
        <v>2561</v>
      </c>
      <c r="B21" s="1" t="s">
        <v>2562</v>
      </c>
      <c r="C21" s="1" t="s">
        <v>10</v>
      </c>
      <c r="D21" s="1" t="s">
        <v>2563</v>
      </c>
      <c r="E21" s="1" t="s">
        <v>66</v>
      </c>
      <c r="F21" s="1" t="s">
        <v>67</v>
      </c>
    </row>
    <row r="22">
      <c r="A22" s="1" t="s">
        <v>2542</v>
      </c>
      <c r="B22" s="1" t="s">
        <v>2543</v>
      </c>
      <c r="C22" s="1" t="s">
        <v>127</v>
      </c>
      <c r="D22" s="1" t="s">
        <v>2544</v>
      </c>
      <c r="E22" s="1" t="s">
        <v>66</v>
      </c>
      <c r="F22" s="1" t="s">
        <v>67</v>
      </c>
    </row>
    <row r="23">
      <c r="A23" s="1" t="s">
        <v>2152</v>
      </c>
      <c r="B23" s="1" t="s">
        <v>229</v>
      </c>
      <c r="C23" s="1" t="s">
        <v>1218</v>
      </c>
      <c r="D23" s="1" t="s">
        <v>2545</v>
      </c>
      <c r="E23" s="1" t="s">
        <v>66</v>
      </c>
      <c r="F23" s="1" t="s">
        <v>67</v>
      </c>
    </row>
    <row r="24">
      <c r="A24" s="1" t="s">
        <v>2531</v>
      </c>
      <c r="B24" s="1" t="s">
        <v>256</v>
      </c>
      <c r="C24" s="1" t="s">
        <v>510</v>
      </c>
      <c r="D24" s="1" t="s">
        <v>2532</v>
      </c>
      <c r="E24" s="1" t="s">
        <v>66</v>
      </c>
      <c r="F24" s="1" t="s">
        <v>129</v>
      </c>
    </row>
    <row r="25">
      <c r="A25" s="1" t="s">
        <v>2533</v>
      </c>
      <c r="B25" s="1" t="s">
        <v>2534</v>
      </c>
      <c r="C25" s="1" t="s">
        <v>739</v>
      </c>
      <c r="D25" s="1" t="s">
        <v>2535</v>
      </c>
      <c r="E25" s="1" t="s">
        <v>66</v>
      </c>
      <c r="F25" s="1" t="s">
        <v>67</v>
      </c>
    </row>
    <row r="26">
      <c r="A26" s="1" t="s">
        <v>2509</v>
      </c>
      <c r="B26" s="1" t="s">
        <v>2510</v>
      </c>
      <c r="C26" s="1" t="s">
        <v>2511</v>
      </c>
      <c r="D26" s="1" t="s">
        <v>2512</v>
      </c>
      <c r="E26" s="1" t="s">
        <v>66</v>
      </c>
      <c r="F26" s="1" t="s">
        <v>67</v>
      </c>
    </row>
    <row r="27">
      <c r="A27" s="1" t="s">
        <v>2536</v>
      </c>
      <c r="B27" s="1" t="s">
        <v>863</v>
      </c>
      <c r="C27" s="1" t="s">
        <v>2537</v>
      </c>
      <c r="D27" s="1" t="s">
        <v>2538</v>
      </c>
      <c r="E27" s="1" t="s">
        <v>66</v>
      </c>
      <c r="F27" s="1" t="s">
        <v>67</v>
      </c>
    </row>
    <row r="28">
      <c r="A28" s="1" t="s">
        <v>2564</v>
      </c>
      <c r="B28" s="1" t="s">
        <v>2565</v>
      </c>
      <c r="C28" s="1" t="s">
        <v>730</v>
      </c>
      <c r="D28" s="1" t="s">
        <v>2566</v>
      </c>
      <c r="E28" s="1" t="s">
        <v>66</v>
      </c>
      <c r="F28" s="1" t="s">
        <v>67</v>
      </c>
    </row>
    <row r="29">
      <c r="A29" s="4" t="s">
        <v>2567</v>
      </c>
      <c r="B29" s="4" t="s">
        <v>2568</v>
      </c>
      <c r="C29" s="4" t="s">
        <v>2569</v>
      </c>
      <c r="D29" s="4" t="s">
        <v>2570</v>
      </c>
      <c r="E29" s="4" t="s">
        <v>66</v>
      </c>
      <c r="F29" s="4" t="s">
        <v>90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1" t="s">
        <v>2606</v>
      </c>
      <c r="B30" s="1" t="s">
        <v>2607</v>
      </c>
      <c r="C30" s="1" t="s">
        <v>720</v>
      </c>
      <c r="D30" s="1" t="s">
        <v>2608</v>
      </c>
      <c r="E30" s="1" t="s">
        <v>66</v>
      </c>
      <c r="F30" s="1" t="s">
        <v>95</v>
      </c>
    </row>
    <row r="31">
      <c r="A31" s="1" t="s">
        <v>2609</v>
      </c>
      <c r="B31" s="1" t="s">
        <v>2610</v>
      </c>
      <c r="C31" s="1" t="s">
        <v>2611</v>
      </c>
      <c r="D31" s="1" t="s">
        <v>2612</v>
      </c>
      <c r="E31" s="1" t="s">
        <v>66</v>
      </c>
      <c r="F31" s="1" t="s">
        <v>67</v>
      </c>
    </row>
    <row r="32">
      <c r="A32" s="1" t="s">
        <v>2613</v>
      </c>
      <c r="B32" s="1" t="s">
        <v>1494</v>
      </c>
      <c r="C32" s="1" t="s">
        <v>2614</v>
      </c>
      <c r="D32" s="1" t="s">
        <v>2615</v>
      </c>
      <c r="E32" s="1" t="s">
        <v>66</v>
      </c>
      <c r="F32" s="1" t="s">
        <v>67</v>
      </c>
    </row>
    <row r="33">
      <c r="A33" s="1" t="s">
        <v>2616</v>
      </c>
      <c r="B33" s="1" t="s">
        <v>38</v>
      </c>
      <c r="C33" s="1" t="s">
        <v>756</v>
      </c>
      <c r="D33" s="1" t="s">
        <v>2617</v>
      </c>
      <c r="E33" s="1" t="s">
        <v>66</v>
      </c>
      <c r="F33" s="1" t="s">
        <v>95</v>
      </c>
    </row>
    <row r="34">
      <c r="A34" s="1" t="s">
        <v>2618</v>
      </c>
      <c r="B34" s="1" t="s">
        <v>2619</v>
      </c>
      <c r="C34" s="1" t="s">
        <v>2620</v>
      </c>
      <c r="D34" s="1" t="s">
        <v>2621</v>
      </c>
      <c r="E34" s="1" t="s">
        <v>66</v>
      </c>
      <c r="F34" s="1" t="s">
        <v>95</v>
      </c>
    </row>
    <row r="35">
      <c r="A35" s="1" t="s">
        <v>2622</v>
      </c>
      <c r="B35" s="1" t="s">
        <v>317</v>
      </c>
      <c r="C35" s="1" t="s">
        <v>275</v>
      </c>
      <c r="D35" s="1" t="s">
        <v>2623</v>
      </c>
      <c r="E35" s="1" t="s">
        <v>66</v>
      </c>
      <c r="F35" s="1" t="s">
        <v>76</v>
      </c>
    </row>
    <row r="36">
      <c r="A36" s="1" t="s">
        <v>2624</v>
      </c>
      <c r="B36" s="1" t="s">
        <v>38</v>
      </c>
      <c r="C36" s="1" t="s">
        <v>79</v>
      </c>
      <c r="D36" s="1" t="s">
        <v>2625</v>
      </c>
      <c r="E36" s="1" t="s">
        <v>66</v>
      </c>
      <c r="F36" s="1" t="s">
        <v>90</v>
      </c>
    </row>
    <row r="37">
      <c r="A37" s="1" t="s">
        <v>2626</v>
      </c>
      <c r="B37" s="1" t="s">
        <v>2029</v>
      </c>
      <c r="C37" s="1" t="s">
        <v>2627</v>
      </c>
      <c r="D37" s="1" t="s">
        <v>2628</v>
      </c>
      <c r="E37" s="1" t="s">
        <v>66</v>
      </c>
      <c r="F37" s="1" t="s">
        <v>67</v>
      </c>
    </row>
    <row r="38">
      <c r="A38" s="1" t="s">
        <v>1922</v>
      </c>
      <c r="B38" s="1" t="s">
        <v>1923</v>
      </c>
      <c r="C38" s="1" t="s">
        <v>1777</v>
      </c>
      <c r="D38" s="1" t="s">
        <v>2629</v>
      </c>
      <c r="E38" s="1" t="s">
        <v>66</v>
      </c>
      <c r="F38" s="1" t="s">
        <v>67</v>
      </c>
    </row>
    <row r="39">
      <c r="A39" s="1" t="s">
        <v>2630</v>
      </c>
      <c r="B39" s="1" t="s">
        <v>55</v>
      </c>
      <c r="C39" s="1" t="s">
        <v>816</v>
      </c>
      <c r="D39" s="1" t="s">
        <v>2631</v>
      </c>
      <c r="E39" s="1" t="s">
        <v>66</v>
      </c>
      <c r="F39" s="1" t="s">
        <v>67</v>
      </c>
    </row>
    <row r="40">
      <c r="A40" s="1" t="s">
        <v>2632</v>
      </c>
      <c r="B40" s="1" t="s">
        <v>355</v>
      </c>
      <c r="C40" s="1" t="s">
        <v>739</v>
      </c>
      <c r="D40" s="1" t="s">
        <v>2633</v>
      </c>
      <c r="E40" s="1" t="s">
        <v>66</v>
      </c>
      <c r="F40" s="1" t="s">
        <v>129</v>
      </c>
    </row>
    <row r="41">
      <c r="A41" s="1" t="s">
        <v>2634</v>
      </c>
      <c r="B41" s="1" t="s">
        <v>2635</v>
      </c>
      <c r="C41" s="1" t="s">
        <v>2636</v>
      </c>
      <c r="D41" s="1" t="s">
        <v>2637</v>
      </c>
      <c r="E41" s="1" t="s">
        <v>66</v>
      </c>
      <c r="F41" s="1" t="s">
        <v>95</v>
      </c>
    </row>
    <row r="42">
      <c r="A42" s="1" t="s">
        <v>2638</v>
      </c>
      <c r="B42" s="1" t="s">
        <v>2479</v>
      </c>
      <c r="C42" s="1" t="s">
        <v>306</v>
      </c>
      <c r="D42" s="1" t="s">
        <v>2639</v>
      </c>
      <c r="E42" s="1" t="s">
        <v>66</v>
      </c>
      <c r="F42" s="1" t="s">
        <v>90</v>
      </c>
    </row>
    <row r="43">
      <c r="A43" s="1" t="s">
        <v>2640</v>
      </c>
      <c r="B43" s="1" t="s">
        <v>2641</v>
      </c>
      <c r="C43" s="1" t="s">
        <v>720</v>
      </c>
      <c r="D43" s="1" t="s">
        <v>2642</v>
      </c>
      <c r="E43" s="1" t="s">
        <v>66</v>
      </c>
      <c r="F43" s="1" t="s">
        <v>76</v>
      </c>
    </row>
    <row r="44">
      <c r="A44" s="1" t="s">
        <v>191</v>
      </c>
      <c r="B44" s="1" t="s">
        <v>192</v>
      </c>
      <c r="C44" s="1" t="s">
        <v>193</v>
      </c>
      <c r="D44" s="1" t="s">
        <v>194</v>
      </c>
      <c r="E44" s="1" t="s">
        <v>66</v>
      </c>
      <c r="F44" s="1" t="s">
        <v>67</v>
      </c>
    </row>
    <row r="45">
      <c r="A45" s="1" t="s">
        <v>684</v>
      </c>
      <c r="B45" s="1" t="s">
        <v>293</v>
      </c>
      <c r="C45" s="1" t="s">
        <v>685</v>
      </c>
      <c r="D45" s="1" t="s">
        <v>686</v>
      </c>
      <c r="E45" s="1" t="s">
        <v>66</v>
      </c>
      <c r="F45" s="1" t="s">
        <v>67</v>
      </c>
    </row>
    <row r="46">
      <c r="A46" s="1" t="s">
        <v>2643</v>
      </c>
      <c r="B46" s="1" t="s">
        <v>210</v>
      </c>
      <c r="C46" s="1" t="s">
        <v>2644</v>
      </c>
      <c r="D46" s="1" t="s">
        <v>2645</v>
      </c>
      <c r="E46" s="1" t="s">
        <v>66</v>
      </c>
      <c r="F46" s="1" t="s">
        <v>67</v>
      </c>
    </row>
    <row r="47">
      <c r="A47" s="1" t="s">
        <v>1572</v>
      </c>
      <c r="B47" s="1" t="s">
        <v>275</v>
      </c>
      <c r="C47" s="1" t="s">
        <v>1573</v>
      </c>
      <c r="D47" s="1" t="s">
        <v>2646</v>
      </c>
      <c r="E47" s="1" t="s">
        <v>66</v>
      </c>
      <c r="F47" s="1" t="s">
        <v>67</v>
      </c>
    </row>
    <row r="48">
      <c r="A48" s="1" t="s">
        <v>2647</v>
      </c>
      <c r="B48" s="1" t="s">
        <v>1389</v>
      </c>
      <c r="C48" s="1" t="s">
        <v>148</v>
      </c>
      <c r="D48" s="1" t="s">
        <v>2648</v>
      </c>
      <c r="E48" s="1" t="s">
        <v>66</v>
      </c>
      <c r="F48" s="1" t="s">
        <v>129</v>
      </c>
    </row>
    <row r="49">
      <c r="A49" s="1" t="s">
        <v>2649</v>
      </c>
      <c r="B49" s="1" t="s">
        <v>305</v>
      </c>
      <c r="C49" s="1" t="s">
        <v>1252</v>
      </c>
      <c r="D49" s="1" t="s">
        <v>2650</v>
      </c>
      <c r="E49" s="1" t="s">
        <v>66</v>
      </c>
      <c r="F49" s="1" t="s">
        <v>71</v>
      </c>
    </row>
    <row r="50">
      <c r="A50" s="1" t="s">
        <v>2651</v>
      </c>
      <c r="B50" s="1" t="s">
        <v>2652</v>
      </c>
      <c r="C50" s="1" t="s">
        <v>2653</v>
      </c>
      <c r="D50" s="1" t="s">
        <v>2654</v>
      </c>
      <c r="E50" s="1" t="s">
        <v>66</v>
      </c>
      <c r="F50" s="1" t="s">
        <v>90</v>
      </c>
    </row>
    <row r="51">
      <c r="A51" s="1" t="s">
        <v>2655</v>
      </c>
      <c r="B51" s="1" t="s">
        <v>82</v>
      </c>
      <c r="C51" s="1" t="s">
        <v>816</v>
      </c>
      <c r="D51" s="1" t="s">
        <v>2656</v>
      </c>
      <c r="E51" s="1" t="s">
        <v>66</v>
      </c>
      <c r="F51" s="1" t="s">
        <v>71</v>
      </c>
    </row>
    <row r="52">
      <c r="A52" s="1" t="s">
        <v>2657</v>
      </c>
      <c r="B52" s="1" t="s">
        <v>2658</v>
      </c>
      <c r="C52" s="1" t="s">
        <v>2659</v>
      </c>
      <c r="D52" s="1" t="s">
        <v>2660</v>
      </c>
      <c r="E52" s="1" t="s">
        <v>66</v>
      </c>
      <c r="F52" s="1" t="s">
        <v>71</v>
      </c>
    </row>
    <row r="53">
      <c r="A53" s="1" t="s">
        <v>2661</v>
      </c>
      <c r="B53" s="1" t="s">
        <v>2343</v>
      </c>
      <c r="C53" s="1" t="s">
        <v>2662</v>
      </c>
      <c r="D53" s="1" t="s">
        <v>2663</v>
      </c>
      <c r="E53" s="1" t="s">
        <v>66</v>
      </c>
      <c r="F53" s="1" t="s">
        <v>90</v>
      </c>
    </row>
    <row r="54">
      <c r="A54" s="1" t="s">
        <v>2664</v>
      </c>
      <c r="B54" s="1" t="s">
        <v>2665</v>
      </c>
      <c r="C54" s="1" t="s">
        <v>2666</v>
      </c>
      <c r="D54" s="1" t="s">
        <v>2667</v>
      </c>
      <c r="E54" s="1" t="s">
        <v>66</v>
      </c>
      <c r="F54" s="1" t="s">
        <v>71</v>
      </c>
    </row>
    <row r="55">
      <c r="A55" s="1" t="s">
        <v>2668</v>
      </c>
      <c r="B55" s="1" t="s">
        <v>2045</v>
      </c>
      <c r="C55" s="1" t="s">
        <v>2669</v>
      </c>
      <c r="D55" s="1" t="s">
        <v>2670</v>
      </c>
      <c r="E55" s="1" t="s">
        <v>66</v>
      </c>
      <c r="F55" s="1" t="s">
        <v>129</v>
      </c>
    </row>
    <row r="56">
      <c r="A56" s="1" t="s">
        <v>2671</v>
      </c>
      <c r="B56" s="1" t="s">
        <v>2665</v>
      </c>
      <c r="C56" s="1" t="s">
        <v>2672</v>
      </c>
      <c r="D56" s="1" t="s">
        <v>2673</v>
      </c>
      <c r="E56" s="1" t="s">
        <v>66</v>
      </c>
      <c r="F56" s="1" t="s">
        <v>90</v>
      </c>
    </row>
    <row r="57">
      <c r="A57" s="1" t="s">
        <v>2674</v>
      </c>
      <c r="B57" s="1" t="s">
        <v>2675</v>
      </c>
      <c r="C57" s="1" t="s">
        <v>2676</v>
      </c>
      <c r="D57" s="1" t="s">
        <v>2677</v>
      </c>
      <c r="E57" s="1" t="s">
        <v>66</v>
      </c>
      <c r="F57" s="1" t="s">
        <v>71</v>
      </c>
    </row>
    <row r="58">
      <c r="A58" s="1" t="s">
        <v>2678</v>
      </c>
      <c r="B58" s="1" t="s">
        <v>2679</v>
      </c>
      <c r="C58" s="1" t="s">
        <v>2680</v>
      </c>
      <c r="D58" s="1" t="s">
        <v>2681</v>
      </c>
      <c r="E58" s="1" t="s">
        <v>66</v>
      </c>
      <c r="F58" s="1" t="s">
        <v>76</v>
      </c>
    </row>
    <row r="59">
      <c r="A59" s="1" t="s">
        <v>2682</v>
      </c>
      <c r="B59" s="1" t="s">
        <v>495</v>
      </c>
      <c r="C59" s="1" t="s">
        <v>241</v>
      </c>
      <c r="D59" s="1" t="s">
        <v>2683</v>
      </c>
      <c r="E59" s="1" t="s">
        <v>66</v>
      </c>
      <c r="F59" s="1" t="s">
        <v>67</v>
      </c>
    </row>
    <row r="60">
      <c r="A60" s="1" t="s">
        <v>2684</v>
      </c>
      <c r="B60" s="1" t="s">
        <v>117</v>
      </c>
      <c r="C60" s="1" t="s">
        <v>720</v>
      </c>
      <c r="D60" s="1" t="s">
        <v>2685</v>
      </c>
      <c r="E60" s="1" t="s">
        <v>66</v>
      </c>
      <c r="F60" s="1" t="s">
        <v>71</v>
      </c>
    </row>
    <row r="61">
      <c r="A61" s="1" t="s">
        <v>2686</v>
      </c>
      <c r="B61" s="1" t="s">
        <v>2687</v>
      </c>
      <c r="C61" s="1" t="s">
        <v>896</v>
      </c>
      <c r="D61" s="1" t="s">
        <v>2688</v>
      </c>
      <c r="E61" s="1" t="s">
        <v>66</v>
      </c>
      <c r="F61" s="1" t="s">
        <v>95</v>
      </c>
    </row>
    <row r="62">
      <c r="A62" s="1" t="s">
        <v>2689</v>
      </c>
      <c r="B62" s="1" t="s">
        <v>2690</v>
      </c>
      <c r="C62" s="1" t="s">
        <v>2691</v>
      </c>
      <c r="D62" s="1" t="s">
        <v>2692</v>
      </c>
      <c r="E62" s="1" t="s">
        <v>66</v>
      </c>
      <c r="F62" s="1" t="s">
        <v>200</v>
      </c>
    </row>
    <row r="63">
      <c r="A63" s="1" t="s">
        <v>2693</v>
      </c>
      <c r="B63" s="1" t="s">
        <v>2694</v>
      </c>
      <c r="C63" s="1" t="s">
        <v>2695</v>
      </c>
      <c r="D63" s="1" t="s">
        <v>2696</v>
      </c>
      <c r="E63" s="1" t="s">
        <v>66</v>
      </c>
      <c r="F63" s="1" t="s">
        <v>67</v>
      </c>
    </row>
    <row r="64">
      <c r="A64" s="1" t="s">
        <v>2697</v>
      </c>
      <c r="B64" s="1" t="s">
        <v>2349</v>
      </c>
      <c r="C64" s="1" t="s">
        <v>2698</v>
      </c>
      <c r="D64" s="1" t="s">
        <v>2699</v>
      </c>
      <c r="E64" s="1" t="s">
        <v>66</v>
      </c>
      <c r="F64" s="1" t="s">
        <v>67</v>
      </c>
    </row>
    <row r="65">
      <c r="A65" s="1" t="s">
        <v>2700</v>
      </c>
      <c r="B65" s="1" t="s">
        <v>2701</v>
      </c>
      <c r="C65" s="1" t="s">
        <v>2702</v>
      </c>
      <c r="D65" s="1" t="s">
        <v>2703</v>
      </c>
      <c r="E65" s="1" t="s">
        <v>66</v>
      </c>
      <c r="F65" s="1" t="s">
        <v>67</v>
      </c>
    </row>
    <row r="66">
      <c r="A66" s="1" t="s">
        <v>2704</v>
      </c>
      <c r="B66" s="1" t="s">
        <v>2705</v>
      </c>
      <c r="C66" s="1" t="s">
        <v>2706</v>
      </c>
      <c r="D66" s="1" t="s">
        <v>2707</v>
      </c>
      <c r="E66" s="1" t="s">
        <v>66</v>
      </c>
      <c r="F66" s="1" t="s">
        <v>67</v>
      </c>
    </row>
    <row r="67">
      <c r="A67" s="1" t="s">
        <v>2708</v>
      </c>
      <c r="B67" s="1" t="s">
        <v>2709</v>
      </c>
      <c r="C67" s="1" t="s">
        <v>2710</v>
      </c>
      <c r="D67" s="1" t="s">
        <v>2711</v>
      </c>
      <c r="E67" s="1" t="s">
        <v>66</v>
      </c>
      <c r="F67" s="1" t="s">
        <v>129</v>
      </c>
    </row>
    <row r="68">
      <c r="A68" s="1" t="s">
        <v>2712</v>
      </c>
      <c r="B68" s="1" t="s">
        <v>100</v>
      </c>
      <c r="C68" s="1" t="s">
        <v>2713</v>
      </c>
      <c r="D68" s="1" t="s">
        <v>2714</v>
      </c>
      <c r="E68" s="1" t="s">
        <v>66</v>
      </c>
      <c r="F68" s="1" t="s">
        <v>95</v>
      </c>
    </row>
    <row r="69">
      <c r="A69" s="1" t="s">
        <v>2715</v>
      </c>
      <c r="B69" s="1" t="s">
        <v>217</v>
      </c>
      <c r="C69" s="1" t="s">
        <v>409</v>
      </c>
      <c r="D69" s="1" t="s">
        <v>2716</v>
      </c>
      <c r="E69" s="1" t="s">
        <v>66</v>
      </c>
      <c r="F69" s="1" t="s">
        <v>200</v>
      </c>
    </row>
    <row r="70">
      <c r="A70" s="1" t="s">
        <v>2433</v>
      </c>
      <c r="B70" s="1" t="s">
        <v>2434</v>
      </c>
      <c r="C70" s="1" t="s">
        <v>302</v>
      </c>
      <c r="D70" s="1" t="s">
        <v>2717</v>
      </c>
      <c r="E70" s="1" t="s">
        <v>66</v>
      </c>
      <c r="F70" s="1" t="s">
        <v>67</v>
      </c>
    </row>
    <row r="71">
      <c r="A71" s="1" t="s">
        <v>2718</v>
      </c>
      <c r="B71" s="1" t="s">
        <v>2719</v>
      </c>
      <c r="C71" s="1" t="s">
        <v>267</v>
      </c>
      <c r="D71" s="1" t="s">
        <v>2720</v>
      </c>
      <c r="E71" s="1" t="s">
        <v>66</v>
      </c>
      <c r="F71" s="1" t="s">
        <v>67</v>
      </c>
    </row>
    <row r="72">
      <c r="A72" s="1" t="s">
        <v>2721</v>
      </c>
      <c r="B72" s="1" t="s">
        <v>2722</v>
      </c>
      <c r="C72" s="1" t="s">
        <v>2723</v>
      </c>
      <c r="D72" s="1" t="s">
        <v>2724</v>
      </c>
      <c r="E72" s="1" t="s">
        <v>66</v>
      </c>
      <c r="F72" s="1" t="s">
        <v>95</v>
      </c>
    </row>
    <row r="73">
      <c r="A73" s="1" t="s">
        <v>1171</v>
      </c>
      <c r="B73" s="1" t="s">
        <v>1172</v>
      </c>
      <c r="C73" s="1" t="s">
        <v>1173</v>
      </c>
      <c r="D73" s="1" t="s">
        <v>2725</v>
      </c>
      <c r="E73" s="1" t="s">
        <v>66</v>
      </c>
      <c r="F73" s="1" t="s">
        <v>67</v>
      </c>
    </row>
    <row r="74">
      <c r="A74" s="1" t="s">
        <v>2726</v>
      </c>
      <c r="B74" s="1" t="s">
        <v>2727</v>
      </c>
      <c r="C74" s="1" t="s">
        <v>2728</v>
      </c>
      <c r="D74" s="1" t="s">
        <v>2729</v>
      </c>
      <c r="E74" s="1" t="s">
        <v>66</v>
      </c>
      <c r="F74" s="1" t="s">
        <v>67</v>
      </c>
    </row>
    <row r="75">
      <c r="A75" s="1" t="s">
        <v>72</v>
      </c>
      <c r="B75" s="1" t="s">
        <v>73</v>
      </c>
      <c r="C75" s="1" t="s">
        <v>74</v>
      </c>
      <c r="D75" s="1" t="s">
        <v>75</v>
      </c>
      <c r="E75" s="1" t="s">
        <v>66</v>
      </c>
      <c r="F75" s="1" t="s">
        <v>67</v>
      </c>
    </row>
    <row r="76">
      <c r="A76" s="1" t="s">
        <v>2730</v>
      </c>
      <c r="B76" s="1" t="s">
        <v>1713</v>
      </c>
      <c r="C76" s="1" t="s">
        <v>2731</v>
      </c>
      <c r="D76" s="1" t="s">
        <v>2732</v>
      </c>
      <c r="E76" s="1" t="s">
        <v>66</v>
      </c>
      <c r="F76" s="1" t="s">
        <v>71</v>
      </c>
    </row>
    <row r="77">
      <c r="A77" s="1" t="s">
        <v>2733</v>
      </c>
      <c r="B77" s="1" t="s">
        <v>2734</v>
      </c>
      <c r="C77" s="1" t="s">
        <v>2735</v>
      </c>
      <c r="D77" s="1" t="s">
        <v>2736</v>
      </c>
      <c r="E77" s="1" t="s">
        <v>66</v>
      </c>
      <c r="F77" s="1" t="s">
        <v>67</v>
      </c>
    </row>
    <row r="78">
      <c r="A78" s="1" t="s">
        <v>2737</v>
      </c>
      <c r="B78" s="1" t="s">
        <v>229</v>
      </c>
      <c r="C78" s="1" t="s">
        <v>2738</v>
      </c>
      <c r="D78" s="1" t="s">
        <v>2739</v>
      </c>
      <c r="E78" s="1" t="s">
        <v>66</v>
      </c>
      <c r="F78" s="1" t="s">
        <v>200</v>
      </c>
    </row>
    <row r="79">
      <c r="A79" s="1" t="s">
        <v>2740</v>
      </c>
      <c r="B79" s="1" t="s">
        <v>2741</v>
      </c>
      <c r="C79" s="1" t="s">
        <v>2742</v>
      </c>
      <c r="D79" s="1">
        <v>9.73340699E8</v>
      </c>
      <c r="E79" s="1" t="s">
        <v>66</v>
      </c>
      <c r="F79" s="1" t="s">
        <v>90</v>
      </c>
    </row>
    <row r="80">
      <c r="A80" s="1" t="s">
        <v>2743</v>
      </c>
      <c r="B80" s="1" t="s">
        <v>2744</v>
      </c>
      <c r="C80" s="1" t="s">
        <v>2745</v>
      </c>
      <c r="D80" s="1">
        <v>9.20194745E8</v>
      </c>
      <c r="E80" s="1" t="s">
        <v>66</v>
      </c>
      <c r="F80" s="1" t="s">
        <v>129</v>
      </c>
    </row>
    <row r="81">
      <c r="A81" s="1" t="s">
        <v>2478</v>
      </c>
      <c r="B81" s="1" t="s">
        <v>2479</v>
      </c>
      <c r="C81" s="1" t="s">
        <v>2480</v>
      </c>
      <c r="D81" s="1">
        <v>9.10088283E8</v>
      </c>
      <c r="E81" s="1" t="s">
        <v>66</v>
      </c>
      <c r="F81" s="1" t="s">
        <v>71</v>
      </c>
    </row>
    <row r="82">
      <c r="A82" s="1" t="s">
        <v>2746</v>
      </c>
      <c r="B82" s="1" t="s">
        <v>2747</v>
      </c>
      <c r="C82" s="1" t="s">
        <v>2748</v>
      </c>
      <c r="D82" s="1" t="s">
        <v>2749</v>
      </c>
      <c r="E82" s="1" t="s">
        <v>397</v>
      </c>
      <c r="F82" s="1"/>
    </row>
    <row r="83">
      <c r="A83" s="1" t="s">
        <v>2750</v>
      </c>
      <c r="B83" s="1" t="s">
        <v>2751</v>
      </c>
      <c r="C83" s="1" t="s">
        <v>141</v>
      </c>
      <c r="D83" s="1" t="s">
        <v>2752</v>
      </c>
      <c r="E83" s="1" t="s">
        <v>397</v>
      </c>
      <c r="F83" s="1"/>
    </row>
    <row r="84">
      <c r="A84" s="1" t="s">
        <v>2753</v>
      </c>
      <c r="B84" s="1" t="s">
        <v>286</v>
      </c>
      <c r="C84" s="1" t="s">
        <v>2754</v>
      </c>
      <c r="D84" s="1" t="s">
        <v>2755</v>
      </c>
      <c r="E84" s="1" t="s">
        <v>397</v>
      </c>
      <c r="F84" s="1"/>
    </row>
    <row r="85">
      <c r="A85" s="1" t="s">
        <v>2756</v>
      </c>
      <c r="B85" s="1" t="s">
        <v>892</v>
      </c>
      <c r="C85" s="1" t="s">
        <v>807</v>
      </c>
      <c r="D85" s="1" t="s">
        <v>2757</v>
      </c>
      <c r="E85" s="1" t="s">
        <v>397</v>
      </c>
      <c r="F85" s="1"/>
    </row>
    <row r="86">
      <c r="A86" s="1" t="s">
        <v>2758</v>
      </c>
      <c r="B86" s="1" t="s">
        <v>1098</v>
      </c>
      <c r="C86" s="1" t="s">
        <v>342</v>
      </c>
      <c r="D86" s="1" t="s">
        <v>2759</v>
      </c>
      <c r="E86" s="1" t="s">
        <v>397</v>
      </c>
      <c r="F86" s="1"/>
    </row>
    <row r="87">
      <c r="A87" s="1" t="s">
        <v>2760</v>
      </c>
      <c r="B87" s="1" t="s">
        <v>745</v>
      </c>
      <c r="C87" s="1" t="s">
        <v>715</v>
      </c>
      <c r="D87" s="1" t="s">
        <v>2761</v>
      </c>
      <c r="E87" s="1" t="s">
        <v>397</v>
      </c>
      <c r="F87" s="1"/>
    </row>
    <row r="88">
      <c r="A88" s="1" t="s">
        <v>2762</v>
      </c>
      <c r="B88" s="1" t="s">
        <v>594</v>
      </c>
      <c r="C88" s="1" t="s">
        <v>27</v>
      </c>
      <c r="D88" s="1" t="s">
        <v>2763</v>
      </c>
      <c r="E88" s="1" t="s">
        <v>397</v>
      </c>
      <c r="F88" s="1"/>
    </row>
    <row r="89">
      <c r="A89" s="1" t="s">
        <v>1113</v>
      </c>
      <c r="B89" s="1" t="s">
        <v>1114</v>
      </c>
      <c r="C89" s="1" t="s">
        <v>1115</v>
      </c>
      <c r="D89" s="1" t="s">
        <v>1116</v>
      </c>
      <c r="E89" s="1" t="s">
        <v>397</v>
      </c>
      <c r="F89" s="1"/>
    </row>
    <row r="90">
      <c r="A90" s="1" t="s">
        <v>2764</v>
      </c>
      <c r="B90" s="1" t="s">
        <v>2765</v>
      </c>
      <c r="C90" s="1" t="s">
        <v>2766</v>
      </c>
      <c r="D90" s="1" t="s">
        <v>2767</v>
      </c>
      <c r="E90" s="1" t="s">
        <v>397</v>
      </c>
      <c r="F90" s="1"/>
    </row>
    <row r="91">
      <c r="A91" s="1" t="s">
        <v>2768</v>
      </c>
      <c r="B91" s="1" t="s">
        <v>468</v>
      </c>
      <c r="C91" s="1" t="s">
        <v>393</v>
      </c>
      <c r="D91" s="1" t="s">
        <v>2769</v>
      </c>
      <c r="E91" s="1" t="s">
        <v>397</v>
      </c>
      <c r="F91" s="1"/>
    </row>
    <row r="92">
      <c r="A92" s="1" t="s">
        <v>2770</v>
      </c>
      <c r="B92" s="1" t="s">
        <v>2771</v>
      </c>
      <c r="C92" s="1" t="s">
        <v>161</v>
      </c>
      <c r="D92" s="1" t="s">
        <v>2772</v>
      </c>
      <c r="E92" s="1" t="s">
        <v>397</v>
      </c>
      <c r="F92" s="1"/>
    </row>
    <row r="93">
      <c r="A93" s="1" t="s">
        <v>2773</v>
      </c>
      <c r="B93" s="1" t="s">
        <v>2774</v>
      </c>
      <c r="C93" s="1" t="s">
        <v>2775</v>
      </c>
      <c r="D93" s="1" t="s">
        <v>2776</v>
      </c>
      <c r="E93" s="1" t="s">
        <v>397</v>
      </c>
      <c r="F93" s="1"/>
    </row>
    <row r="94">
      <c r="A94" s="1" t="s">
        <v>2777</v>
      </c>
      <c r="B94" s="1" t="s">
        <v>2778</v>
      </c>
      <c r="C94" s="1" t="s">
        <v>2779</v>
      </c>
      <c r="D94" s="1" t="s">
        <v>2780</v>
      </c>
      <c r="E94" s="1" t="s">
        <v>397</v>
      </c>
      <c r="F94" s="1"/>
    </row>
    <row r="95">
      <c r="A95" s="1" t="s">
        <v>2781</v>
      </c>
      <c r="B95" s="1" t="s">
        <v>594</v>
      </c>
      <c r="C95" s="1" t="s">
        <v>79</v>
      </c>
      <c r="D95" s="1" t="s">
        <v>2782</v>
      </c>
      <c r="E95" s="1" t="s">
        <v>397</v>
      </c>
      <c r="F95" s="1"/>
    </row>
    <row r="96">
      <c r="A96" s="1" t="s">
        <v>2783</v>
      </c>
      <c r="B96" s="1" t="s">
        <v>2784</v>
      </c>
      <c r="C96" s="1" t="s">
        <v>330</v>
      </c>
      <c r="D96" s="1" t="s">
        <v>2785</v>
      </c>
      <c r="E96" s="1" t="s">
        <v>397</v>
      </c>
      <c r="F96" s="1"/>
    </row>
    <row r="97">
      <c r="A97" s="1" t="s">
        <v>2786</v>
      </c>
      <c r="B97" s="1" t="s">
        <v>2787</v>
      </c>
      <c r="C97" s="1" t="s">
        <v>2788</v>
      </c>
      <c r="D97" s="1" t="s">
        <v>2789</v>
      </c>
      <c r="E97" s="1" t="s">
        <v>397</v>
      </c>
      <c r="F97" s="1"/>
    </row>
    <row r="98">
      <c r="A98" s="1" t="s">
        <v>2790</v>
      </c>
      <c r="B98" s="1" t="s">
        <v>184</v>
      </c>
      <c r="C98" s="1" t="s">
        <v>1815</v>
      </c>
      <c r="D98" s="1" t="s">
        <v>2791</v>
      </c>
      <c r="E98" s="1" t="s">
        <v>397</v>
      </c>
      <c r="F98" s="1"/>
    </row>
    <row r="99">
      <c r="A99" s="1" t="s">
        <v>2792</v>
      </c>
      <c r="B99" s="1" t="s">
        <v>309</v>
      </c>
      <c r="C99" s="1" t="s">
        <v>101</v>
      </c>
      <c r="D99" s="1" t="s">
        <v>2793</v>
      </c>
      <c r="E99" s="1" t="s">
        <v>397</v>
      </c>
      <c r="F99" s="1"/>
    </row>
    <row r="100">
      <c r="A100" s="1" t="s">
        <v>2794</v>
      </c>
      <c r="B100" s="1" t="s">
        <v>2795</v>
      </c>
      <c r="C100" s="1" t="s">
        <v>2257</v>
      </c>
      <c r="D100" s="1" t="s">
        <v>2796</v>
      </c>
      <c r="E100" s="1" t="s">
        <v>397</v>
      </c>
      <c r="F100" s="1"/>
    </row>
    <row r="101">
      <c r="A101" s="1" t="s">
        <v>2797</v>
      </c>
      <c r="B101" s="1" t="s">
        <v>863</v>
      </c>
      <c r="C101" s="1" t="s">
        <v>1338</v>
      </c>
      <c r="D101" s="1" t="s">
        <v>2798</v>
      </c>
      <c r="E101" s="1" t="s">
        <v>397</v>
      </c>
      <c r="F101" s="1"/>
    </row>
    <row r="102">
      <c r="A102" s="1" t="s">
        <v>2799</v>
      </c>
      <c r="B102" s="1" t="s">
        <v>2800</v>
      </c>
      <c r="C102" s="1" t="s">
        <v>2801</v>
      </c>
      <c r="D102" s="1" t="s">
        <v>2802</v>
      </c>
      <c r="E102" s="1" t="s">
        <v>397</v>
      </c>
      <c r="F102" s="1"/>
    </row>
    <row r="103">
      <c r="A103" s="1" t="s">
        <v>2803</v>
      </c>
      <c r="B103" s="1" t="s">
        <v>2804</v>
      </c>
      <c r="C103" s="1" t="s">
        <v>60</v>
      </c>
      <c r="D103" s="1" t="s">
        <v>2805</v>
      </c>
      <c r="E103" s="1" t="s">
        <v>397</v>
      </c>
      <c r="F103" s="1"/>
    </row>
    <row r="104">
      <c r="A104" s="1" t="s">
        <v>2806</v>
      </c>
      <c r="B104" s="1" t="s">
        <v>2807</v>
      </c>
      <c r="C104" s="1" t="s">
        <v>2808</v>
      </c>
      <c r="D104" s="1" t="s">
        <v>2809</v>
      </c>
      <c r="E104" s="1" t="s">
        <v>397</v>
      </c>
      <c r="F104" s="1"/>
    </row>
    <row r="105">
      <c r="A105" s="1" t="s">
        <v>2810</v>
      </c>
      <c r="B105" s="1" t="s">
        <v>184</v>
      </c>
      <c r="C105" s="1" t="s">
        <v>2811</v>
      </c>
      <c r="D105" s="1" t="s">
        <v>2812</v>
      </c>
      <c r="E105" s="1" t="s">
        <v>397</v>
      </c>
      <c r="F105" s="1"/>
    </row>
    <row r="106">
      <c r="A106" s="1" t="s">
        <v>2813</v>
      </c>
      <c r="B106" s="1" t="s">
        <v>1234</v>
      </c>
      <c r="C106" s="1" t="s">
        <v>2814</v>
      </c>
      <c r="D106" s="1" t="s">
        <v>2815</v>
      </c>
      <c r="E106" s="1" t="s">
        <v>397</v>
      </c>
      <c r="F106" s="1"/>
    </row>
    <row r="107">
      <c r="A107" s="1" t="s">
        <v>2139</v>
      </c>
      <c r="B107" s="1" t="s">
        <v>325</v>
      </c>
      <c r="C107" s="1" t="s">
        <v>1330</v>
      </c>
      <c r="D107" s="1" t="s">
        <v>2816</v>
      </c>
      <c r="E107" s="1" t="s">
        <v>397</v>
      </c>
      <c r="F107" s="1"/>
    </row>
    <row r="108">
      <c r="A108" s="1" t="s">
        <v>2817</v>
      </c>
      <c r="B108" s="1" t="s">
        <v>1528</v>
      </c>
      <c r="C108" s="1" t="s">
        <v>2694</v>
      </c>
      <c r="D108" s="1" t="s">
        <v>2818</v>
      </c>
      <c r="E108" s="1" t="s">
        <v>397</v>
      </c>
      <c r="F108" s="1"/>
    </row>
    <row r="109">
      <c r="A109" s="1" t="s">
        <v>2819</v>
      </c>
      <c r="B109" s="1" t="s">
        <v>1266</v>
      </c>
      <c r="C109" s="1" t="s">
        <v>2820</v>
      </c>
      <c r="D109" s="1" t="s">
        <v>2821</v>
      </c>
      <c r="E109" s="1" t="s">
        <v>397</v>
      </c>
      <c r="F109" s="1"/>
    </row>
    <row r="110">
      <c r="A110" s="1" t="s">
        <v>2822</v>
      </c>
      <c r="B110" s="1" t="s">
        <v>2823</v>
      </c>
      <c r="C110" s="1" t="s">
        <v>2824</v>
      </c>
      <c r="D110" s="1" t="s">
        <v>2825</v>
      </c>
      <c r="E110" s="1" t="s">
        <v>397</v>
      </c>
      <c r="F110" s="1"/>
    </row>
    <row r="111">
      <c r="A111" s="1" t="s">
        <v>2826</v>
      </c>
      <c r="B111" s="1" t="s">
        <v>2827</v>
      </c>
      <c r="C111" s="1" t="s">
        <v>2828</v>
      </c>
      <c r="D111" s="1" t="s">
        <v>2829</v>
      </c>
      <c r="E111" s="1" t="s">
        <v>397</v>
      </c>
      <c r="F111" s="1"/>
    </row>
    <row r="112">
      <c r="A112" s="1" t="s">
        <v>994</v>
      </c>
      <c r="B112" s="1" t="s">
        <v>995</v>
      </c>
      <c r="C112" s="1" t="s">
        <v>996</v>
      </c>
      <c r="D112" s="1" t="s">
        <v>997</v>
      </c>
      <c r="E112" s="1" t="s">
        <v>397</v>
      </c>
      <c r="F112" s="1"/>
    </row>
    <row r="113">
      <c r="A113" s="1" t="s">
        <v>2830</v>
      </c>
      <c r="B113" s="1" t="s">
        <v>2831</v>
      </c>
      <c r="C113" s="1" t="s">
        <v>697</v>
      </c>
      <c r="D113" s="1" t="s">
        <v>2832</v>
      </c>
      <c r="E113" s="1" t="s">
        <v>397</v>
      </c>
      <c r="F113" s="1"/>
    </row>
    <row r="114">
      <c r="A114" s="1" t="s">
        <v>2833</v>
      </c>
      <c r="B114" s="1" t="s">
        <v>2834</v>
      </c>
      <c r="C114" s="1" t="s">
        <v>2835</v>
      </c>
      <c r="D114" s="1" t="s">
        <v>2836</v>
      </c>
      <c r="E114" s="1" t="s">
        <v>397</v>
      </c>
      <c r="F114" s="1"/>
    </row>
    <row r="115">
      <c r="A115" s="1" t="s">
        <v>2837</v>
      </c>
      <c r="B115" s="1" t="s">
        <v>2838</v>
      </c>
      <c r="C115" s="1" t="s">
        <v>2104</v>
      </c>
      <c r="D115" s="1" t="s">
        <v>2839</v>
      </c>
      <c r="E115" s="1" t="s">
        <v>397</v>
      </c>
      <c r="F115" s="1"/>
    </row>
    <row r="116">
      <c r="A116" s="1" t="s">
        <v>2840</v>
      </c>
      <c r="B116" s="1" t="s">
        <v>1429</v>
      </c>
      <c r="C116" s="1" t="s">
        <v>2841</v>
      </c>
      <c r="D116" s="1" t="s">
        <v>2842</v>
      </c>
      <c r="E116" s="1" t="s">
        <v>397</v>
      </c>
      <c r="F116" s="1"/>
    </row>
    <row r="117">
      <c r="A117" s="1" t="s">
        <v>2843</v>
      </c>
      <c r="B117" s="1" t="s">
        <v>844</v>
      </c>
      <c r="C117" s="1" t="s">
        <v>2844</v>
      </c>
      <c r="D117" s="1" t="s">
        <v>2845</v>
      </c>
      <c r="E117" s="1" t="s">
        <v>397</v>
      </c>
      <c r="F117" s="1"/>
    </row>
    <row r="118">
      <c r="A118" s="1" t="s">
        <v>2846</v>
      </c>
      <c r="B118" s="1" t="s">
        <v>507</v>
      </c>
      <c r="C118" s="1" t="s">
        <v>2847</v>
      </c>
      <c r="D118" s="1" t="s">
        <v>2848</v>
      </c>
      <c r="E118" s="1" t="s">
        <v>397</v>
      </c>
      <c r="F118" s="1"/>
    </row>
    <row r="119">
      <c r="A119" s="1" t="s">
        <v>2849</v>
      </c>
      <c r="B119" s="1" t="s">
        <v>2328</v>
      </c>
      <c r="C119" s="1" t="s">
        <v>2850</v>
      </c>
      <c r="D119" s="1" t="s">
        <v>2851</v>
      </c>
      <c r="E119" s="1" t="s">
        <v>397</v>
      </c>
      <c r="F119" s="1"/>
    </row>
    <row r="120">
      <c r="A120" s="1" t="s">
        <v>2852</v>
      </c>
      <c r="B120" s="1" t="s">
        <v>2853</v>
      </c>
      <c r="C120" s="1" t="s">
        <v>2854</v>
      </c>
      <c r="D120" s="1" t="s">
        <v>2855</v>
      </c>
      <c r="E120" s="1" t="s">
        <v>397</v>
      </c>
      <c r="F120" s="1"/>
    </row>
    <row r="121">
      <c r="A121" s="1" t="s">
        <v>2856</v>
      </c>
      <c r="B121" s="1" t="s">
        <v>518</v>
      </c>
      <c r="C121" s="1" t="s">
        <v>2702</v>
      </c>
      <c r="D121" s="1" t="s">
        <v>2857</v>
      </c>
      <c r="E121" s="1" t="s">
        <v>397</v>
      </c>
      <c r="F121" s="1"/>
    </row>
    <row r="122">
      <c r="A122" s="1" t="s">
        <v>916</v>
      </c>
      <c r="B122" s="1" t="s">
        <v>917</v>
      </c>
      <c r="C122" s="1" t="s">
        <v>918</v>
      </c>
      <c r="D122" s="1" t="s">
        <v>919</v>
      </c>
      <c r="E122" s="1" t="s">
        <v>397</v>
      </c>
      <c r="F122" s="1"/>
    </row>
    <row r="123">
      <c r="A123" s="1" t="s">
        <v>2858</v>
      </c>
      <c r="B123" s="1" t="s">
        <v>2859</v>
      </c>
      <c r="C123" s="1" t="s">
        <v>1218</v>
      </c>
      <c r="D123" s="1" t="s">
        <v>2860</v>
      </c>
      <c r="E123" s="1" t="s">
        <v>397</v>
      </c>
      <c r="F123" s="1"/>
    </row>
    <row r="124">
      <c r="A124" s="1" t="s">
        <v>2182</v>
      </c>
      <c r="B124" s="1" t="s">
        <v>2183</v>
      </c>
      <c r="C124" s="1" t="s">
        <v>2184</v>
      </c>
      <c r="D124" s="1" t="s">
        <v>2861</v>
      </c>
      <c r="E124" s="1" t="s">
        <v>397</v>
      </c>
      <c r="F124" s="1"/>
    </row>
    <row r="125">
      <c r="A125" s="1" t="s">
        <v>2862</v>
      </c>
      <c r="B125" s="1" t="s">
        <v>2863</v>
      </c>
      <c r="C125" s="1" t="s">
        <v>2864</v>
      </c>
      <c r="D125" s="1" t="s">
        <v>2865</v>
      </c>
      <c r="E125" s="1" t="s">
        <v>397</v>
      </c>
      <c r="F125" s="1"/>
    </row>
    <row r="126">
      <c r="A126" s="1" t="s">
        <v>2866</v>
      </c>
      <c r="B126" s="1" t="s">
        <v>1429</v>
      </c>
      <c r="C126" s="1" t="s">
        <v>2867</v>
      </c>
      <c r="D126" s="1" t="s">
        <v>2868</v>
      </c>
      <c r="E126" s="1" t="s">
        <v>397</v>
      </c>
      <c r="F126" s="1"/>
    </row>
    <row r="127">
      <c r="A127" s="1" t="s">
        <v>2869</v>
      </c>
      <c r="B127" s="1" t="s">
        <v>79</v>
      </c>
      <c r="C127" s="1" t="s">
        <v>275</v>
      </c>
      <c r="D127" s="1" t="s">
        <v>2870</v>
      </c>
      <c r="E127" s="1" t="s">
        <v>397</v>
      </c>
      <c r="F127" s="1"/>
    </row>
    <row r="128">
      <c r="A128" s="1" t="s">
        <v>2871</v>
      </c>
      <c r="B128" s="1" t="s">
        <v>2872</v>
      </c>
      <c r="C128" s="1" t="s">
        <v>1467</v>
      </c>
      <c r="D128" s="1" t="s">
        <v>2873</v>
      </c>
      <c r="E128" s="1" t="s">
        <v>397</v>
      </c>
      <c r="F128" s="1"/>
    </row>
    <row r="129">
      <c r="A129" s="1" t="s">
        <v>2874</v>
      </c>
      <c r="B129" s="1" t="s">
        <v>2875</v>
      </c>
      <c r="C129" s="1" t="s">
        <v>1429</v>
      </c>
      <c r="D129" s="1" t="s">
        <v>2876</v>
      </c>
      <c r="E129" s="1" t="s">
        <v>397</v>
      </c>
      <c r="F129" s="1"/>
    </row>
    <row r="130">
      <c r="A130" s="1" t="s">
        <v>2877</v>
      </c>
      <c r="B130" s="1" t="s">
        <v>2878</v>
      </c>
      <c r="C130" s="1" t="s">
        <v>2879</v>
      </c>
      <c r="D130" s="1" t="s">
        <v>2880</v>
      </c>
      <c r="E130" s="1" t="s">
        <v>397</v>
      </c>
      <c r="F130" s="1"/>
    </row>
    <row r="131">
      <c r="A131" s="1" t="s">
        <v>2881</v>
      </c>
      <c r="B131" s="1" t="s">
        <v>1685</v>
      </c>
      <c r="C131" s="1" t="s">
        <v>881</v>
      </c>
      <c r="D131" s="1" t="s">
        <v>2882</v>
      </c>
      <c r="E131" s="1" t="s">
        <v>397</v>
      </c>
      <c r="F131" s="1"/>
    </row>
    <row r="132">
      <c r="A132" s="1" t="s">
        <v>2189</v>
      </c>
      <c r="B132" s="1" t="s">
        <v>2190</v>
      </c>
      <c r="C132" s="1" t="s">
        <v>10</v>
      </c>
      <c r="D132" s="1" t="s">
        <v>2883</v>
      </c>
      <c r="E132" s="1" t="s">
        <v>397</v>
      </c>
      <c r="F132" s="1"/>
    </row>
    <row r="133">
      <c r="A133" s="1" t="s">
        <v>2884</v>
      </c>
      <c r="B133" s="1" t="s">
        <v>2885</v>
      </c>
      <c r="C133" s="1" t="s">
        <v>2886</v>
      </c>
      <c r="D133" s="1" t="s">
        <v>2887</v>
      </c>
      <c r="E133" s="1" t="s">
        <v>397</v>
      </c>
      <c r="F133" s="1"/>
    </row>
    <row r="134">
      <c r="A134" s="1" t="s">
        <v>2888</v>
      </c>
      <c r="B134" s="1" t="s">
        <v>2889</v>
      </c>
      <c r="C134" s="1" t="s">
        <v>532</v>
      </c>
      <c r="D134" s="1" t="s">
        <v>2890</v>
      </c>
      <c r="E134" s="1" t="s">
        <v>397</v>
      </c>
      <c r="F134" s="1"/>
    </row>
    <row r="135">
      <c r="A135" s="1" t="s">
        <v>2891</v>
      </c>
      <c r="B135" s="1" t="s">
        <v>2892</v>
      </c>
      <c r="C135" s="1" t="s">
        <v>594</v>
      </c>
      <c r="D135" s="1" t="s">
        <v>2893</v>
      </c>
      <c r="E135" s="1" t="s">
        <v>397</v>
      </c>
      <c r="F135" s="1"/>
    </row>
    <row r="136">
      <c r="A136" s="1" t="s">
        <v>2894</v>
      </c>
      <c r="B136" s="1" t="s">
        <v>2895</v>
      </c>
      <c r="C136" s="1" t="s">
        <v>2896</v>
      </c>
      <c r="D136" s="1" t="s">
        <v>2897</v>
      </c>
      <c r="E136" s="1" t="s">
        <v>397</v>
      </c>
      <c r="F136" s="1"/>
    </row>
    <row r="137">
      <c r="A137" s="1" t="s">
        <v>2196</v>
      </c>
      <c r="B137" s="1" t="s">
        <v>2197</v>
      </c>
      <c r="C137" s="1" t="s">
        <v>2198</v>
      </c>
      <c r="D137" s="1" t="s">
        <v>2898</v>
      </c>
      <c r="E137" s="1" t="s">
        <v>397</v>
      </c>
      <c r="F137" s="1"/>
    </row>
    <row r="138">
      <c r="A138" s="1" t="s">
        <v>1662</v>
      </c>
      <c r="B138" s="1" t="s">
        <v>1663</v>
      </c>
      <c r="C138" s="1" t="s">
        <v>1664</v>
      </c>
      <c r="D138" s="1" t="s">
        <v>2899</v>
      </c>
      <c r="E138" s="1" t="s">
        <v>397</v>
      </c>
      <c r="F138" s="1"/>
    </row>
    <row r="139">
      <c r="A139" s="1" t="s">
        <v>2900</v>
      </c>
      <c r="B139" s="1" t="s">
        <v>2901</v>
      </c>
      <c r="C139" s="1" t="s">
        <v>2902</v>
      </c>
      <c r="D139" s="1" t="s">
        <v>2903</v>
      </c>
      <c r="E139" s="1" t="s">
        <v>397</v>
      </c>
      <c r="F139" s="1"/>
    </row>
    <row r="140">
      <c r="A140" s="1" t="s">
        <v>2904</v>
      </c>
      <c r="B140" s="1" t="s">
        <v>2905</v>
      </c>
      <c r="C140" s="1" t="s">
        <v>507</v>
      </c>
      <c r="D140" s="1" t="s">
        <v>2906</v>
      </c>
      <c r="E140" s="1" t="s">
        <v>397</v>
      </c>
      <c r="F140" s="1"/>
    </row>
    <row r="141">
      <c r="A141" s="1" t="s">
        <v>2907</v>
      </c>
      <c r="B141" s="1" t="s">
        <v>55</v>
      </c>
      <c r="C141" s="1" t="s">
        <v>2908</v>
      </c>
      <c r="D141" s="1" t="s">
        <v>2909</v>
      </c>
      <c r="E141" s="1" t="s">
        <v>397</v>
      </c>
      <c r="F141" s="1"/>
    </row>
    <row r="142">
      <c r="A142" s="1" t="s">
        <v>2910</v>
      </c>
      <c r="B142" s="1" t="s">
        <v>2911</v>
      </c>
      <c r="C142" s="1" t="s">
        <v>1729</v>
      </c>
      <c r="D142" s="1" t="s">
        <v>2912</v>
      </c>
      <c r="E142" s="1" t="s">
        <v>397</v>
      </c>
      <c r="F142" s="1"/>
    </row>
    <row r="143">
      <c r="A143" s="1" t="s">
        <v>2913</v>
      </c>
      <c r="B143" s="1" t="s">
        <v>2914</v>
      </c>
      <c r="C143" s="1" t="s">
        <v>2915</v>
      </c>
      <c r="D143" s="1" t="s">
        <v>2916</v>
      </c>
      <c r="E143" s="1" t="s">
        <v>397</v>
      </c>
      <c r="F143" s="1"/>
    </row>
    <row r="144">
      <c r="A144" s="1" t="s">
        <v>2208</v>
      </c>
      <c r="B144" s="1" t="s">
        <v>2209</v>
      </c>
      <c r="C144" s="1" t="s">
        <v>2210</v>
      </c>
      <c r="D144" s="1" t="s">
        <v>2917</v>
      </c>
      <c r="E144" s="1" t="s">
        <v>397</v>
      </c>
      <c r="F144" s="1"/>
    </row>
    <row r="145">
      <c r="A145" s="1" t="s">
        <v>2211</v>
      </c>
      <c r="B145" s="1" t="s">
        <v>2212</v>
      </c>
      <c r="C145" s="1" t="s">
        <v>2213</v>
      </c>
      <c r="D145" s="1" t="s">
        <v>2918</v>
      </c>
      <c r="E145" s="1" t="s">
        <v>397</v>
      </c>
      <c r="F145" s="1"/>
    </row>
    <row r="146">
      <c r="A146" s="1" t="s">
        <v>2919</v>
      </c>
      <c r="B146" s="1" t="s">
        <v>1320</v>
      </c>
      <c r="C146" s="1" t="s">
        <v>2920</v>
      </c>
      <c r="D146" s="1" t="s">
        <v>2921</v>
      </c>
      <c r="E146" s="1" t="s">
        <v>397</v>
      </c>
      <c r="F146" s="1"/>
    </row>
    <row r="147">
      <c r="A147" s="1" t="s">
        <v>769</v>
      </c>
      <c r="B147" s="1" t="s">
        <v>770</v>
      </c>
      <c r="C147" s="1" t="s">
        <v>771</v>
      </c>
      <c r="D147" s="1" t="s">
        <v>772</v>
      </c>
      <c r="E147" s="1" t="s">
        <v>397</v>
      </c>
      <c r="F147" s="1"/>
    </row>
    <row r="148">
      <c r="A148" s="1" t="s">
        <v>2922</v>
      </c>
      <c r="B148" s="1" t="s">
        <v>2923</v>
      </c>
      <c r="C148" s="1" t="s">
        <v>2924</v>
      </c>
      <c r="D148" s="1" t="s">
        <v>2925</v>
      </c>
      <c r="E148" s="1" t="s">
        <v>397</v>
      </c>
      <c r="F148" s="1"/>
    </row>
    <row r="149">
      <c r="A149" s="1" t="s">
        <v>2926</v>
      </c>
      <c r="B149" s="1" t="s">
        <v>2082</v>
      </c>
      <c r="C149" s="1" t="s">
        <v>2927</v>
      </c>
      <c r="D149" s="1" t="s">
        <v>2928</v>
      </c>
      <c r="E149" s="1" t="s">
        <v>397</v>
      </c>
      <c r="F149" s="1"/>
    </row>
    <row r="150">
      <c r="A150" s="1" t="s">
        <v>2929</v>
      </c>
      <c r="B150" s="1" t="s">
        <v>2930</v>
      </c>
      <c r="C150" s="1" t="s">
        <v>2931</v>
      </c>
      <c r="D150" s="1" t="s">
        <v>2932</v>
      </c>
      <c r="E150" s="1" t="s">
        <v>397</v>
      </c>
      <c r="F150" s="1"/>
    </row>
    <row r="151">
      <c r="A151" s="1" t="s">
        <v>2933</v>
      </c>
      <c r="B151" s="1" t="s">
        <v>2934</v>
      </c>
      <c r="C151" s="1" t="s">
        <v>2935</v>
      </c>
      <c r="D151" s="1" t="s">
        <v>2936</v>
      </c>
      <c r="E151" s="1" t="s">
        <v>397</v>
      </c>
      <c r="F151" s="1"/>
    </row>
    <row r="152">
      <c r="A152" s="1" t="s">
        <v>2937</v>
      </c>
      <c r="B152" s="1" t="s">
        <v>2938</v>
      </c>
      <c r="C152" s="1" t="s">
        <v>2939</v>
      </c>
      <c r="D152" s="1" t="s">
        <v>2940</v>
      </c>
      <c r="E152" s="1" t="s">
        <v>397</v>
      </c>
      <c r="F152" s="1"/>
    </row>
    <row r="153">
      <c r="A153" s="1" t="s">
        <v>2941</v>
      </c>
      <c r="B153" s="1" t="s">
        <v>2942</v>
      </c>
      <c r="C153" s="1" t="s">
        <v>2943</v>
      </c>
      <c r="D153" s="1" t="s">
        <v>2944</v>
      </c>
      <c r="E153" s="1" t="s">
        <v>397</v>
      </c>
      <c r="F153" s="1"/>
    </row>
    <row r="154">
      <c r="A154" s="1" t="s">
        <v>2945</v>
      </c>
      <c r="B154" s="1" t="s">
        <v>1548</v>
      </c>
      <c r="C154" s="1" t="s">
        <v>1771</v>
      </c>
      <c r="D154" s="1" t="s">
        <v>2946</v>
      </c>
      <c r="E154" s="1" t="s">
        <v>397</v>
      </c>
      <c r="F154" s="1"/>
    </row>
    <row r="155">
      <c r="A155" s="1" t="s">
        <v>2947</v>
      </c>
      <c r="B155" s="1" t="s">
        <v>2948</v>
      </c>
      <c r="C155" s="1" t="s">
        <v>79</v>
      </c>
      <c r="D155" s="1" t="s">
        <v>2949</v>
      </c>
      <c r="E155" s="1" t="s">
        <v>397</v>
      </c>
      <c r="F155" s="1"/>
    </row>
    <row r="156">
      <c r="A156" s="1" t="s">
        <v>2950</v>
      </c>
      <c r="B156" s="1" t="s">
        <v>2934</v>
      </c>
      <c r="C156" s="1" t="s">
        <v>2424</v>
      </c>
      <c r="D156" s="1" t="s">
        <v>2951</v>
      </c>
      <c r="E156" s="1" t="s">
        <v>397</v>
      </c>
      <c r="F156" s="1"/>
    </row>
    <row r="157">
      <c r="A157" s="1" t="s">
        <v>2952</v>
      </c>
      <c r="B157" s="1" t="s">
        <v>2934</v>
      </c>
      <c r="C157" s="1" t="s">
        <v>2424</v>
      </c>
      <c r="D157" s="1" t="s">
        <v>2951</v>
      </c>
      <c r="E157" s="1" t="s">
        <v>397</v>
      </c>
      <c r="F157" s="1"/>
    </row>
    <row r="158">
      <c r="A158" s="1" t="s">
        <v>2953</v>
      </c>
      <c r="B158" s="1" t="s">
        <v>1266</v>
      </c>
      <c r="C158" s="1" t="s">
        <v>260</v>
      </c>
      <c r="D158" s="1" t="s">
        <v>2954</v>
      </c>
      <c r="E158" s="1" t="s">
        <v>397</v>
      </c>
      <c r="F158" s="1"/>
    </row>
    <row r="159">
      <c r="A159" s="1" t="s">
        <v>2955</v>
      </c>
      <c r="B159" s="1" t="s">
        <v>293</v>
      </c>
      <c r="C159" s="1" t="s">
        <v>2956</v>
      </c>
      <c r="D159" s="1" t="s">
        <v>2957</v>
      </c>
      <c r="E159" s="1" t="s">
        <v>397</v>
      </c>
      <c r="F159" s="1"/>
    </row>
    <row r="160">
      <c r="A160" s="1" t="s">
        <v>2958</v>
      </c>
      <c r="B160" s="1" t="s">
        <v>2959</v>
      </c>
      <c r="C160" s="1" t="s">
        <v>2960</v>
      </c>
      <c r="D160" s="1" t="s">
        <v>2961</v>
      </c>
      <c r="E160" s="1" t="s">
        <v>397</v>
      </c>
      <c r="F160" s="1"/>
    </row>
    <row r="161">
      <c r="A161" s="1" t="s">
        <v>2962</v>
      </c>
      <c r="B161" s="1" t="s">
        <v>2963</v>
      </c>
      <c r="C161" s="1" t="s">
        <v>730</v>
      </c>
      <c r="D161" s="1" t="s">
        <v>2964</v>
      </c>
      <c r="E161" s="1" t="s">
        <v>397</v>
      </c>
      <c r="F161" s="1"/>
    </row>
    <row r="162">
      <c r="A162" s="1" t="s">
        <v>2965</v>
      </c>
      <c r="B162" s="1" t="s">
        <v>2966</v>
      </c>
      <c r="C162" s="1" t="s">
        <v>1467</v>
      </c>
      <c r="D162" s="1" t="s">
        <v>2967</v>
      </c>
      <c r="E162" s="1" t="s">
        <v>397</v>
      </c>
      <c r="F162" s="1"/>
    </row>
    <row r="163">
      <c r="A163" s="1" t="s">
        <v>2968</v>
      </c>
      <c r="B163" s="1" t="s">
        <v>317</v>
      </c>
      <c r="C163" s="1" t="s">
        <v>2795</v>
      </c>
      <c r="D163" s="1" t="s">
        <v>2969</v>
      </c>
      <c r="E163" s="1" t="s">
        <v>397</v>
      </c>
      <c r="F163" s="1"/>
    </row>
    <row r="164">
      <c r="A164" s="1" t="s">
        <v>2970</v>
      </c>
      <c r="B164" s="1" t="s">
        <v>2007</v>
      </c>
      <c r="C164" s="1" t="s">
        <v>2971</v>
      </c>
      <c r="D164" s="1" t="s">
        <v>2972</v>
      </c>
      <c r="E164" s="1" t="s">
        <v>397</v>
      </c>
      <c r="F164" s="1"/>
    </row>
    <row r="165">
      <c r="A165" s="1" t="s">
        <v>2973</v>
      </c>
      <c r="B165" s="1" t="s">
        <v>1340</v>
      </c>
      <c r="C165" s="1" t="s">
        <v>2974</v>
      </c>
      <c r="D165" s="1" t="s">
        <v>2975</v>
      </c>
      <c r="E165" s="1" t="s">
        <v>397</v>
      </c>
      <c r="F165" s="1"/>
    </row>
    <row r="166">
      <c r="A166" s="1" t="s">
        <v>2976</v>
      </c>
      <c r="B166" s="1" t="s">
        <v>1268</v>
      </c>
      <c r="C166" s="1" t="s">
        <v>59</v>
      </c>
      <c r="D166" s="1" t="s">
        <v>2977</v>
      </c>
      <c r="E166" s="1" t="s">
        <v>397</v>
      </c>
      <c r="F166" s="1"/>
    </row>
    <row r="167">
      <c r="A167" s="1" t="s">
        <v>2978</v>
      </c>
      <c r="B167" s="1" t="s">
        <v>2596</v>
      </c>
      <c r="C167" s="1" t="s">
        <v>1464</v>
      </c>
      <c r="D167" s="1" t="s">
        <v>2597</v>
      </c>
      <c r="E167" s="1" t="s">
        <v>397</v>
      </c>
      <c r="F167" s="1"/>
    </row>
    <row r="168">
      <c r="A168" s="1" t="s">
        <v>2979</v>
      </c>
      <c r="B168" s="1" t="s">
        <v>2440</v>
      </c>
      <c r="C168" s="1" t="s">
        <v>2980</v>
      </c>
      <c r="D168" s="1" t="s">
        <v>2981</v>
      </c>
      <c r="E168" s="1" t="s">
        <v>397</v>
      </c>
      <c r="F168" s="1"/>
    </row>
    <row r="169">
      <c r="A169" s="1" t="s">
        <v>2982</v>
      </c>
      <c r="B169" s="1" t="s">
        <v>745</v>
      </c>
      <c r="C169" s="1" t="s">
        <v>507</v>
      </c>
      <c r="D169" s="1" t="s">
        <v>2983</v>
      </c>
      <c r="E169" s="1" t="s">
        <v>397</v>
      </c>
      <c r="F169" s="1"/>
    </row>
    <row r="170">
      <c r="A170" s="1" t="s">
        <v>2984</v>
      </c>
      <c r="B170" s="1" t="s">
        <v>2985</v>
      </c>
      <c r="C170" s="1" t="s">
        <v>366</v>
      </c>
      <c r="D170" s="1" t="s">
        <v>2986</v>
      </c>
      <c r="E170" s="1" t="s">
        <v>397</v>
      </c>
      <c r="F170" s="1"/>
    </row>
    <row r="171">
      <c r="A171" s="1" t="s">
        <v>2987</v>
      </c>
      <c r="B171" s="1" t="s">
        <v>2323</v>
      </c>
      <c r="C171" s="1" t="s">
        <v>1789</v>
      </c>
      <c r="D171" s="1" t="s">
        <v>2988</v>
      </c>
      <c r="E171" s="1" t="s">
        <v>397</v>
      </c>
      <c r="F171" s="1"/>
    </row>
    <row r="172">
      <c r="A172" s="1" t="s">
        <v>2989</v>
      </c>
      <c r="B172" s="1" t="s">
        <v>696</v>
      </c>
      <c r="C172" s="1" t="s">
        <v>560</v>
      </c>
      <c r="D172" s="1" t="s">
        <v>2990</v>
      </c>
      <c r="E172" s="1" t="s">
        <v>397</v>
      </c>
      <c r="F172" s="1"/>
    </row>
    <row r="173">
      <c r="A173" s="1" t="s">
        <v>2991</v>
      </c>
      <c r="B173" s="1" t="s">
        <v>451</v>
      </c>
      <c r="C173" s="1" t="s">
        <v>2992</v>
      </c>
      <c r="D173" s="1" t="s">
        <v>2993</v>
      </c>
      <c r="E173" s="1" t="s">
        <v>397</v>
      </c>
      <c r="F173" s="1"/>
    </row>
    <row r="174">
      <c r="A174" s="1" t="s">
        <v>2994</v>
      </c>
      <c r="B174" s="1" t="s">
        <v>2995</v>
      </c>
      <c r="C174" s="1" t="s">
        <v>366</v>
      </c>
      <c r="D174" s="1" t="s">
        <v>2996</v>
      </c>
      <c r="E174" s="1" t="s">
        <v>397</v>
      </c>
      <c r="F174" s="1"/>
    </row>
    <row r="175">
      <c r="A175" s="1" t="s">
        <v>2997</v>
      </c>
      <c r="B175" s="1" t="s">
        <v>1302</v>
      </c>
      <c r="C175" s="1" t="s">
        <v>275</v>
      </c>
      <c r="D175" s="1" t="s">
        <v>2998</v>
      </c>
      <c r="E175" s="1" t="s">
        <v>397</v>
      </c>
      <c r="F175" s="1"/>
    </row>
    <row r="176">
      <c r="A176" s="1" t="s">
        <v>2999</v>
      </c>
      <c r="B176" s="1" t="s">
        <v>3000</v>
      </c>
      <c r="C176" s="1" t="s">
        <v>3001</v>
      </c>
      <c r="D176" s="1" t="s">
        <v>3002</v>
      </c>
      <c r="E176" s="1" t="s">
        <v>397</v>
      </c>
      <c r="F176" s="1"/>
    </row>
    <row r="177">
      <c r="A177" s="1" t="s">
        <v>3003</v>
      </c>
      <c r="B177" s="1" t="s">
        <v>3004</v>
      </c>
      <c r="C177" s="1" t="s">
        <v>3005</v>
      </c>
      <c r="D177" s="1" t="s">
        <v>3006</v>
      </c>
      <c r="E177" s="1" t="s">
        <v>397</v>
      </c>
      <c r="F177" s="1"/>
    </row>
    <row r="178">
      <c r="A178" s="1" t="s">
        <v>3007</v>
      </c>
      <c r="B178" s="1" t="s">
        <v>3008</v>
      </c>
      <c r="C178" s="1" t="s">
        <v>69</v>
      </c>
      <c r="D178" s="1" t="s">
        <v>3009</v>
      </c>
      <c r="E178" s="1" t="s">
        <v>397</v>
      </c>
      <c r="F178" s="1"/>
    </row>
    <row r="179">
      <c r="A179" s="1" t="s">
        <v>3010</v>
      </c>
      <c r="B179" s="1" t="s">
        <v>230</v>
      </c>
      <c r="C179" s="1" t="s">
        <v>616</v>
      </c>
      <c r="D179" s="1" t="s">
        <v>3011</v>
      </c>
      <c r="E179" s="1" t="s">
        <v>397</v>
      </c>
      <c r="F179" s="1"/>
    </row>
    <row r="180">
      <c r="A180" s="1" t="s">
        <v>3012</v>
      </c>
      <c r="B180" s="1" t="s">
        <v>377</v>
      </c>
      <c r="C180" s="1" t="s">
        <v>305</v>
      </c>
      <c r="D180" s="1" t="s">
        <v>3013</v>
      </c>
      <c r="E180" s="1" t="s">
        <v>397</v>
      </c>
      <c r="F180" s="1"/>
    </row>
    <row r="181">
      <c r="A181" s="1" t="s">
        <v>3014</v>
      </c>
      <c r="B181" s="1" t="s">
        <v>3015</v>
      </c>
      <c r="C181" s="1" t="s">
        <v>59</v>
      </c>
      <c r="D181" s="1" t="s">
        <v>3016</v>
      </c>
      <c r="E181" s="1" t="s">
        <v>397</v>
      </c>
      <c r="F181" s="1"/>
    </row>
    <row r="182">
      <c r="A182" s="1" t="s">
        <v>3017</v>
      </c>
      <c r="B182" s="1" t="s">
        <v>3018</v>
      </c>
      <c r="C182" s="1" t="s">
        <v>3019</v>
      </c>
      <c r="D182" s="1" t="s">
        <v>3020</v>
      </c>
      <c r="E182" s="1" t="s">
        <v>397</v>
      </c>
      <c r="F182" s="1"/>
    </row>
    <row r="183">
      <c r="A183" s="1" t="s">
        <v>3021</v>
      </c>
      <c r="B183" s="1" t="s">
        <v>3022</v>
      </c>
      <c r="C183" s="1" t="s">
        <v>570</v>
      </c>
      <c r="D183" s="1" t="s">
        <v>3023</v>
      </c>
      <c r="E183" s="1" t="s">
        <v>397</v>
      </c>
      <c r="F183" s="1"/>
    </row>
    <row r="184">
      <c r="A184" s="1" t="s">
        <v>3024</v>
      </c>
      <c r="B184" s="1" t="s">
        <v>39</v>
      </c>
      <c r="C184" s="1" t="s">
        <v>101</v>
      </c>
      <c r="D184" s="1" t="s">
        <v>3025</v>
      </c>
      <c r="E184" s="1" t="s">
        <v>397</v>
      </c>
      <c r="F184" s="1"/>
    </row>
    <row r="185">
      <c r="A185" s="1" t="s">
        <v>3026</v>
      </c>
      <c r="B185" s="1" t="s">
        <v>3027</v>
      </c>
      <c r="C185" s="1" t="s">
        <v>3028</v>
      </c>
      <c r="D185" s="1" t="s">
        <v>3029</v>
      </c>
      <c r="E185" s="1" t="s">
        <v>397</v>
      </c>
      <c r="F185" s="1"/>
    </row>
    <row r="186">
      <c r="A186" s="1" t="s">
        <v>3030</v>
      </c>
      <c r="B186" s="1" t="s">
        <v>230</v>
      </c>
      <c r="C186" s="1" t="s">
        <v>346</v>
      </c>
      <c r="D186" s="1" t="s">
        <v>3031</v>
      </c>
      <c r="E186" s="1" t="s">
        <v>397</v>
      </c>
      <c r="F186" s="1"/>
    </row>
    <row r="187">
      <c r="A187" s="1" t="s">
        <v>3032</v>
      </c>
      <c r="B187" s="1" t="s">
        <v>629</v>
      </c>
      <c r="C187" s="1" t="s">
        <v>3033</v>
      </c>
      <c r="D187" s="1" t="s">
        <v>3034</v>
      </c>
      <c r="E187" s="1" t="s">
        <v>397</v>
      </c>
      <c r="F187" s="1"/>
    </row>
    <row r="188">
      <c r="A188" s="1" t="s">
        <v>3035</v>
      </c>
      <c r="B188" s="1" t="s">
        <v>3036</v>
      </c>
      <c r="C188" s="1" t="s">
        <v>2059</v>
      </c>
      <c r="D188" s="1" t="s">
        <v>3037</v>
      </c>
      <c r="E188" s="1" t="s">
        <v>397</v>
      </c>
      <c r="F188" s="1"/>
    </row>
    <row r="189">
      <c r="A189" s="1" t="s">
        <v>3038</v>
      </c>
      <c r="B189" s="1" t="s">
        <v>1713</v>
      </c>
      <c r="C189" s="1" t="s">
        <v>1430</v>
      </c>
      <c r="D189" s="1" t="s">
        <v>3039</v>
      </c>
      <c r="E189" s="1" t="s">
        <v>397</v>
      </c>
      <c r="F189" s="1"/>
    </row>
    <row r="190">
      <c r="A190" s="1" t="s">
        <v>3040</v>
      </c>
      <c r="B190" s="1" t="s">
        <v>3041</v>
      </c>
      <c r="C190" s="1" t="s">
        <v>1459</v>
      </c>
      <c r="D190" s="1" t="s">
        <v>3042</v>
      </c>
      <c r="E190" s="1" t="s">
        <v>397</v>
      </c>
      <c r="F190" s="1"/>
    </row>
    <row r="191">
      <c r="A191" s="1" t="s">
        <v>1272</v>
      </c>
      <c r="B191" s="1" t="s">
        <v>1273</v>
      </c>
      <c r="C191" s="1" t="s">
        <v>643</v>
      </c>
      <c r="D191" s="1" t="s">
        <v>3043</v>
      </c>
      <c r="E191" s="1" t="s">
        <v>397</v>
      </c>
      <c r="F191" s="1"/>
    </row>
    <row r="192">
      <c r="A192" s="1" t="s">
        <v>3044</v>
      </c>
      <c r="B192" s="1" t="s">
        <v>1915</v>
      </c>
      <c r="C192" s="1" t="s">
        <v>293</v>
      </c>
      <c r="D192" s="1" t="s">
        <v>3045</v>
      </c>
      <c r="E192" s="1" t="s">
        <v>397</v>
      </c>
      <c r="F192" s="1"/>
    </row>
    <row r="193">
      <c r="A193" s="1" t="s">
        <v>3046</v>
      </c>
      <c r="B193" s="1" t="s">
        <v>745</v>
      </c>
      <c r="C193" s="1" t="s">
        <v>10</v>
      </c>
      <c r="D193" s="1" t="s">
        <v>3047</v>
      </c>
      <c r="E193" s="1" t="s">
        <v>397</v>
      </c>
      <c r="F193" s="1"/>
    </row>
    <row r="194">
      <c r="A194" s="1" t="s">
        <v>2017</v>
      </c>
      <c r="B194" s="1" t="s">
        <v>2018</v>
      </c>
      <c r="C194" s="1" t="s">
        <v>1949</v>
      </c>
      <c r="D194" s="1" t="s">
        <v>3048</v>
      </c>
      <c r="E194" s="1" t="s">
        <v>397</v>
      </c>
      <c r="F194" s="1"/>
    </row>
    <row r="195">
      <c r="A195" s="1" t="s">
        <v>3049</v>
      </c>
      <c r="B195" s="1" t="s">
        <v>3050</v>
      </c>
      <c r="C195" s="1" t="s">
        <v>3051</v>
      </c>
      <c r="D195" s="1" t="s">
        <v>3052</v>
      </c>
      <c r="E195" s="1" t="s">
        <v>397</v>
      </c>
      <c r="F195" s="1"/>
    </row>
    <row r="196">
      <c r="A196" s="1" t="s">
        <v>3053</v>
      </c>
      <c r="B196" s="1" t="s">
        <v>3054</v>
      </c>
      <c r="C196" s="1" t="s">
        <v>1815</v>
      </c>
      <c r="D196" s="1" t="s">
        <v>3055</v>
      </c>
      <c r="E196" s="1" t="s">
        <v>397</v>
      </c>
      <c r="F196" s="1"/>
    </row>
    <row r="197">
      <c r="A197" s="1" t="s">
        <v>3056</v>
      </c>
      <c r="B197" s="1" t="s">
        <v>3057</v>
      </c>
      <c r="C197" s="1" t="s">
        <v>3058</v>
      </c>
      <c r="D197" s="1" t="s">
        <v>3059</v>
      </c>
      <c r="E197" s="1" t="s">
        <v>397</v>
      </c>
      <c r="F197" s="1"/>
    </row>
    <row r="198">
      <c r="A198" s="1" t="s">
        <v>3060</v>
      </c>
      <c r="B198" s="1" t="s">
        <v>3061</v>
      </c>
      <c r="C198" s="1" t="s">
        <v>1947</v>
      </c>
      <c r="D198" s="1" t="s">
        <v>3062</v>
      </c>
      <c r="E198" s="1" t="s">
        <v>397</v>
      </c>
      <c r="F198" s="1"/>
    </row>
    <row r="199">
      <c r="A199" s="1" t="s">
        <v>3063</v>
      </c>
      <c r="B199" s="1" t="s">
        <v>317</v>
      </c>
      <c r="C199" s="1" t="s">
        <v>3064</v>
      </c>
      <c r="D199" s="1" t="s">
        <v>3065</v>
      </c>
      <c r="E199" s="1" t="s">
        <v>397</v>
      </c>
      <c r="F199" s="1"/>
    </row>
    <row r="200">
      <c r="A200" s="1" t="s">
        <v>3066</v>
      </c>
      <c r="B200" s="1" t="s">
        <v>3067</v>
      </c>
      <c r="C200" s="1" t="s">
        <v>2627</v>
      </c>
      <c r="D200" s="1" t="s">
        <v>3068</v>
      </c>
      <c r="E200" s="1" t="s">
        <v>397</v>
      </c>
      <c r="F200" s="1"/>
    </row>
    <row r="201">
      <c r="A201" s="1" t="s">
        <v>2301</v>
      </c>
      <c r="B201" s="1" t="s">
        <v>256</v>
      </c>
      <c r="C201" s="1" t="s">
        <v>2302</v>
      </c>
      <c r="D201" s="1" t="s">
        <v>3069</v>
      </c>
      <c r="E201" s="1" t="s">
        <v>397</v>
      </c>
      <c r="F201" s="1"/>
    </row>
    <row r="202">
      <c r="A202" s="1" t="s">
        <v>3070</v>
      </c>
      <c r="B202" s="1" t="s">
        <v>931</v>
      </c>
      <c r="C202" s="1" t="s">
        <v>3071</v>
      </c>
      <c r="D202" s="1" t="s">
        <v>3072</v>
      </c>
      <c r="E202" s="1" t="s">
        <v>397</v>
      </c>
      <c r="F202" s="1"/>
    </row>
    <row r="203">
      <c r="A203" s="1" t="s">
        <v>3073</v>
      </c>
      <c r="B203" s="1" t="s">
        <v>413</v>
      </c>
      <c r="C203" s="1" t="s">
        <v>3074</v>
      </c>
      <c r="D203" s="1" t="s">
        <v>3075</v>
      </c>
      <c r="E203" s="1" t="s">
        <v>397</v>
      </c>
      <c r="F203" s="1"/>
    </row>
    <row r="204">
      <c r="A204" s="1" t="s">
        <v>3076</v>
      </c>
      <c r="B204" s="1" t="s">
        <v>3077</v>
      </c>
      <c r="C204" s="1" t="s">
        <v>3078</v>
      </c>
      <c r="D204" s="1" t="s">
        <v>3079</v>
      </c>
      <c r="E204" s="1" t="s">
        <v>397</v>
      </c>
      <c r="F204" s="1"/>
    </row>
    <row r="205">
      <c r="A205" s="1" t="s">
        <v>3080</v>
      </c>
      <c r="B205" s="1" t="s">
        <v>325</v>
      </c>
      <c r="C205" s="1" t="s">
        <v>366</v>
      </c>
      <c r="D205" s="1" t="s">
        <v>3081</v>
      </c>
      <c r="E205" s="1" t="s">
        <v>397</v>
      </c>
      <c r="F205" s="1"/>
    </row>
    <row r="206">
      <c r="A206" s="1" t="s">
        <v>3082</v>
      </c>
      <c r="B206" s="1" t="s">
        <v>184</v>
      </c>
      <c r="C206" s="1" t="s">
        <v>730</v>
      </c>
      <c r="D206" s="1" t="s">
        <v>3083</v>
      </c>
      <c r="E206" s="1" t="s">
        <v>397</v>
      </c>
      <c r="F206" s="1"/>
    </row>
    <row r="207">
      <c r="A207" s="1" t="s">
        <v>3084</v>
      </c>
      <c r="B207" s="1" t="s">
        <v>3085</v>
      </c>
      <c r="C207" s="1" t="s">
        <v>3086</v>
      </c>
      <c r="D207" s="1" t="s">
        <v>3087</v>
      </c>
      <c r="E207" s="1" t="s">
        <v>397</v>
      </c>
      <c r="F207" s="1"/>
    </row>
    <row r="208">
      <c r="A208" s="1" t="s">
        <v>3088</v>
      </c>
      <c r="B208" s="1" t="s">
        <v>3089</v>
      </c>
      <c r="C208" s="1" t="s">
        <v>1758</v>
      </c>
      <c r="D208" s="1" t="s">
        <v>3090</v>
      </c>
      <c r="E208" s="1" t="s">
        <v>397</v>
      </c>
      <c r="F208" s="1"/>
    </row>
    <row r="209">
      <c r="A209" s="1" t="s">
        <v>2311</v>
      </c>
      <c r="B209" s="1" t="s">
        <v>2312</v>
      </c>
      <c r="C209" s="1" t="s">
        <v>2313</v>
      </c>
      <c r="D209" s="1" t="s">
        <v>3091</v>
      </c>
      <c r="E209" s="1" t="s">
        <v>397</v>
      </c>
      <c r="F209" s="1"/>
    </row>
    <row r="210">
      <c r="A210" s="1" t="s">
        <v>3092</v>
      </c>
      <c r="B210" s="1" t="s">
        <v>3093</v>
      </c>
      <c r="C210" s="1" t="s">
        <v>141</v>
      </c>
      <c r="D210" s="1" t="s">
        <v>3094</v>
      </c>
      <c r="E210" s="1" t="s">
        <v>397</v>
      </c>
      <c r="F210" s="1"/>
    </row>
    <row r="211">
      <c r="A211" s="1" t="s">
        <v>600</v>
      </c>
      <c r="B211" s="1" t="s">
        <v>601</v>
      </c>
      <c r="C211" s="1" t="s">
        <v>602</v>
      </c>
      <c r="D211" s="1" t="s">
        <v>603</v>
      </c>
      <c r="E211" s="1" t="s">
        <v>397</v>
      </c>
      <c r="F211" s="1"/>
    </row>
    <row r="212">
      <c r="A212" s="1" t="s">
        <v>3095</v>
      </c>
      <c r="B212" s="1" t="s">
        <v>314</v>
      </c>
      <c r="C212" s="1" t="s">
        <v>881</v>
      </c>
      <c r="D212" s="1" t="s">
        <v>3096</v>
      </c>
      <c r="E212" s="1" t="s">
        <v>397</v>
      </c>
      <c r="F212" s="1"/>
    </row>
    <row r="213">
      <c r="A213" s="1" t="s">
        <v>3097</v>
      </c>
      <c r="B213" s="1" t="s">
        <v>3098</v>
      </c>
      <c r="C213" s="1" t="s">
        <v>3099</v>
      </c>
      <c r="D213" s="1" t="s">
        <v>3100</v>
      </c>
      <c r="E213" s="1" t="s">
        <v>397</v>
      </c>
      <c r="F213" s="1"/>
    </row>
    <row r="214">
      <c r="A214" s="1" t="s">
        <v>3101</v>
      </c>
      <c r="B214" s="1" t="s">
        <v>3102</v>
      </c>
      <c r="C214" s="1" t="s">
        <v>2407</v>
      </c>
      <c r="D214" s="1" t="s">
        <v>3103</v>
      </c>
      <c r="E214" s="1" t="s">
        <v>397</v>
      </c>
      <c r="F214" s="1"/>
    </row>
    <row r="215">
      <c r="A215" s="1" t="s">
        <v>3104</v>
      </c>
      <c r="B215" s="1" t="s">
        <v>3105</v>
      </c>
      <c r="C215" s="1" t="s">
        <v>136</v>
      </c>
      <c r="D215" s="1" t="s">
        <v>3106</v>
      </c>
      <c r="E215" s="1" t="s">
        <v>397</v>
      </c>
      <c r="F215" s="1"/>
    </row>
    <row r="216">
      <c r="A216" s="1" t="s">
        <v>3107</v>
      </c>
      <c r="B216" s="1" t="s">
        <v>3108</v>
      </c>
      <c r="C216" s="1" t="s">
        <v>3109</v>
      </c>
      <c r="D216" s="1" t="s">
        <v>3110</v>
      </c>
      <c r="E216" s="1" t="s">
        <v>397</v>
      </c>
      <c r="F216" s="1"/>
    </row>
    <row r="217">
      <c r="A217" s="1" t="s">
        <v>3111</v>
      </c>
      <c r="B217" s="1" t="s">
        <v>3112</v>
      </c>
      <c r="C217" s="1" t="s">
        <v>3113</v>
      </c>
      <c r="D217" s="1" t="s">
        <v>3114</v>
      </c>
      <c r="E217" s="1" t="s">
        <v>397</v>
      </c>
      <c r="F217" s="1"/>
    </row>
    <row r="218">
      <c r="A218" s="1" t="s">
        <v>3115</v>
      </c>
      <c r="B218" s="1" t="s">
        <v>3116</v>
      </c>
      <c r="C218" s="1" t="s">
        <v>3117</v>
      </c>
      <c r="D218" s="1" t="s">
        <v>3118</v>
      </c>
      <c r="E218" s="1" t="s">
        <v>397</v>
      </c>
      <c r="F218" s="1"/>
    </row>
    <row r="219">
      <c r="A219" s="1" t="s">
        <v>3119</v>
      </c>
      <c r="B219" s="1" t="s">
        <v>1429</v>
      </c>
      <c r="C219" s="1" t="s">
        <v>3120</v>
      </c>
      <c r="D219" s="1" t="s">
        <v>3121</v>
      </c>
      <c r="E219" s="1" t="s">
        <v>397</v>
      </c>
      <c r="F219" s="1"/>
    </row>
    <row r="220">
      <c r="A220" s="1" t="s">
        <v>3122</v>
      </c>
      <c r="B220" s="1" t="s">
        <v>3123</v>
      </c>
      <c r="C220" s="1" t="s">
        <v>3124</v>
      </c>
      <c r="D220" s="1" t="s">
        <v>3125</v>
      </c>
      <c r="E220" s="1" t="s">
        <v>397</v>
      </c>
      <c r="F220" s="1"/>
    </row>
    <row r="221">
      <c r="A221" s="1" t="s">
        <v>3126</v>
      </c>
      <c r="B221" s="1" t="s">
        <v>1098</v>
      </c>
      <c r="C221" s="1" t="s">
        <v>3127</v>
      </c>
      <c r="D221" s="1" t="s">
        <v>3128</v>
      </c>
      <c r="E221" s="1" t="s">
        <v>397</v>
      </c>
      <c r="F221" s="1"/>
    </row>
    <row r="222">
      <c r="A222" s="1" t="s">
        <v>3129</v>
      </c>
      <c r="B222" s="1" t="s">
        <v>127</v>
      </c>
      <c r="C222" s="1" t="s">
        <v>137</v>
      </c>
      <c r="D222" s="1" t="s">
        <v>3130</v>
      </c>
      <c r="E222" s="1" t="s">
        <v>397</v>
      </c>
      <c r="F222" s="1"/>
    </row>
    <row r="223">
      <c r="A223" s="1" t="s">
        <v>3131</v>
      </c>
      <c r="B223" s="1" t="s">
        <v>3132</v>
      </c>
      <c r="C223" s="1" t="s">
        <v>1573</v>
      </c>
      <c r="D223" s="1" t="s">
        <v>3133</v>
      </c>
      <c r="E223" s="1" t="s">
        <v>397</v>
      </c>
      <c r="F223" s="1"/>
    </row>
    <row r="224">
      <c r="A224" s="1" t="s">
        <v>3134</v>
      </c>
      <c r="B224" s="1" t="s">
        <v>3135</v>
      </c>
      <c r="C224" s="1" t="s">
        <v>260</v>
      </c>
      <c r="D224" s="1" t="s">
        <v>3136</v>
      </c>
      <c r="E224" s="1" t="s">
        <v>397</v>
      </c>
      <c r="F224" s="1"/>
    </row>
    <row r="225">
      <c r="A225" s="1" t="s">
        <v>3137</v>
      </c>
      <c r="B225" s="1" t="s">
        <v>3138</v>
      </c>
      <c r="C225" s="1" t="s">
        <v>2123</v>
      </c>
      <c r="D225" s="1" t="s">
        <v>3139</v>
      </c>
      <c r="E225" s="1" t="s">
        <v>397</v>
      </c>
      <c r="F225" s="1"/>
    </row>
    <row r="226">
      <c r="A226" s="1" t="s">
        <v>3140</v>
      </c>
      <c r="B226" s="1" t="s">
        <v>2644</v>
      </c>
      <c r="C226" s="1" t="s">
        <v>2104</v>
      </c>
      <c r="D226" s="1" t="s">
        <v>3141</v>
      </c>
      <c r="E226" s="1" t="s">
        <v>397</v>
      </c>
      <c r="F226" s="1"/>
    </row>
    <row r="227">
      <c r="A227" s="1" t="s">
        <v>3142</v>
      </c>
      <c r="B227" s="1" t="s">
        <v>616</v>
      </c>
      <c r="C227" s="1" t="s">
        <v>3143</v>
      </c>
      <c r="D227" s="1" t="s">
        <v>3144</v>
      </c>
      <c r="E227" s="1" t="s">
        <v>397</v>
      </c>
      <c r="F227" s="1"/>
    </row>
    <row r="228">
      <c r="A228" s="1" t="s">
        <v>2345</v>
      </c>
      <c r="B228" s="1" t="s">
        <v>1313</v>
      </c>
      <c r="C228" s="1" t="s">
        <v>2346</v>
      </c>
      <c r="D228" s="1" t="s">
        <v>3145</v>
      </c>
      <c r="E228" s="1" t="s">
        <v>397</v>
      </c>
      <c r="F228" s="1"/>
    </row>
    <row r="229">
      <c r="A229" s="1" t="s">
        <v>2347</v>
      </c>
      <c r="B229" s="1" t="s">
        <v>117</v>
      </c>
      <c r="C229" s="1" t="s">
        <v>101</v>
      </c>
      <c r="D229" s="1" t="s">
        <v>3146</v>
      </c>
      <c r="E229" s="1" t="s">
        <v>397</v>
      </c>
      <c r="F229" s="1"/>
    </row>
    <row r="230">
      <c r="A230" s="1" t="s">
        <v>3147</v>
      </c>
      <c r="B230" s="1" t="s">
        <v>355</v>
      </c>
      <c r="C230" s="1" t="s">
        <v>3148</v>
      </c>
      <c r="D230" s="1" t="s">
        <v>3149</v>
      </c>
      <c r="E230" s="1" t="s">
        <v>397</v>
      </c>
      <c r="F230" s="1"/>
    </row>
    <row r="231">
      <c r="A231" s="1" t="s">
        <v>3150</v>
      </c>
      <c r="B231" s="1" t="s">
        <v>180</v>
      </c>
      <c r="C231" s="1" t="s">
        <v>3151</v>
      </c>
      <c r="D231" s="1" t="s">
        <v>3152</v>
      </c>
      <c r="E231" s="1" t="s">
        <v>397</v>
      </c>
      <c r="F231" s="1"/>
    </row>
    <row r="232">
      <c r="A232" s="1" t="s">
        <v>3153</v>
      </c>
      <c r="B232" s="1" t="s">
        <v>1429</v>
      </c>
      <c r="C232" s="1" t="s">
        <v>570</v>
      </c>
      <c r="D232" s="1" t="s">
        <v>3154</v>
      </c>
      <c r="E232" s="1" t="s">
        <v>397</v>
      </c>
      <c r="F232" s="1"/>
    </row>
    <row r="233">
      <c r="A233" s="1" t="s">
        <v>3155</v>
      </c>
      <c r="B233" s="1" t="s">
        <v>39</v>
      </c>
      <c r="C233" s="1" t="s">
        <v>3156</v>
      </c>
      <c r="D233" s="1" t="s">
        <v>3157</v>
      </c>
      <c r="E233" s="1" t="s">
        <v>397</v>
      </c>
      <c r="F233" s="1"/>
    </row>
    <row r="234">
      <c r="A234" s="1" t="s">
        <v>3158</v>
      </c>
      <c r="B234" s="1" t="s">
        <v>3159</v>
      </c>
      <c r="C234" s="1" t="s">
        <v>730</v>
      </c>
      <c r="D234" s="1" t="s">
        <v>3160</v>
      </c>
      <c r="E234" s="1" t="s">
        <v>397</v>
      </c>
      <c r="F234" s="1"/>
    </row>
    <row r="235">
      <c r="A235" s="1" t="s">
        <v>3161</v>
      </c>
      <c r="B235" s="1" t="s">
        <v>3162</v>
      </c>
      <c r="C235" s="1" t="s">
        <v>393</v>
      </c>
      <c r="D235" s="1" t="s">
        <v>2685</v>
      </c>
      <c r="E235" s="1" t="s">
        <v>397</v>
      </c>
      <c r="F235" s="1"/>
    </row>
    <row r="236">
      <c r="A236" s="1" t="s">
        <v>3163</v>
      </c>
      <c r="B236" s="1" t="s">
        <v>3164</v>
      </c>
      <c r="C236" s="1" t="s">
        <v>3165</v>
      </c>
      <c r="D236" s="1" t="s">
        <v>3166</v>
      </c>
      <c r="E236" s="1" t="s">
        <v>397</v>
      </c>
      <c r="F236" s="1"/>
    </row>
    <row r="237">
      <c r="A237" s="1" t="s">
        <v>3167</v>
      </c>
      <c r="B237" s="1" t="s">
        <v>1982</v>
      </c>
      <c r="C237" s="1" t="s">
        <v>3168</v>
      </c>
      <c r="D237" s="1" t="s">
        <v>3169</v>
      </c>
      <c r="E237" s="1" t="s">
        <v>397</v>
      </c>
      <c r="F237" s="1"/>
    </row>
    <row r="238">
      <c r="A238" s="1" t="s">
        <v>3170</v>
      </c>
      <c r="B238" s="1" t="s">
        <v>895</v>
      </c>
      <c r="C238" s="1" t="s">
        <v>616</v>
      </c>
      <c r="D238" s="1" t="s">
        <v>3171</v>
      </c>
      <c r="E238" s="1" t="s">
        <v>397</v>
      </c>
      <c r="F238" s="1"/>
    </row>
    <row r="239">
      <c r="A239" s="1" t="s">
        <v>3172</v>
      </c>
      <c r="B239" s="1" t="s">
        <v>3173</v>
      </c>
      <c r="C239" s="1" t="s">
        <v>3174</v>
      </c>
      <c r="D239" s="1" t="s">
        <v>3175</v>
      </c>
      <c r="E239" s="1" t="s">
        <v>397</v>
      </c>
      <c r="F239" s="1"/>
    </row>
    <row r="240">
      <c r="A240" s="1" t="s">
        <v>3176</v>
      </c>
      <c r="B240" s="1" t="s">
        <v>1122</v>
      </c>
      <c r="C240" s="1" t="s">
        <v>715</v>
      </c>
      <c r="D240" s="1" t="s">
        <v>3177</v>
      </c>
      <c r="E240" s="1" t="s">
        <v>397</v>
      </c>
      <c r="F240" s="1"/>
    </row>
    <row r="241">
      <c r="A241" s="1" t="s">
        <v>3178</v>
      </c>
      <c r="B241" s="1" t="s">
        <v>3179</v>
      </c>
      <c r="C241" s="1" t="s">
        <v>1467</v>
      </c>
      <c r="D241" s="1" t="s">
        <v>3180</v>
      </c>
      <c r="E241" s="1" t="s">
        <v>397</v>
      </c>
      <c r="F241" s="1"/>
    </row>
    <row r="242">
      <c r="A242" s="1" t="s">
        <v>3181</v>
      </c>
      <c r="B242" s="1" t="s">
        <v>1747</v>
      </c>
      <c r="C242" s="1" t="s">
        <v>137</v>
      </c>
      <c r="D242" s="1" t="s">
        <v>3182</v>
      </c>
      <c r="E242" s="1" t="s">
        <v>397</v>
      </c>
      <c r="F242" s="1"/>
    </row>
    <row r="243">
      <c r="A243" s="1" t="s">
        <v>2390</v>
      </c>
      <c r="B243" s="1" t="s">
        <v>2391</v>
      </c>
      <c r="C243" s="1" t="s">
        <v>730</v>
      </c>
      <c r="D243" s="1" t="s">
        <v>3183</v>
      </c>
      <c r="E243" s="1" t="s">
        <v>397</v>
      </c>
      <c r="F243" s="1"/>
    </row>
    <row r="244">
      <c r="A244" s="1" t="s">
        <v>3184</v>
      </c>
      <c r="B244" s="1" t="s">
        <v>3185</v>
      </c>
      <c r="C244" s="1" t="s">
        <v>3186</v>
      </c>
      <c r="D244" s="1" t="s">
        <v>3187</v>
      </c>
      <c r="E244" s="1" t="s">
        <v>397</v>
      </c>
      <c r="F244" s="1"/>
    </row>
    <row r="245">
      <c r="A245" s="1" t="s">
        <v>3188</v>
      </c>
      <c r="B245" s="1" t="s">
        <v>1297</v>
      </c>
      <c r="C245" s="1" t="s">
        <v>3189</v>
      </c>
      <c r="D245" s="1" t="s">
        <v>3190</v>
      </c>
      <c r="E245" s="1" t="s">
        <v>397</v>
      </c>
      <c r="F245" s="1"/>
    </row>
    <row r="246">
      <c r="A246" s="1" t="s">
        <v>3191</v>
      </c>
      <c r="B246" s="1" t="s">
        <v>3192</v>
      </c>
      <c r="C246" s="1" t="s">
        <v>3193</v>
      </c>
      <c r="D246" s="1" t="s">
        <v>3194</v>
      </c>
      <c r="E246" s="1" t="s">
        <v>397</v>
      </c>
      <c r="F246" s="1"/>
    </row>
    <row r="247">
      <c r="A247" s="1" t="s">
        <v>3195</v>
      </c>
      <c r="B247" s="1" t="s">
        <v>3196</v>
      </c>
      <c r="C247" s="1" t="s">
        <v>2424</v>
      </c>
      <c r="D247" s="1" t="s">
        <v>3197</v>
      </c>
      <c r="E247" s="1" t="s">
        <v>397</v>
      </c>
      <c r="F247" s="1"/>
    </row>
    <row r="248">
      <c r="A248" s="1" t="s">
        <v>3198</v>
      </c>
      <c r="B248" s="1" t="s">
        <v>2104</v>
      </c>
      <c r="C248" s="1" t="s">
        <v>3199</v>
      </c>
      <c r="D248" s="1" t="s">
        <v>3200</v>
      </c>
      <c r="E248" s="1" t="s">
        <v>397</v>
      </c>
      <c r="F248" s="1"/>
    </row>
    <row r="249">
      <c r="A249" s="1" t="s">
        <v>3201</v>
      </c>
      <c r="B249" s="1" t="s">
        <v>3202</v>
      </c>
      <c r="C249" s="1" t="s">
        <v>1601</v>
      </c>
      <c r="D249" s="1" t="s">
        <v>3203</v>
      </c>
      <c r="E249" s="1" t="s">
        <v>397</v>
      </c>
      <c r="F249" s="1"/>
    </row>
    <row r="250">
      <c r="A250" s="1" t="s">
        <v>3204</v>
      </c>
      <c r="B250" s="1" t="s">
        <v>3205</v>
      </c>
      <c r="C250" s="1" t="s">
        <v>2075</v>
      </c>
      <c r="D250" s="1" t="s">
        <v>3206</v>
      </c>
      <c r="E250" s="1" t="s">
        <v>397</v>
      </c>
      <c r="F250" s="1"/>
    </row>
    <row r="251">
      <c r="A251" s="1" t="s">
        <v>3207</v>
      </c>
      <c r="B251" s="1" t="s">
        <v>3208</v>
      </c>
      <c r="C251" s="1" t="s">
        <v>130</v>
      </c>
      <c r="D251" s="1" t="s">
        <v>3209</v>
      </c>
      <c r="E251" s="1" t="s">
        <v>397</v>
      </c>
      <c r="F251" s="1"/>
    </row>
    <row r="252">
      <c r="A252" s="1" t="s">
        <v>111</v>
      </c>
      <c r="B252" s="1" t="s">
        <v>112</v>
      </c>
      <c r="C252" s="1" t="s">
        <v>113</v>
      </c>
      <c r="D252" s="1" t="s">
        <v>114</v>
      </c>
      <c r="E252" s="1" t="s">
        <v>397</v>
      </c>
      <c r="F252" s="1"/>
    </row>
    <row r="253">
      <c r="A253" s="1" t="s">
        <v>3210</v>
      </c>
      <c r="B253" s="1" t="s">
        <v>3211</v>
      </c>
      <c r="C253" s="1" t="s">
        <v>3212</v>
      </c>
      <c r="D253" s="1" t="s">
        <v>3213</v>
      </c>
      <c r="E253" s="1" t="s">
        <v>397</v>
      </c>
      <c r="F253" s="1"/>
    </row>
    <row r="254">
      <c r="A254" s="1" t="s">
        <v>509</v>
      </c>
      <c r="B254" s="1" t="s">
        <v>510</v>
      </c>
      <c r="C254" s="1" t="s">
        <v>511</v>
      </c>
      <c r="D254" s="1" t="s">
        <v>512</v>
      </c>
      <c r="E254" s="1" t="s">
        <v>397</v>
      </c>
      <c r="F254" s="1"/>
    </row>
    <row r="255">
      <c r="A255" s="1" t="s">
        <v>3214</v>
      </c>
      <c r="B255" s="1" t="s">
        <v>1385</v>
      </c>
      <c r="C255" s="1" t="s">
        <v>522</v>
      </c>
      <c r="D255" s="1" t="s">
        <v>3215</v>
      </c>
      <c r="E255" s="1" t="s">
        <v>397</v>
      </c>
      <c r="F255" s="1"/>
    </row>
    <row r="256">
      <c r="A256" s="1" t="s">
        <v>3216</v>
      </c>
      <c r="B256" s="1" t="s">
        <v>2412</v>
      </c>
      <c r="C256" s="1" t="s">
        <v>3217</v>
      </c>
      <c r="D256" s="1" t="s">
        <v>3218</v>
      </c>
      <c r="E256" s="1" t="s">
        <v>397</v>
      </c>
      <c r="F256" s="1"/>
    </row>
    <row r="257">
      <c r="A257" s="1" t="s">
        <v>2419</v>
      </c>
      <c r="B257" s="1" t="s">
        <v>745</v>
      </c>
      <c r="C257" s="1" t="s">
        <v>2420</v>
      </c>
      <c r="D257" s="1" t="s">
        <v>3219</v>
      </c>
      <c r="E257" s="1" t="s">
        <v>397</v>
      </c>
      <c r="F257" s="1"/>
    </row>
    <row r="258">
      <c r="A258" s="1" t="s">
        <v>3220</v>
      </c>
      <c r="B258" s="1" t="s">
        <v>1520</v>
      </c>
      <c r="C258" s="1" t="s">
        <v>3221</v>
      </c>
      <c r="D258" s="1" t="s">
        <v>3222</v>
      </c>
      <c r="E258" s="1" t="s">
        <v>397</v>
      </c>
      <c r="F258" s="1"/>
    </row>
    <row r="259">
      <c r="A259" s="1" t="s">
        <v>3223</v>
      </c>
      <c r="B259" s="1" t="s">
        <v>2359</v>
      </c>
      <c r="C259" s="1" t="s">
        <v>3224</v>
      </c>
      <c r="D259" s="1" t="s">
        <v>3225</v>
      </c>
      <c r="E259" s="1" t="s">
        <v>397</v>
      </c>
      <c r="F259" s="1"/>
    </row>
    <row r="260">
      <c r="A260" s="1" t="s">
        <v>2422</v>
      </c>
      <c r="B260" s="1" t="s">
        <v>616</v>
      </c>
      <c r="C260" s="1" t="s">
        <v>10</v>
      </c>
      <c r="D260" s="1" t="s">
        <v>3226</v>
      </c>
      <c r="E260" s="1" t="s">
        <v>397</v>
      </c>
      <c r="F260" s="1"/>
    </row>
    <row r="261">
      <c r="A261" s="1" t="s">
        <v>3227</v>
      </c>
      <c r="B261" s="1" t="s">
        <v>730</v>
      </c>
      <c r="C261" s="1" t="s">
        <v>3228</v>
      </c>
      <c r="D261" s="1" t="s">
        <v>3229</v>
      </c>
      <c r="E261" s="1" t="s">
        <v>397</v>
      </c>
      <c r="F261" s="1"/>
    </row>
    <row r="262">
      <c r="A262" s="1" t="s">
        <v>3230</v>
      </c>
      <c r="B262" s="1" t="s">
        <v>3231</v>
      </c>
      <c r="C262" s="1" t="s">
        <v>198</v>
      </c>
      <c r="D262" s="1" t="s">
        <v>3232</v>
      </c>
      <c r="E262" s="1" t="s">
        <v>397</v>
      </c>
      <c r="F262" s="1"/>
    </row>
    <row r="263">
      <c r="A263" s="1" t="s">
        <v>3233</v>
      </c>
      <c r="B263" s="1" t="s">
        <v>2326</v>
      </c>
      <c r="C263" s="1" t="s">
        <v>3234</v>
      </c>
      <c r="D263" s="1" t="s">
        <v>3235</v>
      </c>
      <c r="E263" s="1" t="s">
        <v>397</v>
      </c>
      <c r="F263" s="1"/>
    </row>
    <row r="264">
      <c r="A264" s="1" t="s">
        <v>3236</v>
      </c>
      <c r="B264" s="1" t="s">
        <v>377</v>
      </c>
      <c r="C264" s="1" t="s">
        <v>3237</v>
      </c>
      <c r="D264" s="1" t="s">
        <v>3238</v>
      </c>
      <c r="E264" s="1" t="s">
        <v>397</v>
      </c>
      <c r="F264" s="1"/>
    </row>
    <row r="265">
      <c r="A265" s="1" t="s">
        <v>3239</v>
      </c>
      <c r="B265" s="1" t="s">
        <v>3240</v>
      </c>
      <c r="C265" s="1" t="s">
        <v>3241</v>
      </c>
      <c r="D265" s="1" t="s">
        <v>3242</v>
      </c>
      <c r="E265" s="1" t="s">
        <v>397</v>
      </c>
      <c r="F265" s="1"/>
    </row>
    <row r="266">
      <c r="A266" s="1" t="s">
        <v>3243</v>
      </c>
      <c r="B266" s="1" t="s">
        <v>3244</v>
      </c>
      <c r="C266" s="1" t="s">
        <v>3245</v>
      </c>
      <c r="D266" s="1" t="s">
        <v>3246</v>
      </c>
      <c r="E266" s="1" t="s">
        <v>397</v>
      </c>
      <c r="F266" s="1"/>
    </row>
    <row r="267">
      <c r="A267" s="1" t="s">
        <v>3247</v>
      </c>
      <c r="B267" s="1" t="s">
        <v>3248</v>
      </c>
      <c r="C267" s="1" t="s">
        <v>2691</v>
      </c>
      <c r="D267" s="1" t="s">
        <v>3249</v>
      </c>
      <c r="E267" s="1" t="s">
        <v>397</v>
      </c>
      <c r="F267" s="1"/>
    </row>
    <row r="268">
      <c r="A268" s="1" t="s">
        <v>3250</v>
      </c>
      <c r="B268" s="1" t="s">
        <v>230</v>
      </c>
      <c r="C268" s="1" t="s">
        <v>881</v>
      </c>
      <c r="D268" s="1" t="s">
        <v>3251</v>
      </c>
      <c r="E268" s="1" t="s">
        <v>397</v>
      </c>
      <c r="F268" s="1"/>
    </row>
    <row r="269">
      <c r="A269" s="1" t="s">
        <v>3252</v>
      </c>
      <c r="B269" s="1" t="s">
        <v>3253</v>
      </c>
      <c r="C269" s="1" t="s">
        <v>366</v>
      </c>
      <c r="D269" s="1" t="s">
        <v>3254</v>
      </c>
      <c r="E269" s="1" t="s">
        <v>397</v>
      </c>
      <c r="F269" s="1"/>
    </row>
    <row r="270">
      <c r="A270" s="1" t="s">
        <v>2064</v>
      </c>
      <c r="B270" s="1" t="s">
        <v>1323</v>
      </c>
      <c r="C270" s="1" t="s">
        <v>69</v>
      </c>
      <c r="D270" s="1" t="s">
        <v>2572</v>
      </c>
      <c r="E270" s="1" t="s">
        <v>397</v>
      </c>
      <c r="F270" s="1"/>
    </row>
    <row r="271">
      <c r="A271" s="1" t="s">
        <v>3255</v>
      </c>
      <c r="B271" s="1" t="s">
        <v>317</v>
      </c>
      <c r="C271" s="1" t="s">
        <v>3237</v>
      </c>
      <c r="D271" s="1" t="s">
        <v>3256</v>
      </c>
      <c r="E271" s="1" t="s">
        <v>397</v>
      </c>
      <c r="F271" s="1"/>
    </row>
    <row r="272">
      <c r="A272" s="1" t="s">
        <v>460</v>
      </c>
      <c r="B272" s="1" t="s">
        <v>461</v>
      </c>
      <c r="C272" s="1" t="s">
        <v>462</v>
      </c>
      <c r="D272" s="1" t="s">
        <v>463</v>
      </c>
      <c r="E272" s="1" t="s">
        <v>397</v>
      </c>
      <c r="F272" s="1"/>
    </row>
    <row r="273">
      <c r="A273" s="1" t="s">
        <v>3257</v>
      </c>
      <c r="B273" s="1" t="s">
        <v>3258</v>
      </c>
      <c r="C273" s="1" t="s">
        <v>1459</v>
      </c>
      <c r="D273" s="1" t="s">
        <v>3259</v>
      </c>
      <c r="E273" s="1" t="s">
        <v>397</v>
      </c>
      <c r="F273" s="1"/>
    </row>
    <row r="274">
      <c r="A274" s="1" t="s">
        <v>3260</v>
      </c>
      <c r="B274" s="1" t="s">
        <v>3261</v>
      </c>
      <c r="C274" s="1" t="s">
        <v>918</v>
      </c>
      <c r="D274" s="1" t="s">
        <v>3262</v>
      </c>
      <c r="E274" s="1" t="s">
        <v>397</v>
      </c>
      <c r="F274" s="1"/>
    </row>
    <row r="275">
      <c r="A275" s="1" t="s">
        <v>3263</v>
      </c>
      <c r="B275" s="1" t="s">
        <v>1172</v>
      </c>
      <c r="C275" s="1" t="s">
        <v>3264</v>
      </c>
      <c r="D275" s="1" t="s">
        <v>2725</v>
      </c>
      <c r="E275" s="1" t="s">
        <v>397</v>
      </c>
      <c r="F275" s="1"/>
    </row>
    <row r="276">
      <c r="A276" s="1" t="s">
        <v>3265</v>
      </c>
      <c r="B276" s="1" t="s">
        <v>184</v>
      </c>
      <c r="C276" s="1" t="s">
        <v>3266</v>
      </c>
      <c r="D276" s="1" t="s">
        <v>3267</v>
      </c>
      <c r="E276" s="1" t="s">
        <v>397</v>
      </c>
      <c r="F276" s="1"/>
    </row>
    <row r="277">
      <c r="A277" s="1" t="s">
        <v>3268</v>
      </c>
      <c r="B277" s="1" t="s">
        <v>2853</v>
      </c>
      <c r="C277" s="1" t="s">
        <v>3269</v>
      </c>
      <c r="D277" s="1" t="s">
        <v>3270</v>
      </c>
      <c r="E277" s="1" t="s">
        <v>397</v>
      </c>
      <c r="F277" s="1"/>
    </row>
    <row r="278">
      <c r="A278" s="1" t="s">
        <v>3271</v>
      </c>
      <c r="B278" s="1" t="s">
        <v>3272</v>
      </c>
      <c r="C278" s="1" t="s">
        <v>393</v>
      </c>
      <c r="D278" s="1" t="s">
        <v>3273</v>
      </c>
      <c r="E278" s="1" t="s">
        <v>397</v>
      </c>
      <c r="F278" s="1"/>
    </row>
    <row r="279">
      <c r="A279" s="1" t="s">
        <v>3274</v>
      </c>
      <c r="B279" s="1" t="s">
        <v>73</v>
      </c>
      <c r="C279" s="1" t="s">
        <v>74</v>
      </c>
      <c r="D279" s="1" t="s">
        <v>75</v>
      </c>
      <c r="E279" s="1" t="s">
        <v>397</v>
      </c>
      <c r="F279" s="1"/>
    </row>
    <row r="280">
      <c r="A280" s="1" t="s">
        <v>3275</v>
      </c>
      <c r="B280" s="1" t="s">
        <v>3276</v>
      </c>
      <c r="C280" s="1" t="s">
        <v>3277</v>
      </c>
      <c r="D280" s="1" t="s">
        <v>3278</v>
      </c>
      <c r="E280" s="1" t="s">
        <v>397</v>
      </c>
      <c r="F280" s="1"/>
    </row>
    <row r="281">
      <c r="A281" s="1" t="s">
        <v>3279</v>
      </c>
      <c r="B281" s="1" t="s">
        <v>267</v>
      </c>
      <c r="C281" s="1" t="s">
        <v>3280</v>
      </c>
      <c r="D281" s="1" t="s">
        <v>3281</v>
      </c>
      <c r="E281" s="1" t="s">
        <v>397</v>
      </c>
      <c r="F281" s="1"/>
    </row>
    <row r="282">
      <c r="A282" s="1" t="s">
        <v>3282</v>
      </c>
      <c r="B282" s="1" t="s">
        <v>1403</v>
      </c>
      <c r="C282" s="1" t="s">
        <v>3283</v>
      </c>
      <c r="D282" s="1" t="s">
        <v>3284</v>
      </c>
      <c r="E282" s="1" t="s">
        <v>397</v>
      </c>
      <c r="F282" s="1"/>
    </row>
    <row r="283">
      <c r="A283" s="1" t="s">
        <v>3285</v>
      </c>
      <c r="B283" s="1" t="s">
        <v>3286</v>
      </c>
      <c r="C283" s="1" t="s">
        <v>3287</v>
      </c>
      <c r="D283" s="1" t="s">
        <v>3288</v>
      </c>
      <c r="E283" s="1" t="s">
        <v>397</v>
      </c>
      <c r="F283" s="1"/>
    </row>
    <row r="284">
      <c r="A284" s="1" t="s">
        <v>3289</v>
      </c>
      <c r="B284" s="1" t="s">
        <v>3290</v>
      </c>
      <c r="C284" s="1" t="s">
        <v>3291</v>
      </c>
      <c r="D284" s="1" t="s">
        <v>3292</v>
      </c>
      <c r="E284" s="1" t="s">
        <v>397</v>
      </c>
      <c r="F284" s="1"/>
    </row>
    <row r="285">
      <c r="A285" s="1" t="s">
        <v>3293</v>
      </c>
      <c r="B285" s="1" t="s">
        <v>148</v>
      </c>
      <c r="C285" s="1" t="s">
        <v>594</v>
      </c>
      <c r="D285" s="1" t="s">
        <v>3294</v>
      </c>
      <c r="E285" s="1" t="s">
        <v>397</v>
      </c>
      <c r="F285" s="1"/>
    </row>
    <row r="286">
      <c r="A286" s="1" t="s">
        <v>2081</v>
      </c>
      <c r="B286" s="1" t="s">
        <v>2082</v>
      </c>
      <c r="C286" s="1" t="s">
        <v>2083</v>
      </c>
      <c r="D286" s="1" t="s">
        <v>3295</v>
      </c>
      <c r="E286" s="1" t="s">
        <v>397</v>
      </c>
      <c r="F286" s="1"/>
    </row>
    <row r="287">
      <c r="A287" s="1" t="s">
        <v>3296</v>
      </c>
      <c r="B287" s="1" t="s">
        <v>1783</v>
      </c>
      <c r="C287" s="1" t="s">
        <v>1789</v>
      </c>
      <c r="D287" s="1" t="s">
        <v>3297</v>
      </c>
      <c r="E287" s="1" t="s">
        <v>397</v>
      </c>
      <c r="F287" s="1"/>
    </row>
    <row r="288">
      <c r="A288" s="1" t="s">
        <v>3298</v>
      </c>
      <c r="B288" s="1" t="s">
        <v>3299</v>
      </c>
      <c r="C288" s="1" t="s">
        <v>2137</v>
      </c>
      <c r="D288" s="1">
        <v>9.80630387E8</v>
      </c>
      <c r="E288" s="1" t="s">
        <v>397</v>
      </c>
      <c r="F288" s="1"/>
    </row>
    <row r="289">
      <c r="A289" s="1" t="s">
        <v>3300</v>
      </c>
      <c r="B289" s="1" t="s">
        <v>3301</v>
      </c>
      <c r="C289" s="1" t="s">
        <v>3302</v>
      </c>
      <c r="D289" s="1">
        <v>9.79687311E8</v>
      </c>
      <c r="E289" s="1" t="s">
        <v>397</v>
      </c>
      <c r="F289" s="1"/>
    </row>
    <row r="290">
      <c r="A290" s="1" t="s">
        <v>3303</v>
      </c>
      <c r="B290" s="1" t="s">
        <v>3304</v>
      </c>
      <c r="C290" s="1" t="s">
        <v>59</v>
      </c>
      <c r="D290" s="1">
        <v>9.67947676E8</v>
      </c>
      <c r="E290" s="1" t="s">
        <v>397</v>
      </c>
      <c r="F290" s="1"/>
    </row>
    <row r="291">
      <c r="A291" s="1" t="s">
        <v>3305</v>
      </c>
      <c r="B291" s="1" t="s">
        <v>602</v>
      </c>
      <c r="C291" s="1" t="s">
        <v>3306</v>
      </c>
      <c r="D291" s="1">
        <v>9.62592779E8</v>
      </c>
      <c r="E291" s="1" t="s">
        <v>397</v>
      </c>
      <c r="F291" s="1"/>
    </row>
    <row r="292">
      <c r="A292" s="1" t="s">
        <v>3307</v>
      </c>
      <c r="B292" s="1" t="s">
        <v>3308</v>
      </c>
      <c r="C292" s="1" t="s">
        <v>2257</v>
      </c>
      <c r="D292" s="1">
        <v>9.61947711E8</v>
      </c>
      <c r="E292" s="1" t="s">
        <v>397</v>
      </c>
      <c r="F292" s="1"/>
    </row>
    <row r="293">
      <c r="A293" s="1" t="s">
        <v>3309</v>
      </c>
      <c r="B293" s="1" t="s">
        <v>3310</v>
      </c>
      <c r="C293" s="1" t="s">
        <v>3311</v>
      </c>
      <c r="D293" s="1">
        <v>9.42169482E8</v>
      </c>
      <c r="E293" s="1" t="s">
        <v>397</v>
      </c>
      <c r="F293" s="1"/>
    </row>
    <row r="294">
      <c r="A294" s="1" t="s">
        <v>3312</v>
      </c>
      <c r="B294" s="1" t="s">
        <v>3313</v>
      </c>
      <c r="C294" s="1" t="s">
        <v>3314</v>
      </c>
      <c r="D294" s="1">
        <v>9.23580431E8</v>
      </c>
      <c r="E294" s="1" t="s">
        <v>397</v>
      </c>
      <c r="F294" s="1"/>
    </row>
    <row r="295">
      <c r="A295" s="1" t="s">
        <v>3315</v>
      </c>
      <c r="B295" s="1" t="s">
        <v>3316</v>
      </c>
      <c r="C295" s="1" t="s">
        <v>3317</v>
      </c>
      <c r="D295" s="1">
        <v>9.16881919E8</v>
      </c>
      <c r="E295" s="1" t="s">
        <v>397</v>
      </c>
      <c r="F295" s="1"/>
    </row>
    <row r="296">
      <c r="A296" s="1" t="s">
        <v>3318</v>
      </c>
      <c r="B296" s="1" t="s">
        <v>1310</v>
      </c>
      <c r="C296" s="1" t="s">
        <v>3319</v>
      </c>
      <c r="D296" s="1">
        <v>9.11192847E8</v>
      </c>
      <c r="E296" s="1" t="s">
        <v>397</v>
      </c>
      <c r="F296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7.38"/>
    <col customWidth="1" min="11" max="11" width="17.13"/>
    <col customWidth="1" min="12" max="12" width="20.25"/>
    <col customWidth="1" min="13" max="13" width="27.0"/>
    <col customWidth="1" min="14" max="14" width="18.13"/>
    <col customWidth="1" min="15" max="15" width="35.25"/>
    <col customWidth="1" min="16" max="16" width="15.0"/>
  </cols>
  <sheetData>
    <row r="1">
      <c r="A1" s="12" t="s">
        <v>2481</v>
      </c>
      <c r="B1" s="13" t="s">
        <v>1847</v>
      </c>
      <c r="C1" s="13" t="s">
        <v>1848</v>
      </c>
      <c r="D1" s="13" t="s">
        <v>1849</v>
      </c>
      <c r="E1" s="14" t="s">
        <v>1850</v>
      </c>
      <c r="F1" s="13" t="s">
        <v>1851</v>
      </c>
      <c r="G1" s="13" t="s">
        <v>5</v>
      </c>
      <c r="H1" s="13" t="s">
        <v>1852</v>
      </c>
      <c r="I1" s="13" t="s">
        <v>1853</v>
      </c>
      <c r="J1" s="13" t="s">
        <v>1854</v>
      </c>
      <c r="K1" s="13" t="s">
        <v>1855</v>
      </c>
      <c r="L1" s="13" t="s">
        <v>1856</v>
      </c>
      <c r="M1" s="13" t="s">
        <v>1857</v>
      </c>
      <c r="N1" s="13" t="s">
        <v>1858</v>
      </c>
      <c r="O1" s="13" t="s">
        <v>1859</v>
      </c>
      <c r="P1" s="13" t="s">
        <v>1860</v>
      </c>
      <c r="Q1" s="13" t="s">
        <v>1861</v>
      </c>
      <c r="R1" s="13" t="s">
        <v>1862</v>
      </c>
      <c r="S1" s="13" t="s">
        <v>1863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>
      <c r="A2" s="22"/>
      <c r="B2" s="22"/>
      <c r="C2" s="22"/>
      <c r="D2" s="22"/>
      <c r="E2" s="22"/>
      <c r="F2" s="22"/>
      <c r="G2" s="22"/>
      <c r="H2" s="22"/>
      <c r="I2" s="2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2"/>
      <c r="B3" s="22"/>
      <c r="C3" s="22"/>
      <c r="D3" s="22"/>
      <c r="E3" s="22"/>
      <c r="F3" s="22"/>
      <c r="G3" s="22"/>
      <c r="H3" s="22"/>
      <c r="I3" s="23"/>
      <c r="J3" s="1"/>
      <c r="K3" s="1"/>
      <c r="L3" s="1"/>
      <c r="M3" s="1"/>
      <c r="N3" s="1"/>
      <c r="O3" s="1"/>
      <c r="P3" s="1"/>
      <c r="Q3" s="1"/>
      <c r="R3" s="1"/>
    </row>
    <row r="4">
      <c r="A4" s="22"/>
      <c r="B4" s="22"/>
      <c r="C4" s="22"/>
      <c r="D4" s="22"/>
      <c r="E4" s="22"/>
      <c r="F4" s="22"/>
      <c r="G4" s="22"/>
      <c r="H4" s="22"/>
      <c r="I4" s="23"/>
      <c r="J4" s="1"/>
      <c r="K4" s="1"/>
      <c r="L4" s="1"/>
      <c r="M4" s="1"/>
      <c r="N4" s="1"/>
      <c r="O4" s="1"/>
      <c r="P4" s="1"/>
      <c r="Q4" s="1"/>
      <c r="R4" s="1"/>
    </row>
    <row r="5">
      <c r="A5" s="22"/>
      <c r="B5" s="22"/>
      <c r="C5" s="22"/>
      <c r="D5" s="22"/>
      <c r="E5" s="22"/>
      <c r="F5" s="22"/>
      <c r="G5" s="22"/>
      <c r="H5" s="22"/>
      <c r="I5" s="23"/>
      <c r="J5" s="1"/>
      <c r="K5" s="1"/>
      <c r="L5" s="1"/>
      <c r="M5" s="1"/>
      <c r="N5" s="1"/>
      <c r="O5" s="1"/>
      <c r="P5" s="1"/>
      <c r="Q5" s="1"/>
      <c r="R5" s="1"/>
    </row>
    <row r="6">
      <c r="A6" s="22"/>
      <c r="B6" s="22"/>
      <c r="C6" s="22"/>
      <c r="D6" s="22"/>
      <c r="E6" s="22"/>
      <c r="F6" s="22"/>
      <c r="G6" s="22"/>
      <c r="H6" s="22"/>
      <c r="I6" s="23"/>
      <c r="J6" s="1"/>
      <c r="K6" s="1"/>
      <c r="L6" s="1"/>
      <c r="M6" s="1"/>
      <c r="N6" s="1"/>
      <c r="O6" s="1"/>
      <c r="P6" s="1"/>
      <c r="Q6" s="1"/>
      <c r="R6" s="1"/>
    </row>
    <row r="7">
      <c r="A7" s="22"/>
      <c r="B7" s="22"/>
      <c r="C7" s="22"/>
      <c r="D7" s="22"/>
      <c r="E7" s="22"/>
      <c r="F7" s="22"/>
      <c r="G7" s="22"/>
      <c r="H7" s="22"/>
      <c r="I7" s="23"/>
      <c r="J7" s="1"/>
      <c r="K7" s="1"/>
      <c r="L7" s="1"/>
      <c r="M7" s="1"/>
      <c r="N7" s="1"/>
      <c r="O7" s="1"/>
      <c r="P7" s="1"/>
      <c r="Q7" s="1"/>
      <c r="R7" s="1"/>
    </row>
    <row r="8">
      <c r="A8" s="22"/>
      <c r="B8" s="22"/>
      <c r="C8" s="22"/>
      <c r="D8" s="22"/>
      <c r="E8" s="22"/>
      <c r="F8" s="22"/>
      <c r="G8" s="22"/>
      <c r="H8" s="22"/>
      <c r="I8" s="23"/>
      <c r="J8" s="1"/>
      <c r="K8" s="1"/>
      <c r="L8" s="1"/>
      <c r="M8" s="1"/>
      <c r="N8" s="1"/>
      <c r="O8" s="1"/>
      <c r="P8" s="1"/>
      <c r="Q8" s="1"/>
      <c r="R8" s="1"/>
    </row>
    <row r="9">
      <c r="A9" s="22"/>
      <c r="B9" s="22"/>
      <c r="C9" s="22"/>
      <c r="D9" s="22"/>
      <c r="E9" s="22"/>
      <c r="F9" s="22"/>
      <c r="G9" s="22"/>
      <c r="H9" s="22"/>
      <c r="I9" s="23"/>
      <c r="J9" s="1"/>
      <c r="K9" s="1"/>
      <c r="L9" s="1"/>
      <c r="M9" s="1"/>
      <c r="N9" s="1"/>
      <c r="O9" s="1"/>
      <c r="P9" s="1"/>
      <c r="Q9" s="1"/>
      <c r="R9" s="1"/>
    </row>
    <row r="10">
      <c r="A10" s="22"/>
      <c r="B10" s="22"/>
      <c r="C10" s="22"/>
      <c r="D10" s="22"/>
      <c r="E10" s="22"/>
      <c r="F10" s="22"/>
      <c r="G10" s="22"/>
      <c r="H10" s="22"/>
      <c r="I10" s="23"/>
      <c r="J10" s="1"/>
      <c r="K10" s="1"/>
      <c r="L10" s="1"/>
      <c r="M10" s="1"/>
      <c r="N10" s="1"/>
      <c r="O10" s="1"/>
      <c r="P10" s="1"/>
      <c r="Q10" s="1"/>
      <c r="R10" s="1"/>
    </row>
    <row r="11">
      <c r="A11" s="22"/>
      <c r="B11" s="22"/>
      <c r="C11" s="22"/>
      <c r="D11" s="22"/>
      <c r="E11" s="22"/>
      <c r="F11" s="22"/>
      <c r="G11" s="22"/>
      <c r="H11" s="22"/>
      <c r="I11" s="23"/>
      <c r="J11" s="1"/>
      <c r="K11" s="1"/>
      <c r="L11" s="1"/>
      <c r="M11" s="1"/>
      <c r="N11" s="1"/>
      <c r="O11" s="1"/>
      <c r="P11" s="1"/>
      <c r="Q11" s="1"/>
      <c r="R11" s="1"/>
    </row>
    <row r="12">
      <c r="A12" s="22"/>
      <c r="B12" s="22"/>
      <c r="C12" s="22"/>
      <c r="D12" s="22"/>
      <c r="E12" s="22"/>
      <c r="F12" s="22"/>
      <c r="G12" s="22"/>
      <c r="H12" s="22"/>
      <c r="I12" s="23"/>
      <c r="J12" s="1"/>
      <c r="K12" s="1"/>
      <c r="L12" s="1"/>
      <c r="M12" s="1"/>
      <c r="N12" s="1"/>
      <c r="O12" s="1"/>
      <c r="P12" s="1"/>
      <c r="Q12" s="1"/>
      <c r="R12" s="1"/>
    </row>
    <row r="13">
      <c r="A13" s="22"/>
      <c r="B13" s="22"/>
      <c r="C13" s="22"/>
      <c r="D13" s="22"/>
      <c r="E13" s="22"/>
      <c r="F13" s="22"/>
      <c r="G13" s="22"/>
      <c r="H13" s="22"/>
      <c r="I13" s="23"/>
      <c r="J13" s="1"/>
      <c r="K13" s="1"/>
      <c r="L13" s="1"/>
      <c r="M13" s="1"/>
      <c r="N13" s="1"/>
      <c r="O13" s="1"/>
      <c r="P13" s="1"/>
      <c r="Q13" s="1"/>
      <c r="R13" s="1"/>
    </row>
    <row r="14">
      <c r="A14" s="22"/>
      <c r="B14" s="22"/>
      <c r="C14" s="22"/>
      <c r="D14" s="22"/>
      <c r="E14" s="22"/>
      <c r="F14" s="22"/>
      <c r="G14" s="22"/>
      <c r="H14" s="22"/>
      <c r="I14" s="23"/>
      <c r="J14" s="1"/>
      <c r="K14" s="1"/>
      <c r="L14" s="1"/>
      <c r="M14" s="1"/>
      <c r="N14" s="1"/>
      <c r="O14" s="1"/>
      <c r="P14" s="1"/>
      <c r="Q14" s="1"/>
      <c r="R14" s="1"/>
    </row>
    <row r="15">
      <c r="A15" s="22"/>
      <c r="B15" s="22"/>
      <c r="C15" s="22"/>
      <c r="D15" s="22"/>
      <c r="E15" s="22"/>
      <c r="F15" s="22"/>
      <c r="G15" s="22"/>
      <c r="H15" s="22"/>
      <c r="I15" s="23"/>
      <c r="J15" s="1"/>
      <c r="K15" s="1"/>
      <c r="L15" s="1"/>
      <c r="M15" s="1"/>
      <c r="N15" s="1"/>
      <c r="O15" s="1"/>
      <c r="P15" s="1"/>
      <c r="Q15" s="1"/>
      <c r="R15" s="1"/>
    </row>
    <row r="16">
      <c r="A16" s="22"/>
      <c r="B16" s="22"/>
      <c r="C16" s="22"/>
      <c r="D16" s="22"/>
      <c r="E16" s="22"/>
      <c r="F16" s="22"/>
      <c r="G16" s="22"/>
      <c r="H16" s="22"/>
      <c r="I16" s="23"/>
      <c r="J16" s="1"/>
      <c r="K16" s="1"/>
      <c r="L16" s="1"/>
      <c r="M16" s="1"/>
      <c r="N16" s="1"/>
      <c r="O16" s="1"/>
      <c r="P16" s="1"/>
      <c r="Q16" s="1"/>
      <c r="R16" s="1"/>
    </row>
    <row r="17">
      <c r="A17" s="22"/>
      <c r="B17" s="22"/>
      <c r="C17" s="22"/>
      <c r="D17" s="22"/>
      <c r="E17" s="22"/>
      <c r="F17" s="22"/>
      <c r="G17" s="22"/>
      <c r="H17" s="22"/>
      <c r="I17" s="23"/>
      <c r="J17" s="1"/>
      <c r="K17" s="1"/>
      <c r="L17" s="1"/>
      <c r="M17" s="1"/>
      <c r="N17" s="1"/>
      <c r="O17" s="1"/>
      <c r="P17" s="1"/>
      <c r="Q17" s="1"/>
      <c r="R17" s="1"/>
    </row>
    <row r="18">
      <c r="A18" s="22"/>
      <c r="B18" s="22"/>
      <c r="C18" s="22"/>
      <c r="D18" s="22"/>
      <c r="E18" s="22"/>
      <c r="F18" s="22"/>
      <c r="G18" s="22"/>
      <c r="H18" s="22"/>
      <c r="I18" s="23"/>
      <c r="J18" s="1"/>
      <c r="K18" s="1"/>
      <c r="L18" s="1"/>
      <c r="M18" s="1"/>
      <c r="N18" s="1"/>
      <c r="O18" s="1"/>
      <c r="P18" s="1"/>
      <c r="Q18" s="1"/>
      <c r="R18" s="1"/>
    </row>
    <row r="19">
      <c r="A19" s="22"/>
      <c r="B19" s="22"/>
      <c r="C19" s="22"/>
      <c r="D19" s="22"/>
      <c r="E19" s="22"/>
      <c r="F19" s="22"/>
      <c r="G19" s="22"/>
      <c r="H19" s="22"/>
      <c r="I19" s="23"/>
      <c r="J19" s="1"/>
      <c r="K19" s="1"/>
      <c r="L19" s="1"/>
      <c r="M19" s="1"/>
      <c r="N19" s="1"/>
      <c r="O19" s="1"/>
      <c r="P19" s="1"/>
      <c r="Q19" s="1"/>
      <c r="R19" s="1"/>
    </row>
    <row r="20">
      <c r="A20" s="22"/>
      <c r="B20" s="22"/>
      <c r="C20" s="22"/>
      <c r="D20" s="22"/>
      <c r="E20" s="22"/>
      <c r="F20" s="22"/>
      <c r="G20" s="22"/>
      <c r="H20" s="22"/>
      <c r="I20" s="23"/>
      <c r="J20" s="1"/>
      <c r="K20" s="1"/>
      <c r="L20" s="1"/>
      <c r="M20" s="1"/>
      <c r="N20" s="1"/>
      <c r="O20" s="1"/>
      <c r="P20" s="1"/>
      <c r="Q20" s="1"/>
      <c r="R20" s="1"/>
    </row>
    <row r="21">
      <c r="A21" s="22"/>
      <c r="B21" s="22"/>
      <c r="C21" s="22"/>
      <c r="D21" s="22"/>
      <c r="E21" s="22"/>
      <c r="F21" s="22"/>
      <c r="G21" s="22"/>
      <c r="H21" s="22"/>
      <c r="I21" s="23"/>
      <c r="J21" s="1"/>
      <c r="K21" s="1"/>
      <c r="L21" s="1"/>
      <c r="M21" s="1"/>
      <c r="N21" s="1"/>
      <c r="O21" s="1"/>
      <c r="P21" s="1"/>
      <c r="Q21" s="1"/>
      <c r="R21" s="1"/>
    </row>
    <row r="22">
      <c r="A22" s="22"/>
      <c r="B22" s="22"/>
      <c r="C22" s="22"/>
      <c r="D22" s="22"/>
      <c r="E22" s="22"/>
      <c r="F22" s="22"/>
      <c r="G22" s="22"/>
      <c r="H22" s="22"/>
      <c r="I22" s="23"/>
      <c r="J22" s="1"/>
      <c r="K22" s="1"/>
      <c r="L22" s="1"/>
      <c r="M22" s="1"/>
      <c r="N22" s="1"/>
      <c r="O22" s="1"/>
      <c r="P22" s="1"/>
      <c r="Q22" s="1"/>
      <c r="R22" s="1"/>
    </row>
    <row r="23">
      <c r="A23" s="22"/>
      <c r="B23" s="22"/>
      <c r="C23" s="22"/>
      <c r="D23" s="22"/>
      <c r="E23" s="22"/>
      <c r="F23" s="22"/>
      <c r="G23" s="22"/>
      <c r="H23" s="22"/>
      <c r="I23" s="23"/>
      <c r="J23" s="1"/>
      <c r="K23" s="1"/>
      <c r="L23" s="1"/>
      <c r="M23" s="1"/>
      <c r="N23" s="1"/>
      <c r="O23" s="1"/>
      <c r="P23" s="1"/>
      <c r="Q23" s="1"/>
      <c r="R23" s="1"/>
    </row>
    <row r="24">
      <c r="A24" s="22"/>
      <c r="B24" s="22"/>
      <c r="C24" s="22"/>
      <c r="D24" s="22"/>
      <c r="E24" s="22"/>
      <c r="F24" s="22"/>
      <c r="G24" s="22"/>
      <c r="H24" s="22"/>
      <c r="I24" s="23"/>
      <c r="J24" s="1"/>
      <c r="K24" s="1"/>
      <c r="L24" s="1"/>
      <c r="M24" s="1"/>
      <c r="N24" s="1"/>
      <c r="O24" s="1"/>
      <c r="P24" s="1"/>
      <c r="Q24" s="1"/>
      <c r="R24" s="1"/>
    </row>
    <row r="25">
      <c r="A25" s="22"/>
      <c r="B25" s="22"/>
      <c r="C25" s="22"/>
      <c r="D25" s="22"/>
      <c r="E25" s="22"/>
      <c r="F25" s="22"/>
      <c r="G25" s="22"/>
      <c r="H25" s="22"/>
      <c r="I25" s="23"/>
      <c r="J25" s="1"/>
      <c r="K25" s="1"/>
      <c r="L25" s="1"/>
      <c r="M25" s="1"/>
      <c r="N25" s="1"/>
      <c r="O25" s="1"/>
      <c r="P25" s="1"/>
      <c r="Q25" s="1"/>
      <c r="R25" s="1"/>
    </row>
    <row r="26">
      <c r="A26" s="22"/>
      <c r="B26" s="22"/>
      <c r="C26" s="22"/>
      <c r="D26" s="22"/>
      <c r="E26" s="22"/>
      <c r="F26" s="22"/>
      <c r="G26" s="22"/>
      <c r="H26" s="22"/>
      <c r="I26" s="23"/>
      <c r="J26" s="1"/>
      <c r="K26" s="1"/>
      <c r="L26" s="1"/>
      <c r="M26" s="1"/>
      <c r="N26" s="1"/>
      <c r="O26" s="1"/>
      <c r="P26" s="1"/>
      <c r="Q26" s="1"/>
      <c r="R26" s="1"/>
    </row>
    <row r="27">
      <c r="A27" s="22"/>
      <c r="B27" s="22"/>
      <c r="C27" s="22"/>
      <c r="D27" s="22"/>
      <c r="E27" s="22"/>
      <c r="F27" s="22"/>
      <c r="G27" s="22"/>
      <c r="H27" s="22"/>
      <c r="I27" s="23"/>
      <c r="J27" s="1"/>
      <c r="K27" s="1"/>
      <c r="L27" s="1"/>
      <c r="M27" s="1"/>
      <c r="N27" s="1"/>
      <c r="O27" s="1"/>
      <c r="P27" s="1"/>
      <c r="Q27" s="1"/>
      <c r="R27" s="1"/>
    </row>
    <row r="28">
      <c r="A28" s="22"/>
      <c r="B28" s="22"/>
      <c r="C28" s="22"/>
      <c r="D28" s="22"/>
      <c r="E28" s="22"/>
      <c r="F28" s="22"/>
      <c r="G28" s="22"/>
      <c r="H28" s="22"/>
      <c r="I28" s="23"/>
      <c r="J28" s="1"/>
      <c r="K28" s="1"/>
      <c r="L28" s="1"/>
      <c r="M28" s="1"/>
      <c r="N28" s="1"/>
      <c r="O28" s="1"/>
      <c r="P28" s="1"/>
      <c r="Q28" s="1"/>
      <c r="R28" s="1"/>
    </row>
    <row r="29">
      <c r="A29" s="22"/>
      <c r="B29" s="22"/>
      <c r="C29" s="22"/>
      <c r="D29" s="22"/>
      <c r="E29" s="22"/>
      <c r="F29" s="22"/>
      <c r="G29" s="22"/>
      <c r="H29" s="22"/>
      <c r="I29" s="23"/>
      <c r="J29" s="1"/>
      <c r="K29" s="1"/>
      <c r="L29" s="1"/>
      <c r="M29" s="1"/>
      <c r="N29" s="1"/>
      <c r="O29" s="1"/>
      <c r="P29" s="1"/>
      <c r="Q29" s="1"/>
      <c r="R29" s="1"/>
    </row>
    <row r="30">
      <c r="A30" s="22"/>
      <c r="B30" s="22"/>
      <c r="C30" s="22"/>
      <c r="D30" s="22"/>
      <c r="E30" s="22"/>
      <c r="F30" s="22"/>
      <c r="G30" s="22"/>
      <c r="H30" s="22"/>
      <c r="I30" s="23"/>
      <c r="J30" s="1"/>
      <c r="K30" s="1"/>
      <c r="L30" s="1"/>
      <c r="M30" s="1"/>
      <c r="N30" s="1"/>
      <c r="O30" s="1"/>
      <c r="P30" s="1"/>
      <c r="Q30" s="1"/>
      <c r="R30" s="1"/>
    </row>
    <row r="31">
      <c r="A31" s="22"/>
      <c r="B31" s="22"/>
      <c r="C31" s="22"/>
      <c r="D31" s="22"/>
      <c r="E31" s="22"/>
      <c r="F31" s="22"/>
      <c r="G31" s="22"/>
      <c r="H31" s="22"/>
      <c r="I31" s="23"/>
      <c r="J31" s="1"/>
      <c r="K31" s="1"/>
      <c r="L31" s="1"/>
      <c r="M31" s="1"/>
      <c r="N31" s="1"/>
      <c r="O31" s="1"/>
      <c r="P31" s="1"/>
      <c r="Q31" s="1"/>
      <c r="R31" s="1"/>
    </row>
    <row r="32">
      <c r="A32" s="22"/>
      <c r="B32" s="22"/>
      <c r="C32" s="22"/>
      <c r="D32" s="22"/>
      <c r="E32" s="22"/>
      <c r="F32" s="22"/>
      <c r="G32" s="22"/>
      <c r="H32" s="22"/>
      <c r="I32" s="23"/>
      <c r="J32" s="1"/>
      <c r="K32" s="1"/>
      <c r="L32" s="1"/>
      <c r="M32" s="1"/>
      <c r="N32" s="1"/>
      <c r="O32" s="1"/>
      <c r="P32" s="1"/>
      <c r="Q32" s="1"/>
      <c r="R32" s="1"/>
    </row>
    <row r="33">
      <c r="A33" s="22"/>
      <c r="B33" s="22"/>
      <c r="C33" s="22"/>
      <c r="D33" s="22"/>
      <c r="E33" s="22"/>
      <c r="F33" s="22"/>
      <c r="G33" s="22"/>
      <c r="H33" s="22"/>
      <c r="I33" s="23"/>
      <c r="J33" s="1"/>
      <c r="K33" s="1"/>
      <c r="L33" s="1"/>
      <c r="M33" s="1"/>
      <c r="N33" s="1"/>
      <c r="O33" s="1"/>
      <c r="P33" s="1"/>
      <c r="Q33" s="1"/>
      <c r="R33" s="1"/>
    </row>
    <row r="34">
      <c r="A34" s="22"/>
      <c r="B34" s="22"/>
      <c r="C34" s="22"/>
      <c r="D34" s="22"/>
      <c r="E34" s="22"/>
      <c r="F34" s="22"/>
      <c r="G34" s="22"/>
      <c r="H34" s="22"/>
      <c r="I34" s="23"/>
      <c r="J34" s="1"/>
      <c r="K34" s="1"/>
      <c r="L34" s="1"/>
      <c r="M34" s="1"/>
      <c r="N34" s="1"/>
      <c r="O34" s="1"/>
      <c r="P34" s="1"/>
      <c r="Q34" s="1"/>
      <c r="R34" s="1"/>
    </row>
    <row r="35">
      <c r="A35" s="22"/>
      <c r="B35" s="22"/>
      <c r="C35" s="22"/>
      <c r="D35" s="22"/>
      <c r="E35" s="22"/>
      <c r="F35" s="22"/>
      <c r="G35" s="22"/>
      <c r="H35" s="22"/>
      <c r="I35" s="23"/>
      <c r="J35" s="1"/>
      <c r="K35" s="1"/>
      <c r="L35" s="1"/>
      <c r="M35" s="1"/>
      <c r="N35" s="1"/>
      <c r="O35" s="1"/>
      <c r="P35" s="1"/>
      <c r="Q35" s="1"/>
      <c r="R35" s="1"/>
    </row>
    <row r="36">
      <c r="A36" s="22"/>
      <c r="B36" s="22"/>
      <c r="C36" s="22"/>
      <c r="D36" s="22"/>
      <c r="E36" s="22"/>
      <c r="F36" s="22"/>
      <c r="G36" s="22"/>
      <c r="H36" s="22"/>
      <c r="I36" s="23"/>
      <c r="J36" s="1"/>
      <c r="K36" s="1"/>
      <c r="L36" s="1"/>
      <c r="M36" s="1"/>
      <c r="N36" s="1"/>
      <c r="O36" s="1"/>
      <c r="P36" s="1"/>
      <c r="Q36" s="1"/>
      <c r="R36" s="1"/>
    </row>
    <row r="37">
      <c r="A37" s="22"/>
      <c r="B37" s="22"/>
      <c r="C37" s="22"/>
      <c r="D37" s="22"/>
      <c r="E37" s="22"/>
      <c r="F37" s="22"/>
      <c r="G37" s="22"/>
      <c r="H37" s="22"/>
      <c r="I37" s="23"/>
      <c r="J37" s="1"/>
      <c r="K37" s="1"/>
      <c r="L37" s="1"/>
      <c r="M37" s="1"/>
      <c r="N37" s="1"/>
      <c r="O37" s="1"/>
      <c r="P37" s="1"/>
      <c r="Q37" s="1"/>
      <c r="R37" s="1"/>
    </row>
    <row r="38">
      <c r="A38" s="22"/>
      <c r="B38" s="22"/>
      <c r="C38" s="22"/>
      <c r="D38" s="22"/>
      <c r="E38" s="22"/>
      <c r="F38" s="22"/>
      <c r="G38" s="22"/>
      <c r="H38" s="22"/>
      <c r="I38" s="23"/>
      <c r="J38" s="1"/>
      <c r="K38" s="1"/>
      <c r="L38" s="1"/>
      <c r="M38" s="1"/>
      <c r="N38" s="1"/>
      <c r="O38" s="1"/>
      <c r="P38" s="1"/>
      <c r="Q38" s="1"/>
      <c r="R38" s="1"/>
    </row>
    <row r="39">
      <c r="A39" s="22"/>
      <c r="B39" s="22"/>
      <c r="C39" s="22"/>
      <c r="D39" s="22"/>
      <c r="E39" s="22"/>
      <c r="F39" s="22"/>
      <c r="G39" s="22"/>
      <c r="H39" s="22"/>
      <c r="I39" s="23"/>
      <c r="J39" s="1"/>
      <c r="K39" s="1"/>
      <c r="L39" s="1"/>
      <c r="M39" s="1"/>
      <c r="N39" s="1"/>
      <c r="O39" s="1"/>
      <c r="P39" s="1"/>
      <c r="Q39" s="1"/>
      <c r="R39" s="1"/>
    </row>
    <row r="40">
      <c r="A40" s="22"/>
      <c r="B40" s="22"/>
      <c r="C40" s="22"/>
      <c r="D40" s="22"/>
      <c r="E40" s="22"/>
      <c r="F40" s="22"/>
      <c r="G40" s="22"/>
      <c r="H40" s="22"/>
      <c r="I40" s="23"/>
      <c r="J40" s="1"/>
      <c r="K40" s="1"/>
      <c r="L40" s="1"/>
      <c r="M40" s="1"/>
      <c r="N40" s="1"/>
      <c r="O40" s="1"/>
      <c r="P40" s="1"/>
      <c r="Q40" s="1"/>
      <c r="R40" s="1"/>
    </row>
    <row r="41">
      <c r="A41" s="22"/>
      <c r="B41" s="22"/>
      <c r="C41" s="22"/>
      <c r="D41" s="22"/>
      <c r="E41" s="22"/>
      <c r="F41" s="22"/>
      <c r="G41" s="22"/>
      <c r="H41" s="22"/>
      <c r="I41" s="23"/>
      <c r="J41" s="1"/>
      <c r="K41" s="1"/>
      <c r="L41" s="1"/>
      <c r="M41" s="1"/>
      <c r="N41" s="1"/>
      <c r="O41" s="1"/>
      <c r="P41" s="1"/>
      <c r="Q41" s="1"/>
      <c r="R41" s="1"/>
    </row>
    <row r="42">
      <c r="A42" s="22"/>
      <c r="B42" s="22"/>
      <c r="C42" s="22"/>
      <c r="D42" s="22"/>
      <c r="E42" s="22"/>
      <c r="F42" s="22"/>
      <c r="G42" s="22"/>
      <c r="H42" s="22"/>
      <c r="I42" s="23"/>
      <c r="J42" s="1"/>
      <c r="K42" s="1"/>
      <c r="L42" s="1"/>
      <c r="M42" s="1"/>
      <c r="N42" s="1"/>
      <c r="O42" s="1"/>
      <c r="P42" s="1"/>
      <c r="Q42" s="1"/>
      <c r="R42" s="1"/>
    </row>
    <row r="43">
      <c r="A43" s="22"/>
      <c r="B43" s="22"/>
      <c r="C43" s="22"/>
      <c r="D43" s="22"/>
      <c r="E43" s="22"/>
      <c r="F43" s="22"/>
      <c r="G43" s="22"/>
      <c r="H43" s="22"/>
      <c r="I43" s="23"/>
      <c r="J43" s="1"/>
      <c r="K43" s="1"/>
      <c r="L43" s="1"/>
      <c r="M43" s="1"/>
      <c r="N43" s="1"/>
      <c r="O43" s="1"/>
      <c r="P43" s="1"/>
      <c r="Q43" s="1"/>
      <c r="R43" s="1"/>
    </row>
    <row r="44">
      <c r="A44" s="22"/>
      <c r="B44" s="22"/>
      <c r="C44" s="22"/>
      <c r="D44" s="22"/>
      <c r="E44" s="22"/>
      <c r="F44" s="22"/>
      <c r="G44" s="22"/>
      <c r="H44" s="22"/>
      <c r="I44" s="23"/>
      <c r="J44" s="1"/>
      <c r="K44" s="1"/>
      <c r="L44" s="1"/>
      <c r="M44" s="1"/>
      <c r="N44" s="1"/>
      <c r="O44" s="1"/>
      <c r="P44" s="1"/>
      <c r="Q44" s="1"/>
      <c r="R44" s="1"/>
    </row>
    <row r="45">
      <c r="A45" s="22"/>
      <c r="B45" s="22"/>
      <c r="C45" s="22"/>
      <c r="D45" s="22"/>
      <c r="E45" s="22"/>
      <c r="F45" s="22"/>
      <c r="G45" s="22"/>
      <c r="H45" s="22"/>
      <c r="I45" s="23"/>
      <c r="J45" s="1"/>
      <c r="K45" s="1"/>
      <c r="L45" s="1"/>
      <c r="M45" s="1"/>
      <c r="N45" s="1"/>
      <c r="O45" s="1"/>
      <c r="P45" s="1"/>
      <c r="Q45" s="1"/>
      <c r="R45" s="1"/>
    </row>
    <row r="46">
      <c r="A46" s="22"/>
      <c r="B46" s="22"/>
      <c r="C46" s="22"/>
      <c r="D46" s="22"/>
      <c r="E46" s="22"/>
      <c r="F46" s="22"/>
      <c r="G46" s="22"/>
      <c r="H46" s="22"/>
      <c r="I46" s="23"/>
      <c r="J46" s="1"/>
      <c r="K46" s="1"/>
      <c r="L46" s="1"/>
      <c r="M46" s="1"/>
      <c r="N46" s="1"/>
      <c r="O46" s="1"/>
      <c r="P46" s="1"/>
      <c r="Q46" s="1"/>
      <c r="R46" s="1"/>
    </row>
    <row r="47">
      <c r="A47" s="22"/>
      <c r="B47" s="22"/>
      <c r="C47" s="22"/>
      <c r="D47" s="22"/>
      <c r="E47" s="22"/>
      <c r="F47" s="22"/>
      <c r="G47" s="22"/>
      <c r="H47" s="22"/>
      <c r="I47" s="23"/>
      <c r="J47" s="1"/>
      <c r="K47" s="1"/>
      <c r="L47" s="1"/>
      <c r="M47" s="1"/>
      <c r="N47" s="1"/>
      <c r="O47" s="1"/>
      <c r="P47" s="1"/>
      <c r="Q47" s="1"/>
      <c r="R47" s="1"/>
    </row>
    <row r="48">
      <c r="A48" s="22"/>
      <c r="B48" s="22"/>
      <c r="C48" s="22"/>
      <c r="D48" s="22"/>
      <c r="E48" s="22"/>
      <c r="F48" s="22"/>
      <c r="G48" s="22"/>
      <c r="H48" s="22"/>
      <c r="I48" s="23"/>
      <c r="J48" s="1"/>
      <c r="K48" s="1"/>
      <c r="L48" s="1"/>
      <c r="M48" s="1"/>
      <c r="N48" s="1"/>
      <c r="O48" s="1"/>
      <c r="P48" s="1"/>
      <c r="Q48" s="1"/>
      <c r="R48" s="1"/>
    </row>
    <row r="49">
      <c r="A49" s="22"/>
      <c r="B49" s="22"/>
      <c r="C49" s="22"/>
      <c r="D49" s="22"/>
      <c r="E49" s="22"/>
      <c r="F49" s="22"/>
      <c r="G49" s="22"/>
      <c r="H49" s="22"/>
      <c r="I49" s="23"/>
      <c r="J49" s="1"/>
      <c r="K49" s="1"/>
      <c r="L49" s="1"/>
      <c r="M49" s="1"/>
      <c r="N49" s="1"/>
      <c r="O49" s="1"/>
      <c r="P49" s="1"/>
      <c r="Q49" s="1"/>
      <c r="R49" s="1"/>
    </row>
    <row r="50">
      <c r="A50" s="22"/>
      <c r="B50" s="22"/>
      <c r="C50" s="22"/>
      <c r="D50" s="22"/>
      <c r="E50" s="22"/>
      <c r="F50" s="22"/>
      <c r="G50" s="22"/>
      <c r="H50" s="22"/>
      <c r="I50" s="23"/>
      <c r="J50" s="1"/>
      <c r="K50" s="1"/>
      <c r="L50" s="1"/>
      <c r="M50" s="1"/>
      <c r="N50" s="1"/>
      <c r="O50" s="1"/>
      <c r="P50" s="1"/>
      <c r="Q50" s="1"/>
      <c r="R50" s="1"/>
    </row>
    <row r="51">
      <c r="A51" s="22"/>
      <c r="B51" s="22"/>
      <c r="C51" s="22"/>
      <c r="D51" s="22"/>
      <c r="E51" s="22"/>
      <c r="F51" s="22"/>
      <c r="G51" s="22"/>
      <c r="H51" s="22"/>
      <c r="I51" s="23"/>
      <c r="J51" s="1"/>
      <c r="K51" s="1"/>
      <c r="L51" s="1"/>
      <c r="M51" s="1"/>
      <c r="N51" s="1"/>
      <c r="O51" s="1"/>
      <c r="P51" s="1"/>
      <c r="Q51" s="1"/>
      <c r="R51" s="1"/>
    </row>
    <row r="52">
      <c r="A52" s="22"/>
      <c r="B52" s="22"/>
      <c r="C52" s="22"/>
      <c r="D52" s="22"/>
      <c r="E52" s="22"/>
      <c r="F52" s="22"/>
      <c r="G52" s="22"/>
      <c r="H52" s="22"/>
      <c r="I52" s="23"/>
      <c r="J52" s="1"/>
      <c r="K52" s="1"/>
      <c r="L52" s="1"/>
      <c r="M52" s="1"/>
      <c r="N52" s="1"/>
      <c r="O52" s="1"/>
      <c r="P52" s="1"/>
      <c r="Q52" s="1"/>
      <c r="R52" s="1"/>
    </row>
    <row r="53">
      <c r="A53" s="22"/>
      <c r="B53" s="22"/>
      <c r="C53" s="22"/>
      <c r="D53" s="22"/>
      <c r="E53" s="22"/>
      <c r="F53" s="22"/>
      <c r="G53" s="22"/>
      <c r="H53" s="22"/>
      <c r="I53" s="23"/>
      <c r="J53" s="1"/>
      <c r="K53" s="1"/>
      <c r="L53" s="1"/>
      <c r="M53" s="1"/>
      <c r="N53" s="1"/>
      <c r="O53" s="1"/>
      <c r="P53" s="1"/>
      <c r="Q53" s="1"/>
      <c r="R53" s="1"/>
    </row>
    <row r="54">
      <c r="A54" s="22"/>
      <c r="B54" s="22"/>
      <c r="C54" s="22"/>
      <c r="D54" s="22"/>
      <c r="E54" s="22"/>
      <c r="F54" s="22"/>
      <c r="G54" s="22"/>
      <c r="H54" s="22"/>
      <c r="I54" s="23"/>
      <c r="J54" s="1"/>
      <c r="K54" s="1"/>
      <c r="L54" s="1"/>
      <c r="M54" s="1"/>
      <c r="N54" s="1"/>
      <c r="O54" s="1"/>
      <c r="P54" s="1"/>
      <c r="Q54" s="1"/>
      <c r="R54" s="1"/>
    </row>
    <row r="55">
      <c r="A55" s="22"/>
      <c r="B55" s="22"/>
      <c r="C55" s="22"/>
      <c r="D55" s="22"/>
      <c r="E55" s="22"/>
      <c r="F55" s="22"/>
      <c r="G55" s="22"/>
      <c r="H55" s="22"/>
      <c r="I55" s="23"/>
      <c r="J55" s="1"/>
      <c r="K55" s="1"/>
      <c r="L55" s="1"/>
      <c r="M55" s="1"/>
      <c r="N55" s="1"/>
      <c r="O55" s="1"/>
      <c r="P55" s="1"/>
      <c r="Q55" s="1"/>
      <c r="R55" s="1"/>
    </row>
    <row r="56">
      <c r="A56" s="22"/>
      <c r="B56" s="22"/>
      <c r="C56" s="22"/>
      <c r="D56" s="22"/>
      <c r="E56" s="22"/>
      <c r="F56" s="22"/>
      <c r="G56" s="22"/>
      <c r="H56" s="22"/>
      <c r="I56" s="23"/>
      <c r="J56" s="1"/>
      <c r="K56" s="1"/>
      <c r="L56" s="1"/>
      <c r="M56" s="1"/>
      <c r="N56" s="1"/>
      <c r="O56" s="1"/>
      <c r="P56" s="1"/>
      <c r="Q56" s="1"/>
      <c r="R56" s="1"/>
    </row>
    <row r="57">
      <c r="A57" s="22"/>
      <c r="B57" s="22"/>
      <c r="C57" s="22"/>
      <c r="D57" s="22"/>
      <c r="E57" s="22"/>
      <c r="F57" s="22"/>
      <c r="G57" s="22"/>
      <c r="H57" s="22"/>
      <c r="I57" s="23"/>
      <c r="J57" s="1"/>
      <c r="K57" s="1"/>
      <c r="L57" s="1"/>
      <c r="M57" s="1"/>
      <c r="N57" s="1"/>
      <c r="O57" s="1"/>
      <c r="P57" s="1"/>
      <c r="Q57" s="1"/>
      <c r="R57" s="1"/>
    </row>
    <row r="58">
      <c r="A58" s="22"/>
      <c r="B58" s="22"/>
      <c r="C58" s="22"/>
      <c r="D58" s="22"/>
      <c r="E58" s="22"/>
      <c r="F58" s="22"/>
      <c r="G58" s="22"/>
      <c r="H58" s="22"/>
      <c r="I58" s="23"/>
      <c r="J58" s="1"/>
      <c r="K58" s="1"/>
      <c r="L58" s="1"/>
      <c r="M58" s="1"/>
      <c r="N58" s="1"/>
      <c r="O58" s="1"/>
      <c r="P58" s="1"/>
      <c r="Q58" s="1"/>
      <c r="R58" s="1"/>
    </row>
    <row r="59">
      <c r="A59" s="22"/>
      <c r="B59" s="22"/>
      <c r="C59" s="22"/>
      <c r="D59" s="22"/>
      <c r="E59" s="22"/>
      <c r="F59" s="22"/>
      <c r="G59" s="22"/>
      <c r="H59" s="22"/>
      <c r="I59" s="23"/>
      <c r="J59" s="1"/>
      <c r="K59" s="1"/>
      <c r="L59" s="1"/>
      <c r="M59" s="1"/>
      <c r="N59" s="1"/>
      <c r="O59" s="1"/>
      <c r="P59" s="1"/>
      <c r="Q59" s="1"/>
      <c r="R59" s="1"/>
    </row>
    <row r="60">
      <c r="A60" s="22"/>
      <c r="B60" s="22"/>
      <c r="C60" s="22"/>
      <c r="D60" s="22"/>
      <c r="E60" s="22"/>
      <c r="F60" s="22"/>
      <c r="G60" s="22"/>
      <c r="H60" s="22"/>
      <c r="I60" s="23"/>
      <c r="J60" s="1"/>
      <c r="K60" s="1"/>
      <c r="L60" s="1"/>
      <c r="M60" s="1"/>
      <c r="N60" s="1"/>
      <c r="O60" s="1"/>
      <c r="P60" s="1"/>
      <c r="Q60" s="1"/>
      <c r="R60" s="1"/>
    </row>
    <row r="61">
      <c r="A61" s="22"/>
      <c r="B61" s="22"/>
      <c r="C61" s="22"/>
      <c r="D61" s="22"/>
      <c r="E61" s="22"/>
      <c r="F61" s="22"/>
      <c r="G61" s="22"/>
      <c r="H61" s="22"/>
      <c r="I61" s="23"/>
      <c r="J61" s="1"/>
      <c r="K61" s="1"/>
      <c r="L61" s="1"/>
      <c r="M61" s="1"/>
      <c r="N61" s="1"/>
      <c r="O61" s="1"/>
      <c r="P61" s="1"/>
      <c r="Q61" s="1"/>
      <c r="R61" s="1"/>
    </row>
  </sheetData>
  <dataValidations>
    <dataValidation type="list" allowBlank="1" showErrorMessage="1" sqref="O2:O61">
      <formula1>"Virtual session,In person,Phone call,Not interested at the moment,Aready Finished"</formula1>
    </dataValidation>
    <dataValidation type="list" allowBlank="1" showErrorMessage="1" sqref="L2:L61">
      <formula1>"Immediately ,Later Today,This Week,Not interested anymore,Aready Finished"</formula1>
    </dataValidation>
    <dataValidation type="list" allowBlank="1" showErrorMessage="1" sqref="H2:H61">
      <formula1>"Data Analytics,Pro Dev,Front-end,Back-end,AWS ,Salesforce,AiCE,Pathway,virtual assistant,Data Science,Content Creation"</formula1>
    </dataValidation>
    <dataValidation type="list" allowBlank="1" showErrorMessage="1" sqref="I2:I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J2:J61 M2:M61 Q2:Q61">
      <formula1>"YES,NO"</formula1>
    </dataValidation>
    <dataValidation type="list" allowBlank="1" showErrorMessage="1" sqref="P2:P61">
      <formula1>"Wednesday,Friday,Won't Attend,Done,Today"</formula1>
    </dataValidation>
    <dataValidation type="list" allowBlank="1" showErrorMessage="1" sqref="R2:R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