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C10" sheetId="1" r:id="rId4"/>
    <sheet state="visible" name="DS C6" sheetId="2" r:id="rId5"/>
    <sheet state="visible" name="Tsedi" sheetId="3" r:id="rId6"/>
    <sheet state="visible" name="Yoseph" sheetId="4" r:id="rId7"/>
    <sheet state="visible" name="Dagmawi" sheetId="5" r:id="rId8"/>
    <sheet state="visible" name="Girum" sheetId="6" r:id="rId9"/>
    <sheet state="hidden" name="Sheet1" sheetId="7" r:id="rId10"/>
  </sheets>
  <definedNames/>
  <calcPr/>
</workbook>
</file>

<file path=xl/sharedStrings.xml><?xml version="1.0" encoding="utf-8"?>
<sst xmlns="http://schemas.openxmlformats.org/spreadsheetml/2006/main" count="4698" uniqueCount="1761">
  <si>
    <t>email</t>
  </si>
  <si>
    <t>first name</t>
  </si>
  <si>
    <t>last name</t>
  </si>
  <si>
    <t>phone</t>
  </si>
  <si>
    <t>status</t>
  </si>
  <si>
    <t>current step</t>
  </si>
  <si>
    <t>mecrymulugeta@gmail.com</t>
  </si>
  <si>
    <t>Arsema</t>
  </si>
  <si>
    <t>Arage</t>
  </si>
  <si>
    <t>+251913091983</t>
  </si>
  <si>
    <t>in progress</t>
  </si>
  <si>
    <t>Qualification</t>
  </si>
  <si>
    <t>dumaraduwe7094@gmail.com</t>
  </si>
  <si>
    <t>Dumara</t>
  </si>
  <si>
    <t>Duwe</t>
  </si>
  <si>
    <t>+251946034518</t>
  </si>
  <si>
    <t>abemak556@gmail.com</t>
  </si>
  <si>
    <t>Abebe</t>
  </si>
  <si>
    <t>Mekonen</t>
  </si>
  <si>
    <t>+251923125041</t>
  </si>
  <si>
    <t>addis.molla66@gmail.com</t>
  </si>
  <si>
    <t>ADDIS</t>
  </si>
  <si>
    <t>MASSEBO</t>
  </si>
  <si>
    <t>+251911390489</t>
  </si>
  <si>
    <t>Application Consent and Agreement</t>
  </si>
  <si>
    <t>nuretofik3@gmail.com</t>
  </si>
  <si>
    <t>Nure</t>
  </si>
  <si>
    <t>Tofik</t>
  </si>
  <si>
    <t>+251921271000</t>
  </si>
  <si>
    <t>Program Overview</t>
  </si>
  <si>
    <t>ribkaberhane7@gmail.com</t>
  </si>
  <si>
    <t>Ribka</t>
  </si>
  <si>
    <t>Berhane</t>
  </si>
  <si>
    <t>+251985222886</t>
  </si>
  <si>
    <t>Start Your Registration</t>
  </si>
  <si>
    <t>rasteddy0@gmail.com</t>
  </si>
  <si>
    <t>Tewodros</t>
  </si>
  <si>
    <t>Terefe</t>
  </si>
  <si>
    <t>+251929230572</t>
  </si>
  <si>
    <t>tamiratbezabih84@gmail.com</t>
  </si>
  <si>
    <t>TAMIRAT</t>
  </si>
  <si>
    <t>GETAHUN</t>
  </si>
  <si>
    <t>+251904416947</t>
  </si>
  <si>
    <t>amenhaji3@gmail.com</t>
  </si>
  <si>
    <t>Amen</t>
  </si>
  <si>
    <t>Bekeli</t>
  </si>
  <si>
    <t>+251911744413</t>
  </si>
  <si>
    <t>hamermekuanenet@gmail.com</t>
  </si>
  <si>
    <t>Hamer</t>
  </si>
  <si>
    <t>Mekuanenet</t>
  </si>
  <si>
    <t>+251913139790</t>
  </si>
  <si>
    <t>Personal Information</t>
  </si>
  <si>
    <t>meronberhanu1605@gmail.com</t>
  </si>
  <si>
    <t>Meron Berhanu</t>
  </si>
  <si>
    <t>Adugna</t>
  </si>
  <si>
    <t>+251715566171</t>
  </si>
  <si>
    <t>abduendris5196@gmail.com</t>
  </si>
  <si>
    <t>abdu</t>
  </si>
  <si>
    <t>endris</t>
  </si>
  <si>
    <t>+251951960920</t>
  </si>
  <si>
    <t>ethiopingpong@gmail.com</t>
  </si>
  <si>
    <t>Daniel Tadesse</t>
  </si>
  <si>
    <t>Beyene</t>
  </si>
  <si>
    <t>+251946656428</t>
  </si>
  <si>
    <t>mesayassefa95@gmail.com</t>
  </si>
  <si>
    <t>Mesay Assefa</t>
  </si>
  <si>
    <t>Bogale</t>
  </si>
  <si>
    <t>+251912650041</t>
  </si>
  <si>
    <t>paulgeremew4@gmail.com</t>
  </si>
  <si>
    <t>Paulos</t>
  </si>
  <si>
    <t>Geremew</t>
  </si>
  <si>
    <t>+251985278065</t>
  </si>
  <si>
    <t>abiyeasaye@gmail.com</t>
  </si>
  <si>
    <t>Abiye</t>
  </si>
  <si>
    <t>Kassa</t>
  </si>
  <si>
    <t>+79992086318</t>
  </si>
  <si>
    <t>afeworkteklu@gmail.com</t>
  </si>
  <si>
    <t>Afework</t>
  </si>
  <si>
    <t>Betemariam</t>
  </si>
  <si>
    <t>+251915762768</t>
  </si>
  <si>
    <t>yeabsiradaniel86@gmail.com</t>
  </si>
  <si>
    <t>Yeabsira</t>
  </si>
  <si>
    <t>Daniel</t>
  </si>
  <si>
    <t>+251955382289</t>
  </si>
  <si>
    <t>yohannesteshome82@gmail.com</t>
  </si>
  <si>
    <t>Yohannes</t>
  </si>
  <si>
    <t>+251913047638</t>
  </si>
  <si>
    <t>mebre58@gmail.com</t>
  </si>
  <si>
    <t>Mebratu</t>
  </si>
  <si>
    <t>Kebere</t>
  </si>
  <si>
    <t>+251919444358</t>
  </si>
  <si>
    <t>abiyotgebre05@gmail.com</t>
  </si>
  <si>
    <t>Abiyot</t>
  </si>
  <si>
    <t>Hailemariam</t>
  </si>
  <si>
    <t>+251912061008</t>
  </si>
  <si>
    <t>Diversity &amp; Inclusion</t>
  </si>
  <si>
    <t>baretokoo@gmail.com</t>
  </si>
  <si>
    <t>Roba</t>
  </si>
  <si>
    <t>Gada</t>
  </si>
  <si>
    <t>+251911798438</t>
  </si>
  <si>
    <t>deboramekurya@gmail.com</t>
  </si>
  <si>
    <t>Debora</t>
  </si>
  <si>
    <t>Mekurya</t>
  </si>
  <si>
    <t>+251983913538</t>
  </si>
  <si>
    <t>hannaasmamaw101@gmail.com</t>
  </si>
  <si>
    <t>Hanna</t>
  </si>
  <si>
    <t>Mulualem</t>
  </si>
  <si>
    <t>+251923216469</t>
  </si>
  <si>
    <t>tibebutesema66@gmail.com</t>
  </si>
  <si>
    <t>Amsalu</t>
  </si>
  <si>
    <t>Desta</t>
  </si>
  <si>
    <t>+251907491499</t>
  </si>
  <si>
    <t>saronhadish84@gmail.com</t>
  </si>
  <si>
    <t>Saron</t>
  </si>
  <si>
    <t>Hadish</t>
  </si>
  <si>
    <t>+251900030925</t>
  </si>
  <si>
    <t>zionalemu4020@gmail.com</t>
  </si>
  <si>
    <t>Tsion</t>
  </si>
  <si>
    <t>+251942559031</t>
  </si>
  <si>
    <t>dawittsion45@gmail.com</t>
  </si>
  <si>
    <t>Dawit</t>
  </si>
  <si>
    <t>+251987070964</t>
  </si>
  <si>
    <t>biniyam.yr@gmail.com</t>
  </si>
  <si>
    <t>Biniyam</t>
  </si>
  <si>
    <t>Assefa</t>
  </si>
  <si>
    <t>+251936895184</t>
  </si>
  <si>
    <t>yosephtesfaye10@gmail.com</t>
  </si>
  <si>
    <t>yoseph</t>
  </si>
  <si>
    <t>Tesfaye</t>
  </si>
  <si>
    <t>+251947952388</t>
  </si>
  <si>
    <t>hairaer02@gmail.com</t>
  </si>
  <si>
    <t>samrawit</t>
  </si>
  <si>
    <t>ayalew</t>
  </si>
  <si>
    <t>+251922787213</t>
  </si>
  <si>
    <t>Humanitarian Status</t>
  </si>
  <si>
    <t>mukemil.rahmeto-ug@aau.edu.et</t>
  </si>
  <si>
    <t>Mukemil</t>
  </si>
  <si>
    <t>Esa</t>
  </si>
  <si>
    <t>aschalewankea505@gmail.com</t>
  </si>
  <si>
    <t>Aschalew</t>
  </si>
  <si>
    <t>Mudea</t>
  </si>
  <si>
    <t>+251902466319</t>
  </si>
  <si>
    <t>eliaseshete94@gmail.com</t>
  </si>
  <si>
    <t>Elias</t>
  </si>
  <si>
    <t>Negussie</t>
  </si>
  <si>
    <t>+251922958931</t>
  </si>
  <si>
    <t>abdulkerimsheferaw@gmail.com</t>
  </si>
  <si>
    <t>Abdulkerim</t>
  </si>
  <si>
    <t>Seid</t>
  </si>
  <si>
    <t>+251962627938</t>
  </si>
  <si>
    <t>dejendemeke57@gmail.com</t>
  </si>
  <si>
    <t>Dejen</t>
  </si>
  <si>
    <t>Tibiti</t>
  </si>
  <si>
    <t>+251933262424</t>
  </si>
  <si>
    <t>metiassefa4@gmail.com</t>
  </si>
  <si>
    <t>Meti</t>
  </si>
  <si>
    <t>+251953385931</t>
  </si>
  <si>
    <t>abenezerhailu25@gmail.com</t>
  </si>
  <si>
    <t>Abenezer</t>
  </si>
  <si>
    <t>Hailu</t>
  </si>
  <si>
    <t>+251960859422</t>
  </si>
  <si>
    <t>abraham.k1710@gmail.com</t>
  </si>
  <si>
    <t>Abraham</t>
  </si>
  <si>
    <t>Korsa</t>
  </si>
  <si>
    <t>+251945776678</t>
  </si>
  <si>
    <t>endalebam@gmail.com</t>
  </si>
  <si>
    <t>Beamlak</t>
  </si>
  <si>
    <t>Gorfu</t>
  </si>
  <si>
    <t>+251993488008</t>
  </si>
  <si>
    <t>heavengudina09@gmail.com</t>
  </si>
  <si>
    <t>Heaven</t>
  </si>
  <si>
    <t>Gudina</t>
  </si>
  <si>
    <t>+251910872274</t>
  </si>
  <si>
    <t>kidanetafa2021@gmail.com</t>
  </si>
  <si>
    <t>Kidane</t>
  </si>
  <si>
    <t>Tola</t>
  </si>
  <si>
    <t>+251919998801</t>
  </si>
  <si>
    <t>axmed5961@gmail.com</t>
  </si>
  <si>
    <t>Ahmed Wali</t>
  </si>
  <si>
    <t>Abdi</t>
  </si>
  <si>
    <t>+251966124203</t>
  </si>
  <si>
    <t>kebrongizachew@gmail.com</t>
  </si>
  <si>
    <t>Kebron</t>
  </si>
  <si>
    <t>Eshete</t>
  </si>
  <si>
    <t>+251911671865</t>
  </si>
  <si>
    <t>wondalegetachew91@gmail.com</t>
  </si>
  <si>
    <t>WONDALE</t>
  </si>
  <si>
    <t>Minuye</t>
  </si>
  <si>
    <t>nathanimberhanudechasa@gmail.com</t>
  </si>
  <si>
    <t>Nathanim</t>
  </si>
  <si>
    <t>Dechasa</t>
  </si>
  <si>
    <t>+251975700929</t>
  </si>
  <si>
    <t>medhanitareb9@gmail.com</t>
  </si>
  <si>
    <t>Medhanit</t>
  </si>
  <si>
    <t>Hedir</t>
  </si>
  <si>
    <t>+251944254371</t>
  </si>
  <si>
    <t>abenimathi62@gmail.com</t>
  </si>
  <si>
    <t>Godebo</t>
  </si>
  <si>
    <t>+251091562004</t>
  </si>
  <si>
    <t>kibrommichael703@gmail.com</t>
  </si>
  <si>
    <t>Michael kibrom</t>
  </si>
  <si>
    <t>Mehari</t>
  </si>
  <si>
    <t>+251991679931</t>
  </si>
  <si>
    <t>balewtena21@gmail.com</t>
  </si>
  <si>
    <t>Esubalew</t>
  </si>
  <si>
    <t>Tena</t>
  </si>
  <si>
    <t>yordanosfasil25@gmail.com</t>
  </si>
  <si>
    <t>YORDANOS</t>
  </si>
  <si>
    <t>FASIL</t>
  </si>
  <si>
    <t>+251947405327</t>
  </si>
  <si>
    <t>yakobbeyene337371@gmail.com</t>
  </si>
  <si>
    <t>Yakob</t>
  </si>
  <si>
    <t>+251933737196</t>
  </si>
  <si>
    <t>rahelketema494@gmail.com</t>
  </si>
  <si>
    <t>Rahel</t>
  </si>
  <si>
    <t>Ketema</t>
  </si>
  <si>
    <t>+251944355358</t>
  </si>
  <si>
    <t>girmalidya03@gmail.com</t>
  </si>
  <si>
    <t>Lidya</t>
  </si>
  <si>
    <t>Girma</t>
  </si>
  <si>
    <t>+251965670285</t>
  </si>
  <si>
    <t>esubalewteshome349@gmail.com</t>
  </si>
  <si>
    <t>Kasa</t>
  </si>
  <si>
    <t>+251935049349</t>
  </si>
  <si>
    <t>kaleabtsegaw@gmail.com</t>
  </si>
  <si>
    <t>Kaleab</t>
  </si>
  <si>
    <t>getachew</t>
  </si>
  <si>
    <t>+251951766068</t>
  </si>
  <si>
    <t>mame@dafis.com</t>
  </si>
  <si>
    <t>Mahammadsafi</t>
  </si>
  <si>
    <t>Hasan</t>
  </si>
  <si>
    <t>+251903567074</t>
  </si>
  <si>
    <t>dagimhailu27@gmail.com</t>
  </si>
  <si>
    <t>Dagim</t>
  </si>
  <si>
    <t>Hurisa</t>
  </si>
  <si>
    <t>+251910464677</t>
  </si>
  <si>
    <t>teme80256@gmail.com</t>
  </si>
  <si>
    <t>Temesgen</t>
  </si>
  <si>
    <t>Golo</t>
  </si>
  <si>
    <t>+251916700103</t>
  </si>
  <si>
    <t>mulugetarahel440@gmail.com</t>
  </si>
  <si>
    <t>Mulugeta</t>
  </si>
  <si>
    <t>+251942419336</t>
  </si>
  <si>
    <t>betelhem08@gmail.com</t>
  </si>
  <si>
    <t>betelhem</t>
  </si>
  <si>
    <t>kebede</t>
  </si>
  <si>
    <t>+251939785378</t>
  </si>
  <si>
    <t>yineger.wondwosen@gmail.com</t>
  </si>
  <si>
    <t>WONDWOSEN</t>
  </si>
  <si>
    <t>TARIKU</t>
  </si>
  <si>
    <t>+251911390990</t>
  </si>
  <si>
    <t>henok_legesse@yahoo.com</t>
  </si>
  <si>
    <t>Henok</t>
  </si>
  <si>
    <t>Legesse</t>
  </si>
  <si>
    <t>+251921646772</t>
  </si>
  <si>
    <t>bamlakalex00@gmail.com</t>
  </si>
  <si>
    <t>Bamlak</t>
  </si>
  <si>
    <t>Biset</t>
  </si>
  <si>
    <t>+251936829670</t>
  </si>
  <si>
    <t>jobani8265@gmail.com</t>
  </si>
  <si>
    <t>EYOB TESFAYE</t>
  </si>
  <si>
    <t>CHANE</t>
  </si>
  <si>
    <t>+251982650805</t>
  </si>
  <si>
    <t>abel36605@gmail.com</t>
  </si>
  <si>
    <t>Abel</t>
  </si>
  <si>
    <t>+251938231571</t>
  </si>
  <si>
    <t>temesgenabate29@gmail.com</t>
  </si>
  <si>
    <t>Lulye</t>
  </si>
  <si>
    <t>+251919978269</t>
  </si>
  <si>
    <t>habtamubethel@gmail.com</t>
  </si>
  <si>
    <t>Bethel</t>
  </si>
  <si>
    <t>Habtamu</t>
  </si>
  <si>
    <t>+251923027213</t>
  </si>
  <si>
    <t>ifreina4@gmail.com</t>
  </si>
  <si>
    <t>Iftu</t>
  </si>
  <si>
    <t>Chala</t>
  </si>
  <si>
    <t>+251906849409</t>
  </si>
  <si>
    <t>ayalkibetmikru4906@gmail.com</t>
  </si>
  <si>
    <t>Ayalkibet</t>
  </si>
  <si>
    <t>Tarekegn</t>
  </si>
  <si>
    <t>+251942032716</t>
  </si>
  <si>
    <t>abdoeman1216@gmail.con</t>
  </si>
  <si>
    <t>Eman</t>
  </si>
  <si>
    <t>Abdo</t>
  </si>
  <si>
    <t>+251900680809</t>
  </si>
  <si>
    <t>rahelfisaha7@gmail.com</t>
  </si>
  <si>
    <t>Fisaha</t>
  </si>
  <si>
    <t>+251984022740</t>
  </si>
  <si>
    <t>passed</t>
  </si>
  <si>
    <t>bayisagebeyehu765@gmail.com</t>
  </si>
  <si>
    <t>Bayisa</t>
  </si>
  <si>
    <t>Gebeyehu</t>
  </si>
  <si>
    <t>+251932040738</t>
  </si>
  <si>
    <t>samikoomul@gmail.com</t>
  </si>
  <si>
    <t>SAMUEL</t>
  </si>
  <si>
    <t>TEFERI</t>
  </si>
  <si>
    <t>+251936923156</t>
  </si>
  <si>
    <t>lidyaamare76@gmail.com</t>
  </si>
  <si>
    <t>Asfaw</t>
  </si>
  <si>
    <t>+251707542600</t>
  </si>
  <si>
    <t>getchget1921@gmail.com</t>
  </si>
  <si>
    <t>Getachew</t>
  </si>
  <si>
    <t>Getahun</t>
  </si>
  <si>
    <t>+251923728978</t>
  </si>
  <si>
    <t>abebawlast@gmail.com</t>
  </si>
  <si>
    <t>Abebayehu</t>
  </si>
  <si>
    <t>Alem</t>
  </si>
  <si>
    <t>+251963302664</t>
  </si>
  <si>
    <t>kasayemoges721@gmail.com</t>
  </si>
  <si>
    <t>Moges</t>
  </si>
  <si>
    <t>Kasaye</t>
  </si>
  <si>
    <t>+251988602077</t>
  </si>
  <si>
    <t>shelemaaberageneti@gmail.com</t>
  </si>
  <si>
    <t>shelema</t>
  </si>
  <si>
    <t>Geneti</t>
  </si>
  <si>
    <t>+251913482900</t>
  </si>
  <si>
    <t>hermonbisrat22@gmail.com</t>
  </si>
  <si>
    <t>HERMON</t>
  </si>
  <si>
    <t>BISRAT</t>
  </si>
  <si>
    <t>+251708104013</t>
  </si>
  <si>
    <t>sosinask23@gmail.com</t>
  </si>
  <si>
    <t>Sosina</t>
  </si>
  <si>
    <t>Kuru</t>
  </si>
  <si>
    <t>+251916048022</t>
  </si>
  <si>
    <t>confirmed</t>
  </si>
  <si>
    <t>betlhem46t@gmail.com</t>
  </si>
  <si>
    <t>Betlhem</t>
  </si>
  <si>
    <t>Emshaw</t>
  </si>
  <si>
    <t>+251985345700</t>
  </si>
  <si>
    <t>surrastf28@gmail.com</t>
  </si>
  <si>
    <t>Surafel</t>
  </si>
  <si>
    <t>Teshome</t>
  </si>
  <si>
    <t>+251986305697</t>
  </si>
  <si>
    <t>adeyedessa@gmail.com</t>
  </si>
  <si>
    <t>Adey</t>
  </si>
  <si>
    <t>Edessa</t>
  </si>
  <si>
    <t>+251924135820</t>
  </si>
  <si>
    <t>gudisagebi1@gmail.com</t>
  </si>
  <si>
    <t>Gudisa</t>
  </si>
  <si>
    <t>Gebi</t>
  </si>
  <si>
    <t>+251920178933</t>
  </si>
  <si>
    <t>abeni8249@gmail.com</t>
  </si>
  <si>
    <t>abenezer</t>
  </si>
  <si>
    <t>Abrha</t>
  </si>
  <si>
    <t>+251921332064</t>
  </si>
  <si>
    <t>ziongenene@gmail.com</t>
  </si>
  <si>
    <t>Genene</t>
  </si>
  <si>
    <t>+251907870620</t>
  </si>
  <si>
    <t>yeabsirashumiye@gmail.com</t>
  </si>
  <si>
    <t>Abuhay</t>
  </si>
  <si>
    <t>+251920256645</t>
  </si>
  <si>
    <t>sosibehailu4@gmail.com</t>
  </si>
  <si>
    <t>sosina</t>
  </si>
  <si>
    <t>Tefera</t>
  </si>
  <si>
    <t>+251985444750</t>
  </si>
  <si>
    <t>tsehayilkal21@gmail.com</t>
  </si>
  <si>
    <t>yilkal</t>
  </si>
  <si>
    <t>zelalem</t>
  </si>
  <si>
    <t>+251948252410</t>
  </si>
  <si>
    <t>tsedalmuluneh19@gmail.com</t>
  </si>
  <si>
    <t>Tsedal</t>
  </si>
  <si>
    <t>Muluneh</t>
  </si>
  <si>
    <t>+251922960813</t>
  </si>
  <si>
    <t>solomonbrihan215@gmail.com</t>
  </si>
  <si>
    <t>Solomon</t>
  </si>
  <si>
    <t>Birhanu</t>
  </si>
  <si>
    <t>+251988141775</t>
  </si>
  <si>
    <t>yalemyig19@gmail.com</t>
  </si>
  <si>
    <t>Yalemsew</t>
  </si>
  <si>
    <t>Agaje</t>
  </si>
  <si>
    <t>+251921280981</t>
  </si>
  <si>
    <t>girmaamanuel8@gmail.com</t>
  </si>
  <si>
    <t>Amanuel</t>
  </si>
  <si>
    <t>+251921696067</t>
  </si>
  <si>
    <t>nuhametad@gmail.com</t>
  </si>
  <si>
    <t>nuhame</t>
  </si>
  <si>
    <t>tad</t>
  </si>
  <si>
    <t>+251984415074</t>
  </si>
  <si>
    <t>saronkidanekal98@gmail.com</t>
  </si>
  <si>
    <t>saron</t>
  </si>
  <si>
    <t>kidanekal</t>
  </si>
  <si>
    <t>+251919397160</t>
  </si>
  <si>
    <t>betaniaberhanu@gmail.com</t>
  </si>
  <si>
    <t>Betania</t>
  </si>
  <si>
    <t>Berhanu</t>
  </si>
  <si>
    <t>+251966006114</t>
  </si>
  <si>
    <t>wintanahm@gmail.com</t>
  </si>
  <si>
    <t>Wintana</t>
  </si>
  <si>
    <t>Berhe</t>
  </si>
  <si>
    <t>ephremtaye24@gmail.com</t>
  </si>
  <si>
    <t>Ephrem</t>
  </si>
  <si>
    <t>+251909328390</t>
  </si>
  <si>
    <t>bentisileshi2000@gmail.com</t>
  </si>
  <si>
    <t>Banti</t>
  </si>
  <si>
    <t>Sileshi</t>
  </si>
  <si>
    <t>+251946221128</t>
  </si>
  <si>
    <t>hilinamulu907@gmail.com</t>
  </si>
  <si>
    <t>Hilina</t>
  </si>
  <si>
    <t>Mulu</t>
  </si>
  <si>
    <t>+251974424575</t>
  </si>
  <si>
    <t>yadealadnew57@gmail.com</t>
  </si>
  <si>
    <t>yadeal</t>
  </si>
  <si>
    <t>Mengistu</t>
  </si>
  <si>
    <t>+251929137294</t>
  </si>
  <si>
    <t>selamuberhanu0909@gmail.com</t>
  </si>
  <si>
    <t>Selamu</t>
  </si>
  <si>
    <t>Takiso</t>
  </si>
  <si>
    <t>+251909750975</t>
  </si>
  <si>
    <t>tewodrosdula1@gmail.com</t>
  </si>
  <si>
    <t>Dula</t>
  </si>
  <si>
    <t>+251933746017</t>
  </si>
  <si>
    <t>salihakemal2011@gmail.com</t>
  </si>
  <si>
    <t>Saliya</t>
  </si>
  <si>
    <t>Kemal</t>
  </si>
  <si>
    <t>+251904609397</t>
  </si>
  <si>
    <t>yareoselemon@gmail.com</t>
  </si>
  <si>
    <t>Yared</t>
  </si>
  <si>
    <t>Selemon</t>
  </si>
  <si>
    <t>+251914370612</t>
  </si>
  <si>
    <t>dmxzpsych@gmail.com</t>
  </si>
  <si>
    <t>Demesie</t>
  </si>
  <si>
    <t>Ayalew</t>
  </si>
  <si>
    <t>+1912691049</t>
  </si>
  <si>
    <t>melkamutadesse32@gmail.com</t>
  </si>
  <si>
    <t>Melkamu</t>
  </si>
  <si>
    <t>Gebrehiwot</t>
  </si>
  <si>
    <t>+251932674645</t>
  </si>
  <si>
    <t>bayisagebeyehu072@gmail.com</t>
  </si>
  <si>
    <t>mulukenbalcha6@gmail.com</t>
  </si>
  <si>
    <t>Muluken</t>
  </si>
  <si>
    <t>Balcha</t>
  </si>
  <si>
    <t>+251991738568</t>
  </si>
  <si>
    <t>amanueldesalegn365@gmail.com</t>
  </si>
  <si>
    <t>Desalegn</t>
  </si>
  <si>
    <t>+251931152754</t>
  </si>
  <si>
    <t>mamejesus@gmail.com</t>
  </si>
  <si>
    <t>kibreyesus</t>
  </si>
  <si>
    <t>menebo</t>
  </si>
  <si>
    <t>adieriberelroy2@gmail.com</t>
  </si>
  <si>
    <t>Tam</t>
  </si>
  <si>
    <t>Kwot</t>
  </si>
  <si>
    <t>+251900117007</t>
  </si>
  <si>
    <t>meazasamson@gmail.com</t>
  </si>
  <si>
    <t>Meaza</t>
  </si>
  <si>
    <t>Samson</t>
  </si>
  <si>
    <t>+251911911534</t>
  </si>
  <si>
    <t>frezermengistu3@gmail.com</t>
  </si>
  <si>
    <t>Frezer</t>
  </si>
  <si>
    <t>+251908475599</t>
  </si>
  <si>
    <t>woyesadeliso4@gmail.com</t>
  </si>
  <si>
    <t>Woyesa</t>
  </si>
  <si>
    <t>Deliso</t>
  </si>
  <si>
    <t>+251925656685</t>
  </si>
  <si>
    <t>getasewgashu@gmail.com</t>
  </si>
  <si>
    <t>Dr Getasew Gashu</t>
  </si>
  <si>
    <t>Garie</t>
  </si>
  <si>
    <t>+251924400720</t>
  </si>
  <si>
    <t>natnaelmurad@gmail.com</t>
  </si>
  <si>
    <t>Natnael</t>
  </si>
  <si>
    <t>temam</t>
  </si>
  <si>
    <t>+251973277784</t>
  </si>
  <si>
    <t>riseup.et@gmail.com</t>
  </si>
  <si>
    <t>Mahamed</t>
  </si>
  <si>
    <t>Alele</t>
  </si>
  <si>
    <t>+25190598589858</t>
  </si>
  <si>
    <t>nahil932@gmail.com</t>
  </si>
  <si>
    <t>Nahil</t>
  </si>
  <si>
    <t>Ahmed</t>
  </si>
  <si>
    <t>+251924436462</t>
  </si>
  <si>
    <t>davedawit208@gmail.com</t>
  </si>
  <si>
    <t>dawit</t>
  </si>
  <si>
    <t>Tadesse</t>
  </si>
  <si>
    <t>+251928680723</t>
  </si>
  <si>
    <t>lensadesalegn78@gmail.com</t>
  </si>
  <si>
    <t>Lensa</t>
  </si>
  <si>
    <t>Wakeyo</t>
  </si>
  <si>
    <t>+251912684537</t>
  </si>
  <si>
    <t>teshomehermella01@gmail.com</t>
  </si>
  <si>
    <t>Hermella</t>
  </si>
  <si>
    <t>+251901942023</t>
  </si>
  <si>
    <t>meswg21@gmail.com</t>
  </si>
  <si>
    <t>Mesfin</t>
  </si>
  <si>
    <t>Gebreselassie</t>
  </si>
  <si>
    <t>+251913705093</t>
  </si>
  <si>
    <t>adugenetmarkos50@gmail.com</t>
  </si>
  <si>
    <t>Adugenet</t>
  </si>
  <si>
    <t>+251979342096</t>
  </si>
  <si>
    <t>laterameseret2@gmail.com</t>
  </si>
  <si>
    <t>Latera</t>
  </si>
  <si>
    <t>Meseret</t>
  </si>
  <si>
    <t>+251917734667</t>
  </si>
  <si>
    <t>ephremhenok5427@gmail.com</t>
  </si>
  <si>
    <t>henok</t>
  </si>
  <si>
    <t>ephrem</t>
  </si>
  <si>
    <t>+251960335427</t>
  </si>
  <si>
    <t>abigailgetu98@gmail.com</t>
  </si>
  <si>
    <t>Abigail Getu</t>
  </si>
  <si>
    <t>Belihu</t>
  </si>
  <si>
    <t>+251967997061</t>
  </si>
  <si>
    <t>fozzali24@gmail.com</t>
  </si>
  <si>
    <t>Hiwot</t>
  </si>
  <si>
    <t>K</t>
  </si>
  <si>
    <t>+251931387445</t>
  </si>
  <si>
    <t>eyobab23@gmail.com</t>
  </si>
  <si>
    <t>Eyob</t>
  </si>
  <si>
    <t>Molito</t>
  </si>
  <si>
    <t>+251913138011</t>
  </si>
  <si>
    <t>yonasnigussie1995@gmail.com</t>
  </si>
  <si>
    <t>Yonas</t>
  </si>
  <si>
    <t>Sheferaw</t>
  </si>
  <si>
    <t>+251970593635</t>
  </si>
  <si>
    <t>destalemab4@gmail.com</t>
  </si>
  <si>
    <t>Destalem</t>
  </si>
  <si>
    <t>Baraki</t>
  </si>
  <si>
    <t>+251703660601</t>
  </si>
  <si>
    <t>metileg@gmail.com</t>
  </si>
  <si>
    <t>meti</t>
  </si>
  <si>
    <t>leggese</t>
  </si>
  <si>
    <t>+251911416417</t>
  </si>
  <si>
    <t>marthaberhe922@gmail.com</t>
  </si>
  <si>
    <t>martha</t>
  </si>
  <si>
    <t>belay</t>
  </si>
  <si>
    <t>+251967163844</t>
  </si>
  <si>
    <t>abushabreham@gmail.com</t>
  </si>
  <si>
    <t>Abreham</t>
  </si>
  <si>
    <t>Abush</t>
  </si>
  <si>
    <t>+251936728288</t>
  </si>
  <si>
    <t>abelbeyene23@gmail.com</t>
  </si>
  <si>
    <t>Araya</t>
  </si>
  <si>
    <t>+251941298810</t>
  </si>
  <si>
    <t>abdiwalia79@gmail.com</t>
  </si>
  <si>
    <t>Abdiwali</t>
  </si>
  <si>
    <t>Siyad</t>
  </si>
  <si>
    <t>+251915095524</t>
  </si>
  <si>
    <t>samuellmes@yahoo.com</t>
  </si>
  <si>
    <t>Samuel</t>
  </si>
  <si>
    <t>+251925001820</t>
  </si>
  <si>
    <t>deretamedere@gmail.com</t>
  </si>
  <si>
    <t>Dereje</t>
  </si>
  <si>
    <t>Tamene</t>
  </si>
  <si>
    <t>+251920011859</t>
  </si>
  <si>
    <t>tsionfithalew@gmail.com</t>
  </si>
  <si>
    <t>Goshu</t>
  </si>
  <si>
    <t>+251933179566</t>
  </si>
  <si>
    <t>abdirahmansulub70@gmail.com</t>
  </si>
  <si>
    <t>Abdirahman</t>
  </si>
  <si>
    <t>Mohamed</t>
  </si>
  <si>
    <t>+251915152644</t>
  </si>
  <si>
    <t>asma405maw@gmail.com</t>
  </si>
  <si>
    <t>Asmamaw</t>
  </si>
  <si>
    <t>Gashaw</t>
  </si>
  <si>
    <t>+251921284180</t>
  </si>
  <si>
    <t>antenehmendaye.am@gmail.com</t>
  </si>
  <si>
    <t>Anteneh</t>
  </si>
  <si>
    <t>Mendaye</t>
  </si>
  <si>
    <t>+251910546161</t>
  </si>
  <si>
    <t>juharseid40@gmail.com</t>
  </si>
  <si>
    <t>Juhar</t>
  </si>
  <si>
    <t>Kebede</t>
  </si>
  <si>
    <t>+251922908388</t>
  </si>
  <si>
    <t>baarinbg@gmail.com</t>
  </si>
  <si>
    <t>Nur Barre</t>
  </si>
  <si>
    <t>Gamadid</t>
  </si>
  <si>
    <t>+251915103707</t>
  </si>
  <si>
    <t>konjitd@gmail.com</t>
  </si>
  <si>
    <t>Konjit</t>
  </si>
  <si>
    <t>Gebreyes</t>
  </si>
  <si>
    <t>+251911510506</t>
  </si>
  <si>
    <t>yaredgrum16@gmail.com</t>
  </si>
  <si>
    <t>Mulatu</t>
  </si>
  <si>
    <t>+251913242685</t>
  </si>
  <si>
    <t>girmaynani123@gmail.com</t>
  </si>
  <si>
    <t>helen</t>
  </si>
  <si>
    <t>girmay</t>
  </si>
  <si>
    <t>+251936563170</t>
  </si>
  <si>
    <t>samriayu49@gmail.com</t>
  </si>
  <si>
    <t>Samrawit</t>
  </si>
  <si>
    <t>+251929032607</t>
  </si>
  <si>
    <t>kirubeltewodros@gmail.com</t>
  </si>
  <si>
    <t>Kirubel</t>
  </si>
  <si>
    <t>+251922744053</t>
  </si>
  <si>
    <t>robelarega88@gmail.com</t>
  </si>
  <si>
    <t>robel</t>
  </si>
  <si>
    <t>arega</t>
  </si>
  <si>
    <t>+251913562965</t>
  </si>
  <si>
    <t>johnteshome8019@gmail.com</t>
  </si>
  <si>
    <t>John</t>
  </si>
  <si>
    <t>milkesa1.abera@gmail.com</t>
  </si>
  <si>
    <t>milkesa</t>
  </si>
  <si>
    <t>abera</t>
  </si>
  <si>
    <t>+251937167878</t>
  </si>
  <si>
    <t>matyasmekbib@gmail.com</t>
  </si>
  <si>
    <t>Matyas</t>
  </si>
  <si>
    <t>+251920467499</t>
  </si>
  <si>
    <t>yonath2008@gmail.com</t>
  </si>
  <si>
    <t>Yonathan</t>
  </si>
  <si>
    <t>Habtom</t>
  </si>
  <si>
    <t>+251923003387</t>
  </si>
  <si>
    <t>sabahabtub@gmail.com</t>
  </si>
  <si>
    <t>Saba Habtu</t>
  </si>
  <si>
    <t>Hagos</t>
  </si>
  <si>
    <t>+251911170753</t>
  </si>
  <si>
    <t>debyteka@gmail.com</t>
  </si>
  <si>
    <t>Deborah Telahun</t>
  </si>
  <si>
    <t>Teka</t>
  </si>
  <si>
    <t>+251944076971</t>
  </si>
  <si>
    <t>leniyad2@gmail.com</t>
  </si>
  <si>
    <t>Lense</t>
  </si>
  <si>
    <t>Wordofa</t>
  </si>
  <si>
    <t>+251910886341</t>
  </si>
  <si>
    <t>mekedemamare9@gmail.com</t>
  </si>
  <si>
    <t>Mekedem</t>
  </si>
  <si>
    <t>Tadege</t>
  </si>
  <si>
    <t>+251987574731</t>
  </si>
  <si>
    <t>netsanetnigatu532@gmail.com</t>
  </si>
  <si>
    <t>Netsanet</t>
  </si>
  <si>
    <t>Bereshe</t>
  </si>
  <si>
    <t>+251994953857</t>
  </si>
  <si>
    <t>mesfin435@gmail.com</t>
  </si>
  <si>
    <t>+251910436951</t>
  </si>
  <si>
    <t>kaleabsolomon128@gmail.com</t>
  </si>
  <si>
    <t>Haile</t>
  </si>
  <si>
    <t>+251974734077</t>
  </si>
  <si>
    <t>mnahom23@gmail.com</t>
  </si>
  <si>
    <t>Nahom</t>
  </si>
  <si>
    <t>Michael</t>
  </si>
  <si>
    <t>+251969906254</t>
  </si>
  <si>
    <t>tirsitgirma10@gmail.com</t>
  </si>
  <si>
    <t>tirsit</t>
  </si>
  <si>
    <t>Siyum</t>
  </si>
  <si>
    <t>tsionhailu119@gmail.com</t>
  </si>
  <si>
    <t>woldemariam</t>
  </si>
  <si>
    <t>+251920748440</t>
  </si>
  <si>
    <t>liyateklemariam1234@gmail.com</t>
  </si>
  <si>
    <t>Robel</t>
  </si>
  <si>
    <t>Gebremeskel</t>
  </si>
  <si>
    <t>+251900302039</t>
  </si>
  <si>
    <t>mollaandebet80@gmail.com</t>
  </si>
  <si>
    <t>Andebet</t>
  </si>
  <si>
    <t>Molla</t>
  </si>
  <si>
    <t>+251918210073</t>
  </si>
  <si>
    <t>tinsaeelias53@gmail.com</t>
  </si>
  <si>
    <t>Tinsae</t>
  </si>
  <si>
    <t>+251924756648</t>
  </si>
  <si>
    <t>yohannes.a@prokaltech.com</t>
  </si>
  <si>
    <t>Alemu</t>
  </si>
  <si>
    <t>+251913539651</t>
  </si>
  <si>
    <t>tekakivan@gmail.com</t>
  </si>
  <si>
    <t>Kirbon</t>
  </si>
  <si>
    <t>+251994605261</t>
  </si>
  <si>
    <t>yordanostadese99@gmail.com</t>
  </si>
  <si>
    <t>Yordanos</t>
  </si>
  <si>
    <t>Kumbi</t>
  </si>
  <si>
    <t>+251968137788</t>
  </si>
  <si>
    <t>bireedebela@gmail.com</t>
  </si>
  <si>
    <t>Negassa</t>
  </si>
  <si>
    <t>+251911179343</t>
  </si>
  <si>
    <t>tsegayesamuel21@gmail.com</t>
  </si>
  <si>
    <t>Tsegaye</t>
  </si>
  <si>
    <t>+251923242060</t>
  </si>
  <si>
    <t>abdulselam4246@gmail.com</t>
  </si>
  <si>
    <t>abdulselam</t>
  </si>
  <si>
    <t>molla</t>
  </si>
  <si>
    <t>+251935664245</t>
  </si>
  <si>
    <t>getasewfentahun200@gmail.com</t>
  </si>
  <si>
    <t>Getasew</t>
  </si>
  <si>
    <t>Fentahun</t>
  </si>
  <si>
    <t>+251912445171</t>
  </si>
  <si>
    <t>temam.dagne-ug@aau.edu.et</t>
  </si>
  <si>
    <t>Temam</t>
  </si>
  <si>
    <t>elrufael75@gmail.com</t>
  </si>
  <si>
    <t>Eliyas</t>
  </si>
  <si>
    <t>Gebremariam</t>
  </si>
  <si>
    <t>+251935329438</t>
  </si>
  <si>
    <t>amesiyas6721@gmail.com</t>
  </si>
  <si>
    <t>Amesiyas</t>
  </si>
  <si>
    <t>zewude</t>
  </si>
  <si>
    <t>+251946423386</t>
  </si>
  <si>
    <t>mthaile1985@gmail.com</t>
  </si>
  <si>
    <t>Mihretu</t>
  </si>
  <si>
    <t>+251911511812</t>
  </si>
  <si>
    <t>seidiya12@gmail.com</t>
  </si>
  <si>
    <t>Hassen</t>
  </si>
  <si>
    <t>+251914068528</t>
  </si>
  <si>
    <t>sofiaibrahim2000@gmail.com</t>
  </si>
  <si>
    <t>Sofia</t>
  </si>
  <si>
    <t>Ibrahim</t>
  </si>
  <si>
    <t>+251941124583</t>
  </si>
  <si>
    <t>ebsaebse@gmail.com</t>
  </si>
  <si>
    <t>Ebise</t>
  </si>
  <si>
    <t>Jinfessa</t>
  </si>
  <si>
    <t>+251943322555</t>
  </si>
  <si>
    <t>yirdawmengistu1985@gmail.com</t>
  </si>
  <si>
    <t>mengistu</t>
  </si>
  <si>
    <t>yirdaw</t>
  </si>
  <si>
    <t>+251967834499</t>
  </si>
  <si>
    <t>bezanega200@gmail.com</t>
  </si>
  <si>
    <t>Bezawit</t>
  </si>
  <si>
    <t>Nega Addisu</t>
  </si>
  <si>
    <t>+251932204623</t>
  </si>
  <si>
    <t>misganabelete19@gmail.com</t>
  </si>
  <si>
    <t>Misgana</t>
  </si>
  <si>
    <t>Belete</t>
  </si>
  <si>
    <t>+251934429601</t>
  </si>
  <si>
    <t>misganabelete7@gmail.com</t>
  </si>
  <si>
    <t>yaredshiferaw599@gmail.com</t>
  </si>
  <si>
    <t>Heyi</t>
  </si>
  <si>
    <t>+251947978513</t>
  </si>
  <si>
    <t>tsm112208@gmail.com</t>
  </si>
  <si>
    <t>TSEGAY</t>
  </si>
  <si>
    <t>ABEBE</t>
  </si>
  <si>
    <t>+251909545430</t>
  </si>
  <si>
    <t>aminabdirage114@gmail.com</t>
  </si>
  <si>
    <t>AMIN</t>
  </si>
  <si>
    <t>RAGE</t>
  </si>
  <si>
    <t>+251943004848</t>
  </si>
  <si>
    <t>abebayehutenaw77@gmail.com</t>
  </si>
  <si>
    <t>+251940605802</t>
  </si>
  <si>
    <t>reshidhydr@gmail.com</t>
  </si>
  <si>
    <t>Reshid</t>
  </si>
  <si>
    <t>Abdella</t>
  </si>
  <si>
    <t>+251911073274</t>
  </si>
  <si>
    <t>biniyamaltie@gmail.com</t>
  </si>
  <si>
    <t>Ashengo</t>
  </si>
  <si>
    <t>+251913352216</t>
  </si>
  <si>
    <t>kiyagnegash@gmail.com</t>
  </si>
  <si>
    <t>Kiya</t>
  </si>
  <si>
    <t>+251946329915</t>
  </si>
  <si>
    <t>kemeneshawtechnologies@gmail.com</t>
  </si>
  <si>
    <t>Bantamlak</t>
  </si>
  <si>
    <t>Fikadu Alemu</t>
  </si>
  <si>
    <t>+251954697098</t>
  </si>
  <si>
    <t>fitsumamare450@gmail.com</t>
  </si>
  <si>
    <t>Fitsum Zelalem Amare</t>
  </si>
  <si>
    <t>Fitsumish</t>
  </si>
  <si>
    <t>mekyoh007@gmail.com</t>
  </si>
  <si>
    <t>Mekdelawit</t>
  </si>
  <si>
    <t>Mekonnen</t>
  </si>
  <si>
    <t>+251974239507</t>
  </si>
  <si>
    <t>haklilu330@gmail.com</t>
  </si>
  <si>
    <t>Hermela</t>
  </si>
  <si>
    <t>Lemma</t>
  </si>
  <si>
    <t>+251991190485</t>
  </si>
  <si>
    <t>simonmichaele0@gmail.com</t>
  </si>
  <si>
    <t>Simon</t>
  </si>
  <si>
    <t>Kinfe</t>
  </si>
  <si>
    <t>+251967743868</t>
  </si>
  <si>
    <t>abrehamwondimu13@gmail.com</t>
  </si>
  <si>
    <t>Buzuneh</t>
  </si>
  <si>
    <t>+251 0937078729</t>
  </si>
  <si>
    <t>mlleharjorke@gmail.com</t>
  </si>
  <si>
    <t>Maryam</t>
  </si>
  <si>
    <t>Saheeb</t>
  </si>
  <si>
    <t>+251974100283</t>
  </si>
  <si>
    <t>bamlaknem@gmail.com</t>
  </si>
  <si>
    <t>Fikadu</t>
  </si>
  <si>
    <t>+251901967169</t>
  </si>
  <si>
    <t>hamzatosh33@gmail.com</t>
  </si>
  <si>
    <t>Hussien</t>
  </si>
  <si>
    <t>+251969865483</t>
  </si>
  <si>
    <t>kekeshetu@gmail.com</t>
  </si>
  <si>
    <t>Keamlak</t>
  </si>
  <si>
    <t>Eshetu</t>
  </si>
  <si>
    <t>+251921498392</t>
  </si>
  <si>
    <t>adonyasworku88@gmail.com</t>
  </si>
  <si>
    <t>Adonyas</t>
  </si>
  <si>
    <t>Worku</t>
  </si>
  <si>
    <t>+251946730296</t>
  </si>
  <si>
    <t>natinaelasefaakuma@gmail.com</t>
  </si>
  <si>
    <t>Natinael</t>
  </si>
  <si>
    <t>Asefa</t>
  </si>
  <si>
    <t>+251946380087</t>
  </si>
  <si>
    <t>guutatesema@gmail.com</t>
  </si>
  <si>
    <t>Guta</t>
  </si>
  <si>
    <t>Tesema</t>
  </si>
  <si>
    <t>+251921255712</t>
  </si>
  <si>
    <t>adesu6833@gmail.com</t>
  </si>
  <si>
    <t>Asamerewu</t>
  </si>
  <si>
    <t>+251960803904</t>
  </si>
  <si>
    <t>yeabsiratekalegn@gmail.com</t>
  </si>
  <si>
    <t>Yabsira</t>
  </si>
  <si>
    <t>Tekalegn</t>
  </si>
  <si>
    <t>hayatfedlu12@gmail.com</t>
  </si>
  <si>
    <t>Hayat</t>
  </si>
  <si>
    <t>Bame</t>
  </si>
  <si>
    <t>+251993528348</t>
  </si>
  <si>
    <t>fasilbest16@gmail.com</t>
  </si>
  <si>
    <t>Fasil</t>
  </si>
  <si>
    <t>Shbabawu</t>
  </si>
  <si>
    <t>+251988029614</t>
  </si>
  <si>
    <t>makigt24@gmail.com</t>
  </si>
  <si>
    <t>Makda</t>
  </si>
  <si>
    <t>+251911767956</t>
  </si>
  <si>
    <t>petrosbruh.et@gmail.com</t>
  </si>
  <si>
    <t>Bruh</t>
  </si>
  <si>
    <t>Arficho</t>
  </si>
  <si>
    <t>+251914247818</t>
  </si>
  <si>
    <t>tesfa547527@gmail.com</t>
  </si>
  <si>
    <t>TESFAYE</t>
  </si>
  <si>
    <t>MULIE</t>
  </si>
  <si>
    <t>+251919220412</t>
  </si>
  <si>
    <t>saron97shiferaw@gmail.com</t>
  </si>
  <si>
    <t>Shiferaw</t>
  </si>
  <si>
    <t>+251922977252</t>
  </si>
  <si>
    <t>amanuhibam@gmail.com</t>
  </si>
  <si>
    <t>Gashayehu</t>
  </si>
  <si>
    <t>sosinagezahegn567@gmail.com</t>
  </si>
  <si>
    <t>Sosina Gezahegn</t>
  </si>
  <si>
    <t>Workneh</t>
  </si>
  <si>
    <t>+251919155625</t>
  </si>
  <si>
    <t>mulleryemariyame@gmail.com</t>
  </si>
  <si>
    <t>+251947450828</t>
  </si>
  <si>
    <t>adiyaye014@gmail.com</t>
  </si>
  <si>
    <t>Adonayt</t>
  </si>
  <si>
    <t>+251946726679</t>
  </si>
  <si>
    <t>meski4695@gmail.com</t>
  </si>
  <si>
    <t>Meskerem</t>
  </si>
  <si>
    <t>Mamo</t>
  </si>
  <si>
    <t>yordansisay21@gmail.com</t>
  </si>
  <si>
    <t>Sisay</t>
  </si>
  <si>
    <t>+251934400192</t>
  </si>
  <si>
    <t>berechadugasa9552@gmail.com</t>
  </si>
  <si>
    <t>BERECHA</t>
  </si>
  <si>
    <t>AMENA</t>
  </si>
  <si>
    <t>+251966874326</t>
  </si>
  <si>
    <t>diadere64@gmail.com</t>
  </si>
  <si>
    <t>Dina</t>
  </si>
  <si>
    <t>+251951055242</t>
  </si>
  <si>
    <t>abyia474@gmail.com</t>
  </si>
  <si>
    <t>abinet</t>
  </si>
  <si>
    <t>teklemariam</t>
  </si>
  <si>
    <t>+251910326102</t>
  </si>
  <si>
    <t>burapole2@gmail.com</t>
  </si>
  <si>
    <t>Biruk</t>
  </si>
  <si>
    <t>+251977767000</t>
  </si>
  <si>
    <t>dejwold@gmail.com</t>
  </si>
  <si>
    <t>Dejene</t>
  </si>
  <si>
    <t>Tollosa</t>
  </si>
  <si>
    <t>bethelyeyesus@gmail.com</t>
  </si>
  <si>
    <t>Betel</t>
  </si>
  <si>
    <t>+251926997212</t>
  </si>
  <si>
    <t>www.abdre1@gmail.com</t>
  </si>
  <si>
    <t>Abdu</t>
  </si>
  <si>
    <t>Mohammed</t>
  </si>
  <si>
    <t>+251908412771</t>
  </si>
  <si>
    <t>misganatamire2@gmail.com</t>
  </si>
  <si>
    <t>Tamire</t>
  </si>
  <si>
    <t>+251936523317</t>
  </si>
  <si>
    <t>amanuelsmsn@gmail.com</t>
  </si>
  <si>
    <t>+251989063031</t>
  </si>
  <si>
    <t>wondejan7@gmail.com</t>
  </si>
  <si>
    <t>Wondwossen</t>
  </si>
  <si>
    <t>+251913967059</t>
  </si>
  <si>
    <t>siyanesamuel5@gmail.com</t>
  </si>
  <si>
    <t>Siyane</t>
  </si>
  <si>
    <t>+251928398112</t>
  </si>
  <si>
    <t>badmassu7@gmail.com</t>
  </si>
  <si>
    <t>Bruk</t>
  </si>
  <si>
    <t>Admassu</t>
  </si>
  <si>
    <t>+251915554558</t>
  </si>
  <si>
    <t>solmulu19@gmail.com</t>
  </si>
  <si>
    <t>+251983827542</t>
  </si>
  <si>
    <t>gneway8@gmail.com</t>
  </si>
  <si>
    <t>Gizaw</t>
  </si>
  <si>
    <t>+251910818250</t>
  </si>
  <si>
    <t>nebintf@gmail.com</t>
  </si>
  <si>
    <t>Redwan</t>
  </si>
  <si>
    <t>+251911519394</t>
  </si>
  <si>
    <t>hunde.ddh@gmail.com</t>
  </si>
  <si>
    <t>Hunde</t>
  </si>
  <si>
    <t>+251941413100</t>
  </si>
  <si>
    <t>situtiyash@gmail.com</t>
  </si>
  <si>
    <t>Situtiya</t>
  </si>
  <si>
    <t>Shimelis</t>
  </si>
  <si>
    <t>+251944113231</t>
  </si>
  <si>
    <t>gemaged2@gmail.com</t>
  </si>
  <si>
    <t>Gemechis</t>
  </si>
  <si>
    <t>Gedefa</t>
  </si>
  <si>
    <t>+251910523288</t>
  </si>
  <si>
    <t>yaredmelesse2@gmail.com</t>
  </si>
  <si>
    <t>Melesse</t>
  </si>
  <si>
    <t>+251965601950</t>
  </si>
  <si>
    <t>eyobamb2021@gmail.com</t>
  </si>
  <si>
    <t>+251924150155</t>
  </si>
  <si>
    <t>johnmekonen86@gmail.com</t>
  </si>
  <si>
    <t>Yohannes Gidey</t>
  </si>
  <si>
    <t>+251913974941</t>
  </si>
  <si>
    <t>kalebxebek5@gmail.com</t>
  </si>
  <si>
    <t>Kaleb</t>
  </si>
  <si>
    <t>+251912335700</t>
  </si>
  <si>
    <t>biruktitm@gmail.com</t>
  </si>
  <si>
    <t>Biruktawit</t>
  </si>
  <si>
    <t>+251905784388</t>
  </si>
  <si>
    <t>natnaelgashaw97@gmail.com</t>
  </si>
  <si>
    <t>+251977776787</t>
  </si>
  <si>
    <t>hermelakibrom56@gmail.com</t>
  </si>
  <si>
    <t>Kibrom</t>
  </si>
  <si>
    <t>+251914134814</t>
  </si>
  <si>
    <t>atinafuasefa@gmail.com</t>
  </si>
  <si>
    <t>Atinafu</t>
  </si>
  <si>
    <t>+251916389473</t>
  </si>
  <si>
    <t>multuzmoha@gmail.com</t>
  </si>
  <si>
    <t>Multzem</t>
  </si>
  <si>
    <t>+251953860042</t>
  </si>
  <si>
    <t>kewmuslimah33@gmail.com</t>
  </si>
  <si>
    <t>Kewser</t>
  </si>
  <si>
    <t>Yassin</t>
  </si>
  <si>
    <t>+251933696155</t>
  </si>
  <si>
    <t>tesphili07@gmail.com</t>
  </si>
  <si>
    <t>Philimon</t>
  </si>
  <si>
    <t>+251913092963</t>
  </si>
  <si>
    <t>eyakemtesfaye21@gmail.com</t>
  </si>
  <si>
    <t>Eyakem</t>
  </si>
  <si>
    <t>+251933580969</t>
  </si>
  <si>
    <t>jerryyalemberhan@gmail.com</t>
  </si>
  <si>
    <t>Eyerusalem</t>
  </si>
  <si>
    <t>Woldegebriel</t>
  </si>
  <si>
    <t>+251961343610</t>
  </si>
  <si>
    <t>jamalabdulahi68@gmail.com</t>
  </si>
  <si>
    <t>Jamal</t>
  </si>
  <si>
    <t>Hayd</t>
  </si>
  <si>
    <t>+251915078638</t>
  </si>
  <si>
    <t>nera2422ketye@gmail.com</t>
  </si>
  <si>
    <t>Nebiyu</t>
  </si>
  <si>
    <t>Fantu</t>
  </si>
  <si>
    <t>+251939881380</t>
  </si>
  <si>
    <t>mussiemesele44@gmail.com</t>
  </si>
  <si>
    <t>Mussie</t>
  </si>
  <si>
    <t>Mesele</t>
  </si>
  <si>
    <t>+251918440700</t>
  </si>
  <si>
    <t>nahomsalu@gmail.com</t>
  </si>
  <si>
    <t>+251919314093</t>
  </si>
  <si>
    <t>luwam016@gmail.com</t>
  </si>
  <si>
    <t>Luwam</t>
  </si>
  <si>
    <t>+251934777709</t>
  </si>
  <si>
    <t>sebahadin@gmail.com</t>
  </si>
  <si>
    <t>Sebahadin</t>
  </si>
  <si>
    <t>Nasir</t>
  </si>
  <si>
    <t>+251911988021</t>
  </si>
  <si>
    <t>sofonyasabreha@gmail.com</t>
  </si>
  <si>
    <t>sofanyas</t>
  </si>
  <si>
    <t>Abraha</t>
  </si>
  <si>
    <t>+251939531281</t>
  </si>
  <si>
    <t>motigemechu19@gmail.com</t>
  </si>
  <si>
    <t>Moti</t>
  </si>
  <si>
    <t>+251933308861</t>
  </si>
  <si>
    <t>yidu74660@gmail.com</t>
  </si>
  <si>
    <t>Yididya</t>
  </si>
  <si>
    <t>+251954554548</t>
  </si>
  <si>
    <t>yenebitu83@gmail.com</t>
  </si>
  <si>
    <t>Emebet</t>
  </si>
  <si>
    <t>Ayalewu</t>
  </si>
  <si>
    <t>+251900620983</t>
  </si>
  <si>
    <t>amanualdawit1978@gmail.com</t>
  </si>
  <si>
    <t>Amannuel</t>
  </si>
  <si>
    <t>gebresilasse</t>
  </si>
  <si>
    <t>+251940981302</t>
  </si>
  <si>
    <t>khalidabdulhafiz29@gmail.com</t>
  </si>
  <si>
    <t>Khalid</t>
  </si>
  <si>
    <t>+251932097022</t>
  </si>
  <si>
    <t>mahammadsafidafis@gmail.com</t>
  </si>
  <si>
    <t>Dafis</t>
  </si>
  <si>
    <t>natfaye98@gmail.com</t>
  </si>
  <si>
    <t>+251919234259</t>
  </si>
  <si>
    <t>natnaelbz25@gmail.com</t>
  </si>
  <si>
    <t>Bazezew</t>
  </si>
  <si>
    <t>+251902211515</t>
  </si>
  <si>
    <t>kidanabayneh@gmail.com</t>
  </si>
  <si>
    <t>Kidan</t>
  </si>
  <si>
    <t>Abayneh</t>
  </si>
  <si>
    <t>+251922997120</t>
  </si>
  <si>
    <t>gechw147@gmail.com</t>
  </si>
  <si>
    <t>Workie</t>
  </si>
  <si>
    <t>+251928491544</t>
  </si>
  <si>
    <t>goshumezemir28@gmail.com</t>
  </si>
  <si>
    <t>+251975798523</t>
  </si>
  <si>
    <t>temuyegamo@gmail.com</t>
  </si>
  <si>
    <t>Timotewos</t>
  </si>
  <si>
    <t>Gamo</t>
  </si>
  <si>
    <t>+251925567220</t>
  </si>
  <si>
    <t>bayukemawuarc@gmail.com</t>
  </si>
  <si>
    <t>Bayu</t>
  </si>
  <si>
    <t>Biru</t>
  </si>
  <si>
    <t>+251910814632</t>
  </si>
  <si>
    <t>gelilasolomon058@gmail.com</t>
  </si>
  <si>
    <t>Gelila</t>
  </si>
  <si>
    <t>+251944101016</t>
  </si>
  <si>
    <t>dagitsehay121921@gmail.com</t>
  </si>
  <si>
    <t>Dagemawie</t>
  </si>
  <si>
    <t>Tsehay</t>
  </si>
  <si>
    <t>+251943334736</t>
  </si>
  <si>
    <t>cweletaw2021@gmail.com</t>
  </si>
  <si>
    <t>HABTAMU</t>
  </si>
  <si>
    <t>YEHUALA</t>
  </si>
  <si>
    <t>+251979026443</t>
  </si>
  <si>
    <t>chalafufa@gmail.com</t>
  </si>
  <si>
    <t>Fufa</t>
  </si>
  <si>
    <t>+251900351538</t>
  </si>
  <si>
    <t>abdusemedgutema@gmail.com</t>
  </si>
  <si>
    <t>Gutema</t>
  </si>
  <si>
    <t>Abdusemed</t>
  </si>
  <si>
    <t>+251948120290</t>
  </si>
  <si>
    <t>restin7bark2025@gmail.com</t>
  </si>
  <si>
    <t>Barkilign</t>
  </si>
  <si>
    <t>+251924171769</t>
  </si>
  <si>
    <t>eldeguevara@gmail.com</t>
  </si>
  <si>
    <t>Gedle</t>
  </si>
  <si>
    <t>Ferede</t>
  </si>
  <si>
    <t>+251913751353</t>
  </si>
  <si>
    <t>eskedarnegese659@gmail.com</t>
  </si>
  <si>
    <t>Eskedar</t>
  </si>
  <si>
    <t>Negash</t>
  </si>
  <si>
    <t>+251910699461</t>
  </si>
  <si>
    <t>fitsum.deriba@gmail.com</t>
  </si>
  <si>
    <t>Fitsum</t>
  </si>
  <si>
    <t>Deriba</t>
  </si>
  <si>
    <t>+251910193462</t>
  </si>
  <si>
    <t>wubishetmekonin1313@gmail.com</t>
  </si>
  <si>
    <t>Wubishet</t>
  </si>
  <si>
    <t>Mekonin</t>
  </si>
  <si>
    <t>+251913321417</t>
  </si>
  <si>
    <t>waqgari03@gmail.com</t>
  </si>
  <si>
    <t>Cherinet</t>
  </si>
  <si>
    <t>Hailemichael</t>
  </si>
  <si>
    <t>+251940113262</t>
  </si>
  <si>
    <t>amanwel2017@gmail.com</t>
  </si>
  <si>
    <t>Weldekidan</t>
  </si>
  <si>
    <t>+251910584048</t>
  </si>
  <si>
    <t>merdasadaba@gmail.com</t>
  </si>
  <si>
    <t>Merdasa</t>
  </si>
  <si>
    <t>Daba</t>
  </si>
  <si>
    <t>+251911174779</t>
  </si>
  <si>
    <t>habtamu2383@gmail.com</t>
  </si>
  <si>
    <t>+251096766064</t>
  </si>
  <si>
    <t>tesfayemegarsa2000@gmail.com</t>
  </si>
  <si>
    <t>Dame</t>
  </si>
  <si>
    <t>+251910332304</t>
  </si>
  <si>
    <t>samueldagne26@gmail.com</t>
  </si>
  <si>
    <t>+251908760463</t>
  </si>
  <si>
    <t>nesrosultan4@gmail.com</t>
  </si>
  <si>
    <t>Sultan</t>
  </si>
  <si>
    <t>+251925052357</t>
  </si>
  <si>
    <t>wgezahegn@gmail.com</t>
  </si>
  <si>
    <t>Wondimagegnehu</t>
  </si>
  <si>
    <t>+251911335411</t>
  </si>
  <si>
    <t>brukworku47@gmail.com</t>
  </si>
  <si>
    <t>Beruk</t>
  </si>
  <si>
    <t>Dessie</t>
  </si>
  <si>
    <t>+251911126661</t>
  </si>
  <si>
    <t>mulualemberhanu3@gmail.com</t>
  </si>
  <si>
    <t>+251913724797</t>
  </si>
  <si>
    <t>melespalriang@gmail.com</t>
  </si>
  <si>
    <t>RUACH</t>
  </si>
  <si>
    <t>RIANG</t>
  </si>
  <si>
    <t>+251935632806</t>
  </si>
  <si>
    <t>abdoeman1216@gmail.com</t>
  </si>
  <si>
    <t>newtef398@gmail.com</t>
  </si>
  <si>
    <t>Neway</t>
  </si>
  <si>
    <t>Menkir</t>
  </si>
  <si>
    <t>+251911414368</t>
  </si>
  <si>
    <t>tnsugenene@gmail.com</t>
  </si>
  <si>
    <t>+251910104070</t>
  </si>
  <si>
    <t>sharmaakerooblemoordhe@gmail.com</t>
  </si>
  <si>
    <t>Sharmaake</t>
  </si>
  <si>
    <t>Rooble</t>
  </si>
  <si>
    <t>eshetuaddis00@gmail.com</t>
  </si>
  <si>
    <t>Addisu</t>
  </si>
  <si>
    <t>linabelay221292@gmail.com</t>
  </si>
  <si>
    <t>lina</t>
  </si>
  <si>
    <t>daniaabdulmalik662@gmail.com</t>
  </si>
  <si>
    <t>Dania</t>
  </si>
  <si>
    <t>Ebro</t>
  </si>
  <si>
    <t>fikareselam.tesema@gmail.com</t>
  </si>
  <si>
    <t>FikareSelam</t>
  </si>
  <si>
    <t>mahiaregahegn1@gmail.com</t>
  </si>
  <si>
    <t>Mahlet</t>
  </si>
  <si>
    <t>Aregahegn</t>
  </si>
  <si>
    <t>yosfemyayu@gmail.com</t>
  </si>
  <si>
    <t>Yosef</t>
  </si>
  <si>
    <t>Emyayu</t>
  </si>
  <si>
    <t>hnktefera@gmail.com</t>
  </si>
  <si>
    <t>addscobashu@gmail.com</t>
  </si>
  <si>
    <t>Aldabo</t>
  </si>
  <si>
    <t>ruthjewaro@gmail.com</t>
  </si>
  <si>
    <t>Ruth</t>
  </si>
  <si>
    <t>Jewaro</t>
  </si>
  <si>
    <t>mickobooss88@gmail.com</t>
  </si>
  <si>
    <t>Michael Arega</t>
  </si>
  <si>
    <t>segnigirma11@gmail.com</t>
  </si>
  <si>
    <t>Segni</t>
  </si>
  <si>
    <t>abaynehdemesa@gmail.com</t>
  </si>
  <si>
    <t>Demesa</t>
  </si>
  <si>
    <t>estifanosabera143@gmail.com</t>
  </si>
  <si>
    <t>ESTIFANOS</t>
  </si>
  <si>
    <t>LEMA</t>
  </si>
  <si>
    <t>esmaeluta@gmail.com</t>
  </si>
  <si>
    <t>Esmael</t>
  </si>
  <si>
    <t>Uta</t>
  </si>
  <si>
    <t>lidiaddisu36@gmail.com</t>
  </si>
  <si>
    <t>Lidia</t>
  </si>
  <si>
    <t>nasnesredin281@gmail.com</t>
  </si>
  <si>
    <t>Nesredin</t>
  </si>
  <si>
    <t>Ebrahim</t>
  </si>
  <si>
    <t>kalida456@gmail.com</t>
  </si>
  <si>
    <t>Kaid</t>
  </si>
  <si>
    <t>tilahunwegene.t@gmail.com</t>
  </si>
  <si>
    <t>Tilahun</t>
  </si>
  <si>
    <t>Wegene</t>
  </si>
  <si>
    <t>heneryy61@gmail.com</t>
  </si>
  <si>
    <t>Henery Yisak</t>
  </si>
  <si>
    <t>Reasehaimanot</t>
  </si>
  <si>
    <t>ruthalexbaya@gmail.com</t>
  </si>
  <si>
    <t>chernettafesse35@gmail.com</t>
  </si>
  <si>
    <t>Chernet</t>
  </si>
  <si>
    <t>yabsrashimekt@gmail.com</t>
  </si>
  <si>
    <t>Legese</t>
  </si>
  <si>
    <t>tsalilew@gmail.com</t>
  </si>
  <si>
    <t>Salilew</t>
  </si>
  <si>
    <t>danielshelema11@gmail.com</t>
  </si>
  <si>
    <t>Mogasa</t>
  </si>
  <si>
    <t>semalignm@gmail.com</t>
  </si>
  <si>
    <t>Semalign</t>
  </si>
  <si>
    <t>Markos</t>
  </si>
  <si>
    <t>zyegif@gmail.com</t>
  </si>
  <si>
    <t>Zekaryas</t>
  </si>
  <si>
    <t>hebronenyeww@gmail.com</t>
  </si>
  <si>
    <t>Hebron</t>
  </si>
  <si>
    <t>Enyew</t>
  </si>
  <si>
    <t>tsegakabeta5@gmail.com</t>
  </si>
  <si>
    <t>Tsega</t>
  </si>
  <si>
    <t>Gelalcha</t>
  </si>
  <si>
    <t>ammonb6@gmail.com</t>
  </si>
  <si>
    <t>Ammon</t>
  </si>
  <si>
    <t>Leuleseged</t>
  </si>
  <si>
    <t>nuredinadem720@gmail.com</t>
  </si>
  <si>
    <t>Nuredin</t>
  </si>
  <si>
    <t>Adem</t>
  </si>
  <si>
    <t>miman0296@gmail.com</t>
  </si>
  <si>
    <t>Iman</t>
  </si>
  <si>
    <t>Yasin</t>
  </si>
  <si>
    <t>kidoexplore@gmail.com</t>
  </si>
  <si>
    <t>Kidus</t>
  </si>
  <si>
    <t>solomon</t>
  </si>
  <si>
    <t>hailugidey85@gmail.com</t>
  </si>
  <si>
    <t>birhanushiferaw29@gmail.com</t>
  </si>
  <si>
    <t>belayasfawu600@gmail.como</t>
  </si>
  <si>
    <t>Belay Asfaw</t>
  </si>
  <si>
    <t>Gindaba</t>
  </si>
  <si>
    <t>tamenemihret@gmail.com</t>
  </si>
  <si>
    <t>Mihret Tamene</t>
  </si>
  <si>
    <t>remedanhyeredin@gmail.com</t>
  </si>
  <si>
    <t>Remedan</t>
  </si>
  <si>
    <t>Kedir</t>
  </si>
  <si>
    <t>elshadaytalu037@gmail.com</t>
  </si>
  <si>
    <t>Elshaday</t>
  </si>
  <si>
    <t>Talu</t>
  </si>
  <si>
    <t>yosefgmariam41@gmail.com</t>
  </si>
  <si>
    <t>yosef</t>
  </si>
  <si>
    <t>gebremariam</t>
  </si>
  <si>
    <t>sbintucumer@gmail.com</t>
  </si>
  <si>
    <t>EHSAN</t>
  </si>
  <si>
    <t>OLHAYE</t>
  </si>
  <si>
    <t>gechagech21@gmail.com</t>
  </si>
  <si>
    <t>Ejigu</t>
  </si>
  <si>
    <t>hagosm68@gmail.com</t>
  </si>
  <si>
    <t>Mebrahtom</t>
  </si>
  <si>
    <t>yosefsamuel87@gmail.com</t>
  </si>
  <si>
    <t>YOSEF</t>
  </si>
  <si>
    <t>asiyaburka@gmail.com</t>
  </si>
  <si>
    <t>Asiya</t>
  </si>
  <si>
    <t>Gudure</t>
  </si>
  <si>
    <t>natanshimelis041@gmail.com</t>
  </si>
  <si>
    <t>Natan</t>
  </si>
  <si>
    <t>tsionwubale22@gmail.com</t>
  </si>
  <si>
    <t>amanalex66@gmail.com</t>
  </si>
  <si>
    <t>Alemayehu</t>
  </si>
  <si>
    <t>tadekaldas1992@gmail.com</t>
  </si>
  <si>
    <t>Tadele</t>
  </si>
  <si>
    <t>Menaso</t>
  </si>
  <si>
    <t>cami.fg44@gmail.com</t>
  </si>
  <si>
    <t>Feleke</t>
  </si>
  <si>
    <t>nafyadhailu99@gmail.com</t>
  </si>
  <si>
    <t>Nafyad</t>
  </si>
  <si>
    <t>yord.alemayehu@gmail.com</t>
  </si>
  <si>
    <t>meronbirhanu522@gmail.com</t>
  </si>
  <si>
    <t>Meron</t>
  </si>
  <si>
    <t>efratadejene15@gmail.com</t>
  </si>
  <si>
    <t>Efrata</t>
  </si>
  <si>
    <t>tesfminte@gmail.com</t>
  </si>
  <si>
    <t>Mintesnot</t>
  </si>
  <si>
    <t>Megisso</t>
  </si>
  <si>
    <t>lisanm201024@gmail.com</t>
  </si>
  <si>
    <t>Mola</t>
  </si>
  <si>
    <t>munirn490@gmail.com</t>
  </si>
  <si>
    <t>Munir</t>
  </si>
  <si>
    <t>Nasr</t>
  </si>
  <si>
    <t>zewdieworkneh1942@gmail.com</t>
  </si>
  <si>
    <t>Zewdie</t>
  </si>
  <si>
    <t>masreshashumye03@gmail.com</t>
  </si>
  <si>
    <t>Masresha</t>
  </si>
  <si>
    <t>Tessema</t>
  </si>
  <si>
    <t>reabdabi@gmail.com</t>
  </si>
  <si>
    <t>Reab</t>
  </si>
  <si>
    <t>Dabi</t>
  </si>
  <si>
    <t>tsegaab04@gmail.com</t>
  </si>
  <si>
    <t>Tsegab</t>
  </si>
  <si>
    <t>Zeyede</t>
  </si>
  <si>
    <t>hanibalgirmay@gmail.com</t>
  </si>
  <si>
    <t>Hanibal</t>
  </si>
  <si>
    <t>Girmay</t>
  </si>
  <si>
    <t>fasilteshsoft@gmail.com</t>
  </si>
  <si>
    <t>addisada810@gmail.com</t>
  </si>
  <si>
    <t>Adune</t>
  </si>
  <si>
    <t>berhanuersamo@gmail.com</t>
  </si>
  <si>
    <t>Berhanu Ersamo</t>
  </si>
  <si>
    <t>Gabore</t>
  </si>
  <si>
    <t>yaredabadi2149@gmail.com</t>
  </si>
  <si>
    <t>Gebrekirestos</t>
  </si>
  <si>
    <t>2421elias@gmail.com</t>
  </si>
  <si>
    <t>ELIAS</t>
  </si>
  <si>
    <t>GEBREKIDAN</t>
  </si>
  <si>
    <t>amannure77@gmail.com</t>
  </si>
  <si>
    <t>sisayngusey16@gmail.com</t>
  </si>
  <si>
    <t>sisay</t>
  </si>
  <si>
    <t>ngusey</t>
  </si>
  <si>
    <t>abdulazizseb1@gmail.com</t>
  </si>
  <si>
    <t>Abdulaziz</t>
  </si>
  <si>
    <t>sadikabdela@hotmail.com</t>
  </si>
  <si>
    <t>Sadik</t>
  </si>
  <si>
    <t>Musa</t>
  </si>
  <si>
    <t>shadyroba3@gmail.com</t>
  </si>
  <si>
    <t>Robera</t>
  </si>
  <si>
    <t>Gonfa</t>
  </si>
  <si>
    <t>marietamiru@gmail.com</t>
  </si>
  <si>
    <t>Tamiru</t>
  </si>
  <si>
    <t>kiratsagatiru000@gmail.com</t>
  </si>
  <si>
    <t>Wondu</t>
  </si>
  <si>
    <t>yilkaldaniel70@gmail.com</t>
  </si>
  <si>
    <t>Yilkal</t>
  </si>
  <si>
    <t>mikiyasgebre@1912gmail.com</t>
  </si>
  <si>
    <t>Thomas</t>
  </si>
  <si>
    <t>zednig2017@gmail.comzed</t>
  </si>
  <si>
    <t>Zegeye</t>
  </si>
  <si>
    <t>Nigatu</t>
  </si>
  <si>
    <t>amanuelabrhamagape@gmail.com</t>
  </si>
  <si>
    <t>Abrham</t>
  </si>
  <si>
    <t>eyobhailu090@gmail.com</t>
  </si>
  <si>
    <t>danielgmw.dg@gmail.com</t>
  </si>
  <si>
    <t>benealtibebu1@gmail.com</t>
  </si>
  <si>
    <t>Beneal</t>
  </si>
  <si>
    <t>Tibebu</t>
  </si>
  <si>
    <t>anatoliab82@gmail.com</t>
  </si>
  <si>
    <t>Anatoli</t>
  </si>
  <si>
    <t>Abera</t>
  </si>
  <si>
    <t>musamosisa24@gmail.com</t>
  </si>
  <si>
    <t>rafiaa05k@gmail.com</t>
  </si>
  <si>
    <t>Rafia</t>
  </si>
  <si>
    <t>asgkid23@gmail.com</t>
  </si>
  <si>
    <t>Asgedom</t>
  </si>
  <si>
    <t>lemmitamiru721@gmail.com</t>
  </si>
  <si>
    <t>Lemmi</t>
  </si>
  <si>
    <t>Tasissa</t>
  </si>
  <si>
    <t>burukmaedot16@gmail.com</t>
  </si>
  <si>
    <t>Maedot</t>
  </si>
  <si>
    <t>misramuzeyin12@gmail.com</t>
  </si>
  <si>
    <t>Misra</t>
  </si>
  <si>
    <t>Muzeyin</t>
  </si>
  <si>
    <t>devnatnaels@gmail.com</t>
  </si>
  <si>
    <t>Seyoum</t>
  </si>
  <si>
    <t>hizkyastadele@gmail.com</t>
  </si>
  <si>
    <t>hizkyas tadele</t>
  </si>
  <si>
    <t>kotiso</t>
  </si>
  <si>
    <t>workjordana57@gmail.com</t>
  </si>
  <si>
    <t>jordana</t>
  </si>
  <si>
    <t>Bekele</t>
  </si>
  <si>
    <t>nardoschachidaniel@gmail.com</t>
  </si>
  <si>
    <t>Nardos</t>
  </si>
  <si>
    <t>nati.sami.mata@gmail.com</t>
  </si>
  <si>
    <t>Sameul</t>
  </si>
  <si>
    <t>wesentadesse99@gmail.com</t>
  </si>
  <si>
    <t>Wesen</t>
  </si>
  <si>
    <t>nushuhu297@gmail.com</t>
  </si>
  <si>
    <t>Teshale Terefe</t>
  </si>
  <si>
    <t>tadenegamualem@gmail.com</t>
  </si>
  <si>
    <t>MULUALEM</t>
  </si>
  <si>
    <t>NEGA</t>
  </si>
  <si>
    <t>temesgeneskedar@gmail.com</t>
  </si>
  <si>
    <t>beimni927@gmail.com</t>
  </si>
  <si>
    <t>Beimnet</t>
  </si>
  <si>
    <t>Sintayehu</t>
  </si>
  <si>
    <t>fenetdamena74@gmail.com</t>
  </si>
  <si>
    <t>Fenet</t>
  </si>
  <si>
    <t>taziemuluye@gmail.com</t>
  </si>
  <si>
    <t>muluye</t>
  </si>
  <si>
    <t>Kasie</t>
  </si>
  <si>
    <t>samifasu527@gmail.com</t>
  </si>
  <si>
    <t>redietasfawzuzu@gmail.com</t>
  </si>
  <si>
    <t>Rediet</t>
  </si>
  <si>
    <t>namietorban9@gmail.com</t>
  </si>
  <si>
    <t>Namie</t>
  </si>
  <si>
    <t>Wakwoya</t>
  </si>
  <si>
    <t>yafetzekarias23@gmail.com</t>
  </si>
  <si>
    <t>yafet</t>
  </si>
  <si>
    <t>zekariyas</t>
  </si>
  <si>
    <t>meronaddisu66@gmail.com</t>
  </si>
  <si>
    <t>Beriso</t>
  </si>
  <si>
    <t>sabamengesha25@gmail.com</t>
  </si>
  <si>
    <t>Saba</t>
  </si>
  <si>
    <t>Tantu</t>
  </si>
  <si>
    <t>eliasmengis2@gmail.com</t>
  </si>
  <si>
    <t>gebrehenok122@gmail.com</t>
  </si>
  <si>
    <t>Gebre</t>
  </si>
  <si>
    <t>gammamotivation@gmail.com</t>
  </si>
  <si>
    <t>Dagmawi</t>
  </si>
  <si>
    <t>Feyissa</t>
  </si>
  <si>
    <t>samrikiya92@gmail.com</t>
  </si>
  <si>
    <t>Gemede</t>
  </si>
  <si>
    <t>meronaddisu55@gmail.com</t>
  </si>
  <si>
    <t>ayanasamuel1@gmail.com</t>
  </si>
  <si>
    <t>Ayana</t>
  </si>
  <si>
    <t>birukdesalegn961@gmail.com</t>
  </si>
  <si>
    <t>Bizuayehu</t>
  </si>
  <si>
    <t>ketitemesgen2@gmail.com</t>
  </si>
  <si>
    <t>Koket</t>
  </si>
  <si>
    <t>Neme</t>
  </si>
  <si>
    <t>hiwottamirat21@gmail.com</t>
  </si>
  <si>
    <t>gebretewodros73@gmail.com</t>
  </si>
  <si>
    <t>azariadaniel360@gmail.com</t>
  </si>
  <si>
    <t>Azaria</t>
  </si>
  <si>
    <t>Hirpa</t>
  </si>
  <si>
    <t>dannnyjohn007@gmail.com</t>
  </si>
  <si>
    <t>Philemon</t>
  </si>
  <si>
    <t>Tamrat</t>
  </si>
  <si>
    <t>wondachew14@gmail.com</t>
  </si>
  <si>
    <t>Wondachew</t>
  </si>
  <si>
    <t>HATIYA</t>
  </si>
  <si>
    <t>mirodir04@gmail.com</t>
  </si>
  <si>
    <t>Miresa</t>
  </si>
  <si>
    <t>Keno</t>
  </si>
  <si>
    <t>naafsoya@gmail.com</t>
  </si>
  <si>
    <t>muradamin186@gmail.com</t>
  </si>
  <si>
    <t>Murad</t>
  </si>
  <si>
    <t>Imer</t>
  </si>
  <si>
    <t>megertumetchi@gmail.com</t>
  </si>
  <si>
    <t>megertu</t>
  </si>
  <si>
    <t>abebe</t>
  </si>
  <si>
    <t>silitanuleamilak@gmail.com</t>
  </si>
  <si>
    <t>Leamilak</t>
  </si>
  <si>
    <t>linaalemayehu1@gmail.com</t>
  </si>
  <si>
    <t>Lina</t>
  </si>
  <si>
    <t>Lulu</t>
  </si>
  <si>
    <t>teshomebe2023@gmail.com</t>
  </si>
  <si>
    <t>Shewamen</t>
  </si>
  <si>
    <t>manmame066@gmail.com</t>
  </si>
  <si>
    <t>Hikma</t>
  </si>
  <si>
    <t>eyosiyashabtam41@gmail.com</t>
  </si>
  <si>
    <t>eyosiyas</t>
  </si>
  <si>
    <t>Wodaynew</t>
  </si>
  <si>
    <t>ermiasalemayehu93@gmail.com</t>
  </si>
  <si>
    <t>Ermias Alemayehu</t>
  </si>
  <si>
    <t>Asfefa</t>
  </si>
  <si>
    <t>naolblenu@gmail.com</t>
  </si>
  <si>
    <t>Naol</t>
  </si>
  <si>
    <t>amenadeneke@gmail.com</t>
  </si>
  <si>
    <t>Deneke</t>
  </si>
  <si>
    <t>ruhamaenyew2007@gmail.com</t>
  </si>
  <si>
    <t>Ruhama Enyew</t>
  </si>
  <si>
    <t>Mengiste</t>
  </si>
  <si>
    <t>game.beko@gmail.com</t>
  </si>
  <si>
    <t>Beksisa</t>
  </si>
  <si>
    <t>giftikebede21@gmail.com</t>
  </si>
  <si>
    <t>Gifti</t>
  </si>
  <si>
    <t>dagited20@gmail.com</t>
  </si>
  <si>
    <t>Bezu</t>
  </si>
  <si>
    <t>gelanafiraol@gmail.com</t>
  </si>
  <si>
    <t>Firaol</t>
  </si>
  <si>
    <t>Ararsa</t>
  </si>
  <si>
    <t>kalhaile094155@gmail.com</t>
  </si>
  <si>
    <t>Kaleab Hailemariam</t>
  </si>
  <si>
    <t>mekonen.a28@gmail.com</t>
  </si>
  <si>
    <t>izedarahmed11@gmail.com</t>
  </si>
  <si>
    <t>Izedar</t>
  </si>
  <si>
    <t>izedarahmed@gmail.com</t>
  </si>
  <si>
    <t>zock267@gmail.com</t>
  </si>
  <si>
    <t>sifentadesse16@gmail.com</t>
  </si>
  <si>
    <t>Sifen</t>
  </si>
  <si>
    <t>Abaire</t>
  </si>
  <si>
    <t>muradamen10@gmail.com</t>
  </si>
  <si>
    <t>Amin</t>
  </si>
  <si>
    <t>kinfegebrieltesema@gmail.com</t>
  </si>
  <si>
    <t>Kinfegebriel Kebede</t>
  </si>
  <si>
    <t>nahusenaytasew@gmail.com</t>
  </si>
  <si>
    <t>Nahusenay</t>
  </si>
  <si>
    <t>Tasew</t>
  </si>
  <si>
    <t>mamarhabtamu570@gmail.com</t>
  </si>
  <si>
    <t>Mamar</t>
  </si>
  <si>
    <t>tbereket1221@gmail.com</t>
  </si>
  <si>
    <t>Abebaw</t>
  </si>
  <si>
    <t>Teklie</t>
  </si>
  <si>
    <t>tagekyea1991@gmail.com</t>
  </si>
  <si>
    <t>Tagicho</t>
  </si>
  <si>
    <t>Shitaye</t>
  </si>
  <si>
    <t>hiber.ipdc@gmail.com</t>
  </si>
  <si>
    <t>Hibrework Mekonnen</t>
  </si>
  <si>
    <t>Demissie</t>
  </si>
  <si>
    <t>rakuset@gmail.com</t>
  </si>
  <si>
    <t>Rakeb</t>
  </si>
  <si>
    <t>anwarmehamed872@gmail.com</t>
  </si>
  <si>
    <t>Anwar</t>
  </si>
  <si>
    <t>Beshir</t>
  </si>
  <si>
    <t>abdurezakkedirkedir@gmail.com</t>
  </si>
  <si>
    <t>Abdurezak</t>
  </si>
  <si>
    <t>tadessebirhanu000@gmail.com</t>
  </si>
  <si>
    <t>alemugemechu44@gmail.com</t>
  </si>
  <si>
    <t>Gemechu</t>
  </si>
  <si>
    <t>Bedasa</t>
  </si>
  <si>
    <t>nahutasew89@gmail.com</t>
  </si>
  <si>
    <t>nahusenay</t>
  </si>
  <si>
    <t>tesfaye.ngatu123@gmail.com</t>
  </si>
  <si>
    <t>Derbe</t>
  </si>
  <si>
    <t>sagnistudy@gmail.com</t>
  </si>
  <si>
    <t>Sagni</t>
  </si>
  <si>
    <t>File</t>
  </si>
  <si>
    <t>rediendalk22@gmail.com</t>
  </si>
  <si>
    <t>Rediet Endalkachew</t>
  </si>
  <si>
    <t>kirub21gulilat@gmail.com</t>
  </si>
  <si>
    <t>gulilat</t>
  </si>
  <si>
    <t>dereje.legesse232@gmail.com</t>
  </si>
  <si>
    <t>Obole</t>
  </si>
  <si>
    <t>gedionyekunoamlak@gmail.com</t>
  </si>
  <si>
    <t>Gedion</t>
  </si>
  <si>
    <t>Yekunoamlak</t>
  </si>
  <si>
    <t>samuelababu@gmail.com</t>
  </si>
  <si>
    <t>Ababu</t>
  </si>
  <si>
    <t>yitdan17@gmail.com</t>
  </si>
  <si>
    <t>Yitbarek</t>
  </si>
  <si>
    <t>leulymamo@gmail.com</t>
  </si>
  <si>
    <t>leul</t>
  </si>
  <si>
    <t>mamo</t>
  </si>
  <si>
    <t>abreham3209@gmail.com</t>
  </si>
  <si>
    <t>ABREHAM</t>
  </si>
  <si>
    <t>KELELA</t>
  </si>
  <si>
    <t>amanuelberhe2198@gmail.com</t>
  </si>
  <si>
    <t>israelseleshi09@gmail.com</t>
  </si>
  <si>
    <t>Israel</t>
  </si>
  <si>
    <t>Seleshi</t>
  </si>
  <si>
    <t>nigusueshetu57@gmail.com</t>
  </si>
  <si>
    <t>NIGUSU</t>
  </si>
  <si>
    <t>ESHETU</t>
  </si>
  <si>
    <t>mengsteyordanos328@gmail.com</t>
  </si>
  <si>
    <t>Mengste</t>
  </si>
  <si>
    <t>sitotasisay@gmail.com</t>
  </si>
  <si>
    <t>Sitota</t>
  </si>
  <si>
    <t>Mitiku</t>
  </si>
  <si>
    <t>abdulhakimmusamm@gmail.com</t>
  </si>
  <si>
    <t>Abdulhakim</t>
  </si>
  <si>
    <t>etsegenet981.ea@gmail.com</t>
  </si>
  <si>
    <t>Etsegenet</t>
  </si>
  <si>
    <t>Balkew</t>
  </si>
  <si>
    <t>kalajanegassykoki@gmail.com</t>
  </si>
  <si>
    <t>Kalkidan</t>
  </si>
  <si>
    <t>Dagnu</t>
  </si>
  <si>
    <t>yosefdaniel4@gmail.com</t>
  </si>
  <si>
    <t>dberhanu011@gmail.com</t>
  </si>
  <si>
    <t>demeke.darcha@gmail.com</t>
  </si>
  <si>
    <t>Demeke</t>
  </si>
  <si>
    <t>Sewagegn</t>
  </si>
  <si>
    <t>sermartial24@gmail.com</t>
  </si>
  <si>
    <t>Serawit</t>
  </si>
  <si>
    <t>yisakmitiku32@gmail.com</t>
  </si>
  <si>
    <t>Yisak</t>
  </si>
  <si>
    <t>Debela</t>
  </si>
  <si>
    <t>fishfekadueg53@gmail.com</t>
  </si>
  <si>
    <t>fekadu</t>
  </si>
  <si>
    <t>alemgezahu7@gmail.com</t>
  </si>
  <si>
    <t>Alemgezahu</t>
  </si>
  <si>
    <t>Akeberegn</t>
  </si>
  <si>
    <t>aser.fekadu.yf7055@gmail.com</t>
  </si>
  <si>
    <t>Aser</t>
  </si>
  <si>
    <t>bethellegesse12@gmail.com</t>
  </si>
  <si>
    <t>abebawaau2016@gmail.com</t>
  </si>
  <si>
    <t>Belayneh</t>
  </si>
  <si>
    <t>fenanbeyene12@gmail.com</t>
  </si>
  <si>
    <t>Fenan</t>
  </si>
  <si>
    <t>dawityimer08@gmail.com</t>
  </si>
  <si>
    <t>Yesuf</t>
  </si>
  <si>
    <t>ahmedmahjoub1717@gmail.com</t>
  </si>
  <si>
    <t>Mahjoub</t>
  </si>
  <si>
    <t>zeneberobel5@gmail.com</t>
  </si>
  <si>
    <t>Berihe</t>
  </si>
  <si>
    <t>michael_ad@ymail.com</t>
  </si>
  <si>
    <t>gutemai430@gmail.com</t>
  </si>
  <si>
    <t>nathnaelberhanulearn@gmail.com</t>
  </si>
  <si>
    <t>Nathnael</t>
  </si>
  <si>
    <t>israelsamuelgoo@gmail.com</t>
  </si>
  <si>
    <t>Godamo</t>
  </si>
  <si>
    <t>henokm219@gmail.com</t>
  </si>
  <si>
    <t>mulugeta</t>
  </si>
  <si>
    <t>n8203556@gmail.com</t>
  </si>
  <si>
    <t>hiber.mekonnen@outlook.com</t>
  </si>
  <si>
    <t>Hibrework</t>
  </si>
  <si>
    <t>ysenamoss@gmail.com</t>
  </si>
  <si>
    <t>Sena</t>
  </si>
  <si>
    <t>Y</t>
  </si>
  <si>
    <t>mihretaman@gmail.com</t>
  </si>
  <si>
    <t>AMANUEL</t>
  </si>
  <si>
    <t>SIGAMO</t>
  </si>
  <si>
    <t>hulugetu12@gmail.com</t>
  </si>
  <si>
    <t>tesfay1069@gmail.com</t>
  </si>
  <si>
    <t>Tesfay</t>
  </si>
  <si>
    <t>Ghebrehiwet</t>
  </si>
  <si>
    <t>abelatesh171@gmail.com</t>
  </si>
  <si>
    <t>Abiel Teshome</t>
  </si>
  <si>
    <t>Kefale</t>
  </si>
  <si>
    <t>berhanuabel25@gmail.com</t>
  </si>
  <si>
    <t>dagmawimisker1@gmail.com</t>
  </si>
  <si>
    <t>dagmawi</t>
  </si>
  <si>
    <t>misker</t>
  </si>
  <si>
    <t>yohannestadeleac@gmail.com</t>
  </si>
  <si>
    <t>aliyans99@gmail.com</t>
  </si>
  <si>
    <t>Selehadin</t>
  </si>
  <si>
    <t>Ali</t>
  </si>
  <si>
    <t>eldanaderese@gmail.com</t>
  </si>
  <si>
    <t>Eldana</t>
  </si>
  <si>
    <t>Derese</t>
  </si>
  <si>
    <t>tareweyni@gmail.com</t>
  </si>
  <si>
    <t>Tariku</t>
  </si>
  <si>
    <t>Wendemu</t>
  </si>
  <si>
    <t>mohammedsultan739000@gmail.com</t>
  </si>
  <si>
    <t>gizawnati27@gmail.com</t>
  </si>
  <si>
    <t>Aeman</t>
  </si>
  <si>
    <t>abrham.kidu512@gmail.com</t>
  </si>
  <si>
    <t>Kiros</t>
  </si>
  <si>
    <t>henokmekonnen24@gmail.com</t>
  </si>
  <si>
    <t>Gebreyohanes</t>
  </si>
  <si>
    <t>anwarbey2002@gmail.com</t>
  </si>
  <si>
    <t>getualemu88@gmail.com</t>
  </si>
  <si>
    <t>Getu</t>
  </si>
  <si>
    <t>Bedane</t>
  </si>
  <si>
    <t>birukgetaa@gmail.com</t>
  </si>
  <si>
    <t>Tsige</t>
  </si>
  <si>
    <t>fitsumgetu88@gmail.com</t>
  </si>
  <si>
    <t>hiruygizachew6@gmail.com</t>
  </si>
  <si>
    <t>HIRUY</t>
  </si>
  <si>
    <t>KASSA</t>
  </si>
  <si>
    <t>alazaremls44@gmail.com</t>
  </si>
  <si>
    <t>Alazar</t>
  </si>
  <si>
    <t>Melese</t>
  </si>
  <si>
    <t>dirshaye.erdachew@gmail.com</t>
  </si>
  <si>
    <t>Dirshaye</t>
  </si>
  <si>
    <t>Erdachew</t>
  </si>
  <si>
    <t>bulideressa@gmail.com</t>
  </si>
  <si>
    <t>Buli</t>
  </si>
  <si>
    <t>Deressa</t>
  </si>
  <si>
    <t>alazarhailu7@gmail.com</t>
  </si>
  <si>
    <t>ytegod12@gmail.com</t>
  </si>
  <si>
    <t>Yitayew</t>
  </si>
  <si>
    <t>Tegod</t>
  </si>
  <si>
    <t>zelalembirhangirma@gmail.com</t>
  </si>
  <si>
    <t>Zelalembirhan</t>
  </si>
  <si>
    <t>aklilu.mekonnen.tes@gmail.com</t>
  </si>
  <si>
    <t>Aklilu</t>
  </si>
  <si>
    <t>ribikaayele@gmail.com</t>
  </si>
  <si>
    <t>Ribika</t>
  </si>
  <si>
    <t>Ayide</t>
  </si>
  <si>
    <t>waiswaroni@gmail.com</t>
  </si>
  <si>
    <t>Ronald</t>
  </si>
  <si>
    <t>Waiswa</t>
  </si>
  <si>
    <t>mikiyas.desalegn1@gmail.com</t>
  </si>
  <si>
    <t>Mikias</t>
  </si>
  <si>
    <t>Amerga</t>
  </si>
  <si>
    <t>amanuelsamsonbayu@gmail.com</t>
  </si>
  <si>
    <t>Amanuel Samson</t>
  </si>
  <si>
    <t>antenehzhelelo@gmail.com</t>
  </si>
  <si>
    <t>Helelo</t>
  </si>
  <si>
    <t>betelhemirachew@gmail.com</t>
  </si>
  <si>
    <t>mirachew</t>
  </si>
  <si>
    <t>ban4flag@gmail.com</t>
  </si>
  <si>
    <t>Bantewalu Hailekidan</t>
  </si>
  <si>
    <t>Dukamo</t>
  </si>
  <si>
    <t>zachabera1999@gmail.com</t>
  </si>
  <si>
    <t>Zekarias</t>
  </si>
  <si>
    <t>beletedegu2022@gmail.com</t>
  </si>
  <si>
    <t>Zellele</t>
  </si>
  <si>
    <t>naodabeben@gmail.com</t>
  </si>
  <si>
    <t>Naod</t>
  </si>
  <si>
    <t>roznoviski23@gmail.com</t>
  </si>
  <si>
    <t>misgana</t>
  </si>
  <si>
    <t>shibiru</t>
  </si>
  <si>
    <t>nebagela439@gmail.com</t>
  </si>
  <si>
    <t>Nebiyu Gelagay</t>
  </si>
  <si>
    <t>Emiru</t>
  </si>
  <si>
    <t>samitechane12@gmail.com</t>
  </si>
  <si>
    <t>yaredkuma28@gmail.com</t>
  </si>
  <si>
    <t>yared</t>
  </si>
  <si>
    <t>kuma</t>
  </si>
  <si>
    <t>meronbirhanuuu@gmail.com</t>
  </si>
  <si>
    <t>Bergena</t>
  </si>
  <si>
    <t>abdujebarabrahim33@gmail.com</t>
  </si>
  <si>
    <t>Abdujebar</t>
  </si>
  <si>
    <t>Abrahim</t>
  </si>
  <si>
    <t>kirubeldesta97@gmail.com</t>
  </si>
  <si>
    <t>Hordofa</t>
  </si>
  <si>
    <t>behaylumelsew@gmail.com</t>
  </si>
  <si>
    <t>Wolelaw</t>
  </si>
  <si>
    <t>tesfabera@gmail.com</t>
  </si>
  <si>
    <t>Bokoro</t>
  </si>
  <si>
    <t>wondwork.go@gmail.com</t>
  </si>
  <si>
    <t>Wondimu</t>
  </si>
  <si>
    <t>abdukeget@gmail.com</t>
  </si>
  <si>
    <t>Abdulkadir</t>
  </si>
  <si>
    <t>paulosbay27@gmail.com</t>
  </si>
  <si>
    <t>PAULOS</t>
  </si>
  <si>
    <t>ANELEY</t>
  </si>
  <si>
    <t>natnaeldeyas0@gmail.com</t>
  </si>
  <si>
    <t>Deyas</t>
  </si>
  <si>
    <t>ermiasalemayehu512@gmail.com</t>
  </si>
  <si>
    <t>Ermias</t>
  </si>
  <si>
    <t>Alemayehu Beriso</t>
  </si>
  <si>
    <t>yisakora@gmail.com</t>
  </si>
  <si>
    <t>Yisakor</t>
  </si>
  <si>
    <t>Kibret</t>
  </si>
  <si>
    <t>zawdetadesse2014@gmail.com</t>
  </si>
  <si>
    <t>Zawde</t>
  </si>
  <si>
    <t>TAdesse</t>
  </si>
  <si>
    <t>bachamagarsa0912@gmail.com</t>
  </si>
  <si>
    <t>Megersa</t>
  </si>
  <si>
    <t>Buchure</t>
  </si>
  <si>
    <t>fanossetie077@gmail.com</t>
  </si>
  <si>
    <t>Estifanos</t>
  </si>
  <si>
    <t>Setie</t>
  </si>
  <si>
    <t>tagel2011@gmail.com</t>
  </si>
  <si>
    <t>Taggle</t>
  </si>
  <si>
    <t>WOLDMICHEAL</t>
  </si>
  <si>
    <t>mahitemtemesgen@gmail.com</t>
  </si>
  <si>
    <t>MAHETEM</t>
  </si>
  <si>
    <t>GEBRE</t>
  </si>
  <si>
    <t>jobkebede47@gmail.com</t>
  </si>
  <si>
    <t>chimd2017@gmail.com</t>
  </si>
  <si>
    <t>Bakana</t>
  </si>
  <si>
    <t>fikrugtsadik@gmail.com</t>
  </si>
  <si>
    <t>Fikru</t>
  </si>
  <si>
    <t>Gebretsadik</t>
  </si>
  <si>
    <t>gechsmart.uta@gmail.com</t>
  </si>
  <si>
    <t>Getaneh</t>
  </si>
  <si>
    <t>donsalim716@gmail.com</t>
  </si>
  <si>
    <t>Salim</t>
  </si>
  <si>
    <t>ruttty00@gmail.com</t>
  </si>
  <si>
    <t>Ruhama</t>
  </si>
  <si>
    <t>tesfaneh.shimelis@aau.edu.et</t>
  </si>
  <si>
    <t>Tesfaneh</t>
  </si>
  <si>
    <t>Ayele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</si>
  <si>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</si>
  <si>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</si>
  <si>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</si>
  <si>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</si>
  <si>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</si>
  <si>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</si>
  <si>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</si>
  <si>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</si>
  <si>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</si>
  <si>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</si>
  <si>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</si>
  <si>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</si>
  <si>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</si>
  <si>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</si>
  <si>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</si>
  <si>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</si>
  <si>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</si>
  <si>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Additonal Comment </t>
  </si>
  <si>
    <t>Tsedenia</t>
  </si>
  <si>
    <t>+251992086318</t>
  </si>
  <si>
    <t>Data Analytics</t>
  </si>
  <si>
    <t>Wrong Person</t>
  </si>
  <si>
    <t>Reached</t>
  </si>
  <si>
    <t>NO</t>
  </si>
  <si>
    <t xml:space="preserve">she's busy </t>
  </si>
  <si>
    <t>Later Today</t>
  </si>
  <si>
    <t>Phone call</t>
  </si>
  <si>
    <t>Today</t>
  </si>
  <si>
    <t>They Will Finish</t>
  </si>
  <si>
    <t>no internet connection</t>
  </si>
  <si>
    <t xml:space="preserve">no pc nearby </t>
  </si>
  <si>
    <t>This Week</t>
  </si>
  <si>
    <t>Friday</t>
  </si>
  <si>
    <t>thought it was free</t>
  </si>
  <si>
    <t>Not interested anymore</t>
  </si>
  <si>
    <t>Not interested at the moment</t>
  </si>
  <si>
    <t>Won't Attend</t>
  </si>
  <si>
    <t>Can't Afford</t>
  </si>
  <si>
    <t>knows the process</t>
  </si>
  <si>
    <t>enrolled</t>
  </si>
  <si>
    <t>Aready Finished</t>
  </si>
  <si>
    <t>Done</t>
  </si>
  <si>
    <t>Already Finished</t>
  </si>
  <si>
    <t xml:space="preserve">he's busy </t>
  </si>
  <si>
    <t>Not sure</t>
  </si>
  <si>
    <t xml:space="preserve">he's very busy </t>
  </si>
  <si>
    <t xml:space="preserve">she's at work </t>
  </si>
  <si>
    <t xml:space="preserve">someone will pass the message </t>
  </si>
  <si>
    <t>They will pass the messagee</t>
  </si>
  <si>
    <t>not interested</t>
  </si>
  <si>
    <t>Not Interested</t>
  </si>
  <si>
    <t>done</t>
  </si>
  <si>
    <t>paid</t>
  </si>
  <si>
    <t>YES</t>
  </si>
  <si>
    <t>she's not sure</t>
  </si>
  <si>
    <t>she's busy</t>
  </si>
  <si>
    <t xml:space="preserve">no internet connection </t>
  </si>
  <si>
    <t>+251973340699</t>
  </si>
  <si>
    <t xml:space="preserve">Immediately </t>
  </si>
  <si>
    <t xml:space="preserve">wants to apply by himself </t>
  </si>
  <si>
    <t xml:space="preserve">can't talk </t>
  </si>
  <si>
    <t>Unable to Talk</t>
  </si>
  <si>
    <t>Wednesday</t>
  </si>
  <si>
    <t>Wanted Other Cource</t>
  </si>
  <si>
    <t>data science</t>
  </si>
  <si>
    <t xml:space="preserve">not interested </t>
  </si>
  <si>
    <t xml:space="preserve">forgot about it </t>
  </si>
  <si>
    <t>VA</t>
  </si>
  <si>
    <t>Phone Not Working</t>
  </si>
  <si>
    <t>Not Yet Called</t>
  </si>
  <si>
    <t>Not Picking Up</t>
  </si>
  <si>
    <t>+251920194745</t>
  </si>
  <si>
    <t xml:space="preserve">enrolled </t>
  </si>
  <si>
    <t>+251910088283</t>
  </si>
  <si>
    <t xml:space="preserve">he's  at work </t>
  </si>
  <si>
    <t>call status</t>
  </si>
  <si>
    <t>Data Science</t>
  </si>
  <si>
    <t xml:space="preserve">SHE is at class </t>
  </si>
  <si>
    <t>NET ISSUE</t>
  </si>
  <si>
    <t>HE MAY CALL BACK</t>
  </si>
  <si>
    <t>SHE IS BUSY</t>
  </si>
  <si>
    <t>SHE NEEDS TO BE SURE</t>
  </si>
  <si>
    <t>AWS</t>
  </si>
  <si>
    <t>BUSY SCEDULED</t>
  </si>
  <si>
    <t>SHE ALRADY STARTED THE CLASS</t>
  </si>
  <si>
    <t>UNABLE TO TALK</t>
  </si>
  <si>
    <t>HE WILL CALL BACK</t>
  </si>
  <si>
    <t>HE IS AT WORK</t>
  </si>
  <si>
    <t>HE NEEDS TO BESURE</t>
  </si>
  <si>
    <t>In person</t>
  </si>
  <si>
    <t>HE WILL COME TO LIDETA HUB</t>
  </si>
  <si>
    <t>SHE IS AT WORK</t>
  </si>
  <si>
    <t>HE KNOWS THE PROCESS</t>
  </si>
  <si>
    <t>NOT INTERESTED</t>
  </si>
  <si>
    <t xml:space="preserve">SHE NEEDS TO BE SURE </t>
  </si>
  <si>
    <t>SHE IS GREADE 12 STUDENT SO SHE WILL LET US AFTER EXAM</t>
  </si>
  <si>
    <t>FRONT END</t>
  </si>
  <si>
    <t>by mistake</t>
  </si>
  <si>
    <t>Other</t>
  </si>
  <si>
    <t>already took the cource</t>
  </si>
  <si>
    <t xml:space="preserve">will do it on my own </t>
  </si>
  <si>
    <t>learning BE</t>
  </si>
  <si>
    <t>no internet</t>
  </si>
  <si>
    <t>will do it now</t>
  </si>
  <si>
    <t>will do it on my own</t>
  </si>
  <si>
    <t>already learning</t>
  </si>
  <si>
    <t xml:space="preserve">Busy </t>
  </si>
  <si>
    <t>Girumsew</t>
  </si>
  <si>
    <t>is taking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</si>
</sst>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color theme="1"/>
      <name val="Poppins"/>
    </font>
    <font>
      <b/>
      <sz val="9.0"/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10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10</v>
      </c>
      <c r="F8" s="1" t="s">
        <v>11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34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10</v>
      </c>
      <c r="F10" s="1" t="s">
        <v>11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10</v>
      </c>
      <c r="F11" s="1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10</v>
      </c>
      <c r="F12" s="1" t="s">
        <v>11</v>
      </c>
    </row>
    <row r="1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10</v>
      </c>
      <c r="F13" s="1" t="s">
        <v>11</v>
      </c>
    </row>
    <row r="14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10</v>
      </c>
      <c r="F14" s="1" t="s">
        <v>34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10</v>
      </c>
      <c r="F15" s="1" t="s">
        <v>34</v>
      </c>
    </row>
    <row r="16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10</v>
      </c>
      <c r="F16" s="1" t="s">
        <v>34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10</v>
      </c>
      <c r="F17" s="1" t="s">
        <v>11</v>
      </c>
    </row>
    <row r="18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10</v>
      </c>
      <c r="F18" s="1" t="s">
        <v>29</v>
      </c>
    </row>
    <row r="19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10</v>
      </c>
      <c r="F19" s="1" t="s">
        <v>24</v>
      </c>
    </row>
    <row r="20">
      <c r="A20" s="1" t="s">
        <v>84</v>
      </c>
      <c r="B20" s="1" t="s">
        <v>85</v>
      </c>
      <c r="C20" s="1" t="s">
        <v>62</v>
      </c>
      <c r="D20" s="1" t="s">
        <v>86</v>
      </c>
      <c r="E20" s="1" t="s">
        <v>10</v>
      </c>
      <c r="F20" s="1" t="s">
        <v>29</v>
      </c>
    </row>
    <row r="21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10</v>
      </c>
      <c r="F21" s="1" t="s">
        <v>24</v>
      </c>
    </row>
    <row r="22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10</v>
      </c>
      <c r="F22" s="1" t="s">
        <v>95</v>
      </c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</v>
      </c>
      <c r="F23" s="1" t="s">
        <v>11</v>
      </c>
    </row>
    <row r="24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10</v>
      </c>
      <c r="F24" s="1" t="s">
        <v>29</v>
      </c>
    </row>
    <row r="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10</v>
      </c>
      <c r="F25" s="1" t="s">
        <v>11</v>
      </c>
    </row>
    <row r="26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10</v>
      </c>
      <c r="F26" s="1" t="s">
        <v>11</v>
      </c>
    </row>
    <row r="27">
      <c r="A27" s="1" t="s">
        <v>112</v>
      </c>
      <c r="B27" s="1" t="s">
        <v>113</v>
      </c>
      <c r="C27" s="1" t="s">
        <v>114</v>
      </c>
      <c r="D27" s="1" t="s">
        <v>115</v>
      </c>
      <c r="E27" s="1" t="s">
        <v>10</v>
      </c>
      <c r="F27" s="1" t="s">
        <v>29</v>
      </c>
    </row>
    <row r="28">
      <c r="A28" s="1" t="s">
        <v>116</v>
      </c>
      <c r="B28" s="1" t="s">
        <v>117</v>
      </c>
      <c r="C28" s="1" t="s">
        <v>17</v>
      </c>
      <c r="D28" s="1" t="s">
        <v>118</v>
      </c>
      <c r="E28" s="1" t="s">
        <v>10</v>
      </c>
      <c r="F28" s="1" t="s">
        <v>51</v>
      </c>
    </row>
    <row r="29">
      <c r="A29" s="1" t="s">
        <v>119</v>
      </c>
      <c r="B29" s="1" t="s">
        <v>117</v>
      </c>
      <c r="C29" s="1" t="s">
        <v>120</v>
      </c>
      <c r="D29" s="1" t="s">
        <v>121</v>
      </c>
      <c r="E29" s="1" t="s">
        <v>10</v>
      </c>
      <c r="F29" s="1" t="s">
        <v>11</v>
      </c>
    </row>
    <row r="30">
      <c r="A30" s="1" t="s">
        <v>122</v>
      </c>
      <c r="B30" s="1" t="s">
        <v>123</v>
      </c>
      <c r="C30" s="1" t="s">
        <v>124</v>
      </c>
      <c r="D30" s="1" t="s">
        <v>125</v>
      </c>
      <c r="E30" s="1" t="s">
        <v>10</v>
      </c>
      <c r="F30" s="1" t="s">
        <v>24</v>
      </c>
    </row>
    <row r="31">
      <c r="A31" s="1" t="s">
        <v>126</v>
      </c>
      <c r="B31" s="1" t="s">
        <v>127</v>
      </c>
      <c r="C31" s="1" t="s">
        <v>128</v>
      </c>
      <c r="D31" s="1" t="s">
        <v>129</v>
      </c>
      <c r="E31" s="1" t="s">
        <v>10</v>
      </c>
      <c r="F31" s="1" t="s">
        <v>11</v>
      </c>
    </row>
    <row r="32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10</v>
      </c>
      <c r="F32" s="1" t="s">
        <v>134</v>
      </c>
    </row>
    <row r="33">
      <c r="A33" s="1" t="s">
        <v>135</v>
      </c>
      <c r="B33" s="1" t="s">
        <v>136</v>
      </c>
      <c r="C33" s="1" t="s">
        <v>137</v>
      </c>
      <c r="D33" s="1">
        <v>9.73340699E8</v>
      </c>
      <c r="E33" s="1" t="s">
        <v>10</v>
      </c>
      <c r="F33" s="1" t="s">
        <v>134</v>
      </c>
    </row>
    <row r="34">
      <c r="A34" s="1" t="s">
        <v>138</v>
      </c>
      <c r="B34" s="1" t="s">
        <v>139</v>
      </c>
      <c r="C34" s="1" t="s">
        <v>140</v>
      </c>
      <c r="D34" s="1" t="s">
        <v>141</v>
      </c>
      <c r="E34" s="1" t="s">
        <v>10</v>
      </c>
      <c r="F34" s="1" t="s">
        <v>11</v>
      </c>
    </row>
    <row r="35">
      <c r="A35" s="1" t="s">
        <v>142</v>
      </c>
      <c r="B35" s="1" t="s">
        <v>143</v>
      </c>
      <c r="C35" s="1" t="s">
        <v>144</v>
      </c>
      <c r="D35" s="1" t="s">
        <v>145</v>
      </c>
      <c r="E35" s="1" t="s">
        <v>10</v>
      </c>
      <c r="F35" s="1" t="s">
        <v>29</v>
      </c>
    </row>
    <row r="36">
      <c r="A36" s="1" t="s">
        <v>146</v>
      </c>
      <c r="B36" s="1" t="s">
        <v>147</v>
      </c>
      <c r="C36" s="1" t="s">
        <v>148</v>
      </c>
      <c r="D36" s="1" t="s">
        <v>149</v>
      </c>
      <c r="E36" s="1" t="s">
        <v>10</v>
      </c>
      <c r="F36" s="1" t="s">
        <v>11</v>
      </c>
    </row>
    <row r="37">
      <c r="A37" s="1" t="s">
        <v>150</v>
      </c>
      <c r="B37" s="1" t="s">
        <v>151</v>
      </c>
      <c r="C37" s="1" t="s">
        <v>152</v>
      </c>
      <c r="D37" s="1" t="s">
        <v>153</v>
      </c>
      <c r="E37" s="1" t="s">
        <v>10</v>
      </c>
      <c r="F37" s="1" t="s">
        <v>11</v>
      </c>
    </row>
    <row r="38">
      <c r="A38" s="1" t="s">
        <v>154</v>
      </c>
      <c r="B38" s="1" t="s">
        <v>155</v>
      </c>
      <c r="C38" s="1" t="s">
        <v>124</v>
      </c>
      <c r="D38" s="1" t="s">
        <v>156</v>
      </c>
      <c r="E38" s="1" t="s">
        <v>10</v>
      </c>
      <c r="F38" s="1" t="s">
        <v>11</v>
      </c>
    </row>
    <row r="39">
      <c r="A39" s="1" t="s">
        <v>157</v>
      </c>
      <c r="B39" s="1" t="s">
        <v>158</v>
      </c>
      <c r="C39" s="1" t="s">
        <v>159</v>
      </c>
      <c r="D39" s="1" t="s">
        <v>160</v>
      </c>
      <c r="E39" s="1" t="s">
        <v>10</v>
      </c>
      <c r="F39" s="1" t="s">
        <v>11</v>
      </c>
    </row>
    <row r="40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10</v>
      </c>
      <c r="F40" s="1" t="s">
        <v>11</v>
      </c>
    </row>
    <row r="41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10</v>
      </c>
      <c r="F41" s="1" t="s">
        <v>24</v>
      </c>
    </row>
    <row r="42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10</v>
      </c>
      <c r="F42" s="1" t="s">
        <v>34</v>
      </c>
    </row>
    <row r="43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10</v>
      </c>
      <c r="F43" s="1" t="s">
        <v>134</v>
      </c>
    </row>
    <row r="44">
      <c r="A44" s="1" t="s">
        <v>177</v>
      </c>
      <c r="B44" s="1" t="s">
        <v>178</v>
      </c>
      <c r="C44" s="1" t="s">
        <v>179</v>
      </c>
      <c r="D44" s="1" t="s">
        <v>180</v>
      </c>
      <c r="E44" s="1" t="s">
        <v>10</v>
      </c>
      <c r="F44" s="1" t="s">
        <v>24</v>
      </c>
    </row>
    <row r="45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10</v>
      </c>
      <c r="F45" s="1" t="s">
        <v>11</v>
      </c>
    </row>
    <row r="46">
      <c r="A46" s="1" t="s">
        <v>185</v>
      </c>
      <c r="B46" s="1" t="s">
        <v>186</v>
      </c>
      <c r="C46" s="1" t="s">
        <v>187</v>
      </c>
      <c r="D46" s="1">
        <v>9.20194745E8</v>
      </c>
      <c r="E46" s="1" t="s">
        <v>10</v>
      </c>
      <c r="F46" s="1" t="s">
        <v>24</v>
      </c>
    </row>
    <row r="47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10</v>
      </c>
      <c r="F47" s="1" t="s">
        <v>11</v>
      </c>
    </row>
    <row r="48">
      <c r="A48" s="1" t="s">
        <v>192</v>
      </c>
      <c r="B48" s="1" t="s">
        <v>193</v>
      </c>
      <c r="C48" s="1" t="s">
        <v>194</v>
      </c>
      <c r="D48" s="1" t="s">
        <v>195</v>
      </c>
      <c r="E48" s="1" t="s">
        <v>10</v>
      </c>
      <c r="F48" s="1" t="s">
        <v>34</v>
      </c>
    </row>
    <row r="49">
      <c r="A49" s="1" t="s">
        <v>196</v>
      </c>
      <c r="B49" s="1" t="s">
        <v>158</v>
      </c>
      <c r="C49" s="1" t="s">
        <v>197</v>
      </c>
      <c r="D49" s="1" t="s">
        <v>198</v>
      </c>
      <c r="E49" s="1" t="s">
        <v>10</v>
      </c>
      <c r="F49" s="1" t="s">
        <v>95</v>
      </c>
    </row>
    <row r="50">
      <c r="A50" s="1" t="s">
        <v>199</v>
      </c>
      <c r="B50" s="1" t="s">
        <v>200</v>
      </c>
      <c r="C50" s="1" t="s">
        <v>201</v>
      </c>
      <c r="D50" s="1" t="s">
        <v>202</v>
      </c>
      <c r="E50" s="1" t="s">
        <v>10</v>
      </c>
      <c r="F50" s="1" t="s">
        <v>134</v>
      </c>
    </row>
    <row r="51">
      <c r="A51" s="2" t="s">
        <v>203</v>
      </c>
      <c r="B51" s="2" t="s">
        <v>204</v>
      </c>
      <c r="C51" s="2" t="s">
        <v>205</v>
      </c>
      <c r="D51" s="2">
        <v>9.10088283E8</v>
      </c>
      <c r="E51" s="2" t="s">
        <v>10</v>
      </c>
      <c r="F51" s="2" t="s">
        <v>29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1" t="s">
        <v>206</v>
      </c>
      <c r="B52" s="1" t="s">
        <v>207</v>
      </c>
      <c r="C52" s="1" t="s">
        <v>208</v>
      </c>
      <c r="D52" s="1" t="s">
        <v>209</v>
      </c>
      <c r="E52" s="1" t="s">
        <v>10</v>
      </c>
      <c r="F52" s="1" t="s">
        <v>134</v>
      </c>
    </row>
    <row r="53">
      <c r="A53" s="1" t="s">
        <v>210</v>
      </c>
      <c r="B53" s="1" t="s">
        <v>211</v>
      </c>
      <c r="C53" s="1" t="s">
        <v>62</v>
      </c>
      <c r="D53" s="1" t="s">
        <v>212</v>
      </c>
      <c r="E53" s="1" t="s">
        <v>10</v>
      </c>
      <c r="F53" s="1" t="s">
        <v>51</v>
      </c>
    </row>
    <row r="54">
      <c r="A54" s="1" t="s">
        <v>213</v>
      </c>
      <c r="B54" s="1" t="s">
        <v>214</v>
      </c>
      <c r="C54" s="1" t="s">
        <v>215</v>
      </c>
      <c r="D54" s="1" t="s">
        <v>216</v>
      </c>
      <c r="E54" s="1" t="s">
        <v>10</v>
      </c>
      <c r="F54" s="1" t="s">
        <v>34</v>
      </c>
    </row>
    <row r="55">
      <c r="A55" s="1" t="s">
        <v>217</v>
      </c>
      <c r="B55" s="1" t="s">
        <v>218</v>
      </c>
      <c r="C55" s="1" t="s">
        <v>219</v>
      </c>
      <c r="D55" s="1" t="s">
        <v>220</v>
      </c>
      <c r="E55" s="1" t="s">
        <v>10</v>
      </c>
      <c r="F55" s="1" t="s">
        <v>11</v>
      </c>
    </row>
    <row r="56">
      <c r="A56" s="1" t="s">
        <v>221</v>
      </c>
      <c r="B56" s="1" t="s">
        <v>204</v>
      </c>
      <c r="C56" s="1" t="s">
        <v>222</v>
      </c>
      <c r="D56" s="1" t="s">
        <v>223</v>
      </c>
      <c r="E56" s="1" t="s">
        <v>10</v>
      </c>
      <c r="F56" s="1" t="s">
        <v>134</v>
      </c>
    </row>
    <row r="57">
      <c r="A57" s="1" t="s">
        <v>224</v>
      </c>
      <c r="B57" s="1" t="s">
        <v>225</v>
      </c>
      <c r="C57" s="1" t="s">
        <v>226</v>
      </c>
      <c r="D57" s="1" t="s">
        <v>227</v>
      </c>
      <c r="E57" s="1" t="s">
        <v>10</v>
      </c>
      <c r="F57" s="1" t="s">
        <v>11</v>
      </c>
    </row>
    <row r="58">
      <c r="A58" s="1" t="s">
        <v>228</v>
      </c>
      <c r="B58" s="1" t="s">
        <v>229</v>
      </c>
      <c r="C58" s="1" t="s">
        <v>230</v>
      </c>
      <c r="D58" s="1" t="s">
        <v>231</v>
      </c>
      <c r="E58" s="1" t="s">
        <v>10</v>
      </c>
      <c r="F58" s="1" t="s">
        <v>11</v>
      </c>
    </row>
    <row r="59">
      <c r="A59" s="1" t="s">
        <v>232</v>
      </c>
      <c r="B59" s="1" t="s">
        <v>233</v>
      </c>
      <c r="C59" s="1" t="s">
        <v>234</v>
      </c>
      <c r="D59" s="1" t="s">
        <v>235</v>
      </c>
      <c r="E59" s="1" t="s">
        <v>10</v>
      </c>
      <c r="F59" s="1" t="s">
        <v>95</v>
      </c>
    </row>
    <row r="60">
      <c r="A60" s="1" t="s">
        <v>236</v>
      </c>
      <c r="B60" s="1" t="s">
        <v>237</v>
      </c>
      <c r="C60" s="1" t="s">
        <v>238</v>
      </c>
      <c r="D60" s="1" t="s">
        <v>239</v>
      </c>
      <c r="E60" s="1" t="s">
        <v>10</v>
      </c>
      <c r="F60" s="1" t="s">
        <v>134</v>
      </c>
    </row>
    <row r="61">
      <c r="A61" s="1" t="s">
        <v>240</v>
      </c>
      <c r="B61" s="1" t="s">
        <v>214</v>
      </c>
      <c r="C61" s="1" t="s">
        <v>241</v>
      </c>
      <c r="D61" s="1" t="s">
        <v>242</v>
      </c>
      <c r="E61" s="1" t="s">
        <v>10</v>
      </c>
      <c r="F61" s="1" t="s">
        <v>134</v>
      </c>
    </row>
    <row r="62">
      <c r="A62" s="1" t="s">
        <v>243</v>
      </c>
      <c r="B62" s="1" t="s">
        <v>244</v>
      </c>
      <c r="C62" s="1" t="s">
        <v>245</v>
      </c>
      <c r="D62" s="1" t="s">
        <v>246</v>
      </c>
      <c r="E62" s="1" t="s">
        <v>10</v>
      </c>
      <c r="F62" s="1" t="s">
        <v>11</v>
      </c>
    </row>
    <row r="63">
      <c r="A63" s="1" t="s">
        <v>247</v>
      </c>
      <c r="B63" s="1" t="s">
        <v>248</v>
      </c>
      <c r="C63" s="1" t="s">
        <v>249</v>
      </c>
      <c r="D63" s="1" t="s">
        <v>250</v>
      </c>
      <c r="E63" s="1" t="s">
        <v>10</v>
      </c>
      <c r="F63" s="1" t="s">
        <v>11</v>
      </c>
    </row>
    <row r="64">
      <c r="A64" s="1" t="s">
        <v>251</v>
      </c>
      <c r="B64" s="1" t="s">
        <v>252</v>
      </c>
      <c r="C64" s="1" t="s">
        <v>253</v>
      </c>
      <c r="D64" s="1" t="s">
        <v>254</v>
      </c>
      <c r="E64" s="1" t="s">
        <v>10</v>
      </c>
      <c r="F64" s="1" t="s">
        <v>29</v>
      </c>
    </row>
    <row r="65">
      <c r="A65" s="1" t="s">
        <v>255</v>
      </c>
      <c r="B65" s="1" t="s">
        <v>256</v>
      </c>
      <c r="C65" s="1" t="s">
        <v>257</v>
      </c>
      <c r="D65" s="1" t="s">
        <v>258</v>
      </c>
      <c r="E65" s="1" t="s">
        <v>10</v>
      </c>
      <c r="F65" s="1" t="s">
        <v>34</v>
      </c>
    </row>
    <row r="66">
      <c r="A66" s="1" t="s">
        <v>259</v>
      </c>
      <c r="B66" s="1" t="s">
        <v>260</v>
      </c>
      <c r="C66" s="1" t="s">
        <v>261</v>
      </c>
      <c r="D66" s="1" t="s">
        <v>262</v>
      </c>
      <c r="E66" s="1" t="s">
        <v>10</v>
      </c>
      <c r="F66" s="1" t="s">
        <v>11</v>
      </c>
    </row>
    <row r="67">
      <c r="A67" s="1" t="s">
        <v>263</v>
      </c>
      <c r="B67" s="1" t="s">
        <v>264</v>
      </c>
      <c r="C67" s="1" t="s">
        <v>253</v>
      </c>
      <c r="D67" s="1" t="s">
        <v>265</v>
      </c>
      <c r="E67" s="1" t="s">
        <v>10</v>
      </c>
      <c r="F67" s="1" t="s">
        <v>11</v>
      </c>
    </row>
    <row r="68">
      <c r="A68" s="1" t="s">
        <v>266</v>
      </c>
      <c r="B68" s="1" t="s">
        <v>237</v>
      </c>
      <c r="C68" s="1" t="s">
        <v>267</v>
      </c>
      <c r="D68" s="1" t="s">
        <v>268</v>
      </c>
      <c r="E68" s="1" t="s">
        <v>10</v>
      </c>
      <c r="F68" s="1" t="s">
        <v>29</v>
      </c>
    </row>
    <row r="69">
      <c r="A69" s="1" t="s">
        <v>269</v>
      </c>
      <c r="B69" s="1" t="s">
        <v>270</v>
      </c>
      <c r="C69" s="1" t="s">
        <v>271</v>
      </c>
      <c r="D69" s="1" t="s">
        <v>272</v>
      </c>
      <c r="E69" s="1" t="s">
        <v>10</v>
      </c>
      <c r="F69" s="1" t="s">
        <v>24</v>
      </c>
    </row>
    <row r="70">
      <c r="A70" s="1" t="s">
        <v>273</v>
      </c>
      <c r="B70" s="1" t="s">
        <v>274</v>
      </c>
      <c r="C70" s="1" t="s">
        <v>275</v>
      </c>
      <c r="D70" s="1" t="s">
        <v>276</v>
      </c>
      <c r="E70" s="1" t="s">
        <v>10</v>
      </c>
      <c r="F70" s="1" t="s">
        <v>11</v>
      </c>
    </row>
    <row r="71">
      <c r="A71" s="1" t="s">
        <v>277</v>
      </c>
      <c r="B71" s="1" t="s">
        <v>278</v>
      </c>
      <c r="C71" s="1" t="s">
        <v>279</v>
      </c>
      <c r="D71" s="1" t="s">
        <v>280</v>
      </c>
      <c r="E71" s="1" t="s">
        <v>10</v>
      </c>
      <c r="F71" s="1" t="s">
        <v>11</v>
      </c>
    </row>
    <row r="72">
      <c r="A72" s="1" t="s">
        <v>281</v>
      </c>
      <c r="B72" s="1" t="s">
        <v>282</v>
      </c>
      <c r="C72" s="1" t="s">
        <v>283</v>
      </c>
      <c r="D72" s="1" t="s">
        <v>284</v>
      </c>
      <c r="E72" s="1" t="s">
        <v>10</v>
      </c>
      <c r="F72" s="1" t="s">
        <v>11</v>
      </c>
    </row>
    <row r="73">
      <c r="A73" s="1" t="s">
        <v>285</v>
      </c>
      <c r="B73" s="1" t="s">
        <v>214</v>
      </c>
      <c r="C73" s="1" t="s">
        <v>286</v>
      </c>
      <c r="D73" s="1" t="s">
        <v>287</v>
      </c>
      <c r="E73" s="1" t="s">
        <v>288</v>
      </c>
    </row>
    <row r="74">
      <c r="A74" s="1" t="s">
        <v>289</v>
      </c>
      <c r="B74" s="1" t="s">
        <v>290</v>
      </c>
      <c r="C74" s="1" t="s">
        <v>291</v>
      </c>
      <c r="D74" s="1" t="s">
        <v>292</v>
      </c>
      <c r="E74" s="1" t="s">
        <v>288</v>
      </c>
    </row>
    <row r="75">
      <c r="A75" s="1" t="s">
        <v>293</v>
      </c>
      <c r="B75" s="1" t="s">
        <v>294</v>
      </c>
      <c r="C75" s="1" t="s">
        <v>295</v>
      </c>
      <c r="D75" s="1" t="s">
        <v>296</v>
      </c>
      <c r="E75" s="1" t="s">
        <v>288</v>
      </c>
    </row>
    <row r="76">
      <c r="A76" s="1" t="s">
        <v>297</v>
      </c>
      <c r="B76" s="1" t="s">
        <v>218</v>
      </c>
      <c r="C76" s="1" t="s">
        <v>298</v>
      </c>
      <c r="D76" s="1" t="s">
        <v>299</v>
      </c>
      <c r="E76" s="1" t="s">
        <v>288</v>
      </c>
    </row>
    <row r="77">
      <c r="A77" s="1" t="s">
        <v>300</v>
      </c>
      <c r="B77" s="1" t="s">
        <v>301</v>
      </c>
      <c r="C77" s="1" t="s">
        <v>302</v>
      </c>
      <c r="D77" s="1" t="s">
        <v>303</v>
      </c>
      <c r="E77" s="1" t="s">
        <v>288</v>
      </c>
    </row>
    <row r="78">
      <c r="A78" s="1" t="s">
        <v>304</v>
      </c>
      <c r="B78" s="1" t="s">
        <v>305</v>
      </c>
      <c r="C78" s="1" t="s">
        <v>306</v>
      </c>
      <c r="D78" s="1" t="s">
        <v>307</v>
      </c>
      <c r="E78" s="1" t="s">
        <v>288</v>
      </c>
    </row>
    <row r="79">
      <c r="A79" s="1" t="s">
        <v>308</v>
      </c>
      <c r="B79" s="1" t="s">
        <v>309</v>
      </c>
      <c r="C79" s="1" t="s">
        <v>310</v>
      </c>
      <c r="D79" s="1" t="s">
        <v>311</v>
      </c>
      <c r="E79" s="1" t="s">
        <v>288</v>
      </c>
    </row>
    <row r="80">
      <c r="A80" s="1" t="s">
        <v>312</v>
      </c>
      <c r="B80" s="1" t="s">
        <v>313</v>
      </c>
      <c r="C80" s="1" t="s">
        <v>314</v>
      </c>
      <c r="D80" s="1" t="s">
        <v>315</v>
      </c>
      <c r="E80" s="1" t="s">
        <v>288</v>
      </c>
    </row>
    <row r="81">
      <c r="A81" s="1" t="s">
        <v>316</v>
      </c>
      <c r="B81" s="1" t="s">
        <v>317</v>
      </c>
      <c r="C81" s="1" t="s">
        <v>318</v>
      </c>
      <c r="D81" s="1" t="s">
        <v>319</v>
      </c>
      <c r="E81" s="1" t="s">
        <v>288</v>
      </c>
    </row>
    <row r="82">
      <c r="A82" s="1" t="s">
        <v>320</v>
      </c>
      <c r="B82" s="1" t="s">
        <v>321</v>
      </c>
      <c r="C82" s="1" t="s">
        <v>322</v>
      </c>
      <c r="D82" s="1" t="s">
        <v>323</v>
      </c>
      <c r="E82" s="1" t="s">
        <v>324</v>
      </c>
    </row>
    <row r="83">
      <c r="A83" s="1" t="s">
        <v>325</v>
      </c>
      <c r="B83" s="1" t="s">
        <v>326</v>
      </c>
      <c r="C83" s="1" t="s">
        <v>327</v>
      </c>
      <c r="D83" s="1" t="s">
        <v>328</v>
      </c>
      <c r="E83" s="1" t="s">
        <v>324</v>
      </c>
    </row>
    <row r="84">
      <c r="A84" s="1" t="s">
        <v>329</v>
      </c>
      <c r="B84" s="1" t="s">
        <v>330</v>
      </c>
      <c r="C84" s="1" t="s">
        <v>331</v>
      </c>
      <c r="D84" s="1" t="s">
        <v>332</v>
      </c>
      <c r="E84" s="1" t="s">
        <v>324</v>
      </c>
    </row>
    <row r="85">
      <c r="A85" s="1" t="s">
        <v>333</v>
      </c>
      <c r="B85" s="1" t="s">
        <v>334</v>
      </c>
      <c r="C85" s="1" t="s">
        <v>335</v>
      </c>
      <c r="D85" s="1" t="s">
        <v>336</v>
      </c>
      <c r="E85" s="1" t="s">
        <v>324</v>
      </c>
    </row>
    <row r="86">
      <c r="A86" s="1" t="s">
        <v>337</v>
      </c>
      <c r="B86" s="1" t="s">
        <v>338</v>
      </c>
      <c r="C86" s="1" t="s">
        <v>339</v>
      </c>
      <c r="D86" s="1" t="s">
        <v>340</v>
      </c>
      <c r="E86" s="1" t="s">
        <v>324</v>
      </c>
    </row>
    <row r="87">
      <c r="A87" s="1" t="s">
        <v>341</v>
      </c>
      <c r="B87" s="1" t="s">
        <v>342</v>
      </c>
      <c r="C87" s="1" t="s">
        <v>343</v>
      </c>
      <c r="D87" s="1" t="s">
        <v>344</v>
      </c>
      <c r="E87" s="1" t="s">
        <v>324</v>
      </c>
    </row>
    <row r="88">
      <c r="A88" s="1" t="s">
        <v>345</v>
      </c>
      <c r="B88" s="1" t="s">
        <v>117</v>
      </c>
      <c r="C88" s="1" t="s">
        <v>346</v>
      </c>
      <c r="D88" s="1" t="s">
        <v>347</v>
      </c>
      <c r="E88" s="1" t="s">
        <v>324</v>
      </c>
    </row>
    <row r="89">
      <c r="A89" s="1" t="s">
        <v>348</v>
      </c>
      <c r="B89" s="1" t="s">
        <v>81</v>
      </c>
      <c r="C89" s="1" t="s">
        <v>349</v>
      </c>
      <c r="D89" s="1" t="s">
        <v>350</v>
      </c>
      <c r="E89" s="1" t="s">
        <v>324</v>
      </c>
    </row>
    <row r="90">
      <c r="A90" s="1" t="s">
        <v>351</v>
      </c>
      <c r="B90" s="1" t="s">
        <v>352</v>
      </c>
      <c r="C90" s="1" t="s">
        <v>353</v>
      </c>
      <c r="D90" s="1" t="s">
        <v>354</v>
      </c>
      <c r="E90" s="1" t="s">
        <v>324</v>
      </c>
    </row>
    <row r="91">
      <c r="A91" s="1" t="s">
        <v>355</v>
      </c>
      <c r="B91" s="1" t="s">
        <v>356</v>
      </c>
      <c r="C91" s="1" t="s">
        <v>357</v>
      </c>
      <c r="D91" s="1" t="s">
        <v>358</v>
      </c>
      <c r="E91" s="1" t="s">
        <v>324</v>
      </c>
    </row>
    <row r="92">
      <c r="A92" s="1" t="s">
        <v>359</v>
      </c>
      <c r="B92" s="1" t="s">
        <v>360</v>
      </c>
      <c r="C92" s="1" t="s">
        <v>361</v>
      </c>
      <c r="D92" s="1" t="s">
        <v>362</v>
      </c>
      <c r="E92" s="1" t="s">
        <v>324</v>
      </c>
    </row>
    <row r="93">
      <c r="A93" s="1" t="s">
        <v>363</v>
      </c>
      <c r="B93" s="1" t="s">
        <v>364</v>
      </c>
      <c r="C93" s="1" t="s">
        <v>365</v>
      </c>
      <c r="D93" s="1" t="s">
        <v>366</v>
      </c>
      <c r="E93" s="1" t="s">
        <v>324</v>
      </c>
    </row>
    <row r="94">
      <c r="A94" s="1" t="s">
        <v>367</v>
      </c>
      <c r="B94" s="1" t="s">
        <v>368</v>
      </c>
      <c r="C94" s="1" t="s">
        <v>369</v>
      </c>
      <c r="D94" s="1" t="s">
        <v>370</v>
      </c>
      <c r="E94" s="1" t="s">
        <v>324</v>
      </c>
    </row>
    <row r="95">
      <c r="A95" s="1" t="s">
        <v>371</v>
      </c>
      <c r="B95" s="1" t="s">
        <v>372</v>
      </c>
      <c r="C95" s="1" t="s">
        <v>219</v>
      </c>
      <c r="D95" s="1" t="s">
        <v>373</v>
      </c>
      <c r="E95" s="1" t="s">
        <v>324</v>
      </c>
    </row>
    <row r="96">
      <c r="A96" s="1" t="s">
        <v>374</v>
      </c>
      <c r="B96" s="1" t="s">
        <v>375</v>
      </c>
      <c r="C96" s="1" t="s">
        <v>376</v>
      </c>
      <c r="D96" s="1" t="s">
        <v>377</v>
      </c>
      <c r="E96" s="1" t="s">
        <v>324</v>
      </c>
    </row>
    <row r="97">
      <c r="A97" s="1" t="s">
        <v>378</v>
      </c>
      <c r="B97" s="1" t="s">
        <v>379</v>
      </c>
      <c r="C97" s="1" t="s">
        <v>380</v>
      </c>
      <c r="D97" s="1" t="s">
        <v>381</v>
      </c>
      <c r="E97" s="1" t="s">
        <v>324</v>
      </c>
    </row>
    <row r="98">
      <c r="A98" s="1" t="s">
        <v>382</v>
      </c>
      <c r="B98" s="1" t="s">
        <v>383</v>
      </c>
      <c r="C98" s="1" t="s">
        <v>384</v>
      </c>
      <c r="D98" s="1" t="s">
        <v>385</v>
      </c>
      <c r="E98" s="1" t="s">
        <v>324</v>
      </c>
    </row>
    <row r="99">
      <c r="A99" s="1" t="s">
        <v>386</v>
      </c>
      <c r="B99" s="1" t="s">
        <v>387</v>
      </c>
      <c r="C99" s="1" t="s">
        <v>388</v>
      </c>
      <c r="D99" s="1">
        <v>9.80630387E8</v>
      </c>
      <c r="E99" s="1" t="s">
        <v>324</v>
      </c>
    </row>
    <row r="100">
      <c r="A100" s="1" t="s">
        <v>389</v>
      </c>
      <c r="B100" s="1" t="s">
        <v>390</v>
      </c>
      <c r="C100" s="1" t="s">
        <v>93</v>
      </c>
      <c r="D100" s="1" t="s">
        <v>391</v>
      </c>
      <c r="E100" s="1" t="s">
        <v>324</v>
      </c>
    </row>
    <row r="101">
      <c r="A101" s="1" t="s">
        <v>392</v>
      </c>
      <c r="B101" s="1" t="s">
        <v>393</v>
      </c>
      <c r="C101" s="1" t="s">
        <v>394</v>
      </c>
      <c r="D101" s="1" t="s">
        <v>395</v>
      </c>
      <c r="E101" s="1" t="s">
        <v>324</v>
      </c>
    </row>
    <row r="102">
      <c r="A102" s="1" t="s">
        <v>396</v>
      </c>
      <c r="B102" s="1" t="s">
        <v>397</v>
      </c>
      <c r="C102" s="1" t="s">
        <v>398</v>
      </c>
      <c r="D102" s="1" t="s">
        <v>399</v>
      </c>
      <c r="E102" s="1" t="s">
        <v>324</v>
      </c>
    </row>
    <row r="103">
      <c r="A103" s="1" t="s">
        <v>400</v>
      </c>
      <c r="B103" s="1" t="s">
        <v>401</v>
      </c>
      <c r="C103" s="1" t="s">
        <v>402</v>
      </c>
      <c r="D103" s="1" t="s">
        <v>403</v>
      </c>
      <c r="E103" s="1" t="s">
        <v>324</v>
      </c>
    </row>
    <row r="104">
      <c r="A104" s="1" t="s">
        <v>404</v>
      </c>
      <c r="B104" s="1" t="s">
        <v>405</v>
      </c>
      <c r="C104" s="1" t="s">
        <v>406</v>
      </c>
      <c r="D104" s="1" t="s">
        <v>407</v>
      </c>
      <c r="E104" s="1" t="s">
        <v>324</v>
      </c>
    </row>
    <row r="105">
      <c r="A105" s="1" t="s">
        <v>408</v>
      </c>
      <c r="B105" s="1" t="s">
        <v>36</v>
      </c>
      <c r="C105" s="1" t="s">
        <v>409</v>
      </c>
      <c r="D105" s="1" t="s">
        <v>410</v>
      </c>
      <c r="E105" s="1" t="s">
        <v>324</v>
      </c>
    </row>
    <row r="106">
      <c r="A106" s="1" t="s">
        <v>411</v>
      </c>
      <c r="B106" s="1" t="s">
        <v>412</v>
      </c>
      <c r="C106" s="1" t="s">
        <v>413</v>
      </c>
      <c r="D106" s="1" t="s">
        <v>414</v>
      </c>
      <c r="E106" s="1" t="s">
        <v>324</v>
      </c>
    </row>
    <row r="107">
      <c r="A107" s="1" t="s">
        <v>415</v>
      </c>
      <c r="B107" s="1" t="s">
        <v>416</v>
      </c>
      <c r="C107" s="1" t="s">
        <v>417</v>
      </c>
      <c r="D107" s="1" t="s">
        <v>418</v>
      </c>
      <c r="E107" s="1" t="s">
        <v>324</v>
      </c>
    </row>
    <row r="108">
      <c r="A108" s="1" t="s">
        <v>419</v>
      </c>
      <c r="B108" s="1" t="s">
        <v>420</v>
      </c>
      <c r="C108" s="1" t="s">
        <v>421</v>
      </c>
      <c r="D108" s="1" t="s">
        <v>422</v>
      </c>
      <c r="E108" s="1" t="s">
        <v>324</v>
      </c>
    </row>
    <row r="109">
      <c r="A109" s="1" t="s">
        <v>423</v>
      </c>
      <c r="B109" s="1" t="s">
        <v>424</v>
      </c>
      <c r="C109" s="1" t="s">
        <v>425</v>
      </c>
      <c r="D109" s="1" t="s">
        <v>426</v>
      </c>
      <c r="E109" s="1" t="s">
        <v>324</v>
      </c>
    </row>
    <row r="110">
      <c r="A110" s="1" t="s">
        <v>427</v>
      </c>
      <c r="B110" s="1" t="s">
        <v>290</v>
      </c>
      <c r="C110" s="1" t="s">
        <v>291</v>
      </c>
      <c r="D110" s="1" t="s">
        <v>292</v>
      </c>
      <c r="E110" s="1" t="s">
        <v>324</v>
      </c>
    </row>
    <row r="111">
      <c r="A111" s="1" t="s">
        <v>428</v>
      </c>
      <c r="B111" s="1" t="s">
        <v>429</v>
      </c>
      <c r="C111" s="1" t="s">
        <v>430</v>
      </c>
      <c r="D111" s="1" t="s">
        <v>431</v>
      </c>
      <c r="E111" s="1" t="s">
        <v>324</v>
      </c>
    </row>
    <row r="112">
      <c r="A112" s="1" t="s">
        <v>432</v>
      </c>
      <c r="B112" s="1" t="s">
        <v>372</v>
      </c>
      <c r="C112" s="1" t="s">
        <v>433</v>
      </c>
      <c r="D112" s="1" t="s">
        <v>434</v>
      </c>
      <c r="E112" s="1" t="s">
        <v>324</v>
      </c>
    </row>
    <row r="113">
      <c r="A113" s="1" t="s">
        <v>435</v>
      </c>
      <c r="B113" s="1" t="s">
        <v>436</v>
      </c>
      <c r="C113" s="1" t="s">
        <v>437</v>
      </c>
      <c r="D113" s="1">
        <v>9.16881919E8</v>
      </c>
      <c r="E113" s="1" t="s">
        <v>324</v>
      </c>
    </row>
    <row r="114">
      <c r="A114" s="1" t="s">
        <v>438</v>
      </c>
      <c r="B114" s="1" t="s">
        <v>439</v>
      </c>
      <c r="C114" s="1" t="s">
        <v>440</v>
      </c>
      <c r="D114" s="1" t="s">
        <v>441</v>
      </c>
      <c r="E114" s="1" t="s">
        <v>324</v>
      </c>
    </row>
    <row r="115">
      <c r="A115" s="1" t="s">
        <v>442</v>
      </c>
      <c r="B115" s="1" t="s">
        <v>443</v>
      </c>
      <c r="C115" s="1" t="s">
        <v>444</v>
      </c>
      <c r="D115" s="1" t="s">
        <v>445</v>
      </c>
      <c r="E115" s="1" t="s">
        <v>324</v>
      </c>
    </row>
    <row r="116">
      <c r="A116" s="1" t="s">
        <v>446</v>
      </c>
      <c r="B116" s="1" t="s">
        <v>447</v>
      </c>
      <c r="C116" s="1" t="s">
        <v>402</v>
      </c>
      <c r="D116" s="1" t="s">
        <v>448</v>
      </c>
      <c r="E116" s="1" t="s">
        <v>324</v>
      </c>
    </row>
    <row r="117">
      <c r="A117" s="1" t="s">
        <v>449</v>
      </c>
      <c r="B117" s="1" t="s">
        <v>450</v>
      </c>
      <c r="C117" s="1" t="s">
        <v>451</v>
      </c>
      <c r="D117" s="1" t="s">
        <v>452</v>
      </c>
      <c r="E117" s="1" t="s">
        <v>324</v>
      </c>
    </row>
    <row r="118">
      <c r="A118" s="1" t="s">
        <v>453</v>
      </c>
      <c r="B118" s="1" t="s">
        <v>454</v>
      </c>
      <c r="C118" s="1" t="s">
        <v>455</v>
      </c>
      <c r="D118" s="1" t="s">
        <v>456</v>
      </c>
      <c r="E118" s="1" t="s">
        <v>324</v>
      </c>
    </row>
    <row r="119">
      <c r="A119" s="1" t="s">
        <v>457</v>
      </c>
      <c r="B119" s="1" t="s">
        <v>458</v>
      </c>
      <c r="C119" s="1" t="s">
        <v>459</v>
      </c>
      <c r="D119" s="1" t="s">
        <v>460</v>
      </c>
      <c r="E119" s="1" t="s">
        <v>324</v>
      </c>
    </row>
    <row r="120">
      <c r="A120" s="1" t="s">
        <v>461</v>
      </c>
      <c r="B120" s="1" t="s">
        <v>462</v>
      </c>
      <c r="C120" s="1" t="s">
        <v>463</v>
      </c>
      <c r="D120" s="1" t="s">
        <v>464</v>
      </c>
      <c r="E120" s="1" t="s">
        <v>324</v>
      </c>
    </row>
    <row r="121">
      <c r="A121" s="1" t="s">
        <v>465</v>
      </c>
      <c r="B121" s="1" t="s">
        <v>466</v>
      </c>
      <c r="C121" s="1" t="s">
        <v>467</v>
      </c>
      <c r="D121" s="1" t="s">
        <v>468</v>
      </c>
      <c r="E121" s="1" t="s">
        <v>324</v>
      </c>
    </row>
    <row r="122">
      <c r="A122" s="1" t="s">
        <v>469</v>
      </c>
      <c r="B122" s="1" t="s">
        <v>470</v>
      </c>
      <c r="C122" s="1" t="s">
        <v>471</v>
      </c>
      <c r="D122" s="1" t="s">
        <v>472</v>
      </c>
      <c r="E122" s="1" t="s">
        <v>324</v>
      </c>
    </row>
    <row r="123">
      <c r="A123" s="1" t="s">
        <v>473</v>
      </c>
      <c r="B123" s="1" t="s">
        <v>474</v>
      </c>
      <c r="C123" s="1" t="s">
        <v>475</v>
      </c>
      <c r="D123" s="1" t="s">
        <v>476</v>
      </c>
      <c r="E123" s="1" t="s">
        <v>324</v>
      </c>
    </row>
    <row r="124">
      <c r="A124" s="1" t="s">
        <v>477</v>
      </c>
      <c r="B124" s="1" t="s">
        <v>478</v>
      </c>
      <c r="C124" s="1" t="s">
        <v>331</v>
      </c>
      <c r="D124" s="1" t="s">
        <v>479</v>
      </c>
      <c r="E124" s="1" t="s">
        <v>324</v>
      </c>
    </row>
    <row r="125">
      <c r="A125" s="1" t="s">
        <v>480</v>
      </c>
      <c r="B125" s="1" t="s">
        <v>481</v>
      </c>
      <c r="C125" s="1" t="s">
        <v>482</v>
      </c>
      <c r="D125" s="1" t="s">
        <v>483</v>
      </c>
      <c r="E125" s="1" t="s">
        <v>324</v>
      </c>
    </row>
    <row r="126">
      <c r="A126" s="1" t="s">
        <v>484</v>
      </c>
      <c r="B126" s="1" t="s">
        <v>485</v>
      </c>
      <c r="C126" s="1" t="s">
        <v>120</v>
      </c>
      <c r="D126" s="1" t="s">
        <v>486</v>
      </c>
      <c r="E126" s="1" t="s">
        <v>324</v>
      </c>
    </row>
    <row r="127">
      <c r="A127" s="1" t="s">
        <v>487</v>
      </c>
      <c r="B127" s="1" t="s">
        <v>488</v>
      </c>
      <c r="C127" s="1" t="s">
        <v>489</v>
      </c>
      <c r="D127" s="1" t="s">
        <v>490</v>
      </c>
      <c r="E127" s="1" t="s">
        <v>324</v>
      </c>
    </row>
    <row r="128">
      <c r="A128" s="1" t="s">
        <v>491</v>
      </c>
      <c r="B128" s="1" t="s">
        <v>492</v>
      </c>
      <c r="C128" s="1" t="s">
        <v>493</v>
      </c>
      <c r="D128" s="1" t="s">
        <v>494</v>
      </c>
      <c r="E128" s="1" t="s">
        <v>324</v>
      </c>
    </row>
    <row r="129">
      <c r="A129" s="1" t="s">
        <v>495</v>
      </c>
      <c r="B129" s="1" t="s">
        <v>496</v>
      </c>
      <c r="C129" s="1" t="s">
        <v>497</v>
      </c>
      <c r="D129" s="1" t="s">
        <v>498</v>
      </c>
      <c r="E129" s="1" t="s">
        <v>324</v>
      </c>
    </row>
    <row r="130">
      <c r="A130" s="1" t="s">
        <v>499</v>
      </c>
      <c r="B130" s="1" t="s">
        <v>500</v>
      </c>
      <c r="C130" s="1" t="s">
        <v>501</v>
      </c>
      <c r="D130" s="1" t="s">
        <v>502</v>
      </c>
      <c r="E130" s="1" t="s">
        <v>324</v>
      </c>
    </row>
    <row r="131">
      <c r="A131" s="1" t="s">
        <v>503</v>
      </c>
      <c r="B131" s="1" t="s">
        <v>504</v>
      </c>
      <c r="C131" s="1" t="s">
        <v>505</v>
      </c>
      <c r="D131" s="1" t="s">
        <v>506</v>
      </c>
      <c r="E131" s="1" t="s">
        <v>324</v>
      </c>
    </row>
    <row r="132">
      <c r="A132" s="1" t="s">
        <v>507</v>
      </c>
      <c r="B132" s="1" t="s">
        <v>508</v>
      </c>
      <c r="C132" s="1" t="s">
        <v>509</v>
      </c>
      <c r="D132" s="1" t="s">
        <v>510</v>
      </c>
      <c r="E132" s="1" t="s">
        <v>324</v>
      </c>
    </row>
    <row r="133">
      <c r="A133" s="1" t="s">
        <v>511</v>
      </c>
      <c r="B133" s="1" t="s">
        <v>512</v>
      </c>
      <c r="C133" s="1" t="s">
        <v>513</v>
      </c>
      <c r="D133" s="1" t="s">
        <v>514</v>
      </c>
      <c r="E133" s="1" t="s">
        <v>324</v>
      </c>
    </row>
    <row r="134">
      <c r="A134" s="1" t="s">
        <v>515</v>
      </c>
      <c r="B134" s="1" t="s">
        <v>516</v>
      </c>
      <c r="C134" s="1" t="s">
        <v>517</v>
      </c>
      <c r="D134" s="1" t="s">
        <v>518</v>
      </c>
      <c r="E134" s="1" t="s">
        <v>324</v>
      </c>
    </row>
    <row r="135">
      <c r="A135" s="1" t="s">
        <v>519</v>
      </c>
      <c r="B135" s="1" t="s">
        <v>520</v>
      </c>
      <c r="C135" s="1" t="s">
        <v>521</v>
      </c>
      <c r="D135" s="1" t="s">
        <v>522</v>
      </c>
      <c r="E135" s="1" t="s">
        <v>324</v>
      </c>
    </row>
    <row r="136">
      <c r="A136" s="1" t="s">
        <v>523</v>
      </c>
      <c r="B136" s="1" t="s">
        <v>524</v>
      </c>
      <c r="C136" s="1" t="s">
        <v>525</v>
      </c>
      <c r="D136" s="1" t="s">
        <v>526</v>
      </c>
      <c r="E136" s="1" t="s">
        <v>324</v>
      </c>
    </row>
    <row r="137">
      <c r="A137" s="1" t="s">
        <v>527</v>
      </c>
      <c r="B137" s="1" t="s">
        <v>264</v>
      </c>
      <c r="C137" s="1" t="s">
        <v>528</v>
      </c>
      <c r="D137" s="1" t="s">
        <v>529</v>
      </c>
      <c r="E137" s="1" t="s">
        <v>324</v>
      </c>
    </row>
    <row r="138">
      <c r="A138" s="1" t="s">
        <v>530</v>
      </c>
      <c r="B138" s="1" t="s">
        <v>531</v>
      </c>
      <c r="C138" s="1" t="s">
        <v>532</v>
      </c>
      <c r="D138" s="1" t="s">
        <v>533</v>
      </c>
      <c r="E138" s="1" t="s">
        <v>324</v>
      </c>
    </row>
    <row r="139">
      <c r="A139" s="1" t="s">
        <v>534</v>
      </c>
      <c r="B139" s="1" t="s">
        <v>535</v>
      </c>
      <c r="C139" s="1" t="s">
        <v>481</v>
      </c>
      <c r="D139" s="1" t="s">
        <v>536</v>
      </c>
      <c r="E139" s="1" t="s">
        <v>324</v>
      </c>
    </row>
    <row r="140">
      <c r="A140" s="1" t="s">
        <v>537</v>
      </c>
      <c r="B140" s="1" t="s">
        <v>538</v>
      </c>
      <c r="C140" s="1" t="s">
        <v>539</v>
      </c>
      <c r="D140" s="1" t="s">
        <v>540</v>
      </c>
      <c r="E140" s="1" t="s">
        <v>324</v>
      </c>
    </row>
    <row r="141">
      <c r="A141" s="1" t="s">
        <v>541</v>
      </c>
      <c r="B141" s="1" t="s">
        <v>117</v>
      </c>
      <c r="C141" s="1" t="s">
        <v>542</v>
      </c>
      <c r="D141" s="1" t="s">
        <v>543</v>
      </c>
      <c r="E141" s="1" t="s">
        <v>324</v>
      </c>
    </row>
    <row r="142">
      <c r="A142" s="1" t="s">
        <v>544</v>
      </c>
      <c r="B142" s="1" t="s">
        <v>545</v>
      </c>
      <c r="C142" s="1" t="s">
        <v>546</v>
      </c>
      <c r="D142" s="1" t="s">
        <v>547</v>
      </c>
      <c r="E142" s="1" t="s">
        <v>324</v>
      </c>
    </row>
    <row r="143">
      <c r="A143" s="1" t="s">
        <v>548</v>
      </c>
      <c r="B143" s="1" t="s">
        <v>549</v>
      </c>
      <c r="C143" s="1" t="s">
        <v>550</v>
      </c>
      <c r="D143" s="1" t="s">
        <v>551</v>
      </c>
      <c r="E143" s="1" t="s">
        <v>324</v>
      </c>
    </row>
    <row r="144">
      <c r="A144" s="1" t="s">
        <v>552</v>
      </c>
      <c r="B144" s="1" t="s">
        <v>553</v>
      </c>
      <c r="C144" s="1" t="s">
        <v>554</v>
      </c>
      <c r="D144" s="1" t="s">
        <v>555</v>
      </c>
      <c r="E144" s="1" t="s">
        <v>324</v>
      </c>
    </row>
    <row r="145">
      <c r="A145" s="1" t="s">
        <v>556</v>
      </c>
      <c r="B145" s="1" t="s">
        <v>557</v>
      </c>
      <c r="C145" s="1" t="s">
        <v>558</v>
      </c>
      <c r="D145" s="1" t="s">
        <v>559</v>
      </c>
      <c r="E145" s="1" t="s">
        <v>324</v>
      </c>
    </row>
    <row r="146">
      <c r="A146" s="1" t="s">
        <v>560</v>
      </c>
      <c r="B146" s="1" t="s">
        <v>561</v>
      </c>
      <c r="C146" s="1" t="s">
        <v>562</v>
      </c>
      <c r="D146" s="1" t="s">
        <v>563</v>
      </c>
      <c r="E146" s="1" t="s">
        <v>324</v>
      </c>
    </row>
    <row r="147">
      <c r="A147" s="1" t="s">
        <v>564</v>
      </c>
      <c r="B147" s="1" t="s">
        <v>565</v>
      </c>
      <c r="C147" s="1" t="s">
        <v>566</v>
      </c>
      <c r="D147" s="1" t="s">
        <v>567</v>
      </c>
      <c r="E147" s="1" t="s">
        <v>324</v>
      </c>
    </row>
    <row r="148">
      <c r="A148" s="1" t="s">
        <v>568</v>
      </c>
      <c r="B148" s="1" t="s">
        <v>416</v>
      </c>
      <c r="C148" s="1" t="s">
        <v>569</v>
      </c>
      <c r="D148" s="1" t="s">
        <v>570</v>
      </c>
      <c r="E148" s="1" t="s">
        <v>324</v>
      </c>
    </row>
    <row r="149">
      <c r="A149" s="1" t="s">
        <v>571</v>
      </c>
      <c r="B149" s="1" t="s">
        <v>572</v>
      </c>
      <c r="C149" s="1" t="s">
        <v>573</v>
      </c>
      <c r="D149" s="1" t="s">
        <v>574</v>
      </c>
      <c r="E149" s="1" t="s">
        <v>324</v>
      </c>
    </row>
    <row r="150">
      <c r="A150" s="1" t="s">
        <v>575</v>
      </c>
      <c r="B150" s="1" t="s">
        <v>576</v>
      </c>
      <c r="C150" s="1" t="s">
        <v>421</v>
      </c>
      <c r="D150" s="1" t="s">
        <v>577</v>
      </c>
      <c r="E150" s="1" t="s">
        <v>324</v>
      </c>
    </row>
    <row r="151">
      <c r="A151" s="1" t="s">
        <v>578</v>
      </c>
      <c r="B151" s="1" t="s">
        <v>579</v>
      </c>
      <c r="C151" s="1" t="s">
        <v>36</v>
      </c>
      <c r="D151" s="1" t="s">
        <v>580</v>
      </c>
      <c r="E151" s="1" t="s">
        <v>324</v>
      </c>
    </row>
    <row r="152">
      <c r="A152" s="1" t="s">
        <v>581</v>
      </c>
      <c r="B152" s="1" t="s">
        <v>582</v>
      </c>
      <c r="C152" s="1" t="s">
        <v>583</v>
      </c>
      <c r="D152" s="1" t="s">
        <v>584</v>
      </c>
      <c r="E152" s="1" t="s">
        <v>324</v>
      </c>
    </row>
    <row r="153">
      <c r="A153" s="1" t="s">
        <v>585</v>
      </c>
      <c r="B153" s="1" t="s">
        <v>586</v>
      </c>
      <c r="C153" s="1" t="s">
        <v>331</v>
      </c>
      <c r="D153" s="1" t="s">
        <v>86</v>
      </c>
      <c r="E153" s="1" t="s">
        <v>324</v>
      </c>
    </row>
    <row r="154">
      <c r="A154" s="1" t="s">
        <v>587</v>
      </c>
      <c r="B154" s="1" t="s">
        <v>588</v>
      </c>
      <c r="C154" s="1" t="s">
        <v>589</v>
      </c>
      <c r="D154" s="1" t="s">
        <v>590</v>
      </c>
      <c r="E154" s="1" t="s">
        <v>324</v>
      </c>
    </row>
    <row r="155">
      <c r="A155" s="1" t="s">
        <v>591</v>
      </c>
      <c r="B155" s="1" t="s">
        <v>592</v>
      </c>
      <c r="C155" s="1" t="s">
        <v>279</v>
      </c>
      <c r="D155" s="1" t="s">
        <v>593</v>
      </c>
      <c r="E155" s="1" t="s">
        <v>324</v>
      </c>
    </row>
    <row r="156">
      <c r="A156" s="1" t="s">
        <v>594</v>
      </c>
      <c r="B156" s="1" t="s">
        <v>595</v>
      </c>
      <c r="C156" s="1" t="s">
        <v>596</v>
      </c>
      <c r="D156" s="1" t="s">
        <v>597</v>
      </c>
      <c r="E156" s="1" t="s">
        <v>324</v>
      </c>
    </row>
    <row r="157">
      <c r="A157" s="1" t="s">
        <v>598</v>
      </c>
      <c r="B157" s="1" t="s">
        <v>599</v>
      </c>
      <c r="C157" s="1" t="s">
        <v>600</v>
      </c>
      <c r="D157" s="1" t="s">
        <v>601</v>
      </c>
      <c r="E157" s="1" t="s">
        <v>324</v>
      </c>
    </row>
    <row r="158">
      <c r="A158" s="1" t="s">
        <v>602</v>
      </c>
      <c r="B158" s="1" t="s">
        <v>603</v>
      </c>
      <c r="C158" s="1" t="s">
        <v>604</v>
      </c>
      <c r="D158" s="1" t="s">
        <v>605</v>
      </c>
      <c r="E158" s="1" t="s">
        <v>324</v>
      </c>
    </row>
    <row r="159">
      <c r="A159" s="1" t="s">
        <v>606</v>
      </c>
      <c r="B159" s="1" t="s">
        <v>607</v>
      </c>
      <c r="C159" s="1" t="s">
        <v>608</v>
      </c>
      <c r="D159" s="1" t="s">
        <v>609</v>
      </c>
      <c r="E159" s="1" t="s">
        <v>324</v>
      </c>
    </row>
    <row r="160">
      <c r="A160" s="1" t="s">
        <v>610</v>
      </c>
      <c r="B160" s="1" t="s">
        <v>611</v>
      </c>
      <c r="C160" s="1" t="s">
        <v>612</v>
      </c>
      <c r="D160" s="1" t="s">
        <v>613</v>
      </c>
      <c r="E160" s="1" t="s">
        <v>324</v>
      </c>
    </row>
    <row r="161">
      <c r="A161" s="1" t="s">
        <v>614</v>
      </c>
      <c r="B161" s="1" t="s">
        <v>615</v>
      </c>
      <c r="C161" s="1" t="s">
        <v>616</v>
      </c>
      <c r="D161" s="1" t="s">
        <v>617</v>
      </c>
      <c r="E161" s="1" t="s">
        <v>324</v>
      </c>
    </row>
    <row r="162">
      <c r="A162" s="1" t="s">
        <v>618</v>
      </c>
      <c r="B162" s="1" t="s">
        <v>481</v>
      </c>
      <c r="C162" s="1" t="s">
        <v>219</v>
      </c>
      <c r="D162" s="1" t="s">
        <v>619</v>
      </c>
      <c r="E162" s="1" t="s">
        <v>324</v>
      </c>
    </row>
    <row r="163">
      <c r="A163" s="1" t="s">
        <v>620</v>
      </c>
      <c r="B163" s="1" t="s">
        <v>225</v>
      </c>
      <c r="C163" s="1" t="s">
        <v>621</v>
      </c>
      <c r="D163" s="1" t="s">
        <v>622</v>
      </c>
      <c r="E163" s="1" t="s">
        <v>324</v>
      </c>
    </row>
    <row r="164">
      <c r="A164" s="1" t="s">
        <v>623</v>
      </c>
      <c r="B164" s="1" t="s">
        <v>624</v>
      </c>
      <c r="C164" s="1" t="s">
        <v>625</v>
      </c>
      <c r="D164" s="1" t="s">
        <v>626</v>
      </c>
      <c r="E164" s="1" t="s">
        <v>324</v>
      </c>
    </row>
    <row r="165">
      <c r="A165" s="1" t="s">
        <v>627</v>
      </c>
      <c r="B165" s="1" t="s">
        <v>628</v>
      </c>
      <c r="C165" s="1" t="s">
        <v>629</v>
      </c>
      <c r="D165" s="1">
        <v>9.79687311E8</v>
      </c>
      <c r="E165" s="1" t="s">
        <v>324</v>
      </c>
    </row>
    <row r="166">
      <c r="A166" s="1" t="s">
        <v>630</v>
      </c>
      <c r="B166" s="1" t="s">
        <v>117</v>
      </c>
      <c r="C166" s="1" t="s">
        <v>631</v>
      </c>
      <c r="D166" s="1" t="s">
        <v>632</v>
      </c>
      <c r="E166" s="1" t="s">
        <v>324</v>
      </c>
    </row>
    <row r="167">
      <c r="A167" s="1" t="s">
        <v>633</v>
      </c>
      <c r="B167" s="1" t="s">
        <v>634</v>
      </c>
      <c r="C167" s="1" t="s">
        <v>635</v>
      </c>
      <c r="D167" s="1" t="s">
        <v>636</v>
      </c>
      <c r="E167" s="1" t="s">
        <v>324</v>
      </c>
    </row>
    <row r="168">
      <c r="A168" s="1" t="s">
        <v>637</v>
      </c>
      <c r="B168" s="1" t="s">
        <v>638</v>
      </c>
      <c r="C168" s="1" t="s">
        <v>639</v>
      </c>
      <c r="D168" s="1" t="s">
        <v>640</v>
      </c>
      <c r="E168" s="1" t="s">
        <v>324</v>
      </c>
    </row>
    <row r="169">
      <c r="A169" s="1" t="s">
        <v>641</v>
      </c>
      <c r="B169" s="1" t="s">
        <v>642</v>
      </c>
      <c r="C169" s="1" t="s">
        <v>143</v>
      </c>
      <c r="D169" s="1" t="s">
        <v>643</v>
      </c>
      <c r="E169" s="1" t="s">
        <v>324</v>
      </c>
    </row>
    <row r="170">
      <c r="A170" s="1" t="s">
        <v>644</v>
      </c>
      <c r="B170" s="1" t="s">
        <v>85</v>
      </c>
      <c r="C170" s="1" t="s">
        <v>645</v>
      </c>
      <c r="D170" s="1" t="s">
        <v>646</v>
      </c>
      <c r="E170" s="1" t="s">
        <v>324</v>
      </c>
    </row>
    <row r="171">
      <c r="A171" s="1" t="s">
        <v>647</v>
      </c>
      <c r="B171" s="1" t="s">
        <v>648</v>
      </c>
      <c r="C171" s="1" t="s">
        <v>639</v>
      </c>
      <c r="D171" s="1" t="s">
        <v>649</v>
      </c>
      <c r="E171" s="1" t="s">
        <v>324</v>
      </c>
    </row>
    <row r="172">
      <c r="A172" s="1" t="s">
        <v>650</v>
      </c>
      <c r="B172" s="1" t="s">
        <v>651</v>
      </c>
      <c r="C172" s="1" t="s">
        <v>652</v>
      </c>
      <c r="D172" s="1" t="s">
        <v>653</v>
      </c>
      <c r="E172" s="1" t="s">
        <v>324</v>
      </c>
    </row>
    <row r="173">
      <c r="A173" s="1" t="s">
        <v>654</v>
      </c>
      <c r="B173" s="1" t="s">
        <v>384</v>
      </c>
      <c r="C173" s="1" t="s">
        <v>655</v>
      </c>
      <c r="D173" s="1" t="s">
        <v>656</v>
      </c>
      <c r="E173" s="1" t="s">
        <v>324</v>
      </c>
    </row>
    <row r="174">
      <c r="A174" s="1" t="s">
        <v>657</v>
      </c>
      <c r="B174" s="1" t="s">
        <v>535</v>
      </c>
      <c r="C174" s="1" t="s">
        <v>658</v>
      </c>
      <c r="D174" s="1" t="s">
        <v>659</v>
      </c>
      <c r="E174" s="1" t="s">
        <v>324</v>
      </c>
    </row>
    <row r="175">
      <c r="A175" s="1" t="s">
        <v>660</v>
      </c>
      <c r="B175" s="1" t="s">
        <v>661</v>
      </c>
      <c r="C175" s="1" t="s">
        <v>662</v>
      </c>
      <c r="D175" s="1" t="s">
        <v>663</v>
      </c>
      <c r="E175" s="1" t="s">
        <v>324</v>
      </c>
    </row>
    <row r="176">
      <c r="A176" s="1" t="s">
        <v>664</v>
      </c>
      <c r="B176" s="1" t="s">
        <v>665</v>
      </c>
      <c r="C176" s="1" t="s">
        <v>666</v>
      </c>
      <c r="D176" s="1" t="s">
        <v>667</v>
      </c>
      <c r="E176" s="1" t="s">
        <v>324</v>
      </c>
    </row>
    <row r="177">
      <c r="A177" s="1" t="s">
        <v>668</v>
      </c>
      <c r="B177" s="1" t="s">
        <v>669</v>
      </c>
      <c r="C177" s="1" t="s">
        <v>467</v>
      </c>
      <c r="D177" s="1">
        <v>9.67947676E8</v>
      </c>
      <c r="E177" s="1" t="s">
        <v>324</v>
      </c>
    </row>
    <row r="178">
      <c r="A178" s="1" t="s">
        <v>670</v>
      </c>
      <c r="B178" s="1" t="s">
        <v>671</v>
      </c>
      <c r="C178" s="1" t="s">
        <v>672</v>
      </c>
      <c r="D178" s="1" t="s">
        <v>673</v>
      </c>
      <c r="E178" s="1" t="s">
        <v>324</v>
      </c>
    </row>
    <row r="179">
      <c r="A179" s="1" t="s">
        <v>674</v>
      </c>
      <c r="B179" s="1" t="s">
        <v>675</v>
      </c>
      <c r="C179" s="1" t="s">
        <v>676</v>
      </c>
      <c r="D179" s="1" t="s">
        <v>677</v>
      </c>
      <c r="E179" s="1" t="s">
        <v>324</v>
      </c>
    </row>
    <row r="180">
      <c r="A180" s="1" t="s">
        <v>678</v>
      </c>
      <c r="B180" s="1" t="s">
        <v>679</v>
      </c>
      <c r="C180" s="1" t="s">
        <v>128</v>
      </c>
      <c r="D180" s="1" t="s">
        <v>680</v>
      </c>
      <c r="E180" s="1" t="s">
        <v>324</v>
      </c>
    </row>
    <row r="181">
      <c r="A181" s="1" t="s">
        <v>681</v>
      </c>
      <c r="B181" s="1" t="s">
        <v>148</v>
      </c>
      <c r="C181" s="1" t="s">
        <v>682</v>
      </c>
      <c r="D181" s="1" t="s">
        <v>683</v>
      </c>
      <c r="E181" s="1" t="s">
        <v>324</v>
      </c>
    </row>
    <row r="182">
      <c r="A182" s="1" t="s">
        <v>684</v>
      </c>
      <c r="B182" s="1" t="s">
        <v>685</v>
      </c>
      <c r="C182" s="1" t="s">
        <v>686</v>
      </c>
      <c r="D182" s="1" t="s">
        <v>687</v>
      </c>
      <c r="E182" s="1" t="s">
        <v>324</v>
      </c>
    </row>
    <row r="183">
      <c r="A183" s="1" t="s">
        <v>688</v>
      </c>
      <c r="B183" s="1" t="s">
        <v>689</v>
      </c>
      <c r="C183" s="1" t="s">
        <v>690</v>
      </c>
      <c r="D183" s="1" t="s">
        <v>691</v>
      </c>
      <c r="E183" s="1" t="s">
        <v>324</v>
      </c>
    </row>
    <row r="184">
      <c r="A184" s="1" t="s">
        <v>692</v>
      </c>
      <c r="B184" s="1" t="s">
        <v>693</v>
      </c>
      <c r="C184" s="1" t="s">
        <v>694</v>
      </c>
      <c r="D184" s="1" t="s">
        <v>695</v>
      </c>
      <c r="E184" s="1" t="s">
        <v>324</v>
      </c>
    </row>
    <row r="185">
      <c r="A185" s="1" t="s">
        <v>696</v>
      </c>
      <c r="B185" s="1" t="s">
        <v>697</v>
      </c>
      <c r="C185" s="1" t="s">
        <v>698</v>
      </c>
      <c r="D185" s="1" t="s">
        <v>699</v>
      </c>
      <c r="E185" s="1" t="s">
        <v>324</v>
      </c>
    </row>
    <row r="186">
      <c r="A186" s="1" t="s">
        <v>700</v>
      </c>
      <c r="B186" s="1" t="s">
        <v>701</v>
      </c>
      <c r="C186" s="1" t="s">
        <v>702</v>
      </c>
      <c r="D186" s="1" t="s">
        <v>703</v>
      </c>
      <c r="E186" s="1" t="s">
        <v>324</v>
      </c>
    </row>
    <row r="187">
      <c r="A187" s="1" t="s">
        <v>704</v>
      </c>
      <c r="B187" s="1" t="s">
        <v>701</v>
      </c>
      <c r="C187" s="1" t="s">
        <v>702</v>
      </c>
      <c r="D187" s="1" t="s">
        <v>703</v>
      </c>
      <c r="E187" s="1" t="s">
        <v>324</v>
      </c>
    </row>
    <row r="188">
      <c r="A188" s="1" t="s">
        <v>705</v>
      </c>
      <c r="B188" s="1" t="s">
        <v>416</v>
      </c>
      <c r="C188" s="1" t="s">
        <v>706</v>
      </c>
      <c r="D188" s="1" t="s">
        <v>707</v>
      </c>
      <c r="E188" s="1" t="s">
        <v>324</v>
      </c>
    </row>
    <row r="189">
      <c r="A189" s="1" t="s">
        <v>708</v>
      </c>
      <c r="B189" s="1" t="s">
        <v>709</v>
      </c>
      <c r="C189" s="1" t="s">
        <v>710</v>
      </c>
      <c r="D189" s="1" t="s">
        <v>711</v>
      </c>
      <c r="E189" s="1" t="s">
        <v>324</v>
      </c>
    </row>
    <row r="190">
      <c r="A190" s="1" t="s">
        <v>712</v>
      </c>
      <c r="B190" s="1" t="s">
        <v>713</v>
      </c>
      <c r="C190" s="1" t="s">
        <v>714</v>
      </c>
      <c r="D190" s="1" t="s">
        <v>715</v>
      </c>
      <c r="E190" s="1" t="s">
        <v>324</v>
      </c>
    </row>
    <row r="191">
      <c r="A191" s="1" t="s">
        <v>716</v>
      </c>
      <c r="B191" s="1" t="s">
        <v>305</v>
      </c>
      <c r="C191" s="1" t="s">
        <v>306</v>
      </c>
      <c r="D191" s="1" t="s">
        <v>717</v>
      </c>
      <c r="E191" s="1" t="s">
        <v>324</v>
      </c>
    </row>
    <row r="192">
      <c r="A192" s="1" t="s">
        <v>718</v>
      </c>
      <c r="B192" s="1" t="s">
        <v>719</v>
      </c>
      <c r="C192" s="1" t="s">
        <v>720</v>
      </c>
      <c r="D192" s="1" t="s">
        <v>721</v>
      </c>
      <c r="E192" s="1" t="s">
        <v>324</v>
      </c>
    </row>
    <row r="193">
      <c r="A193" s="1" t="s">
        <v>722</v>
      </c>
      <c r="B193" s="1" t="s">
        <v>123</v>
      </c>
      <c r="C193" s="1" t="s">
        <v>723</v>
      </c>
      <c r="D193" s="1" t="s">
        <v>724</v>
      </c>
      <c r="E193" s="1" t="s">
        <v>324</v>
      </c>
    </row>
    <row r="194">
      <c r="A194" s="1" t="s">
        <v>725</v>
      </c>
      <c r="B194" s="1" t="s">
        <v>726</v>
      </c>
      <c r="C194" s="1" t="s">
        <v>219</v>
      </c>
      <c r="D194" s="1" t="s">
        <v>727</v>
      </c>
      <c r="E194" s="1" t="s">
        <v>324</v>
      </c>
    </row>
    <row r="195">
      <c r="A195" s="1" t="s">
        <v>728</v>
      </c>
      <c r="B195" s="1" t="s">
        <v>729</v>
      </c>
      <c r="C195" s="1" t="s">
        <v>730</v>
      </c>
      <c r="D195" s="1" t="s">
        <v>731</v>
      </c>
      <c r="E195" s="1" t="s">
        <v>324</v>
      </c>
    </row>
    <row r="196">
      <c r="A196" s="1" t="s">
        <v>732</v>
      </c>
      <c r="B196" s="1" t="s">
        <v>733</v>
      </c>
      <c r="C196" s="1" t="s">
        <v>734</v>
      </c>
      <c r="D196" s="1">
        <v>9.23580431E8</v>
      </c>
      <c r="E196" s="1" t="s">
        <v>324</v>
      </c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324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324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324</v>
      </c>
    </row>
    <row r="200">
      <c r="A200" s="1" t="s">
        <v>747</v>
      </c>
      <c r="B200" s="1" t="s">
        <v>524</v>
      </c>
      <c r="C200" s="1" t="s">
        <v>748</v>
      </c>
      <c r="D200" s="1" t="s">
        <v>749</v>
      </c>
      <c r="E200" s="1" t="s">
        <v>324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324</v>
      </c>
    </row>
    <row r="202">
      <c r="A202" s="1" t="s">
        <v>754</v>
      </c>
      <c r="B202" s="1" t="s">
        <v>729</v>
      </c>
      <c r="C202" s="1" t="s">
        <v>755</v>
      </c>
      <c r="D202" s="1" t="s">
        <v>756</v>
      </c>
      <c r="E202" s="1" t="s">
        <v>324</v>
      </c>
    </row>
    <row r="203">
      <c r="A203" s="1" t="s">
        <v>757</v>
      </c>
      <c r="B203" s="1" t="s">
        <v>758</v>
      </c>
      <c r="C203" s="1" t="s">
        <v>97</v>
      </c>
      <c r="D203" s="1" t="s">
        <v>759</v>
      </c>
      <c r="E203" s="1" t="s">
        <v>324</v>
      </c>
    </row>
    <row r="204">
      <c r="A204" s="1" t="s">
        <v>760</v>
      </c>
      <c r="B204" s="1" t="s">
        <v>761</v>
      </c>
      <c r="C204" s="1" t="s">
        <v>762</v>
      </c>
      <c r="D204" s="1" t="s">
        <v>763</v>
      </c>
      <c r="E204" s="1" t="s">
        <v>324</v>
      </c>
    </row>
    <row r="205">
      <c r="A205" s="1" t="s">
        <v>764</v>
      </c>
      <c r="B205" s="1" t="s">
        <v>765</v>
      </c>
      <c r="C205" s="1" t="s">
        <v>766</v>
      </c>
      <c r="D205" s="1" t="s">
        <v>767</v>
      </c>
      <c r="E205" s="1" t="s">
        <v>324</v>
      </c>
    </row>
    <row r="206">
      <c r="A206" s="1" t="s">
        <v>768</v>
      </c>
      <c r="B206" s="1" t="s">
        <v>769</v>
      </c>
      <c r="C206" s="1" t="s">
        <v>770</v>
      </c>
      <c r="D206" s="1" t="s">
        <v>771</v>
      </c>
      <c r="E206" s="1" t="s">
        <v>324</v>
      </c>
    </row>
    <row r="207">
      <c r="A207" s="1" t="s">
        <v>772</v>
      </c>
      <c r="B207" s="1" t="s">
        <v>773</v>
      </c>
      <c r="C207" s="1" t="s">
        <v>774</v>
      </c>
      <c r="D207" s="1" t="s">
        <v>775</v>
      </c>
      <c r="E207" s="1" t="s">
        <v>324</v>
      </c>
    </row>
    <row r="208">
      <c r="A208" s="1" t="s">
        <v>776</v>
      </c>
      <c r="B208" s="1" t="s">
        <v>433</v>
      </c>
      <c r="C208" s="1" t="s">
        <v>777</v>
      </c>
      <c r="D208" s="1" t="s">
        <v>778</v>
      </c>
      <c r="E208" s="1" t="s">
        <v>324</v>
      </c>
    </row>
    <row r="209">
      <c r="A209" s="1" t="s">
        <v>779</v>
      </c>
      <c r="B209" s="1" t="s">
        <v>780</v>
      </c>
      <c r="C209" s="1" t="s">
        <v>781</v>
      </c>
      <c r="D209" s="1">
        <v>9.42169482E8</v>
      </c>
      <c r="E209" s="1" t="s">
        <v>324</v>
      </c>
    </row>
    <row r="210">
      <c r="A210" s="1" t="s">
        <v>782</v>
      </c>
      <c r="B210" s="1" t="s">
        <v>783</v>
      </c>
      <c r="C210" s="1" t="s">
        <v>784</v>
      </c>
      <c r="D210" s="1" t="s">
        <v>785</v>
      </c>
      <c r="E210" s="1" t="s">
        <v>324</v>
      </c>
    </row>
    <row r="211">
      <c r="A211" s="1" t="s">
        <v>786</v>
      </c>
      <c r="B211" s="1" t="s">
        <v>787</v>
      </c>
      <c r="C211" s="1" t="s">
        <v>788</v>
      </c>
      <c r="D211" s="1" t="s">
        <v>789</v>
      </c>
      <c r="E211" s="1" t="s">
        <v>324</v>
      </c>
    </row>
    <row r="212">
      <c r="A212" s="1" t="s">
        <v>790</v>
      </c>
      <c r="B212" s="1" t="s">
        <v>791</v>
      </c>
      <c r="C212" s="1" t="s">
        <v>766</v>
      </c>
      <c r="D212" s="1" t="s">
        <v>792</v>
      </c>
      <c r="E212" s="1" t="s">
        <v>324</v>
      </c>
    </row>
    <row r="213">
      <c r="A213" s="1" t="s">
        <v>793</v>
      </c>
      <c r="B213" s="1" t="s">
        <v>794</v>
      </c>
      <c r="C213" s="1" t="s">
        <v>795</v>
      </c>
      <c r="D213" s="1" t="s">
        <v>796</v>
      </c>
      <c r="E213" s="1" t="s">
        <v>324</v>
      </c>
    </row>
    <row r="214">
      <c r="A214" s="1" t="s">
        <v>797</v>
      </c>
      <c r="B214" s="1" t="s">
        <v>798</v>
      </c>
      <c r="C214" s="1" t="s">
        <v>799</v>
      </c>
      <c r="D214" s="1" t="s">
        <v>800</v>
      </c>
      <c r="E214" s="1" t="s">
        <v>324</v>
      </c>
    </row>
    <row r="215">
      <c r="A215" s="1" t="s">
        <v>801</v>
      </c>
      <c r="B215" s="1" t="s">
        <v>113</v>
      </c>
      <c r="C215" s="1" t="s">
        <v>802</v>
      </c>
      <c r="D215" s="1" t="s">
        <v>803</v>
      </c>
      <c r="E215" s="1" t="s">
        <v>324</v>
      </c>
    </row>
    <row r="216">
      <c r="A216" s="1" t="s">
        <v>804</v>
      </c>
      <c r="B216" s="1" t="s">
        <v>489</v>
      </c>
      <c r="C216" s="1" t="s">
        <v>805</v>
      </c>
      <c r="D216" s="1">
        <v>9.62592779E8</v>
      </c>
      <c r="E216" s="1" t="s">
        <v>324</v>
      </c>
    </row>
    <row r="217">
      <c r="A217" s="1" t="s">
        <v>806</v>
      </c>
      <c r="B217" s="1" t="s">
        <v>807</v>
      </c>
      <c r="C217" s="1" t="s">
        <v>808</v>
      </c>
      <c r="D217" s="1" t="s">
        <v>809</v>
      </c>
      <c r="E217" s="1" t="s">
        <v>324</v>
      </c>
    </row>
    <row r="218">
      <c r="A218" s="1" t="s">
        <v>810</v>
      </c>
      <c r="B218" s="1" t="s">
        <v>241</v>
      </c>
      <c r="C218" s="1" t="s">
        <v>17</v>
      </c>
      <c r="D218" s="1" t="s">
        <v>811</v>
      </c>
      <c r="E218" s="1" t="s">
        <v>324</v>
      </c>
    </row>
    <row r="219">
      <c r="A219" s="1" t="s">
        <v>812</v>
      </c>
      <c r="B219" s="1" t="s">
        <v>813</v>
      </c>
      <c r="C219" s="1" t="s">
        <v>416</v>
      </c>
      <c r="D219" s="1" t="s">
        <v>814</v>
      </c>
      <c r="E219" s="1" t="s">
        <v>324</v>
      </c>
    </row>
    <row r="220">
      <c r="A220" s="1" t="s">
        <v>815</v>
      </c>
      <c r="B220" s="1" t="s">
        <v>816</v>
      </c>
      <c r="C220" s="1" t="s">
        <v>817</v>
      </c>
      <c r="D220" s="1">
        <v>9.61947711E8</v>
      </c>
      <c r="E220" s="1" t="s">
        <v>324</v>
      </c>
    </row>
    <row r="221">
      <c r="A221" s="1" t="s">
        <v>818</v>
      </c>
      <c r="B221" s="1" t="s">
        <v>651</v>
      </c>
      <c r="C221" s="1" t="s">
        <v>819</v>
      </c>
      <c r="D221" s="1" t="s">
        <v>820</v>
      </c>
      <c r="E221" s="1" t="s">
        <v>324</v>
      </c>
    </row>
    <row r="222">
      <c r="A222" s="1" t="s">
        <v>821</v>
      </c>
      <c r="B222" s="1" t="s">
        <v>822</v>
      </c>
      <c r="C222" s="1" t="s">
        <v>823</v>
      </c>
      <c r="D222" s="1" t="s">
        <v>824</v>
      </c>
      <c r="E222" s="1" t="s">
        <v>324</v>
      </c>
    </row>
    <row r="223">
      <c r="A223" s="1" t="s">
        <v>825</v>
      </c>
      <c r="B223" s="1" t="s">
        <v>826</v>
      </c>
      <c r="C223" s="1" t="s">
        <v>159</v>
      </c>
      <c r="D223" s="1" t="s">
        <v>827</v>
      </c>
      <c r="E223" s="1" t="s">
        <v>324</v>
      </c>
    </row>
    <row r="224">
      <c r="A224" s="1" t="s">
        <v>828</v>
      </c>
      <c r="B224" s="1" t="s">
        <v>829</v>
      </c>
      <c r="C224" s="1" t="s">
        <v>830</v>
      </c>
      <c r="D224" s="1" t="s">
        <v>831</v>
      </c>
      <c r="E224" s="1" t="s">
        <v>324</v>
      </c>
    </row>
    <row r="225">
      <c r="A225" s="1" t="s">
        <v>832</v>
      </c>
      <c r="B225" s="1" t="s">
        <v>833</v>
      </c>
      <c r="C225" s="1" t="s">
        <v>645</v>
      </c>
      <c r="D225" s="1" t="s">
        <v>834</v>
      </c>
      <c r="E225" s="1" t="s">
        <v>324</v>
      </c>
    </row>
    <row r="226">
      <c r="A226" s="1" t="s">
        <v>835</v>
      </c>
      <c r="B226" s="1" t="s">
        <v>836</v>
      </c>
      <c r="C226" s="1" t="s">
        <v>837</v>
      </c>
      <c r="D226" s="1">
        <v>9.11192847E8</v>
      </c>
      <c r="E226" s="1" t="s">
        <v>324</v>
      </c>
    </row>
    <row r="227">
      <c r="A227" s="1" t="s">
        <v>838</v>
      </c>
      <c r="B227" s="1" t="s">
        <v>839</v>
      </c>
      <c r="C227" s="1" t="s">
        <v>17</v>
      </c>
      <c r="D227" s="1" t="s">
        <v>840</v>
      </c>
      <c r="E227" s="1" t="s">
        <v>324</v>
      </c>
    </row>
    <row r="228">
      <c r="A228" s="1" t="s">
        <v>841</v>
      </c>
      <c r="B228" s="1" t="s">
        <v>842</v>
      </c>
      <c r="C228" s="1" t="s">
        <v>843</v>
      </c>
      <c r="D228" s="1" t="s">
        <v>844</v>
      </c>
      <c r="E228" s="1" t="s">
        <v>324</v>
      </c>
    </row>
    <row r="229">
      <c r="A229" s="1" t="s">
        <v>845</v>
      </c>
      <c r="B229" s="1" t="s">
        <v>701</v>
      </c>
      <c r="C229" s="1" t="s">
        <v>846</v>
      </c>
      <c r="D229" s="1" t="s">
        <v>847</v>
      </c>
      <c r="E229" s="1" t="s">
        <v>324</v>
      </c>
    </row>
    <row r="230">
      <c r="A230" s="1" t="s">
        <v>848</v>
      </c>
      <c r="B230" s="1" t="s">
        <v>372</v>
      </c>
      <c r="C230" s="1" t="s">
        <v>444</v>
      </c>
      <c r="D230" s="1" t="s">
        <v>849</v>
      </c>
      <c r="E230" s="1" t="s">
        <v>324</v>
      </c>
    </row>
    <row r="231">
      <c r="A231" s="1" t="s">
        <v>850</v>
      </c>
      <c r="B231" s="1" t="s">
        <v>851</v>
      </c>
      <c r="C231" s="1" t="s">
        <v>819</v>
      </c>
      <c r="D231" s="1" t="s">
        <v>852</v>
      </c>
      <c r="E231" s="1" t="s">
        <v>324</v>
      </c>
    </row>
    <row r="232">
      <c r="A232" s="1" t="s">
        <v>853</v>
      </c>
      <c r="B232" s="1" t="s">
        <v>854</v>
      </c>
      <c r="C232" s="1" t="s">
        <v>402</v>
      </c>
      <c r="D232" s="1" t="s">
        <v>855</v>
      </c>
      <c r="E232" s="1" t="s">
        <v>324</v>
      </c>
    </row>
    <row r="233">
      <c r="A233" s="1" t="s">
        <v>856</v>
      </c>
      <c r="B233" s="1" t="s">
        <v>857</v>
      </c>
      <c r="C233" s="1" t="s">
        <v>858</v>
      </c>
      <c r="D233" s="1" t="s">
        <v>859</v>
      </c>
      <c r="E233" s="1" t="s">
        <v>324</v>
      </c>
    </row>
    <row r="234">
      <c r="A234" s="1" t="s">
        <v>860</v>
      </c>
      <c r="B234" s="1" t="s">
        <v>364</v>
      </c>
      <c r="C234" s="1" t="s">
        <v>241</v>
      </c>
      <c r="D234" s="1" t="s">
        <v>861</v>
      </c>
      <c r="E234" s="1" t="s">
        <v>324</v>
      </c>
    </row>
    <row r="235">
      <c r="A235" s="1" t="s">
        <v>862</v>
      </c>
      <c r="B235" s="1" t="s">
        <v>82</v>
      </c>
      <c r="C235" s="1" t="s">
        <v>863</v>
      </c>
      <c r="D235" s="1" t="s">
        <v>864</v>
      </c>
      <c r="E235" s="1" t="s">
        <v>324</v>
      </c>
    </row>
    <row r="236">
      <c r="A236" s="1" t="s">
        <v>865</v>
      </c>
      <c r="B236" s="1" t="s">
        <v>866</v>
      </c>
      <c r="C236" s="1" t="s">
        <v>682</v>
      </c>
      <c r="D236" s="1" t="s">
        <v>867</v>
      </c>
      <c r="E236" s="1" t="s">
        <v>324</v>
      </c>
    </row>
    <row r="237">
      <c r="A237" s="1" t="s">
        <v>868</v>
      </c>
      <c r="B237" s="1" t="s">
        <v>869</v>
      </c>
      <c r="C237" s="1" t="s">
        <v>433</v>
      </c>
      <c r="D237" s="1" t="s">
        <v>870</v>
      </c>
      <c r="E237" s="1" t="s">
        <v>324</v>
      </c>
    </row>
    <row r="238">
      <c r="A238" s="1" t="s">
        <v>871</v>
      </c>
      <c r="B238" s="1" t="s">
        <v>872</v>
      </c>
      <c r="C238" s="1" t="s">
        <v>873</v>
      </c>
      <c r="D238" s="1" t="s">
        <v>874</v>
      </c>
      <c r="E238" s="1" t="s">
        <v>324</v>
      </c>
    </row>
    <row r="239">
      <c r="A239" s="1" t="s">
        <v>875</v>
      </c>
      <c r="B239" s="1" t="s">
        <v>876</v>
      </c>
      <c r="C239" s="1" t="s">
        <v>877</v>
      </c>
      <c r="D239" s="1" t="s">
        <v>878</v>
      </c>
      <c r="E239" s="1" t="s">
        <v>324</v>
      </c>
    </row>
    <row r="240">
      <c r="A240" s="1" t="s">
        <v>879</v>
      </c>
      <c r="B240" s="1" t="s">
        <v>416</v>
      </c>
      <c r="C240" s="1" t="s">
        <v>880</v>
      </c>
      <c r="D240" s="1" t="s">
        <v>881</v>
      </c>
      <c r="E240" s="1" t="s">
        <v>324</v>
      </c>
    </row>
    <row r="241">
      <c r="A241" s="1" t="s">
        <v>882</v>
      </c>
      <c r="B241" s="1" t="s">
        <v>504</v>
      </c>
      <c r="C241" s="1" t="s">
        <v>645</v>
      </c>
      <c r="D241" s="1" t="s">
        <v>883</v>
      </c>
      <c r="E241" s="1" t="s">
        <v>324</v>
      </c>
    </row>
    <row r="242">
      <c r="A242" s="1" t="s">
        <v>884</v>
      </c>
      <c r="B242" s="1" t="s">
        <v>885</v>
      </c>
      <c r="C242" s="1" t="s">
        <v>18</v>
      </c>
      <c r="D242" s="1" t="s">
        <v>886</v>
      </c>
      <c r="E242" s="1" t="s">
        <v>324</v>
      </c>
    </row>
    <row r="243">
      <c r="A243" s="1" t="s">
        <v>887</v>
      </c>
      <c r="B243" s="1" t="s">
        <v>888</v>
      </c>
      <c r="C243" s="1" t="s">
        <v>481</v>
      </c>
      <c r="D243" s="1" t="s">
        <v>889</v>
      </c>
      <c r="E243" s="1" t="s">
        <v>324</v>
      </c>
    </row>
    <row r="244">
      <c r="A244" s="1" t="s">
        <v>890</v>
      </c>
      <c r="B244" s="1" t="s">
        <v>891</v>
      </c>
      <c r="C244" s="1" t="s">
        <v>361</v>
      </c>
      <c r="D244" s="1" t="s">
        <v>892</v>
      </c>
      <c r="E244" s="1" t="s">
        <v>324</v>
      </c>
    </row>
    <row r="245">
      <c r="A245" s="1" t="s">
        <v>893</v>
      </c>
      <c r="B245" s="1" t="s">
        <v>458</v>
      </c>
      <c r="C245" s="1" t="s">
        <v>550</v>
      </c>
      <c r="D245" s="1" t="s">
        <v>894</v>
      </c>
      <c r="E245" s="1" t="s">
        <v>324</v>
      </c>
    </row>
    <row r="246">
      <c r="A246" s="1" t="s">
        <v>895</v>
      </c>
      <c r="B246" s="1" t="s">
        <v>740</v>
      </c>
      <c r="C246" s="1" t="s">
        <v>896</v>
      </c>
      <c r="D246" s="1" t="s">
        <v>897</v>
      </c>
      <c r="E246" s="1" t="s">
        <v>324</v>
      </c>
    </row>
    <row r="247">
      <c r="A247" s="1" t="s">
        <v>898</v>
      </c>
      <c r="B247" s="1" t="s">
        <v>899</v>
      </c>
      <c r="C247" s="1" t="s">
        <v>770</v>
      </c>
      <c r="D247" s="1" t="s">
        <v>900</v>
      </c>
      <c r="E247" s="1" t="s">
        <v>324</v>
      </c>
    </row>
    <row r="248">
      <c r="A248" s="1" t="s">
        <v>901</v>
      </c>
      <c r="B248" s="1" t="s">
        <v>902</v>
      </c>
      <c r="C248" s="1" t="s">
        <v>413</v>
      </c>
      <c r="D248" s="1" t="s">
        <v>903</v>
      </c>
      <c r="E248" s="1" t="s">
        <v>324</v>
      </c>
    </row>
    <row r="249">
      <c r="A249" s="1" t="s">
        <v>904</v>
      </c>
      <c r="B249" s="1" t="s">
        <v>905</v>
      </c>
      <c r="C249" s="1" t="s">
        <v>906</v>
      </c>
      <c r="D249" s="1" t="s">
        <v>907</v>
      </c>
      <c r="E249" s="1" t="s">
        <v>324</v>
      </c>
    </row>
    <row r="250">
      <c r="A250" s="1" t="s">
        <v>908</v>
      </c>
      <c r="B250" s="1" t="s">
        <v>909</v>
      </c>
      <c r="C250" s="1" t="s">
        <v>128</v>
      </c>
      <c r="D250" s="1" t="s">
        <v>910</v>
      </c>
      <c r="E250" s="1" t="s">
        <v>324</v>
      </c>
    </row>
    <row r="251">
      <c r="A251" s="1" t="s">
        <v>911</v>
      </c>
      <c r="B251" s="1" t="s">
        <v>912</v>
      </c>
      <c r="C251" s="1" t="s">
        <v>128</v>
      </c>
      <c r="D251" s="1" t="s">
        <v>913</v>
      </c>
      <c r="E251" s="1" t="s">
        <v>324</v>
      </c>
    </row>
    <row r="252">
      <c r="A252" s="1" t="s">
        <v>914</v>
      </c>
      <c r="B252" s="1" t="s">
        <v>915</v>
      </c>
      <c r="C252" s="1" t="s">
        <v>916</v>
      </c>
      <c r="D252" s="1" t="s">
        <v>917</v>
      </c>
      <c r="E252" s="1" t="s">
        <v>324</v>
      </c>
    </row>
    <row r="253">
      <c r="A253" s="1" t="s">
        <v>918</v>
      </c>
      <c r="B253" s="1" t="s">
        <v>919</v>
      </c>
      <c r="C253" s="1" t="s">
        <v>920</v>
      </c>
      <c r="D253" s="1" t="s">
        <v>921</v>
      </c>
      <c r="E253" s="1" t="s">
        <v>324</v>
      </c>
    </row>
    <row r="254">
      <c r="A254" s="1" t="s">
        <v>922</v>
      </c>
      <c r="B254" s="1" t="s">
        <v>923</v>
      </c>
      <c r="C254" s="1" t="s">
        <v>924</v>
      </c>
      <c r="D254" s="1" t="s">
        <v>925</v>
      </c>
      <c r="E254" s="1" t="s">
        <v>324</v>
      </c>
    </row>
    <row r="255">
      <c r="A255" s="1" t="s">
        <v>926</v>
      </c>
      <c r="B255" s="1" t="s">
        <v>927</v>
      </c>
      <c r="C255" s="1" t="s">
        <v>928</v>
      </c>
      <c r="D255" s="1" t="s">
        <v>929</v>
      </c>
      <c r="E255" s="1" t="s">
        <v>324</v>
      </c>
    </row>
    <row r="256">
      <c r="A256" s="1" t="s">
        <v>930</v>
      </c>
      <c r="B256" s="1" t="s">
        <v>624</v>
      </c>
      <c r="C256" s="1" t="s">
        <v>402</v>
      </c>
      <c r="D256" s="1" t="s">
        <v>931</v>
      </c>
      <c r="E256" s="1" t="s">
        <v>324</v>
      </c>
    </row>
    <row r="257">
      <c r="A257" s="1" t="s">
        <v>932</v>
      </c>
      <c r="B257" s="1" t="s">
        <v>933</v>
      </c>
      <c r="C257" s="1" t="s">
        <v>241</v>
      </c>
      <c r="D257" s="1" t="s">
        <v>934</v>
      </c>
      <c r="E257" s="1" t="s">
        <v>324</v>
      </c>
    </row>
    <row r="258">
      <c r="A258" s="1" t="s">
        <v>935</v>
      </c>
      <c r="B258" s="1" t="s">
        <v>936</v>
      </c>
      <c r="C258" s="1" t="s">
        <v>937</v>
      </c>
      <c r="D258" s="1" t="s">
        <v>938</v>
      </c>
      <c r="E258" s="1" t="s">
        <v>324</v>
      </c>
    </row>
    <row r="259">
      <c r="A259" s="1" t="s">
        <v>939</v>
      </c>
      <c r="B259" s="1" t="s">
        <v>940</v>
      </c>
      <c r="C259" s="1" t="s">
        <v>941</v>
      </c>
      <c r="D259" s="1" t="s">
        <v>942</v>
      </c>
      <c r="E259" s="1" t="s">
        <v>324</v>
      </c>
    </row>
    <row r="260">
      <c r="A260" s="1" t="s">
        <v>943</v>
      </c>
      <c r="B260" s="1" t="s">
        <v>944</v>
      </c>
      <c r="C260" s="1" t="s">
        <v>766</v>
      </c>
      <c r="D260" s="1" t="s">
        <v>945</v>
      </c>
      <c r="E260" s="1" t="s">
        <v>324</v>
      </c>
    </row>
    <row r="261">
      <c r="A261" s="1" t="s">
        <v>946</v>
      </c>
      <c r="B261" s="1" t="s">
        <v>947</v>
      </c>
      <c r="C261" s="1" t="s">
        <v>183</v>
      </c>
      <c r="D261" s="1" t="s">
        <v>948</v>
      </c>
      <c r="E261" s="1" t="s">
        <v>324</v>
      </c>
    </row>
    <row r="262">
      <c r="A262" s="1" t="s">
        <v>949</v>
      </c>
      <c r="B262" s="1" t="s">
        <v>950</v>
      </c>
      <c r="C262" s="1" t="s">
        <v>951</v>
      </c>
      <c r="D262" s="1" t="s">
        <v>952</v>
      </c>
      <c r="E262" s="1" t="s">
        <v>324</v>
      </c>
    </row>
    <row r="263">
      <c r="A263" s="1" t="s">
        <v>953</v>
      </c>
      <c r="B263" s="1" t="s">
        <v>954</v>
      </c>
      <c r="C263" s="1" t="s">
        <v>955</v>
      </c>
      <c r="D263" s="1" t="s">
        <v>956</v>
      </c>
      <c r="E263" s="1" t="s">
        <v>324</v>
      </c>
    </row>
    <row r="264">
      <c r="A264" s="1" t="s">
        <v>957</v>
      </c>
      <c r="B264" s="1" t="s">
        <v>958</v>
      </c>
      <c r="C264" s="1" t="s">
        <v>467</v>
      </c>
      <c r="D264" s="1" t="s">
        <v>959</v>
      </c>
      <c r="E264" s="1" t="s">
        <v>324</v>
      </c>
    </row>
    <row r="265">
      <c r="A265" s="1" t="s">
        <v>960</v>
      </c>
      <c r="B265" s="1" t="s">
        <v>229</v>
      </c>
      <c r="C265" s="1" t="s">
        <v>961</v>
      </c>
      <c r="D265" s="1" t="s">
        <v>231</v>
      </c>
      <c r="E265" s="1" t="s">
        <v>324</v>
      </c>
    </row>
    <row r="266">
      <c r="A266" s="1" t="s">
        <v>962</v>
      </c>
      <c r="B266" s="1" t="s">
        <v>458</v>
      </c>
      <c r="C266" s="1" t="s">
        <v>128</v>
      </c>
      <c r="D266" s="1" t="s">
        <v>963</v>
      </c>
      <c r="E266" s="1" t="s">
        <v>324</v>
      </c>
    </row>
    <row r="267">
      <c r="A267" s="1" t="s">
        <v>964</v>
      </c>
      <c r="B267" s="1" t="s">
        <v>458</v>
      </c>
      <c r="C267" s="1" t="s">
        <v>965</v>
      </c>
      <c r="D267" s="1" t="s">
        <v>966</v>
      </c>
      <c r="E267" s="1" t="s">
        <v>324</v>
      </c>
    </row>
    <row r="268">
      <c r="A268" s="1" t="s">
        <v>967</v>
      </c>
      <c r="B268" s="1" t="s">
        <v>968</v>
      </c>
      <c r="C268" s="1" t="s">
        <v>969</v>
      </c>
      <c r="D268" s="1" t="s">
        <v>970</v>
      </c>
      <c r="E268" s="1" t="s">
        <v>324</v>
      </c>
    </row>
    <row r="269">
      <c r="A269" s="1" t="s">
        <v>971</v>
      </c>
      <c r="B269" s="1" t="s">
        <v>301</v>
      </c>
      <c r="C269" s="1" t="s">
        <v>972</v>
      </c>
      <c r="D269" s="1" t="s">
        <v>973</v>
      </c>
      <c r="E269" s="1" t="s">
        <v>324</v>
      </c>
    </row>
    <row r="270">
      <c r="A270" s="1" t="s">
        <v>974</v>
      </c>
      <c r="B270" s="1" t="s">
        <v>542</v>
      </c>
      <c r="C270" s="1" t="s">
        <v>817</v>
      </c>
      <c r="D270" s="1" t="s">
        <v>975</v>
      </c>
      <c r="E270" s="1" t="s">
        <v>324</v>
      </c>
    </row>
    <row r="271">
      <c r="A271" s="1" t="s">
        <v>976</v>
      </c>
      <c r="B271" s="1" t="s">
        <v>977</v>
      </c>
      <c r="C271" s="1" t="s">
        <v>978</v>
      </c>
      <c r="D271" s="1" t="s">
        <v>979</v>
      </c>
      <c r="E271" s="1" t="s">
        <v>324</v>
      </c>
    </row>
    <row r="272">
      <c r="A272" s="1" t="s">
        <v>980</v>
      </c>
      <c r="B272" s="1" t="s">
        <v>981</v>
      </c>
      <c r="C272" s="1" t="s">
        <v>982</v>
      </c>
      <c r="D272" s="1" t="s">
        <v>983</v>
      </c>
      <c r="E272" s="1" t="s">
        <v>324</v>
      </c>
    </row>
    <row r="273">
      <c r="A273" s="1" t="s">
        <v>984</v>
      </c>
      <c r="B273" s="1" t="s">
        <v>985</v>
      </c>
      <c r="C273" s="1" t="s">
        <v>364</v>
      </c>
      <c r="D273" s="1" t="s">
        <v>986</v>
      </c>
      <c r="E273" s="1" t="s">
        <v>324</v>
      </c>
    </row>
    <row r="274">
      <c r="A274" s="1" t="s">
        <v>987</v>
      </c>
      <c r="B274" s="1" t="s">
        <v>988</v>
      </c>
      <c r="C274" s="1" t="s">
        <v>989</v>
      </c>
      <c r="D274" s="1" t="s">
        <v>990</v>
      </c>
      <c r="E274" s="1" t="s">
        <v>324</v>
      </c>
    </row>
    <row r="275">
      <c r="A275" s="1" t="s">
        <v>991</v>
      </c>
      <c r="B275" s="1" t="s">
        <v>992</v>
      </c>
      <c r="C275" s="1" t="s">
        <v>993</v>
      </c>
      <c r="D275" s="1" t="s">
        <v>994</v>
      </c>
      <c r="E275" s="1" t="s">
        <v>324</v>
      </c>
    </row>
    <row r="276">
      <c r="A276" s="1" t="s">
        <v>995</v>
      </c>
      <c r="B276" s="1" t="s">
        <v>275</v>
      </c>
      <c r="C276" s="1" t="s">
        <v>996</v>
      </c>
      <c r="D276" s="1" t="s">
        <v>997</v>
      </c>
      <c r="E276" s="1" t="s">
        <v>324</v>
      </c>
    </row>
    <row r="277">
      <c r="A277" s="1" t="s">
        <v>998</v>
      </c>
      <c r="B277" s="1" t="s">
        <v>999</v>
      </c>
      <c r="C277" s="1" t="s">
        <v>1000</v>
      </c>
      <c r="D277" s="1" t="s">
        <v>1001</v>
      </c>
      <c r="E277" s="1" t="s">
        <v>324</v>
      </c>
    </row>
    <row r="278">
      <c r="A278" s="1" t="s">
        <v>1002</v>
      </c>
      <c r="B278" s="1" t="s">
        <v>1003</v>
      </c>
      <c r="C278" s="1" t="s">
        <v>569</v>
      </c>
      <c r="D278" s="1" t="s">
        <v>1004</v>
      </c>
      <c r="E278" s="1" t="s">
        <v>324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324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324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324</v>
      </c>
    </row>
    <row r="282">
      <c r="A282" s="1" t="s">
        <v>1017</v>
      </c>
      <c r="B282" s="1" t="s">
        <v>1018</v>
      </c>
      <c r="C282" s="1" t="s">
        <v>1019</v>
      </c>
      <c r="D282" s="1" t="s">
        <v>1020</v>
      </c>
      <c r="E282" s="1" t="s">
        <v>324</v>
      </c>
    </row>
    <row r="283">
      <c r="A283" s="1" t="s">
        <v>1021</v>
      </c>
      <c r="B283" s="1" t="s">
        <v>1022</v>
      </c>
      <c r="C283" s="1" t="s">
        <v>1023</v>
      </c>
      <c r="D283" s="1" t="s">
        <v>1024</v>
      </c>
      <c r="E283" s="1" t="s">
        <v>324</v>
      </c>
    </row>
    <row r="284">
      <c r="A284" s="1" t="s">
        <v>1025</v>
      </c>
      <c r="B284" s="1" t="s">
        <v>372</v>
      </c>
      <c r="C284" s="1" t="s">
        <v>1026</v>
      </c>
      <c r="D284" s="1" t="s">
        <v>1027</v>
      </c>
      <c r="E284" s="1" t="s">
        <v>324</v>
      </c>
    </row>
    <row r="285">
      <c r="A285" s="1" t="s">
        <v>1028</v>
      </c>
      <c r="B285" s="1" t="s">
        <v>1029</v>
      </c>
      <c r="C285" s="1" t="s">
        <v>1030</v>
      </c>
      <c r="D285" s="1" t="s">
        <v>1031</v>
      </c>
      <c r="E285" s="1" t="s">
        <v>324</v>
      </c>
    </row>
    <row r="286">
      <c r="A286" s="1" t="s">
        <v>1032</v>
      </c>
      <c r="B286" s="1" t="s">
        <v>271</v>
      </c>
      <c r="C286" s="1" t="s">
        <v>364</v>
      </c>
      <c r="D286" s="1" t="s">
        <v>1033</v>
      </c>
      <c r="E286" s="1" t="s">
        <v>324</v>
      </c>
    </row>
    <row r="287">
      <c r="A287" s="1" t="s">
        <v>1034</v>
      </c>
      <c r="B287" s="1" t="s">
        <v>128</v>
      </c>
      <c r="C287" s="1" t="s">
        <v>1035</v>
      </c>
      <c r="D287" s="1" t="s">
        <v>1036</v>
      </c>
      <c r="E287" s="1" t="s">
        <v>324</v>
      </c>
    </row>
    <row r="288">
      <c r="A288" s="1" t="s">
        <v>1037</v>
      </c>
      <c r="B288" s="1" t="s">
        <v>535</v>
      </c>
      <c r="C288" s="1" t="s">
        <v>770</v>
      </c>
      <c r="D288" s="1" t="s">
        <v>1038</v>
      </c>
      <c r="E288" s="1" t="s">
        <v>324</v>
      </c>
    </row>
    <row r="289">
      <c r="A289" s="1" t="s">
        <v>1039</v>
      </c>
      <c r="B289" s="1" t="s">
        <v>1040</v>
      </c>
      <c r="C289" s="1" t="s">
        <v>843</v>
      </c>
      <c r="D289" s="1" t="s">
        <v>1041</v>
      </c>
      <c r="E289" s="1" t="s">
        <v>324</v>
      </c>
    </row>
    <row r="290">
      <c r="A290" s="1" t="s">
        <v>1042</v>
      </c>
      <c r="B290" s="1" t="s">
        <v>1043</v>
      </c>
      <c r="C290" s="1" t="s">
        <v>702</v>
      </c>
      <c r="D290" s="1" t="s">
        <v>1044</v>
      </c>
      <c r="E290" s="1" t="s">
        <v>324</v>
      </c>
    </row>
    <row r="291">
      <c r="A291" s="1" t="s">
        <v>1045</v>
      </c>
      <c r="B291" s="1" t="s">
        <v>1046</v>
      </c>
      <c r="C291" s="1" t="s">
        <v>1047</v>
      </c>
      <c r="D291" s="1" t="s">
        <v>1048</v>
      </c>
      <c r="E291" s="1" t="s">
        <v>324</v>
      </c>
    </row>
    <row r="292">
      <c r="A292" s="1" t="s">
        <v>1049</v>
      </c>
      <c r="B292" s="1" t="s">
        <v>106</v>
      </c>
      <c r="C292" s="1" t="s">
        <v>384</v>
      </c>
      <c r="D292" s="1" t="s">
        <v>1050</v>
      </c>
      <c r="E292" s="1" t="s">
        <v>324</v>
      </c>
    </row>
    <row r="293">
      <c r="A293" s="1" t="s">
        <v>1051</v>
      </c>
      <c r="B293" s="1" t="s">
        <v>1052</v>
      </c>
      <c r="C293" s="1" t="s">
        <v>1053</v>
      </c>
      <c r="D293" s="1" t="s">
        <v>1054</v>
      </c>
      <c r="E293" s="1" t="s">
        <v>324</v>
      </c>
    </row>
    <row r="294">
      <c r="A294" s="1" t="s">
        <v>1055</v>
      </c>
      <c r="B294" s="1" t="s">
        <v>282</v>
      </c>
      <c r="C294" s="1" t="s">
        <v>283</v>
      </c>
      <c r="D294" s="1" t="s">
        <v>284</v>
      </c>
      <c r="E294" s="1" t="s">
        <v>324</v>
      </c>
    </row>
    <row r="295">
      <c r="A295" s="1" t="s">
        <v>1056</v>
      </c>
      <c r="B295" s="1" t="s">
        <v>1057</v>
      </c>
      <c r="C295" s="1" t="s">
        <v>1058</v>
      </c>
      <c r="D295" s="1" t="s">
        <v>1059</v>
      </c>
      <c r="E295" s="1" t="s">
        <v>324</v>
      </c>
    </row>
    <row r="296">
      <c r="A296" s="1" t="s">
        <v>1060</v>
      </c>
      <c r="B296" s="1" t="s">
        <v>642</v>
      </c>
      <c r="C296" s="1" t="s">
        <v>346</v>
      </c>
      <c r="D296" s="1" t="s">
        <v>1061</v>
      </c>
      <c r="E296" s="1" t="s">
        <v>324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4" t="s">
        <v>1062</v>
      </c>
      <c r="B2" s="4" t="s">
        <v>1063</v>
      </c>
      <c r="C2" s="4" t="s">
        <v>1064</v>
      </c>
      <c r="D2" s="5">
        <f>+251915167376</f>
        <v>251915167376</v>
      </c>
      <c r="E2" s="4" t="s">
        <v>10</v>
      </c>
      <c r="F2" s="4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 t="s">
        <v>1065</v>
      </c>
      <c r="B3" s="4" t="s">
        <v>1066</v>
      </c>
      <c r="C3" s="4" t="s">
        <v>762</v>
      </c>
      <c r="D3" s="5">
        <f>+251966896746</f>
        <v>251966896746</v>
      </c>
      <c r="E3" s="4" t="s">
        <v>10</v>
      </c>
      <c r="F3" s="4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4" t="s">
        <v>1067</v>
      </c>
      <c r="B4" s="4" t="s">
        <v>1068</v>
      </c>
      <c r="C4" s="4" t="s">
        <v>521</v>
      </c>
      <c r="D4" s="5">
        <f>+251923284190</f>
        <v>251923284190</v>
      </c>
      <c r="E4" s="4" t="s">
        <v>10</v>
      </c>
      <c r="F4" s="4" t="s">
        <v>34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 t="s">
        <v>1069</v>
      </c>
      <c r="B5" s="4" t="s">
        <v>1070</v>
      </c>
      <c r="C5" s="4" t="s">
        <v>1071</v>
      </c>
      <c r="D5" s="5">
        <f>+251932204626</f>
        <v>251932204626</v>
      </c>
      <c r="E5" s="4" t="s">
        <v>10</v>
      </c>
      <c r="F5" s="4" t="s">
        <v>29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4" t="s">
        <v>1072</v>
      </c>
      <c r="B6" s="4" t="s">
        <v>1073</v>
      </c>
      <c r="C6" s="4" t="s">
        <v>774</v>
      </c>
      <c r="D6" s="5">
        <f>+251967255318</f>
        <v>251967255318</v>
      </c>
      <c r="E6" s="4" t="s">
        <v>10</v>
      </c>
      <c r="F6" s="4" t="s">
        <v>29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4" t="s">
        <v>1074</v>
      </c>
      <c r="B7" s="4" t="s">
        <v>1075</v>
      </c>
      <c r="C7" s="4" t="s">
        <v>1076</v>
      </c>
      <c r="D7" s="5">
        <f>+251929229920</f>
        <v>251929229920</v>
      </c>
      <c r="E7" s="4" t="s">
        <v>10</v>
      </c>
      <c r="F7" s="4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4" t="s">
        <v>1077</v>
      </c>
      <c r="B8" s="4" t="s">
        <v>1078</v>
      </c>
      <c r="C8" s="4" t="s">
        <v>1079</v>
      </c>
      <c r="D8" s="5">
        <f>+251969139694</f>
        <v>251969139694</v>
      </c>
      <c r="E8" s="4" t="s">
        <v>10</v>
      </c>
      <c r="F8" s="4" t="s">
        <v>29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4" t="s">
        <v>1080</v>
      </c>
      <c r="B9" s="4" t="s">
        <v>252</v>
      </c>
      <c r="C9" s="4" t="s">
        <v>353</v>
      </c>
      <c r="D9" s="5">
        <f>+251712001763</f>
        <v>251712001763</v>
      </c>
      <c r="E9" s="4" t="s">
        <v>10</v>
      </c>
      <c r="F9" s="4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4" t="s">
        <v>1081</v>
      </c>
      <c r="B10" s="4" t="s">
        <v>278</v>
      </c>
      <c r="C10" s="4" t="s">
        <v>1082</v>
      </c>
      <c r="D10" s="5">
        <f>+251916986638</f>
        <v>251916986638</v>
      </c>
      <c r="E10" s="4" t="s">
        <v>10</v>
      </c>
      <c r="F10" s="4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 t="s">
        <v>1083</v>
      </c>
      <c r="B11" s="4" t="s">
        <v>1084</v>
      </c>
      <c r="C11" s="4" t="s">
        <v>1085</v>
      </c>
      <c r="D11" s="5">
        <f>+251937888273</f>
        <v>251937888273</v>
      </c>
      <c r="E11" s="4" t="s">
        <v>10</v>
      </c>
      <c r="F11" s="4" t="s">
        <v>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 t="s">
        <v>1086</v>
      </c>
      <c r="B12" s="4" t="s">
        <v>1087</v>
      </c>
      <c r="C12" s="4" t="s">
        <v>74</v>
      </c>
      <c r="D12" s="5">
        <f>+251911028876</f>
        <v>251911028876</v>
      </c>
      <c r="E12" s="4" t="s">
        <v>10</v>
      </c>
      <c r="F12" s="4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 t="s">
        <v>1088</v>
      </c>
      <c r="B13" s="4" t="s">
        <v>1089</v>
      </c>
      <c r="C13" s="4" t="s">
        <v>219</v>
      </c>
      <c r="D13" s="5">
        <v>9.30070644E8</v>
      </c>
      <c r="E13" s="4" t="s">
        <v>10</v>
      </c>
      <c r="F13" s="4" t="s">
        <v>134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 t="s">
        <v>1090</v>
      </c>
      <c r="B14" s="4" t="s">
        <v>969</v>
      </c>
      <c r="C14" s="4" t="s">
        <v>1091</v>
      </c>
      <c r="D14" s="5">
        <f>+251910526357</f>
        <v>251910526357</v>
      </c>
      <c r="E14" s="4" t="s">
        <v>10</v>
      </c>
      <c r="F14" s="4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 t="s">
        <v>1092</v>
      </c>
      <c r="B15" s="4" t="s">
        <v>1093</v>
      </c>
      <c r="C15" s="4" t="s">
        <v>1094</v>
      </c>
      <c r="D15" s="5">
        <f>+251916409334</f>
        <v>251916409334</v>
      </c>
      <c r="E15" s="4" t="s">
        <v>10</v>
      </c>
      <c r="F15" s="4" t="s">
        <v>134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4" t="s">
        <v>1095</v>
      </c>
      <c r="B16" s="4" t="s">
        <v>1096</v>
      </c>
      <c r="C16" s="4" t="s">
        <v>1097</v>
      </c>
      <c r="D16" s="5">
        <f>+251933822008</f>
        <v>251933822008</v>
      </c>
      <c r="E16" s="4" t="s">
        <v>10</v>
      </c>
      <c r="F16" s="4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 t="s">
        <v>1098</v>
      </c>
      <c r="B17" s="4" t="s">
        <v>1099</v>
      </c>
      <c r="C17" s="4" t="s">
        <v>1066</v>
      </c>
      <c r="D17" s="5">
        <f>+251996741935</f>
        <v>251996741935</v>
      </c>
      <c r="E17" s="4" t="s">
        <v>10</v>
      </c>
      <c r="F17" s="4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 t="s">
        <v>1100</v>
      </c>
      <c r="B18" s="4" t="s">
        <v>1101</v>
      </c>
      <c r="C18" s="4" t="s">
        <v>1102</v>
      </c>
      <c r="D18" s="5">
        <v>2.5191998127E11</v>
      </c>
      <c r="E18" s="4" t="s">
        <v>10</v>
      </c>
      <c r="F18" s="4" t="s">
        <v>11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 t="s">
        <v>1103</v>
      </c>
      <c r="B19" s="4" t="s">
        <v>1104</v>
      </c>
      <c r="C19" s="4" t="s">
        <v>467</v>
      </c>
      <c r="D19" s="5">
        <f>+251917076206</f>
        <v>251917076206</v>
      </c>
      <c r="E19" s="4" t="s">
        <v>10</v>
      </c>
      <c r="F19" s="4" t="s">
        <v>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 t="s">
        <v>1105</v>
      </c>
      <c r="B20" s="4" t="s">
        <v>1106</v>
      </c>
      <c r="C20" s="4" t="s">
        <v>1107</v>
      </c>
      <c r="D20" s="5">
        <f>+251960658788</f>
        <v>251960658788</v>
      </c>
      <c r="E20" s="4" t="s">
        <v>10</v>
      </c>
      <c r="F20" s="4" t="s">
        <v>134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4" t="s">
        <v>1108</v>
      </c>
      <c r="B21" s="4" t="s">
        <v>1109</v>
      </c>
      <c r="C21" s="4" t="s">
        <v>1110</v>
      </c>
      <c r="D21" s="5">
        <f>+251987977967</f>
        <v>251987977967</v>
      </c>
      <c r="E21" s="4" t="s">
        <v>10</v>
      </c>
      <c r="F21" s="4" t="s">
        <v>29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4" t="s">
        <v>1111</v>
      </c>
      <c r="B22" s="4" t="s">
        <v>1084</v>
      </c>
      <c r="C22" s="4" t="s">
        <v>353</v>
      </c>
      <c r="D22" s="5">
        <f>+251938185229</f>
        <v>251938185229</v>
      </c>
      <c r="E22" s="4" t="s">
        <v>10</v>
      </c>
      <c r="F22" s="4" t="s">
        <v>11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 t="s">
        <v>1112</v>
      </c>
      <c r="B23" s="4" t="s">
        <v>1113</v>
      </c>
      <c r="C23" s="4" t="s">
        <v>124</v>
      </c>
      <c r="D23" s="5">
        <f>+251955452837</f>
        <v>251955452837</v>
      </c>
      <c r="E23" s="4" t="s">
        <v>10</v>
      </c>
      <c r="F23" s="4" t="s">
        <v>24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 t="s">
        <v>1114</v>
      </c>
      <c r="B24" s="4" t="s">
        <v>81</v>
      </c>
      <c r="C24" s="4" t="s">
        <v>1115</v>
      </c>
      <c r="D24" s="5">
        <f>+251928051355</f>
        <v>251928051355</v>
      </c>
      <c r="E24" s="4" t="s">
        <v>10</v>
      </c>
      <c r="F24" s="4" t="s">
        <v>11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4" t="s">
        <v>1116</v>
      </c>
      <c r="B25" s="4" t="s">
        <v>128</v>
      </c>
      <c r="C25" s="4" t="s">
        <v>1117</v>
      </c>
      <c r="D25" s="5">
        <f>+251911608543</f>
        <v>251911608543</v>
      </c>
      <c r="E25" s="4" t="s">
        <v>10</v>
      </c>
      <c r="F25" s="4" t="s">
        <v>11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4" t="s">
        <v>1118</v>
      </c>
      <c r="B26" s="4" t="s">
        <v>82</v>
      </c>
      <c r="C26" s="4" t="s">
        <v>1119</v>
      </c>
      <c r="D26" s="5">
        <f>+251915963822</f>
        <v>251915963822</v>
      </c>
      <c r="E26" s="4" t="s">
        <v>10</v>
      </c>
      <c r="F26" s="4" t="s">
        <v>134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4" t="s">
        <v>1120</v>
      </c>
      <c r="B27" s="4" t="s">
        <v>1121</v>
      </c>
      <c r="C27" s="4" t="s">
        <v>1122</v>
      </c>
      <c r="D27" s="5">
        <f>+251961519817</f>
        <v>251961519817</v>
      </c>
      <c r="E27" s="4" t="s">
        <v>10</v>
      </c>
      <c r="F27" s="4" t="s">
        <v>11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 t="s">
        <v>1123</v>
      </c>
      <c r="B28" s="4" t="s">
        <v>1124</v>
      </c>
      <c r="C28" s="4" t="s">
        <v>291</v>
      </c>
      <c r="D28" s="5">
        <f>+251915305220</f>
        <v>251915305220</v>
      </c>
      <c r="E28" s="4" t="s">
        <v>10</v>
      </c>
      <c r="F28" s="4" t="s">
        <v>95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4" t="s">
        <v>1125</v>
      </c>
      <c r="B29" s="4" t="s">
        <v>1126</v>
      </c>
      <c r="C29" s="4" t="s">
        <v>1127</v>
      </c>
      <c r="D29" s="5">
        <v>9.29271909E8</v>
      </c>
      <c r="E29" s="4" t="s">
        <v>10</v>
      </c>
      <c r="F29" s="4" t="s">
        <v>134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 t="s">
        <v>1128</v>
      </c>
      <c r="B30" s="4" t="s">
        <v>1129</v>
      </c>
      <c r="C30" s="4" t="s">
        <v>1130</v>
      </c>
      <c r="D30" s="5">
        <f>+251909433658</f>
        <v>251909433658</v>
      </c>
      <c r="E30" s="4" t="s">
        <v>10</v>
      </c>
      <c r="F30" s="4" t="s">
        <v>51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 t="s">
        <v>1131</v>
      </c>
      <c r="B31" s="4" t="s">
        <v>1132</v>
      </c>
      <c r="C31" s="4" t="s">
        <v>1133</v>
      </c>
      <c r="D31" s="5">
        <f>+251912669087</f>
        <v>251912669087</v>
      </c>
      <c r="E31" s="4" t="s">
        <v>10</v>
      </c>
      <c r="F31" s="4" t="s">
        <v>11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 t="s">
        <v>1134</v>
      </c>
      <c r="B32" s="4" t="s">
        <v>1135</v>
      </c>
      <c r="C32" s="4" t="s">
        <v>1136</v>
      </c>
      <c r="D32" s="5">
        <f>+251918384162</f>
        <v>251918384162</v>
      </c>
      <c r="E32" s="4" t="s">
        <v>10</v>
      </c>
      <c r="F32" s="4" t="s">
        <v>29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 t="s">
        <v>1137</v>
      </c>
      <c r="B33" s="4" t="s">
        <v>1138</v>
      </c>
      <c r="C33" s="4" t="s">
        <v>1139</v>
      </c>
      <c r="D33" s="5">
        <f>+251954923543</f>
        <v>251954923543</v>
      </c>
      <c r="E33" s="4" t="s">
        <v>10</v>
      </c>
      <c r="F33" s="4" t="s">
        <v>11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 t="s">
        <v>1140</v>
      </c>
      <c r="B34" s="4" t="s">
        <v>1141</v>
      </c>
      <c r="C34" s="4" t="s">
        <v>1142</v>
      </c>
      <c r="D34" s="5">
        <f>+251932064555</f>
        <v>251932064555</v>
      </c>
      <c r="E34" s="4" t="s">
        <v>10</v>
      </c>
      <c r="F34" s="4" t="s">
        <v>11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 t="s">
        <v>1143</v>
      </c>
      <c r="B35" s="4" t="s">
        <v>159</v>
      </c>
      <c r="C35" s="4" t="s">
        <v>88</v>
      </c>
      <c r="D35" s="5">
        <f>+251913333903</f>
        <v>251913333903</v>
      </c>
      <c r="E35" s="4" t="s">
        <v>10</v>
      </c>
      <c r="F35" s="4" t="s">
        <v>29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 t="s">
        <v>1144</v>
      </c>
      <c r="B36" s="4" t="s">
        <v>365</v>
      </c>
      <c r="C36" s="4" t="s">
        <v>802</v>
      </c>
      <c r="D36" s="5">
        <f>+251966827083</f>
        <v>251966827083</v>
      </c>
      <c r="E36" s="4" t="s">
        <v>10</v>
      </c>
      <c r="F36" s="4" t="s">
        <v>24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 t="s">
        <v>760</v>
      </c>
      <c r="B37" s="4" t="s">
        <v>761</v>
      </c>
      <c r="C37" s="4" t="s">
        <v>762</v>
      </c>
      <c r="D37" s="5">
        <f>+251921498392</f>
        <v>251921498392</v>
      </c>
      <c r="E37" s="4" t="s">
        <v>10</v>
      </c>
      <c r="F37" s="4" t="s">
        <v>11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 t="s">
        <v>1145</v>
      </c>
      <c r="B38" s="4" t="s">
        <v>1146</v>
      </c>
      <c r="C38" s="4" t="s">
        <v>1147</v>
      </c>
      <c r="D38" s="5">
        <f>+251917911085</f>
        <v>251917911085</v>
      </c>
      <c r="E38" s="4" t="s">
        <v>10</v>
      </c>
      <c r="F38" s="4" t="s">
        <v>11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 t="s">
        <v>1148</v>
      </c>
      <c r="B39" s="4" t="s">
        <v>1149</v>
      </c>
      <c r="C39" s="4" t="s">
        <v>275</v>
      </c>
      <c r="D39" s="5">
        <f>+251923149114</f>
        <v>251923149114</v>
      </c>
      <c r="E39" s="4" t="s">
        <v>10</v>
      </c>
      <c r="F39" s="4" t="s">
        <v>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 t="s">
        <v>1150</v>
      </c>
      <c r="B40" s="4" t="s">
        <v>1151</v>
      </c>
      <c r="C40" s="4" t="s">
        <v>1152</v>
      </c>
      <c r="D40" s="5">
        <f>+251929517703</f>
        <v>251929517703</v>
      </c>
      <c r="E40" s="4" t="s">
        <v>10</v>
      </c>
      <c r="F40" s="4" t="s">
        <v>134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 t="s">
        <v>1153</v>
      </c>
      <c r="B41" s="4" t="s">
        <v>1154</v>
      </c>
      <c r="C41" s="4" t="s">
        <v>1155</v>
      </c>
      <c r="D41" s="5">
        <f>+251947139308</f>
        <v>251947139308</v>
      </c>
      <c r="E41" s="4" t="s">
        <v>10</v>
      </c>
      <c r="F41" s="4" t="s">
        <v>11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 t="s">
        <v>1156</v>
      </c>
      <c r="B42" s="4" t="s">
        <v>1157</v>
      </c>
      <c r="C42" s="4" t="s">
        <v>1158</v>
      </c>
      <c r="D42" s="5">
        <f>+251953916042</f>
        <v>251953916042</v>
      </c>
      <c r="E42" s="4" t="s">
        <v>10</v>
      </c>
      <c r="F42" s="4" t="s">
        <v>29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 t="s">
        <v>1159</v>
      </c>
      <c r="B43" s="4" t="s">
        <v>1160</v>
      </c>
      <c r="C43" s="4" t="s">
        <v>1161</v>
      </c>
      <c r="D43" s="5">
        <f>+251905261068</f>
        <v>251905261068</v>
      </c>
      <c r="E43" s="4" t="s">
        <v>10</v>
      </c>
      <c r="F43" s="4" t="s">
        <v>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 t="s">
        <v>1162</v>
      </c>
      <c r="B44" s="4" t="s">
        <v>665</v>
      </c>
      <c r="C44" s="4" t="s">
        <v>1163</v>
      </c>
      <c r="D44" s="5">
        <f>+251938999699</f>
        <v>251938999699</v>
      </c>
      <c r="E44" s="4" t="s">
        <v>10</v>
      </c>
      <c r="F44" s="4" t="s">
        <v>11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 t="s">
        <v>1164</v>
      </c>
      <c r="B45" s="4" t="s">
        <v>600</v>
      </c>
      <c r="C45" s="4" t="s">
        <v>1165</v>
      </c>
      <c r="D45" s="5">
        <v>9.3449567E8</v>
      </c>
      <c r="E45" s="4" t="s">
        <v>10</v>
      </c>
      <c r="F45" s="4" t="s">
        <v>34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 t="s">
        <v>1166</v>
      </c>
      <c r="B46" s="4" t="s">
        <v>294</v>
      </c>
      <c r="C46" s="4" t="s">
        <v>1167</v>
      </c>
      <c r="D46" s="5">
        <f>+251922214866</f>
        <v>251922214866</v>
      </c>
      <c r="E46" s="4" t="s">
        <v>10</v>
      </c>
      <c r="F46" s="4" t="s">
        <v>34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 t="s">
        <v>841</v>
      </c>
      <c r="B47" s="4" t="s">
        <v>842</v>
      </c>
      <c r="C47" s="4" t="s">
        <v>843</v>
      </c>
      <c r="D47" s="5">
        <f>+251908412771</f>
        <v>251908412771</v>
      </c>
      <c r="E47" s="4" t="s">
        <v>10</v>
      </c>
      <c r="F47" s="4" t="s">
        <v>11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 t="s">
        <v>1168</v>
      </c>
      <c r="B48" s="4" t="s">
        <v>1169</v>
      </c>
      <c r="C48" s="4" t="s">
        <v>1170</v>
      </c>
      <c r="D48" s="5">
        <f>+251916623344</f>
        <v>251916623344</v>
      </c>
      <c r="E48" s="4" t="s">
        <v>10</v>
      </c>
      <c r="F48" s="4" t="s">
        <v>29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 t="s">
        <v>1171</v>
      </c>
      <c r="B49" s="4" t="s">
        <v>1172</v>
      </c>
      <c r="C49" s="4" t="s">
        <v>128</v>
      </c>
      <c r="D49" s="5">
        <f>+251941147254</f>
        <v>251941147254</v>
      </c>
      <c r="E49" s="4" t="s">
        <v>10</v>
      </c>
      <c r="F49" s="4" t="s">
        <v>51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 t="s">
        <v>1173</v>
      </c>
      <c r="B50" s="4" t="s">
        <v>117</v>
      </c>
      <c r="C50" s="4" t="s">
        <v>301</v>
      </c>
      <c r="D50" s="5">
        <f>+251951744805</f>
        <v>251951744805</v>
      </c>
      <c r="E50" s="4" t="s">
        <v>10</v>
      </c>
      <c r="F50" s="4" t="s">
        <v>11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6" t="s">
        <v>1174</v>
      </c>
      <c r="B51" s="6" t="s">
        <v>372</v>
      </c>
      <c r="C51" s="6" t="s">
        <v>1175</v>
      </c>
      <c r="D51" s="7">
        <f>+251966716205</f>
        <v>251966716205</v>
      </c>
      <c r="E51" s="6" t="s">
        <v>10</v>
      </c>
      <c r="F51" s="6" t="s">
        <v>11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>
      <c r="A52" s="4" t="s">
        <v>1176</v>
      </c>
      <c r="B52" s="4" t="s">
        <v>1177</v>
      </c>
      <c r="C52" s="4" t="s">
        <v>1178</v>
      </c>
      <c r="D52" s="5">
        <f>+251969695859</f>
        <v>251969695859</v>
      </c>
      <c r="E52" s="4" t="s">
        <v>10</v>
      </c>
      <c r="F52" s="4" t="s">
        <v>11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 t="s">
        <v>1179</v>
      </c>
      <c r="B53" s="4" t="s">
        <v>535</v>
      </c>
      <c r="C53" s="4" t="s">
        <v>1180</v>
      </c>
      <c r="D53" s="5">
        <f>+251912795277</f>
        <v>251912795277</v>
      </c>
      <c r="E53" s="4" t="s">
        <v>10</v>
      </c>
      <c r="F53" s="4" t="s">
        <v>11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 t="s">
        <v>1181</v>
      </c>
      <c r="B54" s="4" t="s">
        <v>1182</v>
      </c>
      <c r="C54" s="4" t="s">
        <v>159</v>
      </c>
      <c r="D54" s="5">
        <f>+251927183407</f>
        <v>251927183407</v>
      </c>
      <c r="E54" s="4" t="s">
        <v>10</v>
      </c>
      <c r="F54" s="4" t="s">
        <v>24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 t="s">
        <v>1183</v>
      </c>
      <c r="B55" s="4" t="s">
        <v>651</v>
      </c>
      <c r="C55" s="4" t="s">
        <v>1175</v>
      </c>
      <c r="D55" s="5">
        <f>+251929161063</f>
        <v>251929161063</v>
      </c>
      <c r="E55" s="4" t="s">
        <v>10</v>
      </c>
      <c r="F55" s="4" t="s">
        <v>11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 t="s">
        <v>1184</v>
      </c>
      <c r="B56" s="4" t="s">
        <v>1185</v>
      </c>
      <c r="C56" s="4" t="s">
        <v>365</v>
      </c>
      <c r="D56" s="5">
        <f>+251946577930</f>
        <v>251946577930</v>
      </c>
      <c r="E56" s="4" t="s">
        <v>10</v>
      </c>
      <c r="F56" s="4" t="s">
        <v>24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 t="s">
        <v>1186</v>
      </c>
      <c r="B57" s="4" t="s">
        <v>1187</v>
      </c>
      <c r="C57" s="4" t="s">
        <v>558</v>
      </c>
      <c r="D57" s="5">
        <f>+251972838134</f>
        <v>251972838134</v>
      </c>
      <c r="E57" s="4" t="s">
        <v>10</v>
      </c>
      <c r="F57" s="4" t="s">
        <v>51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 t="s">
        <v>1188</v>
      </c>
      <c r="B58" s="4" t="s">
        <v>1189</v>
      </c>
      <c r="C58" s="4" t="s">
        <v>1190</v>
      </c>
      <c r="D58" s="5">
        <f>+251949195957</f>
        <v>251949195957</v>
      </c>
      <c r="E58" s="4" t="s">
        <v>10</v>
      </c>
      <c r="F58" s="4" t="s">
        <v>29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 t="s">
        <v>1191</v>
      </c>
      <c r="B59" s="4" t="s">
        <v>424</v>
      </c>
      <c r="C59" s="4" t="s">
        <v>1192</v>
      </c>
      <c r="D59" s="5">
        <f>+251923824434</f>
        <v>251923824434</v>
      </c>
      <c r="E59" s="4" t="s">
        <v>10</v>
      </c>
      <c r="F59" s="4" t="s">
        <v>24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 t="s">
        <v>1193</v>
      </c>
      <c r="B60" s="4" t="s">
        <v>1194</v>
      </c>
      <c r="C60" s="4" t="s">
        <v>1195</v>
      </c>
      <c r="D60" s="5">
        <f>+251939654186</f>
        <v>251939654186</v>
      </c>
      <c r="E60" s="4" t="s">
        <v>10</v>
      </c>
      <c r="F60" s="4" t="s">
        <v>134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 t="s">
        <v>1196</v>
      </c>
      <c r="B61" s="4" t="s">
        <v>17</v>
      </c>
      <c r="C61" s="4" t="s">
        <v>1197</v>
      </c>
      <c r="D61" s="5">
        <f>+251905892759</f>
        <v>251905892759</v>
      </c>
      <c r="E61" s="4" t="s">
        <v>10</v>
      </c>
      <c r="F61" s="4" t="s">
        <v>134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 t="s">
        <v>1198</v>
      </c>
      <c r="B62" s="4" t="s">
        <v>1199</v>
      </c>
      <c r="C62" s="4" t="s">
        <v>1200</v>
      </c>
      <c r="D62" s="5">
        <f>+251927075311</f>
        <v>251927075311</v>
      </c>
      <c r="E62" s="4" t="s">
        <v>10</v>
      </c>
      <c r="F62" s="4" t="s">
        <v>11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 t="s">
        <v>1201</v>
      </c>
      <c r="B63" s="4" t="s">
        <v>1202</v>
      </c>
      <c r="C63" s="4" t="s">
        <v>1203</v>
      </c>
      <c r="D63" s="5">
        <f>+251963797076</f>
        <v>251963797076</v>
      </c>
      <c r="E63" s="4" t="s">
        <v>10</v>
      </c>
      <c r="F63" s="4" t="s">
        <v>24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 t="s">
        <v>1204</v>
      </c>
      <c r="B64" s="4" t="s">
        <v>1205</v>
      </c>
      <c r="C64" s="4" t="s">
        <v>1206</v>
      </c>
      <c r="D64" s="5">
        <f>+251947349134</f>
        <v>251947349134</v>
      </c>
      <c r="E64" s="4" t="s">
        <v>10</v>
      </c>
      <c r="F64" s="4" t="s">
        <v>51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 t="s">
        <v>1207</v>
      </c>
      <c r="B65" s="4" t="s">
        <v>1208</v>
      </c>
      <c r="C65" s="4" t="s">
        <v>1209</v>
      </c>
      <c r="D65" s="5">
        <f>+251922850480</f>
        <v>251922850480</v>
      </c>
      <c r="E65" s="4" t="s">
        <v>10</v>
      </c>
      <c r="F65" s="4" t="s">
        <v>34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 t="s">
        <v>1210</v>
      </c>
      <c r="B66" s="4" t="s">
        <v>787</v>
      </c>
      <c r="C66" s="4" t="s">
        <v>331</v>
      </c>
      <c r="D66" s="5">
        <f>+251910342815</f>
        <v>251910342815</v>
      </c>
      <c r="E66" s="4" t="s">
        <v>10</v>
      </c>
      <c r="F66" s="4" t="s">
        <v>11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 t="s">
        <v>1211</v>
      </c>
      <c r="B67" s="4" t="s">
        <v>1066</v>
      </c>
      <c r="C67" s="4" t="s">
        <v>1212</v>
      </c>
      <c r="D67" s="5">
        <f>+251925763462</f>
        <v>251925763462</v>
      </c>
      <c r="E67" s="4" t="s">
        <v>10</v>
      </c>
      <c r="F67" s="4" t="s">
        <v>29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 t="s">
        <v>1213</v>
      </c>
      <c r="B68" s="4" t="s">
        <v>1214</v>
      </c>
      <c r="C68" s="4" t="s">
        <v>1215</v>
      </c>
      <c r="D68" s="5">
        <f>+251911535727</f>
        <v>251911535727</v>
      </c>
      <c r="E68" s="4" t="s">
        <v>10</v>
      </c>
      <c r="F68" s="4" t="s">
        <v>34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 t="s">
        <v>316</v>
      </c>
      <c r="B69" s="4" t="s">
        <v>317</v>
      </c>
      <c r="C69" s="4" t="s">
        <v>318</v>
      </c>
      <c r="D69" s="5">
        <f>+251708104013</f>
        <v>251708104013</v>
      </c>
      <c r="E69" s="4" t="s">
        <v>10</v>
      </c>
      <c r="F69" s="4" t="s">
        <v>11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 t="s">
        <v>1216</v>
      </c>
      <c r="B70" s="4" t="s">
        <v>416</v>
      </c>
      <c r="C70" s="4" t="s">
        <v>1217</v>
      </c>
      <c r="D70" s="5">
        <f>+251934456237</f>
        <v>251934456237</v>
      </c>
      <c r="E70" s="4" t="s">
        <v>10</v>
      </c>
      <c r="F70" s="4" t="s">
        <v>11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 t="s">
        <v>1218</v>
      </c>
      <c r="B71" s="4" t="s">
        <v>1219</v>
      </c>
      <c r="C71" s="4" t="s">
        <v>1220</v>
      </c>
      <c r="D71" s="5">
        <f>+251905108549</f>
        <v>251905108549</v>
      </c>
      <c r="E71" s="4" t="s">
        <v>10</v>
      </c>
      <c r="F71" s="4" t="s">
        <v>11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 t="s">
        <v>1221</v>
      </c>
      <c r="B72" s="4" t="s">
        <v>372</v>
      </c>
      <c r="C72" s="4" t="s">
        <v>1135</v>
      </c>
      <c r="D72" s="5">
        <f>+251912141115</f>
        <v>251912141115</v>
      </c>
      <c r="E72" s="4" t="s">
        <v>10</v>
      </c>
      <c r="F72" s="4" t="s">
        <v>11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 t="s">
        <v>1222</v>
      </c>
      <c r="B73" s="4" t="s">
        <v>1223</v>
      </c>
      <c r="C73" s="4" t="s">
        <v>1224</v>
      </c>
      <c r="D73" s="5">
        <f>+251989955713</f>
        <v>251989955713</v>
      </c>
      <c r="E73" s="4" t="s">
        <v>288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 t="s">
        <v>1225</v>
      </c>
      <c r="B74" s="4" t="s">
        <v>1226</v>
      </c>
      <c r="C74" s="4" t="s">
        <v>1102</v>
      </c>
      <c r="D74" s="5">
        <f>+251933799196</f>
        <v>251933799196</v>
      </c>
      <c r="E74" s="4" t="s">
        <v>288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 t="s">
        <v>1227</v>
      </c>
      <c r="B75" s="4" t="s">
        <v>1228</v>
      </c>
      <c r="C75" s="4" t="s">
        <v>1229</v>
      </c>
      <c r="D75" s="5">
        <f>+251931046665</f>
        <v>251931046665</v>
      </c>
      <c r="E75" s="4" t="s">
        <v>288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 t="s">
        <v>1230</v>
      </c>
      <c r="B76" s="4" t="s">
        <v>1231</v>
      </c>
      <c r="C76" s="4" t="s">
        <v>1232</v>
      </c>
      <c r="D76" s="5">
        <f>+251989223977</f>
        <v>251989223977</v>
      </c>
      <c r="E76" s="4" t="s">
        <v>288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 t="s">
        <v>1233</v>
      </c>
      <c r="B77" s="4" t="s">
        <v>1234</v>
      </c>
      <c r="C77" s="4" t="s">
        <v>766</v>
      </c>
      <c r="D77" s="5">
        <f>+251945961053</f>
        <v>251945961053</v>
      </c>
      <c r="E77" s="4" t="s">
        <v>288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 t="s">
        <v>1235</v>
      </c>
      <c r="B78" s="4" t="s">
        <v>579</v>
      </c>
      <c r="C78" s="4" t="s">
        <v>1236</v>
      </c>
      <c r="D78" s="5">
        <f>+251993549491</f>
        <v>251993549491</v>
      </c>
      <c r="E78" s="4" t="s">
        <v>288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 t="s">
        <v>1237</v>
      </c>
      <c r="B79" s="4" t="s">
        <v>82</v>
      </c>
      <c r="C79" s="4" t="s">
        <v>1238</v>
      </c>
      <c r="D79" s="5">
        <v>9.92381157E8</v>
      </c>
      <c r="E79" s="4" t="s">
        <v>288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 t="s">
        <v>1239</v>
      </c>
      <c r="B80" s="4" t="s">
        <v>1240</v>
      </c>
      <c r="C80" s="4" t="s">
        <v>658</v>
      </c>
      <c r="D80" s="5">
        <f>+251904847122</f>
        <v>251904847122</v>
      </c>
      <c r="E80" s="4" t="s">
        <v>288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 t="s">
        <v>243</v>
      </c>
      <c r="B81" s="4" t="s">
        <v>244</v>
      </c>
      <c r="C81" s="4" t="s">
        <v>245</v>
      </c>
      <c r="D81" s="5">
        <f>+251939785378</f>
        <v>251939785378</v>
      </c>
      <c r="E81" s="4" t="s">
        <v>288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 t="s">
        <v>1241</v>
      </c>
      <c r="B82" s="4" t="s">
        <v>1242</v>
      </c>
      <c r="C82" s="4" t="s">
        <v>1243</v>
      </c>
      <c r="D82" s="5">
        <f>+251923149652</f>
        <v>251923149652</v>
      </c>
      <c r="E82" s="4" t="s">
        <v>288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 t="s">
        <v>1244</v>
      </c>
      <c r="B83" s="4" t="s">
        <v>372</v>
      </c>
      <c r="C83" s="4" t="s">
        <v>1245</v>
      </c>
      <c r="D83" s="5">
        <f>+251923238800</f>
        <v>251923238800</v>
      </c>
      <c r="E83" s="4" t="s">
        <v>288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 t="s">
        <v>1246</v>
      </c>
      <c r="B84" s="4" t="s">
        <v>504</v>
      </c>
      <c r="C84" s="4" t="s">
        <v>159</v>
      </c>
      <c r="D84" s="5">
        <v>9.2144849E8</v>
      </c>
      <c r="E84" s="4" t="s">
        <v>324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 t="s">
        <v>1247</v>
      </c>
      <c r="B85" s="4" t="s">
        <v>82</v>
      </c>
      <c r="C85" s="4" t="s">
        <v>817</v>
      </c>
      <c r="D85" s="5">
        <f>+251929380846</f>
        <v>251929380846</v>
      </c>
      <c r="E85" s="4" t="s">
        <v>324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 t="s">
        <v>1248</v>
      </c>
      <c r="B86" s="4" t="s">
        <v>1249</v>
      </c>
      <c r="C86" s="4" t="s">
        <v>1250</v>
      </c>
      <c r="D86" s="5">
        <f>+251943131974</f>
        <v>251943131974</v>
      </c>
      <c r="E86" s="4" t="s">
        <v>324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 t="s">
        <v>1251</v>
      </c>
      <c r="B87" s="4" t="s">
        <v>1252</v>
      </c>
      <c r="C87" s="4" t="s">
        <v>1253</v>
      </c>
      <c r="D87" s="5">
        <f>+251923481961</f>
        <v>251923481961</v>
      </c>
      <c r="E87" s="4" t="s">
        <v>324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 t="s">
        <v>1254</v>
      </c>
      <c r="B88" s="4" t="s">
        <v>1228</v>
      </c>
      <c r="C88" s="4" t="s">
        <v>1229</v>
      </c>
      <c r="D88" s="5">
        <f>+251931046665</f>
        <v>251931046665</v>
      </c>
      <c r="E88" s="4" t="s">
        <v>324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 t="s">
        <v>1255</v>
      </c>
      <c r="B89" s="4" t="s">
        <v>1256</v>
      </c>
      <c r="C89" s="4" t="s">
        <v>1152</v>
      </c>
      <c r="D89" s="5">
        <f>+251912991622</f>
        <v>251912991622</v>
      </c>
      <c r="E89" s="4" t="s">
        <v>324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 t="s">
        <v>355</v>
      </c>
      <c r="B90" s="4" t="s">
        <v>356</v>
      </c>
      <c r="C90" s="4" t="s">
        <v>357</v>
      </c>
      <c r="D90" s="5">
        <f>+251948252410</f>
        <v>251948252410</v>
      </c>
      <c r="E90" s="4" t="s">
        <v>324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 t="s">
        <v>1257</v>
      </c>
      <c r="B91" s="4" t="s">
        <v>1258</v>
      </c>
      <c r="C91" s="4" t="s">
        <v>174</v>
      </c>
      <c r="D91" s="5">
        <f>+251913649264</f>
        <v>251913649264</v>
      </c>
      <c r="E91" s="4" t="s">
        <v>324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 t="s">
        <v>1259</v>
      </c>
      <c r="B92" s="4" t="s">
        <v>1260</v>
      </c>
      <c r="C92" s="4" t="s">
        <v>1261</v>
      </c>
      <c r="D92" s="5">
        <f>+251983276210</f>
        <v>251983276210</v>
      </c>
      <c r="E92" s="4" t="s">
        <v>324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 t="s">
        <v>1262</v>
      </c>
      <c r="B93" s="4" t="s">
        <v>833</v>
      </c>
      <c r="C93" s="4" t="s">
        <v>1263</v>
      </c>
      <c r="D93" s="5">
        <v>9.30235374E8</v>
      </c>
      <c r="E93" s="4" t="s">
        <v>324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 t="s">
        <v>1264</v>
      </c>
      <c r="B94" s="4" t="s">
        <v>1265</v>
      </c>
      <c r="C94" s="4" t="s">
        <v>1266</v>
      </c>
      <c r="D94" s="5">
        <f>+251994376846</f>
        <v>251994376846</v>
      </c>
      <c r="E94" s="4" t="s">
        <v>324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 t="s">
        <v>1267</v>
      </c>
      <c r="B95" s="4" t="s">
        <v>458</v>
      </c>
      <c r="C95" s="4" t="s">
        <v>1268</v>
      </c>
      <c r="D95" s="5">
        <f>+251911282237</f>
        <v>251911282237</v>
      </c>
      <c r="E95" s="4" t="s">
        <v>324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 t="s">
        <v>1269</v>
      </c>
      <c r="B96" s="4" t="s">
        <v>1270</v>
      </c>
      <c r="C96" s="4" t="s">
        <v>1271</v>
      </c>
      <c r="D96" s="5">
        <f>+251979852848</f>
        <v>251979852848</v>
      </c>
      <c r="E96" s="4" t="s">
        <v>324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 t="s">
        <v>1272</v>
      </c>
      <c r="B97" s="4" t="s">
        <v>1273</v>
      </c>
      <c r="C97" s="4" t="s">
        <v>1274</v>
      </c>
      <c r="D97" s="5">
        <f>+251911060644</f>
        <v>251911060644</v>
      </c>
      <c r="E97" s="4" t="s">
        <v>324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 t="s">
        <v>1275</v>
      </c>
      <c r="B98" s="4" t="s">
        <v>1276</v>
      </c>
      <c r="C98" s="4" t="s">
        <v>82</v>
      </c>
      <c r="D98" s="5">
        <f>+251938903153</f>
        <v>251938903153</v>
      </c>
      <c r="E98" s="4" t="s">
        <v>324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 t="s">
        <v>581</v>
      </c>
      <c r="B99" s="4" t="s">
        <v>582</v>
      </c>
      <c r="C99" s="4" t="s">
        <v>583</v>
      </c>
      <c r="D99" s="5">
        <f>+251913562965</f>
        <v>251913562965</v>
      </c>
      <c r="E99" s="4" t="s">
        <v>324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 t="s">
        <v>1277</v>
      </c>
      <c r="B100" s="4" t="s">
        <v>458</v>
      </c>
      <c r="C100" s="4" t="s">
        <v>1278</v>
      </c>
      <c r="D100" s="5">
        <f>+251943016897</f>
        <v>251943016897</v>
      </c>
      <c r="E100" s="4" t="s">
        <v>324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 t="s">
        <v>1279</v>
      </c>
      <c r="B101" s="4" t="s">
        <v>1280</v>
      </c>
      <c r="C101" s="4" t="s">
        <v>471</v>
      </c>
      <c r="D101" s="5">
        <f>+251917001299</f>
        <v>251917001299</v>
      </c>
      <c r="E101" s="4" t="s">
        <v>324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 t="s">
        <v>1281</v>
      </c>
      <c r="B102" s="4" t="s">
        <v>535</v>
      </c>
      <c r="C102" s="4" t="s">
        <v>1282</v>
      </c>
      <c r="D102" s="5">
        <f>+251925396586</f>
        <v>251925396586</v>
      </c>
      <c r="E102" s="4" t="s">
        <v>324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 t="s">
        <v>1283</v>
      </c>
      <c r="B103" s="4" t="s">
        <v>1284</v>
      </c>
      <c r="C103" s="4" t="s">
        <v>1285</v>
      </c>
      <c r="D103" s="5">
        <f>+251902726015</f>
        <v>251902726015</v>
      </c>
      <c r="E103" s="4" t="s">
        <v>324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 t="s">
        <v>1286</v>
      </c>
      <c r="B104" s="4" t="s">
        <v>1010</v>
      </c>
      <c r="C104" s="4" t="s">
        <v>1243</v>
      </c>
      <c r="D104" s="5">
        <f>+251910967748</f>
        <v>251910967748</v>
      </c>
      <c r="E104" s="4" t="s">
        <v>324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 t="s">
        <v>1287</v>
      </c>
      <c r="B105" s="4" t="s">
        <v>1288</v>
      </c>
      <c r="C105" s="4" t="s">
        <v>1289</v>
      </c>
      <c r="D105" s="5">
        <f>+251925303131</f>
        <v>251925303131</v>
      </c>
      <c r="E105" s="4" t="s">
        <v>324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 t="s">
        <v>1290</v>
      </c>
      <c r="B106" s="4" t="s">
        <v>1291</v>
      </c>
      <c r="C106" s="4" t="s">
        <v>353</v>
      </c>
      <c r="D106" s="5">
        <f>+251966217113</f>
        <v>251966217113</v>
      </c>
      <c r="E106" s="4" t="s">
        <v>324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 t="s">
        <v>1292</v>
      </c>
      <c r="B107" s="4" t="s">
        <v>1293</v>
      </c>
      <c r="C107" s="4" t="s">
        <v>1294</v>
      </c>
      <c r="D107" s="5">
        <f>+251930831292</f>
        <v>251930831292</v>
      </c>
      <c r="E107" s="4" t="s">
        <v>324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 t="s">
        <v>1295</v>
      </c>
      <c r="B108" s="4" t="s">
        <v>535</v>
      </c>
      <c r="C108" s="4" t="s">
        <v>645</v>
      </c>
      <c r="D108" s="5">
        <f>+251960568993</f>
        <v>251960568993</v>
      </c>
      <c r="E108" s="4" t="s">
        <v>324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 t="s">
        <v>1296</v>
      </c>
      <c r="B109" s="4" t="s">
        <v>1297</v>
      </c>
      <c r="C109" s="4" t="s">
        <v>298</v>
      </c>
      <c r="D109" s="5">
        <f>+251975080410</f>
        <v>251975080410</v>
      </c>
      <c r="E109" s="4" t="s">
        <v>324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 t="s">
        <v>1298</v>
      </c>
      <c r="B110" s="4" t="s">
        <v>1299</v>
      </c>
      <c r="C110" s="4" t="s">
        <v>1300</v>
      </c>
      <c r="D110" s="5">
        <f>+251917671055</f>
        <v>251917671055</v>
      </c>
      <c r="E110" s="4" t="s">
        <v>324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 t="s">
        <v>1301</v>
      </c>
      <c r="B111" s="4" t="s">
        <v>1302</v>
      </c>
      <c r="C111" s="4" t="s">
        <v>1303</v>
      </c>
      <c r="D111" s="5">
        <f>+251969175632</f>
        <v>251969175632</v>
      </c>
      <c r="E111" s="4" t="s">
        <v>324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 t="s">
        <v>1304</v>
      </c>
      <c r="B112" s="4" t="s">
        <v>1185</v>
      </c>
      <c r="C112" s="4" t="s">
        <v>1305</v>
      </c>
      <c r="D112" s="5">
        <f>+251955271869</f>
        <v>251955271869</v>
      </c>
      <c r="E112" s="4" t="s">
        <v>324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 t="s">
        <v>1306</v>
      </c>
      <c r="B113" s="4" t="s">
        <v>1307</v>
      </c>
      <c r="C113" s="4" t="s">
        <v>1308</v>
      </c>
      <c r="D113" s="5">
        <f>+251904778246</f>
        <v>251904778246</v>
      </c>
      <c r="E113" s="4" t="s">
        <v>324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 t="s">
        <v>1309</v>
      </c>
      <c r="B114" s="4" t="s">
        <v>143</v>
      </c>
      <c r="C114" s="4" t="s">
        <v>402</v>
      </c>
      <c r="D114" s="5">
        <f>+251953623209</f>
        <v>251953623209</v>
      </c>
      <c r="E114" s="4" t="s">
        <v>324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 t="s">
        <v>1310</v>
      </c>
      <c r="B115" s="4" t="s">
        <v>252</v>
      </c>
      <c r="C115" s="4" t="s">
        <v>1311</v>
      </c>
      <c r="D115" s="5">
        <f>+251938337517</f>
        <v>251938337517</v>
      </c>
      <c r="E115" s="4" t="s">
        <v>324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 t="s">
        <v>1312</v>
      </c>
      <c r="B116" s="4" t="s">
        <v>1313</v>
      </c>
      <c r="C116" s="4" t="s">
        <v>1314</v>
      </c>
      <c r="D116" s="5">
        <f>+251777149468</f>
        <v>251777149468</v>
      </c>
      <c r="E116" s="4" t="s">
        <v>324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 t="s">
        <v>1315</v>
      </c>
      <c r="B117" s="4" t="s">
        <v>576</v>
      </c>
      <c r="C117" s="4" t="s">
        <v>1316</v>
      </c>
      <c r="D117" s="5">
        <f>+251916404246</f>
        <v>251916404246</v>
      </c>
      <c r="E117" s="4" t="s">
        <v>324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 t="s">
        <v>1317</v>
      </c>
      <c r="B118" s="4" t="s">
        <v>1185</v>
      </c>
      <c r="C118" s="4" t="s">
        <v>1305</v>
      </c>
      <c r="D118" s="5">
        <f>+251955271869</f>
        <v>251955271869</v>
      </c>
      <c r="E118" s="4" t="s">
        <v>324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 t="s">
        <v>1318</v>
      </c>
      <c r="B119" s="4" t="s">
        <v>1319</v>
      </c>
      <c r="C119" s="4" t="s">
        <v>37</v>
      </c>
      <c r="D119" s="5">
        <f>+251941514921</f>
        <v>251941514921</v>
      </c>
      <c r="E119" s="4" t="s">
        <v>324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 t="s">
        <v>1320</v>
      </c>
      <c r="B120" s="4" t="s">
        <v>833</v>
      </c>
      <c r="C120" s="4" t="s">
        <v>1321</v>
      </c>
      <c r="D120" s="5">
        <f>+251974964021</f>
        <v>251974964021</v>
      </c>
      <c r="E120" s="4" t="s">
        <v>324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 t="s">
        <v>1322</v>
      </c>
      <c r="B121" s="4" t="s">
        <v>1323</v>
      </c>
      <c r="C121" s="4" t="s">
        <v>1324</v>
      </c>
      <c r="D121" s="5">
        <f>+251911028828</f>
        <v>251911028828</v>
      </c>
      <c r="E121" s="4" t="s">
        <v>324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 t="s">
        <v>1325</v>
      </c>
      <c r="B122" s="4" t="s">
        <v>500</v>
      </c>
      <c r="C122" s="4" t="s">
        <v>658</v>
      </c>
      <c r="D122" s="5">
        <f>+251902982522</f>
        <v>251902982522</v>
      </c>
      <c r="E122" s="4" t="s">
        <v>324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 t="s">
        <v>1326</v>
      </c>
      <c r="B123" s="4" t="s">
        <v>36</v>
      </c>
      <c r="C123" s="4" t="s">
        <v>1311</v>
      </c>
      <c r="D123" s="5">
        <f>+251964108463</f>
        <v>251964108463</v>
      </c>
      <c r="E123" s="4" t="s">
        <v>324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 t="s">
        <v>1327</v>
      </c>
      <c r="B124" s="4" t="s">
        <v>1328</v>
      </c>
      <c r="C124" s="4" t="s">
        <v>1329</v>
      </c>
      <c r="D124" s="5">
        <f>+251951068662</f>
        <v>251951068662</v>
      </c>
      <c r="E124" s="4" t="s">
        <v>324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 t="s">
        <v>1330</v>
      </c>
      <c r="B125" s="4" t="s">
        <v>1331</v>
      </c>
      <c r="C125" s="4" t="s">
        <v>1332</v>
      </c>
      <c r="D125" s="5">
        <f>+251712623587</f>
        <v>251712623587</v>
      </c>
      <c r="E125" s="4" t="s">
        <v>324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 t="s">
        <v>1333</v>
      </c>
      <c r="B126" s="4" t="s">
        <v>1334</v>
      </c>
      <c r="C126" s="4" t="s">
        <v>1335</v>
      </c>
      <c r="D126" s="5">
        <f>+251940098131</f>
        <v>251940098131</v>
      </c>
      <c r="E126" s="4" t="s">
        <v>324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 t="s">
        <v>1336</v>
      </c>
      <c r="B127" s="4" t="s">
        <v>1337</v>
      </c>
      <c r="C127" s="4" t="s">
        <v>1338</v>
      </c>
      <c r="D127" s="5">
        <f>+251909458057</f>
        <v>251909458057</v>
      </c>
      <c r="E127" s="4" t="s">
        <v>324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 t="s">
        <v>1339</v>
      </c>
      <c r="B128" s="4" t="s">
        <v>1229</v>
      </c>
      <c r="C128" s="4" t="s">
        <v>843</v>
      </c>
      <c r="D128" s="5">
        <f>+251902577496</f>
        <v>251902577496</v>
      </c>
      <c r="E128" s="4" t="s">
        <v>324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4" t="s">
        <v>461</v>
      </c>
      <c r="B129" s="4" t="s">
        <v>462</v>
      </c>
      <c r="C129" s="4" t="s">
        <v>463</v>
      </c>
      <c r="D129" s="5">
        <f>+25190598589858</f>
        <v>25190598589858</v>
      </c>
      <c r="E129" s="4" t="s">
        <v>324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4" t="s">
        <v>1340</v>
      </c>
      <c r="B130" s="4" t="s">
        <v>1341</v>
      </c>
      <c r="C130" s="4" t="s">
        <v>1342</v>
      </c>
      <c r="D130" s="5">
        <f>+251710166990</f>
        <v>251710166990</v>
      </c>
      <c r="E130" s="4" t="s">
        <v>324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4" t="s">
        <v>1343</v>
      </c>
      <c r="B131" s="4" t="s">
        <v>1344</v>
      </c>
      <c r="C131" s="4" t="s">
        <v>1345</v>
      </c>
      <c r="D131" s="5">
        <f>+251911650917</f>
        <v>251911650917</v>
      </c>
      <c r="E131" s="4" t="s">
        <v>324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4" t="s">
        <v>1346</v>
      </c>
      <c r="B132" s="4" t="s">
        <v>1347</v>
      </c>
      <c r="C132" s="4" t="s">
        <v>357</v>
      </c>
      <c r="D132" s="5">
        <f>+251934397418</f>
        <v>251934397418</v>
      </c>
      <c r="E132" s="4" t="s">
        <v>324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4" t="s">
        <v>1348</v>
      </c>
      <c r="B133" s="4" t="s">
        <v>1349</v>
      </c>
      <c r="C133" s="4" t="s">
        <v>1350</v>
      </c>
      <c r="D133" s="5">
        <f>+251942548219</f>
        <v>251942548219</v>
      </c>
      <c r="E133" s="4" t="s">
        <v>324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4" t="s">
        <v>1351</v>
      </c>
      <c r="B134" s="4" t="s">
        <v>331</v>
      </c>
      <c r="C134" s="4" t="s">
        <v>1352</v>
      </c>
      <c r="D134" s="5">
        <v>2.51919106671E11</v>
      </c>
      <c r="E134" s="4" t="s">
        <v>324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4" t="s">
        <v>1353</v>
      </c>
      <c r="B135" s="4" t="s">
        <v>1354</v>
      </c>
      <c r="C135" s="4" t="s">
        <v>1139</v>
      </c>
      <c r="D135" s="5">
        <f>+251970408086</f>
        <v>251970408086</v>
      </c>
      <c r="E135" s="4" t="s">
        <v>324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4" t="s">
        <v>1355</v>
      </c>
      <c r="B136" s="4" t="s">
        <v>1356</v>
      </c>
      <c r="C136" s="4" t="s">
        <v>1357</v>
      </c>
      <c r="D136" s="5">
        <f>+251982428363</f>
        <v>251982428363</v>
      </c>
      <c r="E136" s="4" t="s">
        <v>324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4" t="s">
        <v>1358</v>
      </c>
      <c r="B137" s="4" t="s">
        <v>1359</v>
      </c>
      <c r="C137" s="4" t="s">
        <v>1360</v>
      </c>
      <c r="D137" s="5">
        <f>+251933288993</f>
        <v>251933288993</v>
      </c>
      <c r="E137" s="4" t="s">
        <v>324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4" t="s">
        <v>1361</v>
      </c>
      <c r="B138" s="4" t="s">
        <v>1362</v>
      </c>
      <c r="C138" s="4" t="s">
        <v>863</v>
      </c>
      <c r="D138" s="5">
        <f>+251942199374</f>
        <v>251942199374</v>
      </c>
      <c r="E138" s="4" t="s">
        <v>324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4" t="s">
        <v>487</v>
      </c>
      <c r="B139" s="4" t="s">
        <v>488</v>
      </c>
      <c r="C139" s="4" t="s">
        <v>489</v>
      </c>
      <c r="D139" s="5">
        <f>+251917734667</f>
        <v>251917734667</v>
      </c>
      <c r="E139" s="4" t="s">
        <v>324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4" t="s">
        <v>1363</v>
      </c>
      <c r="B140" s="4" t="s">
        <v>44</v>
      </c>
      <c r="C140" s="4" t="s">
        <v>1364</v>
      </c>
      <c r="D140" s="5">
        <f>+251913472144</f>
        <v>251913472144</v>
      </c>
      <c r="E140" s="4" t="s">
        <v>324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4" t="s">
        <v>1365</v>
      </c>
      <c r="B141" s="4" t="s">
        <v>1366</v>
      </c>
      <c r="C141" s="4" t="s">
        <v>1367</v>
      </c>
      <c r="D141" s="5">
        <f>+251920318265</f>
        <v>251920318265</v>
      </c>
      <c r="E141" s="4" t="s">
        <v>324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4" t="s">
        <v>1368</v>
      </c>
      <c r="B142" s="4" t="s">
        <v>876</v>
      </c>
      <c r="C142" s="4" t="s">
        <v>1369</v>
      </c>
      <c r="D142" s="5">
        <f>+251913266123</f>
        <v>251913266123</v>
      </c>
      <c r="E142" s="4" t="s">
        <v>324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4" t="s">
        <v>1370</v>
      </c>
      <c r="B143" s="4" t="s">
        <v>1371</v>
      </c>
      <c r="C143" s="4" t="s">
        <v>558</v>
      </c>
      <c r="D143" s="5">
        <f>+251976541895</f>
        <v>251976541895</v>
      </c>
      <c r="E143" s="4" t="s">
        <v>324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4" t="s">
        <v>1372</v>
      </c>
      <c r="B144" s="4" t="s">
        <v>1313</v>
      </c>
      <c r="C144" s="4" t="s">
        <v>1373</v>
      </c>
      <c r="D144" s="5">
        <f>+251912171903</f>
        <v>251912171903</v>
      </c>
      <c r="E144" s="4" t="s">
        <v>324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4" t="s">
        <v>1374</v>
      </c>
      <c r="B145" s="4" t="s">
        <v>1375</v>
      </c>
      <c r="C145" s="4" t="s">
        <v>1376</v>
      </c>
      <c r="D145" s="5">
        <f>+251952441687</f>
        <v>251952441687</v>
      </c>
      <c r="E145" s="4" t="s">
        <v>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4" t="s">
        <v>1377</v>
      </c>
      <c r="B146" s="4" t="s">
        <v>1378</v>
      </c>
      <c r="C146" s="4" t="s">
        <v>1007</v>
      </c>
      <c r="D146" s="5">
        <f>+251978483378</f>
        <v>251978483378</v>
      </c>
      <c r="E146" s="4" t="s">
        <v>324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4" t="s">
        <v>1379</v>
      </c>
      <c r="B147" s="4" t="s">
        <v>18</v>
      </c>
      <c r="C147" s="4" t="s">
        <v>1253</v>
      </c>
      <c r="D147" s="5">
        <f>+251922955651</f>
        <v>251922955651</v>
      </c>
      <c r="E147" s="4" t="s">
        <v>324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4" t="s">
        <v>1380</v>
      </c>
      <c r="B148" s="4" t="s">
        <v>1381</v>
      </c>
      <c r="C148" s="4" t="s">
        <v>843</v>
      </c>
      <c r="D148" s="5">
        <f t="shared" ref="D148:D149" si="1">+251976026703</f>
        <v>251976026703</v>
      </c>
      <c r="E148" s="4" t="s">
        <v>324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4" t="s">
        <v>1382</v>
      </c>
      <c r="B149" s="4" t="s">
        <v>1381</v>
      </c>
      <c r="C149" s="4" t="s">
        <v>843</v>
      </c>
      <c r="D149" s="5">
        <f t="shared" si="1"/>
        <v>251976026703</v>
      </c>
      <c r="E149" s="4" t="s">
        <v>324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4" t="s">
        <v>1383</v>
      </c>
      <c r="B150" s="4" t="s">
        <v>1124</v>
      </c>
      <c r="C150" s="4" t="s">
        <v>1274</v>
      </c>
      <c r="D150" s="5">
        <f>+251913573784</f>
        <v>251913573784</v>
      </c>
      <c r="E150" s="4" t="s">
        <v>324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4" t="s">
        <v>1384</v>
      </c>
      <c r="B151" s="4" t="s">
        <v>1385</v>
      </c>
      <c r="C151" s="4" t="s">
        <v>1386</v>
      </c>
      <c r="D151" s="5">
        <f>+251915973473</f>
        <v>251915973473</v>
      </c>
      <c r="E151" s="4" t="s">
        <v>324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4" t="s">
        <v>1387</v>
      </c>
      <c r="B152" s="4" t="s">
        <v>1341</v>
      </c>
      <c r="C152" s="4" t="s">
        <v>1388</v>
      </c>
      <c r="D152" s="5">
        <f>+10987370441</f>
        <v>10987370441</v>
      </c>
      <c r="E152" s="4" t="s">
        <v>324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4" t="s">
        <v>1389</v>
      </c>
      <c r="B153" s="4" t="s">
        <v>1390</v>
      </c>
      <c r="C153" s="4" t="s">
        <v>774</v>
      </c>
      <c r="D153" s="5">
        <f>+251944129561</f>
        <v>251944129561</v>
      </c>
      <c r="E153" s="4" t="s">
        <v>324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4" t="s">
        <v>1391</v>
      </c>
      <c r="B154" s="4" t="s">
        <v>1392</v>
      </c>
      <c r="C154" s="4" t="s">
        <v>1393</v>
      </c>
      <c r="D154" s="5">
        <f>+251923129640</f>
        <v>251923129640</v>
      </c>
      <c r="E154" s="4" t="s">
        <v>324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4" t="s">
        <v>1394</v>
      </c>
      <c r="B155" s="4" t="s">
        <v>1395</v>
      </c>
      <c r="C155" s="4" t="s">
        <v>271</v>
      </c>
      <c r="D155" s="5">
        <f>+251949050454</f>
        <v>251949050454</v>
      </c>
      <c r="E155" s="4" t="s">
        <v>324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4" t="s">
        <v>1396</v>
      </c>
      <c r="B156" s="4" t="s">
        <v>1397</v>
      </c>
      <c r="C156" s="4" t="s">
        <v>1398</v>
      </c>
      <c r="D156" s="5">
        <f>+251910663214</f>
        <v>251910663214</v>
      </c>
      <c r="E156" s="4" t="s">
        <v>324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4" t="s">
        <v>1399</v>
      </c>
      <c r="B157" s="4" t="s">
        <v>1400</v>
      </c>
      <c r="C157" s="4" t="s">
        <v>1401</v>
      </c>
      <c r="D157" s="5">
        <f>+251934711534</f>
        <v>251934711534</v>
      </c>
      <c r="E157" s="4" t="s">
        <v>324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4" t="s">
        <v>1402</v>
      </c>
      <c r="B158" s="4" t="s">
        <v>1403</v>
      </c>
      <c r="C158" s="4" t="s">
        <v>1404</v>
      </c>
      <c r="D158" s="5">
        <f>+251913324279</f>
        <v>251913324279</v>
      </c>
      <c r="E158" s="4" t="s">
        <v>324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4" t="s">
        <v>1405</v>
      </c>
      <c r="B159" s="4" t="s">
        <v>1406</v>
      </c>
      <c r="C159" s="4" t="s">
        <v>74</v>
      </c>
      <c r="D159" s="5">
        <f>+251925695743</f>
        <v>251925695743</v>
      </c>
      <c r="E159" s="4" t="s">
        <v>324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4" t="s">
        <v>1407</v>
      </c>
      <c r="B160" s="4" t="s">
        <v>1408</v>
      </c>
      <c r="C160" s="4" t="s">
        <v>1409</v>
      </c>
      <c r="D160" s="5">
        <f>+251989132355</f>
        <v>251989132355</v>
      </c>
      <c r="E160" s="4" t="s">
        <v>324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4" t="s">
        <v>1410</v>
      </c>
      <c r="B161" s="4" t="s">
        <v>1411</v>
      </c>
      <c r="C161" s="4" t="s">
        <v>283</v>
      </c>
      <c r="D161" s="5">
        <f>+251920997463</f>
        <v>251920997463</v>
      </c>
      <c r="E161" s="4" t="s">
        <v>324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4" t="s">
        <v>1412</v>
      </c>
      <c r="B162" s="4" t="s">
        <v>471</v>
      </c>
      <c r="C162" s="4" t="s">
        <v>159</v>
      </c>
      <c r="D162" s="5">
        <f>+251985683316</f>
        <v>251985683316</v>
      </c>
      <c r="E162" s="4" t="s">
        <v>324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4" t="s">
        <v>1413</v>
      </c>
      <c r="B163" s="4" t="s">
        <v>1414</v>
      </c>
      <c r="C163" s="4" t="s">
        <v>1415</v>
      </c>
      <c r="D163" s="5">
        <f>+251949297359</f>
        <v>251949297359</v>
      </c>
      <c r="E163" s="4" t="s">
        <v>324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4" t="s">
        <v>1416</v>
      </c>
      <c r="B164" s="4" t="s">
        <v>1417</v>
      </c>
      <c r="C164" s="4" t="s">
        <v>1393</v>
      </c>
      <c r="D164" s="5">
        <f>+251923129640</f>
        <v>251923129640</v>
      </c>
      <c r="E164" s="4" t="s">
        <v>324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4" t="s">
        <v>1418</v>
      </c>
      <c r="B165" s="4" t="s">
        <v>128</v>
      </c>
      <c r="C165" s="4" t="s">
        <v>1419</v>
      </c>
      <c r="D165" s="5">
        <f>+251944885975</f>
        <v>251944885975</v>
      </c>
      <c r="E165" s="4" t="s">
        <v>324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4" t="s">
        <v>1420</v>
      </c>
      <c r="B166" s="4" t="s">
        <v>1421</v>
      </c>
      <c r="C166" s="4" t="s">
        <v>1422</v>
      </c>
      <c r="D166" s="5">
        <f>+251922123179</f>
        <v>251922123179</v>
      </c>
      <c r="E166" s="4" t="s">
        <v>324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4" t="s">
        <v>1423</v>
      </c>
      <c r="B167" s="4" t="s">
        <v>1424</v>
      </c>
      <c r="C167" s="4" t="s">
        <v>535</v>
      </c>
      <c r="D167" s="5">
        <f>+251960884288</f>
        <v>251960884288</v>
      </c>
      <c r="E167" s="4" t="s">
        <v>324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4" t="s">
        <v>1425</v>
      </c>
      <c r="B168" s="4" t="s">
        <v>579</v>
      </c>
      <c r="C168" s="4" t="s">
        <v>1426</v>
      </c>
      <c r="D168" s="5">
        <f>+251947600082</f>
        <v>251947600082</v>
      </c>
      <c r="E168" s="4" t="s">
        <v>324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4" t="s">
        <v>1427</v>
      </c>
      <c r="B169" s="4" t="s">
        <v>538</v>
      </c>
      <c r="C169" s="4" t="s">
        <v>1428</v>
      </c>
      <c r="D169" s="5">
        <f>+251961517200</f>
        <v>251961517200</v>
      </c>
      <c r="E169" s="4" t="s">
        <v>324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4" t="s">
        <v>1429</v>
      </c>
      <c r="B170" s="4" t="s">
        <v>1430</v>
      </c>
      <c r="C170" s="4" t="s">
        <v>1431</v>
      </c>
      <c r="D170" s="5">
        <f>+251935441796</f>
        <v>251935441796</v>
      </c>
      <c r="E170" s="4" t="s">
        <v>324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4" t="s">
        <v>1432</v>
      </c>
      <c r="B171" s="4" t="s">
        <v>535</v>
      </c>
      <c r="C171" s="4" t="s">
        <v>1433</v>
      </c>
      <c r="D171" s="5">
        <f>+251921345678</f>
        <v>251921345678</v>
      </c>
      <c r="E171" s="4" t="s">
        <v>324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4" t="s">
        <v>1434</v>
      </c>
      <c r="B172" s="4" t="s">
        <v>1435</v>
      </c>
      <c r="C172" s="4" t="s">
        <v>82</v>
      </c>
      <c r="D172" s="5">
        <f>+251991189834</f>
        <v>251991189834</v>
      </c>
      <c r="E172" s="4" t="s">
        <v>324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4" t="s">
        <v>1436</v>
      </c>
      <c r="B173" s="4" t="s">
        <v>1437</v>
      </c>
      <c r="C173" s="4" t="s">
        <v>1438</v>
      </c>
      <c r="D173" s="5">
        <f>+10921610017</f>
        <v>10921610017</v>
      </c>
      <c r="E173" s="4" t="s">
        <v>324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4" t="s">
        <v>1439</v>
      </c>
      <c r="B174" s="4" t="s">
        <v>1440</v>
      </c>
      <c r="C174" s="4" t="s">
        <v>1441</v>
      </c>
      <c r="D174" s="5">
        <f>+251920713209</f>
        <v>251920713209</v>
      </c>
      <c r="E174" s="4" t="s">
        <v>324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4" t="s">
        <v>1442</v>
      </c>
      <c r="B175" s="4" t="s">
        <v>372</v>
      </c>
      <c r="C175" s="4" t="s">
        <v>388</v>
      </c>
      <c r="D175" s="5">
        <f>+251973647278</f>
        <v>251973647278</v>
      </c>
      <c r="E175" s="4" t="s">
        <v>324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4" t="s">
        <v>1443</v>
      </c>
      <c r="B176" s="4" t="s">
        <v>1444</v>
      </c>
      <c r="C176" s="4" t="s">
        <v>1445</v>
      </c>
      <c r="D176" s="5">
        <f>+251920190438</f>
        <v>251920190438</v>
      </c>
      <c r="E176" s="4" t="s">
        <v>324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4" t="s">
        <v>1446</v>
      </c>
      <c r="B177" s="4" t="s">
        <v>1447</v>
      </c>
      <c r="C177" s="4" t="s">
        <v>1448</v>
      </c>
      <c r="D177" s="5">
        <f>+251919505059</f>
        <v>251919505059</v>
      </c>
      <c r="E177" s="4" t="s">
        <v>324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4" t="s">
        <v>618</v>
      </c>
      <c r="B178" s="4" t="s">
        <v>481</v>
      </c>
      <c r="C178" s="4" t="s">
        <v>219</v>
      </c>
      <c r="D178" s="5">
        <f>+251910436951</f>
        <v>251910436951</v>
      </c>
      <c r="E178" s="4" t="s">
        <v>324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4" t="s">
        <v>1449</v>
      </c>
      <c r="B179" s="4" t="s">
        <v>651</v>
      </c>
      <c r="C179" s="4" t="s">
        <v>1450</v>
      </c>
      <c r="D179" s="5">
        <f>+251955455273</f>
        <v>251955455273</v>
      </c>
      <c r="E179" s="4" t="s">
        <v>324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4" t="s">
        <v>1451</v>
      </c>
      <c r="B180" s="4" t="s">
        <v>1452</v>
      </c>
      <c r="C180" s="4" t="s">
        <v>1453</v>
      </c>
      <c r="D180" s="5">
        <f>+251912812501</f>
        <v>251912812501</v>
      </c>
      <c r="E180" s="4" t="s">
        <v>324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4" t="s">
        <v>1454</v>
      </c>
      <c r="B181" s="4" t="s">
        <v>1455</v>
      </c>
      <c r="C181" s="4" t="s">
        <v>1229</v>
      </c>
      <c r="D181" s="5">
        <f>+251933913075</f>
        <v>251933913075</v>
      </c>
      <c r="E181" s="4" t="s">
        <v>324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4" t="s">
        <v>623</v>
      </c>
      <c r="B182" s="4" t="s">
        <v>624</v>
      </c>
      <c r="C182" s="4" t="s">
        <v>625</v>
      </c>
      <c r="D182" s="5">
        <f>+251969906254</f>
        <v>251969906254</v>
      </c>
      <c r="E182" s="4" t="s">
        <v>324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4" t="s">
        <v>108</v>
      </c>
      <c r="B183" s="4" t="s">
        <v>109</v>
      </c>
      <c r="C183" s="4" t="s">
        <v>110</v>
      </c>
      <c r="D183" s="5">
        <f>+251907491499</f>
        <v>251907491499</v>
      </c>
      <c r="E183" s="4" t="s">
        <v>324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4" t="s">
        <v>1456</v>
      </c>
      <c r="B184" s="4" t="s">
        <v>1457</v>
      </c>
      <c r="C184" s="4" t="s">
        <v>1458</v>
      </c>
      <c r="D184" s="5">
        <f>+251933533657</f>
        <v>251933533657</v>
      </c>
      <c r="E184" s="4" t="s">
        <v>324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4" t="s">
        <v>1459</v>
      </c>
      <c r="B185" s="4" t="s">
        <v>1460</v>
      </c>
      <c r="C185" s="4" t="s">
        <v>1461</v>
      </c>
      <c r="D185" s="5">
        <f>+251922528215</f>
        <v>251922528215</v>
      </c>
      <c r="E185" s="4" t="s">
        <v>324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4" t="s">
        <v>1462</v>
      </c>
      <c r="B186" s="4" t="s">
        <v>1078</v>
      </c>
      <c r="C186" s="4" t="s">
        <v>1311</v>
      </c>
      <c r="D186" s="5">
        <f>+251923092408</f>
        <v>251923092408</v>
      </c>
      <c r="E186" s="4" t="s">
        <v>324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4" t="s">
        <v>1463</v>
      </c>
      <c r="B187" s="4" t="s">
        <v>433</v>
      </c>
      <c r="C187" s="4" t="s">
        <v>384</v>
      </c>
      <c r="D187" s="5">
        <f>+251933220175</f>
        <v>251933220175</v>
      </c>
      <c r="E187" s="4" t="s">
        <v>324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4" t="s">
        <v>1464</v>
      </c>
      <c r="B188" s="4" t="s">
        <v>1465</v>
      </c>
      <c r="C188" s="4" t="s">
        <v>1466</v>
      </c>
      <c r="D188" s="5">
        <f>+251927629073</f>
        <v>251927629073</v>
      </c>
      <c r="E188" s="4" t="s">
        <v>324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4" t="s">
        <v>1467</v>
      </c>
      <c r="B189" s="4" t="s">
        <v>1468</v>
      </c>
      <c r="C189" s="4" t="s">
        <v>73</v>
      </c>
      <c r="D189" s="5">
        <f>+251911076419</f>
        <v>251911076419</v>
      </c>
      <c r="E189" s="4" t="s">
        <v>324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4" t="s">
        <v>1469</v>
      </c>
      <c r="B190" s="4" t="s">
        <v>1470</v>
      </c>
      <c r="C190" s="4" t="s">
        <v>1471</v>
      </c>
      <c r="D190" s="5">
        <f>+251917868130</f>
        <v>251917868130</v>
      </c>
      <c r="E190" s="4" t="s">
        <v>324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4" t="s">
        <v>1472</v>
      </c>
      <c r="B191" s="4" t="s">
        <v>128</v>
      </c>
      <c r="C191" s="4" t="s">
        <v>1473</v>
      </c>
      <c r="D191" s="5">
        <f>+251936678553</f>
        <v>251936678553</v>
      </c>
      <c r="E191" s="4" t="s">
        <v>324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4" t="s">
        <v>203</v>
      </c>
      <c r="B192" s="4" t="s">
        <v>204</v>
      </c>
      <c r="C192" s="4" t="s">
        <v>205</v>
      </c>
      <c r="D192" s="5">
        <v>9.10088283E8</v>
      </c>
      <c r="E192" s="4" t="s">
        <v>324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4" t="s">
        <v>1474</v>
      </c>
      <c r="B193" s="4" t="s">
        <v>1475</v>
      </c>
      <c r="C193" s="4" t="s">
        <v>1476</v>
      </c>
      <c r="D193" s="5">
        <f>+251952672502</f>
        <v>251952672502</v>
      </c>
      <c r="E193" s="4" t="s">
        <v>324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4" t="s">
        <v>678</v>
      </c>
      <c r="B194" s="4" t="s">
        <v>679</v>
      </c>
      <c r="C194" s="4" t="s">
        <v>128</v>
      </c>
      <c r="D194" s="5">
        <f>+251911511812</f>
        <v>251911511812</v>
      </c>
      <c r="E194" s="4" t="s">
        <v>324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4" t="s">
        <v>348</v>
      </c>
      <c r="B195" s="4" t="s">
        <v>81</v>
      </c>
      <c r="C195" s="4" t="s">
        <v>349</v>
      </c>
      <c r="D195" s="5">
        <f>+251920256645</f>
        <v>251920256645</v>
      </c>
      <c r="E195" s="4" t="s">
        <v>324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4" t="s">
        <v>1477</v>
      </c>
      <c r="B196" s="4" t="s">
        <v>1478</v>
      </c>
      <c r="C196" s="4" t="s">
        <v>241</v>
      </c>
      <c r="D196" s="5">
        <f>+251931545113</f>
        <v>251931545113</v>
      </c>
      <c r="E196" s="4" t="s">
        <v>324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4" t="s">
        <v>1479</v>
      </c>
      <c r="B197" s="4" t="s">
        <v>270</v>
      </c>
      <c r="C197" s="4" t="s">
        <v>253</v>
      </c>
      <c r="D197" s="5">
        <v>9.77311833E8</v>
      </c>
      <c r="E197" s="4" t="s">
        <v>324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4" t="s">
        <v>1480</v>
      </c>
      <c r="B198" s="4" t="s">
        <v>1397</v>
      </c>
      <c r="C198" s="4" t="s">
        <v>1481</v>
      </c>
      <c r="D198" s="5">
        <f>+251901085010</f>
        <v>251901085010</v>
      </c>
      <c r="E198" s="4" t="s">
        <v>324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4" t="s">
        <v>1482</v>
      </c>
      <c r="B199" s="4" t="s">
        <v>1483</v>
      </c>
      <c r="C199" s="4" t="s">
        <v>62</v>
      </c>
      <c r="D199" s="5">
        <f>+251968577050</f>
        <v>251968577050</v>
      </c>
      <c r="E199" s="4" t="s">
        <v>324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4" t="s">
        <v>1484</v>
      </c>
      <c r="B200" s="4" t="s">
        <v>120</v>
      </c>
      <c r="C200" s="4" t="s">
        <v>1485</v>
      </c>
      <c r="D200" s="5">
        <f>+251901235908</f>
        <v>251901235908</v>
      </c>
      <c r="E200" s="4" t="s">
        <v>324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4" t="s">
        <v>1486</v>
      </c>
      <c r="B201" s="4" t="s">
        <v>467</v>
      </c>
      <c r="C201" s="4" t="s">
        <v>1487</v>
      </c>
      <c r="D201" s="5">
        <f>+251993933630</f>
        <v>251993933630</v>
      </c>
      <c r="E201" s="4" t="s">
        <v>324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4" t="s">
        <v>1488</v>
      </c>
      <c r="B202" s="4" t="s">
        <v>634</v>
      </c>
      <c r="C202" s="4" t="s">
        <v>1489</v>
      </c>
      <c r="D202" s="5">
        <f>+251922409759</f>
        <v>251922409759</v>
      </c>
      <c r="E202" s="4" t="s">
        <v>324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4" t="s">
        <v>1490</v>
      </c>
      <c r="B203" s="4" t="s">
        <v>625</v>
      </c>
      <c r="C203" s="4" t="s">
        <v>858</v>
      </c>
      <c r="D203" s="5">
        <f>+251911041706</f>
        <v>251911041706</v>
      </c>
      <c r="E203" s="4" t="s">
        <v>324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4" t="s">
        <v>1491</v>
      </c>
      <c r="B204" s="4" t="s">
        <v>179</v>
      </c>
      <c r="C204" s="4" t="s">
        <v>467</v>
      </c>
      <c r="D204" s="5">
        <f>+251921843068</f>
        <v>251921843068</v>
      </c>
      <c r="E204" s="4" t="s">
        <v>324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4" t="s">
        <v>1492</v>
      </c>
      <c r="B205" s="4" t="s">
        <v>1493</v>
      </c>
      <c r="C205" s="4" t="s">
        <v>384</v>
      </c>
      <c r="D205" s="5">
        <f>+251909768236</f>
        <v>251909768236</v>
      </c>
      <c r="E205" s="4" t="s">
        <v>324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4" t="s">
        <v>1494</v>
      </c>
      <c r="B206" s="4" t="s">
        <v>1444</v>
      </c>
      <c r="C206" s="4" t="s">
        <v>1495</v>
      </c>
      <c r="D206" s="5">
        <f>+10946030878</f>
        <v>10946030878</v>
      </c>
      <c r="E206" s="4" t="s">
        <v>324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4" t="s">
        <v>1496</v>
      </c>
      <c r="B207" s="4" t="s">
        <v>492</v>
      </c>
      <c r="C207" s="4" t="s">
        <v>1497</v>
      </c>
      <c r="D207" s="5">
        <f>+251916017495</f>
        <v>251916017495</v>
      </c>
      <c r="E207" s="4" t="s">
        <v>324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4" t="s">
        <v>725</v>
      </c>
      <c r="B208" s="4" t="s">
        <v>726</v>
      </c>
      <c r="C208" s="4" t="s">
        <v>219</v>
      </c>
      <c r="D208" s="5">
        <f>+251946329915</f>
        <v>251946329915</v>
      </c>
      <c r="E208" s="4" t="s">
        <v>324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4" t="s">
        <v>716</v>
      </c>
      <c r="B209" s="4" t="s">
        <v>305</v>
      </c>
      <c r="C209" s="4" t="s">
        <v>306</v>
      </c>
      <c r="D209" s="5">
        <f>+251940605802</f>
        <v>251940605802</v>
      </c>
      <c r="E209" s="4" t="s">
        <v>324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4" t="s">
        <v>1498</v>
      </c>
      <c r="B210" s="4" t="s">
        <v>1135</v>
      </c>
      <c r="C210" s="4" t="s">
        <v>467</v>
      </c>
      <c r="D210" s="5">
        <f>+251918384162</f>
        <v>251918384162</v>
      </c>
      <c r="E210" s="4" t="s">
        <v>324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4" t="s">
        <v>743</v>
      </c>
      <c r="B211" s="4" t="s">
        <v>744</v>
      </c>
      <c r="C211" s="4" t="s">
        <v>745</v>
      </c>
      <c r="D211" s="5">
        <f>+251967743868</f>
        <v>251967743868</v>
      </c>
      <c r="E211" s="4" t="s">
        <v>324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4" t="s">
        <v>1499</v>
      </c>
      <c r="B212" s="4" t="s">
        <v>1500</v>
      </c>
      <c r="C212" s="4" t="s">
        <v>1404</v>
      </c>
      <c r="D212" s="5">
        <f>+251913324279</f>
        <v>251913324279</v>
      </c>
      <c r="E212" s="4" t="s">
        <v>324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4" t="s">
        <v>1501</v>
      </c>
      <c r="B213" s="4" t="s">
        <v>1502</v>
      </c>
      <c r="C213" s="4" t="s">
        <v>1503</v>
      </c>
      <c r="D213" s="5">
        <f>+251966843668</f>
        <v>251966843668</v>
      </c>
      <c r="E213" s="4" t="s">
        <v>324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4" t="s">
        <v>1504</v>
      </c>
      <c r="B214" s="4" t="s">
        <v>1505</v>
      </c>
      <c r="C214" s="4" t="s">
        <v>1506</v>
      </c>
      <c r="D214" s="5">
        <f>+251986488809</f>
        <v>251986488809</v>
      </c>
      <c r="E214" s="4" t="s">
        <v>324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4" t="s">
        <v>1507</v>
      </c>
      <c r="B215" s="4" t="s">
        <v>642</v>
      </c>
      <c r="C215" s="4" t="s">
        <v>1106</v>
      </c>
      <c r="D215" s="5">
        <f>+251900483934</f>
        <v>251900483934</v>
      </c>
      <c r="E215" s="4" t="s">
        <v>324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4" t="s">
        <v>1508</v>
      </c>
      <c r="B216" s="4" t="s">
        <v>1509</v>
      </c>
      <c r="C216" s="4" t="s">
        <v>1510</v>
      </c>
      <c r="D216" s="5">
        <f>+251948454506</f>
        <v>251948454506</v>
      </c>
      <c r="E216" s="4" t="s">
        <v>324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4" t="s">
        <v>1511</v>
      </c>
      <c r="B217" s="4" t="s">
        <v>1512</v>
      </c>
      <c r="C217" s="4" t="s">
        <v>1513</v>
      </c>
      <c r="D217" s="5">
        <v>9.20458603E8</v>
      </c>
      <c r="E217" s="4" t="s">
        <v>324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4" t="s">
        <v>1514</v>
      </c>
      <c r="B218" s="4" t="s">
        <v>264</v>
      </c>
      <c r="C218" s="4" t="s">
        <v>384</v>
      </c>
      <c r="D218" s="5">
        <f>+251988320636</f>
        <v>251988320636</v>
      </c>
      <c r="E218" s="4" t="s">
        <v>324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4" t="s">
        <v>1515</v>
      </c>
      <c r="B219" s="4" t="s">
        <v>1516</v>
      </c>
      <c r="C219" s="4" t="s">
        <v>1517</v>
      </c>
      <c r="D219" s="5">
        <f>+251953099662</f>
        <v>251953099662</v>
      </c>
      <c r="E219" s="4" t="s">
        <v>324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4" t="s">
        <v>1518</v>
      </c>
      <c r="B220" s="4" t="s">
        <v>85</v>
      </c>
      <c r="C220" s="4" t="s">
        <v>1177</v>
      </c>
      <c r="D220" s="5">
        <f>+251982404805</f>
        <v>251982404805</v>
      </c>
      <c r="E220" s="4" t="s">
        <v>324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4" t="s">
        <v>1519</v>
      </c>
      <c r="B221" s="4" t="s">
        <v>1520</v>
      </c>
      <c r="C221" s="4" t="s">
        <v>1521</v>
      </c>
      <c r="D221" s="5">
        <f>+251911466278</f>
        <v>251911466278</v>
      </c>
      <c r="E221" s="4" t="s">
        <v>324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4" t="s">
        <v>1522</v>
      </c>
      <c r="B222" s="4" t="s">
        <v>1523</v>
      </c>
      <c r="C222" s="4" t="s">
        <v>1524</v>
      </c>
      <c r="D222" s="5">
        <v>9.9186734E8</v>
      </c>
      <c r="E222" s="4" t="s">
        <v>324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4" t="s">
        <v>1525</v>
      </c>
      <c r="B223" s="4" t="s">
        <v>1526</v>
      </c>
      <c r="C223" s="4" t="s">
        <v>1527</v>
      </c>
      <c r="D223" s="5">
        <f>+251909839803</f>
        <v>251909839803</v>
      </c>
      <c r="E223" s="4" t="s">
        <v>324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4" t="s">
        <v>1528</v>
      </c>
      <c r="B224" s="4" t="s">
        <v>843</v>
      </c>
      <c r="C224" s="4" t="s">
        <v>682</v>
      </c>
      <c r="D224" s="5">
        <f>+251904186945</f>
        <v>251904186945</v>
      </c>
      <c r="E224" s="4" t="s">
        <v>324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4" t="s">
        <v>1529</v>
      </c>
      <c r="B225" s="4" t="s">
        <v>1530</v>
      </c>
      <c r="C225" s="4" t="s">
        <v>481</v>
      </c>
      <c r="D225" s="5">
        <f>+251966916214</f>
        <v>251966916214</v>
      </c>
      <c r="E225" s="4" t="s">
        <v>324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4" t="s">
        <v>1531</v>
      </c>
      <c r="B226" s="4" t="s">
        <v>1245</v>
      </c>
      <c r="C226" s="4" t="s">
        <v>1532</v>
      </c>
      <c r="D226" s="5">
        <f>+251996249030</f>
        <v>251996249030</v>
      </c>
      <c r="E226" s="4" t="s">
        <v>324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4" t="s">
        <v>1533</v>
      </c>
      <c r="B227" s="4" t="s">
        <v>252</v>
      </c>
      <c r="C227" s="4" t="s">
        <v>1534</v>
      </c>
      <c r="D227" s="5">
        <f>+251978680882</f>
        <v>251978680882</v>
      </c>
      <c r="E227" s="4" t="s">
        <v>324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4" t="s">
        <v>1535</v>
      </c>
      <c r="B228" s="4" t="s">
        <v>1408</v>
      </c>
      <c r="C228" s="4" t="s">
        <v>686</v>
      </c>
      <c r="D228" s="5">
        <f>+251974137842</f>
        <v>251974137842</v>
      </c>
      <c r="E228" s="4" t="s">
        <v>324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4" t="s">
        <v>1536</v>
      </c>
      <c r="B229" s="4" t="s">
        <v>1537</v>
      </c>
      <c r="C229" s="4" t="s">
        <v>1538</v>
      </c>
      <c r="D229" s="5">
        <f>+251922687483</f>
        <v>251922687483</v>
      </c>
      <c r="E229" s="4" t="s">
        <v>324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4" t="s">
        <v>926</v>
      </c>
      <c r="B230" s="4" t="s">
        <v>927</v>
      </c>
      <c r="C230" s="4" t="s">
        <v>928</v>
      </c>
      <c r="D230" s="5">
        <f>+251918440700</f>
        <v>251918440700</v>
      </c>
      <c r="E230" s="4" t="s">
        <v>324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4" t="s">
        <v>644</v>
      </c>
      <c r="B231" s="4" t="s">
        <v>85</v>
      </c>
      <c r="C231" s="4" t="s">
        <v>645</v>
      </c>
      <c r="D231" s="5">
        <f>+251913539651</f>
        <v>251913539651</v>
      </c>
      <c r="E231" s="4" t="s">
        <v>324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4" t="s">
        <v>1539</v>
      </c>
      <c r="B232" s="4" t="s">
        <v>833</v>
      </c>
      <c r="C232" s="4" t="s">
        <v>1540</v>
      </c>
      <c r="D232" s="5">
        <f>+251911287107</f>
        <v>251911287107</v>
      </c>
      <c r="E232" s="4" t="s">
        <v>324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4" t="s">
        <v>1541</v>
      </c>
      <c r="B233" s="4" t="s">
        <v>1014</v>
      </c>
      <c r="C233" s="4" t="s">
        <v>1537</v>
      </c>
      <c r="D233" s="5">
        <f>+251916363294</f>
        <v>251916363294</v>
      </c>
      <c r="E233" s="4" t="s">
        <v>324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4" t="s">
        <v>786</v>
      </c>
      <c r="B234" s="4" t="s">
        <v>787</v>
      </c>
      <c r="C234" s="4" t="s">
        <v>788</v>
      </c>
      <c r="D234" s="5">
        <f>+251988029614</f>
        <v>251988029614</v>
      </c>
      <c r="E234" s="4" t="s">
        <v>324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4" t="s">
        <v>1542</v>
      </c>
      <c r="B235" s="4" t="s">
        <v>1543</v>
      </c>
      <c r="C235" s="4" t="s">
        <v>1544</v>
      </c>
      <c r="D235" s="5">
        <f>+251910923426</f>
        <v>251910923426</v>
      </c>
      <c r="E235" s="4" t="s">
        <v>324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4" t="s">
        <v>1545</v>
      </c>
      <c r="B236" s="4" t="s">
        <v>1546</v>
      </c>
      <c r="C236" s="4" t="s">
        <v>1547</v>
      </c>
      <c r="D236" s="5">
        <f>+251945135261</f>
        <v>251945135261</v>
      </c>
      <c r="E236" s="4" t="s">
        <v>324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4" t="s">
        <v>1548</v>
      </c>
      <c r="B237" s="4" t="s">
        <v>1549</v>
      </c>
      <c r="C237" s="4" t="s">
        <v>1550</v>
      </c>
      <c r="D237" s="5">
        <f>+251932631594</f>
        <v>251932631594</v>
      </c>
      <c r="E237" s="4" t="s">
        <v>324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4" t="s">
        <v>157</v>
      </c>
      <c r="B238" s="4" t="s">
        <v>158</v>
      </c>
      <c r="C238" s="4" t="s">
        <v>159</v>
      </c>
      <c r="D238" s="5">
        <f>+251960859422</f>
        <v>251960859422</v>
      </c>
      <c r="E238" s="4" t="s">
        <v>324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4" t="s">
        <v>1551</v>
      </c>
      <c r="B239" s="4" t="s">
        <v>1552</v>
      </c>
      <c r="C239" s="4" t="s">
        <v>1553</v>
      </c>
      <c r="D239" s="5">
        <f>+251936675358</f>
        <v>251936675358</v>
      </c>
      <c r="E239" s="4" t="s">
        <v>324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4" t="s">
        <v>1554</v>
      </c>
      <c r="B240" s="4" t="s">
        <v>1546</v>
      </c>
      <c r="C240" s="4" t="s">
        <v>62</v>
      </c>
      <c r="D240" s="5">
        <f>+251910511681</f>
        <v>251910511681</v>
      </c>
      <c r="E240" s="4" t="s">
        <v>324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4" t="s">
        <v>1555</v>
      </c>
      <c r="B241" s="4" t="s">
        <v>1556</v>
      </c>
      <c r="C241" s="4" t="s">
        <v>1557</v>
      </c>
      <c r="D241" s="5">
        <f>+251922261405</f>
        <v>251922261405</v>
      </c>
      <c r="E241" s="4" t="s">
        <v>324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4" t="s">
        <v>1558</v>
      </c>
      <c r="B242" s="4" t="s">
        <v>1559</v>
      </c>
      <c r="C242" s="4" t="s">
        <v>219</v>
      </c>
      <c r="D242" s="5">
        <f>+251935509777</f>
        <v>251935509777</v>
      </c>
      <c r="E242" s="4" t="s">
        <v>324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4" t="s">
        <v>1560</v>
      </c>
      <c r="B243" s="4" t="s">
        <v>1561</v>
      </c>
      <c r="C243" s="4" t="s">
        <v>1200</v>
      </c>
      <c r="D243" s="5">
        <f>+251912321074</f>
        <v>251912321074</v>
      </c>
      <c r="E243" s="4" t="s">
        <v>324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4" t="s">
        <v>1562</v>
      </c>
      <c r="B244" s="4" t="s">
        <v>1563</v>
      </c>
      <c r="C244" s="4" t="s">
        <v>1564</v>
      </c>
      <c r="D244" s="5">
        <f>+251955963058</f>
        <v>251955963058</v>
      </c>
      <c r="E244" s="4" t="s">
        <v>324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4" t="s">
        <v>1565</v>
      </c>
      <c r="B245" s="4" t="s">
        <v>1566</v>
      </c>
      <c r="C245" s="4" t="s">
        <v>1567</v>
      </c>
      <c r="D245" s="5">
        <f>+256783721126</f>
        <v>256783721126</v>
      </c>
      <c r="E245" s="4" t="s">
        <v>324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4" t="s">
        <v>1568</v>
      </c>
      <c r="B246" s="4" t="s">
        <v>1569</v>
      </c>
      <c r="C246" s="4" t="s">
        <v>1570</v>
      </c>
      <c r="D246" s="5">
        <f>+251799407400</f>
        <v>251799407400</v>
      </c>
      <c r="E246" s="4" t="s">
        <v>324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4" t="s">
        <v>1571</v>
      </c>
      <c r="B247" s="4" t="s">
        <v>1572</v>
      </c>
      <c r="C247" s="4" t="s">
        <v>981</v>
      </c>
      <c r="D247" s="5">
        <f>+251989063031</f>
        <v>251989063031</v>
      </c>
      <c r="E247" s="4" t="s">
        <v>324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4" t="s">
        <v>1573</v>
      </c>
      <c r="B248" s="4" t="s">
        <v>553</v>
      </c>
      <c r="C248" s="4" t="s">
        <v>1574</v>
      </c>
      <c r="D248" s="5">
        <f>+251911198211</f>
        <v>251911198211</v>
      </c>
      <c r="E248" s="4" t="s">
        <v>324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4" t="s">
        <v>1575</v>
      </c>
      <c r="B249" s="4" t="s">
        <v>244</v>
      </c>
      <c r="C249" s="4" t="s">
        <v>1576</v>
      </c>
      <c r="D249" s="5">
        <f>+251913874442</f>
        <v>251913874442</v>
      </c>
      <c r="E249" s="4" t="s">
        <v>324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4" t="s">
        <v>1577</v>
      </c>
      <c r="B250" s="4" t="s">
        <v>1578</v>
      </c>
      <c r="C250" s="4" t="s">
        <v>1579</v>
      </c>
      <c r="D250" s="5">
        <f>+251921452421</f>
        <v>251921452421</v>
      </c>
      <c r="E250" s="4" t="s">
        <v>324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4" t="s">
        <v>1580</v>
      </c>
      <c r="B251" s="4" t="s">
        <v>1581</v>
      </c>
      <c r="C251" s="4" t="s">
        <v>1253</v>
      </c>
      <c r="D251" s="5">
        <f>+251964138608</f>
        <v>251964138608</v>
      </c>
      <c r="E251" s="4" t="s">
        <v>324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4" t="s">
        <v>1582</v>
      </c>
      <c r="B252" s="4" t="s">
        <v>702</v>
      </c>
      <c r="C252" s="4" t="s">
        <v>1583</v>
      </c>
      <c r="D252" s="5">
        <f>+251910321805</f>
        <v>251910321805</v>
      </c>
      <c r="E252" s="4" t="s">
        <v>324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4" t="s">
        <v>1584</v>
      </c>
      <c r="B253" s="4" t="s">
        <v>1585</v>
      </c>
      <c r="C253" s="4" t="s">
        <v>17</v>
      </c>
      <c r="D253" s="5">
        <f>+251900059146</f>
        <v>251900059146</v>
      </c>
      <c r="E253" s="4" t="s">
        <v>324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4" t="s">
        <v>1586</v>
      </c>
      <c r="B254" s="4" t="s">
        <v>1587</v>
      </c>
      <c r="C254" s="4" t="s">
        <v>1588</v>
      </c>
      <c r="D254" s="5">
        <f>+251975945424</f>
        <v>251975945424</v>
      </c>
      <c r="E254" s="4" t="s">
        <v>324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4" t="s">
        <v>747</v>
      </c>
      <c r="B255" s="4" t="s">
        <v>524</v>
      </c>
      <c r="C255" s="4" t="s">
        <v>748</v>
      </c>
      <c r="D255" s="8" t="str">
        <f>+251 0937078729</f>
        <v>#ERROR!</v>
      </c>
      <c r="E255" s="4" t="s">
        <v>324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4" t="s">
        <v>1589</v>
      </c>
      <c r="B256" s="4" t="s">
        <v>1590</v>
      </c>
      <c r="C256" s="4" t="s">
        <v>1591</v>
      </c>
      <c r="D256" s="5">
        <f>+251992471846</f>
        <v>251992471846</v>
      </c>
      <c r="E256" s="4" t="s">
        <v>324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4" t="s">
        <v>1592</v>
      </c>
      <c r="B257" s="4" t="s">
        <v>535</v>
      </c>
      <c r="C257" s="4" t="s">
        <v>639</v>
      </c>
      <c r="D257" s="5">
        <f>+251936202048</f>
        <v>251936202048</v>
      </c>
      <c r="E257" s="4" t="s">
        <v>324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4" t="s">
        <v>1593</v>
      </c>
      <c r="B258" s="4" t="s">
        <v>1594</v>
      </c>
      <c r="C258" s="4" t="s">
        <v>1595</v>
      </c>
      <c r="D258" s="5">
        <f>+251912690139</f>
        <v>251912690139</v>
      </c>
      <c r="E258" s="4" t="s">
        <v>324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4" t="s">
        <v>1596</v>
      </c>
      <c r="B259" s="4" t="s">
        <v>1185</v>
      </c>
      <c r="C259" s="4" t="s">
        <v>1597</v>
      </c>
      <c r="D259" s="5">
        <f>+251946577930</f>
        <v>251946577930</v>
      </c>
      <c r="E259" s="4" t="s">
        <v>324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4" t="s">
        <v>1598</v>
      </c>
      <c r="B260" s="4" t="s">
        <v>1599</v>
      </c>
      <c r="C260" s="4" t="s">
        <v>1600</v>
      </c>
      <c r="D260" s="5">
        <f>+251913068933</f>
        <v>251913068933</v>
      </c>
      <c r="E260" s="4" t="s">
        <v>324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4" t="s">
        <v>1601</v>
      </c>
      <c r="B261" s="4" t="s">
        <v>579</v>
      </c>
      <c r="C261" s="4" t="s">
        <v>1602</v>
      </c>
      <c r="D261" s="5">
        <f>+251936637577</f>
        <v>251936637577</v>
      </c>
      <c r="E261" s="4" t="s">
        <v>324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4" t="s">
        <v>1603</v>
      </c>
      <c r="B262" s="4" t="s">
        <v>458</v>
      </c>
      <c r="C262" s="4" t="s">
        <v>1604</v>
      </c>
      <c r="D262" s="5">
        <f>+251911852140</f>
        <v>251911852140</v>
      </c>
      <c r="E262" s="4" t="s">
        <v>324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4" t="s">
        <v>1605</v>
      </c>
      <c r="B263" s="4" t="s">
        <v>128</v>
      </c>
      <c r="C263" s="4" t="s">
        <v>1606</v>
      </c>
      <c r="D263" s="5">
        <f>+251911342099</f>
        <v>251911342099</v>
      </c>
      <c r="E263" s="4" t="s">
        <v>324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4" t="s">
        <v>1607</v>
      </c>
      <c r="B264" s="4" t="s">
        <v>1608</v>
      </c>
      <c r="C264" s="4" t="s">
        <v>766</v>
      </c>
      <c r="D264" s="5">
        <f>+251912183279</f>
        <v>251912183279</v>
      </c>
      <c r="E264" s="4" t="s">
        <v>324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4" t="s">
        <v>1609</v>
      </c>
      <c r="B265" s="4" t="s">
        <v>1610</v>
      </c>
      <c r="C265" s="4" t="s">
        <v>302</v>
      </c>
      <c r="D265" s="5">
        <v>9.13307549E8</v>
      </c>
      <c r="E265" s="4" t="s">
        <v>324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4" t="s">
        <v>1611</v>
      </c>
      <c r="B266" s="4" t="s">
        <v>1612</v>
      </c>
      <c r="C266" s="4" t="s">
        <v>1613</v>
      </c>
      <c r="D266" s="5">
        <f>+251913997944</f>
        <v>251913997944</v>
      </c>
      <c r="E266" s="4" t="s">
        <v>324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4" t="s">
        <v>1614</v>
      </c>
      <c r="B267" s="4" t="s">
        <v>458</v>
      </c>
      <c r="C267" s="4" t="s">
        <v>1615</v>
      </c>
      <c r="D267" s="5">
        <v>9.45640088E8</v>
      </c>
      <c r="E267" s="4" t="s">
        <v>324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4" t="s">
        <v>1616</v>
      </c>
      <c r="B268" s="4" t="s">
        <v>1617</v>
      </c>
      <c r="C268" s="4" t="s">
        <v>1618</v>
      </c>
      <c r="D268" s="5">
        <f>+251935511610</f>
        <v>251935511610</v>
      </c>
      <c r="E268" s="4" t="s">
        <v>324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4" t="s">
        <v>1619</v>
      </c>
      <c r="B269" s="4" t="s">
        <v>1620</v>
      </c>
      <c r="C269" s="4" t="s">
        <v>1621</v>
      </c>
      <c r="D269" s="5">
        <f>+251913457685</f>
        <v>251913457685</v>
      </c>
      <c r="E269" s="4" t="s">
        <v>324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4" t="s">
        <v>1622</v>
      </c>
      <c r="B270" s="4" t="s">
        <v>1623</v>
      </c>
      <c r="C270" s="4" t="s">
        <v>1624</v>
      </c>
      <c r="D270" s="5">
        <f>+251994810568</f>
        <v>251994810568</v>
      </c>
      <c r="E270" s="4" t="s">
        <v>324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4" t="s">
        <v>1625</v>
      </c>
      <c r="B271" s="4" t="s">
        <v>1626</v>
      </c>
      <c r="C271" s="4" t="s">
        <v>1627</v>
      </c>
      <c r="D271" s="5">
        <f>+251912423314</f>
        <v>251912423314</v>
      </c>
      <c r="E271" s="4" t="s">
        <v>324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4" t="s">
        <v>987</v>
      </c>
      <c r="B272" s="4" t="s">
        <v>988</v>
      </c>
      <c r="C272" s="4" t="s">
        <v>989</v>
      </c>
      <c r="D272" s="5">
        <f>+251943334736</f>
        <v>251943334736</v>
      </c>
      <c r="E272" s="4" t="s">
        <v>324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4" t="s">
        <v>1628</v>
      </c>
      <c r="B273" s="4" t="s">
        <v>1629</v>
      </c>
      <c r="C273" s="4" t="s">
        <v>1630</v>
      </c>
      <c r="D273" s="5">
        <f>+251982527962</f>
        <v>251982527962</v>
      </c>
      <c r="E273" s="4" t="s">
        <v>324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4" t="s">
        <v>1631</v>
      </c>
      <c r="B274" s="4" t="s">
        <v>1632</v>
      </c>
      <c r="C274" s="4" t="s">
        <v>1633</v>
      </c>
      <c r="D274" s="5">
        <f>+251926787122</f>
        <v>251926787122</v>
      </c>
      <c r="E274" s="4" t="s">
        <v>324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4" t="s">
        <v>1634</v>
      </c>
      <c r="B275" s="4" t="s">
        <v>1635</v>
      </c>
      <c r="C275" s="4" t="s">
        <v>1636</v>
      </c>
      <c r="D275" s="5">
        <f>+251913237791</f>
        <v>251913237791</v>
      </c>
      <c r="E275" s="4" t="s">
        <v>324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4" t="s">
        <v>1637</v>
      </c>
      <c r="B276" s="4" t="s">
        <v>504</v>
      </c>
      <c r="C276" s="4" t="s">
        <v>558</v>
      </c>
      <c r="D276" s="5">
        <v>9.63029494E8</v>
      </c>
      <c r="E276" s="4" t="s">
        <v>324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4" t="s">
        <v>1021</v>
      </c>
      <c r="B277" s="4" t="s">
        <v>1022</v>
      </c>
      <c r="C277" s="4" t="s">
        <v>1023</v>
      </c>
      <c r="D277" s="5">
        <f>+251940113262</f>
        <v>251940113262</v>
      </c>
      <c r="E277" s="4" t="s">
        <v>324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4" t="s">
        <v>1025</v>
      </c>
      <c r="B278" s="4" t="s">
        <v>372</v>
      </c>
      <c r="C278" s="4" t="s">
        <v>1026</v>
      </c>
      <c r="D278" s="5">
        <f>+251910584048</f>
        <v>251910584048</v>
      </c>
      <c r="E278" s="4" t="s">
        <v>324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4" t="s">
        <v>1638</v>
      </c>
      <c r="B279" s="4" t="s">
        <v>1626</v>
      </c>
      <c r="C279" s="4" t="s">
        <v>1639</v>
      </c>
      <c r="D279" s="5">
        <f>+251913030993</f>
        <v>251913030993</v>
      </c>
      <c r="E279" s="4" t="s">
        <v>324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4" t="s">
        <v>1640</v>
      </c>
      <c r="B280" s="4" t="s">
        <v>1641</v>
      </c>
      <c r="C280" s="4" t="s">
        <v>1642</v>
      </c>
      <c r="D280" s="5">
        <f>+251911515444</f>
        <v>251911515444</v>
      </c>
      <c r="E280" s="4" t="s">
        <v>324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4" t="s">
        <v>1643</v>
      </c>
      <c r="B281" s="4" t="s">
        <v>1644</v>
      </c>
      <c r="C281" s="4" t="s">
        <v>1547</v>
      </c>
      <c r="D281" s="5">
        <f>+251925700473</f>
        <v>251925700473</v>
      </c>
      <c r="E281" s="4" t="s">
        <v>324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4" t="s">
        <v>1645</v>
      </c>
      <c r="B282" s="4" t="s">
        <v>1646</v>
      </c>
      <c r="C282" s="4" t="s">
        <v>467</v>
      </c>
      <c r="D282" s="5">
        <f>+251914797215</f>
        <v>251914797215</v>
      </c>
      <c r="E282" s="4" t="s">
        <v>324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4" t="s">
        <v>1647</v>
      </c>
      <c r="B283" s="4" t="s">
        <v>1648</v>
      </c>
      <c r="C283" s="4" t="s">
        <v>1332</v>
      </c>
      <c r="D283" s="5">
        <f>+251955999637</f>
        <v>251955999637</v>
      </c>
      <c r="E283" s="4" t="s">
        <v>324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4" t="s">
        <v>1649</v>
      </c>
      <c r="B284" s="4" t="s">
        <v>1650</v>
      </c>
      <c r="C284" s="4" t="s">
        <v>1651</v>
      </c>
      <c r="D284" s="5">
        <f>+251914342009</f>
        <v>251914342009</v>
      </c>
      <c r="E284" s="4" t="s">
        <v>324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9" max="9" width="15.13"/>
    <col customWidth="1" min="10" max="10" width="11.88"/>
    <col customWidth="1" min="11" max="11" width="16.25"/>
    <col customWidth="1" min="12" max="12" width="14.88"/>
    <col customWidth="1" min="13" max="13" width="15.25"/>
    <col customWidth="1" min="14" max="14" width="16.5"/>
    <col customWidth="1" min="15" max="15" width="13.75"/>
    <col customWidth="1" min="16" max="16" width="14.13"/>
  </cols>
  <sheetData>
    <row r="1" ht="48.75" customHeight="1">
      <c r="A1" s="9" t="s">
        <v>1652</v>
      </c>
      <c r="B1" s="10" t="s">
        <v>1653</v>
      </c>
      <c r="C1" s="10" t="s">
        <v>1654</v>
      </c>
      <c r="D1" s="10" t="s">
        <v>1655</v>
      </c>
      <c r="E1" s="11" t="s">
        <v>1656</v>
      </c>
      <c r="F1" s="10" t="s">
        <v>1657</v>
      </c>
      <c r="G1" s="10" t="s">
        <v>5</v>
      </c>
      <c r="H1" s="10" t="s">
        <v>1658</v>
      </c>
      <c r="I1" s="10" t="s">
        <v>1659</v>
      </c>
      <c r="J1" s="10" t="s">
        <v>1660</v>
      </c>
      <c r="K1" s="10" t="s">
        <v>1661</v>
      </c>
      <c r="L1" s="10" t="s">
        <v>1662</v>
      </c>
      <c r="M1" s="10" t="s">
        <v>1663</v>
      </c>
      <c r="N1" s="10" t="s">
        <v>1664</v>
      </c>
      <c r="O1" s="10" t="s">
        <v>1665</v>
      </c>
      <c r="P1" s="10" t="s">
        <v>1666</v>
      </c>
      <c r="Q1" s="10" t="s">
        <v>1667</v>
      </c>
      <c r="R1" s="10" t="s">
        <v>1668</v>
      </c>
      <c r="S1" s="12" t="s">
        <v>1669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4" t="s">
        <v>1670</v>
      </c>
      <c r="B2" s="15" t="s">
        <v>72</v>
      </c>
      <c r="C2" s="15" t="s">
        <v>73</v>
      </c>
      <c r="D2" s="15" t="s">
        <v>74</v>
      </c>
      <c r="E2" s="16" t="s">
        <v>1671</v>
      </c>
      <c r="F2" s="15" t="s">
        <v>10</v>
      </c>
      <c r="G2" s="15" t="s">
        <v>11</v>
      </c>
      <c r="H2" s="14" t="s">
        <v>1672</v>
      </c>
      <c r="I2" s="17" t="s">
        <v>1673</v>
      </c>
      <c r="J2" s="18"/>
      <c r="K2" s="18"/>
      <c r="L2" s="18"/>
      <c r="M2" s="18"/>
      <c r="N2" s="18"/>
      <c r="O2" s="18"/>
      <c r="P2" s="18"/>
      <c r="Q2" s="18"/>
      <c r="R2" s="18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>
      <c r="A3" s="14" t="s">
        <v>1670</v>
      </c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4" t="s">
        <v>1672</v>
      </c>
      <c r="I3" s="17" t="s">
        <v>1674</v>
      </c>
      <c r="J3" s="14" t="s">
        <v>1675</v>
      </c>
      <c r="K3" s="14" t="s">
        <v>1676</v>
      </c>
      <c r="L3" s="14" t="s">
        <v>1677</v>
      </c>
      <c r="M3" s="14" t="s">
        <v>1675</v>
      </c>
      <c r="N3" s="18"/>
      <c r="O3" s="14" t="s">
        <v>1678</v>
      </c>
      <c r="P3" s="14" t="s">
        <v>1679</v>
      </c>
      <c r="Q3" s="14" t="s">
        <v>1675</v>
      </c>
      <c r="R3" s="14" t="s">
        <v>1680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>
      <c r="A4" s="14" t="s">
        <v>1670</v>
      </c>
      <c r="B4" s="15" t="s">
        <v>12</v>
      </c>
      <c r="C4" s="15" t="s">
        <v>13</v>
      </c>
      <c r="D4" s="15" t="s">
        <v>14</v>
      </c>
      <c r="E4" s="15" t="s">
        <v>15</v>
      </c>
      <c r="F4" s="15" t="s">
        <v>10</v>
      </c>
      <c r="G4" s="15" t="s">
        <v>11</v>
      </c>
      <c r="H4" s="14" t="s">
        <v>1672</v>
      </c>
      <c r="I4" s="17" t="s">
        <v>1674</v>
      </c>
      <c r="J4" s="14" t="s">
        <v>1675</v>
      </c>
      <c r="K4" s="14" t="s">
        <v>1681</v>
      </c>
      <c r="L4" s="14" t="s">
        <v>1677</v>
      </c>
      <c r="M4" s="14" t="s">
        <v>1675</v>
      </c>
      <c r="N4" s="18"/>
      <c r="O4" s="14" t="s">
        <v>1678</v>
      </c>
      <c r="P4" s="14" t="s">
        <v>1679</v>
      </c>
      <c r="Q4" s="14" t="s">
        <v>1675</v>
      </c>
      <c r="R4" s="14" t="s">
        <v>1680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14" t="s">
        <v>1670</v>
      </c>
      <c r="B5" s="15" t="s">
        <v>16</v>
      </c>
      <c r="C5" s="15" t="s">
        <v>17</v>
      </c>
      <c r="D5" s="15" t="s">
        <v>18</v>
      </c>
      <c r="E5" s="15" t="s">
        <v>19</v>
      </c>
      <c r="F5" s="15" t="s">
        <v>10</v>
      </c>
      <c r="G5" s="15" t="s">
        <v>11</v>
      </c>
      <c r="H5" s="14" t="s">
        <v>1672</v>
      </c>
      <c r="I5" s="17" t="s">
        <v>1674</v>
      </c>
      <c r="J5" s="14" t="s">
        <v>1675</v>
      </c>
      <c r="K5" s="14" t="s">
        <v>1682</v>
      </c>
      <c r="L5" s="14" t="s">
        <v>1683</v>
      </c>
      <c r="M5" s="14" t="s">
        <v>1675</v>
      </c>
      <c r="N5" s="18"/>
      <c r="O5" s="14" t="s">
        <v>1678</v>
      </c>
      <c r="P5" s="14" t="s">
        <v>1684</v>
      </c>
      <c r="Q5" s="14" t="s">
        <v>1675</v>
      </c>
      <c r="R5" s="14" t="s">
        <v>1680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14" t="s">
        <v>1670</v>
      </c>
      <c r="B6" s="15" t="s">
        <v>20</v>
      </c>
      <c r="C6" s="15" t="s">
        <v>21</v>
      </c>
      <c r="D6" s="15" t="s">
        <v>22</v>
      </c>
      <c r="E6" s="15" t="s">
        <v>23</v>
      </c>
      <c r="F6" s="15" t="s">
        <v>10</v>
      </c>
      <c r="G6" s="15" t="s">
        <v>24</v>
      </c>
      <c r="H6" s="14" t="s">
        <v>1672</v>
      </c>
      <c r="I6" s="17" t="s">
        <v>1674</v>
      </c>
      <c r="J6" s="14" t="s">
        <v>1675</v>
      </c>
      <c r="K6" s="14" t="s">
        <v>1685</v>
      </c>
      <c r="L6" s="14" t="s">
        <v>1686</v>
      </c>
      <c r="M6" s="14" t="s">
        <v>1675</v>
      </c>
      <c r="N6" s="18"/>
      <c r="O6" s="14" t="s">
        <v>1687</v>
      </c>
      <c r="P6" s="14" t="s">
        <v>1688</v>
      </c>
      <c r="Q6" s="14" t="s">
        <v>1675</v>
      </c>
      <c r="R6" s="14" t="s">
        <v>1689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14" t="s">
        <v>1670</v>
      </c>
      <c r="B7" s="15" t="s">
        <v>25</v>
      </c>
      <c r="C7" s="15" t="s">
        <v>26</v>
      </c>
      <c r="D7" s="15" t="s">
        <v>27</v>
      </c>
      <c r="E7" s="15" t="s">
        <v>28</v>
      </c>
      <c r="F7" s="15" t="s">
        <v>10</v>
      </c>
      <c r="G7" s="15" t="s">
        <v>29</v>
      </c>
      <c r="H7" s="14" t="s">
        <v>1672</v>
      </c>
      <c r="I7" s="17" t="s">
        <v>1674</v>
      </c>
      <c r="J7" s="14" t="s">
        <v>1675</v>
      </c>
      <c r="K7" s="14" t="s">
        <v>1690</v>
      </c>
      <c r="L7" s="14" t="s">
        <v>1677</v>
      </c>
      <c r="M7" s="14" t="s">
        <v>1675</v>
      </c>
      <c r="N7" s="18"/>
      <c r="O7" s="14" t="s">
        <v>1678</v>
      </c>
      <c r="P7" s="14" t="s">
        <v>1684</v>
      </c>
      <c r="Q7" s="14" t="s">
        <v>1675</v>
      </c>
      <c r="R7" s="14" t="s">
        <v>1680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>
      <c r="A8" s="14" t="s">
        <v>1670</v>
      </c>
      <c r="B8" s="15" t="s">
        <v>30</v>
      </c>
      <c r="C8" s="15" t="s">
        <v>31</v>
      </c>
      <c r="D8" s="15" t="s">
        <v>32</v>
      </c>
      <c r="E8" s="15" t="s">
        <v>33</v>
      </c>
      <c r="F8" s="15" t="s">
        <v>10</v>
      </c>
      <c r="G8" s="15" t="s">
        <v>34</v>
      </c>
      <c r="H8" s="14" t="s">
        <v>1672</v>
      </c>
      <c r="I8" s="17" t="s">
        <v>1674</v>
      </c>
      <c r="J8" s="14" t="s">
        <v>1675</v>
      </c>
      <c r="K8" s="14" t="s">
        <v>1691</v>
      </c>
      <c r="L8" s="14" t="s">
        <v>1692</v>
      </c>
      <c r="M8" s="14" t="s">
        <v>1675</v>
      </c>
      <c r="N8" s="18"/>
      <c r="O8" s="14" t="s">
        <v>1692</v>
      </c>
      <c r="P8" s="14" t="s">
        <v>1693</v>
      </c>
      <c r="Q8" s="14" t="s">
        <v>1675</v>
      </c>
      <c r="R8" s="14" t="s">
        <v>1694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>
      <c r="A9" s="14" t="s">
        <v>1670</v>
      </c>
      <c r="B9" s="15" t="s">
        <v>35</v>
      </c>
      <c r="C9" s="15" t="s">
        <v>36</v>
      </c>
      <c r="D9" s="15" t="s">
        <v>37</v>
      </c>
      <c r="E9" s="15" t="s">
        <v>38</v>
      </c>
      <c r="F9" s="15" t="s">
        <v>10</v>
      </c>
      <c r="G9" s="15" t="s">
        <v>11</v>
      </c>
      <c r="H9" s="14" t="s">
        <v>1672</v>
      </c>
      <c r="I9" s="17" t="s">
        <v>1674</v>
      </c>
      <c r="J9" s="14" t="s">
        <v>1675</v>
      </c>
      <c r="K9" s="14" t="s">
        <v>1695</v>
      </c>
      <c r="L9" s="14" t="s">
        <v>1683</v>
      </c>
      <c r="M9" s="14" t="s">
        <v>1675</v>
      </c>
      <c r="N9" s="18"/>
      <c r="O9" s="14" t="s">
        <v>1678</v>
      </c>
      <c r="P9" s="14" t="s">
        <v>1684</v>
      </c>
      <c r="Q9" s="14" t="s">
        <v>1675</v>
      </c>
      <c r="R9" s="14" t="s">
        <v>1696</v>
      </c>
      <c r="S9" s="15" t="s">
        <v>1697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>
      <c r="A10" s="14" t="s">
        <v>1670</v>
      </c>
      <c r="B10" s="15" t="s">
        <v>39</v>
      </c>
      <c r="C10" s="15" t="s">
        <v>40</v>
      </c>
      <c r="D10" s="15" t="s">
        <v>41</v>
      </c>
      <c r="E10" s="15" t="s">
        <v>42</v>
      </c>
      <c r="F10" s="15" t="s">
        <v>10</v>
      </c>
      <c r="G10" s="15" t="s">
        <v>34</v>
      </c>
      <c r="H10" s="14" t="s">
        <v>1672</v>
      </c>
      <c r="I10" s="17" t="s">
        <v>1674</v>
      </c>
      <c r="J10" s="14" t="s">
        <v>1675</v>
      </c>
      <c r="K10" s="14" t="s">
        <v>1691</v>
      </c>
      <c r="L10" s="14" t="s">
        <v>1692</v>
      </c>
      <c r="M10" s="14" t="s">
        <v>1675</v>
      </c>
      <c r="N10" s="18"/>
      <c r="O10" s="14" t="s">
        <v>1692</v>
      </c>
      <c r="P10" s="14" t="s">
        <v>1693</v>
      </c>
      <c r="Q10" s="14" t="s">
        <v>1675</v>
      </c>
      <c r="R10" s="14" t="s">
        <v>1694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>
      <c r="A11" s="14" t="s">
        <v>1670</v>
      </c>
      <c r="B11" s="15" t="s">
        <v>43</v>
      </c>
      <c r="C11" s="15" t="s">
        <v>44</v>
      </c>
      <c r="D11" s="15" t="s">
        <v>45</v>
      </c>
      <c r="E11" s="15" t="s">
        <v>46</v>
      </c>
      <c r="F11" s="15" t="s">
        <v>10</v>
      </c>
      <c r="G11" s="15" t="s">
        <v>11</v>
      </c>
      <c r="H11" s="14" t="s">
        <v>1672</v>
      </c>
      <c r="I11" s="17" t="s">
        <v>1674</v>
      </c>
      <c r="J11" s="14" t="s">
        <v>1675</v>
      </c>
      <c r="K11" s="14" t="s">
        <v>1698</v>
      </c>
      <c r="L11" s="14" t="s">
        <v>1677</v>
      </c>
      <c r="M11" s="14" t="s">
        <v>1675</v>
      </c>
      <c r="N11" s="18"/>
      <c r="O11" s="14" t="s">
        <v>1678</v>
      </c>
      <c r="P11" s="14" t="s">
        <v>1679</v>
      </c>
      <c r="Q11" s="14" t="s">
        <v>1675</v>
      </c>
      <c r="R11" s="14" t="s">
        <v>1680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>
      <c r="A12" s="14" t="s">
        <v>1670</v>
      </c>
      <c r="B12" s="15" t="s">
        <v>56</v>
      </c>
      <c r="C12" s="15" t="s">
        <v>57</v>
      </c>
      <c r="D12" s="15" t="s">
        <v>58</v>
      </c>
      <c r="E12" s="15" t="s">
        <v>59</v>
      </c>
      <c r="F12" s="15" t="s">
        <v>10</v>
      </c>
      <c r="G12" s="15" t="s">
        <v>11</v>
      </c>
      <c r="H12" s="14" t="s">
        <v>1672</v>
      </c>
      <c r="I12" s="17" t="s">
        <v>1674</v>
      </c>
      <c r="J12" s="14" t="s">
        <v>1675</v>
      </c>
      <c r="K12" s="14" t="s">
        <v>1699</v>
      </c>
      <c r="L12" s="14" t="s">
        <v>1677</v>
      </c>
      <c r="M12" s="14" t="s">
        <v>1675</v>
      </c>
      <c r="N12" s="18"/>
      <c r="O12" s="14" t="s">
        <v>1678</v>
      </c>
      <c r="P12" s="14" t="s">
        <v>1679</v>
      </c>
      <c r="Q12" s="14" t="s">
        <v>1675</v>
      </c>
      <c r="R12" s="14" t="s">
        <v>1700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>
      <c r="A13" s="14" t="s">
        <v>1670</v>
      </c>
      <c r="B13" s="15" t="s">
        <v>60</v>
      </c>
      <c r="C13" s="15" t="s">
        <v>61</v>
      </c>
      <c r="D13" s="15" t="s">
        <v>62</v>
      </c>
      <c r="E13" s="15" t="s">
        <v>63</v>
      </c>
      <c r="F13" s="15" t="s">
        <v>10</v>
      </c>
      <c r="G13" s="15" t="s">
        <v>34</v>
      </c>
      <c r="H13" s="14" t="s">
        <v>1672</v>
      </c>
      <c r="I13" s="17" t="s">
        <v>1674</v>
      </c>
      <c r="J13" s="14" t="s">
        <v>1675</v>
      </c>
      <c r="K13" s="14" t="s">
        <v>1691</v>
      </c>
      <c r="L13" s="14" t="s">
        <v>1692</v>
      </c>
      <c r="M13" s="14" t="s">
        <v>1675</v>
      </c>
      <c r="N13" s="18"/>
      <c r="O13" s="14" t="s">
        <v>1692</v>
      </c>
      <c r="P13" s="14" t="s">
        <v>1693</v>
      </c>
      <c r="Q13" s="14" t="s">
        <v>1675</v>
      </c>
      <c r="R13" s="14" t="s">
        <v>1694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14" t="s">
        <v>1670</v>
      </c>
      <c r="B14" s="15" t="s">
        <v>80</v>
      </c>
      <c r="C14" s="15" t="s">
        <v>81</v>
      </c>
      <c r="D14" s="15" t="s">
        <v>82</v>
      </c>
      <c r="E14" s="15" t="s">
        <v>83</v>
      </c>
      <c r="F14" s="15" t="s">
        <v>10</v>
      </c>
      <c r="G14" s="15" t="s">
        <v>24</v>
      </c>
      <c r="H14" s="14" t="s">
        <v>1672</v>
      </c>
      <c r="I14" s="17" t="s">
        <v>1674</v>
      </c>
      <c r="J14" s="14" t="s">
        <v>1675</v>
      </c>
      <c r="K14" s="14" t="s">
        <v>1701</v>
      </c>
      <c r="L14" s="14" t="s">
        <v>1686</v>
      </c>
      <c r="M14" s="14" t="s">
        <v>1675</v>
      </c>
      <c r="N14" s="18"/>
      <c r="O14" s="14" t="s">
        <v>1687</v>
      </c>
      <c r="P14" s="14" t="s">
        <v>1688</v>
      </c>
      <c r="Q14" s="14" t="s">
        <v>1675</v>
      </c>
      <c r="R14" s="14" t="s">
        <v>1702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14" t="s">
        <v>1670</v>
      </c>
      <c r="B15" s="15" t="s">
        <v>84</v>
      </c>
      <c r="C15" s="15" t="s">
        <v>85</v>
      </c>
      <c r="D15" s="15" t="s">
        <v>62</v>
      </c>
      <c r="E15" s="15" t="s">
        <v>86</v>
      </c>
      <c r="F15" s="15" t="s">
        <v>10</v>
      </c>
      <c r="G15" s="15" t="s">
        <v>29</v>
      </c>
      <c r="H15" s="14" t="s">
        <v>1672</v>
      </c>
      <c r="I15" s="17" t="s">
        <v>1674</v>
      </c>
      <c r="J15" s="14" t="s">
        <v>1675</v>
      </c>
      <c r="K15" s="14" t="s">
        <v>1703</v>
      </c>
      <c r="L15" s="14" t="s">
        <v>1692</v>
      </c>
      <c r="M15" s="14" t="s">
        <v>1675</v>
      </c>
      <c r="N15" s="18"/>
      <c r="O15" s="14" t="s">
        <v>1692</v>
      </c>
      <c r="P15" s="14" t="s">
        <v>1693</v>
      </c>
      <c r="Q15" s="14" t="s">
        <v>1675</v>
      </c>
      <c r="R15" s="14" t="s">
        <v>1694</v>
      </c>
      <c r="S15" s="15" t="s">
        <v>1704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14" t="s">
        <v>1670</v>
      </c>
      <c r="B16" s="15" t="s">
        <v>87</v>
      </c>
      <c r="C16" s="15" t="s">
        <v>88</v>
      </c>
      <c r="D16" s="15" t="s">
        <v>89</v>
      </c>
      <c r="E16" s="15" t="s">
        <v>90</v>
      </c>
      <c r="F16" s="15" t="s">
        <v>10</v>
      </c>
      <c r="G16" s="15" t="s">
        <v>24</v>
      </c>
      <c r="H16" s="14" t="s">
        <v>1672</v>
      </c>
      <c r="I16" s="17" t="s">
        <v>1674</v>
      </c>
      <c r="J16" s="14" t="s">
        <v>1675</v>
      </c>
      <c r="K16" s="14" t="s">
        <v>1681</v>
      </c>
      <c r="L16" s="14" t="s">
        <v>1677</v>
      </c>
      <c r="M16" s="14" t="s">
        <v>1675</v>
      </c>
      <c r="N16" s="18"/>
      <c r="O16" s="14" t="s">
        <v>1678</v>
      </c>
      <c r="P16" s="14" t="s">
        <v>1684</v>
      </c>
      <c r="Q16" s="14" t="s">
        <v>1675</v>
      </c>
      <c r="R16" s="14" t="s">
        <v>1680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14" t="s">
        <v>1670</v>
      </c>
      <c r="B17" s="15" t="s">
        <v>100</v>
      </c>
      <c r="C17" s="15" t="s">
        <v>101</v>
      </c>
      <c r="D17" s="15" t="s">
        <v>102</v>
      </c>
      <c r="E17" s="15" t="s">
        <v>103</v>
      </c>
      <c r="F17" s="15" t="s">
        <v>10</v>
      </c>
      <c r="G17" s="15" t="s">
        <v>29</v>
      </c>
      <c r="H17" s="14" t="s">
        <v>1672</v>
      </c>
      <c r="I17" s="17" t="s">
        <v>1674</v>
      </c>
      <c r="J17" s="14" t="s">
        <v>1675</v>
      </c>
      <c r="K17" s="14" t="s">
        <v>1691</v>
      </c>
      <c r="L17" s="14" t="s">
        <v>1692</v>
      </c>
      <c r="M17" s="14" t="s">
        <v>1675</v>
      </c>
      <c r="N17" s="18"/>
      <c r="O17" s="14" t="s">
        <v>1692</v>
      </c>
      <c r="P17" s="14" t="s">
        <v>1693</v>
      </c>
      <c r="Q17" s="14" t="s">
        <v>1675</v>
      </c>
      <c r="R17" s="14" t="s">
        <v>1694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14" t="s">
        <v>1670</v>
      </c>
      <c r="B18" s="15" t="s">
        <v>104</v>
      </c>
      <c r="C18" s="15" t="s">
        <v>105</v>
      </c>
      <c r="D18" s="15" t="s">
        <v>106</v>
      </c>
      <c r="E18" s="15" t="s">
        <v>107</v>
      </c>
      <c r="F18" s="15" t="s">
        <v>10</v>
      </c>
      <c r="G18" s="15" t="s">
        <v>11</v>
      </c>
      <c r="H18" s="14" t="s">
        <v>1672</v>
      </c>
      <c r="I18" s="17" t="s">
        <v>1674</v>
      </c>
      <c r="J18" s="14" t="s">
        <v>1705</v>
      </c>
      <c r="K18" s="14" t="s">
        <v>1703</v>
      </c>
      <c r="L18" s="14" t="s">
        <v>1692</v>
      </c>
      <c r="M18" s="14" t="s">
        <v>1675</v>
      </c>
      <c r="N18" s="18"/>
      <c r="O18" s="14" t="s">
        <v>1692</v>
      </c>
      <c r="P18" s="14" t="s">
        <v>1693</v>
      </c>
      <c r="Q18" s="14" t="s">
        <v>1675</v>
      </c>
      <c r="R18" s="14" t="s">
        <v>1694</v>
      </c>
      <c r="S18" s="15" t="s">
        <v>1704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14" t="s">
        <v>1670</v>
      </c>
      <c r="B19" s="15" t="s">
        <v>112</v>
      </c>
      <c r="C19" s="15" t="s">
        <v>113</v>
      </c>
      <c r="D19" s="15" t="s">
        <v>114</v>
      </c>
      <c r="E19" s="15" t="s">
        <v>115</v>
      </c>
      <c r="F19" s="15" t="s">
        <v>10</v>
      </c>
      <c r="G19" s="15" t="s">
        <v>29</v>
      </c>
      <c r="H19" s="14" t="s">
        <v>1672</v>
      </c>
      <c r="I19" s="17" t="s">
        <v>1674</v>
      </c>
      <c r="J19" s="14" t="s">
        <v>1675</v>
      </c>
      <c r="K19" s="14" t="s">
        <v>1706</v>
      </c>
      <c r="L19" s="14" t="s">
        <v>1683</v>
      </c>
      <c r="M19" s="14" t="s">
        <v>1675</v>
      </c>
      <c r="N19" s="18"/>
      <c r="O19" s="14" t="s">
        <v>1678</v>
      </c>
      <c r="P19" s="14" t="s">
        <v>1684</v>
      </c>
      <c r="Q19" s="14" t="s">
        <v>1675</v>
      </c>
      <c r="R19" s="14" t="s">
        <v>1696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14" t="s">
        <v>1670</v>
      </c>
      <c r="B20" s="15" t="s">
        <v>119</v>
      </c>
      <c r="C20" s="15" t="s">
        <v>117</v>
      </c>
      <c r="D20" s="15" t="s">
        <v>120</v>
      </c>
      <c r="E20" s="15" t="s">
        <v>121</v>
      </c>
      <c r="F20" s="15" t="s">
        <v>10</v>
      </c>
      <c r="G20" s="15" t="s">
        <v>11</v>
      </c>
      <c r="H20" s="14" t="s">
        <v>1672</v>
      </c>
      <c r="I20" s="17" t="s">
        <v>1674</v>
      </c>
      <c r="J20" s="14" t="s">
        <v>1675</v>
      </c>
      <c r="K20" s="14" t="s">
        <v>1707</v>
      </c>
      <c r="L20" s="14" t="s">
        <v>1677</v>
      </c>
      <c r="M20" s="14" t="s">
        <v>1675</v>
      </c>
      <c r="N20" s="18"/>
      <c r="O20" s="14" t="s">
        <v>1678</v>
      </c>
      <c r="P20" s="14" t="s">
        <v>1684</v>
      </c>
      <c r="Q20" s="14" t="s">
        <v>1675</v>
      </c>
      <c r="R20" s="14" t="s">
        <v>1680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14" t="s">
        <v>1670</v>
      </c>
      <c r="B21" s="15" t="s">
        <v>122</v>
      </c>
      <c r="C21" s="15" t="s">
        <v>123</v>
      </c>
      <c r="D21" s="15" t="s">
        <v>124</v>
      </c>
      <c r="E21" s="15" t="s">
        <v>125</v>
      </c>
      <c r="F21" s="15" t="s">
        <v>10</v>
      </c>
      <c r="G21" s="15" t="s">
        <v>24</v>
      </c>
      <c r="H21" s="14" t="s">
        <v>1672</v>
      </c>
      <c r="I21" s="17" t="s">
        <v>1674</v>
      </c>
      <c r="J21" s="14" t="s">
        <v>1675</v>
      </c>
      <c r="K21" s="14" t="s">
        <v>1708</v>
      </c>
      <c r="L21" s="14" t="s">
        <v>1677</v>
      </c>
      <c r="M21" s="14" t="s">
        <v>1675</v>
      </c>
      <c r="N21" s="18"/>
      <c r="O21" s="14" t="s">
        <v>1678</v>
      </c>
      <c r="P21" s="14" t="s">
        <v>1684</v>
      </c>
      <c r="Q21" s="14" t="s">
        <v>1675</v>
      </c>
      <c r="R21" s="14" t="s">
        <v>1680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14" t="s">
        <v>1670</v>
      </c>
      <c r="B22" s="15" t="s">
        <v>126</v>
      </c>
      <c r="C22" s="15" t="s">
        <v>127</v>
      </c>
      <c r="D22" s="15" t="s">
        <v>128</v>
      </c>
      <c r="E22" s="15" t="s">
        <v>129</v>
      </c>
      <c r="F22" s="15" t="s">
        <v>10</v>
      </c>
      <c r="G22" s="15" t="s">
        <v>11</v>
      </c>
      <c r="H22" s="14" t="s">
        <v>1672</v>
      </c>
      <c r="I22" s="17" t="s">
        <v>1674</v>
      </c>
      <c r="J22" s="14" t="s">
        <v>1675</v>
      </c>
      <c r="K22" s="14" t="s">
        <v>1701</v>
      </c>
      <c r="L22" s="14" t="s">
        <v>1686</v>
      </c>
      <c r="M22" s="14" t="s">
        <v>1675</v>
      </c>
      <c r="N22" s="18"/>
      <c r="O22" s="14" t="s">
        <v>1687</v>
      </c>
      <c r="P22" s="14" t="s">
        <v>1688</v>
      </c>
      <c r="Q22" s="14" t="s">
        <v>1675</v>
      </c>
      <c r="R22" s="14" t="s">
        <v>1702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14" t="s">
        <v>1670</v>
      </c>
      <c r="B23" s="15" t="s">
        <v>130</v>
      </c>
      <c r="C23" s="15" t="s">
        <v>131</v>
      </c>
      <c r="D23" s="15" t="s">
        <v>132</v>
      </c>
      <c r="E23" s="15" t="s">
        <v>133</v>
      </c>
      <c r="F23" s="15" t="s">
        <v>10</v>
      </c>
      <c r="G23" s="15" t="s">
        <v>134</v>
      </c>
      <c r="H23" s="14" t="s">
        <v>1672</v>
      </c>
      <c r="I23" s="17" t="s">
        <v>1674</v>
      </c>
      <c r="J23" s="14" t="s">
        <v>1675</v>
      </c>
      <c r="K23" s="14" t="s">
        <v>1701</v>
      </c>
      <c r="L23" s="14" t="s">
        <v>1686</v>
      </c>
      <c r="M23" s="14" t="s">
        <v>1675</v>
      </c>
      <c r="N23" s="18"/>
      <c r="O23" s="14" t="s">
        <v>1687</v>
      </c>
      <c r="P23" s="14" t="s">
        <v>1688</v>
      </c>
      <c r="Q23" s="14" t="s">
        <v>1675</v>
      </c>
      <c r="R23" s="14" t="s">
        <v>1702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14" t="s">
        <v>1670</v>
      </c>
      <c r="B24" s="15" t="s">
        <v>135</v>
      </c>
      <c r="C24" s="15" t="s">
        <v>136</v>
      </c>
      <c r="D24" s="15" t="s">
        <v>137</v>
      </c>
      <c r="E24" s="16" t="s">
        <v>1709</v>
      </c>
      <c r="F24" s="15" t="s">
        <v>10</v>
      </c>
      <c r="G24" s="15" t="s">
        <v>134</v>
      </c>
      <c r="H24" s="14" t="s">
        <v>1672</v>
      </c>
      <c r="I24" s="17" t="s">
        <v>1674</v>
      </c>
      <c r="J24" s="14" t="s">
        <v>1705</v>
      </c>
      <c r="K24" s="18"/>
      <c r="L24" s="14" t="s">
        <v>1710</v>
      </c>
      <c r="M24" s="14" t="s">
        <v>1675</v>
      </c>
      <c r="N24" s="18"/>
      <c r="O24" s="14" t="s">
        <v>1678</v>
      </c>
      <c r="P24" s="14" t="s">
        <v>1684</v>
      </c>
      <c r="Q24" s="14" t="s">
        <v>1675</v>
      </c>
      <c r="R24" s="14" t="s">
        <v>1680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>
      <c r="A25" s="14" t="s">
        <v>1670</v>
      </c>
      <c r="B25" s="15" t="s">
        <v>138</v>
      </c>
      <c r="C25" s="15" t="s">
        <v>139</v>
      </c>
      <c r="D25" s="15" t="s">
        <v>140</v>
      </c>
      <c r="E25" s="15" t="s">
        <v>141</v>
      </c>
      <c r="F25" s="15" t="s">
        <v>10</v>
      </c>
      <c r="G25" s="15" t="s">
        <v>11</v>
      </c>
      <c r="H25" s="14" t="s">
        <v>1672</v>
      </c>
      <c r="I25" s="17" t="s">
        <v>1674</v>
      </c>
      <c r="J25" s="14" t="s">
        <v>1675</v>
      </c>
      <c r="K25" s="14" t="s">
        <v>1711</v>
      </c>
      <c r="L25" s="14" t="s">
        <v>1710</v>
      </c>
      <c r="M25" s="14" t="s">
        <v>1675</v>
      </c>
      <c r="N25" s="18"/>
      <c r="O25" s="14" t="s">
        <v>1678</v>
      </c>
      <c r="P25" s="14" t="s">
        <v>1684</v>
      </c>
      <c r="Q25" s="14" t="s">
        <v>1675</v>
      </c>
      <c r="R25" s="14" t="s">
        <v>1680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14" t="s">
        <v>1670</v>
      </c>
      <c r="B26" s="15" t="s">
        <v>142</v>
      </c>
      <c r="C26" s="15" t="s">
        <v>143</v>
      </c>
      <c r="D26" s="15" t="s">
        <v>144</v>
      </c>
      <c r="E26" s="15" t="s">
        <v>145</v>
      </c>
      <c r="F26" s="15" t="s">
        <v>10</v>
      </c>
      <c r="G26" s="15" t="s">
        <v>29</v>
      </c>
      <c r="H26" s="14" t="s">
        <v>1672</v>
      </c>
      <c r="I26" s="17" t="s">
        <v>1674</v>
      </c>
      <c r="J26" s="14" t="s">
        <v>1675</v>
      </c>
      <c r="K26" s="14" t="s">
        <v>1712</v>
      </c>
      <c r="L26" s="14" t="s">
        <v>1683</v>
      </c>
      <c r="M26" s="14" t="s">
        <v>1675</v>
      </c>
      <c r="N26" s="18"/>
      <c r="O26" s="14" t="s">
        <v>1678</v>
      </c>
      <c r="P26" s="14" t="s">
        <v>1679</v>
      </c>
      <c r="Q26" s="14" t="s">
        <v>1675</v>
      </c>
      <c r="R26" s="14" t="s">
        <v>1713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14" t="s">
        <v>1670</v>
      </c>
      <c r="B27" s="15" t="s">
        <v>146</v>
      </c>
      <c r="C27" s="15" t="s">
        <v>147</v>
      </c>
      <c r="D27" s="15" t="s">
        <v>148</v>
      </c>
      <c r="E27" s="15" t="s">
        <v>149</v>
      </c>
      <c r="F27" s="15" t="s">
        <v>10</v>
      </c>
      <c r="G27" s="15" t="s">
        <v>11</v>
      </c>
      <c r="H27" s="14" t="s">
        <v>1672</v>
      </c>
      <c r="I27" s="17" t="s">
        <v>1674</v>
      </c>
      <c r="J27" s="14" t="s">
        <v>1675</v>
      </c>
      <c r="K27" s="14" t="s">
        <v>1695</v>
      </c>
      <c r="L27" s="14" t="s">
        <v>1677</v>
      </c>
      <c r="M27" s="14" t="s">
        <v>1675</v>
      </c>
      <c r="N27" s="18"/>
      <c r="O27" s="14" t="s">
        <v>1678</v>
      </c>
      <c r="P27" s="14" t="s">
        <v>1684</v>
      </c>
      <c r="Q27" s="14" t="s">
        <v>1675</v>
      </c>
      <c r="R27" s="14" t="s">
        <v>1680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14" t="s">
        <v>1670</v>
      </c>
      <c r="B28" s="15" t="s">
        <v>150</v>
      </c>
      <c r="C28" s="15" t="s">
        <v>151</v>
      </c>
      <c r="D28" s="15" t="s">
        <v>152</v>
      </c>
      <c r="E28" s="15" t="s">
        <v>153</v>
      </c>
      <c r="F28" s="15" t="s">
        <v>10</v>
      </c>
      <c r="G28" s="15" t="s">
        <v>11</v>
      </c>
      <c r="H28" s="14" t="s">
        <v>1672</v>
      </c>
      <c r="I28" s="17" t="s">
        <v>1674</v>
      </c>
      <c r="J28" s="14" t="s">
        <v>1675</v>
      </c>
      <c r="K28" s="14" t="s">
        <v>1708</v>
      </c>
      <c r="L28" s="14" t="s">
        <v>1677</v>
      </c>
      <c r="M28" s="14" t="s">
        <v>1675</v>
      </c>
      <c r="N28" s="18"/>
      <c r="O28" s="14" t="s">
        <v>1678</v>
      </c>
      <c r="P28" s="14" t="s">
        <v>1714</v>
      </c>
      <c r="Q28" s="14" t="s">
        <v>1675</v>
      </c>
      <c r="R28" s="14" t="s">
        <v>1680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14" t="s">
        <v>1670</v>
      </c>
      <c r="B29" s="15" t="s">
        <v>157</v>
      </c>
      <c r="C29" s="15" t="s">
        <v>158</v>
      </c>
      <c r="D29" s="15" t="s">
        <v>159</v>
      </c>
      <c r="E29" s="15" t="s">
        <v>160</v>
      </c>
      <c r="F29" s="15" t="s">
        <v>10</v>
      </c>
      <c r="G29" s="15" t="s">
        <v>11</v>
      </c>
      <c r="H29" s="14" t="s">
        <v>1672</v>
      </c>
      <c r="I29" s="17" t="s">
        <v>1674</v>
      </c>
      <c r="J29" s="14" t="s">
        <v>1675</v>
      </c>
      <c r="K29" s="14" t="s">
        <v>1701</v>
      </c>
      <c r="L29" s="14" t="s">
        <v>1686</v>
      </c>
      <c r="M29" s="14" t="s">
        <v>1675</v>
      </c>
      <c r="N29" s="18"/>
      <c r="O29" s="14" t="s">
        <v>1687</v>
      </c>
      <c r="P29" s="14" t="s">
        <v>1688</v>
      </c>
      <c r="Q29" s="14" t="s">
        <v>1675</v>
      </c>
      <c r="R29" s="14" t="s">
        <v>1715</v>
      </c>
      <c r="S29" s="15" t="s">
        <v>1716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14" t="s">
        <v>1670</v>
      </c>
      <c r="B30" s="15" t="s">
        <v>165</v>
      </c>
      <c r="C30" s="15" t="s">
        <v>166</v>
      </c>
      <c r="D30" s="15" t="s">
        <v>167</v>
      </c>
      <c r="E30" s="15" t="s">
        <v>168</v>
      </c>
      <c r="F30" s="15" t="s">
        <v>10</v>
      </c>
      <c r="G30" s="15" t="s">
        <v>24</v>
      </c>
      <c r="H30" s="14" t="s">
        <v>1672</v>
      </c>
      <c r="I30" s="17" t="s">
        <v>1674</v>
      </c>
      <c r="J30" s="14" t="s">
        <v>1675</v>
      </c>
      <c r="K30" s="14" t="s">
        <v>1685</v>
      </c>
      <c r="L30" s="14" t="s">
        <v>1686</v>
      </c>
      <c r="M30" s="14" t="s">
        <v>1675</v>
      </c>
      <c r="N30" s="18"/>
      <c r="O30" s="14" t="s">
        <v>1687</v>
      </c>
      <c r="P30" s="14" t="s">
        <v>1688</v>
      </c>
      <c r="Q30" s="14" t="s">
        <v>1675</v>
      </c>
      <c r="R30" s="14" t="s">
        <v>1689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14" t="s">
        <v>1670</v>
      </c>
      <c r="B31" s="15" t="s">
        <v>169</v>
      </c>
      <c r="C31" s="15" t="s">
        <v>170</v>
      </c>
      <c r="D31" s="15" t="s">
        <v>171</v>
      </c>
      <c r="E31" s="15" t="s">
        <v>172</v>
      </c>
      <c r="F31" s="15" t="s">
        <v>10</v>
      </c>
      <c r="G31" s="15" t="s">
        <v>34</v>
      </c>
      <c r="H31" s="14" t="s">
        <v>1672</v>
      </c>
      <c r="I31" s="17" t="s">
        <v>1674</v>
      </c>
      <c r="J31" s="14" t="s">
        <v>1675</v>
      </c>
      <c r="K31" s="14" t="s">
        <v>1717</v>
      </c>
      <c r="L31" s="14" t="s">
        <v>1686</v>
      </c>
      <c r="M31" s="14" t="s">
        <v>1675</v>
      </c>
      <c r="N31" s="18"/>
      <c r="O31" s="14" t="s">
        <v>1687</v>
      </c>
      <c r="P31" s="14" t="s">
        <v>1688</v>
      </c>
      <c r="Q31" s="14" t="s">
        <v>1675</v>
      </c>
      <c r="R31" s="14" t="s">
        <v>1702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14" t="s">
        <v>1670</v>
      </c>
      <c r="B32" s="15" t="s">
        <v>173</v>
      </c>
      <c r="C32" s="15" t="s">
        <v>174</v>
      </c>
      <c r="D32" s="15" t="s">
        <v>175</v>
      </c>
      <c r="E32" s="15" t="s">
        <v>176</v>
      </c>
      <c r="F32" s="15" t="s">
        <v>10</v>
      </c>
      <c r="G32" s="15" t="s">
        <v>134</v>
      </c>
      <c r="H32" s="14" t="s">
        <v>1672</v>
      </c>
      <c r="I32" s="17" t="s">
        <v>1674</v>
      </c>
      <c r="J32" s="14" t="s">
        <v>1675</v>
      </c>
      <c r="K32" s="14" t="s">
        <v>1718</v>
      </c>
      <c r="L32" s="14" t="s">
        <v>1683</v>
      </c>
      <c r="M32" s="14" t="s">
        <v>1675</v>
      </c>
      <c r="N32" s="18"/>
      <c r="O32" s="14" t="s">
        <v>1678</v>
      </c>
      <c r="P32" s="14" t="s">
        <v>1684</v>
      </c>
      <c r="Q32" s="14" t="s">
        <v>1675</v>
      </c>
      <c r="R32" s="14" t="s">
        <v>1696</v>
      </c>
      <c r="S32" s="15" t="s">
        <v>1718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14" t="s">
        <v>1670</v>
      </c>
      <c r="B33" s="15" t="s">
        <v>181</v>
      </c>
      <c r="C33" s="15" t="s">
        <v>182</v>
      </c>
      <c r="D33" s="15" t="s">
        <v>183</v>
      </c>
      <c r="E33" s="15" t="s">
        <v>184</v>
      </c>
      <c r="F33" s="15" t="s">
        <v>10</v>
      </c>
      <c r="G33" s="15" t="s">
        <v>11</v>
      </c>
      <c r="H33" s="14" t="s">
        <v>1672</v>
      </c>
      <c r="I33" s="17" t="s">
        <v>1674</v>
      </c>
      <c r="J33" s="14" t="s">
        <v>1675</v>
      </c>
      <c r="K33" s="14" t="s">
        <v>1701</v>
      </c>
      <c r="L33" s="14" t="s">
        <v>1686</v>
      </c>
      <c r="M33" s="14" t="s">
        <v>1675</v>
      </c>
      <c r="N33" s="18"/>
      <c r="O33" s="14" t="s">
        <v>1687</v>
      </c>
      <c r="P33" s="14" t="s">
        <v>1688</v>
      </c>
      <c r="Q33" s="14" t="s">
        <v>1675</v>
      </c>
      <c r="R33" s="14" t="s">
        <v>1715</v>
      </c>
      <c r="S33" s="15" t="s">
        <v>1719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14" t="s">
        <v>1670</v>
      </c>
      <c r="B34" s="15" t="s">
        <v>192</v>
      </c>
      <c r="C34" s="15" t="s">
        <v>193</v>
      </c>
      <c r="D34" s="15" t="s">
        <v>194</v>
      </c>
      <c r="E34" s="15" t="s">
        <v>195</v>
      </c>
      <c r="F34" s="15" t="s">
        <v>10</v>
      </c>
      <c r="G34" s="15" t="s">
        <v>34</v>
      </c>
      <c r="H34" s="14" t="s">
        <v>1672</v>
      </c>
      <c r="I34" s="17" t="s">
        <v>1674</v>
      </c>
      <c r="J34" s="14" t="s">
        <v>1705</v>
      </c>
      <c r="K34" s="18"/>
      <c r="L34" s="14" t="s">
        <v>1710</v>
      </c>
      <c r="M34" s="14" t="s">
        <v>1675</v>
      </c>
      <c r="N34" s="18"/>
      <c r="O34" s="14" t="s">
        <v>1678</v>
      </c>
      <c r="P34" s="14" t="s">
        <v>1684</v>
      </c>
      <c r="Q34" s="14" t="s">
        <v>1675</v>
      </c>
      <c r="R34" s="14" t="s">
        <v>1680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14" t="s">
        <v>1670</v>
      </c>
      <c r="B35" s="15" t="s">
        <v>199</v>
      </c>
      <c r="C35" s="15" t="s">
        <v>200</v>
      </c>
      <c r="D35" s="15" t="s">
        <v>201</v>
      </c>
      <c r="E35" s="15" t="s">
        <v>202</v>
      </c>
      <c r="F35" s="15" t="s">
        <v>10</v>
      </c>
      <c r="G35" s="15" t="s">
        <v>134</v>
      </c>
      <c r="H35" s="14" t="s">
        <v>1672</v>
      </c>
      <c r="I35" s="17" t="s">
        <v>1674</v>
      </c>
      <c r="J35" s="14" t="s">
        <v>1675</v>
      </c>
      <c r="K35" s="14" t="s">
        <v>1718</v>
      </c>
      <c r="L35" s="14" t="s">
        <v>1677</v>
      </c>
      <c r="M35" s="14" t="s">
        <v>1675</v>
      </c>
      <c r="N35" s="18"/>
      <c r="O35" s="14" t="s">
        <v>1678</v>
      </c>
      <c r="P35" s="14" t="s">
        <v>1684</v>
      </c>
      <c r="Q35" s="14" t="s">
        <v>1675</v>
      </c>
      <c r="R35" s="14" t="s">
        <v>1680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14" t="s">
        <v>1670</v>
      </c>
      <c r="B36" s="15" t="s">
        <v>108</v>
      </c>
      <c r="C36" s="15" t="s">
        <v>109</v>
      </c>
      <c r="D36" s="15" t="s">
        <v>110</v>
      </c>
      <c r="E36" s="15" t="s">
        <v>111</v>
      </c>
      <c r="F36" s="15" t="s">
        <v>10</v>
      </c>
      <c r="G36" s="15" t="s">
        <v>11</v>
      </c>
      <c r="H36" s="14" t="s">
        <v>1672</v>
      </c>
      <c r="I36" s="17" t="s">
        <v>1720</v>
      </c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14" t="s">
        <v>1670</v>
      </c>
      <c r="B37" s="15" t="s">
        <v>196</v>
      </c>
      <c r="C37" s="15" t="s">
        <v>158</v>
      </c>
      <c r="D37" s="15" t="s">
        <v>197</v>
      </c>
      <c r="E37" s="15" t="s">
        <v>198</v>
      </c>
      <c r="F37" s="15" t="s">
        <v>10</v>
      </c>
      <c r="G37" s="15" t="s">
        <v>95</v>
      </c>
      <c r="H37" s="14" t="s">
        <v>1672</v>
      </c>
      <c r="I37" s="17" t="s">
        <v>1720</v>
      </c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14" t="s">
        <v>1670</v>
      </c>
      <c r="B38" s="15" t="s">
        <v>52</v>
      </c>
      <c r="C38" s="15" t="s">
        <v>53</v>
      </c>
      <c r="D38" s="15" t="s">
        <v>54</v>
      </c>
      <c r="E38" s="15" t="s">
        <v>55</v>
      </c>
      <c r="F38" s="15" t="s">
        <v>10</v>
      </c>
      <c r="G38" s="15" t="s">
        <v>11</v>
      </c>
      <c r="H38" s="14" t="s">
        <v>1672</v>
      </c>
      <c r="I38" s="17" t="s">
        <v>1721</v>
      </c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14" t="s">
        <v>1670</v>
      </c>
      <c r="B39" s="15" t="s">
        <v>64</v>
      </c>
      <c r="C39" s="15" t="s">
        <v>65</v>
      </c>
      <c r="D39" s="15" t="s">
        <v>66</v>
      </c>
      <c r="E39" s="15" t="s">
        <v>67</v>
      </c>
      <c r="F39" s="15" t="s">
        <v>10</v>
      </c>
      <c r="G39" s="15" t="s">
        <v>34</v>
      </c>
      <c r="H39" s="14" t="s">
        <v>1672</v>
      </c>
      <c r="I39" s="17" t="s">
        <v>1722</v>
      </c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14" t="s">
        <v>1670</v>
      </c>
      <c r="B40" s="15" t="s">
        <v>68</v>
      </c>
      <c r="C40" s="15" t="s">
        <v>69</v>
      </c>
      <c r="D40" s="15" t="s">
        <v>70</v>
      </c>
      <c r="E40" s="15" t="s">
        <v>71</v>
      </c>
      <c r="F40" s="15" t="s">
        <v>10</v>
      </c>
      <c r="G40" s="15" t="s">
        <v>34</v>
      </c>
      <c r="H40" s="14" t="s">
        <v>1672</v>
      </c>
      <c r="I40" s="17" t="s">
        <v>1722</v>
      </c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14" t="s">
        <v>1670</v>
      </c>
      <c r="B41" s="15" t="s">
        <v>76</v>
      </c>
      <c r="C41" s="15" t="s">
        <v>77</v>
      </c>
      <c r="D41" s="15" t="s">
        <v>78</v>
      </c>
      <c r="E41" s="15" t="s">
        <v>79</v>
      </c>
      <c r="F41" s="15" t="s">
        <v>10</v>
      </c>
      <c r="G41" s="15" t="s">
        <v>29</v>
      </c>
      <c r="H41" s="14" t="s">
        <v>1672</v>
      </c>
      <c r="I41" s="17" t="s">
        <v>1722</v>
      </c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14" t="s">
        <v>1670</v>
      </c>
      <c r="B42" s="15" t="s">
        <v>91</v>
      </c>
      <c r="C42" s="15" t="s">
        <v>92</v>
      </c>
      <c r="D42" s="15" t="s">
        <v>93</v>
      </c>
      <c r="E42" s="15" t="s">
        <v>94</v>
      </c>
      <c r="F42" s="15" t="s">
        <v>10</v>
      </c>
      <c r="G42" s="15" t="s">
        <v>95</v>
      </c>
      <c r="H42" s="14" t="s">
        <v>1672</v>
      </c>
      <c r="I42" s="17" t="s">
        <v>1722</v>
      </c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14" t="s">
        <v>1670</v>
      </c>
      <c r="B43" s="15" t="s">
        <v>96</v>
      </c>
      <c r="C43" s="15" t="s">
        <v>97</v>
      </c>
      <c r="D43" s="15" t="s">
        <v>98</v>
      </c>
      <c r="E43" s="15" t="s">
        <v>99</v>
      </c>
      <c r="F43" s="15" t="s">
        <v>10</v>
      </c>
      <c r="G43" s="15" t="s">
        <v>11</v>
      </c>
      <c r="H43" s="14" t="s">
        <v>1672</v>
      </c>
      <c r="I43" s="17" t="s">
        <v>1722</v>
      </c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14" t="s">
        <v>1670</v>
      </c>
      <c r="B44" s="15" t="s">
        <v>116</v>
      </c>
      <c r="C44" s="15" t="s">
        <v>117</v>
      </c>
      <c r="D44" s="15" t="s">
        <v>17</v>
      </c>
      <c r="E44" s="15" t="s">
        <v>118</v>
      </c>
      <c r="F44" s="15" t="s">
        <v>10</v>
      </c>
      <c r="G44" s="15" t="s">
        <v>51</v>
      </c>
      <c r="H44" s="14" t="s">
        <v>1672</v>
      </c>
      <c r="I44" s="17" t="s">
        <v>1722</v>
      </c>
      <c r="J44" s="18"/>
      <c r="K44" s="18"/>
      <c r="L44" s="18"/>
      <c r="M44" s="18"/>
      <c r="N44" s="18"/>
      <c r="O44" s="18"/>
      <c r="P44" s="18"/>
      <c r="Q44" s="18"/>
      <c r="R44" s="18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14" t="s">
        <v>1670</v>
      </c>
      <c r="B45" s="15" t="s">
        <v>154</v>
      </c>
      <c r="C45" s="15" t="s">
        <v>155</v>
      </c>
      <c r="D45" s="15" t="s">
        <v>124</v>
      </c>
      <c r="E45" s="15" t="s">
        <v>156</v>
      </c>
      <c r="F45" s="15" t="s">
        <v>10</v>
      </c>
      <c r="G45" s="15" t="s">
        <v>11</v>
      </c>
      <c r="H45" s="14" t="s">
        <v>1672</v>
      </c>
      <c r="I45" s="17" t="s">
        <v>1722</v>
      </c>
      <c r="J45" s="18"/>
      <c r="K45" s="18"/>
      <c r="L45" s="18"/>
      <c r="M45" s="18"/>
      <c r="N45" s="18"/>
      <c r="O45" s="18"/>
      <c r="P45" s="18"/>
      <c r="Q45" s="18"/>
      <c r="R45" s="18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14" t="s">
        <v>1670</v>
      </c>
      <c r="B46" s="15" t="s">
        <v>161</v>
      </c>
      <c r="C46" s="15" t="s">
        <v>162</v>
      </c>
      <c r="D46" s="15" t="s">
        <v>163</v>
      </c>
      <c r="E46" s="15" t="s">
        <v>164</v>
      </c>
      <c r="F46" s="15" t="s">
        <v>10</v>
      </c>
      <c r="G46" s="15" t="s">
        <v>11</v>
      </c>
      <c r="H46" s="14" t="s">
        <v>1672</v>
      </c>
      <c r="I46" s="17" t="s">
        <v>1722</v>
      </c>
      <c r="J46" s="18"/>
      <c r="K46" s="18"/>
      <c r="L46" s="18"/>
      <c r="M46" s="18"/>
      <c r="N46" s="18"/>
      <c r="O46" s="18"/>
      <c r="P46" s="18"/>
      <c r="Q46" s="18"/>
      <c r="R46" s="18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14" t="s">
        <v>1670</v>
      </c>
      <c r="B47" s="15" t="s">
        <v>177</v>
      </c>
      <c r="C47" s="15" t="s">
        <v>178</v>
      </c>
      <c r="D47" s="15" t="s">
        <v>179</v>
      </c>
      <c r="E47" s="15" t="s">
        <v>180</v>
      </c>
      <c r="F47" s="15" t="s">
        <v>10</v>
      </c>
      <c r="G47" s="15" t="s">
        <v>24</v>
      </c>
      <c r="H47" s="14" t="s">
        <v>1672</v>
      </c>
      <c r="I47" s="17" t="s">
        <v>1722</v>
      </c>
      <c r="J47" s="18"/>
      <c r="K47" s="18"/>
      <c r="L47" s="18"/>
      <c r="M47" s="18"/>
      <c r="N47" s="18"/>
      <c r="O47" s="18"/>
      <c r="P47" s="18"/>
      <c r="Q47" s="18"/>
      <c r="R47" s="18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14" t="s">
        <v>1670</v>
      </c>
      <c r="B48" s="15" t="s">
        <v>185</v>
      </c>
      <c r="C48" s="15" t="s">
        <v>186</v>
      </c>
      <c r="D48" s="15" t="s">
        <v>187</v>
      </c>
      <c r="E48" s="16" t="s">
        <v>1723</v>
      </c>
      <c r="F48" s="15" t="s">
        <v>10</v>
      </c>
      <c r="G48" s="15" t="s">
        <v>24</v>
      </c>
      <c r="H48" s="14" t="s">
        <v>1672</v>
      </c>
      <c r="I48" s="17" t="s">
        <v>1722</v>
      </c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14" t="s">
        <v>1670</v>
      </c>
      <c r="B49" s="15" t="s">
        <v>188</v>
      </c>
      <c r="C49" s="15" t="s">
        <v>189</v>
      </c>
      <c r="D49" s="15" t="s">
        <v>190</v>
      </c>
      <c r="E49" s="15" t="s">
        <v>191</v>
      </c>
      <c r="F49" s="15" t="s">
        <v>10</v>
      </c>
      <c r="G49" s="15" t="s">
        <v>11</v>
      </c>
      <c r="H49" s="14" t="s">
        <v>1672</v>
      </c>
      <c r="I49" s="17" t="s">
        <v>1674</v>
      </c>
      <c r="J49" s="14" t="s">
        <v>1675</v>
      </c>
      <c r="K49" s="14" t="s">
        <v>1724</v>
      </c>
      <c r="L49" s="14" t="s">
        <v>1692</v>
      </c>
      <c r="M49" s="14" t="s">
        <v>1675</v>
      </c>
      <c r="N49" s="18"/>
      <c r="O49" s="14" t="s">
        <v>1692</v>
      </c>
      <c r="P49" s="14" t="s">
        <v>1693</v>
      </c>
      <c r="Q49" s="14" t="s">
        <v>1675</v>
      </c>
      <c r="R49" s="14" t="s">
        <v>1694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14" t="s">
        <v>1670</v>
      </c>
      <c r="B50" s="15" t="s">
        <v>203</v>
      </c>
      <c r="C50" s="15" t="s">
        <v>204</v>
      </c>
      <c r="D50" s="15" t="s">
        <v>205</v>
      </c>
      <c r="E50" s="16" t="s">
        <v>1725</v>
      </c>
      <c r="F50" s="15" t="s">
        <v>10</v>
      </c>
      <c r="G50" s="15" t="s">
        <v>29</v>
      </c>
      <c r="H50" s="14" t="s">
        <v>1672</v>
      </c>
      <c r="I50" s="17" t="s">
        <v>1674</v>
      </c>
      <c r="J50" s="14" t="s">
        <v>1675</v>
      </c>
      <c r="K50" s="14" t="s">
        <v>1726</v>
      </c>
      <c r="L50" s="14" t="s">
        <v>1683</v>
      </c>
      <c r="M50" s="14" t="s">
        <v>1675</v>
      </c>
      <c r="N50" s="18"/>
      <c r="O50" s="14" t="s">
        <v>1678</v>
      </c>
      <c r="P50" s="14" t="s">
        <v>1684</v>
      </c>
      <c r="Q50" s="14" t="s">
        <v>1675</v>
      </c>
      <c r="R50" s="14" t="s">
        <v>1680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>
      <c r="A51" s="14" t="s">
        <v>1670</v>
      </c>
      <c r="B51" s="15" t="s">
        <v>47</v>
      </c>
      <c r="C51" s="15" t="s">
        <v>48</v>
      </c>
      <c r="D51" s="15" t="s">
        <v>49</v>
      </c>
      <c r="E51" s="15" t="s">
        <v>50</v>
      </c>
      <c r="F51" s="15" t="s">
        <v>10</v>
      </c>
      <c r="G51" s="15" t="s">
        <v>51</v>
      </c>
      <c r="H51" s="14" t="s">
        <v>1672</v>
      </c>
      <c r="I51" s="17" t="s">
        <v>1720</v>
      </c>
      <c r="J51" s="18"/>
      <c r="K51" s="18"/>
      <c r="L51" s="18"/>
      <c r="M51" s="18"/>
      <c r="N51" s="18"/>
      <c r="O51" s="18"/>
      <c r="P51" s="18"/>
      <c r="Q51" s="18"/>
      <c r="R51" s="18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63"/>
    <col customWidth="1" min="11" max="11" width="16.25"/>
    <col customWidth="1" min="12" max="12" width="20.0"/>
    <col customWidth="1" min="13" max="13" width="22.38"/>
    <col customWidth="1" min="14" max="14" width="16.5"/>
    <col customWidth="1" min="15" max="15" width="31.13"/>
    <col customWidth="1" min="16" max="16" width="14.13"/>
  </cols>
  <sheetData>
    <row r="1">
      <c r="A1" s="9" t="s">
        <v>1652</v>
      </c>
      <c r="B1" s="10" t="s">
        <v>1653</v>
      </c>
      <c r="C1" s="10" t="s">
        <v>1654</v>
      </c>
      <c r="D1" s="10" t="s">
        <v>1655</v>
      </c>
      <c r="E1" s="11" t="s">
        <v>1656</v>
      </c>
      <c r="F1" s="10" t="s">
        <v>1657</v>
      </c>
      <c r="G1" s="10" t="s">
        <v>5</v>
      </c>
      <c r="H1" s="10" t="s">
        <v>1658</v>
      </c>
      <c r="I1" s="10" t="s">
        <v>1659</v>
      </c>
      <c r="J1" s="10" t="s">
        <v>1660</v>
      </c>
      <c r="K1" s="10" t="s">
        <v>1661</v>
      </c>
      <c r="L1" s="10" t="s">
        <v>1662</v>
      </c>
      <c r="M1" s="10" t="s">
        <v>1663</v>
      </c>
      <c r="N1" s="10" t="s">
        <v>1664</v>
      </c>
      <c r="O1" s="10" t="s">
        <v>1665</v>
      </c>
      <c r="P1" s="10" t="s">
        <v>1666</v>
      </c>
      <c r="Q1" s="10" t="s">
        <v>1667</v>
      </c>
      <c r="R1" s="10" t="s">
        <v>1668</v>
      </c>
      <c r="S1" s="20" t="s">
        <v>1727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14" t="s">
        <v>1078</v>
      </c>
      <c r="B2" s="4" t="s">
        <v>1095</v>
      </c>
      <c r="C2" s="4" t="s">
        <v>1096</v>
      </c>
      <c r="D2" s="4" t="s">
        <v>1097</v>
      </c>
      <c r="E2" s="5">
        <f>+251933822008</f>
        <v>251933822008</v>
      </c>
      <c r="F2" s="4" t="s">
        <v>10</v>
      </c>
      <c r="G2" s="4" t="s">
        <v>11</v>
      </c>
      <c r="H2" s="22" t="s">
        <v>1728</v>
      </c>
      <c r="I2" s="17" t="s">
        <v>1673</v>
      </c>
      <c r="J2" s="4"/>
      <c r="K2" s="4"/>
      <c r="L2" s="4"/>
      <c r="M2" s="4"/>
      <c r="N2" s="4"/>
      <c r="O2" s="4"/>
      <c r="P2" s="4"/>
      <c r="Q2" s="4"/>
      <c r="R2" s="4"/>
    </row>
    <row r="3">
      <c r="A3" s="14" t="s">
        <v>1078</v>
      </c>
      <c r="B3" s="4" t="s">
        <v>1067</v>
      </c>
      <c r="C3" s="4" t="s">
        <v>1068</v>
      </c>
      <c r="D3" s="4" t="s">
        <v>521</v>
      </c>
      <c r="E3" s="5">
        <f>+251923284190</f>
        <v>251923284190</v>
      </c>
      <c r="F3" s="4" t="s">
        <v>10</v>
      </c>
      <c r="G3" s="4" t="s">
        <v>34</v>
      </c>
      <c r="H3" s="22" t="s">
        <v>1728</v>
      </c>
      <c r="I3" s="17" t="s">
        <v>1674</v>
      </c>
      <c r="J3" s="22" t="s">
        <v>1675</v>
      </c>
      <c r="K3" s="22" t="s">
        <v>1729</v>
      </c>
      <c r="L3" s="22" t="s">
        <v>1683</v>
      </c>
      <c r="M3" s="22" t="s">
        <v>1675</v>
      </c>
      <c r="N3" s="4"/>
      <c r="O3" s="22" t="s">
        <v>1678</v>
      </c>
      <c r="P3" s="22" t="s">
        <v>1679</v>
      </c>
      <c r="Q3" s="22" t="s">
        <v>1675</v>
      </c>
      <c r="R3" s="22" t="s">
        <v>1680</v>
      </c>
    </row>
    <row r="4">
      <c r="A4" s="14" t="s">
        <v>1078</v>
      </c>
      <c r="B4" s="4" t="s">
        <v>1072</v>
      </c>
      <c r="C4" s="4" t="s">
        <v>1073</v>
      </c>
      <c r="D4" s="4" t="s">
        <v>774</v>
      </c>
      <c r="E4" s="5">
        <f>+251967255318</f>
        <v>251967255318</v>
      </c>
      <c r="F4" s="4" t="s">
        <v>10</v>
      </c>
      <c r="G4" s="4" t="s">
        <v>29</v>
      </c>
      <c r="H4" s="22" t="s">
        <v>1728</v>
      </c>
      <c r="I4" s="17" t="s">
        <v>1674</v>
      </c>
      <c r="J4" s="22" t="s">
        <v>1675</v>
      </c>
      <c r="K4" s="4"/>
      <c r="L4" s="22" t="s">
        <v>1686</v>
      </c>
      <c r="M4" s="22" t="s">
        <v>1675</v>
      </c>
      <c r="N4" s="4"/>
      <c r="O4" s="22" t="s">
        <v>1687</v>
      </c>
      <c r="P4" s="22" t="s">
        <v>1688</v>
      </c>
      <c r="Q4" s="22" t="s">
        <v>1675</v>
      </c>
      <c r="R4" s="22" t="s">
        <v>1689</v>
      </c>
    </row>
    <row r="5">
      <c r="A5" s="14" t="s">
        <v>1078</v>
      </c>
      <c r="B5" s="4" t="s">
        <v>1077</v>
      </c>
      <c r="C5" s="4" t="s">
        <v>1078</v>
      </c>
      <c r="D5" s="4" t="s">
        <v>1079</v>
      </c>
      <c r="E5" s="5">
        <f>+251969139694</f>
        <v>251969139694</v>
      </c>
      <c r="F5" s="4" t="s">
        <v>10</v>
      </c>
      <c r="G5" s="4" t="s">
        <v>29</v>
      </c>
      <c r="H5" s="22" t="s">
        <v>1728</v>
      </c>
      <c r="I5" s="17" t="s">
        <v>1674</v>
      </c>
      <c r="J5" s="22" t="s">
        <v>1675</v>
      </c>
      <c r="K5" s="4"/>
      <c r="L5" s="22" t="s">
        <v>1686</v>
      </c>
      <c r="M5" s="22" t="s">
        <v>1675</v>
      </c>
      <c r="N5" s="4"/>
      <c r="O5" s="22" t="s">
        <v>1687</v>
      </c>
      <c r="P5" s="22" t="s">
        <v>1688</v>
      </c>
      <c r="Q5" s="22" t="s">
        <v>1675</v>
      </c>
      <c r="R5" s="22" t="s">
        <v>1689</v>
      </c>
    </row>
    <row r="6">
      <c r="A6" s="14" t="s">
        <v>1078</v>
      </c>
      <c r="B6" s="4" t="s">
        <v>1081</v>
      </c>
      <c r="C6" s="4" t="s">
        <v>278</v>
      </c>
      <c r="D6" s="4" t="s">
        <v>1082</v>
      </c>
      <c r="E6" s="5">
        <f>+251916986638</f>
        <v>251916986638</v>
      </c>
      <c r="F6" s="4" t="s">
        <v>10</v>
      </c>
      <c r="G6" s="4" t="s">
        <v>11</v>
      </c>
      <c r="H6" s="22" t="s">
        <v>1728</v>
      </c>
      <c r="I6" s="17" t="s">
        <v>1674</v>
      </c>
      <c r="J6" s="22" t="s">
        <v>1675</v>
      </c>
      <c r="K6" s="22" t="s">
        <v>1730</v>
      </c>
      <c r="L6" s="4"/>
      <c r="M6" s="4"/>
      <c r="N6" s="4"/>
      <c r="O6" s="4"/>
      <c r="P6" s="4"/>
      <c r="Q6" s="4"/>
      <c r="R6" s="22" t="s">
        <v>1713</v>
      </c>
      <c r="S6" s="1" t="s">
        <v>1731</v>
      </c>
    </row>
    <row r="7">
      <c r="A7" s="14" t="s">
        <v>1078</v>
      </c>
      <c r="B7" s="4" t="s">
        <v>1083</v>
      </c>
      <c r="C7" s="4" t="s">
        <v>1084</v>
      </c>
      <c r="D7" s="4" t="s">
        <v>1085</v>
      </c>
      <c r="E7" s="5">
        <f>+251937888273</f>
        <v>251937888273</v>
      </c>
      <c r="F7" s="4" t="s">
        <v>10</v>
      </c>
      <c r="G7" s="4" t="s">
        <v>29</v>
      </c>
      <c r="H7" s="22" t="s">
        <v>1728</v>
      </c>
      <c r="I7" s="17" t="s">
        <v>1674</v>
      </c>
      <c r="J7" s="22" t="s">
        <v>1675</v>
      </c>
      <c r="K7" s="22" t="s">
        <v>1732</v>
      </c>
      <c r="L7" s="22" t="s">
        <v>1683</v>
      </c>
      <c r="M7" s="22" t="s">
        <v>1675</v>
      </c>
      <c r="N7" s="4"/>
      <c r="O7" s="22" t="s">
        <v>1678</v>
      </c>
      <c r="P7" s="22" t="s">
        <v>1679</v>
      </c>
      <c r="Q7" s="22" t="s">
        <v>1675</v>
      </c>
      <c r="R7" s="22" t="s">
        <v>1696</v>
      </c>
      <c r="S7" s="1" t="s">
        <v>1733</v>
      </c>
    </row>
    <row r="8">
      <c r="A8" s="14" t="s">
        <v>1078</v>
      </c>
      <c r="B8" s="4" t="s">
        <v>1086</v>
      </c>
      <c r="C8" s="4" t="s">
        <v>1087</v>
      </c>
      <c r="D8" s="4" t="s">
        <v>74</v>
      </c>
      <c r="E8" s="5">
        <f>+251911028876</f>
        <v>251911028876</v>
      </c>
      <c r="F8" s="4" t="s">
        <v>10</v>
      </c>
      <c r="G8" s="4" t="s">
        <v>11</v>
      </c>
      <c r="H8" s="22" t="s">
        <v>1728</v>
      </c>
      <c r="I8" s="17" t="s">
        <v>1674</v>
      </c>
      <c r="J8" s="22" t="s">
        <v>1675</v>
      </c>
      <c r="K8" s="4"/>
      <c r="L8" s="22" t="s">
        <v>1686</v>
      </c>
      <c r="M8" s="22" t="s">
        <v>1675</v>
      </c>
      <c r="N8" s="4"/>
      <c r="O8" s="22" t="s">
        <v>1687</v>
      </c>
      <c r="P8" s="22" t="s">
        <v>1688</v>
      </c>
      <c r="Q8" s="22" t="s">
        <v>1675</v>
      </c>
      <c r="R8" s="22" t="s">
        <v>1715</v>
      </c>
      <c r="S8" s="1" t="s">
        <v>1734</v>
      </c>
    </row>
    <row r="9">
      <c r="A9" s="14" t="s">
        <v>1078</v>
      </c>
      <c r="B9" s="4" t="s">
        <v>1088</v>
      </c>
      <c r="C9" s="4" t="s">
        <v>1089</v>
      </c>
      <c r="D9" s="4" t="s">
        <v>219</v>
      </c>
      <c r="E9" s="5">
        <v>9.30070644E8</v>
      </c>
      <c r="F9" s="4" t="s">
        <v>10</v>
      </c>
      <c r="G9" s="4" t="s">
        <v>134</v>
      </c>
      <c r="H9" s="22" t="s">
        <v>1728</v>
      </c>
      <c r="I9" s="17" t="s">
        <v>1674</v>
      </c>
      <c r="J9" s="22" t="s">
        <v>1675</v>
      </c>
      <c r="K9" s="4"/>
      <c r="L9" s="22" t="s">
        <v>1686</v>
      </c>
      <c r="M9" s="22" t="s">
        <v>1675</v>
      </c>
      <c r="N9" s="4"/>
      <c r="O9" s="22" t="s">
        <v>1687</v>
      </c>
      <c r="P9" s="22" t="s">
        <v>1688</v>
      </c>
      <c r="Q9" s="22" t="s">
        <v>1675</v>
      </c>
      <c r="R9" s="22" t="s">
        <v>1702</v>
      </c>
      <c r="S9" s="1" t="s">
        <v>1735</v>
      </c>
    </row>
    <row r="10">
      <c r="A10" s="14" t="s">
        <v>1078</v>
      </c>
      <c r="B10" s="4" t="s">
        <v>1103</v>
      </c>
      <c r="C10" s="4" t="s">
        <v>1104</v>
      </c>
      <c r="D10" s="4" t="s">
        <v>467</v>
      </c>
      <c r="E10" s="5">
        <f>+251917076206</f>
        <v>251917076206</v>
      </c>
      <c r="F10" s="4" t="s">
        <v>10</v>
      </c>
      <c r="G10" s="4" t="s">
        <v>11</v>
      </c>
      <c r="H10" s="22" t="s">
        <v>1728</v>
      </c>
      <c r="I10" s="17" t="s">
        <v>1674</v>
      </c>
      <c r="J10" s="22" t="s">
        <v>1675</v>
      </c>
      <c r="K10" s="4"/>
      <c r="L10" s="22" t="s">
        <v>1686</v>
      </c>
      <c r="M10" s="22" t="s">
        <v>1675</v>
      </c>
      <c r="N10" s="4"/>
      <c r="O10" s="22" t="s">
        <v>1687</v>
      </c>
      <c r="P10" s="22" t="s">
        <v>1688</v>
      </c>
      <c r="Q10" s="22" t="s">
        <v>1675</v>
      </c>
      <c r="R10" s="22" t="s">
        <v>1702</v>
      </c>
      <c r="S10" s="1" t="s">
        <v>1735</v>
      </c>
    </row>
    <row r="11">
      <c r="A11" s="14" t="s">
        <v>1078</v>
      </c>
      <c r="B11" s="4" t="s">
        <v>1111</v>
      </c>
      <c r="C11" s="4" t="s">
        <v>1084</v>
      </c>
      <c r="D11" s="4" t="s">
        <v>353</v>
      </c>
      <c r="E11" s="5">
        <f>+251938185229</f>
        <v>251938185229</v>
      </c>
      <c r="F11" s="4" t="s">
        <v>10</v>
      </c>
      <c r="G11" s="4" t="s">
        <v>11</v>
      </c>
      <c r="H11" s="22" t="s">
        <v>1728</v>
      </c>
      <c r="I11" s="17" t="s">
        <v>1674</v>
      </c>
      <c r="J11" s="22" t="s">
        <v>1675</v>
      </c>
      <c r="K11" s="4"/>
      <c r="L11" s="22" t="s">
        <v>1692</v>
      </c>
      <c r="M11" s="22" t="s">
        <v>1675</v>
      </c>
      <c r="N11" s="4"/>
      <c r="O11" s="22" t="s">
        <v>1692</v>
      </c>
      <c r="P11" s="22" t="s">
        <v>1693</v>
      </c>
      <c r="Q11" s="22" t="s">
        <v>1675</v>
      </c>
      <c r="R11" s="22" t="s">
        <v>1694</v>
      </c>
      <c r="S11" s="1" t="s">
        <v>1736</v>
      </c>
    </row>
    <row r="12">
      <c r="A12" s="14" t="s">
        <v>1078</v>
      </c>
      <c r="B12" s="4" t="s">
        <v>1112</v>
      </c>
      <c r="C12" s="4" t="s">
        <v>1113</v>
      </c>
      <c r="D12" s="4" t="s">
        <v>124</v>
      </c>
      <c r="E12" s="5">
        <f>+251955452837</f>
        <v>251955452837</v>
      </c>
      <c r="F12" s="4" t="s">
        <v>10</v>
      </c>
      <c r="G12" s="4" t="s">
        <v>24</v>
      </c>
      <c r="H12" s="22" t="s">
        <v>1728</v>
      </c>
      <c r="I12" s="17" t="s">
        <v>1674</v>
      </c>
      <c r="J12" s="22" t="s">
        <v>1675</v>
      </c>
      <c r="K12" s="22" t="s">
        <v>1737</v>
      </c>
      <c r="L12" s="4"/>
      <c r="M12" s="4"/>
      <c r="N12" s="4"/>
      <c r="O12" s="4"/>
      <c r="P12" s="4"/>
      <c r="Q12" s="4"/>
      <c r="R12" s="22" t="s">
        <v>1713</v>
      </c>
      <c r="S12" s="1" t="s">
        <v>1738</v>
      </c>
    </row>
    <row r="13">
      <c r="A13" s="14" t="s">
        <v>1078</v>
      </c>
      <c r="B13" s="4" t="s">
        <v>1114</v>
      </c>
      <c r="C13" s="4" t="s">
        <v>81</v>
      </c>
      <c r="D13" s="4" t="s">
        <v>1115</v>
      </c>
      <c r="E13" s="5">
        <f>+251928051355</f>
        <v>251928051355</v>
      </c>
      <c r="F13" s="4" t="s">
        <v>10</v>
      </c>
      <c r="G13" s="4" t="s">
        <v>11</v>
      </c>
      <c r="H13" s="22" t="s">
        <v>1728</v>
      </c>
      <c r="I13" s="17" t="s">
        <v>1674</v>
      </c>
      <c r="J13" s="22" t="s">
        <v>1675</v>
      </c>
      <c r="K13" s="22" t="s">
        <v>1739</v>
      </c>
      <c r="L13" s="4"/>
      <c r="M13" s="4"/>
      <c r="N13" s="4"/>
      <c r="O13" s="4"/>
      <c r="P13" s="4"/>
      <c r="Q13" s="4"/>
      <c r="R13" s="22" t="s">
        <v>1713</v>
      </c>
      <c r="S13" s="1" t="s">
        <v>1738</v>
      </c>
    </row>
    <row r="14">
      <c r="A14" s="14" t="s">
        <v>1078</v>
      </c>
      <c r="B14" s="4" t="s">
        <v>1116</v>
      </c>
      <c r="C14" s="4" t="s">
        <v>128</v>
      </c>
      <c r="D14" s="4" t="s">
        <v>1117</v>
      </c>
      <c r="E14" s="5">
        <f>+251911608543</f>
        <v>251911608543</v>
      </c>
      <c r="F14" s="4" t="s">
        <v>10</v>
      </c>
      <c r="G14" s="4" t="s">
        <v>11</v>
      </c>
      <c r="H14" s="22" t="s">
        <v>1728</v>
      </c>
      <c r="I14" s="17" t="s">
        <v>1674</v>
      </c>
      <c r="J14" s="22" t="s">
        <v>1675</v>
      </c>
      <c r="K14" s="4"/>
      <c r="L14" s="22" t="s">
        <v>1686</v>
      </c>
      <c r="M14" s="22" t="s">
        <v>1675</v>
      </c>
      <c r="N14" s="4"/>
      <c r="O14" s="22" t="s">
        <v>1687</v>
      </c>
      <c r="P14" s="22" t="s">
        <v>1688</v>
      </c>
      <c r="Q14" s="22" t="s">
        <v>1675</v>
      </c>
      <c r="R14" s="22" t="s">
        <v>1702</v>
      </c>
      <c r="S14" s="1" t="s">
        <v>1735</v>
      </c>
    </row>
    <row r="15">
      <c r="A15" s="14" t="s">
        <v>1078</v>
      </c>
      <c r="B15" s="4" t="s">
        <v>1118</v>
      </c>
      <c r="C15" s="4" t="s">
        <v>82</v>
      </c>
      <c r="D15" s="4" t="s">
        <v>1119</v>
      </c>
      <c r="E15" s="5">
        <f>+251915963822</f>
        <v>251915963822</v>
      </c>
      <c r="F15" s="4" t="s">
        <v>10</v>
      </c>
      <c r="G15" s="4" t="s">
        <v>134</v>
      </c>
      <c r="H15" s="22" t="s">
        <v>1728</v>
      </c>
      <c r="I15" s="17" t="s">
        <v>1674</v>
      </c>
      <c r="J15" s="22" t="s">
        <v>1675</v>
      </c>
      <c r="K15" s="22" t="s">
        <v>1737</v>
      </c>
      <c r="L15" s="4"/>
      <c r="M15" s="4"/>
      <c r="N15" s="4"/>
      <c r="O15" s="4"/>
      <c r="P15" s="4"/>
      <c r="Q15" s="4"/>
      <c r="R15" s="22" t="s">
        <v>1713</v>
      </c>
      <c r="S15" s="1" t="s">
        <v>1738</v>
      </c>
    </row>
    <row r="16">
      <c r="A16" s="14" t="s">
        <v>1078</v>
      </c>
      <c r="B16" s="4" t="s">
        <v>1120</v>
      </c>
      <c r="C16" s="4" t="s">
        <v>1121</v>
      </c>
      <c r="D16" s="4" t="s">
        <v>1122</v>
      </c>
      <c r="E16" s="5">
        <f>+251961519817</f>
        <v>251961519817</v>
      </c>
      <c r="F16" s="4" t="s">
        <v>10</v>
      </c>
      <c r="G16" s="4" t="s">
        <v>11</v>
      </c>
      <c r="H16" s="22" t="s">
        <v>1728</v>
      </c>
      <c r="I16" s="17" t="s">
        <v>1674</v>
      </c>
      <c r="J16" s="22" t="s">
        <v>1675</v>
      </c>
      <c r="K16" s="4"/>
      <c r="L16" s="22" t="s">
        <v>1686</v>
      </c>
      <c r="M16" s="22" t="s">
        <v>1675</v>
      </c>
      <c r="N16" s="4"/>
      <c r="O16" s="22" t="s">
        <v>1687</v>
      </c>
      <c r="P16" s="22" t="s">
        <v>1688</v>
      </c>
      <c r="Q16" s="22" t="s">
        <v>1675</v>
      </c>
      <c r="R16" s="22" t="s">
        <v>1702</v>
      </c>
      <c r="S16" s="1" t="s">
        <v>1735</v>
      </c>
    </row>
    <row r="17">
      <c r="A17" s="14" t="s">
        <v>1078</v>
      </c>
      <c r="B17" s="4" t="s">
        <v>1128</v>
      </c>
      <c r="C17" s="4" t="s">
        <v>1129</v>
      </c>
      <c r="D17" s="4" t="s">
        <v>1130</v>
      </c>
      <c r="E17" s="5">
        <f>+251909433658</f>
        <v>251909433658</v>
      </c>
      <c r="F17" s="4" t="s">
        <v>10</v>
      </c>
      <c r="G17" s="4" t="s">
        <v>51</v>
      </c>
      <c r="H17" s="22" t="s">
        <v>1728</v>
      </c>
      <c r="I17" s="17" t="s">
        <v>1674</v>
      </c>
      <c r="J17" s="22" t="s">
        <v>1675</v>
      </c>
      <c r="K17" s="22" t="s">
        <v>1740</v>
      </c>
      <c r="L17" s="22" t="s">
        <v>1683</v>
      </c>
      <c r="M17" s="22" t="s">
        <v>1675</v>
      </c>
      <c r="N17" s="4"/>
      <c r="O17" s="22" t="s">
        <v>1678</v>
      </c>
      <c r="P17" s="22" t="s">
        <v>1688</v>
      </c>
      <c r="Q17" s="22" t="s">
        <v>1675</v>
      </c>
      <c r="R17" s="22" t="s">
        <v>1696</v>
      </c>
    </row>
    <row r="18">
      <c r="A18" s="14" t="s">
        <v>1078</v>
      </c>
      <c r="B18" s="4" t="s">
        <v>1137</v>
      </c>
      <c r="C18" s="4" t="s">
        <v>1138</v>
      </c>
      <c r="D18" s="4" t="s">
        <v>1139</v>
      </c>
      <c r="E18" s="5">
        <f>+251954923543</f>
        <v>251954923543</v>
      </c>
      <c r="F18" s="4" t="s">
        <v>10</v>
      </c>
      <c r="G18" s="4" t="s">
        <v>11</v>
      </c>
      <c r="H18" s="22" t="s">
        <v>1728</v>
      </c>
      <c r="I18" s="17" t="s">
        <v>1674</v>
      </c>
      <c r="J18" s="22" t="s">
        <v>1675</v>
      </c>
      <c r="K18" s="22" t="s">
        <v>1733</v>
      </c>
      <c r="L18" s="22" t="s">
        <v>1683</v>
      </c>
      <c r="M18" s="22" t="s">
        <v>1675</v>
      </c>
      <c r="N18" s="4"/>
      <c r="O18" s="22" t="s">
        <v>1678</v>
      </c>
      <c r="P18" s="22" t="s">
        <v>1693</v>
      </c>
      <c r="Q18" s="22" t="s">
        <v>1675</v>
      </c>
      <c r="R18" s="22" t="s">
        <v>1680</v>
      </c>
    </row>
    <row r="19">
      <c r="A19" s="14" t="s">
        <v>1078</v>
      </c>
      <c r="B19" s="4" t="s">
        <v>1144</v>
      </c>
      <c r="C19" s="4" t="s">
        <v>365</v>
      </c>
      <c r="D19" s="4" t="s">
        <v>802</v>
      </c>
      <c r="E19" s="5">
        <f>+251966827083</f>
        <v>251966827083</v>
      </c>
      <c r="F19" s="4" t="s">
        <v>10</v>
      </c>
      <c r="G19" s="4" t="s">
        <v>24</v>
      </c>
      <c r="H19" s="22" t="s">
        <v>1728</v>
      </c>
      <c r="I19" s="17" t="s">
        <v>1674</v>
      </c>
      <c r="J19" s="22" t="s">
        <v>1675</v>
      </c>
      <c r="K19" s="22" t="s">
        <v>1739</v>
      </c>
      <c r="L19" s="22" t="s">
        <v>1683</v>
      </c>
      <c r="M19" s="22" t="s">
        <v>1675</v>
      </c>
      <c r="N19" s="4"/>
      <c r="O19" s="22" t="s">
        <v>1741</v>
      </c>
      <c r="P19" s="22" t="s">
        <v>1679</v>
      </c>
      <c r="Q19" s="22" t="s">
        <v>1675</v>
      </c>
      <c r="R19" s="22" t="s">
        <v>1680</v>
      </c>
      <c r="S19" s="1" t="s">
        <v>1742</v>
      </c>
    </row>
    <row r="20">
      <c r="A20" s="14" t="s">
        <v>1078</v>
      </c>
      <c r="B20" s="4" t="s">
        <v>760</v>
      </c>
      <c r="C20" s="4" t="s">
        <v>761</v>
      </c>
      <c r="D20" s="4" t="s">
        <v>762</v>
      </c>
      <c r="E20" s="5">
        <f>+251921498392</f>
        <v>251921498392</v>
      </c>
      <c r="F20" s="4" t="s">
        <v>10</v>
      </c>
      <c r="G20" s="4" t="s">
        <v>11</v>
      </c>
      <c r="H20" s="22" t="s">
        <v>1728</v>
      </c>
      <c r="I20" s="17" t="s">
        <v>1674</v>
      </c>
      <c r="J20" s="22" t="s">
        <v>1675</v>
      </c>
      <c r="K20" s="22" t="s">
        <v>1743</v>
      </c>
      <c r="L20" s="22" t="s">
        <v>1683</v>
      </c>
      <c r="M20" s="22" t="s">
        <v>1675</v>
      </c>
      <c r="N20" s="4"/>
      <c r="O20" s="22" t="s">
        <v>1678</v>
      </c>
      <c r="P20" s="22" t="s">
        <v>1679</v>
      </c>
      <c r="Q20" s="22" t="s">
        <v>1675</v>
      </c>
      <c r="R20" s="22" t="s">
        <v>1680</v>
      </c>
    </row>
    <row r="21">
      <c r="A21" s="14" t="s">
        <v>1078</v>
      </c>
      <c r="B21" s="4" t="s">
        <v>1150</v>
      </c>
      <c r="C21" s="4" t="s">
        <v>1151</v>
      </c>
      <c r="D21" s="4" t="s">
        <v>1152</v>
      </c>
      <c r="E21" s="5">
        <f>+251929517703</f>
        <v>251929517703</v>
      </c>
      <c r="F21" s="4" t="s">
        <v>10</v>
      </c>
      <c r="G21" s="4" t="s">
        <v>134</v>
      </c>
      <c r="H21" s="22" t="s">
        <v>1728</v>
      </c>
      <c r="I21" s="17" t="s">
        <v>1674</v>
      </c>
      <c r="J21" s="22" t="s">
        <v>1705</v>
      </c>
      <c r="K21" s="4"/>
      <c r="L21" s="22" t="s">
        <v>1710</v>
      </c>
      <c r="M21" s="22" t="s">
        <v>1675</v>
      </c>
      <c r="N21" s="4"/>
      <c r="O21" s="22" t="s">
        <v>1678</v>
      </c>
      <c r="P21" s="22" t="s">
        <v>1679</v>
      </c>
      <c r="Q21" s="22" t="s">
        <v>1675</v>
      </c>
      <c r="R21" s="22" t="s">
        <v>1680</v>
      </c>
    </row>
    <row r="22">
      <c r="A22" s="14" t="s">
        <v>1078</v>
      </c>
      <c r="B22" s="4" t="s">
        <v>1153</v>
      </c>
      <c r="C22" s="4" t="s">
        <v>1154</v>
      </c>
      <c r="D22" s="4" t="s">
        <v>1155</v>
      </c>
      <c r="E22" s="5">
        <f>+251947139308</f>
        <v>251947139308</v>
      </c>
      <c r="F22" s="4" t="s">
        <v>10</v>
      </c>
      <c r="G22" s="4" t="s">
        <v>11</v>
      </c>
      <c r="H22" s="22" t="s">
        <v>1728</v>
      </c>
      <c r="I22" s="17" t="s">
        <v>1674</v>
      </c>
      <c r="J22" s="22" t="s">
        <v>1675</v>
      </c>
      <c r="K22" s="22" t="s">
        <v>1743</v>
      </c>
      <c r="L22" s="22" t="s">
        <v>1677</v>
      </c>
      <c r="M22" s="22" t="s">
        <v>1675</v>
      </c>
      <c r="N22" s="4"/>
      <c r="O22" s="22" t="s">
        <v>1678</v>
      </c>
      <c r="P22" s="22" t="s">
        <v>1679</v>
      </c>
      <c r="Q22" s="22" t="s">
        <v>1675</v>
      </c>
      <c r="R22" s="22" t="s">
        <v>1680</v>
      </c>
    </row>
    <row r="23">
      <c r="A23" s="14" t="s">
        <v>1078</v>
      </c>
      <c r="B23" s="4" t="s">
        <v>1156</v>
      </c>
      <c r="C23" s="4" t="s">
        <v>1157</v>
      </c>
      <c r="D23" s="4" t="s">
        <v>1158</v>
      </c>
      <c r="E23" s="5">
        <f>+251953916042</f>
        <v>251953916042</v>
      </c>
      <c r="F23" s="4" t="s">
        <v>10</v>
      </c>
      <c r="G23" s="4" t="s">
        <v>29</v>
      </c>
      <c r="H23" s="22" t="s">
        <v>1728</v>
      </c>
      <c r="I23" s="17" t="s">
        <v>1674</v>
      </c>
      <c r="J23" s="22" t="s">
        <v>1675</v>
      </c>
      <c r="K23" s="22" t="s">
        <v>1744</v>
      </c>
      <c r="L23" s="22" t="s">
        <v>1710</v>
      </c>
      <c r="M23" s="22" t="s">
        <v>1675</v>
      </c>
      <c r="N23" s="4"/>
      <c r="O23" s="22" t="s">
        <v>1678</v>
      </c>
      <c r="P23" s="22" t="s">
        <v>1679</v>
      </c>
      <c r="Q23" s="22" t="s">
        <v>1675</v>
      </c>
      <c r="R23" s="22" t="s">
        <v>1680</v>
      </c>
    </row>
    <row r="24">
      <c r="A24" s="14" t="s">
        <v>1078</v>
      </c>
      <c r="B24" s="4" t="s">
        <v>1162</v>
      </c>
      <c r="C24" s="4" t="s">
        <v>665</v>
      </c>
      <c r="D24" s="4" t="s">
        <v>1163</v>
      </c>
      <c r="E24" s="5">
        <f>+251938999699</f>
        <v>251938999699</v>
      </c>
      <c r="F24" s="4" t="s">
        <v>10</v>
      </c>
      <c r="G24" s="4" t="s">
        <v>11</v>
      </c>
      <c r="H24" s="22" t="s">
        <v>1728</v>
      </c>
      <c r="I24" s="17" t="s">
        <v>1674</v>
      </c>
      <c r="J24" s="22" t="s">
        <v>1675</v>
      </c>
      <c r="K24" s="22" t="s">
        <v>1739</v>
      </c>
      <c r="L24" s="22" t="s">
        <v>1683</v>
      </c>
      <c r="M24" s="22" t="s">
        <v>1675</v>
      </c>
      <c r="N24" s="4"/>
      <c r="O24" s="22" t="s">
        <v>1678</v>
      </c>
      <c r="P24" s="22" t="s">
        <v>1679</v>
      </c>
      <c r="Q24" s="22" t="s">
        <v>1675</v>
      </c>
      <c r="R24" s="22" t="s">
        <v>1680</v>
      </c>
    </row>
    <row r="25">
      <c r="A25" s="14" t="s">
        <v>1078</v>
      </c>
      <c r="B25" s="4" t="s">
        <v>1166</v>
      </c>
      <c r="C25" s="4" t="s">
        <v>294</v>
      </c>
      <c r="D25" s="4" t="s">
        <v>1167</v>
      </c>
      <c r="E25" s="5">
        <f>+251922214866</f>
        <v>251922214866</v>
      </c>
      <c r="F25" s="4" t="s">
        <v>10</v>
      </c>
      <c r="G25" s="4" t="s">
        <v>34</v>
      </c>
      <c r="H25" s="22" t="s">
        <v>1728</v>
      </c>
      <c r="I25" s="17" t="s">
        <v>1674</v>
      </c>
      <c r="J25" s="22" t="s">
        <v>1675</v>
      </c>
      <c r="K25" s="22" t="s">
        <v>1745</v>
      </c>
      <c r="L25" s="22" t="s">
        <v>1677</v>
      </c>
      <c r="M25" s="22" t="s">
        <v>1675</v>
      </c>
      <c r="N25" s="4"/>
      <c r="O25" s="22" t="s">
        <v>1678</v>
      </c>
      <c r="P25" s="22" t="s">
        <v>1679</v>
      </c>
      <c r="Q25" s="22" t="s">
        <v>1675</v>
      </c>
      <c r="R25" s="22" t="s">
        <v>1680</v>
      </c>
    </row>
    <row r="26">
      <c r="A26" s="14" t="s">
        <v>1078</v>
      </c>
      <c r="B26" s="4" t="s">
        <v>841</v>
      </c>
      <c r="C26" s="4" t="s">
        <v>842</v>
      </c>
      <c r="D26" s="4" t="s">
        <v>843</v>
      </c>
      <c r="E26" s="5">
        <f>+251908412771</f>
        <v>251908412771</v>
      </c>
      <c r="F26" s="4" t="s">
        <v>10</v>
      </c>
      <c r="G26" s="4" t="s">
        <v>11</v>
      </c>
      <c r="H26" s="22" t="s">
        <v>1728</v>
      </c>
      <c r="I26" s="17" t="s">
        <v>1674</v>
      </c>
      <c r="J26" s="22" t="s">
        <v>1675</v>
      </c>
      <c r="K26" s="22" t="s">
        <v>1739</v>
      </c>
      <c r="L26" s="22" t="s">
        <v>1677</v>
      </c>
      <c r="M26" s="22" t="s">
        <v>1675</v>
      </c>
      <c r="N26" s="4"/>
      <c r="O26" s="22" t="s">
        <v>1678</v>
      </c>
      <c r="P26" s="22" t="s">
        <v>1679</v>
      </c>
      <c r="Q26" s="22" t="s">
        <v>1675</v>
      </c>
      <c r="R26" s="22" t="s">
        <v>1680</v>
      </c>
    </row>
    <row r="27">
      <c r="A27" s="14" t="s">
        <v>1078</v>
      </c>
      <c r="B27" s="4" t="s">
        <v>1168</v>
      </c>
      <c r="C27" s="4" t="s">
        <v>1169</v>
      </c>
      <c r="D27" s="4" t="s">
        <v>1170</v>
      </c>
      <c r="E27" s="5">
        <f>+251916623344</f>
        <v>251916623344</v>
      </c>
      <c r="F27" s="4" t="s">
        <v>10</v>
      </c>
      <c r="G27" s="4" t="s">
        <v>29</v>
      </c>
      <c r="H27" s="22" t="s">
        <v>1728</v>
      </c>
      <c r="I27" s="17" t="s">
        <v>1674</v>
      </c>
      <c r="J27" s="22" t="s">
        <v>1675</v>
      </c>
      <c r="K27" s="22" t="s">
        <v>1746</v>
      </c>
      <c r="L27" s="22" t="s">
        <v>1683</v>
      </c>
      <c r="M27" s="22" t="s">
        <v>1675</v>
      </c>
      <c r="N27" s="4"/>
      <c r="O27" s="22" t="s">
        <v>1678</v>
      </c>
      <c r="P27" s="22" t="s">
        <v>1679</v>
      </c>
      <c r="Q27" s="22" t="s">
        <v>1675</v>
      </c>
      <c r="R27" s="22" t="s">
        <v>1696</v>
      </c>
      <c r="S27" s="1" t="s">
        <v>1747</v>
      </c>
    </row>
    <row r="28">
      <c r="A28" s="14" t="s">
        <v>1078</v>
      </c>
      <c r="B28" s="4" t="s">
        <v>1174</v>
      </c>
      <c r="C28" s="4" t="s">
        <v>372</v>
      </c>
      <c r="D28" s="4" t="s">
        <v>1175</v>
      </c>
      <c r="E28" s="5">
        <f>+251966716205</f>
        <v>251966716205</v>
      </c>
      <c r="F28" s="4" t="s">
        <v>10</v>
      </c>
      <c r="G28" s="4" t="s">
        <v>11</v>
      </c>
      <c r="H28" s="22" t="s">
        <v>1728</v>
      </c>
      <c r="I28" s="17" t="s">
        <v>1674</v>
      </c>
      <c r="J28" s="22" t="s">
        <v>1675</v>
      </c>
      <c r="K28" s="4"/>
      <c r="L28" s="22" t="s">
        <v>1686</v>
      </c>
      <c r="M28" s="22" t="s">
        <v>1675</v>
      </c>
      <c r="N28" s="4"/>
      <c r="O28" s="22" t="s">
        <v>1687</v>
      </c>
      <c r="P28" s="22" t="s">
        <v>1688</v>
      </c>
      <c r="Q28" s="22" t="s">
        <v>1675</v>
      </c>
      <c r="R28" s="22" t="s">
        <v>1715</v>
      </c>
      <c r="S28" s="1" t="s">
        <v>1748</v>
      </c>
    </row>
    <row r="29">
      <c r="A29" s="14" t="s">
        <v>1078</v>
      </c>
      <c r="B29" s="4" t="s">
        <v>1123</v>
      </c>
      <c r="C29" s="4" t="s">
        <v>1124</v>
      </c>
      <c r="D29" s="4" t="s">
        <v>291</v>
      </c>
      <c r="E29" s="5">
        <f>+251915305220</f>
        <v>251915305220</v>
      </c>
      <c r="F29" s="4" t="s">
        <v>10</v>
      </c>
      <c r="G29" s="4" t="s">
        <v>95</v>
      </c>
      <c r="H29" s="22" t="s">
        <v>1728</v>
      </c>
      <c r="I29" s="17" t="s">
        <v>1674</v>
      </c>
      <c r="J29" s="22" t="s">
        <v>1675</v>
      </c>
      <c r="K29" s="22" t="s">
        <v>1744</v>
      </c>
      <c r="L29" s="22" t="s">
        <v>1677</v>
      </c>
      <c r="M29" s="22" t="s">
        <v>1675</v>
      </c>
      <c r="N29" s="4"/>
      <c r="O29" s="22" t="s">
        <v>1678</v>
      </c>
      <c r="P29" s="22" t="s">
        <v>1679</v>
      </c>
      <c r="Q29" s="22" t="s">
        <v>1675</v>
      </c>
      <c r="R29" s="22" t="s">
        <v>1680</v>
      </c>
    </row>
    <row r="30">
      <c r="A30" s="14" t="s">
        <v>1078</v>
      </c>
      <c r="B30" s="4" t="s">
        <v>1062</v>
      </c>
      <c r="C30" s="4" t="s">
        <v>1063</v>
      </c>
      <c r="D30" s="4" t="s">
        <v>1064</v>
      </c>
      <c r="E30" s="5">
        <f>+251915167376</f>
        <v>251915167376</v>
      </c>
      <c r="F30" s="4" t="s">
        <v>10</v>
      </c>
      <c r="G30" s="4" t="s">
        <v>11</v>
      </c>
      <c r="H30" s="22" t="s">
        <v>1728</v>
      </c>
      <c r="I30" s="17" t="s">
        <v>1720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4" t="s">
        <v>1078</v>
      </c>
      <c r="B31" s="4" t="s">
        <v>1069</v>
      </c>
      <c r="C31" s="4" t="s">
        <v>1070</v>
      </c>
      <c r="D31" s="4" t="s">
        <v>1071</v>
      </c>
      <c r="E31" s="5">
        <f>+251932204626</f>
        <v>251932204626</v>
      </c>
      <c r="F31" s="4" t="s">
        <v>10</v>
      </c>
      <c r="G31" s="4" t="s">
        <v>29</v>
      </c>
      <c r="H31" s="22" t="s">
        <v>1728</v>
      </c>
      <c r="I31" s="17" t="s">
        <v>1720</v>
      </c>
      <c r="J31" s="4"/>
      <c r="K31" s="4"/>
      <c r="L31" s="4"/>
      <c r="M31" s="4"/>
      <c r="N31" s="4"/>
      <c r="O31" s="4"/>
      <c r="P31" s="4"/>
      <c r="Q31" s="4"/>
      <c r="R31" s="4"/>
    </row>
    <row r="32">
      <c r="A32" s="14" t="s">
        <v>1078</v>
      </c>
      <c r="B32" s="4" t="s">
        <v>1074</v>
      </c>
      <c r="C32" s="4" t="s">
        <v>1075</v>
      </c>
      <c r="D32" s="4" t="s">
        <v>1076</v>
      </c>
      <c r="E32" s="5">
        <f>+251929229920</f>
        <v>251929229920</v>
      </c>
      <c r="F32" s="4" t="s">
        <v>10</v>
      </c>
      <c r="G32" s="4" t="s">
        <v>11</v>
      </c>
      <c r="H32" s="22" t="s">
        <v>1728</v>
      </c>
      <c r="I32" s="17" t="s">
        <v>1720</v>
      </c>
      <c r="J32" s="4"/>
      <c r="K32" s="4"/>
      <c r="L32" s="4"/>
      <c r="M32" s="4"/>
      <c r="N32" s="4"/>
      <c r="O32" s="4"/>
      <c r="P32" s="4"/>
      <c r="Q32" s="4"/>
      <c r="R32" s="4"/>
    </row>
    <row r="33">
      <c r="A33" s="14" t="s">
        <v>1078</v>
      </c>
      <c r="B33" s="4" t="s">
        <v>1090</v>
      </c>
      <c r="C33" s="4" t="s">
        <v>969</v>
      </c>
      <c r="D33" s="4" t="s">
        <v>1091</v>
      </c>
      <c r="E33" s="5">
        <f>+251910526357</f>
        <v>251910526357</v>
      </c>
      <c r="F33" s="4" t="s">
        <v>10</v>
      </c>
      <c r="G33" s="4" t="s">
        <v>11</v>
      </c>
      <c r="H33" s="22" t="s">
        <v>1728</v>
      </c>
      <c r="I33" s="17" t="s">
        <v>1720</v>
      </c>
      <c r="J33" s="4"/>
      <c r="K33" s="4"/>
      <c r="L33" s="4"/>
      <c r="M33" s="4"/>
      <c r="N33" s="4"/>
      <c r="O33" s="4"/>
      <c r="P33" s="4"/>
      <c r="Q33" s="4"/>
      <c r="R33" s="4"/>
    </row>
    <row r="34">
      <c r="A34" s="14" t="s">
        <v>1078</v>
      </c>
      <c r="B34" s="4" t="s">
        <v>1131</v>
      </c>
      <c r="C34" s="4" t="s">
        <v>1132</v>
      </c>
      <c r="D34" s="4" t="s">
        <v>1133</v>
      </c>
      <c r="E34" s="5">
        <f>+251912669087</f>
        <v>251912669087</v>
      </c>
      <c r="F34" s="4" t="s">
        <v>10</v>
      </c>
      <c r="G34" s="4" t="s">
        <v>11</v>
      </c>
      <c r="H34" s="22" t="s">
        <v>1728</v>
      </c>
      <c r="I34" s="17" t="s">
        <v>1720</v>
      </c>
      <c r="J34" s="4"/>
      <c r="K34" s="4"/>
      <c r="L34" s="4"/>
      <c r="M34" s="4"/>
      <c r="N34" s="4"/>
      <c r="O34" s="4"/>
      <c r="P34" s="4"/>
      <c r="Q34" s="4"/>
      <c r="R34" s="4"/>
    </row>
    <row r="35">
      <c r="A35" s="14" t="s">
        <v>1078</v>
      </c>
      <c r="B35" s="4" t="s">
        <v>1134</v>
      </c>
      <c r="C35" s="4" t="s">
        <v>1135</v>
      </c>
      <c r="D35" s="4" t="s">
        <v>1136</v>
      </c>
      <c r="E35" s="5">
        <f>+251918384162</f>
        <v>251918384162</v>
      </c>
      <c r="F35" s="4" t="s">
        <v>10</v>
      </c>
      <c r="G35" s="4" t="s">
        <v>29</v>
      </c>
      <c r="H35" s="22" t="s">
        <v>1728</v>
      </c>
      <c r="I35" s="17" t="s">
        <v>1720</v>
      </c>
      <c r="J35" s="4"/>
      <c r="K35" s="4"/>
      <c r="L35" s="4"/>
      <c r="M35" s="4"/>
      <c r="N35" s="4"/>
      <c r="O35" s="4"/>
      <c r="P35" s="4"/>
      <c r="Q35" s="4"/>
      <c r="R35" s="4"/>
    </row>
    <row r="36">
      <c r="A36" s="14" t="s">
        <v>1078</v>
      </c>
      <c r="B36" s="4" t="s">
        <v>1140</v>
      </c>
      <c r="C36" s="4" t="s">
        <v>1141</v>
      </c>
      <c r="D36" s="4" t="s">
        <v>1142</v>
      </c>
      <c r="E36" s="5">
        <f>+251932064555</f>
        <v>251932064555</v>
      </c>
      <c r="F36" s="4" t="s">
        <v>10</v>
      </c>
      <c r="G36" s="4" t="s">
        <v>11</v>
      </c>
      <c r="H36" s="22" t="s">
        <v>1728</v>
      </c>
      <c r="I36" s="17" t="s">
        <v>1720</v>
      </c>
      <c r="J36" s="4"/>
      <c r="K36" s="4"/>
      <c r="L36" s="4"/>
      <c r="M36" s="4"/>
      <c r="N36" s="4"/>
      <c r="O36" s="4"/>
      <c r="P36" s="4"/>
      <c r="Q36" s="4"/>
      <c r="R36" s="4"/>
    </row>
    <row r="37">
      <c r="A37" s="14" t="s">
        <v>1078</v>
      </c>
      <c r="B37" s="4" t="s">
        <v>1143</v>
      </c>
      <c r="C37" s="4" t="s">
        <v>159</v>
      </c>
      <c r="D37" s="4" t="s">
        <v>88</v>
      </c>
      <c r="E37" s="5">
        <f>+251913333903</f>
        <v>251913333903</v>
      </c>
      <c r="F37" s="4" t="s">
        <v>10</v>
      </c>
      <c r="G37" s="4" t="s">
        <v>29</v>
      </c>
      <c r="H37" s="22" t="s">
        <v>1728</v>
      </c>
      <c r="I37" s="17" t="s">
        <v>1720</v>
      </c>
      <c r="J37" s="4"/>
      <c r="K37" s="4"/>
      <c r="L37" s="4"/>
      <c r="M37" s="4"/>
      <c r="N37" s="4"/>
      <c r="O37" s="4"/>
      <c r="P37" s="4"/>
      <c r="Q37" s="4"/>
      <c r="R37" s="4"/>
    </row>
    <row r="38">
      <c r="A38" s="14" t="s">
        <v>1078</v>
      </c>
      <c r="B38" s="4" t="s">
        <v>1145</v>
      </c>
      <c r="C38" s="4" t="s">
        <v>1146</v>
      </c>
      <c r="D38" s="4" t="s">
        <v>1147</v>
      </c>
      <c r="E38" s="5">
        <f>+251917911085</f>
        <v>251917911085</v>
      </c>
      <c r="F38" s="4" t="s">
        <v>10</v>
      </c>
      <c r="G38" s="4" t="s">
        <v>11</v>
      </c>
      <c r="H38" s="22" t="s">
        <v>1728</v>
      </c>
      <c r="I38" s="17" t="s">
        <v>1720</v>
      </c>
      <c r="J38" s="4"/>
      <c r="K38" s="4"/>
      <c r="L38" s="4"/>
      <c r="M38" s="4"/>
      <c r="N38" s="4"/>
      <c r="O38" s="4"/>
      <c r="P38" s="4"/>
      <c r="Q38" s="4"/>
      <c r="R38" s="4"/>
    </row>
    <row r="39">
      <c r="A39" s="14" t="s">
        <v>1078</v>
      </c>
      <c r="B39" s="4" t="s">
        <v>1164</v>
      </c>
      <c r="C39" s="4" t="s">
        <v>600</v>
      </c>
      <c r="D39" s="4" t="s">
        <v>1165</v>
      </c>
      <c r="E39" s="5">
        <v>9.3449567E8</v>
      </c>
      <c r="F39" s="4" t="s">
        <v>10</v>
      </c>
      <c r="G39" s="4" t="s">
        <v>34</v>
      </c>
      <c r="H39" s="22" t="s">
        <v>1728</v>
      </c>
      <c r="I39" s="17" t="s">
        <v>1720</v>
      </c>
      <c r="J39" s="4"/>
      <c r="K39" s="4"/>
      <c r="L39" s="4"/>
      <c r="M39" s="4"/>
      <c r="N39" s="4"/>
      <c r="O39" s="4"/>
      <c r="P39" s="4"/>
      <c r="Q39" s="4"/>
      <c r="R39" s="4"/>
    </row>
    <row r="40">
      <c r="A40" s="14" t="s">
        <v>1078</v>
      </c>
      <c r="B40" s="4" t="s">
        <v>1173</v>
      </c>
      <c r="C40" s="4" t="s">
        <v>117</v>
      </c>
      <c r="D40" s="4" t="s">
        <v>301</v>
      </c>
      <c r="E40" s="5">
        <f>+251951744805</f>
        <v>251951744805</v>
      </c>
      <c r="F40" s="4" t="s">
        <v>10</v>
      </c>
      <c r="G40" s="4" t="s">
        <v>11</v>
      </c>
      <c r="H40" s="22" t="s">
        <v>1728</v>
      </c>
      <c r="I40" s="17" t="s">
        <v>1720</v>
      </c>
      <c r="J40" s="4"/>
      <c r="K40" s="4"/>
      <c r="L40" s="4"/>
      <c r="M40" s="4"/>
      <c r="N40" s="4"/>
      <c r="O40" s="4"/>
      <c r="P40" s="4"/>
      <c r="Q40" s="4"/>
      <c r="R40" s="4"/>
    </row>
    <row r="41">
      <c r="A41" s="14" t="s">
        <v>1078</v>
      </c>
      <c r="B41" s="4" t="s">
        <v>1080</v>
      </c>
      <c r="C41" s="4" t="s">
        <v>252</v>
      </c>
      <c r="D41" s="4" t="s">
        <v>353</v>
      </c>
      <c r="E41" s="5">
        <f>+251712001763</f>
        <v>251712001763</v>
      </c>
      <c r="F41" s="4" t="s">
        <v>10</v>
      </c>
      <c r="G41" s="4" t="s">
        <v>11</v>
      </c>
      <c r="H41" s="22" t="s">
        <v>1728</v>
      </c>
      <c r="I41" s="17" t="s">
        <v>1721</v>
      </c>
      <c r="J41" s="4"/>
      <c r="K41" s="4"/>
      <c r="L41" s="4"/>
      <c r="M41" s="4"/>
      <c r="N41" s="4"/>
      <c r="O41" s="4"/>
      <c r="P41" s="4"/>
      <c r="Q41" s="4"/>
      <c r="R41" s="4"/>
    </row>
    <row r="42">
      <c r="A42" s="14" t="s">
        <v>1078</v>
      </c>
      <c r="B42" s="4" t="s">
        <v>1065</v>
      </c>
      <c r="C42" s="4" t="s">
        <v>1066</v>
      </c>
      <c r="D42" s="4" t="s">
        <v>762</v>
      </c>
      <c r="E42" s="5">
        <f>+251966896746</f>
        <v>251966896746</v>
      </c>
      <c r="F42" s="4" t="s">
        <v>10</v>
      </c>
      <c r="G42" s="4" t="s">
        <v>11</v>
      </c>
      <c r="H42" s="22" t="s">
        <v>1728</v>
      </c>
      <c r="I42" s="17" t="s">
        <v>1722</v>
      </c>
      <c r="J42" s="4"/>
      <c r="K42" s="4"/>
      <c r="L42" s="4"/>
      <c r="M42" s="4"/>
      <c r="N42" s="4"/>
      <c r="O42" s="4"/>
      <c r="P42" s="4"/>
      <c r="Q42" s="4"/>
      <c r="R42" s="4"/>
    </row>
    <row r="43">
      <c r="A43" s="14" t="s">
        <v>1078</v>
      </c>
      <c r="B43" s="4" t="s">
        <v>1092</v>
      </c>
      <c r="C43" s="4" t="s">
        <v>1093</v>
      </c>
      <c r="D43" s="4" t="s">
        <v>1094</v>
      </c>
      <c r="E43" s="5">
        <f>+251916409334</f>
        <v>251916409334</v>
      </c>
      <c r="F43" s="4" t="s">
        <v>10</v>
      </c>
      <c r="G43" s="4" t="s">
        <v>134</v>
      </c>
      <c r="H43" s="22" t="s">
        <v>1728</v>
      </c>
      <c r="I43" s="17" t="s">
        <v>1722</v>
      </c>
      <c r="J43" s="4"/>
      <c r="K43" s="4"/>
      <c r="L43" s="4"/>
      <c r="M43" s="4"/>
      <c r="N43" s="4"/>
      <c r="O43" s="4"/>
      <c r="P43" s="4"/>
      <c r="Q43" s="4"/>
      <c r="R43" s="4"/>
    </row>
    <row r="44">
      <c r="A44" s="14" t="s">
        <v>1078</v>
      </c>
      <c r="B44" s="4" t="s">
        <v>1098</v>
      </c>
      <c r="C44" s="4" t="s">
        <v>1099</v>
      </c>
      <c r="D44" s="4" t="s">
        <v>1066</v>
      </c>
      <c r="E44" s="5">
        <f>+251996741935</f>
        <v>251996741935</v>
      </c>
      <c r="F44" s="4" t="s">
        <v>10</v>
      </c>
      <c r="G44" s="4" t="s">
        <v>11</v>
      </c>
      <c r="H44" s="22" t="s">
        <v>1728</v>
      </c>
      <c r="I44" s="17" t="s">
        <v>1722</v>
      </c>
      <c r="J44" s="4"/>
      <c r="K44" s="4"/>
      <c r="L44" s="4"/>
      <c r="M44" s="4"/>
      <c r="N44" s="4"/>
      <c r="O44" s="4"/>
      <c r="P44" s="4"/>
      <c r="Q44" s="4"/>
      <c r="R44" s="4"/>
    </row>
    <row r="45">
      <c r="A45" s="14" t="s">
        <v>1078</v>
      </c>
      <c r="B45" s="4" t="s">
        <v>1100</v>
      </c>
      <c r="C45" s="4" t="s">
        <v>1101</v>
      </c>
      <c r="D45" s="4" t="s">
        <v>1102</v>
      </c>
      <c r="E45" s="5">
        <v>2.5191998127E11</v>
      </c>
      <c r="F45" s="4" t="s">
        <v>10</v>
      </c>
      <c r="G45" s="4" t="s">
        <v>11</v>
      </c>
      <c r="H45" s="22" t="s">
        <v>1728</v>
      </c>
      <c r="I45" s="17" t="s">
        <v>1722</v>
      </c>
      <c r="J45" s="4"/>
      <c r="K45" s="4"/>
      <c r="L45" s="4"/>
      <c r="M45" s="4"/>
      <c r="N45" s="4"/>
      <c r="O45" s="4"/>
      <c r="P45" s="4"/>
      <c r="Q45" s="4"/>
      <c r="R45" s="4"/>
    </row>
    <row r="46">
      <c r="A46" s="14" t="s">
        <v>1078</v>
      </c>
      <c r="B46" s="4" t="s">
        <v>1105</v>
      </c>
      <c r="C46" s="4" t="s">
        <v>1106</v>
      </c>
      <c r="D46" s="4" t="s">
        <v>1107</v>
      </c>
      <c r="E46" s="5">
        <f>+251960658788</f>
        <v>251960658788</v>
      </c>
      <c r="F46" s="4" t="s">
        <v>10</v>
      </c>
      <c r="G46" s="4" t="s">
        <v>134</v>
      </c>
      <c r="H46" s="22" t="s">
        <v>1728</v>
      </c>
      <c r="I46" s="17" t="s">
        <v>1722</v>
      </c>
      <c r="J46" s="4"/>
      <c r="K46" s="4"/>
      <c r="L46" s="4"/>
      <c r="M46" s="4"/>
      <c r="N46" s="4"/>
      <c r="O46" s="4"/>
      <c r="P46" s="4"/>
      <c r="Q46" s="4"/>
      <c r="R46" s="4"/>
    </row>
    <row r="47">
      <c r="A47" s="14" t="s">
        <v>1078</v>
      </c>
      <c r="B47" s="4" t="s">
        <v>1108</v>
      </c>
      <c r="C47" s="4" t="s">
        <v>1109</v>
      </c>
      <c r="D47" s="4" t="s">
        <v>1110</v>
      </c>
      <c r="E47" s="5">
        <f>+251987977967</f>
        <v>251987977967</v>
      </c>
      <c r="F47" s="4" t="s">
        <v>10</v>
      </c>
      <c r="G47" s="4" t="s">
        <v>29</v>
      </c>
      <c r="H47" s="22" t="s">
        <v>1728</v>
      </c>
      <c r="I47" s="17" t="s">
        <v>1722</v>
      </c>
      <c r="J47" s="4"/>
      <c r="K47" s="4"/>
      <c r="L47" s="4"/>
      <c r="M47" s="4"/>
      <c r="N47" s="4"/>
      <c r="O47" s="4"/>
      <c r="P47" s="4"/>
      <c r="Q47" s="4"/>
      <c r="R47" s="4"/>
    </row>
    <row r="48">
      <c r="A48" s="14" t="s">
        <v>1078</v>
      </c>
      <c r="B48" s="4" t="s">
        <v>1125</v>
      </c>
      <c r="C48" s="4" t="s">
        <v>1126</v>
      </c>
      <c r="D48" s="4" t="s">
        <v>1127</v>
      </c>
      <c r="E48" s="5">
        <v>9.29271909E8</v>
      </c>
      <c r="F48" s="4" t="s">
        <v>10</v>
      </c>
      <c r="G48" s="4" t="s">
        <v>134</v>
      </c>
      <c r="H48" s="22" t="s">
        <v>1728</v>
      </c>
      <c r="I48" s="17" t="s">
        <v>1722</v>
      </c>
      <c r="J48" s="4"/>
      <c r="L48" s="4"/>
      <c r="M48" s="4"/>
      <c r="N48" s="4"/>
      <c r="O48" s="4"/>
      <c r="P48" s="4"/>
      <c r="Q48" s="4"/>
      <c r="R48" s="4"/>
    </row>
    <row r="49">
      <c r="A49" s="14" t="s">
        <v>1078</v>
      </c>
      <c r="B49" s="4" t="s">
        <v>1148</v>
      </c>
      <c r="C49" s="4" t="s">
        <v>1149</v>
      </c>
      <c r="D49" s="4" t="s">
        <v>275</v>
      </c>
      <c r="E49" s="5">
        <f>+251923149114</f>
        <v>251923149114</v>
      </c>
      <c r="F49" s="4" t="s">
        <v>10</v>
      </c>
      <c r="G49" s="4" t="s">
        <v>11</v>
      </c>
      <c r="H49" s="22" t="s">
        <v>1728</v>
      </c>
      <c r="I49" s="17" t="s">
        <v>1722</v>
      </c>
      <c r="J49" s="4"/>
      <c r="K49" s="4"/>
      <c r="L49" s="4"/>
      <c r="M49" s="4"/>
      <c r="N49" s="4"/>
      <c r="O49" s="4"/>
      <c r="P49" s="4"/>
      <c r="Q49" s="4"/>
      <c r="R49" s="4"/>
    </row>
    <row r="50">
      <c r="A50" s="14" t="s">
        <v>1078</v>
      </c>
      <c r="B50" s="4" t="s">
        <v>1159</v>
      </c>
      <c r="C50" s="4" t="s">
        <v>1160</v>
      </c>
      <c r="D50" s="4" t="s">
        <v>1161</v>
      </c>
      <c r="E50" s="5">
        <f>+251905261068</f>
        <v>251905261068</v>
      </c>
      <c r="F50" s="4" t="s">
        <v>10</v>
      </c>
      <c r="G50" s="4" t="s">
        <v>11</v>
      </c>
      <c r="H50" s="22" t="s">
        <v>1728</v>
      </c>
      <c r="I50" s="17" t="s">
        <v>1722</v>
      </c>
      <c r="J50" s="4"/>
      <c r="K50" s="4"/>
      <c r="L50" s="4"/>
      <c r="M50" s="4"/>
      <c r="N50" s="4"/>
      <c r="O50" s="4"/>
      <c r="P50" s="4"/>
      <c r="Q50" s="4"/>
      <c r="R50" s="4"/>
    </row>
    <row r="51">
      <c r="A51" s="14" t="s">
        <v>1078</v>
      </c>
      <c r="B51" s="4" t="s">
        <v>1171</v>
      </c>
      <c r="C51" s="4" t="s">
        <v>1172</v>
      </c>
      <c r="D51" s="4" t="s">
        <v>128</v>
      </c>
      <c r="E51" s="5">
        <f>+251941147254</f>
        <v>251941147254</v>
      </c>
      <c r="F51" s="4" t="s">
        <v>10</v>
      </c>
      <c r="G51" s="4" t="s">
        <v>51</v>
      </c>
      <c r="H51" s="22" t="s">
        <v>1728</v>
      </c>
      <c r="I51" s="17" t="s">
        <v>1722</v>
      </c>
      <c r="J51" s="4"/>
      <c r="K51" s="4"/>
      <c r="L51" s="4"/>
      <c r="M51" s="4"/>
      <c r="N51" s="4"/>
      <c r="O51" s="4"/>
      <c r="P51" s="4"/>
      <c r="Q51" s="4"/>
      <c r="R51" s="4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6" max="6" width="9.25"/>
    <col customWidth="1" min="8" max="8" width="17.88"/>
    <col customWidth="1" min="9" max="9" width="17.75"/>
    <col customWidth="1" min="10" max="10" width="14.63"/>
    <col customWidth="1" min="11" max="11" width="16.25"/>
    <col customWidth="1" min="12" max="12" width="20.0"/>
    <col customWidth="1" min="13" max="13" width="22.38"/>
    <col customWidth="1" min="14" max="14" width="16.5"/>
    <col customWidth="1" min="15" max="15" width="31.13"/>
    <col customWidth="1" min="16" max="16" width="14.13"/>
    <col customWidth="1" min="19" max="19" width="20.88"/>
  </cols>
  <sheetData>
    <row r="1">
      <c r="A1" s="9" t="s">
        <v>1652</v>
      </c>
      <c r="B1" s="10" t="s">
        <v>1653</v>
      </c>
      <c r="C1" s="10" t="s">
        <v>1654</v>
      </c>
      <c r="D1" s="10" t="s">
        <v>1655</v>
      </c>
      <c r="E1" s="11" t="s">
        <v>1656</v>
      </c>
      <c r="F1" s="10" t="s">
        <v>1657</v>
      </c>
      <c r="G1" s="10" t="s">
        <v>5</v>
      </c>
      <c r="H1" s="10" t="s">
        <v>1658</v>
      </c>
      <c r="I1" s="10" t="s">
        <v>1659</v>
      </c>
      <c r="J1" s="10" t="s">
        <v>1660</v>
      </c>
      <c r="K1" s="10" t="s">
        <v>1661</v>
      </c>
      <c r="L1" s="10" t="s">
        <v>1662</v>
      </c>
      <c r="M1" s="10" t="s">
        <v>1663</v>
      </c>
      <c r="N1" s="10" t="s">
        <v>1664</v>
      </c>
      <c r="O1" s="10" t="s">
        <v>1665</v>
      </c>
      <c r="P1" s="10" t="s">
        <v>1666</v>
      </c>
      <c r="Q1" s="10" t="s">
        <v>1667</v>
      </c>
      <c r="R1" s="10" t="s">
        <v>1668</v>
      </c>
      <c r="S1" s="12" t="s">
        <v>1669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14" t="s">
        <v>1313</v>
      </c>
      <c r="B2" s="15" t="s">
        <v>206</v>
      </c>
      <c r="C2" s="15" t="s">
        <v>207</v>
      </c>
      <c r="D2" s="15" t="s">
        <v>208</v>
      </c>
      <c r="E2" s="15" t="s">
        <v>209</v>
      </c>
      <c r="F2" s="15" t="s">
        <v>10</v>
      </c>
      <c r="G2" s="15" t="s">
        <v>134</v>
      </c>
      <c r="H2" s="14" t="s">
        <v>1672</v>
      </c>
      <c r="I2" s="17" t="s">
        <v>1722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4" t="s">
        <v>1313</v>
      </c>
      <c r="B3" s="15" t="s">
        <v>210</v>
      </c>
      <c r="C3" s="15" t="s">
        <v>211</v>
      </c>
      <c r="D3" s="15" t="s">
        <v>62</v>
      </c>
      <c r="E3" s="15" t="s">
        <v>212</v>
      </c>
      <c r="F3" s="15" t="s">
        <v>10</v>
      </c>
      <c r="G3" s="15" t="s">
        <v>51</v>
      </c>
      <c r="H3" s="14" t="s">
        <v>1672</v>
      </c>
      <c r="I3" s="17" t="s">
        <v>1674</v>
      </c>
      <c r="J3" s="14" t="s">
        <v>1705</v>
      </c>
      <c r="K3" s="14"/>
      <c r="L3" s="14" t="s">
        <v>1710</v>
      </c>
      <c r="M3" s="14" t="s">
        <v>1675</v>
      </c>
      <c r="N3" s="18"/>
      <c r="O3" s="14" t="s">
        <v>1692</v>
      </c>
      <c r="P3" s="14" t="s">
        <v>1693</v>
      </c>
      <c r="Q3" s="14" t="s">
        <v>1675</v>
      </c>
      <c r="R3" s="14" t="s">
        <v>1694</v>
      </c>
      <c r="S3" s="19"/>
    </row>
    <row r="4">
      <c r="A4" s="14" t="s">
        <v>1313</v>
      </c>
      <c r="B4" s="15" t="s">
        <v>213</v>
      </c>
      <c r="C4" s="15" t="s">
        <v>214</v>
      </c>
      <c r="D4" s="15" t="s">
        <v>215</v>
      </c>
      <c r="E4" s="15" t="s">
        <v>216</v>
      </c>
      <c r="F4" s="15" t="s">
        <v>10</v>
      </c>
      <c r="G4" s="15" t="s">
        <v>34</v>
      </c>
      <c r="H4" s="14" t="s">
        <v>1672</v>
      </c>
      <c r="I4" s="17" t="s">
        <v>1722</v>
      </c>
      <c r="J4" s="18"/>
      <c r="K4" s="18"/>
      <c r="L4" s="18"/>
      <c r="M4" s="18"/>
      <c r="N4" s="18"/>
      <c r="O4" s="18"/>
      <c r="P4" s="18"/>
      <c r="Q4" s="18"/>
      <c r="R4" s="18"/>
      <c r="S4" s="19"/>
    </row>
    <row r="5">
      <c r="A5" s="14" t="s">
        <v>1313</v>
      </c>
      <c r="B5" s="15" t="s">
        <v>217</v>
      </c>
      <c r="C5" s="15" t="s">
        <v>218</v>
      </c>
      <c r="D5" s="15" t="s">
        <v>219</v>
      </c>
      <c r="E5" s="15" t="s">
        <v>220</v>
      </c>
      <c r="F5" s="15" t="s">
        <v>10</v>
      </c>
      <c r="G5" s="15" t="s">
        <v>11</v>
      </c>
      <c r="H5" s="14" t="s">
        <v>1672</v>
      </c>
      <c r="I5" s="17" t="s">
        <v>1674</v>
      </c>
      <c r="J5" s="14" t="s">
        <v>1675</v>
      </c>
      <c r="K5" s="14" t="s">
        <v>1749</v>
      </c>
      <c r="L5" s="14" t="s">
        <v>1686</v>
      </c>
      <c r="M5" s="14" t="s">
        <v>1675</v>
      </c>
      <c r="N5" s="18"/>
      <c r="O5" s="14" t="s">
        <v>1687</v>
      </c>
      <c r="P5" s="14" t="s">
        <v>1688</v>
      </c>
      <c r="Q5" s="14" t="s">
        <v>1675</v>
      </c>
      <c r="R5" s="14" t="s">
        <v>1750</v>
      </c>
      <c r="S5" s="15" t="s">
        <v>1751</v>
      </c>
    </row>
    <row r="6">
      <c r="A6" s="14" t="s">
        <v>1313</v>
      </c>
      <c r="B6" s="15" t="s">
        <v>221</v>
      </c>
      <c r="C6" s="15" t="s">
        <v>204</v>
      </c>
      <c r="D6" s="15" t="s">
        <v>222</v>
      </c>
      <c r="E6" s="15" t="s">
        <v>223</v>
      </c>
      <c r="F6" s="15" t="s">
        <v>10</v>
      </c>
      <c r="G6" s="15" t="s">
        <v>134</v>
      </c>
      <c r="H6" s="14" t="s">
        <v>1672</v>
      </c>
      <c r="I6" s="17" t="s">
        <v>1674</v>
      </c>
      <c r="J6" s="14" t="s">
        <v>1675</v>
      </c>
      <c r="K6" s="14" t="s">
        <v>1752</v>
      </c>
      <c r="L6" s="14" t="s">
        <v>1710</v>
      </c>
      <c r="M6" s="14" t="s">
        <v>1675</v>
      </c>
      <c r="N6" s="18"/>
      <c r="O6" s="14" t="s">
        <v>1678</v>
      </c>
      <c r="P6" s="14" t="s">
        <v>1679</v>
      </c>
      <c r="Q6" s="14" t="s">
        <v>1675</v>
      </c>
      <c r="R6" s="14" t="s">
        <v>1680</v>
      </c>
      <c r="S6" s="19"/>
    </row>
    <row r="7">
      <c r="A7" s="14" t="s">
        <v>1313</v>
      </c>
      <c r="B7" s="15" t="s">
        <v>224</v>
      </c>
      <c r="C7" s="15" t="s">
        <v>225</v>
      </c>
      <c r="D7" s="15" t="s">
        <v>226</v>
      </c>
      <c r="E7" s="15" t="s">
        <v>227</v>
      </c>
      <c r="F7" s="15" t="s">
        <v>10</v>
      </c>
      <c r="G7" s="15" t="s">
        <v>11</v>
      </c>
      <c r="H7" s="14" t="s">
        <v>1672</v>
      </c>
      <c r="I7" s="17" t="s">
        <v>1674</v>
      </c>
      <c r="J7" s="14" t="s">
        <v>1675</v>
      </c>
      <c r="K7" s="14" t="s">
        <v>1753</v>
      </c>
      <c r="L7" s="14" t="s">
        <v>1686</v>
      </c>
      <c r="M7" s="14" t="s">
        <v>1675</v>
      </c>
      <c r="N7" s="18"/>
      <c r="O7" s="14" t="s">
        <v>1687</v>
      </c>
      <c r="P7" s="14" t="s">
        <v>1688</v>
      </c>
      <c r="Q7" s="14" t="s">
        <v>1675</v>
      </c>
      <c r="R7" s="14" t="s">
        <v>1702</v>
      </c>
      <c r="S7" s="19"/>
    </row>
    <row r="8">
      <c r="A8" s="14" t="s">
        <v>1313</v>
      </c>
      <c r="B8" s="15" t="s">
        <v>228</v>
      </c>
      <c r="C8" s="15" t="s">
        <v>229</v>
      </c>
      <c r="D8" s="15" t="s">
        <v>230</v>
      </c>
      <c r="E8" s="15" t="s">
        <v>231</v>
      </c>
      <c r="F8" s="15" t="s">
        <v>10</v>
      </c>
      <c r="G8" s="15" t="s">
        <v>11</v>
      </c>
      <c r="H8" s="14" t="s">
        <v>1672</v>
      </c>
      <c r="I8" s="17" t="s">
        <v>1674</v>
      </c>
      <c r="J8" s="14" t="s">
        <v>1675</v>
      </c>
      <c r="K8" s="14" t="s">
        <v>1754</v>
      </c>
      <c r="L8" s="14" t="s">
        <v>1710</v>
      </c>
      <c r="M8" s="14" t="s">
        <v>1675</v>
      </c>
      <c r="N8" s="18"/>
      <c r="O8" s="14" t="s">
        <v>1678</v>
      </c>
      <c r="P8" s="14" t="s">
        <v>1679</v>
      </c>
      <c r="Q8" s="14" t="s">
        <v>1675</v>
      </c>
      <c r="R8" s="14" t="s">
        <v>1680</v>
      </c>
      <c r="S8" s="19"/>
    </row>
    <row r="9">
      <c r="A9" s="14" t="s">
        <v>1313</v>
      </c>
      <c r="B9" s="15" t="s">
        <v>232</v>
      </c>
      <c r="C9" s="15" t="s">
        <v>233</v>
      </c>
      <c r="D9" s="15" t="s">
        <v>234</v>
      </c>
      <c r="E9" s="15" t="s">
        <v>235</v>
      </c>
      <c r="F9" s="15" t="s">
        <v>10</v>
      </c>
      <c r="G9" s="15" t="s">
        <v>95</v>
      </c>
      <c r="H9" s="14" t="s">
        <v>1672</v>
      </c>
      <c r="I9" s="17" t="s">
        <v>1674</v>
      </c>
      <c r="J9" s="14" t="s">
        <v>1675</v>
      </c>
      <c r="K9" s="14" t="s">
        <v>1754</v>
      </c>
      <c r="L9" s="14" t="s">
        <v>1710</v>
      </c>
      <c r="M9" s="14" t="s">
        <v>1675</v>
      </c>
      <c r="N9" s="18"/>
      <c r="O9" s="14" t="s">
        <v>1678</v>
      </c>
      <c r="P9" s="14" t="s">
        <v>1679</v>
      </c>
      <c r="Q9" s="14" t="s">
        <v>1675</v>
      </c>
      <c r="R9" s="14" t="s">
        <v>1680</v>
      </c>
      <c r="S9" s="19"/>
    </row>
    <row r="10">
      <c r="A10" s="14" t="s">
        <v>1313</v>
      </c>
      <c r="B10" s="15" t="s">
        <v>236</v>
      </c>
      <c r="C10" s="15" t="s">
        <v>237</v>
      </c>
      <c r="D10" s="15" t="s">
        <v>238</v>
      </c>
      <c r="E10" s="15" t="s">
        <v>239</v>
      </c>
      <c r="F10" s="15" t="s">
        <v>10</v>
      </c>
      <c r="G10" s="15" t="s">
        <v>134</v>
      </c>
      <c r="H10" s="14" t="s">
        <v>1672</v>
      </c>
      <c r="I10" s="17" t="s">
        <v>1674</v>
      </c>
      <c r="J10" s="14" t="s">
        <v>1675</v>
      </c>
      <c r="K10" s="14" t="s">
        <v>1754</v>
      </c>
      <c r="L10" s="14" t="s">
        <v>1710</v>
      </c>
      <c r="M10" s="14" t="s">
        <v>1675</v>
      </c>
      <c r="N10" s="18"/>
      <c r="O10" s="14" t="s">
        <v>1678</v>
      </c>
      <c r="P10" s="14" t="s">
        <v>1679</v>
      </c>
      <c r="Q10" s="14" t="s">
        <v>1675</v>
      </c>
      <c r="R10" s="14" t="s">
        <v>1680</v>
      </c>
      <c r="S10" s="19"/>
    </row>
    <row r="11">
      <c r="A11" s="14" t="s">
        <v>1313</v>
      </c>
      <c r="B11" s="15" t="s">
        <v>240</v>
      </c>
      <c r="C11" s="15" t="s">
        <v>214</v>
      </c>
      <c r="D11" s="15" t="s">
        <v>241</v>
      </c>
      <c r="E11" s="15" t="s">
        <v>242</v>
      </c>
      <c r="F11" s="15" t="s">
        <v>10</v>
      </c>
      <c r="G11" s="15" t="s">
        <v>134</v>
      </c>
      <c r="H11" s="14" t="s">
        <v>1672</v>
      </c>
      <c r="I11" s="17" t="s">
        <v>1722</v>
      </c>
      <c r="J11" s="18"/>
      <c r="K11" s="18"/>
      <c r="L11" s="18"/>
      <c r="M11" s="18"/>
      <c r="N11" s="18"/>
      <c r="O11" s="18"/>
      <c r="P11" s="18"/>
      <c r="Q11" s="18"/>
      <c r="R11" s="18"/>
      <c r="S11" s="19"/>
    </row>
    <row r="12">
      <c r="A12" s="14" t="s">
        <v>1313</v>
      </c>
      <c r="B12" s="15" t="s">
        <v>243</v>
      </c>
      <c r="C12" s="15" t="s">
        <v>244</v>
      </c>
      <c r="D12" s="15" t="s">
        <v>245</v>
      </c>
      <c r="E12" s="15" t="s">
        <v>246</v>
      </c>
      <c r="F12" s="15" t="s">
        <v>10</v>
      </c>
      <c r="G12" s="15" t="s">
        <v>11</v>
      </c>
      <c r="H12" s="14" t="s">
        <v>1672</v>
      </c>
      <c r="I12" s="17" t="s">
        <v>1674</v>
      </c>
      <c r="J12" s="14" t="s">
        <v>1675</v>
      </c>
      <c r="K12" s="14" t="s">
        <v>1755</v>
      </c>
      <c r="L12" s="14" t="s">
        <v>1710</v>
      </c>
      <c r="M12" s="14" t="s">
        <v>1675</v>
      </c>
      <c r="N12" s="18"/>
      <c r="O12" s="14" t="s">
        <v>1678</v>
      </c>
      <c r="P12" s="14" t="s">
        <v>1679</v>
      </c>
      <c r="Q12" s="14" t="s">
        <v>1675</v>
      </c>
      <c r="R12" s="14" t="s">
        <v>1680</v>
      </c>
      <c r="S12" s="19"/>
    </row>
    <row r="13">
      <c r="A13" s="14" t="s">
        <v>1313</v>
      </c>
      <c r="B13" s="15" t="s">
        <v>247</v>
      </c>
      <c r="C13" s="15" t="s">
        <v>248</v>
      </c>
      <c r="D13" s="15" t="s">
        <v>249</v>
      </c>
      <c r="E13" s="15" t="s">
        <v>250</v>
      </c>
      <c r="F13" s="15" t="s">
        <v>10</v>
      </c>
      <c r="G13" s="15" t="s">
        <v>11</v>
      </c>
      <c r="H13" s="14" t="s">
        <v>1672</v>
      </c>
      <c r="I13" s="17" t="s">
        <v>1674</v>
      </c>
      <c r="J13" s="14" t="s">
        <v>1675</v>
      </c>
      <c r="K13" s="14" t="s">
        <v>1755</v>
      </c>
      <c r="L13" s="14" t="s">
        <v>1710</v>
      </c>
      <c r="M13" s="14" t="s">
        <v>1675</v>
      </c>
      <c r="N13" s="18"/>
      <c r="O13" s="14" t="s">
        <v>1678</v>
      </c>
      <c r="P13" s="14" t="s">
        <v>1679</v>
      </c>
      <c r="Q13" s="14" t="s">
        <v>1675</v>
      </c>
      <c r="R13" s="14" t="s">
        <v>1680</v>
      </c>
      <c r="S13" s="19"/>
    </row>
    <row r="14">
      <c r="A14" s="14" t="s">
        <v>1313</v>
      </c>
      <c r="B14" s="15" t="s">
        <v>251</v>
      </c>
      <c r="C14" s="15" t="s">
        <v>252</v>
      </c>
      <c r="D14" s="15" t="s">
        <v>253</v>
      </c>
      <c r="E14" s="15" t="s">
        <v>254</v>
      </c>
      <c r="F14" s="15" t="s">
        <v>10</v>
      </c>
      <c r="G14" s="15" t="s">
        <v>29</v>
      </c>
      <c r="H14" s="14" t="s">
        <v>1672</v>
      </c>
      <c r="I14" s="17" t="s">
        <v>1722</v>
      </c>
      <c r="J14" s="18"/>
      <c r="K14" s="18"/>
      <c r="L14" s="18"/>
      <c r="M14" s="18"/>
      <c r="N14" s="18"/>
      <c r="O14" s="18"/>
      <c r="P14" s="18"/>
      <c r="Q14" s="18"/>
      <c r="R14" s="18"/>
      <c r="S14" s="19"/>
    </row>
    <row r="15">
      <c r="A15" s="14" t="s">
        <v>1313</v>
      </c>
      <c r="B15" s="15" t="s">
        <v>255</v>
      </c>
      <c r="C15" s="15" t="s">
        <v>256</v>
      </c>
      <c r="D15" s="15" t="s">
        <v>257</v>
      </c>
      <c r="E15" s="15" t="s">
        <v>258</v>
      </c>
      <c r="F15" s="15" t="s">
        <v>10</v>
      </c>
      <c r="G15" s="15" t="s">
        <v>34</v>
      </c>
      <c r="H15" s="14" t="s">
        <v>1672</v>
      </c>
      <c r="I15" s="17" t="s">
        <v>1674</v>
      </c>
      <c r="J15" s="14" t="s">
        <v>1675</v>
      </c>
      <c r="K15" s="14" t="s">
        <v>1756</v>
      </c>
      <c r="L15" s="14" t="s">
        <v>1677</v>
      </c>
      <c r="M15" s="18"/>
      <c r="N15" s="18"/>
      <c r="O15" s="18"/>
      <c r="P15" s="18"/>
      <c r="Q15" s="18"/>
      <c r="R15" s="18"/>
      <c r="S15" s="19"/>
    </row>
    <row r="16">
      <c r="A16" s="14" t="s">
        <v>1313</v>
      </c>
      <c r="B16" s="15" t="s">
        <v>259</v>
      </c>
      <c r="C16" s="15" t="s">
        <v>260</v>
      </c>
      <c r="D16" s="15" t="s">
        <v>261</v>
      </c>
      <c r="E16" s="15" t="s">
        <v>262</v>
      </c>
      <c r="F16" s="15" t="s">
        <v>10</v>
      </c>
      <c r="G16" s="15" t="s">
        <v>11</v>
      </c>
      <c r="H16" s="14" t="s">
        <v>1672</v>
      </c>
      <c r="I16" s="17" t="s">
        <v>1722</v>
      </c>
      <c r="J16" s="18"/>
      <c r="K16" s="18"/>
      <c r="L16" s="18"/>
      <c r="M16" s="18"/>
      <c r="N16" s="18"/>
      <c r="O16" s="18"/>
      <c r="P16" s="18"/>
      <c r="Q16" s="18"/>
      <c r="R16" s="18"/>
      <c r="S16" s="19"/>
    </row>
    <row r="17">
      <c r="A17" s="14" t="s">
        <v>1313</v>
      </c>
      <c r="B17" s="15" t="s">
        <v>263</v>
      </c>
      <c r="C17" s="15" t="s">
        <v>264</v>
      </c>
      <c r="D17" s="15" t="s">
        <v>253</v>
      </c>
      <c r="E17" s="15" t="s">
        <v>265</v>
      </c>
      <c r="F17" s="15" t="s">
        <v>10</v>
      </c>
      <c r="G17" s="15" t="s">
        <v>11</v>
      </c>
      <c r="H17" s="14" t="s">
        <v>1672</v>
      </c>
      <c r="I17" s="17" t="s">
        <v>1674</v>
      </c>
      <c r="J17" s="14" t="s">
        <v>1675</v>
      </c>
      <c r="K17" s="14" t="s">
        <v>1757</v>
      </c>
      <c r="L17" s="14" t="s">
        <v>1686</v>
      </c>
      <c r="M17" s="14" t="s">
        <v>1675</v>
      </c>
      <c r="N17" s="18"/>
      <c r="O17" s="14" t="s">
        <v>1687</v>
      </c>
      <c r="P17" s="14" t="s">
        <v>1688</v>
      </c>
      <c r="Q17" s="14" t="s">
        <v>1675</v>
      </c>
      <c r="R17" s="14" t="s">
        <v>1750</v>
      </c>
      <c r="S17" s="15" t="s">
        <v>1757</v>
      </c>
    </row>
    <row r="18">
      <c r="A18" s="14" t="s">
        <v>1313</v>
      </c>
      <c r="B18" s="15" t="s">
        <v>266</v>
      </c>
      <c r="C18" s="15" t="s">
        <v>237</v>
      </c>
      <c r="D18" s="15" t="s">
        <v>267</v>
      </c>
      <c r="E18" s="15" t="s">
        <v>268</v>
      </c>
      <c r="F18" s="15" t="s">
        <v>10</v>
      </c>
      <c r="G18" s="15" t="s">
        <v>29</v>
      </c>
      <c r="H18" s="14" t="s">
        <v>1672</v>
      </c>
      <c r="I18" s="17" t="s">
        <v>1758</v>
      </c>
      <c r="J18" s="18"/>
      <c r="K18" s="18"/>
      <c r="L18" s="18"/>
      <c r="M18" s="18"/>
      <c r="N18" s="18"/>
      <c r="O18" s="18"/>
      <c r="P18" s="18"/>
      <c r="Q18" s="18"/>
      <c r="R18" s="18"/>
      <c r="S18" s="19"/>
    </row>
    <row r="19">
      <c r="A19" s="14" t="s">
        <v>1313</v>
      </c>
      <c r="B19" s="15" t="s">
        <v>269</v>
      </c>
      <c r="C19" s="15" t="s">
        <v>270</v>
      </c>
      <c r="D19" s="15" t="s">
        <v>271</v>
      </c>
      <c r="E19" s="15" t="s">
        <v>272</v>
      </c>
      <c r="F19" s="15" t="s">
        <v>10</v>
      </c>
      <c r="G19" s="15" t="s">
        <v>24</v>
      </c>
      <c r="H19" s="14" t="s">
        <v>1672</v>
      </c>
      <c r="I19" s="17" t="s">
        <v>1722</v>
      </c>
      <c r="J19" s="18"/>
      <c r="K19" s="18"/>
      <c r="L19" s="18"/>
      <c r="M19" s="18"/>
      <c r="N19" s="18"/>
      <c r="O19" s="18"/>
      <c r="P19" s="18"/>
      <c r="Q19" s="18"/>
      <c r="R19" s="18"/>
      <c r="S19" s="19"/>
    </row>
    <row r="20">
      <c r="A20" s="14" t="s">
        <v>1313</v>
      </c>
      <c r="B20" s="15" t="s">
        <v>273</v>
      </c>
      <c r="C20" s="15" t="s">
        <v>274</v>
      </c>
      <c r="D20" s="15" t="s">
        <v>275</v>
      </c>
      <c r="E20" s="15" t="s">
        <v>276</v>
      </c>
      <c r="F20" s="15" t="s">
        <v>10</v>
      </c>
      <c r="G20" s="15" t="s">
        <v>11</v>
      </c>
      <c r="H20" s="14" t="s">
        <v>1672</v>
      </c>
      <c r="I20" s="17" t="s">
        <v>1722</v>
      </c>
      <c r="J20" s="18"/>
      <c r="K20" s="18"/>
      <c r="L20" s="18"/>
      <c r="M20" s="18"/>
      <c r="N20" s="18"/>
      <c r="O20" s="18"/>
      <c r="P20" s="18"/>
      <c r="Q20" s="18"/>
      <c r="R20" s="18"/>
      <c r="S20" s="19"/>
    </row>
    <row r="21">
      <c r="A21" s="14" t="s">
        <v>1313</v>
      </c>
      <c r="B21" s="15" t="s">
        <v>277</v>
      </c>
      <c r="C21" s="15" t="s">
        <v>278</v>
      </c>
      <c r="D21" s="15" t="s">
        <v>279</v>
      </c>
      <c r="E21" s="15" t="s">
        <v>280</v>
      </c>
      <c r="F21" s="15" t="s">
        <v>10</v>
      </c>
      <c r="G21" s="15" t="s">
        <v>11</v>
      </c>
      <c r="H21" s="14" t="s">
        <v>1672</v>
      </c>
      <c r="I21" s="17" t="s">
        <v>1674</v>
      </c>
      <c r="J21" s="18"/>
      <c r="K21" s="18"/>
      <c r="L21" s="18"/>
      <c r="M21" s="18"/>
      <c r="N21" s="18"/>
      <c r="O21" s="18"/>
      <c r="P21" s="18"/>
      <c r="Q21" s="18"/>
      <c r="R21" s="18"/>
      <c r="S21" s="19"/>
    </row>
    <row r="22">
      <c r="A22" s="14" t="s">
        <v>1313</v>
      </c>
      <c r="B22" s="15" t="s">
        <v>281</v>
      </c>
      <c r="C22" s="15" t="s">
        <v>282</v>
      </c>
      <c r="D22" s="15" t="s">
        <v>283</v>
      </c>
      <c r="E22" s="15" t="s">
        <v>284</v>
      </c>
      <c r="F22" s="15" t="s">
        <v>10</v>
      </c>
      <c r="G22" s="15" t="s">
        <v>11</v>
      </c>
      <c r="H22" s="14" t="s">
        <v>1672</v>
      </c>
      <c r="I22" s="23"/>
      <c r="J22" s="18"/>
      <c r="K22" s="18"/>
      <c r="L22" s="18"/>
      <c r="M22" s="18"/>
      <c r="N22" s="18"/>
      <c r="O22" s="18"/>
      <c r="P22" s="18"/>
      <c r="Q22" s="18"/>
      <c r="R22" s="18"/>
      <c r="S22" s="19"/>
    </row>
    <row r="23">
      <c r="A23" s="18"/>
      <c r="B23" s="4"/>
      <c r="C23" s="4"/>
      <c r="D23" s="4"/>
      <c r="E23" s="5"/>
      <c r="F23" s="4"/>
      <c r="G23" s="4"/>
      <c r="H23" s="4"/>
      <c r="I23" s="23"/>
      <c r="J23" s="4"/>
      <c r="K23" s="4"/>
      <c r="L23" s="4"/>
      <c r="M23" s="4"/>
      <c r="N23" s="4"/>
      <c r="O23" s="4"/>
      <c r="P23" s="4"/>
      <c r="Q23" s="4"/>
      <c r="R23" s="4"/>
    </row>
    <row r="24">
      <c r="A24" s="18"/>
      <c r="B24" s="4"/>
      <c r="C24" s="4"/>
      <c r="D24" s="4"/>
      <c r="E24" s="5"/>
      <c r="F24" s="4"/>
      <c r="G24" s="4"/>
      <c r="H24" s="4"/>
      <c r="I24" s="23"/>
      <c r="J24" s="4"/>
      <c r="K24" s="4"/>
      <c r="L24" s="4"/>
      <c r="M24" s="4"/>
      <c r="N24" s="4"/>
      <c r="O24" s="4"/>
      <c r="P24" s="4"/>
      <c r="Q24" s="4"/>
      <c r="R24" s="4"/>
    </row>
    <row r="25">
      <c r="A25" s="18"/>
      <c r="B25" s="4"/>
      <c r="C25" s="4"/>
      <c r="D25" s="4"/>
      <c r="E25" s="5"/>
      <c r="F25" s="4"/>
      <c r="G25" s="4"/>
      <c r="H25" s="4"/>
      <c r="I25" s="23"/>
      <c r="J25" s="4"/>
      <c r="K25" s="4"/>
      <c r="L25" s="4"/>
      <c r="M25" s="4"/>
      <c r="N25" s="4"/>
      <c r="O25" s="4"/>
      <c r="P25" s="4"/>
      <c r="Q25" s="4"/>
      <c r="R25" s="4"/>
    </row>
    <row r="26">
      <c r="A26" s="18"/>
      <c r="B26" s="4"/>
      <c r="C26" s="4"/>
      <c r="D26" s="4"/>
      <c r="E26" s="5"/>
      <c r="F26" s="4"/>
      <c r="G26" s="4"/>
      <c r="H26" s="4"/>
      <c r="I26" s="23"/>
      <c r="J26" s="4"/>
      <c r="K26" s="4"/>
      <c r="L26" s="4"/>
      <c r="M26" s="4"/>
      <c r="N26" s="4"/>
      <c r="O26" s="4"/>
      <c r="P26" s="4"/>
      <c r="Q26" s="4"/>
      <c r="R26" s="4"/>
    </row>
    <row r="27">
      <c r="A27" s="18"/>
      <c r="B27" s="4"/>
      <c r="C27" s="4"/>
      <c r="D27" s="4"/>
      <c r="E27" s="5"/>
      <c r="F27" s="4"/>
      <c r="G27" s="4"/>
      <c r="H27" s="4"/>
      <c r="I27" s="23"/>
      <c r="J27" s="4"/>
      <c r="K27" s="4"/>
      <c r="L27" s="4"/>
      <c r="M27" s="4"/>
      <c r="N27" s="4"/>
      <c r="O27" s="4"/>
      <c r="P27" s="4"/>
      <c r="Q27" s="4"/>
      <c r="R27" s="4"/>
    </row>
    <row r="28">
      <c r="A28" s="18"/>
      <c r="B28" s="4"/>
      <c r="C28" s="4"/>
      <c r="D28" s="4"/>
      <c r="E28" s="5"/>
      <c r="F28" s="4"/>
      <c r="G28" s="4"/>
      <c r="H28" s="4"/>
      <c r="I28" s="23"/>
      <c r="J28" s="4"/>
      <c r="K28" s="4"/>
      <c r="L28" s="4"/>
      <c r="M28" s="4"/>
      <c r="N28" s="4"/>
      <c r="O28" s="4"/>
      <c r="P28" s="4"/>
      <c r="Q28" s="4"/>
      <c r="R28" s="4"/>
    </row>
    <row r="29">
      <c r="A29" s="18"/>
      <c r="B29" s="4"/>
      <c r="C29" s="4"/>
      <c r="D29" s="4"/>
      <c r="E29" s="5"/>
      <c r="F29" s="4"/>
      <c r="G29" s="4"/>
      <c r="H29" s="4"/>
      <c r="I29" s="23"/>
      <c r="J29" s="4"/>
      <c r="K29" s="4"/>
      <c r="L29" s="4"/>
      <c r="M29" s="4"/>
      <c r="N29" s="4"/>
      <c r="O29" s="4"/>
      <c r="P29" s="4"/>
      <c r="Q29" s="4"/>
      <c r="R29" s="4"/>
    </row>
    <row r="30">
      <c r="A30" s="18"/>
      <c r="B30" s="4"/>
      <c r="C30" s="4"/>
      <c r="D30" s="4"/>
      <c r="E30" s="5"/>
      <c r="F30" s="4"/>
      <c r="G30" s="4"/>
      <c r="H30" s="4"/>
      <c r="I30" s="23"/>
      <c r="J30" s="4"/>
      <c r="K30" s="4"/>
      <c r="L30" s="4"/>
      <c r="M30" s="4"/>
      <c r="N30" s="4"/>
      <c r="O30" s="4"/>
      <c r="P30" s="4"/>
      <c r="Q30" s="4"/>
      <c r="R30" s="4"/>
    </row>
    <row r="31">
      <c r="A31" s="18"/>
      <c r="B31" s="4"/>
      <c r="C31" s="4"/>
      <c r="D31" s="4"/>
      <c r="E31" s="5"/>
      <c r="F31" s="4"/>
      <c r="G31" s="4"/>
      <c r="H31" s="4"/>
      <c r="I31" s="23"/>
      <c r="J31" s="4"/>
      <c r="K31" s="4"/>
      <c r="L31" s="4"/>
      <c r="M31" s="4"/>
      <c r="N31" s="4"/>
      <c r="O31" s="4"/>
      <c r="P31" s="4"/>
      <c r="Q31" s="4"/>
      <c r="R31" s="4"/>
    </row>
    <row r="32">
      <c r="A32" s="18"/>
      <c r="B32" s="4"/>
      <c r="C32" s="4"/>
      <c r="D32" s="4"/>
      <c r="E32" s="5"/>
      <c r="F32" s="4"/>
      <c r="G32" s="4"/>
      <c r="H32" s="4"/>
      <c r="I32" s="23"/>
      <c r="J32" s="4"/>
      <c r="K32" s="4"/>
      <c r="L32" s="4"/>
      <c r="M32" s="4"/>
      <c r="N32" s="4"/>
      <c r="O32" s="4"/>
      <c r="P32" s="4"/>
      <c r="Q32" s="4"/>
      <c r="R32" s="4"/>
    </row>
    <row r="33">
      <c r="A33" s="18"/>
      <c r="B33" s="4"/>
      <c r="C33" s="4"/>
      <c r="D33" s="4"/>
      <c r="E33" s="5"/>
      <c r="F33" s="4"/>
      <c r="G33" s="4"/>
      <c r="H33" s="4"/>
      <c r="I33" s="23"/>
      <c r="J33" s="4"/>
      <c r="K33" s="4"/>
      <c r="L33" s="4"/>
      <c r="M33" s="4"/>
      <c r="N33" s="4"/>
      <c r="O33" s="4"/>
      <c r="P33" s="4"/>
      <c r="Q33" s="4"/>
      <c r="R33" s="4"/>
    </row>
    <row r="34">
      <c r="A34" s="18"/>
      <c r="B34" s="4"/>
      <c r="C34" s="4"/>
      <c r="D34" s="4"/>
      <c r="E34" s="5"/>
      <c r="F34" s="4"/>
      <c r="G34" s="4"/>
      <c r="H34" s="4"/>
      <c r="I34" s="23"/>
      <c r="J34" s="4"/>
      <c r="K34" s="4"/>
      <c r="L34" s="4"/>
      <c r="M34" s="4"/>
      <c r="N34" s="4"/>
      <c r="O34" s="4"/>
      <c r="P34" s="4"/>
      <c r="Q34" s="4"/>
      <c r="R34" s="4"/>
    </row>
    <row r="35">
      <c r="A35" s="18"/>
      <c r="B35" s="4"/>
      <c r="C35" s="4"/>
      <c r="D35" s="4"/>
      <c r="E35" s="5"/>
      <c r="F35" s="4"/>
      <c r="G35" s="4"/>
      <c r="H35" s="4"/>
      <c r="I35" s="23"/>
      <c r="J35" s="4"/>
      <c r="K35" s="4"/>
      <c r="L35" s="4"/>
      <c r="M35" s="4"/>
      <c r="N35" s="4"/>
      <c r="O35" s="4"/>
      <c r="P35" s="4"/>
      <c r="Q35" s="4"/>
      <c r="R35" s="4"/>
    </row>
    <row r="36">
      <c r="A36" s="18"/>
      <c r="B36" s="4"/>
      <c r="C36" s="4"/>
      <c r="D36" s="4"/>
      <c r="E36" s="5"/>
      <c r="F36" s="4"/>
      <c r="G36" s="4"/>
      <c r="H36" s="4"/>
      <c r="I36" s="23"/>
      <c r="J36" s="4"/>
      <c r="K36" s="4"/>
      <c r="L36" s="4"/>
      <c r="M36" s="4"/>
      <c r="N36" s="4"/>
      <c r="O36" s="4"/>
      <c r="P36" s="4"/>
      <c r="Q36" s="4"/>
      <c r="R36" s="4"/>
    </row>
    <row r="37">
      <c r="A37" s="18"/>
      <c r="B37" s="4"/>
      <c r="C37" s="4"/>
      <c r="D37" s="4"/>
      <c r="E37" s="5"/>
      <c r="F37" s="4"/>
      <c r="G37" s="4"/>
      <c r="H37" s="4"/>
      <c r="I37" s="23"/>
      <c r="J37" s="4"/>
      <c r="K37" s="4"/>
      <c r="L37" s="4"/>
      <c r="M37" s="4"/>
      <c r="N37" s="4"/>
      <c r="O37" s="4"/>
      <c r="P37" s="4"/>
      <c r="Q37" s="4"/>
      <c r="R37" s="4"/>
    </row>
    <row r="38">
      <c r="A38" s="18"/>
      <c r="B38" s="4"/>
      <c r="C38" s="4"/>
      <c r="D38" s="4"/>
      <c r="E38" s="5"/>
      <c r="F38" s="4"/>
      <c r="G38" s="4"/>
      <c r="H38" s="4"/>
      <c r="I38" s="23"/>
      <c r="J38" s="4"/>
      <c r="K38" s="4"/>
      <c r="L38" s="4"/>
      <c r="M38" s="4"/>
      <c r="N38" s="4"/>
      <c r="O38" s="4"/>
      <c r="P38" s="4"/>
      <c r="Q38" s="4"/>
      <c r="R38" s="4"/>
    </row>
    <row r="39">
      <c r="A39" s="18"/>
      <c r="B39" s="4"/>
      <c r="C39" s="4"/>
      <c r="D39" s="4"/>
      <c r="E39" s="5"/>
      <c r="F39" s="4"/>
      <c r="G39" s="4"/>
      <c r="H39" s="4"/>
      <c r="I39" s="23"/>
      <c r="J39" s="4"/>
      <c r="K39" s="4"/>
      <c r="L39" s="4"/>
      <c r="M39" s="4"/>
      <c r="N39" s="4"/>
      <c r="O39" s="4"/>
      <c r="P39" s="4"/>
      <c r="Q39" s="4"/>
      <c r="R39" s="4"/>
    </row>
    <row r="40">
      <c r="A40" s="18"/>
      <c r="B40" s="4"/>
      <c r="C40" s="4"/>
      <c r="D40" s="4"/>
      <c r="E40" s="5"/>
      <c r="F40" s="4"/>
      <c r="G40" s="4"/>
      <c r="H40" s="4"/>
      <c r="I40" s="23"/>
      <c r="J40" s="4"/>
      <c r="K40" s="4"/>
      <c r="L40" s="4"/>
      <c r="M40" s="4"/>
      <c r="N40" s="4"/>
      <c r="O40" s="4"/>
      <c r="P40" s="4"/>
      <c r="Q40" s="4"/>
      <c r="R40" s="4"/>
    </row>
    <row r="41">
      <c r="A41" s="18"/>
      <c r="B41" s="4"/>
      <c r="C41" s="4"/>
      <c r="D41" s="4"/>
      <c r="E41" s="5"/>
      <c r="F41" s="4"/>
      <c r="G41" s="4"/>
      <c r="H41" s="4"/>
      <c r="I41" s="23"/>
      <c r="J41" s="4"/>
      <c r="K41" s="4"/>
      <c r="L41" s="4"/>
      <c r="M41" s="4"/>
      <c r="N41" s="4"/>
      <c r="O41" s="4"/>
      <c r="P41" s="4"/>
      <c r="Q41" s="4"/>
      <c r="R41" s="4"/>
    </row>
    <row r="42">
      <c r="A42" s="18"/>
      <c r="B42" s="4"/>
      <c r="C42" s="4"/>
      <c r="D42" s="4"/>
      <c r="E42" s="5"/>
      <c r="F42" s="4"/>
      <c r="G42" s="4"/>
      <c r="H42" s="4"/>
      <c r="I42" s="23"/>
      <c r="J42" s="4"/>
      <c r="K42" s="4"/>
      <c r="L42" s="4"/>
      <c r="M42" s="4"/>
      <c r="N42" s="4"/>
      <c r="O42" s="4"/>
      <c r="P42" s="4"/>
      <c r="Q42" s="4"/>
      <c r="R42" s="4"/>
    </row>
    <row r="43">
      <c r="A43" s="18"/>
      <c r="B43" s="4"/>
      <c r="C43" s="4"/>
      <c r="D43" s="4"/>
      <c r="E43" s="5"/>
      <c r="F43" s="4"/>
      <c r="G43" s="4"/>
      <c r="H43" s="4"/>
      <c r="I43" s="23"/>
      <c r="J43" s="4"/>
      <c r="K43" s="4"/>
      <c r="L43" s="4"/>
      <c r="M43" s="4"/>
      <c r="N43" s="4"/>
      <c r="O43" s="4"/>
      <c r="P43" s="4"/>
      <c r="Q43" s="4"/>
      <c r="R43" s="4"/>
    </row>
    <row r="44">
      <c r="A44" s="18"/>
      <c r="B44" s="4"/>
      <c r="C44" s="4"/>
      <c r="D44" s="4"/>
      <c r="E44" s="5"/>
      <c r="F44" s="4"/>
      <c r="G44" s="4"/>
      <c r="H44" s="4"/>
      <c r="I44" s="23"/>
      <c r="J44" s="4"/>
      <c r="K44" s="4"/>
      <c r="L44" s="4"/>
      <c r="M44" s="4"/>
      <c r="N44" s="4"/>
      <c r="O44" s="4"/>
      <c r="P44" s="4"/>
      <c r="Q44" s="4"/>
      <c r="R44" s="4"/>
    </row>
    <row r="45">
      <c r="A45" s="18"/>
      <c r="B45" s="4"/>
      <c r="C45" s="4"/>
      <c r="D45" s="4"/>
      <c r="E45" s="5"/>
      <c r="F45" s="4"/>
      <c r="G45" s="4"/>
      <c r="H45" s="4"/>
      <c r="I45" s="23"/>
      <c r="J45" s="4"/>
      <c r="K45" s="4"/>
      <c r="L45" s="4"/>
      <c r="M45" s="4"/>
      <c r="N45" s="4"/>
      <c r="O45" s="4"/>
      <c r="P45" s="4"/>
      <c r="Q45" s="4"/>
      <c r="R45" s="4"/>
    </row>
    <row r="46">
      <c r="A46" s="18"/>
      <c r="B46" s="4"/>
      <c r="C46" s="4"/>
      <c r="D46" s="4"/>
      <c r="E46" s="5"/>
      <c r="F46" s="4"/>
      <c r="G46" s="4"/>
      <c r="H46" s="4"/>
      <c r="I46" s="23"/>
      <c r="J46" s="4"/>
      <c r="K46" s="4"/>
      <c r="L46" s="4"/>
      <c r="M46" s="4"/>
      <c r="N46" s="4"/>
      <c r="O46" s="4"/>
      <c r="P46" s="4"/>
      <c r="Q46" s="4"/>
      <c r="R46" s="4"/>
    </row>
    <row r="47">
      <c r="A47" s="18"/>
      <c r="B47" s="4"/>
      <c r="C47" s="4"/>
      <c r="D47" s="4"/>
      <c r="E47" s="5"/>
      <c r="F47" s="4"/>
      <c r="G47" s="4"/>
      <c r="H47" s="4"/>
      <c r="I47" s="23"/>
      <c r="J47" s="4"/>
      <c r="K47" s="4"/>
      <c r="L47" s="4"/>
      <c r="M47" s="4"/>
      <c r="N47" s="4"/>
      <c r="O47" s="4"/>
      <c r="P47" s="4"/>
      <c r="Q47" s="4"/>
      <c r="R47" s="4"/>
    </row>
    <row r="48">
      <c r="A48" s="18"/>
      <c r="B48" s="4"/>
      <c r="C48" s="4"/>
      <c r="D48" s="4"/>
      <c r="E48" s="5"/>
      <c r="F48" s="4"/>
      <c r="G48" s="4"/>
      <c r="H48" s="4"/>
      <c r="I48" s="23"/>
      <c r="J48" s="4"/>
      <c r="K48" s="4"/>
      <c r="L48" s="4"/>
      <c r="M48" s="4"/>
      <c r="N48" s="4"/>
      <c r="O48" s="4"/>
      <c r="P48" s="4"/>
      <c r="Q48" s="4"/>
      <c r="R48" s="4"/>
    </row>
    <row r="49">
      <c r="A49" s="18"/>
      <c r="B49" s="4"/>
      <c r="C49" s="4"/>
      <c r="D49" s="4"/>
      <c r="E49" s="5"/>
      <c r="F49" s="4"/>
      <c r="G49" s="4"/>
      <c r="H49" s="4"/>
      <c r="I49" s="23"/>
      <c r="J49" s="4"/>
      <c r="K49" s="4"/>
      <c r="L49" s="4"/>
      <c r="M49" s="4"/>
      <c r="N49" s="4"/>
      <c r="O49" s="4"/>
      <c r="P49" s="4"/>
      <c r="Q49" s="4"/>
      <c r="R49" s="4"/>
    </row>
    <row r="50">
      <c r="A50" s="18"/>
      <c r="B50" s="4"/>
      <c r="C50" s="4"/>
      <c r="D50" s="4"/>
      <c r="E50" s="5"/>
      <c r="F50" s="4"/>
      <c r="G50" s="4"/>
      <c r="H50" s="4"/>
      <c r="I50" s="23"/>
      <c r="J50" s="4"/>
      <c r="K50" s="4"/>
      <c r="L50" s="4"/>
      <c r="M50" s="4"/>
      <c r="N50" s="4"/>
      <c r="O50" s="4"/>
      <c r="P50" s="4"/>
      <c r="Q50" s="4"/>
      <c r="R50" s="4"/>
    </row>
    <row r="51">
      <c r="A51" s="18"/>
      <c r="B51" s="4"/>
      <c r="C51" s="4"/>
      <c r="D51" s="4"/>
      <c r="E51" s="5"/>
      <c r="F51" s="4"/>
      <c r="G51" s="4"/>
      <c r="H51" s="4"/>
      <c r="I51" s="23"/>
      <c r="J51" s="4"/>
      <c r="K51" s="4"/>
      <c r="L51" s="4"/>
      <c r="M51" s="4"/>
      <c r="N51" s="4"/>
      <c r="O51" s="4"/>
      <c r="P51" s="4"/>
      <c r="Q51" s="4"/>
      <c r="R51" s="4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63"/>
    <col customWidth="1" min="10" max="10" width="14.63"/>
    <col customWidth="1" min="11" max="11" width="16.25"/>
    <col customWidth="1" min="12" max="12" width="20.0"/>
    <col customWidth="1" min="13" max="13" width="22.38"/>
    <col customWidth="1" min="14" max="14" width="16.5"/>
    <col customWidth="1" min="15" max="15" width="31.13"/>
    <col customWidth="1" min="16" max="16" width="14.13"/>
  </cols>
  <sheetData>
    <row r="1">
      <c r="A1" s="9" t="s">
        <v>1652</v>
      </c>
      <c r="B1" s="10" t="s">
        <v>1653</v>
      </c>
      <c r="C1" s="10" t="s">
        <v>1654</v>
      </c>
      <c r="D1" s="10" t="s">
        <v>1655</v>
      </c>
      <c r="E1" s="11" t="s">
        <v>1656</v>
      </c>
      <c r="F1" s="10" t="s">
        <v>1657</v>
      </c>
      <c r="G1" s="10" t="s">
        <v>5</v>
      </c>
      <c r="H1" s="10" t="s">
        <v>1658</v>
      </c>
      <c r="I1" s="10" t="s">
        <v>1659</v>
      </c>
      <c r="J1" s="10" t="s">
        <v>1660</v>
      </c>
      <c r="K1" s="10" t="s">
        <v>1661</v>
      </c>
      <c r="L1" s="10" t="s">
        <v>1662</v>
      </c>
      <c r="M1" s="10" t="s">
        <v>1663</v>
      </c>
      <c r="N1" s="10" t="s">
        <v>1664</v>
      </c>
      <c r="O1" s="10" t="s">
        <v>1665</v>
      </c>
      <c r="P1" s="10" t="s">
        <v>1666</v>
      </c>
      <c r="Q1" s="10" t="s">
        <v>1667</v>
      </c>
      <c r="R1" s="10" t="s">
        <v>1668</v>
      </c>
      <c r="S1" s="20" t="s">
        <v>1727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14" t="s">
        <v>1759</v>
      </c>
      <c r="B2" s="4" t="s">
        <v>1176</v>
      </c>
      <c r="C2" s="4" t="s">
        <v>1177</v>
      </c>
      <c r="D2" s="4" t="s">
        <v>1178</v>
      </c>
      <c r="E2" s="5">
        <f>+251969695859</f>
        <v>251969695859</v>
      </c>
      <c r="F2" s="4" t="s">
        <v>10</v>
      </c>
      <c r="G2" s="4" t="s">
        <v>11</v>
      </c>
      <c r="H2" s="22" t="s">
        <v>1728</v>
      </c>
      <c r="I2" s="17" t="s">
        <v>1720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4" t="s">
        <v>1759</v>
      </c>
      <c r="B3" s="4" t="s">
        <v>1179</v>
      </c>
      <c r="C3" s="4" t="s">
        <v>535</v>
      </c>
      <c r="D3" s="4" t="s">
        <v>1180</v>
      </c>
      <c r="E3" s="5">
        <f>+251912795277</f>
        <v>251912795277</v>
      </c>
      <c r="F3" s="4" t="s">
        <v>10</v>
      </c>
      <c r="G3" s="4" t="s">
        <v>11</v>
      </c>
      <c r="H3" s="22" t="s">
        <v>1728</v>
      </c>
      <c r="I3" s="17" t="s">
        <v>1674</v>
      </c>
      <c r="J3" s="22" t="s">
        <v>1675</v>
      </c>
      <c r="K3" s="4"/>
      <c r="L3" s="22" t="s">
        <v>1686</v>
      </c>
      <c r="M3" s="22" t="s">
        <v>1675</v>
      </c>
      <c r="N3" s="4"/>
      <c r="O3" s="22" t="s">
        <v>1687</v>
      </c>
      <c r="P3" s="22" t="s">
        <v>1688</v>
      </c>
      <c r="Q3" s="22" t="s">
        <v>1675</v>
      </c>
      <c r="R3" s="22" t="s">
        <v>1715</v>
      </c>
      <c r="S3" s="1" t="s">
        <v>1760</v>
      </c>
    </row>
    <row r="4">
      <c r="A4" s="14" t="s">
        <v>1759</v>
      </c>
      <c r="B4" s="4" t="s">
        <v>1181</v>
      </c>
      <c r="C4" s="4" t="s">
        <v>1182</v>
      </c>
      <c r="D4" s="4" t="s">
        <v>159</v>
      </c>
      <c r="E4" s="5">
        <f>+251927183407</f>
        <v>251927183407</v>
      </c>
      <c r="F4" s="4" t="s">
        <v>10</v>
      </c>
      <c r="G4" s="4" t="s">
        <v>24</v>
      </c>
      <c r="H4" s="22" t="s">
        <v>1728</v>
      </c>
      <c r="I4" s="17" t="s">
        <v>1722</v>
      </c>
      <c r="J4" s="4"/>
      <c r="K4" s="4"/>
      <c r="L4" s="4"/>
      <c r="M4" s="4"/>
      <c r="N4" s="4"/>
      <c r="O4" s="4"/>
      <c r="P4" s="4"/>
      <c r="Q4" s="4"/>
      <c r="R4" s="4"/>
    </row>
    <row r="5">
      <c r="A5" s="14" t="s">
        <v>1759</v>
      </c>
      <c r="B5" s="4" t="s">
        <v>1183</v>
      </c>
      <c r="C5" s="4" t="s">
        <v>651</v>
      </c>
      <c r="D5" s="4" t="s">
        <v>1175</v>
      </c>
      <c r="E5" s="5">
        <f>+251929161063</f>
        <v>251929161063</v>
      </c>
      <c r="F5" s="4" t="s">
        <v>10</v>
      </c>
      <c r="G5" s="4" t="s">
        <v>11</v>
      </c>
      <c r="H5" s="22" t="s">
        <v>1728</v>
      </c>
      <c r="I5" s="17" t="s">
        <v>1674</v>
      </c>
      <c r="J5" s="22" t="s">
        <v>1675</v>
      </c>
      <c r="K5" s="4"/>
      <c r="L5" s="22" t="s">
        <v>1686</v>
      </c>
      <c r="M5" s="22" t="s">
        <v>1675</v>
      </c>
      <c r="N5" s="4"/>
      <c r="O5" s="22" t="s">
        <v>1687</v>
      </c>
      <c r="P5" s="22" t="s">
        <v>1688</v>
      </c>
      <c r="Q5" s="22" t="s">
        <v>1675</v>
      </c>
      <c r="R5" s="22" t="s">
        <v>1694</v>
      </c>
    </row>
    <row r="6">
      <c r="A6" s="14" t="s">
        <v>1759</v>
      </c>
      <c r="B6" s="4" t="s">
        <v>1184</v>
      </c>
      <c r="C6" s="4" t="s">
        <v>1185</v>
      </c>
      <c r="D6" s="4" t="s">
        <v>365</v>
      </c>
      <c r="E6" s="5">
        <f>+251946577930</f>
        <v>251946577930</v>
      </c>
      <c r="F6" s="4" t="s">
        <v>10</v>
      </c>
      <c r="G6" s="4" t="s">
        <v>24</v>
      </c>
      <c r="H6" s="22" t="s">
        <v>1728</v>
      </c>
      <c r="I6" s="17" t="s">
        <v>1722</v>
      </c>
      <c r="J6" s="4"/>
      <c r="K6" s="4"/>
      <c r="L6" s="4"/>
      <c r="M6" s="4"/>
      <c r="N6" s="4"/>
      <c r="O6" s="4"/>
      <c r="P6" s="4"/>
      <c r="Q6" s="4"/>
      <c r="R6" s="4"/>
    </row>
    <row r="7">
      <c r="A7" s="14" t="s">
        <v>1759</v>
      </c>
      <c r="B7" s="4" t="s">
        <v>1186</v>
      </c>
      <c r="C7" s="4" t="s">
        <v>1187</v>
      </c>
      <c r="D7" s="4" t="s">
        <v>558</v>
      </c>
      <c r="E7" s="5">
        <f>+251972838134</f>
        <v>251972838134</v>
      </c>
      <c r="F7" s="4" t="s">
        <v>10</v>
      </c>
      <c r="G7" s="4" t="s">
        <v>51</v>
      </c>
      <c r="H7" s="22" t="s">
        <v>1728</v>
      </c>
      <c r="I7" s="17" t="s">
        <v>1722</v>
      </c>
      <c r="J7" s="4"/>
      <c r="K7" s="4"/>
      <c r="L7" s="4"/>
      <c r="M7" s="4"/>
      <c r="N7" s="4"/>
      <c r="O7" s="4"/>
      <c r="P7" s="4"/>
      <c r="Q7" s="4"/>
      <c r="R7" s="4"/>
    </row>
    <row r="8">
      <c r="A8" s="14" t="s">
        <v>1759</v>
      </c>
      <c r="B8" s="4" t="s">
        <v>1188</v>
      </c>
      <c r="C8" s="4" t="s">
        <v>1189</v>
      </c>
      <c r="D8" s="4" t="s">
        <v>1190</v>
      </c>
      <c r="E8" s="5">
        <f>+251949195957</f>
        <v>251949195957</v>
      </c>
      <c r="F8" s="4" t="s">
        <v>10</v>
      </c>
      <c r="G8" s="4" t="s">
        <v>29</v>
      </c>
      <c r="H8" s="22" t="s">
        <v>1728</v>
      </c>
      <c r="I8" s="17" t="s">
        <v>1722</v>
      </c>
      <c r="J8" s="4"/>
      <c r="K8" s="4"/>
      <c r="L8" s="4"/>
      <c r="M8" s="4"/>
      <c r="N8" s="4"/>
      <c r="O8" s="4"/>
      <c r="P8" s="4"/>
      <c r="Q8" s="4"/>
      <c r="R8" s="4"/>
    </row>
    <row r="9">
      <c r="A9" s="14" t="s">
        <v>1759</v>
      </c>
      <c r="B9" s="4" t="s">
        <v>1191</v>
      </c>
      <c r="C9" s="4" t="s">
        <v>424</v>
      </c>
      <c r="D9" s="4" t="s">
        <v>1192</v>
      </c>
      <c r="E9" s="5">
        <f>+251923824434</f>
        <v>251923824434</v>
      </c>
      <c r="F9" s="4" t="s">
        <v>10</v>
      </c>
      <c r="G9" s="4" t="s">
        <v>24</v>
      </c>
      <c r="H9" s="22" t="s">
        <v>1728</v>
      </c>
      <c r="I9" s="17" t="s">
        <v>1674</v>
      </c>
      <c r="J9" s="22" t="s">
        <v>1675</v>
      </c>
      <c r="K9" s="4"/>
      <c r="L9" s="22" t="s">
        <v>1686</v>
      </c>
      <c r="M9" s="22" t="s">
        <v>1675</v>
      </c>
      <c r="N9" s="4"/>
      <c r="O9" s="22" t="s">
        <v>1687</v>
      </c>
      <c r="P9" s="22" t="s">
        <v>1688</v>
      </c>
      <c r="Q9" s="22" t="s">
        <v>1675</v>
      </c>
      <c r="R9" s="22" t="s">
        <v>1702</v>
      </c>
    </row>
    <row r="10">
      <c r="A10" s="14" t="s">
        <v>1759</v>
      </c>
      <c r="B10" s="4" t="s">
        <v>1193</v>
      </c>
      <c r="C10" s="4" t="s">
        <v>1194</v>
      </c>
      <c r="D10" s="4" t="s">
        <v>1195</v>
      </c>
      <c r="E10" s="5">
        <f>+251939654186</f>
        <v>251939654186</v>
      </c>
      <c r="F10" s="4" t="s">
        <v>10</v>
      </c>
      <c r="G10" s="4" t="s">
        <v>134</v>
      </c>
      <c r="H10" s="22" t="s">
        <v>1728</v>
      </c>
      <c r="I10" s="17" t="s">
        <v>1720</v>
      </c>
      <c r="J10" s="4"/>
      <c r="K10" s="4"/>
      <c r="L10" s="4"/>
      <c r="M10" s="4"/>
      <c r="N10" s="4"/>
      <c r="O10" s="4"/>
      <c r="P10" s="4"/>
      <c r="Q10" s="4"/>
      <c r="R10" s="4"/>
    </row>
    <row r="11">
      <c r="A11" s="14" t="s">
        <v>1759</v>
      </c>
      <c r="B11" s="4" t="s">
        <v>1196</v>
      </c>
      <c r="C11" s="4" t="s">
        <v>17</v>
      </c>
      <c r="D11" s="4" t="s">
        <v>1197</v>
      </c>
      <c r="E11" s="5">
        <f>+251905892759</f>
        <v>251905892759</v>
      </c>
      <c r="F11" s="4" t="s">
        <v>10</v>
      </c>
      <c r="G11" s="4" t="s">
        <v>134</v>
      </c>
      <c r="H11" s="22" t="s">
        <v>1728</v>
      </c>
      <c r="I11" s="17" t="s">
        <v>1722</v>
      </c>
      <c r="J11" s="4"/>
      <c r="K11" s="4"/>
      <c r="L11" s="4"/>
      <c r="M11" s="4"/>
      <c r="N11" s="4"/>
      <c r="O11" s="4"/>
      <c r="P11" s="4"/>
      <c r="Q11" s="4"/>
      <c r="R11" s="4"/>
    </row>
    <row r="12">
      <c r="A12" s="14" t="s">
        <v>1759</v>
      </c>
      <c r="B12" s="4" t="s">
        <v>1198</v>
      </c>
      <c r="C12" s="4" t="s">
        <v>1199</v>
      </c>
      <c r="D12" s="4" t="s">
        <v>1200</v>
      </c>
      <c r="E12" s="5">
        <f>+251927075311</f>
        <v>251927075311</v>
      </c>
      <c r="F12" s="4" t="s">
        <v>10</v>
      </c>
      <c r="G12" s="4" t="s">
        <v>11</v>
      </c>
      <c r="H12" s="22" t="s">
        <v>1728</v>
      </c>
      <c r="I12" s="17" t="s">
        <v>1674</v>
      </c>
      <c r="J12" s="22" t="s">
        <v>1675</v>
      </c>
      <c r="K12" s="4"/>
      <c r="L12" s="22" t="s">
        <v>1710</v>
      </c>
      <c r="M12" s="22" t="s">
        <v>1675</v>
      </c>
      <c r="N12" s="4"/>
      <c r="O12" s="22" t="s">
        <v>1678</v>
      </c>
      <c r="P12" s="22" t="s">
        <v>1684</v>
      </c>
      <c r="Q12" s="22" t="s">
        <v>1675</v>
      </c>
      <c r="R12" s="22" t="s">
        <v>1680</v>
      </c>
    </row>
    <row r="13">
      <c r="A13" s="14" t="s">
        <v>1759</v>
      </c>
      <c r="B13" s="4" t="s">
        <v>1201</v>
      </c>
      <c r="C13" s="4" t="s">
        <v>1202</v>
      </c>
      <c r="D13" s="4" t="s">
        <v>1203</v>
      </c>
      <c r="E13" s="5">
        <f>+251963797076</f>
        <v>251963797076</v>
      </c>
      <c r="F13" s="4" t="s">
        <v>10</v>
      </c>
      <c r="G13" s="4" t="s">
        <v>24</v>
      </c>
      <c r="H13" s="22" t="s">
        <v>1728</v>
      </c>
      <c r="I13" s="17" t="s">
        <v>1674</v>
      </c>
      <c r="J13" s="4"/>
      <c r="K13" s="4"/>
      <c r="L13" s="4"/>
      <c r="M13" s="4"/>
      <c r="N13" s="4"/>
      <c r="O13" s="4"/>
      <c r="P13" s="4"/>
      <c r="Q13" s="4"/>
      <c r="R13" s="4"/>
    </row>
    <row r="14">
      <c r="A14" s="14" t="s">
        <v>1759</v>
      </c>
      <c r="B14" s="4" t="s">
        <v>1204</v>
      </c>
      <c r="C14" s="4" t="s">
        <v>1205</v>
      </c>
      <c r="D14" s="4" t="s">
        <v>1206</v>
      </c>
      <c r="E14" s="5">
        <f>+251947349134</f>
        <v>251947349134</v>
      </c>
      <c r="F14" s="4" t="s">
        <v>10</v>
      </c>
      <c r="G14" s="4" t="s">
        <v>51</v>
      </c>
      <c r="H14" s="22" t="s">
        <v>1728</v>
      </c>
      <c r="I14" s="17" t="s">
        <v>1720</v>
      </c>
      <c r="J14" s="4"/>
      <c r="K14" s="4"/>
      <c r="L14" s="4"/>
      <c r="M14" s="4"/>
      <c r="N14" s="4"/>
      <c r="O14" s="4"/>
      <c r="P14" s="4"/>
      <c r="Q14" s="4"/>
      <c r="R14" s="4"/>
    </row>
    <row r="15">
      <c r="A15" s="14" t="s">
        <v>1759</v>
      </c>
      <c r="B15" s="4" t="s">
        <v>1207</v>
      </c>
      <c r="C15" s="4" t="s">
        <v>1208</v>
      </c>
      <c r="D15" s="4" t="s">
        <v>1209</v>
      </c>
      <c r="E15" s="5">
        <f>+251922850480</f>
        <v>251922850480</v>
      </c>
      <c r="F15" s="4" t="s">
        <v>10</v>
      </c>
      <c r="G15" s="4" t="s">
        <v>34</v>
      </c>
      <c r="H15" s="22" t="s">
        <v>1728</v>
      </c>
      <c r="I15" s="17" t="s">
        <v>1674</v>
      </c>
      <c r="J15" s="22" t="s">
        <v>1675</v>
      </c>
      <c r="K15" s="4"/>
      <c r="L15" s="22" t="s">
        <v>1710</v>
      </c>
      <c r="M15" s="22" t="s">
        <v>1675</v>
      </c>
      <c r="N15" s="4"/>
      <c r="O15" s="22" t="s">
        <v>1678</v>
      </c>
      <c r="P15" s="22" t="s">
        <v>1714</v>
      </c>
      <c r="Q15" s="22" t="s">
        <v>1675</v>
      </c>
      <c r="R15" s="22" t="s">
        <v>1680</v>
      </c>
    </row>
    <row r="16">
      <c r="A16" s="14" t="s">
        <v>1759</v>
      </c>
      <c r="B16" s="4" t="s">
        <v>1210</v>
      </c>
      <c r="C16" s="4" t="s">
        <v>787</v>
      </c>
      <c r="D16" s="4" t="s">
        <v>331</v>
      </c>
      <c r="E16" s="5">
        <f>+251910342815</f>
        <v>251910342815</v>
      </c>
      <c r="F16" s="4" t="s">
        <v>10</v>
      </c>
      <c r="G16" s="4" t="s">
        <v>11</v>
      </c>
      <c r="H16" s="22" t="s">
        <v>1728</v>
      </c>
      <c r="I16" s="17" t="s">
        <v>1674</v>
      </c>
      <c r="J16" s="14" t="s">
        <v>1675</v>
      </c>
      <c r="K16" s="14"/>
      <c r="L16" s="14" t="s">
        <v>1686</v>
      </c>
      <c r="M16" s="14" t="s">
        <v>1675</v>
      </c>
      <c r="N16" s="18"/>
      <c r="O16" s="14" t="s">
        <v>1687</v>
      </c>
      <c r="P16" s="14" t="s">
        <v>1688</v>
      </c>
      <c r="Q16" s="14" t="s">
        <v>1675</v>
      </c>
      <c r="R16" s="14" t="s">
        <v>1702</v>
      </c>
    </row>
    <row r="17">
      <c r="A17" s="14" t="s">
        <v>1759</v>
      </c>
      <c r="B17" s="4" t="s">
        <v>1211</v>
      </c>
      <c r="C17" s="4" t="s">
        <v>1066</v>
      </c>
      <c r="D17" s="4" t="s">
        <v>1212</v>
      </c>
      <c r="E17" s="5">
        <f>+251925763462</f>
        <v>251925763462</v>
      </c>
      <c r="F17" s="4" t="s">
        <v>10</v>
      </c>
      <c r="G17" s="4" t="s">
        <v>29</v>
      </c>
      <c r="H17" s="22" t="s">
        <v>1728</v>
      </c>
      <c r="I17" s="17" t="s">
        <v>1674</v>
      </c>
      <c r="J17" s="14" t="s">
        <v>1675</v>
      </c>
      <c r="K17" s="14"/>
      <c r="L17" s="14" t="s">
        <v>1710</v>
      </c>
      <c r="M17" s="14" t="s">
        <v>1675</v>
      </c>
      <c r="N17" s="18"/>
      <c r="O17" s="14" t="s">
        <v>1678</v>
      </c>
      <c r="P17" s="14" t="s">
        <v>1679</v>
      </c>
      <c r="Q17" s="14" t="s">
        <v>1675</v>
      </c>
      <c r="R17" s="14" t="s">
        <v>1680</v>
      </c>
    </row>
    <row r="18">
      <c r="A18" s="14" t="s">
        <v>1759</v>
      </c>
      <c r="B18" s="4" t="s">
        <v>1213</v>
      </c>
      <c r="C18" s="4" t="s">
        <v>1214</v>
      </c>
      <c r="D18" s="4" t="s">
        <v>1215</v>
      </c>
      <c r="E18" s="5">
        <f>+251911535727</f>
        <v>251911535727</v>
      </c>
      <c r="F18" s="4" t="s">
        <v>10</v>
      </c>
      <c r="G18" s="4" t="s">
        <v>34</v>
      </c>
      <c r="H18" s="22" t="s">
        <v>1728</v>
      </c>
      <c r="I18" s="17" t="s">
        <v>1674</v>
      </c>
      <c r="J18" s="14" t="s">
        <v>1675</v>
      </c>
      <c r="K18" s="14"/>
      <c r="L18" s="14" t="s">
        <v>1686</v>
      </c>
      <c r="M18" s="14" t="s">
        <v>1675</v>
      </c>
      <c r="N18" s="18"/>
      <c r="O18" s="14" t="s">
        <v>1687</v>
      </c>
      <c r="P18" s="14" t="s">
        <v>1688</v>
      </c>
      <c r="Q18" s="14" t="s">
        <v>1675</v>
      </c>
      <c r="R18" s="14" t="s">
        <v>1702</v>
      </c>
    </row>
    <row r="19">
      <c r="A19" s="14" t="s">
        <v>1759</v>
      </c>
      <c r="B19" s="4" t="s">
        <v>316</v>
      </c>
      <c r="C19" s="4" t="s">
        <v>317</v>
      </c>
      <c r="D19" s="4" t="s">
        <v>318</v>
      </c>
      <c r="E19" s="5">
        <f>+251708104013</f>
        <v>251708104013</v>
      </c>
      <c r="F19" s="4" t="s">
        <v>10</v>
      </c>
      <c r="G19" s="4" t="s">
        <v>11</v>
      </c>
      <c r="H19" s="22" t="s">
        <v>1728</v>
      </c>
      <c r="I19" s="17" t="s">
        <v>1674</v>
      </c>
      <c r="J19" s="14" t="s">
        <v>1675</v>
      </c>
      <c r="K19" s="14"/>
      <c r="L19" s="14" t="s">
        <v>1710</v>
      </c>
      <c r="M19" s="14" t="s">
        <v>1675</v>
      </c>
      <c r="N19" s="18"/>
      <c r="O19" s="14" t="s">
        <v>1678</v>
      </c>
      <c r="P19" s="14" t="s">
        <v>1679</v>
      </c>
      <c r="Q19" s="14" t="s">
        <v>1675</v>
      </c>
      <c r="R19" s="14" t="s">
        <v>1680</v>
      </c>
    </row>
    <row r="20">
      <c r="A20" s="14" t="s">
        <v>1759</v>
      </c>
      <c r="B20" s="4" t="s">
        <v>1216</v>
      </c>
      <c r="C20" s="4" t="s">
        <v>416</v>
      </c>
      <c r="D20" s="4" t="s">
        <v>1217</v>
      </c>
      <c r="E20" s="5">
        <f>+251934456237</f>
        <v>251934456237</v>
      </c>
      <c r="F20" s="4" t="s">
        <v>10</v>
      </c>
      <c r="G20" s="4" t="s">
        <v>11</v>
      </c>
      <c r="H20" s="22" t="s">
        <v>1728</v>
      </c>
      <c r="I20" s="17" t="s">
        <v>1722</v>
      </c>
      <c r="J20" s="4"/>
      <c r="K20" s="4"/>
      <c r="L20" s="4"/>
      <c r="M20" s="4"/>
      <c r="N20" s="4"/>
      <c r="O20" s="4"/>
      <c r="P20" s="4"/>
      <c r="Q20" s="4"/>
      <c r="R20" s="4"/>
    </row>
    <row r="21">
      <c r="A21" s="14" t="s">
        <v>1759</v>
      </c>
      <c r="B21" s="4" t="s">
        <v>1218</v>
      </c>
      <c r="C21" s="4" t="s">
        <v>1219</v>
      </c>
      <c r="D21" s="4" t="s">
        <v>1220</v>
      </c>
      <c r="E21" s="5">
        <f>+251905108549</f>
        <v>251905108549</v>
      </c>
      <c r="F21" s="4" t="s">
        <v>10</v>
      </c>
      <c r="G21" s="4" t="s">
        <v>11</v>
      </c>
      <c r="H21" s="22" t="s">
        <v>1728</v>
      </c>
      <c r="I21" s="17" t="s">
        <v>1674</v>
      </c>
      <c r="J21" s="22" t="s">
        <v>1675</v>
      </c>
      <c r="K21" s="4"/>
      <c r="L21" s="22" t="s">
        <v>1677</v>
      </c>
      <c r="M21" s="22" t="s">
        <v>1675</v>
      </c>
      <c r="N21" s="4"/>
      <c r="O21" s="22" t="s">
        <v>1678</v>
      </c>
      <c r="P21" s="22" t="s">
        <v>1714</v>
      </c>
      <c r="Q21" s="22" t="s">
        <v>1675</v>
      </c>
      <c r="R21" s="22" t="s">
        <v>1680</v>
      </c>
    </row>
    <row r="22">
      <c r="A22" s="14" t="s">
        <v>1759</v>
      </c>
      <c r="B22" s="4" t="s">
        <v>1221</v>
      </c>
      <c r="C22" s="4" t="s">
        <v>372</v>
      </c>
      <c r="D22" s="4" t="s">
        <v>1135</v>
      </c>
      <c r="E22" s="5">
        <f>+251912141115</f>
        <v>251912141115</v>
      </c>
      <c r="F22" s="4" t="s">
        <v>10</v>
      </c>
      <c r="G22" s="4" t="s">
        <v>11</v>
      </c>
      <c r="H22" s="22" t="s">
        <v>1728</v>
      </c>
      <c r="I22" s="17" t="s">
        <v>1758</v>
      </c>
      <c r="J22" s="4"/>
      <c r="K22" s="4"/>
      <c r="L22" s="4"/>
      <c r="M22" s="4"/>
      <c r="N22" s="4"/>
      <c r="O22" s="4"/>
      <c r="P22" s="4"/>
      <c r="Q22" s="4"/>
      <c r="R22" s="4"/>
    </row>
    <row r="23">
      <c r="A23" s="14" t="s">
        <v>1759</v>
      </c>
      <c r="B23" s="4"/>
      <c r="C23" s="4"/>
      <c r="D23" s="4"/>
      <c r="E23" s="5"/>
      <c r="F23" s="4"/>
      <c r="G23" s="4"/>
      <c r="H23" s="4"/>
      <c r="I23" s="23"/>
      <c r="J23" s="4"/>
      <c r="K23" s="4"/>
      <c r="L23" s="4"/>
      <c r="M23" s="4"/>
      <c r="N23" s="4"/>
      <c r="O23" s="4"/>
      <c r="P23" s="4"/>
      <c r="Q23" s="4"/>
      <c r="R23" s="4"/>
    </row>
    <row r="24">
      <c r="A24" s="14" t="s">
        <v>1759</v>
      </c>
      <c r="B24" s="4"/>
      <c r="C24" s="4"/>
      <c r="D24" s="4"/>
      <c r="E24" s="5"/>
      <c r="F24" s="4"/>
      <c r="G24" s="4"/>
      <c r="H24" s="4"/>
      <c r="I24" s="23"/>
      <c r="J24" s="4"/>
      <c r="K24" s="4"/>
      <c r="L24" s="4"/>
      <c r="M24" s="4"/>
      <c r="N24" s="4"/>
      <c r="O24" s="4"/>
      <c r="P24" s="4"/>
      <c r="Q24" s="4"/>
      <c r="R24" s="4"/>
    </row>
    <row r="25">
      <c r="A25" s="14" t="s">
        <v>1759</v>
      </c>
      <c r="B25" s="4"/>
      <c r="C25" s="4"/>
      <c r="D25" s="4"/>
      <c r="E25" s="5"/>
      <c r="F25" s="4"/>
      <c r="G25" s="4"/>
      <c r="H25" s="4"/>
      <c r="I25" s="23"/>
      <c r="J25" s="4"/>
      <c r="K25" s="4"/>
      <c r="L25" s="4"/>
      <c r="M25" s="4"/>
      <c r="N25" s="4"/>
      <c r="O25" s="4"/>
      <c r="P25" s="4"/>
      <c r="Q25" s="4"/>
      <c r="R25" s="4"/>
    </row>
    <row r="26">
      <c r="A26" s="14" t="s">
        <v>1759</v>
      </c>
      <c r="B26" s="4"/>
      <c r="C26" s="4"/>
      <c r="D26" s="4"/>
      <c r="E26" s="5"/>
      <c r="F26" s="4"/>
      <c r="G26" s="4"/>
      <c r="H26" s="4"/>
      <c r="I26" s="23"/>
      <c r="J26" s="4"/>
      <c r="K26" s="4"/>
      <c r="L26" s="4"/>
      <c r="M26" s="4"/>
      <c r="N26" s="4"/>
      <c r="O26" s="4"/>
      <c r="P26" s="4"/>
      <c r="Q26" s="4"/>
      <c r="R26" s="4"/>
    </row>
    <row r="27">
      <c r="A27" s="14" t="s">
        <v>1759</v>
      </c>
      <c r="B27" s="4"/>
      <c r="C27" s="4"/>
      <c r="D27" s="4"/>
      <c r="E27" s="5"/>
      <c r="F27" s="4"/>
      <c r="G27" s="4"/>
      <c r="H27" s="4"/>
      <c r="I27" s="23"/>
      <c r="J27" s="4"/>
      <c r="K27" s="4"/>
      <c r="L27" s="4"/>
      <c r="M27" s="4"/>
      <c r="N27" s="4"/>
      <c r="O27" s="4"/>
      <c r="P27" s="4"/>
      <c r="Q27" s="4"/>
      <c r="R27" s="4"/>
    </row>
    <row r="28">
      <c r="A28" s="14" t="s">
        <v>1759</v>
      </c>
      <c r="B28" s="4"/>
      <c r="C28" s="4"/>
      <c r="D28" s="4"/>
      <c r="E28" s="5"/>
      <c r="F28" s="4"/>
      <c r="G28" s="4"/>
      <c r="H28" s="4"/>
      <c r="I28" s="23"/>
      <c r="J28" s="4"/>
      <c r="K28" s="4"/>
      <c r="L28" s="4"/>
      <c r="M28" s="4"/>
      <c r="N28" s="4"/>
      <c r="O28" s="4"/>
      <c r="P28" s="4"/>
      <c r="Q28" s="4"/>
      <c r="R28" s="4"/>
    </row>
    <row r="29">
      <c r="A29" s="14" t="s">
        <v>1759</v>
      </c>
      <c r="B29" s="4"/>
      <c r="C29" s="4"/>
      <c r="D29" s="4"/>
      <c r="E29" s="5"/>
      <c r="F29" s="4"/>
      <c r="G29" s="4"/>
      <c r="H29" s="4"/>
      <c r="I29" s="23"/>
      <c r="J29" s="4"/>
      <c r="K29" s="4"/>
      <c r="L29" s="4"/>
      <c r="M29" s="4"/>
      <c r="N29" s="4"/>
      <c r="O29" s="4"/>
      <c r="P29" s="4"/>
      <c r="Q29" s="4"/>
      <c r="R29" s="4"/>
    </row>
    <row r="30">
      <c r="A30" s="14" t="s">
        <v>1759</v>
      </c>
      <c r="B30" s="4"/>
      <c r="C30" s="4"/>
      <c r="D30" s="4"/>
      <c r="E30" s="5"/>
      <c r="F30" s="4"/>
      <c r="G30" s="4"/>
      <c r="H30" s="4"/>
      <c r="I30" s="23"/>
      <c r="J30" s="4"/>
      <c r="K30" s="4"/>
      <c r="L30" s="4"/>
      <c r="M30" s="4"/>
      <c r="N30" s="4"/>
      <c r="O30" s="4"/>
      <c r="P30" s="4"/>
      <c r="Q30" s="4"/>
      <c r="R30" s="4"/>
    </row>
    <row r="31">
      <c r="A31" s="14" t="s">
        <v>1759</v>
      </c>
      <c r="B31" s="4"/>
      <c r="C31" s="4"/>
      <c r="D31" s="4"/>
      <c r="E31" s="5"/>
      <c r="F31" s="4"/>
      <c r="G31" s="4"/>
      <c r="H31" s="4"/>
      <c r="I31" s="23"/>
      <c r="J31" s="4"/>
      <c r="K31" s="4"/>
      <c r="L31" s="4"/>
      <c r="M31" s="4"/>
      <c r="N31" s="4"/>
      <c r="O31" s="4"/>
      <c r="P31" s="4"/>
      <c r="Q31" s="4"/>
      <c r="R31" s="4"/>
    </row>
    <row r="32">
      <c r="A32" s="18"/>
      <c r="B32" s="4"/>
      <c r="C32" s="4"/>
      <c r="D32" s="4"/>
      <c r="E32" s="5"/>
      <c r="F32" s="4"/>
      <c r="G32" s="4"/>
      <c r="H32" s="4"/>
      <c r="I32" s="23"/>
      <c r="J32" s="4"/>
      <c r="K32" s="4"/>
      <c r="L32" s="4"/>
      <c r="M32" s="4"/>
      <c r="N32" s="4"/>
      <c r="O32" s="4"/>
      <c r="P32" s="4"/>
      <c r="Q32" s="4"/>
      <c r="R32" s="4"/>
    </row>
    <row r="33">
      <c r="A33" s="18"/>
      <c r="B33" s="4"/>
      <c r="C33" s="4"/>
      <c r="D33" s="4"/>
      <c r="E33" s="5"/>
      <c r="F33" s="4"/>
      <c r="G33" s="4"/>
      <c r="H33" s="4"/>
      <c r="I33" s="23"/>
      <c r="J33" s="4"/>
      <c r="K33" s="4"/>
      <c r="L33" s="4"/>
      <c r="M33" s="4"/>
      <c r="N33" s="4"/>
      <c r="O33" s="4"/>
      <c r="P33" s="4"/>
      <c r="Q33" s="4"/>
      <c r="R33" s="4"/>
    </row>
    <row r="34">
      <c r="A34" s="18"/>
      <c r="B34" s="4"/>
      <c r="C34" s="4"/>
      <c r="D34" s="4"/>
      <c r="E34" s="5"/>
      <c r="F34" s="4"/>
      <c r="G34" s="4"/>
      <c r="H34" s="4"/>
      <c r="I34" s="23"/>
      <c r="J34" s="4"/>
      <c r="K34" s="4"/>
      <c r="L34" s="4"/>
      <c r="M34" s="4"/>
      <c r="N34" s="4"/>
      <c r="O34" s="4"/>
      <c r="P34" s="4"/>
      <c r="Q34" s="4"/>
      <c r="R34" s="4"/>
    </row>
    <row r="35">
      <c r="A35" s="18"/>
      <c r="B35" s="4"/>
      <c r="C35" s="4"/>
      <c r="D35" s="4"/>
      <c r="E35" s="5"/>
      <c r="F35" s="4"/>
      <c r="G35" s="4"/>
      <c r="H35" s="4"/>
      <c r="I35" s="23"/>
      <c r="J35" s="4"/>
      <c r="K35" s="4"/>
      <c r="L35" s="4"/>
      <c r="M35" s="4"/>
      <c r="N35" s="4"/>
      <c r="O35" s="4"/>
      <c r="P35" s="4"/>
      <c r="Q35" s="4"/>
      <c r="R35" s="4"/>
    </row>
    <row r="36">
      <c r="A36" s="18"/>
      <c r="B36" s="4"/>
      <c r="C36" s="4"/>
      <c r="D36" s="4"/>
      <c r="E36" s="5"/>
      <c r="F36" s="4"/>
      <c r="G36" s="4"/>
      <c r="H36" s="4"/>
      <c r="I36" s="23"/>
      <c r="J36" s="4"/>
      <c r="K36" s="4"/>
      <c r="L36" s="4"/>
      <c r="M36" s="4"/>
      <c r="N36" s="4"/>
      <c r="O36" s="4"/>
      <c r="P36" s="4"/>
      <c r="Q36" s="4"/>
      <c r="R36" s="4"/>
    </row>
    <row r="37">
      <c r="A37" s="18"/>
      <c r="B37" s="4"/>
      <c r="C37" s="4"/>
      <c r="D37" s="4"/>
      <c r="E37" s="5"/>
      <c r="F37" s="4"/>
      <c r="G37" s="4"/>
      <c r="H37" s="4"/>
      <c r="I37" s="23"/>
      <c r="J37" s="4"/>
      <c r="K37" s="4"/>
      <c r="L37" s="4"/>
      <c r="M37" s="4"/>
      <c r="N37" s="4"/>
      <c r="O37" s="4"/>
      <c r="P37" s="4"/>
      <c r="Q37" s="4"/>
      <c r="R37" s="4"/>
    </row>
    <row r="38">
      <c r="A38" s="18"/>
      <c r="B38" s="4"/>
      <c r="C38" s="4"/>
      <c r="D38" s="4"/>
      <c r="E38" s="5"/>
      <c r="F38" s="4"/>
      <c r="G38" s="4"/>
      <c r="H38" s="4"/>
      <c r="I38" s="23"/>
      <c r="J38" s="4"/>
      <c r="K38" s="4"/>
      <c r="L38" s="4"/>
      <c r="M38" s="4"/>
      <c r="N38" s="4"/>
      <c r="O38" s="4"/>
      <c r="P38" s="4"/>
      <c r="Q38" s="4"/>
      <c r="R38" s="4"/>
    </row>
    <row r="39">
      <c r="A39" s="18"/>
      <c r="B39" s="4"/>
      <c r="C39" s="4"/>
      <c r="D39" s="4"/>
      <c r="E39" s="5"/>
      <c r="F39" s="4"/>
      <c r="G39" s="4"/>
      <c r="H39" s="4"/>
      <c r="I39" s="23"/>
      <c r="J39" s="4"/>
      <c r="K39" s="4"/>
      <c r="L39" s="4"/>
      <c r="M39" s="4"/>
      <c r="N39" s="4"/>
      <c r="O39" s="4"/>
      <c r="P39" s="4"/>
      <c r="Q39" s="4"/>
      <c r="R39" s="4"/>
    </row>
    <row r="40">
      <c r="A40" s="18"/>
      <c r="B40" s="4"/>
      <c r="C40" s="4"/>
      <c r="D40" s="4"/>
      <c r="E40" s="5"/>
      <c r="F40" s="4"/>
      <c r="G40" s="4"/>
      <c r="H40" s="4"/>
      <c r="I40" s="23"/>
      <c r="J40" s="4"/>
      <c r="K40" s="4"/>
      <c r="L40" s="4"/>
      <c r="M40" s="4"/>
      <c r="N40" s="4"/>
      <c r="O40" s="4"/>
      <c r="P40" s="4"/>
      <c r="Q40" s="4"/>
      <c r="R40" s="4"/>
    </row>
    <row r="41">
      <c r="A41" s="18"/>
      <c r="B41" s="4"/>
      <c r="C41" s="4"/>
      <c r="D41" s="4"/>
      <c r="E41" s="5"/>
      <c r="F41" s="4"/>
      <c r="G41" s="4"/>
      <c r="H41" s="4"/>
      <c r="I41" s="23"/>
      <c r="J41" s="4"/>
      <c r="K41" s="4"/>
      <c r="L41" s="4"/>
      <c r="M41" s="4"/>
      <c r="N41" s="4"/>
      <c r="O41" s="4"/>
      <c r="P41" s="4"/>
      <c r="Q41" s="4"/>
      <c r="R41" s="4"/>
    </row>
    <row r="42">
      <c r="A42" s="18"/>
      <c r="B42" s="4"/>
      <c r="C42" s="4"/>
      <c r="D42" s="4"/>
      <c r="E42" s="5"/>
      <c r="F42" s="4"/>
      <c r="G42" s="4"/>
      <c r="H42" s="4"/>
      <c r="I42" s="23"/>
      <c r="J42" s="4"/>
      <c r="K42" s="4"/>
      <c r="L42" s="4"/>
      <c r="M42" s="4"/>
      <c r="N42" s="4"/>
      <c r="O42" s="4"/>
      <c r="P42" s="4"/>
      <c r="Q42" s="4"/>
      <c r="R42" s="4"/>
    </row>
    <row r="43">
      <c r="A43" s="18"/>
      <c r="B43" s="4"/>
      <c r="C43" s="4"/>
      <c r="D43" s="4"/>
      <c r="E43" s="5"/>
      <c r="F43" s="4"/>
      <c r="G43" s="4"/>
      <c r="H43" s="4"/>
      <c r="I43" s="23"/>
      <c r="J43" s="4"/>
      <c r="K43" s="4"/>
      <c r="L43" s="4"/>
      <c r="M43" s="4"/>
      <c r="N43" s="4"/>
      <c r="O43" s="4"/>
      <c r="P43" s="4"/>
      <c r="Q43" s="4"/>
      <c r="R43" s="4"/>
    </row>
    <row r="44">
      <c r="A44" s="18"/>
      <c r="B44" s="4"/>
      <c r="C44" s="4"/>
      <c r="D44" s="4"/>
      <c r="E44" s="5"/>
      <c r="F44" s="4"/>
      <c r="G44" s="4"/>
      <c r="H44" s="4"/>
      <c r="I44" s="23"/>
      <c r="J44" s="4"/>
      <c r="K44" s="4"/>
      <c r="L44" s="4"/>
      <c r="M44" s="4"/>
      <c r="N44" s="4"/>
      <c r="O44" s="4"/>
      <c r="P44" s="4"/>
      <c r="Q44" s="4"/>
      <c r="R44" s="4"/>
    </row>
    <row r="45">
      <c r="A45" s="18"/>
      <c r="B45" s="4"/>
      <c r="C45" s="4"/>
      <c r="D45" s="4"/>
      <c r="E45" s="5"/>
      <c r="F45" s="4"/>
      <c r="G45" s="4"/>
      <c r="H45" s="4"/>
      <c r="I45" s="23"/>
      <c r="J45" s="4"/>
      <c r="K45" s="4"/>
      <c r="L45" s="4"/>
      <c r="M45" s="4"/>
      <c r="N45" s="4"/>
      <c r="O45" s="4"/>
      <c r="P45" s="4"/>
      <c r="Q45" s="4"/>
      <c r="R45" s="4"/>
    </row>
    <row r="46">
      <c r="A46" s="18"/>
      <c r="B46" s="4"/>
      <c r="C46" s="4"/>
      <c r="D46" s="4"/>
      <c r="E46" s="5"/>
      <c r="F46" s="4"/>
      <c r="G46" s="4"/>
      <c r="H46" s="4"/>
      <c r="I46" s="23"/>
      <c r="J46" s="4"/>
      <c r="K46" s="4"/>
      <c r="L46" s="4"/>
      <c r="M46" s="4"/>
      <c r="N46" s="4"/>
      <c r="O46" s="4"/>
      <c r="P46" s="4"/>
      <c r="Q46" s="4"/>
      <c r="R46" s="4"/>
    </row>
    <row r="47">
      <c r="A47" s="18"/>
      <c r="B47" s="4"/>
      <c r="C47" s="4"/>
      <c r="D47" s="4"/>
      <c r="E47" s="5"/>
      <c r="F47" s="4"/>
      <c r="G47" s="4"/>
      <c r="H47" s="4"/>
      <c r="I47" s="23"/>
      <c r="J47" s="4"/>
      <c r="K47" s="4"/>
      <c r="L47" s="4"/>
      <c r="M47" s="4"/>
      <c r="N47" s="4"/>
      <c r="O47" s="4"/>
      <c r="P47" s="4"/>
      <c r="Q47" s="4"/>
      <c r="R47" s="4"/>
    </row>
    <row r="48">
      <c r="A48" s="18"/>
      <c r="B48" s="4"/>
      <c r="C48" s="4"/>
      <c r="D48" s="4"/>
      <c r="E48" s="5"/>
      <c r="F48" s="4"/>
      <c r="G48" s="4"/>
      <c r="H48" s="4"/>
      <c r="I48" s="23"/>
      <c r="J48" s="4"/>
      <c r="K48" s="4"/>
      <c r="L48" s="4"/>
      <c r="M48" s="4"/>
      <c r="N48" s="4"/>
      <c r="O48" s="4"/>
      <c r="P48" s="4"/>
      <c r="Q48" s="4"/>
      <c r="R48" s="4"/>
    </row>
    <row r="49">
      <c r="A49" s="18"/>
      <c r="B49" s="4"/>
      <c r="C49" s="4"/>
      <c r="D49" s="4"/>
      <c r="E49" s="5"/>
      <c r="F49" s="4"/>
      <c r="G49" s="4"/>
      <c r="H49" s="4"/>
      <c r="I49" s="23"/>
      <c r="J49" s="4"/>
      <c r="K49" s="4"/>
      <c r="L49" s="4"/>
      <c r="M49" s="4"/>
      <c r="N49" s="4"/>
      <c r="O49" s="4"/>
      <c r="P49" s="4"/>
      <c r="Q49" s="4"/>
      <c r="R49" s="4"/>
    </row>
    <row r="50">
      <c r="A50" s="18"/>
      <c r="B50" s="4"/>
      <c r="C50" s="4"/>
      <c r="D50" s="4"/>
      <c r="E50" s="5"/>
      <c r="F50" s="4"/>
      <c r="G50" s="4"/>
      <c r="H50" s="4"/>
      <c r="I50" s="23"/>
      <c r="J50" s="4"/>
      <c r="K50" s="4"/>
      <c r="L50" s="4"/>
      <c r="M50" s="4"/>
      <c r="N50" s="4"/>
      <c r="O50" s="4"/>
      <c r="P50" s="4"/>
      <c r="Q50" s="4"/>
      <c r="R50" s="4"/>
    </row>
    <row r="51">
      <c r="A51" s="18"/>
      <c r="B51" s="4"/>
      <c r="C51" s="4"/>
      <c r="D51" s="4"/>
      <c r="E51" s="5"/>
      <c r="F51" s="4"/>
      <c r="G51" s="4"/>
      <c r="H51" s="4"/>
      <c r="I51" s="23"/>
      <c r="J51" s="4"/>
      <c r="K51" s="4"/>
      <c r="L51" s="4"/>
      <c r="M51" s="4"/>
      <c r="N51" s="4"/>
      <c r="O51" s="4"/>
      <c r="P51" s="4"/>
      <c r="Q51" s="4"/>
      <c r="R51" s="4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Analytics,Pro Dev,Front-end,Back-end,AWS ,Salesforce,AiCE,Pathway,virtual assistant,Data Science,Content Creation"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  <col customWidth="1" min="11" max="11" width="16.25"/>
    <col customWidth="1" min="12" max="12" width="20.0"/>
    <col customWidth="1" min="13" max="13" width="22.38"/>
    <col customWidth="1" min="14" max="14" width="16.5"/>
    <col customWidth="1" min="15" max="15" width="31.13"/>
    <col customWidth="1" min="16" max="16" width="14.13"/>
  </cols>
  <sheetData>
    <row r="1">
      <c r="A1" s="9" t="s">
        <v>1652</v>
      </c>
      <c r="B1" s="10" t="s">
        <v>1653</v>
      </c>
      <c r="C1" s="10" t="s">
        <v>1654</v>
      </c>
      <c r="D1" s="10" t="s">
        <v>1655</v>
      </c>
      <c r="E1" s="11" t="s">
        <v>1656</v>
      </c>
      <c r="F1" s="10" t="s">
        <v>1657</v>
      </c>
      <c r="G1" s="10" t="s">
        <v>5</v>
      </c>
      <c r="H1" s="10" t="s">
        <v>1658</v>
      </c>
      <c r="I1" s="10" t="s">
        <v>1659</v>
      </c>
      <c r="J1" s="10" t="s">
        <v>1660</v>
      </c>
      <c r="K1" s="10" t="s">
        <v>1661</v>
      </c>
      <c r="L1" s="10" t="s">
        <v>1662</v>
      </c>
      <c r="M1" s="10" t="s">
        <v>1663</v>
      </c>
      <c r="N1" s="10" t="s">
        <v>1664</v>
      </c>
      <c r="O1" s="10" t="s">
        <v>1665</v>
      </c>
      <c r="P1" s="10" t="s">
        <v>1666</v>
      </c>
      <c r="Q1" s="10" t="s">
        <v>1667</v>
      </c>
      <c r="R1" s="10" t="s">
        <v>1668</v>
      </c>
      <c r="S1" s="20" t="s">
        <v>1727</v>
      </c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18"/>
      <c r="B2" s="4"/>
      <c r="C2" s="4"/>
      <c r="D2" s="4"/>
      <c r="E2" s="5"/>
      <c r="F2" s="4"/>
      <c r="G2" s="4"/>
      <c r="H2" s="4"/>
      <c r="I2" s="2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8"/>
      <c r="B3" s="4"/>
      <c r="C3" s="4"/>
      <c r="D3" s="4"/>
      <c r="E3" s="5"/>
      <c r="F3" s="4"/>
      <c r="G3" s="4"/>
      <c r="H3" s="4"/>
      <c r="I3" s="23"/>
      <c r="J3" s="4"/>
      <c r="K3" s="4"/>
      <c r="L3" s="4"/>
      <c r="M3" s="4"/>
      <c r="N3" s="4"/>
      <c r="O3" s="4"/>
      <c r="P3" s="4"/>
      <c r="Q3" s="4"/>
      <c r="R3" s="4"/>
    </row>
    <row r="4">
      <c r="A4" s="18"/>
      <c r="B4" s="4"/>
      <c r="C4" s="4"/>
      <c r="D4" s="4"/>
      <c r="E4" s="5"/>
      <c r="F4" s="4"/>
      <c r="G4" s="4"/>
      <c r="H4" s="4"/>
      <c r="I4" s="23"/>
      <c r="J4" s="4"/>
      <c r="K4" s="4"/>
      <c r="L4" s="4"/>
      <c r="M4" s="4"/>
      <c r="N4" s="4"/>
      <c r="O4" s="4"/>
      <c r="P4" s="4"/>
      <c r="Q4" s="4"/>
      <c r="R4" s="4"/>
    </row>
    <row r="5">
      <c r="A5" s="18"/>
      <c r="B5" s="4"/>
      <c r="C5" s="4"/>
      <c r="D5" s="4"/>
      <c r="E5" s="5"/>
      <c r="F5" s="4"/>
      <c r="G5" s="4"/>
      <c r="H5" s="4"/>
      <c r="I5" s="23"/>
      <c r="J5" s="4"/>
      <c r="K5" s="4"/>
      <c r="L5" s="4"/>
      <c r="M5" s="4"/>
      <c r="N5" s="4"/>
      <c r="O5" s="4"/>
      <c r="P5" s="4"/>
      <c r="Q5" s="4"/>
      <c r="R5" s="4"/>
    </row>
    <row r="6">
      <c r="A6" s="18"/>
      <c r="B6" s="4"/>
      <c r="C6" s="4"/>
      <c r="D6" s="4"/>
      <c r="E6" s="5"/>
      <c r="F6" s="4"/>
      <c r="G6" s="4"/>
      <c r="H6" s="4"/>
      <c r="I6" s="23"/>
      <c r="J6" s="4"/>
      <c r="K6" s="4"/>
      <c r="L6" s="4"/>
      <c r="M6" s="4"/>
      <c r="N6" s="4"/>
      <c r="O6" s="4"/>
      <c r="P6" s="4"/>
      <c r="Q6" s="4"/>
      <c r="R6" s="4"/>
    </row>
    <row r="7">
      <c r="A7" s="18"/>
      <c r="B7" s="4"/>
      <c r="C7" s="4"/>
      <c r="D7" s="4"/>
      <c r="E7" s="5"/>
      <c r="F7" s="4"/>
      <c r="G7" s="4"/>
      <c r="H7" s="4"/>
      <c r="I7" s="23"/>
      <c r="J7" s="4"/>
      <c r="K7" s="4"/>
      <c r="L7" s="4"/>
      <c r="M7" s="4"/>
      <c r="N7" s="4"/>
      <c r="O7" s="4"/>
      <c r="P7" s="4"/>
      <c r="Q7" s="4"/>
      <c r="R7" s="4"/>
    </row>
    <row r="8">
      <c r="A8" s="18"/>
      <c r="B8" s="4"/>
      <c r="C8" s="4"/>
      <c r="D8" s="4"/>
      <c r="E8" s="5"/>
      <c r="F8" s="4"/>
      <c r="G8" s="4"/>
      <c r="H8" s="4"/>
      <c r="I8" s="23"/>
      <c r="J8" s="4"/>
      <c r="K8" s="4"/>
      <c r="L8" s="4"/>
      <c r="M8" s="4"/>
      <c r="N8" s="4"/>
      <c r="O8" s="4"/>
      <c r="P8" s="4"/>
      <c r="Q8" s="4"/>
      <c r="R8" s="4"/>
    </row>
    <row r="9">
      <c r="A9" s="18"/>
      <c r="B9" s="4"/>
      <c r="C9" s="4"/>
      <c r="D9" s="4"/>
      <c r="E9" s="5"/>
      <c r="F9" s="4"/>
      <c r="G9" s="4"/>
      <c r="H9" s="4"/>
      <c r="I9" s="23"/>
      <c r="J9" s="4"/>
      <c r="K9" s="4"/>
      <c r="L9" s="4"/>
      <c r="M9" s="4"/>
      <c r="N9" s="4"/>
      <c r="O9" s="4"/>
      <c r="P9" s="4"/>
      <c r="Q9" s="4"/>
      <c r="R9" s="4"/>
    </row>
    <row r="10">
      <c r="A10" s="18"/>
      <c r="B10" s="4"/>
      <c r="C10" s="4"/>
      <c r="D10" s="4"/>
      <c r="E10" s="5"/>
      <c r="F10" s="4"/>
      <c r="G10" s="4"/>
      <c r="H10" s="4"/>
      <c r="I10" s="23"/>
      <c r="J10" s="4"/>
      <c r="K10" s="4"/>
      <c r="L10" s="4"/>
      <c r="M10" s="4"/>
      <c r="N10" s="4"/>
      <c r="O10" s="4"/>
      <c r="P10" s="4"/>
      <c r="Q10" s="4"/>
      <c r="R10" s="4"/>
    </row>
    <row r="11">
      <c r="A11" s="18"/>
      <c r="B11" s="4"/>
      <c r="C11" s="4"/>
      <c r="D11" s="4"/>
      <c r="E11" s="5"/>
      <c r="F11" s="4"/>
      <c r="G11" s="4"/>
      <c r="H11" s="4"/>
      <c r="I11" s="23"/>
      <c r="J11" s="4"/>
      <c r="K11" s="4"/>
      <c r="L11" s="4"/>
      <c r="M11" s="4"/>
      <c r="N11" s="4"/>
      <c r="O11" s="4"/>
      <c r="P11" s="4"/>
      <c r="Q11" s="4"/>
      <c r="R11" s="4"/>
    </row>
    <row r="12">
      <c r="A12" s="18"/>
      <c r="B12" s="4"/>
      <c r="C12" s="4"/>
      <c r="D12" s="4"/>
      <c r="E12" s="5"/>
      <c r="F12" s="4"/>
      <c r="G12" s="4"/>
      <c r="H12" s="4"/>
      <c r="I12" s="23"/>
      <c r="J12" s="4"/>
      <c r="K12" s="4"/>
      <c r="L12" s="4"/>
      <c r="M12" s="4"/>
      <c r="N12" s="4"/>
      <c r="O12" s="4"/>
      <c r="P12" s="4"/>
      <c r="Q12" s="4"/>
      <c r="R12" s="4"/>
    </row>
    <row r="13">
      <c r="A13" s="18"/>
      <c r="B13" s="4"/>
      <c r="C13" s="4"/>
      <c r="D13" s="4"/>
      <c r="E13" s="5"/>
      <c r="F13" s="4"/>
      <c r="G13" s="4"/>
      <c r="H13" s="4"/>
      <c r="I13" s="23"/>
      <c r="J13" s="4"/>
      <c r="K13" s="4"/>
      <c r="L13" s="4"/>
      <c r="M13" s="4"/>
      <c r="N13" s="4"/>
      <c r="O13" s="4"/>
      <c r="P13" s="4"/>
      <c r="Q13" s="4"/>
      <c r="R13" s="4"/>
    </row>
    <row r="14">
      <c r="A14" s="18"/>
      <c r="B14" s="4"/>
      <c r="C14" s="4"/>
      <c r="D14" s="4"/>
      <c r="E14" s="5"/>
      <c r="F14" s="4"/>
      <c r="G14" s="4"/>
      <c r="H14" s="4"/>
      <c r="I14" s="23"/>
      <c r="J14" s="4"/>
      <c r="K14" s="4"/>
      <c r="L14" s="4"/>
      <c r="M14" s="4"/>
      <c r="N14" s="4"/>
      <c r="O14" s="4"/>
      <c r="P14" s="4"/>
      <c r="Q14" s="4"/>
      <c r="R14" s="4"/>
    </row>
    <row r="15">
      <c r="A15" s="18"/>
      <c r="B15" s="4"/>
      <c r="C15" s="4"/>
      <c r="D15" s="4"/>
      <c r="E15" s="5"/>
      <c r="F15" s="4"/>
      <c r="G15" s="4"/>
      <c r="H15" s="4"/>
      <c r="I15" s="23"/>
      <c r="J15" s="4"/>
      <c r="K15" s="4"/>
      <c r="L15" s="4"/>
      <c r="M15" s="4"/>
      <c r="N15" s="4"/>
      <c r="O15" s="4"/>
      <c r="P15" s="4"/>
      <c r="Q15" s="4"/>
      <c r="R15" s="4"/>
    </row>
    <row r="16">
      <c r="A16" s="18"/>
      <c r="B16" s="4"/>
      <c r="C16" s="4"/>
      <c r="D16" s="4"/>
      <c r="E16" s="5"/>
      <c r="F16" s="4"/>
      <c r="G16" s="4"/>
      <c r="H16" s="4"/>
      <c r="I16" s="23"/>
      <c r="J16" s="4"/>
      <c r="K16" s="4"/>
      <c r="L16" s="4"/>
      <c r="M16" s="4"/>
      <c r="N16" s="4"/>
      <c r="O16" s="4"/>
      <c r="P16" s="4"/>
      <c r="Q16" s="4"/>
      <c r="R16" s="4"/>
    </row>
    <row r="17">
      <c r="A17" s="18"/>
      <c r="B17" s="4"/>
      <c r="C17" s="4"/>
      <c r="D17" s="4"/>
      <c r="E17" s="5"/>
      <c r="F17" s="4"/>
      <c r="G17" s="4"/>
      <c r="H17" s="4"/>
      <c r="I17" s="23"/>
      <c r="J17" s="4"/>
      <c r="K17" s="4"/>
      <c r="L17" s="4"/>
      <c r="M17" s="4"/>
      <c r="N17" s="4"/>
      <c r="O17" s="4"/>
      <c r="P17" s="4"/>
      <c r="Q17" s="4"/>
      <c r="R17" s="4"/>
    </row>
    <row r="18">
      <c r="A18" s="18"/>
      <c r="B18" s="4"/>
      <c r="C18" s="4"/>
      <c r="D18" s="4"/>
      <c r="E18" s="5"/>
      <c r="F18" s="4"/>
      <c r="G18" s="4"/>
      <c r="H18" s="4"/>
      <c r="I18" s="23"/>
      <c r="J18" s="4"/>
      <c r="K18" s="4"/>
      <c r="L18" s="4"/>
      <c r="M18" s="4"/>
      <c r="N18" s="4"/>
      <c r="O18" s="4"/>
      <c r="P18" s="4"/>
      <c r="Q18" s="4"/>
      <c r="R18" s="4"/>
    </row>
    <row r="19">
      <c r="A19" s="18"/>
      <c r="B19" s="4"/>
      <c r="C19" s="4"/>
      <c r="D19" s="4"/>
      <c r="E19" s="5"/>
      <c r="F19" s="4"/>
      <c r="G19" s="4"/>
      <c r="H19" s="4"/>
      <c r="I19" s="23"/>
      <c r="J19" s="4"/>
      <c r="K19" s="4"/>
      <c r="L19" s="4"/>
      <c r="M19" s="4"/>
      <c r="N19" s="4"/>
      <c r="O19" s="4"/>
      <c r="P19" s="4"/>
      <c r="Q19" s="4"/>
      <c r="R19" s="4"/>
    </row>
    <row r="20">
      <c r="A20" s="18"/>
      <c r="B20" s="4"/>
      <c r="C20" s="4"/>
      <c r="D20" s="4"/>
      <c r="E20" s="5"/>
      <c r="F20" s="4"/>
      <c r="G20" s="4"/>
      <c r="H20" s="4"/>
      <c r="I20" s="23"/>
      <c r="J20" s="4"/>
      <c r="K20" s="4"/>
      <c r="L20" s="4"/>
      <c r="M20" s="4"/>
      <c r="N20" s="4"/>
      <c r="O20" s="4"/>
      <c r="P20" s="4"/>
      <c r="Q20" s="4"/>
      <c r="R20" s="4"/>
    </row>
    <row r="21">
      <c r="A21" s="18"/>
      <c r="B21" s="4"/>
      <c r="C21" s="4"/>
      <c r="D21" s="4"/>
      <c r="E21" s="5"/>
      <c r="F21" s="4"/>
      <c r="G21" s="4"/>
      <c r="H21" s="4"/>
      <c r="I21" s="23"/>
      <c r="J21" s="4"/>
      <c r="K21" s="4"/>
      <c r="L21" s="4"/>
      <c r="M21" s="4"/>
      <c r="N21" s="4"/>
      <c r="O21" s="4"/>
      <c r="P21" s="4"/>
      <c r="Q21" s="4"/>
      <c r="R21" s="4"/>
    </row>
    <row r="22">
      <c r="A22" s="18"/>
      <c r="B22" s="4"/>
      <c r="C22" s="4"/>
      <c r="D22" s="4"/>
      <c r="E22" s="5"/>
      <c r="F22" s="4"/>
      <c r="G22" s="4"/>
      <c r="H22" s="4"/>
      <c r="I22" s="23"/>
      <c r="J22" s="4"/>
      <c r="K22" s="4"/>
      <c r="L22" s="4"/>
      <c r="M22" s="4"/>
      <c r="N22" s="4"/>
      <c r="O22" s="4"/>
      <c r="P22" s="4"/>
      <c r="Q22" s="4"/>
      <c r="R22" s="4"/>
    </row>
    <row r="23">
      <c r="A23" s="18"/>
      <c r="B23" s="4"/>
      <c r="C23" s="4"/>
      <c r="D23" s="4"/>
      <c r="E23" s="5"/>
      <c r="F23" s="4"/>
      <c r="G23" s="4"/>
      <c r="H23" s="4"/>
      <c r="I23" s="23"/>
      <c r="J23" s="4"/>
      <c r="K23" s="4"/>
      <c r="L23" s="4"/>
      <c r="M23" s="4"/>
      <c r="N23" s="4"/>
      <c r="O23" s="4"/>
      <c r="P23" s="4"/>
      <c r="Q23" s="4"/>
      <c r="R23" s="4"/>
    </row>
    <row r="24">
      <c r="A24" s="18"/>
      <c r="B24" s="4"/>
      <c r="C24" s="4"/>
      <c r="D24" s="4"/>
      <c r="E24" s="5"/>
      <c r="F24" s="4"/>
      <c r="G24" s="4"/>
      <c r="H24" s="4"/>
      <c r="I24" s="23"/>
      <c r="J24" s="4"/>
      <c r="K24" s="4"/>
      <c r="L24" s="4"/>
      <c r="M24" s="4"/>
      <c r="N24" s="4"/>
      <c r="O24" s="4"/>
      <c r="P24" s="4"/>
      <c r="Q24" s="4"/>
      <c r="R24" s="4"/>
    </row>
    <row r="25">
      <c r="A25" s="18"/>
      <c r="B25" s="4"/>
      <c r="C25" s="4"/>
      <c r="D25" s="4"/>
      <c r="E25" s="5"/>
      <c r="F25" s="4"/>
      <c r="G25" s="4"/>
      <c r="H25" s="4"/>
      <c r="I25" s="23"/>
      <c r="J25" s="4"/>
      <c r="K25" s="4"/>
      <c r="L25" s="4"/>
      <c r="M25" s="4"/>
      <c r="N25" s="4"/>
      <c r="O25" s="4"/>
      <c r="P25" s="4"/>
      <c r="Q25" s="4"/>
      <c r="R25" s="4"/>
    </row>
    <row r="26">
      <c r="A26" s="18"/>
      <c r="B26" s="4"/>
      <c r="C26" s="4"/>
      <c r="D26" s="4"/>
      <c r="E26" s="5"/>
      <c r="F26" s="4"/>
      <c r="G26" s="4"/>
      <c r="H26" s="4"/>
      <c r="I26" s="23"/>
      <c r="J26" s="4"/>
      <c r="K26" s="4"/>
      <c r="L26" s="4"/>
      <c r="M26" s="4"/>
      <c r="N26" s="4"/>
      <c r="O26" s="4"/>
      <c r="P26" s="4"/>
      <c r="Q26" s="4"/>
      <c r="R26" s="4"/>
    </row>
    <row r="27">
      <c r="A27" s="18"/>
      <c r="B27" s="4"/>
      <c r="C27" s="4"/>
      <c r="D27" s="4"/>
      <c r="E27" s="5"/>
      <c r="F27" s="4"/>
      <c r="G27" s="4"/>
      <c r="H27" s="4"/>
      <c r="I27" s="23"/>
      <c r="J27" s="4"/>
      <c r="K27" s="4"/>
      <c r="L27" s="4"/>
      <c r="M27" s="4"/>
      <c r="N27" s="4"/>
      <c r="O27" s="4"/>
      <c r="P27" s="4"/>
      <c r="Q27" s="4"/>
      <c r="R27" s="4"/>
    </row>
    <row r="28">
      <c r="A28" s="18"/>
      <c r="B28" s="4"/>
      <c r="C28" s="4"/>
      <c r="D28" s="4"/>
      <c r="E28" s="5"/>
      <c r="F28" s="4"/>
      <c r="G28" s="4"/>
      <c r="H28" s="4"/>
      <c r="I28" s="23"/>
      <c r="J28" s="4"/>
      <c r="K28" s="4"/>
      <c r="L28" s="4"/>
      <c r="M28" s="4"/>
      <c r="N28" s="4"/>
      <c r="O28" s="4"/>
      <c r="P28" s="4"/>
      <c r="Q28" s="4"/>
      <c r="R28" s="4"/>
    </row>
    <row r="29">
      <c r="A29" s="18"/>
      <c r="B29" s="4"/>
      <c r="C29" s="4"/>
      <c r="D29" s="4"/>
      <c r="E29" s="5"/>
      <c r="F29" s="4"/>
      <c r="G29" s="4"/>
      <c r="H29" s="4"/>
      <c r="I29" s="23"/>
      <c r="J29" s="4"/>
      <c r="K29" s="4"/>
      <c r="L29" s="4"/>
      <c r="M29" s="4"/>
      <c r="N29" s="4"/>
      <c r="O29" s="4"/>
      <c r="P29" s="4"/>
      <c r="Q29" s="4"/>
      <c r="R29" s="4"/>
    </row>
    <row r="30">
      <c r="A30" s="18"/>
      <c r="B30" s="4"/>
      <c r="C30" s="4"/>
      <c r="D30" s="4"/>
      <c r="E30" s="5"/>
      <c r="F30" s="4"/>
      <c r="G30" s="4"/>
      <c r="H30" s="4"/>
      <c r="I30" s="23"/>
      <c r="J30" s="4"/>
      <c r="K30" s="4"/>
      <c r="L30" s="4"/>
      <c r="M30" s="4"/>
      <c r="N30" s="4"/>
      <c r="O30" s="4"/>
      <c r="P30" s="4"/>
      <c r="Q30" s="4"/>
      <c r="R30" s="4"/>
    </row>
    <row r="31">
      <c r="A31" s="18"/>
      <c r="B31" s="4"/>
      <c r="C31" s="4"/>
      <c r="D31" s="4"/>
      <c r="E31" s="5"/>
      <c r="F31" s="4"/>
      <c r="G31" s="4"/>
      <c r="H31" s="4"/>
      <c r="I31" s="23"/>
      <c r="J31" s="4"/>
      <c r="K31" s="4"/>
      <c r="L31" s="4"/>
      <c r="M31" s="4"/>
      <c r="N31" s="4"/>
      <c r="O31" s="4"/>
      <c r="P31" s="4"/>
      <c r="Q31" s="4"/>
      <c r="R31" s="4"/>
    </row>
    <row r="32">
      <c r="A32" s="18"/>
      <c r="B32" s="4"/>
      <c r="C32" s="4"/>
      <c r="D32" s="4"/>
      <c r="E32" s="5"/>
      <c r="F32" s="4"/>
      <c r="G32" s="4"/>
      <c r="H32" s="4"/>
      <c r="I32" s="23"/>
      <c r="J32" s="4"/>
      <c r="K32" s="4"/>
      <c r="L32" s="4"/>
      <c r="M32" s="4"/>
      <c r="N32" s="4"/>
      <c r="O32" s="4"/>
      <c r="P32" s="4"/>
      <c r="Q32" s="4"/>
      <c r="R32" s="4"/>
    </row>
    <row r="33">
      <c r="A33" s="18"/>
      <c r="B33" s="4"/>
      <c r="C33" s="4"/>
      <c r="D33" s="4"/>
      <c r="E33" s="5"/>
      <c r="F33" s="4"/>
      <c r="G33" s="4"/>
      <c r="H33" s="4"/>
      <c r="I33" s="23"/>
      <c r="J33" s="4"/>
      <c r="K33" s="4"/>
      <c r="L33" s="4"/>
      <c r="M33" s="4"/>
      <c r="N33" s="4"/>
      <c r="O33" s="4"/>
      <c r="P33" s="4"/>
      <c r="Q33" s="4"/>
      <c r="R33" s="4"/>
    </row>
    <row r="34">
      <c r="A34" s="18"/>
      <c r="B34" s="4"/>
      <c r="C34" s="4"/>
      <c r="D34" s="4"/>
      <c r="E34" s="5"/>
      <c r="F34" s="4"/>
      <c r="G34" s="4"/>
      <c r="H34" s="4"/>
      <c r="I34" s="23"/>
      <c r="J34" s="4"/>
      <c r="K34" s="4"/>
      <c r="L34" s="4"/>
      <c r="M34" s="4"/>
      <c r="N34" s="4"/>
      <c r="O34" s="4"/>
      <c r="P34" s="4"/>
      <c r="Q34" s="4"/>
      <c r="R34" s="4"/>
    </row>
    <row r="35">
      <c r="A35" s="18"/>
      <c r="B35" s="4"/>
      <c r="C35" s="4"/>
      <c r="D35" s="4"/>
      <c r="E35" s="5"/>
      <c r="F35" s="4"/>
      <c r="G35" s="4"/>
      <c r="H35" s="4"/>
      <c r="I35" s="23"/>
      <c r="J35" s="4"/>
      <c r="K35" s="4"/>
      <c r="L35" s="4"/>
      <c r="M35" s="4"/>
      <c r="N35" s="4"/>
      <c r="O35" s="4"/>
      <c r="P35" s="4"/>
      <c r="Q35" s="4"/>
      <c r="R35" s="4"/>
    </row>
    <row r="36">
      <c r="A36" s="18"/>
      <c r="B36" s="4"/>
      <c r="C36" s="4"/>
      <c r="D36" s="4"/>
      <c r="E36" s="5"/>
      <c r="F36" s="4"/>
      <c r="G36" s="4"/>
      <c r="H36" s="4"/>
      <c r="I36" s="23"/>
      <c r="J36" s="4"/>
      <c r="K36" s="4"/>
      <c r="L36" s="4"/>
      <c r="M36" s="4"/>
      <c r="N36" s="4"/>
      <c r="O36" s="4"/>
      <c r="P36" s="4"/>
      <c r="Q36" s="4"/>
      <c r="R36" s="4"/>
    </row>
    <row r="37">
      <c r="A37" s="18"/>
      <c r="B37" s="4"/>
      <c r="C37" s="4"/>
      <c r="D37" s="4"/>
      <c r="E37" s="5"/>
      <c r="F37" s="4"/>
      <c r="G37" s="4"/>
      <c r="H37" s="4"/>
      <c r="I37" s="23"/>
      <c r="J37" s="4"/>
      <c r="K37" s="4"/>
      <c r="L37" s="4"/>
      <c r="M37" s="4"/>
      <c r="N37" s="4"/>
      <c r="O37" s="4"/>
      <c r="P37" s="4"/>
      <c r="Q37" s="4"/>
      <c r="R37" s="4"/>
    </row>
    <row r="38">
      <c r="A38" s="18"/>
      <c r="B38" s="4"/>
      <c r="C38" s="4"/>
      <c r="D38" s="4"/>
      <c r="E38" s="5"/>
      <c r="F38" s="4"/>
      <c r="G38" s="4"/>
      <c r="H38" s="4"/>
      <c r="I38" s="23"/>
      <c r="J38" s="4"/>
      <c r="K38" s="4"/>
      <c r="L38" s="4"/>
      <c r="M38" s="4"/>
      <c r="N38" s="4"/>
      <c r="O38" s="4"/>
      <c r="P38" s="4"/>
      <c r="Q38" s="4"/>
      <c r="R38" s="4"/>
    </row>
    <row r="39">
      <c r="A39" s="18"/>
      <c r="B39" s="4"/>
      <c r="C39" s="4"/>
      <c r="D39" s="4"/>
      <c r="E39" s="5"/>
      <c r="F39" s="4"/>
      <c r="G39" s="4"/>
      <c r="H39" s="4"/>
      <c r="I39" s="23"/>
      <c r="J39" s="4"/>
      <c r="K39" s="4"/>
      <c r="L39" s="4"/>
      <c r="M39" s="4"/>
      <c r="N39" s="4"/>
      <c r="O39" s="4"/>
      <c r="P39" s="4"/>
      <c r="Q39" s="4"/>
      <c r="R39" s="4"/>
    </row>
    <row r="40">
      <c r="A40" s="18"/>
      <c r="B40" s="4"/>
      <c r="C40" s="4"/>
      <c r="D40" s="4"/>
      <c r="E40" s="5"/>
      <c r="F40" s="4"/>
      <c r="G40" s="4"/>
      <c r="H40" s="4"/>
      <c r="I40" s="23"/>
      <c r="J40" s="4"/>
      <c r="K40" s="4"/>
      <c r="L40" s="4"/>
      <c r="M40" s="4"/>
      <c r="N40" s="4"/>
      <c r="O40" s="4"/>
      <c r="P40" s="4"/>
      <c r="Q40" s="4"/>
      <c r="R40" s="4"/>
    </row>
    <row r="41">
      <c r="A41" s="18"/>
      <c r="B41" s="4"/>
      <c r="C41" s="4"/>
      <c r="D41" s="4"/>
      <c r="E41" s="5"/>
      <c r="F41" s="4"/>
      <c r="G41" s="4"/>
      <c r="H41" s="4"/>
      <c r="I41" s="23"/>
      <c r="J41" s="4"/>
      <c r="K41" s="4"/>
      <c r="L41" s="4"/>
      <c r="M41" s="4"/>
      <c r="N41" s="4"/>
      <c r="O41" s="4"/>
      <c r="P41" s="4"/>
      <c r="Q41" s="4"/>
      <c r="R41" s="4"/>
    </row>
    <row r="42">
      <c r="A42" s="18"/>
      <c r="B42" s="4"/>
      <c r="C42" s="4"/>
      <c r="D42" s="4"/>
      <c r="E42" s="5"/>
      <c r="F42" s="4"/>
      <c r="G42" s="4"/>
      <c r="H42" s="4"/>
      <c r="I42" s="23"/>
      <c r="J42" s="4"/>
      <c r="K42" s="4"/>
      <c r="L42" s="4"/>
      <c r="M42" s="4"/>
      <c r="N42" s="4"/>
      <c r="O42" s="4"/>
      <c r="P42" s="4"/>
      <c r="Q42" s="4"/>
      <c r="R42" s="4"/>
    </row>
    <row r="43">
      <c r="A43" s="18"/>
      <c r="B43" s="4"/>
      <c r="C43" s="4"/>
      <c r="D43" s="4"/>
      <c r="E43" s="5"/>
      <c r="F43" s="4"/>
      <c r="G43" s="4"/>
      <c r="H43" s="4"/>
      <c r="I43" s="23"/>
      <c r="J43" s="4"/>
      <c r="K43" s="4"/>
      <c r="L43" s="4"/>
      <c r="M43" s="4"/>
      <c r="N43" s="4"/>
      <c r="O43" s="4"/>
      <c r="P43" s="4"/>
      <c r="Q43" s="4"/>
      <c r="R43" s="4"/>
    </row>
    <row r="44">
      <c r="A44" s="18"/>
      <c r="B44" s="4"/>
      <c r="C44" s="4"/>
      <c r="D44" s="4"/>
      <c r="E44" s="5"/>
      <c r="F44" s="4"/>
      <c r="G44" s="4"/>
      <c r="H44" s="4"/>
      <c r="I44" s="23"/>
      <c r="J44" s="4"/>
      <c r="K44" s="4"/>
      <c r="L44" s="4"/>
      <c r="M44" s="4"/>
      <c r="N44" s="4"/>
      <c r="O44" s="4"/>
      <c r="P44" s="4"/>
      <c r="Q44" s="4"/>
      <c r="R44" s="4"/>
    </row>
    <row r="45">
      <c r="A45" s="18"/>
      <c r="B45" s="4"/>
      <c r="C45" s="4"/>
      <c r="D45" s="4"/>
      <c r="E45" s="5"/>
      <c r="F45" s="4"/>
      <c r="G45" s="4"/>
      <c r="H45" s="4"/>
      <c r="I45" s="23"/>
      <c r="J45" s="4"/>
      <c r="K45" s="4"/>
      <c r="L45" s="4"/>
      <c r="M45" s="4"/>
      <c r="N45" s="4"/>
      <c r="O45" s="4"/>
      <c r="P45" s="4"/>
      <c r="Q45" s="4"/>
      <c r="R45" s="4"/>
    </row>
    <row r="46">
      <c r="A46" s="18"/>
      <c r="B46" s="4"/>
      <c r="C46" s="4"/>
      <c r="D46" s="4"/>
      <c r="E46" s="5"/>
      <c r="F46" s="4"/>
      <c r="G46" s="4"/>
      <c r="H46" s="4"/>
      <c r="I46" s="23"/>
      <c r="J46" s="4"/>
      <c r="K46" s="4"/>
      <c r="L46" s="4"/>
      <c r="M46" s="4"/>
      <c r="N46" s="4"/>
      <c r="O46" s="4"/>
      <c r="P46" s="4"/>
      <c r="Q46" s="4"/>
      <c r="R46" s="4"/>
    </row>
    <row r="47">
      <c r="A47" s="18"/>
      <c r="B47" s="4"/>
      <c r="C47" s="4"/>
      <c r="D47" s="4"/>
      <c r="E47" s="5"/>
      <c r="F47" s="4"/>
      <c r="G47" s="4"/>
      <c r="H47" s="4"/>
      <c r="I47" s="23"/>
      <c r="J47" s="4"/>
      <c r="K47" s="4"/>
      <c r="L47" s="4"/>
      <c r="M47" s="4"/>
      <c r="N47" s="4"/>
      <c r="O47" s="4"/>
      <c r="P47" s="4"/>
      <c r="Q47" s="4"/>
      <c r="R47" s="4"/>
    </row>
    <row r="48">
      <c r="A48" s="18"/>
      <c r="B48" s="4"/>
      <c r="C48" s="4"/>
      <c r="D48" s="4"/>
      <c r="E48" s="5"/>
      <c r="F48" s="4"/>
      <c r="G48" s="4"/>
      <c r="H48" s="4"/>
      <c r="I48" s="23"/>
      <c r="J48" s="4"/>
      <c r="K48" s="4"/>
      <c r="L48" s="4"/>
      <c r="M48" s="4"/>
      <c r="N48" s="4"/>
      <c r="O48" s="4"/>
      <c r="P48" s="4"/>
      <c r="Q48" s="4"/>
      <c r="R48" s="4"/>
    </row>
    <row r="49">
      <c r="A49" s="18"/>
      <c r="B49" s="4"/>
      <c r="C49" s="4"/>
      <c r="D49" s="4"/>
      <c r="E49" s="5"/>
      <c r="F49" s="4"/>
      <c r="G49" s="4"/>
      <c r="H49" s="4"/>
      <c r="I49" s="23"/>
      <c r="J49" s="4"/>
      <c r="K49" s="4"/>
      <c r="L49" s="4"/>
      <c r="M49" s="4"/>
      <c r="N49" s="4"/>
      <c r="O49" s="4"/>
      <c r="P49" s="4"/>
      <c r="Q49" s="4"/>
      <c r="R49" s="4"/>
    </row>
    <row r="50">
      <c r="A50" s="18"/>
      <c r="B50" s="4"/>
      <c r="C50" s="4"/>
      <c r="D50" s="4"/>
      <c r="E50" s="5"/>
      <c r="F50" s="4"/>
      <c r="G50" s="4"/>
      <c r="H50" s="4"/>
      <c r="I50" s="23"/>
      <c r="J50" s="4"/>
      <c r="K50" s="4"/>
      <c r="L50" s="4"/>
      <c r="M50" s="4"/>
      <c r="N50" s="4"/>
      <c r="O50" s="4"/>
      <c r="P50" s="4"/>
      <c r="Q50" s="4"/>
      <c r="R50" s="4"/>
    </row>
    <row r="51">
      <c r="A51" s="18"/>
      <c r="B51" s="4"/>
      <c r="C51" s="4"/>
      <c r="D51" s="4"/>
      <c r="E51" s="5"/>
      <c r="F51" s="4"/>
      <c r="G51" s="4"/>
      <c r="H51" s="4"/>
      <c r="I51" s="23"/>
      <c r="J51" s="4"/>
      <c r="K51" s="4"/>
      <c r="L51" s="4"/>
      <c r="M51" s="4"/>
      <c r="N51" s="4"/>
      <c r="O51" s="4"/>
      <c r="P51" s="4"/>
      <c r="Q51" s="4"/>
      <c r="R51" s="4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