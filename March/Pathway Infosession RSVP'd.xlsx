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ll in one" sheetId="2" r:id="rId5"/>
    <sheet state="visible" name="Abeba" sheetId="3" r:id="rId6"/>
    <sheet state="visible" name="Nati" sheetId="4" r:id="rId7"/>
    <sheet state="visible" name="Tsedenia" sheetId="5" r:id="rId8"/>
    <sheet state="visible" name="Yosef" sheetId="6" r:id="rId9"/>
  </sheets>
  <definedNames/>
  <calcPr/>
</workbook>
</file>

<file path=xl/sharedStrings.xml><?xml version="1.0" encoding="utf-8"?>
<sst xmlns="http://schemas.openxmlformats.org/spreadsheetml/2006/main" count="7067" uniqueCount="924">
  <si>
    <t>Email</t>
  </si>
  <si>
    <t>Full Name</t>
  </si>
  <si>
    <t>Phone Number</t>
  </si>
  <si>
    <t>Which day will you be able to join us?</t>
  </si>
  <si>
    <t>ahmdbdallhfaskw@gmail.com</t>
  </si>
  <si>
    <t>أحمد عبدالله</t>
  </si>
  <si>
    <t>Saturday, March 15, 2024 (ቅዳሜ, መጋቢት 6, 2017)</t>
  </si>
  <si>
    <t>Eyobh209@gmail.com</t>
  </si>
  <si>
    <t>Eyob Hailu</t>
  </si>
  <si>
    <t>Friday, March 14, 2024 (ዓርብ, መጋቢት 5, 2017)</t>
  </si>
  <si>
    <t>danawitmesenbet94@gmail.com</t>
  </si>
  <si>
    <t>danawit mesenbet</t>
  </si>
  <si>
    <t>mollanebiyu976@gmail.com</t>
  </si>
  <si>
    <t>Nebiyu Sileshi Molla</t>
  </si>
  <si>
    <t>Gashaw5@gemil.com</t>
  </si>
  <si>
    <t>Gashaw</t>
  </si>
  <si>
    <t>sumeyak176@gmail.com</t>
  </si>
  <si>
    <t>Sumeya kedir</t>
  </si>
  <si>
    <t>Muzemiledris9@gmail.com</t>
  </si>
  <si>
    <t>Muzemil edris</t>
  </si>
  <si>
    <t>Jemal0662 gmail.com</t>
  </si>
  <si>
    <t>Jemal</t>
  </si>
  <si>
    <t>beyenezemedie1@gmail.com</t>
  </si>
  <si>
    <t>Beyene Zemedie</t>
  </si>
  <si>
    <t>emanabdu799@gmail.com</t>
  </si>
  <si>
    <t>Eman abdurahman</t>
  </si>
  <si>
    <t>Kelilteji377@gmail.com</t>
  </si>
  <si>
    <t>Kelil teji roba</t>
  </si>
  <si>
    <t>bereketferaw29@gmail.com</t>
  </si>
  <si>
    <t>Bereket Feraw Begna</t>
  </si>
  <si>
    <t>abrahammazengiyaw@gmail.com</t>
  </si>
  <si>
    <t>Abraham Mazengiyaw Bezie</t>
  </si>
  <si>
    <t>dawudaze@gmail.com</t>
  </si>
  <si>
    <t>Dawud Muhie</t>
  </si>
  <si>
    <t>nikodimos1111endeshaw@gmail.com</t>
  </si>
  <si>
    <t>Nikodimos Endeshaw</t>
  </si>
  <si>
    <t>alemutigist500gmai.com</t>
  </si>
  <si>
    <t>Tigist Alemu muchye</t>
  </si>
  <si>
    <t>puotmakuach@gmail.com</t>
  </si>
  <si>
    <t>Puot makuach</t>
  </si>
  <si>
    <t>Orniyazeidan@gmail.com</t>
  </si>
  <si>
    <t>Orniya Zeidan Abubeker</t>
  </si>
  <si>
    <t>Syd</t>
  </si>
  <si>
    <t>zelalemtaddesse0@gmail.com</t>
  </si>
  <si>
    <t>zelalem</t>
  </si>
  <si>
    <t>takelenega2@gmail.com</t>
  </si>
  <si>
    <t>Takele Nega</t>
  </si>
  <si>
    <t>dawidsaidhamid@gmail.com</t>
  </si>
  <si>
    <t>dawid said hamid</t>
  </si>
  <si>
    <t>Tarikuetefa123@gmail.com</t>
  </si>
  <si>
    <t>Tariku Etefa</t>
  </si>
  <si>
    <t>hanamz2001@gmail.com</t>
  </si>
  <si>
    <t>hana mezgebe</t>
  </si>
  <si>
    <t>No</t>
  </si>
  <si>
    <t>LIDYA ABEBAYEHU KASSA BOGALE</t>
  </si>
  <si>
    <t>endalekasaye7@gmail.com</t>
  </si>
  <si>
    <t>Endale kasaye zawude</t>
  </si>
  <si>
    <t>abdulmutelib hadi@gmail.com</t>
  </si>
  <si>
    <t>abdulmutelib hadi beshir</t>
  </si>
  <si>
    <t>Abdulmutelib hadi @gmail.com</t>
  </si>
  <si>
    <t>abdulmutelib hadi</t>
  </si>
  <si>
    <t>abduljebartuna2012gmailcom</t>
  </si>
  <si>
    <t>Abduljebar Tuna</t>
  </si>
  <si>
    <t>www.muradahamed10@gmail.com</t>
  </si>
  <si>
    <t>Murad Ahmed</t>
  </si>
  <si>
    <t>yeshizewde1999@gamil.com</t>
  </si>
  <si>
    <t>blen brhanu</t>
  </si>
  <si>
    <t>Admasu mekbib.</t>
  </si>
  <si>
    <t>Admasu mekbib</t>
  </si>
  <si>
    <t>mebratuteshalew@gmail.com</t>
  </si>
  <si>
    <t>Mebratu Teshale</t>
  </si>
  <si>
    <t>teferigetahun23@gmail.com</t>
  </si>
  <si>
    <t>Teferi getahun</t>
  </si>
  <si>
    <t>tadesebekele06@gmail.com</t>
  </si>
  <si>
    <t>Tadese Bekele</t>
  </si>
  <si>
    <t>hanig@email com</t>
  </si>
  <si>
    <t>Hana</t>
  </si>
  <si>
    <t>muzeyink@gmail.com</t>
  </si>
  <si>
    <t>Kedir Muzeyin</t>
  </si>
  <si>
    <t>berhanushiferaw324@gmail.com</t>
  </si>
  <si>
    <t>Berhanu Shiferaw</t>
  </si>
  <si>
    <t>Birahneshaka@gmail.com</t>
  </si>
  <si>
    <t>Birhane shaka adra</t>
  </si>
  <si>
    <t>Milisha.werika@gmail.com</t>
  </si>
  <si>
    <t>Milisha werika defi</t>
  </si>
  <si>
    <t>sfcgxshkjv njkjkllk</t>
  </si>
  <si>
    <t>sd</t>
  </si>
  <si>
    <t>daddisu9@gmail.com</t>
  </si>
  <si>
    <t>Desalegn Addisu Niguse</t>
  </si>
  <si>
    <t>melesesumoro5@gmail.com</t>
  </si>
  <si>
    <t>Melese sumoro</t>
  </si>
  <si>
    <t>yewuduham@gmail.com</t>
  </si>
  <si>
    <t>Hamelmal Yewudu</t>
  </si>
  <si>
    <t>senaittemtem66@gmail.com</t>
  </si>
  <si>
    <t>Senait Temteme Azerfegn</t>
  </si>
  <si>
    <t>fissehakassaye2024@gmail.com</t>
  </si>
  <si>
    <t>fisseha kassaye yirko</t>
  </si>
  <si>
    <t>Abduramandawiid</t>
  </si>
  <si>
    <t>Abbasedris316@gmail.com</t>
  </si>
  <si>
    <t>Abbas edris</t>
  </si>
  <si>
    <t>abbasedris316@gmail.com</t>
  </si>
  <si>
    <t>Abbas edris hamid</t>
  </si>
  <si>
    <t>azmach keberbew@.com</t>
  </si>
  <si>
    <t>soliyana getahun</t>
  </si>
  <si>
    <t>getachewtekalign78@gmail.com</t>
  </si>
  <si>
    <t>tekalign getachew</t>
  </si>
  <si>
    <t>ahmedhulala11@gmail.com</t>
  </si>
  <si>
    <t>Ahmed</t>
  </si>
  <si>
    <t>Mohamed ahmedd 155@gmail.com</t>
  </si>
  <si>
    <t>Mohammed Ahmed</t>
  </si>
  <si>
    <t>Hiwottadess327@gmail.com</t>
  </si>
  <si>
    <t>Hiwot Tades’s Esube</t>
  </si>
  <si>
    <t>hasmamaw122@gmail.com</t>
  </si>
  <si>
    <t>Habitam Asmamaw Desie</t>
  </si>
  <si>
    <t>eliashenok912@gmail.com</t>
  </si>
  <si>
    <t>Henok Elias</t>
  </si>
  <si>
    <t>ukashamaniy123@gmail.com</t>
  </si>
  <si>
    <t>Ukashamaniy</t>
  </si>
  <si>
    <t>adambk440@gmail.com</t>
  </si>
  <si>
    <t>Adam Abubaker</t>
  </si>
  <si>
    <t>kashabate@gmail.com</t>
  </si>
  <si>
    <t>Kassahun Abate</t>
  </si>
  <si>
    <t>Degifedaye1512@gmail.Com</t>
  </si>
  <si>
    <t>Degife</t>
  </si>
  <si>
    <t>amsalubatire4@gemail.com</t>
  </si>
  <si>
    <t>Amsalu Batire</t>
  </si>
  <si>
    <t>rabiranuguse2@gmail.com</t>
  </si>
  <si>
    <t>rebir</t>
  </si>
  <si>
    <t>tungazeleke2010@gmail.com</t>
  </si>
  <si>
    <t>Tunga Zeleke</t>
  </si>
  <si>
    <t>sifaneobsi309@gmail.com</t>
  </si>
  <si>
    <t>Sifane</t>
  </si>
  <si>
    <t>tsegayebitana62@gmail.com</t>
  </si>
  <si>
    <t>Tsegaye Bitana</t>
  </si>
  <si>
    <t>mamehabibi371@gmail.com</t>
  </si>
  <si>
    <t>Mohamed habib husen</t>
  </si>
  <si>
    <t>Mamehabibi371@gmail.com</t>
  </si>
  <si>
    <t>nigatutakele2014@gmail.com</t>
  </si>
  <si>
    <t>Nigatu Takele Dillensaw</t>
  </si>
  <si>
    <t>seenaagalaanaa@gmail.com</t>
  </si>
  <si>
    <t>Seenaa Galaanaa Nugusee</t>
  </si>
  <si>
    <t>SaidHamiddawid</t>
  </si>
  <si>
    <t>manageraliyi22@gmail.com</t>
  </si>
  <si>
    <t>Aliyyii Abraahim Mohammed</t>
  </si>
  <si>
    <t>yimenu121@gmail.com</t>
  </si>
  <si>
    <t>YIMENU MEKONNEN AGIDEW</t>
  </si>
  <si>
    <t>azezeaderaw@gmail.com</t>
  </si>
  <si>
    <t>Azeze Aderaw Ayal</t>
  </si>
  <si>
    <t>awokeawoke@572gmail.come</t>
  </si>
  <si>
    <t>Awoke Yeshambel Zewudie</t>
  </si>
  <si>
    <t>Getachew amsalu</t>
  </si>
  <si>
    <t>2etagegn@gmail.com</t>
  </si>
  <si>
    <t>ETAGEGN ENDESHAW WORKIE</t>
  </si>
  <si>
    <t>ephremmohammed378gmail.com</t>
  </si>
  <si>
    <t>Ephrem Mohammed Yesuf</t>
  </si>
  <si>
    <t>abebezemedkun21@gmail.com</t>
  </si>
  <si>
    <t>abebe zemedkun legesse</t>
  </si>
  <si>
    <t>henoktadesse1979@gmail.com</t>
  </si>
  <si>
    <t>Henok Tadesse</t>
  </si>
  <si>
    <t>adugnadube83@gmail.com</t>
  </si>
  <si>
    <t>Adugna Dube</t>
  </si>
  <si>
    <t>Mesfin tola @ g mail com.</t>
  </si>
  <si>
    <t>Girma Garama</t>
  </si>
  <si>
    <t>Teddybetse1943@gmail.com</t>
  </si>
  <si>
    <t>Tewodros</t>
  </si>
  <si>
    <t>Tewodros Birhanu</t>
  </si>
  <si>
    <t>Dawiteabayneh@gmail.com</t>
  </si>
  <si>
    <t>Dawite abayneh</t>
  </si>
  <si>
    <t>dawiteabayneh@gmail.co</t>
  </si>
  <si>
    <t>Dawite Abayneh</t>
  </si>
  <si>
    <t>aderajewzewdu203@mail.com</t>
  </si>
  <si>
    <t>Aderajew Zewdu Fentie</t>
  </si>
  <si>
    <t>Getachew kibru@12gmail.com</t>
  </si>
  <si>
    <t>Getachew kibru mukitar</t>
  </si>
  <si>
    <t>Haylay Hagos</t>
  </si>
  <si>
    <t>demisewmokonen483@gmail.com</t>
  </si>
  <si>
    <t>Demisew MOKonen Ababi</t>
  </si>
  <si>
    <t>Demisewmoke2025@gmail.com</t>
  </si>
  <si>
    <t>Demisew Mokonen Ababi</t>
  </si>
  <si>
    <t>Demisewmoke2025@gmail.co</t>
  </si>
  <si>
    <t>demisewmoke2025@gmail.com</t>
  </si>
  <si>
    <t>Demisew mokonen Ababi</t>
  </si>
  <si>
    <t>MeskeremSolomon231@.email.come</t>
  </si>
  <si>
    <t>MeskeremSolomon</t>
  </si>
  <si>
    <t>Yitbarekgetahun54@gmail.com</t>
  </si>
  <si>
    <t>Yitbarek Getahun</t>
  </si>
  <si>
    <t>fikiraddisnewlove@gmail.com</t>
  </si>
  <si>
    <t>Fikiraddis BeleteZewide</t>
  </si>
  <si>
    <t>abdut2773@gmail.com</t>
  </si>
  <si>
    <t>Abdurezaq tsegaye</t>
  </si>
  <si>
    <t>mustefanageso718@gmail.com</t>
  </si>
  <si>
    <t>Mustefa Nageso</t>
  </si>
  <si>
    <t>Wendibeti62@gmail.com</t>
  </si>
  <si>
    <t>Wendosen D/birhan</t>
  </si>
  <si>
    <t>Ibsalove88@gmail.com</t>
  </si>
  <si>
    <t>Ibsa yasin</t>
  </si>
  <si>
    <t>adanemunay22@gmail.com</t>
  </si>
  <si>
    <t>adane munaye hunegnaw</t>
  </si>
  <si>
    <t>anduamlakwedaje27@gmail.com</t>
  </si>
  <si>
    <t>Anduamlak Wedaje Nigusea</t>
  </si>
  <si>
    <t>Anduamlak Wedajea Nigusea</t>
  </si>
  <si>
    <t>Anduamlak Wedaje</t>
  </si>
  <si>
    <t>ayiich23455@gmail.com</t>
  </si>
  <si>
    <t>Ayichew Mola</t>
  </si>
  <si>
    <t>alemayehuteshome76@gmail.com</t>
  </si>
  <si>
    <t>Alemayehu Teshome</t>
  </si>
  <si>
    <t>@getnet07Gmalicom</t>
  </si>
  <si>
    <t>Getnet kassaye</t>
  </si>
  <si>
    <t>Abdullhijusseen@gmail.com</t>
  </si>
  <si>
    <t>Husen</t>
  </si>
  <si>
    <t>Sadebotesfayedaniel@gaml.com</t>
  </si>
  <si>
    <t>Tesfaye daniel sadebo</t>
  </si>
  <si>
    <t>natnaelmhieratu@gaml.com</t>
  </si>
  <si>
    <t>Natnael  mhieratu</t>
  </si>
  <si>
    <t>kebebushgelan@gmail.com</t>
  </si>
  <si>
    <t>Kebebush Gelan</t>
  </si>
  <si>
    <t>danielgelaw34@gmail.com</t>
  </si>
  <si>
    <t>Mengistu Gelaw</t>
  </si>
  <si>
    <t>abunaabunatuna@gmail.com</t>
  </si>
  <si>
    <t>Abuna tuna aliyi</t>
  </si>
  <si>
    <t>ziyadabdisa36@gmail.com</t>
  </si>
  <si>
    <t>Ziyad Abdella Geleta</t>
  </si>
  <si>
    <t>Zewudesamuel25@gmail</t>
  </si>
  <si>
    <t>Samuel zewude</t>
  </si>
  <si>
    <t>Samuel Zewude</t>
  </si>
  <si>
    <t>ermiyasyenatulji@gmail.com</t>
  </si>
  <si>
    <t>ermiyat demse aberu</t>
  </si>
  <si>
    <t>megeneyunka3684@gmail.com</t>
  </si>
  <si>
    <t>Megene Yunka Tuke</t>
  </si>
  <si>
    <t>girmasenait860@gmail.com</t>
  </si>
  <si>
    <t>Senait Girma Belay</t>
  </si>
  <si>
    <t>Cherinetdaburo@giml.com</t>
  </si>
  <si>
    <t>Cherinat daburo</t>
  </si>
  <si>
    <t>yosephenawugaw331@gmail.com</t>
  </si>
  <si>
    <t>Yoseph Enawugaw Afework</t>
  </si>
  <si>
    <t>fuadabduraman54@gmail.com</t>
  </si>
  <si>
    <t>FUAD  ABDULREHMAN</t>
  </si>
  <si>
    <t>antenehtebeley@gmail.com</t>
  </si>
  <si>
    <t>Tebelay Anteneh Mekonen</t>
  </si>
  <si>
    <t>yusufakram05@gmail.com</t>
  </si>
  <si>
    <t>Bilisa Yusuf</t>
  </si>
  <si>
    <t>Jafarjinojafar@gamil.com</t>
  </si>
  <si>
    <t>Jafar jino</t>
  </si>
  <si>
    <t>musgungsilase@gmail.com</t>
  </si>
  <si>
    <t>Msgun Gbrselasa</t>
  </si>
  <si>
    <t>yes</t>
  </si>
  <si>
    <t>kamil shifa abiye</t>
  </si>
  <si>
    <t>Yahyarehana4</t>
  </si>
  <si>
    <t>Rihana yaheya</t>
  </si>
  <si>
    <t>Hamid Tashite jaldoo</t>
  </si>
  <si>
    <t>samsbirara396@gmail.com</t>
  </si>
  <si>
    <t>SAMUEL BIRARA ZEGEYE</t>
  </si>
  <si>
    <t>SAMUEL BIRARA</t>
  </si>
  <si>
    <t>0915heni</t>
  </si>
  <si>
    <t>Henok w/mariam</t>
  </si>
  <si>
    <t>alemumolla8788@gmail.com</t>
  </si>
  <si>
    <t>Alemu</t>
  </si>
  <si>
    <t>kindugashew@gmail.com</t>
  </si>
  <si>
    <t>kindu gashew birhane</t>
  </si>
  <si>
    <t>ayelemisayee@gmail.com</t>
  </si>
  <si>
    <t>Ayele Misaye</t>
  </si>
  <si>
    <t>birhanuk79@gmail.com</t>
  </si>
  <si>
    <t>birhanu kebede bayabil</t>
  </si>
  <si>
    <t>tayedesalegn3@gmail.com</t>
  </si>
  <si>
    <t>Desalegn</t>
  </si>
  <si>
    <t>semagnfitalew0@gmail.com</t>
  </si>
  <si>
    <t>Fitalew semagn mitie</t>
  </si>
  <si>
    <t>abebewudu3@gmail.com</t>
  </si>
  <si>
    <t>Abebe Wudu Belstie</t>
  </si>
  <si>
    <t>simretalemu2008@gmail.com</t>
  </si>
  <si>
    <t>Simret Alemu</t>
  </si>
  <si>
    <t>@meklittasew123</t>
  </si>
  <si>
    <t>Meklit tasew</t>
  </si>
  <si>
    <t>abdumalikobsa@gmail.com</t>
  </si>
  <si>
    <t>Obsa Abdumalik</t>
  </si>
  <si>
    <t>addistadese03@gmail.com</t>
  </si>
  <si>
    <t>Addis Tadese Nigusie</t>
  </si>
  <si>
    <t>dnykemaw14@gmail.com</t>
  </si>
  <si>
    <t>Yohannes Kemaw</t>
  </si>
  <si>
    <t>Abraham Basa</t>
  </si>
  <si>
    <t>Tsegayeromam01@gemil.com</t>
  </si>
  <si>
    <t>Roman tsegaye</t>
  </si>
  <si>
    <t>solimolla1987@gmail.com</t>
  </si>
  <si>
    <t>Soliana Molla Ayalew</t>
  </si>
  <si>
    <t>nahomtesfayenahi2@gmail.com</t>
  </si>
  <si>
    <t>Nahom Tesfaye Hailu</t>
  </si>
  <si>
    <t>yohannesalaye26.1996@gmail.com</t>
  </si>
  <si>
    <t>Yohannes Alaye</t>
  </si>
  <si>
    <t>Henokambaye779@gmail.com</t>
  </si>
  <si>
    <t>Henok ambaye</t>
  </si>
  <si>
    <t>wasihun chekol17@gmail,com</t>
  </si>
  <si>
    <t>wasihun muche</t>
  </si>
  <si>
    <t>habtamufissiha121@gmail.com</t>
  </si>
  <si>
    <t>Habtamu Fissiha woldesenbet</t>
  </si>
  <si>
    <t>Mehari kebede275@gmail.com</t>
  </si>
  <si>
    <t>Mehari kebede mehari</t>
  </si>
  <si>
    <t>new1addis@gmail.com</t>
  </si>
  <si>
    <t>Eyob Abeje</t>
  </si>
  <si>
    <t>robelmunie60@gmail.com</t>
  </si>
  <si>
    <t>Robel Munie Mekonen</t>
  </si>
  <si>
    <t>tewachewgashu1221@gmail.com</t>
  </si>
  <si>
    <t>Tewachew Gashu Tiruneh</t>
  </si>
  <si>
    <t>Kiyategegn7@gmail.com</t>
  </si>
  <si>
    <t>Kinde tegegn achiso</t>
  </si>
  <si>
    <t>tadesseteklu66@gmail.com</t>
  </si>
  <si>
    <t>TADESSE MEKONNEN TEKLU</t>
  </si>
  <si>
    <t>Beletegetahun588@gmail.com</t>
  </si>
  <si>
    <t>Belete Getahun Bekele</t>
  </si>
  <si>
    <t>Jossylove56@gmail.com</t>
  </si>
  <si>
    <t>Yosef abebaw</t>
  </si>
  <si>
    <t>b28453034@gmail.com</t>
  </si>
  <si>
    <t>ብርሃነ ተመሰገን</t>
  </si>
  <si>
    <t>estifanoszinabuabebe@gmail.com</t>
  </si>
  <si>
    <t>Estifanos Zinabu</t>
  </si>
  <si>
    <t>tomaskanko.com.gov</t>
  </si>
  <si>
    <t>Yemisrach Lencha kuture</t>
  </si>
  <si>
    <t>kalumitiku21@gmail.com</t>
  </si>
  <si>
    <t>Kalkidan Mitiku Deno</t>
  </si>
  <si>
    <t>wubantemisganewu@gmail.com</t>
  </si>
  <si>
    <t>Wubant misganaw kebede</t>
  </si>
  <si>
    <t>Wubant Misganaw kebede</t>
  </si>
  <si>
    <t>Lamerotewebe@gmail . com</t>
  </si>
  <si>
    <t>Lamerote webe</t>
  </si>
  <si>
    <t>durriigutama@gmail.com</t>
  </si>
  <si>
    <t>Gutama durrii</t>
  </si>
  <si>
    <t>akliluashenafi293@gmail.com</t>
  </si>
  <si>
    <t>Aklilu Ashenafi Wereke</t>
  </si>
  <si>
    <t>Axuum</t>
  </si>
  <si>
    <t>Diyana selemun</t>
  </si>
  <si>
    <t>Axum</t>
  </si>
  <si>
    <t>Diyana aelemun</t>
  </si>
  <si>
    <t>Aberaabebe544gmail</t>
  </si>
  <si>
    <t>Abera abebe</t>
  </si>
  <si>
    <t>Aberaabebe544@gmail</t>
  </si>
  <si>
    <t>Abera Abebe</t>
  </si>
  <si>
    <t>temesgenfentahun47gmal.@com</t>
  </si>
  <si>
    <t>Temesgen Fentahun</t>
  </si>
  <si>
    <t>hiruthirute56@gmail.com</t>
  </si>
  <si>
    <t>hirut ewket</t>
  </si>
  <si>
    <t>gracelakachew09@gmail.com</t>
  </si>
  <si>
    <t>Tsegaye lakachew mengisstie</t>
  </si>
  <si>
    <t>Emu251500@gmail.com</t>
  </si>
  <si>
    <t>Eman ousman</t>
  </si>
  <si>
    <t>muvstar1@gmail.com</t>
  </si>
  <si>
    <t>Mubarak  Jemal idris</t>
  </si>
  <si>
    <t>workuobsa3348@gmail.com</t>
  </si>
  <si>
    <t>Worku obsa</t>
  </si>
  <si>
    <t>Ahimad alrayya @gmail.com</t>
  </si>
  <si>
    <t>Ahimad alrayya</t>
  </si>
  <si>
    <t>chalachewsewnet@gmail.come</t>
  </si>
  <si>
    <t>ቻላቸው ሰዉነት</t>
  </si>
  <si>
    <t>jemalgeda4960@gmail.com</t>
  </si>
  <si>
    <t>Jemal Geda Bemado</t>
  </si>
  <si>
    <t>Kalbe 123</t>
  </si>
  <si>
    <t>Kalbe</t>
  </si>
  <si>
    <t>Ebiro love</t>
  </si>
  <si>
    <t>Ebirahemi minsude</t>
  </si>
  <si>
    <t>esayasp045@gmail.com</t>
  </si>
  <si>
    <t>Esayas etros Baramo</t>
  </si>
  <si>
    <t>belaynewmolla5445@gmail.com</t>
  </si>
  <si>
    <t>Belaynew Molla</t>
  </si>
  <si>
    <t>Ohmaeyrat@gmail.com</t>
  </si>
  <si>
    <t>Hayat omer</t>
  </si>
  <si>
    <t>Asmie2112@gmail.com</t>
  </si>
  <si>
    <t>Asmare Dereje Wubie</t>
  </si>
  <si>
    <t>tigestuhiwot8930@gmail.com</t>
  </si>
  <si>
    <t>hiwot tigestu</t>
  </si>
  <si>
    <t>elsamandefro719@gmail.com</t>
  </si>
  <si>
    <t>Elsa Mandefro</t>
  </si>
  <si>
    <t>Elsa Mamdefro</t>
  </si>
  <si>
    <t>ramadantofiq@Email.com</t>
  </si>
  <si>
    <t>RAMADAN TOFIQ MUME</t>
  </si>
  <si>
    <t>RAMADAN TOFIQ</t>
  </si>
  <si>
    <t>ramadantofiq38@gmail.com</t>
  </si>
  <si>
    <t>Barentoabdalla953@gmail.com</t>
  </si>
  <si>
    <t>Barento abdalla</t>
  </si>
  <si>
    <t>fayyisaahasan8@gmail.com</t>
  </si>
  <si>
    <t>Fayyisaa Hasan</t>
  </si>
  <si>
    <t>Fayyisaa</t>
  </si>
  <si>
    <t>Ali Endris</t>
  </si>
  <si>
    <t>birhanemeskelmesfin@gmail.com</t>
  </si>
  <si>
    <t>Birhanemeskel Mesfin Abebe</t>
  </si>
  <si>
    <t>ademeabrham4@gmail.com</t>
  </si>
  <si>
    <t>Ademe abrham</t>
  </si>
  <si>
    <t>Mohammedbehja@com go</t>
  </si>
  <si>
    <t>Mohammed behja</t>
  </si>
  <si>
    <t>abelab1992@gmail.com</t>
  </si>
  <si>
    <t>Abebaw Abebe Mehrete</t>
  </si>
  <si>
    <t>danielzerga100@gmail.com</t>
  </si>
  <si>
    <t>Daniel zerga tesfaye</t>
  </si>
  <si>
    <t>Bedasaahmednur</t>
  </si>
  <si>
    <t>Bedasa Ahmednur</t>
  </si>
  <si>
    <t>muhajirmahamed7@gmail.com</t>
  </si>
  <si>
    <t>muhajir mohamed</t>
  </si>
  <si>
    <t>menewerentisar@gmail.com</t>
  </si>
  <si>
    <t>Entisar Menewer</t>
  </si>
  <si>
    <t>obsagirma13@gmail.com</t>
  </si>
  <si>
    <t>OBSA GIRMA BADHASA</t>
  </si>
  <si>
    <t>semere deseta</t>
  </si>
  <si>
    <t>turuneshnegusu@gmail.com</t>
  </si>
  <si>
    <t>TURUNESH NEGSU ASEFA</t>
  </si>
  <si>
    <t>Bacha</t>
  </si>
  <si>
    <t>Addis Ababa</t>
  </si>
  <si>
    <t>GETASEW YESHIWAS ALEMU</t>
  </si>
  <si>
    <t>Wendmuberamo@gmail.com</t>
  </si>
  <si>
    <t>Samuel Tadele</t>
  </si>
  <si>
    <t>Samuel tadele</t>
  </si>
  <si>
    <t>tesfayebulti33@gmail.com</t>
  </si>
  <si>
    <t>Tesfaye Bulti Ejeta</t>
  </si>
  <si>
    <t>howwewin71421@gmail</t>
  </si>
  <si>
    <t>Hruy Assfha Arefu</t>
  </si>
  <si>
    <t>Yordanos aklilu</t>
  </si>
  <si>
    <t>yordanos aklilu</t>
  </si>
  <si>
    <t>Sinanshife1612@gmail.com</t>
  </si>
  <si>
    <t>Sintayehu Shiferaw Negera</t>
  </si>
  <si>
    <t>milkesoaman00@gmail.com</t>
  </si>
  <si>
    <t>Aman milkeso</t>
  </si>
  <si>
    <t>Ok</t>
  </si>
  <si>
    <t>Salamu Abrehame</t>
  </si>
  <si>
    <t>asefaashenaf738@gmail.com</t>
  </si>
  <si>
    <t>ASHENAFI ASEFA BARAMO</t>
  </si>
  <si>
    <t>asefaashenaf738@mail.com</t>
  </si>
  <si>
    <t>Temumey@gmail.com</t>
  </si>
  <si>
    <t>Temesgen Mynay Getahun</t>
  </si>
  <si>
    <t>abdulaziz giragn1@gmail.com</t>
  </si>
  <si>
    <t>Abdulaziz Giragn</t>
  </si>
  <si>
    <t>edenkassahun062@gmail.com</t>
  </si>
  <si>
    <t>Eden Kassahun Abebe</t>
  </si>
  <si>
    <t>Abiyooti 5451</t>
  </si>
  <si>
    <t>Tahir feto</t>
  </si>
  <si>
    <t>Abiyooti5451</t>
  </si>
  <si>
    <t>Tehir feto</t>
  </si>
  <si>
    <t>hanokewerku@195gamil.com</t>
  </si>
  <si>
    <t>Dwit werku</t>
  </si>
  <si>
    <t>Hanokewerku@195gamil.com</t>
  </si>
  <si>
    <t>Selamawit gebeyehu com</t>
  </si>
  <si>
    <t>Selamawit gebeyehu</t>
  </si>
  <si>
    <t>Neju</t>
  </si>
  <si>
    <t>Nejat mohammed</t>
  </si>
  <si>
    <t>tarekegngutumkey@gmail.comu</t>
  </si>
  <si>
    <t>Tarekegn gutum key</t>
  </si>
  <si>
    <t>Bayisafayisa@dot com</t>
  </si>
  <si>
    <t>Bayisa Fayilsa</t>
  </si>
  <si>
    <t>hiwothailu1987@gmail.com</t>
  </si>
  <si>
    <t>Fiket abebe</t>
  </si>
  <si>
    <t>makimesele @gmail. Com</t>
  </si>
  <si>
    <t>Mekdelawit Mesele</t>
  </si>
  <si>
    <t>Afomiyakirubel@gmail.com</t>
  </si>
  <si>
    <t>Afomiya kirubel</t>
  </si>
  <si>
    <t>sebsibemeshesha52@gmail.com</t>
  </si>
  <si>
    <t>Sebsibe meshesha Gebretsadik</t>
  </si>
  <si>
    <t>Google</t>
  </si>
  <si>
    <t>Ililli</t>
  </si>
  <si>
    <t>Samidesta706@gmail.Com</t>
  </si>
  <si>
    <t>Samuel Desta</t>
  </si>
  <si>
    <t>tarikuyohanis279@gmail.com</t>
  </si>
  <si>
    <t>TARIKU YoHANIS ZERIHUN</t>
  </si>
  <si>
    <t>Sifenmelaku49@gemail.com</t>
  </si>
  <si>
    <t>Sofen Melaku</t>
  </si>
  <si>
    <t>birhanuemiye9@gmail.com</t>
  </si>
  <si>
    <t>Emiye Birhanu</t>
  </si>
  <si>
    <t>Yeshideboch4@gmail.com</t>
  </si>
  <si>
    <t>Yeshi deboch</t>
  </si>
  <si>
    <t>bezaabie692@gmail.com</t>
  </si>
  <si>
    <t>Zemenewereke Abie Muluken</t>
  </si>
  <si>
    <t>yonasmm25@gmail.com</t>
  </si>
  <si>
    <t>Yonas Amare Zawude</t>
  </si>
  <si>
    <t>abraha.luwam@icloud.com</t>
  </si>
  <si>
    <t>Lwam</t>
  </si>
  <si>
    <t>Ismahaanshakkul@gmail.com</t>
  </si>
  <si>
    <t>Messele shakul Ali</t>
  </si>
  <si>
    <t>jemaljelke09@gmil.com</t>
  </si>
  <si>
    <t>JEMAL JELKE BOTARO</t>
  </si>
  <si>
    <t>yohanisdesisa@gmail.com</t>
  </si>
  <si>
    <t>Yohanis Desisa Bona</t>
  </si>
  <si>
    <t>Marwabsr04@gmail.com</t>
  </si>
  <si>
    <t>Marwa Bashir Ibrahim Abaker</t>
  </si>
  <si>
    <t>Hasanyasinlencha@gmail.com</t>
  </si>
  <si>
    <t>Hasen yasin lincha</t>
  </si>
  <si>
    <t>eyasuhakamo64@gmail.com</t>
  </si>
  <si>
    <t>Eyasu hakamo</t>
  </si>
  <si>
    <t>eyaauhakamo64@gmail.com</t>
  </si>
  <si>
    <t>wsemayat78@gmail.com</t>
  </si>
  <si>
    <t>Woldesemayat</t>
  </si>
  <si>
    <t>jemaljelke09@gmail.com</t>
  </si>
  <si>
    <t>jemal jelke botaro</t>
  </si>
  <si>
    <t>abenezernekir10@gmail.com</t>
  </si>
  <si>
    <t>Abenezer nekir bonger</t>
  </si>
  <si>
    <t>kidanemariamsemaw5@gmail.com</t>
  </si>
  <si>
    <t>Kidanemariam Semaw Asaye</t>
  </si>
  <si>
    <t>menasboabadi@gmail.com</t>
  </si>
  <si>
    <t>Menasbo</t>
  </si>
  <si>
    <t>abebeshiferaw2016@gmail.com</t>
  </si>
  <si>
    <t>Abebe Shiferaw Belay</t>
  </si>
  <si>
    <t>sisayhirpho@gmail .com</t>
  </si>
  <si>
    <t>Sisay Hirpho</t>
  </si>
  <si>
    <t>sisayhirpho@gmail.com</t>
  </si>
  <si>
    <t>sisay Hirpho</t>
  </si>
  <si>
    <t>mesfingetaneh64@gmail.com</t>
  </si>
  <si>
    <t>Mesfin Getaneh</t>
  </si>
  <si>
    <t>gmestiru@gmail.com</t>
  </si>
  <si>
    <t>Girma</t>
  </si>
  <si>
    <t>jemaal642@gmail.com</t>
  </si>
  <si>
    <t>Jamal Abdarahman Sayid</t>
  </si>
  <si>
    <t>shamilkasim47924@gmail.com</t>
  </si>
  <si>
    <t>Kasim Shamil</t>
  </si>
  <si>
    <t>akremalimoh@gmail.com</t>
  </si>
  <si>
    <t>Akrem all</t>
  </si>
  <si>
    <t>isaacmakonnin@gmail.com</t>
  </si>
  <si>
    <t>ISAAC MEKONNEN ATOMSA</t>
  </si>
  <si>
    <t>yohanesalemayehu45@gmail.com</t>
  </si>
  <si>
    <t>Yohanes Alemayehu Taddese</t>
  </si>
  <si>
    <t>dawitnebiy@gmail.com</t>
  </si>
  <si>
    <t>DAWIT NEBIY WALE</t>
  </si>
  <si>
    <t>addisderebe23@gmail.com</t>
  </si>
  <si>
    <t>Addis Derebe</t>
  </si>
  <si>
    <t>waktolawakgari34@gmail.com</t>
  </si>
  <si>
    <t>Waktola wakgari</t>
  </si>
  <si>
    <t>Waktola wakgari Nagawo</t>
  </si>
  <si>
    <t>selamawitgeremew1@gmail.com</t>
  </si>
  <si>
    <t>Selamawit Geremew</t>
  </si>
  <si>
    <t>abdulazizahmeed048@gmeile.com</t>
  </si>
  <si>
    <t>Abdulaziz Ahmed Jemal</t>
  </si>
  <si>
    <t>Kiots0359.04@gmail.com</t>
  </si>
  <si>
    <t>Yimam Seid Adem</t>
  </si>
  <si>
    <t>yonashadush@gmail.com</t>
  </si>
  <si>
    <t>Yonas hadush</t>
  </si>
  <si>
    <t>asfawteka28@gmail.com</t>
  </si>
  <si>
    <t>Asfaw Teka Gebremeskel</t>
  </si>
  <si>
    <t>ahmedmustafe0914gmail.com</t>
  </si>
  <si>
    <t>ahmed musstafe</t>
  </si>
  <si>
    <t>tayebirhanu78@gmail.com</t>
  </si>
  <si>
    <t>TAYE BIRHANU OFGAHA</t>
  </si>
  <si>
    <t>yosefyomata@gemil.come</t>
  </si>
  <si>
    <t>Yosef Yomata Damota</t>
  </si>
  <si>
    <t>temesgenmishamo7@gmail.com</t>
  </si>
  <si>
    <t>Temesgen Mishamo Dayemo</t>
  </si>
  <si>
    <t>fikirhailu223@gmail.com</t>
  </si>
  <si>
    <t>Fikirte Hailu</t>
  </si>
  <si>
    <t>ashezer81@gmail.com</t>
  </si>
  <si>
    <t>Ashenafi Zerihun Zeleke</t>
  </si>
  <si>
    <t>ahmadtamamabasaanbii@gmail.com</t>
  </si>
  <si>
    <t>Amad Tamam</t>
  </si>
  <si>
    <t>merkebudagne6@gmail.com</t>
  </si>
  <si>
    <t>Merkebu dagne aschenek</t>
  </si>
  <si>
    <t>amanteshale2@gmail.com</t>
  </si>
  <si>
    <t>amanuel teshale gelawo</t>
  </si>
  <si>
    <t>miliyonfentahun@gmail.com</t>
  </si>
  <si>
    <t>Miliyon Fentahun</t>
  </si>
  <si>
    <t>yohanes719497@jimeal.com</t>
  </si>
  <si>
    <t>Yohanes Abraham Tsehay</t>
  </si>
  <si>
    <t>yohanes719497@gmail.com</t>
  </si>
  <si>
    <t>Yohanes Abraham</t>
  </si>
  <si>
    <t>Mominacivil@gmail.com</t>
  </si>
  <si>
    <t>momina fentaw</t>
  </si>
  <si>
    <t>belayzewude@gmail.com</t>
  </si>
  <si>
    <t>Belay Zewude</t>
  </si>
  <si>
    <t>mengistugemeda77@gmail.com</t>
  </si>
  <si>
    <t>Mengistu Gemeda Gemechu</t>
  </si>
  <si>
    <t>yesufahmed713@gmail.com</t>
  </si>
  <si>
    <t>Yesuf ahmed</t>
  </si>
  <si>
    <t>Abderzaq tsegaye</t>
  </si>
  <si>
    <t>diribaasfewu@gmail.com</t>
  </si>
  <si>
    <t>Diriba Asfewu Merga</t>
  </si>
  <si>
    <t>temesgenzabule@gmail.com</t>
  </si>
  <si>
    <t>Temesgen zabule</t>
  </si>
  <si>
    <t>ephratadesta1@gmail.com</t>
  </si>
  <si>
    <t>Ephrata Desta</t>
  </si>
  <si>
    <t>yeshifikadu37@gmail.com</t>
  </si>
  <si>
    <t>Yeshi Fikadu kasaghn</t>
  </si>
  <si>
    <t>lijsami89@gnail.com</t>
  </si>
  <si>
    <t>Samuel Tesfaye</t>
  </si>
  <si>
    <t>tilahunabdi77@gmail.com</t>
  </si>
  <si>
    <t>Abdi Tilahun Hika</t>
  </si>
  <si>
    <t>enyew29@gmail.com</t>
  </si>
  <si>
    <t>Habtamu Demelash Enyew</t>
  </si>
  <si>
    <t>atinafugetane1221@gmail.com</t>
  </si>
  <si>
    <t>Atinafu Getaneh Nigatie</t>
  </si>
  <si>
    <t>atinafugetaneh1221@gmail.com</t>
  </si>
  <si>
    <t>mulawfekirie2014@gmail.com</t>
  </si>
  <si>
    <t>Mulaw Fekirie Getu</t>
  </si>
  <si>
    <t>muhamedd823@gmail.com</t>
  </si>
  <si>
    <t>Muhamed Desalegn</t>
  </si>
  <si>
    <t>mezgebubayetegegne@gmail.com</t>
  </si>
  <si>
    <t>Mezgebu baye tegegne</t>
  </si>
  <si>
    <t>musebiotech21@gmail.com</t>
  </si>
  <si>
    <t>Musa Tuke Tufa</t>
  </si>
  <si>
    <t>MIFTAHAYRU595@gMAL.COM</t>
  </si>
  <si>
    <t>Mifta hayru</t>
  </si>
  <si>
    <t>Meharikebede275@gmail.com</t>
  </si>
  <si>
    <t>zinted10@gmail.com</t>
  </si>
  <si>
    <t>Zinash Desalegne Megersa</t>
  </si>
  <si>
    <t>@b28453034@gmail.com</t>
  </si>
  <si>
    <t>brhane temesgen</t>
  </si>
  <si>
    <t>wudiyeshumie36@gmail.com</t>
  </si>
  <si>
    <t>wudiye Shumie Alemu</t>
  </si>
  <si>
    <t>KMKebromzeresenay@gmail.com</t>
  </si>
  <si>
    <t>Gessese Kebrom Zeresenay</t>
  </si>
  <si>
    <t>abirahayilma@gmail.com</t>
  </si>
  <si>
    <t>Abiraham yilma</t>
  </si>
  <si>
    <t>wendosennigus5326@gmail.com</t>
  </si>
  <si>
    <t>Wendosen NIgus</t>
  </si>
  <si>
    <t>abdirahman 7833@gmail .com</t>
  </si>
  <si>
    <t>abdirahman barre</t>
  </si>
  <si>
    <t>Omerbrhan10gmail.com</t>
  </si>
  <si>
    <t>omer mehamed brhane</t>
  </si>
  <si>
    <t>kalidmohammed525@gmail.com</t>
  </si>
  <si>
    <t>Kalid Mohammed siraje</t>
  </si>
  <si>
    <t>asmaredereje0@gmail.com</t>
  </si>
  <si>
    <t>Nigatu26@gmail.com</t>
  </si>
  <si>
    <t>Nigatu seid</t>
  </si>
  <si>
    <t>Nigatu seid26@gmail.co</t>
  </si>
  <si>
    <t>Nigatu442@gmail.com</t>
  </si>
  <si>
    <t>Nigatu seif</t>
  </si>
  <si>
    <t>asefabekeke209@gmail.com</t>
  </si>
  <si>
    <t>Asefa Bekele</t>
  </si>
  <si>
    <t>reatlojokwanlow@gmail.com</t>
  </si>
  <si>
    <t>Lojokwanlow Reat</t>
  </si>
  <si>
    <t>jire38201@gmail.com</t>
  </si>
  <si>
    <t>Djiregna Abdeta Berki</t>
  </si>
  <si>
    <t>tarikuyohanis8@gmail.com</t>
  </si>
  <si>
    <t>TARIKU YOHANIS ZERIHUN</t>
  </si>
  <si>
    <t>shaman7727@gmail.com</t>
  </si>
  <si>
    <t>Mohamed Hassan Mohamed Ahmed</t>
  </si>
  <si>
    <t>shambelchaka4@gmail.com</t>
  </si>
  <si>
    <t>Shambel Chaka Chame</t>
  </si>
  <si>
    <t>Mebratezegeye2666@gmail.com</t>
  </si>
  <si>
    <t>Mebrate Zegeye Gebreyes</t>
  </si>
  <si>
    <t>Seifukebede2012@gmail.com</t>
  </si>
  <si>
    <t>Seifu kebede</t>
  </si>
  <si>
    <t>derejeabera93@yahoo.com</t>
  </si>
  <si>
    <t>Dereje Abera Tesema</t>
  </si>
  <si>
    <t>nobelgetaneh0@gmail.com</t>
  </si>
  <si>
    <t>Nobel getahe</t>
  </si>
  <si>
    <t>Emaan zenu</t>
  </si>
  <si>
    <t>Emaan</t>
  </si>
  <si>
    <t>Ww tfsfaye</t>
  </si>
  <si>
    <t>Tesfaye Alemnhe</t>
  </si>
  <si>
    <t>C/nuur mahamed Ahmed 57@gmail.com</t>
  </si>
  <si>
    <t>C/nuur mahmed Ahmed</t>
  </si>
  <si>
    <t>kirubeldanielseyoum@gmail.com</t>
  </si>
  <si>
    <t>kirubel Daniel seyoum</t>
  </si>
  <si>
    <t>sishaabebaw533@gmail.com</t>
  </si>
  <si>
    <t>Arsema Abebaw</t>
  </si>
  <si>
    <t>ararsogx@gmail.com</t>
  </si>
  <si>
    <t>Ararso Mohammed Yuya</t>
  </si>
  <si>
    <t>misgeterefe076@email.com</t>
  </si>
  <si>
    <t>Misganu terefe hundore</t>
  </si>
  <si>
    <t>gteka866@gmail.com</t>
  </si>
  <si>
    <t>Getachew teka wase</t>
  </si>
  <si>
    <t>keno4488@gmail.com</t>
  </si>
  <si>
    <t>Keno Emiru Borena</t>
  </si>
  <si>
    <t>getyeget7gmail .com</t>
  </si>
  <si>
    <t>Mandefro Damtew</t>
  </si>
  <si>
    <t>mulugeta samuel939@gamil.com</t>
  </si>
  <si>
    <t>Mulugeta samuel</t>
  </si>
  <si>
    <t>teklayfkr068@gimail.com</t>
  </si>
  <si>
    <t>Tekleweyn Gebrekidan</t>
  </si>
  <si>
    <t>Shukriiadamee@gmail.com</t>
  </si>
  <si>
    <t>Shukri adam biftu</t>
  </si>
  <si>
    <t>ahmedkebede006@gmail.com</t>
  </si>
  <si>
    <t>Ahmed kebede aragaw</t>
  </si>
  <si>
    <t>ibrahimahmed2017@gmail.com</t>
  </si>
  <si>
    <t>IbrahimAhmedsali</t>
  </si>
  <si>
    <t>Ambookoo540@gmail.com</t>
  </si>
  <si>
    <t>Amboo</t>
  </si>
  <si>
    <t>Abdiwahaabxasan faarax  com Email</t>
  </si>
  <si>
    <t>Abdiwahaab</t>
  </si>
  <si>
    <t>Dejenethaymant@gmail.com</t>
  </si>
  <si>
    <t>Worbo Dejene Teklehaymanot</t>
  </si>
  <si>
    <t>Wayesa</t>
  </si>
  <si>
    <t>WOYESA MOHAMMED EDAO</t>
  </si>
  <si>
    <t>Soridem40@gmail.com</t>
  </si>
  <si>
    <t>Soressa Demiso</t>
  </si>
  <si>
    <t>abdinago.mulatu 2015@gmail.com</t>
  </si>
  <si>
    <t>Abdinago Mulatu</t>
  </si>
  <si>
    <t>Tewdrosebelachew014@gmail,com</t>
  </si>
  <si>
    <t>Atnkute belachew menuye</t>
  </si>
  <si>
    <t>amlaktilaye19@gmail.com</t>
  </si>
  <si>
    <t>Amlak tilaye</t>
  </si>
  <si>
    <t>mulu176@yahoo.com</t>
  </si>
  <si>
    <t>Dr.Muluneh Tesfaw Belachew</t>
  </si>
  <si>
    <t>Hirpha@gmail</t>
  </si>
  <si>
    <t>Hirpha Teshome</t>
  </si>
  <si>
    <t>adetcity@gmail.com</t>
  </si>
  <si>
    <t>Yichilal shiferaw bayileyegn</t>
  </si>
  <si>
    <t>samuelsaida918@gmail.com</t>
  </si>
  <si>
    <t>Samuel Saida</t>
  </si>
  <si>
    <t>@com</t>
  </si>
  <si>
    <t>Yohannes tarkie</t>
  </si>
  <si>
    <t>abduisaq67@gmail.com</t>
  </si>
  <si>
    <t>Abdijabar Isaq</t>
  </si>
  <si>
    <t>Behradin wabala</t>
  </si>
  <si>
    <t>በህረድን ወበለ</t>
  </si>
  <si>
    <t>Hayyunagaya@gmail.com</t>
  </si>
  <si>
    <t>Sufi mume abibakar</t>
  </si>
  <si>
    <t>Acabdixakin73@gmail.com</t>
  </si>
  <si>
    <t>Xako</t>
  </si>
  <si>
    <t>Fentahunworku36@gamil.com</t>
  </si>
  <si>
    <t>Fentahun worku</t>
  </si>
  <si>
    <t>ephratayohannes368@gmail.com</t>
  </si>
  <si>
    <t>Ephrata Yohannes</t>
  </si>
  <si>
    <t>tolerafikadu2013@gmail.com</t>
  </si>
  <si>
    <t>Tolera Fekadu Regasa</t>
  </si>
  <si>
    <t>ጌታቸው saሰ @ግማኦል - com</t>
  </si>
  <si>
    <t>ጌታቸሣ ሳሰ አሽቱ</t>
  </si>
  <si>
    <t>girmazere@gmail.com</t>
  </si>
  <si>
    <t>Girma Zerefaw Abay</t>
  </si>
  <si>
    <t>mekonenhabtamu05@gmail.com</t>
  </si>
  <si>
    <t>Habtamu Mekonen</t>
  </si>
  <si>
    <t>beemnetu77@gmail.com</t>
  </si>
  <si>
    <t>Lamesgin</t>
  </si>
  <si>
    <t>Kenenisaadem98gmail .com</t>
  </si>
  <si>
    <t>Kenenisa adem hamda</t>
  </si>
  <si>
    <t>Alemufantahunmebrate@gmail.com</t>
  </si>
  <si>
    <t>Muaz mebrate alemu</t>
  </si>
  <si>
    <t>oabrahim702@gmail.com</t>
  </si>
  <si>
    <t>Obsa Ebrahim Mohammed</t>
  </si>
  <si>
    <t>Pomerbeti@gmail.com</t>
  </si>
  <si>
    <t>Betelhem zekariyas</t>
  </si>
  <si>
    <t>@arega61</t>
  </si>
  <si>
    <t>Arega</t>
  </si>
  <si>
    <t>Sofoniyaskokobie@gmail.com</t>
  </si>
  <si>
    <t>Sofoniyas kokobie</t>
  </si>
  <si>
    <t>bihonegnwubalem@gmail.com</t>
  </si>
  <si>
    <t>Bihonegn wubalem mogne</t>
  </si>
  <si>
    <t>meymunaabdla3@gmail.com</t>
  </si>
  <si>
    <t>Meymuna</t>
  </si>
  <si>
    <t>hamduhashim232@gmail.com</t>
  </si>
  <si>
    <t>Hamdu Hashim</t>
  </si>
  <si>
    <t>dachaasaatarreessaa@gmail.com</t>
  </si>
  <si>
    <t>Dachasa</t>
  </si>
  <si>
    <t>birhanu904@gmail.com</t>
  </si>
  <si>
    <t>Birhanie Bazezew Kassa</t>
  </si>
  <si>
    <t>Jafar fadlu56@gmail.com</t>
  </si>
  <si>
    <t>jafarfadlu</t>
  </si>
  <si>
    <t>temkinhassen7447@gmail.com</t>
  </si>
  <si>
    <t>Temkin hassen</t>
  </si>
  <si>
    <t>Yenenehtegegne833@gmail.com</t>
  </si>
  <si>
    <t>Yeneneh</t>
  </si>
  <si>
    <t>Raki@gimal.com</t>
  </si>
  <si>
    <t>Rahwa</t>
  </si>
  <si>
    <t>Karaademaaollademaadiin8@gmail.com</t>
  </si>
  <si>
    <t>Karaa Demaa Oll Ademaa Diin</t>
  </si>
  <si>
    <t>hhabtam30@gmail.com</t>
  </si>
  <si>
    <t>TILAHUN GETA MELKAMU</t>
  </si>
  <si>
    <t>venusseifu@email.com</t>
  </si>
  <si>
    <t>Venus Seifu</t>
  </si>
  <si>
    <t>Habtamu@12@google.com/form</t>
  </si>
  <si>
    <t>Habtamu Agegnehu</t>
  </si>
  <si>
    <t>Obsa00478@gmai.com</t>
  </si>
  <si>
    <t>Obsa</t>
  </si>
  <si>
    <t>kidistjenber8@gmail.com</t>
  </si>
  <si>
    <t>Kidist Getachew Jenber</t>
  </si>
  <si>
    <t>addisusema009@gimal.com</t>
  </si>
  <si>
    <t>Addisu Sema Aneley</t>
  </si>
  <si>
    <t>walteali52@gmail.com</t>
  </si>
  <si>
    <t>WELTASIS ALI EDRIS</t>
  </si>
  <si>
    <t>mamonetsanet23@gmail.com</t>
  </si>
  <si>
    <t>Netsanet gari mamo</t>
  </si>
  <si>
    <t>mebrieb37@gmail.com</t>
  </si>
  <si>
    <t>Mebrahtom Berhe</t>
  </si>
  <si>
    <t>ahmeddiin198@gmail.com</t>
  </si>
  <si>
    <t>Ahmed Mohamed abdi</t>
  </si>
  <si>
    <t>jabesatulu197@gmail.com</t>
  </si>
  <si>
    <t>Jabesa Tulu Kitata</t>
  </si>
  <si>
    <t>aliyi mahammadsafi@gmail.com</t>
  </si>
  <si>
    <t>MOHAMMED SAFII ALIYI MUME</t>
  </si>
  <si>
    <t>buomlmach@gmail.com</t>
  </si>
  <si>
    <t>Buom Lual Mach</t>
  </si>
  <si>
    <t>meargberhe34@gmail.com</t>
  </si>
  <si>
    <t>Mr. Mearg</t>
  </si>
  <si>
    <t>rabitemam@gmail.com</t>
  </si>
  <si>
    <t>Temam Rabiyu Beshir</t>
  </si>
  <si>
    <t>Feytiya9@gmail.com</t>
  </si>
  <si>
    <t>Mohammed Tofik Yusuf</t>
  </si>
  <si>
    <t>www.endrisyimer 269.gmail.com</t>
  </si>
  <si>
    <t>Endris Yimer</t>
  </si>
  <si>
    <t>Sabri 20304050@gamil . com</t>
  </si>
  <si>
    <t>Sabrin Ibrahim Redi</t>
  </si>
  <si>
    <t>Gezi123@#$</t>
  </si>
  <si>
    <t>Gezahegn Abraham Mola</t>
  </si>
  <si>
    <t>bdefaru392@gmail.com</t>
  </si>
  <si>
    <t>Biniam Defaru</t>
  </si>
  <si>
    <t>0907079241/ 0975971808</t>
  </si>
  <si>
    <t>nuur36225@gmail.com</t>
  </si>
  <si>
    <t>abdirahman ahmed madar</t>
  </si>
  <si>
    <t>091 566 0138</t>
  </si>
  <si>
    <t>abezashwakuma@gmail.com</t>
  </si>
  <si>
    <t>Abezash Wakuma Tola</t>
  </si>
  <si>
    <t>093 337 2751</t>
  </si>
  <si>
    <t>Ammasham@59</t>
  </si>
  <si>
    <t>Ahmedsham mahammed  adem</t>
  </si>
  <si>
    <t>0934019862   or  0913499448</t>
  </si>
  <si>
    <t>Dined7740@gmail.com</t>
  </si>
  <si>
    <t>Dine hasan usmil</t>
  </si>
  <si>
    <t>feysaleliyaskamal@gmail.com</t>
  </si>
  <si>
    <t>Feysal eliyas Kamal</t>
  </si>
  <si>
    <t>99 219 2214</t>
  </si>
  <si>
    <t>mulukenshiferaw7@gmail.com</t>
  </si>
  <si>
    <t>Muluken Shiferaw Girisl</t>
  </si>
  <si>
    <t>Caller</t>
  </si>
  <si>
    <t xml:space="preserve">Email </t>
  </si>
  <si>
    <t xml:space="preserve">Full Name </t>
  </si>
  <si>
    <t>phone number</t>
  </si>
  <si>
    <t>Resrved Date</t>
  </si>
  <si>
    <t>CALL STATUS</t>
  </si>
  <si>
    <t>will attend they infosession?</t>
  </si>
  <si>
    <t xml:space="preserve">Comment </t>
  </si>
  <si>
    <t>Abeba</t>
  </si>
  <si>
    <t>Wrong Person</t>
  </si>
  <si>
    <t>NO</t>
  </si>
  <si>
    <t>Not coming</t>
  </si>
  <si>
    <t>Reached</t>
  </si>
  <si>
    <t>YES</t>
  </si>
  <si>
    <t>They will come</t>
  </si>
  <si>
    <t xml:space="preserve">will come tomorrow </t>
  </si>
  <si>
    <t>Not in Addis</t>
  </si>
  <si>
    <t xml:space="preserve">desse </t>
  </si>
  <si>
    <t xml:space="preserve">werabe </t>
  </si>
  <si>
    <t xml:space="preserve">adama </t>
  </si>
  <si>
    <t xml:space="preserve">debremarkos </t>
  </si>
  <si>
    <t>arsi</t>
  </si>
  <si>
    <t xml:space="preserve">gofa </t>
  </si>
  <si>
    <t xml:space="preserve">hawassa </t>
  </si>
  <si>
    <t xml:space="preserve">bahrdar </t>
  </si>
  <si>
    <t xml:space="preserve">shashemene </t>
  </si>
  <si>
    <t xml:space="preserve">harar </t>
  </si>
  <si>
    <t xml:space="preserve">deredewa </t>
  </si>
  <si>
    <t xml:space="preserve">gijiga </t>
  </si>
  <si>
    <t xml:space="preserve">bekocho </t>
  </si>
  <si>
    <t xml:space="preserve">mekelle </t>
  </si>
  <si>
    <t xml:space="preserve">welata sodo </t>
  </si>
  <si>
    <t xml:space="preserve">bahirdar </t>
  </si>
  <si>
    <t xml:space="preserve">gimma </t>
  </si>
  <si>
    <t>MAYBE</t>
  </si>
  <si>
    <t xml:space="preserve">language </t>
  </si>
  <si>
    <t>Phone Not Working</t>
  </si>
  <si>
    <t>Not Picking Up</t>
  </si>
  <si>
    <t>Nati</t>
  </si>
  <si>
    <t>Wrong Number</t>
  </si>
  <si>
    <t>will attend tomorrow</t>
  </si>
  <si>
    <t>Gonder</t>
  </si>
  <si>
    <t>Ambo</t>
  </si>
  <si>
    <t>Lalibela</t>
  </si>
  <si>
    <t>RAya</t>
  </si>
  <si>
    <t>Hawassa</t>
  </si>
  <si>
    <t>Hossana</t>
  </si>
  <si>
    <t>Baher Dar</t>
  </si>
  <si>
    <t>Jinka</t>
  </si>
  <si>
    <t>Sekota</t>
  </si>
  <si>
    <t>Wello</t>
  </si>
  <si>
    <t>Bahirdar</t>
  </si>
  <si>
    <t>wello</t>
  </si>
  <si>
    <t>Gambella</t>
  </si>
  <si>
    <t>Dire Dawa</t>
  </si>
  <si>
    <t>Mekelle</t>
  </si>
  <si>
    <t>Debrezeyit</t>
  </si>
  <si>
    <t>Burayu</t>
  </si>
  <si>
    <t>Desse</t>
  </si>
  <si>
    <t>Kombolcha</t>
  </si>
  <si>
    <t>Tigray</t>
  </si>
  <si>
    <t>Bishoftu</t>
  </si>
  <si>
    <t>Shashemene</t>
  </si>
  <si>
    <t>Dukem</t>
  </si>
  <si>
    <t>Kemise</t>
  </si>
  <si>
    <t>Wollaita</t>
  </si>
  <si>
    <t>by mistake</t>
  </si>
  <si>
    <t>Unabel to talk</t>
  </si>
  <si>
    <t>Not sure</t>
  </si>
  <si>
    <t>Harerr</t>
  </si>
  <si>
    <t>Jimma</t>
  </si>
  <si>
    <t>Not Yet Called</t>
  </si>
  <si>
    <t>Tsedenia</t>
  </si>
  <si>
    <t>will come tomorrow</t>
  </si>
  <si>
    <t xml:space="preserve">he's in wollega </t>
  </si>
  <si>
    <t>HE'S in Wollega</t>
  </si>
  <si>
    <t>jimma</t>
  </si>
  <si>
    <t>Afar</t>
  </si>
  <si>
    <t>Adama</t>
  </si>
  <si>
    <t>Hadeya</t>
  </si>
  <si>
    <t>Debre Markos</t>
  </si>
  <si>
    <t>Debre brehan</t>
  </si>
  <si>
    <t>Omo</t>
  </si>
  <si>
    <t>Aresi</t>
  </si>
  <si>
    <t>chiro</t>
  </si>
  <si>
    <t>Weldia</t>
  </si>
  <si>
    <t>Harrergay</t>
  </si>
  <si>
    <t>Sidama</t>
  </si>
  <si>
    <t>Nekemte</t>
  </si>
  <si>
    <t>Oromia</t>
  </si>
  <si>
    <t xml:space="preserve">he's in Jimma </t>
  </si>
  <si>
    <t>Language</t>
  </si>
  <si>
    <t xml:space="preserve">Busy </t>
  </si>
  <si>
    <t>Yosef</t>
  </si>
  <si>
    <t>shashemene</t>
  </si>
  <si>
    <t>he will</t>
  </si>
  <si>
    <t>she will</t>
  </si>
  <si>
    <t xml:space="preserve">he will </t>
  </si>
  <si>
    <t>he will try</t>
  </si>
  <si>
    <t>repeted</t>
  </si>
  <si>
    <t>jigjiga</t>
  </si>
  <si>
    <t>bahrdar</t>
  </si>
  <si>
    <t>desse</t>
  </si>
  <si>
    <t>somali region</t>
  </si>
  <si>
    <t>debrebrhan</t>
  </si>
  <si>
    <t>hawasa</t>
  </si>
  <si>
    <t>holeta</t>
  </si>
  <si>
    <t>adama</t>
  </si>
  <si>
    <t>tigray</t>
  </si>
  <si>
    <t>nekemt</t>
  </si>
  <si>
    <t>benchimaji</t>
  </si>
  <si>
    <t xml:space="preserve">borena </t>
  </si>
  <si>
    <t>mekele</t>
  </si>
  <si>
    <t>he dont event remeber</t>
  </si>
  <si>
    <t>forget it</t>
  </si>
  <si>
    <t>busy scedule</t>
  </si>
  <si>
    <t>busy sceduled</t>
  </si>
  <si>
    <t>HE Will call back</t>
  </si>
  <si>
    <t>nertwork issue</t>
  </si>
  <si>
    <t>he will call back</t>
  </si>
  <si>
    <t>they will pass the messsage</t>
  </si>
  <si>
    <t>he will try to come</t>
  </si>
  <si>
    <t>Additional 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</si>
</sst>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666666"/>
        <bgColor rgb="FF666666"/>
      </patternFill>
    </fill>
    <fill>
      <patternFill patternType="solid">
        <fgColor rgb="FF434343"/>
        <bgColor rgb="FF434343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2" fontId="1" numFmtId="0" xfId="0" applyAlignment="1" applyFill="1" applyFont="1">
      <alignment horizontal="left" readingOrder="0"/>
    </xf>
    <xf borderId="0" fillId="2" fontId="1" numFmtId="0" xfId="0" applyFont="1"/>
    <xf borderId="0" fillId="0" fontId="2" numFmtId="0" xfId="0" applyAlignment="1" applyFont="1">
      <alignment horizontal="left" readingOrder="0"/>
    </xf>
    <xf borderId="0" fillId="3" fontId="1" numFmtId="0" xfId="0" applyAlignment="1" applyFill="1" applyFont="1">
      <alignment horizontal="left" readingOrder="0"/>
    </xf>
    <xf borderId="0" fillId="3" fontId="1" numFmtId="0" xfId="0" applyFont="1"/>
    <xf borderId="0" fillId="0" fontId="1" numFmtId="0" xfId="0" applyAlignment="1" applyFont="1">
      <alignment horizontal="left"/>
    </xf>
    <xf borderId="0" fillId="4" fontId="1" numFmtId="0" xfId="0" applyAlignment="1" applyFill="1" applyFont="1">
      <alignment horizontal="left" readingOrder="0"/>
    </xf>
    <xf borderId="0" fillId="4" fontId="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 vertical="bottom"/>
    </xf>
    <xf borderId="0" fillId="5" fontId="4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49" xfId="0" applyAlignment="1" applyFont="1" applyNumberFormat="1">
      <alignment horizontal="center" shrinkToFit="0" vertical="center" wrapText="1"/>
    </xf>
    <xf borderId="0" fillId="0" fontId="5" numFmtId="49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3" fontId="7" numFmtId="0" xfId="0" applyAlignment="1" applyFont="1">
      <alignment readingOrder="0" vertical="bottom"/>
    </xf>
    <xf borderId="0" fillId="3" fontId="3" numFmtId="0" xfId="0" applyAlignment="1" applyFont="1">
      <alignment readingOrder="0" vertical="bottom"/>
    </xf>
    <xf borderId="0" fillId="3" fontId="1" numFmtId="0" xfId="0" applyAlignment="1" applyFont="1">
      <alignment readingOrder="0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lemutigist500gmai.com" TargetMode="External"/><Relationship Id="rId2" Type="http://schemas.openxmlformats.org/officeDocument/2006/relationships/hyperlink" Target="http://ephremmohammed378gmail.com" TargetMode="External"/><Relationship Id="rId3" Type="http://schemas.openxmlformats.org/officeDocument/2006/relationships/hyperlink" Target="http://tomaskanko.com.gov" TargetMode="External"/><Relationship Id="rId4" Type="http://schemas.openxmlformats.org/officeDocument/2006/relationships/hyperlink" Target="http://ahmedmustafe0914gmail.com" TargetMode="External"/><Relationship Id="rId5" Type="http://schemas.openxmlformats.org/officeDocument/2006/relationships/hyperlink" Target="http://omerbrhan10gmail.com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tomaskanko.com.gov" TargetMode="External"/><Relationship Id="rId2" Type="http://schemas.openxmlformats.org/officeDocument/2006/relationships/hyperlink" Target="http://omerbrhan10gmail.com" TargetMode="External"/><Relationship Id="rId3" Type="http://schemas.openxmlformats.org/officeDocument/2006/relationships/hyperlink" Target="http://ahmedmustafe0914gmail.com" TargetMode="External"/><Relationship Id="rId4" Type="http://schemas.openxmlformats.org/officeDocument/2006/relationships/hyperlink" Target="http://ephremmohammed378gmail.com" TargetMode="External"/><Relationship Id="rId5" Type="http://schemas.openxmlformats.org/officeDocument/2006/relationships/hyperlink" Target="http://alemutigist500gmai.com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tomaskanko.com.gov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omerbrhan10gmail.com" TargetMode="External"/><Relationship Id="rId2" Type="http://schemas.openxmlformats.org/officeDocument/2006/relationships/hyperlink" Target="http://ahmedmustafe0914gmail.com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ephremmohammed378gmail.com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alemutigist500gmai.com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29.5"/>
    <col customWidth="1" min="3" max="3" width="23.38"/>
    <col customWidth="1" min="4" max="4" width="3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 t="s">
        <v>5</v>
      </c>
      <c r="C2" s="1">
        <v>1.20231608E8</v>
      </c>
      <c r="D2" s="1" t="s">
        <v>6</v>
      </c>
    </row>
    <row r="3">
      <c r="A3" s="1" t="s">
        <v>7</v>
      </c>
      <c r="B3" s="1" t="s">
        <v>8</v>
      </c>
      <c r="C3" s="1">
        <v>7.07119816E8</v>
      </c>
      <c r="D3" s="1" t="s">
        <v>9</v>
      </c>
    </row>
    <row r="4">
      <c r="A4" s="1" t="s">
        <v>10</v>
      </c>
      <c r="B4" s="1" t="s">
        <v>11</v>
      </c>
      <c r="C4" s="1">
        <v>7.12908628E8</v>
      </c>
      <c r="D4" s="1" t="s">
        <v>6</v>
      </c>
    </row>
    <row r="5">
      <c r="A5" s="1" t="s">
        <v>12</v>
      </c>
      <c r="B5" s="1" t="s">
        <v>13</v>
      </c>
      <c r="C5" s="1">
        <v>7.14969306E8</v>
      </c>
      <c r="D5" s="1" t="s">
        <v>9</v>
      </c>
    </row>
    <row r="6">
      <c r="A6" s="3" t="s">
        <v>14</v>
      </c>
      <c r="B6" s="3" t="s">
        <v>15</v>
      </c>
      <c r="C6" s="3">
        <v>7.16862928E8</v>
      </c>
      <c r="D6" s="3" t="s">
        <v>6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16</v>
      </c>
      <c r="B7" s="1" t="s">
        <v>17</v>
      </c>
      <c r="C7" s="1">
        <v>9.01192359E8</v>
      </c>
      <c r="D7" s="1" t="s">
        <v>6</v>
      </c>
    </row>
    <row r="8">
      <c r="A8" s="1" t="s">
        <v>18</v>
      </c>
      <c r="B8" s="1" t="s">
        <v>19</v>
      </c>
      <c r="C8" s="1">
        <v>9.01934597E8</v>
      </c>
      <c r="D8" s="1" t="s">
        <v>6</v>
      </c>
    </row>
    <row r="9">
      <c r="A9" s="1" t="s">
        <v>20</v>
      </c>
      <c r="B9" s="1" t="s">
        <v>21</v>
      </c>
      <c r="C9" s="1">
        <v>9.02186608E8</v>
      </c>
      <c r="D9" s="1" t="s">
        <v>9</v>
      </c>
    </row>
    <row r="10">
      <c r="A10" s="1" t="s">
        <v>22</v>
      </c>
      <c r="B10" s="1" t="s">
        <v>23</v>
      </c>
      <c r="C10" s="1">
        <v>9.02295632E8</v>
      </c>
      <c r="D10" s="1" t="s">
        <v>9</v>
      </c>
    </row>
    <row r="11">
      <c r="A11" s="1" t="s">
        <v>24</v>
      </c>
      <c r="B11" s="1" t="s">
        <v>25</v>
      </c>
      <c r="C11" s="1">
        <v>9.02961595E8</v>
      </c>
      <c r="D11" s="1" t="s">
        <v>6</v>
      </c>
    </row>
    <row r="12">
      <c r="A12" s="1" t="s">
        <v>24</v>
      </c>
      <c r="B12" s="1" t="s">
        <v>25</v>
      </c>
      <c r="C12" s="1">
        <v>9.02961595E8</v>
      </c>
      <c r="D12" s="1" t="s">
        <v>6</v>
      </c>
    </row>
    <row r="13">
      <c r="A13" s="1" t="s">
        <v>26</v>
      </c>
      <c r="B13" s="1" t="s">
        <v>27</v>
      </c>
      <c r="C13" s="1">
        <v>9.03046191E8</v>
      </c>
      <c r="D13" s="1" t="s">
        <v>6</v>
      </c>
    </row>
    <row r="14">
      <c r="A14" s="1" t="s">
        <v>28</v>
      </c>
      <c r="B14" s="1" t="s">
        <v>29</v>
      </c>
      <c r="C14" s="1">
        <v>9.03923268E8</v>
      </c>
      <c r="D14" s="1" t="s">
        <v>9</v>
      </c>
    </row>
    <row r="15">
      <c r="A15" s="1" t="s">
        <v>30</v>
      </c>
      <c r="B15" s="1" t="s">
        <v>31</v>
      </c>
      <c r="C15" s="1">
        <v>9.04944174E8</v>
      </c>
      <c r="D15" s="1" t="s">
        <v>9</v>
      </c>
    </row>
    <row r="16">
      <c r="A16" s="1" t="s">
        <v>32</v>
      </c>
      <c r="B16" s="1" t="s">
        <v>33</v>
      </c>
      <c r="C16" s="1">
        <v>9.06443544E8</v>
      </c>
      <c r="D16" s="1" t="s">
        <v>9</v>
      </c>
    </row>
    <row r="17">
      <c r="A17" s="1" t="s">
        <v>34</v>
      </c>
      <c r="B17" s="1" t="s">
        <v>35</v>
      </c>
      <c r="C17" s="1">
        <v>9.06644572E8</v>
      </c>
      <c r="D17" s="1" t="s">
        <v>9</v>
      </c>
    </row>
    <row r="18">
      <c r="A18" s="5" t="s">
        <v>36</v>
      </c>
      <c r="B18" s="1" t="s">
        <v>37</v>
      </c>
      <c r="C18" s="1">
        <v>9.06866371E8</v>
      </c>
      <c r="D18" s="1" t="s">
        <v>6</v>
      </c>
    </row>
    <row r="19">
      <c r="A19" s="1" t="s">
        <v>38</v>
      </c>
      <c r="B19" s="1" t="s">
        <v>39</v>
      </c>
      <c r="C19" s="1">
        <v>9.07162797E8</v>
      </c>
      <c r="D19" s="1" t="s">
        <v>9</v>
      </c>
    </row>
    <row r="20">
      <c r="A20" s="1" t="s">
        <v>40</v>
      </c>
      <c r="B20" s="1" t="s">
        <v>41</v>
      </c>
      <c r="C20" s="1">
        <v>9.07429837E8</v>
      </c>
      <c r="D20" s="1" t="s">
        <v>6</v>
      </c>
    </row>
    <row r="21">
      <c r="A21" s="1">
        <v>93739.0</v>
      </c>
      <c r="B21" s="1" t="s">
        <v>42</v>
      </c>
      <c r="C21" s="1">
        <v>9.0770684E8</v>
      </c>
      <c r="D21" s="1" t="s">
        <v>9</v>
      </c>
    </row>
    <row r="22">
      <c r="A22" s="1" t="s">
        <v>43</v>
      </c>
      <c r="B22" s="1" t="s">
        <v>44</v>
      </c>
      <c r="C22" s="1">
        <v>9.0865771E8</v>
      </c>
      <c r="D22" s="1" t="s">
        <v>6</v>
      </c>
    </row>
    <row r="23">
      <c r="A23" s="1" t="s">
        <v>45</v>
      </c>
      <c r="B23" s="1" t="s">
        <v>46</v>
      </c>
      <c r="C23" s="1">
        <v>9.09047513E8</v>
      </c>
      <c r="D23" s="1" t="s">
        <v>6</v>
      </c>
    </row>
    <row r="24">
      <c r="A24" s="1" t="s">
        <v>47</v>
      </c>
      <c r="B24" s="1" t="s">
        <v>48</v>
      </c>
      <c r="C24" s="1">
        <v>9.10000899E8</v>
      </c>
      <c r="D24" s="1" t="s">
        <v>9</v>
      </c>
    </row>
    <row r="25">
      <c r="A25" s="1" t="s">
        <v>49</v>
      </c>
      <c r="B25" s="1" t="s">
        <v>50</v>
      </c>
      <c r="C25" s="1">
        <v>9.10178625E8</v>
      </c>
      <c r="D25" s="1" t="s">
        <v>9</v>
      </c>
    </row>
    <row r="26">
      <c r="A26" s="1" t="s">
        <v>51</v>
      </c>
      <c r="B26" s="1" t="s">
        <v>52</v>
      </c>
      <c r="C26" s="1">
        <v>9.10211635E8</v>
      </c>
      <c r="D26" s="1" t="s">
        <v>6</v>
      </c>
    </row>
    <row r="27">
      <c r="A27" s="1" t="s">
        <v>53</v>
      </c>
      <c r="B27" s="1" t="s">
        <v>54</v>
      </c>
      <c r="C27" s="1">
        <v>9.10246543E8</v>
      </c>
      <c r="D27" s="1" t="s">
        <v>9</v>
      </c>
    </row>
    <row r="28">
      <c r="A28" s="1" t="s">
        <v>55</v>
      </c>
      <c r="B28" s="1" t="s">
        <v>56</v>
      </c>
      <c r="C28" s="1">
        <v>9.10406998E8</v>
      </c>
      <c r="D28" s="1" t="s">
        <v>6</v>
      </c>
    </row>
    <row r="29">
      <c r="A29" s="1" t="s">
        <v>57</v>
      </c>
      <c r="B29" s="1" t="s">
        <v>58</v>
      </c>
      <c r="C29" s="1">
        <v>9.10626468E8</v>
      </c>
      <c r="D29" s="1" t="s">
        <v>9</v>
      </c>
    </row>
    <row r="30">
      <c r="A30" s="1" t="s">
        <v>59</v>
      </c>
      <c r="B30" s="1" t="s">
        <v>60</v>
      </c>
      <c r="C30" s="1">
        <v>9.10626468E8</v>
      </c>
      <c r="D30" s="1" t="s">
        <v>9</v>
      </c>
    </row>
    <row r="31">
      <c r="A31" s="1" t="s">
        <v>61</v>
      </c>
      <c r="B31" s="1" t="s">
        <v>62</v>
      </c>
      <c r="C31" s="1">
        <v>9.10787732E8</v>
      </c>
      <c r="D31" s="1" t="s">
        <v>9</v>
      </c>
    </row>
    <row r="32">
      <c r="A32" s="1" t="s">
        <v>63</v>
      </c>
      <c r="B32" s="1" t="s">
        <v>64</v>
      </c>
      <c r="C32" s="1">
        <v>9.10908569E8</v>
      </c>
      <c r="D32" s="1" t="s">
        <v>9</v>
      </c>
    </row>
    <row r="33">
      <c r="A33" s="1" t="s">
        <v>65</v>
      </c>
      <c r="B33" s="1" t="s">
        <v>66</v>
      </c>
      <c r="C33" s="1">
        <v>9.11171665E8</v>
      </c>
      <c r="D33" s="1" t="s">
        <v>9</v>
      </c>
    </row>
    <row r="34">
      <c r="A34" s="1" t="s">
        <v>67</v>
      </c>
      <c r="B34" s="1" t="s">
        <v>68</v>
      </c>
      <c r="C34" s="1">
        <v>9.11337511E8</v>
      </c>
      <c r="D34" s="1" t="s">
        <v>6</v>
      </c>
    </row>
    <row r="35">
      <c r="A35" s="1" t="s">
        <v>69</v>
      </c>
      <c r="B35" s="1" t="s">
        <v>70</v>
      </c>
      <c r="C35" s="1">
        <v>9.11408099E8</v>
      </c>
      <c r="D35" s="1" t="s">
        <v>6</v>
      </c>
    </row>
    <row r="36">
      <c r="A36" s="1" t="s">
        <v>71</v>
      </c>
      <c r="B36" s="1" t="s">
        <v>72</v>
      </c>
      <c r="C36" s="1">
        <v>9.11543383E8</v>
      </c>
      <c r="D36" s="1" t="s">
        <v>9</v>
      </c>
    </row>
    <row r="37">
      <c r="A37" s="1" t="s">
        <v>73</v>
      </c>
      <c r="B37" s="1" t="s">
        <v>74</v>
      </c>
      <c r="C37" s="1">
        <v>9.11560266E8</v>
      </c>
      <c r="D37" s="1" t="s">
        <v>6</v>
      </c>
    </row>
    <row r="38">
      <c r="A38" s="1" t="s">
        <v>73</v>
      </c>
      <c r="B38" s="1" t="s">
        <v>74</v>
      </c>
      <c r="C38" s="1">
        <v>9.11560266E8</v>
      </c>
      <c r="D38" s="1" t="s">
        <v>6</v>
      </c>
    </row>
    <row r="39">
      <c r="A39" s="1" t="s">
        <v>75</v>
      </c>
      <c r="B39" s="1" t="s">
        <v>76</v>
      </c>
      <c r="C39" s="1">
        <v>9.11565928E8</v>
      </c>
      <c r="D39" s="1" t="s">
        <v>6</v>
      </c>
    </row>
    <row r="40">
      <c r="A40" s="1" t="s">
        <v>77</v>
      </c>
      <c r="B40" s="1" t="s">
        <v>78</v>
      </c>
      <c r="C40" s="1">
        <v>9.11706278E8</v>
      </c>
      <c r="D40" s="1" t="s">
        <v>9</v>
      </c>
    </row>
    <row r="41">
      <c r="A41" s="1" t="s">
        <v>79</v>
      </c>
      <c r="B41" s="1" t="s">
        <v>80</v>
      </c>
      <c r="C41" s="1">
        <v>9.12134468E8</v>
      </c>
      <c r="D41" s="1" t="s">
        <v>9</v>
      </c>
    </row>
    <row r="42">
      <c r="A42" s="1" t="s">
        <v>81</v>
      </c>
      <c r="B42" s="1" t="s">
        <v>82</v>
      </c>
      <c r="C42" s="1">
        <v>9.12191176E8</v>
      </c>
      <c r="D42" s="1" t="s">
        <v>9</v>
      </c>
    </row>
    <row r="43">
      <c r="A43" s="1" t="s">
        <v>83</v>
      </c>
      <c r="B43" s="1" t="s">
        <v>84</v>
      </c>
      <c r="C43" s="1">
        <v>9.12252243E8</v>
      </c>
      <c r="D43" s="1" t="s">
        <v>9</v>
      </c>
    </row>
    <row r="44">
      <c r="A44" s="1" t="s">
        <v>85</v>
      </c>
      <c r="B44" s="1" t="s">
        <v>86</v>
      </c>
      <c r="C44" s="1">
        <v>9.12354983E8</v>
      </c>
      <c r="D44" s="1" t="s">
        <v>6</v>
      </c>
    </row>
    <row r="45">
      <c r="A45" s="1" t="s">
        <v>87</v>
      </c>
      <c r="B45" s="1" t="s">
        <v>88</v>
      </c>
      <c r="C45" s="1">
        <v>9.12388939E8</v>
      </c>
      <c r="D45" s="1" t="s">
        <v>6</v>
      </c>
    </row>
    <row r="46">
      <c r="A46" s="1" t="s">
        <v>89</v>
      </c>
      <c r="B46" s="1" t="s">
        <v>90</v>
      </c>
      <c r="C46" s="1">
        <v>9.12460263E8</v>
      </c>
      <c r="D46" s="1" t="s">
        <v>9</v>
      </c>
    </row>
    <row r="47">
      <c r="A47" s="1" t="s">
        <v>91</v>
      </c>
      <c r="B47" s="1" t="s">
        <v>92</v>
      </c>
      <c r="C47" s="1">
        <v>9.12666159E8</v>
      </c>
      <c r="D47" s="1" t="s">
        <v>6</v>
      </c>
    </row>
    <row r="48">
      <c r="A48" s="1" t="s">
        <v>93</v>
      </c>
      <c r="B48" s="1" t="s">
        <v>94</v>
      </c>
      <c r="C48" s="1">
        <v>9.12974953E8</v>
      </c>
      <c r="D48" s="1" t="s">
        <v>6</v>
      </c>
    </row>
    <row r="49">
      <c r="A49" s="1" t="s">
        <v>95</v>
      </c>
      <c r="B49" s="1" t="s">
        <v>96</v>
      </c>
      <c r="C49" s="1">
        <v>9.13052513E8</v>
      </c>
      <c r="D49" s="1" t="s">
        <v>6</v>
      </c>
    </row>
    <row r="50">
      <c r="A50" s="1">
        <v>9.13547122E8</v>
      </c>
      <c r="B50" s="1" t="s">
        <v>97</v>
      </c>
      <c r="C50" s="1">
        <v>9.13547122E8</v>
      </c>
      <c r="D50" s="1" t="s">
        <v>9</v>
      </c>
    </row>
    <row r="51">
      <c r="A51" s="1" t="s">
        <v>98</v>
      </c>
      <c r="B51" s="1" t="s">
        <v>99</v>
      </c>
      <c r="C51" s="1">
        <v>9.13578278E8</v>
      </c>
      <c r="D51" s="1" t="s">
        <v>9</v>
      </c>
    </row>
    <row r="52">
      <c r="A52" s="1" t="s">
        <v>100</v>
      </c>
      <c r="B52" s="1" t="s">
        <v>101</v>
      </c>
      <c r="C52" s="1">
        <v>9.13578278E8</v>
      </c>
      <c r="D52" s="1" t="s">
        <v>9</v>
      </c>
    </row>
    <row r="53">
      <c r="A53" s="1" t="s">
        <v>102</v>
      </c>
      <c r="B53" s="1" t="s">
        <v>103</v>
      </c>
      <c r="C53" s="1">
        <v>9.13826556E8</v>
      </c>
      <c r="D53" s="1" t="s">
        <v>6</v>
      </c>
    </row>
    <row r="54">
      <c r="A54" s="1" t="s">
        <v>104</v>
      </c>
      <c r="B54" s="1" t="s">
        <v>105</v>
      </c>
      <c r="C54" s="1">
        <v>9.13835065E8</v>
      </c>
      <c r="D54" s="1" t="s">
        <v>9</v>
      </c>
    </row>
    <row r="55">
      <c r="A55" s="1" t="s">
        <v>106</v>
      </c>
      <c r="B55" s="1" t="s">
        <v>107</v>
      </c>
      <c r="C55" s="1">
        <v>9.13847279E8</v>
      </c>
      <c r="D55" s="1" t="s">
        <v>9</v>
      </c>
    </row>
    <row r="56">
      <c r="A56" s="1" t="s">
        <v>108</v>
      </c>
      <c r="B56" s="1" t="s">
        <v>109</v>
      </c>
      <c r="C56" s="1">
        <v>9.13918386E8</v>
      </c>
      <c r="D56" s="1" t="s">
        <v>6</v>
      </c>
    </row>
    <row r="57">
      <c r="A57" s="1" t="s">
        <v>110</v>
      </c>
      <c r="B57" s="1" t="s">
        <v>111</v>
      </c>
      <c r="C57" s="1">
        <v>9.13929844E8</v>
      </c>
      <c r="D57" s="1" t="s">
        <v>6</v>
      </c>
    </row>
    <row r="58">
      <c r="A58" s="1" t="s">
        <v>112</v>
      </c>
      <c r="B58" s="1" t="s">
        <v>113</v>
      </c>
      <c r="C58" s="1">
        <v>9.15037321E8</v>
      </c>
      <c r="D58" s="1" t="s">
        <v>9</v>
      </c>
    </row>
    <row r="59">
      <c r="A59" s="1" t="s">
        <v>114</v>
      </c>
      <c r="B59" s="1" t="s">
        <v>115</v>
      </c>
      <c r="C59" s="1">
        <v>9.15044565E8</v>
      </c>
      <c r="D59" s="1" t="s">
        <v>6</v>
      </c>
    </row>
    <row r="60">
      <c r="A60" s="1" t="s">
        <v>116</v>
      </c>
      <c r="B60" s="1" t="s">
        <v>117</v>
      </c>
      <c r="C60" s="1">
        <v>9.15128604E8</v>
      </c>
      <c r="D60" s="1" t="s">
        <v>9</v>
      </c>
    </row>
    <row r="61">
      <c r="A61" s="1" t="s">
        <v>118</v>
      </c>
      <c r="B61" s="1" t="s">
        <v>119</v>
      </c>
      <c r="C61" s="1">
        <v>9.15137664E8</v>
      </c>
      <c r="D61" s="1" t="s">
        <v>9</v>
      </c>
    </row>
    <row r="62">
      <c r="A62" s="1" t="s">
        <v>120</v>
      </c>
      <c r="B62" s="1" t="s">
        <v>121</v>
      </c>
      <c r="C62" s="1">
        <v>9.15925326E8</v>
      </c>
      <c r="D62" s="1" t="s">
        <v>6</v>
      </c>
    </row>
    <row r="63">
      <c r="A63" s="1" t="s">
        <v>122</v>
      </c>
      <c r="B63" s="1" t="s">
        <v>123</v>
      </c>
      <c r="C63" s="1">
        <v>9.16039474E8</v>
      </c>
      <c r="D63" s="1" t="s">
        <v>9</v>
      </c>
    </row>
    <row r="64">
      <c r="A64" s="1" t="s">
        <v>124</v>
      </c>
      <c r="B64" s="1" t="s">
        <v>125</v>
      </c>
      <c r="C64" s="1">
        <v>9.16073223E8</v>
      </c>
      <c r="D64" s="1" t="s">
        <v>6</v>
      </c>
    </row>
    <row r="65">
      <c r="A65" s="1" t="s">
        <v>126</v>
      </c>
      <c r="B65" s="1" t="s">
        <v>127</v>
      </c>
      <c r="C65" s="1">
        <v>9.16393461E8</v>
      </c>
      <c r="D65" s="1" t="s">
        <v>6</v>
      </c>
    </row>
    <row r="66">
      <c r="A66" s="1" t="s">
        <v>128</v>
      </c>
      <c r="B66" s="1" t="s">
        <v>129</v>
      </c>
      <c r="C66" s="1">
        <v>9.16602111E8</v>
      </c>
      <c r="D66" s="1" t="s">
        <v>9</v>
      </c>
    </row>
    <row r="67">
      <c r="A67" s="1" t="s">
        <v>130</v>
      </c>
      <c r="B67" s="1" t="s">
        <v>131</v>
      </c>
      <c r="C67" s="1">
        <v>9.1692752E8</v>
      </c>
      <c r="D67" s="1" t="s">
        <v>9</v>
      </c>
    </row>
    <row r="68">
      <c r="A68" s="1" t="s">
        <v>132</v>
      </c>
      <c r="B68" s="1" t="s">
        <v>133</v>
      </c>
      <c r="C68" s="1">
        <v>9.16996769E8</v>
      </c>
      <c r="D68" s="1" t="s">
        <v>9</v>
      </c>
    </row>
    <row r="69">
      <c r="A69" s="1" t="s">
        <v>134</v>
      </c>
      <c r="B69" s="1" t="s">
        <v>135</v>
      </c>
      <c r="C69" s="1">
        <v>9.17035609E8</v>
      </c>
      <c r="D69" s="1" t="s">
        <v>9</v>
      </c>
    </row>
    <row r="70">
      <c r="A70" s="1" t="s">
        <v>136</v>
      </c>
      <c r="B70" s="1" t="s">
        <v>135</v>
      </c>
      <c r="C70" s="1">
        <v>9.17035609E8</v>
      </c>
      <c r="D70" s="1" t="s">
        <v>6</v>
      </c>
    </row>
    <row r="71">
      <c r="A71" s="1" t="s">
        <v>137</v>
      </c>
      <c r="B71" s="1" t="s">
        <v>138</v>
      </c>
      <c r="C71" s="1">
        <v>9.17415619E8</v>
      </c>
      <c r="D71" s="1" t="s">
        <v>9</v>
      </c>
    </row>
    <row r="72">
      <c r="A72" s="1" t="s">
        <v>139</v>
      </c>
      <c r="B72" s="1" t="s">
        <v>140</v>
      </c>
      <c r="C72" s="1">
        <v>9.17516941E8</v>
      </c>
      <c r="D72" s="1" t="s">
        <v>9</v>
      </c>
    </row>
    <row r="73">
      <c r="A73" s="1" t="s">
        <v>47</v>
      </c>
      <c r="B73" s="1" t="s">
        <v>141</v>
      </c>
      <c r="C73" s="1">
        <v>9.17661205E8</v>
      </c>
      <c r="D73" s="1" t="s">
        <v>9</v>
      </c>
    </row>
    <row r="74">
      <c r="A74" s="1" t="s">
        <v>142</v>
      </c>
      <c r="B74" s="1" t="s">
        <v>143</v>
      </c>
      <c r="C74" s="1">
        <v>9.17843917E8</v>
      </c>
      <c r="D74" s="1" t="s">
        <v>6</v>
      </c>
    </row>
    <row r="75">
      <c r="A75" s="1" t="s">
        <v>144</v>
      </c>
      <c r="B75" s="1" t="s">
        <v>145</v>
      </c>
      <c r="C75" s="1">
        <v>9.1806334E8</v>
      </c>
      <c r="D75" s="1" t="s">
        <v>9</v>
      </c>
    </row>
    <row r="76">
      <c r="A76" s="1" t="s">
        <v>146</v>
      </c>
      <c r="B76" s="1" t="s">
        <v>147</v>
      </c>
      <c r="C76" s="1">
        <v>9.18302196E8</v>
      </c>
      <c r="D76" s="1" t="s">
        <v>9</v>
      </c>
    </row>
    <row r="77">
      <c r="A77" s="1" t="s">
        <v>148</v>
      </c>
      <c r="B77" s="1" t="s">
        <v>149</v>
      </c>
      <c r="C77" s="1">
        <v>9.18444033E8</v>
      </c>
      <c r="D77" s="1" t="s">
        <v>9</v>
      </c>
    </row>
    <row r="78">
      <c r="A78" s="1">
        <v>67.0</v>
      </c>
      <c r="B78" s="1" t="s">
        <v>150</v>
      </c>
      <c r="C78" s="1">
        <v>9.18731246E8</v>
      </c>
      <c r="D78" s="1" t="s">
        <v>9</v>
      </c>
    </row>
    <row r="79">
      <c r="A79" s="1" t="s">
        <v>151</v>
      </c>
      <c r="B79" s="1" t="s">
        <v>152</v>
      </c>
      <c r="C79" s="1">
        <v>9.1884705E8</v>
      </c>
      <c r="D79" s="1" t="s">
        <v>6</v>
      </c>
    </row>
    <row r="80">
      <c r="A80" s="5" t="s">
        <v>153</v>
      </c>
      <c r="B80" s="1" t="s">
        <v>154</v>
      </c>
      <c r="C80" s="1">
        <v>9.1914968E8</v>
      </c>
      <c r="D80" s="1" t="s">
        <v>9</v>
      </c>
    </row>
    <row r="81">
      <c r="A81" s="1" t="s">
        <v>155</v>
      </c>
      <c r="B81" s="1" t="s">
        <v>156</v>
      </c>
      <c r="C81" s="1">
        <v>9.19157993E8</v>
      </c>
      <c r="D81" s="1" t="s">
        <v>9</v>
      </c>
    </row>
    <row r="82">
      <c r="A82" s="1" t="s">
        <v>157</v>
      </c>
      <c r="B82" s="1" t="s">
        <v>158</v>
      </c>
      <c r="C82" s="1">
        <v>9.19230295E8</v>
      </c>
      <c r="D82" s="1" t="s">
        <v>9</v>
      </c>
    </row>
    <row r="83">
      <c r="A83" s="1" t="s">
        <v>159</v>
      </c>
      <c r="B83" s="1" t="s">
        <v>160</v>
      </c>
      <c r="C83" s="1">
        <v>9.19324653E8</v>
      </c>
      <c r="D83" s="1" t="s">
        <v>6</v>
      </c>
    </row>
    <row r="84">
      <c r="A84" s="1" t="s">
        <v>161</v>
      </c>
      <c r="B84" s="1" t="s">
        <v>162</v>
      </c>
      <c r="C84" s="1">
        <v>9.19381811E8</v>
      </c>
      <c r="D84" s="1" t="s">
        <v>9</v>
      </c>
    </row>
    <row r="85">
      <c r="A85" s="1" t="s">
        <v>163</v>
      </c>
      <c r="B85" s="1" t="s">
        <v>164</v>
      </c>
      <c r="C85" s="1">
        <v>9.19434715E8</v>
      </c>
      <c r="D85" s="1" t="s">
        <v>9</v>
      </c>
    </row>
    <row r="86">
      <c r="A86" s="1" t="s">
        <v>163</v>
      </c>
      <c r="B86" s="1" t="s">
        <v>165</v>
      </c>
      <c r="C86" s="1">
        <v>9.19434715E8</v>
      </c>
      <c r="D86" s="1" t="s">
        <v>9</v>
      </c>
    </row>
    <row r="87">
      <c r="A87" s="1" t="s">
        <v>163</v>
      </c>
      <c r="B87" s="1" t="s">
        <v>165</v>
      </c>
      <c r="C87" s="1">
        <v>9.19434715E8</v>
      </c>
      <c r="D87" s="1" t="s">
        <v>6</v>
      </c>
    </row>
    <row r="88">
      <c r="A88" s="1" t="s">
        <v>163</v>
      </c>
      <c r="B88" s="1" t="s">
        <v>165</v>
      </c>
      <c r="C88" s="1">
        <v>9.19434715E8</v>
      </c>
      <c r="D88" s="1" t="s">
        <v>6</v>
      </c>
    </row>
    <row r="89">
      <c r="A89" s="1" t="s">
        <v>166</v>
      </c>
      <c r="B89" s="1" t="s">
        <v>167</v>
      </c>
      <c r="C89" s="1">
        <v>9.19523283E8</v>
      </c>
      <c r="D89" s="1" t="s">
        <v>9</v>
      </c>
    </row>
    <row r="90">
      <c r="A90" s="1" t="s">
        <v>168</v>
      </c>
      <c r="B90" s="1" t="s">
        <v>169</v>
      </c>
      <c r="C90" s="1">
        <v>9.19523283E8</v>
      </c>
      <c r="D90" s="1" t="s">
        <v>9</v>
      </c>
    </row>
    <row r="91">
      <c r="A91" s="1" t="s">
        <v>170</v>
      </c>
      <c r="B91" s="1" t="s">
        <v>171</v>
      </c>
      <c r="C91" s="1">
        <v>9.19870243E8</v>
      </c>
      <c r="D91" s="1" t="s">
        <v>6</v>
      </c>
    </row>
    <row r="92">
      <c r="A92" s="1" t="s">
        <v>172</v>
      </c>
      <c r="B92" s="1" t="s">
        <v>173</v>
      </c>
      <c r="C92" s="1">
        <v>9.20007776E8</v>
      </c>
      <c r="D92" s="1" t="s">
        <v>9</v>
      </c>
    </row>
    <row r="93">
      <c r="A93" s="1">
        <v>123456.0</v>
      </c>
      <c r="B93" s="1" t="s">
        <v>174</v>
      </c>
      <c r="C93" s="1">
        <v>9.20147256E8</v>
      </c>
      <c r="D93" s="1" t="s">
        <v>9</v>
      </c>
    </row>
    <row r="94">
      <c r="A94" s="1" t="s">
        <v>175</v>
      </c>
      <c r="B94" s="1" t="s">
        <v>176</v>
      </c>
      <c r="C94" s="1">
        <v>9.20221949E8</v>
      </c>
      <c r="D94" s="1" t="s">
        <v>9</v>
      </c>
    </row>
    <row r="95">
      <c r="A95" s="1" t="s">
        <v>177</v>
      </c>
      <c r="B95" s="1" t="s">
        <v>178</v>
      </c>
      <c r="C95" s="1">
        <v>9.20221949E8</v>
      </c>
      <c r="D95" s="1" t="s">
        <v>9</v>
      </c>
    </row>
    <row r="96">
      <c r="A96" s="1" t="s">
        <v>179</v>
      </c>
      <c r="B96" s="1" t="s">
        <v>178</v>
      </c>
      <c r="C96" s="1">
        <v>9.20221949E8</v>
      </c>
      <c r="D96" s="1" t="s">
        <v>9</v>
      </c>
    </row>
    <row r="97">
      <c r="A97" s="1" t="s">
        <v>180</v>
      </c>
      <c r="B97" s="1" t="s">
        <v>181</v>
      </c>
      <c r="C97" s="1">
        <v>9.20221949E8</v>
      </c>
      <c r="D97" s="1" t="s">
        <v>9</v>
      </c>
    </row>
    <row r="98">
      <c r="A98" s="1" t="s">
        <v>180</v>
      </c>
      <c r="B98" s="1" t="s">
        <v>181</v>
      </c>
      <c r="C98" s="1">
        <v>9.20221949E8</v>
      </c>
      <c r="D98" s="1" t="s">
        <v>9</v>
      </c>
    </row>
    <row r="99">
      <c r="A99" s="1" t="s">
        <v>182</v>
      </c>
      <c r="B99" s="1" t="s">
        <v>183</v>
      </c>
      <c r="C99" s="1">
        <v>9.2031372E8</v>
      </c>
      <c r="D99" s="1" t="s">
        <v>9</v>
      </c>
    </row>
    <row r="100">
      <c r="A100" s="1" t="s">
        <v>184</v>
      </c>
      <c r="B100" s="1" t="s">
        <v>185</v>
      </c>
      <c r="C100" s="1">
        <v>9.2034436E8</v>
      </c>
      <c r="D100" s="1" t="s">
        <v>6</v>
      </c>
    </row>
    <row r="101">
      <c r="A101" s="1" t="s">
        <v>186</v>
      </c>
      <c r="B101" s="1" t="s">
        <v>187</v>
      </c>
      <c r="C101" s="1">
        <v>9.20454959E8</v>
      </c>
      <c r="D101" s="1" t="s">
        <v>9</v>
      </c>
    </row>
    <row r="102">
      <c r="A102" s="1" t="s">
        <v>188</v>
      </c>
      <c r="B102" s="1" t="s">
        <v>189</v>
      </c>
      <c r="C102" s="1">
        <v>9.20782773E8</v>
      </c>
      <c r="D102" s="1" t="s">
        <v>9</v>
      </c>
    </row>
    <row r="103">
      <c r="A103" s="1" t="s">
        <v>190</v>
      </c>
      <c r="B103" s="1" t="s">
        <v>191</v>
      </c>
      <c r="C103" s="1">
        <v>9.20796264E8</v>
      </c>
      <c r="D103" s="1" t="s">
        <v>6</v>
      </c>
    </row>
    <row r="104">
      <c r="A104" s="1" t="s">
        <v>192</v>
      </c>
      <c r="B104" s="1" t="s">
        <v>193</v>
      </c>
      <c r="C104" s="1">
        <v>9.20827606E8</v>
      </c>
      <c r="D104" s="1" t="s">
        <v>6</v>
      </c>
    </row>
    <row r="105">
      <c r="A105" s="1" t="s">
        <v>194</v>
      </c>
      <c r="B105" s="1" t="s">
        <v>195</v>
      </c>
      <c r="C105" s="1">
        <v>9.21169088E8</v>
      </c>
      <c r="D105" s="1" t="s">
        <v>6</v>
      </c>
    </row>
    <row r="106">
      <c r="A106" s="1" t="s">
        <v>196</v>
      </c>
      <c r="B106" s="1" t="s">
        <v>197</v>
      </c>
      <c r="C106" s="1">
        <v>9.21669088E8</v>
      </c>
      <c r="D106" s="1" t="s">
        <v>6</v>
      </c>
    </row>
    <row r="107">
      <c r="A107" s="1" t="s">
        <v>198</v>
      </c>
      <c r="B107" s="1" t="s">
        <v>199</v>
      </c>
      <c r="C107" s="1">
        <v>9.21758292E8</v>
      </c>
      <c r="D107" s="1" t="s">
        <v>9</v>
      </c>
    </row>
    <row r="108">
      <c r="A108" s="1" t="s">
        <v>198</v>
      </c>
      <c r="B108" s="1" t="s">
        <v>199</v>
      </c>
      <c r="C108" s="1">
        <v>9.21758292E8</v>
      </c>
      <c r="D108" s="1" t="s">
        <v>9</v>
      </c>
    </row>
    <row r="109">
      <c r="A109" s="1" t="s">
        <v>198</v>
      </c>
      <c r="B109" s="1" t="s">
        <v>200</v>
      </c>
      <c r="C109" s="1">
        <v>9.21758292E8</v>
      </c>
      <c r="D109" s="1" t="s">
        <v>9</v>
      </c>
    </row>
    <row r="110">
      <c r="A110" s="1" t="s">
        <v>198</v>
      </c>
      <c r="B110" s="1" t="s">
        <v>199</v>
      </c>
      <c r="C110" s="1">
        <v>9.21758292E8</v>
      </c>
      <c r="D110" s="1" t="s">
        <v>9</v>
      </c>
    </row>
    <row r="111">
      <c r="A111" s="1" t="s">
        <v>198</v>
      </c>
      <c r="B111" s="1" t="s">
        <v>201</v>
      </c>
      <c r="C111" s="1">
        <v>9.21758292E8</v>
      </c>
      <c r="D111" s="1" t="s">
        <v>9</v>
      </c>
    </row>
    <row r="112">
      <c r="A112" s="1" t="s">
        <v>202</v>
      </c>
      <c r="B112" s="1" t="s">
        <v>203</v>
      </c>
      <c r="C112" s="1">
        <v>9.2184516E8</v>
      </c>
      <c r="D112" s="1" t="s">
        <v>6</v>
      </c>
    </row>
    <row r="113">
      <c r="A113" s="1" t="s">
        <v>204</v>
      </c>
      <c r="B113" s="1" t="s">
        <v>205</v>
      </c>
      <c r="C113" s="1">
        <v>9.22294445E8</v>
      </c>
      <c r="D113" s="1" t="s">
        <v>6</v>
      </c>
    </row>
    <row r="114">
      <c r="A114" s="1" t="s">
        <v>206</v>
      </c>
      <c r="B114" s="1" t="s">
        <v>207</v>
      </c>
      <c r="C114" s="1">
        <v>9.22592655E8</v>
      </c>
      <c r="D114" s="1" t="s">
        <v>9</v>
      </c>
    </row>
    <row r="115">
      <c r="A115" s="1" t="s">
        <v>208</v>
      </c>
      <c r="B115" s="1" t="s">
        <v>209</v>
      </c>
      <c r="C115" s="1">
        <v>9.22705879E8</v>
      </c>
      <c r="D115" s="1" t="s">
        <v>6</v>
      </c>
    </row>
    <row r="116">
      <c r="A116" s="1" t="s">
        <v>210</v>
      </c>
      <c r="B116" s="1" t="s">
        <v>211</v>
      </c>
      <c r="C116" s="1">
        <v>9.22803503E8</v>
      </c>
      <c r="D116" s="1" t="s">
        <v>6</v>
      </c>
    </row>
    <row r="117">
      <c r="A117" s="1" t="s">
        <v>212</v>
      </c>
      <c r="B117" s="1" t="s">
        <v>213</v>
      </c>
      <c r="C117" s="1">
        <v>9.2299286E8</v>
      </c>
      <c r="D117" s="1" t="s">
        <v>6</v>
      </c>
    </row>
    <row r="118">
      <c r="A118" s="1" t="s">
        <v>214</v>
      </c>
      <c r="B118" s="1" t="s">
        <v>215</v>
      </c>
      <c r="C118" s="1">
        <v>9.23616088E8</v>
      </c>
      <c r="D118" s="1" t="s">
        <v>6</v>
      </c>
    </row>
    <row r="119">
      <c r="A119" s="1" t="s">
        <v>216</v>
      </c>
      <c r="B119" s="1" t="s">
        <v>217</v>
      </c>
      <c r="C119" s="1">
        <v>9.23669075E8</v>
      </c>
      <c r="D119" s="1" t="s">
        <v>6</v>
      </c>
    </row>
    <row r="120">
      <c r="A120" s="1" t="s">
        <v>218</v>
      </c>
      <c r="B120" s="1" t="s">
        <v>219</v>
      </c>
      <c r="C120" s="1">
        <v>9.24094611E8</v>
      </c>
      <c r="D120" s="1" t="s">
        <v>9</v>
      </c>
    </row>
    <row r="121">
      <c r="A121" s="1" t="s">
        <v>220</v>
      </c>
      <c r="B121" s="1" t="s">
        <v>221</v>
      </c>
      <c r="C121" s="1">
        <v>9.24546891E8</v>
      </c>
      <c r="D121" s="1" t="s">
        <v>9</v>
      </c>
    </row>
    <row r="122">
      <c r="A122" s="1" t="s">
        <v>222</v>
      </c>
      <c r="B122" s="1" t="s">
        <v>223</v>
      </c>
      <c r="C122" s="1">
        <v>9.25507539E8</v>
      </c>
      <c r="D122" s="1" t="s">
        <v>9</v>
      </c>
    </row>
    <row r="123">
      <c r="A123" s="1" t="s">
        <v>222</v>
      </c>
      <c r="B123" s="1" t="s">
        <v>224</v>
      </c>
      <c r="C123" s="1">
        <v>9.25507539E8</v>
      </c>
      <c r="D123" s="1" t="s">
        <v>9</v>
      </c>
    </row>
    <row r="124">
      <c r="A124" s="1" t="s">
        <v>225</v>
      </c>
      <c r="B124" s="1" t="s">
        <v>226</v>
      </c>
      <c r="C124" s="1">
        <v>9.25617699E8</v>
      </c>
      <c r="D124" s="1" t="s">
        <v>6</v>
      </c>
    </row>
    <row r="125">
      <c r="A125" s="6" t="s">
        <v>227</v>
      </c>
      <c r="B125" s="6" t="s">
        <v>228</v>
      </c>
      <c r="C125" s="6">
        <v>9.25653684E8</v>
      </c>
      <c r="D125" s="6" t="s">
        <v>9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1" t="s">
        <v>229</v>
      </c>
      <c r="B126" s="1" t="s">
        <v>230</v>
      </c>
      <c r="C126" s="1">
        <v>9.2566883E8</v>
      </c>
      <c r="D126" s="1" t="s">
        <v>6</v>
      </c>
    </row>
    <row r="127">
      <c r="A127" s="1" t="s">
        <v>231</v>
      </c>
      <c r="B127" s="1" t="s">
        <v>232</v>
      </c>
      <c r="C127" s="1">
        <v>9.26823522E8</v>
      </c>
      <c r="D127" s="1" t="s">
        <v>9</v>
      </c>
    </row>
    <row r="128">
      <c r="A128" s="1" t="s">
        <v>233</v>
      </c>
      <c r="B128" s="1" t="s">
        <v>234</v>
      </c>
      <c r="C128" s="1">
        <v>9.28011303E8</v>
      </c>
      <c r="D128" s="1" t="s">
        <v>9</v>
      </c>
    </row>
    <row r="129">
      <c r="A129" s="1" t="s">
        <v>235</v>
      </c>
      <c r="B129" s="1" t="s">
        <v>236</v>
      </c>
      <c r="C129" s="1">
        <v>9.2821656E8</v>
      </c>
      <c r="D129" s="1" t="s">
        <v>6</v>
      </c>
    </row>
    <row r="130">
      <c r="A130" s="1" t="s">
        <v>237</v>
      </c>
      <c r="B130" s="1" t="s">
        <v>238</v>
      </c>
      <c r="C130" s="1">
        <v>9.28261464E8</v>
      </c>
      <c r="D130" s="1" t="s">
        <v>9</v>
      </c>
    </row>
    <row r="131">
      <c r="A131" s="1" t="s">
        <v>239</v>
      </c>
      <c r="B131" s="1" t="s">
        <v>240</v>
      </c>
      <c r="C131" s="1">
        <v>9.28578884E8</v>
      </c>
      <c r="D131" s="1" t="s">
        <v>6</v>
      </c>
    </row>
    <row r="132">
      <c r="A132" s="1" t="s">
        <v>241</v>
      </c>
      <c r="B132" s="1" t="s">
        <v>242</v>
      </c>
      <c r="C132" s="1">
        <v>9.28684256E8</v>
      </c>
      <c r="D132" s="1" t="s">
        <v>6</v>
      </c>
    </row>
    <row r="133">
      <c r="A133" s="1" t="s">
        <v>243</v>
      </c>
      <c r="B133" s="1" t="s">
        <v>244</v>
      </c>
      <c r="C133" s="1">
        <v>9.289894E8</v>
      </c>
      <c r="D133" s="1" t="s">
        <v>6</v>
      </c>
    </row>
    <row r="134">
      <c r="A134" s="1" t="s">
        <v>245</v>
      </c>
      <c r="B134" s="1" t="s">
        <v>246</v>
      </c>
      <c r="C134" s="1">
        <v>9.29405673E8</v>
      </c>
      <c r="D134" s="1" t="s">
        <v>9</v>
      </c>
    </row>
    <row r="135">
      <c r="A135" s="1" t="s">
        <v>247</v>
      </c>
      <c r="B135" s="1" t="s">
        <v>248</v>
      </c>
      <c r="C135" s="1">
        <v>9.29506406E8</v>
      </c>
      <c r="D135" s="1" t="s">
        <v>9</v>
      </c>
    </row>
    <row r="136">
      <c r="A136" s="1">
        <v>2.9771998E7</v>
      </c>
      <c r="B136" s="1" t="s">
        <v>249</v>
      </c>
      <c r="C136" s="1">
        <v>9.29771998E8</v>
      </c>
      <c r="D136" s="1" t="s">
        <v>6</v>
      </c>
    </row>
    <row r="137">
      <c r="A137" s="1" t="s">
        <v>250</v>
      </c>
      <c r="B137" s="1" t="s">
        <v>251</v>
      </c>
      <c r="C137" s="1">
        <v>9.29940947E8</v>
      </c>
      <c r="D137" s="1" t="s">
        <v>6</v>
      </c>
    </row>
    <row r="138">
      <c r="A138" s="1" t="s">
        <v>250</v>
      </c>
      <c r="B138" s="1" t="s">
        <v>252</v>
      </c>
      <c r="C138" s="1">
        <v>9.29940947E8</v>
      </c>
      <c r="D138" s="1" t="s">
        <v>6</v>
      </c>
    </row>
    <row r="139">
      <c r="A139" s="1" t="s">
        <v>253</v>
      </c>
      <c r="B139" s="1" t="s">
        <v>254</v>
      </c>
      <c r="C139" s="1">
        <v>9.30180605E8</v>
      </c>
      <c r="D139" s="1" t="s">
        <v>6</v>
      </c>
    </row>
    <row r="140">
      <c r="A140" s="1" t="s">
        <v>253</v>
      </c>
      <c r="B140" s="1" t="s">
        <v>254</v>
      </c>
      <c r="C140" s="1">
        <v>9.30180605E8</v>
      </c>
      <c r="D140" s="1" t="s">
        <v>6</v>
      </c>
    </row>
    <row r="141">
      <c r="A141" s="1" t="s">
        <v>255</v>
      </c>
      <c r="B141" s="1" t="s">
        <v>256</v>
      </c>
      <c r="C141" s="1">
        <v>9.30412013E8</v>
      </c>
      <c r="D141" s="1" t="s">
        <v>6</v>
      </c>
    </row>
    <row r="142">
      <c r="A142" s="1" t="s">
        <v>257</v>
      </c>
      <c r="B142" s="1" t="s">
        <v>258</v>
      </c>
      <c r="C142" s="1">
        <v>9.30712945E8</v>
      </c>
      <c r="D142" s="1" t="s">
        <v>9</v>
      </c>
    </row>
    <row r="143">
      <c r="A143" s="1" t="s">
        <v>259</v>
      </c>
      <c r="B143" s="1" t="s">
        <v>260</v>
      </c>
      <c r="C143" s="1">
        <v>9.30958706E8</v>
      </c>
      <c r="D143" s="1" t="s">
        <v>6</v>
      </c>
    </row>
    <row r="144">
      <c r="A144" s="1" t="s">
        <v>259</v>
      </c>
      <c r="B144" s="1" t="s">
        <v>260</v>
      </c>
      <c r="C144" s="1">
        <v>9.30958706E8</v>
      </c>
      <c r="D144" s="1" t="s">
        <v>6</v>
      </c>
    </row>
    <row r="145">
      <c r="A145" s="1" t="s">
        <v>261</v>
      </c>
      <c r="B145" s="1" t="s">
        <v>262</v>
      </c>
      <c r="C145" s="1">
        <v>9.31434249E8</v>
      </c>
      <c r="D145" s="1" t="s">
        <v>9</v>
      </c>
    </row>
    <row r="146">
      <c r="A146" s="1" t="s">
        <v>263</v>
      </c>
      <c r="B146" s="1" t="s">
        <v>264</v>
      </c>
      <c r="C146" s="1">
        <v>9.31437381E8</v>
      </c>
      <c r="D146" s="1" t="s">
        <v>6</v>
      </c>
    </row>
    <row r="147">
      <c r="A147" s="1" t="s">
        <v>265</v>
      </c>
      <c r="B147" s="1" t="s">
        <v>266</v>
      </c>
      <c r="C147" s="1">
        <v>9.31830563E8</v>
      </c>
      <c r="D147" s="1" t="s">
        <v>9</v>
      </c>
    </row>
    <row r="148">
      <c r="A148" s="1" t="s">
        <v>267</v>
      </c>
      <c r="B148" s="1" t="s">
        <v>268</v>
      </c>
      <c r="C148" s="1">
        <v>9.31894575E8</v>
      </c>
      <c r="D148" s="1" t="s">
        <v>6</v>
      </c>
    </row>
    <row r="149">
      <c r="A149" s="1" t="s">
        <v>269</v>
      </c>
      <c r="B149" s="1" t="s">
        <v>270</v>
      </c>
      <c r="C149" s="1">
        <v>9.32224852E8</v>
      </c>
      <c r="D149" s="1" t="s">
        <v>9</v>
      </c>
    </row>
    <row r="150">
      <c r="A150" s="1" t="s">
        <v>271</v>
      </c>
      <c r="B150" s="1" t="s">
        <v>272</v>
      </c>
      <c r="C150" s="1">
        <v>9.32442981E8</v>
      </c>
      <c r="D150" s="1" t="s">
        <v>6</v>
      </c>
    </row>
    <row r="151">
      <c r="A151" s="1" t="s">
        <v>273</v>
      </c>
      <c r="B151" s="1" t="s">
        <v>274</v>
      </c>
      <c r="C151" s="1">
        <v>9.333352E8</v>
      </c>
      <c r="D151" s="1" t="s">
        <v>9</v>
      </c>
    </row>
    <row r="152">
      <c r="A152" s="1" t="s">
        <v>275</v>
      </c>
      <c r="B152" s="1" t="s">
        <v>276</v>
      </c>
      <c r="C152" s="1">
        <v>9.3415712E8</v>
      </c>
      <c r="D152" s="1" t="s">
        <v>9</v>
      </c>
    </row>
    <row r="153">
      <c r="A153" s="1" t="s">
        <v>275</v>
      </c>
      <c r="B153" s="1" t="s">
        <v>276</v>
      </c>
      <c r="C153" s="1">
        <v>9.3415712E8</v>
      </c>
      <c r="D153" s="1" t="s">
        <v>9</v>
      </c>
    </row>
    <row r="154">
      <c r="A154" s="1" t="s">
        <v>277</v>
      </c>
      <c r="B154" s="1" t="s">
        <v>278</v>
      </c>
      <c r="C154" s="1">
        <v>9.35594592E8</v>
      </c>
      <c r="D154" s="1" t="s">
        <v>6</v>
      </c>
    </row>
    <row r="155">
      <c r="A155" s="1">
        <v>304864.0</v>
      </c>
      <c r="B155" s="1" t="s">
        <v>279</v>
      </c>
      <c r="C155" s="1">
        <v>9.35609229E8</v>
      </c>
      <c r="D155" s="1" t="s">
        <v>9</v>
      </c>
    </row>
    <row r="156">
      <c r="A156" s="1" t="s">
        <v>280</v>
      </c>
      <c r="B156" s="1" t="s">
        <v>281</v>
      </c>
      <c r="C156" s="1">
        <v>9.3604815E8</v>
      </c>
      <c r="D156" s="1" t="s">
        <v>9</v>
      </c>
    </row>
    <row r="157">
      <c r="A157" s="1" t="s">
        <v>282</v>
      </c>
      <c r="B157" s="1" t="s">
        <v>283</v>
      </c>
      <c r="C157" s="1">
        <v>9.36641054E8</v>
      </c>
      <c r="D157" s="1" t="s">
        <v>6</v>
      </c>
    </row>
    <row r="158">
      <c r="A158" s="1" t="s">
        <v>284</v>
      </c>
      <c r="B158" s="1" t="s">
        <v>285</v>
      </c>
      <c r="C158" s="1">
        <v>9.36660635E8</v>
      </c>
      <c r="D158" s="1" t="s">
        <v>6</v>
      </c>
    </row>
    <row r="159">
      <c r="A159" s="1" t="s">
        <v>286</v>
      </c>
      <c r="B159" s="1" t="s">
        <v>287</v>
      </c>
      <c r="C159" s="1">
        <v>9.38215715E8</v>
      </c>
      <c r="D159" s="1" t="s">
        <v>9</v>
      </c>
    </row>
    <row r="160">
      <c r="A160" s="1" t="s">
        <v>288</v>
      </c>
      <c r="B160" s="1" t="s">
        <v>289</v>
      </c>
      <c r="C160" s="1">
        <v>9.38316569E8</v>
      </c>
      <c r="D160" s="1" t="s">
        <v>6</v>
      </c>
    </row>
    <row r="161">
      <c r="A161" s="1" t="s">
        <v>290</v>
      </c>
      <c r="B161" s="1" t="s">
        <v>291</v>
      </c>
      <c r="C161" s="1">
        <v>9.38840897E8</v>
      </c>
      <c r="D161" s="1" t="s">
        <v>6</v>
      </c>
    </row>
    <row r="162">
      <c r="A162" s="1" t="s">
        <v>292</v>
      </c>
      <c r="B162" s="1" t="s">
        <v>293</v>
      </c>
      <c r="C162" s="1">
        <v>9.39006596E8</v>
      </c>
      <c r="D162" s="1" t="s">
        <v>6</v>
      </c>
    </row>
    <row r="163">
      <c r="A163" s="1" t="s">
        <v>294</v>
      </c>
      <c r="B163" s="1" t="s">
        <v>295</v>
      </c>
      <c r="C163" s="1">
        <v>9.39531507E8</v>
      </c>
      <c r="D163" s="1" t="s">
        <v>9</v>
      </c>
    </row>
    <row r="164">
      <c r="A164" s="1" t="s">
        <v>296</v>
      </c>
      <c r="B164" s="1" t="s">
        <v>297</v>
      </c>
      <c r="C164" s="1">
        <v>9.4044141E8</v>
      </c>
      <c r="D164" s="1" t="s">
        <v>6</v>
      </c>
    </row>
    <row r="165">
      <c r="A165" s="1" t="s">
        <v>298</v>
      </c>
      <c r="B165" s="1" t="s">
        <v>299</v>
      </c>
      <c r="C165" s="1">
        <v>9.40469718E8</v>
      </c>
      <c r="D165" s="1" t="s">
        <v>9</v>
      </c>
    </row>
    <row r="166">
      <c r="A166" s="1" t="s">
        <v>300</v>
      </c>
      <c r="B166" s="1" t="s">
        <v>301</v>
      </c>
      <c r="C166" s="1">
        <v>9.40728069E8</v>
      </c>
      <c r="D166" s="1" t="s">
        <v>9</v>
      </c>
    </row>
    <row r="167">
      <c r="A167" s="1" t="s">
        <v>302</v>
      </c>
      <c r="B167" s="1" t="s">
        <v>303</v>
      </c>
      <c r="C167" s="1">
        <v>9.41092247E8</v>
      </c>
      <c r="D167" s="1" t="s">
        <v>6</v>
      </c>
    </row>
    <row r="168">
      <c r="A168" s="1" t="s">
        <v>304</v>
      </c>
      <c r="B168" s="1" t="s">
        <v>305</v>
      </c>
      <c r="C168" s="1">
        <v>9.41127165E8</v>
      </c>
      <c r="D168" s="1" t="s">
        <v>9</v>
      </c>
    </row>
    <row r="169">
      <c r="A169" s="1" t="s">
        <v>306</v>
      </c>
      <c r="B169" s="1" t="s">
        <v>307</v>
      </c>
      <c r="C169" s="1">
        <v>9.41217806E8</v>
      </c>
      <c r="D169" s="1" t="s">
        <v>9</v>
      </c>
    </row>
    <row r="170">
      <c r="A170" s="1" t="s">
        <v>308</v>
      </c>
      <c r="B170" s="1" t="s">
        <v>309</v>
      </c>
      <c r="C170" s="1">
        <v>9.41304338E8</v>
      </c>
      <c r="D170" s="1" t="s">
        <v>6</v>
      </c>
    </row>
    <row r="171">
      <c r="A171" s="1" t="s">
        <v>310</v>
      </c>
      <c r="B171" s="1" t="s">
        <v>311</v>
      </c>
      <c r="C171" s="1">
        <v>9.42060536E8</v>
      </c>
      <c r="D171" s="1" t="s">
        <v>6</v>
      </c>
    </row>
    <row r="172">
      <c r="A172" s="1" t="s">
        <v>312</v>
      </c>
      <c r="B172" s="1" t="s">
        <v>313</v>
      </c>
      <c r="C172" s="1">
        <v>9.42143127E8</v>
      </c>
      <c r="D172" s="1" t="s">
        <v>6</v>
      </c>
    </row>
    <row r="173">
      <c r="A173" s="5" t="s">
        <v>314</v>
      </c>
      <c r="B173" s="1" t="s">
        <v>315</v>
      </c>
      <c r="C173" s="1">
        <v>9.42609123E8</v>
      </c>
      <c r="D173" s="1" t="s">
        <v>6</v>
      </c>
    </row>
    <row r="174">
      <c r="A174" s="1" t="s">
        <v>316</v>
      </c>
      <c r="B174" s="1" t="s">
        <v>317</v>
      </c>
      <c r="C174" s="1">
        <v>9.43292644E8</v>
      </c>
      <c r="D174" s="1" t="s">
        <v>9</v>
      </c>
    </row>
    <row r="175">
      <c r="A175" s="1" t="s">
        <v>318</v>
      </c>
      <c r="B175" s="1" t="s">
        <v>319</v>
      </c>
      <c r="C175" s="1">
        <v>9.43644983E8</v>
      </c>
      <c r="D175" s="1" t="s">
        <v>9</v>
      </c>
    </row>
    <row r="176">
      <c r="A176" s="1" t="s">
        <v>318</v>
      </c>
      <c r="B176" s="1" t="s">
        <v>320</v>
      </c>
      <c r="C176" s="1">
        <v>9.43644983E8</v>
      </c>
      <c r="D176" s="1" t="s">
        <v>9</v>
      </c>
    </row>
    <row r="177">
      <c r="A177" s="1" t="s">
        <v>318</v>
      </c>
      <c r="B177" s="1" t="s">
        <v>320</v>
      </c>
      <c r="C177" s="1">
        <v>9.43644983E8</v>
      </c>
      <c r="D177" s="1" t="s">
        <v>9</v>
      </c>
    </row>
    <row r="178">
      <c r="A178" s="1" t="s">
        <v>321</v>
      </c>
      <c r="B178" s="1" t="s">
        <v>322</v>
      </c>
      <c r="C178" s="1">
        <v>9.44139755E8</v>
      </c>
      <c r="D178" s="1" t="s">
        <v>6</v>
      </c>
    </row>
    <row r="179">
      <c r="A179" s="1" t="s">
        <v>323</v>
      </c>
      <c r="B179" s="1" t="s">
        <v>324</v>
      </c>
      <c r="C179" s="1">
        <v>9.4437077E8</v>
      </c>
      <c r="D179" s="1" t="s">
        <v>9</v>
      </c>
    </row>
    <row r="180">
      <c r="A180" s="1" t="s">
        <v>325</v>
      </c>
      <c r="B180" s="1" t="s">
        <v>326</v>
      </c>
      <c r="C180" s="1">
        <v>9.45300567E8</v>
      </c>
      <c r="D180" s="1" t="s">
        <v>6</v>
      </c>
    </row>
    <row r="181">
      <c r="A181" s="1" t="s">
        <v>327</v>
      </c>
      <c r="B181" s="1" t="s">
        <v>328</v>
      </c>
      <c r="C181" s="1">
        <v>9.46472448E8</v>
      </c>
      <c r="D181" s="1" t="s">
        <v>9</v>
      </c>
    </row>
    <row r="182">
      <c r="A182" s="1" t="s">
        <v>329</v>
      </c>
      <c r="B182" s="1" t="s">
        <v>330</v>
      </c>
      <c r="C182" s="1">
        <v>9.46472448E8</v>
      </c>
      <c r="D182" s="1" t="s">
        <v>9</v>
      </c>
    </row>
    <row r="183">
      <c r="A183" s="1" t="s">
        <v>331</v>
      </c>
      <c r="B183" s="1" t="s">
        <v>332</v>
      </c>
      <c r="C183" s="1">
        <v>9.46740855E8</v>
      </c>
      <c r="D183" s="1" t="s">
        <v>9</v>
      </c>
    </row>
    <row r="184">
      <c r="A184" s="1" t="s">
        <v>333</v>
      </c>
      <c r="B184" s="1" t="s">
        <v>334</v>
      </c>
      <c r="C184" s="1">
        <v>9.46740855E8</v>
      </c>
      <c r="D184" s="1" t="s">
        <v>9</v>
      </c>
    </row>
    <row r="185">
      <c r="A185" s="1" t="s">
        <v>335</v>
      </c>
      <c r="B185" s="1" t="s">
        <v>336</v>
      </c>
      <c r="C185" s="1">
        <v>9.48017364E8</v>
      </c>
      <c r="D185" s="1" t="s">
        <v>6</v>
      </c>
    </row>
    <row r="186">
      <c r="A186" s="1" t="s">
        <v>337</v>
      </c>
      <c r="B186" s="1" t="s">
        <v>338</v>
      </c>
      <c r="C186" s="1">
        <v>9.48066379E8</v>
      </c>
      <c r="D186" s="1" t="s">
        <v>6</v>
      </c>
    </row>
    <row r="187">
      <c r="A187" s="1" t="s">
        <v>339</v>
      </c>
      <c r="B187" s="1" t="s">
        <v>340</v>
      </c>
      <c r="C187" s="1">
        <v>9.48146709E8</v>
      </c>
      <c r="D187" s="1" t="s">
        <v>6</v>
      </c>
    </row>
    <row r="188">
      <c r="A188" s="1" t="s">
        <v>341</v>
      </c>
      <c r="B188" s="1" t="s">
        <v>342</v>
      </c>
      <c r="C188" s="1">
        <v>9.48171232E8</v>
      </c>
      <c r="D188" s="1" t="s">
        <v>6</v>
      </c>
    </row>
    <row r="189">
      <c r="A189" s="1" t="s">
        <v>343</v>
      </c>
      <c r="B189" s="1" t="s">
        <v>344</v>
      </c>
      <c r="C189" s="1">
        <v>9.48181972E8</v>
      </c>
      <c r="D189" s="1" t="s">
        <v>9</v>
      </c>
    </row>
    <row r="190">
      <c r="A190" s="1" t="s">
        <v>345</v>
      </c>
      <c r="B190" s="1" t="s">
        <v>346</v>
      </c>
      <c r="C190" s="1">
        <v>9.48332608E8</v>
      </c>
      <c r="D190" s="1" t="s">
        <v>9</v>
      </c>
    </row>
    <row r="191">
      <c r="A191" s="1" t="s">
        <v>347</v>
      </c>
      <c r="B191" s="1" t="s">
        <v>348</v>
      </c>
      <c r="C191" s="1">
        <v>9.48416828E8</v>
      </c>
      <c r="D191" s="1" t="s">
        <v>9</v>
      </c>
    </row>
    <row r="192">
      <c r="A192" s="1" t="s">
        <v>349</v>
      </c>
      <c r="B192" s="1" t="s">
        <v>350</v>
      </c>
      <c r="C192" s="1">
        <v>9.48798619E8</v>
      </c>
      <c r="D192" s="1" t="s">
        <v>6</v>
      </c>
    </row>
    <row r="193">
      <c r="A193" s="1" t="s">
        <v>351</v>
      </c>
      <c r="B193" s="1" t="s">
        <v>352</v>
      </c>
      <c r="C193" s="1">
        <v>9.49602077E8</v>
      </c>
      <c r="D193" s="1" t="s">
        <v>9</v>
      </c>
    </row>
    <row r="194">
      <c r="A194" s="1" t="s">
        <v>353</v>
      </c>
      <c r="B194" s="1" t="s">
        <v>354</v>
      </c>
      <c r="C194" s="1">
        <v>9.51094609E8</v>
      </c>
      <c r="D194" s="1" t="s">
        <v>9</v>
      </c>
    </row>
    <row r="195">
      <c r="A195" s="1" t="s">
        <v>355</v>
      </c>
      <c r="B195" s="1" t="s">
        <v>356</v>
      </c>
      <c r="C195" s="1">
        <v>9.52597402E8</v>
      </c>
      <c r="D195" s="1" t="s">
        <v>6</v>
      </c>
    </row>
    <row r="196">
      <c r="A196" s="1" t="s">
        <v>357</v>
      </c>
      <c r="B196" s="1" t="s">
        <v>358</v>
      </c>
      <c r="C196" s="1">
        <v>9.53423861E8</v>
      </c>
      <c r="D196" s="1" t="s">
        <v>9</v>
      </c>
    </row>
    <row r="197">
      <c r="A197" s="1" t="s">
        <v>359</v>
      </c>
      <c r="B197" s="1" t="s">
        <v>360</v>
      </c>
      <c r="C197" s="1">
        <v>9.5445158E8</v>
      </c>
      <c r="D197" s="1" t="s">
        <v>9</v>
      </c>
    </row>
    <row r="198">
      <c r="A198" s="1" t="s">
        <v>361</v>
      </c>
      <c r="B198" s="1" t="s">
        <v>362</v>
      </c>
      <c r="C198" s="1">
        <v>9.54924895E8</v>
      </c>
      <c r="D198" s="1" t="s">
        <v>6</v>
      </c>
    </row>
    <row r="199">
      <c r="A199" s="1" t="s">
        <v>363</v>
      </c>
      <c r="B199" s="1" t="s">
        <v>364</v>
      </c>
      <c r="C199" s="1">
        <v>9.55170831E8</v>
      </c>
      <c r="D199" s="1" t="s">
        <v>9</v>
      </c>
    </row>
    <row r="200">
      <c r="A200" s="1" t="s">
        <v>365</v>
      </c>
      <c r="B200" s="1" t="s">
        <v>366</v>
      </c>
      <c r="C200" s="1">
        <v>9.5538322E8</v>
      </c>
      <c r="D200" s="1" t="s">
        <v>9</v>
      </c>
    </row>
    <row r="201">
      <c r="A201" s="1" t="s">
        <v>367</v>
      </c>
      <c r="B201" s="1" t="s">
        <v>368</v>
      </c>
      <c r="C201" s="1">
        <v>9.55903911E8</v>
      </c>
      <c r="D201" s="1" t="s">
        <v>6</v>
      </c>
    </row>
    <row r="202">
      <c r="A202" s="1" t="s">
        <v>367</v>
      </c>
      <c r="B202" s="1" t="s">
        <v>368</v>
      </c>
      <c r="C202" s="1">
        <v>9.55903911E8</v>
      </c>
      <c r="D202" s="1" t="s">
        <v>6</v>
      </c>
    </row>
    <row r="203">
      <c r="A203" s="1" t="s">
        <v>367</v>
      </c>
      <c r="B203" s="1" t="s">
        <v>368</v>
      </c>
      <c r="C203" s="1">
        <v>9.55903911E8</v>
      </c>
      <c r="D203" s="1" t="s">
        <v>6</v>
      </c>
    </row>
    <row r="204">
      <c r="A204" s="1" t="s">
        <v>367</v>
      </c>
      <c r="B204" s="1" t="s">
        <v>368</v>
      </c>
      <c r="C204" s="1">
        <v>9.55903911E8</v>
      </c>
      <c r="D204" s="1" t="s">
        <v>6</v>
      </c>
    </row>
    <row r="205">
      <c r="A205" s="1" t="s">
        <v>367</v>
      </c>
      <c r="B205" s="1" t="s">
        <v>369</v>
      </c>
      <c r="C205" s="1">
        <v>9.55903911E8</v>
      </c>
      <c r="D205" s="1" t="s">
        <v>6</v>
      </c>
    </row>
    <row r="206">
      <c r="A206" s="1" t="s">
        <v>370</v>
      </c>
      <c r="B206" s="1" t="s">
        <v>371</v>
      </c>
      <c r="C206" s="1">
        <v>9.56025344E8</v>
      </c>
      <c r="D206" s="1" t="s">
        <v>6</v>
      </c>
    </row>
    <row r="207">
      <c r="A207" s="1" t="s">
        <v>370</v>
      </c>
      <c r="B207" s="1" t="s">
        <v>372</v>
      </c>
      <c r="C207" s="1">
        <v>9.56025344E8</v>
      </c>
      <c r="D207" s="1" t="s">
        <v>6</v>
      </c>
    </row>
    <row r="208">
      <c r="A208" s="1" t="s">
        <v>373</v>
      </c>
      <c r="B208" s="1" t="s">
        <v>371</v>
      </c>
      <c r="C208" s="1">
        <v>9.56025344E8</v>
      </c>
      <c r="D208" s="1" t="s">
        <v>6</v>
      </c>
    </row>
    <row r="209">
      <c r="A209" s="1" t="s">
        <v>374</v>
      </c>
      <c r="B209" s="1" t="s">
        <v>375</v>
      </c>
      <c r="C209" s="1">
        <v>9.57110347E8</v>
      </c>
      <c r="D209" s="1" t="s">
        <v>9</v>
      </c>
    </row>
    <row r="210">
      <c r="A210" s="1" t="s">
        <v>374</v>
      </c>
      <c r="B210" s="1" t="s">
        <v>375</v>
      </c>
      <c r="C210" s="1">
        <v>9.57110347E8</v>
      </c>
      <c r="D210" s="1" t="s">
        <v>9</v>
      </c>
    </row>
    <row r="211">
      <c r="A211" s="1" t="s">
        <v>374</v>
      </c>
      <c r="B211" s="1" t="s">
        <v>375</v>
      </c>
      <c r="C211" s="1">
        <v>9.57110347E8</v>
      </c>
      <c r="D211" s="1" t="s">
        <v>9</v>
      </c>
    </row>
    <row r="212">
      <c r="A212" s="1" t="s">
        <v>376</v>
      </c>
      <c r="B212" s="1" t="s">
        <v>377</v>
      </c>
      <c r="C212" s="1">
        <v>9.60461321E8</v>
      </c>
      <c r="D212" s="1" t="s">
        <v>9</v>
      </c>
    </row>
    <row r="213">
      <c r="A213" s="1" t="s">
        <v>376</v>
      </c>
      <c r="B213" s="1" t="s">
        <v>378</v>
      </c>
      <c r="C213" s="1">
        <v>9.60461321E8</v>
      </c>
      <c r="D213" s="1" t="s">
        <v>9</v>
      </c>
    </row>
    <row r="214">
      <c r="A214" s="1" t="s">
        <v>376</v>
      </c>
      <c r="B214" s="1" t="s">
        <v>378</v>
      </c>
      <c r="C214" s="1">
        <v>9.60462113E8</v>
      </c>
      <c r="D214" s="1" t="s">
        <v>9</v>
      </c>
    </row>
    <row r="215">
      <c r="A215" s="1">
        <v>9.60496477E8</v>
      </c>
      <c r="B215" s="1" t="s">
        <v>379</v>
      </c>
      <c r="C215" s="1">
        <v>9.60496477E8</v>
      </c>
      <c r="D215" s="1" t="s">
        <v>9</v>
      </c>
    </row>
    <row r="216">
      <c r="A216" s="1" t="s">
        <v>380</v>
      </c>
      <c r="B216" s="1" t="s">
        <v>381</v>
      </c>
      <c r="C216" s="1">
        <v>9.60795371E8</v>
      </c>
      <c r="D216" s="1" t="s">
        <v>6</v>
      </c>
    </row>
    <row r="217">
      <c r="A217" s="1" t="s">
        <v>382</v>
      </c>
      <c r="B217" s="1" t="s">
        <v>383</v>
      </c>
      <c r="C217" s="1">
        <v>9.61040645E8</v>
      </c>
      <c r="D217" s="1" t="s">
        <v>6</v>
      </c>
    </row>
    <row r="218">
      <c r="A218" s="1" t="s">
        <v>384</v>
      </c>
      <c r="B218" s="1" t="s">
        <v>385</v>
      </c>
      <c r="C218" s="1">
        <v>9.6152457E8</v>
      </c>
      <c r="D218" s="1" t="s">
        <v>9</v>
      </c>
    </row>
    <row r="219">
      <c r="A219" s="1" t="s">
        <v>386</v>
      </c>
      <c r="B219" s="1" t="s">
        <v>387</v>
      </c>
      <c r="C219" s="1">
        <v>9.62860054E8</v>
      </c>
      <c r="D219" s="1" t="s">
        <v>9</v>
      </c>
    </row>
    <row r="220">
      <c r="A220" s="1" t="s">
        <v>388</v>
      </c>
      <c r="B220" s="1" t="s">
        <v>389</v>
      </c>
      <c r="C220" s="1">
        <v>9.63337138E8</v>
      </c>
      <c r="D220" s="1" t="s">
        <v>6</v>
      </c>
    </row>
    <row r="221">
      <c r="A221" s="6" t="s">
        <v>390</v>
      </c>
      <c r="B221" s="6" t="s">
        <v>391</v>
      </c>
      <c r="C221" s="6">
        <v>9.64009612E8</v>
      </c>
      <c r="D221" s="6" t="s">
        <v>9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1" t="s">
        <v>392</v>
      </c>
      <c r="B222" s="1" t="s">
        <v>393</v>
      </c>
      <c r="C222" s="1">
        <v>9.6454462E8</v>
      </c>
      <c r="D222" s="1" t="s">
        <v>9</v>
      </c>
    </row>
    <row r="223">
      <c r="A223" s="1" t="s">
        <v>394</v>
      </c>
      <c r="B223" s="1" t="s">
        <v>395</v>
      </c>
      <c r="C223" s="1">
        <v>9.65457721E8</v>
      </c>
      <c r="D223" s="1" t="s">
        <v>9</v>
      </c>
    </row>
    <row r="224">
      <c r="A224" s="1" t="s">
        <v>396</v>
      </c>
      <c r="B224" s="1" t="s">
        <v>397</v>
      </c>
      <c r="C224" s="1">
        <v>9.65764602E8</v>
      </c>
      <c r="D224" s="1" t="s">
        <v>9</v>
      </c>
    </row>
    <row r="225">
      <c r="A225" s="1">
        <v>1.000600624773E12</v>
      </c>
      <c r="B225" s="1" t="s">
        <v>398</v>
      </c>
      <c r="C225" s="1">
        <v>9.66037442E8</v>
      </c>
      <c r="D225" s="1" t="s">
        <v>6</v>
      </c>
    </row>
    <row r="226">
      <c r="A226" s="1" t="s">
        <v>399</v>
      </c>
      <c r="B226" s="1" t="s">
        <v>400</v>
      </c>
      <c r="C226" s="1">
        <v>9.662638E8</v>
      </c>
      <c r="D226" s="1" t="s">
        <v>9</v>
      </c>
    </row>
    <row r="227">
      <c r="A227" s="1" t="s">
        <v>399</v>
      </c>
      <c r="B227" s="1" t="s">
        <v>400</v>
      </c>
      <c r="C227" s="1">
        <v>9.662638E8</v>
      </c>
      <c r="D227" s="1" t="s">
        <v>6</v>
      </c>
    </row>
    <row r="228">
      <c r="A228" s="1">
        <v>9.66399576E8</v>
      </c>
      <c r="B228" s="1" t="s">
        <v>401</v>
      </c>
      <c r="C228" s="1">
        <v>9.66399576E8</v>
      </c>
      <c r="D228" s="1" t="s">
        <v>9</v>
      </c>
    </row>
    <row r="229">
      <c r="A229" s="1">
        <v>9.66399576E8</v>
      </c>
      <c r="B229" s="1" t="s">
        <v>401</v>
      </c>
      <c r="C229" s="1">
        <v>9.66399576E8</v>
      </c>
      <c r="D229" s="1" t="s">
        <v>9</v>
      </c>
    </row>
    <row r="230">
      <c r="A230" s="1" t="s">
        <v>402</v>
      </c>
      <c r="B230" s="1" t="s">
        <v>403</v>
      </c>
      <c r="C230" s="1">
        <v>9.66949803E8</v>
      </c>
      <c r="D230" s="1" t="s">
        <v>6</v>
      </c>
    </row>
    <row r="231">
      <c r="A231" s="1" t="s">
        <v>404</v>
      </c>
      <c r="B231" s="1" t="s">
        <v>405</v>
      </c>
      <c r="C231" s="1">
        <v>9.67290584E8</v>
      </c>
      <c r="D231" s="1" t="s">
        <v>9</v>
      </c>
    </row>
    <row r="232">
      <c r="A232" s="1" t="s">
        <v>404</v>
      </c>
      <c r="B232" s="1" t="s">
        <v>406</v>
      </c>
      <c r="C232" s="1">
        <v>9.67290584E8</v>
      </c>
      <c r="D232" s="1" t="s">
        <v>6</v>
      </c>
    </row>
    <row r="233">
      <c r="A233" s="1" t="s">
        <v>407</v>
      </c>
      <c r="B233" s="1" t="s">
        <v>408</v>
      </c>
      <c r="C233" s="1">
        <v>9.69165416E8</v>
      </c>
      <c r="D233" s="1" t="s">
        <v>9</v>
      </c>
    </row>
    <row r="234">
      <c r="A234" s="1" t="s">
        <v>409</v>
      </c>
      <c r="B234" s="1" t="s">
        <v>410</v>
      </c>
      <c r="C234" s="1">
        <v>9.7040937E8</v>
      </c>
      <c r="D234" s="1" t="s">
        <v>6</v>
      </c>
    </row>
    <row r="235">
      <c r="A235" s="1" t="s">
        <v>411</v>
      </c>
      <c r="B235" s="1" t="s">
        <v>412</v>
      </c>
      <c r="C235" s="1">
        <v>9.70565121E8</v>
      </c>
      <c r="D235" s="1" t="s">
        <v>9</v>
      </c>
    </row>
    <row r="236">
      <c r="A236" s="1" t="s">
        <v>413</v>
      </c>
      <c r="B236" s="1" t="s">
        <v>414</v>
      </c>
      <c r="C236" s="1">
        <v>9.72111313E8</v>
      </c>
      <c r="D236" s="1" t="s">
        <v>6</v>
      </c>
    </row>
    <row r="237">
      <c r="A237" s="1" t="s">
        <v>415</v>
      </c>
      <c r="B237" s="1" t="s">
        <v>416</v>
      </c>
      <c r="C237" s="1">
        <v>9.72375064E8</v>
      </c>
      <c r="D237" s="1" t="s">
        <v>9</v>
      </c>
    </row>
    <row r="238">
      <c r="A238" s="1" t="s">
        <v>417</v>
      </c>
      <c r="B238" s="1" t="s">
        <v>418</v>
      </c>
      <c r="C238" s="1">
        <v>9.72629491E8</v>
      </c>
      <c r="D238" s="1" t="s">
        <v>6</v>
      </c>
    </row>
    <row r="239">
      <c r="A239" s="1" t="s">
        <v>419</v>
      </c>
      <c r="B239" s="1" t="s">
        <v>420</v>
      </c>
      <c r="C239" s="1">
        <v>9.72754526E8</v>
      </c>
      <c r="D239" s="1" t="s">
        <v>9</v>
      </c>
    </row>
    <row r="240">
      <c r="A240" s="1" t="s">
        <v>421</v>
      </c>
      <c r="B240" s="1" t="s">
        <v>420</v>
      </c>
      <c r="C240" s="1">
        <v>9.72754526E8</v>
      </c>
      <c r="D240" s="1" t="s">
        <v>9</v>
      </c>
    </row>
    <row r="241">
      <c r="A241" s="1" t="s">
        <v>422</v>
      </c>
      <c r="B241" s="1" t="s">
        <v>423</v>
      </c>
      <c r="C241" s="1">
        <v>9.73703606E8</v>
      </c>
      <c r="D241" s="1" t="s">
        <v>6</v>
      </c>
    </row>
    <row r="242">
      <c r="A242" s="1" t="s">
        <v>424</v>
      </c>
      <c r="B242" s="1" t="s">
        <v>425</v>
      </c>
      <c r="C242" s="1">
        <v>9.73706447E8</v>
      </c>
      <c r="D242" s="1" t="s">
        <v>9</v>
      </c>
    </row>
    <row r="243">
      <c r="A243" s="1" t="s">
        <v>426</v>
      </c>
      <c r="B243" s="1" t="s">
        <v>427</v>
      </c>
      <c r="C243" s="1">
        <v>9.73971343E8</v>
      </c>
      <c r="D243" s="1" t="s">
        <v>6</v>
      </c>
    </row>
    <row r="244">
      <c r="A244" s="1" t="s">
        <v>428</v>
      </c>
      <c r="B244" s="1" t="s">
        <v>429</v>
      </c>
      <c r="C244" s="1">
        <v>9.7420916E8</v>
      </c>
      <c r="D244" s="1" t="s">
        <v>9</v>
      </c>
    </row>
    <row r="245">
      <c r="A245" s="6" t="s">
        <v>430</v>
      </c>
      <c r="B245" s="6" t="s">
        <v>431</v>
      </c>
      <c r="C245" s="6">
        <v>9.7420916E8</v>
      </c>
      <c r="D245" s="6" t="s">
        <v>6</v>
      </c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1" t="s">
        <v>432</v>
      </c>
      <c r="B246" s="1" t="s">
        <v>433</v>
      </c>
      <c r="C246" s="1">
        <v>9.75693717E8</v>
      </c>
      <c r="D246" s="1" t="s">
        <v>9</v>
      </c>
    </row>
    <row r="247">
      <c r="A247" s="1" t="s">
        <v>434</v>
      </c>
      <c r="B247" s="1" t="s">
        <v>433</v>
      </c>
      <c r="C247" s="1">
        <v>9.75693717E8</v>
      </c>
      <c r="D247" s="1" t="s">
        <v>6</v>
      </c>
    </row>
    <row r="248">
      <c r="A248" s="1" t="s">
        <v>435</v>
      </c>
      <c r="B248" s="1" t="s">
        <v>436</v>
      </c>
      <c r="C248" s="1">
        <v>9.75865779E8</v>
      </c>
      <c r="D248" s="1" t="s">
        <v>6</v>
      </c>
    </row>
    <row r="249">
      <c r="A249" s="1" t="s">
        <v>437</v>
      </c>
      <c r="B249" s="1" t="s">
        <v>438</v>
      </c>
      <c r="C249" s="1">
        <v>9.76980287E8</v>
      </c>
      <c r="D249" s="1" t="s">
        <v>9</v>
      </c>
    </row>
    <row r="250">
      <c r="A250" s="1" t="s">
        <v>437</v>
      </c>
      <c r="B250" s="1" t="s">
        <v>438</v>
      </c>
      <c r="C250" s="1">
        <v>9.76980287E8</v>
      </c>
      <c r="D250" s="1" t="s">
        <v>9</v>
      </c>
    </row>
    <row r="251">
      <c r="A251" s="1" t="s">
        <v>439</v>
      </c>
      <c r="B251" s="1" t="s">
        <v>440</v>
      </c>
      <c r="C251" s="1">
        <v>9.78362454E8</v>
      </c>
      <c r="D251" s="1" t="s">
        <v>9</v>
      </c>
    </row>
    <row r="252">
      <c r="A252" s="1" t="s">
        <v>441</v>
      </c>
      <c r="B252" s="1" t="s">
        <v>442</v>
      </c>
      <c r="C252" s="1">
        <v>9.78595942E8</v>
      </c>
      <c r="D252" s="1" t="s">
        <v>9</v>
      </c>
    </row>
    <row r="253">
      <c r="A253" s="1" t="s">
        <v>443</v>
      </c>
      <c r="B253" s="1" t="s">
        <v>444</v>
      </c>
      <c r="C253" s="1">
        <v>9.79097297E8</v>
      </c>
      <c r="D253" s="1" t="s">
        <v>6</v>
      </c>
    </row>
    <row r="254">
      <c r="A254" s="1" t="s">
        <v>445</v>
      </c>
      <c r="B254" s="1" t="s">
        <v>446</v>
      </c>
      <c r="C254" s="1">
        <v>9.79106361E8</v>
      </c>
      <c r="D254" s="1" t="s">
        <v>9</v>
      </c>
    </row>
    <row r="255">
      <c r="A255" s="1" t="s">
        <v>447</v>
      </c>
      <c r="B255" s="1" t="s">
        <v>448</v>
      </c>
      <c r="C255" s="1">
        <v>9.82868699E8</v>
      </c>
      <c r="D255" s="1" t="s">
        <v>6</v>
      </c>
    </row>
    <row r="256">
      <c r="A256" s="1" t="s">
        <v>449</v>
      </c>
      <c r="B256" s="1" t="s">
        <v>450</v>
      </c>
      <c r="C256" s="1">
        <v>9.83202494E8</v>
      </c>
      <c r="D256" s="1" t="s">
        <v>6</v>
      </c>
    </row>
    <row r="257">
      <c r="A257" s="1" t="s">
        <v>451</v>
      </c>
      <c r="B257" s="1" t="s">
        <v>452</v>
      </c>
      <c r="C257" s="1">
        <v>9.83374086E8</v>
      </c>
      <c r="D257" s="1" t="s">
        <v>9</v>
      </c>
    </row>
    <row r="258">
      <c r="A258" s="1" t="s">
        <v>453</v>
      </c>
      <c r="B258" s="1" t="s">
        <v>454</v>
      </c>
      <c r="C258" s="1">
        <v>9.83659374E8</v>
      </c>
      <c r="D258" s="1" t="s">
        <v>9</v>
      </c>
    </row>
    <row r="259">
      <c r="A259" s="1" t="s">
        <v>455</v>
      </c>
      <c r="B259" s="1" t="s">
        <v>456</v>
      </c>
      <c r="C259" s="1">
        <v>9.8571634E8</v>
      </c>
      <c r="D259" s="1" t="s">
        <v>9</v>
      </c>
    </row>
    <row r="260">
      <c r="A260" s="1" t="s">
        <v>457</v>
      </c>
      <c r="B260" s="1" t="s">
        <v>458</v>
      </c>
      <c r="C260" s="1">
        <v>9.85886549E8</v>
      </c>
      <c r="D260" s="1" t="s">
        <v>6</v>
      </c>
    </row>
    <row r="261">
      <c r="A261" s="1" t="s">
        <v>459</v>
      </c>
      <c r="B261" s="1" t="s">
        <v>460</v>
      </c>
      <c r="C261" s="1">
        <v>9.86873174E8</v>
      </c>
      <c r="D261" s="1" t="s">
        <v>6</v>
      </c>
    </row>
    <row r="262">
      <c r="A262" s="1" t="s">
        <v>461</v>
      </c>
      <c r="B262" s="1" t="s">
        <v>462</v>
      </c>
      <c r="C262" s="1">
        <v>9.87993606E8</v>
      </c>
      <c r="D262" s="1" t="s">
        <v>9</v>
      </c>
    </row>
    <row r="263">
      <c r="A263" s="1" t="s">
        <v>463</v>
      </c>
      <c r="B263" s="1" t="s">
        <v>464</v>
      </c>
      <c r="C263" s="1">
        <v>9.88016477E8</v>
      </c>
      <c r="D263" s="1" t="s">
        <v>6</v>
      </c>
    </row>
    <row r="264">
      <c r="A264" s="1" t="s">
        <v>463</v>
      </c>
      <c r="B264" s="1" t="s">
        <v>464</v>
      </c>
      <c r="C264" s="1">
        <v>9.88016477E8</v>
      </c>
      <c r="D264" s="1" t="s">
        <v>6</v>
      </c>
    </row>
    <row r="265">
      <c r="A265" s="1" t="s">
        <v>465</v>
      </c>
      <c r="B265" s="1" t="s">
        <v>466</v>
      </c>
      <c r="C265" s="1">
        <v>9.89772519E8</v>
      </c>
      <c r="D265" s="1" t="s">
        <v>9</v>
      </c>
    </row>
    <row r="266">
      <c r="A266" s="1" t="s">
        <v>467</v>
      </c>
      <c r="B266" s="1" t="s">
        <v>468</v>
      </c>
      <c r="C266" s="1">
        <v>9.93692323E8</v>
      </c>
      <c r="D266" s="1" t="s">
        <v>6</v>
      </c>
    </row>
    <row r="267">
      <c r="A267" s="1" t="s">
        <v>469</v>
      </c>
      <c r="B267" s="1" t="s">
        <v>470</v>
      </c>
      <c r="C267" s="1">
        <v>9.94349744E8</v>
      </c>
      <c r="D267" s="1" t="s">
        <v>9</v>
      </c>
    </row>
    <row r="268">
      <c r="A268" s="1" t="s">
        <v>469</v>
      </c>
      <c r="B268" s="1" t="s">
        <v>470</v>
      </c>
      <c r="C268" s="1">
        <v>9.94349744E8</v>
      </c>
      <c r="D268" s="1" t="s">
        <v>6</v>
      </c>
    </row>
    <row r="269">
      <c r="A269" s="1" t="s">
        <v>471</v>
      </c>
      <c r="B269" s="1" t="s">
        <v>472</v>
      </c>
      <c r="C269" s="8">
        <f>+2519164970</f>
        <v>2519164970</v>
      </c>
      <c r="D269" s="1" t="s">
        <v>6</v>
      </c>
    </row>
    <row r="270">
      <c r="A270" s="1" t="s">
        <v>473</v>
      </c>
      <c r="B270" s="1" t="s">
        <v>474</v>
      </c>
      <c r="C270" s="1">
        <v>9.277853071E9</v>
      </c>
      <c r="D270" s="1" t="s">
        <v>6</v>
      </c>
    </row>
    <row r="271">
      <c r="A271" s="1" t="s">
        <v>475</v>
      </c>
      <c r="B271" s="1" t="s">
        <v>476</v>
      </c>
      <c r="C271" s="8">
        <f>+251706003495</f>
        <v>251706003495</v>
      </c>
      <c r="D271" s="1" t="s">
        <v>9</v>
      </c>
    </row>
    <row r="272">
      <c r="A272" s="1" t="s">
        <v>477</v>
      </c>
      <c r="B272" s="1" t="s">
        <v>478</v>
      </c>
      <c r="C272" s="8">
        <f>+251711594776</f>
        <v>251711594776</v>
      </c>
      <c r="D272" s="1" t="s">
        <v>6</v>
      </c>
    </row>
    <row r="273">
      <c r="A273" s="1" t="s">
        <v>479</v>
      </c>
      <c r="B273" s="1" t="s">
        <v>480</v>
      </c>
      <c r="C273" s="8">
        <f t="shared" ref="C273:C274" si="1">+251715128063</f>
        <v>251715128063</v>
      </c>
      <c r="D273" s="1" t="s">
        <v>9</v>
      </c>
    </row>
    <row r="274">
      <c r="A274" s="1" t="s">
        <v>481</v>
      </c>
      <c r="B274" s="1" t="s">
        <v>480</v>
      </c>
      <c r="C274" s="8">
        <f t="shared" si="1"/>
        <v>251715128063</v>
      </c>
      <c r="D274" s="1" t="s">
        <v>9</v>
      </c>
    </row>
    <row r="275">
      <c r="A275" s="1" t="s">
        <v>482</v>
      </c>
      <c r="B275" s="1" t="s">
        <v>483</v>
      </c>
      <c r="C275" s="8">
        <f>+251900572178</f>
        <v>251900572178</v>
      </c>
      <c r="D275" s="1" t="s">
        <v>6</v>
      </c>
    </row>
    <row r="276">
      <c r="A276" s="1" t="s">
        <v>484</v>
      </c>
      <c r="B276" s="1" t="s">
        <v>485</v>
      </c>
      <c r="C276" s="8">
        <f>+251903003968</f>
        <v>251903003968</v>
      </c>
      <c r="D276" s="1" t="s">
        <v>9</v>
      </c>
    </row>
    <row r="277">
      <c r="A277" s="1" t="s">
        <v>486</v>
      </c>
      <c r="B277" s="1" t="s">
        <v>487</v>
      </c>
      <c r="C277" s="1">
        <v>2.51904463782E11</v>
      </c>
      <c r="D277" s="1" t="s">
        <v>6</v>
      </c>
    </row>
    <row r="278">
      <c r="A278" s="1" t="s">
        <v>488</v>
      </c>
      <c r="B278" s="1" t="s">
        <v>489</v>
      </c>
      <c r="C278" s="8">
        <f>+251905037823</f>
        <v>251905037823</v>
      </c>
      <c r="D278" s="1" t="s">
        <v>6</v>
      </c>
    </row>
    <row r="279">
      <c r="A279" s="1" t="s">
        <v>490</v>
      </c>
      <c r="B279" s="1" t="s">
        <v>491</v>
      </c>
      <c r="C279" s="8">
        <f>+251910429336</f>
        <v>251910429336</v>
      </c>
      <c r="D279" s="1" t="s">
        <v>6</v>
      </c>
    </row>
    <row r="280">
      <c r="A280" s="1" t="s">
        <v>492</v>
      </c>
      <c r="B280" s="1" t="s">
        <v>493</v>
      </c>
      <c r="C280" s="8">
        <f t="shared" ref="C280:C281" si="2">+251910491885</f>
        <v>251910491885</v>
      </c>
      <c r="D280" s="1" t="s">
        <v>9</v>
      </c>
    </row>
    <row r="281">
      <c r="A281" s="1" t="s">
        <v>492</v>
      </c>
      <c r="B281" s="1" t="s">
        <v>493</v>
      </c>
      <c r="C281" s="8">
        <f t="shared" si="2"/>
        <v>251910491885</v>
      </c>
      <c r="D281" s="1" t="s">
        <v>6</v>
      </c>
    </row>
    <row r="282">
      <c r="A282" s="1" t="s">
        <v>494</v>
      </c>
      <c r="B282" s="1" t="s">
        <v>495</v>
      </c>
      <c r="C282" s="8">
        <f t="shared" ref="C282:C283" si="3">+251911104701</f>
        <v>251911104701</v>
      </c>
      <c r="D282" s="1" t="s">
        <v>9</v>
      </c>
    </row>
    <row r="283">
      <c r="A283" s="1" t="s">
        <v>496</v>
      </c>
      <c r="B283" s="1" t="s">
        <v>497</v>
      </c>
      <c r="C283" s="8">
        <f t="shared" si="3"/>
        <v>251911104701</v>
      </c>
      <c r="D283" s="1" t="s">
        <v>9</v>
      </c>
    </row>
    <row r="284">
      <c r="A284" s="1" t="s">
        <v>498</v>
      </c>
      <c r="B284" s="1" t="s">
        <v>499</v>
      </c>
      <c r="C284" s="8">
        <f t="shared" ref="C284:C285" si="4">+251911183306</f>
        <v>251911183306</v>
      </c>
      <c r="D284" s="1" t="s">
        <v>6</v>
      </c>
    </row>
    <row r="285">
      <c r="A285" s="1" t="s">
        <v>498</v>
      </c>
      <c r="B285" s="1" t="s">
        <v>499</v>
      </c>
      <c r="C285" s="8">
        <f t="shared" si="4"/>
        <v>251911183306</v>
      </c>
      <c r="D285" s="1" t="s">
        <v>6</v>
      </c>
    </row>
    <row r="286">
      <c r="A286" s="1" t="s">
        <v>500</v>
      </c>
      <c r="B286" s="1" t="s">
        <v>501</v>
      </c>
      <c r="C286" s="8">
        <f>+251911218226</f>
        <v>251911218226</v>
      </c>
      <c r="D286" s="1" t="s">
        <v>9</v>
      </c>
    </row>
    <row r="287">
      <c r="A287" s="1" t="s">
        <v>502</v>
      </c>
      <c r="B287" s="1" t="s">
        <v>503</v>
      </c>
      <c r="C287" s="8">
        <f>+251911265819</f>
        <v>251911265819</v>
      </c>
      <c r="D287" s="1" t="s">
        <v>9</v>
      </c>
    </row>
    <row r="288">
      <c r="A288" s="1" t="s">
        <v>504</v>
      </c>
      <c r="B288" s="1" t="s">
        <v>505</v>
      </c>
      <c r="C288" s="8">
        <f>+251911545469</f>
        <v>251911545469</v>
      </c>
      <c r="D288" s="1" t="s">
        <v>9</v>
      </c>
    </row>
    <row r="289">
      <c r="A289" s="1" t="s">
        <v>506</v>
      </c>
      <c r="B289" s="1" t="s">
        <v>507</v>
      </c>
      <c r="C289" s="8">
        <f>+251911741567</f>
        <v>251911741567</v>
      </c>
      <c r="D289" s="1" t="s">
        <v>6</v>
      </c>
    </row>
    <row r="290">
      <c r="A290" s="1" t="s">
        <v>508</v>
      </c>
      <c r="B290" s="1" t="s">
        <v>509</v>
      </c>
      <c r="C290" s="8">
        <f>+251911803061</f>
        <v>251911803061</v>
      </c>
      <c r="D290" s="1" t="s">
        <v>6</v>
      </c>
    </row>
    <row r="291">
      <c r="A291" s="1" t="s">
        <v>510</v>
      </c>
      <c r="B291" s="1" t="s">
        <v>511</v>
      </c>
      <c r="C291" s="8">
        <f>+251912037139</f>
        <v>251912037139</v>
      </c>
      <c r="D291" s="1" t="s">
        <v>6</v>
      </c>
    </row>
    <row r="292">
      <c r="A292" s="1" t="s">
        <v>512</v>
      </c>
      <c r="B292" s="1" t="s">
        <v>513</v>
      </c>
      <c r="C292" s="8">
        <f>+251912062694</f>
        <v>251912062694</v>
      </c>
      <c r="D292" s="1" t="s">
        <v>6</v>
      </c>
    </row>
    <row r="293">
      <c r="A293" s="1" t="s">
        <v>514</v>
      </c>
      <c r="B293" s="1" t="s">
        <v>515</v>
      </c>
      <c r="C293" s="8">
        <f>+251912307929</f>
        <v>251912307929</v>
      </c>
      <c r="D293" s="1" t="s">
        <v>9</v>
      </c>
    </row>
    <row r="294">
      <c r="A294" s="1" t="s">
        <v>516</v>
      </c>
      <c r="B294" s="1" t="s">
        <v>517</v>
      </c>
      <c r="C294" s="8">
        <f t="shared" ref="C294:C296" si="5">+251912847186</f>
        <v>251912847186</v>
      </c>
      <c r="D294" s="1" t="s">
        <v>6</v>
      </c>
    </row>
    <row r="295">
      <c r="A295" s="1" t="s">
        <v>516</v>
      </c>
      <c r="B295" s="1" t="s">
        <v>518</v>
      </c>
      <c r="C295" s="8">
        <f t="shared" si="5"/>
        <v>251912847186</v>
      </c>
      <c r="D295" s="1" t="s">
        <v>6</v>
      </c>
    </row>
    <row r="296">
      <c r="A296" s="1" t="s">
        <v>516</v>
      </c>
      <c r="B296" s="1" t="s">
        <v>517</v>
      </c>
      <c r="C296" s="8">
        <f t="shared" si="5"/>
        <v>251912847186</v>
      </c>
      <c r="D296" s="1" t="s">
        <v>6</v>
      </c>
    </row>
    <row r="297">
      <c r="A297" s="1" t="s">
        <v>519</v>
      </c>
      <c r="B297" s="1" t="s">
        <v>520</v>
      </c>
      <c r="C297" s="8">
        <f>+251913626228</f>
        <v>251913626228</v>
      </c>
      <c r="D297" s="1" t="s">
        <v>9</v>
      </c>
    </row>
    <row r="298">
      <c r="A298" s="1" t="s">
        <v>521</v>
      </c>
      <c r="B298" s="1" t="s">
        <v>522</v>
      </c>
      <c r="C298" s="8">
        <f>+251914060795</f>
        <v>251914060795</v>
      </c>
      <c r="D298" s="1" t="s">
        <v>6</v>
      </c>
    </row>
    <row r="299">
      <c r="A299" s="1" t="s">
        <v>523</v>
      </c>
      <c r="B299" s="1" t="s">
        <v>524</v>
      </c>
      <c r="C299" s="8">
        <f>+251914342401</f>
        <v>251914342401</v>
      </c>
      <c r="D299" s="1" t="s">
        <v>6</v>
      </c>
    </row>
    <row r="300">
      <c r="A300" s="1" t="s">
        <v>525</v>
      </c>
      <c r="B300" s="1" t="s">
        <v>526</v>
      </c>
      <c r="C300" s="8">
        <f>+251914380357</f>
        <v>251914380357</v>
      </c>
      <c r="D300" s="1" t="s">
        <v>6</v>
      </c>
    </row>
    <row r="301">
      <c r="A301" s="1" t="s">
        <v>527</v>
      </c>
      <c r="B301" s="1" t="s">
        <v>528</v>
      </c>
      <c r="C301" s="8">
        <f t="shared" ref="C301:C302" si="6">+251914795787</f>
        <v>251914795787</v>
      </c>
      <c r="D301" s="1" t="s">
        <v>9</v>
      </c>
    </row>
    <row r="302">
      <c r="A302" s="1" t="s">
        <v>527</v>
      </c>
      <c r="B302" s="1" t="s">
        <v>528</v>
      </c>
      <c r="C302" s="8">
        <f t="shared" si="6"/>
        <v>251914795787</v>
      </c>
      <c r="D302" s="1" t="s">
        <v>9</v>
      </c>
    </row>
    <row r="303">
      <c r="A303" s="5" t="s">
        <v>529</v>
      </c>
      <c r="B303" s="1" t="s">
        <v>530</v>
      </c>
      <c r="C303" s="8">
        <f>+251914980501</f>
        <v>251914980501</v>
      </c>
      <c r="D303" s="1" t="s">
        <v>9</v>
      </c>
    </row>
    <row r="304">
      <c r="A304" s="1" t="s">
        <v>116</v>
      </c>
      <c r="B304" s="1" t="s">
        <v>117</v>
      </c>
      <c r="C304" s="8">
        <f>+251915128604</f>
        <v>251915128604</v>
      </c>
      <c r="D304" s="1" t="s">
        <v>6</v>
      </c>
    </row>
    <row r="305">
      <c r="A305" s="1" t="s">
        <v>531</v>
      </c>
      <c r="B305" s="1" t="s">
        <v>532</v>
      </c>
      <c r="C305" s="1">
        <v>2.51915881097E11</v>
      </c>
      <c r="D305" s="1" t="s">
        <v>6</v>
      </c>
    </row>
    <row r="306">
      <c r="A306" s="1" t="s">
        <v>533</v>
      </c>
      <c r="B306" s="1" t="s">
        <v>534</v>
      </c>
      <c r="C306" s="8">
        <f>+251916165420</f>
        <v>251916165420</v>
      </c>
      <c r="D306" s="1" t="s">
        <v>9</v>
      </c>
    </row>
    <row r="307">
      <c r="A307" s="1" t="s">
        <v>535</v>
      </c>
      <c r="B307" s="1" t="s">
        <v>536</v>
      </c>
      <c r="C307" s="1">
        <v>2.5191640163E11</v>
      </c>
      <c r="D307" s="1" t="s">
        <v>9</v>
      </c>
    </row>
    <row r="308">
      <c r="A308" s="1" t="s">
        <v>537</v>
      </c>
      <c r="B308" s="1" t="s">
        <v>538</v>
      </c>
      <c r="C308" s="1">
        <v>2.51916867642E11</v>
      </c>
      <c r="D308" s="1" t="s">
        <v>6</v>
      </c>
    </row>
    <row r="309">
      <c r="A309" s="1" t="s">
        <v>539</v>
      </c>
      <c r="B309" s="1" t="s">
        <v>540</v>
      </c>
      <c r="C309" s="8">
        <f>+251916870819</f>
        <v>251916870819</v>
      </c>
      <c r="D309" s="1" t="s">
        <v>6</v>
      </c>
    </row>
    <row r="310">
      <c r="A310" s="1" t="s">
        <v>541</v>
      </c>
      <c r="B310" s="1" t="s">
        <v>542</v>
      </c>
      <c r="C310" s="8">
        <f t="shared" ref="C310:C311" si="7">+251917497198</f>
        <v>251917497198</v>
      </c>
      <c r="D310" s="1" t="s">
        <v>9</v>
      </c>
    </row>
    <row r="311">
      <c r="A311" s="1" t="s">
        <v>541</v>
      </c>
      <c r="B311" s="1" t="s">
        <v>542</v>
      </c>
      <c r="C311" s="8">
        <f t="shared" si="7"/>
        <v>251917497198</v>
      </c>
      <c r="D311" s="1" t="s">
        <v>6</v>
      </c>
    </row>
    <row r="312">
      <c r="A312" s="1" t="s">
        <v>543</v>
      </c>
      <c r="B312" s="1" t="s">
        <v>544</v>
      </c>
      <c r="C312" s="1">
        <v>2.51918250199E11</v>
      </c>
      <c r="D312" s="1" t="s">
        <v>6</v>
      </c>
    </row>
    <row r="313">
      <c r="A313" s="1" t="s">
        <v>545</v>
      </c>
      <c r="B313" s="1" t="s">
        <v>546</v>
      </c>
      <c r="C313" s="8">
        <f>+251918275409</f>
        <v>251918275409</v>
      </c>
      <c r="D313" s="1" t="s">
        <v>9</v>
      </c>
    </row>
    <row r="314">
      <c r="A314" s="1" t="s">
        <v>547</v>
      </c>
      <c r="B314" s="1" t="s">
        <v>548</v>
      </c>
      <c r="C314" s="8">
        <f>+251918596572</f>
        <v>251918596572</v>
      </c>
      <c r="D314" s="1" t="s">
        <v>9</v>
      </c>
    </row>
    <row r="315">
      <c r="A315" s="1" t="s">
        <v>549</v>
      </c>
      <c r="B315" s="1" t="s">
        <v>550</v>
      </c>
      <c r="C315" s="8">
        <f t="shared" ref="C315:C316" si="8">+251918719497</f>
        <v>251918719497</v>
      </c>
      <c r="D315" s="1" t="s">
        <v>6</v>
      </c>
    </row>
    <row r="316">
      <c r="A316" s="1" t="s">
        <v>551</v>
      </c>
      <c r="B316" s="1" t="s">
        <v>552</v>
      </c>
      <c r="C316" s="8">
        <f t="shared" si="8"/>
        <v>251918719497</v>
      </c>
      <c r="D316" s="1" t="s">
        <v>6</v>
      </c>
    </row>
    <row r="317">
      <c r="A317" s="1" t="s">
        <v>553</v>
      </c>
      <c r="B317" s="1" t="s">
        <v>554</v>
      </c>
      <c r="C317" s="1">
        <v>2.5191874452E11</v>
      </c>
      <c r="D317" s="1" t="s">
        <v>9</v>
      </c>
    </row>
    <row r="318">
      <c r="A318" s="1" t="s">
        <v>555</v>
      </c>
      <c r="B318" s="1" t="s">
        <v>556</v>
      </c>
      <c r="C318" s="8">
        <f>+251920023175</f>
        <v>251920023175</v>
      </c>
      <c r="D318" s="1" t="s">
        <v>9</v>
      </c>
    </row>
    <row r="319">
      <c r="A319" s="1" t="s">
        <v>557</v>
      </c>
      <c r="B319" s="1" t="s">
        <v>558</v>
      </c>
      <c r="C319" s="8">
        <f>+251920199838</f>
        <v>251920199838</v>
      </c>
      <c r="D319" s="1" t="s">
        <v>6</v>
      </c>
    </row>
    <row r="320">
      <c r="A320" s="1" t="s">
        <v>559</v>
      </c>
      <c r="B320" s="1" t="s">
        <v>560</v>
      </c>
      <c r="C320" s="8">
        <f>+251920725480</f>
        <v>251920725480</v>
      </c>
      <c r="D320" s="1" t="s">
        <v>9</v>
      </c>
    </row>
    <row r="321">
      <c r="A321" s="1" t="s">
        <v>188</v>
      </c>
      <c r="B321" s="1" t="s">
        <v>561</v>
      </c>
      <c r="C321" s="8">
        <f>+251920782773</f>
        <v>251920782773</v>
      </c>
      <c r="D321" s="1" t="s">
        <v>6</v>
      </c>
    </row>
    <row r="322">
      <c r="A322" s="1" t="s">
        <v>562</v>
      </c>
      <c r="B322" s="1" t="s">
        <v>563</v>
      </c>
      <c r="C322" s="8">
        <f>+251921182075</f>
        <v>251921182075</v>
      </c>
      <c r="D322" s="1" t="s">
        <v>6</v>
      </c>
    </row>
    <row r="323">
      <c r="A323" s="1" t="s">
        <v>564</v>
      </c>
      <c r="B323" s="1" t="s">
        <v>565</v>
      </c>
      <c r="C323" s="8">
        <f>+251922131972</f>
        <v>251922131972</v>
      </c>
      <c r="D323" s="1" t="s">
        <v>6</v>
      </c>
    </row>
    <row r="324">
      <c r="A324" s="1" t="s">
        <v>210</v>
      </c>
      <c r="B324" s="1" t="s">
        <v>211</v>
      </c>
      <c r="C324" s="8">
        <f>+251922803503</f>
        <v>251922803503</v>
      </c>
      <c r="D324" s="1" t="s">
        <v>9</v>
      </c>
    </row>
    <row r="325">
      <c r="A325" s="1" t="s">
        <v>566</v>
      </c>
      <c r="B325" s="1" t="s">
        <v>567</v>
      </c>
      <c r="C325" s="8">
        <f>+251923515458</f>
        <v>251923515458</v>
      </c>
      <c r="D325" s="1" t="s">
        <v>6</v>
      </c>
    </row>
    <row r="326">
      <c r="A326" s="1" t="s">
        <v>568</v>
      </c>
      <c r="B326" s="1" t="s">
        <v>569</v>
      </c>
      <c r="C326" s="1">
        <v>2.51925866602E11</v>
      </c>
      <c r="D326" s="1" t="s">
        <v>9</v>
      </c>
    </row>
    <row r="327">
      <c r="A327" s="1" t="s">
        <v>570</v>
      </c>
      <c r="B327" s="1" t="s">
        <v>571</v>
      </c>
      <c r="C327" s="8">
        <f>+251926798225</f>
        <v>251926798225</v>
      </c>
      <c r="D327" s="1" t="s">
        <v>6</v>
      </c>
    </row>
    <row r="328">
      <c r="A328" s="1" t="s">
        <v>572</v>
      </c>
      <c r="B328" s="1" t="s">
        <v>573</v>
      </c>
      <c r="C328" s="8">
        <f>+251928605078</f>
        <v>251928605078</v>
      </c>
      <c r="D328" s="1" t="s">
        <v>9</v>
      </c>
    </row>
    <row r="329">
      <c r="A329" s="1" t="s">
        <v>574</v>
      </c>
      <c r="B329" s="1" t="s">
        <v>575</v>
      </c>
      <c r="C329" s="8">
        <f>+251931590256</f>
        <v>251931590256</v>
      </c>
      <c r="D329" s="1" t="s">
        <v>6</v>
      </c>
    </row>
    <row r="330">
      <c r="A330" s="1" t="s">
        <v>576</v>
      </c>
      <c r="B330" s="1" t="s">
        <v>577</v>
      </c>
      <c r="C330" s="8">
        <f t="shared" ref="C330:C331" si="9">+251931705384</f>
        <v>251931705384</v>
      </c>
      <c r="D330" s="1" t="s">
        <v>9</v>
      </c>
    </row>
    <row r="331">
      <c r="A331" s="1" t="s">
        <v>578</v>
      </c>
      <c r="B331" s="1" t="s">
        <v>577</v>
      </c>
      <c r="C331" s="8">
        <f t="shared" si="9"/>
        <v>251931705384</v>
      </c>
      <c r="D331" s="1" t="s">
        <v>9</v>
      </c>
    </row>
    <row r="332">
      <c r="A332" s="1" t="s">
        <v>267</v>
      </c>
      <c r="B332" s="1" t="s">
        <v>268</v>
      </c>
      <c r="C332" s="8">
        <f>+251931894575</f>
        <v>251931894575</v>
      </c>
      <c r="D332" s="1" t="s">
        <v>6</v>
      </c>
    </row>
    <row r="333">
      <c r="A333" s="1" t="s">
        <v>579</v>
      </c>
      <c r="B333" s="1" t="s">
        <v>580</v>
      </c>
      <c r="C333" s="1">
        <v>2.51934039076E11</v>
      </c>
      <c r="D333" s="1" t="s">
        <v>6</v>
      </c>
    </row>
    <row r="334">
      <c r="A334" s="1" t="s">
        <v>581</v>
      </c>
      <c r="B334" s="1" t="s">
        <v>582</v>
      </c>
      <c r="C334" s="8">
        <f>+251934611771</f>
        <v>251934611771</v>
      </c>
      <c r="D334" s="1" t="s">
        <v>9</v>
      </c>
    </row>
    <row r="335">
      <c r="A335" s="1" t="s">
        <v>583</v>
      </c>
      <c r="B335" s="1" t="s">
        <v>584</v>
      </c>
      <c r="C335" s="8">
        <f>+251935860013</f>
        <v>251935860013</v>
      </c>
      <c r="D335" s="1" t="s">
        <v>6</v>
      </c>
    </row>
    <row r="336">
      <c r="A336" s="1" t="s">
        <v>585</v>
      </c>
      <c r="B336" s="1" t="s">
        <v>586</v>
      </c>
      <c r="C336" s="8">
        <f>+251936524911</f>
        <v>251936524911</v>
      </c>
      <c r="D336" s="1" t="s">
        <v>6</v>
      </c>
    </row>
    <row r="337">
      <c r="A337" s="1" t="s">
        <v>587</v>
      </c>
      <c r="B337" s="1" t="s">
        <v>588</v>
      </c>
      <c r="C337" s="8">
        <f>+251939338339</f>
        <v>251939338339</v>
      </c>
      <c r="D337" s="1" t="s">
        <v>9</v>
      </c>
    </row>
    <row r="338">
      <c r="A338" s="1" t="s">
        <v>589</v>
      </c>
      <c r="B338" s="1" t="s">
        <v>295</v>
      </c>
      <c r="C338" s="8">
        <f>+251939531507</f>
        <v>251939531507</v>
      </c>
      <c r="D338" s="1" t="s">
        <v>9</v>
      </c>
    </row>
    <row r="339">
      <c r="A339" s="1" t="s">
        <v>590</v>
      </c>
      <c r="B339" s="1" t="s">
        <v>591</v>
      </c>
      <c r="C339" s="8">
        <f>+251940272303</f>
        <v>251940272303</v>
      </c>
      <c r="D339" s="1" t="s">
        <v>9</v>
      </c>
    </row>
    <row r="340">
      <c r="A340" s="1" t="s">
        <v>592</v>
      </c>
      <c r="B340" s="1" t="s">
        <v>311</v>
      </c>
      <c r="C340" s="8">
        <f t="shared" ref="C340:C341" si="10">+251942060536</f>
        <v>251942060536</v>
      </c>
      <c r="D340" s="1" t="s">
        <v>6</v>
      </c>
    </row>
    <row r="341">
      <c r="A341" s="1" t="s">
        <v>310</v>
      </c>
      <c r="B341" s="1" t="s">
        <v>593</v>
      </c>
      <c r="C341" s="8">
        <f t="shared" si="10"/>
        <v>251942060536</v>
      </c>
      <c r="D341" s="1" t="s">
        <v>6</v>
      </c>
    </row>
    <row r="342">
      <c r="A342" s="1" t="s">
        <v>594</v>
      </c>
      <c r="B342" s="1" t="s">
        <v>595</v>
      </c>
      <c r="C342" s="1">
        <v>2.519430064E11</v>
      </c>
      <c r="D342" s="1" t="s">
        <v>6</v>
      </c>
    </row>
    <row r="343">
      <c r="A343" s="1" t="s">
        <v>596</v>
      </c>
      <c r="B343" s="1" t="s">
        <v>597</v>
      </c>
      <c r="C343" s="8">
        <f>+251947151741</f>
        <v>251947151741</v>
      </c>
      <c r="D343" s="1" t="s">
        <v>9</v>
      </c>
    </row>
    <row r="344">
      <c r="A344" s="1" t="s">
        <v>598</v>
      </c>
      <c r="B344" s="1" t="s">
        <v>599</v>
      </c>
      <c r="C344" s="8">
        <f t="shared" ref="C344:C345" si="11">+251952924765</f>
        <v>251952924765</v>
      </c>
      <c r="D344" s="1" t="s">
        <v>9</v>
      </c>
    </row>
    <row r="345">
      <c r="A345" s="1" t="s">
        <v>598</v>
      </c>
      <c r="B345" s="1" t="s">
        <v>599</v>
      </c>
      <c r="C345" s="8">
        <f t="shared" si="11"/>
        <v>251952924765</v>
      </c>
      <c r="D345" s="1" t="s">
        <v>9</v>
      </c>
    </row>
    <row r="346">
      <c r="A346" s="1" t="s">
        <v>600</v>
      </c>
      <c r="B346" s="1" t="s">
        <v>601</v>
      </c>
      <c r="C346" s="8">
        <f>+251953269486</f>
        <v>251953269486</v>
      </c>
      <c r="D346" s="1" t="s">
        <v>6</v>
      </c>
    </row>
    <row r="347">
      <c r="A347" s="1" t="s">
        <v>602</v>
      </c>
      <c r="B347" s="1" t="s">
        <v>603</v>
      </c>
      <c r="C347" s="8">
        <f>+251953767833</f>
        <v>251953767833</v>
      </c>
      <c r="D347" s="1" t="s">
        <v>9</v>
      </c>
    </row>
    <row r="348">
      <c r="A348" s="5" t="s">
        <v>604</v>
      </c>
      <c r="B348" s="1" t="s">
        <v>605</v>
      </c>
      <c r="C348" s="1">
        <v>2.51954805653E11</v>
      </c>
      <c r="D348" s="1" t="s">
        <v>9</v>
      </c>
    </row>
    <row r="349">
      <c r="A349" s="1" t="s">
        <v>606</v>
      </c>
      <c r="B349" s="1" t="s">
        <v>607</v>
      </c>
      <c r="C349" s="8">
        <f>+251955132684</f>
        <v>251955132684</v>
      </c>
      <c r="D349" s="1" t="s">
        <v>6</v>
      </c>
    </row>
    <row r="350">
      <c r="A350" s="1" t="s">
        <v>608</v>
      </c>
      <c r="B350" s="1" t="s">
        <v>364</v>
      </c>
      <c r="C350" s="1">
        <v>2.51955170831E11</v>
      </c>
      <c r="D350" s="1" t="s">
        <v>9</v>
      </c>
    </row>
    <row r="351">
      <c r="A351" s="1" t="s">
        <v>609</v>
      </c>
      <c r="B351" s="1" t="s">
        <v>610</v>
      </c>
      <c r="C351" s="8">
        <f t="shared" ref="C351:C355" si="12">+251967603162</f>
        <v>251967603162</v>
      </c>
      <c r="D351" s="1" t="s">
        <v>9</v>
      </c>
    </row>
    <row r="352">
      <c r="A352" s="1" t="s">
        <v>609</v>
      </c>
      <c r="B352" s="1" t="s">
        <v>610</v>
      </c>
      <c r="C352" s="8">
        <f t="shared" si="12"/>
        <v>251967603162</v>
      </c>
      <c r="D352" s="1" t="s">
        <v>9</v>
      </c>
    </row>
    <row r="353">
      <c r="A353" s="1" t="s">
        <v>611</v>
      </c>
      <c r="B353" s="1" t="s">
        <v>610</v>
      </c>
      <c r="C353" s="8">
        <f t="shared" si="12"/>
        <v>251967603162</v>
      </c>
      <c r="D353" s="1" t="s">
        <v>9</v>
      </c>
    </row>
    <row r="354">
      <c r="A354" s="1" t="s">
        <v>612</v>
      </c>
      <c r="B354" s="1" t="s">
        <v>610</v>
      </c>
      <c r="C354" s="8">
        <f t="shared" si="12"/>
        <v>251967603162</v>
      </c>
      <c r="D354" s="1" t="s">
        <v>9</v>
      </c>
    </row>
    <row r="355">
      <c r="A355" s="1" t="s">
        <v>612</v>
      </c>
      <c r="B355" s="1" t="s">
        <v>613</v>
      </c>
      <c r="C355" s="8">
        <f t="shared" si="12"/>
        <v>251967603162</v>
      </c>
      <c r="D355" s="1" t="s">
        <v>9</v>
      </c>
    </row>
    <row r="356">
      <c r="A356" s="1" t="s">
        <v>614</v>
      </c>
      <c r="B356" s="1" t="s">
        <v>615</v>
      </c>
      <c r="C356" s="8">
        <f>+251970635968</f>
        <v>251970635968</v>
      </c>
      <c r="D356" s="1" t="s">
        <v>6</v>
      </c>
    </row>
    <row r="357">
      <c r="A357" s="1" t="s">
        <v>616</v>
      </c>
      <c r="B357" s="1" t="s">
        <v>617</v>
      </c>
      <c r="C357" s="8">
        <f t="shared" ref="C357:C359" si="13">+251974716421</f>
        <v>251974716421</v>
      </c>
      <c r="D357" s="1" t="s">
        <v>6</v>
      </c>
    </row>
    <row r="358">
      <c r="A358" s="1" t="s">
        <v>616</v>
      </c>
      <c r="B358" s="1" t="s">
        <v>617</v>
      </c>
      <c r="C358" s="8">
        <f t="shared" si="13"/>
        <v>251974716421</v>
      </c>
      <c r="D358" s="1" t="s">
        <v>6</v>
      </c>
    </row>
    <row r="359">
      <c r="A359" s="1" t="s">
        <v>616</v>
      </c>
      <c r="B359" s="1" t="s">
        <v>617</v>
      </c>
      <c r="C359" s="8">
        <f t="shared" si="13"/>
        <v>251974716421</v>
      </c>
      <c r="D359" s="1" t="s">
        <v>6</v>
      </c>
    </row>
    <row r="360">
      <c r="A360" s="1" t="s">
        <v>618</v>
      </c>
      <c r="B360" s="1" t="s">
        <v>619</v>
      </c>
      <c r="C360" s="8">
        <f t="shared" ref="C360:C361" si="14">+251975088797</f>
        <v>251975088797</v>
      </c>
      <c r="D360" s="1" t="s">
        <v>9</v>
      </c>
    </row>
    <row r="361">
      <c r="A361" s="1" t="s">
        <v>618</v>
      </c>
      <c r="B361" s="1" t="s">
        <v>619</v>
      </c>
      <c r="C361" s="8">
        <f t="shared" si="14"/>
        <v>251975088797</v>
      </c>
      <c r="D361" s="1" t="s">
        <v>9</v>
      </c>
    </row>
    <row r="362">
      <c r="A362" s="1" t="s">
        <v>620</v>
      </c>
      <c r="B362" s="1" t="s">
        <v>621</v>
      </c>
      <c r="C362" s="8">
        <f>+251985716340</f>
        <v>251985716340</v>
      </c>
      <c r="D362" s="1" t="s">
        <v>9</v>
      </c>
    </row>
    <row r="363">
      <c r="A363" s="1" t="s">
        <v>622</v>
      </c>
      <c r="B363" s="1" t="s">
        <v>623</v>
      </c>
      <c r="C363" s="8">
        <f>+251987254680</f>
        <v>251987254680</v>
      </c>
      <c r="D363" s="1" t="s">
        <v>9</v>
      </c>
    </row>
    <row r="364">
      <c r="A364" s="1" t="s">
        <v>624</v>
      </c>
      <c r="B364" s="1" t="s">
        <v>625</v>
      </c>
      <c r="C364" s="8">
        <f>+251991051810</f>
        <v>251991051810</v>
      </c>
      <c r="D364" s="1" t="s">
        <v>6</v>
      </c>
    </row>
    <row r="365">
      <c r="A365" s="1" t="s">
        <v>626</v>
      </c>
      <c r="B365" s="1" t="s">
        <v>627</v>
      </c>
      <c r="C365" s="8">
        <f>+251993718666</f>
        <v>251993718666</v>
      </c>
      <c r="D365" s="1" t="s">
        <v>9</v>
      </c>
    </row>
    <row r="366">
      <c r="A366" s="1" t="s">
        <v>628</v>
      </c>
      <c r="B366" s="1" t="s">
        <v>629</v>
      </c>
      <c r="C366" s="8">
        <f>+2510910074339</f>
        <v>2510910074339</v>
      </c>
      <c r="D366" s="1" t="s">
        <v>6</v>
      </c>
    </row>
    <row r="367">
      <c r="A367" s="1" t="s">
        <v>630</v>
      </c>
      <c r="B367" s="1" t="s">
        <v>631</v>
      </c>
      <c r="C367" s="8">
        <f>+2510911149237</f>
        <v>2510911149237</v>
      </c>
      <c r="D367" s="1" t="s">
        <v>9</v>
      </c>
    </row>
    <row r="368">
      <c r="A368" s="9" t="s">
        <v>632</v>
      </c>
      <c r="B368" s="9" t="s">
        <v>633</v>
      </c>
      <c r="C368" s="9">
        <v>2.519206066012E12</v>
      </c>
      <c r="D368" s="9" t="s">
        <v>6</v>
      </c>
      <c r="E368" s="10"/>
      <c r="F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1" t="s">
        <v>634</v>
      </c>
      <c r="B369" s="11" t="s">
        <v>635</v>
      </c>
      <c r="C369" s="12">
        <v>9.00359283E8</v>
      </c>
      <c r="D369" s="11" t="s">
        <v>6</v>
      </c>
      <c r="E369" s="11"/>
      <c r="F369" s="10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>
      <c r="A370" s="11" t="s">
        <v>636</v>
      </c>
      <c r="B370" s="11" t="s">
        <v>637</v>
      </c>
      <c r="C370" s="12">
        <v>9.00930982E8</v>
      </c>
      <c r="D370" s="11" t="s">
        <v>9</v>
      </c>
      <c r="E370" s="11"/>
      <c r="F370" s="10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>
      <c r="A371" s="11" t="s">
        <v>638</v>
      </c>
      <c r="B371" s="11" t="s">
        <v>639</v>
      </c>
      <c r="C371" s="12">
        <v>9.01128831E8</v>
      </c>
      <c r="D371" s="11" t="s">
        <v>9</v>
      </c>
      <c r="E371" s="11"/>
      <c r="F371" s="10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>
      <c r="A372" s="11" t="s">
        <v>640</v>
      </c>
      <c r="B372" s="11" t="s">
        <v>641</v>
      </c>
      <c r="C372" s="12">
        <v>9.02393236E8</v>
      </c>
      <c r="D372" s="11" t="s">
        <v>6</v>
      </c>
      <c r="E372" s="11"/>
      <c r="F372" s="10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>
      <c r="A373" s="11" t="s">
        <v>642</v>
      </c>
      <c r="B373" s="11" t="s">
        <v>643</v>
      </c>
      <c r="C373" s="12">
        <v>9.04636052E8</v>
      </c>
      <c r="D373" s="11" t="s">
        <v>6</v>
      </c>
      <c r="E373" s="11"/>
      <c r="F373" s="10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>
      <c r="A374" s="11" t="s">
        <v>644</v>
      </c>
      <c r="B374" s="11" t="s">
        <v>645</v>
      </c>
      <c r="C374" s="12">
        <v>9.0502837E8</v>
      </c>
      <c r="D374" s="11" t="s">
        <v>9</v>
      </c>
      <c r="E374" s="11"/>
      <c r="F374" s="10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>
      <c r="A375" s="11" t="s">
        <v>646</v>
      </c>
      <c r="B375" s="11" t="s">
        <v>647</v>
      </c>
      <c r="C375" s="12">
        <v>9.0701313E8</v>
      </c>
      <c r="D375" s="11" t="s">
        <v>9</v>
      </c>
      <c r="E375" s="11"/>
      <c r="F375" s="10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>
      <c r="A376" s="11" t="s">
        <v>648</v>
      </c>
      <c r="B376" s="11" t="s">
        <v>649</v>
      </c>
      <c r="C376" s="12">
        <v>9.10265496E8</v>
      </c>
      <c r="D376" s="11" t="s">
        <v>9</v>
      </c>
      <c r="E376" s="11"/>
      <c r="F376" s="10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>
      <c r="A377" s="11" t="s">
        <v>650</v>
      </c>
      <c r="B377" s="11" t="s">
        <v>651</v>
      </c>
      <c r="C377" s="12">
        <v>9.10730661E8</v>
      </c>
      <c r="D377" s="11" t="s">
        <v>6</v>
      </c>
      <c r="E377" s="11"/>
      <c r="F377" s="10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>
      <c r="A378" s="11" t="s">
        <v>652</v>
      </c>
      <c r="B378" s="11" t="s">
        <v>653</v>
      </c>
      <c r="C378" s="12">
        <v>9.11131219E8</v>
      </c>
      <c r="D378" s="11" t="s">
        <v>9</v>
      </c>
      <c r="E378" s="11"/>
      <c r="F378" s="10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>
      <c r="A379" s="11" t="s">
        <v>654</v>
      </c>
      <c r="B379" s="11" t="s">
        <v>655</v>
      </c>
      <c r="C379" s="12">
        <v>9.12150253E8</v>
      </c>
      <c r="D379" s="11" t="s">
        <v>6</v>
      </c>
      <c r="E379" s="11"/>
      <c r="F379" s="10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>
      <c r="A380" s="11" t="s">
        <v>656</v>
      </c>
      <c r="B380" s="11" t="s">
        <v>657</v>
      </c>
      <c r="C380" s="12">
        <v>9.12827191E8</v>
      </c>
      <c r="D380" s="11" t="s">
        <v>9</v>
      </c>
      <c r="E380" s="11"/>
      <c r="F380" s="10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>
      <c r="A381" s="11" t="s">
        <v>658</v>
      </c>
      <c r="B381" s="11" t="s">
        <v>659</v>
      </c>
      <c r="C381" s="12">
        <v>9.13443695E8</v>
      </c>
      <c r="D381" s="11" t="s">
        <v>6</v>
      </c>
      <c r="E381" s="11"/>
      <c r="F381" s="10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>
      <c r="A382" s="11" t="s">
        <v>660</v>
      </c>
      <c r="B382" s="11" t="s">
        <v>661</v>
      </c>
      <c r="C382" s="12">
        <v>9.14913141E8</v>
      </c>
      <c r="D382" s="11" t="s">
        <v>6</v>
      </c>
      <c r="E382" s="11"/>
      <c r="F382" s="10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>
      <c r="A383" s="11" t="s">
        <v>662</v>
      </c>
      <c r="B383" s="11" t="s">
        <v>663</v>
      </c>
      <c r="C383" s="12">
        <v>9.14973382E8</v>
      </c>
      <c r="D383" s="11" t="s">
        <v>9</v>
      </c>
      <c r="E383" s="11"/>
      <c r="F383" s="10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>
      <c r="A384" s="11" t="s">
        <v>664</v>
      </c>
      <c r="B384" s="11" t="s">
        <v>665</v>
      </c>
      <c r="C384" s="12">
        <v>9.15304082E8</v>
      </c>
      <c r="D384" s="11" t="s">
        <v>9</v>
      </c>
      <c r="E384" s="11"/>
      <c r="F384" s="10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>
      <c r="A385" s="11" t="s">
        <v>666</v>
      </c>
      <c r="B385" s="11" t="s">
        <v>667</v>
      </c>
      <c r="C385" s="12">
        <v>9.15745177E8</v>
      </c>
      <c r="D385" s="11" t="s">
        <v>6</v>
      </c>
      <c r="E385" s="11"/>
      <c r="F385" s="10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>
      <c r="A386" s="11" t="s">
        <v>668</v>
      </c>
      <c r="B386" s="11" t="s">
        <v>669</v>
      </c>
      <c r="C386" s="12">
        <v>9.16435957E8</v>
      </c>
      <c r="D386" s="11" t="s">
        <v>9</v>
      </c>
      <c r="E386" s="11"/>
      <c r="F386" s="10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>
      <c r="A387" s="11" t="s">
        <v>670</v>
      </c>
      <c r="B387" s="11" t="s">
        <v>671</v>
      </c>
      <c r="C387" s="12">
        <v>9.16885993E8</v>
      </c>
      <c r="D387" s="11" t="s">
        <v>6</v>
      </c>
      <c r="E387" s="11"/>
      <c r="F387" s="10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>
      <c r="A388" s="11" t="s">
        <v>672</v>
      </c>
      <c r="B388" s="11" t="s">
        <v>673</v>
      </c>
      <c r="C388" s="12">
        <v>9.1707093E8</v>
      </c>
      <c r="D388" s="11" t="s">
        <v>9</v>
      </c>
      <c r="E388" s="11"/>
      <c r="F388" s="10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>
      <c r="A389" s="11" t="s">
        <v>674</v>
      </c>
      <c r="B389" s="11" t="s">
        <v>675</v>
      </c>
      <c r="C389" s="12">
        <v>9.17865689E8</v>
      </c>
      <c r="D389" s="11" t="s">
        <v>6</v>
      </c>
      <c r="E389" s="11"/>
      <c r="F389" s="10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>
      <c r="A390" s="11" t="s">
        <v>676</v>
      </c>
      <c r="B390" s="11" t="s">
        <v>677</v>
      </c>
      <c r="C390" s="12">
        <v>9.18056446E8</v>
      </c>
      <c r="D390" s="11" t="s">
        <v>9</v>
      </c>
      <c r="E390" s="11"/>
      <c r="F390" s="10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>
      <c r="A391" s="11" t="s">
        <v>678</v>
      </c>
      <c r="B391" s="11" t="s">
        <v>679</v>
      </c>
      <c r="C391" s="12">
        <v>9.18316805E8</v>
      </c>
      <c r="D391" s="11" t="s">
        <v>9</v>
      </c>
      <c r="E391" s="11"/>
      <c r="F391" s="10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>
      <c r="A392" s="11" t="s">
        <v>680</v>
      </c>
      <c r="B392" s="11" t="s">
        <v>681</v>
      </c>
      <c r="C392" s="12">
        <v>9.20273527E8</v>
      </c>
      <c r="D392" s="11" t="s">
        <v>6</v>
      </c>
      <c r="E392" s="11"/>
      <c r="F392" s="10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>
      <c r="A393" s="11" t="s">
        <v>682</v>
      </c>
      <c r="B393" s="11" t="s">
        <v>683</v>
      </c>
      <c r="C393" s="12">
        <v>9.20839533E8</v>
      </c>
      <c r="D393" s="11" t="s">
        <v>6</v>
      </c>
      <c r="E393" s="11"/>
      <c r="F393" s="10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>
      <c r="A394" s="11" t="s">
        <v>684</v>
      </c>
      <c r="B394" s="11" t="s">
        <v>685</v>
      </c>
      <c r="C394" s="12">
        <v>9.20877103E8</v>
      </c>
      <c r="D394" s="11" t="s">
        <v>6</v>
      </c>
      <c r="E394" s="11"/>
      <c r="F394" s="10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>
      <c r="A395" s="11" t="s">
        <v>686</v>
      </c>
      <c r="B395" s="11" t="s">
        <v>687</v>
      </c>
      <c r="C395" s="12">
        <v>9.20978958E8</v>
      </c>
      <c r="D395" s="11" t="s">
        <v>9</v>
      </c>
      <c r="E395" s="11"/>
      <c r="F395" s="10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>
      <c r="A396" s="11" t="s">
        <v>688</v>
      </c>
      <c r="B396" s="11" t="s">
        <v>689</v>
      </c>
      <c r="C396" s="12">
        <v>9.24484453E8</v>
      </c>
      <c r="D396" s="11" t="s">
        <v>9</v>
      </c>
      <c r="E396" s="11"/>
      <c r="F396" s="10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>
      <c r="A397" s="11" t="s">
        <v>220</v>
      </c>
      <c r="B397" s="11" t="s">
        <v>221</v>
      </c>
      <c r="C397" s="12">
        <v>9.24546891E8</v>
      </c>
      <c r="D397" s="11" t="s">
        <v>9</v>
      </c>
      <c r="E397" s="11"/>
      <c r="F397" s="10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>
      <c r="A398" s="11" t="s">
        <v>690</v>
      </c>
      <c r="B398" s="11" t="s">
        <v>691</v>
      </c>
      <c r="C398" s="12">
        <v>9.25562514E8</v>
      </c>
      <c r="D398" s="11" t="s">
        <v>9</v>
      </c>
      <c r="E398" s="11"/>
      <c r="F398" s="10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>
      <c r="A399" s="11" t="s">
        <v>692</v>
      </c>
      <c r="B399" s="11" t="s">
        <v>693</v>
      </c>
      <c r="C399" s="12">
        <v>9.26550298E8</v>
      </c>
      <c r="D399" s="11" t="s">
        <v>9</v>
      </c>
      <c r="E399" s="11"/>
      <c r="F399" s="10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>
      <c r="A400" s="11" t="s">
        <v>694</v>
      </c>
      <c r="B400" s="11" t="s">
        <v>695</v>
      </c>
      <c r="C400" s="12">
        <v>9.31893453E8</v>
      </c>
      <c r="D400" s="11" t="s">
        <v>9</v>
      </c>
      <c r="E400" s="11"/>
      <c r="F400" s="10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>
      <c r="A401" s="11" t="s">
        <v>273</v>
      </c>
      <c r="B401" s="11" t="s">
        <v>274</v>
      </c>
      <c r="C401" s="12">
        <v>9.333352E8</v>
      </c>
      <c r="D401" s="11" t="s">
        <v>9</v>
      </c>
      <c r="E401" s="11"/>
      <c r="F401" s="10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>
      <c r="A402" s="11" t="s">
        <v>696</v>
      </c>
      <c r="B402" s="11" t="s">
        <v>697</v>
      </c>
      <c r="C402" s="12">
        <v>9.33350825E8</v>
      </c>
      <c r="D402" s="11" t="s">
        <v>6</v>
      </c>
      <c r="E402" s="11"/>
      <c r="F402" s="10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>
      <c r="A403" s="11" t="s">
        <v>698</v>
      </c>
      <c r="B403" s="11" t="s">
        <v>699</v>
      </c>
      <c r="C403" s="12">
        <v>9.34268802E8</v>
      </c>
      <c r="D403" s="11" t="s">
        <v>9</v>
      </c>
      <c r="E403" s="11"/>
      <c r="F403" s="10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>
      <c r="A404" s="11" t="s">
        <v>700</v>
      </c>
      <c r="B404" s="11" t="s">
        <v>701</v>
      </c>
      <c r="C404" s="12">
        <v>9.34344546E8</v>
      </c>
      <c r="D404" s="11" t="s">
        <v>9</v>
      </c>
      <c r="E404" s="11"/>
      <c r="F404" s="10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>
      <c r="A405" s="11" t="s">
        <v>702</v>
      </c>
      <c r="B405" s="11" t="s">
        <v>703</v>
      </c>
      <c r="C405" s="12">
        <v>9.3691772E8</v>
      </c>
      <c r="D405" s="11" t="s">
        <v>6</v>
      </c>
      <c r="E405" s="11"/>
      <c r="F405" s="10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>
      <c r="A406" s="11" t="s">
        <v>704</v>
      </c>
      <c r="B406" s="11" t="s">
        <v>705</v>
      </c>
      <c r="C406" s="12">
        <v>9.37999584E8</v>
      </c>
      <c r="D406" s="11" t="s">
        <v>6</v>
      </c>
      <c r="E406" s="11"/>
      <c r="F406" s="10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>
      <c r="A407" s="11" t="s">
        <v>706</v>
      </c>
      <c r="B407" s="11" t="s">
        <v>707</v>
      </c>
      <c r="C407" s="12">
        <v>9.38920743E8</v>
      </c>
      <c r="D407" s="11" t="s">
        <v>9</v>
      </c>
      <c r="E407" s="11"/>
      <c r="F407" s="10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>
      <c r="A408" s="11" t="s">
        <v>708</v>
      </c>
      <c r="B408" s="11" t="s">
        <v>709</v>
      </c>
      <c r="C408" s="12">
        <v>9.40730366E8</v>
      </c>
      <c r="D408" s="11" t="s">
        <v>6</v>
      </c>
      <c r="E408" s="11"/>
      <c r="F408" s="10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>
      <c r="A409" s="11" t="s">
        <v>306</v>
      </c>
      <c r="B409" s="11" t="s">
        <v>307</v>
      </c>
      <c r="C409" s="12">
        <v>9.41217806E8</v>
      </c>
      <c r="D409" s="11" t="s">
        <v>9</v>
      </c>
      <c r="E409" s="11"/>
      <c r="F409" s="10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>
      <c r="A410" s="11" t="s">
        <v>710</v>
      </c>
      <c r="B410" s="11" t="s">
        <v>711</v>
      </c>
      <c r="C410" s="12">
        <v>9.43403735E8</v>
      </c>
      <c r="D410" s="11" t="s">
        <v>6</v>
      </c>
      <c r="E410" s="11"/>
      <c r="F410" s="10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>
      <c r="A411" s="11" t="s">
        <v>712</v>
      </c>
      <c r="B411" s="11" t="s">
        <v>713</v>
      </c>
      <c r="C411" s="12">
        <v>9.4967799E8</v>
      </c>
      <c r="D411" s="11" t="s">
        <v>6</v>
      </c>
      <c r="E411" s="11"/>
      <c r="F411" s="10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>
      <c r="A412" s="11" t="s">
        <v>714</v>
      </c>
      <c r="B412" s="11" t="s">
        <v>715</v>
      </c>
      <c r="C412" s="12">
        <v>9.55922355E8</v>
      </c>
      <c r="D412" s="11" t="s">
        <v>9</v>
      </c>
      <c r="E412" s="11"/>
      <c r="F412" s="10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>
      <c r="A413" s="11" t="s">
        <v>716</v>
      </c>
      <c r="B413" s="11" t="s">
        <v>717</v>
      </c>
      <c r="C413" s="12">
        <v>9.56766233E8</v>
      </c>
      <c r="D413" s="11" t="s">
        <v>9</v>
      </c>
      <c r="E413" s="11"/>
      <c r="F413" s="10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>
      <c r="A414" s="11" t="s">
        <v>718</v>
      </c>
      <c r="B414" s="11" t="s">
        <v>719</v>
      </c>
      <c r="C414" s="12">
        <v>9.60408995E8</v>
      </c>
      <c r="D414" s="11" t="s">
        <v>9</v>
      </c>
      <c r="E414" s="11"/>
      <c r="F414" s="10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>
      <c r="A415" s="11" t="s">
        <v>376</v>
      </c>
      <c r="B415" s="11" t="s">
        <v>377</v>
      </c>
      <c r="C415" s="12">
        <v>9.60461321E8</v>
      </c>
      <c r="D415" s="11" t="s">
        <v>9</v>
      </c>
      <c r="E415" s="11"/>
      <c r="F415" s="10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>
      <c r="A416" s="11" t="s">
        <v>720</v>
      </c>
      <c r="B416" s="11" t="s">
        <v>721</v>
      </c>
      <c r="C416" s="12">
        <v>9.61506552E8</v>
      </c>
      <c r="D416" s="11" t="s">
        <v>6</v>
      </c>
      <c r="E416" s="11"/>
      <c r="F416" s="10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>
      <c r="A417" s="11" t="s">
        <v>722</v>
      </c>
      <c r="B417" s="11" t="s">
        <v>723</v>
      </c>
      <c r="C417" s="12">
        <v>9.61549625E8</v>
      </c>
      <c r="D417" s="11" t="s">
        <v>9</v>
      </c>
      <c r="E417" s="11"/>
      <c r="F417" s="10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>
      <c r="A418" s="11" t="s">
        <v>724</v>
      </c>
      <c r="B418" s="11" t="s">
        <v>725</v>
      </c>
      <c r="C418" s="12">
        <v>9.67973689E8</v>
      </c>
      <c r="D418" s="11" t="s">
        <v>6</v>
      </c>
      <c r="E418" s="11"/>
      <c r="F418" s="10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>
      <c r="A419" s="11" t="s">
        <v>726</v>
      </c>
      <c r="B419" s="11" t="s">
        <v>727</v>
      </c>
      <c r="C419" s="12">
        <v>9.69991163E8</v>
      </c>
      <c r="D419" s="11" t="s">
        <v>9</v>
      </c>
      <c r="E419" s="11"/>
      <c r="F419" s="10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>
      <c r="A420" s="11" t="s">
        <v>728</v>
      </c>
      <c r="B420" s="11" t="s">
        <v>729</v>
      </c>
      <c r="C420" s="12">
        <v>9.7046705E8</v>
      </c>
      <c r="D420" s="11" t="s">
        <v>6</v>
      </c>
      <c r="E420" s="11"/>
      <c r="F420" s="10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>
      <c r="A421" s="11" t="s">
        <v>730</v>
      </c>
      <c r="B421" s="11" t="s">
        <v>731</v>
      </c>
      <c r="C421" s="12">
        <v>9.72554976E8</v>
      </c>
      <c r="D421" s="11" t="s">
        <v>9</v>
      </c>
      <c r="E421" s="11"/>
      <c r="F421" s="10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>
      <c r="A422" s="11" t="s">
        <v>732</v>
      </c>
      <c r="B422" s="11" t="s">
        <v>733</v>
      </c>
      <c r="C422" s="12">
        <v>9.72820382E8</v>
      </c>
      <c r="D422" s="11" t="s">
        <v>9</v>
      </c>
      <c r="E422" s="11"/>
      <c r="F422" s="10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>
      <c r="A423" s="11" t="s">
        <v>734</v>
      </c>
      <c r="B423" s="11" t="s">
        <v>735</v>
      </c>
      <c r="C423" s="12">
        <v>9.7338009E8</v>
      </c>
      <c r="D423" s="11" t="s">
        <v>9</v>
      </c>
      <c r="E423" s="11"/>
      <c r="F423" s="10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>
      <c r="A424" s="11" t="s">
        <v>736</v>
      </c>
      <c r="B424" s="11" t="s">
        <v>737</v>
      </c>
      <c r="C424" s="12">
        <v>9.74479985E8</v>
      </c>
      <c r="D424" s="11" t="s">
        <v>9</v>
      </c>
      <c r="E424" s="11"/>
      <c r="F424" s="10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>
      <c r="A425" s="11" t="s">
        <v>738</v>
      </c>
      <c r="B425" s="11" t="s">
        <v>739</v>
      </c>
      <c r="C425" s="12">
        <v>9.77609575E8</v>
      </c>
      <c r="D425" s="11" t="s">
        <v>9</v>
      </c>
      <c r="E425" s="11"/>
      <c r="F425" s="10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>
      <c r="A426" s="11" t="s">
        <v>740</v>
      </c>
      <c r="B426" s="11" t="s">
        <v>741</v>
      </c>
      <c r="C426" s="12">
        <v>9.78624944E8</v>
      </c>
      <c r="D426" s="11" t="s">
        <v>6</v>
      </c>
      <c r="E426" s="11"/>
      <c r="F426" s="10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>
      <c r="A427" s="11" t="s">
        <v>742</v>
      </c>
      <c r="B427" s="11" t="s">
        <v>743</v>
      </c>
      <c r="C427" s="12">
        <v>9.80490266E8</v>
      </c>
      <c r="D427" s="11" t="s">
        <v>9</v>
      </c>
      <c r="E427" s="11"/>
      <c r="F427" s="10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>
      <c r="A428" s="11" t="s">
        <v>744</v>
      </c>
      <c r="B428" s="11" t="s">
        <v>745</v>
      </c>
      <c r="C428" s="12">
        <v>9.83590851E8</v>
      </c>
      <c r="D428" s="11" t="s">
        <v>9</v>
      </c>
      <c r="E428" s="11"/>
      <c r="F428" s="10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>
      <c r="A429" s="11" t="s">
        <v>746</v>
      </c>
      <c r="B429" s="11" t="s">
        <v>747</v>
      </c>
      <c r="C429" s="12">
        <v>9.85110913E8</v>
      </c>
      <c r="D429" s="11" t="s">
        <v>9</v>
      </c>
      <c r="E429" s="11"/>
      <c r="F429" s="10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>
      <c r="A430" s="11" t="s">
        <v>748</v>
      </c>
      <c r="B430" s="11" t="s">
        <v>749</v>
      </c>
      <c r="C430" s="12">
        <v>9.85936826E8</v>
      </c>
      <c r="D430" s="11" t="s">
        <v>9</v>
      </c>
      <c r="E430" s="11"/>
      <c r="F430" s="10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>
      <c r="A431" s="11" t="s">
        <v>750</v>
      </c>
      <c r="B431" s="11" t="s">
        <v>751</v>
      </c>
      <c r="C431" s="12">
        <v>9.88823957E8</v>
      </c>
      <c r="D431" s="11" t="s">
        <v>9</v>
      </c>
      <c r="E431" s="11"/>
      <c r="F431" s="10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>
      <c r="A432" s="11" t="s">
        <v>752</v>
      </c>
      <c r="B432" s="11" t="s">
        <v>753</v>
      </c>
      <c r="C432" s="12">
        <v>9.9516737E8</v>
      </c>
      <c r="D432" s="11" t="s">
        <v>6</v>
      </c>
      <c r="E432" s="11"/>
      <c r="F432" s="10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>
      <c r="A433" s="11" t="s">
        <v>754</v>
      </c>
      <c r="B433" s="11" t="s">
        <v>755</v>
      </c>
      <c r="C433" s="12">
        <f>+251910234171</f>
        <v>251910234171</v>
      </c>
      <c r="D433" s="11" t="s">
        <v>9</v>
      </c>
      <c r="E433" s="11"/>
      <c r="F433" s="10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>
      <c r="A434" s="11" t="s">
        <v>756</v>
      </c>
      <c r="B434" s="11" t="s">
        <v>757</v>
      </c>
      <c r="C434" s="12">
        <f>+251910425896</f>
        <v>251910425896</v>
      </c>
      <c r="D434" s="11" t="s">
        <v>6</v>
      </c>
      <c r="E434" s="11"/>
      <c r="F434" s="10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>
      <c r="A435" s="11" t="s">
        <v>758</v>
      </c>
      <c r="B435" s="11" t="s">
        <v>759</v>
      </c>
      <c r="C435" s="12">
        <v>2.51913202004E11</v>
      </c>
      <c r="D435" s="11" t="s">
        <v>6</v>
      </c>
      <c r="E435" s="11"/>
      <c r="F435" s="10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>
      <c r="A436" s="11" t="s">
        <v>760</v>
      </c>
      <c r="B436" s="11" t="s">
        <v>761</v>
      </c>
      <c r="C436" s="12">
        <f>+251914504386</f>
        <v>251914504386</v>
      </c>
      <c r="D436" s="11" t="s">
        <v>6</v>
      </c>
      <c r="E436" s="11"/>
      <c r="F436" s="10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>
      <c r="A437" s="11" t="s">
        <v>762</v>
      </c>
      <c r="B437" s="11" t="s">
        <v>763</v>
      </c>
      <c r="C437" s="12">
        <f>+251915991324</f>
        <v>251915991324</v>
      </c>
      <c r="D437" s="11" t="s">
        <v>6</v>
      </c>
      <c r="E437" s="11"/>
      <c r="F437" s="10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>
      <c r="A438" s="11" t="s">
        <v>764</v>
      </c>
      <c r="B438" s="11" t="s">
        <v>765</v>
      </c>
      <c r="C438" s="12">
        <f>+251916627720</f>
        <v>251916627720</v>
      </c>
      <c r="D438" s="11" t="s">
        <v>9</v>
      </c>
      <c r="E438" s="11"/>
      <c r="F438" s="10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>
      <c r="A439" s="11" t="s">
        <v>539</v>
      </c>
      <c r="B439" s="11" t="s">
        <v>540</v>
      </c>
      <c r="C439" s="12">
        <f>+251916870819</f>
        <v>251916870819</v>
      </c>
      <c r="D439" s="11" t="s">
        <v>9</v>
      </c>
      <c r="E439" s="11"/>
      <c r="F439" s="10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>
      <c r="A440" s="11" t="s">
        <v>766</v>
      </c>
      <c r="B440" s="11" t="s">
        <v>767</v>
      </c>
      <c r="C440" s="12">
        <f>+251928103217</f>
        <v>251928103217</v>
      </c>
      <c r="D440" s="11" t="s">
        <v>9</v>
      </c>
      <c r="E440" s="11"/>
      <c r="F440" s="10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>
      <c r="A441" s="11" t="s">
        <v>768</v>
      </c>
      <c r="B441" s="11" t="s">
        <v>769</v>
      </c>
      <c r="C441" s="12">
        <f>+251939317585</f>
        <v>251939317585</v>
      </c>
      <c r="D441" s="11" t="s">
        <v>6</v>
      </c>
      <c r="E441" s="11"/>
      <c r="F441" s="10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>
      <c r="A442" s="11" t="s">
        <v>770</v>
      </c>
      <c r="B442" s="11" t="s">
        <v>771</v>
      </c>
      <c r="C442" s="12">
        <f>+251945068314</f>
        <v>251945068314</v>
      </c>
      <c r="D442" s="11" t="s">
        <v>6</v>
      </c>
      <c r="E442" s="11"/>
      <c r="F442" s="10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>
      <c r="A443" s="11" t="s">
        <v>772</v>
      </c>
      <c r="B443" s="11" t="s">
        <v>773</v>
      </c>
      <c r="C443" s="12">
        <f>+251953887194</f>
        <v>251953887194</v>
      </c>
      <c r="D443" s="11" t="s">
        <v>6</v>
      </c>
      <c r="E443" s="11"/>
      <c r="F443" s="10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>
      <c r="A444" s="11" t="s">
        <v>774</v>
      </c>
      <c r="B444" s="11" t="s">
        <v>775</v>
      </c>
      <c r="C444" s="12">
        <f>+251962852102</f>
        <v>251962852102</v>
      </c>
      <c r="D444" s="11" t="s">
        <v>6</v>
      </c>
      <c r="E444" s="11"/>
      <c r="F444" s="10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>
      <c r="A445" s="11" t="s">
        <v>776</v>
      </c>
      <c r="B445" s="11" t="s">
        <v>777</v>
      </c>
      <c r="C445" s="12">
        <f>+251979510730</f>
        <v>251979510730</v>
      </c>
      <c r="D445" s="11" t="s">
        <v>9</v>
      </c>
      <c r="E445" s="11"/>
      <c r="F445" s="10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>
      <c r="A446" s="11" t="s">
        <v>778</v>
      </c>
      <c r="B446" s="11" t="s">
        <v>779</v>
      </c>
      <c r="C446" s="12">
        <f>+251988788388</f>
        <v>251988788388</v>
      </c>
      <c r="D446" s="11" t="s">
        <v>9</v>
      </c>
      <c r="E446" s="11"/>
      <c r="F446" s="10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>
      <c r="A447" s="11" t="s">
        <v>780</v>
      </c>
      <c r="B447" s="11" t="s">
        <v>781</v>
      </c>
      <c r="C447" s="12">
        <v>2.51988910173E11</v>
      </c>
      <c r="D447" s="11" t="s">
        <v>6</v>
      </c>
      <c r="E447" s="11"/>
      <c r="F447" s="10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>
      <c r="A448" s="11" t="s">
        <v>782</v>
      </c>
      <c r="B448" s="11" t="s">
        <v>783</v>
      </c>
      <c r="C448" s="12" t="s">
        <v>784</v>
      </c>
      <c r="D448" s="11" t="s">
        <v>6</v>
      </c>
      <c r="E448" s="11"/>
      <c r="F448" s="10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>
      <c r="A449" s="11" t="s">
        <v>785</v>
      </c>
      <c r="B449" s="11" t="s">
        <v>786</v>
      </c>
      <c r="C449" s="12" t="s">
        <v>787</v>
      </c>
      <c r="D449" s="11" t="s">
        <v>9</v>
      </c>
      <c r="E449" s="11"/>
      <c r="F449" s="10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>
      <c r="A450" s="11" t="s">
        <v>788</v>
      </c>
      <c r="B450" s="11" t="s">
        <v>789</v>
      </c>
      <c r="C450" s="12" t="s">
        <v>790</v>
      </c>
      <c r="D450" s="11" t="s">
        <v>6</v>
      </c>
      <c r="E450" s="11"/>
      <c r="F450" s="10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>
      <c r="A451" s="11" t="s">
        <v>791</v>
      </c>
      <c r="B451" s="11" t="s">
        <v>792</v>
      </c>
      <c r="C451" s="12" t="s">
        <v>793</v>
      </c>
      <c r="D451" s="11" t="s">
        <v>9</v>
      </c>
      <c r="E451" s="11"/>
      <c r="F451" s="10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>
      <c r="A452" s="11" t="s">
        <v>794</v>
      </c>
      <c r="B452" s="11" t="s">
        <v>795</v>
      </c>
      <c r="C452" s="12">
        <v>9.54941883E8</v>
      </c>
      <c r="D452" s="11" t="s">
        <v>9</v>
      </c>
      <c r="E452" s="11"/>
      <c r="F452" s="10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>
      <c r="A453" s="11" t="s">
        <v>796</v>
      </c>
      <c r="B453" s="11" t="s">
        <v>797</v>
      </c>
      <c r="C453" s="12" t="s">
        <v>798</v>
      </c>
      <c r="D453" s="11" t="s">
        <v>9</v>
      </c>
      <c r="E453" s="11"/>
      <c r="F453" s="10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>
      <c r="A454" s="11" t="s">
        <v>799</v>
      </c>
      <c r="B454" s="11" t="s">
        <v>800</v>
      </c>
      <c r="C454" s="12">
        <f>+251912899549</f>
        <v>251912899549</v>
      </c>
      <c r="D454" s="11" t="s">
        <v>9</v>
      </c>
      <c r="E454" s="11"/>
      <c r="F454" s="10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>
      <c r="A455" s="8"/>
      <c r="B455" s="8"/>
      <c r="C455" s="8"/>
      <c r="D455" s="8"/>
    </row>
    <row r="456">
      <c r="A456" s="8"/>
      <c r="B456" s="8"/>
      <c r="C456" s="8"/>
      <c r="D456" s="8"/>
    </row>
    <row r="457">
      <c r="A457" s="8"/>
      <c r="B457" s="8"/>
      <c r="C457" s="8"/>
      <c r="D457" s="8"/>
    </row>
    <row r="458">
      <c r="A458" s="8"/>
      <c r="B458" s="8"/>
      <c r="C458" s="8"/>
      <c r="D458" s="8"/>
    </row>
    <row r="459">
      <c r="A459" s="8"/>
      <c r="B459" s="8"/>
      <c r="C459" s="8"/>
      <c r="D459" s="8"/>
    </row>
    <row r="460">
      <c r="A460" s="8"/>
      <c r="B460" s="8"/>
      <c r="C460" s="8"/>
      <c r="D460" s="8"/>
    </row>
    <row r="461">
      <c r="A461" s="8"/>
      <c r="B461" s="8"/>
      <c r="C461" s="8"/>
      <c r="D461" s="8"/>
    </row>
    <row r="462">
      <c r="A462" s="8"/>
      <c r="B462" s="8"/>
      <c r="C462" s="8"/>
      <c r="D462" s="8"/>
    </row>
    <row r="463">
      <c r="A463" s="8"/>
      <c r="B463" s="8"/>
      <c r="C463" s="8"/>
      <c r="D463" s="8"/>
    </row>
    <row r="464">
      <c r="A464" s="8"/>
      <c r="B464" s="8"/>
      <c r="C464" s="8"/>
      <c r="D464" s="8"/>
    </row>
    <row r="465">
      <c r="A465" s="8"/>
      <c r="B465" s="8"/>
      <c r="C465" s="8"/>
      <c r="D465" s="8"/>
    </row>
    <row r="466">
      <c r="A466" s="8"/>
      <c r="B466" s="8"/>
      <c r="C466" s="8"/>
      <c r="D466" s="8"/>
    </row>
    <row r="467">
      <c r="A467" s="8"/>
      <c r="B467" s="8"/>
      <c r="C467" s="8"/>
      <c r="D467" s="8"/>
    </row>
    <row r="468">
      <c r="A468" s="8"/>
      <c r="B468" s="8"/>
      <c r="C468" s="8"/>
      <c r="D468" s="8"/>
    </row>
    <row r="469">
      <c r="A469" s="8"/>
      <c r="B469" s="8"/>
      <c r="C469" s="8"/>
      <c r="D469" s="8"/>
    </row>
    <row r="470">
      <c r="A470" s="8"/>
      <c r="B470" s="8"/>
      <c r="C470" s="8"/>
      <c r="D470" s="8"/>
    </row>
    <row r="471">
      <c r="A471" s="8"/>
      <c r="B471" s="8"/>
      <c r="C471" s="8"/>
      <c r="D471" s="8"/>
    </row>
    <row r="472">
      <c r="A472" s="8"/>
      <c r="B472" s="8"/>
      <c r="C472" s="8"/>
      <c r="D472" s="8"/>
    </row>
    <row r="473">
      <c r="A473" s="8"/>
      <c r="B473" s="8"/>
      <c r="C473" s="8"/>
      <c r="D473" s="8"/>
    </row>
    <row r="474">
      <c r="A474" s="8"/>
      <c r="B474" s="8"/>
      <c r="C474" s="8"/>
      <c r="D474" s="8"/>
    </row>
    <row r="475">
      <c r="A475" s="8"/>
      <c r="B475" s="8"/>
      <c r="C475" s="8"/>
      <c r="D475" s="8"/>
    </row>
    <row r="476">
      <c r="A476" s="8"/>
      <c r="B476" s="8"/>
      <c r="C476" s="8"/>
      <c r="D476" s="8"/>
    </row>
    <row r="477">
      <c r="A477" s="8"/>
      <c r="B477" s="8"/>
      <c r="C477" s="8"/>
      <c r="D477" s="8"/>
    </row>
    <row r="478">
      <c r="A478" s="8"/>
      <c r="B478" s="8"/>
      <c r="C478" s="8"/>
      <c r="D478" s="8"/>
    </row>
    <row r="479">
      <c r="A479" s="8"/>
      <c r="B479" s="8"/>
      <c r="C479" s="8"/>
      <c r="D479" s="8"/>
    </row>
    <row r="480">
      <c r="A480" s="8"/>
      <c r="B480" s="8"/>
      <c r="C480" s="8"/>
      <c r="D480" s="8"/>
    </row>
    <row r="481">
      <c r="A481" s="8"/>
      <c r="B481" s="8"/>
      <c r="C481" s="8"/>
      <c r="D481" s="8"/>
    </row>
    <row r="482">
      <c r="A482" s="8"/>
      <c r="B482" s="8"/>
      <c r="C482" s="8"/>
      <c r="D482" s="8"/>
    </row>
    <row r="483">
      <c r="A483" s="8"/>
      <c r="B483" s="8"/>
      <c r="C483" s="8"/>
      <c r="D483" s="8"/>
    </row>
    <row r="484">
      <c r="A484" s="8"/>
      <c r="B484" s="8"/>
      <c r="C484" s="8"/>
      <c r="D484" s="8"/>
    </row>
    <row r="485">
      <c r="A485" s="8"/>
      <c r="B485" s="8"/>
      <c r="C485" s="8"/>
      <c r="D485" s="8"/>
    </row>
    <row r="486">
      <c r="A486" s="8"/>
      <c r="B486" s="8"/>
      <c r="C486" s="8"/>
      <c r="D486" s="8"/>
    </row>
    <row r="487">
      <c r="A487" s="8"/>
      <c r="B487" s="8"/>
      <c r="C487" s="8"/>
      <c r="D487" s="8"/>
    </row>
    <row r="488">
      <c r="A488" s="8"/>
      <c r="B488" s="8"/>
      <c r="C488" s="8"/>
      <c r="D488" s="8"/>
    </row>
    <row r="489">
      <c r="A489" s="8"/>
      <c r="B489" s="8"/>
      <c r="C489" s="8"/>
      <c r="D489" s="8"/>
    </row>
    <row r="490">
      <c r="A490" s="8"/>
      <c r="B490" s="8"/>
      <c r="C490" s="8"/>
      <c r="D490" s="8"/>
    </row>
    <row r="491">
      <c r="A491" s="8"/>
      <c r="B491" s="8"/>
      <c r="C491" s="8"/>
      <c r="D491" s="8"/>
    </row>
    <row r="492">
      <c r="A492" s="8"/>
      <c r="B492" s="8"/>
      <c r="C492" s="8"/>
      <c r="D492" s="8"/>
    </row>
    <row r="493">
      <c r="A493" s="8"/>
      <c r="B493" s="8"/>
      <c r="C493" s="8"/>
      <c r="D493" s="8"/>
    </row>
    <row r="494">
      <c r="A494" s="8"/>
      <c r="B494" s="8"/>
      <c r="C494" s="8"/>
      <c r="D494" s="8"/>
    </row>
    <row r="495">
      <c r="A495" s="8"/>
      <c r="B495" s="8"/>
      <c r="C495" s="8"/>
      <c r="D495" s="8"/>
    </row>
    <row r="496">
      <c r="A496" s="8"/>
      <c r="B496" s="8"/>
      <c r="C496" s="8"/>
      <c r="D496" s="8"/>
    </row>
    <row r="497">
      <c r="A497" s="8"/>
      <c r="B497" s="8"/>
      <c r="C497" s="8"/>
      <c r="D497" s="8"/>
    </row>
    <row r="498">
      <c r="A498" s="8"/>
      <c r="B498" s="8"/>
      <c r="C498" s="8"/>
      <c r="D498" s="8"/>
    </row>
    <row r="499">
      <c r="A499" s="8"/>
      <c r="B499" s="8"/>
      <c r="C499" s="8"/>
      <c r="D499" s="8"/>
    </row>
    <row r="500">
      <c r="A500" s="8"/>
      <c r="B500" s="8"/>
      <c r="C500" s="8"/>
      <c r="D500" s="8"/>
    </row>
    <row r="501">
      <c r="A501" s="8"/>
      <c r="B501" s="8"/>
      <c r="C501" s="8"/>
      <c r="D501" s="8"/>
    </row>
    <row r="502">
      <c r="A502" s="8"/>
      <c r="B502" s="8"/>
      <c r="C502" s="8"/>
      <c r="D502" s="8"/>
    </row>
    <row r="503">
      <c r="A503" s="8"/>
      <c r="B503" s="8"/>
      <c r="C503" s="8"/>
      <c r="D503" s="8"/>
    </row>
    <row r="504">
      <c r="A504" s="8"/>
      <c r="B504" s="8"/>
      <c r="C504" s="8"/>
      <c r="D504" s="8"/>
    </row>
    <row r="505">
      <c r="A505" s="8"/>
      <c r="B505" s="8"/>
      <c r="C505" s="8"/>
      <c r="D505" s="8"/>
    </row>
    <row r="506">
      <c r="A506" s="8"/>
      <c r="B506" s="8"/>
      <c r="C506" s="8"/>
      <c r="D506" s="8"/>
    </row>
    <row r="507">
      <c r="A507" s="8"/>
      <c r="B507" s="8"/>
      <c r="C507" s="8"/>
      <c r="D507" s="8"/>
    </row>
    <row r="508">
      <c r="A508" s="8"/>
      <c r="B508" s="8"/>
      <c r="C508" s="8"/>
      <c r="D508" s="8"/>
    </row>
    <row r="509">
      <c r="A509" s="8"/>
      <c r="B509" s="8"/>
      <c r="C509" s="8"/>
      <c r="D509" s="8"/>
    </row>
    <row r="510">
      <c r="A510" s="8"/>
      <c r="B510" s="8"/>
      <c r="C510" s="8"/>
      <c r="D510" s="8"/>
    </row>
    <row r="511">
      <c r="A511" s="8"/>
      <c r="B511" s="8"/>
      <c r="C511" s="8"/>
      <c r="D511" s="8"/>
    </row>
    <row r="512">
      <c r="A512" s="8"/>
      <c r="B512" s="8"/>
      <c r="C512" s="8"/>
      <c r="D512" s="8"/>
    </row>
    <row r="513">
      <c r="A513" s="8"/>
      <c r="B513" s="8"/>
      <c r="C513" s="8"/>
      <c r="D513" s="8"/>
    </row>
    <row r="514">
      <c r="A514" s="8"/>
      <c r="B514" s="8"/>
      <c r="C514" s="8"/>
      <c r="D514" s="8"/>
    </row>
    <row r="515">
      <c r="A515" s="8"/>
      <c r="B515" s="8"/>
      <c r="C515" s="8"/>
      <c r="D515" s="8"/>
    </row>
    <row r="516">
      <c r="A516" s="8"/>
      <c r="B516" s="8"/>
      <c r="C516" s="8"/>
      <c r="D516" s="8"/>
    </row>
    <row r="517">
      <c r="A517" s="8"/>
      <c r="B517" s="8"/>
      <c r="C517" s="8"/>
      <c r="D517" s="8"/>
    </row>
    <row r="518">
      <c r="A518" s="8"/>
      <c r="B518" s="8"/>
      <c r="C518" s="8"/>
      <c r="D518" s="8"/>
    </row>
    <row r="519">
      <c r="A519" s="8"/>
      <c r="B519" s="8"/>
      <c r="C519" s="8"/>
      <c r="D519" s="8"/>
    </row>
    <row r="520">
      <c r="A520" s="8"/>
      <c r="B520" s="8"/>
      <c r="C520" s="8"/>
      <c r="D520" s="8"/>
    </row>
    <row r="521">
      <c r="A521" s="8"/>
      <c r="B521" s="8"/>
      <c r="C521" s="8"/>
      <c r="D521" s="8"/>
    </row>
    <row r="522">
      <c r="A522" s="8"/>
      <c r="B522" s="8"/>
      <c r="C522" s="8"/>
      <c r="D522" s="8"/>
    </row>
    <row r="523">
      <c r="A523" s="8"/>
      <c r="B523" s="8"/>
      <c r="C523" s="8"/>
      <c r="D523" s="8"/>
    </row>
    <row r="524">
      <c r="A524" s="8"/>
      <c r="B524" s="8"/>
      <c r="C524" s="8"/>
      <c r="D524" s="8"/>
    </row>
    <row r="525">
      <c r="A525" s="8"/>
      <c r="B525" s="8"/>
      <c r="C525" s="8"/>
      <c r="D525" s="8"/>
    </row>
    <row r="526">
      <c r="A526" s="8"/>
      <c r="B526" s="8"/>
      <c r="C526" s="8"/>
      <c r="D526" s="8"/>
    </row>
    <row r="527">
      <c r="A527" s="8"/>
      <c r="B527" s="8"/>
      <c r="C527" s="8"/>
      <c r="D527" s="8"/>
    </row>
    <row r="528">
      <c r="A528" s="8"/>
      <c r="B528" s="8"/>
      <c r="C528" s="8"/>
      <c r="D528" s="8"/>
    </row>
    <row r="529">
      <c r="A529" s="8"/>
      <c r="B529" s="8"/>
      <c r="C529" s="8"/>
      <c r="D529" s="8"/>
    </row>
    <row r="530">
      <c r="A530" s="8"/>
      <c r="B530" s="8"/>
      <c r="C530" s="8"/>
      <c r="D530" s="8"/>
    </row>
    <row r="531">
      <c r="A531" s="8"/>
      <c r="B531" s="8"/>
      <c r="C531" s="8"/>
      <c r="D531" s="8"/>
    </row>
    <row r="532">
      <c r="A532" s="8"/>
      <c r="B532" s="8"/>
      <c r="C532" s="8"/>
      <c r="D532" s="8"/>
    </row>
    <row r="533">
      <c r="A533" s="8"/>
      <c r="B533" s="8"/>
      <c r="C533" s="8"/>
      <c r="D533" s="8"/>
    </row>
    <row r="534">
      <c r="A534" s="8"/>
      <c r="B534" s="8"/>
      <c r="C534" s="8"/>
      <c r="D534" s="8"/>
    </row>
    <row r="535">
      <c r="A535" s="8"/>
      <c r="B535" s="8"/>
      <c r="C535" s="8"/>
      <c r="D535" s="8"/>
    </row>
    <row r="536">
      <c r="A536" s="8"/>
      <c r="B536" s="8"/>
      <c r="C536" s="8"/>
      <c r="D536" s="8"/>
    </row>
    <row r="537">
      <c r="A537" s="8"/>
      <c r="B537" s="8"/>
      <c r="C537" s="8"/>
      <c r="D537" s="8"/>
    </row>
    <row r="538">
      <c r="A538" s="8"/>
      <c r="B538" s="8"/>
      <c r="C538" s="8"/>
      <c r="D538" s="8"/>
    </row>
    <row r="539">
      <c r="A539" s="8"/>
      <c r="B539" s="8"/>
      <c r="C539" s="8"/>
      <c r="D539" s="8"/>
    </row>
    <row r="540">
      <c r="A540" s="8"/>
      <c r="B540" s="8"/>
      <c r="C540" s="8"/>
      <c r="D540" s="8"/>
    </row>
    <row r="541">
      <c r="A541" s="8"/>
      <c r="B541" s="8"/>
      <c r="C541" s="8"/>
      <c r="D541" s="8"/>
    </row>
    <row r="542">
      <c r="A542" s="8"/>
      <c r="B542" s="8"/>
      <c r="C542" s="8"/>
      <c r="D542" s="8"/>
    </row>
    <row r="543">
      <c r="A543" s="8"/>
      <c r="B543" s="8"/>
      <c r="C543" s="8"/>
      <c r="D543" s="8"/>
    </row>
    <row r="544">
      <c r="A544" s="8"/>
      <c r="B544" s="8"/>
      <c r="C544" s="8"/>
      <c r="D544" s="8"/>
    </row>
    <row r="545">
      <c r="A545" s="8"/>
      <c r="B545" s="8"/>
      <c r="C545" s="8"/>
      <c r="D545" s="8"/>
    </row>
    <row r="546">
      <c r="A546" s="8"/>
      <c r="B546" s="8"/>
      <c r="C546" s="8"/>
      <c r="D546" s="8"/>
    </row>
    <row r="547">
      <c r="A547" s="8"/>
      <c r="B547" s="8"/>
      <c r="C547" s="8"/>
      <c r="D547" s="8"/>
    </row>
    <row r="548">
      <c r="A548" s="8"/>
      <c r="B548" s="8"/>
      <c r="C548" s="8"/>
      <c r="D548" s="8"/>
    </row>
    <row r="549">
      <c r="A549" s="8"/>
      <c r="B549" s="8"/>
      <c r="C549" s="8"/>
      <c r="D549" s="8"/>
    </row>
    <row r="550">
      <c r="A550" s="8"/>
      <c r="B550" s="8"/>
      <c r="C550" s="8"/>
      <c r="D550" s="8"/>
    </row>
    <row r="551">
      <c r="A551" s="8"/>
      <c r="B551" s="8"/>
      <c r="C551" s="8"/>
      <c r="D551" s="8"/>
    </row>
    <row r="552">
      <c r="A552" s="8"/>
      <c r="B552" s="8"/>
      <c r="C552" s="8"/>
      <c r="D552" s="8"/>
    </row>
    <row r="553">
      <c r="A553" s="8"/>
      <c r="B553" s="8"/>
      <c r="C553" s="8"/>
      <c r="D553" s="8"/>
    </row>
    <row r="554">
      <c r="A554" s="8"/>
      <c r="B554" s="8"/>
      <c r="C554" s="8"/>
      <c r="D554" s="8"/>
    </row>
    <row r="555">
      <c r="A555" s="8"/>
      <c r="B555" s="8"/>
      <c r="C555" s="8"/>
      <c r="D555" s="8"/>
    </row>
    <row r="556">
      <c r="A556" s="8"/>
      <c r="B556" s="8"/>
      <c r="C556" s="8"/>
      <c r="D556" s="8"/>
    </row>
    <row r="557">
      <c r="A557" s="8"/>
      <c r="B557" s="8"/>
      <c r="C557" s="8"/>
      <c r="D557" s="8"/>
    </row>
    <row r="558">
      <c r="A558" s="8"/>
      <c r="B558" s="8"/>
      <c r="C558" s="8"/>
      <c r="D558" s="8"/>
    </row>
    <row r="559">
      <c r="A559" s="8"/>
      <c r="B559" s="8"/>
      <c r="C559" s="8"/>
      <c r="D559" s="8"/>
    </row>
    <row r="560">
      <c r="A560" s="8"/>
      <c r="B560" s="8"/>
      <c r="C560" s="8"/>
      <c r="D560" s="8"/>
    </row>
    <row r="561">
      <c r="A561" s="8"/>
      <c r="B561" s="8"/>
      <c r="C561" s="8"/>
      <c r="D561" s="8"/>
    </row>
    <row r="562">
      <c r="A562" s="8"/>
      <c r="B562" s="8"/>
      <c r="C562" s="8"/>
      <c r="D562" s="8"/>
    </row>
    <row r="563">
      <c r="A563" s="8"/>
      <c r="B563" s="8"/>
      <c r="C563" s="8"/>
      <c r="D563" s="8"/>
    </row>
    <row r="564">
      <c r="A564" s="8"/>
      <c r="B564" s="8"/>
      <c r="C564" s="8"/>
      <c r="D564" s="8"/>
    </row>
    <row r="565">
      <c r="A565" s="8"/>
      <c r="B565" s="8"/>
      <c r="C565" s="8"/>
      <c r="D565" s="8"/>
    </row>
    <row r="566">
      <c r="A566" s="8"/>
      <c r="B566" s="8"/>
      <c r="C566" s="8"/>
      <c r="D566" s="8"/>
    </row>
    <row r="567">
      <c r="A567" s="8"/>
      <c r="B567" s="8"/>
      <c r="C567" s="8"/>
      <c r="D567" s="8"/>
    </row>
    <row r="568">
      <c r="A568" s="8"/>
      <c r="B568" s="8"/>
      <c r="C568" s="8"/>
      <c r="D568" s="8"/>
    </row>
    <row r="569">
      <c r="A569" s="8"/>
      <c r="B569" s="8"/>
      <c r="C569" s="8"/>
      <c r="D569" s="8"/>
    </row>
    <row r="570">
      <c r="A570" s="8"/>
      <c r="B570" s="8"/>
      <c r="C570" s="8"/>
      <c r="D570" s="8"/>
    </row>
    <row r="571">
      <c r="A571" s="8"/>
      <c r="B571" s="8"/>
      <c r="C571" s="8"/>
      <c r="D571" s="8"/>
    </row>
    <row r="572">
      <c r="A572" s="8"/>
      <c r="B572" s="8"/>
      <c r="C572" s="8"/>
      <c r="D572" s="8"/>
    </row>
    <row r="573">
      <c r="A573" s="8"/>
      <c r="B573" s="8"/>
      <c r="C573" s="8"/>
      <c r="D573" s="8"/>
    </row>
    <row r="574">
      <c r="A574" s="8"/>
      <c r="B574" s="8"/>
      <c r="C574" s="8"/>
      <c r="D574" s="8"/>
    </row>
    <row r="575">
      <c r="A575" s="8"/>
      <c r="B575" s="8"/>
      <c r="C575" s="8"/>
      <c r="D575" s="8"/>
    </row>
    <row r="576">
      <c r="A576" s="8"/>
      <c r="B576" s="8"/>
      <c r="C576" s="8"/>
      <c r="D576" s="8"/>
    </row>
    <row r="577">
      <c r="A577" s="8"/>
      <c r="B577" s="8"/>
      <c r="C577" s="8"/>
      <c r="D577" s="8"/>
    </row>
    <row r="578">
      <c r="A578" s="8"/>
      <c r="B578" s="8"/>
      <c r="C578" s="8"/>
      <c r="D578" s="8"/>
    </row>
    <row r="579">
      <c r="A579" s="8"/>
      <c r="B579" s="8"/>
      <c r="C579" s="8"/>
      <c r="D579" s="8"/>
    </row>
    <row r="580">
      <c r="A580" s="8"/>
      <c r="B580" s="8"/>
      <c r="C580" s="8"/>
      <c r="D580" s="8"/>
    </row>
    <row r="581">
      <c r="A581" s="8"/>
      <c r="B581" s="8"/>
      <c r="C581" s="8"/>
      <c r="D581" s="8"/>
    </row>
    <row r="582">
      <c r="A582" s="8"/>
      <c r="B582" s="8"/>
      <c r="C582" s="8"/>
      <c r="D582" s="8"/>
    </row>
    <row r="583">
      <c r="A583" s="8"/>
      <c r="B583" s="8"/>
      <c r="C583" s="8"/>
      <c r="D583" s="8"/>
    </row>
    <row r="584">
      <c r="A584" s="8"/>
      <c r="B584" s="8"/>
      <c r="C584" s="8"/>
      <c r="D584" s="8"/>
    </row>
    <row r="585">
      <c r="A585" s="8"/>
      <c r="B585" s="8"/>
      <c r="C585" s="8"/>
      <c r="D585" s="8"/>
    </row>
    <row r="586">
      <c r="A586" s="8"/>
      <c r="B586" s="8"/>
      <c r="C586" s="8"/>
      <c r="D586" s="8"/>
    </row>
    <row r="587">
      <c r="A587" s="8"/>
      <c r="B587" s="8"/>
      <c r="C587" s="8"/>
      <c r="D587" s="8"/>
    </row>
    <row r="588">
      <c r="A588" s="8"/>
      <c r="B588" s="8"/>
      <c r="C588" s="8"/>
      <c r="D588" s="8"/>
    </row>
    <row r="589">
      <c r="A589" s="8"/>
      <c r="B589" s="8"/>
      <c r="C589" s="8"/>
      <c r="D589" s="8"/>
    </row>
    <row r="590">
      <c r="A590" s="8"/>
      <c r="B590" s="8"/>
      <c r="C590" s="8"/>
      <c r="D590" s="8"/>
    </row>
    <row r="591">
      <c r="A591" s="8"/>
      <c r="B591" s="8"/>
      <c r="C591" s="8"/>
      <c r="D591" s="8"/>
    </row>
    <row r="592">
      <c r="A592" s="8"/>
      <c r="B592" s="8"/>
      <c r="C592" s="8"/>
      <c r="D592" s="8"/>
    </row>
    <row r="593">
      <c r="A593" s="8"/>
      <c r="B593" s="8"/>
      <c r="C593" s="8"/>
      <c r="D593" s="8"/>
    </row>
    <row r="594">
      <c r="A594" s="8"/>
      <c r="B594" s="8"/>
      <c r="C594" s="8"/>
      <c r="D594" s="8"/>
    </row>
    <row r="595">
      <c r="A595" s="8"/>
      <c r="B595" s="8"/>
      <c r="C595" s="8"/>
      <c r="D595" s="8"/>
    </row>
    <row r="596">
      <c r="A596" s="8"/>
      <c r="B596" s="8"/>
      <c r="C596" s="8"/>
      <c r="D596" s="8"/>
    </row>
    <row r="597">
      <c r="A597" s="8"/>
      <c r="B597" s="8"/>
      <c r="C597" s="8"/>
      <c r="D597" s="8"/>
    </row>
    <row r="598">
      <c r="A598" s="8"/>
      <c r="B598" s="8"/>
      <c r="C598" s="8"/>
      <c r="D598" s="8"/>
    </row>
    <row r="599">
      <c r="A599" s="8"/>
      <c r="B599" s="8"/>
      <c r="C599" s="8"/>
      <c r="D599" s="8"/>
    </row>
    <row r="600">
      <c r="A600" s="8"/>
      <c r="B600" s="8"/>
      <c r="C600" s="8"/>
      <c r="D600" s="8"/>
    </row>
    <row r="601">
      <c r="A601" s="8"/>
      <c r="B601" s="8"/>
      <c r="C601" s="8"/>
      <c r="D601" s="8"/>
    </row>
    <row r="602">
      <c r="A602" s="8"/>
      <c r="B602" s="8"/>
      <c r="C602" s="8"/>
      <c r="D602" s="8"/>
    </row>
    <row r="603">
      <c r="A603" s="8"/>
      <c r="B603" s="8"/>
      <c r="C603" s="8"/>
      <c r="D603" s="8"/>
    </row>
    <row r="604">
      <c r="A604" s="8"/>
      <c r="B604" s="8"/>
      <c r="C604" s="8"/>
      <c r="D604" s="8"/>
    </row>
    <row r="605">
      <c r="A605" s="8"/>
      <c r="B605" s="8"/>
      <c r="C605" s="8"/>
      <c r="D605" s="8"/>
    </row>
    <row r="606">
      <c r="A606" s="8"/>
      <c r="B606" s="8"/>
      <c r="C606" s="8"/>
      <c r="D606" s="8"/>
    </row>
    <row r="607">
      <c r="A607" s="8"/>
      <c r="B607" s="8"/>
      <c r="C607" s="8"/>
      <c r="D607" s="8"/>
    </row>
    <row r="608">
      <c r="A608" s="8"/>
      <c r="B608" s="8"/>
      <c r="C608" s="8"/>
      <c r="D608" s="8"/>
    </row>
    <row r="609">
      <c r="A609" s="8"/>
      <c r="B609" s="8"/>
      <c r="C609" s="8"/>
      <c r="D609" s="8"/>
    </row>
    <row r="610">
      <c r="A610" s="8"/>
      <c r="B610" s="8"/>
      <c r="C610" s="8"/>
      <c r="D610" s="8"/>
    </row>
    <row r="611">
      <c r="A611" s="8"/>
      <c r="B611" s="8"/>
      <c r="C611" s="8"/>
      <c r="D611" s="8"/>
    </row>
    <row r="612">
      <c r="A612" s="8"/>
      <c r="B612" s="8"/>
      <c r="C612" s="8"/>
      <c r="D612" s="8"/>
    </row>
    <row r="613">
      <c r="A613" s="8"/>
      <c r="B613" s="8"/>
      <c r="C613" s="8"/>
      <c r="D613" s="8"/>
    </row>
    <row r="614">
      <c r="A614" s="8"/>
      <c r="B614" s="8"/>
      <c r="C614" s="8"/>
      <c r="D614" s="8"/>
    </row>
    <row r="615">
      <c r="A615" s="8"/>
      <c r="B615" s="8"/>
      <c r="C615" s="8"/>
      <c r="D615" s="8"/>
    </row>
    <row r="616">
      <c r="A616" s="8"/>
      <c r="B616" s="8"/>
      <c r="C616" s="8"/>
      <c r="D616" s="8"/>
    </row>
    <row r="617">
      <c r="A617" s="8"/>
      <c r="B617" s="8"/>
      <c r="C617" s="8"/>
      <c r="D617" s="8"/>
    </row>
    <row r="618">
      <c r="A618" s="8"/>
      <c r="B618" s="8"/>
      <c r="C618" s="8"/>
      <c r="D618" s="8"/>
    </row>
    <row r="619">
      <c r="A619" s="8"/>
      <c r="B619" s="8"/>
      <c r="C619" s="8"/>
      <c r="D619" s="8"/>
    </row>
    <row r="620">
      <c r="A620" s="8"/>
      <c r="B620" s="8"/>
      <c r="C620" s="8"/>
      <c r="D620" s="8"/>
    </row>
    <row r="621">
      <c r="A621" s="8"/>
      <c r="B621" s="8"/>
      <c r="C621" s="8"/>
      <c r="D621" s="8"/>
    </row>
    <row r="622">
      <c r="A622" s="8"/>
      <c r="B622" s="8"/>
      <c r="C622" s="8"/>
      <c r="D622" s="8"/>
    </row>
    <row r="623">
      <c r="A623" s="8"/>
      <c r="B623" s="8"/>
      <c r="C623" s="8"/>
      <c r="D623" s="8"/>
    </row>
    <row r="624">
      <c r="A624" s="8"/>
      <c r="B624" s="8"/>
      <c r="C624" s="8"/>
      <c r="D624" s="8"/>
    </row>
    <row r="625">
      <c r="A625" s="8"/>
      <c r="B625" s="8"/>
      <c r="C625" s="8"/>
      <c r="D625" s="8"/>
    </row>
    <row r="626">
      <c r="A626" s="8"/>
      <c r="B626" s="8"/>
      <c r="C626" s="8"/>
      <c r="D626" s="8"/>
    </row>
    <row r="627">
      <c r="A627" s="8"/>
      <c r="B627" s="8"/>
      <c r="C627" s="8"/>
      <c r="D627" s="8"/>
    </row>
    <row r="628">
      <c r="A628" s="8"/>
      <c r="B628" s="8"/>
      <c r="C628" s="8"/>
      <c r="D628" s="8"/>
    </row>
    <row r="629">
      <c r="A629" s="8"/>
      <c r="B629" s="8"/>
      <c r="C629" s="8"/>
      <c r="D629" s="8"/>
    </row>
    <row r="630">
      <c r="A630" s="8"/>
      <c r="B630" s="8"/>
      <c r="C630" s="8"/>
      <c r="D630" s="8"/>
    </row>
    <row r="631">
      <c r="A631" s="8"/>
      <c r="B631" s="8"/>
      <c r="C631" s="8"/>
      <c r="D631" s="8"/>
    </row>
    <row r="632">
      <c r="A632" s="8"/>
      <c r="B632" s="8"/>
      <c r="C632" s="8"/>
      <c r="D632" s="8"/>
    </row>
    <row r="633">
      <c r="A633" s="8"/>
      <c r="B633" s="8"/>
      <c r="C633" s="8"/>
      <c r="D633" s="8"/>
    </row>
    <row r="634">
      <c r="A634" s="8"/>
      <c r="B634" s="8"/>
      <c r="C634" s="8"/>
      <c r="D634" s="8"/>
    </row>
    <row r="635">
      <c r="A635" s="8"/>
      <c r="B635" s="8"/>
      <c r="C635" s="8"/>
      <c r="D635" s="8"/>
    </row>
    <row r="636">
      <c r="A636" s="8"/>
      <c r="B636" s="8"/>
      <c r="C636" s="8"/>
      <c r="D636" s="8"/>
    </row>
    <row r="637">
      <c r="A637" s="8"/>
      <c r="B637" s="8"/>
      <c r="C637" s="8"/>
      <c r="D637" s="8"/>
    </row>
    <row r="638">
      <c r="A638" s="8"/>
      <c r="B638" s="8"/>
      <c r="C638" s="8"/>
      <c r="D638" s="8"/>
    </row>
    <row r="639">
      <c r="A639" s="8"/>
      <c r="B639" s="8"/>
      <c r="C639" s="8"/>
      <c r="D639" s="8"/>
    </row>
    <row r="640">
      <c r="A640" s="8"/>
      <c r="B640" s="8"/>
      <c r="C640" s="8"/>
      <c r="D640" s="8"/>
    </row>
    <row r="641">
      <c r="A641" s="8"/>
      <c r="B641" s="8"/>
      <c r="C641" s="8"/>
      <c r="D641" s="8"/>
    </row>
    <row r="642">
      <c r="A642" s="8"/>
      <c r="B642" s="8"/>
      <c r="C642" s="8"/>
      <c r="D642" s="8"/>
    </row>
    <row r="643">
      <c r="A643" s="8"/>
      <c r="B643" s="8"/>
      <c r="C643" s="8"/>
      <c r="D643" s="8"/>
    </row>
    <row r="644">
      <c r="A644" s="8"/>
      <c r="B644" s="8"/>
      <c r="C644" s="8"/>
      <c r="D644" s="8"/>
    </row>
    <row r="645">
      <c r="A645" s="8"/>
      <c r="B645" s="8"/>
      <c r="C645" s="8"/>
      <c r="D645" s="8"/>
    </row>
    <row r="646">
      <c r="A646" s="8"/>
      <c r="B646" s="8"/>
      <c r="C646" s="8"/>
      <c r="D646" s="8"/>
    </row>
    <row r="647">
      <c r="A647" s="8"/>
      <c r="B647" s="8"/>
      <c r="C647" s="8"/>
      <c r="D647" s="8"/>
    </row>
    <row r="648">
      <c r="A648" s="8"/>
      <c r="B648" s="8"/>
      <c r="C648" s="8"/>
      <c r="D648" s="8"/>
    </row>
    <row r="649">
      <c r="A649" s="8"/>
      <c r="B649" s="8"/>
      <c r="C649" s="8"/>
      <c r="D649" s="8"/>
    </row>
    <row r="650">
      <c r="A650" s="8"/>
      <c r="B650" s="8"/>
      <c r="C650" s="8"/>
      <c r="D650" s="8"/>
    </row>
    <row r="651">
      <c r="A651" s="8"/>
      <c r="B651" s="8"/>
      <c r="C651" s="8"/>
      <c r="D651" s="8"/>
    </row>
    <row r="652">
      <c r="A652" s="8"/>
      <c r="B652" s="8"/>
      <c r="C652" s="8"/>
      <c r="D652" s="8"/>
    </row>
    <row r="653">
      <c r="A653" s="8"/>
      <c r="B653" s="8"/>
      <c r="C653" s="8"/>
      <c r="D653" s="8"/>
    </row>
    <row r="654">
      <c r="A654" s="8"/>
      <c r="B654" s="8"/>
      <c r="C654" s="8"/>
      <c r="D654" s="8"/>
    </row>
    <row r="655">
      <c r="A655" s="8"/>
      <c r="B655" s="8"/>
      <c r="C655" s="8"/>
      <c r="D655" s="8"/>
    </row>
    <row r="656">
      <c r="A656" s="8"/>
      <c r="B656" s="8"/>
      <c r="C656" s="8"/>
      <c r="D656" s="8"/>
    </row>
    <row r="657">
      <c r="A657" s="8"/>
      <c r="B657" s="8"/>
      <c r="C657" s="8"/>
      <c r="D657" s="8"/>
    </row>
    <row r="658">
      <c r="A658" s="8"/>
      <c r="B658" s="8"/>
      <c r="C658" s="8"/>
      <c r="D658" s="8"/>
    </row>
    <row r="659">
      <c r="A659" s="8"/>
      <c r="B659" s="8"/>
      <c r="C659" s="8"/>
      <c r="D659" s="8"/>
    </row>
    <row r="660">
      <c r="A660" s="8"/>
      <c r="B660" s="8"/>
      <c r="C660" s="8"/>
      <c r="D660" s="8"/>
    </row>
    <row r="661">
      <c r="A661" s="8"/>
      <c r="B661" s="8"/>
      <c r="C661" s="8"/>
      <c r="D661" s="8"/>
    </row>
    <row r="662">
      <c r="A662" s="8"/>
      <c r="B662" s="8"/>
      <c r="C662" s="8"/>
      <c r="D662" s="8"/>
    </row>
    <row r="663">
      <c r="A663" s="8"/>
      <c r="B663" s="8"/>
      <c r="C663" s="8"/>
      <c r="D663" s="8"/>
    </row>
    <row r="664">
      <c r="A664" s="8"/>
      <c r="B664" s="8"/>
      <c r="C664" s="8"/>
      <c r="D664" s="8"/>
    </row>
    <row r="665">
      <c r="A665" s="8"/>
      <c r="B665" s="8"/>
      <c r="C665" s="8"/>
      <c r="D665" s="8"/>
    </row>
    <row r="666">
      <c r="A666" s="8"/>
      <c r="B666" s="8"/>
      <c r="C666" s="8"/>
      <c r="D666" s="8"/>
    </row>
    <row r="667">
      <c r="A667" s="8"/>
      <c r="B667" s="8"/>
      <c r="C667" s="8"/>
      <c r="D667" s="8"/>
    </row>
    <row r="668">
      <c r="A668" s="8"/>
      <c r="B668" s="8"/>
      <c r="C668" s="8"/>
      <c r="D668" s="8"/>
    </row>
    <row r="669">
      <c r="A669" s="8"/>
      <c r="B669" s="8"/>
      <c r="C669" s="8"/>
      <c r="D669" s="8"/>
    </row>
    <row r="670">
      <c r="A670" s="8"/>
      <c r="B670" s="8"/>
      <c r="C670" s="8"/>
      <c r="D670" s="8"/>
    </row>
    <row r="671">
      <c r="A671" s="8"/>
      <c r="B671" s="8"/>
      <c r="C671" s="8"/>
      <c r="D671" s="8"/>
    </row>
    <row r="672">
      <c r="A672" s="8"/>
      <c r="B672" s="8"/>
      <c r="C672" s="8"/>
      <c r="D672" s="8"/>
    </row>
    <row r="673">
      <c r="A673" s="8"/>
      <c r="B673" s="8"/>
      <c r="C673" s="8"/>
      <c r="D673" s="8"/>
    </row>
    <row r="674">
      <c r="A674" s="8"/>
      <c r="B674" s="8"/>
      <c r="C674" s="8"/>
      <c r="D674" s="8"/>
    </row>
    <row r="675">
      <c r="A675" s="8"/>
      <c r="B675" s="8"/>
      <c r="C675" s="8"/>
      <c r="D675" s="8"/>
    </row>
    <row r="676">
      <c r="A676" s="8"/>
      <c r="B676" s="8"/>
      <c r="C676" s="8"/>
      <c r="D676" s="8"/>
    </row>
    <row r="677">
      <c r="A677" s="8"/>
      <c r="B677" s="8"/>
      <c r="C677" s="8"/>
      <c r="D677" s="8"/>
    </row>
    <row r="678">
      <c r="A678" s="8"/>
      <c r="B678" s="8"/>
      <c r="C678" s="8"/>
      <c r="D678" s="8"/>
    </row>
    <row r="679">
      <c r="A679" s="8"/>
      <c r="B679" s="8"/>
      <c r="C679" s="8"/>
      <c r="D679" s="8"/>
    </row>
    <row r="680">
      <c r="A680" s="8"/>
      <c r="B680" s="8"/>
      <c r="C680" s="8"/>
      <c r="D680" s="8"/>
    </row>
    <row r="681">
      <c r="A681" s="8"/>
      <c r="B681" s="8"/>
      <c r="C681" s="8"/>
      <c r="D681" s="8"/>
    </row>
    <row r="682">
      <c r="A682" s="8"/>
      <c r="B682" s="8"/>
      <c r="C682" s="8"/>
      <c r="D682" s="8"/>
    </row>
    <row r="683">
      <c r="A683" s="8"/>
      <c r="B683" s="8"/>
      <c r="C683" s="8"/>
      <c r="D683" s="8"/>
    </row>
    <row r="684">
      <c r="A684" s="8"/>
      <c r="B684" s="8"/>
      <c r="C684" s="8"/>
      <c r="D684" s="8"/>
    </row>
    <row r="685">
      <c r="A685" s="8"/>
      <c r="B685" s="8"/>
      <c r="C685" s="8"/>
      <c r="D685" s="8"/>
    </row>
    <row r="686">
      <c r="A686" s="8"/>
      <c r="B686" s="8"/>
      <c r="C686" s="8"/>
      <c r="D686" s="8"/>
    </row>
    <row r="687">
      <c r="A687" s="8"/>
      <c r="B687" s="8"/>
      <c r="C687" s="8"/>
      <c r="D687" s="8"/>
    </row>
    <row r="688">
      <c r="A688" s="8"/>
      <c r="B688" s="8"/>
      <c r="C688" s="8"/>
      <c r="D688" s="8"/>
    </row>
    <row r="689">
      <c r="A689" s="8"/>
      <c r="B689" s="8"/>
      <c r="C689" s="8"/>
      <c r="D689" s="8"/>
    </row>
    <row r="690">
      <c r="A690" s="8"/>
      <c r="B690" s="8"/>
      <c r="C690" s="8"/>
      <c r="D690" s="8"/>
    </row>
    <row r="691">
      <c r="A691" s="8"/>
      <c r="B691" s="8"/>
      <c r="C691" s="8"/>
      <c r="D691" s="8"/>
    </row>
    <row r="692">
      <c r="A692" s="8"/>
      <c r="B692" s="8"/>
      <c r="C692" s="8"/>
      <c r="D692" s="8"/>
    </row>
    <row r="693">
      <c r="A693" s="8"/>
      <c r="B693" s="8"/>
      <c r="C693" s="8"/>
      <c r="D693" s="8"/>
    </row>
    <row r="694">
      <c r="A694" s="8"/>
      <c r="B694" s="8"/>
      <c r="C694" s="8"/>
      <c r="D694" s="8"/>
    </row>
    <row r="695">
      <c r="A695" s="8"/>
      <c r="B695" s="8"/>
      <c r="C695" s="8"/>
      <c r="D695" s="8"/>
    </row>
    <row r="696">
      <c r="A696" s="8"/>
      <c r="B696" s="8"/>
      <c r="C696" s="8"/>
      <c r="D696" s="8"/>
    </row>
    <row r="697">
      <c r="A697" s="8"/>
      <c r="B697" s="8"/>
      <c r="C697" s="8"/>
      <c r="D697" s="8"/>
    </row>
    <row r="698">
      <c r="A698" s="8"/>
      <c r="B698" s="8"/>
      <c r="C698" s="8"/>
      <c r="D698" s="8"/>
    </row>
    <row r="699">
      <c r="A699" s="8"/>
      <c r="B699" s="8"/>
      <c r="C699" s="8"/>
      <c r="D699" s="8"/>
    </row>
    <row r="700">
      <c r="A700" s="8"/>
      <c r="B700" s="8"/>
      <c r="C700" s="8"/>
      <c r="D700" s="8"/>
    </row>
    <row r="701">
      <c r="A701" s="8"/>
      <c r="B701" s="8"/>
      <c r="C701" s="8"/>
      <c r="D701" s="8"/>
    </row>
    <row r="702">
      <c r="A702" s="8"/>
      <c r="B702" s="8"/>
      <c r="C702" s="8"/>
      <c r="D702" s="8"/>
    </row>
    <row r="703">
      <c r="A703" s="8"/>
      <c r="B703" s="8"/>
      <c r="C703" s="8"/>
      <c r="D703" s="8"/>
    </row>
    <row r="704">
      <c r="A704" s="8"/>
      <c r="B704" s="8"/>
      <c r="C704" s="8"/>
      <c r="D704" s="8"/>
    </row>
    <row r="705">
      <c r="A705" s="8"/>
      <c r="B705" s="8"/>
      <c r="C705" s="8"/>
      <c r="D705" s="8"/>
    </row>
    <row r="706">
      <c r="A706" s="8"/>
      <c r="B706" s="8"/>
      <c r="C706" s="8"/>
      <c r="D706" s="8"/>
    </row>
    <row r="707">
      <c r="A707" s="8"/>
      <c r="B707" s="8"/>
      <c r="C707" s="8"/>
      <c r="D707" s="8"/>
    </row>
    <row r="708">
      <c r="A708" s="8"/>
      <c r="B708" s="8"/>
      <c r="C708" s="8"/>
      <c r="D708" s="8"/>
    </row>
    <row r="709">
      <c r="A709" s="8"/>
      <c r="B709" s="8"/>
      <c r="C709" s="8"/>
      <c r="D709" s="8"/>
    </row>
    <row r="710">
      <c r="A710" s="8"/>
      <c r="B710" s="8"/>
      <c r="C710" s="8"/>
      <c r="D710" s="8"/>
    </row>
    <row r="711">
      <c r="A711" s="8"/>
      <c r="B711" s="8"/>
      <c r="C711" s="8"/>
      <c r="D711" s="8"/>
    </row>
    <row r="712">
      <c r="A712" s="8"/>
      <c r="B712" s="8"/>
      <c r="C712" s="8"/>
      <c r="D712" s="8"/>
    </row>
    <row r="713">
      <c r="A713" s="8"/>
      <c r="B713" s="8"/>
      <c r="C713" s="8"/>
      <c r="D713" s="8"/>
    </row>
    <row r="714">
      <c r="A714" s="8"/>
      <c r="B714" s="8"/>
      <c r="C714" s="8"/>
      <c r="D714" s="8"/>
    </row>
    <row r="715">
      <c r="A715" s="8"/>
      <c r="B715" s="8"/>
      <c r="C715" s="8"/>
      <c r="D715" s="8"/>
    </row>
    <row r="716">
      <c r="A716" s="8"/>
      <c r="B716" s="8"/>
      <c r="C716" s="8"/>
      <c r="D716" s="8"/>
    </row>
    <row r="717">
      <c r="A717" s="8"/>
      <c r="B717" s="8"/>
      <c r="C717" s="8"/>
      <c r="D717" s="8"/>
    </row>
    <row r="718">
      <c r="A718" s="8"/>
      <c r="B718" s="8"/>
      <c r="C718" s="8"/>
      <c r="D718" s="8"/>
    </row>
    <row r="719">
      <c r="A719" s="8"/>
      <c r="B719" s="8"/>
      <c r="C719" s="8"/>
      <c r="D719" s="8"/>
    </row>
    <row r="720">
      <c r="A720" s="8"/>
      <c r="B720" s="8"/>
      <c r="C720" s="8"/>
      <c r="D720" s="8"/>
    </row>
    <row r="721">
      <c r="A721" s="8"/>
      <c r="B721" s="8"/>
      <c r="C721" s="8"/>
      <c r="D721" s="8"/>
    </row>
    <row r="722">
      <c r="A722" s="8"/>
      <c r="B722" s="8"/>
      <c r="C722" s="8"/>
      <c r="D722" s="8"/>
    </row>
    <row r="723">
      <c r="A723" s="8"/>
      <c r="B723" s="8"/>
      <c r="C723" s="8"/>
      <c r="D723" s="8"/>
    </row>
    <row r="724">
      <c r="A724" s="8"/>
      <c r="B724" s="8"/>
      <c r="C724" s="8"/>
      <c r="D724" s="8"/>
    </row>
    <row r="725">
      <c r="A725" s="8"/>
      <c r="B725" s="8"/>
      <c r="C725" s="8"/>
      <c r="D725" s="8"/>
    </row>
    <row r="726">
      <c r="A726" s="8"/>
      <c r="B726" s="8"/>
      <c r="C726" s="8"/>
      <c r="D726" s="8"/>
    </row>
    <row r="727">
      <c r="A727" s="8"/>
      <c r="B727" s="8"/>
      <c r="C727" s="8"/>
      <c r="D727" s="8"/>
    </row>
    <row r="728">
      <c r="A728" s="8"/>
      <c r="B728" s="8"/>
      <c r="C728" s="8"/>
      <c r="D728" s="8"/>
    </row>
    <row r="729">
      <c r="A729" s="8"/>
      <c r="B729" s="8"/>
      <c r="C729" s="8"/>
      <c r="D729" s="8"/>
    </row>
    <row r="730">
      <c r="A730" s="8"/>
      <c r="B730" s="8"/>
      <c r="C730" s="8"/>
      <c r="D730" s="8"/>
    </row>
    <row r="731">
      <c r="A731" s="8"/>
      <c r="B731" s="8"/>
      <c r="C731" s="8"/>
      <c r="D731" s="8"/>
    </row>
    <row r="732">
      <c r="A732" s="8"/>
      <c r="B732" s="8"/>
      <c r="C732" s="8"/>
      <c r="D732" s="8"/>
    </row>
    <row r="733">
      <c r="A733" s="8"/>
      <c r="B733" s="8"/>
      <c r="C733" s="8"/>
      <c r="D733" s="8"/>
    </row>
    <row r="734">
      <c r="A734" s="8"/>
      <c r="B734" s="8"/>
      <c r="C734" s="8"/>
      <c r="D734" s="8"/>
    </row>
    <row r="735">
      <c r="A735" s="8"/>
      <c r="B735" s="8"/>
      <c r="C735" s="8"/>
      <c r="D735" s="8"/>
    </row>
    <row r="736">
      <c r="A736" s="8"/>
      <c r="B736" s="8"/>
      <c r="C736" s="8"/>
      <c r="D736" s="8"/>
    </row>
    <row r="737">
      <c r="A737" s="8"/>
      <c r="B737" s="8"/>
      <c r="C737" s="8"/>
      <c r="D737" s="8"/>
    </row>
    <row r="738">
      <c r="A738" s="8"/>
      <c r="B738" s="8"/>
      <c r="C738" s="8"/>
      <c r="D738" s="8"/>
    </row>
    <row r="739">
      <c r="A739" s="8"/>
      <c r="B739" s="8"/>
      <c r="C739" s="8"/>
      <c r="D739" s="8"/>
    </row>
    <row r="740">
      <c r="A740" s="8"/>
      <c r="B740" s="8"/>
      <c r="C740" s="8"/>
      <c r="D740" s="8"/>
    </row>
    <row r="741">
      <c r="A741" s="8"/>
      <c r="B741" s="8"/>
      <c r="C741" s="8"/>
      <c r="D741" s="8"/>
    </row>
    <row r="742">
      <c r="A742" s="8"/>
      <c r="B742" s="8"/>
      <c r="C742" s="8"/>
      <c r="D742" s="8"/>
    </row>
    <row r="743">
      <c r="A743" s="8"/>
      <c r="B743" s="8"/>
      <c r="C743" s="8"/>
      <c r="D743" s="8"/>
    </row>
    <row r="744">
      <c r="A744" s="8"/>
      <c r="B744" s="8"/>
      <c r="C744" s="8"/>
      <c r="D744" s="8"/>
    </row>
    <row r="745">
      <c r="A745" s="8"/>
      <c r="B745" s="8"/>
      <c r="C745" s="8"/>
      <c r="D745" s="8"/>
    </row>
    <row r="746">
      <c r="A746" s="8"/>
      <c r="B746" s="8"/>
      <c r="C746" s="8"/>
      <c r="D746" s="8"/>
    </row>
    <row r="747">
      <c r="A747" s="8"/>
      <c r="B747" s="8"/>
      <c r="C747" s="8"/>
      <c r="D747" s="8"/>
    </row>
    <row r="748">
      <c r="A748" s="8"/>
      <c r="B748" s="8"/>
      <c r="C748" s="8"/>
      <c r="D748" s="8"/>
    </row>
    <row r="749">
      <c r="A749" s="8"/>
      <c r="B749" s="8"/>
      <c r="C749" s="8"/>
      <c r="D749" s="8"/>
    </row>
    <row r="750">
      <c r="A750" s="8"/>
      <c r="B750" s="8"/>
      <c r="C750" s="8"/>
      <c r="D750" s="8"/>
    </row>
    <row r="751">
      <c r="A751" s="8"/>
      <c r="B751" s="8"/>
      <c r="C751" s="8"/>
      <c r="D751" s="8"/>
    </row>
    <row r="752">
      <c r="A752" s="8"/>
      <c r="B752" s="8"/>
      <c r="C752" s="8"/>
      <c r="D752" s="8"/>
    </row>
    <row r="753">
      <c r="A753" s="8"/>
      <c r="B753" s="8"/>
      <c r="C753" s="8"/>
      <c r="D753" s="8"/>
    </row>
    <row r="754">
      <c r="A754" s="8"/>
      <c r="B754" s="8"/>
      <c r="C754" s="8"/>
      <c r="D754" s="8"/>
    </row>
    <row r="755">
      <c r="A755" s="8"/>
      <c r="B755" s="8"/>
      <c r="C755" s="8"/>
      <c r="D755" s="8"/>
    </row>
    <row r="756">
      <c r="A756" s="8"/>
      <c r="B756" s="8"/>
      <c r="C756" s="8"/>
      <c r="D756" s="8"/>
    </row>
    <row r="757">
      <c r="A757" s="8"/>
      <c r="B757" s="8"/>
      <c r="C757" s="8"/>
      <c r="D757" s="8"/>
    </row>
    <row r="758">
      <c r="A758" s="8"/>
      <c r="B758" s="8"/>
      <c r="C758" s="8"/>
      <c r="D758" s="8"/>
    </row>
    <row r="759">
      <c r="A759" s="8"/>
      <c r="B759" s="8"/>
      <c r="C759" s="8"/>
      <c r="D759" s="8"/>
    </row>
    <row r="760">
      <c r="A760" s="8"/>
      <c r="B760" s="8"/>
      <c r="C760" s="8"/>
      <c r="D760" s="8"/>
    </row>
    <row r="761">
      <c r="A761" s="8"/>
      <c r="B761" s="8"/>
      <c r="C761" s="8"/>
      <c r="D761" s="8"/>
    </row>
    <row r="762">
      <c r="A762" s="8"/>
      <c r="B762" s="8"/>
      <c r="C762" s="8"/>
      <c r="D762" s="8"/>
    </row>
    <row r="763">
      <c r="A763" s="8"/>
      <c r="B763" s="8"/>
      <c r="C763" s="8"/>
      <c r="D763" s="8"/>
    </row>
    <row r="764">
      <c r="A764" s="8"/>
      <c r="B764" s="8"/>
      <c r="C764" s="8"/>
      <c r="D764" s="8"/>
    </row>
    <row r="765">
      <c r="A765" s="8"/>
      <c r="B765" s="8"/>
      <c r="C765" s="8"/>
      <c r="D765" s="8"/>
    </row>
    <row r="766">
      <c r="A766" s="8"/>
      <c r="B766" s="8"/>
      <c r="C766" s="8"/>
      <c r="D766" s="8"/>
    </row>
    <row r="767">
      <c r="A767" s="8"/>
      <c r="B767" s="8"/>
      <c r="C767" s="8"/>
      <c r="D767" s="8"/>
    </row>
    <row r="768">
      <c r="A768" s="8"/>
      <c r="B768" s="8"/>
      <c r="C768" s="8"/>
      <c r="D768" s="8"/>
    </row>
    <row r="769">
      <c r="A769" s="8"/>
      <c r="B769" s="8"/>
      <c r="C769" s="8"/>
      <c r="D769" s="8"/>
    </row>
    <row r="770">
      <c r="A770" s="8"/>
      <c r="B770" s="8"/>
      <c r="C770" s="8"/>
      <c r="D770" s="8"/>
    </row>
    <row r="771">
      <c r="A771" s="8"/>
      <c r="B771" s="8"/>
      <c r="C771" s="8"/>
      <c r="D771" s="8"/>
    </row>
    <row r="772">
      <c r="A772" s="8"/>
      <c r="B772" s="8"/>
      <c r="C772" s="8"/>
      <c r="D772" s="8"/>
    </row>
    <row r="773">
      <c r="A773" s="8"/>
      <c r="B773" s="8"/>
      <c r="C773" s="8"/>
      <c r="D773" s="8"/>
    </row>
    <row r="774">
      <c r="A774" s="8"/>
      <c r="B774" s="8"/>
      <c r="C774" s="8"/>
      <c r="D774" s="8"/>
    </row>
    <row r="775">
      <c r="A775" s="8"/>
      <c r="B775" s="8"/>
      <c r="C775" s="8"/>
      <c r="D775" s="8"/>
    </row>
    <row r="776">
      <c r="A776" s="8"/>
      <c r="B776" s="8"/>
      <c r="C776" s="8"/>
      <c r="D776" s="8"/>
    </row>
    <row r="777">
      <c r="A777" s="8"/>
      <c r="B777" s="8"/>
      <c r="C777" s="8"/>
      <c r="D777" s="8"/>
    </row>
    <row r="778">
      <c r="A778" s="8"/>
      <c r="B778" s="8"/>
      <c r="C778" s="8"/>
      <c r="D778" s="8"/>
    </row>
    <row r="779">
      <c r="A779" s="8"/>
      <c r="B779" s="8"/>
      <c r="C779" s="8"/>
      <c r="D779" s="8"/>
    </row>
    <row r="780">
      <c r="A780" s="8"/>
      <c r="B780" s="8"/>
      <c r="C780" s="8"/>
      <c r="D780" s="8"/>
    </row>
    <row r="781">
      <c r="A781" s="8"/>
      <c r="B781" s="8"/>
      <c r="C781" s="8"/>
      <c r="D781" s="8"/>
    </row>
    <row r="782">
      <c r="A782" s="8"/>
      <c r="B782" s="8"/>
      <c r="C782" s="8"/>
      <c r="D782" s="8"/>
    </row>
    <row r="783">
      <c r="A783" s="8"/>
      <c r="B783" s="8"/>
      <c r="C783" s="8"/>
      <c r="D783" s="8"/>
    </row>
    <row r="784">
      <c r="A784" s="8"/>
      <c r="B784" s="8"/>
      <c r="C784" s="8"/>
      <c r="D784" s="8"/>
    </row>
    <row r="785">
      <c r="A785" s="8"/>
      <c r="B785" s="8"/>
      <c r="C785" s="8"/>
      <c r="D785" s="8"/>
    </row>
    <row r="786">
      <c r="A786" s="8"/>
      <c r="B786" s="8"/>
      <c r="C786" s="8"/>
      <c r="D786" s="8"/>
    </row>
    <row r="787">
      <c r="A787" s="8"/>
      <c r="B787" s="8"/>
      <c r="C787" s="8"/>
      <c r="D787" s="8"/>
    </row>
    <row r="788">
      <c r="A788" s="8"/>
      <c r="B788" s="8"/>
      <c r="C788" s="8"/>
      <c r="D788" s="8"/>
    </row>
    <row r="789">
      <c r="A789" s="8"/>
      <c r="B789" s="8"/>
      <c r="C789" s="8"/>
      <c r="D789" s="8"/>
    </row>
    <row r="790">
      <c r="A790" s="8"/>
      <c r="B790" s="8"/>
      <c r="C790" s="8"/>
      <c r="D790" s="8"/>
    </row>
    <row r="791">
      <c r="A791" s="8"/>
      <c r="B791" s="8"/>
      <c r="C791" s="8"/>
      <c r="D791" s="8"/>
    </row>
    <row r="792">
      <c r="A792" s="8"/>
      <c r="B792" s="8"/>
      <c r="C792" s="8"/>
      <c r="D792" s="8"/>
    </row>
    <row r="793">
      <c r="A793" s="8"/>
      <c r="B793" s="8"/>
      <c r="C793" s="8"/>
      <c r="D793" s="8"/>
    </row>
    <row r="794">
      <c r="A794" s="8"/>
      <c r="B794" s="8"/>
      <c r="C794" s="8"/>
      <c r="D794" s="8"/>
    </row>
    <row r="795">
      <c r="A795" s="8"/>
      <c r="B795" s="8"/>
      <c r="C795" s="8"/>
      <c r="D795" s="8"/>
    </row>
    <row r="796">
      <c r="A796" s="8"/>
      <c r="B796" s="8"/>
      <c r="C796" s="8"/>
      <c r="D796" s="8"/>
    </row>
    <row r="797">
      <c r="A797" s="8"/>
      <c r="B797" s="8"/>
      <c r="C797" s="8"/>
      <c r="D797" s="8"/>
    </row>
    <row r="798">
      <c r="A798" s="8"/>
      <c r="B798" s="8"/>
      <c r="C798" s="8"/>
      <c r="D798" s="8"/>
    </row>
    <row r="799">
      <c r="A799" s="8"/>
      <c r="B799" s="8"/>
      <c r="C799" s="8"/>
      <c r="D799" s="8"/>
    </row>
    <row r="800">
      <c r="A800" s="8"/>
      <c r="B800" s="8"/>
      <c r="C800" s="8"/>
      <c r="D800" s="8"/>
    </row>
    <row r="801">
      <c r="A801" s="8"/>
      <c r="B801" s="8"/>
      <c r="C801" s="8"/>
      <c r="D801" s="8"/>
    </row>
    <row r="802">
      <c r="A802" s="8"/>
      <c r="B802" s="8"/>
      <c r="C802" s="8"/>
      <c r="D802" s="8"/>
    </row>
    <row r="803">
      <c r="A803" s="8"/>
      <c r="B803" s="8"/>
      <c r="C803" s="8"/>
      <c r="D803" s="8"/>
    </row>
    <row r="804">
      <c r="A804" s="8"/>
      <c r="B804" s="8"/>
      <c r="C804" s="8"/>
      <c r="D804" s="8"/>
    </row>
    <row r="805">
      <c r="A805" s="8"/>
      <c r="B805" s="8"/>
      <c r="C805" s="8"/>
      <c r="D805" s="8"/>
    </row>
    <row r="806">
      <c r="A806" s="8"/>
      <c r="B806" s="8"/>
      <c r="C806" s="8"/>
      <c r="D806" s="8"/>
    </row>
    <row r="807">
      <c r="A807" s="8"/>
      <c r="B807" s="8"/>
      <c r="C807" s="8"/>
      <c r="D807" s="8"/>
    </row>
    <row r="808">
      <c r="A808" s="8"/>
      <c r="B808" s="8"/>
      <c r="C808" s="8"/>
      <c r="D808" s="8"/>
    </row>
    <row r="809">
      <c r="A809" s="8"/>
      <c r="B809" s="8"/>
      <c r="C809" s="8"/>
      <c r="D809" s="8"/>
    </row>
    <row r="810">
      <c r="A810" s="8"/>
      <c r="B810" s="8"/>
      <c r="C810" s="8"/>
      <c r="D810" s="8"/>
    </row>
    <row r="811">
      <c r="A811" s="8"/>
      <c r="B811" s="8"/>
      <c r="C811" s="8"/>
      <c r="D811" s="8"/>
    </row>
    <row r="812">
      <c r="A812" s="8"/>
      <c r="B812" s="8"/>
      <c r="C812" s="8"/>
      <c r="D812" s="8"/>
    </row>
    <row r="813">
      <c r="A813" s="8"/>
      <c r="B813" s="8"/>
      <c r="C813" s="8"/>
      <c r="D813" s="8"/>
    </row>
    <row r="814">
      <c r="A814" s="8"/>
      <c r="B814" s="8"/>
      <c r="C814" s="8"/>
      <c r="D814" s="8"/>
    </row>
    <row r="815">
      <c r="A815" s="8"/>
      <c r="B815" s="8"/>
      <c r="C815" s="8"/>
      <c r="D815" s="8"/>
    </row>
    <row r="816">
      <c r="A816" s="8"/>
      <c r="B816" s="8"/>
      <c r="C816" s="8"/>
      <c r="D816" s="8"/>
    </row>
    <row r="817">
      <c r="A817" s="8"/>
      <c r="B817" s="8"/>
      <c r="C817" s="8"/>
      <c r="D817" s="8"/>
    </row>
    <row r="818">
      <c r="A818" s="8"/>
      <c r="B818" s="8"/>
      <c r="C818" s="8"/>
      <c r="D818" s="8"/>
    </row>
    <row r="819">
      <c r="A819" s="8"/>
      <c r="B819" s="8"/>
      <c r="C819" s="8"/>
      <c r="D819" s="8"/>
    </row>
    <row r="820">
      <c r="A820" s="8"/>
      <c r="B820" s="8"/>
      <c r="C820" s="8"/>
      <c r="D820" s="8"/>
    </row>
    <row r="821">
      <c r="A821" s="8"/>
      <c r="B821" s="8"/>
      <c r="C821" s="8"/>
      <c r="D821" s="8"/>
    </row>
    <row r="822">
      <c r="A822" s="8"/>
      <c r="B822" s="8"/>
      <c r="C822" s="8"/>
      <c r="D822" s="8"/>
    </row>
    <row r="823">
      <c r="A823" s="8"/>
      <c r="B823" s="8"/>
      <c r="C823" s="8"/>
      <c r="D823" s="8"/>
    </row>
    <row r="824">
      <c r="A824" s="8"/>
      <c r="B824" s="8"/>
      <c r="C824" s="8"/>
      <c r="D824" s="8"/>
    </row>
    <row r="825">
      <c r="A825" s="8"/>
      <c r="B825" s="8"/>
      <c r="C825" s="8"/>
      <c r="D825" s="8"/>
    </row>
    <row r="826">
      <c r="A826" s="8"/>
      <c r="B826" s="8"/>
      <c r="C826" s="8"/>
      <c r="D826" s="8"/>
    </row>
    <row r="827">
      <c r="A827" s="8"/>
      <c r="B827" s="8"/>
      <c r="C827" s="8"/>
      <c r="D827" s="8"/>
    </row>
    <row r="828">
      <c r="A828" s="8"/>
      <c r="B828" s="8"/>
      <c r="C828" s="8"/>
      <c r="D828" s="8"/>
    </row>
    <row r="829">
      <c r="A829" s="8"/>
      <c r="B829" s="8"/>
      <c r="C829" s="8"/>
      <c r="D829" s="8"/>
    </row>
    <row r="830">
      <c r="A830" s="8"/>
      <c r="B830" s="8"/>
      <c r="C830" s="8"/>
      <c r="D830" s="8"/>
    </row>
    <row r="831">
      <c r="A831" s="8"/>
      <c r="B831" s="8"/>
      <c r="C831" s="8"/>
      <c r="D831" s="8"/>
    </row>
    <row r="832">
      <c r="A832" s="8"/>
      <c r="B832" s="8"/>
      <c r="C832" s="8"/>
      <c r="D832" s="8"/>
    </row>
    <row r="833">
      <c r="A833" s="8"/>
      <c r="B833" s="8"/>
      <c r="C833" s="8"/>
      <c r="D833" s="8"/>
    </row>
    <row r="834">
      <c r="A834" s="8"/>
      <c r="B834" s="8"/>
      <c r="C834" s="8"/>
      <c r="D834" s="8"/>
    </row>
    <row r="835">
      <c r="A835" s="8"/>
      <c r="B835" s="8"/>
      <c r="C835" s="8"/>
      <c r="D835" s="8"/>
    </row>
    <row r="836">
      <c r="A836" s="8"/>
      <c r="B836" s="8"/>
      <c r="C836" s="8"/>
      <c r="D836" s="8"/>
    </row>
    <row r="837">
      <c r="A837" s="8"/>
      <c r="B837" s="8"/>
      <c r="C837" s="8"/>
      <c r="D837" s="8"/>
    </row>
    <row r="838">
      <c r="A838" s="8"/>
      <c r="B838" s="8"/>
      <c r="C838" s="8"/>
      <c r="D838" s="8"/>
    </row>
    <row r="839">
      <c r="A839" s="8"/>
      <c r="B839" s="8"/>
      <c r="C839" s="8"/>
      <c r="D839" s="8"/>
    </row>
    <row r="840">
      <c r="A840" s="8"/>
      <c r="B840" s="8"/>
      <c r="C840" s="8"/>
      <c r="D840" s="8"/>
    </row>
    <row r="841">
      <c r="A841" s="8"/>
      <c r="B841" s="8"/>
      <c r="C841" s="8"/>
      <c r="D841" s="8"/>
    </row>
    <row r="842">
      <c r="A842" s="8"/>
      <c r="B842" s="8"/>
      <c r="C842" s="8"/>
      <c r="D842" s="8"/>
    </row>
    <row r="843">
      <c r="A843" s="8"/>
      <c r="B843" s="8"/>
      <c r="C843" s="8"/>
      <c r="D843" s="8"/>
    </row>
    <row r="844">
      <c r="A844" s="8"/>
      <c r="B844" s="8"/>
      <c r="C844" s="8"/>
      <c r="D844" s="8"/>
    </row>
    <row r="845">
      <c r="A845" s="8"/>
      <c r="B845" s="8"/>
      <c r="C845" s="8"/>
      <c r="D845" s="8"/>
    </row>
    <row r="846">
      <c r="A846" s="8"/>
      <c r="B846" s="8"/>
      <c r="C846" s="8"/>
      <c r="D846" s="8"/>
    </row>
    <row r="847">
      <c r="A847" s="8"/>
      <c r="B847" s="8"/>
      <c r="C847" s="8"/>
      <c r="D847" s="8"/>
    </row>
    <row r="848">
      <c r="A848" s="8"/>
      <c r="B848" s="8"/>
      <c r="C848" s="8"/>
      <c r="D848" s="8"/>
    </row>
    <row r="849">
      <c r="A849" s="8"/>
      <c r="B849" s="8"/>
      <c r="C849" s="8"/>
      <c r="D849" s="8"/>
    </row>
    <row r="850">
      <c r="A850" s="8"/>
      <c r="B850" s="8"/>
      <c r="C850" s="8"/>
      <c r="D850" s="8"/>
    </row>
    <row r="851">
      <c r="A851" s="8"/>
      <c r="B851" s="8"/>
      <c r="C851" s="8"/>
      <c r="D851" s="8"/>
    </row>
    <row r="852">
      <c r="A852" s="8"/>
      <c r="B852" s="8"/>
      <c r="C852" s="8"/>
      <c r="D852" s="8"/>
    </row>
    <row r="853">
      <c r="A853" s="8"/>
      <c r="B853" s="8"/>
      <c r="C853" s="8"/>
      <c r="D853" s="8"/>
    </row>
    <row r="854">
      <c r="A854" s="8"/>
      <c r="B854" s="8"/>
      <c r="C854" s="8"/>
      <c r="D854" s="8"/>
    </row>
    <row r="855">
      <c r="A855" s="8"/>
      <c r="B855" s="8"/>
      <c r="C855" s="8"/>
      <c r="D855" s="8"/>
    </row>
    <row r="856">
      <c r="A856" s="8"/>
      <c r="B856" s="8"/>
      <c r="C856" s="8"/>
      <c r="D856" s="8"/>
    </row>
    <row r="857">
      <c r="A857" s="8"/>
      <c r="B857" s="8"/>
      <c r="C857" s="8"/>
      <c r="D857" s="8"/>
    </row>
    <row r="858">
      <c r="A858" s="8"/>
      <c r="B858" s="8"/>
      <c r="C858" s="8"/>
      <c r="D858" s="8"/>
    </row>
    <row r="859">
      <c r="A859" s="8"/>
      <c r="B859" s="8"/>
      <c r="C859" s="8"/>
      <c r="D859" s="8"/>
    </row>
    <row r="860">
      <c r="A860" s="8"/>
      <c r="B860" s="8"/>
      <c r="C860" s="8"/>
      <c r="D860" s="8"/>
    </row>
    <row r="861">
      <c r="A861" s="8"/>
      <c r="B861" s="8"/>
      <c r="C861" s="8"/>
      <c r="D861" s="8"/>
    </row>
    <row r="862">
      <c r="A862" s="8"/>
      <c r="B862" s="8"/>
      <c r="C862" s="8"/>
      <c r="D862" s="8"/>
    </row>
    <row r="863">
      <c r="A863" s="8"/>
      <c r="B863" s="8"/>
      <c r="C863" s="8"/>
      <c r="D863" s="8"/>
    </row>
    <row r="864">
      <c r="A864" s="8"/>
      <c r="B864" s="8"/>
      <c r="C864" s="8"/>
      <c r="D864" s="8"/>
    </row>
    <row r="865">
      <c r="A865" s="8"/>
      <c r="B865" s="8"/>
      <c r="C865" s="8"/>
      <c r="D865" s="8"/>
    </row>
    <row r="866">
      <c r="A866" s="8"/>
      <c r="B866" s="8"/>
      <c r="C866" s="8"/>
      <c r="D866" s="8"/>
    </row>
    <row r="867">
      <c r="A867" s="8"/>
      <c r="B867" s="8"/>
      <c r="C867" s="8"/>
      <c r="D867" s="8"/>
    </row>
    <row r="868">
      <c r="A868" s="8"/>
      <c r="B868" s="8"/>
      <c r="C868" s="8"/>
      <c r="D868" s="8"/>
    </row>
    <row r="869">
      <c r="A869" s="8"/>
      <c r="B869" s="8"/>
      <c r="C869" s="8"/>
      <c r="D869" s="8"/>
    </row>
    <row r="870">
      <c r="A870" s="8"/>
      <c r="B870" s="8"/>
      <c r="C870" s="8"/>
      <c r="D870" s="8"/>
    </row>
    <row r="871">
      <c r="A871" s="8"/>
      <c r="B871" s="8"/>
      <c r="C871" s="8"/>
      <c r="D871" s="8"/>
    </row>
    <row r="872">
      <c r="A872" s="8"/>
      <c r="B872" s="8"/>
      <c r="C872" s="8"/>
      <c r="D872" s="8"/>
    </row>
    <row r="873">
      <c r="A873" s="8"/>
      <c r="B873" s="8"/>
      <c r="C873" s="8"/>
      <c r="D873" s="8"/>
    </row>
    <row r="874">
      <c r="A874" s="8"/>
      <c r="B874" s="8"/>
      <c r="C874" s="8"/>
      <c r="D874" s="8"/>
    </row>
    <row r="875">
      <c r="A875" s="8"/>
      <c r="B875" s="8"/>
      <c r="C875" s="8"/>
      <c r="D875" s="8"/>
    </row>
    <row r="876">
      <c r="A876" s="8"/>
      <c r="B876" s="8"/>
      <c r="C876" s="8"/>
      <c r="D876" s="8"/>
    </row>
    <row r="877">
      <c r="A877" s="8"/>
      <c r="B877" s="8"/>
      <c r="C877" s="8"/>
      <c r="D877" s="8"/>
    </row>
    <row r="878">
      <c r="A878" s="8"/>
      <c r="B878" s="8"/>
      <c r="C878" s="8"/>
      <c r="D878" s="8"/>
    </row>
    <row r="879">
      <c r="A879" s="8"/>
      <c r="B879" s="8"/>
      <c r="C879" s="8"/>
      <c r="D879" s="8"/>
    </row>
    <row r="880">
      <c r="A880" s="8"/>
      <c r="B880" s="8"/>
      <c r="C880" s="8"/>
      <c r="D880" s="8"/>
    </row>
    <row r="881">
      <c r="A881" s="8"/>
      <c r="B881" s="8"/>
      <c r="C881" s="8"/>
      <c r="D881" s="8"/>
    </row>
    <row r="882">
      <c r="A882" s="8"/>
      <c r="B882" s="8"/>
      <c r="C882" s="8"/>
      <c r="D882" s="8"/>
    </row>
    <row r="883">
      <c r="A883" s="8"/>
      <c r="B883" s="8"/>
      <c r="C883" s="8"/>
      <c r="D883" s="8"/>
    </row>
    <row r="884">
      <c r="A884" s="8"/>
      <c r="B884" s="8"/>
      <c r="C884" s="8"/>
      <c r="D884" s="8"/>
    </row>
    <row r="885">
      <c r="A885" s="8"/>
      <c r="B885" s="8"/>
      <c r="C885" s="8"/>
      <c r="D885" s="8"/>
    </row>
    <row r="886">
      <c r="A886" s="8"/>
      <c r="B886" s="8"/>
      <c r="C886" s="8"/>
      <c r="D886" s="8"/>
    </row>
    <row r="887">
      <c r="A887" s="8"/>
      <c r="B887" s="8"/>
      <c r="C887" s="8"/>
      <c r="D887" s="8"/>
    </row>
    <row r="888">
      <c r="A888" s="8"/>
      <c r="B888" s="8"/>
      <c r="C888" s="8"/>
      <c r="D888" s="8"/>
    </row>
    <row r="889">
      <c r="A889" s="8"/>
      <c r="B889" s="8"/>
      <c r="C889" s="8"/>
      <c r="D889" s="8"/>
    </row>
    <row r="890">
      <c r="A890" s="8"/>
      <c r="B890" s="8"/>
      <c r="C890" s="8"/>
      <c r="D890" s="8"/>
    </row>
    <row r="891">
      <c r="A891" s="8"/>
      <c r="B891" s="8"/>
      <c r="C891" s="8"/>
      <c r="D891" s="8"/>
    </row>
    <row r="892">
      <c r="A892" s="8"/>
      <c r="B892" s="8"/>
      <c r="C892" s="8"/>
      <c r="D892" s="8"/>
    </row>
    <row r="893">
      <c r="A893" s="8"/>
      <c r="B893" s="8"/>
      <c r="C893" s="8"/>
      <c r="D893" s="8"/>
    </row>
    <row r="894">
      <c r="A894" s="8"/>
      <c r="B894" s="8"/>
      <c r="C894" s="8"/>
      <c r="D894" s="8"/>
    </row>
    <row r="895">
      <c r="A895" s="8"/>
      <c r="B895" s="8"/>
      <c r="C895" s="8"/>
      <c r="D895" s="8"/>
    </row>
    <row r="896">
      <c r="A896" s="8"/>
      <c r="B896" s="8"/>
      <c r="C896" s="8"/>
      <c r="D896" s="8"/>
    </row>
    <row r="897">
      <c r="A897" s="8"/>
      <c r="B897" s="8"/>
      <c r="C897" s="8"/>
      <c r="D897" s="8"/>
    </row>
    <row r="898">
      <c r="A898" s="8"/>
      <c r="B898" s="8"/>
      <c r="C898" s="8"/>
      <c r="D898" s="8"/>
    </row>
    <row r="899">
      <c r="A899" s="8"/>
      <c r="B899" s="8"/>
      <c r="C899" s="8"/>
      <c r="D899" s="8"/>
    </row>
    <row r="900">
      <c r="A900" s="8"/>
      <c r="B900" s="8"/>
      <c r="C900" s="8"/>
      <c r="D900" s="8"/>
    </row>
    <row r="901">
      <c r="A901" s="8"/>
      <c r="B901" s="8"/>
      <c r="C901" s="8"/>
      <c r="D901" s="8"/>
    </row>
    <row r="902">
      <c r="A902" s="8"/>
      <c r="B902" s="8"/>
      <c r="C902" s="8"/>
      <c r="D902" s="8"/>
    </row>
    <row r="903">
      <c r="A903" s="8"/>
      <c r="B903" s="8"/>
      <c r="C903" s="8"/>
      <c r="D903" s="8"/>
    </row>
    <row r="904">
      <c r="A904" s="8"/>
      <c r="B904" s="8"/>
      <c r="C904" s="8"/>
      <c r="D904" s="8"/>
    </row>
    <row r="905">
      <c r="A905" s="8"/>
      <c r="B905" s="8"/>
      <c r="C905" s="8"/>
      <c r="D905" s="8"/>
    </row>
    <row r="906">
      <c r="A906" s="8"/>
      <c r="B906" s="8"/>
      <c r="C906" s="8"/>
      <c r="D906" s="8"/>
    </row>
    <row r="907">
      <c r="A907" s="8"/>
      <c r="B907" s="8"/>
      <c r="C907" s="8"/>
      <c r="D907" s="8"/>
    </row>
    <row r="908">
      <c r="A908" s="8"/>
      <c r="B908" s="8"/>
      <c r="C908" s="8"/>
      <c r="D908" s="8"/>
    </row>
    <row r="909">
      <c r="A909" s="8"/>
      <c r="B909" s="8"/>
      <c r="C909" s="8"/>
      <c r="D909" s="8"/>
    </row>
    <row r="910">
      <c r="A910" s="8"/>
      <c r="B910" s="8"/>
      <c r="C910" s="8"/>
      <c r="D910" s="8"/>
    </row>
    <row r="911">
      <c r="A911" s="8"/>
      <c r="B911" s="8"/>
      <c r="C911" s="8"/>
      <c r="D911" s="8"/>
    </row>
    <row r="912">
      <c r="A912" s="8"/>
      <c r="B912" s="8"/>
      <c r="C912" s="8"/>
      <c r="D912" s="8"/>
    </row>
    <row r="913">
      <c r="A913" s="8"/>
      <c r="B913" s="8"/>
      <c r="C913" s="8"/>
      <c r="D913" s="8"/>
    </row>
    <row r="914">
      <c r="A914" s="8"/>
      <c r="B914" s="8"/>
      <c r="C914" s="8"/>
      <c r="D914" s="8"/>
    </row>
    <row r="915">
      <c r="A915" s="8"/>
      <c r="B915" s="8"/>
      <c r="C915" s="8"/>
      <c r="D915" s="8"/>
    </row>
    <row r="916">
      <c r="A916" s="8"/>
      <c r="B916" s="8"/>
      <c r="C916" s="8"/>
      <c r="D916" s="8"/>
    </row>
    <row r="917">
      <c r="A917" s="8"/>
      <c r="B917" s="8"/>
      <c r="C917" s="8"/>
      <c r="D917" s="8"/>
    </row>
    <row r="918">
      <c r="A918" s="8"/>
      <c r="B918" s="8"/>
      <c r="C918" s="8"/>
      <c r="D918" s="8"/>
    </row>
    <row r="919">
      <c r="A919" s="8"/>
      <c r="B919" s="8"/>
      <c r="C919" s="8"/>
      <c r="D919" s="8"/>
    </row>
    <row r="920">
      <c r="A920" s="8"/>
      <c r="B920" s="8"/>
      <c r="C920" s="8"/>
      <c r="D920" s="8"/>
    </row>
    <row r="921">
      <c r="A921" s="8"/>
      <c r="B921" s="8"/>
      <c r="C921" s="8"/>
      <c r="D921" s="8"/>
    </row>
    <row r="922">
      <c r="A922" s="8"/>
      <c r="B922" s="8"/>
      <c r="C922" s="8"/>
      <c r="D922" s="8"/>
    </row>
    <row r="923">
      <c r="A923" s="8"/>
      <c r="B923" s="8"/>
      <c r="C923" s="8"/>
      <c r="D923" s="8"/>
    </row>
    <row r="924">
      <c r="A924" s="8"/>
      <c r="B924" s="8"/>
      <c r="C924" s="8"/>
      <c r="D924" s="8"/>
    </row>
    <row r="925">
      <c r="A925" s="8"/>
      <c r="B925" s="8"/>
      <c r="C925" s="8"/>
      <c r="D925" s="8"/>
    </row>
    <row r="926">
      <c r="A926" s="8"/>
      <c r="B926" s="8"/>
      <c r="C926" s="8"/>
      <c r="D926" s="8"/>
    </row>
    <row r="927">
      <c r="A927" s="8"/>
      <c r="B927" s="8"/>
      <c r="C927" s="8"/>
      <c r="D927" s="8"/>
    </row>
    <row r="928">
      <c r="A928" s="8"/>
      <c r="B928" s="8"/>
      <c r="C928" s="8"/>
      <c r="D928" s="8"/>
    </row>
    <row r="929">
      <c r="A929" s="8"/>
      <c r="B929" s="8"/>
      <c r="C929" s="8"/>
      <c r="D929" s="8"/>
    </row>
    <row r="930">
      <c r="A930" s="8"/>
      <c r="B930" s="8"/>
      <c r="C930" s="8"/>
      <c r="D930" s="8"/>
    </row>
    <row r="931">
      <c r="A931" s="8"/>
      <c r="B931" s="8"/>
      <c r="C931" s="8"/>
      <c r="D931" s="8"/>
    </row>
    <row r="932">
      <c r="A932" s="8"/>
      <c r="B932" s="8"/>
      <c r="C932" s="8"/>
      <c r="D932" s="8"/>
    </row>
    <row r="933">
      <c r="A933" s="8"/>
      <c r="B933" s="8"/>
      <c r="C933" s="8"/>
      <c r="D933" s="8"/>
    </row>
    <row r="934">
      <c r="A934" s="8"/>
      <c r="B934" s="8"/>
      <c r="C934" s="8"/>
      <c r="D934" s="8"/>
    </row>
    <row r="935">
      <c r="A935" s="8"/>
      <c r="B935" s="8"/>
      <c r="C935" s="8"/>
      <c r="D935" s="8"/>
    </row>
    <row r="936">
      <c r="A936" s="8"/>
      <c r="B936" s="8"/>
      <c r="C936" s="8"/>
      <c r="D936" s="8"/>
    </row>
    <row r="937">
      <c r="A937" s="8"/>
      <c r="B937" s="8"/>
      <c r="C937" s="8"/>
      <c r="D937" s="8"/>
    </row>
    <row r="938">
      <c r="A938" s="8"/>
      <c r="B938" s="8"/>
      <c r="C938" s="8"/>
      <c r="D938" s="8"/>
    </row>
    <row r="939">
      <c r="A939" s="8"/>
      <c r="B939" s="8"/>
      <c r="C939" s="8"/>
      <c r="D939" s="8"/>
    </row>
    <row r="940">
      <c r="A940" s="8"/>
      <c r="B940" s="8"/>
      <c r="C940" s="8"/>
      <c r="D940" s="8"/>
    </row>
    <row r="941">
      <c r="A941" s="8"/>
      <c r="B941" s="8"/>
      <c r="C941" s="8"/>
      <c r="D941" s="8"/>
    </row>
    <row r="942">
      <c r="A942" s="8"/>
      <c r="B942" s="8"/>
      <c r="C942" s="8"/>
      <c r="D942" s="8"/>
    </row>
    <row r="943">
      <c r="A943" s="8"/>
      <c r="B943" s="8"/>
      <c r="C943" s="8"/>
      <c r="D943" s="8"/>
    </row>
    <row r="944">
      <c r="A944" s="8"/>
      <c r="B944" s="8"/>
      <c r="C944" s="8"/>
      <c r="D944" s="8"/>
    </row>
    <row r="945">
      <c r="A945" s="8"/>
      <c r="B945" s="8"/>
      <c r="C945" s="8"/>
      <c r="D945" s="8"/>
    </row>
    <row r="946">
      <c r="A946" s="8"/>
      <c r="B946" s="8"/>
      <c r="C946" s="8"/>
      <c r="D946" s="8"/>
    </row>
    <row r="947">
      <c r="A947" s="8"/>
      <c r="B947" s="8"/>
      <c r="C947" s="8"/>
      <c r="D947" s="8"/>
    </row>
    <row r="948">
      <c r="A948" s="8"/>
      <c r="B948" s="8"/>
      <c r="C948" s="8"/>
      <c r="D948" s="8"/>
    </row>
    <row r="949">
      <c r="A949" s="8"/>
      <c r="B949" s="8"/>
      <c r="C949" s="8"/>
      <c r="D949" s="8"/>
    </row>
    <row r="950">
      <c r="A950" s="8"/>
      <c r="B950" s="8"/>
      <c r="C950" s="8"/>
      <c r="D950" s="8"/>
    </row>
    <row r="951">
      <c r="A951" s="8"/>
      <c r="B951" s="8"/>
      <c r="C951" s="8"/>
      <c r="D951" s="8"/>
    </row>
    <row r="952">
      <c r="A952" s="8"/>
      <c r="B952" s="8"/>
      <c r="C952" s="8"/>
      <c r="D952" s="8"/>
    </row>
    <row r="953">
      <c r="A953" s="8"/>
      <c r="B953" s="8"/>
      <c r="C953" s="8"/>
      <c r="D953" s="8"/>
    </row>
    <row r="954">
      <c r="A954" s="8"/>
      <c r="B954" s="8"/>
      <c r="C954" s="8"/>
      <c r="D954" s="8"/>
    </row>
    <row r="955">
      <c r="A955" s="8"/>
      <c r="B955" s="8"/>
      <c r="C955" s="8"/>
      <c r="D955" s="8"/>
    </row>
    <row r="956">
      <c r="A956" s="8"/>
      <c r="B956" s="8"/>
      <c r="C956" s="8"/>
      <c r="D956" s="8"/>
    </row>
    <row r="957">
      <c r="A957" s="8"/>
      <c r="B957" s="8"/>
      <c r="C957" s="8"/>
      <c r="D957" s="8"/>
    </row>
    <row r="958">
      <c r="A958" s="8"/>
      <c r="B958" s="8"/>
      <c r="C958" s="8"/>
      <c r="D958" s="8"/>
    </row>
    <row r="959">
      <c r="A959" s="8"/>
      <c r="B959" s="8"/>
      <c r="C959" s="8"/>
      <c r="D959" s="8"/>
    </row>
    <row r="960">
      <c r="A960" s="8"/>
      <c r="B960" s="8"/>
      <c r="C960" s="8"/>
      <c r="D960" s="8"/>
    </row>
    <row r="961">
      <c r="A961" s="8"/>
      <c r="B961" s="8"/>
      <c r="C961" s="8"/>
      <c r="D961" s="8"/>
    </row>
    <row r="962">
      <c r="A962" s="8"/>
      <c r="B962" s="8"/>
      <c r="C962" s="8"/>
      <c r="D962" s="8"/>
    </row>
    <row r="963">
      <c r="A963" s="8"/>
      <c r="B963" s="8"/>
      <c r="C963" s="8"/>
      <c r="D963" s="8"/>
    </row>
    <row r="964">
      <c r="A964" s="8"/>
      <c r="B964" s="8"/>
      <c r="C964" s="8"/>
      <c r="D964" s="8"/>
    </row>
    <row r="965">
      <c r="A965" s="8"/>
      <c r="B965" s="8"/>
      <c r="C965" s="8"/>
      <c r="D965" s="8"/>
    </row>
    <row r="966">
      <c r="A966" s="8"/>
      <c r="B966" s="8"/>
      <c r="C966" s="8"/>
      <c r="D966" s="8"/>
    </row>
    <row r="967">
      <c r="A967" s="8"/>
      <c r="B967" s="8"/>
      <c r="C967" s="8"/>
      <c r="D967" s="8"/>
    </row>
    <row r="968">
      <c r="A968" s="8"/>
      <c r="B968" s="8"/>
      <c r="C968" s="8"/>
      <c r="D968" s="8"/>
    </row>
    <row r="969">
      <c r="A969" s="8"/>
      <c r="B969" s="8"/>
      <c r="C969" s="8"/>
      <c r="D969" s="8"/>
    </row>
    <row r="970">
      <c r="A970" s="8"/>
      <c r="B970" s="8"/>
      <c r="C970" s="8"/>
      <c r="D970" s="8"/>
    </row>
    <row r="971">
      <c r="A971" s="8"/>
      <c r="B971" s="8"/>
      <c r="C971" s="8"/>
      <c r="D971" s="8"/>
    </row>
    <row r="972">
      <c r="A972" s="8"/>
      <c r="B972" s="8"/>
      <c r="C972" s="8"/>
      <c r="D972" s="8"/>
    </row>
    <row r="973">
      <c r="A973" s="8"/>
      <c r="B973" s="8"/>
      <c r="C973" s="8"/>
      <c r="D973" s="8"/>
    </row>
    <row r="974">
      <c r="A974" s="8"/>
      <c r="B974" s="8"/>
      <c r="C974" s="8"/>
      <c r="D974" s="8"/>
    </row>
    <row r="975">
      <c r="A975" s="8"/>
      <c r="B975" s="8"/>
      <c r="C975" s="8"/>
      <c r="D975" s="8"/>
    </row>
    <row r="976">
      <c r="A976" s="8"/>
      <c r="B976" s="8"/>
      <c r="C976" s="8"/>
      <c r="D976" s="8"/>
    </row>
    <row r="977">
      <c r="A977" s="8"/>
      <c r="B977" s="8"/>
      <c r="C977" s="8"/>
      <c r="D977" s="8"/>
    </row>
    <row r="978">
      <c r="A978" s="8"/>
      <c r="B978" s="8"/>
      <c r="C978" s="8"/>
      <c r="D978" s="8"/>
    </row>
    <row r="979">
      <c r="A979" s="8"/>
      <c r="B979" s="8"/>
      <c r="C979" s="8"/>
      <c r="D979" s="8"/>
    </row>
    <row r="980">
      <c r="A980" s="8"/>
      <c r="B980" s="8"/>
      <c r="C980" s="8"/>
      <c r="D980" s="8"/>
    </row>
    <row r="981">
      <c r="A981" s="8"/>
      <c r="B981" s="8"/>
      <c r="C981" s="8"/>
      <c r="D981" s="8"/>
    </row>
    <row r="982">
      <c r="A982" s="8"/>
      <c r="B982" s="8"/>
      <c r="C982" s="8"/>
      <c r="D982" s="8"/>
    </row>
    <row r="983">
      <c r="A983" s="8"/>
      <c r="B983" s="8"/>
      <c r="C983" s="8"/>
      <c r="D983" s="8"/>
    </row>
    <row r="984">
      <c r="A984" s="8"/>
      <c r="B984" s="8"/>
      <c r="C984" s="8"/>
      <c r="D984" s="8"/>
    </row>
    <row r="985">
      <c r="A985" s="8"/>
      <c r="B985" s="8"/>
      <c r="C985" s="8"/>
      <c r="D985" s="8"/>
    </row>
    <row r="986">
      <c r="A986" s="8"/>
      <c r="B986" s="8"/>
      <c r="C986" s="8"/>
      <c r="D986" s="8"/>
    </row>
    <row r="987">
      <c r="A987" s="8"/>
      <c r="B987" s="8"/>
      <c r="C987" s="8"/>
      <c r="D987" s="8"/>
    </row>
    <row r="988">
      <c r="A988" s="8"/>
      <c r="B988" s="8"/>
      <c r="C988" s="8"/>
      <c r="D988" s="8"/>
    </row>
    <row r="989">
      <c r="A989" s="8"/>
      <c r="B989" s="8"/>
      <c r="C989" s="8"/>
      <c r="D989" s="8"/>
    </row>
    <row r="990">
      <c r="A990" s="8"/>
      <c r="B990" s="8"/>
      <c r="C990" s="8"/>
      <c r="D990" s="8"/>
    </row>
    <row r="991">
      <c r="A991" s="8"/>
      <c r="B991" s="8"/>
      <c r="C991" s="8"/>
      <c r="D991" s="8"/>
    </row>
    <row r="992">
      <c r="A992" s="8"/>
      <c r="B992" s="8"/>
      <c r="C992" s="8"/>
      <c r="D992" s="8"/>
    </row>
    <row r="993">
      <c r="A993" s="8"/>
      <c r="B993" s="8"/>
      <c r="C993" s="8"/>
      <c r="D993" s="8"/>
    </row>
    <row r="994">
      <c r="A994" s="8"/>
      <c r="B994" s="8"/>
      <c r="C994" s="8"/>
      <c r="D994" s="8"/>
    </row>
    <row r="995">
      <c r="A995" s="8"/>
      <c r="B995" s="8"/>
      <c r="C995" s="8"/>
      <c r="D995" s="8"/>
    </row>
    <row r="996">
      <c r="A996" s="8"/>
      <c r="B996" s="8"/>
      <c r="C996" s="8"/>
      <c r="D996" s="8"/>
    </row>
  </sheetData>
  <hyperlinks>
    <hyperlink r:id="rId1" ref="A18"/>
    <hyperlink r:id="rId2" ref="A80"/>
    <hyperlink r:id="rId3" ref="A173"/>
    <hyperlink r:id="rId4" ref="A303"/>
    <hyperlink r:id="rId5" ref="A348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5"/>
    <col customWidth="1" min="3" max="3" width="24.63"/>
    <col customWidth="1" min="5" max="5" width="36.25"/>
  </cols>
  <sheetData>
    <row r="1">
      <c r="A1" s="13" t="s">
        <v>801</v>
      </c>
      <c r="B1" s="14" t="s">
        <v>802</v>
      </c>
      <c r="C1" s="15" t="s">
        <v>803</v>
      </c>
      <c r="D1" s="16" t="s">
        <v>804</v>
      </c>
      <c r="E1" s="17" t="s">
        <v>805</v>
      </c>
      <c r="F1" s="18" t="s">
        <v>806</v>
      </c>
      <c r="G1" s="15" t="s">
        <v>807</v>
      </c>
      <c r="H1" s="14" t="s">
        <v>808</v>
      </c>
      <c r="I1" s="14"/>
    </row>
    <row r="2">
      <c r="A2" s="19" t="s">
        <v>809</v>
      </c>
      <c r="B2" s="1" t="s">
        <v>343</v>
      </c>
      <c r="C2" s="1" t="s">
        <v>344</v>
      </c>
      <c r="D2" s="1">
        <v>9.48181972E8</v>
      </c>
      <c r="E2" s="1" t="s">
        <v>9</v>
      </c>
      <c r="F2" s="20" t="s">
        <v>810</v>
      </c>
      <c r="G2" s="20" t="s">
        <v>811</v>
      </c>
      <c r="H2" s="20" t="s">
        <v>812</v>
      </c>
    </row>
    <row r="3">
      <c r="A3" s="19" t="s">
        <v>809</v>
      </c>
      <c r="B3" s="1" t="s">
        <v>233</v>
      </c>
      <c r="C3" s="1" t="s">
        <v>234</v>
      </c>
      <c r="D3" s="1">
        <v>9.28011303E8</v>
      </c>
      <c r="E3" s="1" t="s">
        <v>9</v>
      </c>
      <c r="F3" s="20" t="s">
        <v>813</v>
      </c>
      <c r="G3" s="20" t="s">
        <v>814</v>
      </c>
      <c r="H3" s="20" t="s">
        <v>815</v>
      </c>
    </row>
    <row r="4">
      <c r="A4" s="19" t="s">
        <v>809</v>
      </c>
      <c r="B4" s="1" t="s">
        <v>245</v>
      </c>
      <c r="C4" s="1" t="s">
        <v>246</v>
      </c>
      <c r="D4" s="1">
        <v>9.29405673E8</v>
      </c>
      <c r="E4" s="1" t="s">
        <v>9</v>
      </c>
      <c r="F4" s="20" t="s">
        <v>813</v>
      </c>
      <c r="G4" s="20" t="s">
        <v>814</v>
      </c>
      <c r="H4" s="20" t="s">
        <v>815</v>
      </c>
    </row>
    <row r="5">
      <c r="A5" s="19" t="s">
        <v>809</v>
      </c>
      <c r="B5" s="1" t="s">
        <v>304</v>
      </c>
      <c r="C5" s="1" t="s">
        <v>305</v>
      </c>
      <c r="D5" s="1">
        <v>9.41127165E8</v>
      </c>
      <c r="E5" s="1" t="s">
        <v>9</v>
      </c>
      <c r="F5" s="20" t="s">
        <v>813</v>
      </c>
      <c r="G5" s="20" t="s">
        <v>814</v>
      </c>
      <c r="H5" s="20" t="s">
        <v>815</v>
      </c>
    </row>
    <row r="6">
      <c r="A6" s="19" t="s">
        <v>809</v>
      </c>
      <c r="B6" s="1" t="s">
        <v>316</v>
      </c>
      <c r="C6" s="1" t="s">
        <v>317</v>
      </c>
      <c r="D6" s="1">
        <v>9.43292644E8</v>
      </c>
      <c r="E6" s="1" t="s">
        <v>9</v>
      </c>
      <c r="F6" s="20" t="s">
        <v>813</v>
      </c>
      <c r="G6" s="20" t="s">
        <v>814</v>
      </c>
      <c r="H6" s="20" t="s">
        <v>815</v>
      </c>
      <c r="I6" s="21" t="s">
        <v>816</v>
      </c>
    </row>
    <row r="7">
      <c r="A7" s="19" t="s">
        <v>809</v>
      </c>
      <c r="B7" s="1" t="s">
        <v>384</v>
      </c>
      <c r="C7" s="1" t="s">
        <v>385</v>
      </c>
      <c r="D7" s="1">
        <v>9.6152457E8</v>
      </c>
      <c r="E7" s="1" t="s">
        <v>9</v>
      </c>
      <c r="F7" s="20" t="s">
        <v>813</v>
      </c>
      <c r="G7" s="20" t="s">
        <v>814</v>
      </c>
      <c r="H7" s="20" t="s">
        <v>815</v>
      </c>
    </row>
    <row r="8">
      <c r="A8" s="19" t="s">
        <v>809</v>
      </c>
      <c r="B8" s="1" t="s">
        <v>255</v>
      </c>
      <c r="C8" s="1" t="s">
        <v>256</v>
      </c>
      <c r="D8" s="1">
        <v>9.30412013E8</v>
      </c>
      <c r="E8" s="1" t="s">
        <v>6</v>
      </c>
      <c r="F8" s="20" t="s">
        <v>813</v>
      </c>
      <c r="G8" s="20" t="s">
        <v>814</v>
      </c>
      <c r="H8" s="20" t="s">
        <v>815</v>
      </c>
    </row>
    <row r="9">
      <c r="A9" s="19" t="s">
        <v>809</v>
      </c>
      <c r="B9" s="1" t="s">
        <v>259</v>
      </c>
      <c r="C9" s="1" t="s">
        <v>260</v>
      </c>
      <c r="D9" s="1">
        <v>9.30958706E8</v>
      </c>
      <c r="E9" s="1" t="s">
        <v>6</v>
      </c>
      <c r="F9" s="20" t="s">
        <v>813</v>
      </c>
      <c r="G9" s="20" t="s">
        <v>814</v>
      </c>
      <c r="H9" s="20" t="s">
        <v>815</v>
      </c>
    </row>
    <row r="10">
      <c r="A10" s="19" t="s">
        <v>809</v>
      </c>
      <c r="B10" s="1" t="s">
        <v>290</v>
      </c>
      <c r="C10" s="1" t="s">
        <v>291</v>
      </c>
      <c r="D10" s="1">
        <v>9.38840897E8</v>
      </c>
      <c r="E10" s="1" t="s">
        <v>6</v>
      </c>
      <c r="F10" s="20" t="s">
        <v>813</v>
      </c>
      <c r="G10" s="20" t="s">
        <v>814</v>
      </c>
      <c r="H10" s="20" t="s">
        <v>815</v>
      </c>
    </row>
    <row r="11">
      <c r="A11" s="19" t="s">
        <v>809</v>
      </c>
      <c r="B11" s="1" t="s">
        <v>312</v>
      </c>
      <c r="C11" s="1" t="s">
        <v>313</v>
      </c>
      <c r="D11" s="1">
        <v>9.42143127E8</v>
      </c>
      <c r="E11" s="1" t="s">
        <v>6</v>
      </c>
      <c r="F11" s="20" t="s">
        <v>813</v>
      </c>
      <c r="G11" s="20" t="s">
        <v>814</v>
      </c>
      <c r="H11" s="20" t="s">
        <v>815</v>
      </c>
    </row>
    <row r="12">
      <c r="A12" s="19" t="s">
        <v>809</v>
      </c>
      <c r="B12" s="1" t="s">
        <v>337</v>
      </c>
      <c r="C12" s="1" t="s">
        <v>338</v>
      </c>
      <c r="D12" s="1">
        <v>9.48066379E8</v>
      </c>
      <c r="E12" s="1" t="s">
        <v>6</v>
      </c>
      <c r="F12" s="20" t="s">
        <v>813</v>
      </c>
      <c r="G12" s="20" t="s">
        <v>814</v>
      </c>
      <c r="H12" s="20" t="s">
        <v>815</v>
      </c>
    </row>
    <row r="13">
      <c r="A13" s="19" t="s">
        <v>809</v>
      </c>
      <c r="B13" s="1" t="s">
        <v>339</v>
      </c>
      <c r="C13" s="1" t="s">
        <v>340</v>
      </c>
      <c r="D13" s="1">
        <v>9.48146709E8</v>
      </c>
      <c r="E13" s="1" t="s">
        <v>6</v>
      </c>
      <c r="F13" s="20" t="s">
        <v>813</v>
      </c>
      <c r="G13" s="20" t="s">
        <v>814</v>
      </c>
      <c r="H13" s="20" t="s">
        <v>815</v>
      </c>
    </row>
    <row r="14">
      <c r="A14" s="19" t="s">
        <v>809</v>
      </c>
      <c r="B14" s="1" t="s">
        <v>367</v>
      </c>
      <c r="C14" s="1" t="s">
        <v>368</v>
      </c>
      <c r="D14" s="1">
        <v>9.55903911E8</v>
      </c>
      <c r="E14" s="1" t="s">
        <v>6</v>
      </c>
      <c r="F14" s="20" t="s">
        <v>813</v>
      </c>
      <c r="G14" s="20" t="s">
        <v>814</v>
      </c>
      <c r="H14" s="20" t="s">
        <v>815</v>
      </c>
    </row>
    <row r="15">
      <c r="A15" s="19" t="s">
        <v>809</v>
      </c>
      <c r="B15" s="1" t="s">
        <v>361</v>
      </c>
      <c r="C15" s="1" t="s">
        <v>362</v>
      </c>
      <c r="D15" s="1">
        <v>9.54924895E8</v>
      </c>
      <c r="E15" s="1" t="s">
        <v>6</v>
      </c>
      <c r="F15" s="20" t="s">
        <v>813</v>
      </c>
      <c r="G15" s="20" t="s">
        <v>814</v>
      </c>
      <c r="H15" s="20" t="s">
        <v>815</v>
      </c>
    </row>
    <row r="16">
      <c r="A16" s="19" t="s">
        <v>809</v>
      </c>
      <c r="B16" s="1" t="s">
        <v>269</v>
      </c>
      <c r="C16" s="1" t="s">
        <v>270</v>
      </c>
      <c r="D16" s="1">
        <v>9.32224852E8</v>
      </c>
      <c r="E16" s="1" t="s">
        <v>9</v>
      </c>
      <c r="F16" s="20" t="s">
        <v>813</v>
      </c>
      <c r="G16" s="20" t="s">
        <v>811</v>
      </c>
      <c r="H16" s="20" t="s">
        <v>817</v>
      </c>
      <c r="I16" s="21" t="s">
        <v>818</v>
      </c>
    </row>
    <row r="17">
      <c r="A17" s="19" t="s">
        <v>809</v>
      </c>
      <c r="B17" s="1">
        <v>304864.0</v>
      </c>
      <c r="C17" s="1" t="s">
        <v>279</v>
      </c>
      <c r="D17" s="1">
        <v>9.35609229E8</v>
      </c>
      <c r="E17" s="1" t="s">
        <v>9</v>
      </c>
      <c r="F17" s="20" t="s">
        <v>813</v>
      </c>
      <c r="G17" s="20" t="s">
        <v>811</v>
      </c>
      <c r="H17" s="20" t="s">
        <v>817</v>
      </c>
      <c r="I17" s="21" t="s">
        <v>819</v>
      </c>
    </row>
    <row r="18">
      <c r="A18" s="19" t="s">
        <v>809</v>
      </c>
      <c r="B18" s="1" t="s">
        <v>280</v>
      </c>
      <c r="C18" s="1" t="s">
        <v>281</v>
      </c>
      <c r="D18" s="1">
        <v>9.3604815E8</v>
      </c>
      <c r="E18" s="1" t="s">
        <v>9</v>
      </c>
      <c r="F18" s="20" t="s">
        <v>813</v>
      </c>
      <c r="G18" s="20" t="s">
        <v>811</v>
      </c>
      <c r="H18" s="20" t="s">
        <v>817</v>
      </c>
      <c r="I18" s="21" t="s">
        <v>820</v>
      </c>
    </row>
    <row r="19">
      <c r="A19" s="19" t="s">
        <v>809</v>
      </c>
      <c r="B19" s="1" t="s">
        <v>318</v>
      </c>
      <c r="C19" s="1" t="s">
        <v>319</v>
      </c>
      <c r="D19" s="1">
        <v>9.43644983E8</v>
      </c>
      <c r="E19" s="1" t="s">
        <v>9</v>
      </c>
      <c r="F19" s="20" t="s">
        <v>813</v>
      </c>
      <c r="G19" s="20" t="s">
        <v>811</v>
      </c>
      <c r="H19" s="20" t="s">
        <v>817</v>
      </c>
      <c r="I19" s="21" t="s">
        <v>821</v>
      </c>
    </row>
    <row r="20">
      <c r="A20" s="19" t="s">
        <v>809</v>
      </c>
      <c r="B20" s="1" t="s">
        <v>323</v>
      </c>
      <c r="C20" s="1" t="s">
        <v>324</v>
      </c>
      <c r="D20" s="1">
        <v>9.4437077E8</v>
      </c>
      <c r="E20" s="1" t="s">
        <v>9</v>
      </c>
      <c r="F20" s="20" t="s">
        <v>813</v>
      </c>
      <c r="G20" s="20" t="s">
        <v>811</v>
      </c>
      <c r="H20" s="20" t="s">
        <v>817</v>
      </c>
      <c r="I20" s="21" t="s">
        <v>822</v>
      </c>
    </row>
    <row r="21">
      <c r="A21" s="19" t="s">
        <v>809</v>
      </c>
      <c r="B21" s="1" t="s">
        <v>331</v>
      </c>
      <c r="C21" s="1" t="s">
        <v>332</v>
      </c>
      <c r="D21" s="1">
        <v>9.46740855E8</v>
      </c>
      <c r="E21" s="1" t="s">
        <v>9</v>
      </c>
      <c r="F21" s="20" t="s">
        <v>813</v>
      </c>
      <c r="G21" s="20" t="s">
        <v>811</v>
      </c>
      <c r="H21" s="20" t="s">
        <v>817</v>
      </c>
      <c r="I21" s="21" t="s">
        <v>823</v>
      </c>
    </row>
    <row r="22">
      <c r="A22" s="19" t="s">
        <v>809</v>
      </c>
      <c r="B22" s="1" t="s">
        <v>333</v>
      </c>
      <c r="C22" s="1" t="s">
        <v>334</v>
      </c>
      <c r="D22" s="1">
        <v>9.46740855E8</v>
      </c>
      <c r="E22" s="1" t="s">
        <v>9</v>
      </c>
      <c r="F22" s="20" t="s">
        <v>813</v>
      </c>
      <c r="G22" s="20" t="s">
        <v>811</v>
      </c>
      <c r="H22" s="20" t="s">
        <v>817</v>
      </c>
      <c r="I22" s="21" t="s">
        <v>823</v>
      </c>
    </row>
    <row r="23">
      <c r="A23" s="19" t="s">
        <v>809</v>
      </c>
      <c r="B23" s="1" t="s">
        <v>353</v>
      </c>
      <c r="C23" s="1" t="s">
        <v>354</v>
      </c>
      <c r="D23" s="1">
        <v>9.51094609E8</v>
      </c>
      <c r="E23" s="1" t="s">
        <v>9</v>
      </c>
      <c r="F23" s="20" t="s">
        <v>813</v>
      </c>
      <c r="G23" s="20" t="s">
        <v>811</v>
      </c>
      <c r="H23" s="20" t="s">
        <v>817</v>
      </c>
      <c r="I23" s="21" t="s">
        <v>824</v>
      </c>
    </row>
    <row r="24">
      <c r="A24" s="19" t="s">
        <v>809</v>
      </c>
      <c r="B24" s="1" t="s">
        <v>357</v>
      </c>
      <c r="C24" s="1" t="s">
        <v>358</v>
      </c>
      <c r="D24" s="1">
        <v>9.53423861E8</v>
      </c>
      <c r="E24" s="1" t="s">
        <v>9</v>
      </c>
      <c r="F24" s="20" t="s">
        <v>813</v>
      </c>
      <c r="G24" s="20" t="s">
        <v>811</v>
      </c>
      <c r="H24" s="20" t="s">
        <v>817</v>
      </c>
      <c r="I24" s="21" t="s">
        <v>824</v>
      </c>
    </row>
    <row r="25">
      <c r="A25" s="19" t="s">
        <v>809</v>
      </c>
      <c r="B25" s="1" t="s">
        <v>363</v>
      </c>
      <c r="C25" s="1" t="s">
        <v>364</v>
      </c>
      <c r="D25" s="1">
        <v>9.55170831E8</v>
      </c>
      <c r="E25" s="1" t="s">
        <v>9</v>
      </c>
      <c r="F25" s="20" t="s">
        <v>813</v>
      </c>
      <c r="G25" s="20" t="s">
        <v>811</v>
      </c>
      <c r="H25" s="20" t="s">
        <v>817</v>
      </c>
      <c r="I25" s="21" t="s">
        <v>825</v>
      </c>
    </row>
    <row r="26">
      <c r="A26" s="19" t="s">
        <v>809</v>
      </c>
      <c r="B26" s="1" t="s">
        <v>376</v>
      </c>
      <c r="C26" s="1" t="s">
        <v>377</v>
      </c>
      <c r="D26" s="1">
        <v>9.60461321E8</v>
      </c>
      <c r="E26" s="1" t="s">
        <v>9</v>
      </c>
      <c r="F26" s="20" t="s">
        <v>813</v>
      </c>
      <c r="G26" s="20" t="s">
        <v>811</v>
      </c>
      <c r="H26" s="20" t="s">
        <v>817</v>
      </c>
      <c r="I26" s="21" t="s">
        <v>826</v>
      </c>
    </row>
    <row r="27">
      <c r="A27" s="19" t="s">
        <v>809</v>
      </c>
      <c r="B27" s="1" t="s">
        <v>392</v>
      </c>
      <c r="C27" s="1" t="s">
        <v>393</v>
      </c>
      <c r="D27" s="1">
        <v>9.6454462E8</v>
      </c>
      <c r="E27" s="1" t="s">
        <v>9</v>
      </c>
      <c r="F27" s="20" t="s">
        <v>813</v>
      </c>
      <c r="G27" s="20" t="s">
        <v>811</v>
      </c>
      <c r="H27" s="20" t="s">
        <v>817</v>
      </c>
      <c r="I27" s="21" t="s">
        <v>827</v>
      </c>
    </row>
    <row r="28">
      <c r="A28" s="19" t="s">
        <v>809</v>
      </c>
      <c r="B28" s="1" t="s">
        <v>396</v>
      </c>
      <c r="C28" s="1" t="s">
        <v>397</v>
      </c>
      <c r="D28" s="1">
        <v>9.65764602E8</v>
      </c>
      <c r="E28" s="1" t="s">
        <v>9</v>
      </c>
      <c r="F28" s="20" t="s">
        <v>813</v>
      </c>
      <c r="G28" s="20" t="s">
        <v>811</v>
      </c>
      <c r="H28" s="20" t="s">
        <v>817</v>
      </c>
      <c r="I28" s="21" t="s">
        <v>828</v>
      </c>
    </row>
    <row r="29">
      <c r="A29" s="19" t="s">
        <v>809</v>
      </c>
      <c r="B29" s="1" t="s">
        <v>411</v>
      </c>
      <c r="C29" s="1" t="s">
        <v>412</v>
      </c>
      <c r="D29" s="1">
        <v>9.70565121E8</v>
      </c>
      <c r="E29" s="1" t="s">
        <v>9</v>
      </c>
      <c r="F29" s="20" t="s">
        <v>813</v>
      </c>
      <c r="G29" s="20" t="s">
        <v>811</v>
      </c>
      <c r="H29" s="20" t="s">
        <v>817</v>
      </c>
      <c r="I29" s="21" t="s">
        <v>829</v>
      </c>
    </row>
    <row r="30">
      <c r="A30" s="19" t="s">
        <v>809</v>
      </c>
      <c r="B30" s="1" t="s">
        <v>415</v>
      </c>
      <c r="C30" s="1" t="s">
        <v>416</v>
      </c>
      <c r="D30" s="1">
        <v>9.72375064E8</v>
      </c>
      <c r="E30" s="1" t="s">
        <v>9</v>
      </c>
      <c r="F30" s="20" t="s">
        <v>813</v>
      </c>
      <c r="G30" s="20" t="s">
        <v>811</v>
      </c>
      <c r="H30" s="20" t="s">
        <v>817</v>
      </c>
      <c r="I30" s="21" t="s">
        <v>826</v>
      </c>
    </row>
    <row r="31">
      <c r="A31" s="19" t="s">
        <v>809</v>
      </c>
      <c r="B31" s="1" t="s">
        <v>428</v>
      </c>
      <c r="C31" s="1" t="s">
        <v>429</v>
      </c>
      <c r="D31" s="1">
        <v>9.7420916E8</v>
      </c>
      <c r="E31" s="1" t="s">
        <v>9</v>
      </c>
      <c r="F31" s="20" t="s">
        <v>813</v>
      </c>
      <c r="G31" s="20" t="s">
        <v>811</v>
      </c>
      <c r="H31" s="20" t="s">
        <v>817</v>
      </c>
      <c r="I31" s="21" t="s">
        <v>826</v>
      </c>
    </row>
    <row r="32">
      <c r="A32" s="19" t="s">
        <v>809</v>
      </c>
      <c r="B32" s="1" t="s">
        <v>235</v>
      </c>
      <c r="C32" s="1" t="s">
        <v>236</v>
      </c>
      <c r="D32" s="1">
        <v>9.2821656E8</v>
      </c>
      <c r="E32" s="1" t="s">
        <v>6</v>
      </c>
      <c r="F32" s="20" t="s">
        <v>813</v>
      </c>
      <c r="G32" s="20" t="s">
        <v>811</v>
      </c>
      <c r="H32" s="20" t="s">
        <v>817</v>
      </c>
      <c r="I32" s="21" t="s">
        <v>827</v>
      </c>
    </row>
    <row r="33">
      <c r="A33" s="19" t="s">
        <v>809</v>
      </c>
      <c r="B33" s="1" t="s">
        <v>263</v>
      </c>
      <c r="C33" s="1" t="s">
        <v>264</v>
      </c>
      <c r="D33" s="1">
        <v>9.31437381E8</v>
      </c>
      <c r="E33" s="1" t="s">
        <v>6</v>
      </c>
      <c r="F33" s="20" t="s">
        <v>813</v>
      </c>
      <c r="G33" s="20" t="s">
        <v>811</v>
      </c>
      <c r="H33" s="20" t="s">
        <v>817</v>
      </c>
      <c r="I33" s="21" t="s">
        <v>830</v>
      </c>
    </row>
    <row r="34">
      <c r="A34" s="19" t="s">
        <v>809</v>
      </c>
      <c r="B34" s="1" t="s">
        <v>267</v>
      </c>
      <c r="C34" s="1" t="s">
        <v>268</v>
      </c>
      <c r="D34" s="1">
        <v>9.31894575E8</v>
      </c>
      <c r="E34" s="1" t="s">
        <v>6</v>
      </c>
      <c r="F34" s="20" t="s">
        <v>813</v>
      </c>
      <c r="G34" s="20" t="s">
        <v>811</v>
      </c>
      <c r="H34" s="20" t="s">
        <v>817</v>
      </c>
      <c r="I34" s="21" t="s">
        <v>824</v>
      </c>
    </row>
    <row r="35">
      <c r="A35" s="19" t="s">
        <v>809</v>
      </c>
      <c r="B35" s="1" t="s">
        <v>288</v>
      </c>
      <c r="C35" s="1" t="s">
        <v>289</v>
      </c>
      <c r="D35" s="1">
        <v>9.38316569E8</v>
      </c>
      <c r="E35" s="1" t="s">
        <v>6</v>
      </c>
      <c r="F35" s="20" t="s">
        <v>813</v>
      </c>
      <c r="G35" s="20" t="s">
        <v>811</v>
      </c>
      <c r="H35" s="20" t="s">
        <v>817</v>
      </c>
      <c r="I35" s="21" t="s">
        <v>831</v>
      </c>
    </row>
    <row r="36">
      <c r="A36" s="19" t="s">
        <v>809</v>
      </c>
      <c r="B36" s="1" t="s">
        <v>292</v>
      </c>
      <c r="C36" s="1" t="s">
        <v>293</v>
      </c>
      <c r="D36" s="1">
        <v>9.39006596E8</v>
      </c>
      <c r="E36" s="1" t="s">
        <v>6</v>
      </c>
      <c r="F36" s="20" t="s">
        <v>813</v>
      </c>
      <c r="G36" s="20" t="s">
        <v>811</v>
      </c>
      <c r="H36" s="20" t="s">
        <v>817</v>
      </c>
      <c r="I36" s="21" t="s">
        <v>818</v>
      </c>
    </row>
    <row r="37">
      <c r="A37" s="19" t="s">
        <v>809</v>
      </c>
      <c r="B37" s="1" t="s">
        <v>310</v>
      </c>
      <c r="C37" s="1" t="s">
        <v>311</v>
      </c>
      <c r="D37" s="1">
        <v>9.42060536E8</v>
      </c>
      <c r="E37" s="1" t="s">
        <v>6</v>
      </c>
      <c r="F37" s="20" t="s">
        <v>813</v>
      </c>
      <c r="G37" s="20" t="s">
        <v>811</v>
      </c>
      <c r="H37" s="20" t="s">
        <v>817</v>
      </c>
      <c r="I37" s="21" t="s">
        <v>829</v>
      </c>
    </row>
    <row r="38">
      <c r="A38" s="19" t="s">
        <v>809</v>
      </c>
      <c r="B38" s="5" t="s">
        <v>314</v>
      </c>
      <c r="C38" s="1" t="s">
        <v>315</v>
      </c>
      <c r="D38" s="1">
        <v>9.42609123E8</v>
      </c>
      <c r="E38" s="1" t="s">
        <v>6</v>
      </c>
      <c r="F38" s="20" t="s">
        <v>813</v>
      </c>
      <c r="G38" s="20" t="s">
        <v>811</v>
      </c>
      <c r="H38" s="20" t="s">
        <v>817</v>
      </c>
      <c r="I38" s="21" t="s">
        <v>832</v>
      </c>
    </row>
    <row r="39">
      <c r="A39" s="19" t="s">
        <v>809</v>
      </c>
      <c r="B39" s="1" t="s">
        <v>349</v>
      </c>
      <c r="C39" s="1" t="s">
        <v>350</v>
      </c>
      <c r="D39" s="1">
        <v>9.48798619E8</v>
      </c>
      <c r="E39" s="1" t="s">
        <v>6</v>
      </c>
      <c r="F39" s="20" t="s">
        <v>813</v>
      </c>
      <c r="G39" s="20" t="s">
        <v>811</v>
      </c>
      <c r="H39" s="20" t="s">
        <v>817</v>
      </c>
      <c r="I39" s="21" t="s">
        <v>833</v>
      </c>
    </row>
    <row r="40">
      <c r="A40" s="19" t="s">
        <v>809</v>
      </c>
      <c r="B40" s="1" t="s">
        <v>347</v>
      </c>
      <c r="C40" s="1" t="s">
        <v>348</v>
      </c>
      <c r="D40" s="1">
        <v>9.48416828E8</v>
      </c>
      <c r="E40" s="1" t="s">
        <v>9</v>
      </c>
      <c r="F40" s="20" t="s">
        <v>813</v>
      </c>
      <c r="G40" s="20" t="s">
        <v>811</v>
      </c>
      <c r="H40" s="20" t="s">
        <v>817</v>
      </c>
      <c r="I40" s="21" t="s">
        <v>834</v>
      </c>
    </row>
    <row r="41">
      <c r="A41" s="19" t="s">
        <v>809</v>
      </c>
      <c r="B41" s="1" t="s">
        <v>273</v>
      </c>
      <c r="C41" s="1" t="s">
        <v>274</v>
      </c>
      <c r="D41" s="1">
        <v>9.333352E8</v>
      </c>
      <c r="E41" s="1" t="s">
        <v>9</v>
      </c>
      <c r="F41" s="20" t="s">
        <v>813</v>
      </c>
      <c r="G41" s="20" t="s">
        <v>811</v>
      </c>
      <c r="H41" s="20" t="s">
        <v>817</v>
      </c>
      <c r="I41" s="21" t="s">
        <v>827</v>
      </c>
    </row>
    <row r="42">
      <c r="A42" s="19" t="s">
        <v>809</v>
      </c>
      <c r="B42" s="1" t="s">
        <v>424</v>
      </c>
      <c r="C42" s="1" t="s">
        <v>425</v>
      </c>
      <c r="D42" s="1">
        <v>9.73706447E8</v>
      </c>
      <c r="E42" s="1" t="s">
        <v>9</v>
      </c>
      <c r="F42" s="20" t="s">
        <v>813</v>
      </c>
      <c r="G42" s="20" t="s">
        <v>811</v>
      </c>
      <c r="H42" s="20" t="s">
        <v>812</v>
      </c>
    </row>
    <row r="43">
      <c r="A43" s="19" t="s">
        <v>809</v>
      </c>
      <c r="B43" s="1" t="s">
        <v>302</v>
      </c>
      <c r="C43" s="1" t="s">
        <v>303</v>
      </c>
      <c r="D43" s="1">
        <v>9.41092247E8</v>
      </c>
      <c r="E43" s="1" t="s">
        <v>6</v>
      </c>
      <c r="F43" s="20" t="s">
        <v>813</v>
      </c>
      <c r="G43" s="20" t="s">
        <v>811</v>
      </c>
      <c r="H43" s="20" t="s">
        <v>812</v>
      </c>
    </row>
    <row r="44">
      <c r="A44" s="19" t="s">
        <v>809</v>
      </c>
      <c r="B44" s="1" t="s">
        <v>231</v>
      </c>
      <c r="C44" s="1" t="s">
        <v>232</v>
      </c>
      <c r="D44" s="1">
        <v>9.26823522E8</v>
      </c>
      <c r="E44" s="1" t="s">
        <v>9</v>
      </c>
      <c r="F44" s="20" t="s">
        <v>813</v>
      </c>
      <c r="G44" s="20" t="s">
        <v>811</v>
      </c>
      <c r="H44" s="20" t="s">
        <v>812</v>
      </c>
    </row>
    <row r="45">
      <c r="A45" s="19" t="s">
        <v>809</v>
      </c>
      <c r="B45" s="1" t="s">
        <v>325</v>
      </c>
      <c r="C45" s="1" t="s">
        <v>326</v>
      </c>
      <c r="D45" s="1">
        <v>9.45300567E8</v>
      </c>
      <c r="E45" s="1" t="s">
        <v>6</v>
      </c>
      <c r="F45" s="20" t="s">
        <v>813</v>
      </c>
      <c r="G45" s="20" t="s">
        <v>811</v>
      </c>
      <c r="H45" s="20" t="s">
        <v>812</v>
      </c>
    </row>
    <row r="46">
      <c r="A46" s="19" t="s">
        <v>809</v>
      </c>
      <c r="B46" s="1" t="s">
        <v>237</v>
      </c>
      <c r="C46" s="1" t="s">
        <v>238</v>
      </c>
      <c r="D46" s="1">
        <v>9.28261464E8</v>
      </c>
      <c r="E46" s="1" t="s">
        <v>9</v>
      </c>
      <c r="F46" s="20" t="s">
        <v>813</v>
      </c>
      <c r="G46" s="20" t="s">
        <v>835</v>
      </c>
      <c r="H46" s="20" t="s">
        <v>815</v>
      </c>
      <c r="I46" s="21" t="s">
        <v>816</v>
      </c>
    </row>
    <row r="47">
      <c r="A47" s="19" t="s">
        <v>809</v>
      </c>
      <c r="B47" s="1" t="s">
        <v>275</v>
      </c>
      <c r="C47" s="1" t="s">
        <v>276</v>
      </c>
      <c r="D47" s="1">
        <v>9.3415712E8</v>
      </c>
      <c r="E47" s="1" t="s">
        <v>9</v>
      </c>
      <c r="F47" s="20" t="s">
        <v>813</v>
      </c>
      <c r="G47" s="20" t="s">
        <v>835</v>
      </c>
      <c r="H47" s="20" t="s">
        <v>815</v>
      </c>
      <c r="I47" s="21" t="s">
        <v>816</v>
      </c>
    </row>
    <row r="48">
      <c r="A48" s="19" t="s">
        <v>809</v>
      </c>
      <c r="B48" s="1" t="s">
        <v>298</v>
      </c>
      <c r="C48" s="1" t="s">
        <v>299</v>
      </c>
      <c r="D48" s="1">
        <v>9.40469718E8</v>
      </c>
      <c r="E48" s="1" t="s">
        <v>9</v>
      </c>
      <c r="F48" s="20" t="s">
        <v>813</v>
      </c>
      <c r="G48" s="20" t="s">
        <v>835</v>
      </c>
      <c r="H48" s="20" t="s">
        <v>815</v>
      </c>
      <c r="I48" s="21" t="s">
        <v>816</v>
      </c>
    </row>
    <row r="49">
      <c r="A49" s="19" t="s">
        <v>809</v>
      </c>
      <c r="B49" s="1" t="s">
        <v>345</v>
      </c>
      <c r="C49" s="1" t="s">
        <v>346</v>
      </c>
      <c r="D49" s="1">
        <v>9.48332608E8</v>
      </c>
      <c r="E49" s="1" t="s">
        <v>9</v>
      </c>
      <c r="F49" s="20" t="s">
        <v>813</v>
      </c>
      <c r="G49" s="20" t="s">
        <v>835</v>
      </c>
      <c r="H49" s="20" t="s">
        <v>815</v>
      </c>
      <c r="I49" s="21" t="s">
        <v>816</v>
      </c>
    </row>
    <row r="50">
      <c r="A50" s="19" t="s">
        <v>809</v>
      </c>
      <c r="B50" s="1" t="s">
        <v>359</v>
      </c>
      <c r="C50" s="1" t="s">
        <v>360</v>
      </c>
      <c r="D50" s="1">
        <v>9.5445158E8</v>
      </c>
      <c r="E50" s="1" t="s">
        <v>9</v>
      </c>
      <c r="F50" s="20" t="s">
        <v>813</v>
      </c>
      <c r="G50" s="20" t="s">
        <v>835</v>
      </c>
      <c r="H50" s="20" t="s">
        <v>815</v>
      </c>
    </row>
    <row r="51">
      <c r="A51" s="19" t="s">
        <v>809</v>
      </c>
      <c r="B51" s="1" t="s">
        <v>386</v>
      </c>
      <c r="C51" s="1" t="s">
        <v>387</v>
      </c>
      <c r="D51" s="1">
        <v>9.62860054E8</v>
      </c>
      <c r="E51" s="1" t="s">
        <v>9</v>
      </c>
      <c r="F51" s="20" t="s">
        <v>813</v>
      </c>
      <c r="G51" s="20" t="s">
        <v>835</v>
      </c>
      <c r="H51" s="20" t="s">
        <v>815</v>
      </c>
      <c r="I51" s="21" t="s">
        <v>816</v>
      </c>
    </row>
    <row r="52">
      <c r="A52" s="19" t="s">
        <v>809</v>
      </c>
      <c r="B52" s="1" t="s">
        <v>229</v>
      </c>
      <c r="C52" s="1" t="s">
        <v>230</v>
      </c>
      <c r="D52" s="1">
        <v>9.2566883E8</v>
      </c>
      <c r="E52" s="1" t="s">
        <v>6</v>
      </c>
      <c r="F52" s="20" t="s">
        <v>813</v>
      </c>
      <c r="G52" s="20" t="s">
        <v>835</v>
      </c>
      <c r="H52" s="20" t="s">
        <v>815</v>
      </c>
      <c r="I52" s="11"/>
    </row>
    <row r="53">
      <c r="A53" s="19" t="s">
        <v>809</v>
      </c>
      <c r="B53" s="1" t="s">
        <v>253</v>
      </c>
      <c r="C53" s="1" t="s">
        <v>254</v>
      </c>
      <c r="D53" s="1">
        <v>9.30180605E8</v>
      </c>
      <c r="E53" s="1" t="s">
        <v>6</v>
      </c>
      <c r="F53" s="20" t="s">
        <v>813</v>
      </c>
      <c r="G53" s="20" t="s">
        <v>835</v>
      </c>
      <c r="H53" s="20" t="s">
        <v>815</v>
      </c>
    </row>
    <row r="54">
      <c r="A54" s="19" t="s">
        <v>809</v>
      </c>
      <c r="B54" s="1" t="s">
        <v>271</v>
      </c>
      <c r="C54" s="1" t="s">
        <v>272</v>
      </c>
      <c r="D54" s="1">
        <v>9.32442981E8</v>
      </c>
      <c r="E54" s="1" t="s">
        <v>6</v>
      </c>
      <c r="F54" s="20" t="s">
        <v>813</v>
      </c>
      <c r="G54" s="20" t="s">
        <v>835</v>
      </c>
      <c r="H54" s="20" t="s">
        <v>815</v>
      </c>
    </row>
    <row r="55">
      <c r="A55" s="19" t="s">
        <v>809</v>
      </c>
      <c r="B55" s="1" t="s">
        <v>277</v>
      </c>
      <c r="C55" s="1" t="s">
        <v>278</v>
      </c>
      <c r="D55" s="1">
        <v>9.35594592E8</v>
      </c>
      <c r="E55" s="1" t="s">
        <v>6</v>
      </c>
      <c r="F55" s="20" t="s">
        <v>813</v>
      </c>
      <c r="G55" s="20" t="s">
        <v>835</v>
      </c>
      <c r="H55" s="20" t="s">
        <v>815</v>
      </c>
    </row>
    <row r="56">
      <c r="A56" s="19" t="s">
        <v>809</v>
      </c>
      <c r="B56" s="1" t="s">
        <v>282</v>
      </c>
      <c r="C56" s="1" t="s">
        <v>283</v>
      </c>
      <c r="D56" s="1">
        <v>9.36641054E8</v>
      </c>
      <c r="E56" s="1" t="s">
        <v>6</v>
      </c>
      <c r="F56" s="20" t="s">
        <v>813</v>
      </c>
      <c r="G56" s="20" t="s">
        <v>835</v>
      </c>
      <c r="H56" s="20" t="s">
        <v>815</v>
      </c>
    </row>
    <row r="57">
      <c r="A57" s="19" t="s">
        <v>809</v>
      </c>
      <c r="B57" s="1" t="s">
        <v>308</v>
      </c>
      <c r="C57" s="1" t="s">
        <v>309</v>
      </c>
      <c r="D57" s="1">
        <v>9.41304338E8</v>
      </c>
      <c r="E57" s="1" t="s">
        <v>6</v>
      </c>
      <c r="F57" s="20" t="s">
        <v>813</v>
      </c>
      <c r="G57" s="20" t="s">
        <v>835</v>
      </c>
      <c r="H57" s="20" t="s">
        <v>815</v>
      </c>
    </row>
    <row r="58">
      <c r="A58" s="19" t="s">
        <v>809</v>
      </c>
      <c r="B58" s="1" t="s">
        <v>321</v>
      </c>
      <c r="C58" s="1" t="s">
        <v>322</v>
      </c>
      <c r="D58" s="1">
        <v>9.44139755E8</v>
      </c>
      <c r="E58" s="1" t="s">
        <v>6</v>
      </c>
      <c r="F58" s="20" t="s">
        <v>813</v>
      </c>
      <c r="G58" s="20" t="s">
        <v>835</v>
      </c>
      <c r="H58" s="20" t="s">
        <v>815</v>
      </c>
    </row>
    <row r="59">
      <c r="A59" s="19" t="s">
        <v>809</v>
      </c>
      <c r="B59" s="1" t="s">
        <v>257</v>
      </c>
      <c r="C59" s="1" t="s">
        <v>258</v>
      </c>
      <c r="D59" s="1">
        <v>9.30712945E8</v>
      </c>
      <c r="E59" s="1" t="s">
        <v>9</v>
      </c>
      <c r="F59" s="20" t="s">
        <v>813</v>
      </c>
      <c r="G59" s="20" t="s">
        <v>835</v>
      </c>
      <c r="H59" s="20" t="s">
        <v>815</v>
      </c>
    </row>
    <row r="60">
      <c r="A60" s="19" t="s">
        <v>809</v>
      </c>
      <c r="B60" s="1" t="s">
        <v>394</v>
      </c>
      <c r="C60" s="1" t="s">
        <v>395</v>
      </c>
      <c r="D60" s="1">
        <v>9.65457721E8</v>
      </c>
      <c r="E60" s="1" t="s">
        <v>9</v>
      </c>
      <c r="F60" s="20" t="s">
        <v>813</v>
      </c>
      <c r="G60" s="20" t="s">
        <v>835</v>
      </c>
      <c r="H60" s="20" t="s">
        <v>815</v>
      </c>
    </row>
    <row r="61">
      <c r="A61" s="19" t="s">
        <v>809</v>
      </c>
      <c r="B61" s="1" t="s">
        <v>355</v>
      </c>
      <c r="C61" s="1" t="s">
        <v>356</v>
      </c>
      <c r="D61" s="1">
        <v>9.52597402E8</v>
      </c>
      <c r="E61" s="1" t="s">
        <v>6</v>
      </c>
      <c r="F61" s="20" t="s">
        <v>813</v>
      </c>
      <c r="G61" s="20" t="s">
        <v>835</v>
      </c>
      <c r="H61" s="20" t="s">
        <v>815</v>
      </c>
    </row>
    <row r="62">
      <c r="A62" s="19" t="s">
        <v>809</v>
      </c>
      <c r="B62" s="1" t="s">
        <v>286</v>
      </c>
      <c r="C62" s="1" t="s">
        <v>287</v>
      </c>
      <c r="D62" s="1">
        <v>9.38215715E8</v>
      </c>
      <c r="E62" s="1" t="s">
        <v>9</v>
      </c>
      <c r="F62" s="20" t="s">
        <v>813</v>
      </c>
      <c r="G62" s="20" t="s">
        <v>835</v>
      </c>
      <c r="H62" s="20" t="s">
        <v>817</v>
      </c>
      <c r="I62" s="21" t="s">
        <v>816</v>
      </c>
    </row>
    <row r="63">
      <c r="A63" s="19" t="s">
        <v>809</v>
      </c>
      <c r="B63" s="1" t="s">
        <v>265</v>
      </c>
      <c r="C63" s="1" t="s">
        <v>266</v>
      </c>
      <c r="D63" s="1">
        <v>9.31830563E8</v>
      </c>
      <c r="E63" s="1" t="s">
        <v>9</v>
      </c>
      <c r="F63" s="20" t="s">
        <v>813</v>
      </c>
      <c r="G63" s="20" t="s">
        <v>835</v>
      </c>
      <c r="H63" s="20" t="s">
        <v>812</v>
      </c>
    </row>
    <row r="64">
      <c r="A64" s="19" t="s">
        <v>809</v>
      </c>
      <c r="B64" s="1">
        <v>9.66399576E8</v>
      </c>
      <c r="C64" s="1" t="s">
        <v>401</v>
      </c>
      <c r="D64" s="1">
        <v>9.66399576E8</v>
      </c>
      <c r="E64" s="1" t="s">
        <v>9</v>
      </c>
      <c r="F64" s="20" t="s">
        <v>813</v>
      </c>
      <c r="G64" s="20" t="s">
        <v>835</v>
      </c>
      <c r="H64" s="20" t="s">
        <v>812</v>
      </c>
      <c r="I64" s="21" t="s">
        <v>836</v>
      </c>
    </row>
    <row r="65">
      <c r="A65" s="19" t="s">
        <v>809</v>
      </c>
      <c r="B65" s="1" t="s">
        <v>261</v>
      </c>
      <c r="C65" s="1" t="s">
        <v>262</v>
      </c>
      <c r="D65" s="1">
        <v>9.31434249E8</v>
      </c>
      <c r="E65" s="1" t="s">
        <v>9</v>
      </c>
      <c r="F65" s="20" t="s">
        <v>837</v>
      </c>
      <c r="G65" s="11"/>
      <c r="H65" s="11"/>
    </row>
    <row r="66">
      <c r="A66" s="19" t="s">
        <v>809</v>
      </c>
      <c r="B66" s="1" t="s">
        <v>351</v>
      </c>
      <c r="C66" s="1" t="s">
        <v>352</v>
      </c>
      <c r="D66" s="1">
        <v>9.49602077E8</v>
      </c>
      <c r="E66" s="1" t="s">
        <v>9</v>
      </c>
      <c r="F66" s="20" t="s">
        <v>837</v>
      </c>
      <c r="G66" s="11"/>
      <c r="H66" s="11"/>
    </row>
    <row r="67">
      <c r="A67" s="19" t="s">
        <v>809</v>
      </c>
      <c r="B67" s="1" t="s">
        <v>407</v>
      </c>
      <c r="C67" s="1" t="s">
        <v>408</v>
      </c>
      <c r="D67" s="1">
        <v>9.69165416E8</v>
      </c>
      <c r="E67" s="1" t="s">
        <v>9</v>
      </c>
      <c r="F67" s="20" t="s">
        <v>837</v>
      </c>
      <c r="G67" s="11"/>
      <c r="H67" s="11"/>
    </row>
    <row r="68">
      <c r="A68" s="19" t="s">
        <v>809</v>
      </c>
      <c r="B68" s="1" t="s">
        <v>419</v>
      </c>
      <c r="C68" s="1" t="s">
        <v>420</v>
      </c>
      <c r="D68" s="1">
        <v>9.72754526E8</v>
      </c>
      <c r="E68" s="1" t="s">
        <v>9</v>
      </c>
      <c r="F68" s="20" t="s">
        <v>837</v>
      </c>
      <c r="G68" s="11"/>
      <c r="H68" s="11"/>
    </row>
    <row r="69">
      <c r="A69" s="19" t="s">
        <v>809</v>
      </c>
      <c r="B69" s="1" t="s">
        <v>421</v>
      </c>
      <c r="C69" s="1" t="s">
        <v>420</v>
      </c>
      <c r="D69" s="1">
        <v>9.72754526E8</v>
      </c>
      <c r="E69" s="1" t="s">
        <v>9</v>
      </c>
      <c r="F69" s="20" t="s">
        <v>837</v>
      </c>
      <c r="G69" s="11"/>
      <c r="H69" s="11"/>
    </row>
    <row r="70">
      <c r="A70" s="19" t="s">
        <v>809</v>
      </c>
      <c r="B70" s="1">
        <v>2.9771998E7</v>
      </c>
      <c r="C70" s="1" t="s">
        <v>249</v>
      </c>
      <c r="D70" s="1">
        <v>9.29771998E8</v>
      </c>
      <c r="E70" s="1" t="s">
        <v>6</v>
      </c>
      <c r="F70" s="20" t="s">
        <v>837</v>
      </c>
      <c r="G70" s="11"/>
      <c r="H70" s="11"/>
    </row>
    <row r="71">
      <c r="A71" s="19" t="s">
        <v>809</v>
      </c>
      <c r="B71" s="1" t="s">
        <v>370</v>
      </c>
      <c r="C71" s="1" t="s">
        <v>371</v>
      </c>
      <c r="D71" s="1">
        <v>9.56025344E8</v>
      </c>
      <c r="E71" s="1" t="s">
        <v>6</v>
      </c>
      <c r="F71" s="20" t="s">
        <v>837</v>
      </c>
      <c r="G71" s="11"/>
      <c r="H71" s="11"/>
    </row>
    <row r="72">
      <c r="A72" s="19" t="s">
        <v>809</v>
      </c>
      <c r="B72" s="1" t="s">
        <v>373</v>
      </c>
      <c r="C72" s="1" t="s">
        <v>371</v>
      </c>
      <c r="D72" s="1">
        <v>9.56025344E8</v>
      </c>
      <c r="E72" s="1" t="s">
        <v>6</v>
      </c>
      <c r="F72" s="20" t="s">
        <v>837</v>
      </c>
      <c r="G72" s="11"/>
      <c r="H72" s="11"/>
    </row>
    <row r="73">
      <c r="A73" s="19" t="s">
        <v>809</v>
      </c>
      <c r="B73" s="1" t="s">
        <v>294</v>
      </c>
      <c r="C73" s="1" t="s">
        <v>295</v>
      </c>
      <c r="D73" s="1">
        <v>9.39531507E8</v>
      </c>
      <c r="E73" s="1" t="s">
        <v>9</v>
      </c>
      <c r="F73" s="20" t="s">
        <v>838</v>
      </c>
      <c r="G73" s="11"/>
      <c r="H73" s="11"/>
    </row>
    <row r="74">
      <c r="A74" s="19" t="s">
        <v>809</v>
      </c>
      <c r="B74" s="1" t="s">
        <v>365</v>
      </c>
      <c r="C74" s="1" t="s">
        <v>366</v>
      </c>
      <c r="D74" s="1">
        <v>9.5538322E8</v>
      </c>
      <c r="E74" s="1" t="s">
        <v>9</v>
      </c>
      <c r="F74" s="20" t="s">
        <v>838</v>
      </c>
      <c r="G74" s="11"/>
      <c r="H74" s="11"/>
    </row>
    <row r="75">
      <c r="A75" s="19" t="s">
        <v>809</v>
      </c>
      <c r="B75" s="1" t="s">
        <v>404</v>
      </c>
      <c r="C75" s="1" t="s">
        <v>405</v>
      </c>
      <c r="D75" s="1">
        <v>9.67290584E8</v>
      </c>
      <c r="E75" s="1" t="s">
        <v>9</v>
      </c>
      <c r="F75" s="20" t="s">
        <v>838</v>
      </c>
      <c r="G75" s="11"/>
      <c r="H75" s="11"/>
    </row>
    <row r="76">
      <c r="A76" s="19" t="s">
        <v>809</v>
      </c>
      <c r="B76" s="1" t="s">
        <v>247</v>
      </c>
      <c r="C76" s="1" t="s">
        <v>248</v>
      </c>
      <c r="D76" s="1">
        <v>9.29506406E8</v>
      </c>
      <c r="E76" s="1" t="s">
        <v>9</v>
      </c>
      <c r="F76" s="20" t="s">
        <v>838</v>
      </c>
      <c r="G76" s="11"/>
      <c r="H76" s="11"/>
    </row>
    <row r="77">
      <c r="A77" s="19" t="s">
        <v>809</v>
      </c>
      <c r="B77" s="1" t="s">
        <v>306</v>
      </c>
      <c r="C77" s="1" t="s">
        <v>307</v>
      </c>
      <c r="D77" s="1">
        <v>9.41217806E8</v>
      </c>
      <c r="E77" s="1" t="s">
        <v>9</v>
      </c>
      <c r="F77" s="20" t="s">
        <v>838</v>
      </c>
      <c r="G77" s="11"/>
      <c r="H77" s="11"/>
    </row>
    <row r="78">
      <c r="A78" s="19" t="s">
        <v>809</v>
      </c>
      <c r="B78" s="1" t="s">
        <v>327</v>
      </c>
      <c r="C78" s="1" t="s">
        <v>328</v>
      </c>
      <c r="D78" s="1">
        <v>9.46472448E8</v>
      </c>
      <c r="E78" s="1" t="s">
        <v>9</v>
      </c>
      <c r="F78" s="20" t="s">
        <v>838</v>
      </c>
      <c r="G78" s="11"/>
      <c r="H78" s="11"/>
    </row>
    <row r="79">
      <c r="A79" s="19" t="s">
        <v>809</v>
      </c>
      <c r="B79" s="1" t="s">
        <v>329</v>
      </c>
      <c r="C79" s="1" t="s">
        <v>330</v>
      </c>
      <c r="D79" s="1">
        <v>9.46472448E8</v>
      </c>
      <c r="E79" s="1" t="s">
        <v>9</v>
      </c>
      <c r="F79" s="20" t="s">
        <v>838</v>
      </c>
      <c r="G79" s="11"/>
      <c r="H79" s="11"/>
    </row>
    <row r="80">
      <c r="A80" s="19" t="s">
        <v>809</v>
      </c>
      <c r="B80" s="1" t="s">
        <v>374</v>
      </c>
      <c r="C80" s="1" t="s">
        <v>375</v>
      </c>
      <c r="D80" s="1">
        <v>9.57110347E8</v>
      </c>
      <c r="E80" s="1" t="s">
        <v>9</v>
      </c>
      <c r="F80" s="20" t="s">
        <v>838</v>
      </c>
      <c r="G80" s="11"/>
      <c r="H80" s="11"/>
    </row>
    <row r="81">
      <c r="A81" s="19" t="s">
        <v>809</v>
      </c>
      <c r="B81" s="1">
        <v>9.60496477E8</v>
      </c>
      <c r="C81" s="1" t="s">
        <v>379</v>
      </c>
      <c r="D81" s="1">
        <v>9.60496477E8</v>
      </c>
      <c r="E81" s="1" t="s">
        <v>9</v>
      </c>
      <c r="F81" s="20" t="s">
        <v>838</v>
      </c>
      <c r="G81" s="11"/>
      <c r="H81" s="11"/>
    </row>
    <row r="82">
      <c r="A82" s="19" t="s">
        <v>809</v>
      </c>
      <c r="B82" s="1" t="s">
        <v>390</v>
      </c>
      <c r="C82" s="1" t="s">
        <v>391</v>
      </c>
      <c r="D82" s="1">
        <v>9.64009612E8</v>
      </c>
      <c r="E82" s="1" t="s">
        <v>9</v>
      </c>
      <c r="F82" s="20" t="s">
        <v>838</v>
      </c>
      <c r="G82" s="11"/>
      <c r="H82" s="11"/>
    </row>
    <row r="83">
      <c r="A83" s="19" t="s">
        <v>809</v>
      </c>
      <c r="B83" s="1" t="s">
        <v>399</v>
      </c>
      <c r="C83" s="1" t="s">
        <v>400</v>
      </c>
      <c r="D83" s="1">
        <v>9.662638E8</v>
      </c>
      <c r="E83" s="1" t="s">
        <v>9</v>
      </c>
      <c r="F83" s="20" t="s">
        <v>838</v>
      </c>
      <c r="G83" s="11"/>
      <c r="H83" s="11"/>
    </row>
    <row r="84">
      <c r="A84" s="19" t="s">
        <v>809</v>
      </c>
      <c r="B84" s="1" t="s">
        <v>630</v>
      </c>
      <c r="C84" s="1" t="s">
        <v>631</v>
      </c>
      <c r="D84" s="1">
        <v>9.11149237E8</v>
      </c>
      <c r="E84" s="1" t="s">
        <v>9</v>
      </c>
      <c r="F84" s="20" t="s">
        <v>838</v>
      </c>
      <c r="G84" s="11"/>
      <c r="H84" s="11"/>
    </row>
    <row r="85">
      <c r="A85" s="19" t="s">
        <v>809</v>
      </c>
      <c r="B85" s="1" t="s">
        <v>239</v>
      </c>
      <c r="C85" s="1" t="s">
        <v>240</v>
      </c>
      <c r="D85" s="1">
        <v>9.28578884E8</v>
      </c>
      <c r="E85" s="1" t="s">
        <v>6</v>
      </c>
      <c r="F85" s="20" t="s">
        <v>838</v>
      </c>
      <c r="G85" s="11"/>
      <c r="H85" s="11"/>
    </row>
    <row r="86">
      <c r="A86" s="19" t="s">
        <v>809</v>
      </c>
      <c r="B86" s="1" t="s">
        <v>241</v>
      </c>
      <c r="C86" s="1" t="s">
        <v>242</v>
      </c>
      <c r="D86" s="1">
        <v>9.28684256E8</v>
      </c>
      <c r="E86" s="1" t="s">
        <v>6</v>
      </c>
      <c r="F86" s="20" t="s">
        <v>838</v>
      </c>
      <c r="G86" s="11"/>
      <c r="H86" s="11"/>
    </row>
    <row r="87">
      <c r="A87" s="19" t="s">
        <v>809</v>
      </c>
      <c r="B87" s="1" t="s">
        <v>243</v>
      </c>
      <c r="C87" s="1" t="s">
        <v>244</v>
      </c>
      <c r="D87" s="1">
        <v>9.289894E8</v>
      </c>
      <c r="E87" s="1" t="s">
        <v>6</v>
      </c>
      <c r="F87" s="20" t="s">
        <v>838</v>
      </c>
      <c r="G87" s="11"/>
      <c r="H87" s="11"/>
    </row>
    <row r="88">
      <c r="A88" s="19" t="s">
        <v>809</v>
      </c>
      <c r="B88" s="1" t="s">
        <v>284</v>
      </c>
      <c r="C88" s="1" t="s">
        <v>285</v>
      </c>
      <c r="D88" s="1">
        <v>9.36660635E8</v>
      </c>
      <c r="E88" s="1" t="s">
        <v>6</v>
      </c>
      <c r="F88" s="20" t="s">
        <v>838</v>
      </c>
      <c r="G88" s="11"/>
      <c r="H88" s="11"/>
    </row>
    <row r="89">
      <c r="A89" s="19" t="s">
        <v>809</v>
      </c>
      <c r="B89" s="1" t="s">
        <v>296</v>
      </c>
      <c r="C89" s="1" t="s">
        <v>297</v>
      </c>
      <c r="D89" s="1">
        <v>9.4044141E8</v>
      </c>
      <c r="E89" s="1" t="s">
        <v>6</v>
      </c>
      <c r="F89" s="20" t="s">
        <v>838</v>
      </c>
      <c r="G89" s="11"/>
      <c r="H89" s="11"/>
    </row>
    <row r="90">
      <c r="A90" s="19" t="s">
        <v>809</v>
      </c>
      <c r="B90" s="1" t="s">
        <v>335</v>
      </c>
      <c r="C90" s="1" t="s">
        <v>336</v>
      </c>
      <c r="D90" s="1">
        <v>9.48017364E8</v>
      </c>
      <c r="E90" s="1" t="s">
        <v>6</v>
      </c>
      <c r="F90" s="20" t="s">
        <v>838</v>
      </c>
      <c r="G90" s="11"/>
      <c r="H90" s="11"/>
    </row>
    <row r="91">
      <c r="A91" s="19" t="s">
        <v>809</v>
      </c>
      <c r="B91" s="1" t="s">
        <v>341</v>
      </c>
      <c r="C91" s="1" t="s">
        <v>342</v>
      </c>
      <c r="D91" s="1">
        <v>9.48171232E8</v>
      </c>
      <c r="E91" s="1" t="s">
        <v>6</v>
      </c>
      <c r="F91" s="20" t="s">
        <v>838</v>
      </c>
      <c r="G91" s="11"/>
      <c r="H91" s="11"/>
    </row>
    <row r="92">
      <c r="A92" s="19" t="s">
        <v>809</v>
      </c>
      <c r="B92" s="1" t="s">
        <v>380</v>
      </c>
      <c r="C92" s="1" t="s">
        <v>381</v>
      </c>
      <c r="D92" s="1">
        <v>9.60795371E8</v>
      </c>
      <c r="E92" s="1" t="s">
        <v>6</v>
      </c>
      <c r="F92" s="20" t="s">
        <v>838</v>
      </c>
      <c r="G92" s="11"/>
      <c r="H92" s="11"/>
    </row>
    <row r="93">
      <c r="A93" s="19" t="s">
        <v>809</v>
      </c>
      <c r="B93" s="1" t="s">
        <v>300</v>
      </c>
      <c r="C93" s="1" t="s">
        <v>301</v>
      </c>
      <c r="D93" s="1">
        <v>9.60795371E8</v>
      </c>
      <c r="E93" s="1" t="s">
        <v>9</v>
      </c>
      <c r="F93" s="20" t="s">
        <v>838</v>
      </c>
      <c r="G93" s="11"/>
      <c r="H93" s="11"/>
    </row>
    <row r="94">
      <c r="A94" s="19" t="s">
        <v>809</v>
      </c>
      <c r="B94" s="1" t="s">
        <v>250</v>
      </c>
      <c r="C94" s="1" t="s">
        <v>251</v>
      </c>
      <c r="D94" s="1">
        <v>9.29940947E8</v>
      </c>
      <c r="E94" s="1" t="s">
        <v>6</v>
      </c>
      <c r="F94" s="20" t="s">
        <v>838</v>
      </c>
      <c r="G94" s="11"/>
      <c r="H94" s="11"/>
    </row>
    <row r="95">
      <c r="A95" s="19" t="s">
        <v>839</v>
      </c>
      <c r="B95" s="1" t="s">
        <v>445</v>
      </c>
      <c r="C95" s="1" t="s">
        <v>446</v>
      </c>
      <c r="D95" s="1">
        <v>9.79106361E8</v>
      </c>
      <c r="E95" s="1" t="s">
        <v>9</v>
      </c>
      <c r="F95" s="20" t="s">
        <v>810</v>
      </c>
      <c r="G95" s="20" t="s">
        <v>811</v>
      </c>
      <c r="H95" s="20" t="s">
        <v>812</v>
      </c>
    </row>
    <row r="96">
      <c r="A96" s="19" t="s">
        <v>839</v>
      </c>
      <c r="B96" s="1" t="s">
        <v>471</v>
      </c>
      <c r="C96" s="1" t="s">
        <v>472</v>
      </c>
      <c r="D96" s="8">
        <f>+2519164970</f>
        <v>2519164970</v>
      </c>
      <c r="E96" s="1" t="s">
        <v>6</v>
      </c>
      <c r="F96" s="20" t="s">
        <v>840</v>
      </c>
      <c r="G96" s="20" t="s">
        <v>811</v>
      </c>
      <c r="H96" s="20" t="s">
        <v>812</v>
      </c>
    </row>
    <row r="97">
      <c r="A97" s="19" t="s">
        <v>839</v>
      </c>
      <c r="B97" s="1" t="s">
        <v>473</v>
      </c>
      <c r="C97" s="1" t="s">
        <v>474</v>
      </c>
      <c r="D97" s="1">
        <v>9.277853071E9</v>
      </c>
      <c r="E97" s="1" t="s">
        <v>6</v>
      </c>
      <c r="F97" s="20" t="s">
        <v>840</v>
      </c>
      <c r="G97" s="20" t="s">
        <v>811</v>
      </c>
      <c r="H97" s="20" t="s">
        <v>812</v>
      </c>
    </row>
    <row r="98">
      <c r="A98" s="19" t="s">
        <v>839</v>
      </c>
      <c r="B98" s="1" t="s">
        <v>461</v>
      </c>
      <c r="C98" s="1" t="s">
        <v>462</v>
      </c>
      <c r="D98" s="1">
        <v>9.87993606E8</v>
      </c>
      <c r="E98" s="1" t="s">
        <v>9</v>
      </c>
      <c r="F98" s="20" t="s">
        <v>813</v>
      </c>
      <c r="G98" s="20" t="s">
        <v>814</v>
      </c>
      <c r="H98" s="20" t="s">
        <v>815</v>
      </c>
      <c r="I98" s="21" t="s">
        <v>841</v>
      </c>
    </row>
    <row r="99">
      <c r="A99" s="19" t="s">
        <v>839</v>
      </c>
      <c r="B99" s="1" t="s">
        <v>465</v>
      </c>
      <c r="C99" s="1" t="s">
        <v>466</v>
      </c>
      <c r="D99" s="1">
        <v>9.89772519E8</v>
      </c>
      <c r="E99" s="1" t="s">
        <v>9</v>
      </c>
      <c r="F99" s="20" t="s">
        <v>813</v>
      </c>
      <c r="G99" s="20" t="s">
        <v>814</v>
      </c>
      <c r="H99" s="20" t="s">
        <v>815</v>
      </c>
      <c r="I99" s="21" t="s">
        <v>841</v>
      </c>
    </row>
    <row r="100">
      <c r="A100" s="19" t="s">
        <v>839</v>
      </c>
      <c r="B100" s="1" t="s">
        <v>210</v>
      </c>
      <c r="C100" s="1" t="s">
        <v>211</v>
      </c>
      <c r="D100" s="8">
        <f>+251922803503</f>
        <v>251922803503</v>
      </c>
      <c r="E100" s="1" t="s">
        <v>9</v>
      </c>
      <c r="F100" s="20" t="s">
        <v>813</v>
      </c>
      <c r="G100" s="20" t="s">
        <v>814</v>
      </c>
      <c r="H100" s="20" t="s">
        <v>815</v>
      </c>
    </row>
    <row r="101">
      <c r="A101" s="19" t="s">
        <v>839</v>
      </c>
      <c r="B101" s="1" t="s">
        <v>568</v>
      </c>
      <c r="C101" s="1" t="s">
        <v>569</v>
      </c>
      <c r="D101" s="1">
        <v>2.51925866602E11</v>
      </c>
      <c r="E101" s="1" t="s">
        <v>9</v>
      </c>
      <c r="F101" s="20" t="s">
        <v>813</v>
      </c>
      <c r="G101" s="20" t="s">
        <v>814</v>
      </c>
      <c r="H101" s="20" t="s">
        <v>815</v>
      </c>
      <c r="I101" s="21" t="s">
        <v>841</v>
      </c>
    </row>
    <row r="102">
      <c r="A102" s="19" t="s">
        <v>839</v>
      </c>
      <c r="B102" s="1" t="s">
        <v>581</v>
      </c>
      <c r="C102" s="1" t="s">
        <v>582</v>
      </c>
      <c r="D102" s="8">
        <f>+251934611771</f>
        <v>251934611771</v>
      </c>
      <c r="E102" s="1" t="s">
        <v>9</v>
      </c>
      <c r="F102" s="20" t="s">
        <v>813</v>
      </c>
      <c r="G102" s="20" t="s">
        <v>814</v>
      </c>
      <c r="H102" s="20" t="s">
        <v>815</v>
      </c>
    </row>
    <row r="103">
      <c r="A103" s="19" t="s">
        <v>839</v>
      </c>
      <c r="B103" s="1" t="s">
        <v>590</v>
      </c>
      <c r="C103" s="1" t="s">
        <v>591</v>
      </c>
      <c r="D103" s="8">
        <f>+251940272303</f>
        <v>251940272303</v>
      </c>
      <c r="E103" s="1" t="s">
        <v>9</v>
      </c>
      <c r="F103" s="20" t="s">
        <v>813</v>
      </c>
      <c r="G103" s="20" t="s">
        <v>814</v>
      </c>
      <c r="H103" s="20" t="s">
        <v>815</v>
      </c>
      <c r="I103" s="21" t="s">
        <v>841</v>
      </c>
    </row>
    <row r="104">
      <c r="A104" s="19" t="s">
        <v>839</v>
      </c>
      <c r="B104" s="1" t="s">
        <v>598</v>
      </c>
      <c r="C104" s="1" t="s">
        <v>599</v>
      </c>
      <c r="D104" s="8">
        <f>+251952924765</f>
        <v>251952924765</v>
      </c>
      <c r="E104" s="1" t="s">
        <v>9</v>
      </c>
      <c r="F104" s="20" t="s">
        <v>813</v>
      </c>
      <c r="G104" s="20" t="s">
        <v>814</v>
      </c>
      <c r="H104" s="20" t="s">
        <v>815</v>
      </c>
      <c r="I104" s="21" t="s">
        <v>841</v>
      </c>
    </row>
    <row r="105">
      <c r="A105" s="19" t="s">
        <v>839</v>
      </c>
      <c r="B105" s="1" t="s">
        <v>622</v>
      </c>
      <c r="C105" s="1" t="s">
        <v>623</v>
      </c>
      <c r="D105" s="8">
        <f>+251987254680</f>
        <v>251987254680</v>
      </c>
      <c r="E105" s="1" t="s">
        <v>9</v>
      </c>
      <c r="F105" s="20" t="s">
        <v>813</v>
      </c>
      <c r="G105" s="20" t="s">
        <v>814</v>
      </c>
      <c r="H105" s="20" t="s">
        <v>815</v>
      </c>
    </row>
    <row r="106">
      <c r="A106" s="19" t="s">
        <v>839</v>
      </c>
      <c r="B106" s="1" t="s">
        <v>459</v>
      </c>
      <c r="C106" s="1" t="s">
        <v>460</v>
      </c>
      <c r="D106" s="1">
        <v>9.86873174E8</v>
      </c>
      <c r="E106" s="1" t="s">
        <v>6</v>
      </c>
      <c r="F106" s="20" t="s">
        <v>813</v>
      </c>
      <c r="G106" s="20" t="s">
        <v>814</v>
      </c>
      <c r="H106" s="20" t="s">
        <v>815</v>
      </c>
      <c r="I106" s="21" t="s">
        <v>841</v>
      </c>
    </row>
    <row r="107">
      <c r="A107" s="19" t="s">
        <v>839</v>
      </c>
      <c r="B107" s="1" t="s">
        <v>455</v>
      </c>
      <c r="C107" s="1" t="s">
        <v>456</v>
      </c>
      <c r="D107" s="1">
        <v>9.8571634E8</v>
      </c>
      <c r="E107" s="1" t="s">
        <v>9</v>
      </c>
      <c r="F107" s="20" t="s">
        <v>813</v>
      </c>
      <c r="G107" s="20" t="s">
        <v>811</v>
      </c>
      <c r="H107" s="20" t="s">
        <v>817</v>
      </c>
      <c r="I107" s="21" t="s">
        <v>842</v>
      </c>
    </row>
    <row r="108">
      <c r="A108" s="19" t="s">
        <v>839</v>
      </c>
      <c r="B108" s="1" t="s">
        <v>492</v>
      </c>
      <c r="C108" s="1" t="s">
        <v>493</v>
      </c>
      <c r="D108" s="8">
        <f>+251910491885</f>
        <v>251910491885</v>
      </c>
      <c r="E108" s="1" t="s">
        <v>9</v>
      </c>
      <c r="F108" s="20" t="s">
        <v>813</v>
      </c>
      <c r="G108" s="20" t="s">
        <v>811</v>
      </c>
      <c r="H108" s="20" t="s">
        <v>817</v>
      </c>
      <c r="I108" s="21" t="s">
        <v>842</v>
      </c>
    </row>
    <row r="109">
      <c r="A109" s="19" t="s">
        <v>839</v>
      </c>
      <c r="B109" s="1" t="s">
        <v>502</v>
      </c>
      <c r="C109" s="1" t="s">
        <v>503</v>
      </c>
      <c r="D109" s="8">
        <f>+251911265819</f>
        <v>251911265819</v>
      </c>
      <c r="E109" s="1" t="s">
        <v>9</v>
      </c>
      <c r="F109" s="20" t="s">
        <v>813</v>
      </c>
      <c r="G109" s="20" t="s">
        <v>811</v>
      </c>
      <c r="H109" s="20" t="s">
        <v>817</v>
      </c>
      <c r="I109" s="21" t="s">
        <v>843</v>
      </c>
    </row>
    <row r="110">
      <c r="A110" s="19" t="s">
        <v>839</v>
      </c>
      <c r="B110" s="1" t="s">
        <v>514</v>
      </c>
      <c r="C110" s="1" t="s">
        <v>515</v>
      </c>
      <c r="D110" s="8">
        <f>+251912307929</f>
        <v>251912307929</v>
      </c>
      <c r="E110" s="1" t="s">
        <v>9</v>
      </c>
      <c r="F110" s="20" t="s">
        <v>813</v>
      </c>
      <c r="G110" s="20" t="s">
        <v>811</v>
      </c>
      <c r="H110" s="20" t="s">
        <v>817</v>
      </c>
      <c r="I110" s="21" t="s">
        <v>844</v>
      </c>
    </row>
    <row r="111">
      <c r="A111" s="19" t="s">
        <v>839</v>
      </c>
      <c r="B111" s="1" t="s">
        <v>527</v>
      </c>
      <c r="C111" s="1" t="s">
        <v>528</v>
      </c>
      <c r="D111" s="8">
        <f>+251914795787</f>
        <v>251914795787</v>
      </c>
      <c r="E111" s="1" t="s">
        <v>9</v>
      </c>
      <c r="F111" s="20" t="s">
        <v>813</v>
      </c>
      <c r="G111" s="20" t="s">
        <v>811</v>
      </c>
      <c r="H111" s="20" t="s">
        <v>817</v>
      </c>
      <c r="I111" s="21" t="s">
        <v>845</v>
      </c>
    </row>
    <row r="112">
      <c r="A112" s="19" t="s">
        <v>839</v>
      </c>
      <c r="B112" s="1" t="s">
        <v>533</v>
      </c>
      <c r="C112" s="1" t="s">
        <v>534</v>
      </c>
      <c r="D112" s="8">
        <f>+251916165420</f>
        <v>251916165420</v>
      </c>
      <c r="E112" s="1" t="s">
        <v>9</v>
      </c>
      <c r="F112" s="20" t="s">
        <v>813</v>
      </c>
      <c r="G112" s="20" t="s">
        <v>811</v>
      </c>
      <c r="H112" s="20" t="s">
        <v>817</v>
      </c>
      <c r="I112" s="21" t="s">
        <v>846</v>
      </c>
    </row>
    <row r="113">
      <c r="A113" s="19" t="s">
        <v>839</v>
      </c>
      <c r="B113" s="1" t="s">
        <v>535</v>
      </c>
      <c r="C113" s="1" t="s">
        <v>536</v>
      </c>
      <c r="D113" s="1">
        <v>2.5191640163E11</v>
      </c>
      <c r="E113" s="1" t="s">
        <v>9</v>
      </c>
      <c r="F113" s="20" t="s">
        <v>813</v>
      </c>
      <c r="G113" s="20" t="s">
        <v>811</v>
      </c>
      <c r="H113" s="20" t="s">
        <v>817</v>
      </c>
      <c r="I113" s="21" t="s">
        <v>847</v>
      </c>
    </row>
    <row r="114">
      <c r="A114" s="19" t="s">
        <v>839</v>
      </c>
      <c r="B114" s="1" t="s">
        <v>545</v>
      </c>
      <c r="C114" s="1" t="s">
        <v>546</v>
      </c>
      <c r="D114" s="8">
        <f>+251918275409</f>
        <v>251918275409</v>
      </c>
      <c r="E114" s="1" t="s">
        <v>9</v>
      </c>
      <c r="F114" s="20" t="s">
        <v>813</v>
      </c>
      <c r="G114" s="20" t="s">
        <v>811</v>
      </c>
      <c r="H114" s="20" t="s">
        <v>817</v>
      </c>
      <c r="I114" s="21" t="s">
        <v>842</v>
      </c>
    </row>
    <row r="115">
      <c r="A115" s="19" t="s">
        <v>839</v>
      </c>
      <c r="B115" s="1" t="s">
        <v>547</v>
      </c>
      <c r="C115" s="1" t="s">
        <v>548</v>
      </c>
      <c r="D115" s="8">
        <f>+251918596572</f>
        <v>251918596572</v>
      </c>
      <c r="E115" s="1" t="s">
        <v>9</v>
      </c>
      <c r="F115" s="20" t="s">
        <v>813</v>
      </c>
      <c r="G115" s="20" t="s">
        <v>811</v>
      </c>
      <c r="H115" s="20" t="s">
        <v>817</v>
      </c>
      <c r="I115" s="21" t="s">
        <v>848</v>
      </c>
    </row>
    <row r="116">
      <c r="A116" s="19" t="s">
        <v>839</v>
      </c>
      <c r="B116" s="1" t="s">
        <v>559</v>
      </c>
      <c r="C116" s="1" t="s">
        <v>560</v>
      </c>
      <c r="D116" s="8">
        <f>+251920725480</f>
        <v>251920725480</v>
      </c>
      <c r="E116" s="1" t="s">
        <v>9</v>
      </c>
      <c r="F116" s="20" t="s">
        <v>813</v>
      </c>
      <c r="G116" s="20" t="s">
        <v>811</v>
      </c>
      <c r="H116" s="20" t="s">
        <v>817</v>
      </c>
      <c r="I116" s="21" t="s">
        <v>849</v>
      </c>
    </row>
    <row r="117">
      <c r="A117" s="19" t="s">
        <v>839</v>
      </c>
      <c r="B117" s="1" t="s">
        <v>572</v>
      </c>
      <c r="C117" s="1" t="s">
        <v>573</v>
      </c>
      <c r="D117" s="8">
        <f>+251928605078</f>
        <v>251928605078</v>
      </c>
      <c r="E117" s="1" t="s">
        <v>9</v>
      </c>
      <c r="F117" s="20" t="s">
        <v>813</v>
      </c>
      <c r="G117" s="20" t="s">
        <v>811</v>
      </c>
      <c r="H117" s="20" t="s">
        <v>817</v>
      </c>
      <c r="I117" s="21" t="s">
        <v>843</v>
      </c>
    </row>
    <row r="118">
      <c r="A118" s="19" t="s">
        <v>839</v>
      </c>
      <c r="B118" s="1" t="s">
        <v>576</v>
      </c>
      <c r="C118" s="1" t="s">
        <v>577</v>
      </c>
      <c r="D118" s="8">
        <f t="shared" ref="D118:D119" si="1">+251931705384</f>
        <v>251931705384</v>
      </c>
      <c r="E118" s="1" t="s">
        <v>9</v>
      </c>
      <c r="F118" s="20" t="s">
        <v>813</v>
      </c>
      <c r="G118" s="20" t="s">
        <v>811</v>
      </c>
      <c r="H118" s="20" t="s">
        <v>817</v>
      </c>
      <c r="I118" s="21" t="s">
        <v>850</v>
      </c>
    </row>
    <row r="119">
      <c r="A119" s="19" t="s">
        <v>839</v>
      </c>
      <c r="B119" s="1" t="s">
        <v>578</v>
      </c>
      <c r="C119" s="1" t="s">
        <v>577</v>
      </c>
      <c r="D119" s="8">
        <f t="shared" si="1"/>
        <v>251931705384</v>
      </c>
      <c r="E119" s="1" t="s">
        <v>9</v>
      </c>
      <c r="F119" s="20" t="s">
        <v>813</v>
      </c>
      <c r="G119" s="20" t="s">
        <v>811</v>
      </c>
      <c r="H119" s="20" t="s">
        <v>817</v>
      </c>
      <c r="I119" s="21" t="s">
        <v>850</v>
      </c>
    </row>
    <row r="120">
      <c r="A120" s="19" t="s">
        <v>839</v>
      </c>
      <c r="B120" s="5" t="s">
        <v>604</v>
      </c>
      <c r="C120" s="1" t="s">
        <v>605</v>
      </c>
      <c r="D120" s="1">
        <v>2.51954805653E11</v>
      </c>
      <c r="E120" s="1" t="s">
        <v>9</v>
      </c>
      <c r="F120" s="20" t="s">
        <v>813</v>
      </c>
      <c r="G120" s="20" t="s">
        <v>811</v>
      </c>
      <c r="H120" s="20" t="s">
        <v>817</v>
      </c>
      <c r="I120" s="21" t="s">
        <v>851</v>
      </c>
    </row>
    <row r="121">
      <c r="A121" s="19" t="s">
        <v>839</v>
      </c>
      <c r="B121" s="1" t="s">
        <v>608</v>
      </c>
      <c r="C121" s="1" t="s">
        <v>364</v>
      </c>
      <c r="D121" s="1">
        <v>2.51955170831E11</v>
      </c>
      <c r="E121" s="1" t="s">
        <v>9</v>
      </c>
      <c r="F121" s="20" t="s">
        <v>813</v>
      </c>
      <c r="G121" s="20" t="s">
        <v>811</v>
      </c>
      <c r="H121" s="20" t="s">
        <v>817</v>
      </c>
      <c r="I121" s="21" t="s">
        <v>852</v>
      </c>
    </row>
    <row r="122">
      <c r="A122" s="19" t="s">
        <v>839</v>
      </c>
      <c r="B122" s="1" t="s">
        <v>609</v>
      </c>
      <c r="C122" s="1" t="s">
        <v>610</v>
      </c>
      <c r="D122" s="8">
        <f t="shared" ref="D122:D124" si="2">+251967603162</f>
        <v>251967603162</v>
      </c>
      <c r="E122" s="1" t="s">
        <v>9</v>
      </c>
      <c r="F122" s="20" t="s">
        <v>813</v>
      </c>
      <c r="G122" s="20" t="s">
        <v>811</v>
      </c>
      <c r="H122" s="20" t="s">
        <v>817</v>
      </c>
      <c r="I122" s="21" t="s">
        <v>853</v>
      </c>
    </row>
    <row r="123">
      <c r="A123" s="19" t="s">
        <v>839</v>
      </c>
      <c r="B123" s="1" t="s">
        <v>611</v>
      </c>
      <c r="C123" s="1" t="s">
        <v>610</v>
      </c>
      <c r="D123" s="8">
        <f t="shared" si="2"/>
        <v>251967603162</v>
      </c>
      <c r="E123" s="1" t="s">
        <v>9</v>
      </c>
      <c r="F123" s="20" t="s">
        <v>813</v>
      </c>
      <c r="G123" s="20" t="s">
        <v>811</v>
      </c>
      <c r="H123" s="20" t="s">
        <v>817</v>
      </c>
      <c r="I123" s="21" t="s">
        <v>853</v>
      </c>
    </row>
    <row r="124">
      <c r="A124" s="19" t="s">
        <v>839</v>
      </c>
      <c r="B124" s="1" t="s">
        <v>612</v>
      </c>
      <c r="C124" s="1" t="s">
        <v>610</v>
      </c>
      <c r="D124" s="8">
        <f t="shared" si="2"/>
        <v>251967603162</v>
      </c>
      <c r="E124" s="1" t="s">
        <v>9</v>
      </c>
      <c r="F124" s="20" t="s">
        <v>813</v>
      </c>
      <c r="G124" s="20" t="s">
        <v>811</v>
      </c>
      <c r="H124" s="20" t="s">
        <v>817</v>
      </c>
      <c r="I124" s="21" t="s">
        <v>853</v>
      </c>
    </row>
    <row r="125">
      <c r="A125" s="19" t="s">
        <v>839</v>
      </c>
      <c r="B125" s="1" t="s">
        <v>618</v>
      </c>
      <c r="C125" s="1" t="s">
        <v>619</v>
      </c>
      <c r="D125" s="8">
        <f>+251975088797</f>
        <v>251975088797</v>
      </c>
      <c r="E125" s="1" t="s">
        <v>9</v>
      </c>
      <c r="F125" s="20" t="s">
        <v>813</v>
      </c>
      <c r="G125" s="20" t="s">
        <v>811</v>
      </c>
      <c r="H125" s="20" t="s">
        <v>817</v>
      </c>
      <c r="I125" s="21" t="s">
        <v>854</v>
      </c>
    </row>
    <row r="126">
      <c r="A126" s="19" t="s">
        <v>839</v>
      </c>
      <c r="B126" s="1" t="s">
        <v>620</v>
      </c>
      <c r="C126" s="1" t="s">
        <v>621</v>
      </c>
      <c r="D126" s="8">
        <f>+251985716340</f>
        <v>251985716340</v>
      </c>
      <c r="E126" s="1" t="s">
        <v>9</v>
      </c>
      <c r="F126" s="20" t="s">
        <v>813</v>
      </c>
      <c r="G126" s="20" t="s">
        <v>811</v>
      </c>
      <c r="H126" s="20" t="s">
        <v>817</v>
      </c>
      <c r="I126" s="21" t="s">
        <v>842</v>
      </c>
    </row>
    <row r="127">
      <c r="A127" s="19" t="s">
        <v>839</v>
      </c>
      <c r="B127" s="1" t="s">
        <v>626</v>
      </c>
      <c r="C127" s="1" t="s">
        <v>627</v>
      </c>
      <c r="D127" s="8">
        <f>+251993718666</f>
        <v>251993718666</v>
      </c>
      <c r="E127" s="1" t="s">
        <v>9</v>
      </c>
      <c r="F127" s="20" t="s">
        <v>813</v>
      </c>
      <c r="G127" s="20" t="s">
        <v>811</v>
      </c>
      <c r="H127" s="20" t="s">
        <v>817</v>
      </c>
      <c r="I127" s="21" t="s">
        <v>855</v>
      </c>
    </row>
    <row r="128">
      <c r="A128" s="19" t="s">
        <v>839</v>
      </c>
      <c r="B128" s="1" t="s">
        <v>490</v>
      </c>
      <c r="C128" s="1" t="s">
        <v>491</v>
      </c>
      <c r="D128" s="8">
        <f>+251910429336</f>
        <v>251910429336</v>
      </c>
      <c r="E128" s="1" t="s">
        <v>6</v>
      </c>
      <c r="F128" s="20" t="s">
        <v>813</v>
      </c>
      <c r="G128" s="20" t="s">
        <v>811</v>
      </c>
      <c r="H128" s="20" t="s">
        <v>817</v>
      </c>
      <c r="I128" s="21" t="s">
        <v>856</v>
      </c>
    </row>
    <row r="129">
      <c r="A129" s="19" t="s">
        <v>839</v>
      </c>
      <c r="B129" s="1" t="s">
        <v>498</v>
      </c>
      <c r="C129" s="1" t="s">
        <v>499</v>
      </c>
      <c r="D129" s="8">
        <f>+251911183306</f>
        <v>251911183306</v>
      </c>
      <c r="E129" s="1" t="s">
        <v>6</v>
      </c>
      <c r="F129" s="20" t="s">
        <v>813</v>
      </c>
      <c r="G129" s="20" t="s">
        <v>811</v>
      </c>
      <c r="H129" s="20" t="s">
        <v>817</v>
      </c>
      <c r="I129" s="21" t="s">
        <v>857</v>
      </c>
    </row>
    <row r="130">
      <c r="A130" s="19" t="s">
        <v>839</v>
      </c>
      <c r="B130" s="1" t="s">
        <v>516</v>
      </c>
      <c r="C130" s="1" t="s">
        <v>517</v>
      </c>
      <c r="D130" s="8">
        <f>+251912847186</f>
        <v>251912847186</v>
      </c>
      <c r="E130" s="1" t="s">
        <v>6</v>
      </c>
      <c r="F130" s="20" t="s">
        <v>813</v>
      </c>
      <c r="G130" s="20" t="s">
        <v>811</v>
      </c>
      <c r="H130" s="20" t="s">
        <v>817</v>
      </c>
      <c r="I130" s="21" t="s">
        <v>858</v>
      </c>
    </row>
    <row r="131">
      <c r="A131" s="19" t="s">
        <v>839</v>
      </c>
      <c r="B131" s="1" t="s">
        <v>521</v>
      </c>
      <c r="C131" s="1" t="s">
        <v>522</v>
      </c>
      <c r="D131" s="8">
        <f>+251914060795</f>
        <v>251914060795</v>
      </c>
      <c r="E131" s="1" t="s">
        <v>6</v>
      </c>
      <c r="F131" s="20" t="s">
        <v>813</v>
      </c>
      <c r="G131" s="20" t="s">
        <v>811</v>
      </c>
      <c r="H131" s="20" t="s">
        <v>817</v>
      </c>
      <c r="I131" s="21" t="s">
        <v>859</v>
      </c>
    </row>
    <row r="132">
      <c r="A132" s="19" t="s">
        <v>839</v>
      </c>
      <c r="B132" s="1" t="s">
        <v>523</v>
      </c>
      <c r="C132" s="1" t="s">
        <v>524</v>
      </c>
      <c r="D132" s="8">
        <f>+251914342401</f>
        <v>251914342401</v>
      </c>
      <c r="E132" s="1" t="s">
        <v>6</v>
      </c>
      <c r="F132" s="20" t="s">
        <v>813</v>
      </c>
      <c r="G132" s="20" t="s">
        <v>811</v>
      </c>
      <c r="H132" s="20" t="s">
        <v>817</v>
      </c>
      <c r="I132" s="21" t="s">
        <v>860</v>
      </c>
    </row>
    <row r="133">
      <c r="A133" s="19" t="s">
        <v>839</v>
      </c>
      <c r="B133" s="1" t="s">
        <v>525</v>
      </c>
      <c r="C133" s="1" t="s">
        <v>526</v>
      </c>
      <c r="D133" s="8">
        <f>+251914380357</f>
        <v>251914380357</v>
      </c>
      <c r="E133" s="1" t="s">
        <v>6</v>
      </c>
      <c r="F133" s="20" t="s">
        <v>813</v>
      </c>
      <c r="G133" s="20" t="s">
        <v>811</v>
      </c>
      <c r="H133" s="20" t="s">
        <v>817</v>
      </c>
      <c r="I133" s="21" t="s">
        <v>861</v>
      </c>
    </row>
    <row r="134">
      <c r="A134" s="19" t="s">
        <v>839</v>
      </c>
      <c r="B134" s="1" t="s">
        <v>531</v>
      </c>
      <c r="C134" s="1" t="s">
        <v>532</v>
      </c>
      <c r="D134" s="1">
        <v>2.51915881097E11</v>
      </c>
      <c r="E134" s="1" t="s">
        <v>6</v>
      </c>
      <c r="F134" s="20" t="s">
        <v>813</v>
      </c>
      <c r="G134" s="20" t="s">
        <v>811</v>
      </c>
      <c r="H134" s="20" t="s">
        <v>817</v>
      </c>
      <c r="I134" s="21" t="s">
        <v>862</v>
      </c>
    </row>
    <row r="135">
      <c r="A135" s="19" t="s">
        <v>839</v>
      </c>
      <c r="B135" s="1" t="s">
        <v>539</v>
      </c>
      <c r="C135" s="1" t="s">
        <v>540</v>
      </c>
      <c r="D135" s="8">
        <f>+251916870819</f>
        <v>251916870819</v>
      </c>
      <c r="E135" s="1" t="s">
        <v>6</v>
      </c>
      <c r="F135" s="20" t="s">
        <v>813</v>
      </c>
      <c r="G135" s="20" t="s">
        <v>811</v>
      </c>
      <c r="H135" s="20" t="s">
        <v>817</v>
      </c>
      <c r="I135" s="21" t="s">
        <v>863</v>
      </c>
    </row>
    <row r="136">
      <c r="A136" s="19" t="s">
        <v>839</v>
      </c>
      <c r="B136" s="1" t="s">
        <v>557</v>
      </c>
      <c r="C136" s="1" t="s">
        <v>558</v>
      </c>
      <c r="D136" s="8">
        <f>+251920199838</f>
        <v>251920199838</v>
      </c>
      <c r="E136" s="1" t="s">
        <v>6</v>
      </c>
      <c r="F136" s="20" t="s">
        <v>813</v>
      </c>
      <c r="G136" s="20" t="s">
        <v>811</v>
      </c>
      <c r="H136" s="20" t="s">
        <v>817</v>
      </c>
      <c r="I136" s="21" t="s">
        <v>864</v>
      </c>
    </row>
    <row r="137">
      <c r="A137" s="19" t="s">
        <v>839</v>
      </c>
      <c r="B137" s="1" t="s">
        <v>188</v>
      </c>
      <c r="C137" s="1" t="s">
        <v>561</v>
      </c>
      <c r="D137" s="8">
        <f>+251920782773</f>
        <v>251920782773</v>
      </c>
      <c r="E137" s="1" t="s">
        <v>6</v>
      </c>
      <c r="F137" s="20" t="s">
        <v>813</v>
      </c>
      <c r="G137" s="20" t="s">
        <v>811</v>
      </c>
      <c r="H137" s="20" t="s">
        <v>817</v>
      </c>
      <c r="I137" s="21" t="s">
        <v>865</v>
      </c>
    </row>
    <row r="138">
      <c r="A138" s="19" t="s">
        <v>839</v>
      </c>
      <c r="B138" s="1" t="s">
        <v>564</v>
      </c>
      <c r="C138" s="1" t="s">
        <v>565</v>
      </c>
      <c r="D138" s="8">
        <f>+251922131972</f>
        <v>251922131972</v>
      </c>
      <c r="E138" s="1" t="s">
        <v>6</v>
      </c>
      <c r="F138" s="20" t="s">
        <v>813</v>
      </c>
      <c r="G138" s="20" t="s">
        <v>811</v>
      </c>
      <c r="H138" s="20" t="s">
        <v>817</v>
      </c>
      <c r="I138" s="21" t="s">
        <v>866</v>
      </c>
    </row>
    <row r="139">
      <c r="A139" s="19" t="s">
        <v>839</v>
      </c>
      <c r="B139" s="1" t="s">
        <v>570</v>
      </c>
      <c r="C139" s="1" t="s">
        <v>571</v>
      </c>
      <c r="D139" s="8">
        <f>+251926798225</f>
        <v>251926798225</v>
      </c>
      <c r="E139" s="1" t="s">
        <v>6</v>
      </c>
      <c r="F139" s="20" t="s">
        <v>813</v>
      </c>
      <c r="G139" s="20" t="s">
        <v>811</v>
      </c>
      <c r="H139" s="20" t="s">
        <v>817</v>
      </c>
      <c r="I139" s="21" t="s">
        <v>859</v>
      </c>
    </row>
    <row r="140">
      <c r="A140" s="19" t="s">
        <v>839</v>
      </c>
      <c r="B140" s="1" t="s">
        <v>583</v>
      </c>
      <c r="C140" s="1" t="s">
        <v>584</v>
      </c>
      <c r="D140" s="8">
        <f>+251935860013</f>
        <v>251935860013</v>
      </c>
      <c r="E140" s="1" t="s">
        <v>6</v>
      </c>
      <c r="F140" s="20" t="s">
        <v>813</v>
      </c>
      <c r="G140" s="20" t="s">
        <v>811</v>
      </c>
      <c r="H140" s="20" t="s">
        <v>817</v>
      </c>
      <c r="I140" s="21" t="s">
        <v>852</v>
      </c>
    </row>
    <row r="141">
      <c r="A141" s="19" t="s">
        <v>839</v>
      </c>
      <c r="B141" s="1" t="s">
        <v>463</v>
      </c>
      <c r="C141" s="1" t="s">
        <v>464</v>
      </c>
      <c r="D141" s="1" t="s">
        <v>852</v>
      </c>
      <c r="E141" s="1" t="s">
        <v>6</v>
      </c>
      <c r="F141" s="20" t="s">
        <v>813</v>
      </c>
      <c r="G141" s="20" t="s">
        <v>811</v>
      </c>
      <c r="H141" s="20" t="s">
        <v>817</v>
      </c>
    </row>
    <row r="142">
      <c r="A142" s="19" t="s">
        <v>839</v>
      </c>
      <c r="B142" s="1" t="s">
        <v>439</v>
      </c>
      <c r="C142" s="1" t="s">
        <v>440</v>
      </c>
      <c r="D142" s="1">
        <v>9.78362454E8</v>
      </c>
      <c r="E142" s="1" t="s">
        <v>9</v>
      </c>
      <c r="F142" s="20" t="s">
        <v>813</v>
      </c>
      <c r="G142" s="20" t="s">
        <v>811</v>
      </c>
      <c r="H142" s="20" t="s">
        <v>812</v>
      </c>
    </row>
    <row r="143">
      <c r="A143" s="19" t="s">
        <v>839</v>
      </c>
      <c r="B143" s="1" t="s">
        <v>602</v>
      </c>
      <c r="C143" s="1" t="s">
        <v>603</v>
      </c>
      <c r="D143" s="8">
        <f>+251953767833</f>
        <v>251953767833</v>
      </c>
      <c r="E143" s="1" t="s">
        <v>9</v>
      </c>
      <c r="F143" s="20" t="s">
        <v>813</v>
      </c>
      <c r="G143" s="20" t="s">
        <v>811</v>
      </c>
      <c r="H143" s="20" t="s">
        <v>812</v>
      </c>
    </row>
    <row r="144">
      <c r="A144" s="19" t="s">
        <v>839</v>
      </c>
      <c r="B144" s="1" t="s">
        <v>482</v>
      </c>
      <c r="C144" s="1" t="s">
        <v>483</v>
      </c>
      <c r="D144" s="8">
        <f>+251900572178</f>
        <v>251900572178</v>
      </c>
      <c r="E144" s="1" t="s">
        <v>6</v>
      </c>
      <c r="F144" s="20" t="s">
        <v>813</v>
      </c>
      <c r="G144" s="20" t="s">
        <v>811</v>
      </c>
      <c r="H144" s="20" t="s">
        <v>812</v>
      </c>
      <c r="I144" s="21" t="s">
        <v>867</v>
      </c>
    </row>
    <row r="145">
      <c r="A145" s="19" t="s">
        <v>839</v>
      </c>
      <c r="B145" s="1" t="s">
        <v>486</v>
      </c>
      <c r="C145" s="1" t="s">
        <v>487</v>
      </c>
      <c r="D145" s="1">
        <v>2.51904463782E11</v>
      </c>
      <c r="E145" s="1" t="s">
        <v>6</v>
      </c>
      <c r="F145" s="20" t="s">
        <v>813</v>
      </c>
      <c r="G145" s="20" t="s">
        <v>811</v>
      </c>
      <c r="H145" s="20" t="s">
        <v>812</v>
      </c>
      <c r="I145" s="21" t="s">
        <v>867</v>
      </c>
    </row>
    <row r="146">
      <c r="A146" s="19" t="s">
        <v>839</v>
      </c>
      <c r="B146" s="1" t="s">
        <v>512</v>
      </c>
      <c r="C146" s="1" t="s">
        <v>513</v>
      </c>
      <c r="D146" s="8">
        <f>+251912062694</f>
        <v>251912062694</v>
      </c>
      <c r="E146" s="1" t="s">
        <v>6</v>
      </c>
      <c r="F146" s="20" t="s">
        <v>813</v>
      </c>
      <c r="G146" s="20" t="s">
        <v>811</v>
      </c>
      <c r="H146" s="20" t="s">
        <v>812</v>
      </c>
    </row>
    <row r="147">
      <c r="A147" s="19" t="s">
        <v>839</v>
      </c>
      <c r="B147" s="1" t="s">
        <v>494</v>
      </c>
      <c r="C147" s="1" t="s">
        <v>495</v>
      </c>
      <c r="D147" s="8">
        <f t="shared" ref="D147:D148" si="3">+251911104701</f>
        <v>251911104701</v>
      </c>
      <c r="E147" s="1" t="s">
        <v>9</v>
      </c>
      <c r="F147" s="20" t="s">
        <v>813</v>
      </c>
      <c r="G147" s="20" t="s">
        <v>835</v>
      </c>
      <c r="H147" s="20" t="s">
        <v>868</v>
      </c>
    </row>
    <row r="148">
      <c r="A148" s="19" t="s">
        <v>839</v>
      </c>
      <c r="B148" s="1" t="s">
        <v>496</v>
      </c>
      <c r="C148" s="1" t="s">
        <v>497</v>
      </c>
      <c r="D148" s="8">
        <f t="shared" si="3"/>
        <v>251911104701</v>
      </c>
      <c r="E148" s="1" t="s">
        <v>9</v>
      </c>
      <c r="F148" s="20" t="s">
        <v>813</v>
      </c>
      <c r="G148" s="20" t="s">
        <v>835</v>
      </c>
      <c r="H148" s="20" t="s">
        <v>868</v>
      </c>
    </row>
    <row r="149">
      <c r="A149" s="19" t="s">
        <v>839</v>
      </c>
      <c r="B149" s="1" t="s">
        <v>504</v>
      </c>
      <c r="C149" s="1" t="s">
        <v>505</v>
      </c>
      <c r="D149" s="8">
        <f>+251911545469</f>
        <v>251911545469</v>
      </c>
      <c r="E149" s="1" t="s">
        <v>9</v>
      </c>
      <c r="F149" s="20" t="s">
        <v>813</v>
      </c>
      <c r="G149" s="20" t="s">
        <v>835</v>
      </c>
      <c r="H149" s="20" t="s">
        <v>868</v>
      </c>
    </row>
    <row r="150">
      <c r="A150" s="19" t="s">
        <v>839</v>
      </c>
      <c r="B150" s="1" t="s">
        <v>553</v>
      </c>
      <c r="C150" s="1" t="s">
        <v>554</v>
      </c>
      <c r="D150" s="1">
        <v>2.5191874452E11</v>
      </c>
      <c r="E150" s="1" t="s">
        <v>9</v>
      </c>
      <c r="F150" s="20" t="s">
        <v>813</v>
      </c>
      <c r="G150" s="20" t="s">
        <v>835</v>
      </c>
      <c r="H150" s="20" t="s">
        <v>869</v>
      </c>
    </row>
    <row r="151">
      <c r="A151" s="19" t="s">
        <v>839</v>
      </c>
      <c r="B151" s="1" t="s">
        <v>506</v>
      </c>
      <c r="C151" s="1" t="s">
        <v>507</v>
      </c>
      <c r="D151" s="8">
        <f>+251911741567</f>
        <v>251911741567</v>
      </c>
      <c r="E151" s="1" t="s">
        <v>6</v>
      </c>
      <c r="F151" s="20" t="s">
        <v>813</v>
      </c>
      <c r="G151" s="20" t="s">
        <v>835</v>
      </c>
      <c r="H151" s="20" t="s">
        <v>869</v>
      </c>
    </row>
    <row r="152">
      <c r="A152" s="19" t="s">
        <v>839</v>
      </c>
      <c r="B152" s="1" t="s">
        <v>469</v>
      </c>
      <c r="C152" s="1" t="s">
        <v>470</v>
      </c>
      <c r="D152" s="1">
        <v>9.94349744E8</v>
      </c>
      <c r="E152" s="1" t="s">
        <v>9</v>
      </c>
      <c r="F152" s="20" t="s">
        <v>813</v>
      </c>
      <c r="G152" s="20" t="s">
        <v>811</v>
      </c>
      <c r="H152" s="20" t="s">
        <v>817</v>
      </c>
      <c r="I152" s="21" t="s">
        <v>870</v>
      </c>
    </row>
    <row r="153">
      <c r="A153" s="19" t="s">
        <v>839</v>
      </c>
      <c r="B153" s="1" t="s">
        <v>541</v>
      </c>
      <c r="C153" s="1" t="s">
        <v>542</v>
      </c>
      <c r="D153" s="8">
        <f>+251917497198</f>
        <v>251917497198</v>
      </c>
      <c r="E153" s="1" t="s">
        <v>9</v>
      </c>
      <c r="F153" s="20" t="s">
        <v>813</v>
      </c>
      <c r="G153" s="20" t="s">
        <v>811</v>
      </c>
      <c r="H153" s="20" t="s">
        <v>817</v>
      </c>
      <c r="I153" s="21" t="s">
        <v>871</v>
      </c>
    </row>
    <row r="154">
      <c r="A154" s="19" t="s">
        <v>839</v>
      </c>
      <c r="B154" s="1" t="s">
        <v>432</v>
      </c>
      <c r="C154" s="1" t="s">
        <v>433</v>
      </c>
      <c r="D154" s="1">
        <v>9.75693717E8</v>
      </c>
      <c r="E154" s="1" t="s">
        <v>9</v>
      </c>
      <c r="F154" s="20" t="s">
        <v>837</v>
      </c>
      <c r="G154" s="11"/>
      <c r="H154" s="11"/>
    </row>
    <row r="155">
      <c r="A155" s="19" t="s">
        <v>839</v>
      </c>
      <c r="B155" s="1" t="s">
        <v>484</v>
      </c>
      <c r="C155" s="1" t="s">
        <v>485</v>
      </c>
      <c r="D155" s="8">
        <f>+251903003968</f>
        <v>251903003968</v>
      </c>
      <c r="E155" s="1" t="s">
        <v>9</v>
      </c>
      <c r="F155" s="20" t="s">
        <v>837</v>
      </c>
      <c r="G155" s="11"/>
      <c r="H155" s="11"/>
    </row>
    <row r="156">
      <c r="A156" s="19" t="s">
        <v>839</v>
      </c>
      <c r="B156" s="1" t="s">
        <v>555</v>
      </c>
      <c r="C156" s="1" t="s">
        <v>556</v>
      </c>
      <c r="D156" s="8">
        <f>+251920023175</f>
        <v>251920023175</v>
      </c>
      <c r="E156" s="1" t="s">
        <v>9</v>
      </c>
      <c r="F156" s="20" t="s">
        <v>837</v>
      </c>
      <c r="G156" s="11"/>
      <c r="H156" s="11"/>
    </row>
    <row r="157">
      <c r="A157" s="19" t="s">
        <v>839</v>
      </c>
      <c r="B157" s="1" t="s">
        <v>587</v>
      </c>
      <c r="C157" s="1" t="s">
        <v>588</v>
      </c>
      <c r="D157" s="8">
        <f>+251939338339</f>
        <v>251939338339</v>
      </c>
      <c r="E157" s="1" t="s">
        <v>9</v>
      </c>
      <c r="F157" s="20" t="s">
        <v>837</v>
      </c>
      <c r="G157" s="11"/>
      <c r="H157" s="11"/>
    </row>
    <row r="158">
      <c r="A158" s="19" t="s">
        <v>839</v>
      </c>
      <c r="B158" s="1" t="s">
        <v>435</v>
      </c>
      <c r="C158" s="1" t="s">
        <v>436</v>
      </c>
      <c r="D158" s="1">
        <v>9.75865779E8</v>
      </c>
      <c r="E158" s="1" t="s">
        <v>6</v>
      </c>
      <c r="F158" s="20" t="s">
        <v>837</v>
      </c>
      <c r="G158" s="11"/>
      <c r="H158" s="11"/>
    </row>
    <row r="159">
      <c r="A159" s="19" t="s">
        <v>839</v>
      </c>
      <c r="B159" s="1" t="s">
        <v>447</v>
      </c>
      <c r="C159" s="1" t="s">
        <v>448</v>
      </c>
      <c r="D159" s="1">
        <v>9.82868699E8</v>
      </c>
      <c r="E159" s="1" t="s">
        <v>6</v>
      </c>
      <c r="F159" s="20" t="s">
        <v>837</v>
      </c>
      <c r="G159" s="11"/>
      <c r="H159" s="11"/>
    </row>
    <row r="160">
      <c r="A160" s="19" t="s">
        <v>839</v>
      </c>
      <c r="B160" s="1" t="s">
        <v>449</v>
      </c>
      <c r="C160" s="1" t="s">
        <v>450</v>
      </c>
      <c r="D160" s="1">
        <v>9.83202494E8</v>
      </c>
      <c r="E160" s="1" t="s">
        <v>6</v>
      </c>
      <c r="F160" s="20" t="s">
        <v>837</v>
      </c>
      <c r="G160" s="11"/>
      <c r="H160" s="11"/>
    </row>
    <row r="161">
      <c r="A161" s="19" t="s">
        <v>839</v>
      </c>
      <c r="B161" s="1" t="s">
        <v>457</v>
      </c>
      <c r="C161" s="1" t="s">
        <v>458</v>
      </c>
      <c r="D161" s="1">
        <v>9.85886549E8</v>
      </c>
      <c r="E161" s="1" t="s">
        <v>6</v>
      </c>
      <c r="F161" s="20" t="s">
        <v>837</v>
      </c>
      <c r="G161" s="11"/>
      <c r="H161" s="11"/>
    </row>
    <row r="162">
      <c r="A162" s="19" t="s">
        <v>839</v>
      </c>
      <c r="B162" s="1" t="s">
        <v>467</v>
      </c>
      <c r="C162" s="1" t="s">
        <v>468</v>
      </c>
      <c r="D162" s="1">
        <v>9.93692323E8</v>
      </c>
      <c r="E162" s="1" t="s">
        <v>6</v>
      </c>
      <c r="F162" s="20" t="s">
        <v>837</v>
      </c>
      <c r="G162" s="11"/>
      <c r="H162" s="11"/>
    </row>
    <row r="163">
      <c r="A163" s="19" t="s">
        <v>839</v>
      </c>
      <c r="B163" s="1" t="s">
        <v>488</v>
      </c>
      <c r="C163" s="1" t="s">
        <v>489</v>
      </c>
      <c r="D163" s="8">
        <f>+251905037823</f>
        <v>251905037823</v>
      </c>
      <c r="E163" s="1" t="s">
        <v>6</v>
      </c>
      <c r="F163" s="20" t="s">
        <v>837</v>
      </c>
      <c r="G163" s="11"/>
      <c r="H163" s="11"/>
    </row>
    <row r="164">
      <c r="A164" s="19" t="s">
        <v>839</v>
      </c>
      <c r="B164" s="1" t="s">
        <v>508</v>
      </c>
      <c r="C164" s="1" t="s">
        <v>509</v>
      </c>
      <c r="D164" s="8">
        <f>+251911803061</f>
        <v>251911803061</v>
      </c>
      <c r="E164" s="1" t="s">
        <v>6</v>
      </c>
      <c r="F164" s="20" t="s">
        <v>837</v>
      </c>
      <c r="G164" s="11"/>
      <c r="H164" s="11"/>
    </row>
    <row r="165">
      <c r="A165" s="19" t="s">
        <v>839</v>
      </c>
      <c r="B165" s="1" t="s">
        <v>116</v>
      </c>
      <c r="C165" s="1" t="s">
        <v>117</v>
      </c>
      <c r="D165" s="8">
        <f>+251915128604</f>
        <v>251915128604</v>
      </c>
      <c r="E165" s="1" t="s">
        <v>6</v>
      </c>
      <c r="F165" s="20" t="s">
        <v>837</v>
      </c>
      <c r="G165" s="11"/>
      <c r="H165" s="11"/>
    </row>
    <row r="166">
      <c r="A166" s="19" t="s">
        <v>839</v>
      </c>
      <c r="B166" s="1" t="s">
        <v>566</v>
      </c>
      <c r="C166" s="1" t="s">
        <v>567</v>
      </c>
      <c r="D166" s="8">
        <f>+251923515458</f>
        <v>251923515458</v>
      </c>
      <c r="E166" s="1" t="s">
        <v>6</v>
      </c>
      <c r="F166" s="20" t="s">
        <v>837</v>
      </c>
      <c r="G166" s="11"/>
      <c r="H166" s="11"/>
    </row>
    <row r="167">
      <c r="A167" s="19" t="s">
        <v>839</v>
      </c>
      <c r="B167" s="1" t="s">
        <v>574</v>
      </c>
      <c r="C167" s="1" t="s">
        <v>575</v>
      </c>
      <c r="D167" s="8">
        <f>+251931590256</f>
        <v>251931590256</v>
      </c>
      <c r="E167" s="1" t="s">
        <v>6</v>
      </c>
      <c r="F167" s="20" t="s">
        <v>837</v>
      </c>
      <c r="G167" s="11"/>
      <c r="H167" s="11"/>
    </row>
    <row r="168">
      <c r="A168" s="19" t="s">
        <v>839</v>
      </c>
      <c r="B168" s="1" t="s">
        <v>579</v>
      </c>
      <c r="C168" s="1" t="s">
        <v>580</v>
      </c>
      <c r="D168" s="1">
        <v>2.51934039076E11</v>
      </c>
      <c r="E168" s="1" t="s">
        <v>6</v>
      </c>
      <c r="F168" s="20" t="s">
        <v>837</v>
      </c>
      <c r="G168" s="11"/>
      <c r="H168" s="11"/>
    </row>
    <row r="169">
      <c r="A169" s="19" t="s">
        <v>839</v>
      </c>
      <c r="B169" s="1" t="s">
        <v>500</v>
      </c>
      <c r="C169" s="1" t="s">
        <v>501</v>
      </c>
      <c r="D169" s="8">
        <f>+251911218226</f>
        <v>251911218226</v>
      </c>
      <c r="E169" s="1" t="s">
        <v>9</v>
      </c>
      <c r="F169" s="20" t="s">
        <v>837</v>
      </c>
      <c r="G169" s="11"/>
      <c r="H169" s="11"/>
    </row>
    <row r="170">
      <c r="A170" s="19" t="s">
        <v>839</v>
      </c>
      <c r="B170" s="1" t="s">
        <v>475</v>
      </c>
      <c r="C170" s="1" t="s">
        <v>476</v>
      </c>
      <c r="D170" s="8">
        <f>+251706003495</f>
        <v>251706003495</v>
      </c>
      <c r="E170" s="1" t="s">
        <v>9</v>
      </c>
      <c r="F170" s="20" t="s">
        <v>872</v>
      </c>
      <c r="G170" s="11"/>
      <c r="H170" s="11"/>
    </row>
    <row r="171">
      <c r="A171" s="19" t="s">
        <v>839</v>
      </c>
      <c r="B171" s="1" t="s">
        <v>479</v>
      </c>
      <c r="C171" s="1" t="s">
        <v>480</v>
      </c>
      <c r="D171" s="8">
        <f t="shared" ref="D171:D172" si="4">+251715128063</f>
        <v>251715128063</v>
      </c>
      <c r="E171" s="1" t="s">
        <v>9</v>
      </c>
      <c r="F171" s="20" t="s">
        <v>872</v>
      </c>
      <c r="G171" s="11"/>
      <c r="H171" s="11"/>
    </row>
    <row r="172">
      <c r="A172" s="19" t="s">
        <v>839</v>
      </c>
      <c r="B172" s="1" t="s">
        <v>481</v>
      </c>
      <c r="C172" s="1" t="s">
        <v>480</v>
      </c>
      <c r="D172" s="8">
        <f t="shared" si="4"/>
        <v>251715128063</v>
      </c>
      <c r="E172" s="1" t="s">
        <v>9</v>
      </c>
      <c r="F172" s="20" t="s">
        <v>872</v>
      </c>
      <c r="G172" s="11"/>
      <c r="H172" s="11"/>
    </row>
    <row r="173">
      <c r="A173" s="19" t="s">
        <v>839</v>
      </c>
      <c r="B173" s="1" t="s">
        <v>477</v>
      </c>
      <c r="C173" s="1" t="s">
        <v>478</v>
      </c>
      <c r="D173" s="8">
        <f>+251711594776</f>
        <v>251711594776</v>
      </c>
      <c r="E173" s="1" t="s">
        <v>6</v>
      </c>
      <c r="F173" s="20" t="s">
        <v>872</v>
      </c>
      <c r="G173" s="11"/>
      <c r="H173" s="11"/>
    </row>
    <row r="174">
      <c r="A174" s="19" t="s">
        <v>839</v>
      </c>
      <c r="B174" s="1" t="s">
        <v>437</v>
      </c>
      <c r="C174" s="1" t="s">
        <v>438</v>
      </c>
      <c r="D174" s="1">
        <v>9.76980287E8</v>
      </c>
      <c r="E174" s="1" t="s">
        <v>9</v>
      </c>
      <c r="F174" s="20" t="s">
        <v>838</v>
      </c>
      <c r="G174" s="11"/>
      <c r="H174" s="11"/>
    </row>
    <row r="175">
      <c r="A175" s="19" t="s">
        <v>839</v>
      </c>
      <c r="B175" s="1" t="s">
        <v>441</v>
      </c>
      <c r="C175" s="1" t="s">
        <v>442</v>
      </c>
      <c r="D175" s="1">
        <v>9.78595942E8</v>
      </c>
      <c r="E175" s="1" t="s">
        <v>9</v>
      </c>
      <c r="F175" s="20" t="s">
        <v>838</v>
      </c>
      <c r="G175" s="11"/>
      <c r="H175" s="11"/>
    </row>
    <row r="176">
      <c r="A176" s="19" t="s">
        <v>839</v>
      </c>
      <c r="B176" s="1" t="s">
        <v>451</v>
      </c>
      <c r="C176" s="1" t="s">
        <v>452</v>
      </c>
      <c r="D176" s="1">
        <v>9.83374086E8</v>
      </c>
      <c r="E176" s="1" t="s">
        <v>9</v>
      </c>
      <c r="F176" s="20" t="s">
        <v>838</v>
      </c>
      <c r="G176" s="11"/>
      <c r="H176" s="11"/>
    </row>
    <row r="177">
      <c r="A177" s="19" t="s">
        <v>839</v>
      </c>
      <c r="B177" s="1" t="s">
        <v>453</v>
      </c>
      <c r="C177" s="1" t="s">
        <v>454</v>
      </c>
      <c r="D177" s="1">
        <v>9.83659374E8</v>
      </c>
      <c r="E177" s="1" t="s">
        <v>9</v>
      </c>
      <c r="F177" s="20" t="s">
        <v>838</v>
      </c>
      <c r="G177" s="11"/>
      <c r="H177" s="11"/>
    </row>
    <row r="178">
      <c r="A178" s="19" t="s">
        <v>839</v>
      </c>
      <c r="B178" s="1" t="s">
        <v>519</v>
      </c>
      <c r="C178" s="1" t="s">
        <v>520</v>
      </c>
      <c r="D178" s="8">
        <f>+251913626228</f>
        <v>251913626228</v>
      </c>
      <c r="E178" s="1" t="s">
        <v>9</v>
      </c>
      <c r="F178" s="20" t="s">
        <v>838</v>
      </c>
      <c r="G178" s="11"/>
      <c r="H178" s="11"/>
    </row>
    <row r="179">
      <c r="A179" s="19" t="s">
        <v>839</v>
      </c>
      <c r="B179" s="5" t="s">
        <v>529</v>
      </c>
      <c r="C179" s="1" t="s">
        <v>530</v>
      </c>
      <c r="D179" s="8">
        <f>+251914980501</f>
        <v>251914980501</v>
      </c>
      <c r="E179" s="1" t="s">
        <v>9</v>
      </c>
      <c r="F179" s="20" t="s">
        <v>838</v>
      </c>
      <c r="G179" s="11"/>
      <c r="H179" s="11"/>
    </row>
    <row r="180">
      <c r="A180" s="19" t="s">
        <v>839</v>
      </c>
      <c r="B180" s="1" t="s">
        <v>589</v>
      </c>
      <c r="C180" s="1" t="s">
        <v>295</v>
      </c>
      <c r="D180" s="8">
        <f>+251939531507</f>
        <v>251939531507</v>
      </c>
      <c r="E180" s="1" t="s">
        <v>9</v>
      </c>
      <c r="F180" s="20" t="s">
        <v>838</v>
      </c>
      <c r="G180" s="11"/>
      <c r="H180" s="11"/>
    </row>
    <row r="181">
      <c r="A181" s="19" t="s">
        <v>839</v>
      </c>
      <c r="B181" s="1" t="s">
        <v>596</v>
      </c>
      <c r="C181" s="1" t="s">
        <v>597</v>
      </c>
      <c r="D181" s="8">
        <f>+251947151741</f>
        <v>251947151741</v>
      </c>
      <c r="E181" s="1" t="s">
        <v>9</v>
      </c>
      <c r="F181" s="20" t="s">
        <v>838</v>
      </c>
      <c r="G181" s="11"/>
      <c r="H181" s="11"/>
    </row>
    <row r="182">
      <c r="A182" s="19" t="s">
        <v>839</v>
      </c>
      <c r="B182" s="1" t="s">
        <v>443</v>
      </c>
      <c r="C182" s="1" t="s">
        <v>444</v>
      </c>
      <c r="D182" s="1">
        <v>9.79097297E8</v>
      </c>
      <c r="E182" s="1" t="s">
        <v>6</v>
      </c>
      <c r="F182" s="20" t="s">
        <v>838</v>
      </c>
      <c r="G182" s="11"/>
      <c r="H182" s="11"/>
    </row>
    <row r="183">
      <c r="A183" s="19" t="s">
        <v>839</v>
      </c>
      <c r="B183" s="1" t="s">
        <v>510</v>
      </c>
      <c r="C183" s="1" t="s">
        <v>511</v>
      </c>
      <c r="D183" s="8">
        <f>+251912037139</f>
        <v>251912037139</v>
      </c>
      <c r="E183" s="1" t="s">
        <v>6</v>
      </c>
      <c r="F183" s="20" t="s">
        <v>838</v>
      </c>
      <c r="G183" s="11"/>
      <c r="H183" s="11"/>
    </row>
    <row r="184">
      <c r="A184" s="19" t="s">
        <v>839</v>
      </c>
      <c r="B184" s="1" t="s">
        <v>537</v>
      </c>
      <c r="C184" s="1" t="s">
        <v>538</v>
      </c>
      <c r="D184" s="1">
        <v>2.51916867642E11</v>
      </c>
      <c r="E184" s="1" t="s">
        <v>6</v>
      </c>
      <c r="F184" s="20" t="s">
        <v>838</v>
      </c>
      <c r="G184" s="11"/>
      <c r="H184" s="11"/>
    </row>
    <row r="185">
      <c r="A185" s="19" t="s">
        <v>839</v>
      </c>
      <c r="B185" s="1" t="s">
        <v>543</v>
      </c>
      <c r="C185" s="1" t="s">
        <v>544</v>
      </c>
      <c r="D185" s="1">
        <v>2.51918250199E11</v>
      </c>
      <c r="E185" s="1" t="s">
        <v>6</v>
      </c>
      <c r="F185" s="20" t="s">
        <v>838</v>
      </c>
      <c r="G185" s="11"/>
      <c r="H185" s="11"/>
    </row>
    <row r="186">
      <c r="A186" s="19" t="s">
        <v>839</v>
      </c>
      <c r="B186" s="1" t="s">
        <v>549</v>
      </c>
      <c r="C186" s="1" t="s">
        <v>550</v>
      </c>
      <c r="D186" s="8">
        <f t="shared" ref="D186:D187" si="5">+251918719497</f>
        <v>251918719497</v>
      </c>
      <c r="E186" s="1" t="s">
        <v>6</v>
      </c>
      <c r="F186" s="20" t="s">
        <v>838</v>
      </c>
      <c r="G186" s="11"/>
      <c r="H186" s="11"/>
    </row>
    <row r="187">
      <c r="A187" s="19" t="s">
        <v>839</v>
      </c>
      <c r="B187" s="1" t="s">
        <v>551</v>
      </c>
      <c r="C187" s="1" t="s">
        <v>552</v>
      </c>
      <c r="D187" s="8">
        <f t="shared" si="5"/>
        <v>251918719497</v>
      </c>
      <c r="E187" s="1" t="s">
        <v>6</v>
      </c>
      <c r="F187" s="20" t="s">
        <v>838</v>
      </c>
      <c r="G187" s="11"/>
      <c r="H187" s="11"/>
    </row>
    <row r="188">
      <c r="A188" s="19" t="s">
        <v>839</v>
      </c>
      <c r="B188" s="1" t="s">
        <v>562</v>
      </c>
      <c r="C188" s="1" t="s">
        <v>563</v>
      </c>
      <c r="D188" s="8">
        <f>+251921182075</f>
        <v>251921182075</v>
      </c>
      <c r="E188" s="1" t="s">
        <v>6</v>
      </c>
      <c r="F188" s="20" t="s">
        <v>838</v>
      </c>
      <c r="G188" s="11"/>
      <c r="H188" s="11"/>
    </row>
    <row r="189">
      <c r="A189" s="19" t="s">
        <v>839</v>
      </c>
      <c r="B189" s="1" t="s">
        <v>267</v>
      </c>
      <c r="C189" s="1" t="s">
        <v>268</v>
      </c>
      <c r="D189" s="8">
        <f>+251931894575</f>
        <v>251931894575</v>
      </c>
      <c r="E189" s="1" t="s">
        <v>6</v>
      </c>
      <c r="F189" s="20" t="s">
        <v>838</v>
      </c>
      <c r="G189" s="11"/>
      <c r="H189" s="11"/>
    </row>
    <row r="190">
      <c r="A190" s="19" t="s">
        <v>873</v>
      </c>
      <c r="B190" s="1" t="s">
        <v>30</v>
      </c>
      <c r="C190" s="1" t="s">
        <v>31</v>
      </c>
      <c r="D190" s="1">
        <v>9.04944174E8</v>
      </c>
      <c r="E190" s="1" t="s">
        <v>9</v>
      </c>
      <c r="F190" s="20" t="s">
        <v>813</v>
      </c>
      <c r="G190" s="20" t="s">
        <v>814</v>
      </c>
      <c r="H190" s="20" t="s">
        <v>815</v>
      </c>
    </row>
    <row r="191">
      <c r="A191" s="19" t="s">
        <v>873</v>
      </c>
      <c r="B191" s="1" t="s">
        <v>71</v>
      </c>
      <c r="C191" s="1" t="s">
        <v>72</v>
      </c>
      <c r="D191" s="1">
        <v>9.11543383E8</v>
      </c>
      <c r="E191" s="1" t="s">
        <v>9</v>
      </c>
      <c r="F191" s="20" t="s">
        <v>813</v>
      </c>
      <c r="G191" s="20" t="s">
        <v>814</v>
      </c>
      <c r="H191" s="20" t="s">
        <v>815</v>
      </c>
    </row>
    <row r="192">
      <c r="A192" s="19" t="s">
        <v>873</v>
      </c>
      <c r="B192" s="1" t="s">
        <v>104</v>
      </c>
      <c r="C192" s="1" t="s">
        <v>105</v>
      </c>
      <c r="D192" s="1">
        <v>9.13835065E8</v>
      </c>
      <c r="E192" s="1" t="s">
        <v>9</v>
      </c>
      <c r="F192" s="20" t="s">
        <v>813</v>
      </c>
      <c r="G192" s="20" t="s">
        <v>814</v>
      </c>
      <c r="H192" s="20" t="s">
        <v>815</v>
      </c>
    </row>
    <row r="193">
      <c r="A193" s="19" t="s">
        <v>873</v>
      </c>
      <c r="B193" s="1" t="s">
        <v>112</v>
      </c>
      <c r="C193" s="1" t="s">
        <v>113</v>
      </c>
      <c r="D193" s="1">
        <v>9.15037321E8</v>
      </c>
      <c r="E193" s="1" t="s">
        <v>9</v>
      </c>
      <c r="F193" s="20" t="s">
        <v>813</v>
      </c>
      <c r="G193" s="20" t="s">
        <v>814</v>
      </c>
      <c r="H193" s="20" t="s">
        <v>815</v>
      </c>
    </row>
    <row r="194">
      <c r="A194" s="19" t="s">
        <v>873</v>
      </c>
      <c r="B194" s="11" t="s">
        <v>273</v>
      </c>
      <c r="C194" s="11" t="s">
        <v>274</v>
      </c>
      <c r="D194" s="12">
        <v>9.333352E8</v>
      </c>
      <c r="E194" s="11" t="s">
        <v>9</v>
      </c>
      <c r="F194" s="20" t="s">
        <v>813</v>
      </c>
      <c r="G194" s="20" t="s">
        <v>814</v>
      </c>
      <c r="H194" s="20" t="s">
        <v>815</v>
      </c>
      <c r="I194" s="11"/>
    </row>
    <row r="195">
      <c r="A195" s="19" t="s">
        <v>873</v>
      </c>
      <c r="B195" s="1" t="s">
        <v>130</v>
      </c>
      <c r="C195" s="1" t="s">
        <v>131</v>
      </c>
      <c r="D195" s="1">
        <v>9.1692752E8</v>
      </c>
      <c r="E195" s="1" t="s">
        <v>9</v>
      </c>
      <c r="F195" s="20" t="s">
        <v>813</v>
      </c>
      <c r="G195" s="20" t="s">
        <v>814</v>
      </c>
      <c r="H195" s="20" t="s">
        <v>815</v>
      </c>
    </row>
    <row r="196">
      <c r="A196" s="19" t="s">
        <v>873</v>
      </c>
      <c r="B196" s="1" t="s">
        <v>34</v>
      </c>
      <c r="C196" s="1" t="s">
        <v>35</v>
      </c>
      <c r="D196" s="1">
        <v>9.06644572E8</v>
      </c>
      <c r="E196" s="1" t="s">
        <v>9</v>
      </c>
      <c r="F196" s="20" t="s">
        <v>813</v>
      </c>
      <c r="G196" s="20" t="s">
        <v>814</v>
      </c>
      <c r="H196" s="20" t="s">
        <v>815</v>
      </c>
    </row>
    <row r="197">
      <c r="A197" s="19" t="s">
        <v>873</v>
      </c>
      <c r="B197" s="1" t="s">
        <v>157</v>
      </c>
      <c r="C197" s="1" t="s">
        <v>158</v>
      </c>
      <c r="D197" s="1">
        <v>9.19230295E8</v>
      </c>
      <c r="E197" s="1" t="s">
        <v>9</v>
      </c>
      <c r="F197" s="20" t="s">
        <v>813</v>
      </c>
      <c r="G197" s="20" t="s">
        <v>814</v>
      </c>
      <c r="H197" s="20" t="s">
        <v>815</v>
      </c>
    </row>
    <row r="198">
      <c r="A198" s="19" t="s">
        <v>873</v>
      </c>
      <c r="B198" s="1" t="s">
        <v>186</v>
      </c>
      <c r="C198" s="1" t="s">
        <v>187</v>
      </c>
      <c r="D198" s="1">
        <v>9.20454959E8</v>
      </c>
      <c r="E198" s="1" t="s">
        <v>9</v>
      </c>
      <c r="F198" s="20" t="s">
        <v>813</v>
      </c>
      <c r="G198" s="20" t="s">
        <v>814</v>
      </c>
      <c r="H198" s="20" t="s">
        <v>815</v>
      </c>
      <c r="I198" s="21" t="s">
        <v>874</v>
      </c>
    </row>
    <row r="199">
      <c r="A199" s="19" t="s">
        <v>873</v>
      </c>
      <c r="B199" s="11" t="s">
        <v>656</v>
      </c>
      <c r="C199" s="11" t="s">
        <v>657</v>
      </c>
      <c r="D199" s="12">
        <v>9.12827191E8</v>
      </c>
      <c r="E199" s="11" t="s">
        <v>9</v>
      </c>
      <c r="F199" s="20" t="s">
        <v>813</v>
      </c>
      <c r="G199" s="20" t="s">
        <v>814</v>
      </c>
      <c r="H199" s="20" t="s">
        <v>815</v>
      </c>
      <c r="I199" s="20"/>
    </row>
    <row r="200">
      <c r="A200" s="19" t="s">
        <v>873</v>
      </c>
      <c r="B200" s="11" t="s">
        <v>714</v>
      </c>
      <c r="C200" s="11" t="s">
        <v>715</v>
      </c>
      <c r="D200" s="12">
        <v>9.55922355E8</v>
      </c>
      <c r="E200" s="11" t="s">
        <v>9</v>
      </c>
      <c r="F200" s="20" t="s">
        <v>813</v>
      </c>
      <c r="G200" s="20" t="s">
        <v>814</v>
      </c>
      <c r="H200" s="20" t="s">
        <v>815</v>
      </c>
      <c r="I200" s="20" t="s">
        <v>841</v>
      </c>
    </row>
    <row r="201">
      <c r="A201" s="19" t="s">
        <v>873</v>
      </c>
      <c r="B201" s="11" t="s">
        <v>722</v>
      </c>
      <c r="C201" s="11" t="s">
        <v>723</v>
      </c>
      <c r="D201" s="12">
        <v>9.61549625E8</v>
      </c>
      <c r="E201" s="11" t="s">
        <v>9</v>
      </c>
      <c r="F201" s="20" t="s">
        <v>813</v>
      </c>
      <c r="G201" s="20" t="s">
        <v>814</v>
      </c>
      <c r="H201" s="20" t="s">
        <v>815</v>
      </c>
      <c r="I201" s="20" t="s">
        <v>841</v>
      </c>
    </row>
    <row r="202">
      <c r="A202" s="19" t="s">
        <v>873</v>
      </c>
      <c r="B202" s="1" t="s">
        <v>210</v>
      </c>
      <c r="C202" s="1" t="s">
        <v>211</v>
      </c>
      <c r="D202" s="1">
        <v>9.22803503E8</v>
      </c>
      <c r="E202" s="1" t="s">
        <v>6</v>
      </c>
      <c r="F202" s="20" t="s">
        <v>813</v>
      </c>
      <c r="G202" s="20" t="s">
        <v>814</v>
      </c>
      <c r="H202" s="20" t="s">
        <v>815</v>
      </c>
      <c r="I202" s="11"/>
    </row>
    <row r="203">
      <c r="A203" s="19" t="s">
        <v>873</v>
      </c>
      <c r="B203" s="1" t="s">
        <v>216</v>
      </c>
      <c r="C203" s="1" t="s">
        <v>217</v>
      </c>
      <c r="D203" s="1">
        <v>9.23669075E8</v>
      </c>
      <c r="E203" s="1" t="s">
        <v>6</v>
      </c>
      <c r="F203" s="20" t="s">
        <v>813</v>
      </c>
      <c r="G203" s="20" t="s">
        <v>814</v>
      </c>
      <c r="H203" s="20" t="s">
        <v>815</v>
      </c>
      <c r="I203" s="11"/>
    </row>
    <row r="204">
      <c r="A204" s="19" t="s">
        <v>873</v>
      </c>
      <c r="B204" s="1" t="s">
        <v>49</v>
      </c>
      <c r="C204" s="1" t="s">
        <v>50</v>
      </c>
      <c r="D204" s="1">
        <v>9.10178625E8</v>
      </c>
      <c r="E204" s="1" t="s">
        <v>9</v>
      </c>
      <c r="F204" s="20" t="s">
        <v>813</v>
      </c>
      <c r="G204" s="20" t="s">
        <v>811</v>
      </c>
      <c r="H204" s="20" t="s">
        <v>817</v>
      </c>
    </row>
    <row r="205">
      <c r="A205" s="19" t="s">
        <v>873</v>
      </c>
      <c r="B205" s="1" t="s">
        <v>61</v>
      </c>
      <c r="C205" s="1" t="s">
        <v>62</v>
      </c>
      <c r="D205" s="1">
        <v>9.10787732E8</v>
      </c>
      <c r="E205" s="1" t="s">
        <v>9</v>
      </c>
      <c r="F205" s="20" t="s">
        <v>813</v>
      </c>
      <c r="G205" s="20" t="s">
        <v>811</v>
      </c>
      <c r="H205" s="20" t="s">
        <v>817</v>
      </c>
    </row>
    <row r="206">
      <c r="A206" s="19" t="s">
        <v>873</v>
      </c>
      <c r="B206" s="1" t="s">
        <v>65</v>
      </c>
      <c r="C206" s="1" t="s">
        <v>66</v>
      </c>
      <c r="D206" s="1">
        <v>9.11171665E8</v>
      </c>
      <c r="E206" s="1" t="s">
        <v>9</v>
      </c>
      <c r="F206" s="20" t="s">
        <v>813</v>
      </c>
      <c r="G206" s="20" t="s">
        <v>811</v>
      </c>
      <c r="H206" s="20" t="s">
        <v>817</v>
      </c>
    </row>
    <row r="207">
      <c r="A207" s="19" t="s">
        <v>873</v>
      </c>
      <c r="B207" s="1" t="s">
        <v>77</v>
      </c>
      <c r="C207" s="1" t="s">
        <v>78</v>
      </c>
      <c r="D207" s="1">
        <v>9.11706278E8</v>
      </c>
      <c r="E207" s="1" t="s">
        <v>9</v>
      </c>
      <c r="F207" s="20" t="s">
        <v>813</v>
      </c>
      <c r="G207" s="20" t="s">
        <v>811</v>
      </c>
      <c r="H207" s="20" t="s">
        <v>817</v>
      </c>
    </row>
    <row r="208">
      <c r="A208" s="19" t="s">
        <v>873</v>
      </c>
      <c r="B208" s="1">
        <v>9.13547122E8</v>
      </c>
      <c r="C208" s="1" t="s">
        <v>97</v>
      </c>
      <c r="D208" s="1">
        <v>9.13547122E8</v>
      </c>
      <c r="E208" s="1" t="s">
        <v>9</v>
      </c>
      <c r="F208" s="20" t="s">
        <v>813</v>
      </c>
      <c r="G208" s="20" t="s">
        <v>811</v>
      </c>
      <c r="H208" s="20" t="s">
        <v>817</v>
      </c>
    </row>
    <row r="209">
      <c r="A209" s="19" t="s">
        <v>873</v>
      </c>
      <c r="B209" s="1" t="s">
        <v>128</v>
      </c>
      <c r="C209" s="1" t="s">
        <v>129</v>
      </c>
      <c r="D209" s="1">
        <v>9.16602111E8</v>
      </c>
      <c r="E209" s="1" t="s">
        <v>9</v>
      </c>
      <c r="F209" s="20" t="s">
        <v>813</v>
      </c>
      <c r="G209" s="20" t="s">
        <v>811</v>
      </c>
      <c r="H209" s="20" t="s">
        <v>817</v>
      </c>
      <c r="I209" s="21" t="s">
        <v>875</v>
      </c>
    </row>
    <row r="210">
      <c r="A210" s="19" t="s">
        <v>873</v>
      </c>
      <c r="B210" s="1" t="s">
        <v>134</v>
      </c>
      <c r="C210" s="1" t="s">
        <v>135</v>
      </c>
      <c r="D210" s="1">
        <v>9.17035609E8</v>
      </c>
      <c r="E210" s="1" t="s">
        <v>9</v>
      </c>
      <c r="F210" s="20" t="s">
        <v>813</v>
      </c>
      <c r="G210" s="20" t="s">
        <v>811</v>
      </c>
      <c r="H210" s="20" t="s">
        <v>817</v>
      </c>
      <c r="I210" s="21" t="s">
        <v>876</v>
      </c>
    </row>
    <row r="211">
      <c r="A211" s="19" t="s">
        <v>873</v>
      </c>
      <c r="B211" s="1" t="s">
        <v>38</v>
      </c>
      <c r="C211" s="1" t="s">
        <v>39</v>
      </c>
      <c r="D211" s="1">
        <v>9.07162797E8</v>
      </c>
      <c r="E211" s="1" t="s">
        <v>9</v>
      </c>
      <c r="F211" s="20" t="s">
        <v>813</v>
      </c>
      <c r="G211" s="20" t="s">
        <v>811</v>
      </c>
      <c r="H211" s="20" t="s">
        <v>817</v>
      </c>
      <c r="I211" s="21" t="s">
        <v>877</v>
      </c>
    </row>
    <row r="212">
      <c r="A212" s="19" t="s">
        <v>873</v>
      </c>
      <c r="B212" s="1" t="s">
        <v>20</v>
      </c>
      <c r="C212" s="1" t="s">
        <v>21</v>
      </c>
      <c r="D212" s="1">
        <v>9.02186608E8</v>
      </c>
      <c r="E212" s="1" t="s">
        <v>9</v>
      </c>
      <c r="F212" s="20" t="s">
        <v>813</v>
      </c>
      <c r="G212" s="20" t="s">
        <v>811</v>
      </c>
      <c r="H212" s="20" t="s">
        <v>817</v>
      </c>
      <c r="I212" s="21" t="s">
        <v>878</v>
      </c>
    </row>
    <row r="213">
      <c r="A213" s="19" t="s">
        <v>873</v>
      </c>
      <c r="B213" s="1" t="s">
        <v>22</v>
      </c>
      <c r="C213" s="1" t="s">
        <v>23</v>
      </c>
      <c r="D213" s="1">
        <v>9.02295632E8</v>
      </c>
      <c r="E213" s="1" t="s">
        <v>9</v>
      </c>
      <c r="F213" s="20" t="s">
        <v>813</v>
      </c>
      <c r="G213" s="20" t="s">
        <v>811</v>
      </c>
      <c r="H213" s="20" t="s">
        <v>817</v>
      </c>
      <c r="I213" s="21" t="s">
        <v>879</v>
      </c>
    </row>
    <row r="214">
      <c r="A214" s="19" t="s">
        <v>873</v>
      </c>
      <c r="B214" s="1" t="s">
        <v>89</v>
      </c>
      <c r="C214" s="1" t="s">
        <v>90</v>
      </c>
      <c r="D214" s="1">
        <v>9.12460263E8</v>
      </c>
      <c r="E214" s="1" t="s">
        <v>9</v>
      </c>
      <c r="F214" s="20" t="s">
        <v>813</v>
      </c>
      <c r="G214" s="20" t="s">
        <v>811</v>
      </c>
      <c r="H214" s="20" t="s">
        <v>817</v>
      </c>
      <c r="I214" s="21" t="s">
        <v>880</v>
      </c>
    </row>
    <row r="215">
      <c r="A215" s="19" t="s">
        <v>873</v>
      </c>
      <c r="B215" s="1" t="s">
        <v>122</v>
      </c>
      <c r="C215" s="1" t="s">
        <v>123</v>
      </c>
      <c r="D215" s="1">
        <v>9.16039474E8</v>
      </c>
      <c r="E215" s="1" t="s">
        <v>9</v>
      </c>
      <c r="F215" s="20" t="s">
        <v>813</v>
      </c>
      <c r="G215" s="20" t="s">
        <v>811</v>
      </c>
      <c r="H215" s="20" t="s">
        <v>817</v>
      </c>
      <c r="I215" s="21" t="s">
        <v>846</v>
      </c>
    </row>
    <row r="216">
      <c r="A216" s="19" t="s">
        <v>873</v>
      </c>
      <c r="B216" s="1" t="s">
        <v>144</v>
      </c>
      <c r="C216" s="1" t="s">
        <v>145</v>
      </c>
      <c r="D216" s="1">
        <v>9.1806334E8</v>
      </c>
      <c r="E216" s="1" t="s">
        <v>9</v>
      </c>
      <c r="F216" s="20" t="s">
        <v>813</v>
      </c>
      <c r="G216" s="20" t="s">
        <v>811</v>
      </c>
      <c r="H216" s="20" t="s">
        <v>817</v>
      </c>
      <c r="I216" s="21" t="s">
        <v>852</v>
      </c>
    </row>
    <row r="217">
      <c r="A217" s="19" t="s">
        <v>873</v>
      </c>
      <c r="B217" s="1" t="s">
        <v>146</v>
      </c>
      <c r="C217" s="1" t="s">
        <v>147</v>
      </c>
      <c r="D217" s="1">
        <v>9.18302196E8</v>
      </c>
      <c r="E217" s="1" t="s">
        <v>9</v>
      </c>
      <c r="F217" s="20" t="s">
        <v>813</v>
      </c>
      <c r="G217" s="20" t="s">
        <v>811</v>
      </c>
      <c r="H217" s="20" t="s">
        <v>817</v>
      </c>
      <c r="I217" s="21" t="s">
        <v>881</v>
      </c>
    </row>
    <row r="218">
      <c r="A218" s="19" t="s">
        <v>873</v>
      </c>
      <c r="B218" s="1" t="s">
        <v>148</v>
      </c>
      <c r="C218" s="1" t="s">
        <v>149</v>
      </c>
      <c r="D218" s="1">
        <v>9.18444033E8</v>
      </c>
      <c r="E218" s="1" t="s">
        <v>9</v>
      </c>
      <c r="F218" s="20" t="s">
        <v>813</v>
      </c>
      <c r="G218" s="20" t="s">
        <v>811</v>
      </c>
      <c r="H218" s="20" t="s">
        <v>817</v>
      </c>
      <c r="I218" s="21" t="s">
        <v>882</v>
      </c>
    </row>
    <row r="219">
      <c r="A219" s="19" t="s">
        <v>873</v>
      </c>
      <c r="B219" s="1">
        <v>67.0</v>
      </c>
      <c r="C219" s="1" t="s">
        <v>150</v>
      </c>
      <c r="D219" s="1">
        <v>9.18731246E8</v>
      </c>
      <c r="E219" s="1" t="s">
        <v>9</v>
      </c>
      <c r="F219" s="20" t="s">
        <v>813</v>
      </c>
      <c r="G219" s="20" t="s">
        <v>811</v>
      </c>
      <c r="H219" s="20" t="s">
        <v>817</v>
      </c>
      <c r="I219" s="21" t="s">
        <v>852</v>
      </c>
    </row>
    <row r="220">
      <c r="A220" s="19" t="s">
        <v>873</v>
      </c>
      <c r="B220" s="1" t="s">
        <v>161</v>
      </c>
      <c r="C220" s="1" t="s">
        <v>162</v>
      </c>
      <c r="D220" s="1">
        <v>9.19381811E8</v>
      </c>
      <c r="E220" s="1" t="s">
        <v>9</v>
      </c>
      <c r="F220" s="20" t="s">
        <v>813</v>
      </c>
      <c r="G220" s="20" t="s">
        <v>811</v>
      </c>
      <c r="H220" s="20" t="s">
        <v>817</v>
      </c>
      <c r="I220" s="21" t="s">
        <v>864</v>
      </c>
    </row>
    <row r="221">
      <c r="A221" s="19" t="s">
        <v>873</v>
      </c>
      <c r="B221" s="1" t="s">
        <v>163</v>
      </c>
      <c r="C221" s="1" t="s">
        <v>164</v>
      </c>
      <c r="D221" s="1">
        <v>9.19434715E8</v>
      </c>
      <c r="E221" s="1" t="s">
        <v>9</v>
      </c>
      <c r="F221" s="20" t="s">
        <v>813</v>
      </c>
      <c r="G221" s="20" t="s">
        <v>811</v>
      </c>
      <c r="H221" s="20" t="s">
        <v>817</v>
      </c>
      <c r="I221" s="21" t="s">
        <v>844</v>
      </c>
    </row>
    <row r="222">
      <c r="A222" s="19" t="s">
        <v>873</v>
      </c>
      <c r="B222" s="1" t="s">
        <v>163</v>
      </c>
      <c r="C222" s="1" t="s">
        <v>165</v>
      </c>
      <c r="D222" s="1">
        <v>9.19434715E8</v>
      </c>
      <c r="E222" s="1" t="s">
        <v>9</v>
      </c>
      <c r="F222" s="20" t="s">
        <v>813</v>
      </c>
      <c r="G222" s="20" t="s">
        <v>811</v>
      </c>
      <c r="H222" s="20" t="s">
        <v>817</v>
      </c>
      <c r="I222" s="21" t="s">
        <v>844</v>
      </c>
    </row>
    <row r="223">
      <c r="A223" s="19" t="s">
        <v>873</v>
      </c>
      <c r="B223" s="1">
        <v>123456.0</v>
      </c>
      <c r="C223" s="1" t="s">
        <v>174</v>
      </c>
      <c r="D223" s="1">
        <v>9.20147256E8</v>
      </c>
      <c r="E223" s="1" t="s">
        <v>9</v>
      </c>
      <c r="F223" s="20" t="s">
        <v>813</v>
      </c>
      <c r="G223" s="20" t="s">
        <v>811</v>
      </c>
      <c r="H223" s="20" t="s">
        <v>817</v>
      </c>
      <c r="I223" s="21" t="s">
        <v>856</v>
      </c>
    </row>
    <row r="224">
      <c r="A224" s="19" t="s">
        <v>873</v>
      </c>
      <c r="B224" s="1" t="s">
        <v>188</v>
      </c>
      <c r="C224" s="1" t="s">
        <v>189</v>
      </c>
      <c r="D224" s="1">
        <v>9.20782773E8</v>
      </c>
      <c r="E224" s="1" t="s">
        <v>9</v>
      </c>
      <c r="F224" s="20" t="s">
        <v>813</v>
      </c>
      <c r="G224" s="20" t="s">
        <v>811</v>
      </c>
      <c r="H224" s="20" t="s">
        <v>817</v>
      </c>
      <c r="I224" s="21" t="s">
        <v>865</v>
      </c>
    </row>
    <row r="225">
      <c r="A225" s="19" t="s">
        <v>873</v>
      </c>
      <c r="B225" s="1" t="s">
        <v>206</v>
      </c>
      <c r="C225" s="1" t="s">
        <v>207</v>
      </c>
      <c r="D225" s="1">
        <v>9.22592655E8</v>
      </c>
      <c r="E225" s="1" t="s">
        <v>9</v>
      </c>
      <c r="F225" s="20" t="s">
        <v>813</v>
      </c>
      <c r="G225" s="20" t="s">
        <v>811</v>
      </c>
      <c r="H225" s="20" t="s">
        <v>817</v>
      </c>
      <c r="I225" s="21" t="s">
        <v>883</v>
      </c>
    </row>
    <row r="226">
      <c r="A226" s="19" t="s">
        <v>873</v>
      </c>
      <c r="B226" s="1" t="s">
        <v>218</v>
      </c>
      <c r="C226" s="1" t="s">
        <v>219</v>
      </c>
      <c r="D226" s="1">
        <v>9.24094611E8</v>
      </c>
      <c r="E226" s="1" t="s">
        <v>9</v>
      </c>
      <c r="F226" s="20" t="s">
        <v>813</v>
      </c>
      <c r="G226" s="20" t="s">
        <v>811</v>
      </c>
      <c r="H226" s="20" t="s">
        <v>817</v>
      </c>
      <c r="I226" s="21" t="s">
        <v>884</v>
      </c>
    </row>
    <row r="227">
      <c r="A227" s="19" t="s">
        <v>873</v>
      </c>
      <c r="B227" s="1" t="s">
        <v>222</v>
      </c>
      <c r="C227" s="1" t="s">
        <v>223</v>
      </c>
      <c r="D227" s="1">
        <v>9.25507539E8</v>
      </c>
      <c r="E227" s="1" t="s">
        <v>9</v>
      </c>
      <c r="F227" s="20" t="s">
        <v>813</v>
      </c>
      <c r="G227" s="20" t="s">
        <v>811</v>
      </c>
      <c r="H227" s="20" t="s">
        <v>817</v>
      </c>
      <c r="I227" s="21" t="s">
        <v>846</v>
      </c>
    </row>
    <row r="228">
      <c r="A228" s="19" t="s">
        <v>873</v>
      </c>
      <c r="B228" s="1" t="s">
        <v>222</v>
      </c>
      <c r="C228" s="1" t="s">
        <v>224</v>
      </c>
      <c r="D228" s="1">
        <v>9.25507539E8</v>
      </c>
      <c r="E228" s="1" t="s">
        <v>9</v>
      </c>
      <c r="F228" s="20" t="s">
        <v>813</v>
      </c>
      <c r="G228" s="20" t="s">
        <v>811</v>
      </c>
      <c r="H228" s="20" t="s">
        <v>817</v>
      </c>
      <c r="I228" s="21" t="s">
        <v>846</v>
      </c>
    </row>
    <row r="229">
      <c r="A229" s="19" t="s">
        <v>873</v>
      </c>
      <c r="B229" s="1" t="s">
        <v>227</v>
      </c>
      <c r="C229" s="1" t="s">
        <v>228</v>
      </c>
      <c r="D229" s="1">
        <v>9.25653684E8</v>
      </c>
      <c r="E229" s="1" t="s">
        <v>9</v>
      </c>
      <c r="F229" s="20" t="s">
        <v>813</v>
      </c>
      <c r="G229" s="20" t="s">
        <v>811</v>
      </c>
      <c r="H229" s="20" t="s">
        <v>817</v>
      </c>
      <c r="I229" s="21" t="s">
        <v>846</v>
      </c>
    </row>
    <row r="230">
      <c r="A230" s="19" t="s">
        <v>873</v>
      </c>
      <c r="B230" s="11" t="s">
        <v>644</v>
      </c>
      <c r="C230" s="11" t="s">
        <v>645</v>
      </c>
      <c r="D230" s="12">
        <v>9.0502837E8</v>
      </c>
      <c r="E230" s="11" t="s">
        <v>9</v>
      </c>
      <c r="F230" s="20" t="s">
        <v>813</v>
      </c>
      <c r="G230" s="20" t="s">
        <v>811</v>
      </c>
      <c r="H230" s="20" t="s">
        <v>817</v>
      </c>
      <c r="I230" s="20" t="s">
        <v>885</v>
      </c>
    </row>
    <row r="231">
      <c r="A231" s="19" t="s">
        <v>873</v>
      </c>
      <c r="B231" s="11" t="s">
        <v>646</v>
      </c>
      <c r="C231" s="11" t="s">
        <v>647</v>
      </c>
      <c r="D231" s="12">
        <v>9.0701313E8</v>
      </c>
      <c r="E231" s="11" t="s">
        <v>9</v>
      </c>
      <c r="F231" s="20" t="s">
        <v>813</v>
      </c>
      <c r="G231" s="20" t="s">
        <v>811</v>
      </c>
      <c r="H231" s="20" t="s">
        <v>817</v>
      </c>
      <c r="I231" s="20" t="s">
        <v>847</v>
      </c>
    </row>
    <row r="232">
      <c r="A232" s="19" t="s">
        <v>873</v>
      </c>
      <c r="B232" s="11" t="s">
        <v>648</v>
      </c>
      <c r="C232" s="11" t="s">
        <v>649</v>
      </c>
      <c r="D232" s="12">
        <v>9.10265496E8</v>
      </c>
      <c r="E232" s="11" t="s">
        <v>9</v>
      </c>
      <c r="F232" s="20" t="s">
        <v>813</v>
      </c>
      <c r="G232" s="20" t="s">
        <v>811</v>
      </c>
      <c r="H232" s="20" t="s">
        <v>817</v>
      </c>
      <c r="I232" s="20" t="s">
        <v>886</v>
      </c>
    </row>
    <row r="233">
      <c r="A233" s="19" t="s">
        <v>873</v>
      </c>
      <c r="B233" s="11" t="s">
        <v>662</v>
      </c>
      <c r="C233" s="11" t="s">
        <v>663</v>
      </c>
      <c r="D233" s="12">
        <v>9.14973382E8</v>
      </c>
      <c r="E233" s="11" t="s">
        <v>9</v>
      </c>
      <c r="F233" s="20" t="s">
        <v>813</v>
      </c>
      <c r="G233" s="20" t="s">
        <v>811</v>
      </c>
      <c r="H233" s="20" t="s">
        <v>817</v>
      </c>
      <c r="I233" s="20" t="s">
        <v>887</v>
      </c>
    </row>
    <row r="234">
      <c r="A234" s="19" t="s">
        <v>873</v>
      </c>
      <c r="B234" s="11" t="s">
        <v>668</v>
      </c>
      <c r="C234" s="11" t="s">
        <v>669</v>
      </c>
      <c r="D234" s="12">
        <v>9.16435957E8</v>
      </c>
      <c r="E234" s="11" t="s">
        <v>9</v>
      </c>
      <c r="F234" s="20" t="s">
        <v>813</v>
      </c>
      <c r="G234" s="20" t="s">
        <v>811</v>
      </c>
      <c r="H234" s="20" t="s">
        <v>817</v>
      </c>
      <c r="I234" s="20" t="s">
        <v>888</v>
      </c>
    </row>
    <row r="235">
      <c r="A235" s="19" t="s">
        <v>873</v>
      </c>
      <c r="B235" s="11" t="s">
        <v>672</v>
      </c>
      <c r="C235" s="11" t="s">
        <v>673</v>
      </c>
      <c r="D235" s="12">
        <v>9.1707093E8</v>
      </c>
      <c r="E235" s="11" t="s">
        <v>9</v>
      </c>
      <c r="F235" s="20" t="s">
        <v>813</v>
      </c>
      <c r="G235" s="20" t="s">
        <v>811</v>
      </c>
      <c r="H235" s="20" t="s">
        <v>817</v>
      </c>
      <c r="I235" s="20" t="s">
        <v>889</v>
      </c>
    </row>
    <row r="236">
      <c r="A236" s="19" t="s">
        <v>873</v>
      </c>
      <c r="B236" s="11" t="s">
        <v>676</v>
      </c>
      <c r="C236" s="11" t="s">
        <v>677</v>
      </c>
      <c r="D236" s="12">
        <v>9.18056446E8</v>
      </c>
      <c r="E236" s="11" t="s">
        <v>9</v>
      </c>
      <c r="F236" s="20" t="s">
        <v>813</v>
      </c>
      <c r="G236" s="20" t="s">
        <v>811</v>
      </c>
      <c r="H236" s="20" t="s">
        <v>817</v>
      </c>
      <c r="I236" s="20" t="s">
        <v>852</v>
      </c>
    </row>
    <row r="237">
      <c r="A237" s="19" t="s">
        <v>873</v>
      </c>
      <c r="B237" s="11" t="s">
        <v>678</v>
      </c>
      <c r="C237" s="11" t="s">
        <v>679</v>
      </c>
      <c r="D237" s="12">
        <v>9.18316805E8</v>
      </c>
      <c r="E237" s="11" t="s">
        <v>9</v>
      </c>
      <c r="F237" s="20" t="s">
        <v>813</v>
      </c>
      <c r="G237" s="20" t="s">
        <v>811</v>
      </c>
      <c r="H237" s="20" t="s">
        <v>817</v>
      </c>
      <c r="I237" s="20" t="s">
        <v>852</v>
      </c>
    </row>
    <row r="238">
      <c r="A238" s="19" t="s">
        <v>873</v>
      </c>
      <c r="B238" s="11" t="s">
        <v>694</v>
      </c>
      <c r="C238" s="11" t="s">
        <v>695</v>
      </c>
      <c r="D238" s="12">
        <v>9.31893453E8</v>
      </c>
      <c r="E238" s="11" t="s">
        <v>9</v>
      </c>
      <c r="F238" s="20" t="s">
        <v>813</v>
      </c>
      <c r="G238" s="20" t="s">
        <v>811</v>
      </c>
      <c r="H238" s="20" t="s">
        <v>817</v>
      </c>
      <c r="I238" s="20" t="s">
        <v>860</v>
      </c>
    </row>
    <row r="239">
      <c r="A239" s="19" t="s">
        <v>873</v>
      </c>
      <c r="B239" s="11" t="s">
        <v>698</v>
      </c>
      <c r="C239" s="11" t="s">
        <v>699</v>
      </c>
      <c r="D239" s="12">
        <v>9.34268802E8</v>
      </c>
      <c r="E239" s="11" t="s">
        <v>9</v>
      </c>
      <c r="F239" s="20" t="s">
        <v>813</v>
      </c>
      <c r="G239" s="20" t="s">
        <v>811</v>
      </c>
      <c r="H239" s="20" t="s">
        <v>817</v>
      </c>
      <c r="I239" s="20" t="s">
        <v>852</v>
      </c>
    </row>
    <row r="240">
      <c r="A240" s="19" t="s">
        <v>873</v>
      </c>
      <c r="B240" s="11" t="s">
        <v>306</v>
      </c>
      <c r="C240" s="11" t="s">
        <v>307</v>
      </c>
      <c r="D240" s="12">
        <v>9.41217806E8</v>
      </c>
      <c r="E240" s="11" t="s">
        <v>9</v>
      </c>
      <c r="F240" s="20" t="s">
        <v>813</v>
      </c>
      <c r="G240" s="20" t="s">
        <v>811</v>
      </c>
      <c r="H240" s="20" t="s">
        <v>817</v>
      </c>
      <c r="I240" s="20" t="s">
        <v>852</v>
      </c>
    </row>
    <row r="241">
      <c r="A241" s="19" t="s">
        <v>873</v>
      </c>
      <c r="B241" s="11" t="s">
        <v>716</v>
      </c>
      <c r="C241" s="11" t="s">
        <v>717</v>
      </c>
      <c r="D241" s="12">
        <v>9.56766233E8</v>
      </c>
      <c r="E241" s="11" t="s">
        <v>9</v>
      </c>
      <c r="F241" s="20" t="s">
        <v>813</v>
      </c>
      <c r="G241" s="20" t="s">
        <v>811</v>
      </c>
      <c r="H241" s="20" t="s">
        <v>817</v>
      </c>
      <c r="I241" s="20" t="s">
        <v>890</v>
      </c>
    </row>
    <row r="242">
      <c r="A242" s="19" t="s">
        <v>873</v>
      </c>
      <c r="B242" s="11" t="s">
        <v>718</v>
      </c>
      <c r="C242" s="11" t="s">
        <v>719</v>
      </c>
      <c r="D242" s="12">
        <v>9.60408995E8</v>
      </c>
      <c r="E242" s="11" t="s">
        <v>9</v>
      </c>
      <c r="F242" s="20" t="s">
        <v>813</v>
      </c>
      <c r="G242" s="20" t="s">
        <v>811</v>
      </c>
      <c r="H242" s="20" t="s">
        <v>817</v>
      </c>
      <c r="I242" s="20" t="s">
        <v>846</v>
      </c>
    </row>
    <row r="243">
      <c r="A243" s="19" t="s">
        <v>873</v>
      </c>
      <c r="B243" s="11" t="s">
        <v>376</v>
      </c>
      <c r="C243" s="11" t="s">
        <v>377</v>
      </c>
      <c r="D243" s="12">
        <v>9.60461321E8</v>
      </c>
      <c r="E243" s="11" t="s">
        <v>9</v>
      </c>
      <c r="F243" s="20" t="s">
        <v>813</v>
      </c>
      <c r="G243" s="20" t="s">
        <v>811</v>
      </c>
      <c r="H243" s="20" t="s">
        <v>817</v>
      </c>
      <c r="I243" s="20" t="s">
        <v>863</v>
      </c>
    </row>
    <row r="244">
      <c r="A244" s="19" t="s">
        <v>873</v>
      </c>
      <c r="B244" s="11" t="s">
        <v>730</v>
      </c>
      <c r="C244" s="11" t="s">
        <v>731</v>
      </c>
      <c r="D244" s="12">
        <v>9.72554976E8</v>
      </c>
      <c r="E244" s="11" t="s">
        <v>9</v>
      </c>
      <c r="F244" s="20" t="s">
        <v>813</v>
      </c>
      <c r="G244" s="20" t="s">
        <v>811</v>
      </c>
      <c r="H244" s="20" t="s">
        <v>817</v>
      </c>
      <c r="I244" s="20" t="s">
        <v>887</v>
      </c>
    </row>
    <row r="245">
      <c r="A245" s="19" t="s">
        <v>873</v>
      </c>
      <c r="B245" s="1" t="s">
        <v>32</v>
      </c>
      <c r="C245" s="1" t="s">
        <v>33</v>
      </c>
      <c r="D245" s="1">
        <v>9.06443544E8</v>
      </c>
      <c r="E245" s="1" t="s">
        <v>9</v>
      </c>
      <c r="F245" s="20" t="s">
        <v>813</v>
      </c>
      <c r="G245" s="20" t="s">
        <v>811</v>
      </c>
      <c r="H245" s="20" t="s">
        <v>817</v>
      </c>
      <c r="I245" s="21" t="s">
        <v>859</v>
      </c>
    </row>
    <row r="246">
      <c r="A246" s="19" t="s">
        <v>873</v>
      </c>
      <c r="B246" s="1" t="s">
        <v>212</v>
      </c>
      <c r="C246" s="1" t="s">
        <v>213</v>
      </c>
      <c r="D246" s="1">
        <v>9.2299286E8</v>
      </c>
      <c r="E246" s="1" t="s">
        <v>6</v>
      </c>
      <c r="F246" s="20" t="s">
        <v>813</v>
      </c>
      <c r="G246" s="20" t="s">
        <v>811</v>
      </c>
      <c r="H246" s="20" t="s">
        <v>817</v>
      </c>
      <c r="I246" s="20" t="s">
        <v>847</v>
      </c>
    </row>
    <row r="247">
      <c r="A247" s="19" t="s">
        <v>873</v>
      </c>
      <c r="B247" s="1">
        <v>93739.0</v>
      </c>
      <c r="C247" s="1" t="s">
        <v>42</v>
      </c>
      <c r="D247" s="1">
        <v>9.0770684E8</v>
      </c>
      <c r="E247" s="1" t="s">
        <v>9</v>
      </c>
      <c r="F247" s="20" t="s">
        <v>813</v>
      </c>
      <c r="G247" s="20" t="s">
        <v>811</v>
      </c>
      <c r="H247" s="20" t="s">
        <v>812</v>
      </c>
    </row>
    <row r="248">
      <c r="A248" s="19" t="s">
        <v>873</v>
      </c>
      <c r="B248" s="1" t="s">
        <v>139</v>
      </c>
      <c r="C248" s="1" t="s">
        <v>140</v>
      </c>
      <c r="D248" s="1">
        <v>9.17516941E8</v>
      </c>
      <c r="E248" s="1" t="s">
        <v>9</v>
      </c>
      <c r="F248" s="20" t="s">
        <v>813</v>
      </c>
      <c r="G248" s="20" t="s">
        <v>811</v>
      </c>
      <c r="H248" s="20" t="s">
        <v>812</v>
      </c>
    </row>
    <row r="249">
      <c r="A249" s="19" t="s">
        <v>873</v>
      </c>
      <c r="B249" s="1" t="s">
        <v>53</v>
      </c>
      <c r="C249" s="1" t="s">
        <v>54</v>
      </c>
      <c r="D249" s="1">
        <v>9.10246543E8</v>
      </c>
      <c r="E249" s="1" t="s">
        <v>9</v>
      </c>
      <c r="F249" s="20" t="s">
        <v>813</v>
      </c>
      <c r="G249" s="20" t="s">
        <v>811</v>
      </c>
      <c r="H249" s="20" t="s">
        <v>812</v>
      </c>
    </row>
    <row r="250">
      <c r="A250" s="19" t="s">
        <v>873</v>
      </c>
      <c r="B250" s="1" t="s">
        <v>57</v>
      </c>
      <c r="C250" s="1" t="s">
        <v>58</v>
      </c>
      <c r="D250" s="1">
        <v>9.10626468E8</v>
      </c>
      <c r="E250" s="1" t="s">
        <v>9</v>
      </c>
      <c r="F250" s="20" t="s">
        <v>813</v>
      </c>
      <c r="G250" s="20" t="s">
        <v>811</v>
      </c>
      <c r="H250" s="20" t="s">
        <v>812</v>
      </c>
    </row>
    <row r="251">
      <c r="A251" s="19" t="s">
        <v>873</v>
      </c>
      <c r="B251" s="1" t="s">
        <v>59</v>
      </c>
      <c r="C251" s="1" t="s">
        <v>60</v>
      </c>
      <c r="D251" s="1">
        <v>9.10626468E8</v>
      </c>
      <c r="E251" s="1" t="s">
        <v>9</v>
      </c>
      <c r="F251" s="20" t="s">
        <v>813</v>
      </c>
      <c r="G251" s="20" t="s">
        <v>811</v>
      </c>
      <c r="H251" s="20" t="s">
        <v>812</v>
      </c>
    </row>
    <row r="252">
      <c r="A252" s="19" t="s">
        <v>873</v>
      </c>
      <c r="B252" s="1" t="s">
        <v>198</v>
      </c>
      <c r="C252" s="1" t="s">
        <v>199</v>
      </c>
      <c r="D252" s="1">
        <v>9.21758292E8</v>
      </c>
      <c r="E252" s="1" t="s">
        <v>9</v>
      </c>
      <c r="F252" s="20" t="s">
        <v>813</v>
      </c>
      <c r="G252" s="20" t="s">
        <v>811</v>
      </c>
      <c r="H252" s="20" t="s">
        <v>812</v>
      </c>
    </row>
    <row r="253">
      <c r="A253" s="19" t="s">
        <v>873</v>
      </c>
      <c r="B253" s="1" t="s">
        <v>198</v>
      </c>
      <c r="C253" s="1" t="s">
        <v>199</v>
      </c>
      <c r="D253" s="1">
        <v>9.21758292E8</v>
      </c>
      <c r="E253" s="1" t="s">
        <v>9</v>
      </c>
      <c r="F253" s="20" t="s">
        <v>813</v>
      </c>
      <c r="G253" s="20" t="s">
        <v>811</v>
      </c>
      <c r="H253" s="20" t="s">
        <v>812</v>
      </c>
    </row>
    <row r="254">
      <c r="A254" s="19" t="s">
        <v>873</v>
      </c>
      <c r="B254" s="1" t="s">
        <v>198</v>
      </c>
      <c r="C254" s="1" t="s">
        <v>200</v>
      </c>
      <c r="D254" s="1">
        <v>9.21758292E8</v>
      </c>
      <c r="E254" s="1" t="s">
        <v>9</v>
      </c>
      <c r="F254" s="20" t="s">
        <v>813</v>
      </c>
      <c r="G254" s="20" t="s">
        <v>811</v>
      </c>
      <c r="H254" s="20" t="s">
        <v>812</v>
      </c>
    </row>
    <row r="255">
      <c r="A255" s="19" t="s">
        <v>873</v>
      </c>
      <c r="B255" s="1" t="s">
        <v>198</v>
      </c>
      <c r="C255" s="1" t="s">
        <v>199</v>
      </c>
      <c r="D255" s="1">
        <v>9.21758292E8</v>
      </c>
      <c r="E255" s="1" t="s">
        <v>9</v>
      </c>
      <c r="F255" s="20" t="s">
        <v>813</v>
      </c>
      <c r="G255" s="20" t="s">
        <v>811</v>
      </c>
      <c r="H255" s="20" t="s">
        <v>812</v>
      </c>
    </row>
    <row r="256">
      <c r="A256" s="19" t="s">
        <v>873</v>
      </c>
      <c r="B256" s="1" t="s">
        <v>198</v>
      </c>
      <c r="C256" s="1" t="s">
        <v>201</v>
      </c>
      <c r="D256" s="1">
        <v>9.21758292E8</v>
      </c>
      <c r="E256" s="1" t="s">
        <v>9</v>
      </c>
      <c r="F256" s="20" t="s">
        <v>813</v>
      </c>
      <c r="G256" s="20" t="s">
        <v>811</v>
      </c>
      <c r="H256" s="20" t="s">
        <v>812</v>
      </c>
    </row>
    <row r="257">
      <c r="A257" s="19" t="s">
        <v>873</v>
      </c>
      <c r="B257" s="11" t="s">
        <v>692</v>
      </c>
      <c r="C257" s="11" t="s">
        <v>693</v>
      </c>
      <c r="D257" s="12">
        <v>9.26550298E8</v>
      </c>
      <c r="E257" s="11" t="s">
        <v>9</v>
      </c>
      <c r="F257" s="20" t="s">
        <v>813</v>
      </c>
      <c r="G257" s="20" t="s">
        <v>811</v>
      </c>
      <c r="H257" s="20" t="s">
        <v>812</v>
      </c>
      <c r="I257" s="11"/>
    </row>
    <row r="258">
      <c r="A258" s="19" t="s">
        <v>873</v>
      </c>
      <c r="B258" s="11" t="s">
        <v>734</v>
      </c>
      <c r="C258" s="11" t="s">
        <v>735</v>
      </c>
      <c r="D258" s="12">
        <v>9.7338009E8</v>
      </c>
      <c r="E258" s="11" t="s">
        <v>9</v>
      </c>
      <c r="F258" s="20" t="s">
        <v>813</v>
      </c>
      <c r="G258" s="20" t="s">
        <v>811</v>
      </c>
      <c r="H258" s="20" t="s">
        <v>812</v>
      </c>
      <c r="I258" s="20"/>
    </row>
    <row r="259">
      <c r="A259" s="19" t="s">
        <v>873</v>
      </c>
      <c r="B259" s="1" t="s">
        <v>214</v>
      </c>
      <c r="C259" s="1" t="s">
        <v>215</v>
      </c>
      <c r="D259" s="1">
        <v>9.23616088E8</v>
      </c>
      <c r="E259" s="1" t="s">
        <v>6</v>
      </c>
      <c r="F259" s="20" t="s">
        <v>813</v>
      </c>
      <c r="G259" s="20" t="s">
        <v>811</v>
      </c>
      <c r="H259" s="20" t="s">
        <v>812</v>
      </c>
      <c r="I259" s="11"/>
    </row>
    <row r="260">
      <c r="A260" s="19" t="s">
        <v>873</v>
      </c>
      <c r="B260" s="1" t="s">
        <v>28</v>
      </c>
      <c r="C260" s="1" t="s">
        <v>29</v>
      </c>
      <c r="D260" s="1">
        <v>9.03923268E8</v>
      </c>
      <c r="E260" s="1" t="s">
        <v>9</v>
      </c>
      <c r="F260" s="20" t="s">
        <v>813</v>
      </c>
      <c r="G260" s="20" t="s">
        <v>835</v>
      </c>
      <c r="H260" s="20" t="s">
        <v>868</v>
      </c>
    </row>
    <row r="261">
      <c r="A261" s="19" t="s">
        <v>873</v>
      </c>
      <c r="B261" s="1" t="s">
        <v>63</v>
      </c>
      <c r="C261" s="1" t="s">
        <v>64</v>
      </c>
      <c r="D261" s="1">
        <v>9.10908569E8</v>
      </c>
      <c r="E261" s="1" t="s">
        <v>9</v>
      </c>
      <c r="F261" s="20" t="s">
        <v>813</v>
      </c>
      <c r="G261" s="20" t="s">
        <v>835</v>
      </c>
      <c r="H261" s="20" t="s">
        <v>868</v>
      </c>
    </row>
    <row r="262">
      <c r="A262" s="19" t="s">
        <v>873</v>
      </c>
      <c r="B262" s="1" t="s">
        <v>81</v>
      </c>
      <c r="C262" s="1" t="s">
        <v>82</v>
      </c>
      <c r="D262" s="1">
        <v>9.12191176E8</v>
      </c>
      <c r="E262" s="1" t="s">
        <v>9</v>
      </c>
      <c r="F262" s="20" t="s">
        <v>813</v>
      </c>
      <c r="G262" s="20" t="s">
        <v>835</v>
      </c>
      <c r="H262" s="20" t="s">
        <v>868</v>
      </c>
    </row>
    <row r="263">
      <c r="A263" s="22" t="s">
        <v>873</v>
      </c>
      <c r="B263" s="6" t="s">
        <v>137</v>
      </c>
      <c r="C263" s="6" t="s">
        <v>138</v>
      </c>
      <c r="D263" s="6">
        <v>9.17415619E8</v>
      </c>
      <c r="E263" s="6" t="s">
        <v>9</v>
      </c>
      <c r="F263" s="23" t="s">
        <v>813</v>
      </c>
      <c r="G263" s="23" t="s">
        <v>835</v>
      </c>
      <c r="H263" s="23" t="s">
        <v>869</v>
      </c>
      <c r="I263" s="24" t="s">
        <v>891</v>
      </c>
    </row>
    <row r="264">
      <c r="A264" s="19" t="s">
        <v>873</v>
      </c>
      <c r="B264" s="1" t="s">
        <v>172</v>
      </c>
      <c r="C264" s="1" t="s">
        <v>173</v>
      </c>
      <c r="D264" s="1">
        <v>9.20007776E8</v>
      </c>
      <c r="E264" s="1" t="s">
        <v>9</v>
      </c>
      <c r="F264" s="20" t="s">
        <v>813</v>
      </c>
      <c r="G264" s="20" t="s">
        <v>835</v>
      </c>
      <c r="H264" s="20" t="s">
        <v>869</v>
      </c>
    </row>
    <row r="265">
      <c r="A265" s="19" t="s">
        <v>873</v>
      </c>
      <c r="B265" s="1" t="s">
        <v>208</v>
      </c>
      <c r="C265" s="1" t="s">
        <v>209</v>
      </c>
      <c r="D265" s="1">
        <v>9.22705879E8</v>
      </c>
      <c r="E265" s="1" t="s">
        <v>6</v>
      </c>
      <c r="F265" s="20" t="s">
        <v>813</v>
      </c>
      <c r="G265" s="20" t="s">
        <v>835</v>
      </c>
      <c r="H265" s="20" t="s">
        <v>869</v>
      </c>
      <c r="I265" s="11"/>
    </row>
    <row r="266">
      <c r="A266" s="19" t="s">
        <v>873</v>
      </c>
      <c r="B266" s="11" t="s">
        <v>746</v>
      </c>
      <c r="C266" s="11" t="s">
        <v>747</v>
      </c>
      <c r="D266" s="12">
        <v>9.85110913E8</v>
      </c>
      <c r="E266" s="11" t="s">
        <v>9</v>
      </c>
      <c r="F266" s="20" t="s">
        <v>813</v>
      </c>
      <c r="G266" s="20" t="s">
        <v>835</v>
      </c>
      <c r="H266" s="20" t="s">
        <v>892</v>
      </c>
      <c r="I266" s="11"/>
    </row>
    <row r="267">
      <c r="A267" s="19" t="s">
        <v>873</v>
      </c>
      <c r="B267" s="11" t="s">
        <v>744</v>
      </c>
      <c r="C267" s="11" t="s">
        <v>745</v>
      </c>
      <c r="D267" s="12">
        <v>9.83590851E8</v>
      </c>
      <c r="E267" s="11" t="s">
        <v>9</v>
      </c>
      <c r="F267" s="20" t="s">
        <v>813</v>
      </c>
      <c r="G267" s="11"/>
      <c r="H267" s="11"/>
      <c r="I267" s="11"/>
    </row>
    <row r="268">
      <c r="A268" s="19" t="s">
        <v>873</v>
      </c>
      <c r="B268" s="1" t="s">
        <v>79</v>
      </c>
      <c r="C268" s="1" t="s">
        <v>80</v>
      </c>
      <c r="D268" s="1">
        <v>9.12134468E8</v>
      </c>
      <c r="E268" s="1" t="s">
        <v>9</v>
      </c>
      <c r="F268" s="20" t="s">
        <v>837</v>
      </c>
      <c r="G268" s="11"/>
      <c r="H268" s="11"/>
    </row>
    <row r="269">
      <c r="A269" s="19" t="s">
        <v>873</v>
      </c>
      <c r="B269" s="1" t="s">
        <v>132</v>
      </c>
      <c r="C269" s="1" t="s">
        <v>133</v>
      </c>
      <c r="D269" s="1">
        <v>9.16996769E8</v>
      </c>
      <c r="E269" s="1" t="s">
        <v>9</v>
      </c>
      <c r="F269" s="20" t="s">
        <v>837</v>
      </c>
      <c r="G269" s="11"/>
      <c r="H269" s="11"/>
    </row>
    <row r="270">
      <c r="A270" s="19" t="s">
        <v>873</v>
      </c>
      <c r="B270" s="1" t="s">
        <v>116</v>
      </c>
      <c r="C270" s="1" t="s">
        <v>117</v>
      </c>
      <c r="D270" s="1">
        <v>9.15128604E8</v>
      </c>
      <c r="E270" s="1" t="s">
        <v>9</v>
      </c>
      <c r="F270" s="20" t="s">
        <v>837</v>
      </c>
      <c r="G270" s="11"/>
      <c r="H270" s="11"/>
    </row>
    <row r="271">
      <c r="A271" s="19" t="s">
        <v>873</v>
      </c>
      <c r="B271" s="1" t="s">
        <v>155</v>
      </c>
      <c r="C271" s="1" t="s">
        <v>156</v>
      </c>
      <c r="D271" s="1">
        <v>9.19157993E8</v>
      </c>
      <c r="E271" s="1" t="s">
        <v>9</v>
      </c>
      <c r="F271" s="20" t="s">
        <v>837</v>
      </c>
      <c r="G271" s="11"/>
      <c r="H271" s="11"/>
    </row>
    <row r="272">
      <c r="A272" s="19" t="s">
        <v>873</v>
      </c>
      <c r="B272" s="1" t="s">
        <v>166</v>
      </c>
      <c r="C272" s="1" t="s">
        <v>167</v>
      </c>
      <c r="D272" s="1">
        <v>9.19523283E8</v>
      </c>
      <c r="E272" s="1" t="s">
        <v>9</v>
      </c>
      <c r="F272" s="20" t="s">
        <v>837</v>
      </c>
      <c r="G272" s="11"/>
      <c r="H272" s="11"/>
    </row>
    <row r="273">
      <c r="A273" s="19" t="s">
        <v>873</v>
      </c>
      <c r="B273" s="1" t="s">
        <v>168</v>
      </c>
      <c r="C273" s="1" t="s">
        <v>169</v>
      </c>
      <c r="D273" s="1">
        <v>9.19523283E8</v>
      </c>
      <c r="E273" s="1" t="s">
        <v>9</v>
      </c>
      <c r="F273" s="20" t="s">
        <v>837</v>
      </c>
      <c r="G273" s="11"/>
      <c r="H273" s="11"/>
    </row>
    <row r="274">
      <c r="A274" s="19" t="s">
        <v>873</v>
      </c>
      <c r="B274" s="1" t="s">
        <v>182</v>
      </c>
      <c r="C274" s="1" t="s">
        <v>183</v>
      </c>
      <c r="D274" s="1">
        <v>9.2031372E8</v>
      </c>
      <c r="E274" s="1" t="s">
        <v>9</v>
      </c>
      <c r="F274" s="20" t="s">
        <v>837</v>
      </c>
      <c r="G274" s="11"/>
      <c r="H274" s="11"/>
    </row>
    <row r="275">
      <c r="A275" s="19" t="s">
        <v>873</v>
      </c>
      <c r="B275" s="11" t="s">
        <v>636</v>
      </c>
      <c r="C275" s="11" t="s">
        <v>637</v>
      </c>
      <c r="D275" s="12">
        <v>9.00930982E8</v>
      </c>
      <c r="E275" s="11" t="s">
        <v>9</v>
      </c>
      <c r="F275" s="20" t="s">
        <v>837</v>
      </c>
      <c r="G275" s="11"/>
      <c r="H275" s="11"/>
      <c r="I275" s="11"/>
    </row>
    <row r="276">
      <c r="A276" s="19" t="s">
        <v>873</v>
      </c>
      <c r="B276" s="11" t="s">
        <v>638</v>
      </c>
      <c r="C276" s="11" t="s">
        <v>639</v>
      </c>
      <c r="D276" s="12">
        <v>9.01128831E8</v>
      </c>
      <c r="E276" s="11" t="s">
        <v>9</v>
      </c>
      <c r="F276" s="20" t="s">
        <v>837</v>
      </c>
      <c r="G276" s="11"/>
      <c r="H276" s="11"/>
      <c r="I276" s="11"/>
    </row>
    <row r="277">
      <c r="A277" s="19" t="s">
        <v>873</v>
      </c>
      <c r="B277" s="11" t="s">
        <v>688</v>
      </c>
      <c r="C277" s="11" t="s">
        <v>689</v>
      </c>
      <c r="D277" s="12">
        <v>9.24484453E8</v>
      </c>
      <c r="E277" s="11" t="s">
        <v>9</v>
      </c>
      <c r="F277" s="20" t="s">
        <v>837</v>
      </c>
      <c r="G277" s="11"/>
      <c r="H277" s="11"/>
      <c r="I277" s="11"/>
    </row>
    <row r="278">
      <c r="A278" s="19" t="s">
        <v>873</v>
      </c>
      <c r="B278" s="11" t="s">
        <v>706</v>
      </c>
      <c r="C278" s="11" t="s">
        <v>707</v>
      </c>
      <c r="D278" s="12">
        <v>9.38920743E8</v>
      </c>
      <c r="E278" s="11" t="s">
        <v>9</v>
      </c>
      <c r="F278" s="20" t="s">
        <v>837</v>
      </c>
      <c r="G278" s="11"/>
      <c r="H278" s="11"/>
      <c r="I278" s="11"/>
    </row>
    <row r="279">
      <c r="A279" s="19" t="s">
        <v>873</v>
      </c>
      <c r="B279" s="11" t="s">
        <v>726</v>
      </c>
      <c r="C279" s="11" t="s">
        <v>727</v>
      </c>
      <c r="D279" s="12">
        <v>9.69991163E8</v>
      </c>
      <c r="E279" s="11" t="s">
        <v>9</v>
      </c>
      <c r="F279" s="20" t="s">
        <v>837</v>
      </c>
      <c r="G279" s="11"/>
      <c r="H279" s="11"/>
      <c r="I279" s="11"/>
    </row>
    <row r="280">
      <c r="A280" s="19" t="s">
        <v>873</v>
      </c>
      <c r="B280" s="11" t="s">
        <v>736</v>
      </c>
      <c r="C280" s="11" t="s">
        <v>737</v>
      </c>
      <c r="D280" s="12">
        <v>9.74479985E8</v>
      </c>
      <c r="E280" s="11" t="s">
        <v>9</v>
      </c>
      <c r="F280" s="20" t="s">
        <v>837</v>
      </c>
      <c r="G280" s="11"/>
      <c r="H280" s="11"/>
      <c r="I280" s="11"/>
    </row>
    <row r="281">
      <c r="A281" s="19" t="s">
        <v>873</v>
      </c>
      <c r="B281" s="11" t="s">
        <v>738</v>
      </c>
      <c r="C281" s="11" t="s">
        <v>739</v>
      </c>
      <c r="D281" s="12">
        <v>9.77609575E8</v>
      </c>
      <c r="E281" s="11" t="s">
        <v>9</v>
      </c>
      <c r="F281" s="20" t="s">
        <v>837</v>
      </c>
      <c r="G281" s="11"/>
      <c r="H281" s="11"/>
      <c r="I281" s="11"/>
    </row>
    <row r="282">
      <c r="A282" s="19" t="s">
        <v>873</v>
      </c>
      <c r="B282" s="1" t="s">
        <v>225</v>
      </c>
      <c r="C282" s="1" t="s">
        <v>226</v>
      </c>
      <c r="D282" s="1">
        <v>9.25617699E8</v>
      </c>
      <c r="E282" s="1" t="s">
        <v>6</v>
      </c>
      <c r="F282" s="20" t="s">
        <v>837</v>
      </c>
      <c r="G282" s="11"/>
      <c r="H282" s="11"/>
      <c r="I282" s="11"/>
    </row>
    <row r="283">
      <c r="A283" s="19" t="s">
        <v>873</v>
      </c>
      <c r="B283" s="1" t="s">
        <v>47</v>
      </c>
      <c r="C283" s="1" t="s">
        <v>48</v>
      </c>
      <c r="D283" s="1">
        <v>9.10000899E8</v>
      </c>
      <c r="E283" s="1" t="s">
        <v>9</v>
      </c>
      <c r="F283" s="20" t="s">
        <v>838</v>
      </c>
      <c r="G283" s="11"/>
      <c r="H283" s="11"/>
    </row>
    <row r="284">
      <c r="A284" s="19" t="s">
        <v>873</v>
      </c>
      <c r="B284" s="1" t="s">
        <v>83</v>
      </c>
      <c r="C284" s="1" t="s">
        <v>84</v>
      </c>
      <c r="D284" s="1">
        <v>9.12252243E8</v>
      </c>
      <c r="E284" s="1" t="s">
        <v>9</v>
      </c>
      <c r="F284" s="20" t="s">
        <v>838</v>
      </c>
      <c r="G284" s="11"/>
      <c r="H284" s="11"/>
    </row>
    <row r="285">
      <c r="A285" s="19" t="s">
        <v>873</v>
      </c>
      <c r="B285" s="1" t="s">
        <v>98</v>
      </c>
      <c r="C285" s="1" t="s">
        <v>99</v>
      </c>
      <c r="D285" s="1">
        <v>9.13578278E8</v>
      </c>
      <c r="E285" s="1" t="s">
        <v>9</v>
      </c>
      <c r="F285" s="20" t="s">
        <v>838</v>
      </c>
      <c r="G285" s="11"/>
      <c r="H285" s="11"/>
    </row>
    <row r="286">
      <c r="A286" s="19" t="s">
        <v>873</v>
      </c>
      <c r="B286" s="1" t="s">
        <v>100</v>
      </c>
      <c r="C286" s="1" t="s">
        <v>101</v>
      </c>
      <c r="D286" s="1">
        <v>9.13578278E8</v>
      </c>
      <c r="E286" s="1" t="s">
        <v>9</v>
      </c>
      <c r="F286" s="20" t="s">
        <v>838</v>
      </c>
      <c r="G286" s="11"/>
      <c r="H286" s="11"/>
    </row>
    <row r="287">
      <c r="A287" s="19" t="s">
        <v>873</v>
      </c>
      <c r="B287" s="1" t="s">
        <v>106</v>
      </c>
      <c r="C287" s="1" t="s">
        <v>107</v>
      </c>
      <c r="D287" s="1">
        <v>9.13847279E8</v>
      </c>
      <c r="E287" s="1" t="s">
        <v>9</v>
      </c>
      <c r="F287" s="20" t="s">
        <v>838</v>
      </c>
      <c r="G287" s="11"/>
      <c r="H287" s="11"/>
    </row>
    <row r="288">
      <c r="A288" s="19" t="s">
        <v>873</v>
      </c>
      <c r="B288" s="1" t="s">
        <v>118</v>
      </c>
      <c r="C288" s="1" t="s">
        <v>119</v>
      </c>
      <c r="D288" s="1">
        <v>9.15137664E8</v>
      </c>
      <c r="E288" s="1" t="s">
        <v>9</v>
      </c>
      <c r="F288" s="20" t="s">
        <v>838</v>
      </c>
      <c r="G288" s="11"/>
      <c r="H288" s="11"/>
    </row>
    <row r="289">
      <c r="A289" s="19" t="s">
        <v>873</v>
      </c>
      <c r="B289" s="1" t="s">
        <v>47</v>
      </c>
      <c r="C289" s="1" t="s">
        <v>141</v>
      </c>
      <c r="D289" s="1">
        <v>9.17661205E8</v>
      </c>
      <c r="E289" s="1" t="s">
        <v>9</v>
      </c>
      <c r="F289" s="20" t="s">
        <v>838</v>
      </c>
      <c r="G289" s="11"/>
      <c r="H289" s="11"/>
    </row>
    <row r="290">
      <c r="A290" s="19" t="s">
        <v>873</v>
      </c>
      <c r="B290" s="1" t="s">
        <v>175</v>
      </c>
      <c r="C290" s="1" t="s">
        <v>176</v>
      </c>
      <c r="D290" s="1">
        <v>9.20221949E8</v>
      </c>
      <c r="E290" s="1" t="s">
        <v>9</v>
      </c>
      <c r="F290" s="20" t="s">
        <v>838</v>
      </c>
      <c r="G290" s="11"/>
      <c r="H290" s="11"/>
    </row>
    <row r="291">
      <c r="A291" s="19" t="s">
        <v>873</v>
      </c>
      <c r="B291" s="1" t="s">
        <v>177</v>
      </c>
      <c r="C291" s="1" t="s">
        <v>178</v>
      </c>
      <c r="D291" s="1">
        <v>9.20221949E8</v>
      </c>
      <c r="E291" s="1" t="s">
        <v>9</v>
      </c>
      <c r="F291" s="20" t="s">
        <v>838</v>
      </c>
      <c r="G291" s="11"/>
      <c r="H291" s="11"/>
    </row>
    <row r="292">
      <c r="A292" s="19" t="s">
        <v>873</v>
      </c>
      <c r="B292" s="1" t="s">
        <v>179</v>
      </c>
      <c r="C292" s="1" t="s">
        <v>178</v>
      </c>
      <c r="D292" s="1">
        <v>9.20221949E8</v>
      </c>
      <c r="E292" s="1" t="s">
        <v>9</v>
      </c>
      <c r="F292" s="20" t="s">
        <v>838</v>
      </c>
      <c r="G292" s="11"/>
      <c r="H292" s="11"/>
    </row>
    <row r="293">
      <c r="A293" s="19" t="s">
        <v>873</v>
      </c>
      <c r="B293" s="1" t="s">
        <v>180</v>
      </c>
      <c r="C293" s="1" t="s">
        <v>181</v>
      </c>
      <c r="D293" s="1">
        <v>9.20221949E8</v>
      </c>
      <c r="E293" s="1" t="s">
        <v>9</v>
      </c>
      <c r="F293" s="20" t="s">
        <v>838</v>
      </c>
      <c r="G293" s="11"/>
      <c r="H293" s="11"/>
    </row>
    <row r="294">
      <c r="A294" s="19" t="s">
        <v>873</v>
      </c>
      <c r="B294" s="1" t="s">
        <v>180</v>
      </c>
      <c r="C294" s="1" t="s">
        <v>181</v>
      </c>
      <c r="D294" s="1">
        <v>9.20221949E8</v>
      </c>
      <c r="E294" s="1" t="s">
        <v>9</v>
      </c>
      <c r="F294" s="20" t="s">
        <v>838</v>
      </c>
      <c r="G294" s="11"/>
      <c r="H294" s="11"/>
    </row>
    <row r="295">
      <c r="A295" s="19" t="s">
        <v>873</v>
      </c>
      <c r="B295" s="1" t="s">
        <v>220</v>
      </c>
      <c r="C295" s="1" t="s">
        <v>221</v>
      </c>
      <c r="D295" s="1">
        <v>9.24546891E8</v>
      </c>
      <c r="E295" s="1" t="s">
        <v>9</v>
      </c>
      <c r="F295" s="20" t="s">
        <v>838</v>
      </c>
      <c r="G295" s="11"/>
      <c r="H295" s="11"/>
    </row>
    <row r="296">
      <c r="A296" s="19" t="s">
        <v>873</v>
      </c>
      <c r="B296" s="11" t="s">
        <v>652</v>
      </c>
      <c r="C296" s="11" t="s">
        <v>653</v>
      </c>
      <c r="D296" s="12">
        <v>9.11131219E8</v>
      </c>
      <c r="E296" s="11" t="s">
        <v>9</v>
      </c>
      <c r="F296" s="20" t="s">
        <v>838</v>
      </c>
      <c r="G296" s="11"/>
      <c r="H296" s="11"/>
      <c r="I296" s="11"/>
    </row>
    <row r="297">
      <c r="A297" s="19" t="s">
        <v>873</v>
      </c>
      <c r="B297" s="11" t="s">
        <v>664</v>
      </c>
      <c r="C297" s="11" t="s">
        <v>665</v>
      </c>
      <c r="D297" s="12">
        <v>9.15304082E8</v>
      </c>
      <c r="E297" s="11" t="s">
        <v>9</v>
      </c>
      <c r="F297" s="20" t="s">
        <v>838</v>
      </c>
      <c r="G297" s="11"/>
      <c r="H297" s="11"/>
      <c r="I297" s="11"/>
    </row>
    <row r="298">
      <c r="A298" s="19" t="s">
        <v>873</v>
      </c>
      <c r="B298" s="11" t="s">
        <v>686</v>
      </c>
      <c r="C298" s="11" t="s">
        <v>687</v>
      </c>
      <c r="D298" s="12">
        <v>9.20978958E8</v>
      </c>
      <c r="E298" s="11" t="s">
        <v>9</v>
      </c>
      <c r="F298" s="20" t="s">
        <v>838</v>
      </c>
      <c r="G298" s="11"/>
      <c r="H298" s="11"/>
      <c r="I298" s="11"/>
    </row>
    <row r="299">
      <c r="A299" s="19" t="s">
        <v>873</v>
      </c>
      <c r="B299" s="11" t="s">
        <v>220</v>
      </c>
      <c r="C299" s="11" t="s">
        <v>221</v>
      </c>
      <c r="D299" s="12">
        <v>9.24546891E8</v>
      </c>
      <c r="E299" s="11" t="s">
        <v>9</v>
      </c>
      <c r="F299" s="20" t="s">
        <v>838</v>
      </c>
      <c r="G299" s="11"/>
      <c r="H299" s="11"/>
      <c r="I299" s="11"/>
    </row>
    <row r="300">
      <c r="A300" s="19" t="s">
        <v>873</v>
      </c>
      <c r="B300" s="11" t="s">
        <v>690</v>
      </c>
      <c r="C300" s="11" t="s">
        <v>691</v>
      </c>
      <c r="D300" s="12">
        <v>9.25562514E8</v>
      </c>
      <c r="E300" s="11" t="s">
        <v>9</v>
      </c>
      <c r="F300" s="20" t="s">
        <v>838</v>
      </c>
      <c r="G300" s="11"/>
      <c r="H300" s="11"/>
      <c r="I300" s="11"/>
    </row>
    <row r="301">
      <c r="A301" s="19" t="s">
        <v>873</v>
      </c>
      <c r="B301" s="11" t="s">
        <v>700</v>
      </c>
      <c r="C301" s="11" t="s">
        <v>701</v>
      </c>
      <c r="D301" s="12">
        <v>9.34344546E8</v>
      </c>
      <c r="E301" s="11" t="s">
        <v>9</v>
      </c>
      <c r="F301" s="20" t="s">
        <v>838</v>
      </c>
      <c r="G301" s="11"/>
      <c r="H301" s="11"/>
      <c r="I301" s="11"/>
    </row>
    <row r="302">
      <c r="A302" s="19" t="s">
        <v>873</v>
      </c>
      <c r="B302" s="11" t="s">
        <v>732</v>
      </c>
      <c r="C302" s="11" t="s">
        <v>733</v>
      </c>
      <c r="D302" s="12">
        <v>9.72820382E8</v>
      </c>
      <c r="E302" s="11" t="s">
        <v>9</v>
      </c>
      <c r="F302" s="20" t="s">
        <v>838</v>
      </c>
      <c r="G302" s="11"/>
      <c r="H302" s="11"/>
      <c r="I302" s="11"/>
    </row>
    <row r="303">
      <c r="A303" s="19" t="s">
        <v>873</v>
      </c>
      <c r="B303" s="11" t="s">
        <v>742</v>
      </c>
      <c r="C303" s="11" t="s">
        <v>743</v>
      </c>
      <c r="D303" s="12">
        <v>9.80490266E8</v>
      </c>
      <c r="E303" s="11" t="s">
        <v>9</v>
      </c>
      <c r="F303" s="20" t="s">
        <v>838</v>
      </c>
      <c r="G303" s="11"/>
      <c r="H303" s="11"/>
      <c r="I303" s="11"/>
    </row>
    <row r="304">
      <c r="A304" s="19" t="s">
        <v>873</v>
      </c>
      <c r="B304" s="5" t="s">
        <v>153</v>
      </c>
      <c r="C304" s="1" t="s">
        <v>154</v>
      </c>
      <c r="D304" s="1">
        <v>9.1914968E8</v>
      </c>
      <c r="E304" s="1" t="s">
        <v>9</v>
      </c>
      <c r="F304" s="20" t="s">
        <v>893</v>
      </c>
      <c r="G304" s="11"/>
      <c r="H304" s="11"/>
    </row>
    <row r="305">
      <c r="A305" s="19" t="s">
        <v>894</v>
      </c>
      <c r="B305" s="11" t="s">
        <v>539</v>
      </c>
      <c r="C305" s="11" t="s">
        <v>540</v>
      </c>
      <c r="D305" s="12">
        <f>+251916870819</f>
        <v>251916870819</v>
      </c>
      <c r="E305" s="11" t="s">
        <v>9</v>
      </c>
      <c r="F305" s="20" t="s">
        <v>813</v>
      </c>
      <c r="G305" s="20" t="s">
        <v>814</v>
      </c>
      <c r="H305" s="20" t="s">
        <v>815</v>
      </c>
      <c r="I305" s="20" t="s">
        <v>895</v>
      </c>
    </row>
    <row r="306">
      <c r="A306" s="19" t="s">
        <v>894</v>
      </c>
      <c r="B306" s="11" t="s">
        <v>640</v>
      </c>
      <c r="C306" s="11" t="s">
        <v>641</v>
      </c>
      <c r="D306" s="12">
        <v>9.02393236E8</v>
      </c>
      <c r="E306" s="11" t="s">
        <v>6</v>
      </c>
      <c r="F306" s="20" t="s">
        <v>813</v>
      </c>
      <c r="G306" s="20" t="s">
        <v>814</v>
      </c>
      <c r="H306" s="20" t="s">
        <v>815</v>
      </c>
      <c r="I306" s="20" t="s">
        <v>896</v>
      </c>
    </row>
    <row r="307">
      <c r="A307" s="19" t="s">
        <v>894</v>
      </c>
      <c r="B307" s="11" t="s">
        <v>650</v>
      </c>
      <c r="C307" s="11" t="s">
        <v>651</v>
      </c>
      <c r="D307" s="12">
        <v>9.10730661E8</v>
      </c>
      <c r="E307" s="11" t="s">
        <v>6</v>
      </c>
      <c r="F307" s="20" t="s">
        <v>813</v>
      </c>
      <c r="G307" s="20" t="s">
        <v>814</v>
      </c>
      <c r="H307" s="20" t="s">
        <v>815</v>
      </c>
      <c r="I307" s="20" t="s">
        <v>896</v>
      </c>
    </row>
    <row r="308">
      <c r="A308" s="19" t="s">
        <v>894</v>
      </c>
      <c r="B308" s="11" t="s">
        <v>724</v>
      </c>
      <c r="C308" s="11" t="s">
        <v>725</v>
      </c>
      <c r="D308" s="12">
        <v>9.67973689E8</v>
      </c>
      <c r="E308" s="11" t="s">
        <v>6</v>
      </c>
      <c r="F308" s="20" t="s">
        <v>813</v>
      </c>
      <c r="G308" s="20" t="s">
        <v>814</v>
      </c>
      <c r="H308" s="20" t="s">
        <v>815</v>
      </c>
      <c r="I308" s="20" t="s">
        <v>896</v>
      </c>
    </row>
    <row r="309">
      <c r="A309" s="19" t="s">
        <v>894</v>
      </c>
      <c r="B309" s="11" t="s">
        <v>752</v>
      </c>
      <c r="C309" s="11" t="s">
        <v>753</v>
      </c>
      <c r="D309" s="12">
        <v>9.9516737E8</v>
      </c>
      <c r="E309" s="11" t="s">
        <v>6</v>
      </c>
      <c r="F309" s="20" t="s">
        <v>813</v>
      </c>
      <c r="G309" s="20" t="s">
        <v>814</v>
      </c>
      <c r="H309" s="20" t="s">
        <v>815</v>
      </c>
      <c r="I309" s="20" t="s">
        <v>897</v>
      </c>
    </row>
    <row r="310">
      <c r="A310" s="19" t="s">
        <v>894</v>
      </c>
      <c r="B310" s="11" t="s">
        <v>772</v>
      </c>
      <c r="C310" s="11" t="s">
        <v>773</v>
      </c>
      <c r="D310" s="12">
        <f>+251953887194</f>
        <v>251953887194</v>
      </c>
      <c r="E310" s="11" t="s">
        <v>6</v>
      </c>
      <c r="F310" s="20" t="s">
        <v>813</v>
      </c>
      <c r="G310" s="20" t="s">
        <v>814</v>
      </c>
      <c r="H310" s="20" t="s">
        <v>815</v>
      </c>
      <c r="I310" s="20" t="s">
        <v>896</v>
      </c>
    </row>
    <row r="311">
      <c r="A311" s="19" t="s">
        <v>894</v>
      </c>
      <c r="B311" s="11" t="s">
        <v>782</v>
      </c>
      <c r="C311" s="11" t="s">
        <v>783</v>
      </c>
      <c r="D311" s="12" t="s">
        <v>784</v>
      </c>
      <c r="E311" s="11" t="s">
        <v>6</v>
      </c>
      <c r="F311" s="20" t="s">
        <v>813</v>
      </c>
      <c r="G311" s="20" t="s">
        <v>814</v>
      </c>
      <c r="H311" s="20" t="s">
        <v>815</v>
      </c>
      <c r="I311" s="20" t="s">
        <v>898</v>
      </c>
    </row>
    <row r="312">
      <c r="A312" s="19" t="s">
        <v>894</v>
      </c>
      <c r="B312" s="1">
        <v>1.000600624773E12</v>
      </c>
      <c r="C312" s="1" t="s">
        <v>398</v>
      </c>
      <c r="D312" s="1">
        <v>9.66037442E8</v>
      </c>
      <c r="E312" s="1" t="s">
        <v>6</v>
      </c>
      <c r="F312" s="20" t="s">
        <v>813</v>
      </c>
      <c r="G312" s="20" t="s">
        <v>814</v>
      </c>
      <c r="H312" s="20" t="s">
        <v>815</v>
      </c>
      <c r="I312" s="20" t="s">
        <v>899</v>
      </c>
    </row>
    <row r="313">
      <c r="A313" s="19" t="s">
        <v>894</v>
      </c>
      <c r="B313" s="1" t="s">
        <v>404</v>
      </c>
      <c r="C313" s="1" t="s">
        <v>406</v>
      </c>
      <c r="D313" s="1">
        <v>9.67290584E8</v>
      </c>
      <c r="E313" s="1" t="s">
        <v>6</v>
      </c>
      <c r="F313" s="20" t="s">
        <v>813</v>
      </c>
      <c r="G313" s="20" t="s">
        <v>814</v>
      </c>
      <c r="H313" s="20" t="s">
        <v>815</v>
      </c>
      <c r="I313" s="20" t="s">
        <v>896</v>
      </c>
    </row>
    <row r="314">
      <c r="A314" s="19" t="s">
        <v>894</v>
      </c>
      <c r="B314" s="1" t="s">
        <v>422</v>
      </c>
      <c r="C314" s="1" t="s">
        <v>423</v>
      </c>
      <c r="D314" s="1">
        <v>9.73703606E8</v>
      </c>
      <c r="E314" s="1" t="s">
        <v>6</v>
      </c>
      <c r="F314" s="20" t="s">
        <v>813</v>
      </c>
      <c r="G314" s="20" t="s">
        <v>814</v>
      </c>
      <c r="H314" s="20" t="s">
        <v>815</v>
      </c>
      <c r="I314" s="20" t="s">
        <v>896</v>
      </c>
    </row>
    <row r="315">
      <c r="A315" s="19" t="s">
        <v>894</v>
      </c>
      <c r="B315" s="1" t="s">
        <v>24</v>
      </c>
      <c r="C315" s="1" t="s">
        <v>25</v>
      </c>
      <c r="D315" s="1">
        <v>9.02961595E8</v>
      </c>
      <c r="E315" s="1" t="s">
        <v>6</v>
      </c>
      <c r="F315" s="20" t="s">
        <v>813</v>
      </c>
      <c r="G315" s="20" t="s">
        <v>814</v>
      </c>
      <c r="H315" s="20" t="s">
        <v>815</v>
      </c>
      <c r="I315" s="20" t="s">
        <v>897</v>
      </c>
    </row>
    <row r="316">
      <c r="A316" s="19" t="s">
        <v>894</v>
      </c>
      <c r="B316" s="1" t="s">
        <v>24</v>
      </c>
      <c r="C316" s="1" t="s">
        <v>25</v>
      </c>
      <c r="D316" s="1">
        <v>9.02961595E8</v>
      </c>
      <c r="E316" s="1" t="s">
        <v>6</v>
      </c>
      <c r="F316" s="20" t="s">
        <v>813</v>
      </c>
      <c r="G316" s="20" t="s">
        <v>814</v>
      </c>
      <c r="H316" s="20" t="s">
        <v>815</v>
      </c>
      <c r="I316" s="20" t="s">
        <v>900</v>
      </c>
    </row>
    <row r="317">
      <c r="A317" s="19" t="s">
        <v>894</v>
      </c>
      <c r="B317" s="5" t="s">
        <v>36</v>
      </c>
      <c r="C317" s="1" t="s">
        <v>37</v>
      </c>
      <c r="D317" s="1">
        <v>9.06866371E8</v>
      </c>
      <c r="E317" s="1" t="s">
        <v>6</v>
      </c>
      <c r="F317" s="20" t="s">
        <v>813</v>
      </c>
      <c r="G317" s="20" t="s">
        <v>814</v>
      </c>
      <c r="H317" s="20" t="s">
        <v>815</v>
      </c>
      <c r="I317" s="20" t="s">
        <v>897</v>
      </c>
    </row>
    <row r="318">
      <c r="A318" s="19" t="s">
        <v>894</v>
      </c>
      <c r="B318" s="1" t="s">
        <v>69</v>
      </c>
      <c r="C318" s="1" t="s">
        <v>70</v>
      </c>
      <c r="D318" s="1">
        <v>9.11408099E8</v>
      </c>
      <c r="E318" s="1" t="s">
        <v>6</v>
      </c>
      <c r="F318" s="20" t="s">
        <v>813</v>
      </c>
      <c r="G318" s="20" t="s">
        <v>814</v>
      </c>
      <c r="H318" s="20" t="s">
        <v>815</v>
      </c>
      <c r="I318" s="20" t="s">
        <v>898</v>
      </c>
    </row>
    <row r="319">
      <c r="A319" s="19" t="s">
        <v>894</v>
      </c>
      <c r="B319" s="1" t="s">
        <v>402</v>
      </c>
      <c r="C319" s="1" t="s">
        <v>403</v>
      </c>
      <c r="D319" s="1">
        <v>9.66949803E8</v>
      </c>
      <c r="E319" s="1" t="s">
        <v>6</v>
      </c>
      <c r="F319" s="20" t="s">
        <v>813</v>
      </c>
      <c r="G319" s="20" t="s">
        <v>814</v>
      </c>
      <c r="H319" s="20" t="s">
        <v>815</v>
      </c>
      <c r="I319" s="20" t="s">
        <v>898</v>
      </c>
    </row>
    <row r="320">
      <c r="A320" s="19" t="s">
        <v>894</v>
      </c>
      <c r="B320" s="1" t="s">
        <v>151</v>
      </c>
      <c r="C320" s="1" t="s">
        <v>152</v>
      </c>
      <c r="D320" s="1">
        <v>9.1884705E8</v>
      </c>
      <c r="E320" s="1" t="s">
        <v>6</v>
      </c>
      <c r="F320" s="20" t="s">
        <v>813</v>
      </c>
      <c r="G320" s="20" t="s">
        <v>814</v>
      </c>
      <c r="H320" s="20" t="s">
        <v>815</v>
      </c>
      <c r="I320" s="20" t="s">
        <v>897</v>
      </c>
    </row>
    <row r="321">
      <c r="A321" s="19" t="s">
        <v>894</v>
      </c>
      <c r="B321" s="1" t="s">
        <v>170</v>
      </c>
      <c r="C321" s="1" t="s">
        <v>171</v>
      </c>
      <c r="D321" s="1">
        <v>9.19870243E8</v>
      </c>
      <c r="E321" s="1" t="s">
        <v>6</v>
      </c>
      <c r="F321" s="20" t="s">
        <v>813</v>
      </c>
      <c r="G321" s="20" t="s">
        <v>814</v>
      </c>
      <c r="H321" s="20" t="s">
        <v>815</v>
      </c>
      <c r="I321" s="20" t="s">
        <v>898</v>
      </c>
    </row>
    <row r="322">
      <c r="A322" s="19" t="s">
        <v>894</v>
      </c>
      <c r="B322" s="1" t="s">
        <v>192</v>
      </c>
      <c r="C322" s="1" t="s">
        <v>193</v>
      </c>
      <c r="D322" s="1">
        <v>9.20827606E8</v>
      </c>
      <c r="E322" s="1" t="s">
        <v>6</v>
      </c>
      <c r="F322" s="20" t="s">
        <v>813</v>
      </c>
      <c r="G322" s="20" t="s">
        <v>814</v>
      </c>
      <c r="H322" s="20" t="s">
        <v>815</v>
      </c>
      <c r="I322" s="20" t="s">
        <v>899</v>
      </c>
    </row>
    <row r="323">
      <c r="A323" s="19" t="s">
        <v>894</v>
      </c>
      <c r="B323" s="1" t="s">
        <v>202</v>
      </c>
      <c r="C323" s="1" t="s">
        <v>203</v>
      </c>
      <c r="D323" s="1">
        <v>9.2184516E8</v>
      </c>
      <c r="E323" s="1" t="s">
        <v>6</v>
      </c>
      <c r="F323" s="20" t="s">
        <v>813</v>
      </c>
      <c r="G323" s="20" t="s">
        <v>814</v>
      </c>
      <c r="H323" s="20" t="s">
        <v>815</v>
      </c>
      <c r="I323" s="20" t="s">
        <v>896</v>
      </c>
    </row>
    <row r="324">
      <c r="A324" s="19" t="s">
        <v>894</v>
      </c>
      <c r="B324" s="1" t="s">
        <v>204</v>
      </c>
      <c r="C324" s="1" t="s">
        <v>205</v>
      </c>
      <c r="D324" s="1">
        <v>9.22294445E8</v>
      </c>
      <c r="E324" s="1" t="s">
        <v>6</v>
      </c>
      <c r="F324" s="20" t="s">
        <v>813</v>
      </c>
      <c r="G324" s="20" t="s">
        <v>814</v>
      </c>
      <c r="H324" s="20" t="s">
        <v>815</v>
      </c>
      <c r="I324" s="20" t="s">
        <v>896</v>
      </c>
    </row>
    <row r="325">
      <c r="A325" s="19" t="s">
        <v>894</v>
      </c>
      <c r="B325" s="11" t="s">
        <v>654</v>
      </c>
      <c r="C325" s="11" t="s">
        <v>655</v>
      </c>
      <c r="D325" s="12">
        <v>9.12150253E8</v>
      </c>
      <c r="E325" s="11" t="s">
        <v>6</v>
      </c>
      <c r="F325" s="20" t="s">
        <v>813</v>
      </c>
      <c r="G325" s="20" t="s">
        <v>814</v>
      </c>
      <c r="H325" s="20" t="s">
        <v>817</v>
      </c>
      <c r="I325" s="11"/>
    </row>
    <row r="326">
      <c r="A326" s="19" t="s">
        <v>894</v>
      </c>
      <c r="B326" s="11" t="s">
        <v>658</v>
      </c>
      <c r="C326" s="11" t="s">
        <v>659</v>
      </c>
      <c r="D326" s="12">
        <v>9.13443695E8</v>
      </c>
      <c r="E326" s="11" t="s">
        <v>6</v>
      </c>
      <c r="F326" s="20" t="s">
        <v>813</v>
      </c>
      <c r="G326" s="20" t="s">
        <v>814</v>
      </c>
      <c r="H326" s="20" t="s">
        <v>817</v>
      </c>
      <c r="I326" s="20" t="s">
        <v>885</v>
      </c>
    </row>
    <row r="327">
      <c r="A327" s="19" t="s">
        <v>894</v>
      </c>
      <c r="B327" s="11" t="s">
        <v>666</v>
      </c>
      <c r="C327" s="11" t="s">
        <v>667</v>
      </c>
      <c r="D327" s="12">
        <v>9.15745177E8</v>
      </c>
      <c r="E327" s="11" t="s">
        <v>6</v>
      </c>
      <c r="F327" s="20" t="s">
        <v>813</v>
      </c>
      <c r="G327" s="20" t="s">
        <v>814</v>
      </c>
      <c r="H327" s="20" t="s">
        <v>817</v>
      </c>
      <c r="I327" s="20" t="s">
        <v>901</v>
      </c>
    </row>
    <row r="328">
      <c r="A328" s="19" t="s">
        <v>894</v>
      </c>
      <c r="B328" s="11" t="s">
        <v>680</v>
      </c>
      <c r="C328" s="11" t="s">
        <v>681</v>
      </c>
      <c r="D328" s="12">
        <v>9.20273527E8</v>
      </c>
      <c r="E328" s="11" t="s">
        <v>6</v>
      </c>
      <c r="F328" s="20" t="s">
        <v>813</v>
      </c>
      <c r="G328" s="20" t="s">
        <v>814</v>
      </c>
      <c r="H328" s="20" t="s">
        <v>817</v>
      </c>
      <c r="I328" s="20" t="s">
        <v>902</v>
      </c>
    </row>
    <row r="329">
      <c r="A329" s="19" t="s">
        <v>894</v>
      </c>
      <c r="B329" s="1" t="s">
        <v>120</v>
      </c>
      <c r="C329" s="1" t="s">
        <v>121</v>
      </c>
      <c r="D329" s="1">
        <v>9.15925326E8</v>
      </c>
      <c r="E329" s="1" t="s">
        <v>6</v>
      </c>
      <c r="F329" s="20" t="s">
        <v>813</v>
      </c>
      <c r="G329" s="20" t="s">
        <v>814</v>
      </c>
      <c r="H329" s="20" t="s">
        <v>817</v>
      </c>
      <c r="I329" s="11"/>
    </row>
    <row r="330">
      <c r="A330" s="19" t="s">
        <v>894</v>
      </c>
      <c r="B330" s="11" t="s">
        <v>748</v>
      </c>
      <c r="C330" s="11" t="s">
        <v>749</v>
      </c>
      <c r="D330" s="12">
        <v>9.85936826E8</v>
      </c>
      <c r="E330" s="11" t="s">
        <v>9</v>
      </c>
      <c r="F330" s="20" t="s">
        <v>813</v>
      </c>
      <c r="G330" s="20" t="s">
        <v>811</v>
      </c>
      <c r="H330" s="20" t="s">
        <v>817</v>
      </c>
      <c r="I330" s="11"/>
    </row>
    <row r="331">
      <c r="A331" s="19" t="s">
        <v>894</v>
      </c>
      <c r="B331" s="11" t="s">
        <v>776</v>
      </c>
      <c r="C331" s="11" t="s">
        <v>777</v>
      </c>
      <c r="D331" s="12">
        <f>+251979510730</f>
        <v>251979510730</v>
      </c>
      <c r="E331" s="11" t="s">
        <v>9</v>
      </c>
      <c r="F331" s="20" t="s">
        <v>813</v>
      </c>
      <c r="G331" s="20" t="s">
        <v>811</v>
      </c>
      <c r="H331" s="20" t="s">
        <v>817</v>
      </c>
      <c r="I331" s="20" t="s">
        <v>903</v>
      </c>
    </row>
    <row r="332">
      <c r="A332" s="19" t="s">
        <v>894</v>
      </c>
      <c r="B332" s="11" t="s">
        <v>785</v>
      </c>
      <c r="C332" s="11" t="s">
        <v>786</v>
      </c>
      <c r="D332" s="12" t="s">
        <v>787</v>
      </c>
      <c r="E332" s="11" t="s">
        <v>9</v>
      </c>
      <c r="F332" s="20" t="s">
        <v>813</v>
      </c>
      <c r="G332" s="20" t="s">
        <v>811</v>
      </c>
      <c r="H332" s="20" t="s">
        <v>817</v>
      </c>
      <c r="I332" s="20" t="s">
        <v>904</v>
      </c>
    </row>
    <row r="333">
      <c r="A333" s="19" t="s">
        <v>894</v>
      </c>
      <c r="B333" s="11" t="s">
        <v>791</v>
      </c>
      <c r="C333" s="11" t="s">
        <v>792</v>
      </c>
      <c r="D333" s="12" t="s">
        <v>793</v>
      </c>
      <c r="E333" s="11" t="s">
        <v>9</v>
      </c>
      <c r="F333" s="20" t="s">
        <v>813</v>
      </c>
      <c r="G333" s="20" t="s">
        <v>811</v>
      </c>
      <c r="H333" s="20" t="s">
        <v>817</v>
      </c>
      <c r="I333" s="20" t="s">
        <v>904</v>
      </c>
    </row>
    <row r="334">
      <c r="A334" s="19" t="s">
        <v>894</v>
      </c>
      <c r="B334" s="11" t="s">
        <v>799</v>
      </c>
      <c r="C334" s="11" t="s">
        <v>800</v>
      </c>
      <c r="D334" s="12">
        <f>+251912899549</f>
        <v>251912899549</v>
      </c>
      <c r="E334" s="11" t="s">
        <v>9</v>
      </c>
      <c r="F334" s="20" t="s">
        <v>813</v>
      </c>
      <c r="G334" s="20" t="s">
        <v>811</v>
      </c>
      <c r="H334" s="20" t="s">
        <v>817</v>
      </c>
      <c r="I334" s="20" t="s">
        <v>905</v>
      </c>
    </row>
    <row r="335">
      <c r="A335" s="19" t="s">
        <v>894</v>
      </c>
      <c r="B335" s="11" t="s">
        <v>670</v>
      </c>
      <c r="C335" s="11" t="s">
        <v>671</v>
      </c>
      <c r="D335" s="12">
        <v>9.16885993E8</v>
      </c>
      <c r="E335" s="11" t="s">
        <v>6</v>
      </c>
      <c r="F335" s="20" t="s">
        <v>813</v>
      </c>
      <c r="G335" s="20" t="s">
        <v>811</v>
      </c>
      <c r="H335" s="20" t="s">
        <v>817</v>
      </c>
      <c r="I335" s="20" t="s">
        <v>906</v>
      </c>
    </row>
    <row r="336">
      <c r="A336" s="19" t="s">
        <v>894</v>
      </c>
      <c r="B336" s="11" t="s">
        <v>682</v>
      </c>
      <c r="C336" s="11" t="s">
        <v>683</v>
      </c>
      <c r="D336" s="12">
        <v>9.20839533E8</v>
      </c>
      <c r="E336" s="11" t="s">
        <v>6</v>
      </c>
      <c r="F336" s="20" t="s">
        <v>813</v>
      </c>
      <c r="G336" s="20" t="s">
        <v>811</v>
      </c>
      <c r="H336" s="20" t="s">
        <v>817</v>
      </c>
      <c r="I336" s="20" t="s">
        <v>907</v>
      </c>
    </row>
    <row r="337">
      <c r="A337" s="19" t="s">
        <v>894</v>
      </c>
      <c r="B337" s="11" t="s">
        <v>684</v>
      </c>
      <c r="C337" s="11" t="s">
        <v>685</v>
      </c>
      <c r="D337" s="12">
        <v>9.20877103E8</v>
      </c>
      <c r="E337" s="11" t="s">
        <v>6</v>
      </c>
      <c r="F337" s="20" t="s">
        <v>813</v>
      </c>
      <c r="G337" s="20" t="s">
        <v>811</v>
      </c>
      <c r="H337" s="20" t="s">
        <v>817</v>
      </c>
      <c r="I337" s="20" t="s">
        <v>902</v>
      </c>
    </row>
    <row r="338">
      <c r="A338" s="19" t="s">
        <v>894</v>
      </c>
      <c r="B338" s="11" t="s">
        <v>704</v>
      </c>
      <c r="C338" s="11" t="s">
        <v>705</v>
      </c>
      <c r="D338" s="12">
        <v>9.37999584E8</v>
      </c>
      <c r="E338" s="11" t="s">
        <v>6</v>
      </c>
      <c r="F338" s="20" t="s">
        <v>813</v>
      </c>
      <c r="G338" s="20" t="s">
        <v>811</v>
      </c>
      <c r="H338" s="20" t="s">
        <v>817</v>
      </c>
      <c r="I338" s="11"/>
    </row>
    <row r="339">
      <c r="A339" s="19" t="s">
        <v>894</v>
      </c>
      <c r="B339" s="11" t="s">
        <v>710</v>
      </c>
      <c r="C339" s="11" t="s">
        <v>711</v>
      </c>
      <c r="D339" s="12">
        <v>9.43403735E8</v>
      </c>
      <c r="E339" s="11" t="s">
        <v>6</v>
      </c>
      <c r="F339" s="20" t="s">
        <v>813</v>
      </c>
      <c r="G339" s="20" t="s">
        <v>811</v>
      </c>
      <c r="H339" s="20" t="s">
        <v>817</v>
      </c>
      <c r="I339" s="11"/>
    </row>
    <row r="340">
      <c r="A340" s="19" t="s">
        <v>894</v>
      </c>
      <c r="B340" s="11" t="s">
        <v>712</v>
      </c>
      <c r="C340" s="11" t="s">
        <v>713</v>
      </c>
      <c r="D340" s="12">
        <v>9.4967799E8</v>
      </c>
      <c r="E340" s="11" t="s">
        <v>6</v>
      </c>
      <c r="F340" s="20" t="s">
        <v>813</v>
      </c>
      <c r="G340" s="20" t="s">
        <v>811</v>
      </c>
      <c r="H340" s="20" t="s">
        <v>817</v>
      </c>
      <c r="I340" s="20" t="s">
        <v>908</v>
      </c>
    </row>
    <row r="341">
      <c r="A341" s="19" t="s">
        <v>894</v>
      </c>
      <c r="B341" s="11" t="s">
        <v>740</v>
      </c>
      <c r="C341" s="11" t="s">
        <v>741</v>
      </c>
      <c r="D341" s="12">
        <v>9.78624944E8</v>
      </c>
      <c r="E341" s="11" t="s">
        <v>6</v>
      </c>
      <c r="F341" s="20" t="s">
        <v>813</v>
      </c>
      <c r="G341" s="20" t="s">
        <v>811</v>
      </c>
      <c r="H341" s="20" t="s">
        <v>817</v>
      </c>
      <c r="I341" s="20" t="s">
        <v>909</v>
      </c>
    </row>
    <row r="342">
      <c r="A342" s="19" t="s">
        <v>894</v>
      </c>
      <c r="B342" s="11" t="s">
        <v>756</v>
      </c>
      <c r="C342" s="11" t="s">
        <v>757</v>
      </c>
      <c r="D342" s="12">
        <f>+251910425896</f>
        <v>251910425896</v>
      </c>
      <c r="E342" s="11" t="s">
        <v>6</v>
      </c>
      <c r="F342" s="20" t="s">
        <v>813</v>
      </c>
      <c r="G342" s="20" t="s">
        <v>811</v>
      </c>
      <c r="H342" s="20" t="s">
        <v>817</v>
      </c>
      <c r="I342" s="11"/>
    </row>
    <row r="343">
      <c r="A343" s="19" t="s">
        <v>894</v>
      </c>
      <c r="B343" s="11" t="s">
        <v>760</v>
      </c>
      <c r="C343" s="11" t="s">
        <v>761</v>
      </c>
      <c r="D343" s="12">
        <f>+251914504386</f>
        <v>251914504386</v>
      </c>
      <c r="E343" s="11" t="s">
        <v>6</v>
      </c>
      <c r="F343" s="20" t="s">
        <v>813</v>
      </c>
      <c r="G343" s="20" t="s">
        <v>811</v>
      </c>
      <c r="H343" s="20" t="s">
        <v>817</v>
      </c>
      <c r="I343" s="20" t="s">
        <v>909</v>
      </c>
    </row>
    <row r="344">
      <c r="A344" s="19" t="s">
        <v>894</v>
      </c>
      <c r="B344" s="11" t="s">
        <v>762</v>
      </c>
      <c r="C344" s="11" t="s">
        <v>763</v>
      </c>
      <c r="D344" s="12">
        <f>+251915991324</f>
        <v>251915991324</v>
      </c>
      <c r="E344" s="11" t="s">
        <v>6</v>
      </c>
      <c r="F344" s="20" t="s">
        <v>813</v>
      </c>
      <c r="G344" s="20" t="s">
        <v>811</v>
      </c>
      <c r="H344" s="20" t="s">
        <v>817</v>
      </c>
      <c r="I344" s="20" t="s">
        <v>904</v>
      </c>
    </row>
    <row r="345">
      <c r="A345" s="19" t="s">
        <v>894</v>
      </c>
      <c r="B345" s="11" t="s">
        <v>768</v>
      </c>
      <c r="C345" s="11" t="s">
        <v>769</v>
      </c>
      <c r="D345" s="12">
        <f>+251939317585</f>
        <v>251939317585</v>
      </c>
      <c r="E345" s="11" t="s">
        <v>6</v>
      </c>
      <c r="F345" s="20" t="s">
        <v>813</v>
      </c>
      <c r="G345" s="20" t="s">
        <v>811</v>
      </c>
      <c r="H345" s="20" t="s">
        <v>817</v>
      </c>
      <c r="I345" s="11"/>
    </row>
    <row r="346">
      <c r="A346" s="19" t="s">
        <v>894</v>
      </c>
      <c r="B346" s="11" t="s">
        <v>774</v>
      </c>
      <c r="C346" s="11" t="s">
        <v>775</v>
      </c>
      <c r="D346" s="12">
        <f>+251962852102</f>
        <v>251962852102</v>
      </c>
      <c r="E346" s="11" t="s">
        <v>6</v>
      </c>
      <c r="F346" s="20" t="s">
        <v>813</v>
      </c>
      <c r="G346" s="20" t="s">
        <v>811</v>
      </c>
      <c r="H346" s="20" t="s">
        <v>817</v>
      </c>
      <c r="I346" s="11"/>
    </row>
    <row r="347">
      <c r="A347" s="19" t="s">
        <v>894</v>
      </c>
      <c r="B347" s="11" t="s">
        <v>780</v>
      </c>
      <c r="C347" s="11" t="s">
        <v>781</v>
      </c>
      <c r="D347" s="12">
        <v>2.51988910173E11</v>
      </c>
      <c r="E347" s="11" t="s">
        <v>6</v>
      </c>
      <c r="F347" s="20" t="s">
        <v>813</v>
      </c>
      <c r="G347" s="20" t="s">
        <v>811</v>
      </c>
      <c r="H347" s="20" t="s">
        <v>817</v>
      </c>
      <c r="I347" s="11"/>
    </row>
    <row r="348">
      <c r="A348" s="19" t="s">
        <v>894</v>
      </c>
      <c r="B348" s="11" t="s">
        <v>788</v>
      </c>
      <c r="C348" s="11" t="s">
        <v>789</v>
      </c>
      <c r="D348" s="12" t="s">
        <v>790</v>
      </c>
      <c r="E348" s="11" t="s">
        <v>6</v>
      </c>
      <c r="F348" s="20" t="s">
        <v>813</v>
      </c>
      <c r="G348" s="20" t="s">
        <v>811</v>
      </c>
      <c r="H348" s="20" t="s">
        <v>817</v>
      </c>
      <c r="I348" s="20" t="s">
        <v>910</v>
      </c>
    </row>
    <row r="349">
      <c r="A349" s="19" t="s">
        <v>894</v>
      </c>
      <c r="B349" s="1" t="s">
        <v>585</v>
      </c>
      <c r="C349" s="1" t="s">
        <v>586</v>
      </c>
      <c r="D349" s="8">
        <f>+251936524911</f>
        <v>251936524911</v>
      </c>
      <c r="E349" s="1" t="s">
        <v>6</v>
      </c>
      <c r="F349" s="20" t="s">
        <v>813</v>
      </c>
      <c r="G349" s="20" t="s">
        <v>811</v>
      </c>
      <c r="H349" s="20" t="s">
        <v>817</v>
      </c>
      <c r="I349" s="20" t="s">
        <v>906</v>
      </c>
    </row>
    <row r="350">
      <c r="A350" s="19" t="s">
        <v>894</v>
      </c>
      <c r="B350" s="1" t="s">
        <v>592</v>
      </c>
      <c r="C350" s="1" t="s">
        <v>311</v>
      </c>
      <c r="D350" s="8">
        <f t="shared" ref="D350:D351" si="6">+251942060536</f>
        <v>251942060536</v>
      </c>
      <c r="E350" s="1" t="s">
        <v>6</v>
      </c>
      <c r="F350" s="20" t="s">
        <v>813</v>
      </c>
      <c r="G350" s="20" t="s">
        <v>811</v>
      </c>
      <c r="H350" s="20" t="s">
        <v>817</v>
      </c>
      <c r="I350" s="20" t="s">
        <v>901</v>
      </c>
    </row>
    <row r="351">
      <c r="A351" s="19" t="s">
        <v>894</v>
      </c>
      <c r="B351" s="1" t="s">
        <v>310</v>
      </c>
      <c r="C351" s="1" t="s">
        <v>593</v>
      </c>
      <c r="D351" s="8">
        <f t="shared" si="6"/>
        <v>251942060536</v>
      </c>
      <c r="E351" s="1" t="s">
        <v>6</v>
      </c>
      <c r="F351" s="20" t="s">
        <v>813</v>
      </c>
      <c r="G351" s="20" t="s">
        <v>811</v>
      </c>
      <c r="H351" s="20" t="s">
        <v>817</v>
      </c>
      <c r="I351" s="20" t="s">
        <v>901</v>
      </c>
    </row>
    <row r="352">
      <c r="A352" s="19" t="s">
        <v>894</v>
      </c>
      <c r="B352" s="1" t="s">
        <v>594</v>
      </c>
      <c r="C352" s="1" t="s">
        <v>595</v>
      </c>
      <c r="D352" s="1">
        <v>2.519430064E11</v>
      </c>
      <c r="E352" s="1" t="s">
        <v>6</v>
      </c>
      <c r="F352" s="20" t="s">
        <v>813</v>
      </c>
      <c r="G352" s="20" t="s">
        <v>811</v>
      </c>
      <c r="H352" s="20" t="s">
        <v>817</v>
      </c>
      <c r="I352" s="20" t="s">
        <v>902</v>
      </c>
    </row>
    <row r="353">
      <c r="A353" s="19" t="s">
        <v>894</v>
      </c>
      <c r="B353" s="1" t="s">
        <v>600</v>
      </c>
      <c r="C353" s="1" t="s">
        <v>601</v>
      </c>
      <c r="D353" s="8">
        <f>+251953269486</f>
        <v>251953269486</v>
      </c>
      <c r="E353" s="1" t="s">
        <v>6</v>
      </c>
      <c r="F353" s="20" t="s">
        <v>813</v>
      </c>
      <c r="G353" s="20" t="s">
        <v>811</v>
      </c>
      <c r="H353" s="20" t="s">
        <v>817</v>
      </c>
      <c r="I353" s="11"/>
    </row>
    <row r="354">
      <c r="A354" s="19" t="s">
        <v>894</v>
      </c>
      <c r="B354" s="1" t="s">
        <v>616</v>
      </c>
      <c r="C354" s="1" t="s">
        <v>617</v>
      </c>
      <c r="D354" s="8">
        <f t="shared" ref="D354:D356" si="7">+251974716421</f>
        <v>251974716421</v>
      </c>
      <c r="E354" s="1" t="s">
        <v>6</v>
      </c>
      <c r="F354" s="20" t="s">
        <v>813</v>
      </c>
      <c r="G354" s="20" t="s">
        <v>811</v>
      </c>
      <c r="H354" s="20" t="s">
        <v>817</v>
      </c>
      <c r="I354" s="20" t="s">
        <v>911</v>
      </c>
    </row>
    <row r="355">
      <c r="A355" s="19" t="s">
        <v>894</v>
      </c>
      <c r="B355" s="1" t="s">
        <v>616</v>
      </c>
      <c r="C355" s="1" t="s">
        <v>617</v>
      </c>
      <c r="D355" s="8">
        <f t="shared" si="7"/>
        <v>251974716421</v>
      </c>
      <c r="E355" s="1" t="s">
        <v>6</v>
      </c>
      <c r="F355" s="20" t="s">
        <v>813</v>
      </c>
      <c r="G355" s="20" t="s">
        <v>811</v>
      </c>
      <c r="H355" s="20" t="s">
        <v>817</v>
      </c>
      <c r="I355" s="20" t="s">
        <v>911</v>
      </c>
    </row>
    <row r="356">
      <c r="A356" s="19" t="s">
        <v>894</v>
      </c>
      <c r="B356" s="1" t="s">
        <v>616</v>
      </c>
      <c r="C356" s="1" t="s">
        <v>617</v>
      </c>
      <c r="D356" s="8">
        <f t="shared" si="7"/>
        <v>251974716421</v>
      </c>
      <c r="E356" s="1" t="s">
        <v>6</v>
      </c>
      <c r="F356" s="20" t="s">
        <v>813</v>
      </c>
      <c r="G356" s="20" t="s">
        <v>811</v>
      </c>
      <c r="H356" s="20" t="s">
        <v>817</v>
      </c>
      <c r="I356" s="20" t="s">
        <v>911</v>
      </c>
    </row>
    <row r="357">
      <c r="A357" s="19" t="s">
        <v>894</v>
      </c>
      <c r="B357" s="1" t="s">
        <v>382</v>
      </c>
      <c r="C357" s="1" t="s">
        <v>383</v>
      </c>
      <c r="D357" s="1">
        <v>9.61040645E8</v>
      </c>
      <c r="E357" s="1" t="s">
        <v>6</v>
      </c>
      <c r="F357" s="20" t="s">
        <v>813</v>
      </c>
      <c r="G357" s="20" t="s">
        <v>811</v>
      </c>
      <c r="H357" s="20" t="s">
        <v>817</v>
      </c>
      <c r="I357" s="11"/>
    </row>
    <row r="358">
      <c r="A358" s="19" t="s">
        <v>894</v>
      </c>
      <c r="B358" s="1" t="s">
        <v>430</v>
      </c>
      <c r="C358" s="1" t="s">
        <v>431</v>
      </c>
      <c r="D358" s="1">
        <v>9.7420916E8</v>
      </c>
      <c r="E358" s="1" t="s">
        <v>6</v>
      </c>
      <c r="F358" s="20" t="s">
        <v>813</v>
      </c>
      <c r="G358" s="20" t="s">
        <v>811</v>
      </c>
      <c r="H358" s="20" t="s">
        <v>817</v>
      </c>
      <c r="I358" s="11"/>
    </row>
    <row r="359">
      <c r="A359" s="19" t="s">
        <v>894</v>
      </c>
      <c r="B359" s="1" t="s">
        <v>26</v>
      </c>
      <c r="C359" s="1" t="s">
        <v>27</v>
      </c>
      <c r="D359" s="1">
        <v>9.03046191E8</v>
      </c>
      <c r="E359" s="1" t="s">
        <v>6</v>
      </c>
      <c r="F359" s="20" t="s">
        <v>813</v>
      </c>
      <c r="G359" s="20" t="s">
        <v>811</v>
      </c>
      <c r="H359" s="20" t="s">
        <v>817</v>
      </c>
      <c r="I359" s="11"/>
    </row>
    <row r="360">
      <c r="A360" s="19" t="s">
        <v>894</v>
      </c>
      <c r="B360" s="1" t="s">
        <v>43</v>
      </c>
      <c r="C360" s="1" t="s">
        <v>44</v>
      </c>
      <c r="D360" s="1">
        <v>9.0865771E8</v>
      </c>
      <c r="E360" s="1" t="s">
        <v>6</v>
      </c>
      <c r="F360" s="20" t="s">
        <v>813</v>
      </c>
      <c r="G360" s="20" t="s">
        <v>811</v>
      </c>
      <c r="H360" s="20" t="s">
        <v>817</v>
      </c>
      <c r="I360" s="20" t="s">
        <v>912</v>
      </c>
    </row>
    <row r="361">
      <c r="A361" s="19" t="s">
        <v>894</v>
      </c>
      <c r="B361" s="1" t="s">
        <v>51</v>
      </c>
      <c r="C361" s="1" t="s">
        <v>52</v>
      </c>
      <c r="D361" s="1">
        <v>9.10211635E8</v>
      </c>
      <c r="E361" s="1" t="s">
        <v>6</v>
      </c>
      <c r="F361" s="20" t="s">
        <v>813</v>
      </c>
      <c r="G361" s="20" t="s">
        <v>811</v>
      </c>
      <c r="H361" s="20" t="s">
        <v>817</v>
      </c>
      <c r="I361" s="11"/>
    </row>
    <row r="362">
      <c r="A362" s="19" t="s">
        <v>894</v>
      </c>
      <c r="B362" s="1" t="s">
        <v>108</v>
      </c>
      <c r="C362" s="1" t="s">
        <v>109</v>
      </c>
      <c r="D362" s="1">
        <v>9.13918386E8</v>
      </c>
      <c r="E362" s="1" t="s">
        <v>6</v>
      </c>
      <c r="F362" s="20" t="s">
        <v>813</v>
      </c>
      <c r="G362" s="20" t="s">
        <v>811</v>
      </c>
      <c r="H362" s="20" t="s">
        <v>817</v>
      </c>
      <c r="I362" s="11"/>
    </row>
    <row r="363">
      <c r="A363" s="19" t="s">
        <v>894</v>
      </c>
      <c r="B363" s="1" t="s">
        <v>126</v>
      </c>
      <c r="C363" s="1" t="s">
        <v>127</v>
      </c>
      <c r="D363" s="1">
        <v>9.16393461E8</v>
      </c>
      <c r="E363" s="1" t="s">
        <v>6</v>
      </c>
      <c r="F363" s="20" t="s">
        <v>813</v>
      </c>
      <c r="G363" s="20" t="s">
        <v>811</v>
      </c>
      <c r="H363" s="20" t="s">
        <v>817</v>
      </c>
      <c r="I363" s="11"/>
    </row>
    <row r="364">
      <c r="A364" s="19" t="s">
        <v>894</v>
      </c>
      <c r="B364" s="1" t="s">
        <v>136</v>
      </c>
      <c r="C364" s="1" t="s">
        <v>135</v>
      </c>
      <c r="D364" s="1">
        <v>9.17035609E8</v>
      </c>
      <c r="E364" s="1" t="s">
        <v>6</v>
      </c>
      <c r="F364" s="20" t="s">
        <v>813</v>
      </c>
      <c r="G364" s="20" t="s">
        <v>811</v>
      </c>
      <c r="H364" s="20" t="s">
        <v>817</v>
      </c>
      <c r="I364" s="11"/>
    </row>
    <row r="365">
      <c r="A365" s="19" t="s">
        <v>894</v>
      </c>
      <c r="B365" s="1" t="s">
        <v>142</v>
      </c>
      <c r="C365" s="1" t="s">
        <v>143</v>
      </c>
      <c r="D365" s="1">
        <v>9.17843917E8</v>
      </c>
      <c r="E365" s="1" t="s">
        <v>6</v>
      </c>
      <c r="F365" s="20" t="s">
        <v>813</v>
      </c>
      <c r="G365" s="20" t="s">
        <v>811</v>
      </c>
      <c r="H365" s="20" t="s">
        <v>817</v>
      </c>
      <c r="I365" s="11"/>
    </row>
    <row r="366">
      <c r="A366" s="19" t="s">
        <v>894</v>
      </c>
      <c r="B366" s="1" t="s">
        <v>184</v>
      </c>
      <c r="C366" s="1" t="s">
        <v>185</v>
      </c>
      <c r="D366" s="1">
        <v>9.2034436E8</v>
      </c>
      <c r="E366" s="1" t="s">
        <v>6</v>
      </c>
      <c r="F366" s="20" t="s">
        <v>813</v>
      </c>
      <c r="G366" s="20" t="s">
        <v>811</v>
      </c>
      <c r="H366" s="20" t="s">
        <v>817</v>
      </c>
      <c r="I366" s="20" t="s">
        <v>913</v>
      </c>
    </row>
    <row r="367">
      <c r="A367" s="19" t="s">
        <v>894</v>
      </c>
      <c r="B367" s="1" t="s">
        <v>190</v>
      </c>
      <c r="C367" s="1" t="s">
        <v>191</v>
      </c>
      <c r="D367" s="1">
        <v>9.20796264E8</v>
      </c>
      <c r="E367" s="1" t="s">
        <v>6</v>
      </c>
      <c r="F367" s="20" t="s">
        <v>813</v>
      </c>
      <c r="G367" s="20" t="s">
        <v>811</v>
      </c>
      <c r="H367" s="20" t="s">
        <v>817</v>
      </c>
      <c r="I367" s="11"/>
    </row>
    <row r="368">
      <c r="A368" s="19" t="s">
        <v>894</v>
      </c>
      <c r="B368" s="1" t="s">
        <v>194</v>
      </c>
      <c r="C368" s="1" t="s">
        <v>195</v>
      </c>
      <c r="D368" s="1">
        <v>9.21169088E8</v>
      </c>
      <c r="E368" s="1" t="s">
        <v>6</v>
      </c>
      <c r="F368" s="20" t="s">
        <v>813</v>
      </c>
      <c r="G368" s="20" t="s">
        <v>811</v>
      </c>
      <c r="H368" s="20" t="s">
        <v>817</v>
      </c>
      <c r="I368" s="11"/>
    </row>
    <row r="369">
      <c r="A369" s="19" t="s">
        <v>894</v>
      </c>
      <c r="B369" s="1" t="s">
        <v>632</v>
      </c>
      <c r="C369" s="1" t="s">
        <v>633</v>
      </c>
      <c r="D369" s="1">
        <v>2.519206066012E12</v>
      </c>
      <c r="E369" s="1" t="s">
        <v>6</v>
      </c>
      <c r="F369" s="20" t="s">
        <v>813</v>
      </c>
      <c r="G369" s="20" t="s">
        <v>811</v>
      </c>
      <c r="H369" s="20" t="s">
        <v>817</v>
      </c>
      <c r="I369" s="11"/>
    </row>
    <row r="370">
      <c r="A370" s="19" t="s">
        <v>894</v>
      </c>
      <c r="B370" s="11" t="s">
        <v>708</v>
      </c>
      <c r="C370" s="11" t="s">
        <v>709</v>
      </c>
      <c r="D370" s="12">
        <v>9.40730366E8</v>
      </c>
      <c r="E370" s="11" t="s">
        <v>6</v>
      </c>
      <c r="F370" s="20" t="s">
        <v>813</v>
      </c>
      <c r="G370" s="20" t="s">
        <v>811</v>
      </c>
      <c r="H370" s="20" t="s">
        <v>812</v>
      </c>
      <c r="I370" s="20" t="s">
        <v>914</v>
      </c>
    </row>
    <row r="371">
      <c r="A371" s="19" t="s">
        <v>894</v>
      </c>
      <c r="B371" s="1" t="s">
        <v>16</v>
      </c>
      <c r="C371" s="1" t="s">
        <v>17</v>
      </c>
      <c r="D371" s="1">
        <v>9.01192359E8</v>
      </c>
      <c r="E371" s="1" t="s">
        <v>6</v>
      </c>
      <c r="F371" s="20" t="s">
        <v>813</v>
      </c>
      <c r="G371" s="20" t="s">
        <v>811</v>
      </c>
      <c r="H371" s="20" t="s">
        <v>812</v>
      </c>
      <c r="I371" s="20" t="s">
        <v>915</v>
      </c>
    </row>
    <row r="372">
      <c r="A372" s="19" t="s">
        <v>894</v>
      </c>
      <c r="B372" s="1" t="s">
        <v>75</v>
      </c>
      <c r="C372" s="1" t="s">
        <v>76</v>
      </c>
      <c r="D372" s="1">
        <v>9.11565928E8</v>
      </c>
      <c r="E372" s="1" t="s">
        <v>6</v>
      </c>
      <c r="F372" s="20" t="s">
        <v>813</v>
      </c>
      <c r="G372" s="20" t="s">
        <v>811</v>
      </c>
      <c r="H372" s="20" t="s">
        <v>812</v>
      </c>
      <c r="I372" s="20" t="s">
        <v>915</v>
      </c>
    </row>
    <row r="373">
      <c r="A373" s="19" t="s">
        <v>894</v>
      </c>
      <c r="B373" s="1" t="s">
        <v>102</v>
      </c>
      <c r="C373" s="1" t="s">
        <v>103</v>
      </c>
      <c r="D373" s="1">
        <v>9.13826556E8</v>
      </c>
      <c r="E373" s="1" t="s">
        <v>6</v>
      </c>
      <c r="F373" s="20" t="s">
        <v>813</v>
      </c>
      <c r="G373" s="20" t="s">
        <v>811</v>
      </c>
      <c r="H373" s="20" t="s">
        <v>812</v>
      </c>
      <c r="I373" s="20" t="s">
        <v>916</v>
      </c>
    </row>
    <row r="374">
      <c r="A374" s="19" t="s">
        <v>894</v>
      </c>
      <c r="B374" s="1" t="s">
        <v>110</v>
      </c>
      <c r="C374" s="1" t="s">
        <v>111</v>
      </c>
      <c r="D374" s="1">
        <v>9.13929844E8</v>
      </c>
      <c r="E374" s="1" t="s">
        <v>6</v>
      </c>
      <c r="F374" s="20" t="s">
        <v>813</v>
      </c>
      <c r="G374" s="20" t="s">
        <v>811</v>
      </c>
      <c r="H374" s="20" t="s">
        <v>812</v>
      </c>
      <c r="I374" s="20" t="s">
        <v>917</v>
      </c>
    </row>
    <row r="375">
      <c r="A375" s="19" t="s">
        <v>894</v>
      </c>
      <c r="B375" s="11" t="s">
        <v>764</v>
      </c>
      <c r="C375" s="11" t="s">
        <v>765</v>
      </c>
      <c r="D375" s="12">
        <f>+251916627720</f>
        <v>251916627720</v>
      </c>
      <c r="E375" s="11" t="s">
        <v>9</v>
      </c>
      <c r="F375" s="20" t="s">
        <v>813</v>
      </c>
      <c r="G375" s="20" t="s">
        <v>835</v>
      </c>
      <c r="H375" s="20" t="s">
        <v>868</v>
      </c>
      <c r="I375" s="20" t="s">
        <v>918</v>
      </c>
    </row>
    <row r="376">
      <c r="A376" s="19" t="s">
        <v>894</v>
      </c>
      <c r="B376" s="11" t="s">
        <v>634</v>
      </c>
      <c r="C376" s="11" t="s">
        <v>635</v>
      </c>
      <c r="D376" s="12">
        <v>9.00359283E8</v>
      </c>
      <c r="E376" s="11" t="s">
        <v>6</v>
      </c>
      <c r="F376" s="20" t="s">
        <v>813</v>
      </c>
      <c r="G376" s="20" t="s">
        <v>835</v>
      </c>
      <c r="H376" s="20" t="s">
        <v>868</v>
      </c>
      <c r="I376" s="20" t="s">
        <v>919</v>
      </c>
    </row>
    <row r="377">
      <c r="A377" s="19" t="s">
        <v>894</v>
      </c>
      <c r="B377" s="11" t="s">
        <v>720</v>
      </c>
      <c r="C377" s="11" t="s">
        <v>721</v>
      </c>
      <c r="D377" s="12">
        <v>9.61506552E8</v>
      </c>
      <c r="E377" s="11" t="s">
        <v>6</v>
      </c>
      <c r="F377" s="20" t="s">
        <v>813</v>
      </c>
      <c r="G377" s="20" t="s">
        <v>835</v>
      </c>
      <c r="H377" s="20" t="s">
        <v>868</v>
      </c>
      <c r="I377" s="20" t="s">
        <v>920</v>
      </c>
    </row>
    <row r="378">
      <c r="A378" s="19" t="s">
        <v>894</v>
      </c>
      <c r="B378" s="11" t="s">
        <v>770</v>
      </c>
      <c r="C378" s="11" t="s">
        <v>771</v>
      </c>
      <c r="D378" s="12">
        <f>+251945068314</f>
        <v>251945068314</v>
      </c>
      <c r="E378" s="11" t="s">
        <v>6</v>
      </c>
      <c r="F378" s="20" t="s">
        <v>813</v>
      </c>
      <c r="G378" s="20" t="s">
        <v>835</v>
      </c>
      <c r="H378" s="20" t="s">
        <v>868</v>
      </c>
      <c r="I378" s="20" t="s">
        <v>920</v>
      </c>
    </row>
    <row r="379">
      <c r="A379" s="19" t="s">
        <v>894</v>
      </c>
      <c r="B379" s="1" t="s">
        <v>73</v>
      </c>
      <c r="C379" s="1" t="s">
        <v>74</v>
      </c>
      <c r="D379" s="1">
        <v>9.11560266E8</v>
      </c>
      <c r="E379" s="1" t="s">
        <v>6</v>
      </c>
      <c r="F379" s="20" t="s">
        <v>813</v>
      </c>
      <c r="G379" s="20" t="s">
        <v>835</v>
      </c>
      <c r="H379" s="20" t="s">
        <v>868</v>
      </c>
      <c r="I379" s="20" t="s">
        <v>920</v>
      </c>
    </row>
    <row r="380">
      <c r="A380" s="19" t="s">
        <v>894</v>
      </c>
      <c r="B380" s="1" t="s">
        <v>73</v>
      </c>
      <c r="C380" s="1" t="s">
        <v>74</v>
      </c>
      <c r="D380" s="1">
        <v>9.11560266E8</v>
      </c>
      <c r="E380" s="1" t="s">
        <v>6</v>
      </c>
      <c r="F380" s="20" t="s">
        <v>813</v>
      </c>
      <c r="G380" s="20" t="s">
        <v>835</v>
      </c>
      <c r="H380" s="20" t="s">
        <v>868</v>
      </c>
      <c r="I380" s="20" t="s">
        <v>900</v>
      </c>
    </row>
    <row r="381">
      <c r="A381" s="19" t="s">
        <v>894</v>
      </c>
      <c r="B381" s="1" t="s">
        <v>388</v>
      </c>
      <c r="C381" s="1" t="s">
        <v>389</v>
      </c>
      <c r="D381" s="1">
        <v>9.63337138E8</v>
      </c>
      <c r="E381" s="1" t="s">
        <v>6</v>
      </c>
      <c r="F381" s="20" t="s">
        <v>813</v>
      </c>
      <c r="G381" s="20" t="s">
        <v>835</v>
      </c>
      <c r="H381" s="20" t="s">
        <v>869</v>
      </c>
      <c r="I381" s="20" t="s">
        <v>899</v>
      </c>
    </row>
    <row r="382">
      <c r="A382" s="19" t="s">
        <v>894</v>
      </c>
      <c r="B382" s="1" t="s">
        <v>409</v>
      </c>
      <c r="C382" s="1" t="s">
        <v>410</v>
      </c>
      <c r="D382" s="1">
        <v>9.7040937E8</v>
      </c>
      <c r="E382" s="1" t="s">
        <v>6</v>
      </c>
      <c r="F382" s="20" t="s">
        <v>813</v>
      </c>
      <c r="G382" s="20" t="s">
        <v>835</v>
      </c>
      <c r="H382" s="20" t="s">
        <v>869</v>
      </c>
      <c r="I382" s="20" t="s">
        <v>921</v>
      </c>
    </row>
    <row r="383">
      <c r="A383" s="19" t="s">
        <v>894</v>
      </c>
      <c r="B383" s="1" t="s">
        <v>85</v>
      </c>
      <c r="C383" s="1" t="s">
        <v>86</v>
      </c>
      <c r="D383" s="1">
        <v>9.12354983E8</v>
      </c>
      <c r="E383" s="1" t="s">
        <v>6</v>
      </c>
      <c r="F383" s="20" t="s">
        <v>813</v>
      </c>
      <c r="G383" s="20" t="s">
        <v>835</v>
      </c>
      <c r="H383" s="20" t="s">
        <v>869</v>
      </c>
      <c r="I383" s="11"/>
    </row>
    <row r="384">
      <c r="A384" s="19" t="s">
        <v>894</v>
      </c>
      <c r="B384" s="1" t="s">
        <v>95</v>
      </c>
      <c r="C384" s="1" t="s">
        <v>96</v>
      </c>
      <c r="D384" s="1">
        <v>9.13052513E8</v>
      </c>
      <c r="E384" s="1" t="s">
        <v>6</v>
      </c>
      <c r="F384" s="20" t="s">
        <v>813</v>
      </c>
      <c r="G384" s="20" t="s">
        <v>835</v>
      </c>
      <c r="H384" s="20" t="s">
        <v>869</v>
      </c>
      <c r="I384" s="20" t="s">
        <v>916</v>
      </c>
    </row>
    <row r="385">
      <c r="A385" s="19" t="s">
        <v>894</v>
      </c>
      <c r="B385" s="1" t="s">
        <v>114</v>
      </c>
      <c r="C385" s="1" t="s">
        <v>115</v>
      </c>
      <c r="D385" s="1">
        <v>9.15044565E8</v>
      </c>
      <c r="E385" s="1" t="s">
        <v>6</v>
      </c>
      <c r="F385" s="20" t="s">
        <v>813</v>
      </c>
      <c r="G385" s="20" t="s">
        <v>835</v>
      </c>
      <c r="H385" s="20" t="s">
        <v>869</v>
      </c>
      <c r="I385" s="20" t="s">
        <v>922</v>
      </c>
    </row>
    <row r="386">
      <c r="A386" s="19" t="s">
        <v>894</v>
      </c>
      <c r="B386" s="1" t="s">
        <v>426</v>
      </c>
      <c r="C386" s="1" t="s">
        <v>427</v>
      </c>
      <c r="D386" s="1">
        <v>9.73971343E8</v>
      </c>
      <c r="E386" s="1" t="s">
        <v>6</v>
      </c>
      <c r="F386" s="20" t="s">
        <v>813</v>
      </c>
      <c r="G386" s="20" t="s">
        <v>835</v>
      </c>
      <c r="H386" s="20" t="s">
        <v>869</v>
      </c>
      <c r="I386" s="11"/>
    </row>
    <row r="387">
      <c r="A387" s="19" t="s">
        <v>894</v>
      </c>
      <c r="B387" s="1" t="s">
        <v>163</v>
      </c>
      <c r="C387" s="1" t="s">
        <v>165</v>
      </c>
      <c r="D387" s="1">
        <v>9.19434715E8</v>
      </c>
      <c r="E387" s="1" t="s">
        <v>6</v>
      </c>
      <c r="F387" s="20" t="s">
        <v>813</v>
      </c>
      <c r="G387" s="20" t="s">
        <v>835</v>
      </c>
      <c r="H387" s="20" t="s">
        <v>869</v>
      </c>
      <c r="I387" s="11"/>
    </row>
    <row r="388">
      <c r="A388" s="19" t="s">
        <v>894</v>
      </c>
      <c r="B388" s="1" t="s">
        <v>163</v>
      </c>
      <c r="C388" s="1" t="s">
        <v>165</v>
      </c>
      <c r="D388" s="1">
        <v>9.19434715E8</v>
      </c>
      <c r="E388" s="1" t="s">
        <v>6</v>
      </c>
      <c r="F388" s="20" t="s">
        <v>813</v>
      </c>
      <c r="G388" s="20" t="s">
        <v>835</v>
      </c>
      <c r="H388" s="20" t="s">
        <v>869</v>
      </c>
      <c r="I388" s="20" t="s">
        <v>900</v>
      </c>
    </row>
    <row r="389">
      <c r="A389" s="19" t="s">
        <v>894</v>
      </c>
      <c r="B389" s="11" t="s">
        <v>750</v>
      </c>
      <c r="C389" s="11" t="s">
        <v>751</v>
      </c>
      <c r="D389" s="12">
        <v>9.88823957E8</v>
      </c>
      <c r="E389" s="11" t="s">
        <v>9</v>
      </c>
      <c r="F389" s="20" t="s">
        <v>837</v>
      </c>
      <c r="G389" s="11"/>
      <c r="H389" s="11"/>
      <c r="I389" s="11"/>
    </row>
    <row r="390">
      <c r="A390" s="19" t="s">
        <v>894</v>
      </c>
      <c r="B390" s="11" t="s">
        <v>754</v>
      </c>
      <c r="C390" s="11" t="s">
        <v>755</v>
      </c>
      <c r="D390" s="12">
        <f>+251910234171</f>
        <v>251910234171</v>
      </c>
      <c r="E390" s="11" t="s">
        <v>9</v>
      </c>
      <c r="F390" s="20" t="s">
        <v>837</v>
      </c>
      <c r="G390" s="11"/>
      <c r="H390" s="11"/>
      <c r="I390" s="11"/>
    </row>
    <row r="391">
      <c r="A391" s="19" t="s">
        <v>894</v>
      </c>
      <c r="B391" s="11" t="s">
        <v>796</v>
      </c>
      <c r="C391" s="11" t="s">
        <v>797</v>
      </c>
      <c r="D391" s="12" t="s">
        <v>798</v>
      </c>
      <c r="E391" s="11" t="s">
        <v>9</v>
      </c>
      <c r="F391" s="20" t="s">
        <v>837</v>
      </c>
      <c r="G391" s="11"/>
      <c r="H391" s="11"/>
      <c r="I391" s="11"/>
    </row>
    <row r="392">
      <c r="A392" s="19" t="s">
        <v>894</v>
      </c>
      <c r="B392" s="11" t="s">
        <v>660</v>
      </c>
      <c r="C392" s="11" t="s">
        <v>661</v>
      </c>
      <c r="D392" s="12">
        <v>9.14913141E8</v>
      </c>
      <c r="E392" s="11" t="s">
        <v>6</v>
      </c>
      <c r="F392" s="20" t="s">
        <v>837</v>
      </c>
      <c r="G392" s="11"/>
      <c r="H392" s="11"/>
      <c r="I392" s="11"/>
    </row>
    <row r="393">
      <c r="A393" s="19" t="s">
        <v>894</v>
      </c>
      <c r="B393" s="11" t="s">
        <v>674</v>
      </c>
      <c r="C393" s="11" t="s">
        <v>675</v>
      </c>
      <c r="D393" s="12">
        <v>9.17865689E8</v>
      </c>
      <c r="E393" s="11" t="s">
        <v>6</v>
      </c>
      <c r="F393" s="20" t="s">
        <v>837</v>
      </c>
      <c r="G393" s="11"/>
      <c r="H393" s="11"/>
      <c r="I393" s="11"/>
    </row>
    <row r="394">
      <c r="A394" s="19" t="s">
        <v>894</v>
      </c>
      <c r="B394" s="1" t="s">
        <v>413</v>
      </c>
      <c r="C394" s="1" t="s">
        <v>414</v>
      </c>
      <c r="D394" s="1">
        <v>9.72111313E8</v>
      </c>
      <c r="E394" s="1" t="s">
        <v>6</v>
      </c>
      <c r="F394" s="20" t="s">
        <v>837</v>
      </c>
      <c r="G394" s="11"/>
      <c r="H394" s="11"/>
      <c r="I394" s="11"/>
    </row>
    <row r="395">
      <c r="A395" s="19" t="s">
        <v>894</v>
      </c>
      <c r="B395" s="1" t="s">
        <v>417</v>
      </c>
      <c r="C395" s="1" t="s">
        <v>418</v>
      </c>
      <c r="D395" s="1">
        <v>9.72629491E8</v>
      </c>
      <c r="E395" s="1" t="s">
        <v>6</v>
      </c>
      <c r="F395" s="20" t="s">
        <v>837</v>
      </c>
      <c r="G395" s="11"/>
      <c r="H395" s="11"/>
      <c r="I395" s="11"/>
    </row>
    <row r="396">
      <c r="A396" s="19" t="s">
        <v>894</v>
      </c>
      <c r="B396" s="1" t="s">
        <v>18</v>
      </c>
      <c r="C396" s="1" t="s">
        <v>19</v>
      </c>
      <c r="D396" s="1">
        <v>9.01934597E8</v>
      </c>
      <c r="E396" s="1" t="s">
        <v>6</v>
      </c>
      <c r="F396" s="20" t="s">
        <v>837</v>
      </c>
      <c r="G396" s="11"/>
      <c r="H396" s="11"/>
      <c r="I396" s="11"/>
    </row>
    <row r="397">
      <c r="A397" s="19" t="s">
        <v>894</v>
      </c>
      <c r="B397" s="1" t="s">
        <v>55</v>
      </c>
      <c r="C397" s="1" t="s">
        <v>56</v>
      </c>
      <c r="D397" s="1">
        <v>9.10406998E8</v>
      </c>
      <c r="E397" s="1" t="s">
        <v>6</v>
      </c>
      <c r="F397" s="20" t="s">
        <v>837</v>
      </c>
      <c r="G397" s="11"/>
      <c r="H397" s="11"/>
      <c r="I397" s="11"/>
    </row>
    <row r="398">
      <c r="A398" s="19" t="s">
        <v>894</v>
      </c>
      <c r="B398" s="1" t="s">
        <v>87</v>
      </c>
      <c r="C398" s="1" t="s">
        <v>88</v>
      </c>
      <c r="D398" s="1">
        <v>9.12388939E8</v>
      </c>
      <c r="E398" s="1" t="s">
        <v>6</v>
      </c>
      <c r="F398" s="20" t="s">
        <v>837</v>
      </c>
      <c r="G398" s="11"/>
      <c r="H398" s="11"/>
      <c r="I398" s="11"/>
    </row>
    <row r="399">
      <c r="A399" s="19" t="s">
        <v>894</v>
      </c>
      <c r="B399" s="1" t="s">
        <v>159</v>
      </c>
      <c r="C399" s="1" t="s">
        <v>160</v>
      </c>
      <c r="D399" s="1">
        <v>9.19324653E8</v>
      </c>
      <c r="E399" s="1" t="s">
        <v>6</v>
      </c>
      <c r="F399" s="20" t="s">
        <v>837</v>
      </c>
      <c r="G399" s="11"/>
      <c r="H399" s="11"/>
      <c r="I399" s="11"/>
    </row>
    <row r="400">
      <c r="A400" s="19" t="s">
        <v>894</v>
      </c>
      <c r="B400" s="1" t="s">
        <v>196</v>
      </c>
      <c r="C400" s="1" t="s">
        <v>197</v>
      </c>
      <c r="D400" s="1">
        <v>9.21669088E8</v>
      </c>
      <c r="E400" s="1" t="s">
        <v>6</v>
      </c>
      <c r="F400" s="20" t="s">
        <v>837</v>
      </c>
      <c r="G400" s="11"/>
      <c r="H400" s="11"/>
    </row>
    <row r="401">
      <c r="A401" s="19" t="s">
        <v>894</v>
      </c>
      <c r="B401" s="11" t="s">
        <v>766</v>
      </c>
      <c r="C401" s="11" t="s">
        <v>767</v>
      </c>
      <c r="D401" s="12">
        <f>+251928103217</f>
        <v>251928103217</v>
      </c>
      <c r="E401" s="11" t="s">
        <v>9</v>
      </c>
      <c r="F401" s="20" t="s">
        <v>838</v>
      </c>
      <c r="G401" s="11"/>
      <c r="H401" s="11"/>
      <c r="I401" s="11"/>
    </row>
    <row r="402">
      <c r="A402" s="19" t="s">
        <v>894</v>
      </c>
      <c r="B402" s="11" t="s">
        <v>778</v>
      </c>
      <c r="C402" s="11" t="s">
        <v>779</v>
      </c>
      <c r="D402" s="12">
        <f>+251988788388</f>
        <v>251988788388</v>
      </c>
      <c r="E402" s="11" t="s">
        <v>9</v>
      </c>
      <c r="F402" s="20" t="s">
        <v>838</v>
      </c>
      <c r="G402" s="11"/>
      <c r="H402" s="11"/>
      <c r="I402" s="11"/>
    </row>
    <row r="403">
      <c r="A403" s="19" t="s">
        <v>894</v>
      </c>
      <c r="B403" s="11" t="s">
        <v>642</v>
      </c>
      <c r="C403" s="11" t="s">
        <v>643</v>
      </c>
      <c r="D403" s="12">
        <v>9.04636052E8</v>
      </c>
      <c r="E403" s="11" t="s">
        <v>6</v>
      </c>
      <c r="F403" s="20" t="s">
        <v>838</v>
      </c>
      <c r="G403" s="11"/>
      <c r="H403" s="11"/>
      <c r="I403" s="11"/>
    </row>
    <row r="404">
      <c r="A404" s="19" t="s">
        <v>894</v>
      </c>
      <c r="B404" s="11" t="s">
        <v>696</v>
      </c>
      <c r="C404" s="11" t="s">
        <v>697</v>
      </c>
      <c r="D404" s="12">
        <v>9.33350825E8</v>
      </c>
      <c r="E404" s="11" t="s">
        <v>6</v>
      </c>
      <c r="F404" s="20" t="s">
        <v>838</v>
      </c>
      <c r="G404" s="11"/>
      <c r="H404" s="11"/>
      <c r="I404" s="11"/>
    </row>
    <row r="405">
      <c r="A405" s="19" t="s">
        <v>894</v>
      </c>
      <c r="B405" s="11" t="s">
        <v>702</v>
      </c>
      <c r="C405" s="11" t="s">
        <v>703</v>
      </c>
      <c r="D405" s="12">
        <v>9.3691772E8</v>
      </c>
      <c r="E405" s="11" t="s">
        <v>6</v>
      </c>
      <c r="F405" s="20" t="s">
        <v>838</v>
      </c>
      <c r="G405" s="11"/>
      <c r="H405" s="11"/>
      <c r="I405" s="11"/>
    </row>
    <row r="406">
      <c r="A406" s="19" t="s">
        <v>894</v>
      </c>
      <c r="B406" s="11" t="s">
        <v>728</v>
      </c>
      <c r="C406" s="11" t="s">
        <v>729</v>
      </c>
      <c r="D406" s="12">
        <v>9.7046705E8</v>
      </c>
      <c r="E406" s="11" t="s">
        <v>6</v>
      </c>
      <c r="F406" s="20" t="s">
        <v>838</v>
      </c>
      <c r="G406" s="11"/>
      <c r="H406" s="11"/>
      <c r="I406" s="11"/>
    </row>
    <row r="407">
      <c r="A407" s="19" t="s">
        <v>894</v>
      </c>
      <c r="B407" s="11" t="s">
        <v>758</v>
      </c>
      <c r="C407" s="11" t="s">
        <v>759</v>
      </c>
      <c r="D407" s="12">
        <v>2.51913202004E11</v>
      </c>
      <c r="E407" s="11" t="s">
        <v>6</v>
      </c>
      <c r="F407" s="20" t="s">
        <v>838</v>
      </c>
      <c r="G407" s="11"/>
      <c r="H407" s="11"/>
      <c r="I407" s="11"/>
    </row>
    <row r="408">
      <c r="A408" s="19" t="s">
        <v>894</v>
      </c>
      <c r="B408" s="1" t="s">
        <v>614</v>
      </c>
      <c r="C408" s="1" t="s">
        <v>615</v>
      </c>
      <c r="D408" s="8">
        <f>+251970635968</f>
        <v>251970635968</v>
      </c>
      <c r="E408" s="1" t="s">
        <v>6</v>
      </c>
      <c r="F408" s="20" t="s">
        <v>838</v>
      </c>
      <c r="G408" s="11"/>
      <c r="H408" s="11"/>
      <c r="I408" s="11"/>
    </row>
    <row r="409">
      <c r="A409" s="19" t="s">
        <v>894</v>
      </c>
      <c r="B409" s="1" t="s">
        <v>624</v>
      </c>
      <c r="C409" s="1" t="s">
        <v>625</v>
      </c>
      <c r="D409" s="8">
        <f>+251991051810</f>
        <v>251991051810</v>
      </c>
      <c r="E409" s="1" t="s">
        <v>6</v>
      </c>
      <c r="F409" s="20" t="s">
        <v>838</v>
      </c>
      <c r="G409" s="11"/>
      <c r="H409" s="11"/>
      <c r="I409" s="11"/>
    </row>
    <row r="410">
      <c r="A410" s="19" t="s">
        <v>894</v>
      </c>
      <c r="B410" s="1" t="s">
        <v>399</v>
      </c>
      <c r="C410" s="1" t="s">
        <v>400</v>
      </c>
      <c r="D410" s="1">
        <v>9.662638E8</v>
      </c>
      <c r="E410" s="1" t="s">
        <v>6</v>
      </c>
      <c r="F410" s="20" t="s">
        <v>838</v>
      </c>
      <c r="G410" s="11"/>
      <c r="H410" s="11"/>
      <c r="I410" s="11"/>
    </row>
    <row r="411">
      <c r="A411" s="19" t="s">
        <v>894</v>
      </c>
      <c r="B411" s="1" t="s">
        <v>40</v>
      </c>
      <c r="C411" s="1" t="s">
        <v>41</v>
      </c>
      <c r="D411" s="1">
        <v>9.07429837E8</v>
      </c>
      <c r="E411" s="1" t="s">
        <v>6</v>
      </c>
      <c r="F411" s="20" t="s">
        <v>838</v>
      </c>
      <c r="G411" s="11"/>
      <c r="H411" s="11"/>
      <c r="I411" s="11"/>
    </row>
    <row r="412">
      <c r="A412" s="19" t="s">
        <v>894</v>
      </c>
      <c r="B412" s="1" t="s">
        <v>45</v>
      </c>
      <c r="C412" s="1" t="s">
        <v>46</v>
      </c>
      <c r="D412" s="1">
        <v>9.09047513E8</v>
      </c>
      <c r="E412" s="1" t="s">
        <v>6</v>
      </c>
      <c r="F412" s="20" t="s">
        <v>838</v>
      </c>
      <c r="G412" s="11"/>
      <c r="H412" s="11"/>
      <c r="I412" s="11"/>
    </row>
    <row r="413">
      <c r="A413" s="19" t="s">
        <v>894</v>
      </c>
      <c r="B413" s="1" t="s">
        <v>67</v>
      </c>
      <c r="C413" s="1" t="s">
        <v>68</v>
      </c>
      <c r="D413" s="1">
        <v>9.11337511E8</v>
      </c>
      <c r="E413" s="1" t="s">
        <v>6</v>
      </c>
      <c r="F413" s="20" t="s">
        <v>838</v>
      </c>
      <c r="G413" s="11"/>
      <c r="H413" s="11"/>
      <c r="I413" s="11"/>
    </row>
    <row r="414">
      <c r="A414" s="19" t="s">
        <v>894</v>
      </c>
      <c r="B414" s="1" t="s">
        <v>91</v>
      </c>
      <c r="C414" s="1" t="s">
        <v>92</v>
      </c>
      <c r="D414" s="1">
        <v>9.12666159E8</v>
      </c>
      <c r="E414" s="1" t="s">
        <v>6</v>
      </c>
      <c r="F414" s="20" t="s">
        <v>838</v>
      </c>
      <c r="G414" s="11"/>
      <c r="H414" s="11"/>
      <c r="I414" s="11"/>
    </row>
    <row r="415">
      <c r="A415" s="19" t="s">
        <v>894</v>
      </c>
      <c r="B415" s="1" t="s">
        <v>93</v>
      </c>
      <c r="C415" s="1" t="s">
        <v>94</v>
      </c>
      <c r="D415" s="1">
        <v>9.12974953E8</v>
      </c>
      <c r="E415" s="1" t="s">
        <v>6</v>
      </c>
      <c r="F415" s="20" t="s">
        <v>838</v>
      </c>
      <c r="G415" s="11"/>
      <c r="H415" s="11"/>
      <c r="I415" s="11"/>
    </row>
    <row r="416">
      <c r="A416" s="19" t="s">
        <v>894</v>
      </c>
      <c r="B416" s="1" t="s">
        <v>124</v>
      </c>
      <c r="C416" s="1" t="s">
        <v>125</v>
      </c>
      <c r="D416" s="1">
        <v>9.16073223E8</v>
      </c>
      <c r="E416" s="1" t="s">
        <v>6</v>
      </c>
      <c r="F416" s="20" t="s">
        <v>838</v>
      </c>
      <c r="G416" s="11"/>
      <c r="H416" s="11"/>
      <c r="I416" s="11"/>
    </row>
    <row r="417">
      <c r="A417" s="19" t="s">
        <v>894</v>
      </c>
      <c r="B417" s="11" t="s">
        <v>794</v>
      </c>
      <c r="C417" s="11" t="s">
        <v>795</v>
      </c>
      <c r="D417" s="12">
        <v>9.54941883E8</v>
      </c>
      <c r="E417" s="11" t="s">
        <v>9</v>
      </c>
      <c r="F417" s="20" t="s">
        <v>893</v>
      </c>
      <c r="G417" s="11"/>
      <c r="H417" s="11"/>
      <c r="I417" s="11"/>
    </row>
    <row r="418">
      <c r="A418" s="19" t="s">
        <v>894</v>
      </c>
      <c r="B418" s="1" t="s">
        <v>606</v>
      </c>
      <c r="C418" s="1" t="s">
        <v>607</v>
      </c>
      <c r="D418" s="8">
        <f>+251955132684</f>
        <v>251955132684</v>
      </c>
      <c r="E418" s="1" t="s">
        <v>6</v>
      </c>
      <c r="F418" s="20" t="s">
        <v>893</v>
      </c>
      <c r="G418" s="11"/>
      <c r="H418" s="11"/>
      <c r="I418" s="11"/>
    </row>
    <row r="419">
      <c r="A419" s="19" t="s">
        <v>894</v>
      </c>
      <c r="B419" s="1" t="s">
        <v>628</v>
      </c>
      <c r="C419" s="1" t="s">
        <v>629</v>
      </c>
      <c r="D419" s="8">
        <f>+2510910074339</f>
        <v>2510910074339</v>
      </c>
      <c r="E419" s="1" t="s">
        <v>6</v>
      </c>
      <c r="F419" s="20" t="s">
        <v>893</v>
      </c>
      <c r="G419" s="11"/>
      <c r="H419" s="11"/>
      <c r="I419" s="11"/>
    </row>
  </sheetData>
  <conditionalFormatting sqref="F305:F419">
    <cfRule type="notContainsBlanks" dxfId="0" priority="1">
      <formula>LEN(TRIM(F305))&gt;0</formula>
    </cfRule>
  </conditionalFormatting>
  <dataValidations>
    <dataValidation type="list" allowBlank="1" showErrorMessage="1" sqref="H2:H14 H42:H43 H46:H58 H63:H64">
      <formula1>"Out of Addis ,They will come,Not coming"</formula1>
    </dataValidation>
    <dataValidation type="list" allowBlank="1" showErrorMessage="1" sqref="G2:G419">
      <formula1>"YES,NO,MAYBE"</formula1>
    </dataValidation>
    <dataValidation type="list" allowBlank="1" showErrorMessage="1" sqref="H95:H189">
      <formula1>"Out of Addis ,They will come,Not coming,Not in Addis,Unabel to talk,Not sure"</formula1>
    </dataValidation>
    <dataValidation type="list" allowBlank="1" showErrorMessage="1" sqref="H190:H304">
      <formula1>"They will come,Not coming,Not in Addis,Unabel to talk,Not sure,Language"</formula1>
    </dataValidation>
    <dataValidation type="list" allowBlank="1" showErrorMessage="1" sqref="F2:F419">
      <formula1>"Reached,Not Picking Up,Phone Not Working,Wrong Person,Not Yet Called,Wrong Number,Busy "</formula1>
    </dataValidation>
    <dataValidation type="list" allowBlank="1" showErrorMessage="1" sqref="H15:H41 H44:H45 H59:H62 H65:H94 H305:H419">
      <formula1>"They will come,Not coming,Not in Addis,Unabel to talk,Not sure"</formula1>
    </dataValidation>
    <dataValidation type="list" allowBlank="1" showErrorMessage="1" sqref="A2:A419">
      <formula1>"Abeba,Dagmawi,Eyerusalem,Girumsew,Tsedenia,Yosef,Nati,Haemnen"</formula1>
    </dataValidation>
  </dataValidations>
  <hyperlinks>
    <hyperlink r:id="rId1" ref="B38"/>
    <hyperlink r:id="rId2" ref="B120"/>
    <hyperlink r:id="rId3" ref="B179"/>
    <hyperlink r:id="rId4" ref="B304"/>
    <hyperlink r:id="rId5" ref="B317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5"/>
    <col customWidth="1" min="3" max="3" width="24.63"/>
    <col customWidth="1" min="4" max="4" width="9.38"/>
    <col customWidth="1" min="5" max="5" width="36.25"/>
    <col customWidth="1" min="7" max="7" width="15.25"/>
    <col customWidth="1" min="8" max="8" width="16.88"/>
    <col customWidth="1" min="9" max="9" width="15.75"/>
  </cols>
  <sheetData>
    <row r="1">
      <c r="A1" s="13" t="s">
        <v>801</v>
      </c>
      <c r="B1" s="14" t="s">
        <v>802</v>
      </c>
      <c r="C1" s="15" t="s">
        <v>803</v>
      </c>
      <c r="D1" s="16" t="s">
        <v>804</v>
      </c>
      <c r="E1" s="17" t="s">
        <v>805</v>
      </c>
      <c r="F1" s="18" t="s">
        <v>806</v>
      </c>
      <c r="G1" s="15" t="s">
        <v>807</v>
      </c>
      <c r="H1" s="14" t="s">
        <v>808</v>
      </c>
      <c r="I1" s="14"/>
      <c r="L1" s="14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</row>
    <row r="2">
      <c r="A2" s="19" t="s">
        <v>809</v>
      </c>
      <c r="B2" s="1" t="s">
        <v>343</v>
      </c>
      <c r="C2" s="1" t="s">
        <v>344</v>
      </c>
      <c r="D2" s="1">
        <v>9.48181972E8</v>
      </c>
      <c r="E2" s="1" t="s">
        <v>9</v>
      </c>
      <c r="F2" s="20" t="s">
        <v>810</v>
      </c>
      <c r="G2" s="20" t="s">
        <v>811</v>
      </c>
      <c r="H2" s="20" t="s">
        <v>812</v>
      </c>
    </row>
    <row r="3">
      <c r="A3" s="19" t="s">
        <v>809</v>
      </c>
      <c r="B3" s="1" t="s">
        <v>233</v>
      </c>
      <c r="C3" s="1" t="s">
        <v>234</v>
      </c>
      <c r="D3" s="1">
        <v>9.28011303E8</v>
      </c>
      <c r="E3" s="1" t="s">
        <v>9</v>
      </c>
      <c r="F3" s="20" t="s">
        <v>813</v>
      </c>
      <c r="G3" s="20" t="s">
        <v>814</v>
      </c>
      <c r="H3" s="20" t="s">
        <v>815</v>
      </c>
    </row>
    <row r="4">
      <c r="A4" s="19" t="s">
        <v>809</v>
      </c>
      <c r="B4" s="1" t="s">
        <v>245</v>
      </c>
      <c r="C4" s="1" t="s">
        <v>246</v>
      </c>
      <c r="D4" s="1">
        <v>9.29405673E8</v>
      </c>
      <c r="E4" s="1" t="s">
        <v>9</v>
      </c>
      <c r="F4" s="20" t="s">
        <v>813</v>
      </c>
      <c r="G4" s="20" t="s">
        <v>814</v>
      </c>
      <c r="H4" s="20" t="s">
        <v>815</v>
      </c>
    </row>
    <row r="5">
      <c r="A5" s="19" t="s">
        <v>809</v>
      </c>
      <c r="B5" s="1" t="s">
        <v>304</v>
      </c>
      <c r="C5" s="1" t="s">
        <v>305</v>
      </c>
      <c r="D5" s="1">
        <v>9.41127165E8</v>
      </c>
      <c r="E5" s="1" t="s">
        <v>9</v>
      </c>
      <c r="F5" s="20" t="s">
        <v>813</v>
      </c>
      <c r="G5" s="20" t="s">
        <v>814</v>
      </c>
      <c r="H5" s="20" t="s">
        <v>815</v>
      </c>
    </row>
    <row r="6">
      <c r="A6" s="19" t="s">
        <v>809</v>
      </c>
      <c r="B6" s="1" t="s">
        <v>316</v>
      </c>
      <c r="C6" s="1" t="s">
        <v>317</v>
      </c>
      <c r="D6" s="1">
        <v>9.43292644E8</v>
      </c>
      <c r="E6" s="1" t="s">
        <v>9</v>
      </c>
      <c r="F6" s="20" t="s">
        <v>813</v>
      </c>
      <c r="G6" s="20" t="s">
        <v>814</v>
      </c>
      <c r="H6" s="20" t="s">
        <v>815</v>
      </c>
      <c r="I6" s="21" t="s">
        <v>816</v>
      </c>
    </row>
    <row r="7">
      <c r="A7" s="19" t="s">
        <v>809</v>
      </c>
      <c r="B7" s="1" t="s">
        <v>384</v>
      </c>
      <c r="C7" s="1" t="s">
        <v>385</v>
      </c>
      <c r="D7" s="1">
        <v>9.6152457E8</v>
      </c>
      <c r="E7" s="1" t="s">
        <v>9</v>
      </c>
      <c r="F7" s="20" t="s">
        <v>813</v>
      </c>
      <c r="G7" s="20" t="s">
        <v>814</v>
      </c>
      <c r="H7" s="20" t="s">
        <v>815</v>
      </c>
    </row>
    <row r="8">
      <c r="A8" s="19" t="s">
        <v>809</v>
      </c>
      <c r="B8" s="1" t="s">
        <v>255</v>
      </c>
      <c r="C8" s="1" t="s">
        <v>256</v>
      </c>
      <c r="D8" s="1">
        <v>9.30412013E8</v>
      </c>
      <c r="E8" s="1" t="s">
        <v>6</v>
      </c>
      <c r="F8" s="20" t="s">
        <v>813</v>
      </c>
      <c r="G8" s="20" t="s">
        <v>814</v>
      </c>
      <c r="H8" s="20" t="s">
        <v>815</v>
      </c>
    </row>
    <row r="9">
      <c r="A9" s="19" t="s">
        <v>809</v>
      </c>
      <c r="B9" s="1" t="s">
        <v>259</v>
      </c>
      <c r="C9" s="1" t="s">
        <v>260</v>
      </c>
      <c r="D9" s="1">
        <v>9.30958706E8</v>
      </c>
      <c r="E9" s="1" t="s">
        <v>6</v>
      </c>
      <c r="F9" s="20" t="s">
        <v>813</v>
      </c>
      <c r="G9" s="20" t="s">
        <v>814</v>
      </c>
      <c r="H9" s="20" t="s">
        <v>815</v>
      </c>
    </row>
    <row r="10">
      <c r="A10" s="19" t="s">
        <v>809</v>
      </c>
      <c r="B10" s="1" t="s">
        <v>290</v>
      </c>
      <c r="C10" s="1" t="s">
        <v>291</v>
      </c>
      <c r="D10" s="1">
        <v>9.38840897E8</v>
      </c>
      <c r="E10" s="1" t="s">
        <v>6</v>
      </c>
      <c r="F10" s="20" t="s">
        <v>813</v>
      </c>
      <c r="G10" s="20" t="s">
        <v>814</v>
      </c>
      <c r="H10" s="20" t="s">
        <v>815</v>
      </c>
    </row>
    <row r="11">
      <c r="A11" s="19" t="s">
        <v>809</v>
      </c>
      <c r="B11" s="1" t="s">
        <v>312</v>
      </c>
      <c r="C11" s="1" t="s">
        <v>313</v>
      </c>
      <c r="D11" s="1">
        <v>9.42143127E8</v>
      </c>
      <c r="E11" s="1" t="s">
        <v>6</v>
      </c>
      <c r="F11" s="20" t="s">
        <v>813</v>
      </c>
      <c r="G11" s="20" t="s">
        <v>814</v>
      </c>
      <c r="H11" s="20" t="s">
        <v>815</v>
      </c>
    </row>
    <row r="12">
      <c r="A12" s="19" t="s">
        <v>809</v>
      </c>
      <c r="B12" s="1" t="s">
        <v>337</v>
      </c>
      <c r="C12" s="1" t="s">
        <v>338</v>
      </c>
      <c r="D12" s="1">
        <v>9.48066379E8</v>
      </c>
      <c r="E12" s="1" t="s">
        <v>6</v>
      </c>
      <c r="F12" s="20" t="s">
        <v>813</v>
      </c>
      <c r="G12" s="20" t="s">
        <v>814</v>
      </c>
      <c r="H12" s="20" t="s">
        <v>815</v>
      </c>
    </row>
    <row r="13">
      <c r="A13" s="19" t="s">
        <v>809</v>
      </c>
      <c r="B13" s="1" t="s">
        <v>339</v>
      </c>
      <c r="C13" s="1" t="s">
        <v>340</v>
      </c>
      <c r="D13" s="1">
        <v>9.48146709E8</v>
      </c>
      <c r="E13" s="1" t="s">
        <v>6</v>
      </c>
      <c r="F13" s="20" t="s">
        <v>813</v>
      </c>
      <c r="G13" s="20" t="s">
        <v>814</v>
      </c>
      <c r="H13" s="20" t="s">
        <v>815</v>
      </c>
    </row>
    <row r="14">
      <c r="A14" s="19" t="s">
        <v>809</v>
      </c>
      <c r="B14" s="1" t="s">
        <v>367</v>
      </c>
      <c r="C14" s="1" t="s">
        <v>368</v>
      </c>
      <c r="D14" s="1">
        <v>9.55903911E8</v>
      </c>
      <c r="E14" s="1" t="s">
        <v>6</v>
      </c>
      <c r="F14" s="20" t="s">
        <v>813</v>
      </c>
      <c r="G14" s="20" t="s">
        <v>814</v>
      </c>
      <c r="H14" s="20" t="s">
        <v>815</v>
      </c>
    </row>
    <row r="15">
      <c r="A15" s="19" t="s">
        <v>809</v>
      </c>
      <c r="B15" s="1" t="s">
        <v>361</v>
      </c>
      <c r="C15" s="1" t="s">
        <v>362</v>
      </c>
      <c r="D15" s="1">
        <v>9.54924895E8</v>
      </c>
      <c r="E15" s="1" t="s">
        <v>6</v>
      </c>
      <c r="F15" s="20" t="s">
        <v>813</v>
      </c>
      <c r="G15" s="20" t="s">
        <v>814</v>
      </c>
      <c r="H15" s="20" t="s">
        <v>815</v>
      </c>
    </row>
    <row r="16">
      <c r="A16" s="19" t="s">
        <v>809</v>
      </c>
      <c r="B16" s="1" t="s">
        <v>269</v>
      </c>
      <c r="C16" s="1" t="s">
        <v>270</v>
      </c>
      <c r="D16" s="1">
        <v>9.32224852E8</v>
      </c>
      <c r="E16" s="1" t="s">
        <v>9</v>
      </c>
      <c r="F16" s="20" t="s">
        <v>813</v>
      </c>
      <c r="G16" s="20" t="s">
        <v>811</v>
      </c>
      <c r="H16" s="20" t="s">
        <v>817</v>
      </c>
      <c r="I16" s="21" t="s">
        <v>818</v>
      </c>
    </row>
    <row r="17">
      <c r="A17" s="19" t="s">
        <v>809</v>
      </c>
      <c r="B17" s="1">
        <v>304864.0</v>
      </c>
      <c r="C17" s="1" t="s">
        <v>279</v>
      </c>
      <c r="D17" s="1">
        <v>9.35609229E8</v>
      </c>
      <c r="E17" s="1" t="s">
        <v>9</v>
      </c>
      <c r="F17" s="20" t="s">
        <v>813</v>
      </c>
      <c r="G17" s="20" t="s">
        <v>811</v>
      </c>
      <c r="H17" s="20" t="s">
        <v>817</v>
      </c>
      <c r="I17" s="21" t="s">
        <v>819</v>
      </c>
    </row>
    <row r="18">
      <c r="A18" s="19" t="s">
        <v>809</v>
      </c>
      <c r="B18" s="1" t="s">
        <v>280</v>
      </c>
      <c r="C18" s="1" t="s">
        <v>281</v>
      </c>
      <c r="D18" s="1">
        <v>9.3604815E8</v>
      </c>
      <c r="E18" s="1" t="s">
        <v>9</v>
      </c>
      <c r="F18" s="20" t="s">
        <v>813</v>
      </c>
      <c r="G18" s="20" t="s">
        <v>811</v>
      </c>
      <c r="H18" s="20" t="s">
        <v>817</v>
      </c>
      <c r="I18" s="21" t="s">
        <v>820</v>
      </c>
    </row>
    <row r="19">
      <c r="A19" s="19" t="s">
        <v>809</v>
      </c>
      <c r="B19" s="1" t="s">
        <v>318</v>
      </c>
      <c r="C19" s="1" t="s">
        <v>319</v>
      </c>
      <c r="D19" s="1">
        <v>9.43644983E8</v>
      </c>
      <c r="E19" s="1" t="s">
        <v>9</v>
      </c>
      <c r="F19" s="20" t="s">
        <v>813</v>
      </c>
      <c r="G19" s="20" t="s">
        <v>811</v>
      </c>
      <c r="H19" s="20" t="s">
        <v>817</v>
      </c>
      <c r="I19" s="21" t="s">
        <v>821</v>
      </c>
    </row>
    <row r="20">
      <c r="A20" s="19" t="s">
        <v>809</v>
      </c>
      <c r="B20" s="1" t="s">
        <v>323</v>
      </c>
      <c r="C20" s="1" t="s">
        <v>324</v>
      </c>
      <c r="D20" s="1">
        <v>9.4437077E8</v>
      </c>
      <c r="E20" s="1" t="s">
        <v>9</v>
      </c>
      <c r="F20" s="20" t="s">
        <v>813</v>
      </c>
      <c r="G20" s="20" t="s">
        <v>811</v>
      </c>
      <c r="H20" s="20" t="s">
        <v>817</v>
      </c>
      <c r="I20" s="21" t="s">
        <v>822</v>
      </c>
    </row>
    <row r="21">
      <c r="A21" s="19" t="s">
        <v>809</v>
      </c>
      <c r="B21" s="1" t="s">
        <v>331</v>
      </c>
      <c r="C21" s="1" t="s">
        <v>332</v>
      </c>
      <c r="D21" s="1">
        <v>9.46740855E8</v>
      </c>
      <c r="E21" s="1" t="s">
        <v>9</v>
      </c>
      <c r="F21" s="20" t="s">
        <v>813</v>
      </c>
      <c r="G21" s="20" t="s">
        <v>811</v>
      </c>
      <c r="H21" s="20" t="s">
        <v>817</v>
      </c>
      <c r="I21" s="21" t="s">
        <v>823</v>
      </c>
    </row>
    <row r="22">
      <c r="A22" s="19" t="s">
        <v>809</v>
      </c>
      <c r="B22" s="1" t="s">
        <v>333</v>
      </c>
      <c r="C22" s="1" t="s">
        <v>334</v>
      </c>
      <c r="D22" s="1">
        <v>9.46740855E8</v>
      </c>
      <c r="E22" s="1" t="s">
        <v>9</v>
      </c>
      <c r="F22" s="20" t="s">
        <v>813</v>
      </c>
      <c r="G22" s="20" t="s">
        <v>811</v>
      </c>
      <c r="H22" s="20" t="s">
        <v>817</v>
      </c>
      <c r="I22" s="21" t="s">
        <v>823</v>
      </c>
    </row>
    <row r="23">
      <c r="A23" s="19" t="s">
        <v>809</v>
      </c>
      <c r="B23" s="1" t="s">
        <v>353</v>
      </c>
      <c r="C23" s="1" t="s">
        <v>354</v>
      </c>
      <c r="D23" s="1">
        <v>9.51094609E8</v>
      </c>
      <c r="E23" s="1" t="s">
        <v>9</v>
      </c>
      <c r="F23" s="20" t="s">
        <v>813</v>
      </c>
      <c r="G23" s="20" t="s">
        <v>811</v>
      </c>
      <c r="H23" s="20" t="s">
        <v>817</v>
      </c>
      <c r="I23" s="21" t="s">
        <v>824</v>
      </c>
    </row>
    <row r="24">
      <c r="A24" s="19" t="s">
        <v>809</v>
      </c>
      <c r="B24" s="1" t="s">
        <v>357</v>
      </c>
      <c r="C24" s="1" t="s">
        <v>358</v>
      </c>
      <c r="D24" s="1">
        <v>9.53423861E8</v>
      </c>
      <c r="E24" s="1" t="s">
        <v>9</v>
      </c>
      <c r="F24" s="20" t="s">
        <v>813</v>
      </c>
      <c r="G24" s="20" t="s">
        <v>811</v>
      </c>
      <c r="H24" s="20" t="s">
        <v>817</v>
      </c>
      <c r="I24" s="21" t="s">
        <v>824</v>
      </c>
    </row>
    <row r="25">
      <c r="A25" s="19" t="s">
        <v>809</v>
      </c>
      <c r="B25" s="1" t="s">
        <v>363</v>
      </c>
      <c r="C25" s="1" t="s">
        <v>364</v>
      </c>
      <c r="D25" s="1">
        <v>9.55170831E8</v>
      </c>
      <c r="E25" s="1" t="s">
        <v>9</v>
      </c>
      <c r="F25" s="20" t="s">
        <v>813</v>
      </c>
      <c r="G25" s="20" t="s">
        <v>811</v>
      </c>
      <c r="H25" s="20" t="s">
        <v>817</v>
      </c>
      <c r="I25" s="21" t="s">
        <v>825</v>
      </c>
    </row>
    <row r="26">
      <c r="A26" s="19" t="s">
        <v>809</v>
      </c>
      <c r="B26" s="1" t="s">
        <v>376</v>
      </c>
      <c r="C26" s="1" t="s">
        <v>377</v>
      </c>
      <c r="D26" s="1">
        <v>9.60461321E8</v>
      </c>
      <c r="E26" s="1" t="s">
        <v>9</v>
      </c>
      <c r="F26" s="20" t="s">
        <v>813</v>
      </c>
      <c r="G26" s="20" t="s">
        <v>811</v>
      </c>
      <c r="H26" s="20" t="s">
        <v>817</v>
      </c>
      <c r="I26" s="21" t="s">
        <v>826</v>
      </c>
    </row>
    <row r="27">
      <c r="A27" s="19" t="s">
        <v>809</v>
      </c>
      <c r="B27" s="1" t="s">
        <v>392</v>
      </c>
      <c r="C27" s="1" t="s">
        <v>393</v>
      </c>
      <c r="D27" s="1">
        <v>9.6454462E8</v>
      </c>
      <c r="E27" s="1" t="s">
        <v>9</v>
      </c>
      <c r="F27" s="20" t="s">
        <v>813</v>
      </c>
      <c r="G27" s="20" t="s">
        <v>811</v>
      </c>
      <c r="H27" s="20" t="s">
        <v>817</v>
      </c>
      <c r="I27" s="21" t="s">
        <v>827</v>
      </c>
    </row>
    <row r="28">
      <c r="A28" s="19" t="s">
        <v>809</v>
      </c>
      <c r="B28" s="1" t="s">
        <v>396</v>
      </c>
      <c r="C28" s="1" t="s">
        <v>397</v>
      </c>
      <c r="D28" s="1">
        <v>9.65764602E8</v>
      </c>
      <c r="E28" s="1" t="s">
        <v>9</v>
      </c>
      <c r="F28" s="20" t="s">
        <v>813</v>
      </c>
      <c r="G28" s="20" t="s">
        <v>811</v>
      </c>
      <c r="H28" s="20" t="s">
        <v>817</v>
      </c>
      <c r="I28" s="21" t="s">
        <v>828</v>
      </c>
    </row>
    <row r="29">
      <c r="A29" s="19" t="s">
        <v>809</v>
      </c>
      <c r="B29" s="1" t="s">
        <v>411</v>
      </c>
      <c r="C29" s="1" t="s">
        <v>412</v>
      </c>
      <c r="D29" s="1">
        <v>9.70565121E8</v>
      </c>
      <c r="E29" s="1" t="s">
        <v>9</v>
      </c>
      <c r="F29" s="20" t="s">
        <v>813</v>
      </c>
      <c r="G29" s="20" t="s">
        <v>811</v>
      </c>
      <c r="H29" s="20" t="s">
        <v>817</v>
      </c>
      <c r="I29" s="21" t="s">
        <v>829</v>
      </c>
    </row>
    <row r="30">
      <c r="A30" s="19" t="s">
        <v>809</v>
      </c>
      <c r="B30" s="1" t="s">
        <v>415</v>
      </c>
      <c r="C30" s="1" t="s">
        <v>416</v>
      </c>
      <c r="D30" s="1">
        <v>9.72375064E8</v>
      </c>
      <c r="E30" s="1" t="s">
        <v>9</v>
      </c>
      <c r="F30" s="20" t="s">
        <v>813</v>
      </c>
      <c r="G30" s="20" t="s">
        <v>811</v>
      </c>
      <c r="H30" s="20" t="s">
        <v>817</v>
      </c>
      <c r="I30" s="21" t="s">
        <v>826</v>
      </c>
    </row>
    <row r="31">
      <c r="A31" s="19" t="s">
        <v>809</v>
      </c>
      <c r="B31" s="1" t="s">
        <v>428</v>
      </c>
      <c r="C31" s="1" t="s">
        <v>429</v>
      </c>
      <c r="D31" s="1">
        <v>9.7420916E8</v>
      </c>
      <c r="E31" s="1" t="s">
        <v>9</v>
      </c>
      <c r="F31" s="20" t="s">
        <v>813</v>
      </c>
      <c r="G31" s="20" t="s">
        <v>811</v>
      </c>
      <c r="H31" s="20" t="s">
        <v>817</v>
      </c>
      <c r="I31" s="21" t="s">
        <v>826</v>
      </c>
    </row>
    <row r="32">
      <c r="A32" s="19" t="s">
        <v>809</v>
      </c>
      <c r="B32" s="1" t="s">
        <v>235</v>
      </c>
      <c r="C32" s="1" t="s">
        <v>236</v>
      </c>
      <c r="D32" s="1">
        <v>9.2821656E8</v>
      </c>
      <c r="E32" s="1" t="s">
        <v>6</v>
      </c>
      <c r="F32" s="20" t="s">
        <v>813</v>
      </c>
      <c r="G32" s="20" t="s">
        <v>811</v>
      </c>
      <c r="H32" s="20" t="s">
        <v>817</v>
      </c>
      <c r="I32" s="21" t="s">
        <v>827</v>
      </c>
    </row>
    <row r="33">
      <c r="A33" s="19" t="s">
        <v>809</v>
      </c>
      <c r="B33" s="1" t="s">
        <v>263</v>
      </c>
      <c r="C33" s="1" t="s">
        <v>264</v>
      </c>
      <c r="D33" s="1">
        <v>9.31437381E8</v>
      </c>
      <c r="E33" s="1" t="s">
        <v>6</v>
      </c>
      <c r="F33" s="20" t="s">
        <v>813</v>
      </c>
      <c r="G33" s="20" t="s">
        <v>811</v>
      </c>
      <c r="H33" s="20" t="s">
        <v>817</v>
      </c>
      <c r="I33" s="21" t="s">
        <v>830</v>
      </c>
    </row>
    <row r="34">
      <c r="A34" s="19" t="s">
        <v>809</v>
      </c>
      <c r="B34" s="1" t="s">
        <v>267</v>
      </c>
      <c r="C34" s="1" t="s">
        <v>268</v>
      </c>
      <c r="D34" s="1">
        <v>9.31894575E8</v>
      </c>
      <c r="E34" s="1" t="s">
        <v>6</v>
      </c>
      <c r="F34" s="20" t="s">
        <v>813</v>
      </c>
      <c r="G34" s="20" t="s">
        <v>811</v>
      </c>
      <c r="H34" s="20" t="s">
        <v>817</v>
      </c>
      <c r="I34" s="21" t="s">
        <v>824</v>
      </c>
    </row>
    <row r="35">
      <c r="A35" s="19" t="s">
        <v>809</v>
      </c>
      <c r="B35" s="1" t="s">
        <v>288</v>
      </c>
      <c r="C35" s="1" t="s">
        <v>289</v>
      </c>
      <c r="D35" s="1">
        <v>9.38316569E8</v>
      </c>
      <c r="E35" s="1" t="s">
        <v>6</v>
      </c>
      <c r="F35" s="20" t="s">
        <v>813</v>
      </c>
      <c r="G35" s="20" t="s">
        <v>811</v>
      </c>
      <c r="H35" s="20" t="s">
        <v>817</v>
      </c>
      <c r="I35" s="21" t="s">
        <v>831</v>
      </c>
    </row>
    <row r="36">
      <c r="A36" s="19" t="s">
        <v>809</v>
      </c>
      <c r="B36" s="1" t="s">
        <v>292</v>
      </c>
      <c r="C36" s="1" t="s">
        <v>293</v>
      </c>
      <c r="D36" s="1">
        <v>9.39006596E8</v>
      </c>
      <c r="E36" s="1" t="s">
        <v>6</v>
      </c>
      <c r="F36" s="20" t="s">
        <v>813</v>
      </c>
      <c r="G36" s="20" t="s">
        <v>811</v>
      </c>
      <c r="H36" s="20" t="s">
        <v>817</v>
      </c>
      <c r="I36" s="21" t="s">
        <v>818</v>
      </c>
    </row>
    <row r="37">
      <c r="A37" s="19" t="s">
        <v>809</v>
      </c>
      <c r="B37" s="1" t="s">
        <v>310</v>
      </c>
      <c r="C37" s="1" t="s">
        <v>311</v>
      </c>
      <c r="D37" s="1">
        <v>9.42060536E8</v>
      </c>
      <c r="E37" s="1" t="s">
        <v>6</v>
      </c>
      <c r="F37" s="20" t="s">
        <v>813</v>
      </c>
      <c r="G37" s="20" t="s">
        <v>811</v>
      </c>
      <c r="H37" s="20" t="s">
        <v>817</v>
      </c>
      <c r="I37" s="21" t="s">
        <v>829</v>
      </c>
    </row>
    <row r="38">
      <c r="A38" s="19" t="s">
        <v>809</v>
      </c>
      <c r="B38" s="5" t="s">
        <v>314</v>
      </c>
      <c r="C38" s="1" t="s">
        <v>315</v>
      </c>
      <c r="D38" s="1">
        <v>9.42609123E8</v>
      </c>
      <c r="E38" s="1" t="s">
        <v>6</v>
      </c>
      <c r="F38" s="20" t="s">
        <v>813</v>
      </c>
      <c r="G38" s="20" t="s">
        <v>811</v>
      </c>
      <c r="H38" s="20" t="s">
        <v>817</v>
      </c>
      <c r="I38" s="21" t="s">
        <v>832</v>
      </c>
    </row>
    <row r="39">
      <c r="A39" s="19" t="s">
        <v>809</v>
      </c>
      <c r="B39" s="1" t="s">
        <v>349</v>
      </c>
      <c r="C39" s="1" t="s">
        <v>350</v>
      </c>
      <c r="D39" s="1">
        <v>9.48798619E8</v>
      </c>
      <c r="E39" s="1" t="s">
        <v>6</v>
      </c>
      <c r="F39" s="20" t="s">
        <v>813</v>
      </c>
      <c r="G39" s="20" t="s">
        <v>811</v>
      </c>
      <c r="H39" s="20" t="s">
        <v>817</v>
      </c>
      <c r="I39" s="21" t="s">
        <v>833</v>
      </c>
    </row>
    <row r="40">
      <c r="A40" s="19" t="s">
        <v>809</v>
      </c>
      <c r="B40" s="1" t="s">
        <v>347</v>
      </c>
      <c r="C40" s="1" t="s">
        <v>348</v>
      </c>
      <c r="D40" s="1">
        <v>9.48416828E8</v>
      </c>
      <c r="E40" s="1" t="s">
        <v>9</v>
      </c>
      <c r="F40" s="20" t="s">
        <v>813</v>
      </c>
      <c r="G40" s="20" t="s">
        <v>811</v>
      </c>
      <c r="H40" s="20" t="s">
        <v>817</v>
      </c>
      <c r="I40" s="21" t="s">
        <v>834</v>
      </c>
    </row>
    <row r="41">
      <c r="A41" s="19" t="s">
        <v>809</v>
      </c>
      <c r="B41" s="1" t="s">
        <v>273</v>
      </c>
      <c r="C41" s="1" t="s">
        <v>274</v>
      </c>
      <c r="D41" s="1">
        <v>9.333352E8</v>
      </c>
      <c r="E41" s="1" t="s">
        <v>9</v>
      </c>
      <c r="F41" s="20" t="s">
        <v>813</v>
      </c>
      <c r="G41" s="20" t="s">
        <v>811</v>
      </c>
      <c r="H41" s="20" t="s">
        <v>817</v>
      </c>
      <c r="I41" s="21" t="s">
        <v>827</v>
      </c>
    </row>
    <row r="42">
      <c r="A42" s="19" t="s">
        <v>809</v>
      </c>
      <c r="B42" s="1" t="s">
        <v>424</v>
      </c>
      <c r="C42" s="1" t="s">
        <v>425</v>
      </c>
      <c r="D42" s="1">
        <v>9.73706447E8</v>
      </c>
      <c r="E42" s="1" t="s">
        <v>9</v>
      </c>
      <c r="F42" s="20" t="s">
        <v>813</v>
      </c>
      <c r="G42" s="20" t="s">
        <v>811</v>
      </c>
      <c r="H42" s="20" t="s">
        <v>812</v>
      </c>
    </row>
    <row r="43">
      <c r="A43" s="19" t="s">
        <v>809</v>
      </c>
      <c r="B43" s="1" t="s">
        <v>302</v>
      </c>
      <c r="C43" s="1" t="s">
        <v>303</v>
      </c>
      <c r="D43" s="1">
        <v>9.41092247E8</v>
      </c>
      <c r="E43" s="1" t="s">
        <v>6</v>
      </c>
      <c r="F43" s="20" t="s">
        <v>813</v>
      </c>
      <c r="G43" s="20" t="s">
        <v>811</v>
      </c>
      <c r="H43" s="20" t="s">
        <v>812</v>
      </c>
    </row>
    <row r="44">
      <c r="A44" s="19" t="s">
        <v>809</v>
      </c>
      <c r="B44" s="1" t="s">
        <v>231</v>
      </c>
      <c r="C44" s="1" t="s">
        <v>232</v>
      </c>
      <c r="D44" s="1">
        <v>9.26823522E8</v>
      </c>
      <c r="E44" s="1" t="s">
        <v>9</v>
      </c>
      <c r="F44" s="20" t="s">
        <v>813</v>
      </c>
      <c r="G44" s="20" t="s">
        <v>811</v>
      </c>
      <c r="H44" s="20" t="s">
        <v>812</v>
      </c>
    </row>
    <row r="45">
      <c r="A45" s="19" t="s">
        <v>809</v>
      </c>
      <c r="B45" s="1" t="s">
        <v>325</v>
      </c>
      <c r="C45" s="1" t="s">
        <v>326</v>
      </c>
      <c r="D45" s="1">
        <v>9.45300567E8</v>
      </c>
      <c r="E45" s="1" t="s">
        <v>6</v>
      </c>
      <c r="F45" s="20" t="s">
        <v>813</v>
      </c>
      <c r="G45" s="20" t="s">
        <v>811</v>
      </c>
      <c r="H45" s="20" t="s">
        <v>812</v>
      </c>
    </row>
    <row r="46">
      <c r="A46" s="19" t="s">
        <v>809</v>
      </c>
      <c r="B46" s="1" t="s">
        <v>237</v>
      </c>
      <c r="C46" s="1" t="s">
        <v>238</v>
      </c>
      <c r="D46" s="1">
        <v>9.28261464E8</v>
      </c>
      <c r="E46" s="1" t="s">
        <v>9</v>
      </c>
      <c r="F46" s="20" t="s">
        <v>813</v>
      </c>
      <c r="G46" s="20" t="s">
        <v>835</v>
      </c>
      <c r="H46" s="20" t="s">
        <v>815</v>
      </c>
      <c r="I46" s="21" t="s">
        <v>816</v>
      </c>
    </row>
    <row r="47">
      <c r="A47" s="19" t="s">
        <v>809</v>
      </c>
      <c r="B47" s="1" t="s">
        <v>275</v>
      </c>
      <c r="C47" s="1" t="s">
        <v>276</v>
      </c>
      <c r="D47" s="1">
        <v>9.3415712E8</v>
      </c>
      <c r="E47" s="1" t="s">
        <v>9</v>
      </c>
      <c r="F47" s="20" t="s">
        <v>813</v>
      </c>
      <c r="G47" s="20" t="s">
        <v>835</v>
      </c>
      <c r="H47" s="20" t="s">
        <v>815</v>
      </c>
      <c r="I47" s="21" t="s">
        <v>816</v>
      </c>
    </row>
    <row r="48">
      <c r="A48" s="19" t="s">
        <v>809</v>
      </c>
      <c r="B48" s="1" t="s">
        <v>298</v>
      </c>
      <c r="C48" s="1" t="s">
        <v>299</v>
      </c>
      <c r="D48" s="1">
        <v>9.40469718E8</v>
      </c>
      <c r="E48" s="1" t="s">
        <v>9</v>
      </c>
      <c r="F48" s="20" t="s">
        <v>813</v>
      </c>
      <c r="G48" s="20" t="s">
        <v>835</v>
      </c>
      <c r="H48" s="20" t="s">
        <v>815</v>
      </c>
      <c r="I48" s="21" t="s">
        <v>816</v>
      </c>
    </row>
    <row r="49">
      <c r="A49" s="19" t="s">
        <v>809</v>
      </c>
      <c r="B49" s="1" t="s">
        <v>345</v>
      </c>
      <c r="C49" s="1" t="s">
        <v>346</v>
      </c>
      <c r="D49" s="1">
        <v>9.48332608E8</v>
      </c>
      <c r="E49" s="1" t="s">
        <v>9</v>
      </c>
      <c r="F49" s="20" t="s">
        <v>813</v>
      </c>
      <c r="G49" s="20" t="s">
        <v>835</v>
      </c>
      <c r="H49" s="20" t="s">
        <v>815</v>
      </c>
      <c r="I49" s="21" t="s">
        <v>816</v>
      </c>
    </row>
    <row r="50">
      <c r="A50" s="19" t="s">
        <v>809</v>
      </c>
      <c r="B50" s="1" t="s">
        <v>359</v>
      </c>
      <c r="C50" s="1" t="s">
        <v>360</v>
      </c>
      <c r="D50" s="1">
        <v>9.5445158E8</v>
      </c>
      <c r="E50" s="1" t="s">
        <v>9</v>
      </c>
      <c r="F50" s="20" t="s">
        <v>813</v>
      </c>
      <c r="G50" s="20" t="s">
        <v>835</v>
      </c>
      <c r="H50" s="20" t="s">
        <v>815</v>
      </c>
    </row>
    <row r="51">
      <c r="A51" s="19" t="s">
        <v>809</v>
      </c>
      <c r="B51" s="1" t="s">
        <v>386</v>
      </c>
      <c r="C51" s="1" t="s">
        <v>387</v>
      </c>
      <c r="D51" s="1">
        <v>9.62860054E8</v>
      </c>
      <c r="E51" s="1" t="s">
        <v>9</v>
      </c>
      <c r="F51" s="20" t="s">
        <v>813</v>
      </c>
      <c r="G51" s="20" t="s">
        <v>835</v>
      </c>
      <c r="H51" s="20" t="s">
        <v>815</v>
      </c>
      <c r="I51" s="21" t="s">
        <v>816</v>
      </c>
    </row>
    <row r="52">
      <c r="A52" s="19" t="s">
        <v>809</v>
      </c>
      <c r="B52" s="1" t="s">
        <v>229</v>
      </c>
      <c r="C52" s="1" t="s">
        <v>230</v>
      </c>
      <c r="D52" s="1">
        <v>9.2566883E8</v>
      </c>
      <c r="E52" s="1" t="s">
        <v>6</v>
      </c>
      <c r="F52" s="20" t="s">
        <v>813</v>
      </c>
      <c r="G52" s="20" t="s">
        <v>835</v>
      </c>
      <c r="H52" s="20" t="s">
        <v>815</v>
      </c>
      <c r="I52" s="11"/>
      <c r="J52" s="11"/>
      <c r="K52" s="11"/>
    </row>
    <row r="53">
      <c r="A53" s="19" t="s">
        <v>809</v>
      </c>
      <c r="B53" s="1" t="s">
        <v>253</v>
      </c>
      <c r="C53" s="1" t="s">
        <v>254</v>
      </c>
      <c r="D53" s="1">
        <v>9.30180605E8</v>
      </c>
      <c r="E53" s="1" t="s">
        <v>6</v>
      </c>
      <c r="F53" s="20" t="s">
        <v>813</v>
      </c>
      <c r="G53" s="20" t="s">
        <v>835</v>
      </c>
      <c r="H53" s="20" t="s">
        <v>815</v>
      </c>
    </row>
    <row r="54">
      <c r="A54" s="19" t="s">
        <v>809</v>
      </c>
      <c r="B54" s="1" t="s">
        <v>271</v>
      </c>
      <c r="C54" s="1" t="s">
        <v>272</v>
      </c>
      <c r="D54" s="1">
        <v>9.32442981E8</v>
      </c>
      <c r="E54" s="1" t="s">
        <v>6</v>
      </c>
      <c r="F54" s="20" t="s">
        <v>813</v>
      </c>
      <c r="G54" s="20" t="s">
        <v>835</v>
      </c>
      <c r="H54" s="20" t="s">
        <v>815</v>
      </c>
    </row>
    <row r="55">
      <c r="A55" s="19" t="s">
        <v>809</v>
      </c>
      <c r="B55" s="1" t="s">
        <v>277</v>
      </c>
      <c r="C55" s="1" t="s">
        <v>278</v>
      </c>
      <c r="D55" s="1">
        <v>9.35594592E8</v>
      </c>
      <c r="E55" s="1" t="s">
        <v>6</v>
      </c>
      <c r="F55" s="20" t="s">
        <v>813</v>
      </c>
      <c r="G55" s="20" t="s">
        <v>835</v>
      </c>
      <c r="H55" s="20" t="s">
        <v>815</v>
      </c>
    </row>
    <row r="56">
      <c r="A56" s="19" t="s">
        <v>809</v>
      </c>
      <c r="B56" s="1" t="s">
        <v>282</v>
      </c>
      <c r="C56" s="1" t="s">
        <v>283</v>
      </c>
      <c r="D56" s="1">
        <v>9.36641054E8</v>
      </c>
      <c r="E56" s="1" t="s">
        <v>6</v>
      </c>
      <c r="F56" s="20" t="s">
        <v>813</v>
      </c>
      <c r="G56" s="20" t="s">
        <v>835</v>
      </c>
      <c r="H56" s="20" t="s">
        <v>815</v>
      </c>
    </row>
    <row r="57">
      <c r="A57" s="19" t="s">
        <v>809</v>
      </c>
      <c r="B57" s="1" t="s">
        <v>308</v>
      </c>
      <c r="C57" s="1" t="s">
        <v>309</v>
      </c>
      <c r="D57" s="1">
        <v>9.41304338E8</v>
      </c>
      <c r="E57" s="1" t="s">
        <v>6</v>
      </c>
      <c r="F57" s="20" t="s">
        <v>813</v>
      </c>
      <c r="G57" s="20" t="s">
        <v>835</v>
      </c>
      <c r="H57" s="20" t="s">
        <v>815</v>
      </c>
    </row>
    <row r="58">
      <c r="A58" s="19" t="s">
        <v>809</v>
      </c>
      <c r="B58" s="1" t="s">
        <v>321</v>
      </c>
      <c r="C58" s="1" t="s">
        <v>322</v>
      </c>
      <c r="D58" s="1">
        <v>9.44139755E8</v>
      </c>
      <c r="E58" s="1" t="s">
        <v>6</v>
      </c>
      <c r="F58" s="20" t="s">
        <v>813</v>
      </c>
      <c r="G58" s="20" t="s">
        <v>835</v>
      </c>
      <c r="H58" s="20" t="s">
        <v>815</v>
      </c>
    </row>
    <row r="59">
      <c r="A59" s="19" t="s">
        <v>809</v>
      </c>
      <c r="B59" s="1" t="s">
        <v>257</v>
      </c>
      <c r="C59" s="1" t="s">
        <v>258</v>
      </c>
      <c r="D59" s="1">
        <v>9.30712945E8</v>
      </c>
      <c r="E59" s="1" t="s">
        <v>9</v>
      </c>
      <c r="F59" s="20" t="s">
        <v>813</v>
      </c>
      <c r="G59" s="20" t="s">
        <v>835</v>
      </c>
      <c r="H59" s="20" t="s">
        <v>815</v>
      </c>
    </row>
    <row r="60">
      <c r="A60" s="19" t="s">
        <v>809</v>
      </c>
      <c r="B60" s="1" t="s">
        <v>394</v>
      </c>
      <c r="C60" s="1" t="s">
        <v>395</v>
      </c>
      <c r="D60" s="1">
        <v>9.65457721E8</v>
      </c>
      <c r="E60" s="1" t="s">
        <v>9</v>
      </c>
      <c r="F60" s="20" t="s">
        <v>813</v>
      </c>
      <c r="G60" s="20" t="s">
        <v>835</v>
      </c>
      <c r="H60" s="20" t="s">
        <v>815</v>
      </c>
    </row>
    <row r="61">
      <c r="A61" s="19" t="s">
        <v>809</v>
      </c>
      <c r="B61" s="1" t="s">
        <v>355</v>
      </c>
      <c r="C61" s="1" t="s">
        <v>356</v>
      </c>
      <c r="D61" s="1">
        <v>9.52597402E8</v>
      </c>
      <c r="E61" s="1" t="s">
        <v>6</v>
      </c>
      <c r="F61" s="20" t="s">
        <v>813</v>
      </c>
      <c r="G61" s="20" t="s">
        <v>835</v>
      </c>
      <c r="H61" s="20" t="s">
        <v>815</v>
      </c>
    </row>
    <row r="62">
      <c r="A62" s="19" t="s">
        <v>809</v>
      </c>
      <c r="B62" s="1" t="s">
        <v>286</v>
      </c>
      <c r="C62" s="1" t="s">
        <v>287</v>
      </c>
      <c r="D62" s="1">
        <v>9.38215715E8</v>
      </c>
      <c r="E62" s="1" t="s">
        <v>9</v>
      </c>
      <c r="F62" s="20" t="s">
        <v>813</v>
      </c>
      <c r="G62" s="20" t="s">
        <v>835</v>
      </c>
      <c r="H62" s="20" t="s">
        <v>817</v>
      </c>
      <c r="I62" s="21" t="s">
        <v>816</v>
      </c>
    </row>
    <row r="63">
      <c r="A63" s="19" t="s">
        <v>809</v>
      </c>
      <c r="B63" s="1" t="s">
        <v>265</v>
      </c>
      <c r="C63" s="1" t="s">
        <v>266</v>
      </c>
      <c r="D63" s="1">
        <v>9.31830563E8</v>
      </c>
      <c r="E63" s="1" t="s">
        <v>9</v>
      </c>
      <c r="F63" s="20" t="s">
        <v>813</v>
      </c>
      <c r="G63" s="20" t="s">
        <v>835</v>
      </c>
      <c r="H63" s="20" t="s">
        <v>812</v>
      </c>
    </row>
    <row r="64">
      <c r="A64" s="19" t="s">
        <v>809</v>
      </c>
      <c r="B64" s="1">
        <v>9.66399576E8</v>
      </c>
      <c r="C64" s="1" t="s">
        <v>401</v>
      </c>
      <c r="D64" s="1">
        <v>9.66399576E8</v>
      </c>
      <c r="E64" s="1" t="s">
        <v>9</v>
      </c>
      <c r="F64" s="20" t="s">
        <v>813</v>
      </c>
      <c r="G64" s="20" t="s">
        <v>835</v>
      </c>
      <c r="H64" s="20" t="s">
        <v>812</v>
      </c>
      <c r="I64" s="21" t="s">
        <v>836</v>
      </c>
    </row>
    <row r="65">
      <c r="A65" s="19" t="s">
        <v>809</v>
      </c>
      <c r="B65" s="1" t="s">
        <v>261</v>
      </c>
      <c r="C65" s="1" t="s">
        <v>262</v>
      </c>
      <c r="D65" s="1">
        <v>9.31434249E8</v>
      </c>
      <c r="E65" s="1" t="s">
        <v>9</v>
      </c>
      <c r="F65" s="20" t="s">
        <v>837</v>
      </c>
      <c r="G65" s="11"/>
      <c r="H65" s="11"/>
    </row>
    <row r="66">
      <c r="A66" s="19" t="s">
        <v>809</v>
      </c>
      <c r="B66" s="1" t="s">
        <v>351</v>
      </c>
      <c r="C66" s="1" t="s">
        <v>352</v>
      </c>
      <c r="D66" s="1">
        <v>9.49602077E8</v>
      </c>
      <c r="E66" s="1" t="s">
        <v>9</v>
      </c>
      <c r="F66" s="20" t="s">
        <v>837</v>
      </c>
      <c r="G66" s="11"/>
      <c r="H66" s="11"/>
    </row>
    <row r="67">
      <c r="A67" s="19" t="s">
        <v>809</v>
      </c>
      <c r="B67" s="1" t="s">
        <v>407</v>
      </c>
      <c r="C67" s="1" t="s">
        <v>408</v>
      </c>
      <c r="D67" s="1">
        <v>9.69165416E8</v>
      </c>
      <c r="E67" s="1" t="s">
        <v>9</v>
      </c>
      <c r="F67" s="20" t="s">
        <v>837</v>
      </c>
      <c r="G67" s="11"/>
      <c r="H67" s="11"/>
    </row>
    <row r="68">
      <c r="A68" s="19" t="s">
        <v>809</v>
      </c>
      <c r="B68" s="1" t="s">
        <v>419</v>
      </c>
      <c r="C68" s="1" t="s">
        <v>420</v>
      </c>
      <c r="D68" s="1">
        <v>9.72754526E8</v>
      </c>
      <c r="E68" s="1" t="s">
        <v>9</v>
      </c>
      <c r="F68" s="20" t="s">
        <v>837</v>
      </c>
      <c r="G68" s="11"/>
      <c r="H68" s="11"/>
    </row>
    <row r="69">
      <c r="A69" s="19" t="s">
        <v>809</v>
      </c>
      <c r="B69" s="1" t="s">
        <v>421</v>
      </c>
      <c r="C69" s="1" t="s">
        <v>420</v>
      </c>
      <c r="D69" s="1">
        <v>9.72754526E8</v>
      </c>
      <c r="E69" s="1" t="s">
        <v>9</v>
      </c>
      <c r="F69" s="20" t="s">
        <v>837</v>
      </c>
      <c r="G69" s="11"/>
      <c r="H69" s="11"/>
    </row>
    <row r="70">
      <c r="A70" s="19" t="s">
        <v>809</v>
      </c>
      <c r="B70" s="1">
        <v>2.9771998E7</v>
      </c>
      <c r="C70" s="1" t="s">
        <v>249</v>
      </c>
      <c r="D70" s="1">
        <v>9.29771998E8</v>
      </c>
      <c r="E70" s="1" t="s">
        <v>6</v>
      </c>
      <c r="F70" s="20" t="s">
        <v>837</v>
      </c>
      <c r="G70" s="11"/>
      <c r="H70" s="11"/>
    </row>
    <row r="71">
      <c r="A71" s="19" t="s">
        <v>809</v>
      </c>
      <c r="B71" s="1" t="s">
        <v>370</v>
      </c>
      <c r="C71" s="1" t="s">
        <v>371</v>
      </c>
      <c r="D71" s="1">
        <v>9.56025344E8</v>
      </c>
      <c r="E71" s="1" t="s">
        <v>6</v>
      </c>
      <c r="F71" s="20" t="s">
        <v>837</v>
      </c>
      <c r="G71" s="11"/>
      <c r="H71" s="11"/>
    </row>
    <row r="72">
      <c r="A72" s="19" t="s">
        <v>809</v>
      </c>
      <c r="B72" s="1" t="s">
        <v>373</v>
      </c>
      <c r="C72" s="1" t="s">
        <v>371</v>
      </c>
      <c r="D72" s="1">
        <v>9.56025344E8</v>
      </c>
      <c r="E72" s="1" t="s">
        <v>6</v>
      </c>
      <c r="F72" s="20" t="s">
        <v>837</v>
      </c>
      <c r="G72" s="11"/>
      <c r="H72" s="11"/>
    </row>
    <row r="73">
      <c r="A73" s="19" t="s">
        <v>809</v>
      </c>
      <c r="B73" s="1" t="s">
        <v>294</v>
      </c>
      <c r="C73" s="1" t="s">
        <v>295</v>
      </c>
      <c r="D73" s="1">
        <v>9.39531507E8</v>
      </c>
      <c r="E73" s="1" t="s">
        <v>9</v>
      </c>
      <c r="F73" s="20" t="s">
        <v>838</v>
      </c>
      <c r="G73" s="11"/>
      <c r="H73" s="11"/>
    </row>
    <row r="74">
      <c r="A74" s="19" t="s">
        <v>809</v>
      </c>
      <c r="B74" s="1" t="s">
        <v>365</v>
      </c>
      <c r="C74" s="1" t="s">
        <v>366</v>
      </c>
      <c r="D74" s="1">
        <v>9.5538322E8</v>
      </c>
      <c r="E74" s="1" t="s">
        <v>9</v>
      </c>
      <c r="F74" s="20" t="s">
        <v>838</v>
      </c>
      <c r="G74" s="11"/>
      <c r="H74" s="11"/>
    </row>
    <row r="75">
      <c r="A75" s="19" t="s">
        <v>809</v>
      </c>
      <c r="B75" s="1" t="s">
        <v>404</v>
      </c>
      <c r="C75" s="1" t="s">
        <v>405</v>
      </c>
      <c r="D75" s="1">
        <v>9.67290584E8</v>
      </c>
      <c r="E75" s="1" t="s">
        <v>9</v>
      </c>
      <c r="F75" s="20" t="s">
        <v>838</v>
      </c>
      <c r="G75" s="11"/>
      <c r="H75" s="11"/>
    </row>
    <row r="76">
      <c r="A76" s="19" t="s">
        <v>809</v>
      </c>
      <c r="B76" s="1" t="s">
        <v>247</v>
      </c>
      <c r="C76" s="1" t="s">
        <v>248</v>
      </c>
      <c r="D76" s="1">
        <v>9.29506406E8</v>
      </c>
      <c r="E76" s="1" t="s">
        <v>9</v>
      </c>
      <c r="F76" s="20" t="s">
        <v>838</v>
      </c>
      <c r="G76" s="11"/>
      <c r="H76" s="11"/>
    </row>
    <row r="77">
      <c r="A77" s="19" t="s">
        <v>809</v>
      </c>
      <c r="B77" s="1" t="s">
        <v>306</v>
      </c>
      <c r="C77" s="1" t="s">
        <v>307</v>
      </c>
      <c r="D77" s="1">
        <v>9.41217806E8</v>
      </c>
      <c r="E77" s="1" t="s">
        <v>9</v>
      </c>
      <c r="F77" s="20" t="s">
        <v>838</v>
      </c>
      <c r="G77" s="11"/>
      <c r="H77" s="11"/>
    </row>
    <row r="78">
      <c r="A78" s="19" t="s">
        <v>809</v>
      </c>
      <c r="B78" s="1" t="s">
        <v>327</v>
      </c>
      <c r="C78" s="1" t="s">
        <v>328</v>
      </c>
      <c r="D78" s="1">
        <v>9.46472448E8</v>
      </c>
      <c r="E78" s="1" t="s">
        <v>9</v>
      </c>
      <c r="F78" s="20" t="s">
        <v>838</v>
      </c>
      <c r="G78" s="11"/>
      <c r="H78" s="11"/>
    </row>
    <row r="79">
      <c r="A79" s="19" t="s">
        <v>809</v>
      </c>
      <c r="B79" s="1" t="s">
        <v>329</v>
      </c>
      <c r="C79" s="1" t="s">
        <v>330</v>
      </c>
      <c r="D79" s="1">
        <v>9.46472448E8</v>
      </c>
      <c r="E79" s="1" t="s">
        <v>9</v>
      </c>
      <c r="F79" s="20" t="s">
        <v>838</v>
      </c>
      <c r="G79" s="11"/>
      <c r="H79" s="11"/>
    </row>
    <row r="80">
      <c r="A80" s="19" t="s">
        <v>809</v>
      </c>
      <c r="B80" s="1" t="s">
        <v>374</v>
      </c>
      <c r="C80" s="1" t="s">
        <v>375</v>
      </c>
      <c r="D80" s="1">
        <v>9.57110347E8</v>
      </c>
      <c r="E80" s="1" t="s">
        <v>9</v>
      </c>
      <c r="F80" s="20" t="s">
        <v>838</v>
      </c>
      <c r="G80" s="11"/>
      <c r="H80" s="11"/>
    </row>
    <row r="81">
      <c r="A81" s="19" t="s">
        <v>809</v>
      </c>
      <c r="B81" s="1">
        <v>9.60496477E8</v>
      </c>
      <c r="C81" s="1" t="s">
        <v>379</v>
      </c>
      <c r="D81" s="1">
        <v>9.60496477E8</v>
      </c>
      <c r="E81" s="1" t="s">
        <v>9</v>
      </c>
      <c r="F81" s="20" t="s">
        <v>838</v>
      </c>
      <c r="G81" s="11"/>
      <c r="H81" s="11"/>
    </row>
    <row r="82">
      <c r="A82" s="19" t="s">
        <v>809</v>
      </c>
      <c r="B82" s="1" t="s">
        <v>390</v>
      </c>
      <c r="C82" s="1" t="s">
        <v>391</v>
      </c>
      <c r="D82" s="1">
        <v>9.64009612E8</v>
      </c>
      <c r="E82" s="1" t="s">
        <v>9</v>
      </c>
      <c r="F82" s="20" t="s">
        <v>838</v>
      </c>
      <c r="G82" s="11"/>
      <c r="H82" s="11"/>
    </row>
    <row r="83">
      <c r="A83" s="19" t="s">
        <v>809</v>
      </c>
      <c r="B83" s="1" t="s">
        <v>399</v>
      </c>
      <c r="C83" s="1" t="s">
        <v>400</v>
      </c>
      <c r="D83" s="1">
        <v>9.662638E8</v>
      </c>
      <c r="E83" s="1" t="s">
        <v>9</v>
      </c>
      <c r="F83" s="20" t="s">
        <v>838</v>
      </c>
      <c r="G83" s="11"/>
      <c r="H83" s="11"/>
    </row>
    <row r="84">
      <c r="A84" s="19" t="s">
        <v>809</v>
      </c>
      <c r="B84" s="1" t="s">
        <v>630</v>
      </c>
      <c r="C84" s="1" t="s">
        <v>631</v>
      </c>
      <c r="D84" s="1">
        <v>9.11149237E8</v>
      </c>
      <c r="E84" s="1" t="s">
        <v>9</v>
      </c>
      <c r="F84" s="20" t="s">
        <v>838</v>
      </c>
      <c r="G84" s="11"/>
      <c r="H84" s="11"/>
    </row>
    <row r="85">
      <c r="A85" s="19" t="s">
        <v>809</v>
      </c>
      <c r="B85" s="1" t="s">
        <v>239</v>
      </c>
      <c r="C85" s="1" t="s">
        <v>240</v>
      </c>
      <c r="D85" s="1">
        <v>9.28578884E8</v>
      </c>
      <c r="E85" s="1" t="s">
        <v>6</v>
      </c>
      <c r="F85" s="20" t="s">
        <v>838</v>
      </c>
      <c r="G85" s="11"/>
      <c r="H85" s="11"/>
    </row>
    <row r="86">
      <c r="A86" s="19" t="s">
        <v>809</v>
      </c>
      <c r="B86" s="1" t="s">
        <v>241</v>
      </c>
      <c r="C86" s="1" t="s">
        <v>242</v>
      </c>
      <c r="D86" s="1">
        <v>9.28684256E8</v>
      </c>
      <c r="E86" s="1" t="s">
        <v>6</v>
      </c>
      <c r="F86" s="20" t="s">
        <v>838</v>
      </c>
      <c r="G86" s="11"/>
      <c r="H86" s="11"/>
    </row>
    <row r="87">
      <c r="A87" s="19" t="s">
        <v>809</v>
      </c>
      <c r="B87" s="1" t="s">
        <v>243</v>
      </c>
      <c r="C87" s="1" t="s">
        <v>244</v>
      </c>
      <c r="D87" s="1">
        <v>9.289894E8</v>
      </c>
      <c r="E87" s="1" t="s">
        <v>6</v>
      </c>
      <c r="F87" s="20" t="s">
        <v>838</v>
      </c>
      <c r="G87" s="11"/>
      <c r="H87" s="11"/>
    </row>
    <row r="88">
      <c r="A88" s="19" t="s">
        <v>809</v>
      </c>
      <c r="B88" s="1" t="s">
        <v>284</v>
      </c>
      <c r="C88" s="1" t="s">
        <v>285</v>
      </c>
      <c r="D88" s="1">
        <v>9.36660635E8</v>
      </c>
      <c r="E88" s="1" t="s">
        <v>6</v>
      </c>
      <c r="F88" s="20" t="s">
        <v>838</v>
      </c>
      <c r="G88" s="11"/>
      <c r="H88" s="11"/>
    </row>
    <row r="89">
      <c r="A89" s="19" t="s">
        <v>809</v>
      </c>
      <c r="B89" s="1" t="s">
        <v>296</v>
      </c>
      <c r="C89" s="1" t="s">
        <v>297</v>
      </c>
      <c r="D89" s="1">
        <v>9.4044141E8</v>
      </c>
      <c r="E89" s="1" t="s">
        <v>6</v>
      </c>
      <c r="F89" s="20" t="s">
        <v>838</v>
      </c>
      <c r="G89" s="11"/>
      <c r="H89" s="11"/>
    </row>
    <row r="90">
      <c r="A90" s="19" t="s">
        <v>809</v>
      </c>
      <c r="B90" s="1" t="s">
        <v>335</v>
      </c>
      <c r="C90" s="1" t="s">
        <v>336</v>
      </c>
      <c r="D90" s="1">
        <v>9.48017364E8</v>
      </c>
      <c r="E90" s="1" t="s">
        <v>6</v>
      </c>
      <c r="F90" s="20" t="s">
        <v>838</v>
      </c>
      <c r="G90" s="11"/>
      <c r="H90" s="11"/>
    </row>
    <row r="91">
      <c r="A91" s="19" t="s">
        <v>809</v>
      </c>
      <c r="B91" s="1" t="s">
        <v>341</v>
      </c>
      <c r="C91" s="1" t="s">
        <v>342</v>
      </c>
      <c r="D91" s="1">
        <v>9.48171232E8</v>
      </c>
      <c r="E91" s="1" t="s">
        <v>6</v>
      </c>
      <c r="F91" s="20" t="s">
        <v>838</v>
      </c>
      <c r="G91" s="11"/>
      <c r="H91" s="11"/>
    </row>
    <row r="92">
      <c r="A92" s="19" t="s">
        <v>809</v>
      </c>
      <c r="B92" s="1" t="s">
        <v>380</v>
      </c>
      <c r="C92" s="1" t="s">
        <v>381</v>
      </c>
      <c r="D92" s="1">
        <v>9.60795371E8</v>
      </c>
      <c r="E92" s="1" t="s">
        <v>6</v>
      </c>
      <c r="F92" s="20" t="s">
        <v>838</v>
      </c>
      <c r="G92" s="11"/>
      <c r="H92" s="11"/>
    </row>
    <row r="93">
      <c r="A93" s="19" t="s">
        <v>809</v>
      </c>
      <c r="B93" s="1" t="s">
        <v>300</v>
      </c>
      <c r="C93" s="1" t="s">
        <v>301</v>
      </c>
      <c r="D93" s="1">
        <v>9.60795371E8</v>
      </c>
      <c r="E93" s="1" t="s">
        <v>9</v>
      </c>
      <c r="F93" s="20" t="s">
        <v>838</v>
      </c>
      <c r="G93" s="11"/>
      <c r="H93" s="11"/>
    </row>
    <row r="94">
      <c r="A94" s="19" t="s">
        <v>809</v>
      </c>
      <c r="B94" s="1" t="s">
        <v>250</v>
      </c>
      <c r="C94" s="1" t="s">
        <v>251</v>
      </c>
      <c r="D94" s="1">
        <v>9.29940947E8</v>
      </c>
      <c r="E94" s="1" t="s">
        <v>6</v>
      </c>
      <c r="F94" s="20" t="s">
        <v>838</v>
      </c>
      <c r="G94" s="11"/>
      <c r="H94" s="11"/>
    </row>
    <row r="110" ht="17.25" customHeight="1"/>
  </sheetData>
  <dataValidations>
    <dataValidation type="list" allowBlank="1" showErrorMessage="1" sqref="H2:H14 H42:H43 H46:H58 H63:H64">
      <formula1>"Out of Addis ,They will come,Not coming"</formula1>
    </dataValidation>
    <dataValidation type="list" allowBlank="1" showErrorMessage="1" sqref="G2:G94">
      <formula1>"YES,NO,MAYBE"</formula1>
    </dataValidation>
    <dataValidation type="list" allowBlank="1" showErrorMessage="1" sqref="F2:F94">
      <formula1>"Reached,Not Picking Up,Phone Not Working,Wrong Person,Not Yet Called,Wrong Number,Busy "</formula1>
    </dataValidation>
    <dataValidation type="list" allowBlank="1" showErrorMessage="1" sqref="H15:H41 H44:H45 H59:H62 H65:H94">
      <formula1>"They will come,Not coming,Not in Addis,Unabel to talk,Not sure"</formula1>
    </dataValidation>
    <dataValidation type="list" allowBlank="1" showErrorMessage="1" sqref="A2:A94">
      <formula1>"Abeba,Dagmawi,Eyerusalem,Girumsew,Tsedenia,Yosef,Nati,Haemnen"</formula1>
    </dataValidation>
  </dataValidations>
  <hyperlinks>
    <hyperlink r:id="rId1" ref="B38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8.5"/>
    <col customWidth="1" min="3" max="3" width="28.13"/>
    <col customWidth="1" min="4" max="4" width="13.0"/>
    <col customWidth="1" min="5" max="5" width="36.25"/>
  </cols>
  <sheetData>
    <row r="1">
      <c r="A1" s="13" t="s">
        <v>801</v>
      </c>
      <c r="B1" s="14" t="s">
        <v>802</v>
      </c>
      <c r="C1" s="15" t="s">
        <v>803</v>
      </c>
      <c r="D1" s="16" t="s">
        <v>804</v>
      </c>
      <c r="E1" s="17" t="s">
        <v>805</v>
      </c>
      <c r="F1" s="18" t="s">
        <v>806</v>
      </c>
      <c r="G1" s="15" t="s">
        <v>807</v>
      </c>
      <c r="H1" s="14" t="s">
        <v>808</v>
      </c>
      <c r="I1" s="15" t="s">
        <v>923</v>
      </c>
      <c r="L1" s="14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19" t="s">
        <v>839</v>
      </c>
      <c r="B2" s="1" t="s">
        <v>445</v>
      </c>
      <c r="C2" s="1" t="s">
        <v>446</v>
      </c>
      <c r="D2" s="1">
        <v>9.79106361E8</v>
      </c>
      <c r="E2" s="1" t="s">
        <v>9</v>
      </c>
      <c r="F2" s="20" t="s">
        <v>810</v>
      </c>
      <c r="G2" s="20" t="s">
        <v>811</v>
      </c>
      <c r="H2" s="20" t="s">
        <v>812</v>
      </c>
    </row>
    <row r="3">
      <c r="A3" s="19" t="s">
        <v>839</v>
      </c>
      <c r="B3" s="1" t="s">
        <v>471</v>
      </c>
      <c r="C3" s="1" t="s">
        <v>472</v>
      </c>
      <c r="D3" s="8">
        <f>+2519164970</f>
        <v>2519164970</v>
      </c>
      <c r="E3" s="1" t="s">
        <v>6</v>
      </c>
      <c r="F3" s="20" t="s">
        <v>840</v>
      </c>
      <c r="G3" s="20" t="s">
        <v>811</v>
      </c>
      <c r="H3" s="20" t="s">
        <v>812</v>
      </c>
    </row>
    <row r="4">
      <c r="A4" s="19" t="s">
        <v>839</v>
      </c>
      <c r="B4" s="1" t="s">
        <v>473</v>
      </c>
      <c r="C4" s="1" t="s">
        <v>474</v>
      </c>
      <c r="D4" s="1">
        <v>9.277853071E9</v>
      </c>
      <c r="E4" s="1" t="s">
        <v>6</v>
      </c>
      <c r="F4" s="20" t="s">
        <v>840</v>
      </c>
      <c r="G4" s="20" t="s">
        <v>811</v>
      </c>
      <c r="H4" s="20" t="s">
        <v>812</v>
      </c>
    </row>
    <row r="5">
      <c r="A5" s="19" t="s">
        <v>839</v>
      </c>
      <c r="B5" s="1" t="s">
        <v>461</v>
      </c>
      <c r="C5" s="1" t="s">
        <v>462</v>
      </c>
      <c r="D5" s="1">
        <v>9.87993606E8</v>
      </c>
      <c r="E5" s="1" t="s">
        <v>9</v>
      </c>
      <c r="F5" s="20" t="s">
        <v>813</v>
      </c>
      <c r="G5" s="20" t="s">
        <v>814</v>
      </c>
      <c r="H5" s="20" t="s">
        <v>815</v>
      </c>
      <c r="I5" s="21" t="s">
        <v>841</v>
      </c>
    </row>
    <row r="6">
      <c r="A6" s="19" t="s">
        <v>839</v>
      </c>
      <c r="B6" s="1" t="s">
        <v>465</v>
      </c>
      <c r="C6" s="1" t="s">
        <v>466</v>
      </c>
      <c r="D6" s="1">
        <v>9.89772519E8</v>
      </c>
      <c r="E6" s="1" t="s">
        <v>9</v>
      </c>
      <c r="F6" s="20" t="s">
        <v>813</v>
      </c>
      <c r="G6" s="20" t="s">
        <v>814</v>
      </c>
      <c r="H6" s="20" t="s">
        <v>815</v>
      </c>
      <c r="I6" s="21" t="s">
        <v>841</v>
      </c>
    </row>
    <row r="7">
      <c r="A7" s="19" t="s">
        <v>839</v>
      </c>
      <c r="B7" s="1" t="s">
        <v>210</v>
      </c>
      <c r="C7" s="1" t="s">
        <v>211</v>
      </c>
      <c r="D7" s="8">
        <f>+251922803503</f>
        <v>251922803503</v>
      </c>
      <c r="E7" s="1" t="s">
        <v>9</v>
      </c>
      <c r="F7" s="20" t="s">
        <v>813</v>
      </c>
      <c r="G7" s="20" t="s">
        <v>814</v>
      </c>
      <c r="H7" s="20" t="s">
        <v>815</v>
      </c>
    </row>
    <row r="8">
      <c r="A8" s="19" t="s">
        <v>839</v>
      </c>
      <c r="B8" s="1" t="s">
        <v>568</v>
      </c>
      <c r="C8" s="1" t="s">
        <v>569</v>
      </c>
      <c r="D8" s="1">
        <v>2.51925866602E11</v>
      </c>
      <c r="E8" s="1" t="s">
        <v>9</v>
      </c>
      <c r="F8" s="20" t="s">
        <v>813</v>
      </c>
      <c r="G8" s="20" t="s">
        <v>814</v>
      </c>
      <c r="H8" s="20" t="s">
        <v>815</v>
      </c>
      <c r="I8" s="21" t="s">
        <v>841</v>
      </c>
    </row>
    <row r="9">
      <c r="A9" s="19" t="s">
        <v>839</v>
      </c>
      <c r="B9" s="1" t="s">
        <v>581</v>
      </c>
      <c r="C9" s="1" t="s">
        <v>582</v>
      </c>
      <c r="D9" s="8">
        <f>+251934611771</f>
        <v>251934611771</v>
      </c>
      <c r="E9" s="1" t="s">
        <v>9</v>
      </c>
      <c r="F9" s="20" t="s">
        <v>813</v>
      </c>
      <c r="G9" s="20" t="s">
        <v>814</v>
      </c>
      <c r="H9" s="20" t="s">
        <v>815</v>
      </c>
    </row>
    <row r="10">
      <c r="A10" s="19" t="s">
        <v>839</v>
      </c>
      <c r="B10" s="1" t="s">
        <v>590</v>
      </c>
      <c r="C10" s="1" t="s">
        <v>591</v>
      </c>
      <c r="D10" s="8">
        <f>+251940272303</f>
        <v>251940272303</v>
      </c>
      <c r="E10" s="1" t="s">
        <v>9</v>
      </c>
      <c r="F10" s="20" t="s">
        <v>813</v>
      </c>
      <c r="G10" s="20" t="s">
        <v>814</v>
      </c>
      <c r="H10" s="20" t="s">
        <v>815</v>
      </c>
      <c r="I10" s="21" t="s">
        <v>841</v>
      </c>
    </row>
    <row r="11">
      <c r="A11" s="19" t="s">
        <v>839</v>
      </c>
      <c r="B11" s="1" t="s">
        <v>598</v>
      </c>
      <c r="C11" s="1" t="s">
        <v>599</v>
      </c>
      <c r="D11" s="8">
        <f>+251952924765</f>
        <v>251952924765</v>
      </c>
      <c r="E11" s="1" t="s">
        <v>9</v>
      </c>
      <c r="F11" s="20" t="s">
        <v>813</v>
      </c>
      <c r="G11" s="20" t="s">
        <v>814</v>
      </c>
      <c r="H11" s="20" t="s">
        <v>815</v>
      </c>
      <c r="I11" s="21" t="s">
        <v>841</v>
      </c>
    </row>
    <row r="12">
      <c r="A12" s="19" t="s">
        <v>839</v>
      </c>
      <c r="B12" s="1" t="s">
        <v>622</v>
      </c>
      <c r="C12" s="1" t="s">
        <v>623</v>
      </c>
      <c r="D12" s="8">
        <f>+251987254680</f>
        <v>251987254680</v>
      </c>
      <c r="E12" s="1" t="s">
        <v>9</v>
      </c>
      <c r="F12" s="20" t="s">
        <v>813</v>
      </c>
      <c r="G12" s="20" t="s">
        <v>814</v>
      </c>
      <c r="H12" s="20" t="s">
        <v>815</v>
      </c>
    </row>
    <row r="13">
      <c r="A13" s="19" t="s">
        <v>839</v>
      </c>
      <c r="B13" s="1" t="s">
        <v>459</v>
      </c>
      <c r="C13" s="1" t="s">
        <v>460</v>
      </c>
      <c r="D13" s="1">
        <v>9.86873174E8</v>
      </c>
      <c r="E13" s="1" t="s">
        <v>6</v>
      </c>
      <c r="F13" s="20" t="s">
        <v>813</v>
      </c>
      <c r="G13" s="20" t="s">
        <v>814</v>
      </c>
      <c r="H13" s="20" t="s">
        <v>815</v>
      </c>
      <c r="I13" s="21" t="s">
        <v>841</v>
      </c>
    </row>
    <row r="14">
      <c r="A14" s="19" t="s">
        <v>839</v>
      </c>
      <c r="B14" s="1" t="s">
        <v>455</v>
      </c>
      <c r="C14" s="1" t="s">
        <v>456</v>
      </c>
      <c r="D14" s="1">
        <v>9.8571634E8</v>
      </c>
      <c r="E14" s="1" t="s">
        <v>9</v>
      </c>
      <c r="F14" s="20" t="s">
        <v>813</v>
      </c>
      <c r="G14" s="20" t="s">
        <v>811</v>
      </c>
      <c r="H14" s="20" t="s">
        <v>817</v>
      </c>
      <c r="I14" s="21" t="s">
        <v>842</v>
      </c>
    </row>
    <row r="15">
      <c r="A15" s="19" t="s">
        <v>839</v>
      </c>
      <c r="B15" s="1" t="s">
        <v>492</v>
      </c>
      <c r="C15" s="1" t="s">
        <v>493</v>
      </c>
      <c r="D15" s="8">
        <f>+251910491885</f>
        <v>251910491885</v>
      </c>
      <c r="E15" s="1" t="s">
        <v>9</v>
      </c>
      <c r="F15" s="20" t="s">
        <v>813</v>
      </c>
      <c r="G15" s="20" t="s">
        <v>811</v>
      </c>
      <c r="H15" s="20" t="s">
        <v>817</v>
      </c>
      <c r="I15" s="21" t="s">
        <v>842</v>
      </c>
    </row>
    <row r="16">
      <c r="A16" s="19" t="s">
        <v>839</v>
      </c>
      <c r="B16" s="1" t="s">
        <v>502</v>
      </c>
      <c r="C16" s="1" t="s">
        <v>503</v>
      </c>
      <c r="D16" s="8">
        <f>+251911265819</f>
        <v>251911265819</v>
      </c>
      <c r="E16" s="1" t="s">
        <v>9</v>
      </c>
      <c r="F16" s="20" t="s">
        <v>813</v>
      </c>
      <c r="G16" s="20" t="s">
        <v>811</v>
      </c>
      <c r="H16" s="20" t="s">
        <v>817</v>
      </c>
      <c r="I16" s="21" t="s">
        <v>843</v>
      </c>
    </row>
    <row r="17">
      <c r="A17" s="19" t="s">
        <v>839</v>
      </c>
      <c r="B17" s="1" t="s">
        <v>514</v>
      </c>
      <c r="C17" s="1" t="s">
        <v>515</v>
      </c>
      <c r="D17" s="8">
        <f>+251912307929</f>
        <v>251912307929</v>
      </c>
      <c r="E17" s="1" t="s">
        <v>9</v>
      </c>
      <c r="F17" s="20" t="s">
        <v>813</v>
      </c>
      <c r="G17" s="20" t="s">
        <v>811</v>
      </c>
      <c r="H17" s="20" t="s">
        <v>817</v>
      </c>
      <c r="I17" s="21" t="s">
        <v>844</v>
      </c>
    </row>
    <row r="18">
      <c r="A18" s="19" t="s">
        <v>839</v>
      </c>
      <c r="B18" s="1" t="s">
        <v>527</v>
      </c>
      <c r="C18" s="1" t="s">
        <v>528</v>
      </c>
      <c r="D18" s="8">
        <f>+251914795787</f>
        <v>251914795787</v>
      </c>
      <c r="E18" s="1" t="s">
        <v>9</v>
      </c>
      <c r="F18" s="20" t="s">
        <v>813</v>
      </c>
      <c r="G18" s="20" t="s">
        <v>811</v>
      </c>
      <c r="H18" s="20" t="s">
        <v>817</v>
      </c>
      <c r="I18" s="21" t="s">
        <v>845</v>
      </c>
    </row>
    <row r="19">
      <c r="A19" s="19" t="s">
        <v>839</v>
      </c>
      <c r="B19" s="1" t="s">
        <v>533</v>
      </c>
      <c r="C19" s="1" t="s">
        <v>534</v>
      </c>
      <c r="D19" s="8">
        <f>+251916165420</f>
        <v>251916165420</v>
      </c>
      <c r="E19" s="1" t="s">
        <v>9</v>
      </c>
      <c r="F19" s="20" t="s">
        <v>813</v>
      </c>
      <c r="G19" s="20" t="s">
        <v>811</v>
      </c>
      <c r="H19" s="20" t="s">
        <v>817</v>
      </c>
      <c r="I19" s="21" t="s">
        <v>846</v>
      </c>
    </row>
    <row r="20">
      <c r="A20" s="19" t="s">
        <v>839</v>
      </c>
      <c r="B20" s="1" t="s">
        <v>535</v>
      </c>
      <c r="C20" s="1" t="s">
        <v>536</v>
      </c>
      <c r="D20" s="1">
        <v>2.5191640163E11</v>
      </c>
      <c r="E20" s="1" t="s">
        <v>9</v>
      </c>
      <c r="F20" s="20" t="s">
        <v>813</v>
      </c>
      <c r="G20" s="20" t="s">
        <v>811</v>
      </c>
      <c r="H20" s="20" t="s">
        <v>817</v>
      </c>
      <c r="I20" s="21" t="s">
        <v>847</v>
      </c>
    </row>
    <row r="21">
      <c r="A21" s="19" t="s">
        <v>839</v>
      </c>
      <c r="B21" s="1" t="s">
        <v>545</v>
      </c>
      <c r="C21" s="1" t="s">
        <v>546</v>
      </c>
      <c r="D21" s="8">
        <f>+251918275409</f>
        <v>251918275409</v>
      </c>
      <c r="E21" s="1" t="s">
        <v>9</v>
      </c>
      <c r="F21" s="20" t="s">
        <v>813</v>
      </c>
      <c r="G21" s="20" t="s">
        <v>811</v>
      </c>
      <c r="H21" s="20" t="s">
        <v>817</v>
      </c>
      <c r="I21" s="21" t="s">
        <v>842</v>
      </c>
    </row>
    <row r="22">
      <c r="A22" s="19" t="s">
        <v>839</v>
      </c>
      <c r="B22" s="1" t="s">
        <v>547</v>
      </c>
      <c r="C22" s="1" t="s">
        <v>548</v>
      </c>
      <c r="D22" s="8">
        <f>+251918596572</f>
        <v>251918596572</v>
      </c>
      <c r="E22" s="1" t="s">
        <v>9</v>
      </c>
      <c r="F22" s="20" t="s">
        <v>813</v>
      </c>
      <c r="G22" s="20" t="s">
        <v>811</v>
      </c>
      <c r="H22" s="20" t="s">
        <v>817</v>
      </c>
      <c r="I22" s="21" t="s">
        <v>848</v>
      </c>
    </row>
    <row r="23">
      <c r="A23" s="19" t="s">
        <v>839</v>
      </c>
      <c r="B23" s="1" t="s">
        <v>559</v>
      </c>
      <c r="C23" s="1" t="s">
        <v>560</v>
      </c>
      <c r="D23" s="8">
        <f>+251920725480</f>
        <v>251920725480</v>
      </c>
      <c r="E23" s="1" t="s">
        <v>9</v>
      </c>
      <c r="F23" s="20" t="s">
        <v>813</v>
      </c>
      <c r="G23" s="20" t="s">
        <v>811</v>
      </c>
      <c r="H23" s="20" t="s">
        <v>817</v>
      </c>
      <c r="I23" s="21" t="s">
        <v>849</v>
      </c>
    </row>
    <row r="24">
      <c r="A24" s="19" t="s">
        <v>839</v>
      </c>
      <c r="B24" s="1" t="s">
        <v>572</v>
      </c>
      <c r="C24" s="1" t="s">
        <v>573</v>
      </c>
      <c r="D24" s="8">
        <f>+251928605078</f>
        <v>251928605078</v>
      </c>
      <c r="E24" s="1" t="s">
        <v>9</v>
      </c>
      <c r="F24" s="20" t="s">
        <v>813</v>
      </c>
      <c r="G24" s="20" t="s">
        <v>811</v>
      </c>
      <c r="H24" s="20" t="s">
        <v>817</v>
      </c>
      <c r="I24" s="21" t="s">
        <v>843</v>
      </c>
    </row>
    <row r="25">
      <c r="A25" s="19" t="s">
        <v>839</v>
      </c>
      <c r="B25" s="1" t="s">
        <v>576</v>
      </c>
      <c r="C25" s="1" t="s">
        <v>577</v>
      </c>
      <c r="D25" s="8">
        <f t="shared" ref="D25:D26" si="1">+251931705384</f>
        <v>251931705384</v>
      </c>
      <c r="E25" s="1" t="s">
        <v>9</v>
      </c>
      <c r="F25" s="20" t="s">
        <v>813</v>
      </c>
      <c r="G25" s="20" t="s">
        <v>811</v>
      </c>
      <c r="H25" s="20" t="s">
        <v>817</v>
      </c>
      <c r="I25" s="21" t="s">
        <v>850</v>
      </c>
    </row>
    <row r="26">
      <c r="A26" s="19" t="s">
        <v>839</v>
      </c>
      <c r="B26" s="1" t="s">
        <v>578</v>
      </c>
      <c r="C26" s="1" t="s">
        <v>577</v>
      </c>
      <c r="D26" s="8">
        <f t="shared" si="1"/>
        <v>251931705384</v>
      </c>
      <c r="E26" s="1" t="s">
        <v>9</v>
      </c>
      <c r="F26" s="20" t="s">
        <v>813</v>
      </c>
      <c r="G26" s="20" t="s">
        <v>811</v>
      </c>
      <c r="H26" s="20" t="s">
        <v>817</v>
      </c>
      <c r="I26" s="21" t="s">
        <v>850</v>
      </c>
    </row>
    <row r="27">
      <c r="A27" s="19" t="s">
        <v>839</v>
      </c>
      <c r="B27" s="5" t="s">
        <v>604</v>
      </c>
      <c r="C27" s="1" t="s">
        <v>605</v>
      </c>
      <c r="D27" s="1">
        <v>2.51954805653E11</v>
      </c>
      <c r="E27" s="1" t="s">
        <v>9</v>
      </c>
      <c r="F27" s="20" t="s">
        <v>813</v>
      </c>
      <c r="G27" s="20" t="s">
        <v>811</v>
      </c>
      <c r="H27" s="20" t="s">
        <v>817</v>
      </c>
      <c r="I27" s="21" t="s">
        <v>851</v>
      </c>
    </row>
    <row r="28">
      <c r="A28" s="19" t="s">
        <v>839</v>
      </c>
      <c r="B28" s="1" t="s">
        <v>608</v>
      </c>
      <c r="C28" s="1" t="s">
        <v>364</v>
      </c>
      <c r="D28" s="1">
        <v>2.51955170831E11</v>
      </c>
      <c r="E28" s="1" t="s">
        <v>9</v>
      </c>
      <c r="F28" s="20" t="s">
        <v>813</v>
      </c>
      <c r="G28" s="20" t="s">
        <v>811</v>
      </c>
      <c r="H28" s="20" t="s">
        <v>817</v>
      </c>
      <c r="I28" s="21" t="s">
        <v>852</v>
      </c>
    </row>
    <row r="29">
      <c r="A29" s="19" t="s">
        <v>839</v>
      </c>
      <c r="B29" s="1" t="s">
        <v>609</v>
      </c>
      <c r="C29" s="1" t="s">
        <v>610</v>
      </c>
      <c r="D29" s="8">
        <f t="shared" ref="D29:D31" si="2">+251967603162</f>
        <v>251967603162</v>
      </c>
      <c r="E29" s="1" t="s">
        <v>9</v>
      </c>
      <c r="F29" s="20" t="s">
        <v>813</v>
      </c>
      <c r="G29" s="20" t="s">
        <v>811</v>
      </c>
      <c r="H29" s="20" t="s">
        <v>817</v>
      </c>
      <c r="I29" s="21" t="s">
        <v>853</v>
      </c>
    </row>
    <row r="30">
      <c r="A30" s="19" t="s">
        <v>839</v>
      </c>
      <c r="B30" s="1" t="s">
        <v>611</v>
      </c>
      <c r="C30" s="1" t="s">
        <v>610</v>
      </c>
      <c r="D30" s="8">
        <f t="shared" si="2"/>
        <v>251967603162</v>
      </c>
      <c r="E30" s="1" t="s">
        <v>9</v>
      </c>
      <c r="F30" s="20" t="s">
        <v>813</v>
      </c>
      <c r="G30" s="20" t="s">
        <v>811</v>
      </c>
      <c r="H30" s="20" t="s">
        <v>817</v>
      </c>
      <c r="I30" s="21" t="s">
        <v>853</v>
      </c>
    </row>
    <row r="31">
      <c r="A31" s="19" t="s">
        <v>839</v>
      </c>
      <c r="B31" s="1" t="s">
        <v>612</v>
      </c>
      <c r="C31" s="1" t="s">
        <v>610</v>
      </c>
      <c r="D31" s="8">
        <f t="shared" si="2"/>
        <v>251967603162</v>
      </c>
      <c r="E31" s="1" t="s">
        <v>9</v>
      </c>
      <c r="F31" s="20" t="s">
        <v>813</v>
      </c>
      <c r="G31" s="20" t="s">
        <v>811</v>
      </c>
      <c r="H31" s="20" t="s">
        <v>817</v>
      </c>
      <c r="I31" s="21" t="s">
        <v>853</v>
      </c>
    </row>
    <row r="32">
      <c r="A32" s="19" t="s">
        <v>839</v>
      </c>
      <c r="B32" s="1" t="s">
        <v>618</v>
      </c>
      <c r="C32" s="1" t="s">
        <v>619</v>
      </c>
      <c r="D32" s="8">
        <f>+251975088797</f>
        <v>251975088797</v>
      </c>
      <c r="E32" s="1" t="s">
        <v>9</v>
      </c>
      <c r="F32" s="20" t="s">
        <v>813</v>
      </c>
      <c r="G32" s="20" t="s">
        <v>811</v>
      </c>
      <c r="H32" s="20" t="s">
        <v>817</v>
      </c>
      <c r="I32" s="21" t="s">
        <v>854</v>
      </c>
    </row>
    <row r="33">
      <c r="A33" s="19" t="s">
        <v>839</v>
      </c>
      <c r="B33" s="1" t="s">
        <v>620</v>
      </c>
      <c r="C33" s="1" t="s">
        <v>621</v>
      </c>
      <c r="D33" s="8">
        <f>+251985716340</f>
        <v>251985716340</v>
      </c>
      <c r="E33" s="1" t="s">
        <v>9</v>
      </c>
      <c r="F33" s="20" t="s">
        <v>813</v>
      </c>
      <c r="G33" s="20" t="s">
        <v>811</v>
      </c>
      <c r="H33" s="20" t="s">
        <v>817</v>
      </c>
      <c r="I33" s="21" t="s">
        <v>842</v>
      </c>
    </row>
    <row r="34">
      <c r="A34" s="19" t="s">
        <v>839</v>
      </c>
      <c r="B34" s="1" t="s">
        <v>626</v>
      </c>
      <c r="C34" s="1" t="s">
        <v>627</v>
      </c>
      <c r="D34" s="8">
        <f>+251993718666</f>
        <v>251993718666</v>
      </c>
      <c r="E34" s="1" t="s">
        <v>9</v>
      </c>
      <c r="F34" s="20" t="s">
        <v>813</v>
      </c>
      <c r="G34" s="20" t="s">
        <v>811</v>
      </c>
      <c r="H34" s="20" t="s">
        <v>817</v>
      </c>
      <c r="I34" s="21" t="s">
        <v>855</v>
      </c>
    </row>
    <row r="35">
      <c r="A35" s="19" t="s">
        <v>839</v>
      </c>
      <c r="B35" s="1" t="s">
        <v>490</v>
      </c>
      <c r="C35" s="1" t="s">
        <v>491</v>
      </c>
      <c r="D35" s="8">
        <f>+251910429336</f>
        <v>251910429336</v>
      </c>
      <c r="E35" s="1" t="s">
        <v>6</v>
      </c>
      <c r="F35" s="20" t="s">
        <v>813</v>
      </c>
      <c r="G35" s="20" t="s">
        <v>811</v>
      </c>
      <c r="H35" s="20" t="s">
        <v>817</v>
      </c>
      <c r="I35" s="21" t="s">
        <v>856</v>
      </c>
    </row>
    <row r="36">
      <c r="A36" s="19" t="s">
        <v>839</v>
      </c>
      <c r="B36" s="1" t="s">
        <v>498</v>
      </c>
      <c r="C36" s="1" t="s">
        <v>499</v>
      </c>
      <c r="D36" s="8">
        <f>+251911183306</f>
        <v>251911183306</v>
      </c>
      <c r="E36" s="1" t="s">
        <v>6</v>
      </c>
      <c r="F36" s="20" t="s">
        <v>813</v>
      </c>
      <c r="G36" s="20" t="s">
        <v>811</v>
      </c>
      <c r="H36" s="20" t="s">
        <v>817</v>
      </c>
      <c r="I36" s="21" t="s">
        <v>857</v>
      </c>
    </row>
    <row r="37">
      <c r="A37" s="19" t="s">
        <v>839</v>
      </c>
      <c r="B37" s="1" t="s">
        <v>516</v>
      </c>
      <c r="C37" s="1" t="s">
        <v>517</v>
      </c>
      <c r="D37" s="8">
        <f>+251912847186</f>
        <v>251912847186</v>
      </c>
      <c r="E37" s="1" t="s">
        <v>6</v>
      </c>
      <c r="F37" s="20" t="s">
        <v>813</v>
      </c>
      <c r="G37" s="20" t="s">
        <v>811</v>
      </c>
      <c r="H37" s="20" t="s">
        <v>817</v>
      </c>
      <c r="I37" s="21" t="s">
        <v>858</v>
      </c>
    </row>
    <row r="38">
      <c r="A38" s="19" t="s">
        <v>839</v>
      </c>
      <c r="B38" s="1" t="s">
        <v>521</v>
      </c>
      <c r="C38" s="1" t="s">
        <v>522</v>
      </c>
      <c r="D38" s="8">
        <f>+251914060795</f>
        <v>251914060795</v>
      </c>
      <c r="E38" s="1" t="s">
        <v>6</v>
      </c>
      <c r="F38" s="20" t="s">
        <v>813</v>
      </c>
      <c r="G38" s="20" t="s">
        <v>811</v>
      </c>
      <c r="H38" s="20" t="s">
        <v>817</v>
      </c>
      <c r="I38" s="21" t="s">
        <v>859</v>
      </c>
    </row>
    <row r="39">
      <c r="A39" s="19" t="s">
        <v>839</v>
      </c>
      <c r="B39" s="1" t="s">
        <v>523</v>
      </c>
      <c r="C39" s="1" t="s">
        <v>524</v>
      </c>
      <c r="D39" s="8">
        <f>+251914342401</f>
        <v>251914342401</v>
      </c>
      <c r="E39" s="1" t="s">
        <v>6</v>
      </c>
      <c r="F39" s="20" t="s">
        <v>813</v>
      </c>
      <c r="G39" s="20" t="s">
        <v>811</v>
      </c>
      <c r="H39" s="20" t="s">
        <v>817</v>
      </c>
      <c r="I39" s="21" t="s">
        <v>860</v>
      </c>
    </row>
    <row r="40">
      <c r="A40" s="19" t="s">
        <v>839</v>
      </c>
      <c r="B40" s="1" t="s">
        <v>525</v>
      </c>
      <c r="C40" s="1" t="s">
        <v>526</v>
      </c>
      <c r="D40" s="8">
        <f>+251914380357</f>
        <v>251914380357</v>
      </c>
      <c r="E40" s="1" t="s">
        <v>6</v>
      </c>
      <c r="F40" s="20" t="s">
        <v>813</v>
      </c>
      <c r="G40" s="20" t="s">
        <v>811</v>
      </c>
      <c r="H40" s="20" t="s">
        <v>817</v>
      </c>
      <c r="I40" s="21" t="s">
        <v>861</v>
      </c>
    </row>
    <row r="41">
      <c r="A41" s="19" t="s">
        <v>839</v>
      </c>
      <c r="B41" s="1" t="s">
        <v>531</v>
      </c>
      <c r="C41" s="1" t="s">
        <v>532</v>
      </c>
      <c r="D41" s="1">
        <v>2.51915881097E11</v>
      </c>
      <c r="E41" s="1" t="s">
        <v>6</v>
      </c>
      <c r="F41" s="20" t="s">
        <v>813</v>
      </c>
      <c r="G41" s="20" t="s">
        <v>811</v>
      </c>
      <c r="H41" s="20" t="s">
        <v>817</v>
      </c>
      <c r="I41" s="21" t="s">
        <v>862</v>
      </c>
    </row>
    <row r="42">
      <c r="A42" s="19" t="s">
        <v>839</v>
      </c>
      <c r="B42" s="1" t="s">
        <v>539</v>
      </c>
      <c r="C42" s="1" t="s">
        <v>540</v>
      </c>
      <c r="D42" s="8">
        <f>+251916870819</f>
        <v>251916870819</v>
      </c>
      <c r="E42" s="1" t="s">
        <v>6</v>
      </c>
      <c r="F42" s="20" t="s">
        <v>813</v>
      </c>
      <c r="G42" s="20" t="s">
        <v>811</v>
      </c>
      <c r="H42" s="20" t="s">
        <v>817</v>
      </c>
      <c r="I42" s="21" t="s">
        <v>863</v>
      </c>
    </row>
    <row r="43">
      <c r="A43" s="19" t="s">
        <v>839</v>
      </c>
      <c r="B43" s="1" t="s">
        <v>557</v>
      </c>
      <c r="C43" s="1" t="s">
        <v>558</v>
      </c>
      <c r="D43" s="8">
        <f>+251920199838</f>
        <v>251920199838</v>
      </c>
      <c r="E43" s="1" t="s">
        <v>6</v>
      </c>
      <c r="F43" s="20" t="s">
        <v>813</v>
      </c>
      <c r="G43" s="20" t="s">
        <v>811</v>
      </c>
      <c r="H43" s="20" t="s">
        <v>817</v>
      </c>
      <c r="I43" s="21" t="s">
        <v>864</v>
      </c>
    </row>
    <row r="44">
      <c r="A44" s="19" t="s">
        <v>839</v>
      </c>
      <c r="B44" s="1" t="s">
        <v>188</v>
      </c>
      <c r="C44" s="1" t="s">
        <v>561</v>
      </c>
      <c r="D44" s="8">
        <f>+251920782773</f>
        <v>251920782773</v>
      </c>
      <c r="E44" s="1" t="s">
        <v>6</v>
      </c>
      <c r="F44" s="20" t="s">
        <v>813</v>
      </c>
      <c r="G44" s="20" t="s">
        <v>811</v>
      </c>
      <c r="H44" s="20" t="s">
        <v>817</v>
      </c>
      <c r="I44" s="21" t="s">
        <v>865</v>
      </c>
    </row>
    <row r="45">
      <c r="A45" s="19" t="s">
        <v>839</v>
      </c>
      <c r="B45" s="1" t="s">
        <v>564</v>
      </c>
      <c r="C45" s="1" t="s">
        <v>565</v>
      </c>
      <c r="D45" s="8">
        <f>+251922131972</f>
        <v>251922131972</v>
      </c>
      <c r="E45" s="1" t="s">
        <v>6</v>
      </c>
      <c r="F45" s="20" t="s">
        <v>813</v>
      </c>
      <c r="G45" s="20" t="s">
        <v>811</v>
      </c>
      <c r="H45" s="20" t="s">
        <v>817</v>
      </c>
      <c r="I45" s="21" t="s">
        <v>866</v>
      </c>
    </row>
    <row r="46">
      <c r="A46" s="19" t="s">
        <v>839</v>
      </c>
      <c r="B46" s="1" t="s">
        <v>570</v>
      </c>
      <c r="C46" s="1" t="s">
        <v>571</v>
      </c>
      <c r="D46" s="8">
        <f>+251926798225</f>
        <v>251926798225</v>
      </c>
      <c r="E46" s="1" t="s">
        <v>6</v>
      </c>
      <c r="F46" s="20" t="s">
        <v>813</v>
      </c>
      <c r="G46" s="20" t="s">
        <v>811</v>
      </c>
      <c r="H46" s="20" t="s">
        <v>817</v>
      </c>
      <c r="I46" s="21" t="s">
        <v>859</v>
      </c>
    </row>
    <row r="47">
      <c r="A47" s="19" t="s">
        <v>839</v>
      </c>
      <c r="B47" s="1" t="s">
        <v>583</v>
      </c>
      <c r="C47" s="1" t="s">
        <v>584</v>
      </c>
      <c r="D47" s="8">
        <f>+251935860013</f>
        <v>251935860013</v>
      </c>
      <c r="E47" s="1" t="s">
        <v>6</v>
      </c>
      <c r="F47" s="20" t="s">
        <v>813</v>
      </c>
      <c r="G47" s="20" t="s">
        <v>811</v>
      </c>
      <c r="H47" s="20" t="s">
        <v>817</v>
      </c>
      <c r="I47" s="21" t="s">
        <v>852</v>
      </c>
    </row>
    <row r="48">
      <c r="A48" s="19" t="s">
        <v>839</v>
      </c>
      <c r="B48" s="1" t="s">
        <v>463</v>
      </c>
      <c r="C48" s="1" t="s">
        <v>464</v>
      </c>
      <c r="D48" s="1" t="s">
        <v>852</v>
      </c>
      <c r="E48" s="1" t="s">
        <v>6</v>
      </c>
      <c r="F48" s="20" t="s">
        <v>813</v>
      </c>
      <c r="G48" s="20" t="s">
        <v>811</v>
      </c>
      <c r="H48" s="20" t="s">
        <v>817</v>
      </c>
    </row>
    <row r="49">
      <c r="A49" s="19" t="s">
        <v>839</v>
      </c>
      <c r="B49" s="1" t="s">
        <v>439</v>
      </c>
      <c r="C49" s="1" t="s">
        <v>440</v>
      </c>
      <c r="D49" s="1">
        <v>9.78362454E8</v>
      </c>
      <c r="E49" s="1" t="s">
        <v>9</v>
      </c>
      <c r="F49" s="20" t="s">
        <v>813</v>
      </c>
      <c r="G49" s="20" t="s">
        <v>811</v>
      </c>
      <c r="H49" s="20" t="s">
        <v>812</v>
      </c>
    </row>
    <row r="50">
      <c r="A50" s="19" t="s">
        <v>839</v>
      </c>
      <c r="B50" s="1" t="s">
        <v>602</v>
      </c>
      <c r="C50" s="1" t="s">
        <v>603</v>
      </c>
      <c r="D50" s="8">
        <f>+251953767833</f>
        <v>251953767833</v>
      </c>
      <c r="E50" s="1" t="s">
        <v>9</v>
      </c>
      <c r="F50" s="20" t="s">
        <v>813</v>
      </c>
      <c r="G50" s="20" t="s">
        <v>811</v>
      </c>
      <c r="H50" s="20" t="s">
        <v>812</v>
      </c>
    </row>
    <row r="51">
      <c r="A51" s="19" t="s">
        <v>839</v>
      </c>
      <c r="B51" s="1" t="s">
        <v>482</v>
      </c>
      <c r="C51" s="1" t="s">
        <v>483</v>
      </c>
      <c r="D51" s="8">
        <f>+251900572178</f>
        <v>251900572178</v>
      </c>
      <c r="E51" s="1" t="s">
        <v>6</v>
      </c>
      <c r="F51" s="20" t="s">
        <v>813</v>
      </c>
      <c r="G51" s="20" t="s">
        <v>811</v>
      </c>
      <c r="H51" s="20" t="s">
        <v>812</v>
      </c>
      <c r="I51" s="21" t="s">
        <v>867</v>
      </c>
    </row>
    <row r="52">
      <c r="A52" s="19" t="s">
        <v>839</v>
      </c>
      <c r="B52" s="1" t="s">
        <v>486</v>
      </c>
      <c r="C52" s="1" t="s">
        <v>487</v>
      </c>
      <c r="D52" s="1">
        <v>2.51904463782E11</v>
      </c>
      <c r="E52" s="1" t="s">
        <v>6</v>
      </c>
      <c r="F52" s="20" t="s">
        <v>813</v>
      </c>
      <c r="G52" s="20" t="s">
        <v>811</v>
      </c>
      <c r="H52" s="20" t="s">
        <v>812</v>
      </c>
      <c r="I52" s="21" t="s">
        <v>867</v>
      </c>
    </row>
    <row r="53">
      <c r="A53" s="19" t="s">
        <v>839</v>
      </c>
      <c r="B53" s="1" t="s">
        <v>512</v>
      </c>
      <c r="C53" s="1" t="s">
        <v>513</v>
      </c>
      <c r="D53" s="8">
        <f>+251912062694</f>
        <v>251912062694</v>
      </c>
      <c r="E53" s="1" t="s">
        <v>6</v>
      </c>
      <c r="F53" s="20" t="s">
        <v>813</v>
      </c>
      <c r="G53" s="20" t="s">
        <v>811</v>
      </c>
      <c r="H53" s="20" t="s">
        <v>812</v>
      </c>
    </row>
    <row r="54">
      <c r="A54" s="19" t="s">
        <v>839</v>
      </c>
      <c r="B54" s="1" t="s">
        <v>494</v>
      </c>
      <c r="C54" s="1" t="s">
        <v>495</v>
      </c>
      <c r="D54" s="8">
        <f t="shared" ref="D54:D55" si="3">+251911104701</f>
        <v>251911104701</v>
      </c>
      <c r="E54" s="1" t="s">
        <v>9</v>
      </c>
      <c r="F54" s="20" t="s">
        <v>813</v>
      </c>
      <c r="G54" s="20" t="s">
        <v>835</v>
      </c>
      <c r="H54" s="20" t="s">
        <v>868</v>
      </c>
    </row>
    <row r="55">
      <c r="A55" s="19" t="s">
        <v>839</v>
      </c>
      <c r="B55" s="1" t="s">
        <v>496</v>
      </c>
      <c r="C55" s="1" t="s">
        <v>497</v>
      </c>
      <c r="D55" s="8">
        <f t="shared" si="3"/>
        <v>251911104701</v>
      </c>
      <c r="E55" s="1" t="s">
        <v>9</v>
      </c>
      <c r="F55" s="20" t="s">
        <v>813</v>
      </c>
      <c r="G55" s="20" t="s">
        <v>835</v>
      </c>
      <c r="H55" s="20" t="s">
        <v>868</v>
      </c>
    </row>
    <row r="56">
      <c r="A56" s="19" t="s">
        <v>839</v>
      </c>
      <c r="B56" s="1" t="s">
        <v>504</v>
      </c>
      <c r="C56" s="1" t="s">
        <v>505</v>
      </c>
      <c r="D56" s="8">
        <f>+251911545469</f>
        <v>251911545469</v>
      </c>
      <c r="E56" s="1" t="s">
        <v>9</v>
      </c>
      <c r="F56" s="20" t="s">
        <v>813</v>
      </c>
      <c r="G56" s="20" t="s">
        <v>835</v>
      </c>
      <c r="H56" s="20" t="s">
        <v>868</v>
      </c>
    </row>
    <row r="57">
      <c r="A57" s="19" t="s">
        <v>839</v>
      </c>
      <c r="B57" s="1" t="s">
        <v>553</v>
      </c>
      <c r="C57" s="1" t="s">
        <v>554</v>
      </c>
      <c r="D57" s="1">
        <v>2.5191874452E11</v>
      </c>
      <c r="E57" s="1" t="s">
        <v>9</v>
      </c>
      <c r="F57" s="20" t="s">
        <v>813</v>
      </c>
      <c r="G57" s="20" t="s">
        <v>835</v>
      </c>
      <c r="H57" s="20" t="s">
        <v>869</v>
      </c>
    </row>
    <row r="58">
      <c r="A58" s="19" t="s">
        <v>839</v>
      </c>
      <c r="B58" s="1" t="s">
        <v>506</v>
      </c>
      <c r="C58" s="1" t="s">
        <v>507</v>
      </c>
      <c r="D58" s="8">
        <f>+251911741567</f>
        <v>251911741567</v>
      </c>
      <c r="E58" s="1" t="s">
        <v>6</v>
      </c>
      <c r="F58" s="20" t="s">
        <v>813</v>
      </c>
      <c r="G58" s="20" t="s">
        <v>835</v>
      </c>
      <c r="H58" s="20" t="s">
        <v>869</v>
      </c>
    </row>
    <row r="59">
      <c r="A59" s="19" t="s">
        <v>839</v>
      </c>
      <c r="B59" s="1" t="s">
        <v>469</v>
      </c>
      <c r="C59" s="1" t="s">
        <v>470</v>
      </c>
      <c r="D59" s="1">
        <v>9.94349744E8</v>
      </c>
      <c r="E59" s="1" t="s">
        <v>9</v>
      </c>
      <c r="F59" s="20" t="s">
        <v>813</v>
      </c>
      <c r="G59" s="20" t="s">
        <v>811</v>
      </c>
      <c r="H59" s="20" t="s">
        <v>817</v>
      </c>
      <c r="I59" s="21" t="s">
        <v>870</v>
      </c>
    </row>
    <row r="60">
      <c r="A60" s="19" t="s">
        <v>839</v>
      </c>
      <c r="B60" s="1" t="s">
        <v>541</v>
      </c>
      <c r="C60" s="1" t="s">
        <v>542</v>
      </c>
      <c r="D60" s="8">
        <f>+251917497198</f>
        <v>251917497198</v>
      </c>
      <c r="E60" s="1" t="s">
        <v>9</v>
      </c>
      <c r="F60" s="20" t="s">
        <v>813</v>
      </c>
      <c r="G60" s="20" t="s">
        <v>811</v>
      </c>
      <c r="H60" s="20" t="s">
        <v>817</v>
      </c>
      <c r="I60" s="21" t="s">
        <v>871</v>
      </c>
    </row>
    <row r="61">
      <c r="A61" s="19" t="s">
        <v>839</v>
      </c>
      <c r="B61" s="1" t="s">
        <v>432</v>
      </c>
      <c r="C61" s="1" t="s">
        <v>433</v>
      </c>
      <c r="D61" s="1">
        <v>9.75693717E8</v>
      </c>
      <c r="E61" s="1" t="s">
        <v>9</v>
      </c>
      <c r="F61" s="20" t="s">
        <v>837</v>
      </c>
      <c r="G61" s="11"/>
      <c r="H61" s="11"/>
    </row>
    <row r="62">
      <c r="A62" s="19" t="s">
        <v>839</v>
      </c>
      <c r="B62" s="1" t="s">
        <v>484</v>
      </c>
      <c r="C62" s="1" t="s">
        <v>485</v>
      </c>
      <c r="D62" s="8">
        <f>+251903003968</f>
        <v>251903003968</v>
      </c>
      <c r="E62" s="1" t="s">
        <v>9</v>
      </c>
      <c r="F62" s="20" t="s">
        <v>837</v>
      </c>
      <c r="G62" s="11"/>
      <c r="H62" s="11"/>
    </row>
    <row r="63">
      <c r="A63" s="19" t="s">
        <v>839</v>
      </c>
      <c r="B63" s="1" t="s">
        <v>555</v>
      </c>
      <c r="C63" s="1" t="s">
        <v>556</v>
      </c>
      <c r="D63" s="8">
        <f>+251920023175</f>
        <v>251920023175</v>
      </c>
      <c r="E63" s="1" t="s">
        <v>9</v>
      </c>
      <c r="F63" s="20" t="s">
        <v>837</v>
      </c>
      <c r="G63" s="11"/>
      <c r="H63" s="11"/>
    </row>
    <row r="64">
      <c r="A64" s="19" t="s">
        <v>839</v>
      </c>
      <c r="B64" s="1" t="s">
        <v>587</v>
      </c>
      <c r="C64" s="1" t="s">
        <v>588</v>
      </c>
      <c r="D64" s="8">
        <f>+251939338339</f>
        <v>251939338339</v>
      </c>
      <c r="E64" s="1" t="s">
        <v>9</v>
      </c>
      <c r="F64" s="20" t="s">
        <v>837</v>
      </c>
      <c r="G64" s="11"/>
      <c r="H64" s="11"/>
    </row>
    <row r="65">
      <c r="A65" s="19" t="s">
        <v>839</v>
      </c>
      <c r="B65" s="1" t="s">
        <v>435</v>
      </c>
      <c r="C65" s="1" t="s">
        <v>436</v>
      </c>
      <c r="D65" s="1">
        <v>9.75865779E8</v>
      </c>
      <c r="E65" s="1" t="s">
        <v>6</v>
      </c>
      <c r="F65" s="20" t="s">
        <v>837</v>
      </c>
      <c r="G65" s="11"/>
      <c r="H65" s="11"/>
    </row>
    <row r="66">
      <c r="A66" s="19" t="s">
        <v>839</v>
      </c>
      <c r="B66" s="1" t="s">
        <v>447</v>
      </c>
      <c r="C66" s="1" t="s">
        <v>448</v>
      </c>
      <c r="D66" s="1">
        <v>9.82868699E8</v>
      </c>
      <c r="E66" s="1" t="s">
        <v>6</v>
      </c>
      <c r="F66" s="20" t="s">
        <v>837</v>
      </c>
      <c r="G66" s="11"/>
      <c r="H66" s="11"/>
    </row>
    <row r="67">
      <c r="A67" s="19" t="s">
        <v>839</v>
      </c>
      <c r="B67" s="1" t="s">
        <v>449</v>
      </c>
      <c r="C67" s="1" t="s">
        <v>450</v>
      </c>
      <c r="D67" s="1">
        <v>9.83202494E8</v>
      </c>
      <c r="E67" s="1" t="s">
        <v>6</v>
      </c>
      <c r="F67" s="20" t="s">
        <v>837</v>
      </c>
      <c r="G67" s="11"/>
      <c r="H67" s="11"/>
    </row>
    <row r="68">
      <c r="A68" s="19" t="s">
        <v>839</v>
      </c>
      <c r="B68" s="1" t="s">
        <v>457</v>
      </c>
      <c r="C68" s="1" t="s">
        <v>458</v>
      </c>
      <c r="D68" s="1">
        <v>9.85886549E8</v>
      </c>
      <c r="E68" s="1" t="s">
        <v>6</v>
      </c>
      <c r="F68" s="20" t="s">
        <v>837</v>
      </c>
      <c r="G68" s="11"/>
      <c r="H68" s="11"/>
    </row>
    <row r="69">
      <c r="A69" s="19" t="s">
        <v>839</v>
      </c>
      <c r="B69" s="1" t="s">
        <v>467</v>
      </c>
      <c r="C69" s="1" t="s">
        <v>468</v>
      </c>
      <c r="D69" s="1">
        <v>9.93692323E8</v>
      </c>
      <c r="E69" s="1" t="s">
        <v>6</v>
      </c>
      <c r="F69" s="20" t="s">
        <v>837</v>
      </c>
      <c r="G69" s="11"/>
      <c r="H69" s="11"/>
    </row>
    <row r="70">
      <c r="A70" s="19" t="s">
        <v>839</v>
      </c>
      <c r="B70" s="1" t="s">
        <v>488</v>
      </c>
      <c r="C70" s="1" t="s">
        <v>489</v>
      </c>
      <c r="D70" s="8">
        <f>+251905037823</f>
        <v>251905037823</v>
      </c>
      <c r="E70" s="1" t="s">
        <v>6</v>
      </c>
      <c r="F70" s="20" t="s">
        <v>837</v>
      </c>
      <c r="G70" s="11"/>
      <c r="H70" s="11"/>
    </row>
    <row r="71">
      <c r="A71" s="19" t="s">
        <v>839</v>
      </c>
      <c r="B71" s="1" t="s">
        <v>508</v>
      </c>
      <c r="C71" s="1" t="s">
        <v>509</v>
      </c>
      <c r="D71" s="8">
        <f>+251911803061</f>
        <v>251911803061</v>
      </c>
      <c r="E71" s="1" t="s">
        <v>6</v>
      </c>
      <c r="F71" s="20" t="s">
        <v>837</v>
      </c>
      <c r="G71" s="11"/>
      <c r="H71" s="11"/>
    </row>
    <row r="72">
      <c r="A72" s="19" t="s">
        <v>839</v>
      </c>
      <c r="B72" s="1" t="s">
        <v>116</v>
      </c>
      <c r="C72" s="1" t="s">
        <v>117</v>
      </c>
      <c r="D72" s="8">
        <f>+251915128604</f>
        <v>251915128604</v>
      </c>
      <c r="E72" s="1" t="s">
        <v>6</v>
      </c>
      <c r="F72" s="20" t="s">
        <v>837</v>
      </c>
      <c r="G72" s="11"/>
      <c r="H72" s="11"/>
    </row>
    <row r="73">
      <c r="A73" s="19" t="s">
        <v>839</v>
      </c>
      <c r="B73" s="1" t="s">
        <v>566</v>
      </c>
      <c r="C73" s="1" t="s">
        <v>567</v>
      </c>
      <c r="D73" s="8">
        <f>+251923515458</f>
        <v>251923515458</v>
      </c>
      <c r="E73" s="1" t="s">
        <v>6</v>
      </c>
      <c r="F73" s="20" t="s">
        <v>837</v>
      </c>
      <c r="G73" s="11"/>
      <c r="H73" s="11"/>
    </row>
    <row r="74">
      <c r="A74" s="19" t="s">
        <v>839</v>
      </c>
      <c r="B74" s="1" t="s">
        <v>574</v>
      </c>
      <c r="C74" s="1" t="s">
        <v>575</v>
      </c>
      <c r="D74" s="8">
        <f>+251931590256</f>
        <v>251931590256</v>
      </c>
      <c r="E74" s="1" t="s">
        <v>6</v>
      </c>
      <c r="F74" s="20" t="s">
        <v>837</v>
      </c>
      <c r="G74" s="11"/>
      <c r="H74" s="11"/>
    </row>
    <row r="75">
      <c r="A75" s="19" t="s">
        <v>839</v>
      </c>
      <c r="B75" s="1" t="s">
        <v>579</v>
      </c>
      <c r="C75" s="1" t="s">
        <v>580</v>
      </c>
      <c r="D75" s="1">
        <v>2.51934039076E11</v>
      </c>
      <c r="E75" s="1" t="s">
        <v>6</v>
      </c>
      <c r="F75" s="20" t="s">
        <v>837</v>
      </c>
      <c r="G75" s="11"/>
      <c r="H75" s="11"/>
    </row>
    <row r="76">
      <c r="A76" s="19" t="s">
        <v>839</v>
      </c>
      <c r="B76" s="1" t="s">
        <v>500</v>
      </c>
      <c r="C76" s="1" t="s">
        <v>501</v>
      </c>
      <c r="D76" s="8">
        <f>+251911218226</f>
        <v>251911218226</v>
      </c>
      <c r="E76" s="1" t="s">
        <v>9</v>
      </c>
      <c r="F76" s="20" t="s">
        <v>837</v>
      </c>
      <c r="G76" s="11"/>
      <c r="H76" s="11"/>
    </row>
    <row r="77">
      <c r="A77" s="19" t="s">
        <v>839</v>
      </c>
      <c r="B77" s="1" t="s">
        <v>475</v>
      </c>
      <c r="C77" s="1" t="s">
        <v>476</v>
      </c>
      <c r="D77" s="8">
        <f>+251706003495</f>
        <v>251706003495</v>
      </c>
      <c r="E77" s="1" t="s">
        <v>9</v>
      </c>
      <c r="F77" s="20" t="s">
        <v>872</v>
      </c>
      <c r="G77" s="11"/>
      <c r="H77" s="11"/>
    </row>
    <row r="78">
      <c r="A78" s="19" t="s">
        <v>839</v>
      </c>
      <c r="B78" s="1" t="s">
        <v>479</v>
      </c>
      <c r="C78" s="1" t="s">
        <v>480</v>
      </c>
      <c r="D78" s="8">
        <f t="shared" ref="D78:D79" si="4">+251715128063</f>
        <v>251715128063</v>
      </c>
      <c r="E78" s="1" t="s">
        <v>9</v>
      </c>
      <c r="F78" s="20" t="s">
        <v>872</v>
      </c>
      <c r="G78" s="11"/>
      <c r="H78" s="11"/>
    </row>
    <row r="79">
      <c r="A79" s="19" t="s">
        <v>839</v>
      </c>
      <c r="B79" s="1" t="s">
        <v>481</v>
      </c>
      <c r="C79" s="1" t="s">
        <v>480</v>
      </c>
      <c r="D79" s="8">
        <f t="shared" si="4"/>
        <v>251715128063</v>
      </c>
      <c r="E79" s="1" t="s">
        <v>9</v>
      </c>
      <c r="F79" s="20" t="s">
        <v>872</v>
      </c>
      <c r="G79" s="11"/>
      <c r="H79" s="11"/>
    </row>
    <row r="80">
      <c r="A80" s="19" t="s">
        <v>839</v>
      </c>
      <c r="B80" s="1" t="s">
        <v>477</v>
      </c>
      <c r="C80" s="1" t="s">
        <v>478</v>
      </c>
      <c r="D80" s="8">
        <f>+251711594776</f>
        <v>251711594776</v>
      </c>
      <c r="E80" s="1" t="s">
        <v>6</v>
      </c>
      <c r="F80" s="20" t="s">
        <v>872</v>
      </c>
      <c r="G80" s="11"/>
      <c r="H80" s="11"/>
    </row>
    <row r="81">
      <c r="A81" s="19" t="s">
        <v>839</v>
      </c>
      <c r="B81" s="1" t="s">
        <v>437</v>
      </c>
      <c r="C81" s="1" t="s">
        <v>438</v>
      </c>
      <c r="D81" s="1">
        <v>9.76980287E8</v>
      </c>
      <c r="E81" s="1" t="s">
        <v>9</v>
      </c>
      <c r="F81" s="20" t="s">
        <v>838</v>
      </c>
      <c r="G81" s="11"/>
      <c r="H81" s="11"/>
    </row>
    <row r="82">
      <c r="A82" s="19" t="s">
        <v>839</v>
      </c>
      <c r="B82" s="1" t="s">
        <v>441</v>
      </c>
      <c r="C82" s="1" t="s">
        <v>442</v>
      </c>
      <c r="D82" s="1">
        <v>9.78595942E8</v>
      </c>
      <c r="E82" s="1" t="s">
        <v>9</v>
      </c>
      <c r="F82" s="20" t="s">
        <v>838</v>
      </c>
      <c r="G82" s="11"/>
      <c r="H82" s="11"/>
    </row>
    <row r="83">
      <c r="A83" s="19" t="s">
        <v>839</v>
      </c>
      <c r="B83" s="1" t="s">
        <v>451</v>
      </c>
      <c r="C83" s="1" t="s">
        <v>452</v>
      </c>
      <c r="D83" s="1">
        <v>9.83374086E8</v>
      </c>
      <c r="E83" s="1" t="s">
        <v>9</v>
      </c>
      <c r="F83" s="20" t="s">
        <v>838</v>
      </c>
      <c r="G83" s="11"/>
      <c r="H83" s="11"/>
    </row>
    <row r="84">
      <c r="A84" s="19" t="s">
        <v>839</v>
      </c>
      <c r="B84" s="1" t="s">
        <v>453</v>
      </c>
      <c r="C84" s="1" t="s">
        <v>454</v>
      </c>
      <c r="D84" s="1">
        <v>9.83659374E8</v>
      </c>
      <c r="E84" s="1" t="s">
        <v>9</v>
      </c>
      <c r="F84" s="20" t="s">
        <v>838</v>
      </c>
      <c r="G84" s="11"/>
      <c r="H84" s="11"/>
    </row>
    <row r="85">
      <c r="A85" s="19" t="s">
        <v>839</v>
      </c>
      <c r="B85" s="1" t="s">
        <v>519</v>
      </c>
      <c r="C85" s="1" t="s">
        <v>520</v>
      </c>
      <c r="D85" s="8">
        <f>+251913626228</f>
        <v>251913626228</v>
      </c>
      <c r="E85" s="1" t="s">
        <v>9</v>
      </c>
      <c r="F85" s="20" t="s">
        <v>838</v>
      </c>
      <c r="G85" s="11"/>
      <c r="H85" s="11"/>
    </row>
    <row r="86">
      <c r="A86" s="19" t="s">
        <v>839</v>
      </c>
      <c r="B86" s="5" t="s">
        <v>529</v>
      </c>
      <c r="C86" s="1" t="s">
        <v>530</v>
      </c>
      <c r="D86" s="8">
        <f>+251914980501</f>
        <v>251914980501</v>
      </c>
      <c r="E86" s="1" t="s">
        <v>9</v>
      </c>
      <c r="F86" s="20" t="s">
        <v>838</v>
      </c>
      <c r="G86" s="11"/>
      <c r="H86" s="11"/>
    </row>
    <row r="87">
      <c r="A87" s="19" t="s">
        <v>839</v>
      </c>
      <c r="B87" s="1" t="s">
        <v>589</v>
      </c>
      <c r="C87" s="1" t="s">
        <v>295</v>
      </c>
      <c r="D87" s="8">
        <f>+251939531507</f>
        <v>251939531507</v>
      </c>
      <c r="E87" s="1" t="s">
        <v>9</v>
      </c>
      <c r="F87" s="20" t="s">
        <v>838</v>
      </c>
      <c r="G87" s="11"/>
      <c r="H87" s="11"/>
    </row>
    <row r="88">
      <c r="A88" s="19" t="s">
        <v>839</v>
      </c>
      <c r="B88" s="1" t="s">
        <v>596</v>
      </c>
      <c r="C88" s="1" t="s">
        <v>597</v>
      </c>
      <c r="D88" s="8">
        <f>+251947151741</f>
        <v>251947151741</v>
      </c>
      <c r="E88" s="1" t="s">
        <v>9</v>
      </c>
      <c r="F88" s="20" t="s">
        <v>838</v>
      </c>
      <c r="G88" s="11"/>
      <c r="H88" s="11"/>
    </row>
    <row r="89">
      <c r="A89" s="19" t="s">
        <v>839</v>
      </c>
      <c r="B89" s="1" t="s">
        <v>443</v>
      </c>
      <c r="C89" s="1" t="s">
        <v>444</v>
      </c>
      <c r="D89" s="1">
        <v>9.79097297E8</v>
      </c>
      <c r="E89" s="1" t="s">
        <v>6</v>
      </c>
      <c r="F89" s="20" t="s">
        <v>838</v>
      </c>
      <c r="G89" s="11"/>
      <c r="H89" s="11"/>
    </row>
    <row r="90">
      <c r="A90" s="19" t="s">
        <v>839</v>
      </c>
      <c r="B90" s="1" t="s">
        <v>510</v>
      </c>
      <c r="C90" s="1" t="s">
        <v>511</v>
      </c>
      <c r="D90" s="8">
        <f>+251912037139</f>
        <v>251912037139</v>
      </c>
      <c r="E90" s="1" t="s">
        <v>6</v>
      </c>
      <c r="F90" s="20" t="s">
        <v>838</v>
      </c>
      <c r="G90" s="11"/>
      <c r="H90" s="11"/>
    </row>
    <row r="91">
      <c r="A91" s="19" t="s">
        <v>839</v>
      </c>
      <c r="B91" s="1" t="s">
        <v>537</v>
      </c>
      <c r="C91" s="1" t="s">
        <v>538</v>
      </c>
      <c r="D91" s="1">
        <v>2.51916867642E11</v>
      </c>
      <c r="E91" s="1" t="s">
        <v>6</v>
      </c>
      <c r="F91" s="20" t="s">
        <v>838</v>
      </c>
      <c r="G91" s="11"/>
      <c r="H91" s="11"/>
    </row>
    <row r="92">
      <c r="A92" s="19" t="s">
        <v>839</v>
      </c>
      <c r="B92" s="1" t="s">
        <v>543</v>
      </c>
      <c r="C92" s="1" t="s">
        <v>544</v>
      </c>
      <c r="D92" s="1">
        <v>2.51918250199E11</v>
      </c>
      <c r="E92" s="1" t="s">
        <v>6</v>
      </c>
      <c r="F92" s="20" t="s">
        <v>838</v>
      </c>
      <c r="G92" s="11"/>
      <c r="H92" s="11"/>
    </row>
    <row r="93">
      <c r="A93" s="19" t="s">
        <v>839</v>
      </c>
      <c r="B93" s="1" t="s">
        <v>549</v>
      </c>
      <c r="C93" s="1" t="s">
        <v>550</v>
      </c>
      <c r="D93" s="8">
        <f t="shared" ref="D93:D94" si="5">+251918719497</f>
        <v>251918719497</v>
      </c>
      <c r="E93" s="1" t="s">
        <v>6</v>
      </c>
      <c r="F93" s="20" t="s">
        <v>838</v>
      </c>
      <c r="G93" s="11"/>
      <c r="H93" s="11"/>
    </row>
    <row r="94">
      <c r="A94" s="19" t="s">
        <v>839</v>
      </c>
      <c r="B94" s="1" t="s">
        <v>551</v>
      </c>
      <c r="C94" s="1" t="s">
        <v>552</v>
      </c>
      <c r="D94" s="8">
        <f t="shared" si="5"/>
        <v>251918719497</v>
      </c>
      <c r="E94" s="1" t="s">
        <v>6</v>
      </c>
      <c r="F94" s="20" t="s">
        <v>838</v>
      </c>
      <c r="G94" s="11"/>
      <c r="H94" s="11"/>
    </row>
    <row r="95">
      <c r="A95" s="19" t="s">
        <v>839</v>
      </c>
      <c r="B95" s="1" t="s">
        <v>562</v>
      </c>
      <c r="C95" s="1" t="s">
        <v>563</v>
      </c>
      <c r="D95" s="8">
        <f>+251921182075</f>
        <v>251921182075</v>
      </c>
      <c r="E95" s="1" t="s">
        <v>6</v>
      </c>
      <c r="F95" s="20" t="s">
        <v>838</v>
      </c>
      <c r="G95" s="11"/>
      <c r="H95" s="11"/>
    </row>
    <row r="96">
      <c r="A96" s="19" t="s">
        <v>839</v>
      </c>
      <c r="B96" s="1" t="s">
        <v>267</v>
      </c>
      <c r="C96" s="1" t="s">
        <v>268</v>
      </c>
      <c r="D96" s="8">
        <f>+251931894575</f>
        <v>251931894575</v>
      </c>
      <c r="E96" s="1" t="s">
        <v>6</v>
      </c>
      <c r="F96" s="20" t="s">
        <v>838</v>
      </c>
      <c r="G96" s="11"/>
      <c r="H96" s="11"/>
    </row>
    <row r="123">
      <c r="A123" s="11"/>
    </row>
    <row r="124">
      <c r="A124" s="11"/>
      <c r="B124" s="1"/>
      <c r="C124" s="1"/>
      <c r="D124" s="1"/>
      <c r="E124" s="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  <row r="998">
      <c r="A998" s="11"/>
    </row>
    <row r="999">
      <c r="A999" s="11"/>
    </row>
    <row r="1000">
      <c r="A1000" s="11"/>
    </row>
  </sheetData>
  <dataValidations>
    <dataValidation type="list" allowBlank="1" showErrorMessage="1" sqref="G2:G96">
      <formula1>"YES,NO,MAYBE"</formula1>
    </dataValidation>
    <dataValidation type="list" allowBlank="1" showErrorMessage="1" sqref="H2:H96">
      <formula1>"Out of Addis ,They will come,Not coming,Not in Addis,Unabel to talk,Not sure"</formula1>
    </dataValidation>
    <dataValidation type="list" allowBlank="1" showErrorMessage="1" sqref="F2:F96">
      <formula1>"Reached,Not Picking Up,Phone Not Working,Wrong Person,Not Yet Called,Wrong Number,Busy "</formula1>
    </dataValidation>
    <dataValidation type="list" allowBlank="1" showErrorMessage="1" sqref="A2:A96">
      <formula1>"Abeba,Dagmawi,Eyerusalem,Girumsew,Tsedenia,Yosef,Nati,Haemnen"</formula1>
    </dataValidation>
  </dataValidations>
  <hyperlinks>
    <hyperlink r:id="rId1" ref="B27"/>
    <hyperlink r:id="rId2" ref="B86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8.75"/>
    <col customWidth="1" min="3" max="3" width="29.5"/>
    <col customWidth="1" min="4" max="4" width="10.0"/>
    <col customWidth="1" min="5" max="5" width="36.25"/>
    <col customWidth="1" min="6" max="6" width="14.5"/>
  </cols>
  <sheetData>
    <row r="1">
      <c r="A1" s="13" t="s">
        <v>801</v>
      </c>
      <c r="B1" s="14" t="s">
        <v>802</v>
      </c>
      <c r="C1" s="15" t="s">
        <v>803</v>
      </c>
      <c r="D1" s="16" t="s">
        <v>804</v>
      </c>
      <c r="E1" s="17" t="s">
        <v>805</v>
      </c>
      <c r="F1" s="18" t="s">
        <v>806</v>
      </c>
      <c r="G1" s="15" t="s">
        <v>807</v>
      </c>
      <c r="H1" s="14" t="s">
        <v>808</v>
      </c>
      <c r="I1" s="15" t="s">
        <v>923</v>
      </c>
      <c r="J1" s="14"/>
      <c r="M1" s="14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>
      <c r="A2" s="19" t="s">
        <v>873</v>
      </c>
      <c r="B2" s="1" t="s">
        <v>30</v>
      </c>
      <c r="C2" s="1" t="s">
        <v>31</v>
      </c>
      <c r="D2" s="1">
        <v>9.04944174E8</v>
      </c>
      <c r="E2" s="1" t="s">
        <v>9</v>
      </c>
      <c r="F2" s="20" t="s">
        <v>813</v>
      </c>
      <c r="G2" s="20" t="s">
        <v>814</v>
      </c>
      <c r="H2" s="20" t="s">
        <v>815</v>
      </c>
      <c r="J2" s="7"/>
    </row>
    <row r="3">
      <c r="A3" s="19" t="s">
        <v>873</v>
      </c>
      <c r="B3" s="1" t="s">
        <v>71</v>
      </c>
      <c r="C3" s="1" t="s">
        <v>72</v>
      </c>
      <c r="D3" s="1">
        <v>9.11543383E8</v>
      </c>
      <c r="E3" s="1" t="s">
        <v>9</v>
      </c>
      <c r="F3" s="20" t="s">
        <v>813</v>
      </c>
      <c r="G3" s="20" t="s">
        <v>814</v>
      </c>
      <c r="H3" s="20" t="s">
        <v>815</v>
      </c>
      <c r="J3" s="7"/>
    </row>
    <row r="4">
      <c r="A4" s="19" t="s">
        <v>873</v>
      </c>
      <c r="B4" s="1" t="s">
        <v>104</v>
      </c>
      <c r="C4" s="1" t="s">
        <v>105</v>
      </c>
      <c r="D4" s="1">
        <v>9.13835065E8</v>
      </c>
      <c r="E4" s="1" t="s">
        <v>9</v>
      </c>
      <c r="F4" s="20" t="s">
        <v>813</v>
      </c>
      <c r="G4" s="20" t="s">
        <v>814</v>
      </c>
      <c r="H4" s="20" t="s">
        <v>815</v>
      </c>
      <c r="J4" s="7"/>
    </row>
    <row r="5">
      <c r="A5" s="19" t="s">
        <v>873</v>
      </c>
      <c r="B5" s="1" t="s">
        <v>112</v>
      </c>
      <c r="C5" s="1" t="s">
        <v>113</v>
      </c>
      <c r="D5" s="1">
        <v>9.15037321E8</v>
      </c>
      <c r="E5" s="1" t="s">
        <v>9</v>
      </c>
      <c r="F5" s="20" t="s">
        <v>813</v>
      </c>
      <c r="G5" s="20" t="s">
        <v>814</v>
      </c>
      <c r="H5" s="20" t="s">
        <v>815</v>
      </c>
      <c r="J5" s="7"/>
    </row>
    <row r="6">
      <c r="A6" s="19" t="s">
        <v>873</v>
      </c>
      <c r="B6" s="11" t="s">
        <v>273</v>
      </c>
      <c r="C6" s="11" t="s">
        <v>274</v>
      </c>
      <c r="D6" s="12">
        <v>9.333352E8</v>
      </c>
      <c r="E6" s="11" t="s">
        <v>9</v>
      </c>
      <c r="F6" s="20" t="s">
        <v>813</v>
      </c>
      <c r="G6" s="20" t="s">
        <v>814</v>
      </c>
      <c r="H6" s="20" t="s">
        <v>815</v>
      </c>
      <c r="I6" s="11"/>
      <c r="J6" s="7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9" t="s">
        <v>873</v>
      </c>
      <c r="B7" s="1" t="s">
        <v>130</v>
      </c>
      <c r="C7" s="1" t="s">
        <v>131</v>
      </c>
      <c r="D7" s="1">
        <v>9.1692752E8</v>
      </c>
      <c r="E7" s="1" t="s">
        <v>9</v>
      </c>
      <c r="F7" s="20" t="s">
        <v>813</v>
      </c>
      <c r="G7" s="20" t="s">
        <v>814</v>
      </c>
      <c r="H7" s="20" t="s">
        <v>815</v>
      </c>
      <c r="J7" s="7"/>
    </row>
    <row r="8">
      <c r="A8" s="19" t="s">
        <v>873</v>
      </c>
      <c r="B8" s="1" t="s">
        <v>34</v>
      </c>
      <c r="C8" s="1" t="s">
        <v>35</v>
      </c>
      <c r="D8" s="1">
        <v>9.06644572E8</v>
      </c>
      <c r="E8" s="1" t="s">
        <v>9</v>
      </c>
      <c r="F8" s="20" t="s">
        <v>813</v>
      </c>
      <c r="G8" s="20" t="s">
        <v>814</v>
      </c>
      <c r="H8" s="20" t="s">
        <v>815</v>
      </c>
    </row>
    <row r="9">
      <c r="A9" s="19" t="s">
        <v>873</v>
      </c>
      <c r="B9" s="1" t="s">
        <v>157</v>
      </c>
      <c r="C9" s="1" t="s">
        <v>158</v>
      </c>
      <c r="D9" s="1">
        <v>9.19230295E8</v>
      </c>
      <c r="E9" s="1" t="s">
        <v>9</v>
      </c>
      <c r="F9" s="20" t="s">
        <v>813</v>
      </c>
      <c r="G9" s="20" t="s">
        <v>814</v>
      </c>
      <c r="H9" s="20" t="s">
        <v>815</v>
      </c>
    </row>
    <row r="10">
      <c r="A10" s="19" t="s">
        <v>873</v>
      </c>
      <c r="B10" s="1" t="s">
        <v>186</v>
      </c>
      <c r="C10" s="1" t="s">
        <v>187</v>
      </c>
      <c r="D10" s="1">
        <v>9.20454959E8</v>
      </c>
      <c r="E10" s="1" t="s">
        <v>9</v>
      </c>
      <c r="F10" s="20" t="s">
        <v>813</v>
      </c>
      <c r="G10" s="20" t="s">
        <v>814</v>
      </c>
      <c r="H10" s="20" t="s">
        <v>815</v>
      </c>
      <c r="I10" s="21" t="s">
        <v>874</v>
      </c>
    </row>
    <row r="11">
      <c r="A11" s="19" t="s">
        <v>873</v>
      </c>
      <c r="B11" s="11" t="s">
        <v>656</v>
      </c>
      <c r="C11" s="11" t="s">
        <v>657</v>
      </c>
      <c r="D11" s="12">
        <v>9.12827191E8</v>
      </c>
      <c r="E11" s="11" t="s">
        <v>9</v>
      </c>
      <c r="F11" s="20" t="s">
        <v>813</v>
      </c>
      <c r="G11" s="20" t="s">
        <v>814</v>
      </c>
      <c r="H11" s="20" t="s">
        <v>815</v>
      </c>
      <c r="I11" s="20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9" t="s">
        <v>873</v>
      </c>
      <c r="B12" s="11" t="s">
        <v>714</v>
      </c>
      <c r="C12" s="11" t="s">
        <v>715</v>
      </c>
      <c r="D12" s="12">
        <v>9.55922355E8</v>
      </c>
      <c r="E12" s="11" t="s">
        <v>9</v>
      </c>
      <c r="F12" s="20" t="s">
        <v>813</v>
      </c>
      <c r="G12" s="20" t="s">
        <v>814</v>
      </c>
      <c r="H12" s="20" t="s">
        <v>815</v>
      </c>
      <c r="I12" s="20" t="s">
        <v>841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9" t="s">
        <v>873</v>
      </c>
      <c r="B13" s="11" t="s">
        <v>722</v>
      </c>
      <c r="C13" s="11" t="s">
        <v>723</v>
      </c>
      <c r="D13" s="12">
        <v>9.61549625E8</v>
      </c>
      <c r="E13" s="11" t="s">
        <v>9</v>
      </c>
      <c r="F13" s="20" t="s">
        <v>813</v>
      </c>
      <c r="G13" s="20" t="s">
        <v>814</v>
      </c>
      <c r="H13" s="20" t="s">
        <v>815</v>
      </c>
      <c r="I13" s="20" t="s">
        <v>841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9" t="s">
        <v>873</v>
      </c>
      <c r="B14" s="1" t="s">
        <v>210</v>
      </c>
      <c r="C14" s="1" t="s">
        <v>211</v>
      </c>
      <c r="D14" s="1">
        <v>9.22803503E8</v>
      </c>
      <c r="E14" s="1" t="s">
        <v>6</v>
      </c>
      <c r="F14" s="20" t="s">
        <v>813</v>
      </c>
      <c r="G14" s="20" t="s">
        <v>814</v>
      </c>
      <c r="H14" s="20" t="s">
        <v>815</v>
      </c>
      <c r="I14" s="11"/>
    </row>
    <row r="15">
      <c r="A15" s="19" t="s">
        <v>873</v>
      </c>
      <c r="B15" s="1" t="s">
        <v>216</v>
      </c>
      <c r="C15" s="1" t="s">
        <v>217</v>
      </c>
      <c r="D15" s="1">
        <v>9.23669075E8</v>
      </c>
      <c r="E15" s="1" t="s">
        <v>6</v>
      </c>
      <c r="F15" s="20" t="s">
        <v>813</v>
      </c>
      <c r="G15" s="20" t="s">
        <v>814</v>
      </c>
      <c r="H15" s="20" t="s">
        <v>815</v>
      </c>
      <c r="I15" s="11"/>
    </row>
    <row r="16">
      <c r="A16" s="19" t="s">
        <v>873</v>
      </c>
      <c r="B16" s="1" t="s">
        <v>49</v>
      </c>
      <c r="C16" s="1" t="s">
        <v>50</v>
      </c>
      <c r="D16" s="1">
        <v>9.10178625E8</v>
      </c>
      <c r="E16" s="1" t="s">
        <v>9</v>
      </c>
      <c r="F16" s="20" t="s">
        <v>813</v>
      </c>
      <c r="G16" s="20" t="s">
        <v>811</v>
      </c>
      <c r="H16" s="20" t="s">
        <v>817</v>
      </c>
      <c r="J16" s="7"/>
    </row>
    <row r="17">
      <c r="A17" s="19" t="s">
        <v>873</v>
      </c>
      <c r="B17" s="1" t="s">
        <v>61</v>
      </c>
      <c r="C17" s="1" t="s">
        <v>62</v>
      </c>
      <c r="D17" s="1">
        <v>9.10787732E8</v>
      </c>
      <c r="E17" s="1" t="s">
        <v>9</v>
      </c>
      <c r="F17" s="20" t="s">
        <v>813</v>
      </c>
      <c r="G17" s="20" t="s">
        <v>811</v>
      </c>
      <c r="H17" s="20" t="s">
        <v>817</v>
      </c>
      <c r="J17" s="7"/>
    </row>
    <row r="18">
      <c r="A18" s="19" t="s">
        <v>873</v>
      </c>
      <c r="B18" s="1" t="s">
        <v>65</v>
      </c>
      <c r="C18" s="1" t="s">
        <v>66</v>
      </c>
      <c r="D18" s="1">
        <v>9.11171665E8</v>
      </c>
      <c r="E18" s="1" t="s">
        <v>9</v>
      </c>
      <c r="F18" s="20" t="s">
        <v>813</v>
      </c>
      <c r="G18" s="20" t="s">
        <v>811</v>
      </c>
      <c r="H18" s="20" t="s">
        <v>817</v>
      </c>
      <c r="J18" s="7"/>
    </row>
    <row r="19">
      <c r="A19" s="19" t="s">
        <v>873</v>
      </c>
      <c r="B19" s="1" t="s">
        <v>77</v>
      </c>
      <c r="C19" s="1" t="s">
        <v>78</v>
      </c>
      <c r="D19" s="1">
        <v>9.11706278E8</v>
      </c>
      <c r="E19" s="1" t="s">
        <v>9</v>
      </c>
      <c r="F19" s="20" t="s">
        <v>813</v>
      </c>
      <c r="G19" s="20" t="s">
        <v>811</v>
      </c>
      <c r="H19" s="20" t="s">
        <v>817</v>
      </c>
      <c r="J19" s="7"/>
    </row>
    <row r="20">
      <c r="A20" s="19" t="s">
        <v>873</v>
      </c>
      <c r="B20" s="1">
        <v>9.13547122E8</v>
      </c>
      <c r="C20" s="1" t="s">
        <v>97</v>
      </c>
      <c r="D20" s="1">
        <v>9.13547122E8</v>
      </c>
      <c r="E20" s="1" t="s">
        <v>9</v>
      </c>
      <c r="F20" s="20" t="s">
        <v>813</v>
      </c>
      <c r="G20" s="20" t="s">
        <v>811</v>
      </c>
      <c r="H20" s="20" t="s">
        <v>817</v>
      </c>
      <c r="J20" s="7"/>
    </row>
    <row r="21">
      <c r="A21" s="19" t="s">
        <v>873</v>
      </c>
      <c r="B21" s="1" t="s">
        <v>128</v>
      </c>
      <c r="C21" s="1" t="s">
        <v>129</v>
      </c>
      <c r="D21" s="1">
        <v>9.16602111E8</v>
      </c>
      <c r="E21" s="1" t="s">
        <v>9</v>
      </c>
      <c r="F21" s="20" t="s">
        <v>813</v>
      </c>
      <c r="G21" s="20" t="s">
        <v>811</v>
      </c>
      <c r="H21" s="20" t="s">
        <v>817</v>
      </c>
      <c r="I21" s="21" t="s">
        <v>875</v>
      </c>
      <c r="J21" s="7"/>
    </row>
    <row r="22">
      <c r="A22" s="19" t="s">
        <v>873</v>
      </c>
      <c r="B22" s="1" t="s">
        <v>134</v>
      </c>
      <c r="C22" s="1" t="s">
        <v>135</v>
      </c>
      <c r="D22" s="1">
        <v>9.17035609E8</v>
      </c>
      <c r="E22" s="1" t="s">
        <v>9</v>
      </c>
      <c r="F22" s="20" t="s">
        <v>813</v>
      </c>
      <c r="G22" s="20" t="s">
        <v>811</v>
      </c>
      <c r="H22" s="20" t="s">
        <v>817</v>
      </c>
      <c r="I22" s="21" t="s">
        <v>876</v>
      </c>
      <c r="J22" s="7"/>
    </row>
    <row r="23">
      <c r="A23" s="19" t="s">
        <v>873</v>
      </c>
      <c r="B23" s="1" t="s">
        <v>38</v>
      </c>
      <c r="C23" s="1" t="s">
        <v>39</v>
      </c>
      <c r="D23" s="1">
        <v>9.07162797E8</v>
      </c>
      <c r="E23" s="1" t="s">
        <v>9</v>
      </c>
      <c r="F23" s="20" t="s">
        <v>813</v>
      </c>
      <c r="G23" s="20" t="s">
        <v>811</v>
      </c>
      <c r="H23" s="20" t="s">
        <v>817</v>
      </c>
      <c r="I23" s="21" t="s">
        <v>877</v>
      </c>
    </row>
    <row r="24">
      <c r="A24" s="19" t="s">
        <v>873</v>
      </c>
      <c r="B24" s="1" t="s">
        <v>20</v>
      </c>
      <c r="C24" s="1" t="s">
        <v>21</v>
      </c>
      <c r="D24" s="1">
        <v>9.02186608E8</v>
      </c>
      <c r="E24" s="1" t="s">
        <v>9</v>
      </c>
      <c r="F24" s="20" t="s">
        <v>813</v>
      </c>
      <c r="G24" s="20" t="s">
        <v>811</v>
      </c>
      <c r="H24" s="20" t="s">
        <v>817</v>
      </c>
      <c r="I24" s="21" t="s">
        <v>878</v>
      </c>
    </row>
    <row r="25">
      <c r="A25" s="19" t="s">
        <v>873</v>
      </c>
      <c r="B25" s="1" t="s">
        <v>22</v>
      </c>
      <c r="C25" s="1" t="s">
        <v>23</v>
      </c>
      <c r="D25" s="1">
        <v>9.02295632E8</v>
      </c>
      <c r="E25" s="1" t="s">
        <v>9</v>
      </c>
      <c r="F25" s="20" t="s">
        <v>813</v>
      </c>
      <c r="G25" s="20" t="s">
        <v>811</v>
      </c>
      <c r="H25" s="20" t="s">
        <v>817</v>
      </c>
      <c r="I25" s="21" t="s">
        <v>879</v>
      </c>
    </row>
    <row r="26">
      <c r="A26" s="19" t="s">
        <v>873</v>
      </c>
      <c r="B26" s="1" t="s">
        <v>89</v>
      </c>
      <c r="C26" s="1" t="s">
        <v>90</v>
      </c>
      <c r="D26" s="1">
        <v>9.12460263E8</v>
      </c>
      <c r="E26" s="1" t="s">
        <v>9</v>
      </c>
      <c r="F26" s="20" t="s">
        <v>813</v>
      </c>
      <c r="G26" s="20" t="s">
        <v>811</v>
      </c>
      <c r="H26" s="20" t="s">
        <v>817</v>
      </c>
      <c r="I26" s="21" t="s">
        <v>880</v>
      </c>
    </row>
    <row r="27">
      <c r="A27" s="19" t="s">
        <v>873</v>
      </c>
      <c r="B27" s="1" t="s">
        <v>122</v>
      </c>
      <c r="C27" s="1" t="s">
        <v>123</v>
      </c>
      <c r="D27" s="1">
        <v>9.16039474E8</v>
      </c>
      <c r="E27" s="1" t="s">
        <v>9</v>
      </c>
      <c r="F27" s="20" t="s">
        <v>813</v>
      </c>
      <c r="G27" s="20" t="s">
        <v>811</v>
      </c>
      <c r="H27" s="20" t="s">
        <v>817</v>
      </c>
      <c r="I27" s="21" t="s">
        <v>846</v>
      </c>
    </row>
    <row r="28">
      <c r="A28" s="19" t="s">
        <v>873</v>
      </c>
      <c r="B28" s="1" t="s">
        <v>144</v>
      </c>
      <c r="C28" s="1" t="s">
        <v>145</v>
      </c>
      <c r="D28" s="1">
        <v>9.1806334E8</v>
      </c>
      <c r="E28" s="1" t="s">
        <v>9</v>
      </c>
      <c r="F28" s="20" t="s">
        <v>813</v>
      </c>
      <c r="G28" s="20" t="s">
        <v>811</v>
      </c>
      <c r="H28" s="20" t="s">
        <v>817</v>
      </c>
      <c r="I28" s="21" t="s">
        <v>852</v>
      </c>
    </row>
    <row r="29">
      <c r="A29" s="19" t="s">
        <v>873</v>
      </c>
      <c r="B29" s="1" t="s">
        <v>146</v>
      </c>
      <c r="C29" s="1" t="s">
        <v>147</v>
      </c>
      <c r="D29" s="1">
        <v>9.18302196E8</v>
      </c>
      <c r="E29" s="1" t="s">
        <v>9</v>
      </c>
      <c r="F29" s="20" t="s">
        <v>813</v>
      </c>
      <c r="G29" s="20" t="s">
        <v>811</v>
      </c>
      <c r="H29" s="20" t="s">
        <v>817</v>
      </c>
      <c r="I29" s="21" t="s">
        <v>881</v>
      </c>
    </row>
    <row r="30">
      <c r="A30" s="19" t="s">
        <v>873</v>
      </c>
      <c r="B30" s="1" t="s">
        <v>148</v>
      </c>
      <c r="C30" s="1" t="s">
        <v>149</v>
      </c>
      <c r="D30" s="1">
        <v>9.18444033E8</v>
      </c>
      <c r="E30" s="1" t="s">
        <v>9</v>
      </c>
      <c r="F30" s="20" t="s">
        <v>813</v>
      </c>
      <c r="G30" s="20" t="s">
        <v>811</v>
      </c>
      <c r="H30" s="20" t="s">
        <v>817</v>
      </c>
      <c r="I30" s="21" t="s">
        <v>882</v>
      </c>
    </row>
    <row r="31">
      <c r="A31" s="19" t="s">
        <v>873</v>
      </c>
      <c r="B31" s="1">
        <v>67.0</v>
      </c>
      <c r="C31" s="1" t="s">
        <v>150</v>
      </c>
      <c r="D31" s="1">
        <v>9.18731246E8</v>
      </c>
      <c r="E31" s="1" t="s">
        <v>9</v>
      </c>
      <c r="F31" s="20" t="s">
        <v>813</v>
      </c>
      <c r="G31" s="20" t="s">
        <v>811</v>
      </c>
      <c r="H31" s="20" t="s">
        <v>817</v>
      </c>
      <c r="I31" s="21" t="s">
        <v>852</v>
      </c>
    </row>
    <row r="32">
      <c r="A32" s="19" t="s">
        <v>873</v>
      </c>
      <c r="B32" s="1" t="s">
        <v>161</v>
      </c>
      <c r="C32" s="1" t="s">
        <v>162</v>
      </c>
      <c r="D32" s="1">
        <v>9.19381811E8</v>
      </c>
      <c r="E32" s="1" t="s">
        <v>9</v>
      </c>
      <c r="F32" s="20" t="s">
        <v>813</v>
      </c>
      <c r="G32" s="20" t="s">
        <v>811</v>
      </c>
      <c r="H32" s="20" t="s">
        <v>817</v>
      </c>
      <c r="I32" s="21" t="s">
        <v>864</v>
      </c>
    </row>
    <row r="33">
      <c r="A33" s="19" t="s">
        <v>873</v>
      </c>
      <c r="B33" s="1" t="s">
        <v>163</v>
      </c>
      <c r="C33" s="1" t="s">
        <v>164</v>
      </c>
      <c r="D33" s="1">
        <v>9.19434715E8</v>
      </c>
      <c r="E33" s="1" t="s">
        <v>9</v>
      </c>
      <c r="F33" s="20" t="s">
        <v>813</v>
      </c>
      <c r="G33" s="20" t="s">
        <v>811</v>
      </c>
      <c r="H33" s="20" t="s">
        <v>817</v>
      </c>
      <c r="I33" s="21" t="s">
        <v>844</v>
      </c>
    </row>
    <row r="34">
      <c r="A34" s="19" t="s">
        <v>873</v>
      </c>
      <c r="B34" s="1" t="s">
        <v>163</v>
      </c>
      <c r="C34" s="1" t="s">
        <v>165</v>
      </c>
      <c r="D34" s="1">
        <v>9.19434715E8</v>
      </c>
      <c r="E34" s="1" t="s">
        <v>9</v>
      </c>
      <c r="F34" s="20" t="s">
        <v>813</v>
      </c>
      <c r="G34" s="20" t="s">
        <v>811</v>
      </c>
      <c r="H34" s="20" t="s">
        <v>817</v>
      </c>
      <c r="I34" s="21" t="s">
        <v>844</v>
      </c>
    </row>
    <row r="35">
      <c r="A35" s="19" t="s">
        <v>873</v>
      </c>
      <c r="B35" s="1">
        <v>123456.0</v>
      </c>
      <c r="C35" s="1" t="s">
        <v>174</v>
      </c>
      <c r="D35" s="1">
        <v>9.20147256E8</v>
      </c>
      <c r="E35" s="1" t="s">
        <v>9</v>
      </c>
      <c r="F35" s="20" t="s">
        <v>813</v>
      </c>
      <c r="G35" s="20" t="s">
        <v>811</v>
      </c>
      <c r="H35" s="20" t="s">
        <v>817</v>
      </c>
      <c r="I35" s="21" t="s">
        <v>856</v>
      </c>
    </row>
    <row r="36">
      <c r="A36" s="19" t="s">
        <v>873</v>
      </c>
      <c r="B36" s="1" t="s">
        <v>188</v>
      </c>
      <c r="C36" s="1" t="s">
        <v>189</v>
      </c>
      <c r="D36" s="1">
        <v>9.20782773E8</v>
      </c>
      <c r="E36" s="1" t="s">
        <v>9</v>
      </c>
      <c r="F36" s="20" t="s">
        <v>813</v>
      </c>
      <c r="G36" s="20" t="s">
        <v>811</v>
      </c>
      <c r="H36" s="20" t="s">
        <v>817</v>
      </c>
      <c r="I36" s="21" t="s">
        <v>865</v>
      </c>
    </row>
    <row r="37">
      <c r="A37" s="19" t="s">
        <v>873</v>
      </c>
      <c r="B37" s="1" t="s">
        <v>206</v>
      </c>
      <c r="C37" s="1" t="s">
        <v>207</v>
      </c>
      <c r="D37" s="1">
        <v>9.22592655E8</v>
      </c>
      <c r="E37" s="1" t="s">
        <v>9</v>
      </c>
      <c r="F37" s="20" t="s">
        <v>813</v>
      </c>
      <c r="G37" s="20" t="s">
        <v>811</v>
      </c>
      <c r="H37" s="20" t="s">
        <v>817</v>
      </c>
      <c r="I37" s="21" t="s">
        <v>883</v>
      </c>
    </row>
    <row r="38">
      <c r="A38" s="19" t="s">
        <v>873</v>
      </c>
      <c r="B38" s="1" t="s">
        <v>218</v>
      </c>
      <c r="C38" s="1" t="s">
        <v>219</v>
      </c>
      <c r="D38" s="1">
        <v>9.24094611E8</v>
      </c>
      <c r="E38" s="1" t="s">
        <v>9</v>
      </c>
      <c r="F38" s="20" t="s">
        <v>813</v>
      </c>
      <c r="G38" s="20" t="s">
        <v>811</v>
      </c>
      <c r="H38" s="20" t="s">
        <v>817</v>
      </c>
      <c r="I38" s="21" t="s">
        <v>884</v>
      </c>
    </row>
    <row r="39">
      <c r="A39" s="19" t="s">
        <v>873</v>
      </c>
      <c r="B39" s="1" t="s">
        <v>222</v>
      </c>
      <c r="C39" s="1" t="s">
        <v>223</v>
      </c>
      <c r="D39" s="1">
        <v>9.25507539E8</v>
      </c>
      <c r="E39" s="1" t="s">
        <v>9</v>
      </c>
      <c r="F39" s="20" t="s">
        <v>813</v>
      </c>
      <c r="G39" s="20" t="s">
        <v>811</v>
      </c>
      <c r="H39" s="20" t="s">
        <v>817</v>
      </c>
      <c r="I39" s="21" t="s">
        <v>846</v>
      </c>
    </row>
    <row r="40">
      <c r="A40" s="19" t="s">
        <v>873</v>
      </c>
      <c r="B40" s="1" t="s">
        <v>222</v>
      </c>
      <c r="C40" s="1" t="s">
        <v>224</v>
      </c>
      <c r="D40" s="1">
        <v>9.25507539E8</v>
      </c>
      <c r="E40" s="1" t="s">
        <v>9</v>
      </c>
      <c r="F40" s="20" t="s">
        <v>813</v>
      </c>
      <c r="G40" s="20" t="s">
        <v>811</v>
      </c>
      <c r="H40" s="20" t="s">
        <v>817</v>
      </c>
      <c r="I40" s="21" t="s">
        <v>846</v>
      </c>
    </row>
    <row r="41">
      <c r="A41" s="19" t="s">
        <v>873</v>
      </c>
      <c r="B41" s="1" t="s">
        <v>227</v>
      </c>
      <c r="C41" s="1" t="s">
        <v>228</v>
      </c>
      <c r="D41" s="1">
        <v>9.25653684E8</v>
      </c>
      <c r="E41" s="1" t="s">
        <v>9</v>
      </c>
      <c r="F41" s="20" t="s">
        <v>813</v>
      </c>
      <c r="G41" s="20" t="s">
        <v>811</v>
      </c>
      <c r="H41" s="20" t="s">
        <v>817</v>
      </c>
      <c r="I41" s="21" t="s">
        <v>846</v>
      </c>
    </row>
    <row r="42">
      <c r="A42" s="19" t="s">
        <v>873</v>
      </c>
      <c r="B42" s="11" t="s">
        <v>644</v>
      </c>
      <c r="C42" s="11" t="s">
        <v>645</v>
      </c>
      <c r="D42" s="12">
        <v>9.0502837E8</v>
      </c>
      <c r="E42" s="11" t="s">
        <v>9</v>
      </c>
      <c r="F42" s="20" t="s">
        <v>813</v>
      </c>
      <c r="G42" s="20" t="s">
        <v>811</v>
      </c>
      <c r="H42" s="20" t="s">
        <v>817</v>
      </c>
      <c r="I42" s="20" t="s">
        <v>885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9" t="s">
        <v>873</v>
      </c>
      <c r="B43" s="11" t="s">
        <v>646</v>
      </c>
      <c r="C43" s="11" t="s">
        <v>647</v>
      </c>
      <c r="D43" s="12">
        <v>9.0701313E8</v>
      </c>
      <c r="E43" s="11" t="s">
        <v>9</v>
      </c>
      <c r="F43" s="20" t="s">
        <v>813</v>
      </c>
      <c r="G43" s="20" t="s">
        <v>811</v>
      </c>
      <c r="H43" s="20" t="s">
        <v>817</v>
      </c>
      <c r="I43" s="20" t="s">
        <v>847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9" t="s">
        <v>873</v>
      </c>
      <c r="B44" s="11" t="s">
        <v>648</v>
      </c>
      <c r="C44" s="11" t="s">
        <v>649</v>
      </c>
      <c r="D44" s="12">
        <v>9.10265496E8</v>
      </c>
      <c r="E44" s="11" t="s">
        <v>9</v>
      </c>
      <c r="F44" s="20" t="s">
        <v>813</v>
      </c>
      <c r="G44" s="20" t="s">
        <v>811</v>
      </c>
      <c r="H44" s="20" t="s">
        <v>817</v>
      </c>
      <c r="I44" s="20" t="s">
        <v>886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9" t="s">
        <v>873</v>
      </c>
      <c r="B45" s="11" t="s">
        <v>662</v>
      </c>
      <c r="C45" s="11" t="s">
        <v>663</v>
      </c>
      <c r="D45" s="12">
        <v>9.14973382E8</v>
      </c>
      <c r="E45" s="11" t="s">
        <v>9</v>
      </c>
      <c r="F45" s="20" t="s">
        <v>813</v>
      </c>
      <c r="G45" s="20" t="s">
        <v>811</v>
      </c>
      <c r="H45" s="20" t="s">
        <v>817</v>
      </c>
      <c r="I45" s="20" t="s">
        <v>887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9" t="s">
        <v>873</v>
      </c>
      <c r="B46" s="11" t="s">
        <v>668</v>
      </c>
      <c r="C46" s="11" t="s">
        <v>669</v>
      </c>
      <c r="D46" s="12">
        <v>9.16435957E8</v>
      </c>
      <c r="E46" s="11" t="s">
        <v>9</v>
      </c>
      <c r="F46" s="20" t="s">
        <v>813</v>
      </c>
      <c r="G46" s="20" t="s">
        <v>811</v>
      </c>
      <c r="H46" s="20" t="s">
        <v>817</v>
      </c>
      <c r="I46" s="20" t="s">
        <v>888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9" t="s">
        <v>873</v>
      </c>
      <c r="B47" s="11" t="s">
        <v>672</v>
      </c>
      <c r="C47" s="11" t="s">
        <v>673</v>
      </c>
      <c r="D47" s="12">
        <v>9.1707093E8</v>
      </c>
      <c r="E47" s="11" t="s">
        <v>9</v>
      </c>
      <c r="F47" s="20" t="s">
        <v>813</v>
      </c>
      <c r="G47" s="20" t="s">
        <v>811</v>
      </c>
      <c r="H47" s="20" t="s">
        <v>817</v>
      </c>
      <c r="I47" s="20" t="s">
        <v>889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9" t="s">
        <v>873</v>
      </c>
      <c r="B48" s="11" t="s">
        <v>676</v>
      </c>
      <c r="C48" s="11" t="s">
        <v>677</v>
      </c>
      <c r="D48" s="12">
        <v>9.18056446E8</v>
      </c>
      <c r="E48" s="11" t="s">
        <v>9</v>
      </c>
      <c r="F48" s="20" t="s">
        <v>813</v>
      </c>
      <c r="G48" s="20" t="s">
        <v>811</v>
      </c>
      <c r="H48" s="20" t="s">
        <v>817</v>
      </c>
      <c r="I48" s="20" t="s">
        <v>852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9" t="s">
        <v>873</v>
      </c>
      <c r="B49" s="11" t="s">
        <v>678</v>
      </c>
      <c r="C49" s="11" t="s">
        <v>679</v>
      </c>
      <c r="D49" s="12">
        <v>9.18316805E8</v>
      </c>
      <c r="E49" s="11" t="s">
        <v>9</v>
      </c>
      <c r="F49" s="20" t="s">
        <v>813</v>
      </c>
      <c r="G49" s="20" t="s">
        <v>811</v>
      </c>
      <c r="H49" s="20" t="s">
        <v>817</v>
      </c>
      <c r="I49" s="20" t="s">
        <v>852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9" t="s">
        <v>873</v>
      </c>
      <c r="B50" s="11" t="s">
        <v>694</v>
      </c>
      <c r="C50" s="11" t="s">
        <v>695</v>
      </c>
      <c r="D50" s="12">
        <v>9.31893453E8</v>
      </c>
      <c r="E50" s="11" t="s">
        <v>9</v>
      </c>
      <c r="F50" s="20" t="s">
        <v>813</v>
      </c>
      <c r="G50" s="20" t="s">
        <v>811</v>
      </c>
      <c r="H50" s="20" t="s">
        <v>817</v>
      </c>
      <c r="I50" s="20" t="s">
        <v>860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9" t="s">
        <v>873</v>
      </c>
      <c r="B51" s="11" t="s">
        <v>698</v>
      </c>
      <c r="C51" s="11" t="s">
        <v>699</v>
      </c>
      <c r="D51" s="12">
        <v>9.34268802E8</v>
      </c>
      <c r="E51" s="11" t="s">
        <v>9</v>
      </c>
      <c r="F51" s="20" t="s">
        <v>813</v>
      </c>
      <c r="G51" s="20" t="s">
        <v>811</v>
      </c>
      <c r="H51" s="20" t="s">
        <v>817</v>
      </c>
      <c r="I51" s="20" t="s">
        <v>852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9" t="s">
        <v>873</v>
      </c>
      <c r="B52" s="11" t="s">
        <v>306</v>
      </c>
      <c r="C52" s="11" t="s">
        <v>307</v>
      </c>
      <c r="D52" s="12">
        <v>9.41217806E8</v>
      </c>
      <c r="E52" s="11" t="s">
        <v>9</v>
      </c>
      <c r="F52" s="20" t="s">
        <v>813</v>
      </c>
      <c r="G52" s="20" t="s">
        <v>811</v>
      </c>
      <c r="H52" s="20" t="s">
        <v>817</v>
      </c>
      <c r="I52" s="20" t="s">
        <v>852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9" t="s">
        <v>873</v>
      </c>
      <c r="B53" s="11" t="s">
        <v>716</v>
      </c>
      <c r="C53" s="11" t="s">
        <v>717</v>
      </c>
      <c r="D53" s="12">
        <v>9.56766233E8</v>
      </c>
      <c r="E53" s="11" t="s">
        <v>9</v>
      </c>
      <c r="F53" s="20" t="s">
        <v>813</v>
      </c>
      <c r="G53" s="20" t="s">
        <v>811</v>
      </c>
      <c r="H53" s="20" t="s">
        <v>817</v>
      </c>
      <c r="I53" s="20" t="s">
        <v>890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9" t="s">
        <v>873</v>
      </c>
      <c r="B54" s="11" t="s">
        <v>718</v>
      </c>
      <c r="C54" s="11" t="s">
        <v>719</v>
      </c>
      <c r="D54" s="12">
        <v>9.60408995E8</v>
      </c>
      <c r="E54" s="11" t="s">
        <v>9</v>
      </c>
      <c r="F54" s="20" t="s">
        <v>813</v>
      </c>
      <c r="G54" s="20" t="s">
        <v>811</v>
      </c>
      <c r="H54" s="20" t="s">
        <v>817</v>
      </c>
      <c r="I54" s="20" t="s">
        <v>846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9" t="s">
        <v>873</v>
      </c>
      <c r="B55" s="11" t="s">
        <v>376</v>
      </c>
      <c r="C55" s="11" t="s">
        <v>377</v>
      </c>
      <c r="D55" s="12">
        <v>9.60461321E8</v>
      </c>
      <c r="E55" s="11" t="s">
        <v>9</v>
      </c>
      <c r="F55" s="20" t="s">
        <v>813</v>
      </c>
      <c r="G55" s="20" t="s">
        <v>811</v>
      </c>
      <c r="H55" s="20" t="s">
        <v>817</v>
      </c>
      <c r="I55" s="20" t="s">
        <v>863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9" t="s">
        <v>873</v>
      </c>
      <c r="B56" s="11" t="s">
        <v>730</v>
      </c>
      <c r="C56" s="11" t="s">
        <v>731</v>
      </c>
      <c r="D56" s="12">
        <v>9.72554976E8</v>
      </c>
      <c r="E56" s="11" t="s">
        <v>9</v>
      </c>
      <c r="F56" s="20" t="s">
        <v>813</v>
      </c>
      <c r="G56" s="20" t="s">
        <v>811</v>
      </c>
      <c r="H56" s="20" t="s">
        <v>817</v>
      </c>
      <c r="I56" s="20" t="s">
        <v>887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9" t="s">
        <v>873</v>
      </c>
      <c r="B57" s="1" t="s">
        <v>32</v>
      </c>
      <c r="C57" s="1" t="s">
        <v>33</v>
      </c>
      <c r="D57" s="1">
        <v>9.06443544E8</v>
      </c>
      <c r="E57" s="1" t="s">
        <v>9</v>
      </c>
      <c r="F57" s="20" t="s">
        <v>813</v>
      </c>
      <c r="G57" s="20" t="s">
        <v>811</v>
      </c>
      <c r="H57" s="20" t="s">
        <v>817</v>
      </c>
      <c r="I57" s="21" t="s">
        <v>859</v>
      </c>
    </row>
    <row r="58">
      <c r="A58" s="19" t="s">
        <v>873</v>
      </c>
      <c r="B58" s="1" t="s">
        <v>212</v>
      </c>
      <c r="C58" s="1" t="s">
        <v>213</v>
      </c>
      <c r="D58" s="1">
        <v>9.2299286E8</v>
      </c>
      <c r="E58" s="1" t="s">
        <v>6</v>
      </c>
      <c r="F58" s="20" t="s">
        <v>813</v>
      </c>
      <c r="G58" s="20" t="s">
        <v>811</v>
      </c>
      <c r="H58" s="20" t="s">
        <v>817</v>
      </c>
      <c r="I58" s="20" t="s">
        <v>847</v>
      </c>
    </row>
    <row r="59">
      <c r="A59" s="19" t="s">
        <v>873</v>
      </c>
      <c r="B59" s="1">
        <v>93739.0</v>
      </c>
      <c r="C59" s="1" t="s">
        <v>42</v>
      </c>
      <c r="D59" s="1">
        <v>9.0770684E8</v>
      </c>
      <c r="E59" s="1" t="s">
        <v>9</v>
      </c>
      <c r="F59" s="20" t="s">
        <v>813</v>
      </c>
      <c r="G59" s="20" t="s">
        <v>811</v>
      </c>
      <c r="H59" s="20" t="s">
        <v>812</v>
      </c>
      <c r="J59" s="7"/>
    </row>
    <row r="60">
      <c r="A60" s="19" t="s">
        <v>873</v>
      </c>
      <c r="B60" s="1" t="s">
        <v>139</v>
      </c>
      <c r="C60" s="1" t="s">
        <v>140</v>
      </c>
      <c r="D60" s="1">
        <v>9.17516941E8</v>
      </c>
      <c r="E60" s="1" t="s">
        <v>9</v>
      </c>
      <c r="F60" s="20" t="s">
        <v>813</v>
      </c>
      <c r="G60" s="20" t="s">
        <v>811</v>
      </c>
      <c r="H60" s="20" t="s">
        <v>812</v>
      </c>
      <c r="J60" s="7"/>
    </row>
    <row r="61">
      <c r="A61" s="19" t="s">
        <v>873</v>
      </c>
      <c r="B61" s="1" t="s">
        <v>53</v>
      </c>
      <c r="C61" s="1" t="s">
        <v>54</v>
      </c>
      <c r="D61" s="1">
        <v>9.10246543E8</v>
      </c>
      <c r="E61" s="1" t="s">
        <v>9</v>
      </c>
      <c r="F61" s="20" t="s">
        <v>813</v>
      </c>
      <c r="G61" s="20" t="s">
        <v>811</v>
      </c>
      <c r="H61" s="20" t="s">
        <v>812</v>
      </c>
    </row>
    <row r="62">
      <c r="A62" s="19" t="s">
        <v>873</v>
      </c>
      <c r="B62" s="1" t="s">
        <v>57</v>
      </c>
      <c r="C62" s="1" t="s">
        <v>58</v>
      </c>
      <c r="D62" s="1">
        <v>9.10626468E8</v>
      </c>
      <c r="E62" s="1" t="s">
        <v>9</v>
      </c>
      <c r="F62" s="20" t="s">
        <v>813</v>
      </c>
      <c r="G62" s="20" t="s">
        <v>811</v>
      </c>
      <c r="H62" s="20" t="s">
        <v>812</v>
      </c>
    </row>
    <row r="63">
      <c r="A63" s="19" t="s">
        <v>873</v>
      </c>
      <c r="B63" s="1" t="s">
        <v>59</v>
      </c>
      <c r="C63" s="1" t="s">
        <v>60</v>
      </c>
      <c r="D63" s="1">
        <v>9.10626468E8</v>
      </c>
      <c r="E63" s="1" t="s">
        <v>9</v>
      </c>
      <c r="F63" s="20" t="s">
        <v>813</v>
      </c>
      <c r="G63" s="20" t="s">
        <v>811</v>
      </c>
      <c r="H63" s="20" t="s">
        <v>812</v>
      </c>
    </row>
    <row r="64">
      <c r="A64" s="19" t="s">
        <v>873</v>
      </c>
      <c r="B64" s="1" t="s">
        <v>198</v>
      </c>
      <c r="C64" s="1" t="s">
        <v>199</v>
      </c>
      <c r="D64" s="1">
        <v>9.21758292E8</v>
      </c>
      <c r="E64" s="1" t="s">
        <v>9</v>
      </c>
      <c r="F64" s="20" t="s">
        <v>813</v>
      </c>
      <c r="G64" s="20" t="s">
        <v>811</v>
      </c>
      <c r="H64" s="20" t="s">
        <v>812</v>
      </c>
    </row>
    <row r="65">
      <c r="A65" s="19" t="s">
        <v>873</v>
      </c>
      <c r="B65" s="1" t="s">
        <v>198</v>
      </c>
      <c r="C65" s="1" t="s">
        <v>199</v>
      </c>
      <c r="D65" s="1">
        <v>9.21758292E8</v>
      </c>
      <c r="E65" s="1" t="s">
        <v>9</v>
      </c>
      <c r="F65" s="20" t="s">
        <v>813</v>
      </c>
      <c r="G65" s="20" t="s">
        <v>811</v>
      </c>
      <c r="H65" s="20" t="s">
        <v>812</v>
      </c>
    </row>
    <row r="66">
      <c r="A66" s="19" t="s">
        <v>873</v>
      </c>
      <c r="B66" s="1" t="s">
        <v>198</v>
      </c>
      <c r="C66" s="1" t="s">
        <v>200</v>
      </c>
      <c r="D66" s="1">
        <v>9.21758292E8</v>
      </c>
      <c r="E66" s="1" t="s">
        <v>9</v>
      </c>
      <c r="F66" s="20" t="s">
        <v>813</v>
      </c>
      <c r="G66" s="20" t="s">
        <v>811</v>
      </c>
      <c r="H66" s="20" t="s">
        <v>812</v>
      </c>
    </row>
    <row r="67">
      <c r="A67" s="19" t="s">
        <v>873</v>
      </c>
      <c r="B67" s="1" t="s">
        <v>198</v>
      </c>
      <c r="C67" s="1" t="s">
        <v>199</v>
      </c>
      <c r="D67" s="1">
        <v>9.21758292E8</v>
      </c>
      <c r="E67" s="1" t="s">
        <v>9</v>
      </c>
      <c r="F67" s="20" t="s">
        <v>813</v>
      </c>
      <c r="G67" s="20" t="s">
        <v>811</v>
      </c>
      <c r="H67" s="20" t="s">
        <v>812</v>
      </c>
    </row>
    <row r="68">
      <c r="A68" s="19" t="s">
        <v>873</v>
      </c>
      <c r="B68" s="1" t="s">
        <v>198</v>
      </c>
      <c r="C68" s="1" t="s">
        <v>201</v>
      </c>
      <c r="D68" s="1">
        <v>9.21758292E8</v>
      </c>
      <c r="E68" s="1" t="s">
        <v>9</v>
      </c>
      <c r="F68" s="20" t="s">
        <v>813</v>
      </c>
      <c r="G68" s="20" t="s">
        <v>811</v>
      </c>
      <c r="H68" s="20" t="s">
        <v>812</v>
      </c>
    </row>
    <row r="69">
      <c r="A69" s="19" t="s">
        <v>873</v>
      </c>
      <c r="B69" s="11" t="s">
        <v>692</v>
      </c>
      <c r="C69" s="11" t="s">
        <v>693</v>
      </c>
      <c r="D69" s="12">
        <v>9.26550298E8</v>
      </c>
      <c r="E69" s="11" t="s">
        <v>9</v>
      </c>
      <c r="F69" s="20" t="s">
        <v>813</v>
      </c>
      <c r="G69" s="20" t="s">
        <v>811</v>
      </c>
      <c r="H69" s="20" t="s">
        <v>812</v>
      </c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9" t="s">
        <v>873</v>
      </c>
      <c r="B70" s="11" t="s">
        <v>734</v>
      </c>
      <c r="C70" s="11" t="s">
        <v>735</v>
      </c>
      <c r="D70" s="12">
        <v>9.7338009E8</v>
      </c>
      <c r="E70" s="11" t="s">
        <v>9</v>
      </c>
      <c r="F70" s="20" t="s">
        <v>813</v>
      </c>
      <c r="G70" s="20" t="s">
        <v>811</v>
      </c>
      <c r="H70" s="20" t="s">
        <v>812</v>
      </c>
      <c r="I70" s="20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9" t="s">
        <v>873</v>
      </c>
      <c r="B71" s="1" t="s">
        <v>214</v>
      </c>
      <c r="C71" s="1" t="s">
        <v>215</v>
      </c>
      <c r="D71" s="1">
        <v>9.23616088E8</v>
      </c>
      <c r="E71" s="1" t="s">
        <v>6</v>
      </c>
      <c r="F71" s="20" t="s">
        <v>813</v>
      </c>
      <c r="G71" s="20" t="s">
        <v>811</v>
      </c>
      <c r="H71" s="20" t="s">
        <v>812</v>
      </c>
      <c r="I71" s="11"/>
    </row>
    <row r="72">
      <c r="A72" s="19" t="s">
        <v>873</v>
      </c>
      <c r="B72" s="1" t="s">
        <v>28</v>
      </c>
      <c r="C72" s="1" t="s">
        <v>29</v>
      </c>
      <c r="D72" s="1">
        <v>9.03923268E8</v>
      </c>
      <c r="E72" s="1" t="s">
        <v>9</v>
      </c>
      <c r="F72" s="20" t="s">
        <v>813</v>
      </c>
      <c r="G72" s="20" t="s">
        <v>835</v>
      </c>
      <c r="H72" s="20" t="s">
        <v>868</v>
      </c>
      <c r="J72" s="7"/>
    </row>
    <row r="73">
      <c r="A73" s="19" t="s">
        <v>873</v>
      </c>
      <c r="B73" s="1" t="s">
        <v>63</v>
      </c>
      <c r="C73" s="1" t="s">
        <v>64</v>
      </c>
      <c r="D73" s="1">
        <v>9.10908569E8</v>
      </c>
      <c r="E73" s="1" t="s">
        <v>9</v>
      </c>
      <c r="F73" s="20" t="s">
        <v>813</v>
      </c>
      <c r="G73" s="20" t="s">
        <v>835</v>
      </c>
      <c r="H73" s="20" t="s">
        <v>868</v>
      </c>
      <c r="J73" s="7"/>
    </row>
    <row r="74">
      <c r="A74" s="19" t="s">
        <v>873</v>
      </c>
      <c r="B74" s="1" t="s">
        <v>81</v>
      </c>
      <c r="C74" s="1" t="s">
        <v>82</v>
      </c>
      <c r="D74" s="1">
        <v>9.12191176E8</v>
      </c>
      <c r="E74" s="1" t="s">
        <v>9</v>
      </c>
      <c r="F74" s="20" t="s">
        <v>813</v>
      </c>
      <c r="G74" s="20" t="s">
        <v>835</v>
      </c>
      <c r="H74" s="20" t="s">
        <v>868</v>
      </c>
      <c r="J74" s="7"/>
    </row>
    <row r="75">
      <c r="A75" s="22" t="s">
        <v>873</v>
      </c>
      <c r="B75" s="6" t="s">
        <v>137</v>
      </c>
      <c r="C75" s="6" t="s">
        <v>138</v>
      </c>
      <c r="D75" s="6">
        <v>9.17415619E8</v>
      </c>
      <c r="E75" s="6" t="s">
        <v>9</v>
      </c>
      <c r="F75" s="23" t="s">
        <v>813</v>
      </c>
      <c r="G75" s="23" t="s">
        <v>835</v>
      </c>
      <c r="H75" s="23" t="s">
        <v>869</v>
      </c>
      <c r="I75" s="24" t="s">
        <v>891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19" t="s">
        <v>873</v>
      </c>
      <c r="B76" s="1" t="s">
        <v>172</v>
      </c>
      <c r="C76" s="1" t="s">
        <v>173</v>
      </c>
      <c r="D76" s="1">
        <v>9.20007776E8</v>
      </c>
      <c r="E76" s="1" t="s">
        <v>9</v>
      </c>
      <c r="F76" s="20" t="s">
        <v>813</v>
      </c>
      <c r="G76" s="20" t="s">
        <v>835</v>
      </c>
      <c r="H76" s="20" t="s">
        <v>869</v>
      </c>
    </row>
    <row r="77">
      <c r="A77" s="19" t="s">
        <v>873</v>
      </c>
      <c r="B77" s="1" t="s">
        <v>208</v>
      </c>
      <c r="C77" s="1" t="s">
        <v>209</v>
      </c>
      <c r="D77" s="1">
        <v>9.22705879E8</v>
      </c>
      <c r="E77" s="1" t="s">
        <v>6</v>
      </c>
      <c r="F77" s="20" t="s">
        <v>813</v>
      </c>
      <c r="G77" s="20" t="s">
        <v>835</v>
      </c>
      <c r="H77" s="20" t="s">
        <v>869</v>
      </c>
      <c r="I77" s="11"/>
    </row>
    <row r="78">
      <c r="A78" s="19" t="s">
        <v>873</v>
      </c>
      <c r="B78" s="11" t="s">
        <v>746</v>
      </c>
      <c r="C78" s="11" t="s">
        <v>747</v>
      </c>
      <c r="D78" s="12">
        <v>9.85110913E8</v>
      </c>
      <c r="E78" s="11" t="s">
        <v>9</v>
      </c>
      <c r="F78" s="20" t="s">
        <v>813</v>
      </c>
      <c r="G78" s="20" t="s">
        <v>835</v>
      </c>
      <c r="H78" s="20" t="s">
        <v>892</v>
      </c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9" t="s">
        <v>873</v>
      </c>
      <c r="B79" s="11" t="s">
        <v>744</v>
      </c>
      <c r="C79" s="11" t="s">
        <v>745</v>
      </c>
      <c r="D79" s="12">
        <v>9.83590851E8</v>
      </c>
      <c r="E79" s="11" t="s">
        <v>9</v>
      </c>
      <c r="F79" s="20" t="s">
        <v>813</v>
      </c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9" t="s">
        <v>873</v>
      </c>
      <c r="B80" s="1" t="s">
        <v>79</v>
      </c>
      <c r="C80" s="1" t="s">
        <v>80</v>
      </c>
      <c r="D80" s="1">
        <v>9.12134468E8</v>
      </c>
      <c r="E80" s="1" t="s">
        <v>9</v>
      </c>
      <c r="F80" s="20" t="s">
        <v>837</v>
      </c>
      <c r="G80" s="11"/>
      <c r="H80" s="11"/>
    </row>
    <row r="81">
      <c r="A81" s="19" t="s">
        <v>873</v>
      </c>
      <c r="B81" s="1" t="s">
        <v>132</v>
      </c>
      <c r="C81" s="1" t="s">
        <v>133</v>
      </c>
      <c r="D81" s="1">
        <v>9.16996769E8</v>
      </c>
      <c r="E81" s="1" t="s">
        <v>9</v>
      </c>
      <c r="F81" s="20" t="s">
        <v>837</v>
      </c>
      <c r="G81" s="11"/>
      <c r="H81" s="11"/>
    </row>
    <row r="82">
      <c r="A82" s="19" t="s">
        <v>873</v>
      </c>
      <c r="B82" s="1" t="s">
        <v>116</v>
      </c>
      <c r="C82" s="1" t="s">
        <v>117</v>
      </c>
      <c r="D82" s="1">
        <v>9.15128604E8</v>
      </c>
      <c r="E82" s="1" t="s">
        <v>9</v>
      </c>
      <c r="F82" s="20" t="s">
        <v>837</v>
      </c>
      <c r="G82" s="11"/>
      <c r="H82" s="11"/>
    </row>
    <row r="83">
      <c r="A83" s="19" t="s">
        <v>873</v>
      </c>
      <c r="B83" s="1" t="s">
        <v>155</v>
      </c>
      <c r="C83" s="1" t="s">
        <v>156</v>
      </c>
      <c r="D83" s="1">
        <v>9.19157993E8</v>
      </c>
      <c r="E83" s="1" t="s">
        <v>9</v>
      </c>
      <c r="F83" s="20" t="s">
        <v>837</v>
      </c>
      <c r="G83" s="11"/>
      <c r="H83" s="11"/>
    </row>
    <row r="84">
      <c r="A84" s="19" t="s">
        <v>873</v>
      </c>
      <c r="B84" s="1" t="s">
        <v>166</v>
      </c>
      <c r="C84" s="1" t="s">
        <v>167</v>
      </c>
      <c r="D84" s="1">
        <v>9.19523283E8</v>
      </c>
      <c r="E84" s="1" t="s">
        <v>9</v>
      </c>
      <c r="F84" s="20" t="s">
        <v>837</v>
      </c>
      <c r="G84" s="11"/>
      <c r="H84" s="11"/>
    </row>
    <row r="85">
      <c r="A85" s="19" t="s">
        <v>873</v>
      </c>
      <c r="B85" s="1" t="s">
        <v>168</v>
      </c>
      <c r="C85" s="1" t="s">
        <v>169</v>
      </c>
      <c r="D85" s="1">
        <v>9.19523283E8</v>
      </c>
      <c r="E85" s="1" t="s">
        <v>9</v>
      </c>
      <c r="F85" s="20" t="s">
        <v>837</v>
      </c>
      <c r="G85" s="11"/>
      <c r="H85" s="11"/>
    </row>
    <row r="86">
      <c r="A86" s="19" t="s">
        <v>873</v>
      </c>
      <c r="B86" s="1" t="s">
        <v>182</v>
      </c>
      <c r="C86" s="1" t="s">
        <v>183</v>
      </c>
      <c r="D86" s="1">
        <v>9.2031372E8</v>
      </c>
      <c r="E86" s="1" t="s">
        <v>9</v>
      </c>
      <c r="F86" s="20" t="s">
        <v>837</v>
      </c>
      <c r="G86" s="11"/>
      <c r="H86" s="11"/>
    </row>
    <row r="87">
      <c r="A87" s="19" t="s">
        <v>873</v>
      </c>
      <c r="B87" s="11" t="s">
        <v>636</v>
      </c>
      <c r="C87" s="11" t="s">
        <v>637</v>
      </c>
      <c r="D87" s="12">
        <v>9.00930982E8</v>
      </c>
      <c r="E87" s="11" t="s">
        <v>9</v>
      </c>
      <c r="F87" s="20" t="s">
        <v>837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9" t="s">
        <v>873</v>
      </c>
      <c r="B88" s="11" t="s">
        <v>638</v>
      </c>
      <c r="C88" s="11" t="s">
        <v>639</v>
      </c>
      <c r="D88" s="12">
        <v>9.01128831E8</v>
      </c>
      <c r="E88" s="11" t="s">
        <v>9</v>
      </c>
      <c r="F88" s="20" t="s">
        <v>837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9" t="s">
        <v>873</v>
      </c>
      <c r="B89" s="11" t="s">
        <v>688</v>
      </c>
      <c r="C89" s="11" t="s">
        <v>689</v>
      </c>
      <c r="D89" s="12">
        <v>9.24484453E8</v>
      </c>
      <c r="E89" s="11" t="s">
        <v>9</v>
      </c>
      <c r="F89" s="20" t="s">
        <v>837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9" t="s">
        <v>873</v>
      </c>
      <c r="B90" s="11" t="s">
        <v>706</v>
      </c>
      <c r="C90" s="11" t="s">
        <v>707</v>
      </c>
      <c r="D90" s="12">
        <v>9.38920743E8</v>
      </c>
      <c r="E90" s="11" t="s">
        <v>9</v>
      </c>
      <c r="F90" s="20" t="s">
        <v>837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9" t="s">
        <v>873</v>
      </c>
      <c r="B91" s="11" t="s">
        <v>726</v>
      </c>
      <c r="C91" s="11" t="s">
        <v>727</v>
      </c>
      <c r="D91" s="12">
        <v>9.69991163E8</v>
      </c>
      <c r="E91" s="11" t="s">
        <v>9</v>
      </c>
      <c r="F91" s="20" t="s">
        <v>837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9" t="s">
        <v>873</v>
      </c>
      <c r="B92" s="11" t="s">
        <v>736</v>
      </c>
      <c r="C92" s="11" t="s">
        <v>737</v>
      </c>
      <c r="D92" s="12">
        <v>9.74479985E8</v>
      </c>
      <c r="E92" s="11" t="s">
        <v>9</v>
      </c>
      <c r="F92" s="20" t="s">
        <v>837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9" t="s">
        <v>873</v>
      </c>
      <c r="B93" s="11" t="s">
        <v>738</v>
      </c>
      <c r="C93" s="11" t="s">
        <v>739</v>
      </c>
      <c r="D93" s="12">
        <v>9.77609575E8</v>
      </c>
      <c r="E93" s="11" t="s">
        <v>9</v>
      </c>
      <c r="F93" s="20" t="s">
        <v>837</v>
      </c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9" t="s">
        <v>873</v>
      </c>
      <c r="B94" s="1" t="s">
        <v>225</v>
      </c>
      <c r="C94" s="1" t="s">
        <v>226</v>
      </c>
      <c r="D94" s="1">
        <v>9.25617699E8</v>
      </c>
      <c r="E94" s="1" t="s">
        <v>6</v>
      </c>
      <c r="F94" s="20" t="s">
        <v>837</v>
      </c>
      <c r="G94" s="11"/>
      <c r="H94" s="11"/>
      <c r="I94" s="11"/>
    </row>
    <row r="95">
      <c r="A95" s="19" t="s">
        <v>873</v>
      </c>
      <c r="B95" s="1" t="s">
        <v>47</v>
      </c>
      <c r="C95" s="1" t="s">
        <v>48</v>
      </c>
      <c r="D95" s="1">
        <v>9.10000899E8</v>
      </c>
      <c r="E95" s="1" t="s">
        <v>9</v>
      </c>
      <c r="F95" s="20" t="s">
        <v>838</v>
      </c>
      <c r="G95" s="11"/>
      <c r="H95" s="11"/>
    </row>
    <row r="96">
      <c r="A96" s="19" t="s">
        <v>873</v>
      </c>
      <c r="B96" s="1" t="s">
        <v>83</v>
      </c>
      <c r="C96" s="1" t="s">
        <v>84</v>
      </c>
      <c r="D96" s="1">
        <v>9.12252243E8</v>
      </c>
      <c r="E96" s="1" t="s">
        <v>9</v>
      </c>
      <c r="F96" s="20" t="s">
        <v>838</v>
      </c>
      <c r="G96" s="11"/>
      <c r="H96" s="11"/>
    </row>
    <row r="97">
      <c r="A97" s="19" t="s">
        <v>873</v>
      </c>
      <c r="B97" s="1" t="s">
        <v>98</v>
      </c>
      <c r="C97" s="1" t="s">
        <v>99</v>
      </c>
      <c r="D97" s="1">
        <v>9.13578278E8</v>
      </c>
      <c r="E97" s="1" t="s">
        <v>9</v>
      </c>
      <c r="F97" s="20" t="s">
        <v>838</v>
      </c>
      <c r="G97" s="11"/>
      <c r="H97" s="11"/>
    </row>
    <row r="98">
      <c r="A98" s="19" t="s">
        <v>873</v>
      </c>
      <c r="B98" s="1" t="s">
        <v>100</v>
      </c>
      <c r="C98" s="1" t="s">
        <v>101</v>
      </c>
      <c r="D98" s="1">
        <v>9.13578278E8</v>
      </c>
      <c r="E98" s="1" t="s">
        <v>9</v>
      </c>
      <c r="F98" s="20" t="s">
        <v>838</v>
      </c>
      <c r="G98" s="11"/>
      <c r="H98" s="11"/>
    </row>
    <row r="99">
      <c r="A99" s="19" t="s">
        <v>873</v>
      </c>
      <c r="B99" s="1" t="s">
        <v>106</v>
      </c>
      <c r="C99" s="1" t="s">
        <v>107</v>
      </c>
      <c r="D99" s="1">
        <v>9.13847279E8</v>
      </c>
      <c r="E99" s="1" t="s">
        <v>9</v>
      </c>
      <c r="F99" s="20" t="s">
        <v>838</v>
      </c>
      <c r="G99" s="11"/>
      <c r="H99" s="11"/>
    </row>
    <row r="100">
      <c r="A100" s="19" t="s">
        <v>873</v>
      </c>
      <c r="B100" s="1" t="s">
        <v>118</v>
      </c>
      <c r="C100" s="1" t="s">
        <v>119</v>
      </c>
      <c r="D100" s="1">
        <v>9.15137664E8</v>
      </c>
      <c r="E100" s="1" t="s">
        <v>9</v>
      </c>
      <c r="F100" s="20" t="s">
        <v>838</v>
      </c>
      <c r="G100" s="11"/>
      <c r="H100" s="11"/>
    </row>
    <row r="101">
      <c r="A101" s="19" t="s">
        <v>873</v>
      </c>
      <c r="B101" s="1" t="s">
        <v>47</v>
      </c>
      <c r="C101" s="1" t="s">
        <v>141</v>
      </c>
      <c r="D101" s="1">
        <v>9.17661205E8</v>
      </c>
      <c r="E101" s="1" t="s">
        <v>9</v>
      </c>
      <c r="F101" s="20" t="s">
        <v>838</v>
      </c>
      <c r="G101" s="11"/>
      <c r="H101" s="11"/>
    </row>
    <row r="102">
      <c r="A102" s="19" t="s">
        <v>873</v>
      </c>
      <c r="B102" s="1" t="s">
        <v>175</v>
      </c>
      <c r="C102" s="1" t="s">
        <v>176</v>
      </c>
      <c r="D102" s="1">
        <v>9.20221949E8</v>
      </c>
      <c r="E102" s="1" t="s">
        <v>9</v>
      </c>
      <c r="F102" s="20" t="s">
        <v>838</v>
      </c>
      <c r="G102" s="11"/>
      <c r="H102" s="11"/>
    </row>
    <row r="103">
      <c r="A103" s="19" t="s">
        <v>873</v>
      </c>
      <c r="B103" s="1" t="s">
        <v>177</v>
      </c>
      <c r="C103" s="1" t="s">
        <v>178</v>
      </c>
      <c r="D103" s="1">
        <v>9.20221949E8</v>
      </c>
      <c r="E103" s="1" t="s">
        <v>9</v>
      </c>
      <c r="F103" s="20" t="s">
        <v>838</v>
      </c>
      <c r="G103" s="11"/>
      <c r="H103" s="11"/>
    </row>
    <row r="104">
      <c r="A104" s="19" t="s">
        <v>873</v>
      </c>
      <c r="B104" s="1" t="s">
        <v>179</v>
      </c>
      <c r="C104" s="1" t="s">
        <v>178</v>
      </c>
      <c r="D104" s="1">
        <v>9.20221949E8</v>
      </c>
      <c r="E104" s="1" t="s">
        <v>9</v>
      </c>
      <c r="F104" s="20" t="s">
        <v>838</v>
      </c>
      <c r="G104" s="11"/>
      <c r="H104" s="11"/>
    </row>
    <row r="105">
      <c r="A105" s="19" t="s">
        <v>873</v>
      </c>
      <c r="B105" s="1" t="s">
        <v>180</v>
      </c>
      <c r="C105" s="1" t="s">
        <v>181</v>
      </c>
      <c r="D105" s="1">
        <v>9.20221949E8</v>
      </c>
      <c r="E105" s="1" t="s">
        <v>9</v>
      </c>
      <c r="F105" s="20" t="s">
        <v>838</v>
      </c>
      <c r="G105" s="11"/>
      <c r="H105" s="11"/>
    </row>
    <row r="106">
      <c r="A106" s="19" t="s">
        <v>873</v>
      </c>
      <c r="B106" s="1" t="s">
        <v>180</v>
      </c>
      <c r="C106" s="1" t="s">
        <v>181</v>
      </c>
      <c r="D106" s="1">
        <v>9.20221949E8</v>
      </c>
      <c r="E106" s="1" t="s">
        <v>9</v>
      </c>
      <c r="F106" s="20" t="s">
        <v>838</v>
      </c>
      <c r="G106" s="11"/>
      <c r="H106" s="11"/>
    </row>
    <row r="107">
      <c r="A107" s="19" t="s">
        <v>873</v>
      </c>
      <c r="B107" s="1" t="s">
        <v>220</v>
      </c>
      <c r="C107" s="1" t="s">
        <v>221</v>
      </c>
      <c r="D107" s="1">
        <v>9.24546891E8</v>
      </c>
      <c r="E107" s="1" t="s">
        <v>9</v>
      </c>
      <c r="F107" s="20" t="s">
        <v>838</v>
      </c>
      <c r="G107" s="11"/>
      <c r="H107" s="11"/>
    </row>
    <row r="108">
      <c r="A108" s="19" t="s">
        <v>873</v>
      </c>
      <c r="B108" s="11" t="s">
        <v>652</v>
      </c>
      <c r="C108" s="11" t="s">
        <v>653</v>
      </c>
      <c r="D108" s="12">
        <v>9.11131219E8</v>
      </c>
      <c r="E108" s="11" t="s">
        <v>9</v>
      </c>
      <c r="F108" s="20" t="s">
        <v>838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9" t="s">
        <v>873</v>
      </c>
      <c r="B109" s="11" t="s">
        <v>664</v>
      </c>
      <c r="C109" s="11" t="s">
        <v>665</v>
      </c>
      <c r="D109" s="12">
        <v>9.15304082E8</v>
      </c>
      <c r="E109" s="11" t="s">
        <v>9</v>
      </c>
      <c r="F109" s="20" t="s">
        <v>838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9" t="s">
        <v>873</v>
      </c>
      <c r="B110" s="11" t="s">
        <v>686</v>
      </c>
      <c r="C110" s="11" t="s">
        <v>687</v>
      </c>
      <c r="D110" s="12">
        <v>9.20978958E8</v>
      </c>
      <c r="E110" s="11" t="s">
        <v>9</v>
      </c>
      <c r="F110" s="20" t="s">
        <v>838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9" t="s">
        <v>873</v>
      </c>
      <c r="B111" s="11" t="s">
        <v>220</v>
      </c>
      <c r="C111" s="11" t="s">
        <v>221</v>
      </c>
      <c r="D111" s="12">
        <v>9.24546891E8</v>
      </c>
      <c r="E111" s="11" t="s">
        <v>9</v>
      </c>
      <c r="F111" s="20" t="s">
        <v>838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9" t="s">
        <v>873</v>
      </c>
      <c r="B112" s="11" t="s">
        <v>690</v>
      </c>
      <c r="C112" s="11" t="s">
        <v>691</v>
      </c>
      <c r="D112" s="12">
        <v>9.25562514E8</v>
      </c>
      <c r="E112" s="11" t="s">
        <v>9</v>
      </c>
      <c r="F112" s="20" t="s">
        <v>838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9" t="s">
        <v>873</v>
      </c>
      <c r="B113" s="11" t="s">
        <v>700</v>
      </c>
      <c r="C113" s="11" t="s">
        <v>701</v>
      </c>
      <c r="D113" s="12">
        <v>9.34344546E8</v>
      </c>
      <c r="E113" s="11" t="s">
        <v>9</v>
      </c>
      <c r="F113" s="20" t="s">
        <v>838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9" t="s">
        <v>873</v>
      </c>
      <c r="B114" s="11" t="s">
        <v>732</v>
      </c>
      <c r="C114" s="11" t="s">
        <v>733</v>
      </c>
      <c r="D114" s="12">
        <v>9.72820382E8</v>
      </c>
      <c r="E114" s="11" t="s">
        <v>9</v>
      </c>
      <c r="F114" s="20" t="s">
        <v>838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9" t="s">
        <v>873</v>
      </c>
      <c r="B115" s="11" t="s">
        <v>742</v>
      </c>
      <c r="C115" s="11" t="s">
        <v>743</v>
      </c>
      <c r="D115" s="12">
        <v>9.80490266E8</v>
      </c>
      <c r="E115" s="11" t="s">
        <v>9</v>
      </c>
      <c r="F115" s="20" t="s">
        <v>838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9" t="s">
        <v>873</v>
      </c>
      <c r="B116" s="5" t="s">
        <v>153</v>
      </c>
      <c r="C116" s="1" t="s">
        <v>154</v>
      </c>
      <c r="D116" s="1">
        <v>9.1914968E8</v>
      </c>
      <c r="E116" s="1" t="s">
        <v>9</v>
      </c>
      <c r="F116" s="20" t="s">
        <v>893</v>
      </c>
      <c r="G116" s="11"/>
      <c r="H116" s="11"/>
    </row>
    <row r="117">
      <c r="I117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</sheetData>
  <dataValidations>
    <dataValidation type="list" allowBlank="1" showErrorMessage="1" sqref="G2:G116">
      <formula1>"YES,NO,MAYBE"</formula1>
    </dataValidation>
    <dataValidation type="list" allowBlank="1" showErrorMessage="1" sqref="H2:H116">
      <formula1>"They will come,Not coming,Not in Addis,Unabel to talk,Not sure,Language"</formula1>
    </dataValidation>
    <dataValidation type="list" allowBlank="1" showErrorMessage="1" sqref="F2:F116">
      <formula1>"Reached,Not Picking Up,Phone Not Working,Wrong Person,Not Yet Called,Wrong Number,Busy "</formula1>
    </dataValidation>
    <dataValidation type="list" allowBlank="1" showErrorMessage="1" sqref="A2:A116">
      <formula1>"Abeba,Dagmawi,Eyerusalem,Girumsew,Tsedenia,Yosef,Nati,Haemnen"</formula1>
    </dataValidation>
  </dataValidations>
  <hyperlinks>
    <hyperlink r:id="rId1" ref="B116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25"/>
    <col customWidth="1" min="3" max="3" width="25.75"/>
    <col customWidth="1" min="4" max="4" width="23.38"/>
    <col customWidth="1" min="5" max="5" width="36.25"/>
  </cols>
  <sheetData>
    <row r="1">
      <c r="A1" s="13" t="s">
        <v>801</v>
      </c>
      <c r="B1" s="14" t="s">
        <v>802</v>
      </c>
      <c r="C1" s="15" t="s">
        <v>803</v>
      </c>
      <c r="D1" s="16" t="s">
        <v>804</v>
      </c>
      <c r="E1" s="17" t="s">
        <v>805</v>
      </c>
      <c r="F1" s="18" t="s">
        <v>806</v>
      </c>
      <c r="G1" s="15" t="s">
        <v>807</v>
      </c>
      <c r="H1" s="14" t="s">
        <v>808</v>
      </c>
      <c r="I1" s="15" t="s">
        <v>923</v>
      </c>
      <c r="L1" s="14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19" t="s">
        <v>894</v>
      </c>
      <c r="B2" s="11" t="s">
        <v>539</v>
      </c>
      <c r="C2" s="11" t="s">
        <v>540</v>
      </c>
      <c r="D2" s="12">
        <f>+251916870819</f>
        <v>251916870819</v>
      </c>
      <c r="E2" s="11" t="s">
        <v>9</v>
      </c>
      <c r="F2" s="20" t="s">
        <v>813</v>
      </c>
      <c r="G2" s="20" t="s">
        <v>814</v>
      </c>
      <c r="H2" s="20" t="s">
        <v>815</v>
      </c>
      <c r="I2" s="20" t="s">
        <v>895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9" t="s">
        <v>894</v>
      </c>
      <c r="B3" s="11" t="s">
        <v>640</v>
      </c>
      <c r="C3" s="11" t="s">
        <v>641</v>
      </c>
      <c r="D3" s="12">
        <v>9.02393236E8</v>
      </c>
      <c r="E3" s="11" t="s">
        <v>6</v>
      </c>
      <c r="F3" s="20" t="s">
        <v>813</v>
      </c>
      <c r="G3" s="20" t="s">
        <v>814</v>
      </c>
      <c r="H3" s="20" t="s">
        <v>815</v>
      </c>
      <c r="I3" s="20" t="s">
        <v>896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9" t="s">
        <v>894</v>
      </c>
      <c r="B4" s="11" t="s">
        <v>650</v>
      </c>
      <c r="C4" s="11" t="s">
        <v>651</v>
      </c>
      <c r="D4" s="12">
        <v>9.10730661E8</v>
      </c>
      <c r="E4" s="11" t="s">
        <v>6</v>
      </c>
      <c r="F4" s="20" t="s">
        <v>813</v>
      </c>
      <c r="G4" s="20" t="s">
        <v>814</v>
      </c>
      <c r="H4" s="20" t="s">
        <v>815</v>
      </c>
      <c r="I4" s="20" t="s">
        <v>896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9" t="s">
        <v>894</v>
      </c>
      <c r="B5" s="11" t="s">
        <v>724</v>
      </c>
      <c r="C5" s="11" t="s">
        <v>725</v>
      </c>
      <c r="D5" s="12">
        <v>9.67973689E8</v>
      </c>
      <c r="E5" s="11" t="s">
        <v>6</v>
      </c>
      <c r="F5" s="20" t="s">
        <v>813</v>
      </c>
      <c r="G5" s="20" t="s">
        <v>814</v>
      </c>
      <c r="H5" s="20" t="s">
        <v>815</v>
      </c>
      <c r="I5" s="20" t="s">
        <v>896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9" t="s">
        <v>894</v>
      </c>
      <c r="B6" s="11" t="s">
        <v>752</v>
      </c>
      <c r="C6" s="11" t="s">
        <v>753</v>
      </c>
      <c r="D6" s="12">
        <v>9.9516737E8</v>
      </c>
      <c r="E6" s="11" t="s">
        <v>6</v>
      </c>
      <c r="F6" s="20" t="s">
        <v>813</v>
      </c>
      <c r="G6" s="20" t="s">
        <v>814</v>
      </c>
      <c r="H6" s="20" t="s">
        <v>815</v>
      </c>
      <c r="I6" s="20" t="s">
        <v>897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9" t="s">
        <v>894</v>
      </c>
      <c r="B7" s="11" t="s">
        <v>772</v>
      </c>
      <c r="C7" s="11" t="s">
        <v>773</v>
      </c>
      <c r="D7" s="12">
        <f>+251953887194</f>
        <v>251953887194</v>
      </c>
      <c r="E7" s="11" t="s">
        <v>6</v>
      </c>
      <c r="F7" s="20" t="s">
        <v>813</v>
      </c>
      <c r="G7" s="20" t="s">
        <v>814</v>
      </c>
      <c r="H7" s="20" t="s">
        <v>815</v>
      </c>
      <c r="I7" s="20" t="s">
        <v>896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9" t="s">
        <v>894</v>
      </c>
      <c r="B8" s="11" t="s">
        <v>782</v>
      </c>
      <c r="C8" s="11" t="s">
        <v>783</v>
      </c>
      <c r="D8" s="12" t="s">
        <v>784</v>
      </c>
      <c r="E8" s="11" t="s">
        <v>6</v>
      </c>
      <c r="F8" s="20" t="s">
        <v>813</v>
      </c>
      <c r="G8" s="20" t="s">
        <v>814</v>
      </c>
      <c r="H8" s="20" t="s">
        <v>815</v>
      </c>
      <c r="I8" s="20" t="s">
        <v>898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9" t="s">
        <v>894</v>
      </c>
      <c r="B9" s="1">
        <v>1.000600624773E12</v>
      </c>
      <c r="C9" s="1" t="s">
        <v>398</v>
      </c>
      <c r="D9" s="1">
        <v>9.66037442E8</v>
      </c>
      <c r="E9" s="1" t="s">
        <v>6</v>
      </c>
      <c r="F9" s="20" t="s">
        <v>813</v>
      </c>
      <c r="G9" s="20" t="s">
        <v>814</v>
      </c>
      <c r="H9" s="20" t="s">
        <v>815</v>
      </c>
      <c r="I9" s="20" t="s">
        <v>899</v>
      </c>
    </row>
    <row r="10">
      <c r="A10" s="19" t="s">
        <v>894</v>
      </c>
      <c r="B10" s="1" t="s">
        <v>404</v>
      </c>
      <c r="C10" s="1" t="s">
        <v>406</v>
      </c>
      <c r="D10" s="1">
        <v>9.67290584E8</v>
      </c>
      <c r="E10" s="1" t="s">
        <v>6</v>
      </c>
      <c r="F10" s="20" t="s">
        <v>813</v>
      </c>
      <c r="G10" s="20" t="s">
        <v>814</v>
      </c>
      <c r="H10" s="20" t="s">
        <v>815</v>
      </c>
      <c r="I10" s="20" t="s">
        <v>896</v>
      </c>
    </row>
    <row r="11">
      <c r="A11" s="19" t="s">
        <v>894</v>
      </c>
      <c r="B11" s="1" t="s">
        <v>422</v>
      </c>
      <c r="C11" s="1" t="s">
        <v>423</v>
      </c>
      <c r="D11" s="1">
        <v>9.73703606E8</v>
      </c>
      <c r="E11" s="1" t="s">
        <v>6</v>
      </c>
      <c r="F11" s="20" t="s">
        <v>813</v>
      </c>
      <c r="G11" s="20" t="s">
        <v>814</v>
      </c>
      <c r="H11" s="20" t="s">
        <v>815</v>
      </c>
      <c r="I11" s="20" t="s">
        <v>896</v>
      </c>
    </row>
    <row r="12">
      <c r="A12" s="19" t="s">
        <v>894</v>
      </c>
      <c r="B12" s="1" t="s">
        <v>24</v>
      </c>
      <c r="C12" s="1" t="s">
        <v>25</v>
      </c>
      <c r="D12" s="1">
        <v>9.02961595E8</v>
      </c>
      <c r="E12" s="1" t="s">
        <v>6</v>
      </c>
      <c r="F12" s="20" t="s">
        <v>813</v>
      </c>
      <c r="G12" s="20" t="s">
        <v>814</v>
      </c>
      <c r="H12" s="20" t="s">
        <v>815</v>
      </c>
      <c r="I12" s="20" t="s">
        <v>897</v>
      </c>
    </row>
    <row r="13">
      <c r="A13" s="19" t="s">
        <v>894</v>
      </c>
      <c r="B13" s="1" t="s">
        <v>24</v>
      </c>
      <c r="C13" s="1" t="s">
        <v>25</v>
      </c>
      <c r="D13" s="1">
        <v>9.02961595E8</v>
      </c>
      <c r="E13" s="1" t="s">
        <v>6</v>
      </c>
      <c r="F13" s="20" t="s">
        <v>813</v>
      </c>
      <c r="G13" s="20" t="s">
        <v>814</v>
      </c>
      <c r="H13" s="20" t="s">
        <v>815</v>
      </c>
      <c r="I13" s="20" t="s">
        <v>900</v>
      </c>
    </row>
    <row r="14">
      <c r="A14" s="19" t="s">
        <v>894</v>
      </c>
      <c r="B14" s="5" t="s">
        <v>36</v>
      </c>
      <c r="C14" s="1" t="s">
        <v>37</v>
      </c>
      <c r="D14" s="1">
        <v>9.06866371E8</v>
      </c>
      <c r="E14" s="1" t="s">
        <v>6</v>
      </c>
      <c r="F14" s="20" t="s">
        <v>813</v>
      </c>
      <c r="G14" s="20" t="s">
        <v>814</v>
      </c>
      <c r="H14" s="20" t="s">
        <v>815</v>
      </c>
      <c r="I14" s="20" t="s">
        <v>897</v>
      </c>
    </row>
    <row r="15">
      <c r="A15" s="19" t="s">
        <v>894</v>
      </c>
      <c r="B15" s="1" t="s">
        <v>69</v>
      </c>
      <c r="C15" s="1" t="s">
        <v>70</v>
      </c>
      <c r="D15" s="1">
        <v>9.11408099E8</v>
      </c>
      <c r="E15" s="1" t="s">
        <v>6</v>
      </c>
      <c r="F15" s="20" t="s">
        <v>813</v>
      </c>
      <c r="G15" s="20" t="s">
        <v>814</v>
      </c>
      <c r="H15" s="20" t="s">
        <v>815</v>
      </c>
      <c r="I15" s="20" t="s">
        <v>898</v>
      </c>
    </row>
    <row r="16">
      <c r="A16" s="19" t="s">
        <v>894</v>
      </c>
      <c r="B16" s="1" t="s">
        <v>402</v>
      </c>
      <c r="C16" s="1" t="s">
        <v>403</v>
      </c>
      <c r="D16" s="1">
        <v>9.66949803E8</v>
      </c>
      <c r="E16" s="1" t="s">
        <v>6</v>
      </c>
      <c r="F16" s="20" t="s">
        <v>813</v>
      </c>
      <c r="G16" s="20" t="s">
        <v>814</v>
      </c>
      <c r="H16" s="20" t="s">
        <v>815</v>
      </c>
      <c r="I16" s="20" t="s">
        <v>898</v>
      </c>
    </row>
    <row r="17">
      <c r="A17" s="19" t="s">
        <v>894</v>
      </c>
      <c r="B17" s="1" t="s">
        <v>151</v>
      </c>
      <c r="C17" s="1" t="s">
        <v>152</v>
      </c>
      <c r="D17" s="1">
        <v>9.1884705E8</v>
      </c>
      <c r="E17" s="1" t="s">
        <v>6</v>
      </c>
      <c r="F17" s="20" t="s">
        <v>813</v>
      </c>
      <c r="G17" s="20" t="s">
        <v>814</v>
      </c>
      <c r="H17" s="20" t="s">
        <v>815</v>
      </c>
      <c r="I17" s="20" t="s">
        <v>897</v>
      </c>
    </row>
    <row r="18">
      <c r="A18" s="19" t="s">
        <v>894</v>
      </c>
      <c r="B18" s="1" t="s">
        <v>170</v>
      </c>
      <c r="C18" s="1" t="s">
        <v>171</v>
      </c>
      <c r="D18" s="1">
        <v>9.19870243E8</v>
      </c>
      <c r="E18" s="1" t="s">
        <v>6</v>
      </c>
      <c r="F18" s="20" t="s">
        <v>813</v>
      </c>
      <c r="G18" s="20" t="s">
        <v>814</v>
      </c>
      <c r="H18" s="20" t="s">
        <v>815</v>
      </c>
      <c r="I18" s="20" t="s">
        <v>898</v>
      </c>
    </row>
    <row r="19">
      <c r="A19" s="19" t="s">
        <v>894</v>
      </c>
      <c r="B19" s="1" t="s">
        <v>192</v>
      </c>
      <c r="C19" s="1" t="s">
        <v>193</v>
      </c>
      <c r="D19" s="1">
        <v>9.20827606E8</v>
      </c>
      <c r="E19" s="1" t="s">
        <v>6</v>
      </c>
      <c r="F19" s="20" t="s">
        <v>813</v>
      </c>
      <c r="G19" s="20" t="s">
        <v>814</v>
      </c>
      <c r="H19" s="20" t="s">
        <v>815</v>
      </c>
      <c r="I19" s="20" t="s">
        <v>899</v>
      </c>
    </row>
    <row r="20">
      <c r="A20" s="19" t="s">
        <v>894</v>
      </c>
      <c r="B20" s="1" t="s">
        <v>202</v>
      </c>
      <c r="C20" s="1" t="s">
        <v>203</v>
      </c>
      <c r="D20" s="1">
        <v>9.2184516E8</v>
      </c>
      <c r="E20" s="1" t="s">
        <v>6</v>
      </c>
      <c r="F20" s="20" t="s">
        <v>813</v>
      </c>
      <c r="G20" s="20" t="s">
        <v>814</v>
      </c>
      <c r="H20" s="20" t="s">
        <v>815</v>
      </c>
      <c r="I20" s="20" t="s">
        <v>896</v>
      </c>
    </row>
    <row r="21">
      <c r="A21" s="19" t="s">
        <v>894</v>
      </c>
      <c r="B21" s="1" t="s">
        <v>204</v>
      </c>
      <c r="C21" s="1" t="s">
        <v>205</v>
      </c>
      <c r="D21" s="1">
        <v>9.22294445E8</v>
      </c>
      <c r="E21" s="1" t="s">
        <v>6</v>
      </c>
      <c r="F21" s="20" t="s">
        <v>813</v>
      </c>
      <c r="G21" s="20" t="s">
        <v>814</v>
      </c>
      <c r="H21" s="20" t="s">
        <v>815</v>
      </c>
      <c r="I21" s="20" t="s">
        <v>896</v>
      </c>
    </row>
    <row r="22">
      <c r="A22" s="19" t="s">
        <v>894</v>
      </c>
      <c r="B22" s="11" t="s">
        <v>654</v>
      </c>
      <c r="C22" s="11" t="s">
        <v>655</v>
      </c>
      <c r="D22" s="12">
        <v>9.12150253E8</v>
      </c>
      <c r="E22" s="11" t="s">
        <v>6</v>
      </c>
      <c r="F22" s="20" t="s">
        <v>813</v>
      </c>
      <c r="G22" s="20" t="s">
        <v>814</v>
      </c>
      <c r="H22" s="20" t="s">
        <v>817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9" t="s">
        <v>894</v>
      </c>
      <c r="B23" s="11" t="s">
        <v>658</v>
      </c>
      <c r="C23" s="11" t="s">
        <v>659</v>
      </c>
      <c r="D23" s="12">
        <v>9.13443695E8</v>
      </c>
      <c r="E23" s="11" t="s">
        <v>6</v>
      </c>
      <c r="F23" s="20" t="s">
        <v>813</v>
      </c>
      <c r="G23" s="20" t="s">
        <v>814</v>
      </c>
      <c r="H23" s="20" t="s">
        <v>817</v>
      </c>
      <c r="I23" s="20" t="s">
        <v>885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9" t="s">
        <v>894</v>
      </c>
      <c r="B24" s="11" t="s">
        <v>666</v>
      </c>
      <c r="C24" s="11" t="s">
        <v>667</v>
      </c>
      <c r="D24" s="12">
        <v>9.15745177E8</v>
      </c>
      <c r="E24" s="11" t="s">
        <v>6</v>
      </c>
      <c r="F24" s="20" t="s">
        <v>813</v>
      </c>
      <c r="G24" s="20" t="s">
        <v>814</v>
      </c>
      <c r="H24" s="20" t="s">
        <v>817</v>
      </c>
      <c r="I24" s="20" t="s">
        <v>901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9" t="s">
        <v>894</v>
      </c>
      <c r="B25" s="11" t="s">
        <v>680</v>
      </c>
      <c r="C25" s="11" t="s">
        <v>681</v>
      </c>
      <c r="D25" s="12">
        <v>9.20273527E8</v>
      </c>
      <c r="E25" s="11" t="s">
        <v>6</v>
      </c>
      <c r="F25" s="20" t="s">
        <v>813</v>
      </c>
      <c r="G25" s="20" t="s">
        <v>814</v>
      </c>
      <c r="H25" s="20" t="s">
        <v>817</v>
      </c>
      <c r="I25" s="20" t="s">
        <v>902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9" t="s">
        <v>894</v>
      </c>
      <c r="B26" s="1" t="s">
        <v>120</v>
      </c>
      <c r="C26" s="1" t="s">
        <v>121</v>
      </c>
      <c r="D26" s="1">
        <v>9.15925326E8</v>
      </c>
      <c r="E26" s="1" t="s">
        <v>6</v>
      </c>
      <c r="F26" s="20" t="s">
        <v>813</v>
      </c>
      <c r="G26" s="20" t="s">
        <v>814</v>
      </c>
      <c r="H26" s="20" t="s">
        <v>817</v>
      </c>
      <c r="I26" s="11"/>
    </row>
    <row r="27">
      <c r="A27" s="19" t="s">
        <v>894</v>
      </c>
      <c r="B27" s="11" t="s">
        <v>748</v>
      </c>
      <c r="C27" s="11" t="s">
        <v>749</v>
      </c>
      <c r="D27" s="12">
        <v>9.85936826E8</v>
      </c>
      <c r="E27" s="11" t="s">
        <v>9</v>
      </c>
      <c r="F27" s="20" t="s">
        <v>813</v>
      </c>
      <c r="G27" s="20" t="s">
        <v>811</v>
      </c>
      <c r="H27" s="20" t="s">
        <v>817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9" t="s">
        <v>894</v>
      </c>
      <c r="B28" s="11" t="s">
        <v>776</v>
      </c>
      <c r="C28" s="11" t="s">
        <v>777</v>
      </c>
      <c r="D28" s="12">
        <f>+251979510730</f>
        <v>251979510730</v>
      </c>
      <c r="E28" s="11" t="s">
        <v>9</v>
      </c>
      <c r="F28" s="20" t="s">
        <v>813</v>
      </c>
      <c r="G28" s="20" t="s">
        <v>811</v>
      </c>
      <c r="H28" s="20" t="s">
        <v>817</v>
      </c>
      <c r="I28" s="20" t="s">
        <v>903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9" t="s">
        <v>894</v>
      </c>
      <c r="B29" s="11" t="s">
        <v>785</v>
      </c>
      <c r="C29" s="11" t="s">
        <v>786</v>
      </c>
      <c r="D29" s="12" t="s">
        <v>787</v>
      </c>
      <c r="E29" s="11" t="s">
        <v>9</v>
      </c>
      <c r="F29" s="20" t="s">
        <v>813</v>
      </c>
      <c r="G29" s="20" t="s">
        <v>811</v>
      </c>
      <c r="H29" s="20" t="s">
        <v>817</v>
      </c>
      <c r="I29" s="20" t="s">
        <v>904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9" t="s">
        <v>894</v>
      </c>
      <c r="B30" s="11" t="s">
        <v>791</v>
      </c>
      <c r="C30" s="11" t="s">
        <v>792</v>
      </c>
      <c r="D30" s="12" t="s">
        <v>793</v>
      </c>
      <c r="E30" s="11" t="s">
        <v>9</v>
      </c>
      <c r="F30" s="20" t="s">
        <v>813</v>
      </c>
      <c r="G30" s="20" t="s">
        <v>811</v>
      </c>
      <c r="H30" s="20" t="s">
        <v>817</v>
      </c>
      <c r="I30" s="20" t="s">
        <v>904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9" t="s">
        <v>894</v>
      </c>
      <c r="B31" s="11" t="s">
        <v>799</v>
      </c>
      <c r="C31" s="11" t="s">
        <v>800</v>
      </c>
      <c r="D31" s="12">
        <f>+251912899549</f>
        <v>251912899549</v>
      </c>
      <c r="E31" s="11" t="s">
        <v>9</v>
      </c>
      <c r="F31" s="20" t="s">
        <v>813</v>
      </c>
      <c r="G31" s="20" t="s">
        <v>811</v>
      </c>
      <c r="H31" s="20" t="s">
        <v>817</v>
      </c>
      <c r="I31" s="20" t="s">
        <v>905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9" t="s">
        <v>894</v>
      </c>
      <c r="B32" s="11" t="s">
        <v>670</v>
      </c>
      <c r="C32" s="11" t="s">
        <v>671</v>
      </c>
      <c r="D32" s="12">
        <v>9.16885993E8</v>
      </c>
      <c r="E32" s="11" t="s">
        <v>6</v>
      </c>
      <c r="F32" s="20" t="s">
        <v>813</v>
      </c>
      <c r="G32" s="20" t="s">
        <v>811</v>
      </c>
      <c r="H32" s="20" t="s">
        <v>817</v>
      </c>
      <c r="I32" s="20" t="s">
        <v>906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9" t="s">
        <v>894</v>
      </c>
      <c r="B33" s="11" t="s">
        <v>682</v>
      </c>
      <c r="C33" s="11" t="s">
        <v>683</v>
      </c>
      <c r="D33" s="12">
        <v>9.20839533E8</v>
      </c>
      <c r="E33" s="11" t="s">
        <v>6</v>
      </c>
      <c r="F33" s="20" t="s">
        <v>813</v>
      </c>
      <c r="G33" s="20" t="s">
        <v>811</v>
      </c>
      <c r="H33" s="20" t="s">
        <v>817</v>
      </c>
      <c r="I33" s="20" t="s">
        <v>907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9" t="s">
        <v>894</v>
      </c>
      <c r="B34" s="11" t="s">
        <v>684</v>
      </c>
      <c r="C34" s="11" t="s">
        <v>685</v>
      </c>
      <c r="D34" s="12">
        <v>9.20877103E8</v>
      </c>
      <c r="E34" s="11" t="s">
        <v>6</v>
      </c>
      <c r="F34" s="20" t="s">
        <v>813</v>
      </c>
      <c r="G34" s="20" t="s">
        <v>811</v>
      </c>
      <c r="H34" s="20" t="s">
        <v>817</v>
      </c>
      <c r="I34" s="20" t="s">
        <v>902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9" t="s">
        <v>894</v>
      </c>
      <c r="B35" s="11" t="s">
        <v>704</v>
      </c>
      <c r="C35" s="11" t="s">
        <v>705</v>
      </c>
      <c r="D35" s="12">
        <v>9.37999584E8</v>
      </c>
      <c r="E35" s="11" t="s">
        <v>6</v>
      </c>
      <c r="F35" s="20" t="s">
        <v>813</v>
      </c>
      <c r="G35" s="20" t="s">
        <v>811</v>
      </c>
      <c r="H35" s="20" t="s">
        <v>817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9" t="s">
        <v>894</v>
      </c>
      <c r="B36" s="11" t="s">
        <v>710</v>
      </c>
      <c r="C36" s="11" t="s">
        <v>711</v>
      </c>
      <c r="D36" s="12">
        <v>9.43403735E8</v>
      </c>
      <c r="E36" s="11" t="s">
        <v>6</v>
      </c>
      <c r="F36" s="20" t="s">
        <v>813</v>
      </c>
      <c r="G36" s="20" t="s">
        <v>811</v>
      </c>
      <c r="H36" s="20" t="s">
        <v>817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9" t="s">
        <v>894</v>
      </c>
      <c r="B37" s="11" t="s">
        <v>712</v>
      </c>
      <c r="C37" s="11" t="s">
        <v>713</v>
      </c>
      <c r="D37" s="12">
        <v>9.4967799E8</v>
      </c>
      <c r="E37" s="11" t="s">
        <v>6</v>
      </c>
      <c r="F37" s="20" t="s">
        <v>813</v>
      </c>
      <c r="G37" s="20" t="s">
        <v>811</v>
      </c>
      <c r="H37" s="20" t="s">
        <v>817</v>
      </c>
      <c r="I37" s="20" t="s">
        <v>908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9" t="s">
        <v>894</v>
      </c>
      <c r="B38" s="11" t="s">
        <v>740</v>
      </c>
      <c r="C38" s="11" t="s">
        <v>741</v>
      </c>
      <c r="D38" s="12">
        <v>9.78624944E8</v>
      </c>
      <c r="E38" s="11" t="s">
        <v>6</v>
      </c>
      <c r="F38" s="20" t="s">
        <v>813</v>
      </c>
      <c r="G38" s="20" t="s">
        <v>811</v>
      </c>
      <c r="H38" s="20" t="s">
        <v>817</v>
      </c>
      <c r="I38" s="20" t="s">
        <v>909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9" t="s">
        <v>894</v>
      </c>
      <c r="B39" s="11" t="s">
        <v>756</v>
      </c>
      <c r="C39" s="11" t="s">
        <v>757</v>
      </c>
      <c r="D39" s="12">
        <f>+251910425896</f>
        <v>251910425896</v>
      </c>
      <c r="E39" s="11" t="s">
        <v>6</v>
      </c>
      <c r="F39" s="20" t="s">
        <v>813</v>
      </c>
      <c r="G39" s="20" t="s">
        <v>811</v>
      </c>
      <c r="H39" s="20" t="s">
        <v>817</v>
      </c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9" t="s">
        <v>894</v>
      </c>
      <c r="B40" s="11" t="s">
        <v>760</v>
      </c>
      <c r="C40" s="11" t="s">
        <v>761</v>
      </c>
      <c r="D40" s="12">
        <f>+251914504386</f>
        <v>251914504386</v>
      </c>
      <c r="E40" s="11" t="s">
        <v>6</v>
      </c>
      <c r="F40" s="20" t="s">
        <v>813</v>
      </c>
      <c r="G40" s="20" t="s">
        <v>811</v>
      </c>
      <c r="H40" s="20" t="s">
        <v>817</v>
      </c>
      <c r="I40" s="20" t="s">
        <v>909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9" t="s">
        <v>894</v>
      </c>
      <c r="B41" s="11" t="s">
        <v>762</v>
      </c>
      <c r="C41" s="11" t="s">
        <v>763</v>
      </c>
      <c r="D41" s="12">
        <f>+251915991324</f>
        <v>251915991324</v>
      </c>
      <c r="E41" s="11" t="s">
        <v>6</v>
      </c>
      <c r="F41" s="20" t="s">
        <v>813</v>
      </c>
      <c r="G41" s="20" t="s">
        <v>811</v>
      </c>
      <c r="H41" s="20" t="s">
        <v>817</v>
      </c>
      <c r="I41" s="20" t="s">
        <v>904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9" t="s">
        <v>894</v>
      </c>
      <c r="B42" s="11" t="s">
        <v>768</v>
      </c>
      <c r="C42" s="11" t="s">
        <v>769</v>
      </c>
      <c r="D42" s="12">
        <f>+251939317585</f>
        <v>251939317585</v>
      </c>
      <c r="E42" s="11" t="s">
        <v>6</v>
      </c>
      <c r="F42" s="20" t="s">
        <v>813</v>
      </c>
      <c r="G42" s="20" t="s">
        <v>811</v>
      </c>
      <c r="H42" s="20" t="s">
        <v>817</v>
      </c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9" t="s">
        <v>894</v>
      </c>
      <c r="B43" s="11" t="s">
        <v>774</v>
      </c>
      <c r="C43" s="11" t="s">
        <v>775</v>
      </c>
      <c r="D43" s="12">
        <f>+251962852102</f>
        <v>251962852102</v>
      </c>
      <c r="E43" s="11" t="s">
        <v>6</v>
      </c>
      <c r="F43" s="20" t="s">
        <v>813</v>
      </c>
      <c r="G43" s="20" t="s">
        <v>811</v>
      </c>
      <c r="H43" s="20" t="s">
        <v>817</v>
      </c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9" t="s">
        <v>894</v>
      </c>
      <c r="B44" s="11" t="s">
        <v>780</v>
      </c>
      <c r="C44" s="11" t="s">
        <v>781</v>
      </c>
      <c r="D44" s="12">
        <v>2.51988910173E11</v>
      </c>
      <c r="E44" s="11" t="s">
        <v>6</v>
      </c>
      <c r="F44" s="20" t="s">
        <v>813</v>
      </c>
      <c r="G44" s="20" t="s">
        <v>811</v>
      </c>
      <c r="H44" s="20" t="s">
        <v>817</v>
      </c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9" t="s">
        <v>894</v>
      </c>
      <c r="B45" s="11" t="s">
        <v>788</v>
      </c>
      <c r="C45" s="11" t="s">
        <v>789</v>
      </c>
      <c r="D45" s="12" t="s">
        <v>790</v>
      </c>
      <c r="E45" s="11" t="s">
        <v>6</v>
      </c>
      <c r="F45" s="20" t="s">
        <v>813</v>
      </c>
      <c r="G45" s="20" t="s">
        <v>811</v>
      </c>
      <c r="H45" s="20" t="s">
        <v>817</v>
      </c>
      <c r="I45" s="20" t="s">
        <v>910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9" t="s">
        <v>894</v>
      </c>
      <c r="B46" s="1" t="s">
        <v>585</v>
      </c>
      <c r="C46" s="1" t="s">
        <v>586</v>
      </c>
      <c r="D46" s="8">
        <f>+251936524911</f>
        <v>251936524911</v>
      </c>
      <c r="E46" s="1" t="s">
        <v>6</v>
      </c>
      <c r="F46" s="20" t="s">
        <v>813</v>
      </c>
      <c r="G46" s="20" t="s">
        <v>811</v>
      </c>
      <c r="H46" s="20" t="s">
        <v>817</v>
      </c>
      <c r="I46" s="20" t="s">
        <v>906</v>
      </c>
    </row>
    <row r="47">
      <c r="A47" s="19" t="s">
        <v>894</v>
      </c>
      <c r="B47" s="1" t="s">
        <v>592</v>
      </c>
      <c r="C47" s="1" t="s">
        <v>311</v>
      </c>
      <c r="D47" s="8">
        <f t="shared" ref="D47:D48" si="1">+251942060536</f>
        <v>251942060536</v>
      </c>
      <c r="E47" s="1" t="s">
        <v>6</v>
      </c>
      <c r="F47" s="20" t="s">
        <v>813</v>
      </c>
      <c r="G47" s="20" t="s">
        <v>811</v>
      </c>
      <c r="H47" s="20" t="s">
        <v>817</v>
      </c>
      <c r="I47" s="20" t="s">
        <v>901</v>
      </c>
    </row>
    <row r="48">
      <c r="A48" s="19" t="s">
        <v>894</v>
      </c>
      <c r="B48" s="1" t="s">
        <v>310</v>
      </c>
      <c r="C48" s="1" t="s">
        <v>593</v>
      </c>
      <c r="D48" s="8">
        <f t="shared" si="1"/>
        <v>251942060536</v>
      </c>
      <c r="E48" s="1" t="s">
        <v>6</v>
      </c>
      <c r="F48" s="20" t="s">
        <v>813</v>
      </c>
      <c r="G48" s="20" t="s">
        <v>811</v>
      </c>
      <c r="H48" s="20" t="s">
        <v>817</v>
      </c>
      <c r="I48" s="20" t="s">
        <v>901</v>
      </c>
    </row>
    <row r="49">
      <c r="A49" s="19" t="s">
        <v>894</v>
      </c>
      <c r="B49" s="1" t="s">
        <v>594</v>
      </c>
      <c r="C49" s="1" t="s">
        <v>595</v>
      </c>
      <c r="D49" s="1">
        <v>2.519430064E11</v>
      </c>
      <c r="E49" s="1" t="s">
        <v>6</v>
      </c>
      <c r="F49" s="20" t="s">
        <v>813</v>
      </c>
      <c r="G49" s="20" t="s">
        <v>811</v>
      </c>
      <c r="H49" s="20" t="s">
        <v>817</v>
      </c>
      <c r="I49" s="20" t="s">
        <v>902</v>
      </c>
    </row>
    <row r="50">
      <c r="A50" s="19" t="s">
        <v>894</v>
      </c>
      <c r="B50" s="1" t="s">
        <v>600</v>
      </c>
      <c r="C50" s="1" t="s">
        <v>601</v>
      </c>
      <c r="D50" s="8">
        <f>+251953269486</f>
        <v>251953269486</v>
      </c>
      <c r="E50" s="1" t="s">
        <v>6</v>
      </c>
      <c r="F50" s="20" t="s">
        <v>813</v>
      </c>
      <c r="G50" s="20" t="s">
        <v>811</v>
      </c>
      <c r="H50" s="20" t="s">
        <v>817</v>
      </c>
      <c r="I50" s="11"/>
    </row>
    <row r="51">
      <c r="A51" s="19" t="s">
        <v>894</v>
      </c>
      <c r="B51" s="1" t="s">
        <v>616</v>
      </c>
      <c r="C51" s="1" t="s">
        <v>617</v>
      </c>
      <c r="D51" s="8">
        <f t="shared" ref="D51:D53" si="2">+251974716421</f>
        <v>251974716421</v>
      </c>
      <c r="E51" s="1" t="s">
        <v>6</v>
      </c>
      <c r="F51" s="20" t="s">
        <v>813</v>
      </c>
      <c r="G51" s="20" t="s">
        <v>811</v>
      </c>
      <c r="H51" s="20" t="s">
        <v>817</v>
      </c>
      <c r="I51" s="20" t="s">
        <v>911</v>
      </c>
    </row>
    <row r="52">
      <c r="A52" s="19" t="s">
        <v>894</v>
      </c>
      <c r="B52" s="1" t="s">
        <v>616</v>
      </c>
      <c r="C52" s="1" t="s">
        <v>617</v>
      </c>
      <c r="D52" s="8">
        <f t="shared" si="2"/>
        <v>251974716421</v>
      </c>
      <c r="E52" s="1" t="s">
        <v>6</v>
      </c>
      <c r="F52" s="20" t="s">
        <v>813</v>
      </c>
      <c r="G52" s="20" t="s">
        <v>811</v>
      </c>
      <c r="H52" s="20" t="s">
        <v>817</v>
      </c>
      <c r="I52" s="20" t="s">
        <v>911</v>
      </c>
    </row>
    <row r="53">
      <c r="A53" s="19" t="s">
        <v>894</v>
      </c>
      <c r="B53" s="1" t="s">
        <v>616</v>
      </c>
      <c r="C53" s="1" t="s">
        <v>617</v>
      </c>
      <c r="D53" s="8">
        <f t="shared" si="2"/>
        <v>251974716421</v>
      </c>
      <c r="E53" s="1" t="s">
        <v>6</v>
      </c>
      <c r="F53" s="20" t="s">
        <v>813</v>
      </c>
      <c r="G53" s="20" t="s">
        <v>811</v>
      </c>
      <c r="H53" s="20" t="s">
        <v>817</v>
      </c>
      <c r="I53" s="20" t="s">
        <v>911</v>
      </c>
    </row>
    <row r="54">
      <c r="A54" s="19" t="s">
        <v>894</v>
      </c>
      <c r="B54" s="1" t="s">
        <v>382</v>
      </c>
      <c r="C54" s="1" t="s">
        <v>383</v>
      </c>
      <c r="D54" s="1">
        <v>9.61040645E8</v>
      </c>
      <c r="E54" s="1" t="s">
        <v>6</v>
      </c>
      <c r="F54" s="20" t="s">
        <v>813</v>
      </c>
      <c r="G54" s="20" t="s">
        <v>811</v>
      </c>
      <c r="H54" s="20" t="s">
        <v>817</v>
      </c>
      <c r="I54" s="11"/>
    </row>
    <row r="55">
      <c r="A55" s="19" t="s">
        <v>894</v>
      </c>
      <c r="B55" s="1" t="s">
        <v>430</v>
      </c>
      <c r="C55" s="1" t="s">
        <v>431</v>
      </c>
      <c r="D55" s="1">
        <v>9.7420916E8</v>
      </c>
      <c r="E55" s="1" t="s">
        <v>6</v>
      </c>
      <c r="F55" s="20" t="s">
        <v>813</v>
      </c>
      <c r="G55" s="20" t="s">
        <v>811</v>
      </c>
      <c r="H55" s="20" t="s">
        <v>817</v>
      </c>
      <c r="I55" s="11"/>
    </row>
    <row r="56">
      <c r="A56" s="19" t="s">
        <v>894</v>
      </c>
      <c r="B56" s="1" t="s">
        <v>26</v>
      </c>
      <c r="C56" s="1" t="s">
        <v>27</v>
      </c>
      <c r="D56" s="1">
        <v>9.03046191E8</v>
      </c>
      <c r="E56" s="1" t="s">
        <v>6</v>
      </c>
      <c r="F56" s="20" t="s">
        <v>813</v>
      </c>
      <c r="G56" s="20" t="s">
        <v>811</v>
      </c>
      <c r="H56" s="20" t="s">
        <v>817</v>
      </c>
      <c r="I56" s="11"/>
    </row>
    <row r="57">
      <c r="A57" s="19" t="s">
        <v>894</v>
      </c>
      <c r="B57" s="1" t="s">
        <v>43</v>
      </c>
      <c r="C57" s="1" t="s">
        <v>44</v>
      </c>
      <c r="D57" s="1">
        <v>9.0865771E8</v>
      </c>
      <c r="E57" s="1" t="s">
        <v>6</v>
      </c>
      <c r="F57" s="20" t="s">
        <v>813</v>
      </c>
      <c r="G57" s="20" t="s">
        <v>811</v>
      </c>
      <c r="H57" s="20" t="s">
        <v>817</v>
      </c>
      <c r="I57" s="20" t="s">
        <v>912</v>
      </c>
    </row>
    <row r="58">
      <c r="A58" s="19" t="s">
        <v>894</v>
      </c>
      <c r="B58" s="1" t="s">
        <v>51</v>
      </c>
      <c r="C58" s="1" t="s">
        <v>52</v>
      </c>
      <c r="D58" s="1">
        <v>9.10211635E8</v>
      </c>
      <c r="E58" s="1" t="s">
        <v>6</v>
      </c>
      <c r="F58" s="20" t="s">
        <v>813</v>
      </c>
      <c r="G58" s="20" t="s">
        <v>811</v>
      </c>
      <c r="H58" s="20" t="s">
        <v>817</v>
      </c>
      <c r="I58" s="11"/>
    </row>
    <row r="59">
      <c r="A59" s="19" t="s">
        <v>894</v>
      </c>
      <c r="B59" s="1" t="s">
        <v>108</v>
      </c>
      <c r="C59" s="1" t="s">
        <v>109</v>
      </c>
      <c r="D59" s="1">
        <v>9.13918386E8</v>
      </c>
      <c r="E59" s="1" t="s">
        <v>6</v>
      </c>
      <c r="F59" s="20" t="s">
        <v>813</v>
      </c>
      <c r="G59" s="20" t="s">
        <v>811</v>
      </c>
      <c r="H59" s="20" t="s">
        <v>817</v>
      </c>
      <c r="I59" s="11"/>
    </row>
    <row r="60">
      <c r="A60" s="19" t="s">
        <v>894</v>
      </c>
      <c r="B60" s="1" t="s">
        <v>126</v>
      </c>
      <c r="C60" s="1" t="s">
        <v>127</v>
      </c>
      <c r="D60" s="1">
        <v>9.16393461E8</v>
      </c>
      <c r="E60" s="1" t="s">
        <v>6</v>
      </c>
      <c r="F60" s="20" t="s">
        <v>813</v>
      </c>
      <c r="G60" s="20" t="s">
        <v>811</v>
      </c>
      <c r="H60" s="20" t="s">
        <v>817</v>
      </c>
      <c r="I60" s="11"/>
    </row>
    <row r="61">
      <c r="A61" s="19" t="s">
        <v>894</v>
      </c>
      <c r="B61" s="1" t="s">
        <v>136</v>
      </c>
      <c r="C61" s="1" t="s">
        <v>135</v>
      </c>
      <c r="D61" s="1">
        <v>9.17035609E8</v>
      </c>
      <c r="E61" s="1" t="s">
        <v>6</v>
      </c>
      <c r="F61" s="20" t="s">
        <v>813</v>
      </c>
      <c r="G61" s="20" t="s">
        <v>811</v>
      </c>
      <c r="H61" s="20" t="s">
        <v>817</v>
      </c>
      <c r="I61" s="11"/>
    </row>
    <row r="62">
      <c r="A62" s="19" t="s">
        <v>894</v>
      </c>
      <c r="B62" s="1" t="s">
        <v>142</v>
      </c>
      <c r="C62" s="1" t="s">
        <v>143</v>
      </c>
      <c r="D62" s="1">
        <v>9.17843917E8</v>
      </c>
      <c r="E62" s="1" t="s">
        <v>6</v>
      </c>
      <c r="F62" s="20" t="s">
        <v>813</v>
      </c>
      <c r="G62" s="20" t="s">
        <v>811</v>
      </c>
      <c r="H62" s="20" t="s">
        <v>817</v>
      </c>
      <c r="I62" s="11"/>
    </row>
    <row r="63">
      <c r="A63" s="19" t="s">
        <v>894</v>
      </c>
      <c r="B63" s="1" t="s">
        <v>184</v>
      </c>
      <c r="C63" s="1" t="s">
        <v>185</v>
      </c>
      <c r="D63" s="1">
        <v>9.2034436E8</v>
      </c>
      <c r="E63" s="1" t="s">
        <v>6</v>
      </c>
      <c r="F63" s="20" t="s">
        <v>813</v>
      </c>
      <c r="G63" s="20" t="s">
        <v>811</v>
      </c>
      <c r="H63" s="20" t="s">
        <v>817</v>
      </c>
      <c r="I63" s="20" t="s">
        <v>913</v>
      </c>
    </row>
    <row r="64">
      <c r="A64" s="19" t="s">
        <v>894</v>
      </c>
      <c r="B64" s="1" t="s">
        <v>190</v>
      </c>
      <c r="C64" s="1" t="s">
        <v>191</v>
      </c>
      <c r="D64" s="1">
        <v>9.20796264E8</v>
      </c>
      <c r="E64" s="1" t="s">
        <v>6</v>
      </c>
      <c r="F64" s="20" t="s">
        <v>813</v>
      </c>
      <c r="G64" s="20" t="s">
        <v>811</v>
      </c>
      <c r="H64" s="20" t="s">
        <v>817</v>
      </c>
      <c r="I64" s="11"/>
    </row>
    <row r="65">
      <c r="A65" s="19" t="s">
        <v>894</v>
      </c>
      <c r="B65" s="1" t="s">
        <v>194</v>
      </c>
      <c r="C65" s="1" t="s">
        <v>195</v>
      </c>
      <c r="D65" s="1">
        <v>9.21169088E8</v>
      </c>
      <c r="E65" s="1" t="s">
        <v>6</v>
      </c>
      <c r="F65" s="20" t="s">
        <v>813</v>
      </c>
      <c r="G65" s="20" t="s">
        <v>811</v>
      </c>
      <c r="H65" s="20" t="s">
        <v>817</v>
      </c>
      <c r="I65" s="11"/>
    </row>
    <row r="66">
      <c r="A66" s="19" t="s">
        <v>894</v>
      </c>
      <c r="B66" s="1" t="s">
        <v>632</v>
      </c>
      <c r="C66" s="1" t="s">
        <v>633</v>
      </c>
      <c r="D66" s="1">
        <v>2.519206066012E12</v>
      </c>
      <c r="E66" s="1" t="s">
        <v>6</v>
      </c>
      <c r="F66" s="20" t="s">
        <v>813</v>
      </c>
      <c r="G66" s="20" t="s">
        <v>811</v>
      </c>
      <c r="H66" s="20" t="s">
        <v>817</v>
      </c>
      <c r="I66" s="11"/>
    </row>
    <row r="67">
      <c r="A67" s="19" t="s">
        <v>894</v>
      </c>
      <c r="B67" s="11" t="s">
        <v>708</v>
      </c>
      <c r="C67" s="11" t="s">
        <v>709</v>
      </c>
      <c r="D67" s="12">
        <v>9.40730366E8</v>
      </c>
      <c r="E67" s="11" t="s">
        <v>6</v>
      </c>
      <c r="F67" s="20" t="s">
        <v>813</v>
      </c>
      <c r="G67" s="20" t="s">
        <v>811</v>
      </c>
      <c r="H67" s="20" t="s">
        <v>812</v>
      </c>
      <c r="I67" s="20" t="s">
        <v>914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9" t="s">
        <v>894</v>
      </c>
      <c r="B68" s="1" t="s">
        <v>16</v>
      </c>
      <c r="C68" s="1" t="s">
        <v>17</v>
      </c>
      <c r="D68" s="1">
        <v>9.01192359E8</v>
      </c>
      <c r="E68" s="1" t="s">
        <v>6</v>
      </c>
      <c r="F68" s="20" t="s">
        <v>813</v>
      </c>
      <c r="G68" s="20" t="s">
        <v>811</v>
      </c>
      <c r="H68" s="20" t="s">
        <v>812</v>
      </c>
      <c r="I68" s="20" t="s">
        <v>915</v>
      </c>
    </row>
    <row r="69">
      <c r="A69" s="19" t="s">
        <v>894</v>
      </c>
      <c r="B69" s="1" t="s">
        <v>75</v>
      </c>
      <c r="C69" s="1" t="s">
        <v>76</v>
      </c>
      <c r="D69" s="1">
        <v>9.11565928E8</v>
      </c>
      <c r="E69" s="1" t="s">
        <v>6</v>
      </c>
      <c r="F69" s="20" t="s">
        <v>813</v>
      </c>
      <c r="G69" s="20" t="s">
        <v>811</v>
      </c>
      <c r="H69" s="20" t="s">
        <v>812</v>
      </c>
      <c r="I69" s="20" t="s">
        <v>915</v>
      </c>
    </row>
    <row r="70">
      <c r="A70" s="19" t="s">
        <v>894</v>
      </c>
      <c r="B70" s="1" t="s">
        <v>102</v>
      </c>
      <c r="C70" s="1" t="s">
        <v>103</v>
      </c>
      <c r="D70" s="1">
        <v>9.13826556E8</v>
      </c>
      <c r="E70" s="1" t="s">
        <v>6</v>
      </c>
      <c r="F70" s="20" t="s">
        <v>813</v>
      </c>
      <c r="G70" s="20" t="s">
        <v>811</v>
      </c>
      <c r="H70" s="20" t="s">
        <v>812</v>
      </c>
      <c r="I70" s="20" t="s">
        <v>916</v>
      </c>
    </row>
    <row r="71">
      <c r="A71" s="19" t="s">
        <v>894</v>
      </c>
      <c r="B71" s="1" t="s">
        <v>110</v>
      </c>
      <c r="C71" s="1" t="s">
        <v>111</v>
      </c>
      <c r="D71" s="1">
        <v>9.13929844E8</v>
      </c>
      <c r="E71" s="1" t="s">
        <v>6</v>
      </c>
      <c r="F71" s="20" t="s">
        <v>813</v>
      </c>
      <c r="G71" s="20" t="s">
        <v>811</v>
      </c>
      <c r="H71" s="20" t="s">
        <v>812</v>
      </c>
      <c r="I71" s="20" t="s">
        <v>917</v>
      </c>
    </row>
    <row r="72">
      <c r="A72" s="19" t="s">
        <v>894</v>
      </c>
      <c r="B72" s="11" t="s">
        <v>764</v>
      </c>
      <c r="C72" s="11" t="s">
        <v>765</v>
      </c>
      <c r="D72" s="12">
        <f>+251916627720</f>
        <v>251916627720</v>
      </c>
      <c r="E72" s="11" t="s">
        <v>9</v>
      </c>
      <c r="F72" s="20" t="s">
        <v>813</v>
      </c>
      <c r="G72" s="20" t="s">
        <v>835</v>
      </c>
      <c r="H72" s="20" t="s">
        <v>868</v>
      </c>
      <c r="I72" s="20" t="s">
        <v>918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9" t="s">
        <v>894</v>
      </c>
      <c r="B73" s="11" t="s">
        <v>634</v>
      </c>
      <c r="C73" s="11" t="s">
        <v>635</v>
      </c>
      <c r="D73" s="12">
        <v>9.00359283E8</v>
      </c>
      <c r="E73" s="11" t="s">
        <v>6</v>
      </c>
      <c r="F73" s="20" t="s">
        <v>813</v>
      </c>
      <c r="G73" s="20" t="s">
        <v>835</v>
      </c>
      <c r="H73" s="20" t="s">
        <v>868</v>
      </c>
      <c r="I73" s="20" t="s">
        <v>919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9" t="s">
        <v>894</v>
      </c>
      <c r="B74" s="11" t="s">
        <v>720</v>
      </c>
      <c r="C74" s="11" t="s">
        <v>721</v>
      </c>
      <c r="D74" s="12">
        <v>9.61506552E8</v>
      </c>
      <c r="E74" s="11" t="s">
        <v>6</v>
      </c>
      <c r="F74" s="20" t="s">
        <v>813</v>
      </c>
      <c r="G74" s="20" t="s">
        <v>835</v>
      </c>
      <c r="H74" s="20" t="s">
        <v>868</v>
      </c>
      <c r="I74" s="20" t="s">
        <v>920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9" t="s">
        <v>894</v>
      </c>
      <c r="B75" s="11" t="s">
        <v>770</v>
      </c>
      <c r="C75" s="11" t="s">
        <v>771</v>
      </c>
      <c r="D75" s="12">
        <f>+251945068314</f>
        <v>251945068314</v>
      </c>
      <c r="E75" s="11" t="s">
        <v>6</v>
      </c>
      <c r="F75" s="20" t="s">
        <v>813</v>
      </c>
      <c r="G75" s="20" t="s">
        <v>835</v>
      </c>
      <c r="H75" s="20" t="s">
        <v>868</v>
      </c>
      <c r="I75" s="20" t="s">
        <v>920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9" t="s">
        <v>894</v>
      </c>
      <c r="B76" s="1" t="s">
        <v>73</v>
      </c>
      <c r="C76" s="1" t="s">
        <v>74</v>
      </c>
      <c r="D76" s="1">
        <v>9.11560266E8</v>
      </c>
      <c r="E76" s="1" t="s">
        <v>6</v>
      </c>
      <c r="F76" s="20" t="s">
        <v>813</v>
      </c>
      <c r="G76" s="20" t="s">
        <v>835</v>
      </c>
      <c r="H76" s="20" t="s">
        <v>868</v>
      </c>
      <c r="I76" s="20" t="s">
        <v>920</v>
      </c>
    </row>
    <row r="77">
      <c r="A77" s="19" t="s">
        <v>894</v>
      </c>
      <c r="B77" s="1" t="s">
        <v>73</v>
      </c>
      <c r="C77" s="1" t="s">
        <v>74</v>
      </c>
      <c r="D77" s="1">
        <v>9.11560266E8</v>
      </c>
      <c r="E77" s="1" t="s">
        <v>6</v>
      </c>
      <c r="F77" s="20" t="s">
        <v>813</v>
      </c>
      <c r="G77" s="20" t="s">
        <v>835</v>
      </c>
      <c r="H77" s="20" t="s">
        <v>868</v>
      </c>
      <c r="I77" s="20" t="s">
        <v>900</v>
      </c>
    </row>
    <row r="78">
      <c r="A78" s="19" t="s">
        <v>894</v>
      </c>
      <c r="B78" s="1" t="s">
        <v>388</v>
      </c>
      <c r="C78" s="1" t="s">
        <v>389</v>
      </c>
      <c r="D78" s="1">
        <v>9.63337138E8</v>
      </c>
      <c r="E78" s="1" t="s">
        <v>6</v>
      </c>
      <c r="F78" s="20" t="s">
        <v>813</v>
      </c>
      <c r="G78" s="20" t="s">
        <v>835</v>
      </c>
      <c r="H78" s="20" t="s">
        <v>869</v>
      </c>
      <c r="I78" s="20" t="s">
        <v>899</v>
      </c>
    </row>
    <row r="79">
      <c r="A79" s="19" t="s">
        <v>894</v>
      </c>
      <c r="B79" s="1" t="s">
        <v>409</v>
      </c>
      <c r="C79" s="1" t="s">
        <v>410</v>
      </c>
      <c r="D79" s="1">
        <v>9.7040937E8</v>
      </c>
      <c r="E79" s="1" t="s">
        <v>6</v>
      </c>
      <c r="F79" s="20" t="s">
        <v>813</v>
      </c>
      <c r="G79" s="20" t="s">
        <v>835</v>
      </c>
      <c r="H79" s="20" t="s">
        <v>869</v>
      </c>
      <c r="I79" s="20" t="s">
        <v>921</v>
      </c>
    </row>
    <row r="80">
      <c r="A80" s="19" t="s">
        <v>894</v>
      </c>
      <c r="B80" s="1" t="s">
        <v>85</v>
      </c>
      <c r="C80" s="1" t="s">
        <v>86</v>
      </c>
      <c r="D80" s="1">
        <v>9.12354983E8</v>
      </c>
      <c r="E80" s="1" t="s">
        <v>6</v>
      </c>
      <c r="F80" s="20" t="s">
        <v>813</v>
      </c>
      <c r="G80" s="20" t="s">
        <v>835</v>
      </c>
      <c r="H80" s="20" t="s">
        <v>869</v>
      </c>
      <c r="I80" s="11"/>
    </row>
    <row r="81">
      <c r="A81" s="19" t="s">
        <v>894</v>
      </c>
      <c r="B81" s="1" t="s">
        <v>95</v>
      </c>
      <c r="C81" s="1" t="s">
        <v>96</v>
      </c>
      <c r="D81" s="1">
        <v>9.13052513E8</v>
      </c>
      <c r="E81" s="1" t="s">
        <v>6</v>
      </c>
      <c r="F81" s="20" t="s">
        <v>813</v>
      </c>
      <c r="G81" s="20" t="s">
        <v>835</v>
      </c>
      <c r="H81" s="20" t="s">
        <v>869</v>
      </c>
      <c r="I81" s="20" t="s">
        <v>916</v>
      </c>
    </row>
    <row r="82">
      <c r="A82" s="19" t="s">
        <v>894</v>
      </c>
      <c r="B82" s="1" t="s">
        <v>114</v>
      </c>
      <c r="C82" s="1" t="s">
        <v>115</v>
      </c>
      <c r="D82" s="1">
        <v>9.15044565E8</v>
      </c>
      <c r="E82" s="1" t="s">
        <v>6</v>
      </c>
      <c r="F82" s="20" t="s">
        <v>813</v>
      </c>
      <c r="G82" s="20" t="s">
        <v>835</v>
      </c>
      <c r="H82" s="20" t="s">
        <v>869</v>
      </c>
      <c r="I82" s="20" t="s">
        <v>922</v>
      </c>
    </row>
    <row r="83">
      <c r="A83" s="19" t="s">
        <v>894</v>
      </c>
      <c r="B83" s="1" t="s">
        <v>426</v>
      </c>
      <c r="C83" s="1" t="s">
        <v>427</v>
      </c>
      <c r="D83" s="1">
        <v>9.73971343E8</v>
      </c>
      <c r="E83" s="1" t="s">
        <v>6</v>
      </c>
      <c r="F83" s="20" t="s">
        <v>813</v>
      </c>
      <c r="G83" s="20" t="s">
        <v>835</v>
      </c>
      <c r="H83" s="20" t="s">
        <v>869</v>
      </c>
      <c r="I83" s="11"/>
    </row>
    <row r="84">
      <c r="A84" s="19" t="s">
        <v>894</v>
      </c>
      <c r="B84" s="1" t="s">
        <v>163</v>
      </c>
      <c r="C84" s="1" t="s">
        <v>165</v>
      </c>
      <c r="D84" s="1">
        <v>9.19434715E8</v>
      </c>
      <c r="E84" s="1" t="s">
        <v>6</v>
      </c>
      <c r="F84" s="20" t="s">
        <v>813</v>
      </c>
      <c r="G84" s="20" t="s">
        <v>835</v>
      </c>
      <c r="H84" s="20" t="s">
        <v>869</v>
      </c>
      <c r="I84" s="11"/>
    </row>
    <row r="85">
      <c r="A85" s="19" t="s">
        <v>894</v>
      </c>
      <c r="B85" s="1" t="s">
        <v>163</v>
      </c>
      <c r="C85" s="1" t="s">
        <v>165</v>
      </c>
      <c r="D85" s="1">
        <v>9.19434715E8</v>
      </c>
      <c r="E85" s="1" t="s">
        <v>6</v>
      </c>
      <c r="F85" s="20" t="s">
        <v>813</v>
      </c>
      <c r="G85" s="20" t="s">
        <v>835</v>
      </c>
      <c r="H85" s="20" t="s">
        <v>869</v>
      </c>
      <c r="I85" s="20" t="s">
        <v>900</v>
      </c>
    </row>
    <row r="86">
      <c r="A86" s="19" t="s">
        <v>894</v>
      </c>
      <c r="B86" s="11" t="s">
        <v>750</v>
      </c>
      <c r="C86" s="11" t="s">
        <v>751</v>
      </c>
      <c r="D86" s="12">
        <v>9.88823957E8</v>
      </c>
      <c r="E86" s="11" t="s">
        <v>9</v>
      </c>
      <c r="F86" s="20" t="s">
        <v>837</v>
      </c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9" t="s">
        <v>894</v>
      </c>
      <c r="B87" s="11" t="s">
        <v>754</v>
      </c>
      <c r="C87" s="11" t="s">
        <v>755</v>
      </c>
      <c r="D87" s="12">
        <f>+251910234171</f>
        <v>251910234171</v>
      </c>
      <c r="E87" s="11" t="s">
        <v>9</v>
      </c>
      <c r="F87" s="20" t="s">
        <v>837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9" t="s">
        <v>894</v>
      </c>
      <c r="B88" s="11" t="s">
        <v>796</v>
      </c>
      <c r="C88" s="11" t="s">
        <v>797</v>
      </c>
      <c r="D88" s="12" t="s">
        <v>798</v>
      </c>
      <c r="E88" s="11" t="s">
        <v>9</v>
      </c>
      <c r="F88" s="20" t="s">
        <v>837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9" t="s">
        <v>894</v>
      </c>
      <c r="B89" s="11" t="s">
        <v>660</v>
      </c>
      <c r="C89" s="11" t="s">
        <v>661</v>
      </c>
      <c r="D89" s="12">
        <v>9.14913141E8</v>
      </c>
      <c r="E89" s="11" t="s">
        <v>6</v>
      </c>
      <c r="F89" s="20" t="s">
        <v>837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9" t="s">
        <v>894</v>
      </c>
      <c r="B90" s="11" t="s">
        <v>674</v>
      </c>
      <c r="C90" s="11" t="s">
        <v>675</v>
      </c>
      <c r="D90" s="12">
        <v>9.17865689E8</v>
      </c>
      <c r="E90" s="11" t="s">
        <v>6</v>
      </c>
      <c r="F90" s="20" t="s">
        <v>837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9" t="s">
        <v>894</v>
      </c>
      <c r="B91" s="1" t="s">
        <v>413</v>
      </c>
      <c r="C91" s="1" t="s">
        <v>414</v>
      </c>
      <c r="D91" s="1">
        <v>9.72111313E8</v>
      </c>
      <c r="E91" s="1" t="s">
        <v>6</v>
      </c>
      <c r="F91" s="20" t="s">
        <v>837</v>
      </c>
      <c r="G91" s="11"/>
      <c r="H91" s="11"/>
      <c r="I91" s="11"/>
    </row>
    <row r="92">
      <c r="A92" s="19" t="s">
        <v>894</v>
      </c>
      <c r="B92" s="1" t="s">
        <v>417</v>
      </c>
      <c r="C92" s="1" t="s">
        <v>418</v>
      </c>
      <c r="D92" s="1">
        <v>9.72629491E8</v>
      </c>
      <c r="E92" s="1" t="s">
        <v>6</v>
      </c>
      <c r="F92" s="20" t="s">
        <v>837</v>
      </c>
      <c r="G92" s="11"/>
      <c r="H92" s="11"/>
      <c r="I92" s="11"/>
    </row>
    <row r="93">
      <c r="A93" s="19" t="s">
        <v>894</v>
      </c>
      <c r="B93" s="1" t="s">
        <v>18</v>
      </c>
      <c r="C93" s="1" t="s">
        <v>19</v>
      </c>
      <c r="D93" s="1">
        <v>9.01934597E8</v>
      </c>
      <c r="E93" s="1" t="s">
        <v>6</v>
      </c>
      <c r="F93" s="20" t="s">
        <v>837</v>
      </c>
      <c r="G93" s="11"/>
      <c r="H93" s="11"/>
      <c r="I93" s="11"/>
    </row>
    <row r="94">
      <c r="A94" s="19" t="s">
        <v>894</v>
      </c>
      <c r="B94" s="1" t="s">
        <v>55</v>
      </c>
      <c r="C94" s="1" t="s">
        <v>56</v>
      </c>
      <c r="D94" s="1">
        <v>9.10406998E8</v>
      </c>
      <c r="E94" s="1" t="s">
        <v>6</v>
      </c>
      <c r="F94" s="20" t="s">
        <v>837</v>
      </c>
      <c r="G94" s="11"/>
      <c r="H94" s="11"/>
      <c r="I94" s="11"/>
    </row>
    <row r="95">
      <c r="A95" s="19" t="s">
        <v>894</v>
      </c>
      <c r="B95" s="1" t="s">
        <v>87</v>
      </c>
      <c r="C95" s="1" t="s">
        <v>88</v>
      </c>
      <c r="D95" s="1">
        <v>9.12388939E8</v>
      </c>
      <c r="E95" s="1" t="s">
        <v>6</v>
      </c>
      <c r="F95" s="20" t="s">
        <v>837</v>
      </c>
      <c r="G95" s="11"/>
      <c r="H95" s="11"/>
      <c r="I95" s="11"/>
    </row>
    <row r="96">
      <c r="A96" s="19" t="s">
        <v>894</v>
      </c>
      <c r="B96" s="1" t="s">
        <v>159</v>
      </c>
      <c r="C96" s="1" t="s">
        <v>160</v>
      </c>
      <c r="D96" s="1">
        <v>9.19324653E8</v>
      </c>
      <c r="E96" s="1" t="s">
        <v>6</v>
      </c>
      <c r="F96" s="20" t="s">
        <v>837</v>
      </c>
      <c r="G96" s="11"/>
      <c r="H96" s="11"/>
      <c r="I96" s="11"/>
    </row>
    <row r="97">
      <c r="A97" s="19" t="s">
        <v>894</v>
      </c>
      <c r="B97" s="1" t="s">
        <v>196</v>
      </c>
      <c r="C97" s="1" t="s">
        <v>197</v>
      </c>
      <c r="D97" s="1">
        <v>9.21669088E8</v>
      </c>
      <c r="E97" s="1" t="s">
        <v>6</v>
      </c>
      <c r="F97" s="20" t="s">
        <v>837</v>
      </c>
      <c r="G97" s="11"/>
      <c r="H97" s="11"/>
    </row>
    <row r="98">
      <c r="A98" s="19" t="s">
        <v>894</v>
      </c>
      <c r="B98" s="11" t="s">
        <v>766</v>
      </c>
      <c r="C98" s="11" t="s">
        <v>767</v>
      </c>
      <c r="D98" s="12">
        <f>+251928103217</f>
        <v>251928103217</v>
      </c>
      <c r="E98" s="11" t="s">
        <v>9</v>
      </c>
      <c r="F98" s="20" t="s">
        <v>838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9" t="s">
        <v>894</v>
      </c>
      <c r="B99" s="11" t="s">
        <v>778</v>
      </c>
      <c r="C99" s="11" t="s">
        <v>779</v>
      </c>
      <c r="D99" s="12">
        <f>+251988788388</f>
        <v>251988788388</v>
      </c>
      <c r="E99" s="11" t="s">
        <v>9</v>
      </c>
      <c r="F99" s="20" t="s">
        <v>838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9" t="s">
        <v>894</v>
      </c>
      <c r="B100" s="11" t="s">
        <v>642</v>
      </c>
      <c r="C100" s="11" t="s">
        <v>643</v>
      </c>
      <c r="D100" s="12">
        <v>9.04636052E8</v>
      </c>
      <c r="E100" s="11" t="s">
        <v>6</v>
      </c>
      <c r="F100" s="20" t="s">
        <v>838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9" t="s">
        <v>894</v>
      </c>
      <c r="B101" s="11" t="s">
        <v>696</v>
      </c>
      <c r="C101" s="11" t="s">
        <v>697</v>
      </c>
      <c r="D101" s="12">
        <v>9.33350825E8</v>
      </c>
      <c r="E101" s="11" t="s">
        <v>6</v>
      </c>
      <c r="F101" s="20" t="s">
        <v>838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9" t="s">
        <v>894</v>
      </c>
      <c r="B102" s="11" t="s">
        <v>702</v>
      </c>
      <c r="C102" s="11" t="s">
        <v>703</v>
      </c>
      <c r="D102" s="12">
        <v>9.3691772E8</v>
      </c>
      <c r="E102" s="11" t="s">
        <v>6</v>
      </c>
      <c r="F102" s="20" t="s">
        <v>838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9" t="s">
        <v>894</v>
      </c>
      <c r="B103" s="11" t="s">
        <v>728</v>
      </c>
      <c r="C103" s="11" t="s">
        <v>729</v>
      </c>
      <c r="D103" s="12">
        <v>9.7046705E8</v>
      </c>
      <c r="E103" s="11" t="s">
        <v>6</v>
      </c>
      <c r="F103" s="20" t="s">
        <v>838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9" t="s">
        <v>894</v>
      </c>
      <c r="B104" s="11" t="s">
        <v>758</v>
      </c>
      <c r="C104" s="11" t="s">
        <v>759</v>
      </c>
      <c r="D104" s="12">
        <v>2.51913202004E11</v>
      </c>
      <c r="E104" s="11" t="s">
        <v>6</v>
      </c>
      <c r="F104" s="20" t="s">
        <v>838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9" t="s">
        <v>894</v>
      </c>
      <c r="B105" s="1" t="s">
        <v>614</v>
      </c>
      <c r="C105" s="1" t="s">
        <v>615</v>
      </c>
      <c r="D105" s="8">
        <f>+251970635968</f>
        <v>251970635968</v>
      </c>
      <c r="E105" s="1" t="s">
        <v>6</v>
      </c>
      <c r="F105" s="20" t="s">
        <v>838</v>
      </c>
      <c r="G105" s="11"/>
      <c r="H105" s="11"/>
      <c r="I105" s="11"/>
    </row>
    <row r="106">
      <c r="A106" s="19" t="s">
        <v>894</v>
      </c>
      <c r="B106" s="1" t="s">
        <v>624</v>
      </c>
      <c r="C106" s="1" t="s">
        <v>625</v>
      </c>
      <c r="D106" s="8">
        <f>+251991051810</f>
        <v>251991051810</v>
      </c>
      <c r="E106" s="1" t="s">
        <v>6</v>
      </c>
      <c r="F106" s="20" t="s">
        <v>838</v>
      </c>
      <c r="G106" s="11"/>
      <c r="H106" s="11"/>
      <c r="I106" s="11"/>
    </row>
    <row r="107">
      <c r="A107" s="19" t="s">
        <v>894</v>
      </c>
      <c r="B107" s="1" t="s">
        <v>399</v>
      </c>
      <c r="C107" s="1" t="s">
        <v>400</v>
      </c>
      <c r="D107" s="1">
        <v>9.662638E8</v>
      </c>
      <c r="E107" s="1" t="s">
        <v>6</v>
      </c>
      <c r="F107" s="20" t="s">
        <v>838</v>
      </c>
      <c r="G107" s="11"/>
      <c r="H107" s="11"/>
      <c r="I107" s="11"/>
    </row>
    <row r="108">
      <c r="A108" s="19" t="s">
        <v>894</v>
      </c>
      <c r="B108" s="1" t="s">
        <v>40</v>
      </c>
      <c r="C108" s="1" t="s">
        <v>41</v>
      </c>
      <c r="D108" s="1">
        <v>9.07429837E8</v>
      </c>
      <c r="E108" s="1" t="s">
        <v>6</v>
      </c>
      <c r="F108" s="20" t="s">
        <v>838</v>
      </c>
      <c r="G108" s="11"/>
      <c r="H108" s="11"/>
      <c r="I108" s="11"/>
    </row>
    <row r="109">
      <c r="A109" s="19" t="s">
        <v>894</v>
      </c>
      <c r="B109" s="1" t="s">
        <v>45</v>
      </c>
      <c r="C109" s="1" t="s">
        <v>46</v>
      </c>
      <c r="D109" s="1">
        <v>9.09047513E8</v>
      </c>
      <c r="E109" s="1" t="s">
        <v>6</v>
      </c>
      <c r="F109" s="20" t="s">
        <v>838</v>
      </c>
      <c r="G109" s="11"/>
      <c r="H109" s="11"/>
      <c r="I109" s="11"/>
    </row>
    <row r="110">
      <c r="A110" s="19" t="s">
        <v>894</v>
      </c>
      <c r="B110" s="1" t="s">
        <v>67</v>
      </c>
      <c r="C110" s="1" t="s">
        <v>68</v>
      </c>
      <c r="D110" s="1">
        <v>9.11337511E8</v>
      </c>
      <c r="E110" s="1" t="s">
        <v>6</v>
      </c>
      <c r="F110" s="20" t="s">
        <v>838</v>
      </c>
      <c r="G110" s="11"/>
      <c r="H110" s="11"/>
      <c r="I110" s="11"/>
    </row>
    <row r="111">
      <c r="A111" s="19" t="s">
        <v>894</v>
      </c>
      <c r="B111" s="1" t="s">
        <v>91</v>
      </c>
      <c r="C111" s="1" t="s">
        <v>92</v>
      </c>
      <c r="D111" s="1">
        <v>9.12666159E8</v>
      </c>
      <c r="E111" s="1" t="s">
        <v>6</v>
      </c>
      <c r="F111" s="20" t="s">
        <v>838</v>
      </c>
      <c r="G111" s="11"/>
      <c r="H111" s="11"/>
      <c r="I111" s="11"/>
    </row>
    <row r="112">
      <c r="A112" s="19" t="s">
        <v>894</v>
      </c>
      <c r="B112" s="1" t="s">
        <v>93</v>
      </c>
      <c r="C112" s="1" t="s">
        <v>94</v>
      </c>
      <c r="D112" s="1">
        <v>9.12974953E8</v>
      </c>
      <c r="E112" s="1" t="s">
        <v>6</v>
      </c>
      <c r="F112" s="20" t="s">
        <v>838</v>
      </c>
      <c r="G112" s="11"/>
      <c r="H112" s="11"/>
      <c r="I112" s="11"/>
    </row>
    <row r="113">
      <c r="A113" s="19" t="s">
        <v>894</v>
      </c>
      <c r="B113" s="1" t="s">
        <v>124</v>
      </c>
      <c r="C113" s="1" t="s">
        <v>125</v>
      </c>
      <c r="D113" s="1">
        <v>9.16073223E8</v>
      </c>
      <c r="E113" s="1" t="s">
        <v>6</v>
      </c>
      <c r="F113" s="20" t="s">
        <v>838</v>
      </c>
      <c r="G113" s="11"/>
      <c r="H113" s="11"/>
      <c r="I113" s="11"/>
    </row>
    <row r="114">
      <c r="A114" s="19" t="s">
        <v>894</v>
      </c>
      <c r="B114" s="11" t="s">
        <v>794</v>
      </c>
      <c r="C114" s="11" t="s">
        <v>795</v>
      </c>
      <c r="D114" s="12">
        <v>9.54941883E8</v>
      </c>
      <c r="E114" s="11" t="s">
        <v>9</v>
      </c>
      <c r="F114" s="20" t="s">
        <v>893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9" t="s">
        <v>894</v>
      </c>
      <c r="B115" s="1" t="s">
        <v>606</v>
      </c>
      <c r="C115" s="1" t="s">
        <v>607</v>
      </c>
      <c r="D115" s="8">
        <f>+251955132684</f>
        <v>251955132684</v>
      </c>
      <c r="E115" s="1" t="s">
        <v>6</v>
      </c>
      <c r="F115" s="20" t="s">
        <v>893</v>
      </c>
      <c r="G115" s="11"/>
      <c r="H115" s="11"/>
      <c r="I115" s="11"/>
    </row>
    <row r="116">
      <c r="A116" s="19" t="s">
        <v>894</v>
      </c>
      <c r="B116" s="1" t="s">
        <v>628</v>
      </c>
      <c r="C116" s="1" t="s">
        <v>629</v>
      </c>
      <c r="D116" s="8">
        <f>+2510910074339</f>
        <v>2510910074339</v>
      </c>
      <c r="E116" s="1" t="s">
        <v>6</v>
      </c>
      <c r="F116" s="20" t="s">
        <v>893</v>
      </c>
      <c r="G116" s="11"/>
      <c r="H116" s="11"/>
      <c r="I116" s="11"/>
    </row>
  </sheetData>
  <conditionalFormatting sqref="F1:F949">
    <cfRule type="notContainsBlanks" dxfId="0" priority="1">
      <formula>LEN(TRIM(F1))&gt;0</formula>
    </cfRule>
  </conditionalFormatting>
  <dataValidations>
    <dataValidation type="list" allowBlank="1" showErrorMessage="1" sqref="G2:G116">
      <formula1>"YES,NO,MAYBE"</formula1>
    </dataValidation>
    <dataValidation type="list" allowBlank="1" showErrorMessage="1" sqref="F2:F116">
      <formula1>"Reached,Not Picking Up,Phone Not Working,Wrong Person,Not Yet Called,Wrong Number,Busy "</formula1>
    </dataValidation>
    <dataValidation type="list" allowBlank="1" showErrorMessage="1" sqref="H2:H116">
      <formula1>"They will come,Not coming,Not in Addis,Unabel to talk,Not sure"</formula1>
    </dataValidation>
    <dataValidation type="list" allowBlank="1" showErrorMessage="1" sqref="A2:A116">
      <formula1>"Abeba,Dagmawi,Eyerusalem,Girumsew,Tsedenia,Yosef,Nati,Haemnen"</formula1>
    </dataValidation>
  </dataValidations>
  <hyperlinks>
    <hyperlink r:id="rId1" ref="B14"/>
  </hyperlinks>
  <drawing r:id="rId2"/>
</worksheet>
</file>