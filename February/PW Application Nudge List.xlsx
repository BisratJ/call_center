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W - All" sheetId="1" r:id="rId4"/>
    <sheet state="visible" name="PW - Inprogress" sheetId="2" r:id="rId5"/>
    <sheet state="visible" name="All in one" sheetId="3" r:id="rId6"/>
    <sheet state="visible" name="Yosef" sheetId="4" r:id="rId7"/>
    <sheet state="visible" name="Tsedeniya" sheetId="5" r:id="rId8"/>
    <sheet state="visible" name="Girum" sheetId="6" r:id="rId9"/>
    <sheet state="visible" name="Heyman" sheetId="7" r:id="rId10"/>
    <sheet state="visible" name="Uncalled" sheetId="8" r:id="rId11"/>
  </sheets>
  <definedNames/>
  <calcPr/>
</workbook>
</file>

<file path=xl/sharedStrings.xml><?xml version="1.0" encoding="utf-8"?>
<sst xmlns="http://schemas.openxmlformats.org/spreadsheetml/2006/main" count="49720" uniqueCount="9006">
  <si>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</si>
  <si>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</si>
  <si>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</si>
  <si>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</si>
  <si>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</si>
  <si>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</si>
  <si>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</si>
  <si>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</si>
  <si>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</si>
  <si>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</si>
  <si>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</si>
  <si>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</si>
  <si>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</si>
  <si>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</si>
  <si>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</si>
  <si>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tyigeremu+test42@sandtech.com</t>
  </si>
  <si>
    <t>Tsion</t>
  </si>
  <si>
    <t>Yigeremu</t>
  </si>
  <si>
    <t>Addis Ababa</t>
  </si>
  <si>
    <t>Ethiopia</t>
  </si>
  <si>
    <t>Female</t>
  </si>
  <si>
    <t>confirmed</t>
  </si>
  <si>
    <t>mehariyibeltal@gmail.com</t>
  </si>
  <si>
    <t>Mehari</t>
  </si>
  <si>
    <t>Yibeltal</t>
  </si>
  <si>
    <t>Male</t>
  </si>
  <si>
    <t>abrahamyalewsew@gmail.com</t>
  </si>
  <si>
    <t>Abraham</t>
  </si>
  <si>
    <t>Adugn</t>
  </si>
  <si>
    <t>Bahir Dar</t>
  </si>
  <si>
    <t>milliyonabebe17@gmail.com</t>
  </si>
  <si>
    <t>Milliyon</t>
  </si>
  <si>
    <t>Abebe</t>
  </si>
  <si>
    <t>ajexmohammed@gmail.com</t>
  </si>
  <si>
    <t>Ajaib</t>
  </si>
  <si>
    <t>Mohammed</t>
  </si>
  <si>
    <t>teklelakew34@gmail.com</t>
  </si>
  <si>
    <t>Tekleslassie</t>
  </si>
  <si>
    <t>Lakew</t>
  </si>
  <si>
    <t>tersitzewde056@gmail.com</t>
  </si>
  <si>
    <t>Eyerusalem</t>
  </si>
  <si>
    <t>Ageze</t>
  </si>
  <si>
    <t>awolm236@gmail.com</t>
  </si>
  <si>
    <t>Awol</t>
  </si>
  <si>
    <t>Dessie</t>
  </si>
  <si>
    <t>daveaau.2010@gmail.com</t>
  </si>
  <si>
    <t>Dawit</t>
  </si>
  <si>
    <t>bereketkaleb075@gmail.com</t>
  </si>
  <si>
    <t>KALEB</t>
  </si>
  <si>
    <t>GEBERGIOGIS</t>
  </si>
  <si>
    <t>furtehabte16@gmail.com</t>
  </si>
  <si>
    <t>Frtuna</t>
  </si>
  <si>
    <t>Habte</t>
  </si>
  <si>
    <t>tamenebetelhem6@gmail.com</t>
  </si>
  <si>
    <t>Bethelhem</t>
  </si>
  <si>
    <t>Haile</t>
  </si>
  <si>
    <t>ananiyadaniel66@gmail.com</t>
  </si>
  <si>
    <t>Ananiya</t>
  </si>
  <si>
    <t>Daniel</t>
  </si>
  <si>
    <t>revivialchristian@gmail.com</t>
  </si>
  <si>
    <t>Christian</t>
  </si>
  <si>
    <t>Revivial</t>
  </si>
  <si>
    <t>wudexhd@gmail.com</t>
  </si>
  <si>
    <t>Widnew</t>
  </si>
  <si>
    <t>Birhanu</t>
  </si>
  <si>
    <t>tiladagnaw@gmail.com</t>
  </si>
  <si>
    <t>Tilahun</t>
  </si>
  <si>
    <t>Dagnaw</t>
  </si>
  <si>
    <t>nobelmuhammed14@gmail.com</t>
  </si>
  <si>
    <t>Nobel muhammed</t>
  </si>
  <si>
    <t>Kebede</t>
  </si>
  <si>
    <t>bemnetleykun5@gmail.com</t>
  </si>
  <si>
    <t>Bemnet</t>
  </si>
  <si>
    <t>Leykun</t>
  </si>
  <si>
    <t>abdulgefarhawa@gmail.com</t>
  </si>
  <si>
    <t>Hawa</t>
  </si>
  <si>
    <t>Muhammed</t>
  </si>
  <si>
    <t>ayenachewkassa21@gmail.com</t>
  </si>
  <si>
    <t>Ayenachew</t>
  </si>
  <si>
    <t>Mihrete</t>
  </si>
  <si>
    <t>abdikani1662@gmail.com</t>
  </si>
  <si>
    <t>Abdikani</t>
  </si>
  <si>
    <t>Hirsi</t>
  </si>
  <si>
    <t>Jijiga</t>
  </si>
  <si>
    <t>biruke.tz@gmail.com</t>
  </si>
  <si>
    <t>Biruk</t>
  </si>
  <si>
    <t>Badhasa</t>
  </si>
  <si>
    <t>Nazret</t>
  </si>
  <si>
    <t>jonicasenbeto@gmail.com</t>
  </si>
  <si>
    <t>Yohanes</t>
  </si>
  <si>
    <t>Kankure</t>
  </si>
  <si>
    <t>ayenewatc@gmail.com</t>
  </si>
  <si>
    <t>Ayenew</t>
  </si>
  <si>
    <t>Tigabu</t>
  </si>
  <si>
    <t>robelabebe369@gmail.com</t>
  </si>
  <si>
    <t>Robel Abebe</t>
  </si>
  <si>
    <t>Getahun</t>
  </si>
  <si>
    <t>eyueyuel85@gmail.com</t>
  </si>
  <si>
    <t>Eyuel</t>
  </si>
  <si>
    <t>nigussie</t>
  </si>
  <si>
    <t>ashe4635@gmail.com</t>
  </si>
  <si>
    <t>Ashenafi</t>
  </si>
  <si>
    <t>Weldemichael</t>
  </si>
  <si>
    <t>guyoboruhalake1@gmail.com</t>
  </si>
  <si>
    <t>Guyo</t>
  </si>
  <si>
    <t>Boru</t>
  </si>
  <si>
    <t>Bishoftu</t>
  </si>
  <si>
    <t>bisratshife2023@gmail.com</t>
  </si>
  <si>
    <t>Besrat</t>
  </si>
  <si>
    <t>Teferi</t>
  </si>
  <si>
    <t>abdiberhe@gmail.com</t>
  </si>
  <si>
    <t>Abdi</t>
  </si>
  <si>
    <t>Berhe</t>
  </si>
  <si>
    <t>yabsranega20@gmail.com</t>
  </si>
  <si>
    <t>Yabsra</t>
  </si>
  <si>
    <t>Nega</t>
  </si>
  <si>
    <t>teferatinsaye@gmail.com</t>
  </si>
  <si>
    <t>Tinsaye</t>
  </si>
  <si>
    <t>Tefera</t>
  </si>
  <si>
    <t>mamiyonas0419@gmail.com</t>
  </si>
  <si>
    <t>Yonas</t>
  </si>
  <si>
    <t>Fentaw</t>
  </si>
  <si>
    <t>lishma56@gmail.com</t>
  </si>
  <si>
    <t>Lishan</t>
  </si>
  <si>
    <t>Matheyos</t>
  </si>
  <si>
    <t>ffireyhun156@gmail.com</t>
  </si>
  <si>
    <t>Firew</t>
  </si>
  <si>
    <t>Fireyhun</t>
  </si>
  <si>
    <t>yordanosbirhanu141@gmail.com</t>
  </si>
  <si>
    <t>Yordanos</t>
  </si>
  <si>
    <t>meronhawaz348@gmail.com</t>
  </si>
  <si>
    <t>Meron</t>
  </si>
  <si>
    <t>Wendimagegne</t>
  </si>
  <si>
    <t>tamirattafesse389@gmail.com</t>
  </si>
  <si>
    <t>Tamirat</t>
  </si>
  <si>
    <t>Tafesse</t>
  </si>
  <si>
    <t>mikiyassadik18@gmail.com</t>
  </si>
  <si>
    <t>Mikiyas</t>
  </si>
  <si>
    <t>Sadik</t>
  </si>
  <si>
    <t>mubarek6503@gmail.com</t>
  </si>
  <si>
    <t>Mubarek</t>
  </si>
  <si>
    <t>arfaneliyas27@gmail.com</t>
  </si>
  <si>
    <t>Arfan</t>
  </si>
  <si>
    <t>Eliyas</t>
  </si>
  <si>
    <t>assegidwerkneh57@gmail.com</t>
  </si>
  <si>
    <t>Assegid</t>
  </si>
  <si>
    <t>Werkneh</t>
  </si>
  <si>
    <t>honelignselamu@gmail.com</t>
  </si>
  <si>
    <t>Honelign</t>
  </si>
  <si>
    <t>Selamu</t>
  </si>
  <si>
    <t>ermiyasmelkamu344@gmail.com</t>
  </si>
  <si>
    <t>Ermiyas</t>
  </si>
  <si>
    <t>Gerba</t>
  </si>
  <si>
    <t>esmaelali442@gmail.com</t>
  </si>
  <si>
    <t>esmael</t>
  </si>
  <si>
    <t>hassen</t>
  </si>
  <si>
    <t>sadenkumsa@gmail.com</t>
  </si>
  <si>
    <t>Saden</t>
  </si>
  <si>
    <t>Kumsa</t>
  </si>
  <si>
    <t>mokonendavid21151535@gmail.com</t>
  </si>
  <si>
    <t>Mokonen</t>
  </si>
  <si>
    <t>jossijoye@gmail.com</t>
  </si>
  <si>
    <t>Yosef</t>
  </si>
  <si>
    <t>Kitaw</t>
  </si>
  <si>
    <t>dkdanicho@gmail.com</t>
  </si>
  <si>
    <t>Kidane</t>
  </si>
  <si>
    <t>kalumoges5@gmail.com</t>
  </si>
  <si>
    <t>Kalu</t>
  </si>
  <si>
    <t>Berihun</t>
  </si>
  <si>
    <t>meronwm123@gmail.com</t>
  </si>
  <si>
    <t>Mitiku</t>
  </si>
  <si>
    <t>seblewongale2564@gmail.com</t>
  </si>
  <si>
    <t>SEBLEWONGEL</t>
  </si>
  <si>
    <t>SIMENEH</t>
  </si>
  <si>
    <t>workneh2299@gmail.com</t>
  </si>
  <si>
    <t>Workneh</t>
  </si>
  <si>
    <t>Yinges</t>
  </si>
  <si>
    <t>gadisasfaw@gmail.com</t>
  </si>
  <si>
    <t>Gadisa</t>
  </si>
  <si>
    <t>Asfaw</t>
  </si>
  <si>
    <t>wondimupaulos32@gmail.com</t>
  </si>
  <si>
    <t>WONDIMU</t>
  </si>
  <si>
    <t>OCHE</t>
  </si>
  <si>
    <t>twopeace369@gmail.com</t>
  </si>
  <si>
    <t>Asamere</t>
  </si>
  <si>
    <t>tsiontegegne97@gmail.com</t>
  </si>
  <si>
    <t>Tegegne</t>
  </si>
  <si>
    <t>abenezergiday@gmail.com</t>
  </si>
  <si>
    <t>Abenezer</t>
  </si>
  <si>
    <t>Tsegaye</t>
  </si>
  <si>
    <t>betelhemdanniel@gmail.com</t>
  </si>
  <si>
    <t>yabsraf9@gmail.com</t>
  </si>
  <si>
    <t>Yeabsira</t>
  </si>
  <si>
    <t>Ibrahim</t>
  </si>
  <si>
    <t>hery77748@gmail.com</t>
  </si>
  <si>
    <t>Hermela</t>
  </si>
  <si>
    <t>Bekele</t>
  </si>
  <si>
    <t>nanatnemera@gmail.com</t>
  </si>
  <si>
    <t>Nanat</t>
  </si>
  <si>
    <t>Nemera</t>
  </si>
  <si>
    <t>abdulhadiahm3@gmail.com</t>
  </si>
  <si>
    <t>Abdulhadi</t>
  </si>
  <si>
    <t>Serhan</t>
  </si>
  <si>
    <t>mustefam439@gmail.com</t>
  </si>
  <si>
    <t>Mustefa</t>
  </si>
  <si>
    <t>alemuyibeltal024@gmail.com</t>
  </si>
  <si>
    <t>Balamo</t>
  </si>
  <si>
    <t>nabrham88@gmail.com</t>
  </si>
  <si>
    <t>Natnael</t>
  </si>
  <si>
    <t>Abrham</t>
  </si>
  <si>
    <t>getenetgenetie12@gmail.com</t>
  </si>
  <si>
    <t>Getenet</t>
  </si>
  <si>
    <t>Zemene</t>
  </si>
  <si>
    <t>jibril2961@gmail.com</t>
  </si>
  <si>
    <t>JIBRIL</t>
  </si>
  <si>
    <t>ZERIHUN</t>
  </si>
  <si>
    <t>naty12440@gmail.com</t>
  </si>
  <si>
    <t>Nathanim</t>
  </si>
  <si>
    <t>Mesfin</t>
  </si>
  <si>
    <t>nuhadebe47@gmail.com</t>
  </si>
  <si>
    <t>Nuhamin</t>
  </si>
  <si>
    <t>Debebe</t>
  </si>
  <si>
    <t>aregawi.beyene@mu.edu.et</t>
  </si>
  <si>
    <t>Aregawi</t>
  </si>
  <si>
    <t>Beyene</t>
  </si>
  <si>
    <t>senad0948@gmail.com</t>
  </si>
  <si>
    <t>Senasan</t>
  </si>
  <si>
    <t>Dechasa</t>
  </si>
  <si>
    <t>belayneh.2200@gmail.com</t>
  </si>
  <si>
    <t>Belayneh</t>
  </si>
  <si>
    <t>Kidanemariam</t>
  </si>
  <si>
    <t>endaletigist1624@gmail.com</t>
  </si>
  <si>
    <t>tigist</t>
  </si>
  <si>
    <t>endale</t>
  </si>
  <si>
    <t>yaredteshome503@gmail.com</t>
  </si>
  <si>
    <t>YARED TESHOME</t>
  </si>
  <si>
    <t>MEKONEN</t>
  </si>
  <si>
    <t>Warder</t>
  </si>
  <si>
    <t>teketeltadesse953@gmail.com</t>
  </si>
  <si>
    <t>Teketel Tadesse</t>
  </si>
  <si>
    <t>Achisso</t>
  </si>
  <si>
    <t>keenyagadaan929@gmail.com</t>
  </si>
  <si>
    <t>Ayub</t>
  </si>
  <si>
    <t>Kediro</t>
  </si>
  <si>
    <t>robibuze33@gmail.com</t>
  </si>
  <si>
    <t>Robsen</t>
  </si>
  <si>
    <t>Fininsa</t>
  </si>
  <si>
    <t>bekalliyew3777@gmail.com</t>
  </si>
  <si>
    <t>Abiyu</t>
  </si>
  <si>
    <t>Gondar</t>
  </si>
  <si>
    <t>mollamekuanent@gmail.com</t>
  </si>
  <si>
    <t>Mekuanent</t>
  </si>
  <si>
    <t>Molla</t>
  </si>
  <si>
    <t>cyuzuzoj227@gmail.com</t>
  </si>
  <si>
    <t>Cyuzuzo</t>
  </si>
  <si>
    <t>Joyce</t>
  </si>
  <si>
    <t>Rwanda</t>
  </si>
  <si>
    <t>addisuzola@gmail.com</t>
  </si>
  <si>
    <t>addisu</t>
  </si>
  <si>
    <t>Gemeda</t>
  </si>
  <si>
    <t>dhaile659@gmail.com</t>
  </si>
  <si>
    <t>Dereje</t>
  </si>
  <si>
    <t>Wendimu</t>
  </si>
  <si>
    <t>ethiomichael2016@gmail.com</t>
  </si>
  <si>
    <t>Michael</t>
  </si>
  <si>
    <t>Weldetsadik</t>
  </si>
  <si>
    <t>habtamunega744@gmail.com</t>
  </si>
  <si>
    <t>Habtamu</t>
  </si>
  <si>
    <t>Yadete</t>
  </si>
  <si>
    <t>sosifiseha147@gmail.com</t>
  </si>
  <si>
    <t>Sosina</t>
  </si>
  <si>
    <t>Eshetu</t>
  </si>
  <si>
    <t>samuelabebe74@gmail.com</t>
  </si>
  <si>
    <t>Samuel</t>
  </si>
  <si>
    <t>Mekonnen</t>
  </si>
  <si>
    <t>nahomawoke7@gmail.com</t>
  </si>
  <si>
    <t>Nahom</t>
  </si>
  <si>
    <t>Kassaye</t>
  </si>
  <si>
    <t>firaolte01@gmail.com</t>
  </si>
  <si>
    <t>Naol</t>
  </si>
  <si>
    <t>Abdisa</t>
  </si>
  <si>
    <t>abrahamalemuarega1@gmail.com</t>
  </si>
  <si>
    <t>Arega</t>
  </si>
  <si>
    <t>shifelema04@gmail.com</t>
  </si>
  <si>
    <t>Shiferaw</t>
  </si>
  <si>
    <t>Edea</t>
  </si>
  <si>
    <t>iliyasmohammed259@gmail.com</t>
  </si>
  <si>
    <t>Iliyas</t>
  </si>
  <si>
    <t>Ahmad</t>
  </si>
  <si>
    <t>Harar</t>
  </si>
  <si>
    <t>tgyeayatua@gmail.com</t>
  </si>
  <si>
    <t>Tigist</t>
  </si>
  <si>
    <t>Alemayehu</t>
  </si>
  <si>
    <t>mahiletaschalew222@gmail.com</t>
  </si>
  <si>
    <t>Mahilet</t>
  </si>
  <si>
    <t>Kefenu</t>
  </si>
  <si>
    <t>yohanisder2013@gmail.com</t>
  </si>
  <si>
    <t>Yohanis</t>
  </si>
  <si>
    <t>Jaleta</t>
  </si>
  <si>
    <t>degagayosef699@gmail.com</t>
  </si>
  <si>
    <t>Dagaga</t>
  </si>
  <si>
    <t>Jirata</t>
  </si>
  <si>
    <t>maramawithenok27@gmail.com</t>
  </si>
  <si>
    <t>Maramawit</t>
  </si>
  <si>
    <t>Henok</t>
  </si>
  <si>
    <t>keneniabera460@gmail.com</t>
  </si>
  <si>
    <t>KENENI</t>
  </si>
  <si>
    <t>TOLA</t>
  </si>
  <si>
    <t>gizachewhaile84@gmail.com</t>
  </si>
  <si>
    <t>Gizachew</t>
  </si>
  <si>
    <t>rehobotyacob89@gmail.com</t>
  </si>
  <si>
    <t>Rehobot</t>
  </si>
  <si>
    <t>Heliso</t>
  </si>
  <si>
    <t>birhanalemkassa12@gmail.com</t>
  </si>
  <si>
    <t>Kassahun</t>
  </si>
  <si>
    <t>tekolaamare12@gmail.com</t>
  </si>
  <si>
    <t>Eyob</t>
  </si>
  <si>
    <t>Gebru</t>
  </si>
  <si>
    <t>gedionfetene99@gmail.com</t>
  </si>
  <si>
    <t>Gedion</t>
  </si>
  <si>
    <t>Fetene</t>
  </si>
  <si>
    <t>elisabetkassahun2014@gmail.com</t>
  </si>
  <si>
    <t>Elisabet</t>
  </si>
  <si>
    <t>gezahegndemeke13@gmail.com</t>
  </si>
  <si>
    <t>Gezahegn</t>
  </si>
  <si>
    <t>Demeke</t>
  </si>
  <si>
    <t>ephrem0911515296@gmail.com</t>
  </si>
  <si>
    <t>Ephrem</t>
  </si>
  <si>
    <t>Sisay</t>
  </si>
  <si>
    <t>merytseg77@gmail.com</t>
  </si>
  <si>
    <t>Mahari</t>
  </si>
  <si>
    <t>Weldegergis</t>
  </si>
  <si>
    <t>mickiaszerfu@gmail.com</t>
  </si>
  <si>
    <t>Zerfu</t>
  </si>
  <si>
    <t>yihon0102@gmail.com</t>
  </si>
  <si>
    <t>Wendimneh</t>
  </si>
  <si>
    <t>Abate</t>
  </si>
  <si>
    <t>livingstonmokonen@gmail.com</t>
  </si>
  <si>
    <t>DAWIT</t>
  </si>
  <si>
    <t>MOKONEN</t>
  </si>
  <si>
    <t>mareye132@gmail.com</t>
  </si>
  <si>
    <t>Mareye</t>
  </si>
  <si>
    <t>Mekonen</t>
  </si>
  <si>
    <t>sweety002376@gmail.com</t>
  </si>
  <si>
    <t>Eman</t>
  </si>
  <si>
    <t>Abdulsemed</t>
  </si>
  <si>
    <t>Dire Dawa</t>
  </si>
  <si>
    <t>solomon12mune@gmail.com</t>
  </si>
  <si>
    <t>Mune</t>
  </si>
  <si>
    <t>nahomiiwondeye@gmail.com</t>
  </si>
  <si>
    <t>NAHOM</t>
  </si>
  <si>
    <t>ABATE</t>
  </si>
  <si>
    <t>eliastekalign915@gmail.com</t>
  </si>
  <si>
    <t>Elias</t>
  </si>
  <si>
    <t>Tekalign</t>
  </si>
  <si>
    <t>yaredtakele45@gmail.com</t>
  </si>
  <si>
    <t>Yared</t>
  </si>
  <si>
    <t>Lewetegn</t>
  </si>
  <si>
    <t>adotgech@gmail.com</t>
  </si>
  <si>
    <t>Adot</t>
  </si>
  <si>
    <t>HMariam</t>
  </si>
  <si>
    <t>aserdeme1@gmail.com</t>
  </si>
  <si>
    <t>Aser</t>
  </si>
  <si>
    <t>debi2023x@gmail.com</t>
  </si>
  <si>
    <t>Debora</t>
  </si>
  <si>
    <t>Ejigu</t>
  </si>
  <si>
    <t>guyoboru12345@gmail.com</t>
  </si>
  <si>
    <t>tadiosey@gmail.com</t>
  </si>
  <si>
    <t>Tadios</t>
  </si>
  <si>
    <t>jabesa4@gmail.com</t>
  </si>
  <si>
    <t>Jabessa</t>
  </si>
  <si>
    <t>TAYE</t>
  </si>
  <si>
    <t>bilentewodros10@gmail.com</t>
  </si>
  <si>
    <t>Bilen</t>
  </si>
  <si>
    <t>Debabie</t>
  </si>
  <si>
    <t>anasxabiib2024@gmail.com</t>
  </si>
  <si>
    <t>anas</t>
  </si>
  <si>
    <t>kidusgeb03@gmail.com</t>
  </si>
  <si>
    <t>Kidus</t>
  </si>
  <si>
    <t>CHANE</t>
  </si>
  <si>
    <t>michaelmelaku735@gmail.com</t>
  </si>
  <si>
    <t>Gessese</t>
  </si>
  <si>
    <t>beminet44444@gmail.com</t>
  </si>
  <si>
    <t>Beminet</t>
  </si>
  <si>
    <t>Chane</t>
  </si>
  <si>
    <t>beki99addis@gmail.com</t>
  </si>
  <si>
    <t>Bereket</t>
  </si>
  <si>
    <t>Ayele</t>
  </si>
  <si>
    <t>abdiwaliali555@gmail.com</t>
  </si>
  <si>
    <t>Abdiwali</t>
  </si>
  <si>
    <t>esubaster12@gmail.com</t>
  </si>
  <si>
    <t>Esubalew</t>
  </si>
  <si>
    <t>Nurebo</t>
  </si>
  <si>
    <t>yeabtsegaseyoum@gmail.com</t>
  </si>
  <si>
    <t>Yeabtsega</t>
  </si>
  <si>
    <t>Reta</t>
  </si>
  <si>
    <t>fiker7497@gmail.com</t>
  </si>
  <si>
    <t>Fiker</t>
  </si>
  <si>
    <t>Kabtamu</t>
  </si>
  <si>
    <t>abdirahimhussein013@gmail.com</t>
  </si>
  <si>
    <t>Abdirahim</t>
  </si>
  <si>
    <t>Mahamud</t>
  </si>
  <si>
    <t>kenatesf13@gmail.com</t>
  </si>
  <si>
    <t>Kena</t>
  </si>
  <si>
    <t>Tesfaye</t>
  </si>
  <si>
    <t>birukgebrehiwot27@gmail.com</t>
  </si>
  <si>
    <t>Gebrehiwot</t>
  </si>
  <si>
    <t>edilsolomon48@gmail.com</t>
  </si>
  <si>
    <t>Edilawit</t>
  </si>
  <si>
    <t>Solomon</t>
  </si>
  <si>
    <t>etsubkassahun2@gmail.com</t>
  </si>
  <si>
    <t>Etsub</t>
  </si>
  <si>
    <t>Wondimu</t>
  </si>
  <si>
    <t>teressaamanuel@gmail.com</t>
  </si>
  <si>
    <t>Amanuel</t>
  </si>
  <si>
    <t>Dandena</t>
  </si>
  <si>
    <t>jabay9760@gmail.com</t>
  </si>
  <si>
    <t>Yoseph</t>
  </si>
  <si>
    <t>Abay</t>
  </si>
  <si>
    <t>yohannesteferi00@gmail.com</t>
  </si>
  <si>
    <t>Yohannes</t>
  </si>
  <si>
    <t>kidusgirma181@gmail.com</t>
  </si>
  <si>
    <t>Girma</t>
  </si>
  <si>
    <t>wizeyo888@gmail.com</t>
  </si>
  <si>
    <t>Eyosiyas</t>
  </si>
  <si>
    <t>Moges</t>
  </si>
  <si>
    <t>successdrivenn5@gmail.com</t>
  </si>
  <si>
    <t>danielkassa336@gmail.com</t>
  </si>
  <si>
    <t>Kassa</t>
  </si>
  <si>
    <t>giftitesfaye34@gmail.com</t>
  </si>
  <si>
    <t>Gifti</t>
  </si>
  <si>
    <t>selinaabebe38@gmail.com</t>
  </si>
  <si>
    <t>Selamawit</t>
  </si>
  <si>
    <t>bereketaboneh2@gmail.com</t>
  </si>
  <si>
    <t>Sema</t>
  </si>
  <si>
    <t>y6540701@gmail.com</t>
  </si>
  <si>
    <t>Yabtsega</t>
  </si>
  <si>
    <t>Erke</t>
  </si>
  <si>
    <t>ephremewti32@gmail.com</t>
  </si>
  <si>
    <t>Beza</t>
  </si>
  <si>
    <t>Asrate</t>
  </si>
  <si>
    <t>abdurehimhassen431@gmail.com</t>
  </si>
  <si>
    <t>Abdurehim</t>
  </si>
  <si>
    <t>Adem</t>
  </si>
  <si>
    <t>afomihenok321@gmail.com</t>
  </si>
  <si>
    <t>Afomia</t>
  </si>
  <si>
    <t>Getachew</t>
  </si>
  <si>
    <t>mahiletderejes@gmail.com</t>
  </si>
  <si>
    <t>Seraw</t>
  </si>
  <si>
    <t>aimarabdellah23@gmail.com</t>
  </si>
  <si>
    <t>Ammar</t>
  </si>
  <si>
    <t>Abdellah</t>
  </si>
  <si>
    <t>yesunehgizaw@gmail.com</t>
  </si>
  <si>
    <t>Yesuneh</t>
  </si>
  <si>
    <t>tesfuedil05@gmail.com</t>
  </si>
  <si>
    <t>Edil</t>
  </si>
  <si>
    <t>Mengesha</t>
  </si>
  <si>
    <t>braveman1621@gmail.com</t>
  </si>
  <si>
    <t>Melku</t>
  </si>
  <si>
    <t>kidistsolomonkidu@gmail.com</t>
  </si>
  <si>
    <t>Kidist solomon</t>
  </si>
  <si>
    <t>Challa</t>
  </si>
  <si>
    <t>yeabsirat77@gmail.com</t>
  </si>
  <si>
    <t>Tena</t>
  </si>
  <si>
    <t>solomeatikliti@gmail.com</t>
  </si>
  <si>
    <t>Solome</t>
  </si>
  <si>
    <t>Teshale</t>
  </si>
  <si>
    <t>temesgenteferi19@gmail.com</t>
  </si>
  <si>
    <t>Temesgen</t>
  </si>
  <si>
    <t>nigussebatiel@gmail.com</t>
  </si>
  <si>
    <t>Batiel</t>
  </si>
  <si>
    <t>Tekeste</t>
  </si>
  <si>
    <t>natekasahun@gmail.com</t>
  </si>
  <si>
    <t>Natanem</t>
  </si>
  <si>
    <t>Kasahun</t>
  </si>
  <si>
    <t>sishanderje1@gmail.com</t>
  </si>
  <si>
    <t>Sishan</t>
  </si>
  <si>
    <t>honeygezu@gmail.com</t>
  </si>
  <si>
    <t>Siduna</t>
  </si>
  <si>
    <t>Chala</t>
  </si>
  <si>
    <t>lemmaeden470@gmail.com</t>
  </si>
  <si>
    <t>Eden</t>
  </si>
  <si>
    <t>Wolde</t>
  </si>
  <si>
    <t>rozaalemu.2002@gmail.com</t>
  </si>
  <si>
    <t>Roza</t>
  </si>
  <si>
    <t>ayalew</t>
  </si>
  <si>
    <t>amariamneguse@gmail.com</t>
  </si>
  <si>
    <t>raeymariam</t>
  </si>
  <si>
    <t>amdemariam</t>
  </si>
  <si>
    <t>fitsumtesfaye444@gmail.com</t>
  </si>
  <si>
    <t>Fitsum</t>
  </si>
  <si>
    <t>Robele</t>
  </si>
  <si>
    <t>yadoniend@gmail.com</t>
  </si>
  <si>
    <t>elnatan</t>
  </si>
  <si>
    <t>fitsum</t>
  </si>
  <si>
    <t>elsasere30@gmail.com</t>
  </si>
  <si>
    <t>Elsa</t>
  </si>
  <si>
    <t>Serekeberhan</t>
  </si>
  <si>
    <t>abebeedelawit81@gmail.com</t>
  </si>
  <si>
    <t>Edlawiy</t>
  </si>
  <si>
    <t>sosi79267@gmail.com</t>
  </si>
  <si>
    <t>aendrias5@gmail.com</t>
  </si>
  <si>
    <t>Endrias</t>
  </si>
  <si>
    <t>abelmk122@gmail.com</t>
  </si>
  <si>
    <t>Abel</t>
  </si>
  <si>
    <t>athrnk@gmail.com</t>
  </si>
  <si>
    <t>Hillwood</t>
  </si>
  <si>
    <t>Tenaw</t>
  </si>
  <si>
    <t>meklitterefe25@gmail.com</t>
  </si>
  <si>
    <t>Meklit</t>
  </si>
  <si>
    <t>Muluneh</t>
  </si>
  <si>
    <t>binyammulugeta1996@gmail.com</t>
  </si>
  <si>
    <t>Binyam</t>
  </si>
  <si>
    <t>Mengistu</t>
  </si>
  <si>
    <t>sanesilva491@gmail.com</t>
  </si>
  <si>
    <t>Nurhussen</t>
  </si>
  <si>
    <t>titigirmay018@gmail.com</t>
  </si>
  <si>
    <t>Timar</t>
  </si>
  <si>
    <t>Hailu</t>
  </si>
  <si>
    <t>nahomreal83@gmail.com</t>
  </si>
  <si>
    <t>Adenew</t>
  </si>
  <si>
    <t>arseyoha114@gmail.com</t>
  </si>
  <si>
    <t>Arsema</t>
  </si>
  <si>
    <t>Aytenfsu</t>
  </si>
  <si>
    <t>aklesiaseme087@icloud.com</t>
  </si>
  <si>
    <t>Aklesia</t>
  </si>
  <si>
    <t>Sime</t>
  </si>
  <si>
    <t>yididiyagudeta5@gmail.com</t>
  </si>
  <si>
    <t>yididiya</t>
  </si>
  <si>
    <t>Fufa</t>
  </si>
  <si>
    <t>rahelmelese37@gmail.com</t>
  </si>
  <si>
    <t>Rahel</t>
  </si>
  <si>
    <t>Melese</t>
  </si>
  <si>
    <t>reduhiskel1234@gmail.com</t>
  </si>
  <si>
    <t>Rediet</t>
  </si>
  <si>
    <t>Hiskel</t>
  </si>
  <si>
    <t>mekonnenbeamlak2114@gmail.com</t>
  </si>
  <si>
    <t>Beamlak</t>
  </si>
  <si>
    <t>Amare</t>
  </si>
  <si>
    <t>kidusm3seret17@gmail.com</t>
  </si>
  <si>
    <t>Meseret</t>
  </si>
  <si>
    <t>aklisiameseret98@gmail.com</t>
  </si>
  <si>
    <t>Aklisia</t>
  </si>
  <si>
    <t>abdulhakimhassen646@gmail.com</t>
  </si>
  <si>
    <t>Abdulhakim</t>
  </si>
  <si>
    <t>Kutesa</t>
  </si>
  <si>
    <t>yabtsea82@gmail.com</t>
  </si>
  <si>
    <t>yabtsega</t>
  </si>
  <si>
    <t>erke</t>
  </si>
  <si>
    <t>nigusugetahunreda@gmail.com</t>
  </si>
  <si>
    <t>Nigusu</t>
  </si>
  <si>
    <t>Reda</t>
  </si>
  <si>
    <t>mekdilv0@gmail.com</t>
  </si>
  <si>
    <t>Mekdelawit</t>
  </si>
  <si>
    <t>Negeri</t>
  </si>
  <si>
    <t>tamratnb@gmail.com</t>
  </si>
  <si>
    <t>TAMRAT</t>
  </si>
  <si>
    <t>ABDELA</t>
  </si>
  <si>
    <t>mikiyasberhanu4@gmail.com</t>
  </si>
  <si>
    <t>Berhanu</t>
  </si>
  <si>
    <t>meharitseg9@gmail.com</t>
  </si>
  <si>
    <t>Tsegay</t>
  </si>
  <si>
    <t>amaanaabdaseyid@gmail.com</t>
  </si>
  <si>
    <t>Amana</t>
  </si>
  <si>
    <t>abda</t>
  </si>
  <si>
    <t>hermelasun55@gmail.com</t>
  </si>
  <si>
    <t>Mebratu</t>
  </si>
  <si>
    <t>abelendalew93@gmail.com</t>
  </si>
  <si>
    <t>ABEL</t>
  </si>
  <si>
    <t>GELANEH</t>
  </si>
  <si>
    <t>menelikthelast@gmail.com</t>
  </si>
  <si>
    <t>Betremaryam</t>
  </si>
  <si>
    <t>Eshete</t>
  </si>
  <si>
    <t>rebkayaregal@gmail.com</t>
  </si>
  <si>
    <t>Rebka</t>
  </si>
  <si>
    <t>Yaregal</t>
  </si>
  <si>
    <t>berhanumakpela3@gmail.com</t>
  </si>
  <si>
    <t>Makpela</t>
  </si>
  <si>
    <t>mihretgeletu21@gmail.com</t>
  </si>
  <si>
    <t>Mihret</t>
  </si>
  <si>
    <t>Tolosa</t>
  </si>
  <si>
    <t>yeabsamueladmasu@gmail.com</t>
  </si>
  <si>
    <t>turehayat673@gmail.com</t>
  </si>
  <si>
    <t>Hayat</t>
  </si>
  <si>
    <t>nebaela41@gmail.com</t>
  </si>
  <si>
    <t>nebiyou</t>
  </si>
  <si>
    <t>Taddesse</t>
  </si>
  <si>
    <t>henokgezahegn1998@gmail.com</t>
  </si>
  <si>
    <t>kidestafework44@gmail.com</t>
  </si>
  <si>
    <t>Kidest</t>
  </si>
  <si>
    <t>Afework</t>
  </si>
  <si>
    <t>calebtibebe0@gmail.com</t>
  </si>
  <si>
    <t>Caleb</t>
  </si>
  <si>
    <t>Tibebe</t>
  </si>
  <si>
    <t>teshomenigest@gmail.com</t>
  </si>
  <si>
    <t>Nigest</t>
  </si>
  <si>
    <t>Teshome</t>
  </si>
  <si>
    <t>yabseratibebu15@gmail.com</t>
  </si>
  <si>
    <t>YABSERA</t>
  </si>
  <si>
    <t>CHEFEK</t>
  </si>
  <si>
    <t>getachewsonan@gmail.com</t>
  </si>
  <si>
    <t>Sonan</t>
  </si>
  <si>
    <t>Kenati</t>
  </si>
  <si>
    <t>yoseftanu84@gmail.com</t>
  </si>
  <si>
    <t>Argaw</t>
  </si>
  <si>
    <t>yeshetu462@gmail.com</t>
  </si>
  <si>
    <t>liyagebeyehutesfaye@gmail.com</t>
  </si>
  <si>
    <t>Liya</t>
  </si>
  <si>
    <t>bebajesus77@gmail.com</t>
  </si>
  <si>
    <t>liyamulatu909@gmail.com</t>
  </si>
  <si>
    <t>Nigatu</t>
  </si>
  <si>
    <t>betelmamo523@gmail.com</t>
  </si>
  <si>
    <t>Bethel</t>
  </si>
  <si>
    <t>Mamo</t>
  </si>
  <si>
    <t>temesgen9118@gmail.com</t>
  </si>
  <si>
    <t>Berhie</t>
  </si>
  <si>
    <t>jhonafework1s@gmail.com</t>
  </si>
  <si>
    <t>israelyohannes436@gmail.com</t>
  </si>
  <si>
    <t>Israel</t>
  </si>
  <si>
    <t>tinbiteezekiel189@gmail.com</t>
  </si>
  <si>
    <t>Tinbite</t>
  </si>
  <si>
    <t>Saketa</t>
  </si>
  <si>
    <t>tinsu12gg@gmail.com</t>
  </si>
  <si>
    <t>Tinsae</t>
  </si>
  <si>
    <t>Waja</t>
  </si>
  <si>
    <t>brnathan40@gmail.com</t>
  </si>
  <si>
    <t>Nathan</t>
  </si>
  <si>
    <t>Moroda</t>
  </si>
  <si>
    <t>yeabsiragenet48@gmail.com</t>
  </si>
  <si>
    <t>Ketema</t>
  </si>
  <si>
    <t>hermela.eshetu122127@gmail.com</t>
  </si>
  <si>
    <t>Feleke</t>
  </si>
  <si>
    <t>selihomfesshaye130@gmail.com</t>
  </si>
  <si>
    <t>selihom</t>
  </si>
  <si>
    <t>fisshaye</t>
  </si>
  <si>
    <t>Eritrea</t>
  </si>
  <si>
    <t>habtamuarsema2116@gmail.com</t>
  </si>
  <si>
    <t>jiralalisa@gmail.com</t>
  </si>
  <si>
    <t>Lelisa</t>
  </si>
  <si>
    <t>Jira</t>
  </si>
  <si>
    <t>nejm930@gmail.com</t>
  </si>
  <si>
    <t>Nejash</t>
  </si>
  <si>
    <t>Kedir</t>
  </si>
  <si>
    <t>nuhaminberhanu335@gmail.com</t>
  </si>
  <si>
    <t>dagimf31@gmail.com</t>
  </si>
  <si>
    <t>Dagim</t>
  </si>
  <si>
    <t>Ababe</t>
  </si>
  <si>
    <t>etsubdinkalemu0@gmail.com</t>
  </si>
  <si>
    <t>Etsubdink</t>
  </si>
  <si>
    <t>Alemu</t>
  </si>
  <si>
    <t>yohannestesfaye064@gmail.com</t>
  </si>
  <si>
    <t>tesfaye</t>
  </si>
  <si>
    <t>gelanagirma90@gmail.com</t>
  </si>
  <si>
    <t>Gelana</t>
  </si>
  <si>
    <t>roberageleta3@gmail.com</t>
  </si>
  <si>
    <t>Robera</t>
  </si>
  <si>
    <t>Legese</t>
  </si>
  <si>
    <t>bandargie15@gmail.com</t>
  </si>
  <si>
    <t>Andargie</t>
  </si>
  <si>
    <t>fa10hk10@gmail.com</t>
  </si>
  <si>
    <t>maaunique1928@gmail.com</t>
  </si>
  <si>
    <t>Wandwsen</t>
  </si>
  <si>
    <t>gelilalila39@gmail.com</t>
  </si>
  <si>
    <t>Gelila</t>
  </si>
  <si>
    <t>Tegegn</t>
  </si>
  <si>
    <t>jovanyj620@gmail.com</t>
  </si>
  <si>
    <t>Taye</t>
  </si>
  <si>
    <t>habtamuminbale22@gmail.com</t>
  </si>
  <si>
    <t>Gashu</t>
  </si>
  <si>
    <t>letabekele2377@gmail.com</t>
  </si>
  <si>
    <t>LETA</t>
  </si>
  <si>
    <t>BEKELE</t>
  </si>
  <si>
    <t>abazna912@gmail.com</t>
  </si>
  <si>
    <t>Gediyon</t>
  </si>
  <si>
    <t>Baye</t>
  </si>
  <si>
    <t>kaleabseife51@gmail.com</t>
  </si>
  <si>
    <t>Kaleab</t>
  </si>
  <si>
    <t>getachewr888@gmail.com</t>
  </si>
  <si>
    <t>dave73823@gmail.com</t>
  </si>
  <si>
    <t>TEKLEHAYMANOT</t>
  </si>
  <si>
    <t>bonadiriba62@gmail.com</t>
  </si>
  <si>
    <t>Deriba</t>
  </si>
  <si>
    <t>samtes1998@gmail.com</t>
  </si>
  <si>
    <t>Samson</t>
  </si>
  <si>
    <t>Gebre</t>
  </si>
  <si>
    <t>bintousman84@gmail.com</t>
  </si>
  <si>
    <t>Asiya</t>
  </si>
  <si>
    <t>ousman</t>
  </si>
  <si>
    <t>fikalkidan@gmail.com</t>
  </si>
  <si>
    <t>Kalkidan</t>
  </si>
  <si>
    <t>frehiwot728@gmail.com</t>
  </si>
  <si>
    <t>Frehiwot</t>
  </si>
  <si>
    <t>Wudu</t>
  </si>
  <si>
    <t>09-25-82-09-17</t>
  </si>
  <si>
    <t>aschalemeseret16@gmail.com</t>
  </si>
  <si>
    <t>ananiyaarega108@gmail.com</t>
  </si>
  <si>
    <t>melatgizachew86@gmail.com</t>
  </si>
  <si>
    <t>Melat</t>
  </si>
  <si>
    <t>bereketreta04@gmail.com</t>
  </si>
  <si>
    <t>sobersoba2@gmail.com</t>
  </si>
  <si>
    <t>Sober</t>
  </si>
  <si>
    <t>Muhamed</t>
  </si>
  <si>
    <t>yonassolomon333@gmail.com</t>
  </si>
  <si>
    <t>Fikru</t>
  </si>
  <si>
    <t>naolmesf@gmail.com</t>
  </si>
  <si>
    <t>meseretweldegebriel5@gmail.com</t>
  </si>
  <si>
    <t>Rahwa</t>
  </si>
  <si>
    <t>Weledehawariyat</t>
  </si>
  <si>
    <t>blen7833@gmail.com</t>
  </si>
  <si>
    <t>Blen</t>
  </si>
  <si>
    <t>fikir.bogale-ug@aau.edu.et</t>
  </si>
  <si>
    <t>Fikir</t>
  </si>
  <si>
    <t>estifbest17@gmail.com</t>
  </si>
  <si>
    <t>Estifanos</t>
  </si>
  <si>
    <t>Zewdu</t>
  </si>
  <si>
    <t>kidusdawit2955@gmail.com</t>
  </si>
  <si>
    <t>Dagnachew</t>
  </si>
  <si>
    <t>temesgenaddis125@gmail.com</t>
  </si>
  <si>
    <t>elenitilahun477@gmail.com</t>
  </si>
  <si>
    <t>Eleni</t>
  </si>
  <si>
    <t>girirdessalegn5341@gmail.com</t>
  </si>
  <si>
    <t>Dessalegn</t>
  </si>
  <si>
    <t>Girir</t>
  </si>
  <si>
    <t>habtamuchemer@gmail.com</t>
  </si>
  <si>
    <t>Tesema</t>
  </si>
  <si>
    <t>josephzeriuhun8465@gmail.com</t>
  </si>
  <si>
    <t>daginunuya921@gmail.com</t>
  </si>
  <si>
    <t>Nunuya</t>
  </si>
  <si>
    <t>selamwegayehu221@gmail.com</t>
  </si>
  <si>
    <t>Selam</t>
  </si>
  <si>
    <t>tigistutesfaye4@gmail.com</t>
  </si>
  <si>
    <t>Tigistu</t>
  </si>
  <si>
    <t>Dindamo</t>
  </si>
  <si>
    <t>miraclesol803@gmail.com</t>
  </si>
  <si>
    <t>Miracle</t>
  </si>
  <si>
    <t>ashugirma09@gmail.com</t>
  </si>
  <si>
    <t>Dese</t>
  </si>
  <si>
    <t>kingsayzu@gmail.com</t>
  </si>
  <si>
    <t>Sayzana</t>
  </si>
  <si>
    <t>samrayacob3@gmail.com</t>
  </si>
  <si>
    <t>Samra</t>
  </si>
  <si>
    <t>Yacob</t>
  </si>
  <si>
    <t>kumemerga37@gmail.com</t>
  </si>
  <si>
    <t>Kume</t>
  </si>
  <si>
    <t>Tarekegn</t>
  </si>
  <si>
    <t>eskenderzelalem@gmail.com</t>
  </si>
  <si>
    <t>Eskender</t>
  </si>
  <si>
    <t>Mesay</t>
  </si>
  <si>
    <t>azizplus88@gmail.com</t>
  </si>
  <si>
    <t>Abdulaziz</t>
  </si>
  <si>
    <t>Ali</t>
  </si>
  <si>
    <t>geteneteyoel@gmail.com</t>
  </si>
  <si>
    <t>Eyoel</t>
  </si>
  <si>
    <t>redutamiru1@gmail.com</t>
  </si>
  <si>
    <t>meronmsrt6@gmail.com</t>
  </si>
  <si>
    <t>Gudisa</t>
  </si>
  <si>
    <t>ytasfaw@gmail.com</t>
  </si>
  <si>
    <t>nigatud7@gmail.com</t>
  </si>
  <si>
    <t>hanhanamariyam@gmail.com</t>
  </si>
  <si>
    <t>Hanamariam</t>
  </si>
  <si>
    <t>Hana</t>
  </si>
  <si>
    <t>ashuhabibti@gmail.com</t>
  </si>
  <si>
    <t>Habiba</t>
  </si>
  <si>
    <t>Awel</t>
  </si>
  <si>
    <t>solomonamareunique@gmail.com</t>
  </si>
  <si>
    <t>kidistjenber8@gmail.com</t>
  </si>
  <si>
    <t>Kidist</t>
  </si>
  <si>
    <t>Jenber</t>
  </si>
  <si>
    <t>amanueltarekegn77@gmail.com</t>
  </si>
  <si>
    <t>itzshewit@gmail.com</t>
  </si>
  <si>
    <t>Shewit Gebrehiwot</t>
  </si>
  <si>
    <t>Gebreegziabher</t>
  </si>
  <si>
    <t>fevencherkos29@gmail.com</t>
  </si>
  <si>
    <t>Feven</t>
  </si>
  <si>
    <t>Gebregergis</t>
  </si>
  <si>
    <t>remedan.mustefa-ug@aau.edu.et</t>
  </si>
  <si>
    <t>Remdan</t>
  </si>
  <si>
    <t>mebatsgroove@gmail.com</t>
  </si>
  <si>
    <t>Mebatsion</t>
  </si>
  <si>
    <t>abelmekonnen502@gmail.com</t>
  </si>
  <si>
    <t>tsiontfesse@gmail.com</t>
  </si>
  <si>
    <t>Weld mareyam</t>
  </si>
  <si>
    <t>hassenhailemariam@gmail.com</t>
  </si>
  <si>
    <t>Hassen</t>
  </si>
  <si>
    <t>Hailemariam</t>
  </si>
  <si>
    <t>yohannes.bekele1997@gmail.com</t>
  </si>
  <si>
    <t>ebateshale41@gmail.com</t>
  </si>
  <si>
    <t>Eba</t>
  </si>
  <si>
    <t>Dagea</t>
  </si>
  <si>
    <t>sima81358@gmail.com</t>
  </si>
  <si>
    <t>Simon</t>
  </si>
  <si>
    <t>bekitabuderessa@gmail.com</t>
  </si>
  <si>
    <t>Deressa</t>
  </si>
  <si>
    <t>rititasofi3@gmail.com</t>
  </si>
  <si>
    <t>Rinas</t>
  </si>
  <si>
    <t>Ahmed</t>
  </si>
  <si>
    <t>yoma91360@gmail.com</t>
  </si>
  <si>
    <t>Yomiyou</t>
  </si>
  <si>
    <t>Diriba</t>
  </si>
  <si>
    <t>tersittizazu@gmail.com</t>
  </si>
  <si>
    <t>Tersit</t>
  </si>
  <si>
    <t>Gbreegziabher</t>
  </si>
  <si>
    <t>khalidabdela29@gmail.com</t>
  </si>
  <si>
    <t>Kalid</t>
  </si>
  <si>
    <t>Beyo</t>
  </si>
  <si>
    <t>hlinayacob928@gmail.com</t>
  </si>
  <si>
    <t>Hilina</t>
  </si>
  <si>
    <t>Godebo</t>
  </si>
  <si>
    <t>adoniasyalew49@gmail.com</t>
  </si>
  <si>
    <t>adonias</t>
  </si>
  <si>
    <t>yalew</t>
  </si>
  <si>
    <t>yasusf6@gmail.com</t>
  </si>
  <si>
    <t>Yasmin</t>
  </si>
  <si>
    <t>Abdshikur</t>
  </si>
  <si>
    <t>dm995065@gmail.com</t>
  </si>
  <si>
    <t>Gebrekidan</t>
  </si>
  <si>
    <t>robelhabtamu0@gmail.com</t>
  </si>
  <si>
    <t>Robel</t>
  </si>
  <si>
    <t>Emrie</t>
  </si>
  <si>
    <t>tsinatsister@gmail.com</t>
  </si>
  <si>
    <t>Geremwe</t>
  </si>
  <si>
    <t>beemnetawoke06@gmail.com</t>
  </si>
  <si>
    <t>Beemnet</t>
  </si>
  <si>
    <t>Awoke</t>
  </si>
  <si>
    <t>elinaranbese@gmail.com</t>
  </si>
  <si>
    <t>Elinar</t>
  </si>
  <si>
    <t>Adugna</t>
  </si>
  <si>
    <t>metsenanthailu@gmail.com</t>
  </si>
  <si>
    <t>Metsinant</t>
  </si>
  <si>
    <t>dagmawieshetu3@gmail.com</t>
  </si>
  <si>
    <t>dagmawi</t>
  </si>
  <si>
    <t>lema</t>
  </si>
  <si>
    <t>herout112233@gmail.com</t>
  </si>
  <si>
    <t>Mekdlawit</t>
  </si>
  <si>
    <t>abrahamalemayehu145@gmail.com</t>
  </si>
  <si>
    <t>Abraham Alemayehu</t>
  </si>
  <si>
    <t>Ayene</t>
  </si>
  <si>
    <t>elenidires332@gmail.com</t>
  </si>
  <si>
    <t>Bogale</t>
  </si>
  <si>
    <t>ayosefmulualem@gmail.com</t>
  </si>
  <si>
    <t>Mulualem</t>
  </si>
  <si>
    <t>aminmuhamm317@gmail.com</t>
  </si>
  <si>
    <t>Riham</t>
  </si>
  <si>
    <t>ritashimels@gmail.com</t>
  </si>
  <si>
    <t>Shimels</t>
  </si>
  <si>
    <t>hawimesfin980@gmail.com</t>
  </si>
  <si>
    <t>Hawi</t>
  </si>
  <si>
    <t>yekoliahelnatha@gmail.com</t>
  </si>
  <si>
    <t>Yekoliah</t>
  </si>
  <si>
    <t>Ayalew</t>
  </si>
  <si>
    <t>elnusipu@gmail.com</t>
  </si>
  <si>
    <t>Sipara</t>
  </si>
  <si>
    <t>ebsa0029@gmail.com</t>
  </si>
  <si>
    <t>Ebsa</t>
  </si>
  <si>
    <t>Wertu</t>
  </si>
  <si>
    <t>Kemise</t>
  </si>
  <si>
    <t>solnani825@gmail.com</t>
  </si>
  <si>
    <t>Bethelem</t>
  </si>
  <si>
    <t>sofoniasdeme987@gmail.com</t>
  </si>
  <si>
    <t>Sofonias</t>
  </si>
  <si>
    <t>Deme</t>
  </si>
  <si>
    <t>hanakifetew6@gmail.com</t>
  </si>
  <si>
    <t>Kifetew</t>
  </si>
  <si>
    <t>jafsudi30@gmail.com</t>
  </si>
  <si>
    <t>Sued</t>
  </si>
  <si>
    <t>Hussein</t>
  </si>
  <si>
    <t>muluyemymom@gmail.com</t>
  </si>
  <si>
    <t>Befkadu</t>
  </si>
  <si>
    <t>samuelgyohannis@gmail.com</t>
  </si>
  <si>
    <t>Gebreyohanis</t>
  </si>
  <si>
    <t>yeabsraasmerom21@gmail.com</t>
  </si>
  <si>
    <t>Yeabsra</t>
  </si>
  <si>
    <t>Fshagiorgis</t>
  </si>
  <si>
    <t>bethelhems697@gmail.com</t>
  </si>
  <si>
    <t>Betelhem</t>
  </si>
  <si>
    <t>Reggas</t>
  </si>
  <si>
    <t>melkamushama21@gmail.com</t>
  </si>
  <si>
    <t>Melkamu</t>
  </si>
  <si>
    <t>Asafaw</t>
  </si>
  <si>
    <t>amsalutegenew3808@gmail.com</t>
  </si>
  <si>
    <t>Amsalu</t>
  </si>
  <si>
    <t>Tegenew</t>
  </si>
  <si>
    <t>yordanosetesfaye836@gmail.com</t>
  </si>
  <si>
    <t>Yordanose</t>
  </si>
  <si>
    <t>Memhir</t>
  </si>
  <si>
    <t>hackerman0811@gmail.com</t>
  </si>
  <si>
    <t>Sophonias</t>
  </si>
  <si>
    <t>Amsale</t>
  </si>
  <si>
    <t>thiwobestaf@gmail.com</t>
  </si>
  <si>
    <t>Thiwobesta</t>
  </si>
  <si>
    <t>yinebebtamrat142@gmail.com</t>
  </si>
  <si>
    <t>Yinebeb</t>
  </si>
  <si>
    <t>Zewge</t>
  </si>
  <si>
    <t>redimes224@gmail.com</t>
  </si>
  <si>
    <t>Rediat</t>
  </si>
  <si>
    <t>Meskele</t>
  </si>
  <si>
    <t>habtom145@gmail.com</t>
  </si>
  <si>
    <t>Habtom</t>
  </si>
  <si>
    <t>Gebretinsaye</t>
  </si>
  <si>
    <t>muhammed7042@gmail.com</t>
  </si>
  <si>
    <t>muhammed</t>
  </si>
  <si>
    <t>Adam</t>
  </si>
  <si>
    <t>mikiyasabebe21@gmail.com</t>
  </si>
  <si>
    <t>MIKIYAS</t>
  </si>
  <si>
    <t>WORKU</t>
  </si>
  <si>
    <t>saronleake@gmail.com</t>
  </si>
  <si>
    <t>SARON</t>
  </si>
  <si>
    <t>LEAKE</t>
  </si>
  <si>
    <t>hassetfikru8@gmail.com</t>
  </si>
  <si>
    <t>Hasset</t>
  </si>
  <si>
    <t>eabenezeryonas@gmail.com</t>
  </si>
  <si>
    <t>Endale</t>
  </si>
  <si>
    <t>hayatyasinhayat@gmail.com</t>
  </si>
  <si>
    <t>Hussen</t>
  </si>
  <si>
    <t>lemitesfaye05@gmail.com</t>
  </si>
  <si>
    <t>Lemi</t>
  </si>
  <si>
    <t>Gudeta</t>
  </si>
  <si>
    <t>robelfikadu70@gmail.com</t>
  </si>
  <si>
    <t>Fikadu</t>
  </si>
  <si>
    <t>rediatteferi823@gmail.com</t>
  </si>
  <si>
    <t>Abebaw</t>
  </si>
  <si>
    <t>sosinadaba2@gmail.com</t>
  </si>
  <si>
    <t>Daba</t>
  </si>
  <si>
    <t>simonkibra@gmail.com</t>
  </si>
  <si>
    <t>simon</t>
  </si>
  <si>
    <t>teka</t>
  </si>
  <si>
    <t>abubekerhussen87@gmail.com</t>
  </si>
  <si>
    <t>Abubeker</t>
  </si>
  <si>
    <t>Issa</t>
  </si>
  <si>
    <t>surafel2083@gmail.com</t>
  </si>
  <si>
    <t>Surafel</t>
  </si>
  <si>
    <t>Manyazewal</t>
  </si>
  <si>
    <t>mistylebeats@gmail.com</t>
  </si>
  <si>
    <t>Misiracho</t>
  </si>
  <si>
    <t>Tememesgen</t>
  </si>
  <si>
    <t>tenayehailu97@gmail.com</t>
  </si>
  <si>
    <t>Afomiya</t>
  </si>
  <si>
    <t>kassubeyene21@gmail.com</t>
  </si>
  <si>
    <t>Kahsu</t>
  </si>
  <si>
    <t>Enquayene</t>
  </si>
  <si>
    <t>diyaniyam21@gmail.com</t>
  </si>
  <si>
    <t>Lidya</t>
  </si>
  <si>
    <t>marshetmohamedjj@gmail.com</t>
  </si>
  <si>
    <t>Marshet</t>
  </si>
  <si>
    <t>ratiofide.28@gmail.com</t>
  </si>
  <si>
    <t>Feyisa</t>
  </si>
  <si>
    <t>Takele</t>
  </si>
  <si>
    <t>Asosa</t>
  </si>
  <si>
    <t>alazarlule62@gmail.com</t>
  </si>
  <si>
    <t>Alazar</t>
  </si>
  <si>
    <t>kidusyoseph832@gmail.com</t>
  </si>
  <si>
    <t>yoseph</t>
  </si>
  <si>
    <t>hizkiyasbogale247@gmail.com</t>
  </si>
  <si>
    <t>Hizkiyas</t>
  </si>
  <si>
    <t>Gebregiorgis</t>
  </si>
  <si>
    <t>rhailu240@gmail.com</t>
  </si>
  <si>
    <t>samualkelebu@gmail.com</t>
  </si>
  <si>
    <t>samual</t>
  </si>
  <si>
    <t>keleb</t>
  </si>
  <si>
    <t>undefined</t>
  </si>
  <si>
    <t>seudsahm2@gmail.com</t>
  </si>
  <si>
    <t>Seud</t>
  </si>
  <si>
    <t>natanteshome19@gmail.com</t>
  </si>
  <si>
    <t>Natan</t>
  </si>
  <si>
    <t>beemnetabrahamsel@gmail.com</t>
  </si>
  <si>
    <t>Be'emnet</t>
  </si>
  <si>
    <t>kiyaadugna865@gmail.com</t>
  </si>
  <si>
    <t>Kiya</t>
  </si>
  <si>
    <t>Guluma</t>
  </si>
  <si>
    <t>dagimfasil78@gmail.com</t>
  </si>
  <si>
    <t>Tadese</t>
  </si>
  <si>
    <t>bitanyatsegaye3@gmail.com</t>
  </si>
  <si>
    <t>Bitanya</t>
  </si>
  <si>
    <t>seblewengelhabtamu12@gmail.com</t>
  </si>
  <si>
    <t>Seblewengel</t>
  </si>
  <si>
    <t>selamteshome40@gmail.com</t>
  </si>
  <si>
    <t>Demisse</t>
  </si>
  <si>
    <t>amengetachew03@gmail.com</t>
  </si>
  <si>
    <t>Amen</t>
  </si>
  <si>
    <t>tofikapps74@gmail.com</t>
  </si>
  <si>
    <t>Tofik</t>
  </si>
  <si>
    <t>Sheka</t>
  </si>
  <si>
    <t>edomgebremedhin@gmail.com</t>
  </si>
  <si>
    <t>Edom</t>
  </si>
  <si>
    <t>Gebremedhin</t>
  </si>
  <si>
    <t>Axum</t>
  </si>
  <si>
    <t>almightygodislove7@gmail.com</t>
  </si>
  <si>
    <t>Nigussie</t>
  </si>
  <si>
    <t>tesemataddese@gmail.com</t>
  </si>
  <si>
    <t>Teshu</t>
  </si>
  <si>
    <t>T</t>
  </si>
  <si>
    <t>www.bamlakzewdie@gmail.com</t>
  </si>
  <si>
    <t>Bamlak</t>
  </si>
  <si>
    <t>Demissie</t>
  </si>
  <si>
    <t>bereket.a298@gmail.com</t>
  </si>
  <si>
    <t>Workie</t>
  </si>
  <si>
    <t>naji106066@gmail.com</t>
  </si>
  <si>
    <t>NAJI</t>
  </si>
  <si>
    <t>Jemo</t>
  </si>
  <si>
    <t>abel.abera07@gmail.com</t>
  </si>
  <si>
    <t>Abera</t>
  </si>
  <si>
    <t>yeabsrajoseph591@gmail.com</t>
  </si>
  <si>
    <t>Yeabsra Yosef</t>
  </si>
  <si>
    <t>Yhdego</t>
  </si>
  <si>
    <t>bonbiladenii@gmail.com</t>
  </si>
  <si>
    <t>Bonsa</t>
  </si>
  <si>
    <t>kalgelan19@gmail.com</t>
  </si>
  <si>
    <t>Kalkidan Berhanu</t>
  </si>
  <si>
    <t>Gelan</t>
  </si>
  <si>
    <t>saramuktarx8@gmail.com</t>
  </si>
  <si>
    <t>Sara</t>
  </si>
  <si>
    <t>Muktar</t>
  </si>
  <si>
    <t>bililigneb28@gmail.com</t>
  </si>
  <si>
    <t>Bililing</t>
  </si>
  <si>
    <t>engdaworkzeweter@gmail.com</t>
  </si>
  <si>
    <t>ZEWETER</t>
  </si>
  <si>
    <t>ENGIDAWORK</t>
  </si>
  <si>
    <t>gebrealamne@gmail.com</t>
  </si>
  <si>
    <t>Gebrie</t>
  </si>
  <si>
    <t>Alamenie</t>
  </si>
  <si>
    <t>linamerwan02@gmail.com</t>
  </si>
  <si>
    <t>lina</t>
  </si>
  <si>
    <t>Amir</t>
  </si>
  <si>
    <t>koketdesalegn09@gmail.com</t>
  </si>
  <si>
    <t>Koket</t>
  </si>
  <si>
    <t>yonphil26@gmail.com</t>
  </si>
  <si>
    <t>rdxrobe@gmail.com</t>
  </si>
  <si>
    <t>Mifta</t>
  </si>
  <si>
    <t>Beshir</t>
  </si>
  <si>
    <t>akliltesfa7@gmail.com</t>
  </si>
  <si>
    <t>Aklil</t>
  </si>
  <si>
    <t>leylakalid24@gmail.com</t>
  </si>
  <si>
    <t>Leyla</t>
  </si>
  <si>
    <t>lidiyagetan@gmail.com</t>
  </si>
  <si>
    <t>Lidiya</t>
  </si>
  <si>
    <t>Alagaw</t>
  </si>
  <si>
    <t>degefudebele@gmail.com</t>
  </si>
  <si>
    <t>debele</t>
  </si>
  <si>
    <t>degefu</t>
  </si>
  <si>
    <t>jabeztaye6@gmail.com</t>
  </si>
  <si>
    <t>Yabets</t>
  </si>
  <si>
    <t>Gersu</t>
  </si>
  <si>
    <t>selahalex055@gmail.com</t>
  </si>
  <si>
    <t>Selah</t>
  </si>
  <si>
    <t>Lemma</t>
  </si>
  <si>
    <t>amanuelgetachew391@gmail.com</t>
  </si>
  <si>
    <t>lbekele278@gmail.com</t>
  </si>
  <si>
    <t>samuelino1box@gmail.com</t>
  </si>
  <si>
    <t>Anchiso</t>
  </si>
  <si>
    <t>ephremalmaz5@gmail.com</t>
  </si>
  <si>
    <t>Ambo</t>
  </si>
  <si>
    <t>elationunifire@gmail.com</t>
  </si>
  <si>
    <t>Aimero</t>
  </si>
  <si>
    <t>mekuriamekdes3@gmail.com</t>
  </si>
  <si>
    <t>Mekdes</t>
  </si>
  <si>
    <t>Kifle</t>
  </si>
  <si>
    <t>tsionyazachew4@gmail.com</t>
  </si>
  <si>
    <t>Kelkle</t>
  </si>
  <si>
    <t>abrshtaddis@gmail.com</t>
  </si>
  <si>
    <t>Abrarew</t>
  </si>
  <si>
    <t>Addis</t>
  </si>
  <si>
    <t>feven5092@gmail.com</t>
  </si>
  <si>
    <t>sarongetahew@gmail.com</t>
  </si>
  <si>
    <t>Saron</t>
  </si>
  <si>
    <t>yabserayabserazewdu@gmail.com</t>
  </si>
  <si>
    <t>Yabsera</t>
  </si>
  <si>
    <t>Geremew</t>
  </si>
  <si>
    <t>basleltafese@gmail.com</t>
  </si>
  <si>
    <t>Baslel</t>
  </si>
  <si>
    <t>Asrat</t>
  </si>
  <si>
    <t>ska.amanuhambisa@gmail.com</t>
  </si>
  <si>
    <t>Amanu</t>
  </si>
  <si>
    <t>Miju</t>
  </si>
  <si>
    <t>nk.kiyu7@gmail.com</t>
  </si>
  <si>
    <t>Legesse</t>
  </si>
  <si>
    <t>mobtheweeb@gmail.com</t>
  </si>
  <si>
    <t>Yalew</t>
  </si>
  <si>
    <t>elroimelese1@gmail.com</t>
  </si>
  <si>
    <t>Elroi</t>
  </si>
  <si>
    <t>ketemacherenet@gmail.com</t>
  </si>
  <si>
    <t>Cherenet</t>
  </si>
  <si>
    <t>mogeskaleab003@gmail.com</t>
  </si>
  <si>
    <t>Engdawork</t>
  </si>
  <si>
    <t>agernattezera2123@gmail.com</t>
  </si>
  <si>
    <t>Agernat</t>
  </si>
  <si>
    <t>Dile</t>
  </si>
  <si>
    <t>beletegoanardos@gmail.com</t>
  </si>
  <si>
    <t>Nardos Belete</t>
  </si>
  <si>
    <t>Goa</t>
  </si>
  <si>
    <t>michaelwt.fxt@gmail.com</t>
  </si>
  <si>
    <t>bithaniaashenafi@gmail.com</t>
  </si>
  <si>
    <t>Bithania</t>
  </si>
  <si>
    <t>maranatasemu44@gmail.com</t>
  </si>
  <si>
    <t>Maranata</t>
  </si>
  <si>
    <t>Semu</t>
  </si>
  <si>
    <t>bahrantesfaye1@gmail.com</t>
  </si>
  <si>
    <t>Baheran</t>
  </si>
  <si>
    <t>kalutesfaye111@gmail.com</t>
  </si>
  <si>
    <t>Meley Tesfaye</t>
  </si>
  <si>
    <t>birukmesfin714@gmail.com</t>
  </si>
  <si>
    <t>usuluff2006@gmail.com</t>
  </si>
  <si>
    <t>kidist</t>
  </si>
  <si>
    <t>melkamu</t>
  </si>
  <si>
    <t>kirubelmamushet@gmail.com</t>
  </si>
  <si>
    <t>Kirubel</t>
  </si>
  <si>
    <t>Mamushet</t>
  </si>
  <si>
    <t>abdulaziznuri495@gmail.com</t>
  </si>
  <si>
    <t>jaleltems@gmail.com</t>
  </si>
  <si>
    <t>Jalel</t>
  </si>
  <si>
    <t>Terefe</t>
  </si>
  <si>
    <t>medafhd@gmail.com</t>
  </si>
  <si>
    <t>melakudenekew598@gmail.com</t>
  </si>
  <si>
    <t>Melaku</t>
  </si>
  <si>
    <t>yonatanbantirgu40@gmail.com</t>
  </si>
  <si>
    <t>Yonatan</t>
  </si>
  <si>
    <t>Bantirgu</t>
  </si>
  <si>
    <t>kirubelast@gmail.com</t>
  </si>
  <si>
    <t>kirubel</t>
  </si>
  <si>
    <t>astraye</t>
  </si>
  <si>
    <t>atadesse722@gmail.com</t>
  </si>
  <si>
    <t>admasu</t>
  </si>
  <si>
    <t>kgselama@gmail.com</t>
  </si>
  <si>
    <t>Kduss</t>
  </si>
  <si>
    <t>Gebreselama</t>
  </si>
  <si>
    <t>hailuregasa8@gmail.com</t>
  </si>
  <si>
    <t>Regasa</t>
  </si>
  <si>
    <t>sameramelkie86@gmail.com</t>
  </si>
  <si>
    <t>Mulugojam</t>
  </si>
  <si>
    <t>bazezew</t>
  </si>
  <si>
    <t>mtesfa6@gmail.com</t>
  </si>
  <si>
    <t>Tesfa</t>
  </si>
  <si>
    <t>Mossie</t>
  </si>
  <si>
    <t>telavivketema74@gmail.com</t>
  </si>
  <si>
    <t>Telaviv</t>
  </si>
  <si>
    <t>Sintayehu</t>
  </si>
  <si>
    <t>thereemmutasim@gmail.com</t>
  </si>
  <si>
    <t>Reem</t>
  </si>
  <si>
    <t>Mutasim</t>
  </si>
  <si>
    <t>obsa.aliyi.ahmed2023@gmail.com</t>
  </si>
  <si>
    <t>obsa</t>
  </si>
  <si>
    <t>latahailu5@gmail.com</t>
  </si>
  <si>
    <t>Leta</t>
  </si>
  <si>
    <t>Ayana</t>
  </si>
  <si>
    <t>selammulugeta994@gmail.com</t>
  </si>
  <si>
    <t>selam</t>
  </si>
  <si>
    <t>mulugeta</t>
  </si>
  <si>
    <t>toligibi82@gmail.com</t>
  </si>
  <si>
    <t>EBA</t>
  </si>
  <si>
    <t>KENATE</t>
  </si>
  <si>
    <t>melakujenberu61@gmail.com</t>
  </si>
  <si>
    <t>Tiruneh</t>
  </si>
  <si>
    <t>bayemelsew5@gmail.com</t>
  </si>
  <si>
    <t>Muche</t>
  </si>
  <si>
    <t>amirtijani90@gmail.com</t>
  </si>
  <si>
    <t>Hasen</t>
  </si>
  <si>
    <t>kiyaye1208@gmail.com</t>
  </si>
  <si>
    <t>Hiwot</t>
  </si>
  <si>
    <t>Getnet</t>
  </si>
  <si>
    <t>berhanumfm0813@gmail.com</t>
  </si>
  <si>
    <t>BERHANU</t>
  </si>
  <si>
    <t>AYANO</t>
  </si>
  <si>
    <t>nuretofik3@gmail.com</t>
  </si>
  <si>
    <t>Nure</t>
  </si>
  <si>
    <t>samuelbirhane090909@gmail.com</t>
  </si>
  <si>
    <t>Birhane</t>
  </si>
  <si>
    <t>karaanjireenyaayesusqofa@gmail.com</t>
  </si>
  <si>
    <t>Barecha</t>
  </si>
  <si>
    <t>Gahera</t>
  </si>
  <si>
    <t>1994borndd@gmail.com</t>
  </si>
  <si>
    <t>Berihu</t>
  </si>
  <si>
    <t>kemalkeke48@gmail.com</t>
  </si>
  <si>
    <t>keyredin</t>
  </si>
  <si>
    <t>birehaile2014@gmail.com</t>
  </si>
  <si>
    <t>Brhane</t>
  </si>
  <si>
    <t>Abraha</t>
  </si>
  <si>
    <t>Adigrat</t>
  </si>
  <si>
    <t>temirat57ge@gmail.com</t>
  </si>
  <si>
    <t>Megersa</t>
  </si>
  <si>
    <t>mihretu2008@gmail.com</t>
  </si>
  <si>
    <t>MIHRETU</t>
  </si>
  <si>
    <t>WIJORE</t>
  </si>
  <si>
    <t>yaru143.2008@gmail.com</t>
  </si>
  <si>
    <t>pomysolomon@gmail.com</t>
  </si>
  <si>
    <t>Heldana</t>
  </si>
  <si>
    <t>desalegn06@gmail.com</t>
  </si>
  <si>
    <t>desalegn</t>
  </si>
  <si>
    <t>obsegelu@gmail.com</t>
  </si>
  <si>
    <t>Obse</t>
  </si>
  <si>
    <t>Gelu</t>
  </si>
  <si>
    <t>birkishshikor14@gmail.com</t>
  </si>
  <si>
    <t>Gebreharyat</t>
  </si>
  <si>
    <t>petrosasmamaw278@gmail.com</t>
  </si>
  <si>
    <t>Petros</t>
  </si>
  <si>
    <t>Asmamaw</t>
  </si>
  <si>
    <t>abdurhmankassahun3@gmail.com</t>
  </si>
  <si>
    <t>Abdurhman</t>
  </si>
  <si>
    <t>tao.olan02@gmail.com</t>
  </si>
  <si>
    <t>Oliyad</t>
  </si>
  <si>
    <t>Wondu</t>
  </si>
  <si>
    <t>asmamawbihonegn@yahoo.com</t>
  </si>
  <si>
    <t>asmamaw</t>
  </si>
  <si>
    <t>bihonegn</t>
  </si>
  <si>
    <t>blenmohammed1603@gmail.com</t>
  </si>
  <si>
    <t>abatedenekew9@gmail.com</t>
  </si>
  <si>
    <t>eyugere@gmail.com</t>
  </si>
  <si>
    <t>gutel1996ash@gmail.com</t>
  </si>
  <si>
    <t>Guteta</t>
  </si>
  <si>
    <t>metiaad116@gmail.com</t>
  </si>
  <si>
    <t>Meti</t>
  </si>
  <si>
    <t>laminegash262@gmail.com</t>
  </si>
  <si>
    <t>Lami</t>
  </si>
  <si>
    <t>Idris</t>
  </si>
  <si>
    <t>svacademy12m@gmail.com</t>
  </si>
  <si>
    <t>bikase</t>
  </si>
  <si>
    <t>birhanutewodros3@gmail.com</t>
  </si>
  <si>
    <t>Tewodros</t>
  </si>
  <si>
    <t>Lera</t>
  </si>
  <si>
    <t>semir.badmu@gmail.com</t>
  </si>
  <si>
    <t>Semir</t>
  </si>
  <si>
    <t>Jeza</t>
  </si>
  <si>
    <t>teklegebrekiros00@gmail.com</t>
  </si>
  <si>
    <t>Berhan</t>
  </si>
  <si>
    <t>Hiluf</t>
  </si>
  <si>
    <t>barakbeta77@gmail.com</t>
  </si>
  <si>
    <t>Desta</t>
  </si>
  <si>
    <t>zzo62060@gmail.com</t>
  </si>
  <si>
    <t>Zelalem</t>
  </si>
  <si>
    <t>mussiegebremichael@gmail.com</t>
  </si>
  <si>
    <t>Mussie gebremichael</t>
  </si>
  <si>
    <t>Meles</t>
  </si>
  <si>
    <t>yenealemfekadu707@gmail.com</t>
  </si>
  <si>
    <t>Fekadu Yenealem</t>
  </si>
  <si>
    <t>Tsega</t>
  </si>
  <si>
    <t>endu12g@gmail.com</t>
  </si>
  <si>
    <t>Endalemaw</t>
  </si>
  <si>
    <t>Amogne</t>
  </si>
  <si>
    <t>hailebitew2@gmail.com</t>
  </si>
  <si>
    <t>Bitew</t>
  </si>
  <si>
    <t>ashagretigist6@gmail.com</t>
  </si>
  <si>
    <t>hasen0912haji@gmail.com</t>
  </si>
  <si>
    <t>Ulfata</t>
  </si>
  <si>
    <t>nuhamisirak@gmail.com</t>
  </si>
  <si>
    <t>Nuhami</t>
  </si>
  <si>
    <t>firewdesu3@gmail.com</t>
  </si>
  <si>
    <t>Cherie</t>
  </si>
  <si>
    <t>calebderibe@gmail.com</t>
  </si>
  <si>
    <t>Kaleb</t>
  </si>
  <si>
    <t>Debella</t>
  </si>
  <si>
    <t>adinogech@gmail.com</t>
  </si>
  <si>
    <t>kassahuntamiru22@gmail.com</t>
  </si>
  <si>
    <t>kassahun</t>
  </si>
  <si>
    <t>Aredo</t>
  </si>
  <si>
    <t>sltnjundi@gmail.com</t>
  </si>
  <si>
    <t>Sultan</t>
  </si>
  <si>
    <t>ARSE</t>
  </si>
  <si>
    <t>birukbishaw000@gmail.com</t>
  </si>
  <si>
    <t>Abamecha</t>
  </si>
  <si>
    <t>tesfayehawila@gmail.com</t>
  </si>
  <si>
    <t>Hawila</t>
  </si>
  <si>
    <t>Dilgasa</t>
  </si>
  <si>
    <t>yonilata28@gmail.com</t>
  </si>
  <si>
    <t>HMichael</t>
  </si>
  <si>
    <t>bamshap356@gmail.com</t>
  </si>
  <si>
    <t>Beamlak Mohammed</t>
  </si>
  <si>
    <t>gamadidnb@gmail.com</t>
  </si>
  <si>
    <t>Nur</t>
  </si>
  <si>
    <t>Gamadid</t>
  </si>
  <si>
    <t>addiskidane600@gmail.com</t>
  </si>
  <si>
    <t>bemnetbelete917@gmail.com</t>
  </si>
  <si>
    <t>Belete</t>
  </si>
  <si>
    <t>abhaylatube@gmail.com</t>
  </si>
  <si>
    <t>Assefa</t>
  </si>
  <si>
    <t>nebilmeko@gmail.com</t>
  </si>
  <si>
    <t>Nebil</t>
  </si>
  <si>
    <t>Assen</t>
  </si>
  <si>
    <t>asressalebel@gmail.com</t>
  </si>
  <si>
    <t>Alebel</t>
  </si>
  <si>
    <t>seyoumfekerte@gmail.com</t>
  </si>
  <si>
    <t>Fekerte</t>
  </si>
  <si>
    <t>altacher227@gmail.com</t>
  </si>
  <si>
    <t>Altaseb</t>
  </si>
  <si>
    <t>weldehawariat</t>
  </si>
  <si>
    <t>hanaamare1127@gmail.com</t>
  </si>
  <si>
    <t>addisum2129@gmail.com</t>
  </si>
  <si>
    <t>Addisu</t>
  </si>
  <si>
    <t>Batu</t>
  </si>
  <si>
    <t>bezawitabdissa@gmail.com</t>
  </si>
  <si>
    <t>Bezi</t>
  </si>
  <si>
    <t>Abdissa</t>
  </si>
  <si>
    <t>mebakebede9@gmail.com</t>
  </si>
  <si>
    <t>Meba</t>
  </si>
  <si>
    <t>mengeshagossa@gmail.com</t>
  </si>
  <si>
    <t>Gossa</t>
  </si>
  <si>
    <t>lulitgirmay7@gmail.com</t>
  </si>
  <si>
    <t>Elilta</t>
  </si>
  <si>
    <t>Girmay</t>
  </si>
  <si>
    <t>wonde.getachew001@gmail.com</t>
  </si>
  <si>
    <t>Wondashaw</t>
  </si>
  <si>
    <t>Legessu</t>
  </si>
  <si>
    <t>gemechutil2008@gmail.com</t>
  </si>
  <si>
    <t>GEMECHU</t>
  </si>
  <si>
    <t>Lemu</t>
  </si>
  <si>
    <t>merasol145@gmail.com</t>
  </si>
  <si>
    <t>meron</t>
  </si>
  <si>
    <t>solomon</t>
  </si>
  <si>
    <t>edilegnawayito@gmail.com</t>
  </si>
  <si>
    <t>Edilegnaw</t>
  </si>
  <si>
    <t>Ayito</t>
  </si>
  <si>
    <t>mintunadew21@gmail.com</t>
  </si>
  <si>
    <t>Mintu</t>
  </si>
  <si>
    <t>nadew</t>
  </si>
  <si>
    <t>hermiaddisadera@gmail.com</t>
  </si>
  <si>
    <t>Adera</t>
  </si>
  <si>
    <t>ephodejene@gmail.com</t>
  </si>
  <si>
    <t>dejene</t>
  </si>
  <si>
    <t>weldiekidu@yahoo.com</t>
  </si>
  <si>
    <t>Wekdie</t>
  </si>
  <si>
    <t>Tsadick</t>
  </si>
  <si>
    <t>teshomethomas1@gmail.com</t>
  </si>
  <si>
    <t>Thomas</t>
  </si>
  <si>
    <t>tarikusolomon703@gmail.com</t>
  </si>
  <si>
    <t>Tariku</t>
  </si>
  <si>
    <t>abiyotor73@gmail.com</t>
  </si>
  <si>
    <t>Demissew</t>
  </si>
  <si>
    <t>tesfawkindye6@gmail.com</t>
  </si>
  <si>
    <t>kindye</t>
  </si>
  <si>
    <t>tesfaw</t>
  </si>
  <si>
    <t>amengetachew7075@gmail.com</t>
  </si>
  <si>
    <t>firdisaabdi@gmail.com</t>
  </si>
  <si>
    <t>Firdisa</t>
  </si>
  <si>
    <t>betaniaberhanu@gmail.com</t>
  </si>
  <si>
    <t>Betania</t>
  </si>
  <si>
    <t>yonatan.addis0868@gmail.com</t>
  </si>
  <si>
    <t>Handino</t>
  </si>
  <si>
    <t>wondimuade123@gmail.com</t>
  </si>
  <si>
    <t>Handeno</t>
  </si>
  <si>
    <t>evensolomon77@gmail.com</t>
  </si>
  <si>
    <t>Even</t>
  </si>
  <si>
    <t>bighabesha145@gmail.com</t>
  </si>
  <si>
    <t>Matthews</t>
  </si>
  <si>
    <t>fikrkalsolomon@gmail.com</t>
  </si>
  <si>
    <t>etaetalmaw@gmail.com</t>
  </si>
  <si>
    <t>Menelik</t>
  </si>
  <si>
    <t>tsionwubale17@gmail.com</t>
  </si>
  <si>
    <t>beyour2030@gmail.com</t>
  </si>
  <si>
    <t>Muhammedhussien</t>
  </si>
  <si>
    <t>akkoomanooyyee1@gmail.com</t>
  </si>
  <si>
    <t>Obsinet</t>
  </si>
  <si>
    <t>Bulcha</t>
  </si>
  <si>
    <t>bisrek057@gmail.com</t>
  </si>
  <si>
    <t>Serkebirhan</t>
  </si>
  <si>
    <t>beyene</t>
  </si>
  <si>
    <t>tsegayezekidus@gmail.com</t>
  </si>
  <si>
    <t>Zekidus</t>
  </si>
  <si>
    <t>tsegaye</t>
  </si>
  <si>
    <t>haymanotgetahunhaymanot@gmail.com</t>
  </si>
  <si>
    <t>Haymanot</t>
  </si>
  <si>
    <t>yabi.mikre@gmail.com</t>
  </si>
  <si>
    <t>Yabsira</t>
  </si>
  <si>
    <t>Mikre</t>
  </si>
  <si>
    <t>yohannesjho12@gmail.com</t>
  </si>
  <si>
    <t>fikre</t>
  </si>
  <si>
    <t>alemayehu.obsaa@gmail.com</t>
  </si>
  <si>
    <t>Obsa</t>
  </si>
  <si>
    <t>Barasa</t>
  </si>
  <si>
    <t>mekdelawitaddis1@gmail.com</t>
  </si>
  <si>
    <t>Anley</t>
  </si>
  <si>
    <t>davedawit207@gmail.com</t>
  </si>
  <si>
    <t>Tadesse</t>
  </si>
  <si>
    <t>deretoko6@gmail.com</t>
  </si>
  <si>
    <t>Daraje</t>
  </si>
  <si>
    <t>fikerteshager373@gmail.com</t>
  </si>
  <si>
    <t>Befiker</t>
  </si>
  <si>
    <t>nigstamare36@gmail.com</t>
  </si>
  <si>
    <t>Nigst</t>
  </si>
  <si>
    <t>fuade.umeer@gmail.com</t>
  </si>
  <si>
    <t>Fuad</t>
  </si>
  <si>
    <t>nuhaminmanguday@gmail.com</t>
  </si>
  <si>
    <t>mtslabrh97@gmail.com</t>
  </si>
  <si>
    <t>Matusala</t>
  </si>
  <si>
    <t>Abrha</t>
  </si>
  <si>
    <t>esayasnatnael40@gmail.com</t>
  </si>
  <si>
    <t>bitwisetechteam@gmail.com</t>
  </si>
  <si>
    <t>Yafet</t>
  </si>
  <si>
    <t>Esayas</t>
  </si>
  <si>
    <t>bemnetaschalewwodaj@gmail.com</t>
  </si>
  <si>
    <t>Aschalew</t>
  </si>
  <si>
    <t>naolc54@gmail.com</t>
  </si>
  <si>
    <t>trademoney081@gmail.com</t>
  </si>
  <si>
    <t>Siued</t>
  </si>
  <si>
    <t>Muhaba</t>
  </si>
  <si>
    <t>nam8design@gmail.com</t>
  </si>
  <si>
    <t>yteshome600@gmail.com</t>
  </si>
  <si>
    <t>muhammedsanisultan38@gmail.com</t>
  </si>
  <si>
    <t>Muhammadsani</t>
  </si>
  <si>
    <t>abelatesh171@gmail.com</t>
  </si>
  <si>
    <t>Abiel Teshome</t>
  </si>
  <si>
    <t>Kefale</t>
  </si>
  <si>
    <t>abdemikeal897@gmail.com</t>
  </si>
  <si>
    <t>Abde</t>
  </si>
  <si>
    <t>mikeal</t>
  </si>
  <si>
    <t>natantilahun095@gmail.com</t>
  </si>
  <si>
    <t>yordi.abiye@gmail.com</t>
  </si>
  <si>
    <t>yordanos</t>
  </si>
  <si>
    <t>abiye</t>
  </si>
  <si>
    <t>soldam59@gmail.com</t>
  </si>
  <si>
    <t>Meharu</t>
  </si>
  <si>
    <t>melihaile4@gmail.com</t>
  </si>
  <si>
    <t>Haileyesus</t>
  </si>
  <si>
    <t>natimanxo41@gmail.com</t>
  </si>
  <si>
    <t>kibrabezbz12@gmail.com</t>
  </si>
  <si>
    <t>Kibra</t>
  </si>
  <si>
    <t>Bezbiz</t>
  </si>
  <si>
    <t>hamzemahamud022@gmail.com</t>
  </si>
  <si>
    <t>Muhumed</t>
  </si>
  <si>
    <t>nesrualiyyi99@gmail.com</t>
  </si>
  <si>
    <t>Nesru</t>
  </si>
  <si>
    <t>Aliyi</t>
  </si>
  <si>
    <t>kiduswaka26@gmail.com</t>
  </si>
  <si>
    <t>kidus</t>
  </si>
  <si>
    <t>waka</t>
  </si>
  <si>
    <t>mariamhanaf21@gmail.com</t>
  </si>
  <si>
    <t>Fantu</t>
  </si>
  <si>
    <t>natananamsalu@gmail.com</t>
  </si>
  <si>
    <t>Natanan Amsalu</t>
  </si>
  <si>
    <t>leykunsolo@gmail.com</t>
  </si>
  <si>
    <t>Mikias</t>
  </si>
  <si>
    <t>hannakinfe2@gmail.com</t>
  </si>
  <si>
    <t>Hanna</t>
  </si>
  <si>
    <t>Lule</t>
  </si>
  <si>
    <t>brukewendeson09@gmail.com</t>
  </si>
  <si>
    <t>Bruke</t>
  </si>
  <si>
    <t>wendwosen</t>
  </si>
  <si>
    <t>amanu18k@gmail.com</t>
  </si>
  <si>
    <t>kussito.tibebu@astust.edu.et</t>
  </si>
  <si>
    <t>kussito</t>
  </si>
  <si>
    <t>Orkaido</t>
  </si>
  <si>
    <t>bekalutayene2391@gmail.com</t>
  </si>
  <si>
    <t>Bekalu</t>
  </si>
  <si>
    <t>Tayene</t>
  </si>
  <si>
    <t>martialkb7@gmail.com</t>
  </si>
  <si>
    <t>danielbefekadu14@gmail.com</t>
  </si>
  <si>
    <t>Befekadu</t>
  </si>
  <si>
    <t>samuelaseffa12@gmail.com</t>
  </si>
  <si>
    <t>Aseffa</t>
  </si>
  <si>
    <t>zerihunbard@gmail.com</t>
  </si>
  <si>
    <t>Zerihun</t>
  </si>
  <si>
    <t>shiferaw</t>
  </si>
  <si>
    <t>mariaaynalem@gmail.com</t>
  </si>
  <si>
    <t>Maria</t>
  </si>
  <si>
    <t>Aynalem</t>
  </si>
  <si>
    <t>asierselamu@gmail.com</t>
  </si>
  <si>
    <t>Asier</t>
  </si>
  <si>
    <t>ts200623@yahoo.com</t>
  </si>
  <si>
    <t>teklemariam.biruk801@gmail.com</t>
  </si>
  <si>
    <t>Abreham</t>
  </si>
  <si>
    <t>yidedyafeta40@gmail.com</t>
  </si>
  <si>
    <t>Yidedya Feta</t>
  </si>
  <si>
    <t>Nibezo</t>
  </si>
  <si>
    <t>bmekdes61@gmail.com</t>
  </si>
  <si>
    <t>Haykel</t>
  </si>
  <si>
    <t>Bedilu</t>
  </si>
  <si>
    <t>herub8982@gmail.com</t>
  </si>
  <si>
    <t>Herani</t>
  </si>
  <si>
    <t>eyasuw3@gmail.com</t>
  </si>
  <si>
    <t>Eyasu Wendwesen</t>
  </si>
  <si>
    <t>Agze</t>
  </si>
  <si>
    <t>endesew12@gmail.com</t>
  </si>
  <si>
    <t>Endesew</t>
  </si>
  <si>
    <t>Bantayehu</t>
  </si>
  <si>
    <t>jellycoolgamer792@gmail.com</t>
  </si>
  <si>
    <t>blulvr19@gmail.com</t>
  </si>
  <si>
    <t>sara</t>
  </si>
  <si>
    <t>sdawit471@gmail.com</t>
  </si>
  <si>
    <t>nahommusfin@gmail.com</t>
  </si>
  <si>
    <t>Nahum</t>
  </si>
  <si>
    <t>naolalemayehu10@gmail.com</t>
  </si>
  <si>
    <t>melaniyaanbese@gmail.com</t>
  </si>
  <si>
    <t>Adugnya</t>
  </si>
  <si>
    <t>127betha@gmail.com</t>
  </si>
  <si>
    <t>Bethany</t>
  </si>
  <si>
    <t>kidustess@gmail.com</t>
  </si>
  <si>
    <t>Kidus Tessema</t>
  </si>
  <si>
    <t>Manyahle</t>
  </si>
  <si>
    <t>nardosanten886@gmail.com</t>
  </si>
  <si>
    <t>Nardos</t>
  </si>
  <si>
    <t>Anteneh</t>
  </si>
  <si>
    <t>fitsumpapa0@gmail.com</t>
  </si>
  <si>
    <t>andualem</t>
  </si>
  <si>
    <t>danielfissehaawo21@gmail.com</t>
  </si>
  <si>
    <t>Daniel Fisseha</t>
  </si>
  <si>
    <t>g1663232@gmail.com</t>
  </si>
  <si>
    <t>Mehret</t>
  </si>
  <si>
    <t>fuadtesfaye24@gmail.com</t>
  </si>
  <si>
    <t>kizenfirst@gmail.com</t>
  </si>
  <si>
    <t>Ismael</t>
  </si>
  <si>
    <t>Reid</t>
  </si>
  <si>
    <t>cananetesfaye@gmail.com</t>
  </si>
  <si>
    <t>Canane</t>
  </si>
  <si>
    <t>temsgenbaba7@gmail.com</t>
  </si>
  <si>
    <t>Dida</t>
  </si>
  <si>
    <t>ruthshibeshi4@gmail.com</t>
  </si>
  <si>
    <t>Ruth</t>
  </si>
  <si>
    <t>Tekle</t>
  </si>
  <si>
    <t>yordanos499@gmail.com</t>
  </si>
  <si>
    <t>Nius</t>
  </si>
  <si>
    <t>kassahunaddiss6@gmail.com</t>
  </si>
  <si>
    <t>Addiss</t>
  </si>
  <si>
    <t>fikadeyesus@gmail.com</t>
  </si>
  <si>
    <t>Fikadeyesus</t>
  </si>
  <si>
    <t>fasikasebsibe365@gmail.com</t>
  </si>
  <si>
    <t>Fasika</t>
  </si>
  <si>
    <t>Sebsibe</t>
  </si>
  <si>
    <t>kayoninsa@gmail.com</t>
  </si>
  <si>
    <t>amare</t>
  </si>
  <si>
    <t>mesayassefa95@gmail.com</t>
  </si>
  <si>
    <t>Mesay Assefa</t>
  </si>
  <si>
    <t>anjulosaron@gmail.com</t>
  </si>
  <si>
    <t>Anjulo</t>
  </si>
  <si>
    <t>redietbirhanu35@gmail.com</t>
  </si>
  <si>
    <t>bereketdm1984@gmail.com</t>
  </si>
  <si>
    <t>ddegu51@gmail.com</t>
  </si>
  <si>
    <t>Degu</t>
  </si>
  <si>
    <t>bekelegetachew70@gmail.com</t>
  </si>
  <si>
    <t>GETACHEW</t>
  </si>
  <si>
    <t>ASSEFA</t>
  </si>
  <si>
    <t>keronmitiku2@gmail.com</t>
  </si>
  <si>
    <t>Keron</t>
  </si>
  <si>
    <t>dawitdereje1@gmail.com</t>
  </si>
  <si>
    <t>Leuleberehan</t>
  </si>
  <si>
    <t>shellemadebela@gmail.com</t>
  </si>
  <si>
    <t>shellema</t>
  </si>
  <si>
    <t>Debela</t>
  </si>
  <si>
    <t>redietgebrecherkos@gmail.com</t>
  </si>
  <si>
    <t>Gebrecherkos</t>
  </si>
  <si>
    <t>eraftuale@gmail.com</t>
  </si>
  <si>
    <t>Zewude</t>
  </si>
  <si>
    <t>gatlamniduop@gmail.com</t>
  </si>
  <si>
    <t>Duop</t>
  </si>
  <si>
    <t>Duoth</t>
  </si>
  <si>
    <t>ruthtedla84@gmail.com</t>
  </si>
  <si>
    <t>ruth</t>
  </si>
  <si>
    <t>tafesse</t>
  </si>
  <si>
    <t>daninani19935665@gmail.com</t>
  </si>
  <si>
    <t>tesnathnael@gmail.com</t>
  </si>
  <si>
    <t>Nathnael</t>
  </si>
  <si>
    <t>eueltariku483@gmail.com</t>
  </si>
  <si>
    <t>Euel</t>
  </si>
  <si>
    <t>jhonezeledta12@gmail.com</t>
  </si>
  <si>
    <t>Ermias</t>
  </si>
  <si>
    <t>sihamkedir7@gmail.com</t>
  </si>
  <si>
    <t>Siham</t>
  </si>
  <si>
    <t>Abdulkadir</t>
  </si>
  <si>
    <t>mekuannintdemeke3737@gmail.com</t>
  </si>
  <si>
    <t>MEKUANNINT</t>
  </si>
  <si>
    <t>DEMEKE</t>
  </si>
  <si>
    <t>kassieyohannes8@gmail.com</t>
  </si>
  <si>
    <t>Kassie</t>
  </si>
  <si>
    <t>yerosaalemu340@gmail.com</t>
  </si>
  <si>
    <t>Yerosa</t>
  </si>
  <si>
    <t>mulub900@gmail.com</t>
  </si>
  <si>
    <t>Mulu</t>
  </si>
  <si>
    <t>Birhanu Wale</t>
  </si>
  <si>
    <t>fikertetadesse1403@gmail.com</t>
  </si>
  <si>
    <t>Bisrate</t>
  </si>
  <si>
    <t>Mamedie</t>
  </si>
  <si>
    <t>kassarobel0@gmail.com</t>
  </si>
  <si>
    <t>adabrigth@gmail.com</t>
  </si>
  <si>
    <t>ADISU</t>
  </si>
  <si>
    <t>ESHETE</t>
  </si>
  <si>
    <t>eyobsis21@gmail.com</t>
  </si>
  <si>
    <t>getanehsahele1@gmail.com</t>
  </si>
  <si>
    <t>Getaneh</t>
  </si>
  <si>
    <t>Sahele</t>
  </si>
  <si>
    <t>mengistus963@gmail.com</t>
  </si>
  <si>
    <t>Shawerga</t>
  </si>
  <si>
    <t>hilina1602@gmail.com</t>
  </si>
  <si>
    <t>teshome</t>
  </si>
  <si>
    <t>rumibran57@gmail.com</t>
  </si>
  <si>
    <t>Aminu</t>
  </si>
  <si>
    <t>ruthtewodros91@gmail.com</t>
  </si>
  <si>
    <t>Tewodros Seyoum</t>
  </si>
  <si>
    <t>matheosbelay@gmail.com</t>
  </si>
  <si>
    <t>Matheos</t>
  </si>
  <si>
    <t>Belay</t>
  </si>
  <si>
    <t>kirubegziabher@gmail.com</t>
  </si>
  <si>
    <t>Araya</t>
  </si>
  <si>
    <t>bayiliale731@gmail.com</t>
  </si>
  <si>
    <t>Ebrahim</t>
  </si>
  <si>
    <t>Turufi</t>
  </si>
  <si>
    <t>mikialekidanemariam@gmail.com</t>
  </si>
  <si>
    <t>Mikiale</t>
  </si>
  <si>
    <t>asnakewkeskis111@gmail.com</t>
  </si>
  <si>
    <t>Asnakew</t>
  </si>
  <si>
    <t>Azeze</t>
  </si>
  <si>
    <t>yimerfisha@gmail.com</t>
  </si>
  <si>
    <t>Yimer</t>
  </si>
  <si>
    <t>nibrastofik1994@gmail.com</t>
  </si>
  <si>
    <t>Hikma</t>
  </si>
  <si>
    <t>Habesh</t>
  </si>
  <si>
    <t>jalenechala53@gmail.com</t>
  </si>
  <si>
    <t>Jalene</t>
  </si>
  <si>
    <t>Sori</t>
  </si>
  <si>
    <t>temesgenababutsegaye2127@gmail.com</t>
  </si>
  <si>
    <t>2030myemail@gmail.com</t>
  </si>
  <si>
    <t>Nitsuh</t>
  </si>
  <si>
    <t>yafetgelila7@gmail.com</t>
  </si>
  <si>
    <t>yafet</t>
  </si>
  <si>
    <t>gelila</t>
  </si>
  <si>
    <t>kassahunneftalem@gmail.com</t>
  </si>
  <si>
    <t>Neftalem</t>
  </si>
  <si>
    <t>agernattezera8@gmail.com</t>
  </si>
  <si>
    <t>Tezera</t>
  </si>
  <si>
    <t>ruthtamiru10@gmail.com</t>
  </si>
  <si>
    <t>Tamiru</t>
  </si>
  <si>
    <t>abelyesh@gmail.com</t>
  </si>
  <si>
    <t>Yeshewalul</t>
  </si>
  <si>
    <t>maw3c3@gmail.com</t>
  </si>
  <si>
    <t>Khedir</t>
  </si>
  <si>
    <t>haileyesuskefyalew29@gmail.com</t>
  </si>
  <si>
    <t>haileyesus</t>
  </si>
  <si>
    <t>kefyalew</t>
  </si>
  <si>
    <t>danigetachewmegersa@gmail.com</t>
  </si>
  <si>
    <t>Docter Getachew</t>
  </si>
  <si>
    <t>melkamubantiea@gmail.com</t>
  </si>
  <si>
    <t>teamrlejie.nanometer893@aleeas.com</t>
  </si>
  <si>
    <t>tebikewabew25@gmail.com</t>
  </si>
  <si>
    <t>Hailemichael</t>
  </si>
  <si>
    <t>Abew</t>
  </si>
  <si>
    <t>christianmulusew42@gmail.com</t>
  </si>
  <si>
    <t>haileengedasew@gmail.com</t>
  </si>
  <si>
    <t>Engedasew</t>
  </si>
  <si>
    <t>benieditz1@gmail.com</t>
  </si>
  <si>
    <t>Beniam</t>
  </si>
  <si>
    <t>Damissie</t>
  </si>
  <si>
    <t>umerseiyfe53@gmail.com</t>
  </si>
  <si>
    <t>Umer</t>
  </si>
  <si>
    <t>ristwubrist@gmail.com</t>
  </si>
  <si>
    <t>Wubrist</t>
  </si>
  <si>
    <t>niftalemawrahun16@gmail.com</t>
  </si>
  <si>
    <t>Niftalem</t>
  </si>
  <si>
    <t>rebum.19@gmail.com</t>
  </si>
  <si>
    <t>Rebiya</t>
  </si>
  <si>
    <t>yeyaabeni@gmail.com</t>
  </si>
  <si>
    <t>Naji</t>
  </si>
  <si>
    <t>yohannesfekade52@gmail.com</t>
  </si>
  <si>
    <t>Zeleke</t>
  </si>
  <si>
    <t>meron.proassist.va@gmail.com</t>
  </si>
  <si>
    <t>MERON</t>
  </si>
  <si>
    <t>ZELEKAW</t>
  </si>
  <si>
    <t>asratwendwesen@gmail.com</t>
  </si>
  <si>
    <t>Wendwesen</t>
  </si>
  <si>
    <t>ketemabetel@gmail.com</t>
  </si>
  <si>
    <t>Asress</t>
  </si>
  <si>
    <t>ibrahimiyad000@gmail.com</t>
  </si>
  <si>
    <t>Iyad</t>
  </si>
  <si>
    <t>Negash</t>
  </si>
  <si>
    <t>esubalewnur159@gmail.com</t>
  </si>
  <si>
    <t>Esubalew Yosef</t>
  </si>
  <si>
    <t>suhaylhashim@gmail.com</t>
  </si>
  <si>
    <t>Suhayl</t>
  </si>
  <si>
    <t>teberhabreha71@gmail.com</t>
  </si>
  <si>
    <t>fenetmekonnen225@gmail.com</t>
  </si>
  <si>
    <t>FENET</t>
  </si>
  <si>
    <t>MEKONNEN</t>
  </si>
  <si>
    <t>ferihaahmed616@gmail.com</t>
  </si>
  <si>
    <t>Feriha</t>
  </si>
  <si>
    <t>Yusuf</t>
  </si>
  <si>
    <t>girmabezie@gmail.com</t>
  </si>
  <si>
    <t>Alamrew</t>
  </si>
  <si>
    <t>temechewandinet@gmail.com</t>
  </si>
  <si>
    <t>Andinet</t>
  </si>
  <si>
    <t>abdozinab126@gmail.com</t>
  </si>
  <si>
    <t>Abdo</t>
  </si>
  <si>
    <t>Abazinab</t>
  </si>
  <si>
    <t>alemumolla8788@gmail.com</t>
  </si>
  <si>
    <t>alemu</t>
  </si>
  <si>
    <t>molla</t>
  </si>
  <si>
    <t>gsalva+prod0217_pathway@sandtech.com</t>
  </si>
  <si>
    <t>bob</t>
  </si>
  <si>
    <t>Dylan</t>
  </si>
  <si>
    <t>tmadungwe+testpathc2@alxafrica.com</t>
  </si>
  <si>
    <t>Talent</t>
  </si>
  <si>
    <t>Test</t>
  </si>
  <si>
    <t>Zimbabwe</t>
  </si>
  <si>
    <t>addisgift2024@gmail.com</t>
  </si>
  <si>
    <t>Gift</t>
  </si>
  <si>
    <t>redietapollo7@gmail.com</t>
  </si>
  <si>
    <t>Redeate</t>
  </si>
  <si>
    <t>Teklemichael</t>
  </si>
  <si>
    <t>sosiikassaye@gmail.com</t>
  </si>
  <si>
    <t>Teklewold</t>
  </si>
  <si>
    <t>zefai1627@gmail.com</t>
  </si>
  <si>
    <t>FSHA</t>
  </si>
  <si>
    <t>DERESE</t>
  </si>
  <si>
    <t>in progress</t>
  </si>
  <si>
    <t>Program Sponsorship Question &amp; Admin Fee Details</t>
  </si>
  <si>
    <t>yohanmehari2006@gmail.com</t>
  </si>
  <si>
    <t>rahimahayredinbinthayredin@gmail.com</t>
  </si>
  <si>
    <t>Rahima</t>
  </si>
  <si>
    <t>Abas</t>
  </si>
  <si>
    <t>dpty1yene@gmail.com</t>
  </si>
  <si>
    <t>Pity</t>
  </si>
  <si>
    <t>Dabesa</t>
  </si>
  <si>
    <t>miilakaayyoo12@gmail.com</t>
  </si>
  <si>
    <t>Takela</t>
  </si>
  <si>
    <t>matiwosg123@gmail.com</t>
  </si>
  <si>
    <t>Matiwos</t>
  </si>
  <si>
    <t>Belachew</t>
  </si>
  <si>
    <t>getudiyana60@gmail.com</t>
  </si>
  <si>
    <t>Getu</t>
  </si>
  <si>
    <t>Diyana</t>
  </si>
  <si>
    <t>hanitiwediabraham@gmail.com</t>
  </si>
  <si>
    <t>Haniti</t>
  </si>
  <si>
    <t>sisaynigussie@gmail.com</t>
  </si>
  <si>
    <t>Alamiraw</t>
  </si>
  <si>
    <t>woretawnahom19@gmail.com</t>
  </si>
  <si>
    <t>Woretaw</t>
  </si>
  <si>
    <t>sosimil13@gmail.com</t>
  </si>
  <si>
    <t>esakebeto143@gmail.com</t>
  </si>
  <si>
    <t>Esa</t>
  </si>
  <si>
    <t>Kabeto</t>
  </si>
  <si>
    <t>yuusufsulxii022@gmail.com</t>
  </si>
  <si>
    <t>Yuusuf</t>
  </si>
  <si>
    <t>Tilmo</t>
  </si>
  <si>
    <t>abdusebursultan864@gmail.com</t>
  </si>
  <si>
    <t>Abdusebur</t>
  </si>
  <si>
    <t>bruktsegaw58@gmail.com</t>
  </si>
  <si>
    <t>Bruk</t>
  </si>
  <si>
    <t>Tsegaw</t>
  </si>
  <si>
    <t>sismerch1@gmail.com</t>
  </si>
  <si>
    <t>liye4134@gmail.com</t>
  </si>
  <si>
    <t>Kiki</t>
  </si>
  <si>
    <t>ashget1234@gmail.com</t>
  </si>
  <si>
    <t>henokgeremewj@gmail.com</t>
  </si>
  <si>
    <t>fekaduaynalem777@gmail.com</t>
  </si>
  <si>
    <t>Fekadu</t>
  </si>
  <si>
    <t>azmera</t>
  </si>
  <si>
    <t>adamuyenealem9@gmail.com</t>
  </si>
  <si>
    <t>Adamu</t>
  </si>
  <si>
    <t>danibirega0559@gmail.com</t>
  </si>
  <si>
    <t>Werere</t>
  </si>
  <si>
    <t>obsen517@gmail.com</t>
  </si>
  <si>
    <t>LELISE</t>
  </si>
  <si>
    <t>OLKEBA</t>
  </si>
  <si>
    <t>deborahzerihun9@gmail.com</t>
  </si>
  <si>
    <t>Dibora</t>
  </si>
  <si>
    <t>ibroahmed871@gmail.com</t>
  </si>
  <si>
    <t>Ibraahim</t>
  </si>
  <si>
    <t>samitesfaye2444@gmail.com</t>
  </si>
  <si>
    <t>yohannestsegaye251992@gmail.com</t>
  </si>
  <si>
    <t>dejenetsige946@gmail.com</t>
  </si>
  <si>
    <t>Tsige</t>
  </si>
  <si>
    <t>habtamubirhanu41@gmail.com</t>
  </si>
  <si>
    <t>sadikzeynu65@gmail.com</t>
  </si>
  <si>
    <t>Tirhas</t>
  </si>
  <si>
    <t>Gebretsadik</t>
  </si>
  <si>
    <t>leulalemu39@gmail.com</t>
  </si>
  <si>
    <t>Leul</t>
  </si>
  <si>
    <t>myklenew2019@gmail.com</t>
  </si>
  <si>
    <t>Gebremicael</t>
  </si>
  <si>
    <t>Asgele</t>
  </si>
  <si>
    <t>zufangebre302@gmail.com</t>
  </si>
  <si>
    <t>ZUFAN</t>
  </si>
  <si>
    <t>mosazghi</t>
  </si>
  <si>
    <t>eyobelyu2922@gmail.com</t>
  </si>
  <si>
    <t>Helina</t>
  </si>
  <si>
    <t>zainabjamal0778@email.com</t>
  </si>
  <si>
    <t>Zainab</t>
  </si>
  <si>
    <t>Jemal</t>
  </si>
  <si>
    <t>Saudi Arabia</t>
  </si>
  <si>
    <t>mriboyd1240@gmail.com</t>
  </si>
  <si>
    <t>bereketyasin6@gmail.com</t>
  </si>
  <si>
    <t>BEREKET</t>
  </si>
  <si>
    <t>YAYA</t>
  </si>
  <si>
    <t>robadeva27@gmail.com</t>
  </si>
  <si>
    <t>Jore</t>
  </si>
  <si>
    <t>kamiljuhar902@gmail.com</t>
  </si>
  <si>
    <t>Kamil</t>
  </si>
  <si>
    <t>Juhar</t>
  </si>
  <si>
    <t>melatnigussie47@gmail.com</t>
  </si>
  <si>
    <t>solanikof@gmail.com</t>
  </si>
  <si>
    <t>bekeleroam2@gmail.com</t>
  </si>
  <si>
    <t>Gebreamanule</t>
  </si>
  <si>
    <t>mekuyea1@gmail.com</t>
  </si>
  <si>
    <t>Stotaw</t>
  </si>
  <si>
    <t>melkteyohannes16@gmail.com</t>
  </si>
  <si>
    <t>Melkte</t>
  </si>
  <si>
    <t>surafel2450@gmail.com</t>
  </si>
  <si>
    <t>SURAFEL</t>
  </si>
  <si>
    <t>SOLOMON</t>
  </si>
  <si>
    <t>natiguta09@gmail.com</t>
  </si>
  <si>
    <t>Guta</t>
  </si>
  <si>
    <t>mogolbuus5@gmail.com</t>
  </si>
  <si>
    <t>Mendara</t>
  </si>
  <si>
    <t>yaredluelseged371@gmail.com</t>
  </si>
  <si>
    <t>Luelseged</t>
  </si>
  <si>
    <t>fanuelalmawstop@gmail.com</t>
  </si>
  <si>
    <t>Fanuel</t>
  </si>
  <si>
    <t>Almaw</t>
  </si>
  <si>
    <t>aberamahlet23@gmail.com</t>
  </si>
  <si>
    <t>Mahlet</t>
  </si>
  <si>
    <t>tadele.date202@gmail.com</t>
  </si>
  <si>
    <t>Tadele</t>
  </si>
  <si>
    <t>Lema</t>
  </si>
  <si>
    <t>kalaberakeb@gmail.com</t>
  </si>
  <si>
    <t>RAKEB</t>
  </si>
  <si>
    <t>BIRIYE</t>
  </si>
  <si>
    <t>edengenet2020@gmail.com</t>
  </si>
  <si>
    <t>Mekuriaw</t>
  </si>
  <si>
    <t>edu</t>
  </si>
  <si>
    <t>husni4321mohammed@gmail.com</t>
  </si>
  <si>
    <t>Semera</t>
  </si>
  <si>
    <t>dejenechimdessa2525@gmail.com</t>
  </si>
  <si>
    <t>Dejene</t>
  </si>
  <si>
    <t>Lamessa</t>
  </si>
  <si>
    <t>elyaselusha@gmail.com</t>
  </si>
  <si>
    <t>Elyas endesew</t>
  </si>
  <si>
    <t>Agmas</t>
  </si>
  <si>
    <t>hiwitadesse30@gmail.com</t>
  </si>
  <si>
    <t>Application Consent and Agreement</t>
  </si>
  <si>
    <t>yostina913@gmail.com</t>
  </si>
  <si>
    <t>tiwarmas22@gmail.com</t>
  </si>
  <si>
    <t>SAMRAWIT</t>
  </si>
  <si>
    <t>RETA</t>
  </si>
  <si>
    <t>eyo24774@gmail.com</t>
  </si>
  <si>
    <t>Elisa</t>
  </si>
  <si>
    <t>Wade</t>
  </si>
  <si>
    <t>hallelujahkibrufonja@gmail.com</t>
  </si>
  <si>
    <t>Hallelujah Kibru</t>
  </si>
  <si>
    <t>Fonja</t>
  </si>
  <si>
    <t>ermieshetu0@gmail.com</t>
  </si>
  <si>
    <t>ERMIYAS</t>
  </si>
  <si>
    <t>ESHETU</t>
  </si>
  <si>
    <t>azidejene980@gmail.com</t>
  </si>
  <si>
    <t>Mary</t>
  </si>
  <si>
    <t>tiruhabelachew@gmail.com</t>
  </si>
  <si>
    <t>Babeta</t>
  </si>
  <si>
    <t>gemechu.ahmed1@icloud.com</t>
  </si>
  <si>
    <t>Gemechu Nure</t>
  </si>
  <si>
    <t>wudiyeshumie36@gmail.com</t>
  </si>
  <si>
    <t>Wudiye Shumie</t>
  </si>
  <si>
    <t>ylmamokuria@gmail.com</t>
  </si>
  <si>
    <t>ylma</t>
  </si>
  <si>
    <t>hanadegefa344@gmail.com</t>
  </si>
  <si>
    <t>DEGEFA</t>
  </si>
  <si>
    <t>getahunliyagetahun@gmail.com</t>
  </si>
  <si>
    <t>olanakenea25@gmail.com</t>
  </si>
  <si>
    <t>Olana</t>
  </si>
  <si>
    <t>Kenea</t>
  </si>
  <si>
    <t>rozakangelu@gmail.com</t>
  </si>
  <si>
    <t>henokengda5@gmail.com</t>
  </si>
  <si>
    <t>Engda</t>
  </si>
  <si>
    <t>guyoboru414@gmail.com</t>
  </si>
  <si>
    <t>mohammedhamido2320@gmail.com</t>
  </si>
  <si>
    <t>Hamido</t>
  </si>
  <si>
    <t>Hussien</t>
  </si>
  <si>
    <t>abrishbro27@gmail.com</t>
  </si>
  <si>
    <t>soliyanaayelework@gmail.com</t>
  </si>
  <si>
    <t>Soliyana</t>
  </si>
  <si>
    <t>Ayelework</t>
  </si>
  <si>
    <t>birhalijalem1@gmail.com</t>
  </si>
  <si>
    <t>Lijalem</t>
  </si>
  <si>
    <t>Birhanu Genati</t>
  </si>
  <si>
    <t>fikirtetesfaye2013@gmail.com</t>
  </si>
  <si>
    <t>Fikirte</t>
  </si>
  <si>
    <t>yeabseratirfassa@gmail.com</t>
  </si>
  <si>
    <t>YEABSIRA</t>
  </si>
  <si>
    <t>TIRFASSA</t>
  </si>
  <si>
    <t>abasnurahmed8@gmail.com</t>
  </si>
  <si>
    <t>tewodrosb105@gmail.com</t>
  </si>
  <si>
    <t>mesilike6400@gmail.com</t>
  </si>
  <si>
    <t>Aragaw</t>
  </si>
  <si>
    <t>yeabsratadele2505@gmail.com</t>
  </si>
  <si>
    <t>adinaanhafuad@gmail.com</t>
  </si>
  <si>
    <t>Adinan</t>
  </si>
  <si>
    <t>belete.gebru17@gmail.com</t>
  </si>
  <si>
    <t>belete</t>
  </si>
  <si>
    <t>gebru</t>
  </si>
  <si>
    <t>rejebnur88@gmail.com</t>
  </si>
  <si>
    <t>Rejeb</t>
  </si>
  <si>
    <t>endalk.ada@gmail.com</t>
  </si>
  <si>
    <t>Endalkachew</t>
  </si>
  <si>
    <t>D</t>
  </si>
  <si>
    <t>yemsrach.mersha@1dtu.edu.et</t>
  </si>
  <si>
    <t>Yemsrach</t>
  </si>
  <si>
    <t>Tafete</t>
  </si>
  <si>
    <t>delelegnselamawit@gmail.com</t>
  </si>
  <si>
    <t>Delelegn</t>
  </si>
  <si>
    <t>habony597@gmail.com</t>
  </si>
  <si>
    <t>Habon</t>
  </si>
  <si>
    <t>Djibouti</t>
  </si>
  <si>
    <t>meskikora537@gmail.com</t>
  </si>
  <si>
    <t>Meskerem</t>
  </si>
  <si>
    <t>Korka</t>
  </si>
  <si>
    <t>temutomas@gmail.com</t>
  </si>
  <si>
    <t>Tomas</t>
  </si>
  <si>
    <t>sisayworku146@gmail.com</t>
  </si>
  <si>
    <t>Worku</t>
  </si>
  <si>
    <t>tigistenyew812@gmail.com</t>
  </si>
  <si>
    <t>TIGIST</t>
  </si>
  <si>
    <t>ENYEW</t>
  </si>
  <si>
    <t>bethelsemu7@gmail.com</t>
  </si>
  <si>
    <t>samiemulugeta2@gmail.com</t>
  </si>
  <si>
    <t>samuel</t>
  </si>
  <si>
    <t>Adane</t>
  </si>
  <si>
    <t>kahsubeyene1221@gmail.com</t>
  </si>
  <si>
    <t>fnotetana@gmail.com</t>
  </si>
  <si>
    <t>MATHEWOS</t>
  </si>
  <si>
    <t>KASSIE</t>
  </si>
  <si>
    <t>akinahommulugeta@gmail.com</t>
  </si>
  <si>
    <t>Akinahom</t>
  </si>
  <si>
    <t>Tafa</t>
  </si>
  <si>
    <t>dreamchaserhub16@gmail.com</t>
  </si>
  <si>
    <t>mohameddool622@gmail.com</t>
  </si>
  <si>
    <t>Mahamed</t>
  </si>
  <si>
    <t>Abdilahi</t>
  </si>
  <si>
    <t>hanimage1234@gmail.com</t>
  </si>
  <si>
    <t>HANA</t>
  </si>
  <si>
    <t>WERDOFA</t>
  </si>
  <si>
    <t>hallelujah.cherent@icloud.com</t>
  </si>
  <si>
    <t>Hallelujah</t>
  </si>
  <si>
    <t>anashabiib2024@gmail.com</t>
  </si>
  <si>
    <t>Anas</t>
  </si>
  <si>
    <t>Mohamed</t>
  </si>
  <si>
    <t>yaabdo62@gmail.com</t>
  </si>
  <si>
    <t>A</t>
  </si>
  <si>
    <t>hayminatani@gmail.com</t>
  </si>
  <si>
    <t>yirdawteka553@gmail.com</t>
  </si>
  <si>
    <t>YIRDAW</t>
  </si>
  <si>
    <t>YIRDAW TEKA ABJEW</t>
  </si>
  <si>
    <t>fikrtedemses@gmail.com</t>
  </si>
  <si>
    <t>Fikrte</t>
  </si>
  <si>
    <t>Sherif</t>
  </si>
  <si>
    <t>tadioseyayu74@gmail.com</t>
  </si>
  <si>
    <t>eyayu</t>
  </si>
  <si>
    <t>debelalelisa@gmail.com</t>
  </si>
  <si>
    <t>Tulu</t>
  </si>
  <si>
    <t>mukerem26@gmail.com</t>
  </si>
  <si>
    <t>Mukerem</t>
  </si>
  <si>
    <t>wujira</t>
  </si>
  <si>
    <t>abebesuraj@gmail.com</t>
  </si>
  <si>
    <t>SURAJ</t>
  </si>
  <si>
    <t>MOHAMMED</t>
  </si>
  <si>
    <t>melkamuabayneh12@gmail.com</t>
  </si>
  <si>
    <t>Sebaro</t>
  </si>
  <si>
    <t>amanuelshambel05@gmail.com</t>
  </si>
  <si>
    <t>Shambel</t>
  </si>
  <si>
    <t>tiumaysiyoum96@gmail.com</t>
  </si>
  <si>
    <t>TIUMAY</t>
  </si>
  <si>
    <t>KASSAYE</t>
  </si>
  <si>
    <t>anwarbey2002@gmail.com</t>
  </si>
  <si>
    <t>Anwar</t>
  </si>
  <si>
    <t>ben2112et@gmail.com</t>
  </si>
  <si>
    <t>Biniyam</t>
  </si>
  <si>
    <t>Dagne</t>
  </si>
  <si>
    <t>tedlagetachew78@gmail.com</t>
  </si>
  <si>
    <t>alexasnake1994@gmail.com</t>
  </si>
  <si>
    <t>tamratshumye21@gmail.com</t>
  </si>
  <si>
    <t>Tamrat</t>
  </si>
  <si>
    <t>Shumye</t>
  </si>
  <si>
    <t>alemayehubula@gmail.com</t>
  </si>
  <si>
    <t>Buli</t>
  </si>
  <si>
    <t>fasikaweldelul@outlook.com</t>
  </si>
  <si>
    <t>Weldelul</t>
  </si>
  <si>
    <t>melakuabye159@gmail.com</t>
  </si>
  <si>
    <t>Abye</t>
  </si>
  <si>
    <t>abaynewmeta@gmail.com</t>
  </si>
  <si>
    <t>Abaynew</t>
  </si>
  <si>
    <t>Birhan</t>
  </si>
  <si>
    <t>yanitmekonnen123@gmail.com</t>
  </si>
  <si>
    <t>Yanit</t>
  </si>
  <si>
    <t>Shenkute</t>
  </si>
  <si>
    <t>nigistiedemelash@gmail.com</t>
  </si>
  <si>
    <t>Nigistie</t>
  </si>
  <si>
    <t>Birhanie</t>
  </si>
  <si>
    <t>rmengistu546@gmail.com</t>
  </si>
  <si>
    <t>Ferede</t>
  </si>
  <si>
    <t>endalewbefekadu@gmail.com</t>
  </si>
  <si>
    <t>Yihune</t>
  </si>
  <si>
    <t>milcahbiruk@gmail.com</t>
  </si>
  <si>
    <t>Milka</t>
  </si>
  <si>
    <t>nebyud07@gmail.com</t>
  </si>
  <si>
    <t>Nebyu</t>
  </si>
  <si>
    <t>mengistuassefa662@gmail.com</t>
  </si>
  <si>
    <t>robelameha80@gmail.com</t>
  </si>
  <si>
    <t>Ameha</t>
  </si>
  <si>
    <t>girumzeleke791@gmail.com</t>
  </si>
  <si>
    <t>Girum</t>
  </si>
  <si>
    <t>habtamuabebaw22@gmail.com</t>
  </si>
  <si>
    <t>Kenya</t>
  </si>
  <si>
    <t>degufikru9@gmail.com</t>
  </si>
  <si>
    <t>za0524192@gmail.com</t>
  </si>
  <si>
    <t>Mujitab</t>
  </si>
  <si>
    <t>arsema.alemu2728@gmail.com</t>
  </si>
  <si>
    <t>Ararsa</t>
  </si>
  <si>
    <t>henokwalleg@gmail.com</t>
  </si>
  <si>
    <t>polycalpebyukusenge74@gmail.com</t>
  </si>
  <si>
    <t>Byukusenge</t>
  </si>
  <si>
    <t>Polycalpe</t>
  </si>
  <si>
    <t>sabawit1alemneh@gmail.com</t>
  </si>
  <si>
    <t>SABAWIT</t>
  </si>
  <si>
    <t>GELAYE</t>
  </si>
  <si>
    <t>sisayayalkibet2@gmail.com</t>
  </si>
  <si>
    <t>Ayalkibet</t>
  </si>
  <si>
    <t>bishawdesalgn@gmail.com</t>
  </si>
  <si>
    <t>Desalgn</t>
  </si>
  <si>
    <t>Bishaw</t>
  </si>
  <si>
    <t>n07158726@gmail.com</t>
  </si>
  <si>
    <t>NABIYAT</t>
  </si>
  <si>
    <t>MIFTAHI</t>
  </si>
  <si>
    <t>bettyteshome1606@gmail.com</t>
  </si>
  <si>
    <t>kalkidanawoke300@gmail.com</t>
  </si>
  <si>
    <t>ebenhaezer.kef@gmail.com</t>
  </si>
  <si>
    <t>Kefato</t>
  </si>
  <si>
    <t>tefesahku@gmail.com</t>
  </si>
  <si>
    <t>Mengisteab</t>
  </si>
  <si>
    <t>xoxomahlet18@gmail.com</t>
  </si>
  <si>
    <t>Simachew</t>
  </si>
  <si>
    <t>simretgashaw12@gmail.com</t>
  </si>
  <si>
    <t>SIMRET GASHAW</t>
  </si>
  <si>
    <t>DESSIE</t>
  </si>
  <si>
    <t>yunusbelete11223@gmail.com</t>
  </si>
  <si>
    <t>Dawud</t>
  </si>
  <si>
    <t>bemnetteshome945@gmail.com</t>
  </si>
  <si>
    <t>halewatbeyan95@gmail.com</t>
  </si>
  <si>
    <t>halewat</t>
  </si>
  <si>
    <t>mohammed</t>
  </si>
  <si>
    <t>adamanbessa@gmail.com</t>
  </si>
  <si>
    <t>Babulto</t>
  </si>
  <si>
    <t>melalamuleta69@gmail.com</t>
  </si>
  <si>
    <t>Melala</t>
  </si>
  <si>
    <t>Muleta</t>
  </si>
  <si>
    <t>girmamoges20204@gmail.com</t>
  </si>
  <si>
    <t>emnetsolomonlibsu@gmail.com</t>
  </si>
  <si>
    <t>Emnet</t>
  </si>
  <si>
    <t>Libsu</t>
  </si>
  <si>
    <t>asmidmuhder@gmail.com</t>
  </si>
  <si>
    <t>Abdusemed</t>
  </si>
  <si>
    <t>Muhder</t>
  </si>
  <si>
    <t>ferhanali636@gmail.com</t>
  </si>
  <si>
    <t>Ferhan</t>
  </si>
  <si>
    <t>nurseosman@gmail.com</t>
  </si>
  <si>
    <t>Ousman</t>
  </si>
  <si>
    <t>nafishappy0@gmail.com</t>
  </si>
  <si>
    <t>Gemechu</t>
  </si>
  <si>
    <t>amanuelasefa07@gmail.com</t>
  </si>
  <si>
    <t>Woyessa</t>
  </si>
  <si>
    <t>ashenafiabraha17@gmail.com</t>
  </si>
  <si>
    <t>betymelaku79@gmail.com</t>
  </si>
  <si>
    <t>Betel</t>
  </si>
  <si>
    <t>napoleontesfaye456@gmail.com</t>
  </si>
  <si>
    <t>Napoleon</t>
  </si>
  <si>
    <t>awegc2007@gmail.com</t>
  </si>
  <si>
    <t>Awet</t>
  </si>
  <si>
    <t>Teum</t>
  </si>
  <si>
    <t>kaleabtamene90@gmail.com</t>
  </si>
  <si>
    <t>Ayano</t>
  </si>
  <si>
    <t>samrawittibebu1234@gmail.com</t>
  </si>
  <si>
    <t>Mewal</t>
  </si>
  <si>
    <t>Haylemichael</t>
  </si>
  <si>
    <t>danieltwwelde22@gmail.com</t>
  </si>
  <si>
    <t>Teka</t>
  </si>
  <si>
    <t>fenotmulugeta@gmail.com</t>
  </si>
  <si>
    <t>FINOT</t>
  </si>
  <si>
    <t>YIFRU</t>
  </si>
  <si>
    <t>teklihailu1356@gmail.com</t>
  </si>
  <si>
    <t>Teklit</t>
  </si>
  <si>
    <t>adhena508@gmail.com</t>
  </si>
  <si>
    <t>aldigajordan@gmail.com</t>
  </si>
  <si>
    <t>Aldiga</t>
  </si>
  <si>
    <t>yi512968@gmail.com</t>
  </si>
  <si>
    <t>redietabaynhe@gmail.com</t>
  </si>
  <si>
    <t>alemsratsehayumelese@gmail.com</t>
  </si>
  <si>
    <t>Alemsra</t>
  </si>
  <si>
    <t>reddredu3@gmail.com</t>
  </si>
  <si>
    <t>senamarse@gmail.com</t>
  </si>
  <si>
    <t>Sena</t>
  </si>
  <si>
    <t>Fikiremariam</t>
  </si>
  <si>
    <t>ekramdail32@gmail.com</t>
  </si>
  <si>
    <t>Ekram</t>
  </si>
  <si>
    <t>Dail</t>
  </si>
  <si>
    <t>arebseid437@gmail.com</t>
  </si>
  <si>
    <t>Areb</t>
  </si>
  <si>
    <t>Seid</t>
  </si>
  <si>
    <t>huseid53@gmail.com</t>
  </si>
  <si>
    <t>Muhammad</t>
  </si>
  <si>
    <t>gebrezgit4@gmail.com</t>
  </si>
  <si>
    <t>Gebrezgi</t>
  </si>
  <si>
    <t>bekidesu1001@gmail.com</t>
  </si>
  <si>
    <t>Bereketab</t>
  </si>
  <si>
    <t>Desalegn Kuma</t>
  </si>
  <si>
    <t>yohansabiy9@gmail.com</t>
  </si>
  <si>
    <t>Yohans</t>
  </si>
  <si>
    <t>Abiy</t>
  </si>
  <si>
    <t>ashenafi.getye@wsu.edu.et</t>
  </si>
  <si>
    <t>helinamustefa509@gmail.com</t>
  </si>
  <si>
    <t>mekonenk2@gmail.com</t>
  </si>
  <si>
    <t>mesigosa60@gmail.com</t>
  </si>
  <si>
    <t>Gosa</t>
  </si>
  <si>
    <t>ankawaqgemechu@gmail.com</t>
  </si>
  <si>
    <t>Ankawaq</t>
  </si>
  <si>
    <t>tadsoabebaw9@gmail.com</t>
  </si>
  <si>
    <t>Tadso</t>
  </si>
  <si>
    <t>milkessadereje943@gmail.com</t>
  </si>
  <si>
    <t>Milkessa</t>
  </si>
  <si>
    <t>jineofiko@gmail.com</t>
  </si>
  <si>
    <t>Jinenus</t>
  </si>
  <si>
    <t>Tadase</t>
  </si>
  <si>
    <t>kibromkahsay399@gmail.com</t>
  </si>
  <si>
    <t>Kibrom</t>
  </si>
  <si>
    <t>aradombrhanu@gmail.com</t>
  </si>
  <si>
    <t>Brhanu</t>
  </si>
  <si>
    <t>Aradom</t>
  </si>
  <si>
    <t>negashdessie013@gmail.com</t>
  </si>
  <si>
    <t>yassinusman08@gmail.com</t>
  </si>
  <si>
    <t>Yassin ousman</t>
  </si>
  <si>
    <t>natibelachew12@gmail.com</t>
  </si>
  <si>
    <t>Meshesha</t>
  </si>
  <si>
    <t>mogesmesfin74@gmail.com</t>
  </si>
  <si>
    <t>hadgugetache4@gmail.com</t>
  </si>
  <si>
    <t>getnetawoke@005gmail.com</t>
  </si>
  <si>
    <t>Yirdaw</t>
  </si>
  <si>
    <t>daddytayu251@gmail.com</t>
  </si>
  <si>
    <t>DADDY</t>
  </si>
  <si>
    <t>TAYU</t>
  </si>
  <si>
    <t>atbdrita@gmail.com</t>
  </si>
  <si>
    <t>Asekalemariam</t>
  </si>
  <si>
    <t>Mulat</t>
  </si>
  <si>
    <t>kassyeamanuel@gmail.com</t>
  </si>
  <si>
    <t>danidam.3419@gmail.com</t>
  </si>
  <si>
    <t>Debele</t>
  </si>
  <si>
    <t>serkalemmolla35@gmail.com</t>
  </si>
  <si>
    <t>Serkalem</t>
  </si>
  <si>
    <t>Nigus</t>
  </si>
  <si>
    <t>workabebemule@gmail.com</t>
  </si>
  <si>
    <t>Muluwork</t>
  </si>
  <si>
    <t>semirazeynu30@gmail.con</t>
  </si>
  <si>
    <t>semira</t>
  </si>
  <si>
    <t>MUHAMMED</t>
  </si>
  <si>
    <t>berame3195@gmail.com</t>
  </si>
  <si>
    <t>Urgessa</t>
  </si>
  <si>
    <t>abdisalamf09@gmail.com</t>
  </si>
  <si>
    <t>Abdisalam</t>
  </si>
  <si>
    <t>Farhan</t>
  </si>
  <si>
    <t>Somalia</t>
  </si>
  <si>
    <t>saragebrewold17@gmail.com</t>
  </si>
  <si>
    <t>birhanuteshale85@gmail.com</t>
  </si>
  <si>
    <t>tsegayedanit5@gmail.com</t>
  </si>
  <si>
    <t>TSEGAYE</t>
  </si>
  <si>
    <t>ANITO</t>
  </si>
  <si>
    <t>deguzophaneah@gmail.com</t>
  </si>
  <si>
    <t>Zophaneah</t>
  </si>
  <si>
    <t>Alene</t>
  </si>
  <si>
    <t>gimu1660@gmail.com</t>
  </si>
  <si>
    <t>gizachew</t>
  </si>
  <si>
    <t>mulualem</t>
  </si>
  <si>
    <t>hahordofa@gmail.com</t>
  </si>
  <si>
    <t>Hordofa</t>
  </si>
  <si>
    <t>ritabuze33@gmail.com</t>
  </si>
  <si>
    <t>fadilaabdallah34@gmail.com</t>
  </si>
  <si>
    <t>Fedila</t>
  </si>
  <si>
    <t>melenahaile7@gmail.com</t>
  </si>
  <si>
    <t>Melena</t>
  </si>
  <si>
    <t>etagegnjida@gmail.com</t>
  </si>
  <si>
    <t>mezdawit8@gmail.com</t>
  </si>
  <si>
    <t>Mezmure</t>
  </si>
  <si>
    <t>abinet505@gmail.com</t>
  </si>
  <si>
    <t>Abinet</t>
  </si>
  <si>
    <t>Gunta</t>
  </si>
  <si>
    <t>fikiruseyoum@gmail.com</t>
  </si>
  <si>
    <t>Fikiru</t>
  </si>
  <si>
    <t>Tola</t>
  </si>
  <si>
    <t>man724084@gmail.com</t>
  </si>
  <si>
    <t>AMANUEL</t>
  </si>
  <si>
    <t>Ami</t>
  </si>
  <si>
    <t>desalegn@email.com</t>
  </si>
  <si>
    <t>Desalegn</t>
  </si>
  <si>
    <t>Gedif</t>
  </si>
  <si>
    <t>adateg2016@gmail.com</t>
  </si>
  <si>
    <t>ADANE</t>
  </si>
  <si>
    <t>AMARE</t>
  </si>
  <si>
    <t>yohannesante@gmail.com</t>
  </si>
  <si>
    <t>Ante</t>
  </si>
  <si>
    <t>biranumelaku@gmail.com</t>
  </si>
  <si>
    <t>Biranu</t>
  </si>
  <si>
    <t>Iskezalem</t>
  </si>
  <si>
    <t>tam#yam2017@gmail.com</t>
  </si>
  <si>
    <t>Yamlak</t>
  </si>
  <si>
    <t>abdiabudi652@gmail.com</t>
  </si>
  <si>
    <t>Abdurazak</t>
  </si>
  <si>
    <t>Bedewi</t>
  </si>
  <si>
    <t>cyuzuzojoyce8@gmail.com</t>
  </si>
  <si>
    <t>lucho.begi2015@gmail.com</t>
  </si>
  <si>
    <t>Lucho</t>
  </si>
  <si>
    <t>Begi</t>
  </si>
  <si>
    <t>abrahamgetutazeb50@gmail.com</t>
  </si>
  <si>
    <t>Tesfahun</t>
  </si>
  <si>
    <t>esay9173@gmail.com</t>
  </si>
  <si>
    <t>gudisagebi1@gmail.com</t>
  </si>
  <si>
    <t>Gebi</t>
  </si>
  <si>
    <t>halaboazo@gmail.com</t>
  </si>
  <si>
    <t>Halabo</t>
  </si>
  <si>
    <t>Hazo</t>
  </si>
  <si>
    <t>yowhansgr@gmail.com</t>
  </si>
  <si>
    <t>Addisalem Gerensea</t>
  </si>
  <si>
    <t>gashawbezafekadu@gmail.com</t>
  </si>
  <si>
    <t>Gashawbeza</t>
  </si>
  <si>
    <t>abelyetata@gmail.com</t>
  </si>
  <si>
    <t>Abelneh</t>
  </si>
  <si>
    <t>Bezie</t>
  </si>
  <si>
    <t>chrstineliii@gmail.com</t>
  </si>
  <si>
    <t>EDEN</t>
  </si>
  <si>
    <t>TESFAYE</t>
  </si>
  <si>
    <t>dangiatesfa@gmail.com</t>
  </si>
  <si>
    <t>Dangia</t>
  </si>
  <si>
    <t>wadawondimu@gmail.com</t>
  </si>
  <si>
    <t>Wada</t>
  </si>
  <si>
    <t>wondimu</t>
  </si>
  <si>
    <t>mahletdefar@gmail.com</t>
  </si>
  <si>
    <t>Meragiaw</t>
  </si>
  <si>
    <t>ashagrielakachew1@gmail.com</t>
  </si>
  <si>
    <t>LAKachew</t>
  </si>
  <si>
    <t>Wendmeneh</t>
  </si>
  <si>
    <t>yaminadabyaminadab@gmaik.com</t>
  </si>
  <si>
    <t>MESERET</t>
  </si>
  <si>
    <t>feven872@gmail.com</t>
  </si>
  <si>
    <t>ATSBHA</t>
  </si>
  <si>
    <t>getnetbelaynew@gmail.com</t>
  </si>
  <si>
    <t>BELAYNEW</t>
  </si>
  <si>
    <t>LIYEW</t>
  </si>
  <si>
    <t>yesufmohammed233@gmail.com</t>
  </si>
  <si>
    <t>yesuf</t>
  </si>
  <si>
    <t>nesredinaman16@gmail.com</t>
  </si>
  <si>
    <t>Nesredin</t>
  </si>
  <si>
    <t>Amain</t>
  </si>
  <si>
    <t>getederese2005@gmail.com</t>
  </si>
  <si>
    <t>Gete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</si>
  <si>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</si>
  <si>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</si>
  <si>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</si>
  <si>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</si>
  <si>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</si>
  <si>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</si>
  <si>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</si>
  <si>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elumoges1276@gmail.com</t>
  </si>
  <si>
    <t>lenchosharife27@gmail.com</t>
  </si>
  <si>
    <t>Lencho</t>
  </si>
  <si>
    <t>adanecha868@gmail.com</t>
  </si>
  <si>
    <t>Adanech</t>
  </si>
  <si>
    <t>peterosworane@gmail.com</t>
  </si>
  <si>
    <t>Peteros</t>
  </si>
  <si>
    <t>155747608@gmail.com</t>
  </si>
  <si>
    <t>sultanzeynep125@gmail.com</t>
  </si>
  <si>
    <t>Atranos</t>
  </si>
  <si>
    <t>Bezu</t>
  </si>
  <si>
    <t>mohamedbrand07@gmail.com</t>
  </si>
  <si>
    <t>Tuna</t>
  </si>
  <si>
    <t>tsirhaareyamgetaneh@gmail.com</t>
  </si>
  <si>
    <t>Tsirhaareyam</t>
  </si>
  <si>
    <t>meluthe29@gmail.com</t>
  </si>
  <si>
    <t>Gualu</t>
  </si>
  <si>
    <t>gamet.lamessa@gmail.com</t>
  </si>
  <si>
    <t>Gamachu</t>
  </si>
  <si>
    <t>Lamesa</t>
  </si>
  <si>
    <t>sirajmustefa2013@gmail.com</t>
  </si>
  <si>
    <t>Siraje</t>
  </si>
  <si>
    <t>Welle</t>
  </si>
  <si>
    <t>habteshman26@gmail.com</t>
  </si>
  <si>
    <t>elsabethfeseha@gmail.com</t>
  </si>
  <si>
    <t>Elsabeth</t>
  </si>
  <si>
    <t>nihugoy19@gmail.com</t>
  </si>
  <si>
    <t>Meaza</t>
  </si>
  <si>
    <t>ridwaanmohamedakib@gmail.com</t>
  </si>
  <si>
    <t>Ridwaan</t>
  </si>
  <si>
    <t>Akib</t>
  </si>
  <si>
    <t>bawekemulugeta94@gmail.com</t>
  </si>
  <si>
    <t>Baweke</t>
  </si>
  <si>
    <t>Bayu</t>
  </si>
  <si>
    <t>ramadanabdi379@gmail.com</t>
  </si>
  <si>
    <t>ramadan</t>
  </si>
  <si>
    <t>abdi</t>
  </si>
  <si>
    <t>yordanoszerhun6@gmail.com</t>
  </si>
  <si>
    <t>Gebremichael</t>
  </si>
  <si>
    <t>natiasrat24@gmail.com</t>
  </si>
  <si>
    <t>amanualygzaw56@gmail.com</t>
  </si>
  <si>
    <t>Ygzaw</t>
  </si>
  <si>
    <t>manhile95@gmail.com</t>
  </si>
  <si>
    <t>Hilemichael</t>
  </si>
  <si>
    <t>mihirettsegaye307@gmail.com</t>
  </si>
  <si>
    <t>Mihiret</t>
  </si>
  <si>
    <t>nurye641@gmail.com</t>
  </si>
  <si>
    <t>Nurye</t>
  </si>
  <si>
    <t>asteraytsige11@gmail.com</t>
  </si>
  <si>
    <t>Astraye</t>
  </si>
  <si>
    <t>Weldegebrial</t>
  </si>
  <si>
    <t>tigist.belete@gmail.com</t>
  </si>
  <si>
    <t>jordiabebe09@gmail.com</t>
  </si>
  <si>
    <t>estefanos001@gmail.com</t>
  </si>
  <si>
    <t>Estefanos</t>
  </si>
  <si>
    <t>bezimar199@gmail.com</t>
  </si>
  <si>
    <t>BEZAWIT</t>
  </si>
  <si>
    <t>MARE</t>
  </si>
  <si>
    <t>sisay.al34@gmail.com</t>
  </si>
  <si>
    <t>natiama1213@gmail.com</t>
  </si>
  <si>
    <t>eliasabera061@gmail.com</t>
  </si>
  <si>
    <t>hiwottamene987@gmail.com</t>
  </si>
  <si>
    <t>kassalemb46@gmail.com</t>
  </si>
  <si>
    <t>Kasalem</t>
  </si>
  <si>
    <t>Birara</t>
  </si>
  <si>
    <t>berekettamire4@gmail.com</t>
  </si>
  <si>
    <t>DAKAMO</t>
  </si>
  <si>
    <t>tdessie38@gmail.com</t>
  </si>
  <si>
    <t>tedanegn@gmail.com</t>
  </si>
  <si>
    <t>Teklamariam</t>
  </si>
  <si>
    <t>abrham89melis@gmail.com</t>
  </si>
  <si>
    <t>Agezi</t>
  </si>
  <si>
    <t>East Timor</t>
  </si>
  <si>
    <t>lewamtesfay5@gmail.com</t>
  </si>
  <si>
    <t>Lewam Tesfay</t>
  </si>
  <si>
    <t>andinetasrat44@gmail.com</t>
  </si>
  <si>
    <t>AndinetAsrat</t>
  </si>
  <si>
    <t>manaethiopia2010@gmail.com</t>
  </si>
  <si>
    <t>manaye</t>
  </si>
  <si>
    <t>Keskis</t>
  </si>
  <si>
    <t>bamiadane@gmail.com</t>
  </si>
  <si>
    <t>BEMNET</t>
  </si>
  <si>
    <t>LEMMA</t>
  </si>
  <si>
    <t>mafsdf2@gmail.com</t>
  </si>
  <si>
    <t>Shalom</t>
  </si>
  <si>
    <t>Million</t>
  </si>
  <si>
    <t>dalemu577@gmail.com</t>
  </si>
  <si>
    <t>Derbie</t>
  </si>
  <si>
    <t>kaduman33@gmail.cim</t>
  </si>
  <si>
    <t>teshenadew2009@gmail.com</t>
  </si>
  <si>
    <t>haftayteklehimanot@gmail.com</t>
  </si>
  <si>
    <t>Teklehimanote</t>
  </si>
  <si>
    <t>nejibaheyredin092@gmail.com</t>
  </si>
  <si>
    <t>Nejiba</t>
  </si>
  <si>
    <t>Heyredin</t>
  </si>
  <si>
    <t>South Africa</t>
  </si>
  <si>
    <t>yoozv@mailfence.com</t>
  </si>
  <si>
    <t>Alyson</t>
  </si>
  <si>
    <t>kiuzewdu@gmail.com</t>
  </si>
  <si>
    <t>deborah.tesfaye02@gmail.com</t>
  </si>
  <si>
    <t>Deborah</t>
  </si>
  <si>
    <t>mohammed1112ok@gamil.com</t>
  </si>
  <si>
    <t>Salih</t>
  </si>
  <si>
    <t>tibebugojolefolla@gmail.com</t>
  </si>
  <si>
    <t>tibebu</t>
  </si>
  <si>
    <t>folla</t>
  </si>
  <si>
    <t>ellamohaa@gmail.com</t>
  </si>
  <si>
    <t>iliyas</t>
  </si>
  <si>
    <t>semirazeynu30@gmail.com</t>
  </si>
  <si>
    <t>mitikugashaw52@gmail.com</t>
  </si>
  <si>
    <t>Gashaw</t>
  </si>
  <si>
    <t>berekebergene418@gmail.com</t>
  </si>
  <si>
    <t>Bancha</t>
  </si>
  <si>
    <t>gamelamessa@gmail.com</t>
  </si>
  <si>
    <t>abenezer.kassa.bussiness@gmail.com</t>
  </si>
  <si>
    <t>yeabsirawossene296@gmail.com</t>
  </si>
  <si>
    <t>Wossene</t>
  </si>
  <si>
    <t>mustefaabdulqadiir@gmail.com</t>
  </si>
  <si>
    <t>Abdulkadiirteso</t>
  </si>
  <si>
    <t>abatezewdie5@gmail.com</t>
  </si>
  <si>
    <t>Eyuael</t>
  </si>
  <si>
    <t>Zewdie</t>
  </si>
  <si>
    <t>oldzoopbl23@gmail.com</t>
  </si>
  <si>
    <t>kibromk23@gmail.com</t>
  </si>
  <si>
    <t>Kelali</t>
  </si>
  <si>
    <t>aman33move@gmail.com</t>
  </si>
  <si>
    <t>NIGUSE</t>
  </si>
  <si>
    <t>hawwiallahd@gmail.com</t>
  </si>
  <si>
    <t>Hawwi</t>
  </si>
  <si>
    <t>Allah</t>
  </si>
  <si>
    <t>abelermias111@gmail.com</t>
  </si>
  <si>
    <t>addisuelectrical@gmail.com</t>
  </si>
  <si>
    <t>gebremekaileasres24@gmail.com</t>
  </si>
  <si>
    <t>Gebremekaile</t>
  </si>
  <si>
    <t>Workenh</t>
  </si>
  <si>
    <t>tewodrosteshome97@gmail.com</t>
  </si>
  <si>
    <t>ibsakemal8@gmail.com</t>
  </si>
  <si>
    <t>Ibsa</t>
  </si>
  <si>
    <t>Kemal</t>
  </si>
  <si>
    <t>wintamesfin18@gmail.com</t>
  </si>
  <si>
    <t>WINTA</t>
  </si>
  <si>
    <t>TADESSE</t>
  </si>
  <si>
    <t>asfawabay1993@gmail.com</t>
  </si>
  <si>
    <t>Damtie</t>
  </si>
  <si>
    <t>befikirgezahegn5@gmail.com</t>
  </si>
  <si>
    <t>Befikir</t>
  </si>
  <si>
    <t>dajanetolasa616@gmail.com</t>
  </si>
  <si>
    <t>Dandessa</t>
  </si>
  <si>
    <t>isakasimaman30@gmail.com</t>
  </si>
  <si>
    <t>Isa</t>
  </si>
  <si>
    <t>Kasim</t>
  </si>
  <si>
    <t>avid9084@gmail.com</t>
  </si>
  <si>
    <t>Abdilhakm</t>
  </si>
  <si>
    <t>tessemaemabet@gmail.com</t>
  </si>
  <si>
    <t>Emabet</t>
  </si>
  <si>
    <t>Tessema</t>
  </si>
  <si>
    <t>selamab2734@gmail.com</t>
  </si>
  <si>
    <t>selamawit</t>
  </si>
  <si>
    <t>abera</t>
  </si>
  <si>
    <t>ysoli2017@gmail.com</t>
  </si>
  <si>
    <t>bruktesfaye2918@gmail.com</t>
  </si>
  <si>
    <t>semu12.m@gmail.com</t>
  </si>
  <si>
    <t>Semira</t>
  </si>
  <si>
    <t>yadoni618@gmail.com</t>
  </si>
  <si>
    <t>Yadonay</t>
  </si>
  <si>
    <t>Mulatu</t>
  </si>
  <si>
    <t>yabtsega261@gmail.com</t>
  </si>
  <si>
    <t>kalugezahegn50@gmail.com</t>
  </si>
  <si>
    <t>Kalab</t>
  </si>
  <si>
    <t>Emre</t>
  </si>
  <si>
    <t>yadonaye@gmail.com</t>
  </si>
  <si>
    <t>yadonay</t>
  </si>
  <si>
    <t>endalk</t>
  </si>
  <si>
    <t>titigirmay@gmail.com</t>
  </si>
  <si>
    <t>yabsra499@gmail.com</t>
  </si>
  <si>
    <t>nigatu</t>
  </si>
  <si>
    <t>abrsh1234mom@gmail.com</t>
  </si>
  <si>
    <t>abraham.getachew-ug@aau.edu.et</t>
  </si>
  <si>
    <t>biniyamhailuabebe@gmail.com</t>
  </si>
  <si>
    <t>yyabu209@gmail.com</t>
  </si>
  <si>
    <t>hannenegudeta@gmail.com</t>
  </si>
  <si>
    <t>Hannene</t>
  </si>
  <si>
    <t>mesayale6@gmail.com</t>
  </si>
  <si>
    <t>Abire</t>
  </si>
  <si>
    <t>yabisam22@gmail.com</t>
  </si>
  <si>
    <t>aklilutade2@gmail.com</t>
  </si>
  <si>
    <t>Aklilu</t>
  </si>
  <si>
    <t>Onke</t>
  </si>
  <si>
    <t>jibrilnur32@gmail.com</t>
  </si>
  <si>
    <t>Jibril</t>
  </si>
  <si>
    <t>Nuredin</t>
  </si>
  <si>
    <t>yakobgetachew19@gmail.com</t>
  </si>
  <si>
    <t>Yakob</t>
  </si>
  <si>
    <t>getanehbelayneh99@gmail.com</t>
  </si>
  <si>
    <t>hemishimeles@gmail.com</t>
  </si>
  <si>
    <t>dagmawitmesay3@gmail.com</t>
  </si>
  <si>
    <t>Dagmawit</t>
  </si>
  <si>
    <t>nardostariku12@gmail.com</t>
  </si>
  <si>
    <t>eyerusalembereket10@gmail.com</t>
  </si>
  <si>
    <t>mgkoketmoti@gmail.com</t>
  </si>
  <si>
    <t>mifulegend@gmail.com</t>
  </si>
  <si>
    <t>Miftah</t>
  </si>
  <si>
    <t>tarikusisay24@gmail.com</t>
  </si>
  <si>
    <t>zolamegenagna9@gmail.com</t>
  </si>
  <si>
    <t>Abenet</t>
  </si>
  <si>
    <t>SHENKORU</t>
  </si>
  <si>
    <t>gechodagne54@gmail.com</t>
  </si>
  <si>
    <t>Tadesa</t>
  </si>
  <si>
    <t>kalulaw23@gmail.com</t>
  </si>
  <si>
    <t>kalkidan</t>
  </si>
  <si>
    <t>Fantaye</t>
  </si>
  <si>
    <t>tekleabgodato0055@gmail.com</t>
  </si>
  <si>
    <t>Tekleab</t>
  </si>
  <si>
    <t>Godato</t>
  </si>
  <si>
    <t>abdisagirma4@gmail.com</t>
  </si>
  <si>
    <t>fzer401@gmail.com</t>
  </si>
  <si>
    <t>Frezer</t>
  </si>
  <si>
    <t>Guraro</t>
  </si>
  <si>
    <t>abayeshete23@gmail.com</t>
  </si>
  <si>
    <t>misikirmekasha@gmail.com</t>
  </si>
  <si>
    <t>misikir</t>
  </si>
  <si>
    <t>deju21dn@gmail.com</t>
  </si>
  <si>
    <t>Keba</t>
  </si>
  <si>
    <t>zolateklu@gmail.com</t>
  </si>
  <si>
    <t>zelalem</t>
  </si>
  <si>
    <t>Hailekirstos</t>
  </si>
  <si>
    <t>yeabmistre@gmail.com</t>
  </si>
  <si>
    <t>Yeabsira Fantahun</t>
  </si>
  <si>
    <t>ayenew6789@gmail.com</t>
  </si>
  <si>
    <t>Afele</t>
  </si>
  <si>
    <t>zelalembirukk@gmail.com</t>
  </si>
  <si>
    <t>0919599149falmataabdusamed@gmail.com</t>
  </si>
  <si>
    <t>Felmeta</t>
  </si>
  <si>
    <t>Mummed</t>
  </si>
  <si>
    <t>alaqsuapalastine@gmail.com</t>
  </si>
  <si>
    <t>Westbank</t>
  </si>
  <si>
    <t>Palestine</t>
  </si>
  <si>
    <t>kalewengel@gmail.com</t>
  </si>
  <si>
    <t>yonasalemu15@gmail.com</t>
  </si>
  <si>
    <t>Atra</t>
  </si>
  <si>
    <t>deboraheguale@gmail.com</t>
  </si>
  <si>
    <t>Eguale</t>
  </si>
  <si>
    <t>butuabem@gmail.com</t>
  </si>
  <si>
    <t>Amrafel</t>
  </si>
  <si>
    <t>gpt3@traveleet.com</t>
  </si>
  <si>
    <t>Sam</t>
  </si>
  <si>
    <t>teklemuzi@gmail.com</t>
  </si>
  <si>
    <t>Teklemuz Ayenew</t>
  </si>
  <si>
    <t>Tesfay</t>
  </si>
  <si>
    <t>Shire</t>
  </si>
  <si>
    <t>mohammednina00@gmail.com</t>
  </si>
  <si>
    <t>Nina</t>
  </si>
  <si>
    <t>251 962085656</t>
  </si>
  <si>
    <t>efratazewde349@gmail.com</t>
  </si>
  <si>
    <t>Efrata</t>
  </si>
  <si>
    <t>zewde</t>
  </si>
  <si>
    <t>mehal88sol@gmail.com</t>
  </si>
  <si>
    <t>Mehaly</t>
  </si>
  <si>
    <t>kaleabtadesse098@gmail.com</t>
  </si>
  <si>
    <t>rfikade2@gmail.com</t>
  </si>
  <si>
    <t>Fekade</t>
  </si>
  <si>
    <t>mesfinteklu7@gmail.com</t>
  </si>
  <si>
    <t>Adeb</t>
  </si>
  <si>
    <t>mahdibetty@gmail.com</t>
  </si>
  <si>
    <t>Mahder</t>
  </si>
  <si>
    <t>Yirga</t>
  </si>
  <si>
    <t>dejenenegash2017@gmail.com</t>
  </si>
  <si>
    <t>sojat923@gmail.com</t>
  </si>
  <si>
    <t>Sojat</t>
  </si>
  <si>
    <t>kaleabnigusse37@gmail.com</t>
  </si>
  <si>
    <t>Nigusse</t>
  </si>
  <si>
    <t>hilinayoseph958@gmail.com</t>
  </si>
  <si>
    <t>amriyaa313@gmail.com</t>
  </si>
  <si>
    <t>Amriya</t>
  </si>
  <si>
    <t>Abdella</t>
  </si>
  <si>
    <t>redietgetachew17@gmail.com</t>
  </si>
  <si>
    <t>muletaketelaaau@gmail.com</t>
  </si>
  <si>
    <t>Ketela</t>
  </si>
  <si>
    <t>lidu9462@gmail.com</t>
  </si>
  <si>
    <t>jalaltsegaye826@gmail.com</t>
  </si>
  <si>
    <t>Jalal</t>
  </si>
  <si>
    <t>ousmanmohammed971@gmail.com</t>
  </si>
  <si>
    <t>alfadelmahamed691@gmail.com</t>
  </si>
  <si>
    <t>Alfadil</t>
  </si>
  <si>
    <t>Elfadil</t>
  </si>
  <si>
    <t>Sudan</t>
  </si>
  <si>
    <t>birukwabi1@gmail.com</t>
  </si>
  <si>
    <t>Bamenga</t>
  </si>
  <si>
    <t>redietgetachew34@gmail.com</t>
  </si>
  <si>
    <t>elizabethab1100@gmail.com</t>
  </si>
  <si>
    <t>Biruktawit</t>
  </si>
  <si>
    <t>lenanbrish01@gmail.com</t>
  </si>
  <si>
    <t>Lensa</t>
  </si>
  <si>
    <t>derartulegese01@gmail.com</t>
  </si>
  <si>
    <t>Derartu</t>
  </si>
  <si>
    <t>Bedede</t>
  </si>
  <si>
    <t>natii9756@gmail.com</t>
  </si>
  <si>
    <t>elshadaysamuel539@gmail.com</t>
  </si>
  <si>
    <t>Elshaday</t>
  </si>
  <si>
    <t>dere0996594655@gmail.com</t>
  </si>
  <si>
    <t>Dirirsa</t>
  </si>
  <si>
    <t>ayalewjobemail.2024@gmail.com</t>
  </si>
  <si>
    <t>Yimenu</t>
  </si>
  <si>
    <t>yohannesberie01@gmail.com</t>
  </si>
  <si>
    <t>enitsuhgodahegn@gmail.com</t>
  </si>
  <si>
    <t>Godahegn</t>
  </si>
  <si>
    <t>bdessie510@gmail.com</t>
  </si>
  <si>
    <t>ebisakadiro7@gmail.com</t>
  </si>
  <si>
    <t>Ebisa</t>
  </si>
  <si>
    <t>Kadiro</t>
  </si>
  <si>
    <t>gechmaru27@gmail.com</t>
  </si>
  <si>
    <t>dagia9558@gmail.com</t>
  </si>
  <si>
    <t>Ababu</t>
  </si>
  <si>
    <t>jalaltsegaye17@gmail.com</t>
  </si>
  <si>
    <t>jalal</t>
  </si>
  <si>
    <t>gosayeshibru120@gmail.com</t>
  </si>
  <si>
    <t>Gosaye</t>
  </si>
  <si>
    <t>Gutema</t>
  </si>
  <si>
    <t>yab83382@gmail.com</t>
  </si>
  <si>
    <t>simon29daniel@gmail.com</t>
  </si>
  <si>
    <t>alemhuruma94@gmail.com</t>
  </si>
  <si>
    <t>Bitaniya</t>
  </si>
  <si>
    <t>lenanbrish503@gmail.com</t>
  </si>
  <si>
    <t>kumsa</t>
  </si>
  <si>
    <t>rebkabadu77@gmail.com</t>
  </si>
  <si>
    <t>Yassin</t>
  </si>
  <si>
    <t>amengetachew75@gmail.com</t>
  </si>
  <si>
    <t>yaredmelkie1@gmail.com</t>
  </si>
  <si>
    <t>Taddese</t>
  </si>
  <si>
    <t>ayalewyehualashet22@gmail.com</t>
  </si>
  <si>
    <t>semunigusrakeb@gmail.com</t>
  </si>
  <si>
    <t>Rakeb</t>
  </si>
  <si>
    <t>Boglea</t>
  </si>
  <si>
    <t>y09812378@gmail.com</t>
  </si>
  <si>
    <t>asfaw</t>
  </si>
  <si>
    <t>kemalahmed357@gmail.com</t>
  </si>
  <si>
    <t>riyomdzyn@gmail.com</t>
  </si>
  <si>
    <t>RIYAD</t>
  </si>
  <si>
    <t>SHEMUSTEFA</t>
  </si>
  <si>
    <t>getzedo90@gmail.com</t>
  </si>
  <si>
    <t>Zemedhun</t>
  </si>
  <si>
    <t>rawigetachew78@gmail.com</t>
  </si>
  <si>
    <t>Rawi</t>
  </si>
  <si>
    <t>kimchiiiboo@gmail.com</t>
  </si>
  <si>
    <t>tiemarsintayehu@gmail.com</t>
  </si>
  <si>
    <t>Tiemar</t>
  </si>
  <si>
    <t>mintesnotsisay2121@gmail.com</t>
  </si>
  <si>
    <t>Mintesnot</t>
  </si>
  <si>
    <t>nuhaminasnake668@gmail.com</t>
  </si>
  <si>
    <t>Nuhamin Asnake</t>
  </si>
  <si>
    <t>Messele</t>
  </si>
  <si>
    <t>bezawitaddisu13@gmail.com</t>
  </si>
  <si>
    <t>Bezawit</t>
  </si>
  <si>
    <t>nafisayzu163@gmail.com</t>
  </si>
  <si>
    <t>bethelhembirhanu0@gmail.com</t>
  </si>
  <si>
    <t>zeruephrem49@gmail.com</t>
  </si>
  <si>
    <t>hiwifele@yahoo.com</t>
  </si>
  <si>
    <t>Kidanemariyam</t>
  </si>
  <si>
    <t>basbelp@gmail.com</t>
  </si>
  <si>
    <t>hailehelen669@gmail.com</t>
  </si>
  <si>
    <t>Natanim</t>
  </si>
  <si>
    <t>bereketfikadu01@gmail.com</t>
  </si>
  <si>
    <t>Ugasa</t>
  </si>
  <si>
    <t>msrtmonika@gmail.com</t>
  </si>
  <si>
    <t>queencassiopeia.03@gmail.com</t>
  </si>
  <si>
    <t>Ruhama</t>
  </si>
  <si>
    <t>Gizaw</t>
  </si>
  <si>
    <t>ezananeganafi@gmail.com</t>
  </si>
  <si>
    <t>Ezana</t>
  </si>
  <si>
    <t>kaleaba008@gmail.com</t>
  </si>
  <si>
    <t>million</t>
  </si>
  <si>
    <t>sweetmelat910@gmail.com</t>
  </si>
  <si>
    <t>Kokebe</t>
  </si>
  <si>
    <t>haileamlakbekele@gmail.com</t>
  </si>
  <si>
    <t>haileamlak</t>
  </si>
  <si>
    <t>bekele</t>
  </si>
  <si>
    <t>fenetashenafi9@gmail.com</t>
  </si>
  <si>
    <t>Fenet</t>
  </si>
  <si>
    <t>tesfayefenan89@gmail.com</t>
  </si>
  <si>
    <t>Fenan</t>
  </si>
  <si>
    <t>Tesafaye</t>
  </si>
  <si>
    <t>bezafetene28@gmail.com</t>
  </si>
  <si>
    <t>Tafse</t>
  </si>
  <si>
    <t>alamudinhussen49@gmail.com</t>
  </si>
  <si>
    <t>Alamudin</t>
  </si>
  <si>
    <t>Dawwe</t>
  </si>
  <si>
    <t>getnetbethany@gmail.com</t>
  </si>
  <si>
    <t>riestegegn21@gmail.com</t>
  </si>
  <si>
    <t>Ries</t>
  </si>
  <si>
    <t>TEgegn</t>
  </si>
  <si>
    <t>alene608@gmail.com</t>
  </si>
  <si>
    <t>abnetmeseret065@gmail.com</t>
  </si>
  <si>
    <t>Abnet</t>
  </si>
  <si>
    <t>dawit2437@gmail.com</t>
  </si>
  <si>
    <t>alemayehuyosef29@gmail.com</t>
  </si>
  <si>
    <t>Chaka</t>
  </si>
  <si>
    <t>dawittriplex365@gmail.com</t>
  </si>
  <si>
    <t>dawit</t>
  </si>
  <si>
    <t>biniyamm268@gmail.com</t>
  </si>
  <si>
    <t>Cherinet</t>
  </si>
  <si>
    <t>goyaabadi12@gmail.com</t>
  </si>
  <si>
    <t>Goytom</t>
  </si>
  <si>
    <t>Weyni</t>
  </si>
  <si>
    <t>sselamzewdie@gmail.com</t>
  </si>
  <si>
    <t>Selam zewdie</t>
  </si>
  <si>
    <t>hermihermela864@gmail.com</t>
  </si>
  <si>
    <t>mitikusilashi@gmail.com</t>
  </si>
  <si>
    <t>Silashi</t>
  </si>
  <si>
    <t>nahombirhanu2029@gmail.com</t>
  </si>
  <si>
    <t>Tolesa</t>
  </si>
  <si>
    <t>tirmizmohammed@gmail.com</t>
  </si>
  <si>
    <t>Mawuya</t>
  </si>
  <si>
    <t>Abdurahman</t>
  </si>
  <si>
    <t>y0h4n3s4b@gmail.com</t>
  </si>
  <si>
    <t>Aleme</t>
  </si>
  <si>
    <t>astravalues@gmail.com</t>
  </si>
  <si>
    <t>Aderajew</t>
  </si>
  <si>
    <t>Aysheshim</t>
  </si>
  <si>
    <t>muaz82988@gmail.com</t>
  </si>
  <si>
    <t>amanuelmulie09@gmail.com</t>
  </si>
  <si>
    <t>Mulie</t>
  </si>
  <si>
    <t>fekerfekerzewdie@gmail.com</t>
  </si>
  <si>
    <t>dagidagi4420@gmail.com</t>
  </si>
  <si>
    <t>wizyabeze@gmail.com</t>
  </si>
  <si>
    <t>mussiekbd@gmail.com</t>
  </si>
  <si>
    <t>Mussie</t>
  </si>
  <si>
    <t>senbetbuche82@gmail.com</t>
  </si>
  <si>
    <t>Senbet</t>
  </si>
  <si>
    <t>Buche</t>
  </si>
  <si>
    <t>itshelu1@gmail.com</t>
  </si>
  <si>
    <t>Hellen</t>
  </si>
  <si>
    <t>yisakamare83@gmail.com</t>
  </si>
  <si>
    <t>Yisak</t>
  </si>
  <si>
    <t>dawitadugnaw90@gmail.com</t>
  </si>
  <si>
    <t>legesederartu9@gmail.com</t>
  </si>
  <si>
    <t>Bedada</t>
  </si>
  <si>
    <t>mekidestilahun73@gmail.com</t>
  </si>
  <si>
    <t>Mekides</t>
  </si>
  <si>
    <t>kadiroebisa@gmial.com</t>
  </si>
  <si>
    <t>abera37871@gmail.com</t>
  </si>
  <si>
    <t>Achamu</t>
  </si>
  <si>
    <t>teshe7080@gmail.com</t>
  </si>
  <si>
    <t>Semeka</t>
  </si>
  <si>
    <t>redietasfer9@gmail.com</t>
  </si>
  <si>
    <t>Agza</t>
  </si>
  <si>
    <t>fikruabraham83@gmail.com</t>
  </si>
  <si>
    <t>Bedru</t>
  </si>
  <si>
    <t>aberakasaye85@gmail.com</t>
  </si>
  <si>
    <t>Kasaye</t>
  </si>
  <si>
    <t>yosephmekwant@gmail.com</t>
  </si>
  <si>
    <t>Urga</t>
  </si>
  <si>
    <t>mahletkidane572@gmail.com</t>
  </si>
  <si>
    <t>eyobmoges55@gmail.com</t>
  </si>
  <si>
    <t>lakew</t>
  </si>
  <si>
    <t>keralemzewdu@gmail.com</t>
  </si>
  <si>
    <t>Keralem</t>
  </si>
  <si>
    <t>Berhani</t>
  </si>
  <si>
    <t>tirsitgizachew2112@gmail.com</t>
  </si>
  <si>
    <t>elroijoseph05@gmail.com</t>
  </si>
  <si>
    <t>naolberiso93@gmail.com</t>
  </si>
  <si>
    <t>Abishu</t>
  </si>
  <si>
    <t>derejesaketa57@gmail.com</t>
  </si>
  <si>
    <t>Diribsa</t>
  </si>
  <si>
    <t>meazamamo1957@gmail.com</t>
  </si>
  <si>
    <t>mgetu411@gmail.com</t>
  </si>
  <si>
    <t>nuredinanewar439@gmil.com</t>
  </si>
  <si>
    <t>NURIDEN</t>
  </si>
  <si>
    <t>ABDO</t>
  </si>
  <si>
    <t>bezateferi94@gmail.com</t>
  </si>
  <si>
    <t>mikibaya4@gmail.com</t>
  </si>
  <si>
    <t>Gataneh</t>
  </si>
  <si>
    <t>brhanuhailesslasse@gmail.com</t>
  </si>
  <si>
    <t>Dr Brhanu Hailesslassie</t>
  </si>
  <si>
    <t>Yoannes</t>
  </si>
  <si>
    <t>getuaxuni123@gmail.com</t>
  </si>
  <si>
    <t>Zerabruk</t>
  </si>
  <si>
    <t>mikibaya88@gmail.com</t>
  </si>
  <si>
    <t>naolberiso2685@gmail.com</t>
  </si>
  <si>
    <t>asefacisco@gmail.com</t>
  </si>
  <si>
    <t>Asefa</t>
  </si>
  <si>
    <t>cisco</t>
  </si>
  <si>
    <t>takelekahsay372@gmail.com</t>
  </si>
  <si>
    <t>Kahsay</t>
  </si>
  <si>
    <t>frewkasaye42@gmail.com</t>
  </si>
  <si>
    <t>Giday</t>
  </si>
  <si>
    <t>biruktola15@gmail.com</t>
  </si>
  <si>
    <t>tegu3609@gmail.com</t>
  </si>
  <si>
    <t>tigist9524girma@gmail.come</t>
  </si>
  <si>
    <t>teshalemichael@gmail.com</t>
  </si>
  <si>
    <t>michael</t>
  </si>
  <si>
    <t>teshale</t>
  </si>
  <si>
    <t>betelehemanteneh@yahoo.com</t>
  </si>
  <si>
    <t>Betelehem</t>
  </si>
  <si>
    <t>adubay2013@gmail.com</t>
  </si>
  <si>
    <t>Bayata</t>
  </si>
  <si>
    <t>negeseemana23@gmail.com</t>
  </si>
  <si>
    <t>negese</t>
  </si>
  <si>
    <t>Emana</t>
  </si>
  <si>
    <t>hbirhanu670@gmail.com</t>
  </si>
  <si>
    <t>abenezer3543@gmail.com</t>
  </si>
  <si>
    <t>Libase</t>
  </si>
  <si>
    <t>natibir400@gmail.com</t>
  </si>
  <si>
    <t>meazalemma2020@gmail.com</t>
  </si>
  <si>
    <t>habtamutesfaye678@gmail.com</t>
  </si>
  <si>
    <t>kibromabera21@gmail.com</t>
  </si>
  <si>
    <t>fikirend20@gmail.com</t>
  </si>
  <si>
    <t>Mihretie</t>
  </si>
  <si>
    <t>techmedia357@gmail.com</t>
  </si>
  <si>
    <t>Tech</t>
  </si>
  <si>
    <t>Media</t>
  </si>
  <si>
    <t>hayatassefa9@gmail.com</t>
  </si>
  <si>
    <t>Agazhe</t>
  </si>
  <si>
    <t>ekuuuu721@gmail.com</t>
  </si>
  <si>
    <t>Siraj</t>
  </si>
  <si>
    <t>Bushra</t>
  </si>
  <si>
    <t>amanuelgashaw47@gmail.com</t>
  </si>
  <si>
    <t>seadbushra68@gmail.com</t>
  </si>
  <si>
    <t>Sead</t>
  </si>
  <si>
    <t>asmamawsrega2011@gmail.com</t>
  </si>
  <si>
    <t>ela12rod@gmail.com</t>
  </si>
  <si>
    <t>sileamlakadamu339@gmail.com</t>
  </si>
  <si>
    <t>SILEAMLAK</t>
  </si>
  <si>
    <t>WELDMESKEL</t>
  </si>
  <si>
    <t>biredatemesgen67@gmail.com</t>
  </si>
  <si>
    <t>Mekango</t>
  </si>
  <si>
    <t>biredatemesgen12@gmail.com</t>
  </si>
  <si>
    <t>yaredtilahun143@gmail.com</t>
  </si>
  <si>
    <t>Gebramesekel</t>
  </si>
  <si>
    <t>orionworkneh@gmail.com</t>
  </si>
  <si>
    <t>Orion</t>
  </si>
  <si>
    <t>www.gizachewpetiros@gmail.com</t>
  </si>
  <si>
    <t>Bilate</t>
  </si>
  <si>
    <t>yonas.baysasaw.kibret@gmail.com</t>
  </si>
  <si>
    <t>yonas</t>
  </si>
  <si>
    <t>baysasaw</t>
  </si>
  <si>
    <t>chevukeni@gmail.com</t>
  </si>
  <si>
    <t>Firaol</t>
  </si>
  <si>
    <t>Kenenia</t>
  </si>
  <si>
    <t>adimeles973@gmail.com</t>
  </si>
  <si>
    <t>Adiam</t>
  </si>
  <si>
    <t>agernattezera@gmail.com</t>
  </si>
  <si>
    <t>gechurago5@gmail.com</t>
  </si>
  <si>
    <t>Gech</t>
  </si>
  <si>
    <t>Wako</t>
  </si>
  <si>
    <t>jemalaliyi2025@gmail.com</t>
  </si>
  <si>
    <t>surafeltehulu0910@gmail.com</t>
  </si>
  <si>
    <t>tsegenetengida2@gmail.com</t>
  </si>
  <si>
    <t>Tsegenet</t>
  </si>
  <si>
    <t>Engida</t>
  </si>
  <si>
    <t>aman.mengist1996@gmail.com</t>
  </si>
  <si>
    <t>MENGIST</t>
  </si>
  <si>
    <t>bamlakalex478@gmail.com</t>
  </si>
  <si>
    <t>abebawfentie96@gmail.com</t>
  </si>
  <si>
    <t>Fentie</t>
  </si>
  <si>
    <t>pipapipacho@gmail.com</t>
  </si>
  <si>
    <t>Wubineh</t>
  </si>
  <si>
    <t>Mada</t>
  </si>
  <si>
    <t>alemukumlachew@gmail.com</t>
  </si>
  <si>
    <t>Kumlachew</t>
  </si>
  <si>
    <t>Anno</t>
  </si>
  <si>
    <t>mekonenhephzibah@gmail.com</t>
  </si>
  <si>
    <t>Hephzibah</t>
  </si>
  <si>
    <t>yabume123@gmail.com</t>
  </si>
  <si>
    <t>eliasjidoo@gmail.com</t>
  </si>
  <si>
    <t>Elias Abdelrahman Mohamed</t>
  </si>
  <si>
    <t>Omer</t>
  </si>
  <si>
    <t>sisgudisa7@gmail.com</t>
  </si>
  <si>
    <t>bekatamirat801@gmail.com</t>
  </si>
  <si>
    <t>Beka</t>
  </si>
  <si>
    <t>woldehailu555@gmail.com</t>
  </si>
  <si>
    <t>tadiwosgetahun49@gmail.com</t>
  </si>
  <si>
    <t>Tadiwos</t>
  </si>
  <si>
    <t>Tamene</t>
  </si>
  <si>
    <t>yabserazewdu30@gmail.com</t>
  </si>
  <si>
    <t>yabsera</t>
  </si>
  <si>
    <t>zewdu</t>
  </si>
  <si>
    <t>robeldamise12@gmail.com</t>
  </si>
  <si>
    <t>ZOMA</t>
  </si>
  <si>
    <t>DAMISE</t>
  </si>
  <si>
    <t>nehmiya09@gmail.com</t>
  </si>
  <si>
    <t>Nehimya</t>
  </si>
  <si>
    <t>Shila</t>
  </si>
  <si>
    <t>shalomselam093@gmail.com</t>
  </si>
  <si>
    <t>abeba</t>
  </si>
  <si>
    <t>enyew</t>
  </si>
  <si>
    <t>umeribrahim1010@gmail.com</t>
  </si>
  <si>
    <t>kiyamichael1@gmail.com</t>
  </si>
  <si>
    <t>ashenafibatata123@gmail.com</t>
  </si>
  <si>
    <t>ASHENAFI</t>
  </si>
  <si>
    <t>YIMER</t>
  </si>
  <si>
    <t>hkifle95@gmail.com</t>
  </si>
  <si>
    <t>Mezgebe</t>
  </si>
  <si>
    <t>guyojarso761@gmail.com</t>
  </si>
  <si>
    <t>Jarso</t>
  </si>
  <si>
    <t>rayahamoodi@gmail.com</t>
  </si>
  <si>
    <t>Hamoodi</t>
  </si>
  <si>
    <t>Raya</t>
  </si>
  <si>
    <t>mustejr66@gmail.com</t>
  </si>
  <si>
    <t>imranbarsebo11@gmail.com</t>
  </si>
  <si>
    <t>Imran</t>
  </si>
  <si>
    <t>Barsebo</t>
  </si>
  <si>
    <t>eyoelwondmu@gmail.com</t>
  </si>
  <si>
    <t>Wondmu</t>
  </si>
  <si>
    <t>mesudm19@gmail.com</t>
  </si>
  <si>
    <t>Mesud</t>
  </si>
  <si>
    <t>Misbah</t>
  </si>
  <si>
    <t>lidiyabeyene4@gmail.com</t>
  </si>
  <si>
    <t>ephremalemu66@gmail.com</t>
  </si>
  <si>
    <t>dinomula650@gmail.com</t>
  </si>
  <si>
    <t>yosephnatnael0@gmail.com</t>
  </si>
  <si>
    <t>kalebaman7@gmail.com</t>
  </si>
  <si>
    <t>forgiverbeker@gmail.com</t>
  </si>
  <si>
    <t>bereketmekonnen749@gmail.com</t>
  </si>
  <si>
    <t>lamrotberhanu02@gmail.com</t>
  </si>
  <si>
    <t>Lamrot</t>
  </si>
  <si>
    <t>enatnebil03@gmail.com</t>
  </si>
  <si>
    <t>Enat</t>
  </si>
  <si>
    <t>Gebreyohannes</t>
  </si>
  <si>
    <t>fiker0299@gmail.com</t>
  </si>
  <si>
    <t>Wondwossen</t>
  </si>
  <si>
    <t>hiyabbayeh85@gmail.com</t>
  </si>
  <si>
    <t>Hiyab</t>
  </si>
  <si>
    <t>samitarekegn101@gmail.com</t>
  </si>
  <si>
    <t>Sami</t>
  </si>
  <si>
    <t>yosefmekonnen93@gmail.com</t>
  </si>
  <si>
    <t>Tirfe</t>
  </si>
  <si>
    <t>tewodrosruth3@gmail.com</t>
  </si>
  <si>
    <t>bisratyordanos777@gmail.com</t>
  </si>
  <si>
    <t>Bisrat</t>
  </si>
  <si>
    <t>yonatanzenebe10@gmail.com</t>
  </si>
  <si>
    <t>Zenebe</t>
  </si>
  <si>
    <t>tezerasimonsays43@gmail.com</t>
  </si>
  <si>
    <t>nabbreaker@gmail.com</t>
  </si>
  <si>
    <t>Reyad</t>
  </si>
  <si>
    <t>Gemedi</t>
  </si>
  <si>
    <t>yihalemgebeyae@gmail.com</t>
  </si>
  <si>
    <t>Yihalem</t>
  </si>
  <si>
    <t>Gebeyaw</t>
  </si>
  <si>
    <t>habtamubirku35@gmail.com</t>
  </si>
  <si>
    <t>Birku</t>
  </si>
  <si>
    <t>beckym937777@gmail.com</t>
  </si>
  <si>
    <t>Rebika</t>
  </si>
  <si>
    <t>temesgenebabu479@gmail.com</t>
  </si>
  <si>
    <t>Ebabu</t>
  </si>
  <si>
    <t>tewodrossimeneh11@gmail.com</t>
  </si>
  <si>
    <t>simeneh</t>
  </si>
  <si>
    <t>chalachewfentahun1616@gmail.com</t>
  </si>
  <si>
    <t>Chalachew</t>
  </si>
  <si>
    <t>Wondim</t>
  </si>
  <si>
    <t>aliyi.gerina@bhu.edu.et</t>
  </si>
  <si>
    <t>Nura</t>
  </si>
  <si>
    <t>samrawitadam28@gmail.com</t>
  </si>
  <si>
    <t>samrawit</t>
  </si>
  <si>
    <t>adam</t>
  </si>
  <si>
    <t>yimeselal.meseret@yahoo.com</t>
  </si>
  <si>
    <t>Yimeselal</t>
  </si>
  <si>
    <t>weyinaregwaltaw@gmail.com</t>
  </si>
  <si>
    <t>weyinareg</t>
  </si>
  <si>
    <t>yifter</t>
  </si>
  <si>
    <t>aduyonas348@gmail.com</t>
  </si>
  <si>
    <t>Nebiyu</t>
  </si>
  <si>
    <t>awolshewmolo8@gmail.com</t>
  </si>
  <si>
    <t>AWOL SHEWMOLO</t>
  </si>
  <si>
    <t>KEDIR</t>
  </si>
  <si>
    <t>yidne769@gmail.com</t>
  </si>
  <si>
    <t>Yidnekachew</t>
  </si>
  <si>
    <t>Ambesu</t>
  </si>
  <si>
    <t>biniyamyaregal01@gmail.com</t>
  </si>
  <si>
    <t>Emire</t>
  </si>
  <si>
    <t>mailtosamuelo1@gmail.com</t>
  </si>
  <si>
    <t>abenezeralemayehu77@gmail.com</t>
  </si>
  <si>
    <t>Argiso</t>
  </si>
  <si>
    <t>bethik2005@gmail.com</t>
  </si>
  <si>
    <t>Kiflesilassie</t>
  </si>
  <si>
    <t>fentawmuhret2321@gmail.com</t>
  </si>
  <si>
    <t>tamenetamirat28@gmail.com</t>
  </si>
  <si>
    <t>Gichore</t>
  </si>
  <si>
    <t>kassfikadu357@gmail.com</t>
  </si>
  <si>
    <t>Gambela</t>
  </si>
  <si>
    <t>abrehamalemayehu2113@gmail.com</t>
  </si>
  <si>
    <t>memar2276@gmail.com</t>
  </si>
  <si>
    <t>MEMAR</t>
  </si>
  <si>
    <t>BALEH</t>
  </si>
  <si>
    <t>bezawitamsale@gmail.com</t>
  </si>
  <si>
    <t>estifjr7@gmail.com</t>
  </si>
  <si>
    <t>ahmedkemisse21@gmail.com</t>
  </si>
  <si>
    <t>ahmed</t>
  </si>
  <si>
    <t>seid</t>
  </si>
  <si>
    <t>getkennyo@gmail.com</t>
  </si>
  <si>
    <t>Kenesa</t>
  </si>
  <si>
    <t>Bedasa</t>
  </si>
  <si>
    <t>abenibenezer@gmail.com</t>
  </si>
  <si>
    <t>Firesa</t>
  </si>
  <si>
    <t>kefaleget@gmail.com</t>
  </si>
  <si>
    <t>Waga</t>
  </si>
  <si>
    <t>abejm16@gmail.com</t>
  </si>
  <si>
    <t>Abeje</t>
  </si>
  <si>
    <t>getayeshitu950@gmail.com</t>
  </si>
  <si>
    <t>Getaye</t>
  </si>
  <si>
    <t>shitu</t>
  </si>
  <si>
    <t>metatayes@gmail.com</t>
  </si>
  <si>
    <t>Degemu</t>
  </si>
  <si>
    <t>beteha1364@gmail.com</t>
  </si>
  <si>
    <t>Beteha</t>
  </si>
  <si>
    <t>hanaendalu11@gmail.com</t>
  </si>
  <si>
    <t>Angare</t>
  </si>
  <si>
    <t>temuma838@gmil.com</t>
  </si>
  <si>
    <t>Terefa</t>
  </si>
  <si>
    <t>teju0967150941@gmail.com</t>
  </si>
  <si>
    <t>Teju</t>
  </si>
  <si>
    <t>mstewie04@gmail.com</t>
  </si>
  <si>
    <t>Teweldebrhan</t>
  </si>
  <si>
    <t>Weres</t>
  </si>
  <si>
    <t>dereseaschalew8@gmail.com</t>
  </si>
  <si>
    <t>Derese</t>
  </si>
  <si>
    <t>Tekalgn</t>
  </si>
  <si>
    <t>asresesisay20@gmail.com</t>
  </si>
  <si>
    <t>Asrese</t>
  </si>
  <si>
    <t>Zelelew</t>
  </si>
  <si>
    <t>nathnaeltamirat3@gmail.com</t>
  </si>
  <si>
    <t>mintesinotdikasso6@gmail.com</t>
  </si>
  <si>
    <t>Mintesinot</t>
  </si>
  <si>
    <t>Naba</t>
  </si>
  <si>
    <t>gelila996@gmail.com</t>
  </si>
  <si>
    <t>demekeengida2009@bankofabyssinia.com</t>
  </si>
  <si>
    <t>HABTEMARIAM</t>
  </si>
  <si>
    <t>chalchisaworku39@gmail.com</t>
  </si>
  <si>
    <t>Chalchisa</t>
  </si>
  <si>
    <t>Fita</t>
  </si>
  <si>
    <t>yedawahizewe@gmail.com</t>
  </si>
  <si>
    <t>Abiyot</t>
  </si>
  <si>
    <t>fitsum2720@gmail.com</t>
  </si>
  <si>
    <t>mohammedderesa87@gmail.com</t>
  </si>
  <si>
    <t>DERESA</t>
  </si>
  <si>
    <t>dessieabaynew@gmail.com</t>
  </si>
  <si>
    <t>yalemmelkamu1975@gmail.com</t>
  </si>
  <si>
    <t>Yalembirhan</t>
  </si>
  <si>
    <t>Woldemariam</t>
  </si>
  <si>
    <t>pochjockboth@gmail.com</t>
  </si>
  <si>
    <t>Poch</t>
  </si>
  <si>
    <t>Both</t>
  </si>
  <si>
    <t>hawdabdu@gmail.com</t>
  </si>
  <si>
    <t>Abdurezak</t>
  </si>
  <si>
    <t>tameguja@gmail.com</t>
  </si>
  <si>
    <t>Asale</t>
  </si>
  <si>
    <t>ggmeley4@gmail.com</t>
  </si>
  <si>
    <t>fitakemal2016@gmail.com</t>
  </si>
  <si>
    <t>Gadiso</t>
  </si>
  <si>
    <t>wendwessen.abebe@outlook.com</t>
  </si>
  <si>
    <t>Wendwessen</t>
  </si>
  <si>
    <t>wongelnegussie71@gmail.com</t>
  </si>
  <si>
    <t>Wongel</t>
  </si>
  <si>
    <t>Sata</t>
  </si>
  <si>
    <t>ifamekdi22@gmail.com</t>
  </si>
  <si>
    <t>Ifa</t>
  </si>
  <si>
    <t>Beyecha</t>
  </si>
  <si>
    <t>ayealem2009@gmail.com</t>
  </si>
  <si>
    <t>betselotmolla656@gmail.com</t>
  </si>
  <si>
    <t>mersha</t>
  </si>
  <si>
    <t>robeldesalegn69@gmail.com</t>
  </si>
  <si>
    <t>chilotaw14@gmail.com</t>
  </si>
  <si>
    <t>Chilotaw</t>
  </si>
  <si>
    <t>Asmare</t>
  </si>
  <si>
    <t>fetu4591@gmail.com</t>
  </si>
  <si>
    <t>Abdulfeta</t>
  </si>
  <si>
    <t>diribazerihun7@gmail.com</t>
  </si>
  <si>
    <t>getiyeabebaw76@gmail.com</t>
  </si>
  <si>
    <t>Getiye</t>
  </si>
  <si>
    <t>Melkam</t>
  </si>
  <si>
    <t>feysaneme.2020@gmail.com</t>
  </si>
  <si>
    <t>Seboka</t>
  </si>
  <si>
    <t>yackobjack8@gmail.com</t>
  </si>
  <si>
    <t>Yackob</t>
  </si>
  <si>
    <t>Erekobo</t>
  </si>
  <si>
    <t>senaeabdu2@gmail.com</t>
  </si>
  <si>
    <t>Senae</t>
  </si>
  <si>
    <t>Abdu</t>
  </si>
  <si>
    <t>bonsondem@gmail.com</t>
  </si>
  <si>
    <t>Bonson</t>
  </si>
  <si>
    <t>Demssie</t>
  </si>
  <si>
    <t>habtamug21@gmail.com</t>
  </si>
  <si>
    <t>kasumili3135@gmail.com</t>
  </si>
  <si>
    <t>Milion</t>
  </si>
  <si>
    <t>Asado</t>
  </si>
  <si>
    <t>dhabi.girma@gmail.com</t>
  </si>
  <si>
    <t>Dhabi</t>
  </si>
  <si>
    <t>christiantadele06@gmail.com</t>
  </si>
  <si>
    <t>babalex0607@gmail.com</t>
  </si>
  <si>
    <t>Be abtsega</t>
  </si>
  <si>
    <t>Mihiretu</t>
  </si>
  <si>
    <t>sabrin.abdurabi@gmail.com</t>
  </si>
  <si>
    <t>Sabrin</t>
  </si>
  <si>
    <t>Abdurebi</t>
  </si>
  <si>
    <t>beletemulat927@gmail.com</t>
  </si>
  <si>
    <t>amaregetu1288@gmail.com</t>
  </si>
  <si>
    <t>amhadesalegn45@gmail.com</t>
  </si>
  <si>
    <t>Desalegm</t>
  </si>
  <si>
    <t>Amisalu</t>
  </si>
  <si>
    <t>abadirabdi21@gmail.com</t>
  </si>
  <si>
    <t>Abadir</t>
  </si>
  <si>
    <t>denekewmelaku9@gmail.com</t>
  </si>
  <si>
    <t>yonas64561432024@gmail.com</t>
  </si>
  <si>
    <t>Tewele</t>
  </si>
  <si>
    <t>linabogida@gmail.com</t>
  </si>
  <si>
    <t>eyobeshetu10@gmail.com</t>
  </si>
  <si>
    <t>eshetu</t>
  </si>
  <si>
    <t>mulualemmelaku0@gmail.com</t>
  </si>
  <si>
    <t>South Georgia and the South Sandwich Islands</t>
  </si>
  <si>
    <t>oliyadoli430@gmail.com</t>
  </si>
  <si>
    <t>gulumag2014@gmail.com</t>
  </si>
  <si>
    <t>Bekana</t>
  </si>
  <si>
    <t>tsegawdereje4@gmail.com</t>
  </si>
  <si>
    <t>mehabawyohanse12@gmail.com</t>
  </si>
  <si>
    <t>Yohanse</t>
  </si>
  <si>
    <t>Endalew</t>
  </si>
  <si>
    <t>eyumati10@gmail.com</t>
  </si>
  <si>
    <t>Eyu</t>
  </si>
  <si>
    <t>Sheno</t>
  </si>
  <si>
    <t>mogosdawit23@gmail.com</t>
  </si>
  <si>
    <t>mogos</t>
  </si>
  <si>
    <t>sirajaden@eastaction.org</t>
  </si>
  <si>
    <t>Aden</t>
  </si>
  <si>
    <t>bedasay@gmail.com</t>
  </si>
  <si>
    <t>Yadeta</t>
  </si>
  <si>
    <t>addisumelese016@gmail.com</t>
  </si>
  <si>
    <t>nataez50@gmail.com</t>
  </si>
  <si>
    <t>natae</t>
  </si>
  <si>
    <t>kenian1290@gmail.com</t>
  </si>
  <si>
    <t>Kenean</t>
  </si>
  <si>
    <t>adonaitabiot55@gmail.com</t>
  </si>
  <si>
    <t>Adonait</t>
  </si>
  <si>
    <t>Abiot</t>
  </si>
  <si>
    <t>tektagebreegziabher497@gmail.com</t>
  </si>
  <si>
    <t>Tekta</t>
  </si>
  <si>
    <t>dminuslabs@gmail.com</t>
  </si>
  <si>
    <t>shebeshesieley2010@gmail.com</t>
  </si>
  <si>
    <t>Sieley</t>
  </si>
  <si>
    <t>Measho</t>
  </si>
  <si>
    <t>eyorikanebiyou@gmail.com</t>
  </si>
  <si>
    <t>chalateshita797@gmail.com</t>
  </si>
  <si>
    <t>Teshita</t>
  </si>
  <si>
    <t>metadilgedif@gmail.com</t>
  </si>
  <si>
    <t>Metadil</t>
  </si>
  <si>
    <t>tulutamiru25@gmail.com</t>
  </si>
  <si>
    <t>Bikila</t>
  </si>
  <si>
    <t>buruk615@gmail.com</t>
  </si>
  <si>
    <t>Buruk</t>
  </si>
  <si>
    <t>ephremmilion09@gmail.com</t>
  </si>
  <si>
    <t>sisay@gebiyanesh.com</t>
  </si>
  <si>
    <t>mdfhussen@gmail.com</t>
  </si>
  <si>
    <t>tilayearegu2@gmail.com</t>
  </si>
  <si>
    <t>Tilaye</t>
  </si>
  <si>
    <t>danielkgebrekidan@gmail.com</t>
  </si>
  <si>
    <t>kibretteshome88@gmail.com</t>
  </si>
  <si>
    <t>Kibret</t>
  </si>
  <si>
    <t>Damtew</t>
  </si>
  <si>
    <t>gibbsmisgina@gmail.com</t>
  </si>
  <si>
    <t>Misgina</t>
  </si>
  <si>
    <t>Asfahaley</t>
  </si>
  <si>
    <t>mandefrodem08@gmail.com</t>
  </si>
  <si>
    <t>Mandefro</t>
  </si>
  <si>
    <t>duololock95@gmail.com</t>
  </si>
  <si>
    <t>Duol Olock</t>
  </si>
  <si>
    <t>Thiyang</t>
  </si>
  <si>
    <t>nademamr4@gmail.com</t>
  </si>
  <si>
    <t>Nuruhussen</t>
  </si>
  <si>
    <t>rehima0194@gmail.com</t>
  </si>
  <si>
    <t>Mohammedamin</t>
  </si>
  <si>
    <t>haiderkasim373@gmail.com</t>
  </si>
  <si>
    <t>Haider</t>
  </si>
  <si>
    <t>Abdullahi</t>
  </si>
  <si>
    <t>nfekadesilassie@gmail.com</t>
  </si>
  <si>
    <t>Fekadesilassie</t>
  </si>
  <si>
    <t>workinehmengesha@gmail.com</t>
  </si>
  <si>
    <t>Workineh</t>
  </si>
  <si>
    <t>Fereja</t>
  </si>
  <si>
    <t>kidusdawit25289315@gmail.com</t>
  </si>
  <si>
    <t>Simegn</t>
  </si>
  <si>
    <t>Gindola</t>
  </si>
  <si>
    <t>marudemil@gmail.com</t>
  </si>
  <si>
    <t>Maru</t>
  </si>
  <si>
    <t>Wubie</t>
  </si>
  <si>
    <t>zakariasasefa@gmail.com</t>
  </si>
  <si>
    <t>Zakarias</t>
  </si>
  <si>
    <t>mogesgebru.mgs@gmail.com</t>
  </si>
  <si>
    <t>selvanamauro@gmail.com</t>
  </si>
  <si>
    <t>Selvana</t>
  </si>
  <si>
    <t>Demin</t>
  </si>
  <si>
    <t>South Sudan</t>
  </si>
  <si>
    <t>asmaretilahun11@gmail.com</t>
  </si>
  <si>
    <t>welelaw</t>
  </si>
  <si>
    <t>yohanisgirma1212@gmail.com</t>
  </si>
  <si>
    <t>samuelmelaku69@gmail.com</t>
  </si>
  <si>
    <t>dereje.d5@gmail.com</t>
  </si>
  <si>
    <t>burtukanshemalis77@gmail.com</t>
  </si>
  <si>
    <t>Birtukan</t>
  </si>
  <si>
    <t>bereketfikadu956@gmail.com</t>
  </si>
  <si>
    <t>natanimj@gmail.com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</si>
  <si>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</si>
  <si>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</si>
  <si>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</si>
  <si>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</si>
  <si>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</si>
  <si>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</si>
  <si>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adisasefa089@gmail.com</t>
  </si>
  <si>
    <t>Adisu</t>
  </si>
  <si>
    <t>Kinkino</t>
  </si>
  <si>
    <t>saronfikadu23@gmail.com</t>
  </si>
  <si>
    <t>seidabdu3303@gmail.com</t>
  </si>
  <si>
    <t>mesfinabera40@gmail.com</t>
  </si>
  <si>
    <t>addhussein19@gmail.com</t>
  </si>
  <si>
    <t>hanadwali50@gmail.com</t>
  </si>
  <si>
    <t>Abdulahi wali</t>
  </si>
  <si>
    <t>Olad</t>
  </si>
  <si>
    <t>novakatrina5@gmail.com</t>
  </si>
  <si>
    <t>nova</t>
  </si>
  <si>
    <t>katrina</t>
  </si>
  <si>
    <t>debisagemechisa@gmail.com</t>
  </si>
  <si>
    <t>Debisa</t>
  </si>
  <si>
    <t>Gemechisa</t>
  </si>
  <si>
    <t>shibruselu@gmail.com</t>
  </si>
  <si>
    <t>SELAM</t>
  </si>
  <si>
    <t>FERSHA</t>
  </si>
  <si>
    <t>092 216 0964</t>
  </si>
  <si>
    <t>earmiyas18alemu@gmail.com</t>
  </si>
  <si>
    <t>ermiyas</t>
  </si>
  <si>
    <t>getachewhiwot02@gmail.com</t>
  </si>
  <si>
    <t>hiwot</t>
  </si>
  <si>
    <t>Walle</t>
  </si>
  <si>
    <t>kedir12seid@gmail.com</t>
  </si>
  <si>
    <t>kedir</t>
  </si>
  <si>
    <t>Abdelkadir</t>
  </si>
  <si>
    <t>sisay585@gmail.com</t>
  </si>
  <si>
    <t>birakemer47@gmail.com</t>
  </si>
  <si>
    <t>Bira</t>
  </si>
  <si>
    <t>Kemer</t>
  </si>
  <si>
    <t>selamyemane839@gmail.com</t>
  </si>
  <si>
    <t>yemane</t>
  </si>
  <si>
    <t>tsedeniagebru@dbu.edu.et</t>
  </si>
  <si>
    <t>Tsedenia</t>
  </si>
  <si>
    <t>lelloaalaa186@gmail.com</t>
  </si>
  <si>
    <t>motidekebo@gmail.com</t>
  </si>
  <si>
    <t>MOTI</t>
  </si>
  <si>
    <t>DALE</t>
  </si>
  <si>
    <t>assefabereket2@gmail.com</t>
  </si>
  <si>
    <t>Bunaro</t>
  </si>
  <si>
    <t>mosisaah59@gmail.com</t>
  </si>
  <si>
    <t>Yuyya</t>
  </si>
  <si>
    <t>zinabu741@gmail.com</t>
  </si>
  <si>
    <t>Zinabu</t>
  </si>
  <si>
    <t>chemerehabtewold@gmail.com</t>
  </si>
  <si>
    <t>Chemere</t>
  </si>
  <si>
    <t>hirerabi2025@gmail.com</t>
  </si>
  <si>
    <t>Habib</t>
  </si>
  <si>
    <t>wakifeda27@gmail.com</t>
  </si>
  <si>
    <t>Adinku Urji</t>
  </si>
  <si>
    <t>aberhamtil@gmail.com</t>
  </si>
  <si>
    <t>Aberham</t>
  </si>
  <si>
    <t>mehariyihdego918@gmail.com</t>
  </si>
  <si>
    <t>Yihdego</t>
  </si>
  <si>
    <t>agajealemayehu@gmail.com</t>
  </si>
  <si>
    <t>Agaje</t>
  </si>
  <si>
    <t>elsabetzeyfa@gmail.com</t>
  </si>
  <si>
    <t>Elsabet</t>
  </si>
  <si>
    <t>Zeyfa</t>
  </si>
  <si>
    <t>niudhailu11@gmail.com</t>
  </si>
  <si>
    <t>Niud</t>
  </si>
  <si>
    <t>Nigusa</t>
  </si>
  <si>
    <t>alene19m@gmail.com</t>
  </si>
  <si>
    <t>Achamyeleh</t>
  </si>
  <si>
    <t>davidisraelygs@gmail.com</t>
  </si>
  <si>
    <t>yishegeta</t>
  </si>
  <si>
    <t>muhidinshemsu4@gmail.com</t>
  </si>
  <si>
    <t>Zakir</t>
  </si>
  <si>
    <t>Shemsu</t>
  </si>
  <si>
    <t>ebrahemaley@gmail.com</t>
  </si>
  <si>
    <t>Ebrahem</t>
  </si>
  <si>
    <t>Aley</t>
  </si>
  <si>
    <t>hermelaelias12@gmail.com</t>
  </si>
  <si>
    <t>alexmegersa23@gmail.com</t>
  </si>
  <si>
    <t>tigistsolomon64@gmail.com</t>
  </si>
  <si>
    <t>gebimusa53@gmail.com</t>
  </si>
  <si>
    <t>elshadaygizachew1921@gmail.com</t>
  </si>
  <si>
    <t>Mizan</t>
  </si>
  <si>
    <t>nftalemarega080@gmail.com</t>
  </si>
  <si>
    <t>Nftalem</t>
  </si>
  <si>
    <t>mahletmahi35@gmail.com</t>
  </si>
  <si>
    <t>yayesh1316@gmail.com</t>
  </si>
  <si>
    <t>Mekdes Dereje</t>
  </si>
  <si>
    <t>veronicalawrence828@gmail.com</t>
  </si>
  <si>
    <t>kassieadugna016@gmail.com</t>
  </si>
  <si>
    <t>Adugnaw</t>
  </si>
  <si>
    <t>Bizuneh</t>
  </si>
  <si>
    <t>robitesfa@gmail.com</t>
  </si>
  <si>
    <t>zufangebre@gmail.com</t>
  </si>
  <si>
    <t>Zufan</t>
  </si>
  <si>
    <t>Gebregziabher</t>
  </si>
  <si>
    <t>tgashaw3@gmail.com</t>
  </si>
  <si>
    <t>Agegnehu</t>
  </si>
  <si>
    <t>meldam2007@yahoo.com</t>
  </si>
  <si>
    <t>Dame</t>
  </si>
  <si>
    <t>numanfadil8@gmail.com</t>
  </si>
  <si>
    <t>numan</t>
  </si>
  <si>
    <t>fadil</t>
  </si>
  <si>
    <t>kirubelanteneh2512@gmail.com</t>
  </si>
  <si>
    <t>ABEBE</t>
  </si>
  <si>
    <t>nahombirru095@gmail.com</t>
  </si>
  <si>
    <t>semiongustavo14@gmail.com</t>
  </si>
  <si>
    <t>Semion</t>
  </si>
  <si>
    <t>Gustavo</t>
  </si>
  <si>
    <t>kibretzelalem19@gmail.com</t>
  </si>
  <si>
    <t>Dagnew</t>
  </si>
  <si>
    <t>akmel1564@gmail.com</t>
  </si>
  <si>
    <t>Akmel</t>
  </si>
  <si>
    <t>Ykesi</t>
  </si>
  <si>
    <t>akberhanemeskel1@gmail.com</t>
  </si>
  <si>
    <t>Berhanemeskel</t>
  </si>
  <si>
    <t>emonikaemu@gemal.com</t>
  </si>
  <si>
    <t>hailubereket97@gmail.com</t>
  </si>
  <si>
    <t>Hadero</t>
  </si>
  <si>
    <t>debelaabata359@gmail.com</t>
  </si>
  <si>
    <t>Abata</t>
  </si>
  <si>
    <t>ruhamatesgaw@gmail.com</t>
  </si>
  <si>
    <t>RUHAMA</t>
  </si>
  <si>
    <t>chalayu13@gmail.com</t>
  </si>
  <si>
    <t>Chalkuleh</t>
  </si>
  <si>
    <t>berihu.gebre85@gmail.com</t>
  </si>
  <si>
    <t>Bahta</t>
  </si>
  <si>
    <t>entisarmusema0@gmail.com</t>
  </si>
  <si>
    <t>Intisar</t>
  </si>
  <si>
    <t>Musema</t>
  </si>
  <si>
    <t>henosmaru@gmail.com</t>
  </si>
  <si>
    <t>Henos</t>
  </si>
  <si>
    <t>kibaste7@gmail.com</t>
  </si>
  <si>
    <t>Kibru</t>
  </si>
  <si>
    <t>Keno</t>
  </si>
  <si>
    <t>hiwotgetachw708@gmail.cm</t>
  </si>
  <si>
    <t>ruziyadesta7@gmail.com</t>
  </si>
  <si>
    <t>Ruziya</t>
  </si>
  <si>
    <t>kelemeworktsigereda@gmail.com</t>
  </si>
  <si>
    <t>Tsigereda</t>
  </si>
  <si>
    <t>hilinagetu911@gmail.com</t>
  </si>
  <si>
    <t>iyasuze21@gmail.com</t>
  </si>
  <si>
    <t>Iyasu</t>
  </si>
  <si>
    <t>getahunkusse@gmail.com</t>
  </si>
  <si>
    <t>Kutoya</t>
  </si>
  <si>
    <t>Kusse</t>
  </si>
  <si>
    <t>abdiyuwangari@gmail.com</t>
  </si>
  <si>
    <t>Wangari</t>
  </si>
  <si>
    <t>Abdiyu</t>
  </si>
  <si>
    <t>baaraddiinsiraaj@gmail.com</t>
  </si>
  <si>
    <t>Baradin</t>
  </si>
  <si>
    <t>girumasrat61@gmail.com</t>
  </si>
  <si>
    <t>birukmelaku47@gmail.com</t>
  </si>
  <si>
    <t>Sissay</t>
  </si>
  <si>
    <t>fasilyeshambel08@gmail.com</t>
  </si>
  <si>
    <t>fasil</t>
  </si>
  <si>
    <t>kindu</t>
  </si>
  <si>
    <t>sofiaklilu49@gmail.com</t>
  </si>
  <si>
    <t>Sofonyas</t>
  </si>
  <si>
    <t>bazuterfa@gmail.com</t>
  </si>
  <si>
    <t>bazu</t>
  </si>
  <si>
    <t>tarfa</t>
  </si>
  <si>
    <t>abrhaleybeyene9@gmail.com</t>
  </si>
  <si>
    <t>Abrhaley</t>
  </si>
  <si>
    <t>adnanahmed109086@gmail.com</t>
  </si>
  <si>
    <t>Adnan</t>
  </si>
  <si>
    <t>akezgreatabex@gmail.com</t>
  </si>
  <si>
    <t>Aleto</t>
  </si>
  <si>
    <t>nuredinabush9@gmail.com</t>
  </si>
  <si>
    <t>NUREDIN</t>
  </si>
  <si>
    <t>kamilyasin49@yahoo.com</t>
  </si>
  <si>
    <t>Yasin</t>
  </si>
  <si>
    <t>nahomdubale2@gmail.com</t>
  </si>
  <si>
    <t>Malemo</t>
  </si>
  <si>
    <t>bezmafi43@gmail.com</t>
  </si>
  <si>
    <t>dorkasolomon71@gmail.com</t>
  </si>
  <si>
    <t>Dorka</t>
  </si>
  <si>
    <t>Gelaye</t>
  </si>
  <si>
    <t>dagmawitgetachewteffera@gmail.com</t>
  </si>
  <si>
    <t>Teffera</t>
  </si>
  <si>
    <t>rebeccadejene6@gmail.com</t>
  </si>
  <si>
    <t>Regassa</t>
  </si>
  <si>
    <t>zerihundiriba737@gmail.com</t>
  </si>
  <si>
    <t>Dosha</t>
  </si>
  <si>
    <t>abrishyebaye@gmail.com</t>
  </si>
  <si>
    <t>Alamnew</t>
  </si>
  <si>
    <t>dawityeameelij@gmail.com</t>
  </si>
  <si>
    <t>Ye Amee Lij</t>
  </si>
  <si>
    <t>Saint Lucia</t>
  </si>
  <si>
    <t>margmaggie583@gmail.com</t>
  </si>
  <si>
    <t>Mearg</t>
  </si>
  <si>
    <t>Tsgehiwot</t>
  </si>
  <si>
    <t>habtie89@gmail.com</t>
  </si>
  <si>
    <t>habtamu</t>
  </si>
  <si>
    <t>kirenhailemeskel111@gmail.com</t>
  </si>
  <si>
    <t>Kiren</t>
  </si>
  <si>
    <t>Hailemeskel</t>
  </si>
  <si>
    <t>mussamustefa868@gmail.com</t>
  </si>
  <si>
    <t>tesfaldetfisseha@gmmail.com</t>
  </si>
  <si>
    <t>tesfaldet</t>
  </si>
  <si>
    <t>gebrhiwot</t>
  </si>
  <si>
    <t>edemamemo@gmail.com</t>
  </si>
  <si>
    <t>Edema</t>
  </si>
  <si>
    <t>Jilo</t>
  </si>
  <si>
    <t>abadirm105@gmail.com</t>
  </si>
  <si>
    <t>abdalahmo2020@gmail.com</t>
  </si>
  <si>
    <t>Abdela</t>
  </si>
  <si>
    <t>Usman</t>
  </si>
  <si>
    <t>behaylubelete10@gmail.com</t>
  </si>
  <si>
    <t>yalewfirew92@gmail.com</t>
  </si>
  <si>
    <t>goitomhaftaycs@gmail.com</t>
  </si>
  <si>
    <t>Goitom</t>
  </si>
  <si>
    <t>Haylu</t>
  </si>
  <si>
    <t>habtemariamgb4@gmail.com</t>
  </si>
  <si>
    <t>Habtemariam</t>
  </si>
  <si>
    <t>Gebeyehu</t>
  </si>
  <si>
    <t>adaneetabate10@gmail.com</t>
  </si>
  <si>
    <t>Gelito</t>
  </si>
  <si>
    <t>hudheifaazuu@gmail.com</t>
  </si>
  <si>
    <t>Azuu</t>
  </si>
  <si>
    <t>Hassan</t>
  </si>
  <si>
    <t>urgee2247@gmail.com</t>
  </si>
  <si>
    <t>Urge</t>
  </si>
  <si>
    <t>Abdulahi</t>
  </si>
  <si>
    <t>nattygechh@gmail.com</t>
  </si>
  <si>
    <t>Gessesse</t>
  </si>
  <si>
    <t>abduselamm555@gmail.com</t>
  </si>
  <si>
    <t>Abduselam</t>
  </si>
  <si>
    <t>berihugebrehaweria123@gmail.com</t>
  </si>
  <si>
    <t>BERIHU GEBREHAWERIA</t>
  </si>
  <si>
    <t>GEBREMARIAM</t>
  </si>
  <si>
    <t>samsonataklty460@gmail.com</t>
  </si>
  <si>
    <t>samson</t>
  </si>
  <si>
    <t>ataklty</t>
  </si>
  <si>
    <t>esayasabebe1212@gmail.com</t>
  </si>
  <si>
    <t>desalem2022@gmail.com</t>
  </si>
  <si>
    <t>demidemihirbo@gmail.com</t>
  </si>
  <si>
    <t>Godana</t>
  </si>
  <si>
    <t>bereketarchitect05@gmail.com</t>
  </si>
  <si>
    <t>kassaaklilu2014@gmail.com</t>
  </si>
  <si>
    <t>Helesebo</t>
  </si>
  <si>
    <t>nuhaminanbese711@gmail.com</t>
  </si>
  <si>
    <t>angesomhagos33@gmail.com</t>
  </si>
  <si>
    <t>Angesom</t>
  </si>
  <si>
    <t>Kiros</t>
  </si>
  <si>
    <t>yirgu0928331483@gmail.com</t>
  </si>
  <si>
    <t>Yirgu</t>
  </si>
  <si>
    <t>Abtew</t>
  </si>
  <si>
    <t>lemmameraf@gmail.com</t>
  </si>
  <si>
    <t>Bitsiet</t>
  </si>
  <si>
    <t>phameekrut@gmail.com</t>
  </si>
  <si>
    <t>Gatwech</t>
  </si>
  <si>
    <t>Ruot</t>
  </si>
  <si>
    <t>mengieera1940@gmail.com</t>
  </si>
  <si>
    <t>Menigstu</t>
  </si>
  <si>
    <t>Andualem</t>
  </si>
  <si>
    <t>getufrita@gmail.com</t>
  </si>
  <si>
    <t>melaku26bayih@gmail.com</t>
  </si>
  <si>
    <t>Demessie</t>
  </si>
  <si>
    <t>robstarbekele098@gmail.com</t>
  </si>
  <si>
    <t>Roba</t>
  </si>
  <si>
    <t>mamehusen2021@gmail.com</t>
  </si>
  <si>
    <t>meiraftekaligne@gmail.com</t>
  </si>
  <si>
    <t>Meiraf</t>
  </si>
  <si>
    <t>Tekaligne</t>
  </si>
  <si>
    <t>hemiigirma@gmail.com</t>
  </si>
  <si>
    <t>Haimanot</t>
  </si>
  <si>
    <t>Jemaneh</t>
  </si>
  <si>
    <t>diborawako8@gmail.com</t>
  </si>
  <si>
    <t>Bariso</t>
  </si>
  <si>
    <t>deratjc7@gmail.com</t>
  </si>
  <si>
    <t>Derara</t>
  </si>
  <si>
    <t>Wakshum</t>
  </si>
  <si>
    <t>bisratmiliyon3@gmail.com</t>
  </si>
  <si>
    <t>Miliyon</t>
  </si>
  <si>
    <t>mastewaldelelegn840@gmail.com</t>
  </si>
  <si>
    <t>Mastewale</t>
  </si>
  <si>
    <t>fasica2558@gmail.com</t>
  </si>
  <si>
    <t>Negussie</t>
  </si>
  <si>
    <t>samueleshetu2016@gmail.com</t>
  </si>
  <si>
    <t>Elto</t>
  </si>
  <si>
    <t>kennobayisa@gmail.com</t>
  </si>
  <si>
    <t>Keneni</t>
  </si>
  <si>
    <t>Bayisa</t>
  </si>
  <si>
    <t>kaleabbelayhun02@gmail.com</t>
  </si>
  <si>
    <t>Belayhun</t>
  </si>
  <si>
    <t>besufikadabebe15@gmail.com</t>
  </si>
  <si>
    <t>Besufikad</t>
  </si>
  <si>
    <t>fraol.tesfaye@bemediaplc.com</t>
  </si>
  <si>
    <t>tesfa</t>
  </si>
  <si>
    <t>brhanu</t>
  </si>
  <si>
    <t>nimcoy778@gmail.com</t>
  </si>
  <si>
    <t>Nimao</t>
  </si>
  <si>
    <t>Yousuf</t>
  </si>
  <si>
    <t>sadortizu@gmial.com</t>
  </si>
  <si>
    <t>Sador</t>
  </si>
  <si>
    <t>Agegnehw</t>
  </si>
  <si>
    <t>batubeam.tn@gmail.com</t>
  </si>
  <si>
    <t>Bitania</t>
  </si>
  <si>
    <t>abselamnigatu@gmail.com</t>
  </si>
  <si>
    <t>Abselam</t>
  </si>
  <si>
    <t>fraolfr@outlook.com</t>
  </si>
  <si>
    <t>Fraol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</si>
  <si>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</si>
  <si>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</si>
  <si>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</si>
  <si>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</si>
  <si>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</si>
  <si>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</si>
  <si>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destaabch21@gmail.com</t>
  </si>
  <si>
    <t>wwwdawitdawit44@gmail.com</t>
  </si>
  <si>
    <t>mesereteba9@gmail.com</t>
  </si>
  <si>
    <t>Tamane</t>
  </si>
  <si>
    <t>deguusa22@gmail.com</t>
  </si>
  <si>
    <t>Degisew</t>
  </si>
  <si>
    <t>Prefer not to answer</t>
  </si>
  <si>
    <t>tesfatsegaye1234@gmail.com</t>
  </si>
  <si>
    <t>eyubirhanu01@gmail.com</t>
  </si>
  <si>
    <t>eyu</t>
  </si>
  <si>
    <t>birhanu</t>
  </si>
  <si>
    <t>semondereje@gmail.com</t>
  </si>
  <si>
    <t>Semon</t>
  </si>
  <si>
    <t>shumetamerie@gmail.com</t>
  </si>
  <si>
    <t>Tamrie</t>
  </si>
  <si>
    <t>wonderuth1@gmail.com</t>
  </si>
  <si>
    <t>Wonde</t>
  </si>
  <si>
    <t>birukandi@gmail.com</t>
  </si>
  <si>
    <t>mekdelawitzewdneh2024@gmail.com</t>
  </si>
  <si>
    <t>wendmagegn003@gmail.com</t>
  </si>
  <si>
    <t>Wendmagegn</t>
  </si>
  <si>
    <t>Setegn</t>
  </si>
  <si>
    <t>yeab40@gmail.com</t>
  </si>
  <si>
    <t>Bacha</t>
  </si>
  <si>
    <t>alemugedefie@gmail.com</t>
  </si>
  <si>
    <t>nebiyuamde@gmail.com</t>
  </si>
  <si>
    <t>Amdeselassie</t>
  </si>
  <si>
    <t>akmeljelaledein11@gmail.com</t>
  </si>
  <si>
    <t>Jelaledein</t>
  </si>
  <si>
    <t>Maruf</t>
  </si>
  <si>
    <t>aabina795@gmail.com</t>
  </si>
  <si>
    <t>Wondemagegn</t>
  </si>
  <si>
    <t>abigiyaterefe6@gamail.com</t>
  </si>
  <si>
    <t>Abigiya</t>
  </si>
  <si>
    <t>jeloj8076@gmail.com</t>
  </si>
  <si>
    <t>Jelo</t>
  </si>
  <si>
    <t>aberayordanos1223@gmail.com</t>
  </si>
  <si>
    <t>merongetaneh.sel9@gmail.com</t>
  </si>
  <si>
    <t>abielias19@gmail.com</t>
  </si>
  <si>
    <t>akiermias14@gmail.com</t>
  </si>
  <si>
    <t>babifeleke@gmail.com</t>
  </si>
  <si>
    <t>ethieltaye23@gmail.com</t>
  </si>
  <si>
    <t>tesfahunalaro@gmail.com</t>
  </si>
  <si>
    <t>bubusharahel@gmail.com</t>
  </si>
  <si>
    <t>Amakel</t>
  </si>
  <si>
    <t>yunisabas0909@gmail.com</t>
  </si>
  <si>
    <t>tsionbasz@gmail.com</t>
  </si>
  <si>
    <t>Tsihon</t>
  </si>
  <si>
    <t>eldabeki@gmail.com</t>
  </si>
  <si>
    <t>Eldana</t>
  </si>
  <si>
    <t>Mulugeta</t>
  </si>
  <si>
    <t>emuabe35@gmail.com</t>
  </si>
  <si>
    <t>Yalemzawed</t>
  </si>
  <si>
    <t>lidyaabrham72@gmail.com</t>
  </si>
  <si>
    <t>Nizgi</t>
  </si>
  <si>
    <t>assefaelias50@gmail.com</t>
  </si>
  <si>
    <t>amanbaby345@gmail.com</t>
  </si>
  <si>
    <t>amanuel</t>
  </si>
  <si>
    <t>shenkute</t>
  </si>
  <si>
    <t>aaronguesh@gmail.com</t>
  </si>
  <si>
    <t>AARON</t>
  </si>
  <si>
    <t>ABAY</t>
  </si>
  <si>
    <t>tsegahailu1296@gmail.com</t>
  </si>
  <si>
    <t>josiking103@gmail.com</t>
  </si>
  <si>
    <t>miftahgeleta28@gmail.com</t>
  </si>
  <si>
    <t>ht947255@gmail.com</t>
  </si>
  <si>
    <t>natitasfaye975@gmail.com</t>
  </si>
  <si>
    <t>Natnale</t>
  </si>
  <si>
    <t>alexanderhaile579@gmail.com</t>
  </si>
  <si>
    <t>Alexander</t>
  </si>
  <si>
    <t>brightowl24@gmail.com</t>
  </si>
  <si>
    <t>rejebfedlu8@gmail.com</t>
  </si>
  <si>
    <t>Tered</t>
  </si>
  <si>
    <t>mmatiyasteklay@gmail.com</t>
  </si>
  <si>
    <t>Matiyas</t>
  </si>
  <si>
    <t>Teklay</t>
  </si>
  <si>
    <t>hailuhaimanot28@gmail.com</t>
  </si>
  <si>
    <t>weldemichabereket@gmail.com</t>
  </si>
  <si>
    <t>bereket</t>
  </si>
  <si>
    <t>sima</t>
  </si>
  <si>
    <t>papilogeorge7@gmail.com</t>
  </si>
  <si>
    <t>Tanko</t>
  </si>
  <si>
    <t>George</t>
  </si>
  <si>
    <t>Nigeria</t>
  </si>
  <si>
    <t>martabrhanegebrslasia@gmail.com</t>
  </si>
  <si>
    <t>Marta</t>
  </si>
  <si>
    <t>Gsilasse</t>
  </si>
  <si>
    <t>samiforgiven@gmail.com</t>
  </si>
  <si>
    <t>danieldagnew25@gmail.com</t>
  </si>
  <si>
    <t>Welde slase</t>
  </si>
  <si>
    <t>leontichel10@gmail.com</t>
  </si>
  <si>
    <t>Leon</t>
  </si>
  <si>
    <t>Tesfamichael</t>
  </si>
  <si>
    <t>yohanesletke3@gmail.com</t>
  </si>
  <si>
    <t>Yohens</t>
  </si>
  <si>
    <t>oromaykiro12@gmail.com</t>
  </si>
  <si>
    <t>Zemen</t>
  </si>
  <si>
    <t>Atsbha</t>
  </si>
  <si>
    <t>ephremachamo@gmail.com</t>
  </si>
  <si>
    <t>Epherem</t>
  </si>
  <si>
    <t>Achamo</t>
  </si>
  <si>
    <t>robesor9@gmail.com</t>
  </si>
  <si>
    <t>Zenaw</t>
  </si>
  <si>
    <t>samsonmulatu1990@gmail.com</t>
  </si>
  <si>
    <t>adiyammezgebu16@gmail.com</t>
  </si>
  <si>
    <t>Hilina Atinkut</t>
  </si>
  <si>
    <t>Mezgebu</t>
  </si>
  <si>
    <t>thom.al.aait@gmail.com</t>
  </si>
  <si>
    <t>hanantilahun928@gmail.com</t>
  </si>
  <si>
    <t>hana</t>
  </si>
  <si>
    <t>johnygirma2023@gmail.com</t>
  </si>
  <si>
    <t>kahsaysamson398@gmail.com</t>
  </si>
  <si>
    <t>Samsom</t>
  </si>
  <si>
    <t>gueshrobel02@gmail.com</t>
  </si>
  <si>
    <t>Guesh</t>
  </si>
  <si>
    <t>abukiteshale@gmail.com</t>
  </si>
  <si>
    <t>goatdavexv07@gmail.com</t>
  </si>
  <si>
    <t>yirtse121921@gmail.com</t>
  </si>
  <si>
    <t>yaredhaftubisra@gmail.com</t>
  </si>
  <si>
    <t>sm00336254@gmail.com</t>
  </si>
  <si>
    <t>endekereeshetu77@gmail.com</t>
  </si>
  <si>
    <t>Endekere</t>
  </si>
  <si>
    <t>beleteabinet0@gmail.com</t>
  </si>
  <si>
    <t>Tegaye</t>
  </si>
  <si>
    <t>nuhaminarega19@gmail.com</t>
  </si>
  <si>
    <t>Asie</t>
  </si>
  <si>
    <t>eyerusalem.geremew-ug@aau.edu.et</t>
  </si>
  <si>
    <t>dabielberhane@gmail.com</t>
  </si>
  <si>
    <t>amirjemal511@gmail.com</t>
  </si>
  <si>
    <t>kidstzerue@gmail.com</t>
  </si>
  <si>
    <t>Kdusan</t>
  </si>
  <si>
    <t>Welegiwergis</t>
  </si>
  <si>
    <t>etsubdink.gedyon@astu.edu.et</t>
  </si>
  <si>
    <t>Kostab</t>
  </si>
  <si>
    <t>jordankassa9@gmail.com</t>
  </si>
  <si>
    <t>Jordan</t>
  </si>
  <si>
    <t>fikadugetnet428@gmail.com</t>
  </si>
  <si>
    <t>annonymousmask.org@gmail.com</t>
  </si>
  <si>
    <t>Wallelgne</t>
  </si>
  <si>
    <t>birukermias@gmail.com</t>
  </si>
  <si>
    <t>Mesafint</t>
  </si>
  <si>
    <t>meklitermias5@gmail.com</t>
  </si>
  <si>
    <t>meklit</t>
  </si>
  <si>
    <t>mekuriazerga4@gmail.com</t>
  </si>
  <si>
    <t>Mekuria</t>
  </si>
  <si>
    <t>Sima</t>
  </si>
  <si>
    <t>etolera@gmail.com</t>
  </si>
  <si>
    <t>Abdiyou</t>
  </si>
  <si>
    <t>rabebe32@gmail.com</t>
  </si>
  <si>
    <t>tesewaka535@gmail.com</t>
  </si>
  <si>
    <t>hachaluababucht507@gmail.com</t>
  </si>
  <si>
    <t>Hachalu</t>
  </si>
  <si>
    <t>menichila@gmail.com</t>
  </si>
  <si>
    <t>Menichil</t>
  </si>
  <si>
    <t>Tadege</t>
  </si>
  <si>
    <t>assefamesgana@gmail.com</t>
  </si>
  <si>
    <t>Mesgana</t>
  </si>
  <si>
    <t>rihanabdela00@gmail.com</t>
  </si>
  <si>
    <t>Rihana</t>
  </si>
  <si>
    <t>Esmail</t>
  </si>
  <si>
    <t>olanakenea6@gmail.com</t>
  </si>
  <si>
    <t>nathanhabtamu231@gmail.com</t>
  </si>
  <si>
    <t>bkassahun131@gmail.com</t>
  </si>
  <si>
    <t>simenehtilahun1681@gmail.com</t>
  </si>
  <si>
    <t>tilahun</t>
  </si>
  <si>
    <t>samualdegemu36@gmail.com</t>
  </si>
  <si>
    <t>umuhumi@gmail.com</t>
  </si>
  <si>
    <t>Afreha</t>
  </si>
  <si>
    <t>Begashew</t>
  </si>
  <si>
    <t>msdali098@gmail.com</t>
  </si>
  <si>
    <t>sifanashenafi13@gmail.com</t>
  </si>
  <si>
    <t>Sifan</t>
  </si>
  <si>
    <t>inayatesi54@gmail.com</t>
  </si>
  <si>
    <t>Inaya</t>
  </si>
  <si>
    <t>Tesi</t>
  </si>
  <si>
    <t>derebeaginchew90@gmail.com</t>
  </si>
  <si>
    <t>Derebe</t>
  </si>
  <si>
    <t>Aginchew</t>
  </si>
  <si>
    <t>takloambaw74@gmail.com</t>
  </si>
  <si>
    <t>Takelo</t>
  </si>
  <si>
    <t>Mengist</t>
  </si>
  <si>
    <t>eliasagidew01@gmail.com</t>
  </si>
  <si>
    <t>agidew</t>
  </si>
  <si>
    <t>linaahmed541@gmail.com</t>
  </si>
  <si>
    <t>Lina</t>
  </si>
  <si>
    <t>abishambel232@gmail.com</t>
  </si>
  <si>
    <t>teamer775@gmail.com</t>
  </si>
  <si>
    <t>TEAMER</t>
  </si>
  <si>
    <t>ARAGE</t>
  </si>
  <si>
    <t>alulabrhane78@gmail.com</t>
  </si>
  <si>
    <t>Alula</t>
  </si>
  <si>
    <t>dolcevtaethio@gmail.com</t>
  </si>
  <si>
    <t>samantacasale3@gmail.com</t>
  </si>
  <si>
    <t>Samanta</t>
  </si>
  <si>
    <t>Casale</t>
  </si>
  <si>
    <t>fhunde42@gmail.com</t>
  </si>
  <si>
    <t>Hunde</t>
  </si>
  <si>
    <t>bselamawit03@gmail.com</t>
  </si>
  <si>
    <t>redbir473@gmail.com</t>
  </si>
  <si>
    <t>Tabor</t>
  </si>
  <si>
    <t>tesfaldetfisseha@gmail.com</t>
  </si>
  <si>
    <t>Tesfaldet</t>
  </si>
  <si>
    <t>Gebrhiwot</t>
  </si>
  <si>
    <t>seyoumb18@gmail.com</t>
  </si>
  <si>
    <t>Seyoum</t>
  </si>
  <si>
    <t>Bezabih</t>
  </si>
  <si>
    <t>nuredinnasir2020@gmail.com</t>
  </si>
  <si>
    <t>Nasir</t>
  </si>
  <si>
    <t>finhasnebiyou@gmail.com</t>
  </si>
  <si>
    <t>Finhas</t>
  </si>
  <si>
    <t>Nebiyou</t>
  </si>
  <si>
    <t>ymttaye@gmail.com</t>
  </si>
  <si>
    <t>maryaddisu3@gmail.com</t>
  </si>
  <si>
    <t>aberehamy@gmail.com</t>
  </si>
  <si>
    <t>Abereham</t>
  </si>
  <si>
    <t>yohanneshabtamu86@gmail.com</t>
  </si>
  <si>
    <t>Bayissa</t>
  </si>
  <si>
    <t>danielzewde871@gmail.com</t>
  </si>
  <si>
    <t>degefa</t>
  </si>
  <si>
    <t>efratamel157@gmail.com</t>
  </si>
  <si>
    <t>martatsegaye1221@gmail.com</t>
  </si>
  <si>
    <t>enanawmariam@gmail.com</t>
  </si>
  <si>
    <t>Negusse</t>
  </si>
  <si>
    <t>habtemarry21and12@gmail.com</t>
  </si>
  <si>
    <t>leuly6451@gmail.com</t>
  </si>
  <si>
    <t>Yelibu</t>
  </si>
  <si>
    <t>senaitalemayehu27@gmail.com</t>
  </si>
  <si>
    <t>Abeba</t>
  </si>
  <si>
    <t>tsi172849@gmail.com</t>
  </si>
  <si>
    <t>Girmaye</t>
  </si>
  <si>
    <t>bethlehematnaf@gmail.com</t>
  </si>
  <si>
    <t>Bethlehem</t>
  </si>
  <si>
    <t>Atnaf</t>
  </si>
  <si>
    <t>gedionmulatu63@gmail.com</t>
  </si>
  <si>
    <t>samsonbelayneh818@gmail.com</t>
  </si>
  <si>
    <t>ephplayhouse@gmail.com</t>
  </si>
  <si>
    <t>Ephratha</t>
  </si>
  <si>
    <t>abigiyagetachew44@gmail.com</t>
  </si>
  <si>
    <t>fayf3777@gmail.com</t>
  </si>
  <si>
    <t>FAIZ</t>
  </si>
  <si>
    <t>ALIMUZ</t>
  </si>
  <si>
    <t>abenezerturn@gmail.com</t>
  </si>
  <si>
    <t>Turn</t>
  </si>
  <si>
    <t>mahdemekdes@gmail.com</t>
  </si>
  <si>
    <t>paulzero696@gmail.com</t>
  </si>
  <si>
    <t>Paul</t>
  </si>
  <si>
    <t>Zero</t>
  </si>
  <si>
    <t>berihunamsalu818@gmail.com</t>
  </si>
  <si>
    <t>yafetgemeda2004@gmail.com</t>
  </si>
  <si>
    <t>tahaazalai78@gmail.com</t>
  </si>
  <si>
    <t>Azalai</t>
  </si>
  <si>
    <t>demasatesfaye@gmail.com</t>
  </si>
  <si>
    <t>Olkeba</t>
  </si>
  <si>
    <t>daditamiru4@gmail.com</t>
  </si>
  <si>
    <t>Dadi</t>
  </si>
  <si>
    <t>tasisaalayu2015@gmail.com</t>
  </si>
  <si>
    <t>Tasisa</t>
  </si>
  <si>
    <t>Alayu</t>
  </si>
  <si>
    <t>asisay873@gmail.com</t>
  </si>
  <si>
    <t>mertiketfikadu@gmail.com</t>
  </si>
  <si>
    <t>mesfinmesfinlema@gmail.com</t>
  </si>
  <si>
    <t>abrikat21@gamil.com</t>
  </si>
  <si>
    <t>biftukoobiftukoo@gmail.come</t>
  </si>
  <si>
    <t>Biftu</t>
  </si>
  <si>
    <t>Nuguse</t>
  </si>
  <si>
    <t>senamitiku99@gmail.com</t>
  </si>
  <si>
    <t>tominabate5@gmail.com</t>
  </si>
  <si>
    <t>ayantutilahun006@gmail.com</t>
  </si>
  <si>
    <t>Ayantu</t>
  </si>
  <si>
    <t>tesfayedaba2024@gmail.com</t>
  </si>
  <si>
    <t>gabisaabdisa10@gmail.com</t>
  </si>
  <si>
    <t>Gabisa</t>
  </si>
  <si>
    <t>kumsasisay75@gmail.com</t>
  </si>
  <si>
    <t>gizachewmebrie@gmail.com</t>
  </si>
  <si>
    <t>devirana70@gmail.com</t>
  </si>
  <si>
    <t>Irena</t>
  </si>
  <si>
    <t>barechafayera@gmail.com</t>
  </si>
  <si>
    <t>Fayera</t>
  </si>
  <si>
    <t>sgemedaait@gmail.com</t>
  </si>
  <si>
    <t>faridasiraj86@gmail.com</t>
  </si>
  <si>
    <t>Farida</t>
  </si>
  <si>
    <t>bezaadunga34@gmail.com</t>
  </si>
  <si>
    <t>qarookoo608@gmail.com</t>
  </si>
  <si>
    <t>welkitenahili@gmail.com</t>
  </si>
  <si>
    <t>Nahili</t>
  </si>
  <si>
    <t>Welkite</t>
  </si>
  <si>
    <t>smsnabate@gmail.com</t>
  </si>
  <si>
    <t>amefayera19@mail.com</t>
  </si>
  <si>
    <t>fenetshibiru@gmail.com</t>
  </si>
  <si>
    <t>Shibiru</t>
  </si>
  <si>
    <t>sinboderesu@gmail.com</t>
  </si>
  <si>
    <t>Sinbo</t>
  </si>
  <si>
    <t>Deresu</t>
  </si>
  <si>
    <t>sicaleteshome@gmail.com</t>
  </si>
  <si>
    <t>Sichale</t>
  </si>
  <si>
    <t>Teshoma</t>
  </si>
  <si>
    <t>magooarega@gmail.com</t>
  </si>
  <si>
    <t>Megerssa</t>
  </si>
  <si>
    <t>sanyiidassaaleny64@gmail.com</t>
  </si>
  <si>
    <t>Sagni</t>
  </si>
  <si>
    <t>Deselign</t>
  </si>
  <si>
    <t>abdum6688@gmail.com</t>
  </si>
  <si>
    <t>sinbosinboshe@gmail.com</t>
  </si>
  <si>
    <t>Sinboshe</t>
  </si>
  <si>
    <t>hannaseifu57@gmail.com</t>
  </si>
  <si>
    <t>Seyfu</t>
  </si>
  <si>
    <t>josy25.10@gmail.com</t>
  </si>
  <si>
    <t>Jembere</t>
  </si>
  <si>
    <t>siifanhabtaamuu@gmail.com</t>
  </si>
  <si>
    <t>derejemerzo994@gmail.com</t>
  </si>
  <si>
    <t>Merzo</t>
  </si>
  <si>
    <t>abdigood2022@gmail.com</t>
  </si>
  <si>
    <t>Latera</t>
  </si>
  <si>
    <t>amanuaelheyaw@gmail.com</t>
  </si>
  <si>
    <t>Amanuael</t>
  </si>
  <si>
    <t>Heyaw</t>
  </si>
  <si>
    <t>bilisefekadu67@gmail.com</t>
  </si>
  <si>
    <t>Yemane</t>
  </si>
  <si>
    <t>toleradagne979@gmail.com</t>
  </si>
  <si>
    <t>Tolera</t>
  </si>
  <si>
    <t>tiksaayano@gmail.com</t>
  </si>
  <si>
    <t>Tiksa</t>
  </si>
  <si>
    <t>mergatasew@gmail.com</t>
  </si>
  <si>
    <t>Merga</t>
  </si>
  <si>
    <t>Tasew</t>
  </si>
  <si>
    <t>alemuyerus2015@yahoo.com</t>
  </si>
  <si>
    <t>Yerusalem</t>
  </si>
  <si>
    <t>gemechistesfaye1998@gmail.com</t>
  </si>
  <si>
    <t>Gemchis</t>
  </si>
  <si>
    <t>yadgashahun@gmail.com</t>
  </si>
  <si>
    <t>Yadasa</t>
  </si>
  <si>
    <t>Gashawun</t>
  </si>
  <si>
    <t>derejedebebe932@gmail.com</t>
  </si>
  <si>
    <t>habte0183@gmail.com</t>
  </si>
  <si>
    <t>Habtemaryam</t>
  </si>
  <si>
    <t>smlsrs2@gmail.com</t>
  </si>
  <si>
    <t>Soresa</t>
  </si>
  <si>
    <t>latamoobadhasoo@gmail.com</t>
  </si>
  <si>
    <t>Latamo</t>
  </si>
  <si>
    <t>Bedaso</t>
  </si>
  <si>
    <t>jhonbety617@gmail.com</t>
  </si>
  <si>
    <t>abdibulti@gmail.com</t>
  </si>
  <si>
    <t>Bulti</t>
  </si>
  <si>
    <t>hawisolomon127@gmail.com</t>
  </si>
  <si>
    <t>Solmon</t>
  </si>
  <si>
    <t>hermelahermela68@gmail.com</t>
  </si>
  <si>
    <t>sunkesunke500@gmail.com</t>
  </si>
  <si>
    <t>free2bko@gmail.com</t>
  </si>
  <si>
    <t>Lalisa</t>
  </si>
  <si>
    <t>Magarsa</t>
  </si>
  <si>
    <t>robelzekiwos70@gmail.com</t>
  </si>
  <si>
    <t>Zakiwos</t>
  </si>
  <si>
    <t>sefunagasa1000@gmail.com</t>
  </si>
  <si>
    <t>Sefu</t>
  </si>
  <si>
    <t>Nagasa</t>
  </si>
  <si>
    <t>bikogame00@gmail.com</t>
  </si>
  <si>
    <t>Bikiltu</t>
  </si>
  <si>
    <t>Gemachis</t>
  </si>
  <si>
    <t>gabbisayyookabbadaa@gmail.com</t>
  </si>
  <si>
    <t>Gabisayo</t>
  </si>
  <si>
    <t>Kebeda</t>
  </si>
  <si>
    <t>tamireejira@gmail.com</t>
  </si>
  <si>
    <t>Tamire</t>
  </si>
  <si>
    <t>misganuugalanaa@gmail.com</t>
  </si>
  <si>
    <t>Misgenu</t>
  </si>
  <si>
    <t>ayanakeneni123@gmail.com</t>
  </si>
  <si>
    <t>martagirma316@gmail.com</t>
  </si>
  <si>
    <t>dasaledaraje2011@gmail.com</t>
  </si>
  <si>
    <t>Dasale</t>
  </si>
  <si>
    <t>mergagetachew@gmail.com</t>
  </si>
  <si>
    <t>adareteshale1@gmail.com</t>
  </si>
  <si>
    <t>Adare</t>
  </si>
  <si>
    <t>tigistuabi1@gmail.com</t>
  </si>
  <si>
    <t>Abi</t>
  </si>
  <si>
    <t>filagotalemu@gimal.com</t>
  </si>
  <si>
    <t>Filagot</t>
  </si>
  <si>
    <t>wasewayesa5@gmail.com</t>
  </si>
  <si>
    <t>Wasihun</t>
  </si>
  <si>
    <t>Wayesa</t>
  </si>
  <si>
    <t>dareemesfin17@gamil.com</t>
  </si>
  <si>
    <t>Meserat</t>
  </si>
  <si>
    <t>ofikoobeka2@gmail.com</t>
  </si>
  <si>
    <t>Tewade</t>
  </si>
  <si>
    <t>lama098346096@gmail.com</t>
  </si>
  <si>
    <t>sifenkebede0@gmail.com</t>
  </si>
  <si>
    <t>shibirugudina57@gmail.com</t>
  </si>
  <si>
    <t>Gudina</t>
  </si>
  <si>
    <t>adanechaademe18@gmail.com</t>
  </si>
  <si>
    <t>Ademe</t>
  </si>
  <si>
    <t>betytefera36@gmail.com</t>
  </si>
  <si>
    <t>Bethalihem</t>
  </si>
  <si>
    <t>gemechukolana@gmail.com</t>
  </si>
  <si>
    <t>jman09368@gmail.com</t>
  </si>
  <si>
    <t>Bantigen</t>
  </si>
  <si>
    <t>amartitadu@gmail.com</t>
  </si>
  <si>
    <t>Amrti</t>
  </si>
  <si>
    <t>munalizaraya@gmail.com</t>
  </si>
  <si>
    <t>Monaliza</t>
  </si>
  <si>
    <t>Abaraya</t>
  </si>
  <si>
    <t>n2329419@gmail.com</t>
  </si>
  <si>
    <t>hreta802@gmail.com</t>
  </si>
  <si>
    <t>beyenetsega685@gmail.com</t>
  </si>
  <si>
    <t>Tseganesh</t>
  </si>
  <si>
    <t>soresagetu5@gmail.com</t>
  </si>
  <si>
    <t>bashaa32@gmail.com</t>
  </si>
  <si>
    <t>Basha</t>
  </si>
  <si>
    <t>doyyomars@gmail.com</t>
  </si>
  <si>
    <t>Doyo</t>
  </si>
  <si>
    <t>Shifera</t>
  </si>
  <si>
    <t>feyo.tad2013@gmail.com</t>
  </si>
  <si>
    <t>keetiyeroon10@gmail.com</t>
  </si>
  <si>
    <t>Bidira</t>
  </si>
  <si>
    <t>wakumaderartu32@gmail.com</t>
  </si>
  <si>
    <t>Wakuma</t>
  </si>
  <si>
    <t>maqdiab@gmail.com</t>
  </si>
  <si>
    <t>Abule</t>
  </si>
  <si>
    <t>alemjohn8@gmail.com</t>
  </si>
  <si>
    <t>Alem</t>
  </si>
  <si>
    <t>dhugasabiru53@gmail.com</t>
  </si>
  <si>
    <t>Dugasa</t>
  </si>
  <si>
    <t>Biru</t>
  </si>
  <si>
    <t>ydiriba1@gmail.com</t>
  </si>
  <si>
    <t>Yobsan</t>
  </si>
  <si>
    <t>diribashiferaw529@gmail.com</t>
  </si>
  <si>
    <t>kidistfiseha18@gmail.com</t>
  </si>
  <si>
    <t>Fiseha</t>
  </si>
  <si>
    <t>nebiyuyonas27@gmail.com</t>
  </si>
  <si>
    <t>waktole</t>
  </si>
  <si>
    <t>kuonkhailechdawech@gmail.com</t>
  </si>
  <si>
    <t>Kuon</t>
  </si>
  <si>
    <t>Dawech</t>
  </si>
  <si>
    <t>1537seenaa@gmail.com</t>
  </si>
  <si>
    <t>pmgraphics2024@gmail.com</t>
  </si>
  <si>
    <t>misganutenaye@gmail.com</t>
  </si>
  <si>
    <t>Tenaye</t>
  </si>
  <si>
    <t>Misganu</t>
  </si>
  <si>
    <t>dagagaalamu2022@gmail.com</t>
  </si>
  <si>
    <t>ayeleg2005@gmail.com</t>
  </si>
  <si>
    <t>ibsakebeba60@gmail.com</t>
  </si>
  <si>
    <t>Deresa</t>
  </si>
  <si>
    <t>bacudaba1@gmail.com</t>
  </si>
  <si>
    <t>Bacu</t>
  </si>
  <si>
    <t>soresasoresa49@gmail.com</t>
  </si>
  <si>
    <t>Baisa</t>
  </si>
  <si>
    <t>getuaga623@gmail.com</t>
  </si>
  <si>
    <t>Aga</t>
  </si>
  <si>
    <t>jitujilcha34@gmail.com</t>
  </si>
  <si>
    <t>Jitu</t>
  </si>
  <si>
    <t>Jilcha</t>
  </si>
  <si>
    <t>fikirseb3@gemail.com</t>
  </si>
  <si>
    <t>lelisegemech86@gmail.com</t>
  </si>
  <si>
    <t>Lelise</t>
  </si>
  <si>
    <t>getachewmegertu@gmail.com</t>
  </si>
  <si>
    <t>Megertu</t>
  </si>
  <si>
    <t>ararsabedada@gmail.com</t>
  </si>
  <si>
    <t>diboraa81@gmail.com</t>
  </si>
  <si>
    <t>bachudaba24@gmail.com</t>
  </si>
  <si>
    <t>belibiranu@gmail.com</t>
  </si>
  <si>
    <t>Bilisa</t>
  </si>
  <si>
    <t>waqasakusa253@gmail.com</t>
  </si>
  <si>
    <t>Wakasa</t>
  </si>
  <si>
    <t>Kusa</t>
  </si>
  <si>
    <t>solomonfenet2@gmail.com</t>
  </si>
  <si>
    <t>gutuyonas@gmail.com</t>
  </si>
  <si>
    <t>Gutu</t>
  </si>
  <si>
    <t>wakumabulti417@gmail.com</t>
  </si>
  <si>
    <t>debelaseyum6@gmail.com</t>
  </si>
  <si>
    <t>Siyum</t>
  </si>
  <si>
    <t>obsumantesfew94@gmail.com</t>
  </si>
  <si>
    <t>Obsuman</t>
  </si>
  <si>
    <t>Tesfaw</t>
  </si>
  <si>
    <t>ttut549@gmail.com</t>
  </si>
  <si>
    <t>Duol</t>
  </si>
  <si>
    <t>Tut</t>
  </si>
  <si>
    <t>mamuchgatwechl@gmail.com</t>
  </si>
  <si>
    <t>Mamuch</t>
  </si>
  <si>
    <t>Getwech</t>
  </si>
  <si>
    <t>ttu549@gmail.com</t>
  </si>
  <si>
    <t>basleaels@gmail.com</t>
  </si>
  <si>
    <t>Basleael</t>
  </si>
  <si>
    <t>nardosmogesdebela777@gmail.com</t>
  </si>
  <si>
    <t>junioremice@gmail.com</t>
  </si>
  <si>
    <t>katamene6@gmail.com</t>
  </si>
  <si>
    <t>Kaseye</t>
  </si>
  <si>
    <t>gwaqo792@gmail.com</t>
  </si>
  <si>
    <t>Wakgari</t>
  </si>
  <si>
    <t>hailegebreailadane@gmail.com</t>
  </si>
  <si>
    <t>HGebreail</t>
  </si>
  <si>
    <t>negaselelise@gmail.com</t>
  </si>
  <si>
    <t>Negase</t>
  </si>
  <si>
    <t>ermiyashabtom1@gmail.com</t>
  </si>
  <si>
    <t>eleasgidisa2023@gmail.com</t>
  </si>
  <si>
    <t>Bontu</t>
  </si>
  <si>
    <t>esubalewwmaryiam@gmail.com</t>
  </si>
  <si>
    <t>Isubalew</t>
  </si>
  <si>
    <t>Wmaryiam</t>
  </si>
  <si>
    <t>azariyaadisu677@gmail.com</t>
  </si>
  <si>
    <t>Azariya</t>
  </si>
  <si>
    <t>bilogetacho96@gmail.com</t>
  </si>
  <si>
    <t>Bilise</t>
  </si>
  <si>
    <t>Getacho</t>
  </si>
  <si>
    <t>lalisazalaka@gmail.com</t>
  </si>
  <si>
    <t>wondimuhaile049@gmail.com</t>
  </si>
  <si>
    <t>dtesfaye937@gmail.com</t>
  </si>
  <si>
    <t>Damesa</t>
  </si>
  <si>
    <t>hannakebede44@gmail.com</t>
  </si>
  <si>
    <t>asegidewkasahun@gmail.com</t>
  </si>
  <si>
    <t>Asegidew</t>
  </si>
  <si>
    <t>tolchakebede8@gmail.com</t>
  </si>
  <si>
    <t>Tolcha</t>
  </si>
  <si>
    <t>Kebde</t>
  </si>
  <si>
    <t>kirubelfirdie206@gmail.com</t>
  </si>
  <si>
    <t>Gebreyesus</t>
  </si>
  <si>
    <t>teshomatadelech51@gmail.com</t>
  </si>
  <si>
    <t>Tadelech</t>
  </si>
  <si>
    <t>mansionkabba@gmail.com</t>
  </si>
  <si>
    <t>Manase</t>
  </si>
  <si>
    <t>Eliya</t>
  </si>
  <si>
    <t>heleng21@gmail.com</t>
  </si>
  <si>
    <t>Helen</t>
  </si>
  <si>
    <t>ruhamabirhanu941@gmail.com</t>
  </si>
  <si>
    <t>Bezabeh</t>
  </si>
  <si>
    <t>abiguliza@gmail.com</t>
  </si>
  <si>
    <t>mesfinmadonna@gmail.com</t>
  </si>
  <si>
    <t>Mesfin Guta</t>
  </si>
  <si>
    <t>morkatagetacho4@gmail.com</t>
  </si>
  <si>
    <t>Yisehak</t>
  </si>
  <si>
    <t>eftumengistu7@gmail.com</t>
  </si>
  <si>
    <t>Eftu</t>
  </si>
  <si>
    <t>danielasefa45@gmail.com</t>
  </si>
  <si>
    <t>taretilfikr@yahoo.com</t>
  </si>
  <si>
    <t>arsemaendalkachew22@gmail.com</t>
  </si>
  <si>
    <t>raheltemsgen809@gmail.com</t>
  </si>
  <si>
    <t>Temsgen</t>
  </si>
  <si>
    <t>netsikelbessa@gmail.com</t>
  </si>
  <si>
    <t>Netsanet</t>
  </si>
  <si>
    <t>Kalbessa</t>
  </si>
  <si>
    <t>mayaye4e@gmail.com</t>
  </si>
  <si>
    <t>bekimanworkie@gmail.com</t>
  </si>
  <si>
    <t>Mequant</t>
  </si>
  <si>
    <t>metigadisa2@gmail.com</t>
  </si>
  <si>
    <t>ephrata66@gmail.com</t>
  </si>
  <si>
    <t>Ephata</t>
  </si>
  <si>
    <t>melatgebre712@gmail.com</t>
  </si>
  <si>
    <t>teshomeelsa464@gmail.come</t>
  </si>
  <si>
    <t>bekelanegasu@gmail.com</t>
  </si>
  <si>
    <t>Negasu</t>
  </si>
  <si>
    <t>Bekela</t>
  </si>
  <si>
    <t>gutuyofetangutu@gmail.com</t>
  </si>
  <si>
    <t>Yofetan</t>
  </si>
  <si>
    <t>elsateshoma103@gmail.com</t>
  </si>
  <si>
    <t>ebadeblo92@gmail.com</t>
  </si>
  <si>
    <t>Deblo</t>
  </si>
  <si>
    <t>korsazalalem@gmail.com</t>
  </si>
  <si>
    <t>Korsa</t>
  </si>
  <si>
    <t>Zalalem</t>
  </si>
  <si>
    <t>tamirusena5@gmail.com</t>
  </si>
  <si>
    <t>oromtitijimmaa@gmail.com</t>
  </si>
  <si>
    <t>Oromtiti</t>
  </si>
  <si>
    <t>Jima</t>
  </si>
  <si>
    <t>suliymansuliymanmahammed@gmail.com</t>
  </si>
  <si>
    <t>Suleiman</t>
  </si>
  <si>
    <t>hawijossy7@gmail.com</t>
  </si>
  <si>
    <t>Haweni</t>
  </si>
  <si>
    <t>bernabasmuluneh@gmail.com</t>
  </si>
  <si>
    <t>Bernbas</t>
  </si>
  <si>
    <t>bekalaregasa@gmail.com</t>
  </si>
  <si>
    <t>naolpc0@gmail.com</t>
  </si>
  <si>
    <t>yadogag@gmail.com</t>
  </si>
  <si>
    <t>Yaadasa</t>
  </si>
  <si>
    <t>Gammada</t>
  </si>
  <si>
    <t>ebafekede246@gmail.com</t>
  </si>
  <si>
    <t>Fekeda</t>
  </si>
  <si>
    <t>lammiitarfaasaa@gmail.com</t>
  </si>
  <si>
    <t>Terfasa</t>
  </si>
  <si>
    <t>yusuf419@gmail.com</t>
  </si>
  <si>
    <t>Naima</t>
  </si>
  <si>
    <t>haromerga@gmail.com</t>
  </si>
  <si>
    <t>Mergitu</t>
  </si>
  <si>
    <t>Haro</t>
  </si>
  <si>
    <t>tesfuwakoya10@gmail.com</t>
  </si>
  <si>
    <t>Wakoya</t>
  </si>
  <si>
    <t>simalechimdessa@gmail.com</t>
  </si>
  <si>
    <t>Simale</t>
  </si>
  <si>
    <t>Chimdessa</t>
  </si>
  <si>
    <t>bentibacha243@gmail.com</t>
  </si>
  <si>
    <t>Benti</t>
  </si>
  <si>
    <t>tesgayatilahun@gmail.com</t>
  </si>
  <si>
    <t>Addisun</t>
  </si>
  <si>
    <t>Negesa</t>
  </si>
  <si>
    <t>meseret019@gmail.com</t>
  </si>
  <si>
    <t>bikiltuadimasu@gmail.com</t>
  </si>
  <si>
    <t>Adimasu</t>
  </si>
  <si>
    <t>megertuteshome07@gmail.com</t>
  </si>
  <si>
    <t>mitikehayilu77@gmail.com</t>
  </si>
  <si>
    <t>Mitike</t>
  </si>
  <si>
    <t>Hayilu</t>
  </si>
  <si>
    <t>genethabesha@vmail.com</t>
  </si>
  <si>
    <t>Genet</t>
  </si>
  <si>
    <t>soresadoro@gmail.com</t>
  </si>
  <si>
    <t>aliyemohammed49@gmail.com</t>
  </si>
  <si>
    <t>Aliye</t>
  </si>
  <si>
    <t>kebebushsiyumtolosa@gmail.com</t>
  </si>
  <si>
    <t>kebebush</t>
  </si>
  <si>
    <t>genetcala@gmail.com</t>
  </si>
  <si>
    <t>Cara</t>
  </si>
  <si>
    <t>negashnafilet@gmail.com</t>
  </si>
  <si>
    <t>Nafilet</t>
  </si>
  <si>
    <t>ketemaaga22@gmail.com</t>
  </si>
  <si>
    <t>hawinetijo24@gmail.comil.com</t>
  </si>
  <si>
    <t>Hawinet</t>
  </si>
  <si>
    <t>Ijo</t>
  </si>
  <si>
    <t>firomsisbiruk12@gmail.com</t>
  </si>
  <si>
    <t>Firomsis</t>
  </si>
  <si>
    <t>Burk</t>
  </si>
  <si>
    <t>z407960@gmail.com</t>
  </si>
  <si>
    <t>hundumagirma3@gmail.com</t>
  </si>
  <si>
    <t>Hunduma</t>
  </si>
  <si>
    <t>rikitaelias2@gmail.com</t>
  </si>
  <si>
    <t>Rikita</t>
  </si>
  <si>
    <t>lamesanatinael@gmail.com</t>
  </si>
  <si>
    <t>josihika2015@gmail.com</t>
  </si>
  <si>
    <t>Hika</t>
  </si>
  <si>
    <t>belaybelete190@gmail.com</t>
  </si>
  <si>
    <t>efaoathfufa@gmail.com</t>
  </si>
  <si>
    <t>belaysolmon245@gmail.com</t>
  </si>
  <si>
    <t>tfdabo@gmail.com</t>
  </si>
  <si>
    <t>Dabala</t>
  </si>
  <si>
    <t>Tafara</t>
  </si>
  <si>
    <t>gemachisgame@gmail.com</t>
  </si>
  <si>
    <t>Gemechis</t>
  </si>
  <si>
    <t>chalewiyasu@gmail.com</t>
  </si>
  <si>
    <t>Chalew</t>
  </si>
  <si>
    <t>asebna84@gmail.com</t>
  </si>
  <si>
    <t>Binayew</t>
  </si>
  <si>
    <t>ephy.winner@gmail.com</t>
  </si>
  <si>
    <t>soromewakjira556@gmail.com</t>
  </si>
  <si>
    <t>Sorome</t>
  </si>
  <si>
    <t>Wakjira</t>
  </si>
  <si>
    <t>ebaamanuel10@gmail.com</t>
  </si>
  <si>
    <t>efakayo2022@gmail.com</t>
  </si>
  <si>
    <t>leulehmm@gmail.com</t>
  </si>
  <si>
    <t>Seged</t>
  </si>
  <si>
    <t>belayneh13121964@gmail.com</t>
  </si>
  <si>
    <t>Gebremariam</t>
  </si>
  <si>
    <t>tegenulelise@gmail.com</t>
  </si>
  <si>
    <t>Tegenu</t>
  </si>
  <si>
    <t>gfikirte392@gmail.com</t>
  </si>
  <si>
    <t>Girma p</t>
  </si>
  <si>
    <t>derarajiregna2022@gmail.com</t>
  </si>
  <si>
    <t>Bonsa123</t>
  </si>
  <si>
    <t>ayesaewfilmproduction@gmail.com</t>
  </si>
  <si>
    <t>Ayesa</t>
  </si>
  <si>
    <t>Teketel</t>
  </si>
  <si>
    <t>daniadane06@gmail.com</t>
  </si>
  <si>
    <t>Jiregna</t>
  </si>
  <si>
    <t>dawitnuguse18@gmail.com</t>
  </si>
  <si>
    <t>habtamualemayehu000@gmail.com</t>
  </si>
  <si>
    <t>Haptamu</t>
  </si>
  <si>
    <t>Alemayew</t>
  </si>
  <si>
    <t>amenaf272@gmail.com</t>
  </si>
  <si>
    <t>tsega7@gmail.com</t>
  </si>
  <si>
    <t>TSEGA</t>
  </si>
  <si>
    <t>omegatamiru41@gmail.com</t>
  </si>
  <si>
    <t>Omega</t>
  </si>
  <si>
    <t>temesgenalebachew93@gmail.com</t>
  </si>
  <si>
    <t>Alebachew</t>
  </si>
  <si>
    <t>mengist.f@yahoo.com</t>
  </si>
  <si>
    <t>Fentahun</t>
  </si>
  <si>
    <t>Kindie</t>
  </si>
  <si>
    <t>latioro03@gmail.com</t>
  </si>
  <si>
    <t>abdikinfu397@gmail.com</t>
  </si>
  <si>
    <t>Kinfu</t>
  </si>
  <si>
    <t>abenezerworku10@gmail.com</t>
  </si>
  <si>
    <t>Werku</t>
  </si>
  <si>
    <t>natnael304@gmail.com</t>
  </si>
  <si>
    <t>NATNAEL</t>
  </si>
  <si>
    <t>wubitshemelese@gmail.com</t>
  </si>
  <si>
    <t>Wubalech</t>
  </si>
  <si>
    <t>Shimelis</t>
  </si>
  <si>
    <t>duretiabdurazek@gmail.com</t>
  </si>
  <si>
    <t>Dureti</t>
  </si>
  <si>
    <t>Abdurazek</t>
  </si>
  <si>
    <t>ashenafigutema@gmail.com</t>
  </si>
  <si>
    <t>fireweyinia@gmail.com</t>
  </si>
  <si>
    <t>Freweyini</t>
  </si>
  <si>
    <t>nejashanes05@gmail.com</t>
  </si>
  <si>
    <t>Ana's</t>
  </si>
  <si>
    <t>samibelay732@gmail.com</t>
  </si>
  <si>
    <t>sultanshemsu30@gmail.com</t>
  </si>
  <si>
    <t>Shemshu</t>
  </si>
  <si>
    <t>gultimoges@gmail.com</t>
  </si>
  <si>
    <t>Gulti</t>
  </si>
  <si>
    <t>henokamare45@gmail.com</t>
  </si>
  <si>
    <t>gudetalife@gmail.com</t>
  </si>
  <si>
    <t>Gurmessa</t>
  </si>
  <si>
    <t>ebifekede38@gmail.com</t>
  </si>
  <si>
    <t>Salamon</t>
  </si>
  <si>
    <t>Fekede</t>
  </si>
  <si>
    <t>leykunendale79@gmail.com</t>
  </si>
  <si>
    <t>eyoal@gmail.come</t>
  </si>
  <si>
    <t>Eyoele</t>
  </si>
  <si>
    <t>henizeze21@gmail.com</t>
  </si>
  <si>
    <t>kalkedan0316@gmail.com</t>
  </si>
  <si>
    <t>talilashumbe@gmail.com</t>
  </si>
  <si>
    <t>Telila</t>
  </si>
  <si>
    <t>Shumbe</t>
  </si>
  <si>
    <t>genethabesha@gmail.com</t>
  </si>
  <si>
    <t>turiurgessaa@gmail.com</t>
  </si>
  <si>
    <t>Turi</t>
  </si>
  <si>
    <t>Urgesa</t>
  </si>
  <si>
    <t>bayisederara@gmail.com</t>
  </si>
  <si>
    <t>Bayise</t>
  </si>
  <si>
    <t>dhiyanaedesa@gmail.com</t>
  </si>
  <si>
    <t>temesgen10@gmail.com</t>
  </si>
  <si>
    <t>maxamadapdy0@gmail.com</t>
  </si>
  <si>
    <t>Maxamad</t>
  </si>
  <si>
    <t>Apdy</t>
  </si>
  <si>
    <t>sedammawal@gmail.com</t>
  </si>
  <si>
    <t>Sedamm</t>
  </si>
  <si>
    <t>awal</t>
  </si>
  <si>
    <t>hassengeasm@gmail.com</t>
  </si>
  <si>
    <t>Hassen geas</t>
  </si>
  <si>
    <t>bamlakbarakiba@gmail.com</t>
  </si>
  <si>
    <t>Hayelom</t>
  </si>
  <si>
    <t>Baraki</t>
  </si>
  <si>
    <t>efremgashahun67@gmail.com</t>
  </si>
  <si>
    <t>Yada</t>
  </si>
  <si>
    <t>legastsegaye436@gmail.com</t>
  </si>
  <si>
    <t>Legas</t>
  </si>
  <si>
    <t>adtagesse12@gmail.com</t>
  </si>
  <si>
    <t>Adinaw</t>
  </si>
  <si>
    <t>Serigindo</t>
  </si>
  <si>
    <t>likesagurmessa@gmail.com</t>
  </si>
  <si>
    <t>Likesa</t>
  </si>
  <si>
    <t>halimetma@gmail.com</t>
  </si>
  <si>
    <t>Halimet</t>
  </si>
  <si>
    <t>Wodage</t>
  </si>
  <si>
    <t>ermiasmaz6@gmail.com</t>
  </si>
  <si>
    <t>Eskezia</t>
  </si>
  <si>
    <t>ketemaabera73@gmail.com</t>
  </si>
  <si>
    <t>genniderara@gmail.com</t>
  </si>
  <si>
    <t>alehegnzigale890@gmail.com</t>
  </si>
  <si>
    <t>Alehegn</t>
  </si>
  <si>
    <t>ABEJE</t>
  </si>
  <si>
    <t>lidiaadugnalidia@gmail.com</t>
  </si>
  <si>
    <t>Adunya</t>
  </si>
  <si>
    <t>roobinaf@gmail.com</t>
  </si>
  <si>
    <t>Robsan</t>
  </si>
  <si>
    <t>tsionpdn@gmail.com</t>
  </si>
  <si>
    <t>birituketema@gmail.com</t>
  </si>
  <si>
    <t>Biritu</t>
  </si>
  <si>
    <t>ketema</t>
  </si>
  <si>
    <t>lensakeba2023@gmail.com</t>
  </si>
  <si>
    <t>keba</t>
  </si>
  <si>
    <t>kefenialemu714@gmail.com</t>
  </si>
  <si>
    <t>Kefeni</t>
  </si>
  <si>
    <t>belinaderesa@gmail.com</t>
  </si>
  <si>
    <t>Belina</t>
  </si>
  <si>
    <t>lamessaolani@gmail.com</t>
  </si>
  <si>
    <t>Olani</t>
  </si>
  <si>
    <t>wabiikabbadaakoo@gmail.com</t>
  </si>
  <si>
    <t>Wabi</t>
  </si>
  <si>
    <t>btamane430@gmail.com</t>
  </si>
  <si>
    <t>Beniyam</t>
  </si>
  <si>
    <t>olieliyas13@gmail.com</t>
  </si>
  <si>
    <t>Oli</t>
  </si>
  <si>
    <t>fenettemesegen162@gmail.com</t>
  </si>
  <si>
    <t>lidyadebebe4@gmail.com</t>
  </si>
  <si>
    <t>likasaabera1@gmail.com</t>
  </si>
  <si>
    <t>Likisa</t>
  </si>
  <si>
    <t>abdiasfaw989@gmail.com</t>
  </si>
  <si>
    <t>asresashasefa@gmail.com</t>
  </si>
  <si>
    <t>Asresash</t>
  </si>
  <si>
    <t>sinan792024@gmail.com</t>
  </si>
  <si>
    <t>megersa</t>
  </si>
  <si>
    <t>yisihakderejewelda407@gmail.com</t>
  </si>
  <si>
    <t>Yeseak</t>
  </si>
  <si>
    <t>esuendalemeseret83@gmail.com</t>
  </si>
  <si>
    <t>Esuendale</t>
  </si>
  <si>
    <t>jalanesolomon54@gmail.com</t>
  </si>
  <si>
    <t>Jalane</t>
  </si>
  <si>
    <t>mitiku</t>
  </si>
  <si>
    <t>fasiloomulatuu@gmail.com</t>
  </si>
  <si>
    <t>Fasil</t>
  </si>
  <si>
    <t>samuelzenaa@gmail.com</t>
  </si>
  <si>
    <t>Zena</t>
  </si>
  <si>
    <t>bethlehemnegash46@gmail.com</t>
  </si>
  <si>
    <t>Betelihem</t>
  </si>
  <si>
    <t>poogo83@gmail.com</t>
  </si>
  <si>
    <t>Dera</t>
  </si>
  <si>
    <t>obsejohn992@gmail.com</t>
  </si>
  <si>
    <t>debimulatu4@gmail.com</t>
  </si>
  <si>
    <t>Debi</t>
  </si>
  <si>
    <t>heyredinizeynebi@gmail.com</t>
  </si>
  <si>
    <t>Zeynebi</t>
  </si>
  <si>
    <t>tomastemesgen084@gmail.com</t>
  </si>
  <si>
    <t>sinabenti63@gmail.com</t>
  </si>
  <si>
    <t>Gelane</t>
  </si>
  <si>
    <t>mhana5876@gmail.com</t>
  </si>
  <si>
    <t>abiibisrat973@gmail.com</t>
  </si>
  <si>
    <t>tamuwage@gmail.com</t>
  </si>
  <si>
    <t>Gobena</t>
  </si>
  <si>
    <t>firaolmulatu66@gmail.com</t>
  </si>
  <si>
    <t>hinko8abdi@gmail.com</t>
  </si>
  <si>
    <t>Hinkosa</t>
  </si>
  <si>
    <t>yohaannishailuelias09@gmail.com</t>
  </si>
  <si>
    <t>dejenekookeet@gmail.com</t>
  </si>
  <si>
    <t>Marsimoy</t>
  </si>
  <si>
    <t>amaneynatey@gmail.com</t>
  </si>
  <si>
    <t>littledahlak@gmail.com</t>
  </si>
  <si>
    <t>Danayt</t>
  </si>
  <si>
    <t>Kalayu</t>
  </si>
  <si>
    <t>adamualemu4@gmail.com</t>
  </si>
  <si>
    <t>lidiyaephemera@gmail.com</t>
  </si>
  <si>
    <t>Ephemera</t>
  </si>
  <si>
    <t>yabetsalemayehu3@gmail.com</t>
  </si>
  <si>
    <t>chemedahambisa1@gmail.com</t>
  </si>
  <si>
    <t>Chemeda</t>
  </si>
  <si>
    <t>Hambisa</t>
  </si>
  <si>
    <t>fayolbusmn@gmail.com</t>
  </si>
  <si>
    <t>toloderesgetew0910@gmail.com</t>
  </si>
  <si>
    <t>mulatu</t>
  </si>
  <si>
    <t>kuzi9674@gmail.com</t>
  </si>
  <si>
    <t>Bekabil</t>
  </si>
  <si>
    <t>mahdermatewos538@gmail.com</t>
  </si>
  <si>
    <t>Mahider</t>
  </si>
  <si>
    <t>Mathios</t>
  </si>
  <si>
    <t>firaolbacha55@gmail.com</t>
  </si>
  <si>
    <t>yanetbekele8@gmail.com</t>
  </si>
  <si>
    <t>Yanet</t>
  </si>
  <si>
    <t>oromiyaaoromtittii2@mail.com</t>
  </si>
  <si>
    <t>abduoliyad@gmail.com</t>
  </si>
  <si>
    <t>nanesabayene@gmail.com</t>
  </si>
  <si>
    <t>Nanesa</t>
  </si>
  <si>
    <t>Bayena</t>
  </si>
  <si>
    <t>edomteshale41@gmail.com</t>
  </si>
  <si>
    <t>obsanofiif21@gmail.com</t>
  </si>
  <si>
    <t>samuelmesfin000@gmail.com</t>
  </si>
  <si>
    <t>markosemiru6@gmail.com</t>
  </si>
  <si>
    <t>Markos</t>
  </si>
  <si>
    <t>Emiru</t>
  </si>
  <si>
    <t>modelmetiteferi@gmail.com</t>
  </si>
  <si>
    <t>sinafadugna@gmail.com</t>
  </si>
  <si>
    <t>Sinaf</t>
  </si>
  <si>
    <t>adisumise@gmail.com</t>
  </si>
  <si>
    <t>Misera</t>
  </si>
  <si>
    <t>bethel0721@gmail.com</t>
  </si>
  <si>
    <t>Fikre</t>
  </si>
  <si>
    <t>lalisaaraba@gmail.com</t>
  </si>
  <si>
    <t>Alamu</t>
  </si>
  <si>
    <t>tilayekindie45@gmail.com</t>
  </si>
  <si>
    <t>TILAYE</t>
  </si>
  <si>
    <t>KINDIE</t>
  </si>
  <si>
    <t>mesfin56@gmail.com</t>
  </si>
  <si>
    <t>MESFIN</t>
  </si>
  <si>
    <t>BIRE</t>
  </si>
  <si>
    <t>ezezsolomonferede@gmail.com</t>
  </si>
  <si>
    <t>Ezez</t>
  </si>
  <si>
    <t>derejekebede0909@gmail.com</t>
  </si>
  <si>
    <t>kebede</t>
  </si>
  <si>
    <t>setargemulgeta@gmail.com</t>
  </si>
  <si>
    <t>Mulgeta</t>
  </si>
  <si>
    <t>Setarge</t>
  </si>
  <si>
    <t>binyammebratu.@gmail.com</t>
  </si>
  <si>
    <t>geletatesema475@gmail.com</t>
  </si>
  <si>
    <t>Geleta</t>
  </si>
  <si>
    <t>kinfukasahun@gmail.com</t>
  </si>
  <si>
    <t>yadesadejene34@gmail.com</t>
  </si>
  <si>
    <t>hordofa</t>
  </si>
  <si>
    <t>makuragetachew@gmail.com</t>
  </si>
  <si>
    <t>Makura</t>
  </si>
  <si>
    <t>tolesagemechu@gmail.com</t>
  </si>
  <si>
    <t>asukomule@gmail.com</t>
  </si>
  <si>
    <t>Asuko</t>
  </si>
  <si>
    <t>Mule</t>
  </si>
  <si>
    <t>asefabenya@gmail.com</t>
  </si>
  <si>
    <t>Benya</t>
  </si>
  <si>
    <t>naniteme40@gmail.com</t>
  </si>
  <si>
    <t>Nani</t>
  </si>
  <si>
    <t>Teme</t>
  </si>
  <si>
    <t>kumsashashe@gmail.com</t>
  </si>
  <si>
    <t>Shashe</t>
  </si>
  <si>
    <t>yonasgurmu03@gmail.com</t>
  </si>
  <si>
    <t>Gurmu</t>
  </si>
  <si>
    <t>chalaterfasa2021@gmail.com</t>
  </si>
  <si>
    <t>mesfinlula992@gmail.com</t>
  </si>
  <si>
    <t>Lula</t>
  </si>
  <si>
    <t>chalaterfasa20@gmail.com</t>
  </si>
  <si>
    <t>Tirfesa</t>
  </si>
  <si>
    <t>helenmerga6@gmail.com</t>
  </si>
  <si>
    <t>sisaybemnet738@gmail.com</t>
  </si>
  <si>
    <t>gadisaurgecha2@gmail.com</t>
  </si>
  <si>
    <t>Urgecha</t>
  </si>
  <si>
    <t>aregabelay07@gmail.com</t>
  </si>
  <si>
    <t>haweraguluma@gmail.com</t>
  </si>
  <si>
    <t>Hawera</t>
  </si>
  <si>
    <t>waseasefa81@gmail.com</t>
  </si>
  <si>
    <t>Wase</t>
  </si>
  <si>
    <t>ademabeba6@gmail.com</t>
  </si>
  <si>
    <t>lamesa430olani@gmail.com</t>
  </si>
  <si>
    <t>Lemmesa</t>
  </si>
  <si>
    <t>abelyeka800@gmail.com</t>
  </si>
  <si>
    <t>Yeka</t>
  </si>
  <si>
    <t>fufalegese63@gmail.com</t>
  </si>
  <si>
    <t>dejeneheran87@gmail.com</t>
  </si>
  <si>
    <t>Heran</t>
  </si>
  <si>
    <t>olanihana13@gmail.com</t>
  </si>
  <si>
    <t>Eswatini</t>
  </si>
  <si>
    <t>bogaleisayas@gmail.com</t>
  </si>
  <si>
    <t>Isayas</t>
  </si>
  <si>
    <t>adanehawera94@gmail.com</t>
  </si>
  <si>
    <t>mogesagos@gmail.com</t>
  </si>
  <si>
    <t>Agos</t>
  </si>
  <si>
    <t>letanegera4@gmail.com</t>
  </si>
  <si>
    <t>negera</t>
  </si>
  <si>
    <t>teshomabiniyam939@gmail.com</t>
  </si>
  <si>
    <t>1lej4al3gel@gmail.com</t>
  </si>
  <si>
    <t>Lijaalem</t>
  </si>
  <si>
    <t>Alamayo</t>
  </si>
  <si>
    <t>gurmesachalchisa750@gmail.com</t>
  </si>
  <si>
    <t>Gurmesa</t>
  </si>
  <si>
    <t>debisanhabte@gmail.com</t>
  </si>
  <si>
    <t>melkamukasa06@gmail.com</t>
  </si>
  <si>
    <t>Kasa</t>
  </si>
  <si>
    <t>ebagutema430@gmail.com</t>
  </si>
  <si>
    <t>fekadumekonen20@gmail.com</t>
  </si>
  <si>
    <t>wakto685@gmail.com</t>
  </si>
  <si>
    <t>Waktole</t>
  </si>
  <si>
    <t>bokore</t>
  </si>
  <si>
    <t>dhugaafufaa3030@gmail.com</t>
  </si>
  <si>
    <t>ktayeurga@gmail.com</t>
  </si>
  <si>
    <t>ganatalemu7@gmail.com</t>
  </si>
  <si>
    <t>Ganat</t>
  </si>
  <si>
    <t>satolasagu@gmail.com</t>
  </si>
  <si>
    <t>Tolasa</t>
  </si>
  <si>
    <t>aymu1177@gmail.com</t>
  </si>
  <si>
    <t>Naod</t>
  </si>
  <si>
    <t>neipoh25@gmail.com</t>
  </si>
  <si>
    <t>aberadaba61@gmail.com</t>
  </si>
  <si>
    <t>abelnigussie1621@gmail.com</t>
  </si>
  <si>
    <t>Niguse</t>
  </si>
  <si>
    <t>lenchoabdsa05@gmail.com</t>
  </si>
  <si>
    <t>abfilmproductionab@gmail.com</t>
  </si>
  <si>
    <t>beehani446@gmail.com</t>
  </si>
  <si>
    <t>damtoabdisa3081@gmail.com</t>
  </si>
  <si>
    <t>Damto</t>
  </si>
  <si>
    <t>abdisameti798@gmail.com</t>
  </si>
  <si>
    <t>tesfamoke@gmail.com</t>
  </si>
  <si>
    <t>lucygezahagnlucy@gmail.com</t>
  </si>
  <si>
    <t>Lucy</t>
  </si>
  <si>
    <t>olifanfikadu495@gmail.com</t>
  </si>
  <si>
    <t>Olifan</t>
  </si>
  <si>
    <t>alexsatesfaye@gmail.com</t>
  </si>
  <si>
    <t>Alex</t>
  </si>
  <si>
    <t>bitaniyatamene@gmail.com</t>
  </si>
  <si>
    <t>mergadilgasa@gmail.com</t>
  </si>
  <si>
    <t>sitrunuru2@gmail.com</t>
  </si>
  <si>
    <t>Sitra</t>
  </si>
  <si>
    <t>Nuru</t>
  </si>
  <si>
    <t>naodtamene80@gmail.com</t>
  </si>
  <si>
    <t>kunonagra0@gmail.com</t>
  </si>
  <si>
    <t>Kuno</t>
  </si>
  <si>
    <t>Negera</t>
  </si>
  <si>
    <t>misganabluespark@gmail.com</t>
  </si>
  <si>
    <t>Misgana</t>
  </si>
  <si>
    <t>sonborognogeda@gmail.com</t>
  </si>
  <si>
    <t>Geda</t>
  </si>
  <si>
    <t>Sonborogno</t>
  </si>
  <si>
    <t>roberasefu10@gmail.com</t>
  </si>
  <si>
    <t>abdisa062@gmail.com</t>
  </si>
  <si>
    <t>gashawudaraje@gmail.com</t>
  </si>
  <si>
    <t>nigusiegemechu23@gmail.com</t>
  </si>
  <si>
    <t>naolmesfin04@gmail.com</t>
  </si>
  <si>
    <t>tolerateda@gmail.com</t>
  </si>
  <si>
    <t>Tokicho</t>
  </si>
  <si>
    <t>abiesisay1969@gmail.com</t>
  </si>
  <si>
    <t>Abie</t>
  </si>
  <si>
    <t>robelgetahun69@gmail.com</t>
  </si>
  <si>
    <t>kmesfin67@gmail.com</t>
  </si>
  <si>
    <t>teruhope2021@gmail.com</t>
  </si>
  <si>
    <t>kebeneworkina5@gmail.com</t>
  </si>
  <si>
    <t>Kebene</t>
  </si>
  <si>
    <t>Werkina</t>
  </si>
  <si>
    <t>lenchosileshi3@gmail.com</t>
  </si>
  <si>
    <t>Seleshi</t>
  </si>
  <si>
    <t>lidiamarqos@gmail.com</t>
  </si>
  <si>
    <t>mathewosfekadu38@gmail.com</t>
  </si>
  <si>
    <t>Mathewos</t>
  </si>
  <si>
    <t>nadimekonen12@gmail.com</t>
  </si>
  <si>
    <t>Nadi</t>
  </si>
  <si>
    <t>kenabadhsaasaa@gmail.com</t>
  </si>
  <si>
    <t>muntehakajela@gmail.com</t>
  </si>
  <si>
    <t>Muntena</t>
  </si>
  <si>
    <t>Kajela</t>
  </si>
  <si>
    <t>fevendesalegn11@gmail.com</t>
  </si>
  <si>
    <t>jamalrihana3@gmail.com</t>
  </si>
  <si>
    <t>boontuuqaabataa@gmail.com</t>
  </si>
  <si>
    <t>Kebata</t>
  </si>
  <si>
    <t>sqbisil@gmail.com</t>
  </si>
  <si>
    <t>kitessajohn057@gmail.com</t>
  </si>
  <si>
    <t>Kitessa</t>
  </si>
  <si>
    <t>fekaduhirut177@gmail.com</t>
  </si>
  <si>
    <t>Hirut</t>
  </si>
  <si>
    <t>dawitamare041@gmail.com</t>
  </si>
  <si>
    <t>skebede159@gmail.com</t>
  </si>
  <si>
    <t>Yemer</t>
  </si>
  <si>
    <t>gadisaf40@gmail.com</t>
  </si>
  <si>
    <t>kennaamargaa1@gmail.com</t>
  </si>
  <si>
    <t>atonathanan@gmail.com</t>
  </si>
  <si>
    <t>Nathanan</t>
  </si>
  <si>
    <t>gemebulto@4gmail.com</t>
  </si>
  <si>
    <t>Game</t>
  </si>
  <si>
    <t>Bulto</t>
  </si>
  <si>
    <t>orodarara71@gmail.com</t>
  </si>
  <si>
    <t>Zeude</t>
  </si>
  <si>
    <t>ayantubekele@958gmail.com</t>
  </si>
  <si>
    <t>derarawekgari@gmail.com</t>
  </si>
  <si>
    <t>Wekgari</t>
  </si>
  <si>
    <t>bekelchafituma@gmail.com</t>
  </si>
  <si>
    <t>Bakalcha</t>
  </si>
  <si>
    <t>Fituma</t>
  </si>
  <si>
    <t>jaalalgeetaachoo@gmail.com</t>
  </si>
  <si>
    <t>waangariiwakshuma@gmail.com</t>
  </si>
  <si>
    <t>Wegari</t>
  </si>
  <si>
    <t>Wakshuma</t>
  </si>
  <si>
    <t>sifan8659@gmail.com</t>
  </si>
  <si>
    <t>Sifen</t>
  </si>
  <si>
    <t>mubareksiraj76@gmail.com</t>
  </si>
  <si>
    <t>liinagudeta@gmail.com</t>
  </si>
  <si>
    <t>gadisaadabalii@gmail.com</t>
  </si>
  <si>
    <t>Debeli</t>
  </si>
  <si>
    <t>ababobilata@gmail.com</t>
  </si>
  <si>
    <t>Ababo</t>
  </si>
  <si>
    <t>Bilata</t>
  </si>
  <si>
    <t>segnikebede430@gmail.com</t>
  </si>
  <si>
    <t>Sengi</t>
  </si>
  <si>
    <t>amenateferi70@gmail.com</t>
  </si>
  <si>
    <t>soretiageri@gmail.com</t>
  </si>
  <si>
    <t>Soreti</t>
  </si>
  <si>
    <t>Ageri</t>
  </si>
  <si>
    <t>hewiawraris061@gmail.com</t>
  </si>
  <si>
    <t>Hewan</t>
  </si>
  <si>
    <t>Awraris</t>
  </si>
  <si>
    <t>ebsayonas@yahoo.com</t>
  </si>
  <si>
    <t>abdimok430@gmail.com</t>
  </si>
  <si>
    <t>yohannisbirhanu30@gmail.com</t>
  </si>
  <si>
    <t>Brihanu</t>
  </si>
  <si>
    <t>abenezertekalign12@gmail.com</t>
  </si>
  <si>
    <t>Tekalign Demeke</t>
  </si>
  <si>
    <t>firaoltesfaye1556@gmail.com</t>
  </si>
  <si>
    <t>diribachalu@gmail.com</t>
  </si>
  <si>
    <t>sisayderebsa@gmail.com</t>
  </si>
  <si>
    <t>Derebsa</t>
  </si>
  <si>
    <t>danygirma011@gmail.com</t>
  </si>
  <si>
    <t>Dani</t>
  </si>
  <si>
    <t>nabektemesgen@gmail.com</t>
  </si>
  <si>
    <t>Nabek</t>
  </si>
  <si>
    <t>abelchala1234@gmail.com</t>
  </si>
  <si>
    <t>nanatimohammed4@gmail.com</t>
  </si>
  <si>
    <t>Nanati</t>
  </si>
  <si>
    <t>tolesatesfa2025@gmail.com</t>
  </si>
  <si>
    <t>eskiyastafase@gmail.com</t>
  </si>
  <si>
    <t>Eskiyas</t>
  </si>
  <si>
    <t>Tafase</t>
  </si>
  <si>
    <t>yrgalemkidanemariam@gmail.com</t>
  </si>
  <si>
    <t>Yrgalem</t>
  </si>
  <si>
    <t>nafiromfikadu@gmail.com</t>
  </si>
  <si>
    <t>filadu</t>
  </si>
  <si>
    <t>lemisire3@gmail.com</t>
  </si>
  <si>
    <t>Abdulamid</t>
  </si>
  <si>
    <t>Abrahim</t>
  </si>
  <si>
    <t>Non binary</t>
  </si>
  <si>
    <t>jiraataaawwaaqii@gmail.com</t>
  </si>
  <si>
    <t>Hawaki</t>
  </si>
  <si>
    <t>yadgashahun07@gmail.com</t>
  </si>
  <si>
    <t>Efrem</t>
  </si>
  <si>
    <t>Gashawu</t>
  </si>
  <si>
    <t>hawineb14@gamil.com</t>
  </si>
  <si>
    <t>Nabiyu</t>
  </si>
  <si>
    <t>gammachuduguma37@gmail.com</t>
  </si>
  <si>
    <t>Duguma</t>
  </si>
  <si>
    <t>daniyodechasa@gamil.com</t>
  </si>
  <si>
    <t>biliseregasa2020@gmail.com</t>
  </si>
  <si>
    <t>amanueltesgera1@gmail.com</t>
  </si>
  <si>
    <t>Tesgera</t>
  </si>
  <si>
    <t>frealemgashahun@gmail.com</t>
  </si>
  <si>
    <t>Frealem</t>
  </si>
  <si>
    <t>Gashahun</t>
  </si>
  <si>
    <t>gezalihusein@gmail.com</t>
  </si>
  <si>
    <t>Gezali</t>
  </si>
  <si>
    <t>keyllen21@gmail.com</t>
  </si>
  <si>
    <t>Negasi</t>
  </si>
  <si>
    <t>nemeranobel13@gmail.com</t>
  </si>
  <si>
    <t>Nobel</t>
  </si>
  <si>
    <t>belinamelaku2010@gmail.com</t>
  </si>
  <si>
    <t>dagimguteta2151@gmail.com</t>
  </si>
  <si>
    <t>ayanehabtamu493@gmail.com</t>
  </si>
  <si>
    <t>Ayane</t>
  </si>
  <si>
    <t>iftulechisa@gmail.com</t>
  </si>
  <si>
    <t>Diribe</t>
  </si>
  <si>
    <t>Lachisa</t>
  </si>
  <si>
    <t>metiasefa76@gamil.com</t>
  </si>
  <si>
    <t>tolewaakteessoo@gmail.com</t>
  </si>
  <si>
    <t>Tolewak</t>
  </si>
  <si>
    <t>Teso</t>
  </si>
  <si>
    <t>chaligeneti@gmail.com</t>
  </si>
  <si>
    <t>Geneti</t>
  </si>
  <si>
    <t>tesfad47@gmail.com</t>
  </si>
  <si>
    <t>lalisegemech86@gmail.com</t>
  </si>
  <si>
    <t>Lili</t>
  </si>
  <si>
    <t>Geme</t>
  </si>
  <si>
    <t>degefuaman@gmail.com</t>
  </si>
  <si>
    <t>Aman</t>
  </si>
  <si>
    <t>Degefu</t>
  </si>
  <si>
    <t>gebrameskelyafet@gmail.com</t>
  </si>
  <si>
    <t>Gebra</t>
  </si>
  <si>
    <t>gadisabirhanu057@gmail.com</t>
  </si>
  <si>
    <t>kidanehailua@gmail.com</t>
  </si>
  <si>
    <t>moyibonhindarge@gmail.com</t>
  </si>
  <si>
    <t>Moyibon</t>
  </si>
  <si>
    <t>Hindarge</t>
  </si>
  <si>
    <t>galmokalicha@gmail.com</t>
  </si>
  <si>
    <t>Galmo</t>
  </si>
  <si>
    <t>Kalicha</t>
  </si>
  <si>
    <t>kediri13@gmail.comp</t>
  </si>
  <si>
    <t>bikila547@gmail.com</t>
  </si>
  <si>
    <t>Inkosa</t>
  </si>
  <si>
    <t>lensafeleka@gmail.com</t>
  </si>
  <si>
    <t>Feleka</t>
  </si>
  <si>
    <t>robaejeta6@gmail.com</t>
  </si>
  <si>
    <t>Ejeta</t>
  </si>
  <si>
    <t>welelignkalkidan@gmail.com</t>
  </si>
  <si>
    <t>Welelign</t>
  </si>
  <si>
    <t>bikilafekede34@gmail.com</t>
  </si>
  <si>
    <t>bikiladaba123@gmail.com</t>
  </si>
  <si>
    <t>gemachisteshoma92@gmail.com</t>
  </si>
  <si>
    <t>Teshom</t>
  </si>
  <si>
    <t>adugnachimdesa2025@gmail.com</t>
  </si>
  <si>
    <t>Chimdesa</t>
  </si>
  <si>
    <t>gmleta@gmail.com</t>
  </si>
  <si>
    <t>yobsandiro14@gmail.com</t>
  </si>
  <si>
    <t>diro</t>
  </si>
  <si>
    <t>demisemesay@gmail.com</t>
  </si>
  <si>
    <t>demise</t>
  </si>
  <si>
    <t>danieltadese900@gmail.com</t>
  </si>
  <si>
    <t>Degefa</t>
  </si>
  <si>
    <t>solomonzarihun22@gmail.com</t>
  </si>
  <si>
    <t>Zarihun</t>
  </si>
  <si>
    <t>soromewakjira0@gmail.com</t>
  </si>
  <si>
    <t>revalriesrt@gmail.com</t>
  </si>
  <si>
    <t>Abduljewad</t>
  </si>
  <si>
    <t>haptamudani@gmail.com</t>
  </si>
  <si>
    <t>dawitdafar4d4@gmail.com</t>
  </si>
  <si>
    <t>Aboma</t>
  </si>
  <si>
    <t>Dafar</t>
  </si>
  <si>
    <t>yobsanabebe2020@gmail.com</t>
  </si>
  <si>
    <t>modelmeteferi@gmail.com</t>
  </si>
  <si>
    <t>Tefari</t>
  </si>
  <si>
    <t>meseretg872@gmail.com</t>
  </si>
  <si>
    <t>keneabontu2@gmail.com</t>
  </si>
  <si>
    <t>kiyafufa@gmail.com</t>
  </si>
  <si>
    <t>amanielbrhane1416@gmail.com</t>
  </si>
  <si>
    <t>AMANIEL</t>
  </si>
  <si>
    <t>HAILE</t>
  </si>
  <si>
    <t>nebilabdela33@gmail.com</t>
  </si>
  <si>
    <t>nebil</t>
  </si>
  <si>
    <t>rahmeto</t>
  </si>
  <si>
    <t>csoboksa@gmail.com</t>
  </si>
  <si>
    <t>Seboksa</t>
  </si>
  <si>
    <t>natii0237@gmail.com</t>
  </si>
  <si>
    <t>Mersha</t>
  </si>
  <si>
    <t>Wayecha</t>
  </si>
  <si>
    <t>maregntemesgenhamda@gmail.com</t>
  </si>
  <si>
    <t>Amda</t>
  </si>
  <si>
    <t>miltoo526@gmail.com</t>
  </si>
  <si>
    <t>Bersen</t>
  </si>
  <si>
    <t>Mekonon</t>
  </si>
  <si>
    <t>abateasefa605@gmail.com</t>
  </si>
  <si>
    <t>lensulensa1@gmail.com</t>
  </si>
  <si>
    <t>medanitabera01@gmail.com</t>
  </si>
  <si>
    <t>Medanit</t>
  </si>
  <si>
    <t>jabessataressa97@gmail.com</t>
  </si>
  <si>
    <t>Jabesa</t>
  </si>
  <si>
    <t>Taresa</t>
  </si>
  <si>
    <t>amankefale5@gmail.com</t>
  </si>
  <si>
    <t>herandaribe@gmail.com</t>
  </si>
  <si>
    <t>Deribe</t>
  </si>
  <si>
    <t>alemunigusse5@gmail.com</t>
  </si>
  <si>
    <t>kumanugusu123@gmail.com</t>
  </si>
  <si>
    <t>Kuma</t>
  </si>
  <si>
    <t>meskaramtesfase@gmail.com</t>
  </si>
  <si>
    <t>Tefase</t>
  </si>
  <si>
    <t>hayatedinh@gmail.come</t>
  </si>
  <si>
    <t>Hayatadin</t>
  </si>
  <si>
    <t>Usen</t>
  </si>
  <si>
    <t>zamanuelentertainment@gmail.com</t>
  </si>
  <si>
    <t>wubetu</t>
  </si>
  <si>
    <t>medialoko9@gmail.com</t>
  </si>
  <si>
    <t>Direba</t>
  </si>
  <si>
    <t>mershachaltu@gmail.com</t>
  </si>
  <si>
    <t>Chaltu</t>
  </si>
  <si>
    <t>danielsinbo381@gmail.com</t>
  </si>
  <si>
    <t>caalayaadasaa@gmail.com</t>
  </si>
  <si>
    <t>chalaaddisu12@gmail.com</t>
  </si>
  <si>
    <t>habtamuboke@gmail.com</t>
  </si>
  <si>
    <t>Boke</t>
  </si>
  <si>
    <t>abaybontu755@gmail.com</t>
  </si>
  <si>
    <t>ofifanw@gmail.com</t>
  </si>
  <si>
    <t>Ofifan</t>
  </si>
  <si>
    <t>Wakwaya</t>
  </si>
  <si>
    <t>bachasayyoo@gmail.com</t>
  </si>
  <si>
    <t>yadasa</t>
  </si>
  <si>
    <t>wandufeyisa@gmail.com</t>
  </si>
  <si>
    <t>Wandu</t>
  </si>
  <si>
    <t>alemudereje31@gmail.com</t>
  </si>
  <si>
    <t>ferhwesenty@gmail.com</t>
  </si>
  <si>
    <t>Ferehiwot</t>
  </si>
  <si>
    <t>sintayew</t>
  </si>
  <si>
    <t>kumechala33@gmail.com</t>
  </si>
  <si>
    <t>Kumeshi</t>
  </si>
  <si>
    <t>eyerusalem.maru68@gmail.com</t>
  </si>
  <si>
    <t>ebisaijigu7@gmail.com</t>
  </si>
  <si>
    <t>Ijigu</t>
  </si>
  <si>
    <t>oftanenusdassie@gmail.com</t>
  </si>
  <si>
    <t>Oftanenus</t>
  </si>
  <si>
    <t>Dassie</t>
  </si>
  <si>
    <t>bachayd2@gmail.com</t>
  </si>
  <si>
    <t>fikadusifan911@gmail.com</t>
  </si>
  <si>
    <t>gadissako21@gmail.com</t>
  </si>
  <si>
    <t>Oromia</t>
  </si>
  <si>
    <t>adugnagudina3@gmail.com</t>
  </si>
  <si>
    <t>dugobedada7@gmail.com</t>
  </si>
  <si>
    <t>Dhugo</t>
  </si>
  <si>
    <t>endalewushiferaw16@gmail.com</t>
  </si>
  <si>
    <t>Shifaraw</t>
  </si>
  <si>
    <t>jiregnagurmesa78@gmail.com</t>
  </si>
  <si>
    <t>feteneworku19@gmail.com</t>
  </si>
  <si>
    <t>Fantane</t>
  </si>
  <si>
    <t>derartugizaw43@gmail.com</t>
  </si>
  <si>
    <t>aberagutu033@gmail.com</t>
  </si>
  <si>
    <t>nasirkenea56@gmail.com</t>
  </si>
  <si>
    <t>abinethabte88@gemail.com</t>
  </si>
  <si>
    <t>Hapte</t>
  </si>
  <si>
    <t>netsanetregu@gmail.com</t>
  </si>
  <si>
    <t>Regu</t>
  </si>
  <si>
    <t>hundebikiltu421@gmail.com</t>
  </si>
  <si>
    <t>frihiwotebirhanu2009@gmail.com</t>
  </si>
  <si>
    <t>Brahanu</t>
  </si>
  <si>
    <t>samuelteshome@yahoo.com</t>
  </si>
  <si>
    <t>habtamgashye12@gmail.com</t>
  </si>
  <si>
    <t>Gashaye</t>
  </si>
  <si>
    <t>tarikuworkineh100@gmail.com</t>
  </si>
  <si>
    <t>Werkine</t>
  </si>
  <si>
    <t>wubyee23@gmail.com</t>
  </si>
  <si>
    <t>Wubayew</t>
  </si>
  <si>
    <t>workuamanu@gmail.com</t>
  </si>
  <si>
    <t>mulishtadesse2022@gmail.com</t>
  </si>
  <si>
    <t>Mulisa</t>
  </si>
  <si>
    <t>wedajoletarik@gmail.com</t>
  </si>
  <si>
    <t>Letarik</t>
  </si>
  <si>
    <t>Wedajo</t>
  </si>
  <si>
    <t>fenchmoke@gmail.com</t>
  </si>
  <si>
    <t>hanamekuria42@gmail.com</t>
  </si>
  <si>
    <t>hamzayusufosman@gmail.com</t>
  </si>
  <si>
    <t>Hamza</t>
  </si>
  <si>
    <t>Yusuf Osman</t>
  </si>
  <si>
    <t>mahaletadush@gmail.com</t>
  </si>
  <si>
    <t>Mahalet</t>
  </si>
  <si>
    <t>Adush</t>
  </si>
  <si>
    <t>hana18@gmail.com</t>
  </si>
  <si>
    <t>teferikerubel@gmail.com</t>
  </si>
  <si>
    <t>Kerubel</t>
  </si>
  <si>
    <t>mhe12@gmail.com</t>
  </si>
  <si>
    <t>redajr_6578@gmail.com</t>
  </si>
  <si>
    <t>Redwan</t>
  </si>
  <si>
    <t>Abdulkader</t>
  </si>
  <si>
    <t>yimerbethelhem28@gmail.com</t>
  </si>
  <si>
    <t>mesfinsamuel000@gmail.com</t>
  </si>
  <si>
    <t>Kedest</t>
  </si>
  <si>
    <t>Atnafu</t>
  </si>
  <si>
    <t>mulgetamitiku@gmail.com</t>
  </si>
  <si>
    <t>eskedar052@gmail.com</t>
  </si>
  <si>
    <t>Eskedar</t>
  </si>
  <si>
    <t>geremew</t>
  </si>
  <si>
    <t>minnassetsiony@gmail.com</t>
  </si>
  <si>
    <t>minase</t>
  </si>
  <si>
    <t>kasahunlemma1221@gmail.com</t>
  </si>
  <si>
    <t>lemma</t>
  </si>
  <si>
    <t>mahitaa1996@gmail.com</t>
  </si>
  <si>
    <t>zerihun</t>
  </si>
  <si>
    <t>feven.mesfin@astu.edu.et</t>
  </si>
  <si>
    <t>mtmengesha@gmail.com</t>
  </si>
  <si>
    <t>Mengash</t>
  </si>
  <si>
    <t>solanewakgari87@gmail.com</t>
  </si>
  <si>
    <t>Solane</t>
  </si>
  <si>
    <t>eyerusyaschlewal27@gmail.com</t>
  </si>
  <si>
    <t>Eyerus</t>
  </si>
  <si>
    <t>garomagalana3@gmail.como</t>
  </si>
  <si>
    <t>Galan</t>
  </si>
  <si>
    <t>Garoma</t>
  </si>
  <si>
    <t>daba24derara@gmail.com</t>
  </si>
  <si>
    <t>denbelijemahn@gmail.com</t>
  </si>
  <si>
    <t>Denbeli</t>
  </si>
  <si>
    <t>bikofike69@gmail.com</t>
  </si>
  <si>
    <t>raagii430@gmail.com</t>
  </si>
  <si>
    <t>Solomn</t>
  </si>
  <si>
    <t>filiphiyasu2024@gmail.com</t>
  </si>
  <si>
    <t>Filiphos</t>
  </si>
  <si>
    <t>Eyasu</t>
  </si>
  <si>
    <t>aminlargh@gmail.com</t>
  </si>
  <si>
    <t>Ninlargh</t>
  </si>
  <si>
    <t>helententa@gmail.com</t>
  </si>
  <si>
    <t>Tenta</t>
  </si>
  <si>
    <t>gadioro201@gmail.com</t>
  </si>
  <si>
    <t>merrychane68@gmail.com</t>
  </si>
  <si>
    <t>Chanalew</t>
  </si>
  <si>
    <t>iyasutariku648@gmail.com</t>
  </si>
  <si>
    <t>debifangeneti13@gmail.com</t>
  </si>
  <si>
    <t>Debifan</t>
  </si>
  <si>
    <t>wendimagagnhhabtamu@gmail.com</t>
  </si>
  <si>
    <t>Wendimagagn</t>
  </si>
  <si>
    <t>miseadisu35@gmail.com</t>
  </si>
  <si>
    <t>Mise</t>
  </si>
  <si>
    <t>kidistwondimkun@gmail.com</t>
  </si>
  <si>
    <t>Demena</t>
  </si>
  <si>
    <t>abeyayemane14@gmail.com</t>
  </si>
  <si>
    <t>Abeya</t>
  </si>
  <si>
    <t>degagalijalem675@gmail.com</t>
  </si>
  <si>
    <t>Degaga</t>
  </si>
  <si>
    <t>matibekele55@gmail.com</t>
  </si>
  <si>
    <t>Mati</t>
  </si>
  <si>
    <t>tizazuwondie2@gmail.com</t>
  </si>
  <si>
    <t>Tizazu</t>
  </si>
  <si>
    <t>romanfikru6@gmail.com</t>
  </si>
  <si>
    <t>Roman</t>
  </si>
  <si>
    <t>calebmekdi@gmail.com</t>
  </si>
  <si>
    <t>fg2000fgg@gmail.com</t>
  </si>
  <si>
    <t>chaneheni@gmail.com</t>
  </si>
  <si>
    <t>chanyalew</t>
  </si>
  <si>
    <t>abate.adem.a@gmail.com</t>
  </si>
  <si>
    <t>Abuko</t>
  </si>
  <si>
    <t>elsetesfay@gmail.com</t>
  </si>
  <si>
    <t>ELSA</t>
  </si>
  <si>
    <t>TESFAY</t>
  </si>
  <si>
    <t>tsiongurmu340@gmail.com</t>
  </si>
  <si>
    <t>haylshgebreslasie@gmail.com</t>
  </si>
  <si>
    <t>GOITOM</t>
  </si>
  <si>
    <t>GSILLASSIE</t>
  </si>
  <si>
    <t>birejoco@gmail.com</t>
  </si>
  <si>
    <t>Shitune</t>
  </si>
  <si>
    <t>aster183@gmail.com</t>
  </si>
  <si>
    <t>ASTER</t>
  </si>
  <si>
    <t>sosinag214@gmail.com</t>
  </si>
  <si>
    <t>SOSINA</t>
  </si>
  <si>
    <t>GETAHUN</t>
  </si>
  <si>
    <t>hiyawg461707@gmail.com</t>
  </si>
  <si>
    <t>HIYAW</t>
  </si>
  <si>
    <t>GIRMA</t>
  </si>
  <si>
    <t>sasunegu@gmail.com</t>
  </si>
  <si>
    <t>NIGUSSIE</t>
  </si>
  <si>
    <t>bemnetevamee@gmail.com</t>
  </si>
  <si>
    <t>WENDAFRASH</t>
  </si>
  <si>
    <t>bonibonibulcha@gmail.com</t>
  </si>
  <si>
    <t>medhanyatilahun321@gmail.com</t>
  </si>
  <si>
    <t>MEDHANYE</t>
  </si>
  <si>
    <t>TILAHUN</t>
  </si>
  <si>
    <t>hanagetahun214@gmail.com</t>
  </si>
  <si>
    <t>zewdukahsay311@gmail.com</t>
  </si>
  <si>
    <t>ZEWDU</t>
  </si>
  <si>
    <t>KAHSAY</t>
  </si>
  <si>
    <t>edosamulatu600@gmail.com</t>
  </si>
  <si>
    <t>Edosa</t>
  </si>
  <si>
    <t>abelchala123@gmail.com</t>
  </si>
  <si>
    <t>binyammebratu@gmail.com</t>
  </si>
  <si>
    <t>abexiocdesic@gmail.com</t>
  </si>
  <si>
    <t>jituabera123@gmail.com</t>
  </si>
  <si>
    <t>kiyatelila83@gmail.com</t>
  </si>
  <si>
    <t>Talila</t>
  </si>
  <si>
    <t>Gole</t>
  </si>
  <si>
    <t>sumeyataju228@gmail.com</t>
  </si>
  <si>
    <t>Sumeya</t>
  </si>
  <si>
    <t>aabduselam0@gmail.com</t>
  </si>
  <si>
    <t>anaman333@gmail.com</t>
  </si>
  <si>
    <t>Animut</t>
  </si>
  <si>
    <t>Alen</t>
  </si>
  <si>
    <t>ezedinanm@gmail.com</t>
  </si>
  <si>
    <t>Esedin</t>
  </si>
  <si>
    <t>henokgeremew@gmail.com</t>
  </si>
  <si>
    <t>awekerad1910@gmail.com</t>
  </si>
  <si>
    <t>Abayneh</t>
  </si>
  <si>
    <t>ahayat558@gmail.com</t>
  </si>
  <si>
    <t>Ayat</t>
  </si>
  <si>
    <t>Oseman</t>
  </si>
  <si>
    <t>kasahunhenok1@gmail.com</t>
  </si>
  <si>
    <t>Kebek</t>
  </si>
  <si>
    <t>selamgbr@gmail.com</t>
  </si>
  <si>
    <t>Gkiristos</t>
  </si>
  <si>
    <t>asegidwerkineh@gmail.com</t>
  </si>
  <si>
    <t>Asegid</t>
  </si>
  <si>
    <t>Werkineh</t>
  </si>
  <si>
    <t>biruktamiratofficial@gmail.com</t>
  </si>
  <si>
    <t>cheklie21@gmail.com</t>
  </si>
  <si>
    <t>Yechal</t>
  </si>
  <si>
    <t>kdusyosef2000@gmail.com</t>
  </si>
  <si>
    <t>selamwuletaw@gmail.com</t>
  </si>
  <si>
    <t>Wuletaw</t>
  </si>
  <si>
    <t>hanayohanis38@gmail.com</t>
  </si>
  <si>
    <t>motitakala@gmail.com</t>
  </si>
  <si>
    <t>Moti</t>
  </si>
  <si>
    <t>Takala</t>
  </si>
  <si>
    <t>lijalemmahalet@gmail.com</t>
  </si>
  <si>
    <t>dawitademasu@gmail.com</t>
  </si>
  <si>
    <t>Ademasu</t>
  </si>
  <si>
    <t>deratesfa99@gmail.com</t>
  </si>
  <si>
    <t>yekoyenatnael@gmail.com</t>
  </si>
  <si>
    <t>Yekoye</t>
  </si>
  <si>
    <t>abrham0713@gmail.com</t>
  </si>
  <si>
    <t>Muhabe</t>
  </si>
  <si>
    <t>mistrtemeselewu@gmail.com</t>
  </si>
  <si>
    <t>Mistr</t>
  </si>
  <si>
    <t>temeselewu</t>
  </si>
  <si>
    <t>debelanegasa1@gmail.com</t>
  </si>
  <si>
    <t>Negasa</t>
  </si>
  <si>
    <t>baharudibaba@gmail.com</t>
  </si>
  <si>
    <t>Baharu</t>
  </si>
  <si>
    <t>Dibaba</t>
  </si>
  <si>
    <t>milkiyaste2021@gmail.com</t>
  </si>
  <si>
    <t>Milkiyas</t>
  </si>
  <si>
    <t>Tasfa</t>
  </si>
  <si>
    <t>gedyonkumsa10@gmail.com</t>
  </si>
  <si>
    <t>Gedyon</t>
  </si>
  <si>
    <t>olinufberhanu@gamail.com</t>
  </si>
  <si>
    <t>Olika</t>
  </si>
  <si>
    <t>lemugudesa01@gmail.com</t>
  </si>
  <si>
    <t>Guddaa</t>
  </si>
  <si>
    <t>bekelebayesa41@gmail.com</t>
  </si>
  <si>
    <t>Bayesa</t>
  </si>
  <si>
    <t>eyuele2218@gmail.com</t>
  </si>
  <si>
    <t>Mikiel</t>
  </si>
  <si>
    <t>mulegech19@gmail.com</t>
  </si>
  <si>
    <t>Muluken</t>
  </si>
  <si>
    <t>abenezersimeneh@gmial.com</t>
  </si>
  <si>
    <t>Simeneh</t>
  </si>
  <si>
    <t>sisay754@gmail.com</t>
  </si>
  <si>
    <t>zerishbo1414@mail.com</t>
  </si>
  <si>
    <t>Bogala</t>
  </si>
  <si>
    <t>defera14@gmail.com</t>
  </si>
  <si>
    <t>Defera</t>
  </si>
  <si>
    <t>ezena12befikadu@gmail.com</t>
  </si>
  <si>
    <t>EZANA</t>
  </si>
  <si>
    <t>BEFIKADU</t>
  </si>
  <si>
    <t>abeshubontu@gmail.com</t>
  </si>
  <si>
    <t>mekoyahabtamu.42@gmail.com</t>
  </si>
  <si>
    <t>Mekoya</t>
  </si>
  <si>
    <t>meronasefa200@gmail.com</t>
  </si>
  <si>
    <t>eyasuzerihum@gmail.com</t>
  </si>
  <si>
    <t>gamachuibsa1@gmail.com</t>
  </si>
  <si>
    <t>yigermalberihun003@gmail.com</t>
  </si>
  <si>
    <t>Yegermal</t>
  </si>
  <si>
    <t>misganuwakshum81@gmail.com</t>
  </si>
  <si>
    <t>shashoyayo2014@gmail.com</t>
  </si>
  <si>
    <t>Shasho</t>
  </si>
  <si>
    <t>Yayo</t>
  </si>
  <si>
    <t>mikirsitotaw123@gmail.com</t>
  </si>
  <si>
    <t>Mikir123</t>
  </si>
  <si>
    <t>Sitota</t>
  </si>
  <si>
    <t>abdioro734@gmail.com</t>
  </si>
  <si>
    <t>Abdii</t>
  </si>
  <si>
    <t>kabbadaa</t>
  </si>
  <si>
    <t>ayinygech@gmail.com</t>
  </si>
  <si>
    <t>Ayinadis</t>
  </si>
  <si>
    <t>geletabula17@gmail.com</t>
  </si>
  <si>
    <t>Bula</t>
  </si>
  <si>
    <t>alemayehubiruktawit@gmail.com</t>
  </si>
  <si>
    <t>adoniyaseristu1929@gmail.com</t>
  </si>
  <si>
    <t>Adoniyas</t>
  </si>
  <si>
    <t>Eristu</t>
  </si>
  <si>
    <t>kaleabtessema35@gmail.com</t>
  </si>
  <si>
    <t>tessema</t>
  </si>
  <si>
    <t>abayneh.eyob9@gmail.com</t>
  </si>
  <si>
    <t>Eyob Abayneh</t>
  </si>
  <si>
    <t>Yemam</t>
  </si>
  <si>
    <t>tbizuneh059@gmail.com</t>
  </si>
  <si>
    <t>Bizuneha</t>
  </si>
  <si>
    <t>ashenafitinesho1@gmail.com</t>
  </si>
  <si>
    <t>Tinesho</t>
  </si>
  <si>
    <t>daditubongemamiye@gmail.com</t>
  </si>
  <si>
    <t>bonafikadu15@gmail.com</t>
  </si>
  <si>
    <t>Bona</t>
  </si>
  <si>
    <t>firaolzenebe9519@gmail.com</t>
  </si>
  <si>
    <t>kusanegash1@gmail.com</t>
  </si>
  <si>
    <t>firaolzewdu690@gmail.com</t>
  </si>
  <si>
    <t>zewudu</t>
  </si>
  <si>
    <t>magebado@gmail.com</t>
  </si>
  <si>
    <t>lwamgebreslassie0@gmail.com</t>
  </si>
  <si>
    <t>Lwam</t>
  </si>
  <si>
    <t>gebreslassie</t>
  </si>
  <si>
    <t>abenezertesfahun@gmail.com</t>
  </si>
  <si>
    <t>bitaniyamuluken@gmail.com</t>
  </si>
  <si>
    <t>muluken</t>
  </si>
  <si>
    <t>debelayedete@gmail.com</t>
  </si>
  <si>
    <t>Lemesa</t>
  </si>
  <si>
    <t>abemdigafe00@gmail.com</t>
  </si>
  <si>
    <t>Abem</t>
  </si>
  <si>
    <t>Digafe</t>
  </si>
  <si>
    <t>gadisagutu4@gmail.com</t>
  </si>
  <si>
    <t>efremgirmaa@gmail.com</t>
  </si>
  <si>
    <t>efrem</t>
  </si>
  <si>
    <t>ananetesfaye@gmail.com</t>
  </si>
  <si>
    <t>Anane</t>
  </si>
  <si>
    <t>urgesagonfa010@gmail.com</t>
  </si>
  <si>
    <t>Gonfa</t>
  </si>
  <si>
    <t>alaminjemal101@gmail.com</t>
  </si>
  <si>
    <t>Alamin</t>
  </si>
  <si>
    <t>dawitzewdu684@gmail.com</t>
  </si>
  <si>
    <t>burkamadula@gmail.com</t>
  </si>
  <si>
    <t>Burka</t>
  </si>
  <si>
    <t>mamo</t>
  </si>
  <si>
    <t>barsanasefa@gmail.com</t>
  </si>
  <si>
    <t>Barsan</t>
  </si>
  <si>
    <t>kalestifanos171996@gmail.com</t>
  </si>
  <si>
    <t>lidiyag629@gmail.com</t>
  </si>
  <si>
    <t>getachew</t>
  </si>
  <si>
    <t>bontudamena@gmail.com</t>
  </si>
  <si>
    <t>damena</t>
  </si>
  <si>
    <t>burtukanahimed18@gmail.com</t>
  </si>
  <si>
    <t>Ahimed</t>
  </si>
  <si>
    <t>mekditiruneh11@gmail.com</t>
  </si>
  <si>
    <t>tirune</t>
  </si>
  <si>
    <t>mogesbeza32@gmail.com</t>
  </si>
  <si>
    <t>melakmf7@gmail.com</t>
  </si>
  <si>
    <t>feleke</t>
  </si>
  <si>
    <t>familulu5721@gmail.com</t>
  </si>
  <si>
    <t>Iiul</t>
  </si>
  <si>
    <t>desta</t>
  </si>
  <si>
    <t>ayallemma29@gmail.com</t>
  </si>
  <si>
    <t>Aylkibet</t>
  </si>
  <si>
    <t>meyeafua@gmail.com</t>
  </si>
  <si>
    <t>Meya</t>
  </si>
  <si>
    <t>Efua</t>
  </si>
  <si>
    <t>digtuna3@gmail.com</t>
  </si>
  <si>
    <t>godolisa207@gmail.com</t>
  </si>
  <si>
    <t>yeabsiraayu111@gmail.com</t>
  </si>
  <si>
    <t>AYALEW</t>
  </si>
  <si>
    <t>bezabihegirma@gmail.com</t>
  </si>
  <si>
    <t>Nigerew</t>
  </si>
  <si>
    <t>hdemissie951@gmail.com</t>
  </si>
  <si>
    <t>hailegadisa01@gmail.com</t>
  </si>
  <si>
    <t>adisuasfaw33@gmail.com</t>
  </si>
  <si>
    <t>Addisuu</t>
  </si>
  <si>
    <t>Asfawu</t>
  </si>
  <si>
    <t>asmeromberhe579@gmail.com</t>
  </si>
  <si>
    <t>Asmerom</t>
  </si>
  <si>
    <t>galomalaku@gmail.com</t>
  </si>
  <si>
    <t>Galati</t>
  </si>
  <si>
    <t>danicheru@32.gmail.com</t>
  </si>
  <si>
    <t>Dano</t>
  </si>
  <si>
    <t>Charu</t>
  </si>
  <si>
    <t>yaredyosef55@gmail.com</t>
  </si>
  <si>
    <t>adisugelan5@gmail.com</t>
  </si>
  <si>
    <t>mohammedkemal2017@gmail.com</t>
  </si>
  <si>
    <t>hinsermumerob@gmail.com</t>
  </si>
  <si>
    <t>Merob</t>
  </si>
  <si>
    <t>Hinsermu</t>
  </si>
  <si>
    <t>chalturegasa87@gmail.com</t>
  </si>
  <si>
    <t>yohanestaye6@gmail.com</t>
  </si>
  <si>
    <t>bacayonas@gmail.com</t>
  </si>
  <si>
    <t>mustehussien35@gmail.com</t>
  </si>
  <si>
    <t>abdisaahmed440@gmail.com</t>
  </si>
  <si>
    <t>senafekadu48@gmail.com</t>
  </si>
  <si>
    <t>feyabd793322@gmail.com</t>
  </si>
  <si>
    <t>Feysel</t>
  </si>
  <si>
    <t>sakibgle@gmail.com</t>
  </si>
  <si>
    <t>Saktu</t>
  </si>
  <si>
    <t>bahiiye16@gmail.com</t>
  </si>
  <si>
    <t>Bahailu</t>
  </si>
  <si>
    <t>alemayehukuma80@gmail.com</t>
  </si>
  <si>
    <t>lukasaycheluhem@gmail.com</t>
  </si>
  <si>
    <t>Beedelukas</t>
  </si>
  <si>
    <t>Aychiluhm</t>
  </si>
  <si>
    <t>beletesamuel52@gmail.com</t>
  </si>
  <si>
    <t>hikmaahikmaa2@gmail.com</t>
  </si>
  <si>
    <t>Nuriye</t>
  </si>
  <si>
    <t>rawdaseyid@gmail.com</t>
  </si>
  <si>
    <t>Rawuda</t>
  </si>
  <si>
    <t>hailutemuari@gmail.com</t>
  </si>
  <si>
    <t>Temuari</t>
  </si>
  <si>
    <t>meredazmach2127@gmail.com</t>
  </si>
  <si>
    <t>Merid</t>
  </si>
  <si>
    <t>senaybrihan@gmail.com</t>
  </si>
  <si>
    <t>Senay</t>
  </si>
  <si>
    <t>Brihan</t>
  </si>
  <si>
    <t>tamenemeti65@gmail.com</t>
  </si>
  <si>
    <t>tilahuntadele337@gmail.com</t>
  </si>
  <si>
    <t>merryyy71@gmail.com</t>
  </si>
  <si>
    <t>lukasnoborena@gmail.com</t>
  </si>
  <si>
    <t>Lukas</t>
  </si>
  <si>
    <t>Borena</t>
  </si>
  <si>
    <t>abeltenkir341@gmail.com</t>
  </si>
  <si>
    <t>Tenkir</t>
  </si>
  <si>
    <t>abifas93@gmail.com</t>
  </si>
  <si>
    <t>ahailay156@gmail.com</t>
  </si>
  <si>
    <t>solomonberhanu1996@gmail.com</t>
  </si>
  <si>
    <t>nuhamin1@gmail.com</t>
  </si>
  <si>
    <t>naomisolomonn05@gmail.com</t>
  </si>
  <si>
    <t>Naomi</t>
  </si>
  <si>
    <t>amanasefa7@gmail.com</t>
  </si>
  <si>
    <t>hayilab73@gmail.com</t>
  </si>
  <si>
    <t>Hailab</t>
  </si>
  <si>
    <t>fikirteshome834@gmail.com</t>
  </si>
  <si>
    <t>Fikresilassie</t>
  </si>
  <si>
    <t>yarednahom80@gmail.com</t>
  </si>
  <si>
    <t>mekdesselmon@gmail.com</t>
  </si>
  <si>
    <t>Selmon</t>
  </si>
  <si>
    <t>shitaye.keneni@gmail.com</t>
  </si>
  <si>
    <t>Shitaye</t>
  </si>
  <si>
    <t>abrihammanaye@gmail.com</t>
  </si>
  <si>
    <t>ABRAHAM</t>
  </si>
  <si>
    <t>MANAYE</t>
  </si>
  <si>
    <t>abebegenetu@gmail.com</t>
  </si>
  <si>
    <t>dd</t>
  </si>
  <si>
    <t>dareaga6@gmail.com</t>
  </si>
  <si>
    <t>Dugassa</t>
  </si>
  <si>
    <t>tiguytrr@gmail.com</t>
  </si>
  <si>
    <t>rosatewodros705@gmail.com</t>
  </si>
  <si>
    <t>bekelejembereabo5@gmail.com</t>
  </si>
  <si>
    <t>fevdebebe3232@gmail.com</t>
  </si>
  <si>
    <t>zelalem.gizachew@gmail.com</t>
  </si>
  <si>
    <t>ZELALEM</t>
  </si>
  <si>
    <t>GIZACHEW</t>
  </si>
  <si>
    <t>yonasshumet@gmail.com</t>
  </si>
  <si>
    <t>YONAS123</t>
  </si>
  <si>
    <t>SHUMET</t>
  </si>
  <si>
    <t>yeabsiraalemu@gmail.com</t>
  </si>
  <si>
    <t>ALEMU</t>
  </si>
  <si>
    <t>yaredmarye@gmail.com</t>
  </si>
  <si>
    <t>YARED</t>
  </si>
  <si>
    <t>MARYE</t>
  </si>
  <si>
    <t>afaantaa@gmail.com</t>
  </si>
  <si>
    <t>Fenta</t>
  </si>
  <si>
    <t>werkalemgetamesay@gmail.com</t>
  </si>
  <si>
    <t>WERKALEM</t>
  </si>
  <si>
    <t>GETAMASAY</t>
  </si>
  <si>
    <t>asrasberekt@gmail.com</t>
  </si>
  <si>
    <t>Asras</t>
  </si>
  <si>
    <t>tsioneshetu@gmail.com</t>
  </si>
  <si>
    <t>TSION</t>
  </si>
  <si>
    <t>abdisafelma@gmail.com</t>
  </si>
  <si>
    <t>Felma</t>
  </si>
  <si>
    <t>bashirgishe7@gmail.com</t>
  </si>
  <si>
    <t>Bashir</t>
  </si>
  <si>
    <t>Gishe</t>
  </si>
  <si>
    <t>mekonenakililu@gmail.com</t>
  </si>
  <si>
    <t>Akililu</t>
  </si>
  <si>
    <t>belayinehbalguda@gmail.com</t>
  </si>
  <si>
    <t>Belayineh</t>
  </si>
  <si>
    <t>Balguda</t>
  </si>
  <si>
    <t>tokumawegene@gmail.com</t>
  </si>
  <si>
    <t>TOKUMA</t>
  </si>
  <si>
    <t>WEGENE</t>
  </si>
  <si>
    <t>bikiltumatiwos8@gmail.com</t>
  </si>
  <si>
    <t>Mathiwos</t>
  </si>
  <si>
    <t>tesfayelemmi@gmail.com</t>
  </si>
  <si>
    <t>megarsa17di@gmail.com</t>
  </si>
  <si>
    <t>waktolebekele2@gmail.com</t>
  </si>
  <si>
    <t>dametawbasizo@gmail.com</t>
  </si>
  <si>
    <t>Basizo</t>
  </si>
  <si>
    <t>gemechuteferi@gmail.com</t>
  </si>
  <si>
    <t>kim0308540@gmail.com</t>
  </si>
  <si>
    <t>Kadir</t>
  </si>
  <si>
    <t>teferakibru@gmail.com</t>
  </si>
  <si>
    <t>TEFERA</t>
  </si>
  <si>
    <t>KIBRU</t>
  </si>
  <si>
    <t>tazeb.getnet@gmail.com</t>
  </si>
  <si>
    <t>TAZEB</t>
  </si>
  <si>
    <t>GETNET</t>
  </si>
  <si>
    <t>bogale030@gmail.com</t>
  </si>
  <si>
    <t>tarikuendeshaw@gmail.com</t>
  </si>
  <si>
    <t>TARIKU</t>
  </si>
  <si>
    <t>ENDESHAW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</si>
  <si>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</si>
  <si>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</si>
  <si>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</si>
  <si>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</si>
  <si>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</si>
  <si>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</si>
  <si>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</si>
  <si>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abebetalye@gmail.com</t>
  </si>
  <si>
    <t>TALYE</t>
  </si>
  <si>
    <t>muluazmeraw@gmail.com</t>
  </si>
  <si>
    <t>MULU</t>
  </si>
  <si>
    <t>AZMERAW</t>
  </si>
  <si>
    <t>esubalewtarekegn@gmail.com</t>
  </si>
  <si>
    <t>ESUBALEW</t>
  </si>
  <si>
    <t>TAREKEGN</t>
  </si>
  <si>
    <t>meseretadugna@gmail.com</t>
  </si>
  <si>
    <t>ADUGNA</t>
  </si>
  <si>
    <t>fadil.abdi@gmail.com</t>
  </si>
  <si>
    <t>FADIL</t>
  </si>
  <si>
    <t>ABDI</t>
  </si>
  <si>
    <t>girma.moges@gmail.com</t>
  </si>
  <si>
    <t>MOGES</t>
  </si>
  <si>
    <t>kebebachsuye@gmail.com</t>
  </si>
  <si>
    <t>Kebebech</t>
  </si>
  <si>
    <t>Suye</t>
  </si>
  <si>
    <t>etsubsamuel@gmail.com</t>
  </si>
  <si>
    <t>ETSUB</t>
  </si>
  <si>
    <t>SAMUEL</t>
  </si>
  <si>
    <t>yord2@gmail.com</t>
  </si>
  <si>
    <t>mechalbiba@gmail.com</t>
  </si>
  <si>
    <t>MECHAL</t>
  </si>
  <si>
    <t>BIBA</t>
  </si>
  <si>
    <t>aberasisay@gmail.com</t>
  </si>
  <si>
    <t>ABERA</t>
  </si>
  <si>
    <t>SISAY</t>
  </si>
  <si>
    <t>cherenetendeshaw@gmail.com</t>
  </si>
  <si>
    <t>CHERINET</t>
  </si>
  <si>
    <t>debrudansamo@gmail.com</t>
  </si>
  <si>
    <t>Debru</t>
  </si>
  <si>
    <t>Dansamo</t>
  </si>
  <si>
    <t>eyobalemneh@gmail.com</t>
  </si>
  <si>
    <t>EYOB</t>
  </si>
  <si>
    <t>ALEMNEH</t>
  </si>
  <si>
    <t>addisueshetie@gmail.com</t>
  </si>
  <si>
    <t>adanedekeba1@gmail.com</t>
  </si>
  <si>
    <t>Dekeba</t>
  </si>
  <si>
    <t>elsabetnibret@gmail.com</t>
  </si>
  <si>
    <t>ELSABET</t>
  </si>
  <si>
    <t>NIBRET</t>
  </si>
  <si>
    <t>alemudebisa3@gmail.com</t>
  </si>
  <si>
    <t>ahmedkedir@gmail.com</t>
  </si>
  <si>
    <t>demewezgezahgn@gmail.com</t>
  </si>
  <si>
    <t>DEMEWEZ</t>
  </si>
  <si>
    <t>GEZAHGN</t>
  </si>
  <si>
    <t>mezmurdagim@gmail.com</t>
  </si>
  <si>
    <t>Mazmur</t>
  </si>
  <si>
    <t>changun.mut@gmail.com</t>
  </si>
  <si>
    <t>CHANGUN</t>
  </si>
  <si>
    <t>hateudebela@gmail.com</t>
  </si>
  <si>
    <t>Hateu</t>
  </si>
  <si>
    <t>abrahamabebaw@gmail.com</t>
  </si>
  <si>
    <t>ABEBAW</t>
  </si>
  <si>
    <t>dawudabdo840@gmail.com</t>
  </si>
  <si>
    <t>abrhamtaye@gmail.com</t>
  </si>
  <si>
    <t>ahmedtajo@gmail.com</t>
  </si>
  <si>
    <t>Tejo</t>
  </si>
  <si>
    <t>chalieangay@gmail.com</t>
  </si>
  <si>
    <t>CHALIE</t>
  </si>
  <si>
    <t>ANGAY</t>
  </si>
  <si>
    <t>andishanoh@gmail.com</t>
  </si>
  <si>
    <t>bogalemarie@gmail.com</t>
  </si>
  <si>
    <t>BOGALE</t>
  </si>
  <si>
    <t>MARIYE</t>
  </si>
  <si>
    <t>asnakegashaw@gmail.com</t>
  </si>
  <si>
    <t>ASNAKE</t>
  </si>
  <si>
    <t>GASHAW</t>
  </si>
  <si>
    <t>birituasefa@gmail.com</t>
  </si>
  <si>
    <t>BIRITU</t>
  </si>
  <si>
    <t>ASEFA</t>
  </si>
  <si>
    <t>amarezegeye@gmail.com</t>
  </si>
  <si>
    <t>Zegeye</t>
  </si>
  <si>
    <t>amaregetnet@gmail.com</t>
  </si>
  <si>
    <t>awokemelkie@gmail.com</t>
  </si>
  <si>
    <t>Melke</t>
  </si>
  <si>
    <t>agagernattezera8@gmail.com</t>
  </si>
  <si>
    <t>ayinetuworkineh@gmail.com</t>
  </si>
  <si>
    <t>Ayinetu</t>
  </si>
  <si>
    <t>beletemulat@gmail.com</t>
  </si>
  <si>
    <t>mimitamana@gmail.com</t>
  </si>
  <si>
    <t>Mimi</t>
  </si>
  <si>
    <t>Tana</t>
  </si>
  <si>
    <t>bereketdesalegn@gmail.com</t>
  </si>
  <si>
    <t>ingaabbuiggazuu@gmail.com</t>
  </si>
  <si>
    <t>Iggazuu</t>
  </si>
  <si>
    <t>Ingaabbuu</t>
  </si>
  <si>
    <t>sisayberhanua199@gmail.com</t>
  </si>
  <si>
    <t>haymanotamelewark@gmail.com</t>
  </si>
  <si>
    <t>Amelewark</t>
  </si>
  <si>
    <t>betselot.alemu@gmail.com</t>
  </si>
  <si>
    <t>Betselot</t>
  </si>
  <si>
    <t>biniam.azene@gmail.com</t>
  </si>
  <si>
    <t>Azene</t>
  </si>
  <si>
    <t>birtukan.anja@gmail.com</t>
  </si>
  <si>
    <t>Anja</t>
  </si>
  <si>
    <t>biruk.endalkachew@gmail.com</t>
  </si>
  <si>
    <t>mohamedabdikorabi@gmail.com</t>
  </si>
  <si>
    <t>Hasan</t>
  </si>
  <si>
    <t>biruktawit.berihun@gmail.com</t>
  </si>
  <si>
    <t>bizuayehu.moges@gmail.com</t>
  </si>
  <si>
    <t>Bizuayew</t>
  </si>
  <si>
    <t>debelaemiru60@gmail.com</t>
  </si>
  <si>
    <t>daniel.tesfaye@gmail.com</t>
  </si>
  <si>
    <t>degu.melese@gmail.com</t>
  </si>
  <si>
    <t>bogalewoldee18@gmail.com</t>
  </si>
  <si>
    <t>Woldegebrel</t>
  </si>
  <si>
    <t>endalesiyum33@gmail.com</t>
  </si>
  <si>
    <t>enyadinw991@gmail.com</t>
  </si>
  <si>
    <t>ENYADIN</t>
  </si>
  <si>
    <t>BAYISA</t>
  </si>
  <si>
    <t>endalew.awoke@gmail.com</t>
  </si>
  <si>
    <t>Aweke</t>
  </si>
  <si>
    <t>ahmedyasine230@gmail.com</t>
  </si>
  <si>
    <t>eyob.getachew@gmail.com</t>
  </si>
  <si>
    <t>mastuwakuma@19gmail.com</t>
  </si>
  <si>
    <t>Mastu</t>
  </si>
  <si>
    <t>frahanahmed27@gmail.com</t>
  </si>
  <si>
    <t>Frahan</t>
  </si>
  <si>
    <t>tsedyhayal101@gmail.com</t>
  </si>
  <si>
    <t>Tsedeneya</t>
  </si>
  <si>
    <t>hayal</t>
  </si>
  <si>
    <t>fiseha.eshetu@gmail.com</t>
  </si>
  <si>
    <t>uu5979243@gmail.com</t>
  </si>
  <si>
    <t>zzele3253@gmail.com</t>
  </si>
  <si>
    <t>GATIE</t>
  </si>
  <si>
    <t>getahun.muche@gmail.com</t>
  </si>
  <si>
    <t>zenebegetaw22@gmail.com</t>
  </si>
  <si>
    <t>Getaw</t>
  </si>
  <si>
    <t>yoniabb94@gmail.com</t>
  </si>
  <si>
    <t>hado.jatani@gmail.com</t>
  </si>
  <si>
    <t>Hado</t>
  </si>
  <si>
    <t>Jatani</t>
  </si>
  <si>
    <t>yadechubethlehem@gmail.com</t>
  </si>
  <si>
    <t>Yadechu</t>
  </si>
  <si>
    <t>hailemikael.teshager@gmail.com</t>
  </si>
  <si>
    <t>Hayilemikael</t>
  </si>
  <si>
    <t>Teshager</t>
  </si>
  <si>
    <t>hawiwassu11@gmail.com</t>
  </si>
  <si>
    <t>Wasu</t>
  </si>
  <si>
    <t>hiwot.abate@gmail.com</t>
  </si>
  <si>
    <t>robelademe286@gmail.com</t>
  </si>
  <si>
    <t>borutsehay351@gmail.com</t>
  </si>
  <si>
    <t>Tsehay</t>
  </si>
  <si>
    <t>Boruu</t>
  </si>
  <si>
    <t>uhiwot363@gmail.com</t>
  </si>
  <si>
    <t>Hiowt</t>
  </si>
  <si>
    <t>mihret.alemu@gmail.com</t>
  </si>
  <si>
    <t>Miheret</t>
  </si>
  <si>
    <t>eyuelmegersa126@gmail.com</t>
  </si>
  <si>
    <t>mulugeta.alemuu@gmail.com</t>
  </si>
  <si>
    <t>endalebelay10@gmail.com</t>
  </si>
  <si>
    <t>nardos.ayano@gmail.com</t>
  </si>
  <si>
    <t>andualemmaria410@gmail.com</t>
  </si>
  <si>
    <t>nardos.melese@gmail.com</t>
  </si>
  <si>
    <t>yomiletolesa@gmail.com</t>
  </si>
  <si>
    <t>natnael.mihretu@gmail.com</t>
  </si>
  <si>
    <t>Natinael</t>
  </si>
  <si>
    <t>shiferawyehualashet@gmail.com</t>
  </si>
  <si>
    <t>Mebiratu</t>
  </si>
  <si>
    <t>Tewelde</t>
  </si>
  <si>
    <t>alexson2363@gmail.com</t>
  </si>
  <si>
    <t>haniejigu@gmail.com</t>
  </si>
  <si>
    <t>netsanetdanich@gmail.com</t>
  </si>
  <si>
    <t>Danich</t>
  </si>
  <si>
    <t>samuelmersha@gmail.com</t>
  </si>
  <si>
    <t>selemonelias@gmail.com</t>
  </si>
  <si>
    <t>Selemon</t>
  </si>
  <si>
    <t>tewodrosgetahun@gmail.com</t>
  </si>
  <si>
    <t>wegendinku@gmail.com</t>
  </si>
  <si>
    <t>Wegene</t>
  </si>
  <si>
    <t>Dinku</t>
  </si>
  <si>
    <t>bethelbiruk77@gmail.com</t>
  </si>
  <si>
    <t>samrawittebeje4@gmail.com</t>
  </si>
  <si>
    <t>Samrawit</t>
  </si>
  <si>
    <t>Tebeje</t>
  </si>
  <si>
    <t>asmamaramihirata@gmail.com</t>
  </si>
  <si>
    <t>Asmara</t>
  </si>
  <si>
    <t>Mihirate</t>
  </si>
  <si>
    <t>zewgerodas@gmail.com</t>
  </si>
  <si>
    <t>Rodas</t>
  </si>
  <si>
    <t>tolidame7@gmail.com</t>
  </si>
  <si>
    <t>Tolasaa</t>
  </si>
  <si>
    <t>Damee</t>
  </si>
  <si>
    <t>birukavengers@gmail.com</t>
  </si>
  <si>
    <t>Abute</t>
  </si>
  <si>
    <t>gemachutesama62@gmail.com</t>
  </si>
  <si>
    <t>Gemachu</t>
  </si>
  <si>
    <t>kumalehirko@gmail.com</t>
  </si>
  <si>
    <t>Kumale</t>
  </si>
  <si>
    <t>hirko</t>
  </si>
  <si>
    <t>debelameg750@gmail.com</t>
  </si>
  <si>
    <t>ya0920710705@gmail.com</t>
  </si>
  <si>
    <t>Adefres</t>
  </si>
  <si>
    <t>wizrash19@gmail.com</t>
  </si>
  <si>
    <t>Abdurhaman</t>
  </si>
  <si>
    <t>Hayatu</t>
  </si>
  <si>
    <t>urgehabtamu1@gmail.com</t>
  </si>
  <si>
    <t>masidebela@gmail.com</t>
  </si>
  <si>
    <t>Masi</t>
  </si>
  <si>
    <t>febefikadu18@gmail.com</t>
  </si>
  <si>
    <t>Feben</t>
  </si>
  <si>
    <t>fikadu</t>
  </si>
  <si>
    <t>hundealemayehu01@gmail.com</t>
  </si>
  <si>
    <t>firamarga07@gmail.com</t>
  </si>
  <si>
    <t>marga</t>
  </si>
  <si>
    <t>ababosolomon973@gmali.com</t>
  </si>
  <si>
    <t>abdurahemomer@gmail.com</t>
  </si>
  <si>
    <t>ABDU</t>
  </si>
  <si>
    <t>BALE</t>
  </si>
  <si>
    <t>haftebekele3@gmail.com</t>
  </si>
  <si>
    <t>Hafte</t>
  </si>
  <si>
    <t>nigatunigussie@gmail.com</t>
  </si>
  <si>
    <t>NIGATU</t>
  </si>
  <si>
    <t>robsanberhanu143@gmail.com</t>
  </si>
  <si>
    <t>tilahungezahagn@gmail.com</t>
  </si>
  <si>
    <t>GEZAHAGN</t>
  </si>
  <si>
    <t>semu122129@gmail.com</t>
  </si>
  <si>
    <t>Nusredin</t>
  </si>
  <si>
    <t>lalisaarafisa2015@gmail.com</t>
  </si>
  <si>
    <t>Rafisa</t>
  </si>
  <si>
    <t>rembodiriba74@gmail.com</t>
  </si>
  <si>
    <t>Rabbirra</t>
  </si>
  <si>
    <t>Firiba</t>
  </si>
  <si>
    <t>assefaherpha@gmail.com</t>
  </si>
  <si>
    <t>HERPHA</t>
  </si>
  <si>
    <t>betsiabe9@gmail.com</t>
  </si>
  <si>
    <t>abrahamyazew@gmail.com</t>
  </si>
  <si>
    <t>YAZEW</t>
  </si>
  <si>
    <t>tsehayayele@gmail.com</t>
  </si>
  <si>
    <t>TSEHAY</t>
  </si>
  <si>
    <t>AYELE</t>
  </si>
  <si>
    <t>metitafase5@gmail.com</t>
  </si>
  <si>
    <t>Miti</t>
  </si>
  <si>
    <t>atlabachewgezahegn@gmail.com</t>
  </si>
  <si>
    <t>ATLABACHEW</t>
  </si>
  <si>
    <t>GEZAHEGN</t>
  </si>
  <si>
    <t>atnkutdebas@gmail.com</t>
  </si>
  <si>
    <t>ATNKUT</t>
  </si>
  <si>
    <t>DEBAS</t>
  </si>
  <si>
    <t>meseretdiriba@gmail.com</t>
  </si>
  <si>
    <t>DIRIBA</t>
  </si>
  <si>
    <t>melkamugetnet@gmail.com</t>
  </si>
  <si>
    <t>MELKAMU</t>
  </si>
  <si>
    <t>olanibeyene8@gmail.com</t>
  </si>
  <si>
    <t>meseretwandimu7@gmail.com</t>
  </si>
  <si>
    <t>Wandimu</t>
  </si>
  <si>
    <t>kidusminwuyelet32@gmail.com</t>
  </si>
  <si>
    <t>askual.assefa@aau.edu.et</t>
  </si>
  <si>
    <t>Askual</t>
  </si>
  <si>
    <t>sifangudata269@gmail.com</t>
  </si>
  <si>
    <t>Gudata</t>
  </si>
  <si>
    <t>getusoresa2@gmail.com</t>
  </si>
  <si>
    <t>abdiomars165@gmail.com</t>
  </si>
  <si>
    <t>omars</t>
  </si>
  <si>
    <t>birasheehod@gmail.com</t>
  </si>
  <si>
    <t>Birra</t>
  </si>
  <si>
    <t>abdurezakahmedinmo@gmail.com</t>
  </si>
  <si>
    <t>yibeyita@gmail.com</t>
  </si>
  <si>
    <t>Yibelital</t>
  </si>
  <si>
    <t>meazizerfu12@gmail.com</t>
  </si>
  <si>
    <t>teferinegesa2014@gmail.com</t>
  </si>
  <si>
    <t>teferi</t>
  </si>
  <si>
    <t>negesa</t>
  </si>
  <si>
    <t>kalebbekele9@gmail.com</t>
  </si>
  <si>
    <t>doktargetachew@gmail.com</t>
  </si>
  <si>
    <t>Doktar</t>
  </si>
  <si>
    <t>successlovernigussie@gmail.com</t>
  </si>
  <si>
    <t>Atnasiya</t>
  </si>
  <si>
    <t>girjautuku@gmail.com</t>
  </si>
  <si>
    <t>GIRJA</t>
  </si>
  <si>
    <t>UTUKU</t>
  </si>
  <si>
    <t>enukized@gmail.com</t>
  </si>
  <si>
    <t>GETE</t>
  </si>
  <si>
    <t>ZEWUDE</t>
  </si>
  <si>
    <t>konjittegene@gmail.com</t>
  </si>
  <si>
    <t>KONJIT</t>
  </si>
  <si>
    <t>TEGENE</t>
  </si>
  <si>
    <t>tesfazola14@gmail.com</t>
  </si>
  <si>
    <t>TESFA</t>
  </si>
  <si>
    <t>BELAY</t>
  </si>
  <si>
    <t>semboadugna@gmail.com</t>
  </si>
  <si>
    <t>SIMBONE</t>
  </si>
  <si>
    <t>tesheboy12@gmail.com</t>
  </si>
  <si>
    <t>TESHOMA</t>
  </si>
  <si>
    <t>ajebushbayisa273@gmail.com</t>
  </si>
  <si>
    <t>AJEBUSH</t>
  </si>
  <si>
    <t>oliiffiqaaduu@gmail.com</t>
  </si>
  <si>
    <t>Rajo</t>
  </si>
  <si>
    <t>stevenztsge77@gmail.com</t>
  </si>
  <si>
    <t>jabesamulata@gmail.com</t>
  </si>
  <si>
    <t>fedesaasrat@gmail.com</t>
  </si>
  <si>
    <t>Fedasa</t>
  </si>
  <si>
    <t>mengachewiytbarek42@gmail.com</t>
  </si>
  <si>
    <t>Mengachew</t>
  </si>
  <si>
    <t>Yitbarek</t>
  </si>
  <si>
    <t>yisihakadmasu50@gmail.com</t>
  </si>
  <si>
    <t>Yisihak</t>
  </si>
  <si>
    <t>haftukebede8122@gmail.com</t>
  </si>
  <si>
    <t>Habtu</t>
  </si>
  <si>
    <t>hamrgold78@gmail.com</t>
  </si>
  <si>
    <t>Hamrsan</t>
  </si>
  <si>
    <t>bekelekebi@gmail.com</t>
  </si>
  <si>
    <t>elsabetlemma8315@gmail.com</t>
  </si>
  <si>
    <t>borufayisa212@gmail.com</t>
  </si>
  <si>
    <t>Fayisa</t>
  </si>
  <si>
    <t>felmetamutar2@gmail.com</t>
  </si>
  <si>
    <t>dhaddachagodana@gmail.com</t>
  </si>
  <si>
    <t>Dedacho</t>
  </si>
  <si>
    <t>gulumamerga3@gmail.com</t>
  </si>
  <si>
    <t>Gizaho</t>
  </si>
  <si>
    <t>Hmariam</t>
  </si>
  <si>
    <t>ebanufc@gmail.com</t>
  </si>
  <si>
    <t>Ebanuf</t>
  </si>
  <si>
    <t>habto22@gmail.com</t>
  </si>
  <si>
    <t>danielguta706@gmail.com</t>
  </si>
  <si>
    <t>mulukenasrat4555@gmail.com</t>
  </si>
  <si>
    <t>asrat</t>
  </si>
  <si>
    <t>waktolebekele173@gmail.com</t>
  </si>
  <si>
    <t>bekelediribe1@gmail.com</t>
  </si>
  <si>
    <t>natnaelayalew21@gmail.com</t>
  </si>
  <si>
    <t>haptamuchunda@gmail.com</t>
  </si>
  <si>
    <t>Chunda</t>
  </si>
  <si>
    <t>hasablekefta@gmail.com</t>
  </si>
  <si>
    <t>ANTENEH</t>
  </si>
  <si>
    <t>WALILIGNE</t>
  </si>
  <si>
    <t>bekele535@gmail.com</t>
  </si>
  <si>
    <t>Almaz</t>
  </si>
  <si>
    <t>zinashteshome@gmail.com</t>
  </si>
  <si>
    <t>Zinash</t>
  </si>
  <si>
    <t>madibabeneberu@gmail.com</t>
  </si>
  <si>
    <t>Mandela</t>
  </si>
  <si>
    <t>Beneberu</t>
  </si>
  <si>
    <t>fanuelgirma7@gmail.com</t>
  </si>
  <si>
    <t>mulatagunae444@gmail.com</t>
  </si>
  <si>
    <t>mulat</t>
  </si>
  <si>
    <t>kumesateshoma@gmail.com</t>
  </si>
  <si>
    <t>Kumesa</t>
  </si>
  <si>
    <t>johnnythegold@gmail.com</t>
  </si>
  <si>
    <t>firanmulu@gmail.com</t>
  </si>
  <si>
    <t>tsegayezuber@gmail.com</t>
  </si>
  <si>
    <t>Zuber</t>
  </si>
  <si>
    <t>jiregnaatomsa7@gmail.com</t>
  </si>
  <si>
    <t>Atomsa</t>
  </si>
  <si>
    <t>ebetemaryam@gmail.com</t>
  </si>
  <si>
    <t>Gedamu</t>
  </si>
  <si>
    <t>magooaregaa@gmail.com</t>
  </si>
  <si>
    <t>Magresa</t>
  </si>
  <si>
    <t>ebetemariyam@gmail.com</t>
  </si>
  <si>
    <t>Betemaryam</t>
  </si>
  <si>
    <t>dfbluesfc@gmail.com</t>
  </si>
  <si>
    <t>gatkhortoangruot@gmail.com</t>
  </si>
  <si>
    <t>Gatkhor</t>
  </si>
  <si>
    <t>dobuolchiang33@gmail.com</t>
  </si>
  <si>
    <t>Dobuol</t>
  </si>
  <si>
    <t>Chiang</t>
  </si>
  <si>
    <t>amarechdemile54@gmaile.com</t>
  </si>
  <si>
    <t>Amarech</t>
  </si>
  <si>
    <t>Demile</t>
  </si>
  <si>
    <t>idaochala@gmail.com</t>
  </si>
  <si>
    <t>Idao</t>
  </si>
  <si>
    <t>amjamal4050@gmail.com</t>
  </si>
  <si>
    <t>Abdulmanan</t>
  </si>
  <si>
    <t>burabiruk668@gmail.com</t>
  </si>
  <si>
    <t>tigistgasabz2023@gmail.com</t>
  </si>
  <si>
    <t>Gashabez</t>
  </si>
  <si>
    <t>dagnegazmu12@gmail.com</t>
  </si>
  <si>
    <t>Gazmu</t>
  </si>
  <si>
    <t>alexoday522@gmail.com</t>
  </si>
  <si>
    <t>gelanaasefa88@gmail.co</t>
  </si>
  <si>
    <t>dancertade33@gmail.com</t>
  </si>
  <si>
    <t>admuhe52@gmail.com</t>
  </si>
  <si>
    <t>gutamiesa73@gmail.com</t>
  </si>
  <si>
    <t>Miesa</t>
  </si>
  <si>
    <t>gatbelbiel1@gmail.com</t>
  </si>
  <si>
    <t>Gatbel</t>
  </si>
  <si>
    <t>Nyak</t>
  </si>
  <si>
    <t>fedesaamanuel@gmail.com</t>
  </si>
  <si>
    <t>Fedesa</t>
  </si>
  <si>
    <t>masaradegafu@gmail.com</t>
  </si>
  <si>
    <t>Mesera</t>
  </si>
  <si>
    <t>gudetaifa3@gmail.com</t>
  </si>
  <si>
    <t>derejeyordi2@gimal.com</t>
  </si>
  <si>
    <t>Mangisti</t>
  </si>
  <si>
    <t>mamejamale342@gmail.com</t>
  </si>
  <si>
    <t>mulukenkassaw1996@gmail.com</t>
  </si>
  <si>
    <t>kassaw</t>
  </si>
  <si>
    <t>jalaldilala@gmail.com</t>
  </si>
  <si>
    <t>Dilala</t>
  </si>
  <si>
    <t>tsegabalula97@gmail.com</t>
  </si>
  <si>
    <t>Tsegab</t>
  </si>
  <si>
    <t>gemedag92@gmail.com</t>
  </si>
  <si>
    <t>sebonabiru90@gmail.com</t>
  </si>
  <si>
    <t>Sabona</t>
  </si>
  <si>
    <t>girmasegni84@gmail.com</t>
  </si>
  <si>
    <t>eyud459@gmail.com</t>
  </si>
  <si>
    <t>derejenegese029@gmail.com</t>
  </si>
  <si>
    <t>Negese</t>
  </si>
  <si>
    <t>danio096211@gmail.com</t>
  </si>
  <si>
    <t>zewdugirma@gmail.com</t>
  </si>
  <si>
    <t>nebiyudan1981@gmail.com</t>
  </si>
  <si>
    <t>bikilamitiku21@gmail.com</t>
  </si>
  <si>
    <t>Biqilaa</t>
  </si>
  <si>
    <t>natiayu4@gmail.com</t>
  </si>
  <si>
    <t>assefaeyerus6@gmail.com</t>
  </si>
  <si>
    <t>gerumberhanu95@gmail.com</t>
  </si>
  <si>
    <t>Gerum</t>
  </si>
  <si>
    <t>keneniaman24@gmail.com</t>
  </si>
  <si>
    <t>fatihabilalfatiha@gmail.com</t>
  </si>
  <si>
    <t>Fatiya</t>
  </si>
  <si>
    <t>Bilal</t>
  </si>
  <si>
    <t>firisanabate67@gmail.com</t>
  </si>
  <si>
    <t>Ferezar</t>
  </si>
  <si>
    <t>kalidsherif11@gmail.com</t>
  </si>
  <si>
    <t>firisanabate7@gmail.com</t>
  </si>
  <si>
    <t>studentkaloffline@gmail.com</t>
  </si>
  <si>
    <t>aberawubit34@gmail.com</t>
  </si>
  <si>
    <t>Wubit</t>
  </si>
  <si>
    <t>robafeyisa31@gmail.com</t>
  </si>
  <si>
    <t>elsabetnigusetolcha@gmail.com</t>
  </si>
  <si>
    <t>nathansalem14@gmail.com</t>
  </si>
  <si>
    <t>dagmawidessie01@gmail.com</t>
  </si>
  <si>
    <t>Dagmawi</t>
  </si>
  <si>
    <t>fitsumd7@gmail.com</t>
  </si>
  <si>
    <t>yeabmike32@gmail.com</t>
  </si>
  <si>
    <t>Yeab</t>
  </si>
  <si>
    <t>Mike</t>
  </si>
  <si>
    <t>julianabiniyamj@gmail.com</t>
  </si>
  <si>
    <t>Juliana</t>
  </si>
  <si>
    <t>nmelak@gmail.com</t>
  </si>
  <si>
    <t>Nahusenay</t>
  </si>
  <si>
    <t>melak</t>
  </si>
  <si>
    <t>birhanutb2020@gmail.com</t>
  </si>
  <si>
    <t>Chali</t>
  </si>
  <si>
    <t>newalemam2@gmail.com</t>
  </si>
  <si>
    <t>Newal</t>
  </si>
  <si>
    <t>emam</t>
  </si>
  <si>
    <t>hanibedru463@gmail.com</t>
  </si>
  <si>
    <t>Hani</t>
  </si>
  <si>
    <t>ggetaneh@gmail.com</t>
  </si>
  <si>
    <t>zeinibrahim250@gmail.com</t>
  </si>
  <si>
    <t>Zein</t>
  </si>
  <si>
    <t>habtealemi@gmail.com</t>
  </si>
  <si>
    <t>Alemi</t>
  </si>
  <si>
    <t>banardi127@gmail.com</t>
  </si>
  <si>
    <t>Baiyssa</t>
  </si>
  <si>
    <t>astergebisa206@gmail.com</t>
  </si>
  <si>
    <t>Aster</t>
  </si>
  <si>
    <t>Gebisa</t>
  </si>
  <si>
    <t>entizarelbet@gmail.com</t>
  </si>
  <si>
    <t>Entisar</t>
  </si>
  <si>
    <t>awol</t>
  </si>
  <si>
    <t>egnumakonaf@gmail.com</t>
  </si>
  <si>
    <t>Netsa</t>
  </si>
  <si>
    <t>Wekuma</t>
  </si>
  <si>
    <t>blent5059@gmail.com</t>
  </si>
  <si>
    <t>kefenadejene61@gmail.com</t>
  </si>
  <si>
    <t>Kefena</t>
  </si>
  <si>
    <t>ashenafidesalegn44@gmail.com</t>
  </si>
  <si>
    <t>ahadugtu@gmail.com</t>
  </si>
  <si>
    <t>Ahadu</t>
  </si>
  <si>
    <t>getu</t>
  </si>
  <si>
    <t>nadimekonen123@gmail.com</t>
  </si>
  <si>
    <t>Dinka</t>
  </si>
  <si>
    <t>kidusfekadu17@icloud.com</t>
  </si>
  <si>
    <t>amanuelbari28@gmail.com</t>
  </si>
  <si>
    <t>Bari</t>
  </si>
  <si>
    <t>dewihabte@gmail.com</t>
  </si>
  <si>
    <t>Habt</t>
  </si>
  <si>
    <t>amarahmedarch@gmail.com</t>
  </si>
  <si>
    <t>Amar</t>
  </si>
  <si>
    <t>emebettafese187@gmail.com</t>
  </si>
  <si>
    <t>Emebet</t>
  </si>
  <si>
    <t>ramadanhaji76@gmail.com</t>
  </si>
  <si>
    <t>Ramadan</t>
  </si>
  <si>
    <t>Haji</t>
  </si>
  <si>
    <t>jiroyadeta@gmail.com</t>
  </si>
  <si>
    <t>Jirenya</t>
  </si>
  <si>
    <t>yadata</t>
  </si>
  <si>
    <t>barsebodawud@gmail.com</t>
  </si>
  <si>
    <t>dagmawitgoitom2004@gmail.com</t>
  </si>
  <si>
    <t>bikiltutaffese@gmail.com</t>
  </si>
  <si>
    <t>Teffase</t>
  </si>
  <si>
    <t>rebumadebisa1@gmail.com</t>
  </si>
  <si>
    <t>Rebuma</t>
  </si>
  <si>
    <t>hanaeshete77@gmail.com</t>
  </si>
  <si>
    <t>eshete</t>
  </si>
  <si>
    <t>kenenisagetachewjo@gmail.com</t>
  </si>
  <si>
    <t>Kenenisa</t>
  </si>
  <si>
    <t>masiolani65@gmail.com</t>
  </si>
  <si>
    <t>adisforx24@gmail.com</t>
  </si>
  <si>
    <t>Tina</t>
  </si>
  <si>
    <t>mehaleytess@gmail.com</t>
  </si>
  <si>
    <t>Mehaley</t>
  </si>
  <si>
    <t>dawitiyob74@gmail.com</t>
  </si>
  <si>
    <t>Iyob</t>
  </si>
  <si>
    <t>abdi.rebuma@aau.edu.et</t>
  </si>
  <si>
    <t>haymanotdebashu@gmail.com</t>
  </si>
  <si>
    <t>debashu</t>
  </si>
  <si>
    <t>chala.gindaba-ug@aau.edu.et</t>
  </si>
  <si>
    <t>Gindaba</t>
  </si>
  <si>
    <t>mekonnendaniel79@gmail.com</t>
  </si>
  <si>
    <t>chaltuwako12@gmail.com</t>
  </si>
  <si>
    <t>amimesfin3@gmail.com</t>
  </si>
  <si>
    <t>mesfin</t>
  </si>
  <si>
    <t>besufikadroba41@gmail.com</t>
  </si>
  <si>
    <t>arsemsolo@gmail.com</t>
  </si>
  <si>
    <t>tsigealamirew@gmail.com</t>
  </si>
  <si>
    <t>Alamirew</t>
  </si>
  <si>
    <t>alazaraddis79@gmail.com</t>
  </si>
  <si>
    <t>abdihassanyaani@gmail.com</t>
  </si>
  <si>
    <t>hanankedir97@gmail.com</t>
  </si>
  <si>
    <t>Hanan</t>
  </si>
  <si>
    <t>tsega.f@yaho.com</t>
  </si>
  <si>
    <t>solietesgera@gmail.com</t>
  </si>
  <si>
    <t>tadessezin@gmail.com</t>
  </si>
  <si>
    <t>Zinaye</t>
  </si>
  <si>
    <t>arsematariku505@gmail.com</t>
  </si>
  <si>
    <t>fikerlemma16@gmail.com</t>
  </si>
  <si>
    <t>asujirenya@gmail.com</t>
  </si>
  <si>
    <t>Asu</t>
  </si>
  <si>
    <t>teshaleadmas@gmail.com</t>
  </si>
  <si>
    <t>Admas</t>
  </si>
  <si>
    <t>dagimaddis@gmail.com</t>
  </si>
  <si>
    <t>fikadietegegne@gmail.com</t>
  </si>
  <si>
    <t>anduamlakbogale@gmail.com</t>
  </si>
  <si>
    <t>Anduamlak</t>
  </si>
  <si>
    <t>fistumassefa@gamil.com</t>
  </si>
  <si>
    <t>danielchanie@gmail.com</t>
  </si>
  <si>
    <t>gibtseadibaru@gmail.com</t>
  </si>
  <si>
    <t>Gibtse</t>
  </si>
  <si>
    <t>Adibaru</t>
  </si>
  <si>
    <t>motibirhanu@gmail.com</t>
  </si>
  <si>
    <t>bontutemesgen75@gmail.com</t>
  </si>
  <si>
    <t>redietaklilu14@gmail.com</t>
  </si>
  <si>
    <t>chaliworkineh@gmail.com</t>
  </si>
  <si>
    <t>muluabi897@gmail.com</t>
  </si>
  <si>
    <t>abi</t>
  </si>
  <si>
    <t>dessieyalew06@gmail.com</t>
  </si>
  <si>
    <t>Dassiew</t>
  </si>
  <si>
    <t>wedajnew</t>
  </si>
  <si>
    <t>admasdesalegn@gmail.com</t>
  </si>
  <si>
    <t>sifanb1221@gmail.com</t>
  </si>
  <si>
    <t>Birke</t>
  </si>
  <si>
    <t>Degife</t>
  </si>
  <si>
    <t>ashagriealexkfie@gmail.com</t>
  </si>
  <si>
    <t>danielbeshaw588@gmail.com</t>
  </si>
  <si>
    <t>danielalemayehu69@gmail.com</t>
  </si>
  <si>
    <t>znedani945@gmail.com</t>
  </si>
  <si>
    <t>endagermasire@gmail.com</t>
  </si>
  <si>
    <t>Endager</t>
  </si>
  <si>
    <t>Mesire</t>
  </si>
  <si>
    <t>em677409@gmail.com</t>
  </si>
  <si>
    <t>Esamel</t>
  </si>
  <si>
    <t>kalabadeladay@gmail.com</t>
  </si>
  <si>
    <t>Adeladay</t>
  </si>
  <si>
    <t>beziegirma@gmail.com</t>
  </si>
  <si>
    <t>kidisttolosa725@gmail.com</t>
  </si>
  <si>
    <t>mahiyalew@gmail.com</t>
  </si>
  <si>
    <t>mastewalworku02@gmail.com</t>
  </si>
  <si>
    <t>Mastewal</t>
  </si>
  <si>
    <t>shieldxira@gmail.com</t>
  </si>
  <si>
    <t>mulezewde@gmail.com</t>
  </si>
  <si>
    <t>mulunehmandro46@gmail.com</t>
  </si>
  <si>
    <t>Mulune</t>
  </si>
  <si>
    <t>Mandaro</t>
  </si>
  <si>
    <t>tigistsetie@gmail.com</t>
  </si>
  <si>
    <t>Sete</t>
  </si>
  <si>
    <t>tsiontesafaye@gmail.com</t>
  </si>
  <si>
    <t>yirgalemabera93@gmail.com</t>
  </si>
  <si>
    <t>Yergalem</t>
  </si>
  <si>
    <t>kaleab24gebreselassie@gmail.com</t>
  </si>
  <si>
    <t>fenilema636@gmail.com</t>
  </si>
  <si>
    <t>Fanu</t>
  </si>
  <si>
    <t>netsidegfe@gmail.com</t>
  </si>
  <si>
    <t>eab68303@gmail.com</t>
  </si>
  <si>
    <t>Weynisht</t>
  </si>
  <si>
    <t>rebka12b@gmail.com</t>
  </si>
  <si>
    <t>Ribka</t>
  </si>
  <si>
    <t>kastro</t>
  </si>
  <si>
    <t>lemagizaw8@gmail.com</t>
  </si>
  <si>
    <t>Falkland Islands</t>
  </si>
  <si>
    <t>dbefeaau@yahoo.com</t>
  </si>
  <si>
    <t>Dr Befikadu</t>
  </si>
  <si>
    <t>Dhaba</t>
  </si>
  <si>
    <t>andualemyamrot@gmail.com</t>
  </si>
  <si>
    <t>Yamrot</t>
  </si>
  <si>
    <t>zerihundemsew@gmail.com</t>
  </si>
  <si>
    <t>Demisew</t>
  </si>
  <si>
    <t>mastuudegife@gmail.com</t>
  </si>
  <si>
    <t>Mestawet</t>
  </si>
  <si>
    <t>mtdegife@gmail.com</t>
  </si>
  <si>
    <t>adisudechasadechasa@gmail.com</t>
  </si>
  <si>
    <t>charatesfa@gmail.com</t>
  </si>
  <si>
    <t>Chara</t>
  </si>
  <si>
    <t>lalisamesfin@gmail.com</t>
  </si>
  <si>
    <t>buzabiy@gmail.com</t>
  </si>
  <si>
    <t>Buzayew</t>
  </si>
  <si>
    <t>Desale</t>
  </si>
  <si>
    <t>deribeking@gmail.com</t>
  </si>
  <si>
    <t>Woga</t>
  </si>
  <si>
    <t>mereraehetu@gmail.com</t>
  </si>
  <si>
    <t>Merera</t>
  </si>
  <si>
    <t>tibebushimelis133@gmail.com</t>
  </si>
  <si>
    <t>Tibebu</t>
  </si>
  <si>
    <t>chala.gelchu-ug@aau.ed.et</t>
  </si>
  <si>
    <t>Gelchu</t>
  </si>
  <si>
    <t>ganfure@gmail.com</t>
  </si>
  <si>
    <t>Mosisa</t>
  </si>
  <si>
    <t>hanabulti@gmail.com</t>
  </si>
  <si>
    <t>naoldagnachew73@gmail.com</t>
  </si>
  <si>
    <t>kasokabeto@gmail.com</t>
  </si>
  <si>
    <t>Kaso</t>
  </si>
  <si>
    <t>dagmbemnet@gmail.com</t>
  </si>
  <si>
    <t>Bemlak</t>
  </si>
  <si>
    <t>rebiramuleta6@gmail.com</t>
  </si>
  <si>
    <t>Rebira</t>
  </si>
  <si>
    <t>tinsae1@gmail.com</t>
  </si>
  <si>
    <t>Zelalam</t>
  </si>
  <si>
    <t>tizazu0@gmail.com</t>
  </si>
  <si>
    <t>Oljira</t>
  </si>
  <si>
    <t>diribawaktola@gmail.com</t>
  </si>
  <si>
    <t>Waktola</t>
  </si>
  <si>
    <t>mekonennadi70@gmail.com</t>
  </si>
  <si>
    <t>ayantubulcha@gmail.com</t>
  </si>
  <si>
    <t>hagos.des27@gmail.com</t>
  </si>
  <si>
    <t>Hagos</t>
  </si>
  <si>
    <t>Muruts</t>
  </si>
  <si>
    <t>bereketadamsseged@gmail.com</t>
  </si>
  <si>
    <t>abelalemneh68@gmail.com</t>
  </si>
  <si>
    <t>Alemneh</t>
  </si>
  <si>
    <t>hawikoo198@gmail.com</t>
  </si>
  <si>
    <t>Sanyi</t>
  </si>
  <si>
    <t>Addugna</t>
  </si>
  <si>
    <t>hiwimelke934@gmail.com</t>
  </si>
  <si>
    <t>davegirma7@gmail.com</t>
  </si>
  <si>
    <t>edanfikadu2@gmail.com</t>
  </si>
  <si>
    <t>Edan</t>
  </si>
  <si>
    <t>yibeltalhaimereyalew@gmail.com</t>
  </si>
  <si>
    <t>yibeltal haimere</t>
  </si>
  <si>
    <t>firaolhailu55@gmail.com</t>
  </si>
  <si>
    <t>lensabelachew96@gmail.com</t>
  </si>
  <si>
    <t>.yabtedi42@gamil.com</t>
  </si>
  <si>
    <t>senashumi8@gmail.com</t>
  </si>
  <si>
    <t>Shumi</t>
  </si>
  <si>
    <t>haliqutube@gmail.com</t>
  </si>
  <si>
    <t>Murad</t>
  </si>
  <si>
    <t>abeshanatnael@gmail.com</t>
  </si>
  <si>
    <t>elsademisu@gmail.com</t>
  </si>
  <si>
    <t>Damisu</t>
  </si>
  <si>
    <t>chala.ugr-0653-17@aau.edu.et</t>
  </si>
  <si>
    <t>Fokora</t>
  </si>
  <si>
    <t>gammealemu@gmail.com</t>
  </si>
  <si>
    <t>tegegnbikila824@gmail.com</t>
  </si>
  <si>
    <t>talilemerga5@gmail.com</t>
  </si>
  <si>
    <t>Talile</t>
  </si>
  <si>
    <t>etsehiwotbekalu@gmail.com</t>
  </si>
  <si>
    <t>Etsehiwot</t>
  </si>
  <si>
    <t>meklitmarkos18@gmail.com</t>
  </si>
  <si>
    <t>hailuyordanos742@gmail.com</t>
  </si>
  <si>
    <t>amanuealgudetaabdisa@gmail.com</t>
  </si>
  <si>
    <t>Amanueal</t>
  </si>
  <si>
    <t>tesfalidetber17@gmail.com</t>
  </si>
  <si>
    <t>Tesfalidet</t>
  </si>
  <si>
    <t>Berhane</t>
  </si>
  <si>
    <t>hundaol73@gmail.com</t>
  </si>
  <si>
    <t>Hundaol</t>
  </si>
  <si>
    <t>Boja</t>
  </si>
  <si>
    <t>eyueldaniel690@gmail.com</t>
  </si>
  <si>
    <t>ofgehao@gmail.com</t>
  </si>
  <si>
    <t>Oftane</t>
  </si>
  <si>
    <t>abdisatsega@gmail.com</t>
  </si>
  <si>
    <t>chala.fetensa-ug@aau.edu.et</t>
  </si>
  <si>
    <t>Fetensa</t>
  </si>
  <si>
    <t>chimditake25@gmail.com</t>
  </si>
  <si>
    <t>Chimdi</t>
  </si>
  <si>
    <t>meronworeda5@gmail.com</t>
  </si>
  <si>
    <t>Werede</t>
  </si>
  <si>
    <t>asnakechalaasnechem@gmail.com</t>
  </si>
  <si>
    <t>Asnake</t>
  </si>
  <si>
    <t>chala</t>
  </si>
  <si>
    <t>emranhamza676@gmail.com</t>
  </si>
  <si>
    <t>Emran</t>
  </si>
  <si>
    <t>jireenyageetachoo@gmail.com</t>
  </si>
  <si>
    <t>ermiyas@gmail.com</t>
  </si>
  <si>
    <t>fikiraddisgetasew@gmail.com</t>
  </si>
  <si>
    <t>Getasew</t>
  </si>
  <si>
    <t>fikraddis</t>
  </si>
  <si>
    <t>degaga72@gmail.com</t>
  </si>
  <si>
    <t>kasahun</t>
  </si>
  <si>
    <t>beletedesalew@gmail.com</t>
  </si>
  <si>
    <t>desalew</t>
  </si>
  <si>
    <t>milkiikoo5@gmail.com</t>
  </si>
  <si>
    <t>welduashenafi@gmail.com</t>
  </si>
  <si>
    <t>Woldu</t>
  </si>
  <si>
    <t>cheratesfaye4@gmail.com</t>
  </si>
  <si>
    <t>Chera</t>
  </si>
  <si>
    <t>welduashenafi78@gmail.com</t>
  </si>
  <si>
    <t>mihiretmanaye973@gmail.com</t>
  </si>
  <si>
    <t>Manaye</t>
  </si>
  <si>
    <t>shewayod@gmail.com</t>
  </si>
  <si>
    <t>Shewa</t>
  </si>
  <si>
    <t>nebiytesema6@gmail.com</t>
  </si>
  <si>
    <t>nebiy</t>
  </si>
  <si>
    <t>abushewaga6@gmail.com</t>
  </si>
  <si>
    <t>Abushe</t>
  </si>
  <si>
    <t>waga</t>
  </si>
  <si>
    <t>f6221257@gmail.com</t>
  </si>
  <si>
    <t>naoldajene0@gmail.com</t>
  </si>
  <si>
    <t>tokumagutu13@gmail.com</t>
  </si>
  <si>
    <t>Tokuma</t>
  </si>
  <si>
    <t>sisaylege22@gmail.com</t>
  </si>
  <si>
    <t>gesese</t>
  </si>
  <si>
    <t>bekeleayyu@gmail.com</t>
  </si>
  <si>
    <t>muluhana09@gmail.com</t>
  </si>
  <si>
    <t>Yeshi</t>
  </si>
  <si>
    <t>godolyasgirum@gmail.com</t>
  </si>
  <si>
    <t>aberatesfaye12345@gmail.com</t>
  </si>
  <si>
    <t>kirubeladdis727@gmail.com</t>
  </si>
  <si>
    <t>beshirs200@gmail.com</t>
  </si>
  <si>
    <t>sultan</t>
  </si>
  <si>
    <t>gadaadola293@gmail.com</t>
  </si>
  <si>
    <t>Adola</t>
  </si>
  <si>
    <t>fevengebremikael27@gmail.com</t>
  </si>
  <si>
    <t>feven</t>
  </si>
  <si>
    <t>gebremikael</t>
  </si>
  <si>
    <t>muhamedahimed71@gmail.com</t>
  </si>
  <si>
    <t>etanamenberu2@gmail.com</t>
  </si>
  <si>
    <t>Etana</t>
  </si>
  <si>
    <t>Menberu</t>
  </si>
  <si>
    <t>zenebe1009@gmail.com</t>
  </si>
  <si>
    <t>lachisaabera41@gmail.com</t>
  </si>
  <si>
    <t>regasayadesa91@gmail.com</t>
  </si>
  <si>
    <t>Yadesa</t>
  </si>
  <si>
    <t>jahbezbrook@gmail.com</t>
  </si>
  <si>
    <t>z.weirky@gmail.com</t>
  </si>
  <si>
    <t>Gezahagn</t>
  </si>
  <si>
    <t>danieltilahune603@gmail.com</t>
  </si>
  <si>
    <t>liyakura120@gmail.com</t>
  </si>
  <si>
    <t>Liya Kurabachew</t>
  </si>
  <si>
    <t>Shewawerk</t>
  </si>
  <si>
    <t>mifthaabduljawad7@gmail.com</t>
  </si>
  <si>
    <t>Miftha</t>
  </si>
  <si>
    <t>abduljawad</t>
  </si>
  <si>
    <t>eshetuniguse17@gmail.com</t>
  </si>
  <si>
    <t>meronamariw987@gmail.com</t>
  </si>
  <si>
    <t>MERO</t>
  </si>
  <si>
    <t>AMARIW</t>
  </si>
  <si>
    <t>mulukengetachew5603@gmail.com</t>
  </si>
  <si>
    <t>abelsol333@gmail.com</t>
  </si>
  <si>
    <t>betelhemzemenu993@gmail.com</t>
  </si>
  <si>
    <t>Zemenu</t>
  </si>
  <si>
    <t>hireebiranu@gmail.com</t>
  </si>
  <si>
    <t>takelenedesa2021@gmail.com</t>
  </si>
  <si>
    <t>TEKELE</t>
  </si>
  <si>
    <t>NEDESA</t>
  </si>
  <si>
    <t>metiolasfw@gmail.com</t>
  </si>
  <si>
    <t>brilliantahmed101@gmail.com</t>
  </si>
  <si>
    <t>AHMED</t>
  </si>
  <si>
    <t>GUZACHEW</t>
  </si>
  <si>
    <t>fenetearar71@gmail.com</t>
  </si>
  <si>
    <t>fikiruboka83@gmail.com</t>
  </si>
  <si>
    <t>Boka</t>
  </si>
  <si>
    <t>abdulazizshukiry@gmail.com</t>
  </si>
  <si>
    <t>ABDULAZIZ</t>
  </si>
  <si>
    <t>SHUKRIY</t>
  </si>
  <si>
    <t>gutuolkeba@gmail.com</t>
  </si>
  <si>
    <t>mintesinotajema@gmail.com</t>
  </si>
  <si>
    <t>Ajema</t>
  </si>
  <si>
    <t>pauleimiru@gmail.com</t>
  </si>
  <si>
    <t>Paulos</t>
  </si>
  <si>
    <t>Imiru</t>
  </si>
  <si>
    <t>fentatadesse201@gmail.com</t>
  </si>
  <si>
    <t>aschenektitina@gmail.com</t>
  </si>
  <si>
    <t>Titina</t>
  </si>
  <si>
    <t>Aschenek</t>
  </si>
  <si>
    <t>sewanalcan@gmail.com</t>
  </si>
  <si>
    <t>Semegn</t>
  </si>
  <si>
    <t>Semawu</t>
  </si>
  <si>
    <t>nattywolden4@gmail.com</t>
  </si>
  <si>
    <t>kebektade73@gmail.com</t>
  </si>
  <si>
    <t>teshomesoliyana0@gmail.com</t>
  </si>
  <si>
    <t>ibsasaketa@gmail.com</t>
  </si>
  <si>
    <t>Deribsa</t>
  </si>
  <si>
    <t>nati.yobas45@gmail.com</t>
  </si>
  <si>
    <t>jitu2020@gmail.com</t>
  </si>
  <si>
    <t>dani.girmayo@gmail.com</t>
  </si>
  <si>
    <t>girma aregawi</t>
  </si>
  <si>
    <t>selam.aregay6@gmail.com</t>
  </si>
  <si>
    <t>Yaregal ketam</t>
  </si>
  <si>
    <t>ayanateferi@gmail.com</t>
  </si>
  <si>
    <t>silenatgetinet9@gmail.com</t>
  </si>
  <si>
    <t>Silenat</t>
  </si>
  <si>
    <t>Getinet</t>
  </si>
  <si>
    <t>gutuolkeba1@gmail.com</t>
  </si>
  <si>
    <t>yaredlema496@gmail.com</t>
  </si>
  <si>
    <t>dinkagude82@gmail.com</t>
  </si>
  <si>
    <t>ftadesse534@gmail.com</t>
  </si>
  <si>
    <t>bontuwakshuma48@gmail.com</t>
  </si>
  <si>
    <t>efegudeta0@gmail.com</t>
  </si>
  <si>
    <t>Efe</t>
  </si>
  <si>
    <t>gulumadere@gmail.com</t>
  </si>
  <si>
    <t>aklilualemu383@gmail.com</t>
  </si>
  <si>
    <t>amadtsega45@gmail.com</t>
  </si>
  <si>
    <t>Amad</t>
  </si>
  <si>
    <t>fedesa2611@gmail.com</t>
  </si>
  <si>
    <t>Tayina</t>
  </si>
  <si>
    <t>mideksayordi@gmail.com</t>
  </si>
  <si>
    <t>Mideksa</t>
  </si>
  <si>
    <t>biliseshifeta6098@gmail.com</t>
  </si>
  <si>
    <t>samuelxone34@gmail.com</t>
  </si>
  <si>
    <t>Xone</t>
  </si>
  <si>
    <t>feyodaniel@gmail.com</t>
  </si>
  <si>
    <t>samrina71898154@gmail.com</t>
  </si>
  <si>
    <t>amhamezgebu1987@gmail.com</t>
  </si>
  <si>
    <t>Geremu</t>
  </si>
  <si>
    <t>temendale@gmail.com</t>
  </si>
  <si>
    <t>aliihussendaawwee@gmail.com</t>
  </si>
  <si>
    <t>Dawe</t>
  </si>
  <si>
    <t>suudiisay67@gmail.com</t>
  </si>
  <si>
    <t>Sudi</t>
  </si>
  <si>
    <t>Sailu</t>
  </si>
  <si>
    <t>keresatesfa@gmail.com</t>
  </si>
  <si>
    <t>Keresa</t>
  </si>
  <si>
    <t>gudina@gmail.com</t>
  </si>
  <si>
    <t>bekdahlak@gmail.com</t>
  </si>
  <si>
    <t>haywanotesema345@gmail.com</t>
  </si>
  <si>
    <t>wondygez03@gmail.com</t>
  </si>
  <si>
    <t>Wendmageng</t>
  </si>
  <si>
    <t>Gezagn</t>
  </si>
  <si>
    <t>sharewsharew17@gmail.com</t>
  </si>
  <si>
    <t>Sharew</t>
  </si>
  <si>
    <t>simegn</t>
  </si>
  <si>
    <t>asterchala61@gmail.com</t>
  </si>
  <si>
    <t>wakothegreat43@gmail.com</t>
  </si>
  <si>
    <t>hawi2129@gmail.com</t>
  </si>
  <si>
    <t>tigistnigusa123@gmail.com</t>
  </si>
  <si>
    <t>niguse</t>
  </si>
  <si>
    <t>edentsegaye@gmail.com</t>
  </si>
  <si>
    <t>mahdinmuniliyet1@gmail.com</t>
  </si>
  <si>
    <t>Mahdin</t>
  </si>
  <si>
    <t>Muniliyet</t>
  </si>
  <si>
    <t>selammebratu46@gmail.com</t>
  </si>
  <si>
    <t>eyobdegefa4632@gmail.com</t>
  </si>
  <si>
    <t>solomonhailu@gmail.com</t>
  </si>
  <si>
    <t>mereragirma@gmail.com</t>
  </si>
  <si>
    <t>eshetyalew12@gmail.com</t>
  </si>
  <si>
    <t>eshet</t>
  </si>
  <si>
    <t>mohamedshemil24@gmail.com</t>
  </si>
  <si>
    <t>Finland</t>
  </si>
  <si>
    <t>keebar28@gmail.com</t>
  </si>
  <si>
    <t>Masfin</t>
  </si>
  <si>
    <t>sisayadmasu002@gmail.com</t>
  </si>
  <si>
    <t>KETERO</t>
  </si>
  <si>
    <t>fenanshibiru@gmail.com</t>
  </si>
  <si>
    <t>seblewongelmeshesha@gmail.com</t>
  </si>
  <si>
    <t>Seblewongel</t>
  </si>
  <si>
    <t>tsgehiwetk@gmail.com</t>
  </si>
  <si>
    <t>Tsgehiwet</t>
  </si>
  <si>
    <t>guidingg8@gmail.com</t>
  </si>
  <si>
    <t>Woreta</t>
  </si>
  <si>
    <t>abditesfa@gmail.com</t>
  </si>
  <si>
    <t>bilisefikru@gmail.com</t>
  </si>
  <si>
    <t>dameeyasu34@gmail.com</t>
  </si>
  <si>
    <t>obsabacha@gmail.com</t>
  </si>
  <si>
    <t>firebekuma@gmail.com</t>
  </si>
  <si>
    <t>Fire</t>
  </si>
  <si>
    <t>Bekuma</t>
  </si>
  <si>
    <t>roberarabira21@gmail.com</t>
  </si>
  <si>
    <t>damedegefa@gmail.com</t>
  </si>
  <si>
    <t>caltukumsa25@gmail.com</t>
  </si>
  <si>
    <t>dawitdefa@gmail.com</t>
  </si>
  <si>
    <t>Dafa</t>
  </si>
  <si>
    <t>bonagelata@gmail.com</t>
  </si>
  <si>
    <t>Gelata</t>
  </si>
  <si>
    <t>mesfingenat@gmail.com</t>
  </si>
  <si>
    <t>Genat</t>
  </si>
  <si>
    <t>kebedewabi9@gmail.com</t>
  </si>
  <si>
    <t>girmahabtamu3445@gmail.com</t>
  </si>
  <si>
    <t>Girna</t>
  </si>
  <si>
    <t>eluti018@gmail.com</t>
  </si>
  <si>
    <t>Ilham</t>
  </si>
  <si>
    <t>tmadungwe+testnewpath@alxafrica.com</t>
  </si>
  <si>
    <t>Tatenda</t>
  </si>
  <si>
    <t>NewPathTest</t>
  </si>
  <si>
    <t>Mauritius</t>
  </si>
  <si>
    <t>agaremegersa95@gmail.com</t>
  </si>
  <si>
    <t>Agare</t>
  </si>
  <si>
    <t>rufaealfetene119@gmail.com</t>
  </si>
  <si>
    <t>Rufael</t>
  </si>
  <si>
    <t>boneywaktole@gmail.com</t>
  </si>
  <si>
    <t>wondimusorsa@gmail.com</t>
  </si>
  <si>
    <t>Sorsa</t>
  </si>
  <si>
    <t>sosinasisay@gmail.com</t>
  </si>
  <si>
    <t>takeleamen9@gmail.com</t>
  </si>
  <si>
    <t>Amenu</t>
  </si>
  <si>
    <t>ibsaabrasha67@gmail.com</t>
  </si>
  <si>
    <t>Abrasha</t>
  </si>
  <si>
    <t>oliyadabdisa9@gmail.com</t>
  </si>
  <si>
    <t>yohanisalemu6524@gmail.com</t>
  </si>
  <si>
    <t>bilisumaaberah@gmail.com</t>
  </si>
  <si>
    <t>Bilisuma</t>
  </si>
  <si>
    <t>ta208802@gmail.com</t>
  </si>
  <si>
    <t>firomtuteshome@gmail.com</t>
  </si>
  <si>
    <t>Firomtu</t>
  </si>
  <si>
    <t>biliseabera8@gmail.com</t>
  </si>
  <si>
    <t>mellesemg2014@gmail.com</t>
  </si>
  <si>
    <t>addinatkindu@gmail.com</t>
  </si>
  <si>
    <t>Adoniyat</t>
  </si>
  <si>
    <t>Kindu</t>
  </si>
  <si>
    <t>yadeltz@gmail.com</t>
  </si>
  <si>
    <t>Yadata</t>
  </si>
  <si>
    <t>tsegayearchae12@gmail.com</t>
  </si>
  <si>
    <t>Archaye</t>
  </si>
  <si>
    <t>binyam87@gmail.com</t>
  </si>
  <si>
    <t>dagnefitsum@gmail.com</t>
  </si>
  <si>
    <t>yonityleg1979@gmail.com</t>
  </si>
  <si>
    <t>legesse</t>
  </si>
  <si>
    <t>tesfaye2jesus@gmail.com</t>
  </si>
  <si>
    <t>Abdeta</t>
  </si>
  <si>
    <t>ayutefera249@gmail.com</t>
  </si>
  <si>
    <t>misikirt319@gmail.com</t>
  </si>
  <si>
    <t>Misirak</t>
  </si>
  <si>
    <t>gashee</t>
  </si>
  <si>
    <t>daniealayele@gmail.com</t>
  </si>
  <si>
    <t>Danieal</t>
  </si>
  <si>
    <t>destaroba1@gmail.com</t>
  </si>
  <si>
    <t>motumatakele6@gmail.com</t>
  </si>
  <si>
    <t>Motuma</t>
  </si>
  <si>
    <t>michealkebede19@gmail.com</t>
  </si>
  <si>
    <t>bilisumalikisa6@gmail.com</t>
  </si>
  <si>
    <t>zelekearficho@gmail.com</t>
  </si>
  <si>
    <t>Arficho</t>
  </si>
  <si>
    <t>workudureti@gmail.com</t>
  </si>
  <si>
    <t>Bizunesh</t>
  </si>
  <si>
    <t>obsegirma0@gmail.com</t>
  </si>
  <si>
    <t>asiyaindris48@gmail.com</t>
  </si>
  <si>
    <t>Indris</t>
  </si>
  <si>
    <t>derartutilahun962@gmail.com</t>
  </si>
  <si>
    <t>deribeworkineh@gmail.com</t>
  </si>
  <si>
    <t>workineh</t>
  </si>
  <si>
    <t>astermekonen178@gmail.com</t>
  </si>
  <si>
    <t>hulemaddis6@gmail.com</t>
  </si>
  <si>
    <t>ebabrehanu@gmail.com</t>
  </si>
  <si>
    <t>Brehanu</t>
  </si>
  <si>
    <t>alemanteayalew2017@gmail.com</t>
  </si>
  <si>
    <t>Alemante</t>
  </si>
  <si>
    <t>abrahammelese430@gmail.com</t>
  </si>
  <si>
    <t>Malesse</t>
  </si>
  <si>
    <t>kenotemesgen948@gmail.com</t>
  </si>
  <si>
    <t>tamiratzekiwos@gmail.com</t>
  </si>
  <si>
    <t>Zekiwos</t>
  </si>
  <si>
    <t>fayeranamo@gmail.com</t>
  </si>
  <si>
    <t>Namo</t>
  </si>
  <si>
    <t>begashawuseblawengel@gmail.com</t>
  </si>
  <si>
    <t>Seblawengle</t>
  </si>
  <si>
    <t>Begashawu</t>
  </si>
  <si>
    <t>gerebz031@gmail.com</t>
  </si>
  <si>
    <t>tolosagedefa872@gmail.com</t>
  </si>
  <si>
    <t>Gedefa</t>
  </si>
  <si>
    <t>dandifikadu186@gmail.com</t>
  </si>
  <si>
    <t>Dandi</t>
  </si>
  <si>
    <t>atomsatadese@gmail.com</t>
  </si>
  <si>
    <t>esubalewyirga2007@gmail.com</t>
  </si>
  <si>
    <t>yirga</t>
  </si>
  <si>
    <t>letukebeda@gmail.com</t>
  </si>
  <si>
    <t>Letu</t>
  </si>
  <si>
    <t>dematessema22@gmail.com</t>
  </si>
  <si>
    <t>tesema</t>
  </si>
  <si>
    <t>takelebedane4@gmail.com</t>
  </si>
  <si>
    <t>Bedane</t>
  </si>
  <si>
    <t>diriba5108@gmail.com</t>
  </si>
  <si>
    <t>Taso</t>
  </si>
  <si>
    <t>zebenaygetu720@gmail.com</t>
  </si>
  <si>
    <t>Zebenay</t>
  </si>
  <si>
    <t>kamalabdimom143@gmail.com</t>
  </si>
  <si>
    <t>Kamal</t>
  </si>
  <si>
    <t>atibafiraol@gmail.com</t>
  </si>
  <si>
    <t>Atiba</t>
  </si>
  <si>
    <t>bitanemendllk@gmail.com</t>
  </si>
  <si>
    <t>Bethelihem</t>
  </si>
  <si>
    <t>guteman282@gmail.com</t>
  </si>
  <si>
    <t>abarraa</t>
  </si>
  <si>
    <t>adisetemesgen132@gmail.com</t>
  </si>
  <si>
    <t>Adise</t>
  </si>
  <si>
    <t>afomiagizaw@gmail.com</t>
  </si>
  <si>
    <t>ttigist731@gmail.com</t>
  </si>
  <si>
    <t>battyeta@gmail.com</t>
  </si>
  <si>
    <t>amanuealjiregna@gmail.com</t>
  </si>
  <si>
    <t>alexanderabdissa@gemil.com</t>
  </si>
  <si>
    <t>Alemayo</t>
  </si>
  <si>
    <t>bemnet466@gmail.com</t>
  </si>
  <si>
    <t>latahailu15@gmail.com</t>
  </si>
  <si>
    <t>Lata</t>
  </si>
  <si>
    <t>kidistdaniel173@gmail.com</t>
  </si>
  <si>
    <t>Faroe Islands</t>
  </si>
  <si>
    <t>mabdela859@gmail.com</t>
  </si>
  <si>
    <t>tamenemuleta@gmail.com</t>
  </si>
  <si>
    <t>jemeremerga0@gmail.com</t>
  </si>
  <si>
    <t>Jemere</t>
  </si>
  <si>
    <t>gelana3475@gmail.com</t>
  </si>
  <si>
    <t>kalkidan1677@gmail.com</t>
  </si>
  <si>
    <t>Hselassie</t>
  </si>
  <si>
    <t>bosenamensstie@gmail.com</t>
  </si>
  <si>
    <t>Bosena</t>
  </si>
  <si>
    <t>Mensstie</t>
  </si>
  <si>
    <t>kahmedin17@gmail.com</t>
  </si>
  <si>
    <t>tarekegndiriba60@gmail.com</t>
  </si>
  <si>
    <t>yonezekiyos@gmail.com</t>
  </si>
  <si>
    <t>lemahawi09@gmial.com</t>
  </si>
  <si>
    <t>tegegnabera067@gmail.com</t>
  </si>
  <si>
    <t>eyerustinbit3451@gmail.com</t>
  </si>
  <si>
    <t>Tinibit</t>
  </si>
  <si>
    <t>birmedizelalem@gmail.com</t>
  </si>
  <si>
    <t>Birmedi</t>
  </si>
  <si>
    <t>abittiabiram@gmail.com</t>
  </si>
  <si>
    <t>Abiraham</t>
  </si>
  <si>
    <t>29548415@gmail.com</t>
  </si>
  <si>
    <t>gadisaet@gamil.com</t>
  </si>
  <si>
    <t>takelechaltu2@gmail.com</t>
  </si>
  <si>
    <t>wondimubiniyam4@gmail.com</t>
  </si>
  <si>
    <t>tewabechbelachew213@gmail.com</t>
  </si>
  <si>
    <t>Selenat</t>
  </si>
  <si>
    <t>gabrelu735@gmail.com</t>
  </si>
  <si>
    <t>Gabru</t>
  </si>
  <si>
    <t>Asagidu</t>
  </si>
  <si>
    <t>kalselmon360@gmail.com</t>
  </si>
  <si>
    <t>Selamon</t>
  </si>
  <si>
    <t>damenebiyu86@gmail.com</t>
  </si>
  <si>
    <t>keno63tha@gmail.com</t>
  </si>
  <si>
    <t>tamiruefrem921@gmail.com</t>
  </si>
  <si>
    <t>urgoftuadugna@gmail.com</t>
  </si>
  <si>
    <t>Urgoftu</t>
  </si>
  <si>
    <t>demlieamarech@gmailm.com</t>
  </si>
  <si>
    <t>Amerech</t>
  </si>
  <si>
    <t>tamiratzekiwos8@gmail.com</t>
  </si>
  <si>
    <t>bonsajaleta-ug@aau.edu.et</t>
  </si>
  <si>
    <t>yaredendashaw-ug@aau.edu.et</t>
  </si>
  <si>
    <t>Endashaw</t>
  </si>
  <si>
    <t>abdobontu592@gmail.com</t>
  </si>
  <si>
    <t>bonsashifera-ug@aau.edu.et</t>
  </si>
  <si>
    <t>yose90420@gmail.com</t>
  </si>
  <si>
    <t>Yoseyas</t>
  </si>
  <si>
    <t>Teklu</t>
  </si>
  <si>
    <t>dame.diriba-ug@aau.edu.et</t>
  </si>
  <si>
    <t>tselottarekegn123@gmail.com</t>
  </si>
  <si>
    <t>TSELOT</t>
  </si>
  <si>
    <t>TEREKEGN</t>
  </si>
  <si>
    <t>beleteasefa270@gmail.com</t>
  </si>
  <si>
    <t>mergamimi4@gmail.com</t>
  </si>
  <si>
    <t>abditola41@gmail.com</t>
  </si>
  <si>
    <t>mulugetadebebe@gmail.com</t>
  </si>
  <si>
    <t>haptamutilahun56@gmail.com</t>
  </si>
  <si>
    <t>betelhemzelekeayalew796@gmail.com</t>
  </si>
  <si>
    <t>alemuyonas@gmail.com</t>
  </si>
  <si>
    <t>tolerafikadu2013@gmail.com</t>
  </si>
  <si>
    <t>ntbeweket@gmail.com</t>
  </si>
  <si>
    <t>Beweket</t>
  </si>
  <si>
    <t>amlakunega0@gmail.com</t>
  </si>
  <si>
    <t>Amlaku</t>
  </si>
  <si>
    <t>shugutigeramu@gmail.com</t>
  </si>
  <si>
    <t>Shuguxii</t>
  </si>
  <si>
    <t>mikiasgetnet5@gmail.com</t>
  </si>
  <si>
    <t>k3rajger3mew@gmail.com</t>
  </si>
  <si>
    <t>Keraj</t>
  </si>
  <si>
    <t>dechasabayisa@jit.com</t>
  </si>
  <si>
    <t>nagesaadisu@gmail.com</t>
  </si>
  <si>
    <t>berhanuhanna620@gmail.com</t>
  </si>
  <si>
    <t>zenebemulalem@gmail.com</t>
  </si>
  <si>
    <t>Mulalem</t>
  </si>
  <si>
    <t>betiabe12@gmail.com</t>
  </si>
  <si>
    <t>ddachasa586@gmail.com</t>
  </si>
  <si>
    <t>Dachasa</t>
  </si>
  <si>
    <t>Dabalo</t>
  </si>
  <si>
    <t>yonatankasahun3@gmail.com</t>
  </si>
  <si>
    <t>Yonatan Kasahun</t>
  </si>
  <si>
    <t>kaleabdawit-ug@aau.edu.et</t>
  </si>
  <si>
    <t>dandikidane-ug@aau.edu.et</t>
  </si>
  <si>
    <t>lielina1984@gmail.com</t>
  </si>
  <si>
    <t>Lielina</t>
  </si>
  <si>
    <t>Gebremedin</t>
  </si>
  <si>
    <t>kokirooti24@gmail.com</t>
  </si>
  <si>
    <t>Kokob</t>
  </si>
  <si>
    <t>brookya2018@gmail.com</t>
  </si>
  <si>
    <t>leulaprince@gmail.com</t>
  </si>
  <si>
    <t>Liul</t>
  </si>
  <si>
    <t>mierafmuluneh491@gmail.com</t>
  </si>
  <si>
    <t>Mieraf</t>
  </si>
  <si>
    <t>dbtdryb@gmail.com</t>
  </si>
  <si>
    <t>Tegegbne</t>
  </si>
  <si>
    <t>abditsegaye60@gmali.com</t>
  </si>
  <si>
    <t>meneliks100@gmail.com</t>
  </si>
  <si>
    <t>Menilik</t>
  </si>
  <si>
    <t>uraelgm@gmail.com</t>
  </si>
  <si>
    <t>Urael</t>
  </si>
  <si>
    <t>hermi.yehisho7@gmail.com</t>
  </si>
  <si>
    <t>Yaisho</t>
  </si>
  <si>
    <t>natnaelworkneh34@gmail.com</t>
  </si>
  <si>
    <t>Workine</t>
  </si>
  <si>
    <t>yhagos28@gmail.com</t>
  </si>
  <si>
    <t>kidist.tesfayea@gmail.com</t>
  </si>
  <si>
    <t>zeurexg@gmail.com</t>
  </si>
  <si>
    <t>Tewudros</t>
  </si>
  <si>
    <t>meikutesfaye61@gmail.com</t>
  </si>
  <si>
    <t>Metiku</t>
  </si>
  <si>
    <t>10mikitiki@gmail.com</t>
  </si>
  <si>
    <t>nowlawi20@gmail.com</t>
  </si>
  <si>
    <t>Nolawi</t>
  </si>
  <si>
    <t>Nol</t>
  </si>
  <si>
    <t>lucky16.daddy@gmail.com</t>
  </si>
  <si>
    <t>Bentiwalu</t>
  </si>
  <si>
    <t>kidistayenew89@gmail.com</t>
  </si>
  <si>
    <t>Ayanaw</t>
  </si>
  <si>
    <t>martimorkama@gmail.com</t>
  </si>
  <si>
    <t>lenuyebaba21@gmail.com</t>
  </si>
  <si>
    <t>Iticha</t>
  </si>
  <si>
    <t>leulbiru25@gmail.com</t>
  </si>
  <si>
    <t>yg3841@gmail.com</t>
  </si>
  <si>
    <t>kidist.belay5@gmail.com</t>
  </si>
  <si>
    <t>ermiyas.fikiru19@gmail.com</t>
  </si>
  <si>
    <t>besufikadyerdaw1212@gmail.com</t>
  </si>
  <si>
    <t>Yerdaw</t>
  </si>
  <si>
    <t>eyasumokonen@gmail.com</t>
  </si>
  <si>
    <t>dandimuke26@gmail.com</t>
  </si>
  <si>
    <t>Mukenint</t>
  </si>
  <si>
    <t>bontuolika567@gmail.com</t>
  </si>
  <si>
    <t>kaleyasu6940@gmail.com</t>
  </si>
  <si>
    <t>guyasaefrm22@gmail.com</t>
  </si>
  <si>
    <t>Guyasa</t>
  </si>
  <si>
    <t>tashome@gmail.com</t>
  </si>
  <si>
    <t>Tashome</t>
  </si>
  <si>
    <t>dawebay402@gmail.com</t>
  </si>
  <si>
    <t>natieman@gmail.com</t>
  </si>
  <si>
    <t>Nati</t>
  </si>
  <si>
    <t>tigistseyoum239@gmail.com</t>
  </si>
  <si>
    <t>bilisatare@gmail.com</t>
  </si>
  <si>
    <t>mergabirikisa@gmail.com</t>
  </si>
  <si>
    <t>Birikisa</t>
  </si>
  <si>
    <t>saronyemane11@gmail.com</t>
  </si>
  <si>
    <t>eyukeno@gmail.com</t>
  </si>
  <si>
    <t>amarugebru-ug@aau.edu.et</t>
  </si>
  <si>
    <t>Amaru</t>
  </si>
  <si>
    <t>abenezer.tefera-ug@aau.edu.et</t>
  </si>
  <si>
    <t>yonasbacha-ug@aau.edu.et</t>
  </si>
  <si>
    <t>abdulhefizkedir-ug@aau.edu.et</t>
  </si>
  <si>
    <t>Abdulhefiz</t>
  </si>
  <si>
    <t>tesfabegashaw@dbu.edu.et</t>
  </si>
  <si>
    <t>Begashaw</t>
  </si>
  <si>
    <t>tesfayemekonnen-ug@aau.edu.et</t>
  </si>
  <si>
    <t>yaredendashaaw-ug@aau.edu.et</t>
  </si>
  <si>
    <t>Yared123</t>
  </si>
  <si>
    <t>abebawyigzaw21@gmail.com</t>
  </si>
  <si>
    <t>milkesa0@gmail.com</t>
  </si>
  <si>
    <t>zeniniya4@gmail.com</t>
  </si>
  <si>
    <t>Zeniniya</t>
  </si>
  <si>
    <t>yosedebo@gmail.com</t>
  </si>
  <si>
    <t>selwa3858@gmail.com</t>
  </si>
  <si>
    <t>Selwa</t>
  </si>
  <si>
    <t>Rebi</t>
  </si>
  <si>
    <t>workuyew@gmail.com</t>
  </si>
  <si>
    <t>Yewileshet</t>
  </si>
  <si>
    <t>antenehget@gmail.com</t>
  </si>
  <si>
    <t>teshomeyirga74@gmail.com</t>
  </si>
  <si>
    <t>gemechu.bogale-ug@aau.edu.et</t>
  </si>
  <si>
    <t>amanuel.tamasgen-ug@aau.edu.et</t>
  </si>
  <si>
    <t>Tamasgen</t>
  </si>
  <si>
    <t>amanuel.worku-ug@aau.edu.et</t>
  </si>
  <si>
    <t>naol.dagnachew-ug@aau.edu.et</t>
  </si>
  <si>
    <t>borifol.sime-ug@aau.edu.et</t>
  </si>
  <si>
    <t>Borifol</t>
  </si>
  <si>
    <t>gebisa.adugna-ug@aau.edu.et</t>
  </si>
  <si>
    <t>selome.simur@gmail.com</t>
  </si>
  <si>
    <t>Selome</t>
  </si>
  <si>
    <t>Simur</t>
  </si>
  <si>
    <t>Qualification</t>
  </si>
  <si>
    <t>efiremtemesgen-ug@aau.edu.et</t>
  </si>
  <si>
    <t>Efirem</t>
  </si>
  <si>
    <t>Temesgen Phone Email</t>
  </si>
  <si>
    <t>rebumadebesa-ug@aau.edu.et</t>
  </si>
  <si>
    <t>Debesa</t>
  </si>
  <si>
    <t>debisaalemu-ug@aau.edu.et</t>
  </si>
  <si>
    <t>bodenabayisa@gmail.com</t>
  </si>
  <si>
    <t>feyisa</t>
  </si>
  <si>
    <t>aklesiatibebeaklesia@gmail.com</t>
  </si>
  <si>
    <t>naniye1224@gmail.com</t>
  </si>
  <si>
    <t>kecodibaba928@gmail.com</t>
  </si>
  <si>
    <t>Kacho</t>
  </si>
  <si>
    <t>felekeabdnarm@yahoo.com</t>
  </si>
  <si>
    <t>Abdulkerim</t>
  </si>
  <si>
    <t>negashblyi@gmail.com</t>
  </si>
  <si>
    <t>yawanyaf623@gmail.com</t>
  </si>
  <si>
    <t>Yawan</t>
  </si>
  <si>
    <t>melkamaregaw8@gmail.com</t>
  </si>
  <si>
    <t>Aregaw</t>
  </si>
  <si>
    <t>kalidibrahim4@gmail.com</t>
  </si>
  <si>
    <t>etsubsolomon50@gmail.com</t>
  </si>
  <si>
    <t>akanebraska@gmail.com</t>
  </si>
  <si>
    <t>Abiyi</t>
  </si>
  <si>
    <t>Kebru</t>
  </si>
  <si>
    <t>feyofite@gmail.com</t>
  </si>
  <si>
    <t>Fite</t>
  </si>
  <si>
    <t>linayeshanew@gmail.com</t>
  </si>
  <si>
    <t>yeshanew</t>
  </si>
  <si>
    <t>surafel890@gmail.com</t>
  </si>
  <si>
    <t>mrttdss@gmail.com</t>
  </si>
  <si>
    <t>betheletsegenet@gmail.com</t>
  </si>
  <si>
    <t>henanteshome13@gmail.com</t>
  </si>
  <si>
    <t>Henan</t>
  </si>
  <si>
    <t>danieltamrat560@gmail.com</t>
  </si>
  <si>
    <t>tamrat</t>
  </si>
  <si>
    <t>fayeratemesgen57@gmail.com</t>
  </si>
  <si>
    <t>jotekalbesa2021@gmail.com</t>
  </si>
  <si>
    <t>Jote</t>
  </si>
  <si>
    <t>Kalbesa</t>
  </si>
  <si>
    <t>biliseteshome29@gmail.com</t>
  </si>
  <si>
    <t>dugumaeyob@gmail.com</t>
  </si>
  <si>
    <t>natokebo@gmail.com</t>
  </si>
  <si>
    <t>fikirukaritu@gmail.com</t>
  </si>
  <si>
    <t>Karitu</t>
  </si>
  <si>
    <t>dagime51@gmail.com</t>
  </si>
  <si>
    <t>Dagime</t>
  </si>
  <si>
    <t>samuelteshome2002@gmail.com</t>
  </si>
  <si>
    <t>fasilmulatu5@gmail.com</t>
  </si>
  <si>
    <t>Fasil Mulatu</t>
  </si>
  <si>
    <t>Gelgel</t>
  </si>
  <si>
    <t>metytadale@gmail.com</t>
  </si>
  <si>
    <t>venopyx@gmail.com</t>
  </si>
  <si>
    <t>senatesfa773@gmail.com</t>
  </si>
  <si>
    <t>ebisetolosa04@gmail.com</t>
  </si>
  <si>
    <t>Ebise</t>
  </si>
  <si>
    <t>kebedeibsa2@gmail.com</t>
  </si>
  <si>
    <t>lelistunegasa@gmail.com</t>
  </si>
  <si>
    <t>Lelistu</t>
  </si>
  <si>
    <t>lemlemnani@gmail.com</t>
  </si>
  <si>
    <t>Lemlem</t>
  </si>
  <si>
    <t>Demoz</t>
  </si>
  <si>
    <t>debyfuf2020@gmail.com</t>
  </si>
  <si>
    <t>metamenmesfin24@gmail.com</t>
  </si>
  <si>
    <t>Metamen</t>
  </si>
  <si>
    <t>hsafb22@gmail.com</t>
  </si>
  <si>
    <t>Shumetie</t>
  </si>
  <si>
    <t>fasha.belaya@gmail.com</t>
  </si>
  <si>
    <t>obsimanabebe34@gmail.com</t>
  </si>
  <si>
    <t>ruthshumetie224@gmail.com</t>
  </si>
  <si>
    <t>berekethamid@gmail.com</t>
  </si>
  <si>
    <t>Hamid</t>
  </si>
  <si>
    <t>leti.burise-ug@aau.edu.et</t>
  </si>
  <si>
    <t>Leti</t>
  </si>
  <si>
    <t>Burise</t>
  </si>
  <si>
    <t>firomsa.aman-ug@aau.edu.et</t>
  </si>
  <si>
    <t>Firomsa</t>
  </si>
  <si>
    <t>nimozola2015@gmail.com</t>
  </si>
  <si>
    <t>Nimona</t>
  </si>
  <si>
    <t>cheramelkt@gmail.com</t>
  </si>
  <si>
    <t>ebafufa@gmail.com</t>
  </si>
  <si>
    <t>siyatare611@gmail.com</t>
  </si>
  <si>
    <t>Siyanet</t>
  </si>
  <si>
    <t>amanuelterka@gmail.com</t>
  </si>
  <si>
    <t>Tareka</t>
  </si>
  <si>
    <t>tesfahundesa@gmail.com</t>
  </si>
  <si>
    <t>Hundesa</t>
  </si>
  <si>
    <t>bekelecherinet19@gmail.com</t>
  </si>
  <si>
    <t>Start Your Application</t>
  </si>
  <si>
    <t>ashenafi1482@gmail.com</t>
  </si>
  <si>
    <t>atukenesa@gmail.com</t>
  </si>
  <si>
    <t>Atta</t>
  </si>
  <si>
    <t>bachetesgera@gmail.com</t>
  </si>
  <si>
    <t>Gamachis</t>
  </si>
  <si>
    <t>gtuetafa@gmail.com</t>
  </si>
  <si>
    <t>Etafa</t>
  </si>
  <si>
    <t>joeldiriba@gmail.com</t>
  </si>
  <si>
    <t>Yoel</t>
  </si>
  <si>
    <t>meryderaje@gmail.com</t>
  </si>
  <si>
    <t>Mariam</t>
  </si>
  <si>
    <t>Deraje</t>
  </si>
  <si>
    <t>lisataresa@gmail.com</t>
  </si>
  <si>
    <t>Lisa</t>
  </si>
  <si>
    <t>jiratabela@gmail.com</t>
  </si>
  <si>
    <t>hayumusejib@gmail.com</t>
  </si>
  <si>
    <t>Museyen</t>
  </si>
  <si>
    <t>alebachewtesafa70@gmail.com</t>
  </si>
  <si>
    <t>Liyew</t>
  </si>
  <si>
    <t>passed</t>
  </si>
  <si>
    <t>yared3057@gmail.com</t>
  </si>
  <si>
    <t>Masires</t>
  </si>
  <si>
    <t>yalewtarik@gmail.com</t>
  </si>
  <si>
    <t>ASCHALEW</t>
  </si>
  <si>
    <t>BULI</t>
  </si>
  <si>
    <t>bereketderebew11@gmail.com</t>
  </si>
  <si>
    <t>ayanawsintayehu@gmail.com</t>
  </si>
  <si>
    <t>Assaye</t>
  </si>
  <si>
    <t>demekekibru@gmail.com</t>
  </si>
  <si>
    <t>Anisa</t>
  </si>
  <si>
    <t>ummitoo55m@gmail.com</t>
  </si>
  <si>
    <t>Aisha</t>
  </si>
  <si>
    <t>Jaleto</t>
  </si>
  <si>
    <t>surafelkibru21@gmail.com</t>
  </si>
  <si>
    <t>yordanosmanaye30@gmail.com</t>
  </si>
  <si>
    <t>alemakefbaye63@gmail.com</t>
  </si>
  <si>
    <t>Alemakef</t>
  </si>
  <si>
    <t>Syum</t>
  </si>
  <si>
    <t>natinaeldesalegn89@gmail.com</t>
  </si>
  <si>
    <t>Adeko</t>
  </si>
  <si>
    <t>sofyanalisep12011@gmail.com</t>
  </si>
  <si>
    <t>Sofyan</t>
  </si>
  <si>
    <t>Sualih</t>
  </si>
  <si>
    <t>shewangzawabel8@gmail.com</t>
  </si>
  <si>
    <t>edlawitabebe02@gmial.com</t>
  </si>
  <si>
    <t>Edlawit</t>
  </si>
  <si>
    <t>emanadem2516@gmail.com</t>
  </si>
  <si>
    <t>adisuayire0@gmail.com</t>
  </si>
  <si>
    <t>Ayansa</t>
  </si>
  <si>
    <t>gpt@traveleet.com</t>
  </si>
  <si>
    <t>Belew</t>
  </si>
  <si>
    <t>kidistget7@gmil.com</t>
  </si>
  <si>
    <t>hawazalemayehu2002!@gmail.com</t>
  </si>
  <si>
    <t>Hawaz</t>
  </si>
  <si>
    <t>Ayen</t>
  </si>
  <si>
    <t>genetkiros22@gmail.com</t>
  </si>
  <si>
    <t>genet</t>
  </si>
  <si>
    <t>gebresilasse</t>
  </si>
  <si>
    <t>arsemaseifu123@gmail.com</t>
  </si>
  <si>
    <t>abera3781@ku.edu.et</t>
  </si>
  <si>
    <t>hermelaaviela@gmail.com</t>
  </si>
  <si>
    <t>wosheseada@gmail.com</t>
  </si>
  <si>
    <t>SEADA</t>
  </si>
  <si>
    <t>WOYESO</t>
  </si>
  <si>
    <t>delinadawit42@gmail.com</t>
  </si>
  <si>
    <t>Delina</t>
  </si>
  <si>
    <t>gracefulness0974@gmail.com</t>
  </si>
  <si>
    <t>akasaye464@gmail.com</t>
  </si>
  <si>
    <t>silence19226@gmail.com</t>
  </si>
  <si>
    <t>dawittadesse2419@gmail.com</t>
  </si>
  <si>
    <t>aberakasaye44@gmail.com</t>
  </si>
  <si>
    <t>bisrepaul7771@gmail.com</t>
  </si>
  <si>
    <t>BISRAT</t>
  </si>
  <si>
    <t>PAULOS</t>
  </si>
  <si>
    <t>redetasfer9@gmail.com</t>
  </si>
  <si>
    <t>rediet</t>
  </si>
  <si>
    <t>agza</t>
  </si>
  <si>
    <t>shewa7763@gmail.com</t>
  </si>
  <si>
    <t>yabserazewdu@gmail.com</t>
  </si>
  <si>
    <t>tilanceda@gmail.com</t>
  </si>
  <si>
    <t>meriamessam08@gmail.com</t>
  </si>
  <si>
    <t>Meriam</t>
  </si>
  <si>
    <t>Hashim</t>
  </si>
  <si>
    <t>jaleltems@gnail.com</t>
  </si>
  <si>
    <t>tademul02mul08@gmail.com</t>
  </si>
  <si>
    <t>fishahaftu955@gmail.com</t>
  </si>
  <si>
    <t>Fisha</t>
  </si>
  <si>
    <t>Gebrezgabher</t>
  </si>
  <si>
    <t>habentadesse51@gmail.com</t>
  </si>
  <si>
    <t>Haben</t>
  </si>
  <si>
    <t>Arekie</t>
  </si>
  <si>
    <t>kewletabdu555@gmail.com</t>
  </si>
  <si>
    <t>Kewlet</t>
  </si>
  <si>
    <t>afomafom381@gamil.com</t>
  </si>
  <si>
    <t>Shibru</t>
  </si>
  <si>
    <t>raxelgher5@gmail.com</t>
  </si>
  <si>
    <t>yaredmelesse19@mail.com</t>
  </si>
  <si>
    <t>efesonss123@gmail.com</t>
  </si>
  <si>
    <t>Efeson</t>
  </si>
  <si>
    <t>Wakalto</t>
  </si>
  <si>
    <t>jaletadida241@gmail.com</t>
  </si>
  <si>
    <t>tagaybetselot59@gmail.com</t>
  </si>
  <si>
    <t>Tagay</t>
  </si>
  <si>
    <t>asnezekiwos23@gmail.com</t>
  </si>
  <si>
    <t>Asnakech</t>
  </si>
  <si>
    <t>asefabinayew@gmail.com</t>
  </si>
  <si>
    <t>Shita</t>
  </si>
  <si>
    <t>amknymha@gmail.com</t>
  </si>
  <si>
    <t>dagimawittesfaye4@gmail.com</t>
  </si>
  <si>
    <t>Dagimawit</t>
  </si>
  <si>
    <t>number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</si>
  <si>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</si>
  <si>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</si>
  <si>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</si>
  <si>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</si>
  <si>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</si>
  <si>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</si>
  <si>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</si>
  <si>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</si>
  <si>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710967877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</si>
  <si>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</si>
  <si>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</si>
  <si>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</si>
  <si>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</si>
  <si>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</si>
  <si>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</si>
  <si>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</si>
  <si>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900018536</t>
  </si>
  <si>
    <t>900046720</t>
  </si>
  <si>
    <t>900068555</t>
  </si>
  <si>
    <t>900130607</t>
  </si>
  <si>
    <t>900143764</t>
  </si>
  <si>
    <t>900197605</t>
  </si>
  <si>
    <t>900220470</t>
  </si>
  <si>
    <t>900316510</t>
  </si>
  <si>
    <t>900340746</t>
  </si>
  <si>
    <t>900349601</t>
  </si>
  <si>
    <t>900405225</t>
  </si>
  <si>
    <t>900440002</t>
  </si>
  <si>
    <t>900455676</t>
  </si>
  <si>
    <t>900522043</t>
  </si>
  <si>
    <t>900560424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</si>
  <si>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</si>
  <si>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</si>
  <si>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</si>
  <si>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</si>
  <si>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</si>
  <si>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</si>
  <si>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</si>
  <si>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</si>
  <si>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</si>
  <si>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</si>
  <si>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</si>
  <si>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</si>
  <si>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</si>
  <si>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</si>
  <si>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901030106</t>
  </si>
  <si>
    <t>901062122</t>
  </si>
  <si>
    <t>901072062</t>
  </si>
  <si>
    <t>901110046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</si>
  <si>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</si>
  <si>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</si>
  <si>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</si>
  <si>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</si>
  <si>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</si>
  <si>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</si>
  <si>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</si>
  <si>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901303663</t>
  </si>
  <si>
    <t>901332020</t>
  </si>
  <si>
    <t>901405156</t>
  </si>
  <si>
    <t>901435960</t>
  </si>
  <si>
    <t>901455380</t>
  </si>
  <si>
    <t>901740298</t>
  </si>
  <si>
    <t>901742468</t>
  </si>
  <si>
    <t>901761824</t>
  </si>
  <si>
    <t>901956024</t>
  </si>
  <si>
    <t>901956630</t>
  </si>
  <si>
    <t>902005220</t>
  </si>
  <si>
    <t>902040013</t>
  </si>
  <si>
    <t>902162117</t>
  </si>
  <si>
    <t>902206470</t>
  </si>
  <si>
    <t>902403127</t>
  </si>
  <si>
    <t>902479690</t>
  </si>
  <si>
    <t>902491670</t>
  </si>
  <si>
    <t>902564383</t>
  </si>
  <si>
    <t>902634714</t>
  </si>
  <si>
    <t>902638126</t>
  </si>
  <si>
    <t>902855660</t>
  </si>
  <si>
    <t>902875780</t>
  </si>
  <si>
    <t>902894251</t>
  </si>
  <si>
    <t>902954049</t>
  </si>
  <si>
    <t>903114414</t>
  </si>
  <si>
    <t>903190454</t>
  </si>
  <si>
    <t>903202426</t>
  </si>
  <si>
    <t>903220938</t>
  </si>
  <si>
    <t>903366083</t>
  </si>
  <si>
    <t>903414233</t>
  </si>
  <si>
    <t>903484350</t>
  </si>
  <si>
    <t>903505870</t>
  </si>
  <si>
    <t>903615256</t>
  </si>
  <si>
    <t>903665471</t>
  </si>
  <si>
    <t>903689582</t>
  </si>
  <si>
    <t>903757075</t>
  </si>
  <si>
    <t>903902104</t>
  </si>
  <si>
    <t>903913207</t>
  </si>
  <si>
    <t>904032313</t>
  </si>
  <si>
    <t>904103528</t>
  </si>
  <si>
    <t>904138571</t>
  </si>
  <si>
    <t>904209092</t>
  </si>
  <si>
    <t>904271786</t>
  </si>
  <si>
    <t>904322559</t>
  </si>
  <si>
    <t>904370063</t>
  </si>
  <si>
    <t>904388678</t>
  </si>
  <si>
    <t>904486227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</si>
  <si>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</si>
  <si>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</si>
  <si>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</si>
  <si>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</si>
  <si>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</si>
  <si>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</si>
  <si>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</si>
  <si>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</si>
  <si>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</si>
  <si>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</si>
  <si>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</si>
  <si>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</si>
  <si>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</si>
  <si>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</si>
  <si>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</si>
  <si>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</si>
  <si>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</si>
  <si>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</si>
  <si>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</si>
  <si>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</si>
  <si>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905001128</t>
  </si>
  <si>
    <t>905079800</t>
  </si>
  <si>
    <t>905148317</t>
  </si>
  <si>
    <t>905160000</t>
  </si>
  <si>
    <t>905350605</t>
  </si>
  <si>
    <t>905396574</t>
  </si>
  <si>
    <t>905439415</t>
  </si>
  <si>
    <t>905683691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</si>
  <si>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</si>
  <si>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</si>
  <si>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</si>
  <si>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</si>
  <si>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</si>
  <si>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</si>
  <si>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</si>
  <si>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906600756</t>
  </si>
  <si>
    <t>906797770</t>
  </si>
  <si>
    <t>906913148</t>
  </si>
  <si>
    <t>907076154</t>
  </si>
  <si>
    <t>907115453</t>
  </si>
  <si>
    <t>907272266</t>
  </si>
  <si>
    <t>907422115</t>
  </si>
  <si>
    <t>907443545</t>
  </si>
  <si>
    <t>907531802</t>
  </si>
  <si>
    <t>907608667</t>
  </si>
  <si>
    <t>907783064</t>
  </si>
  <si>
    <t>908061599</t>
  </si>
  <si>
    <t>908183435</t>
  </si>
  <si>
    <t>908281993</t>
  </si>
  <si>
    <t>908720092</t>
  </si>
  <si>
    <t>908785048</t>
  </si>
  <si>
    <t>908787665</t>
  </si>
  <si>
    <t>908791838</t>
  </si>
  <si>
    <t>908872550</t>
  </si>
  <si>
    <t>908895526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</si>
  <si>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</si>
  <si>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</si>
  <si>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</si>
  <si>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</si>
  <si>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</si>
  <si>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</si>
  <si>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</si>
  <si>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909277078</t>
  </si>
  <si>
    <t>909297072</t>
  </si>
  <si>
    <t>909297080</t>
  </si>
  <si>
    <t>909333666</t>
  </si>
  <si>
    <t>909340944</t>
  </si>
  <si>
    <t>909415967</t>
  </si>
  <si>
    <t>909432998</t>
  </si>
  <si>
    <t>909482323</t>
  </si>
  <si>
    <t>909537266</t>
  </si>
  <si>
    <t>909675761</t>
  </si>
  <si>
    <t>909690905</t>
  </si>
  <si>
    <t>909866848</t>
  </si>
  <si>
    <t>909869070</t>
  </si>
  <si>
    <t>909900179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</si>
  <si>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</si>
  <si>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</si>
  <si>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</si>
  <si>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</si>
  <si>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</si>
  <si>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</si>
  <si>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</si>
  <si>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</si>
  <si>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</si>
  <si>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910089711</t>
  </si>
  <si>
    <t>910090872</t>
  </si>
  <si>
    <t>910110270</t>
  </si>
  <si>
    <t>910124073</t>
  </si>
  <si>
    <t>910139124</t>
  </si>
  <si>
    <t>910172358</t>
  </si>
  <si>
    <t>910216325</t>
  </si>
  <si>
    <t>910217975</t>
  </si>
  <si>
    <t>910261489</t>
  </si>
  <si>
    <t>910272847</t>
  </si>
  <si>
    <t>910284577</t>
  </si>
  <si>
    <t>910299887</t>
  </si>
  <si>
    <t>910324293</t>
  </si>
  <si>
    <t>910329354</t>
  </si>
  <si>
    <t>910330031</t>
  </si>
  <si>
    <t>910331071</t>
  </si>
  <si>
    <t>910334622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</si>
  <si>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</si>
  <si>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</si>
  <si>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</si>
  <si>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</si>
  <si>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</si>
  <si>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</si>
  <si>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</si>
  <si>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</si>
  <si>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</si>
  <si>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</si>
  <si>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</si>
  <si>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</si>
  <si>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</si>
  <si>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</si>
  <si>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</si>
  <si>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</si>
  <si>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</si>
  <si>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</si>
  <si>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</si>
  <si>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</si>
  <si>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</si>
  <si>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</si>
  <si>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</si>
  <si>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</si>
  <si>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910532419</t>
  </si>
  <si>
    <t>910554655</t>
  </si>
  <si>
    <t>910586498</t>
  </si>
  <si>
    <t>910589285</t>
  </si>
  <si>
    <t>910599746</t>
  </si>
  <si>
    <t>910623013</t>
  </si>
  <si>
    <t>910639557</t>
  </si>
  <si>
    <t>910726878</t>
  </si>
  <si>
    <t>910763663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</si>
  <si>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</si>
  <si>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</si>
  <si>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</si>
  <si>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</si>
  <si>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</si>
  <si>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</si>
  <si>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</si>
  <si>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</si>
  <si>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</si>
  <si>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910872523</t>
  </si>
  <si>
    <t>910897448</t>
  </si>
  <si>
    <t>910899215</t>
  </si>
  <si>
    <t>910901534</t>
  </si>
  <si>
    <t>910907887</t>
  </si>
  <si>
    <t>910948675</t>
  </si>
  <si>
    <t>910952993</t>
  </si>
  <si>
    <t>910962863</t>
  </si>
  <si>
    <t>910964265</t>
  </si>
  <si>
    <t>910965108</t>
  </si>
  <si>
    <t>910989334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</si>
  <si>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</si>
  <si>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</si>
  <si>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</si>
  <si>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</si>
  <si>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</si>
  <si>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</si>
  <si>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</si>
  <si>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</si>
  <si>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911102915</t>
  </si>
  <si>
    <t>911114321</t>
  </si>
  <si>
    <t>911118299</t>
  </si>
  <si>
    <t>911131959</t>
  </si>
  <si>
    <t>911147457</t>
  </si>
  <si>
    <t>911177900</t>
  </si>
  <si>
    <t>911191473</t>
  </si>
  <si>
    <t>911232124</t>
  </si>
  <si>
    <t>911232442</t>
  </si>
  <si>
    <t>911234880</t>
  </si>
  <si>
    <t>911274802</t>
  </si>
  <si>
    <t>911276803</t>
  </si>
  <si>
    <t>911304328</t>
  </si>
  <si>
    <t>911320568</t>
  </si>
  <si>
    <t>911341543</t>
  </si>
  <si>
    <t>911345678</t>
  </si>
  <si>
    <t>911347174</t>
  </si>
  <si>
    <t>911384912</t>
  </si>
  <si>
    <t>911400858</t>
  </si>
  <si>
    <t>911412292</t>
  </si>
  <si>
    <t>911415958</t>
  </si>
  <si>
    <t>911424849</t>
  </si>
  <si>
    <t>911429914</t>
  </si>
  <si>
    <t>911432299</t>
  </si>
  <si>
    <t>911448610</t>
  </si>
  <si>
    <t>911463816</t>
  </si>
  <si>
    <t>911483416</t>
  </si>
  <si>
    <t>911506877</t>
  </si>
  <si>
    <t>911509830</t>
  </si>
  <si>
    <t>911514336</t>
  </si>
  <si>
    <t>911546843</t>
  </si>
  <si>
    <t>911567846</t>
  </si>
  <si>
    <t>911574725</t>
  </si>
  <si>
    <t>911587608</t>
  </si>
  <si>
    <t>911606366</t>
  </si>
  <si>
    <t>911612854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</si>
  <si>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</si>
  <si>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</si>
  <si>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</si>
  <si>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</si>
  <si>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</si>
  <si>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</si>
  <si>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</si>
  <si>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</si>
  <si>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911705794</t>
  </si>
  <si>
    <t>911712388</t>
  </si>
  <si>
    <t>911770242</t>
  </si>
  <si>
    <t>911780582</t>
  </si>
  <si>
    <t>911780594</t>
  </si>
  <si>
    <t>911792330</t>
  </si>
  <si>
    <t>911795381</t>
  </si>
  <si>
    <t>911799454</t>
  </si>
  <si>
    <t>911822176</t>
  </si>
  <si>
    <t>911826582</t>
  </si>
  <si>
    <t>911869986</t>
  </si>
  <si>
    <t>911887405</t>
  </si>
  <si>
    <t>911902144</t>
  </si>
  <si>
    <t>911909335</t>
  </si>
  <si>
    <t>911919503</t>
  </si>
  <si>
    <t>911930654</t>
  </si>
  <si>
    <t>911966451</t>
  </si>
  <si>
    <t>912000914</t>
  </si>
  <si>
    <t>912020749</t>
  </si>
  <si>
    <t>912023650</t>
  </si>
  <si>
    <t>912030938</t>
  </si>
  <si>
    <t>912104582</t>
  </si>
  <si>
    <t>912120971</t>
  </si>
  <si>
    <t>912128122</t>
  </si>
  <si>
    <t>912148418</t>
  </si>
  <si>
    <t>912159235</t>
  </si>
  <si>
    <t>912282638</t>
  </si>
  <si>
    <t>912303575</t>
  </si>
  <si>
    <t>912304228</t>
  </si>
  <si>
    <t>912312781</t>
  </si>
  <si>
    <t>912320130</t>
  </si>
  <si>
    <t>912330704</t>
  </si>
  <si>
    <t>912352151</t>
  </si>
  <si>
    <t>912353600</t>
  </si>
  <si>
    <t>912358307</t>
  </si>
  <si>
    <t>912361933</t>
  </si>
  <si>
    <t>912370425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</si>
  <si>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</si>
  <si>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</si>
  <si>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</si>
  <si>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</si>
  <si>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</si>
  <si>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</si>
  <si>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</si>
  <si>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</si>
  <si>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</si>
  <si>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</si>
  <si>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</si>
  <si>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</si>
  <si>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912614917</t>
  </si>
  <si>
    <t>912627173</t>
  </si>
  <si>
    <t>912631314</t>
  </si>
  <si>
    <t>912634285</t>
  </si>
  <si>
    <t>912634485</t>
  </si>
  <si>
    <t>912646516</t>
  </si>
  <si>
    <t>912659952</t>
  </si>
  <si>
    <t>912663546</t>
  </si>
  <si>
    <t>912664488</t>
  </si>
  <si>
    <t>912689502</t>
  </si>
  <si>
    <t>912694932</t>
  </si>
  <si>
    <t>912704422</t>
  </si>
  <si>
    <t>912718544</t>
  </si>
  <si>
    <t>912726008</t>
  </si>
  <si>
    <t>912765553</t>
  </si>
  <si>
    <t>912802889</t>
  </si>
  <si>
    <t>912825645</t>
  </si>
  <si>
    <t>912832370</t>
  </si>
  <si>
    <t>912845685</t>
  </si>
  <si>
    <t>912858363</t>
  </si>
  <si>
    <t>912910173</t>
  </si>
  <si>
    <t>912915254</t>
  </si>
  <si>
    <t>912922430</t>
  </si>
  <si>
    <t>912941456</t>
  </si>
  <si>
    <t>912946964</t>
  </si>
  <si>
    <t>912948014</t>
  </si>
  <si>
    <t>912951116</t>
  </si>
  <si>
    <t>912967383</t>
  </si>
  <si>
    <t>913004422</t>
  </si>
  <si>
    <t>913024778</t>
  </si>
  <si>
    <t>913036069</t>
  </si>
  <si>
    <t>913043374</t>
  </si>
  <si>
    <t>913052688</t>
  </si>
  <si>
    <t>913055826</t>
  </si>
  <si>
    <t>913076208</t>
  </si>
  <si>
    <t>913086955</t>
  </si>
  <si>
    <t>913105978</t>
  </si>
  <si>
    <t>913110315</t>
  </si>
  <si>
    <t>913135516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</si>
  <si>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</si>
  <si>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</si>
  <si>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</si>
  <si>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</si>
  <si>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</si>
  <si>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</si>
  <si>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</si>
  <si>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913287938</t>
  </si>
  <si>
    <t>913297327</t>
  </si>
  <si>
    <t>913312342</t>
  </si>
  <si>
    <t>913350361</t>
  </si>
  <si>
    <t>913357201</t>
  </si>
  <si>
    <t>913376918</t>
  </si>
  <si>
    <t>913397240</t>
  </si>
  <si>
    <t>913410620</t>
  </si>
  <si>
    <t>913483191</t>
  </si>
  <si>
    <t>913547081</t>
  </si>
  <si>
    <t>913555014</t>
  </si>
  <si>
    <t>913566893</t>
  </si>
  <si>
    <t>913567160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</si>
  <si>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</si>
  <si>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</si>
  <si>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</si>
  <si>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</si>
  <si>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</si>
  <si>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</si>
  <si>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</si>
  <si>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</si>
  <si>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913670301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</si>
  <si>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</si>
  <si>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</si>
  <si>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</si>
  <si>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</si>
  <si>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</si>
  <si>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</si>
  <si>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</si>
  <si>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</si>
  <si>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</si>
  <si>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</si>
  <si>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913813169</t>
  </si>
  <si>
    <t>913835317</t>
  </si>
  <si>
    <t>913842891</t>
  </si>
  <si>
    <t>913867162</t>
  </si>
  <si>
    <t>913882291</t>
  </si>
  <si>
    <t>913922999</t>
  </si>
  <si>
    <t>913951965</t>
  </si>
  <si>
    <t>913995952</t>
  </si>
  <si>
    <t>914041247</t>
  </si>
  <si>
    <t>914200500</t>
  </si>
  <si>
    <t>914203586</t>
  </si>
  <si>
    <t>914216524</t>
  </si>
  <si>
    <t>914216992</t>
  </si>
  <si>
    <t>914293669</t>
  </si>
  <si>
    <t>914373057</t>
  </si>
  <si>
    <t>914410221</t>
  </si>
  <si>
    <t>914466098</t>
  </si>
  <si>
    <t>914470352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</si>
  <si>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</si>
  <si>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</si>
  <si>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</si>
  <si>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</si>
  <si>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</si>
  <si>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</si>
  <si>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</si>
  <si>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</si>
  <si>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</si>
  <si>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</si>
  <si>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</si>
  <si>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</si>
  <si>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</si>
  <si>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</si>
  <si>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</si>
  <si>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</si>
  <si>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</si>
  <si>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</si>
  <si>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</si>
  <si>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</si>
  <si>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915505650</t>
  </si>
  <si>
    <t>915508985</t>
  </si>
  <si>
    <t>915516709</t>
  </si>
  <si>
    <t>915554805</t>
  </si>
  <si>
    <t>915558990</t>
  </si>
  <si>
    <t>915574391</t>
  </si>
  <si>
    <t>915636460</t>
  </si>
  <si>
    <t>915638950</t>
  </si>
  <si>
    <t>915770808</t>
  </si>
  <si>
    <t>915850559</t>
  </si>
  <si>
    <t>915877183</t>
  </si>
  <si>
    <t>915894836</t>
  </si>
  <si>
    <t>915897464</t>
  </si>
  <si>
    <t>915924694</t>
  </si>
  <si>
    <t>915938471</t>
  </si>
  <si>
    <t>915943189</t>
  </si>
  <si>
    <t>915943315</t>
  </si>
  <si>
    <t>915943947</t>
  </si>
  <si>
    <t>915952095</t>
  </si>
  <si>
    <t>915972062</t>
  </si>
  <si>
    <t>915998913</t>
  </si>
  <si>
    <t>916007135</t>
  </si>
  <si>
    <t>916104666</t>
  </si>
  <si>
    <t>916105212</t>
  </si>
  <si>
    <t>916118178</t>
  </si>
  <si>
    <t>916205021</t>
  </si>
  <si>
    <t>916250898</t>
  </si>
  <si>
    <t>916371597</t>
  </si>
  <si>
    <t>916555251</t>
  </si>
  <si>
    <t>916559300</t>
  </si>
  <si>
    <t>916562302</t>
  </si>
  <si>
    <t>916588052</t>
  </si>
  <si>
    <t>916697648</t>
  </si>
  <si>
    <t>916717624</t>
  </si>
  <si>
    <t>916746027</t>
  </si>
  <si>
    <t>916824594</t>
  </si>
  <si>
    <t>916882535</t>
  </si>
  <si>
    <t>916938495</t>
  </si>
  <si>
    <t>916957018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</si>
  <si>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</si>
  <si>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</si>
  <si>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</si>
  <si>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</si>
  <si>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</si>
  <si>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</si>
  <si>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</si>
  <si>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917048401</t>
  </si>
  <si>
    <t>917073533</t>
  </si>
  <si>
    <t>917080987</t>
  </si>
  <si>
    <t>917096205</t>
  </si>
  <si>
    <t>917109244</t>
  </si>
  <si>
    <t>917129742</t>
  </si>
  <si>
    <t>917145574</t>
  </si>
  <si>
    <t>917156186</t>
  </si>
  <si>
    <t>917171610</t>
  </si>
  <si>
    <t>917195945</t>
  </si>
  <si>
    <t>917203493</t>
  </si>
  <si>
    <t>917271507</t>
  </si>
  <si>
    <t>917302655</t>
  </si>
  <si>
    <t>917312297</t>
  </si>
  <si>
    <t>917316878</t>
  </si>
  <si>
    <t>917361282</t>
  </si>
  <si>
    <t>917365175</t>
  </si>
  <si>
    <t>917365843</t>
  </si>
  <si>
    <t>917382021</t>
  </si>
  <si>
    <t>917382408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</si>
  <si>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</si>
  <si>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</si>
  <si>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</si>
  <si>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</si>
  <si>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</si>
  <si>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</si>
  <si>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</si>
  <si>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917675546</t>
  </si>
  <si>
    <t>917688098</t>
  </si>
  <si>
    <t>917688408</t>
  </si>
  <si>
    <t>917691769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</si>
  <si>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</si>
  <si>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</si>
  <si>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</si>
  <si>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</si>
  <si>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</si>
  <si>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</si>
  <si>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</si>
  <si>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</si>
  <si>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</si>
  <si>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</si>
  <si>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</si>
  <si>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917822497</t>
  </si>
  <si>
    <t>917836413</t>
  </si>
  <si>
    <t>917842558</t>
  </si>
  <si>
    <t>917843204</t>
  </si>
  <si>
    <t>917849010</t>
  </si>
  <si>
    <t>917851038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</si>
  <si>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</si>
  <si>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</si>
  <si>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</si>
  <si>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</si>
  <si>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</si>
  <si>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</si>
  <si>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</si>
  <si>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918013776</t>
  </si>
  <si>
    <t>918014093</t>
  </si>
  <si>
    <t>918067080</t>
  </si>
  <si>
    <t>918146833</t>
  </si>
  <si>
    <t>918254957</t>
  </si>
  <si>
    <t>918265479</t>
  </si>
  <si>
    <t>918277678</t>
  </si>
  <si>
    <t>918298875</t>
  </si>
  <si>
    <t>918344703</t>
  </si>
  <si>
    <t>918346096</t>
  </si>
  <si>
    <t>918346097</t>
  </si>
  <si>
    <t>918356851</t>
  </si>
  <si>
    <t>918364979</t>
  </si>
  <si>
    <t>918367855</t>
  </si>
  <si>
    <t>918388285</t>
  </si>
  <si>
    <t>918491468</t>
  </si>
  <si>
    <t>918532615</t>
  </si>
  <si>
    <t>918543482</t>
  </si>
  <si>
    <t>918545577</t>
  </si>
  <si>
    <t>918583583</t>
  </si>
  <si>
    <t>918638264</t>
  </si>
  <si>
    <t>918653685</t>
  </si>
  <si>
    <t>918718462</t>
  </si>
  <si>
    <t>918735961</t>
  </si>
  <si>
    <t>918741039</t>
  </si>
  <si>
    <t>918741062</t>
  </si>
  <si>
    <t>918757763</t>
  </si>
  <si>
    <t>918808686</t>
  </si>
  <si>
    <t>918814275</t>
  </si>
  <si>
    <t>918817548</t>
  </si>
  <si>
    <t>918914611</t>
  </si>
  <si>
    <t>918997823</t>
  </si>
  <si>
    <t>919019159</t>
  </si>
  <si>
    <t>919083089</t>
  </si>
  <si>
    <t>919125615</t>
  </si>
  <si>
    <t>919130459</t>
  </si>
  <si>
    <t>919147456</t>
  </si>
  <si>
    <t>919156584</t>
  </si>
  <si>
    <t>919170207</t>
  </si>
  <si>
    <t>919203146</t>
  </si>
  <si>
    <t>919245109</t>
  </si>
  <si>
    <t>919253171</t>
  </si>
  <si>
    <t>919267210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</si>
  <si>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</si>
  <si>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</si>
  <si>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</si>
  <si>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</si>
  <si>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</si>
  <si>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</si>
  <si>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</si>
  <si>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</si>
  <si>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</si>
  <si>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</si>
  <si>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</si>
  <si>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</si>
  <si>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</si>
  <si>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</si>
  <si>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919424423</t>
  </si>
  <si>
    <t>919431414</t>
  </si>
  <si>
    <t>919479768</t>
  </si>
  <si>
    <t>919491642</t>
  </si>
  <si>
    <t>919510899</t>
  </si>
  <si>
    <t>919514680</t>
  </si>
  <si>
    <t>919514852</t>
  </si>
  <si>
    <t>919520291</t>
  </si>
  <si>
    <t>919521087</t>
  </si>
  <si>
    <t>919527674</t>
  </si>
  <si>
    <t>919535987</t>
  </si>
  <si>
    <t>919546973</t>
  </si>
  <si>
    <t>919570924</t>
  </si>
  <si>
    <t>919580503</t>
  </si>
  <si>
    <t>919583425</t>
  </si>
  <si>
    <t>919588752</t>
  </si>
  <si>
    <t>919588874</t>
  </si>
  <si>
    <t>919626613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</si>
  <si>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</si>
  <si>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</si>
  <si>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</si>
  <si>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</si>
  <si>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</si>
  <si>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</si>
  <si>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</si>
  <si>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</si>
  <si>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919829533</t>
  </si>
  <si>
    <t>919839191</t>
  </si>
  <si>
    <t>919850861</t>
  </si>
  <si>
    <t>919883102</t>
  </si>
  <si>
    <t>919886477</t>
  </si>
  <si>
    <t>919896658</t>
  </si>
  <si>
    <t>919902549</t>
  </si>
  <si>
    <t>919948206</t>
  </si>
  <si>
    <t>919989228</t>
  </si>
  <si>
    <t>920002138</t>
  </si>
  <si>
    <t>920029497</t>
  </si>
  <si>
    <t>920048443</t>
  </si>
  <si>
    <t>920053826</t>
  </si>
  <si>
    <t>920092648</t>
  </si>
  <si>
    <t>920098365</t>
  </si>
  <si>
    <t>920130898</t>
  </si>
  <si>
    <t>920132846</t>
  </si>
  <si>
    <t>920168370</t>
  </si>
  <si>
    <t>920178933</t>
  </si>
  <si>
    <t>920192609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</si>
  <si>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</si>
  <si>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</si>
  <si>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</si>
  <si>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</si>
  <si>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</si>
  <si>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</si>
  <si>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</si>
  <si>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</si>
  <si>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</si>
  <si>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</si>
  <si>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</si>
  <si>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920330643</t>
  </si>
  <si>
    <t>920336291</t>
  </si>
  <si>
    <t>920336606</t>
  </si>
  <si>
    <t>920370675</t>
  </si>
  <si>
    <t>920391846</t>
  </si>
  <si>
    <t>920453781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</si>
  <si>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</si>
  <si>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</si>
  <si>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</si>
  <si>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</si>
  <si>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</si>
  <si>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</si>
  <si>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</si>
  <si>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920632513</t>
  </si>
  <si>
    <t>920650031</t>
  </si>
  <si>
    <t>920654039</t>
  </si>
  <si>
    <t>920710705</t>
  </si>
  <si>
    <t>920760340</t>
  </si>
  <si>
    <t>920765044</t>
  </si>
  <si>
    <t>920813321</t>
  </si>
  <si>
    <t>920881595</t>
  </si>
  <si>
    <t>920882880</t>
  </si>
  <si>
    <t>920887674</t>
  </si>
  <si>
    <t>920895507</t>
  </si>
  <si>
    <t>921080114</t>
  </si>
  <si>
    <t>921101932</t>
  </si>
  <si>
    <t>921123456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</si>
  <si>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</si>
  <si>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</si>
  <si>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</si>
  <si>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</si>
  <si>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</si>
  <si>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</si>
  <si>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</si>
  <si>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</si>
  <si>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</si>
  <si>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</si>
  <si>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921287836</t>
  </si>
  <si>
    <t>921303923</t>
  </si>
  <si>
    <t>921322115</t>
  </si>
  <si>
    <t>921330036</t>
  </si>
  <si>
    <t>921332410</t>
  </si>
  <si>
    <t>921340094</t>
  </si>
  <si>
    <t>921341268</t>
  </si>
  <si>
    <t>921363846</t>
  </si>
  <si>
    <t>921380820</t>
  </si>
  <si>
    <t>921420338</t>
  </si>
  <si>
    <t>921420692</t>
  </si>
  <si>
    <t>921436117</t>
  </si>
  <si>
    <t>921458895</t>
  </si>
  <si>
    <t>921477228</t>
  </si>
  <si>
    <t>921511972</t>
  </si>
  <si>
    <t>921525810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</si>
  <si>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</si>
  <si>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</si>
  <si>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</si>
  <si>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</si>
  <si>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</si>
  <si>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</si>
  <si>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</si>
  <si>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921764304</t>
  </si>
  <si>
    <t>921794078</t>
  </si>
  <si>
    <t>921829442</t>
  </si>
  <si>
    <t>921833044</t>
  </si>
  <si>
    <t>921836000</t>
  </si>
  <si>
    <t>921877572</t>
  </si>
  <si>
    <t>921915951</t>
  </si>
  <si>
    <t>921968160</t>
  </si>
  <si>
    <t>921978221</t>
  </si>
  <si>
    <t>921985545</t>
  </si>
  <si>
    <t>921997547</t>
  </si>
  <si>
    <t>922005815</t>
  </si>
  <si>
    <t>922126662</t>
  </si>
  <si>
    <t>922160297</t>
  </si>
  <si>
    <t>922191581</t>
  </si>
  <si>
    <t>922207990</t>
  </si>
  <si>
    <t>922218988</t>
  </si>
  <si>
    <t>922247935</t>
  </si>
  <si>
    <t>922255271</t>
  </si>
  <si>
    <t>922260033</t>
  </si>
  <si>
    <t>922337439</t>
  </si>
  <si>
    <t>922344542</t>
  </si>
  <si>
    <t>922416951</t>
  </si>
  <si>
    <t>922421711</t>
  </si>
  <si>
    <t>922472691</t>
  </si>
  <si>
    <t>922505845</t>
  </si>
  <si>
    <t>922522584</t>
  </si>
  <si>
    <t>922558950</t>
  </si>
  <si>
    <t>922606130</t>
  </si>
  <si>
    <t>922626451</t>
  </si>
  <si>
    <t>922638469</t>
  </si>
  <si>
    <t>922708667</t>
  </si>
  <si>
    <t>922759651</t>
  </si>
  <si>
    <t>922770965</t>
  </si>
  <si>
    <t>922799337</t>
  </si>
  <si>
    <t>922832049</t>
  </si>
  <si>
    <t>922849147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</si>
  <si>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</si>
  <si>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</si>
  <si>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</si>
  <si>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</si>
  <si>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</si>
  <si>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</si>
  <si>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</si>
  <si>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</si>
  <si>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923008068</t>
  </si>
  <si>
    <t>923012856</t>
  </si>
  <si>
    <t>923019608</t>
  </si>
  <si>
    <t>923052769</t>
  </si>
  <si>
    <t>923100939</t>
  </si>
  <si>
    <t>923126289</t>
  </si>
  <si>
    <t>923138483</t>
  </si>
  <si>
    <t>923168790</t>
  </si>
  <si>
    <t>923178580</t>
  </si>
  <si>
    <t>923179369</t>
  </si>
  <si>
    <t>923201000</t>
  </si>
  <si>
    <t>923202013</t>
  </si>
  <si>
    <t>923219026</t>
  </si>
  <si>
    <t>923225683</t>
  </si>
  <si>
    <t>923234812</t>
  </si>
  <si>
    <t>923253029</t>
  </si>
  <si>
    <t>923309600</t>
  </si>
  <si>
    <t>923319337</t>
  </si>
  <si>
    <t>923355283</t>
  </si>
  <si>
    <t>923379756</t>
  </si>
  <si>
    <t>923407002</t>
  </si>
  <si>
    <t>923438897</t>
  </si>
  <si>
    <t>923457189</t>
  </si>
  <si>
    <t>923463389</t>
  </si>
  <si>
    <t>923481619</t>
  </si>
  <si>
    <t>923482057</t>
  </si>
  <si>
    <t>923516772</t>
  </si>
  <si>
    <t>923526059</t>
  </si>
  <si>
    <t>923560860</t>
  </si>
  <si>
    <t>923568242</t>
  </si>
  <si>
    <t>923594589</t>
  </si>
  <si>
    <t>923600418</t>
  </si>
  <si>
    <t>923605493</t>
  </si>
  <si>
    <t>923606033</t>
  </si>
  <si>
    <t>923633433</t>
  </si>
  <si>
    <t>923639048</t>
  </si>
  <si>
    <t>923698574</t>
  </si>
  <si>
    <t>923711743</t>
  </si>
  <si>
    <t>923748232</t>
  </si>
  <si>
    <t>923794963</t>
  </si>
  <si>
    <t>923807681</t>
  </si>
  <si>
    <t>923812775</t>
  </si>
  <si>
    <t>923816352</t>
  </si>
  <si>
    <t>923834208</t>
  </si>
  <si>
    <t>923839819</t>
  </si>
  <si>
    <t>923891508</t>
  </si>
  <si>
    <t>923968146</t>
  </si>
  <si>
    <t>924022722</t>
  </si>
  <si>
    <t>924038036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</si>
  <si>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</si>
  <si>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</si>
  <si>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</si>
  <si>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</si>
  <si>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</si>
  <si>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</si>
  <si>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</si>
  <si>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924335422</t>
  </si>
  <si>
    <t>924386818</t>
  </si>
  <si>
    <t>924399832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</si>
  <si>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</si>
  <si>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</si>
  <si>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</si>
  <si>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</si>
  <si>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</si>
  <si>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</si>
  <si>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</si>
  <si>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924635793</t>
  </si>
  <si>
    <t>924640298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</si>
  <si>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</si>
  <si>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</si>
  <si>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</si>
  <si>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</si>
  <si>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</si>
  <si>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</si>
  <si>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</si>
  <si>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</si>
  <si>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924972905</t>
  </si>
  <si>
    <t>924995274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</si>
  <si>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</si>
  <si>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</si>
  <si>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</si>
  <si>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</si>
  <si>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</si>
  <si>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</si>
  <si>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</si>
  <si>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925208003</t>
  </si>
  <si>
    <t>925242052</t>
  </si>
  <si>
    <t>925287116</t>
  </si>
  <si>
    <t>925289315</t>
  </si>
  <si>
    <t>925297013</t>
  </si>
  <si>
    <t>925306526</t>
  </si>
  <si>
    <t>925378621</t>
  </si>
  <si>
    <t>925380195</t>
  </si>
  <si>
    <t>925419826</t>
  </si>
  <si>
    <t>925472542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</si>
  <si>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</si>
  <si>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</si>
  <si>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</si>
  <si>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</si>
  <si>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</si>
  <si>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</si>
  <si>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</si>
  <si>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</si>
  <si>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</si>
  <si>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</si>
  <si>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</si>
  <si>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</si>
  <si>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</si>
  <si>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</si>
  <si>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</si>
  <si>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</si>
  <si>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</si>
  <si>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</si>
  <si>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</si>
  <si>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</si>
  <si>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</si>
  <si>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</si>
  <si>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925844791</t>
  </si>
  <si>
    <t>925846338</t>
  </si>
  <si>
    <t>925872444</t>
  </si>
  <si>
    <t>925934139</t>
  </si>
  <si>
    <t>925964675</t>
  </si>
  <si>
    <t>925979490</t>
  </si>
  <si>
    <t>925991659</t>
  </si>
  <si>
    <t>925999067</t>
  </si>
  <si>
    <t>926168273</t>
  </si>
  <si>
    <t>926251842</t>
  </si>
  <si>
    <t>926280474</t>
  </si>
  <si>
    <t>926437385</t>
  </si>
  <si>
    <t>926437399</t>
  </si>
  <si>
    <t>926525330</t>
  </si>
  <si>
    <t>926550529</t>
  </si>
  <si>
    <t>926556079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</si>
  <si>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</si>
  <si>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</si>
  <si>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</si>
  <si>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</si>
  <si>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</si>
  <si>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</si>
  <si>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</si>
  <si>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</si>
  <si>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</si>
  <si>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</si>
  <si>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</si>
  <si>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</si>
  <si>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</si>
  <si>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</si>
  <si>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</si>
  <si>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</si>
  <si>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</si>
  <si>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</si>
  <si>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</si>
  <si>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</si>
  <si>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</si>
  <si>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</si>
  <si>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</si>
  <si>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</si>
  <si>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</si>
  <si>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927362610</t>
  </si>
  <si>
    <t>927381364</t>
  </si>
  <si>
    <t>927417723</t>
  </si>
  <si>
    <t>927432156</t>
  </si>
  <si>
    <t>927440477</t>
  </si>
  <si>
    <t>927462627</t>
  </si>
  <si>
    <t>927481918</t>
  </si>
  <si>
    <t>927497754</t>
  </si>
  <si>
    <t>927513004</t>
  </si>
  <si>
    <t>927517140</t>
  </si>
  <si>
    <t>927610217</t>
  </si>
  <si>
    <t>927611644</t>
  </si>
  <si>
    <t>927631139</t>
  </si>
  <si>
    <t>927683930</t>
  </si>
  <si>
    <t>927706703</t>
  </si>
  <si>
    <t>927719519</t>
  </si>
  <si>
    <t>927727475</t>
  </si>
  <si>
    <t>927788117</t>
  </si>
  <si>
    <t>927788274</t>
  </si>
  <si>
    <t>927859793</t>
  </si>
  <si>
    <t>927874272</t>
  </si>
  <si>
    <t>927886734</t>
  </si>
  <si>
    <t>927890513</t>
  </si>
  <si>
    <t>927936024</t>
  </si>
  <si>
    <t>927999972</t>
  </si>
  <si>
    <t>928038125</t>
  </si>
  <si>
    <t>928052147</t>
  </si>
  <si>
    <t>928064101</t>
  </si>
  <si>
    <t>928122458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</si>
  <si>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</si>
  <si>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</si>
  <si>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</si>
  <si>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</si>
  <si>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</si>
  <si>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</si>
  <si>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</si>
  <si>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</si>
  <si>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</si>
  <si>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</si>
  <si>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</si>
  <si>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</si>
  <si>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</si>
  <si>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</si>
  <si>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</si>
  <si>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928579157</t>
  </si>
  <si>
    <t>928624184</t>
  </si>
  <si>
    <t>928639220</t>
  </si>
  <si>
    <t>928658230</t>
  </si>
  <si>
    <t>928658580</t>
  </si>
  <si>
    <t>928723896</t>
  </si>
  <si>
    <t>928738675</t>
  </si>
  <si>
    <t>928900131</t>
  </si>
  <si>
    <t>928922454</t>
  </si>
  <si>
    <t>929010479</t>
  </si>
  <si>
    <t>929011851</t>
  </si>
  <si>
    <t>929033491</t>
  </si>
  <si>
    <t>929035255</t>
  </si>
  <si>
    <t>929038359</t>
  </si>
  <si>
    <t>929042056</t>
  </si>
  <si>
    <t>929098863</t>
  </si>
  <si>
    <t>929134889</t>
  </si>
  <si>
    <t>929141441</t>
  </si>
  <si>
    <t>929184457</t>
  </si>
  <si>
    <t>929230372</t>
  </si>
  <si>
    <t>929248686</t>
  </si>
  <si>
    <t>929256017</t>
  </si>
  <si>
    <t>929309494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</si>
  <si>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</si>
  <si>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</si>
  <si>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</si>
  <si>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</si>
  <si>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</si>
  <si>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</si>
  <si>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</si>
  <si>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</si>
  <si>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</si>
  <si>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929532611</t>
  </si>
  <si>
    <t>929535073</t>
  </si>
  <si>
    <t>929684179</t>
  </si>
  <si>
    <t>929864340</t>
  </si>
  <si>
    <t>929920361</t>
  </si>
  <si>
    <t>929949294</t>
  </si>
  <si>
    <t>929965242</t>
  </si>
  <si>
    <t>930005765</t>
  </si>
  <si>
    <t>930010117</t>
  </si>
  <si>
    <t>930078051</t>
  </si>
  <si>
    <t>930112306</t>
  </si>
  <si>
    <t>930114189</t>
  </si>
  <si>
    <t>930242158</t>
  </si>
  <si>
    <t>930243114</t>
  </si>
  <si>
    <t>930356227</t>
  </si>
  <si>
    <t>930502457</t>
  </si>
  <si>
    <t>930502542</t>
  </si>
  <si>
    <t>930521544</t>
  </si>
  <si>
    <t>930523918</t>
  </si>
  <si>
    <t>930525218</t>
  </si>
  <si>
    <t>930550355</t>
  </si>
  <si>
    <t>930551276</t>
  </si>
  <si>
    <t>930557413</t>
  </si>
  <si>
    <t>930605943</t>
  </si>
  <si>
    <t>930624424</t>
  </si>
  <si>
    <t>930638686</t>
  </si>
  <si>
    <t>930642249</t>
  </si>
  <si>
    <t>930656078</t>
  </si>
  <si>
    <t>930665878</t>
  </si>
  <si>
    <t>930680292</t>
  </si>
  <si>
    <t>930769302</t>
  </si>
  <si>
    <t>930798431</t>
  </si>
  <si>
    <t>930802721</t>
  </si>
  <si>
    <t>930803551</t>
  </si>
  <si>
    <t>930814660</t>
  </si>
  <si>
    <t>930860860</t>
  </si>
  <si>
    <t>930875216</t>
  </si>
  <si>
    <t>930892494</t>
  </si>
  <si>
    <t>930904756</t>
  </si>
  <si>
    <t>930921671</t>
  </si>
  <si>
    <t>930934535</t>
  </si>
  <si>
    <t>930958961</t>
  </si>
  <si>
    <t>930959837</t>
  </si>
  <si>
    <t>930973935</t>
  </si>
  <si>
    <t>930986341</t>
  </si>
  <si>
    <t>931000345</t>
  </si>
  <si>
    <t>931057672</t>
  </si>
  <si>
    <t>931071634</t>
  </si>
  <si>
    <t>931075767</t>
  </si>
  <si>
    <t>931132902</t>
  </si>
  <si>
    <t>931213963</t>
  </si>
  <si>
    <t>931252475</t>
  </si>
  <si>
    <t>931292429</t>
  </si>
  <si>
    <t>931311191</t>
  </si>
  <si>
    <t>931333833</t>
  </si>
  <si>
    <t>931338097</t>
  </si>
  <si>
    <t>931352994</t>
  </si>
  <si>
    <t>931375325</t>
  </si>
  <si>
    <t>931418513</t>
  </si>
  <si>
    <t>931458130</t>
  </si>
  <si>
    <t>931463417</t>
  </si>
  <si>
    <t>931483502</t>
  </si>
  <si>
    <t>931508663</t>
  </si>
  <si>
    <t>931523243</t>
  </si>
  <si>
    <t>931539234</t>
  </si>
  <si>
    <t>931553861</t>
  </si>
  <si>
    <t>931558181</t>
  </si>
  <si>
    <t>931650214</t>
  </si>
  <si>
    <t>931652284</t>
  </si>
  <si>
    <t>931661991</t>
  </si>
  <si>
    <t>931664623</t>
  </si>
  <si>
    <t>931770537</t>
  </si>
  <si>
    <t>931994408</t>
  </si>
  <si>
    <t>932036797</t>
  </si>
  <si>
    <t>932050411</t>
  </si>
  <si>
    <t>932076631</t>
  </si>
  <si>
    <t>932080673</t>
  </si>
  <si>
    <t>932100291</t>
  </si>
  <si>
    <t>932182090</t>
  </si>
  <si>
    <t>932194342</t>
  </si>
  <si>
    <t>932234654</t>
  </si>
  <si>
    <t>932235445</t>
  </si>
  <si>
    <t>932235705</t>
  </si>
  <si>
    <t>932283154</t>
  </si>
  <si>
    <t>932292039</t>
  </si>
  <si>
    <t>932338231</t>
  </si>
  <si>
    <t>932346346</t>
  </si>
  <si>
    <t>932479632</t>
  </si>
  <si>
    <t>932566000</t>
  </si>
  <si>
    <t>932650422</t>
  </si>
  <si>
    <t>932742319</t>
  </si>
  <si>
    <t>932757573</t>
  </si>
  <si>
    <t>932829344</t>
  </si>
  <si>
    <t>932897391</t>
  </si>
  <si>
    <t>932954964</t>
  </si>
  <si>
    <t>932956725</t>
  </si>
  <si>
    <t>932956826</t>
  </si>
  <si>
    <t>932996090</t>
  </si>
  <si>
    <t>933036685</t>
  </si>
  <si>
    <t>933074360</t>
  </si>
  <si>
    <t>933128693</t>
  </si>
  <si>
    <t>933180105</t>
  </si>
  <si>
    <t>933261494</t>
  </si>
  <si>
    <t>933451556</t>
  </si>
  <si>
    <t>933453876</t>
  </si>
  <si>
    <t>933466885</t>
  </si>
  <si>
    <t>933533047</t>
  </si>
  <si>
    <t>933584758</t>
  </si>
  <si>
    <t>933628624</t>
  </si>
  <si>
    <t>933668690</t>
  </si>
  <si>
    <t>933707226</t>
  </si>
  <si>
    <t>933897197</t>
  </si>
  <si>
    <t>933908705</t>
  </si>
  <si>
    <t>933913793</t>
  </si>
  <si>
    <t>933939014</t>
  </si>
  <si>
    <t>934001087</t>
  </si>
  <si>
    <t>934001089</t>
  </si>
  <si>
    <t>934030260</t>
  </si>
  <si>
    <t>934036081</t>
  </si>
  <si>
    <t>934036757</t>
  </si>
  <si>
    <t>934043767</t>
  </si>
  <si>
    <t>934088432</t>
  </si>
  <si>
    <t>934102131</t>
  </si>
  <si>
    <t>934107654</t>
  </si>
  <si>
    <t>934141015</t>
  </si>
  <si>
    <t>934165857</t>
  </si>
  <si>
    <t>934196887</t>
  </si>
  <si>
    <t>934221568</t>
  </si>
  <si>
    <t>934293860</t>
  </si>
  <si>
    <t>934312094</t>
  </si>
  <si>
    <t>934391408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</si>
  <si>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</si>
  <si>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</si>
  <si>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</si>
  <si>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</si>
  <si>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</si>
  <si>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</si>
  <si>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</si>
  <si>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</si>
  <si>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</si>
  <si>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</si>
  <si>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</si>
  <si>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</si>
  <si>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934802422</t>
  </si>
  <si>
    <t>934839524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</si>
  <si>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</si>
  <si>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</si>
  <si>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</si>
  <si>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</si>
  <si>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</si>
  <si>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</si>
  <si>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</si>
  <si>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</si>
  <si>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</si>
  <si>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</si>
  <si>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</si>
  <si>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935073842</t>
  </si>
  <si>
    <t>935077310</t>
  </si>
  <si>
    <t>935083496</t>
  </si>
  <si>
    <t>935084407</t>
  </si>
  <si>
    <t>935086660</t>
  </si>
  <si>
    <t>935093831</t>
  </si>
  <si>
    <t>935291622</t>
  </si>
  <si>
    <t>935308636</t>
  </si>
  <si>
    <t>935327768</t>
  </si>
  <si>
    <t>935363730</t>
  </si>
  <si>
    <t>935437902</t>
  </si>
  <si>
    <t>935472616</t>
  </si>
  <si>
    <t>935577366</t>
  </si>
  <si>
    <t>935625249</t>
  </si>
  <si>
    <t>935675479</t>
  </si>
  <si>
    <t>935735853</t>
  </si>
  <si>
    <t>935738981</t>
  </si>
  <si>
    <t>935758348</t>
  </si>
  <si>
    <t>935763684</t>
  </si>
  <si>
    <t>935830129</t>
  </si>
  <si>
    <t>935887060</t>
  </si>
  <si>
    <t>935889180</t>
  </si>
  <si>
    <t>935894710</t>
  </si>
  <si>
    <t>935898623</t>
  </si>
  <si>
    <t>935904435</t>
  </si>
  <si>
    <t>935937941</t>
  </si>
  <si>
    <t>935965732</t>
  </si>
  <si>
    <t>936011243</t>
  </si>
  <si>
    <t>936082321</t>
  </si>
  <si>
    <t>936202289</t>
  </si>
  <si>
    <t>936202455</t>
  </si>
  <si>
    <t>936207954</t>
  </si>
  <si>
    <t>936223990</t>
  </si>
  <si>
    <t>936346420</t>
  </si>
  <si>
    <t>936363304</t>
  </si>
  <si>
    <t>936376060</t>
  </si>
  <si>
    <t>936376106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</si>
  <si>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</si>
  <si>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</si>
  <si>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</si>
  <si>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</si>
  <si>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</si>
  <si>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</si>
  <si>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</si>
  <si>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936903582</t>
  </si>
  <si>
    <t>936916925</t>
  </si>
  <si>
    <t>936917720</t>
  </si>
  <si>
    <t>936925047</t>
  </si>
  <si>
    <t>936932034</t>
  </si>
  <si>
    <t>937053768</t>
  </si>
  <si>
    <t>937128422</t>
  </si>
  <si>
    <t>937158067</t>
  </si>
  <si>
    <t>937260352</t>
  </si>
  <si>
    <t>937325716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</si>
  <si>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</si>
  <si>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</si>
  <si>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</si>
  <si>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</si>
  <si>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</si>
  <si>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</si>
  <si>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</si>
  <si>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</si>
  <si>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</si>
  <si>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</si>
  <si>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</si>
  <si>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</si>
  <si>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</si>
  <si>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</si>
  <si>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</si>
  <si>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</si>
  <si>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</si>
  <si>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</si>
  <si>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</si>
  <si>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938181563</t>
  </si>
  <si>
    <t>938212761</t>
  </si>
  <si>
    <t>938231953</t>
  </si>
  <si>
    <t>938241813</t>
  </si>
  <si>
    <t>938287132</t>
  </si>
  <si>
    <t>938311108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</si>
  <si>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</si>
  <si>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</si>
  <si>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</si>
  <si>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</si>
  <si>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</si>
  <si>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</si>
  <si>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</si>
  <si>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938590901</t>
  </si>
  <si>
    <t>938595975</t>
  </si>
  <si>
    <t>938603293</t>
  </si>
  <si>
    <t>938664216</t>
  </si>
  <si>
    <t>938690965</t>
  </si>
  <si>
    <t>938719023</t>
  </si>
  <si>
    <t>938725007</t>
  </si>
  <si>
    <t>938750406</t>
  </si>
  <si>
    <t>938818371</t>
  </si>
  <si>
    <t>938819698</t>
  </si>
  <si>
    <t>938829971</t>
  </si>
  <si>
    <t>938843326</t>
  </si>
  <si>
    <t>938880979</t>
  </si>
  <si>
    <t>938887510</t>
  </si>
  <si>
    <t>938937719</t>
  </si>
  <si>
    <t>938968446</t>
  </si>
  <si>
    <t>938968747</t>
  </si>
  <si>
    <t>939098367</t>
  </si>
  <si>
    <t>939170731</t>
  </si>
  <si>
    <t>939177434</t>
  </si>
  <si>
    <t>939188601</t>
  </si>
  <si>
    <t>939221210</t>
  </si>
  <si>
    <t>939232054</t>
  </si>
  <si>
    <t>939247992</t>
  </si>
  <si>
    <t>939283611</t>
  </si>
  <si>
    <t>939299401</t>
  </si>
  <si>
    <t>939316517</t>
  </si>
  <si>
    <t>939342928</t>
  </si>
  <si>
    <t>939371662</t>
  </si>
  <si>
    <t>939415872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</si>
  <si>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</si>
  <si>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</si>
  <si>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</si>
  <si>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</si>
  <si>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</si>
  <si>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</si>
  <si>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</si>
  <si>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939787856</t>
  </si>
  <si>
    <t>939791890</t>
  </si>
  <si>
    <t>939861590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</si>
  <si>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</si>
  <si>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</si>
  <si>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</si>
  <si>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</si>
  <si>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</si>
  <si>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</si>
  <si>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</si>
  <si>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</si>
  <si>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</si>
  <si>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</si>
  <si>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940132114</t>
  </si>
  <si>
    <t>940174780</t>
  </si>
  <si>
    <t>940191555</t>
  </si>
  <si>
    <t>940196075</t>
  </si>
  <si>
    <t>940203432</t>
  </si>
  <si>
    <t>940231275</t>
  </si>
  <si>
    <t>940252364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</si>
  <si>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</si>
  <si>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</si>
  <si>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</si>
  <si>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</si>
  <si>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</si>
  <si>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</si>
  <si>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</si>
  <si>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940392434</t>
  </si>
  <si>
    <t>940425262</t>
  </si>
  <si>
    <t>940472111</t>
  </si>
  <si>
    <t>940477296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</si>
  <si>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</si>
  <si>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</si>
  <si>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</si>
  <si>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</si>
  <si>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</si>
  <si>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</si>
  <si>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</si>
  <si>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</si>
  <si>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</si>
  <si>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</si>
  <si>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</si>
  <si>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941013933</t>
  </si>
  <si>
    <t>941036470</t>
  </si>
  <si>
    <t>941060830</t>
  </si>
  <si>
    <t>941130658</t>
  </si>
  <si>
    <t>941202133</t>
  </si>
  <si>
    <t>941227985</t>
  </si>
  <si>
    <t>941234241</t>
  </si>
  <si>
    <t>941245192</t>
  </si>
  <si>
    <t>941318724</t>
  </si>
  <si>
    <t>941431215</t>
  </si>
  <si>
    <t>941447884</t>
  </si>
  <si>
    <t>941480578</t>
  </si>
  <si>
    <t>941539755</t>
  </si>
  <si>
    <t>941561354</t>
  </si>
  <si>
    <t>941563273</t>
  </si>
  <si>
    <t>941573646</t>
  </si>
  <si>
    <t>941697597</t>
  </si>
  <si>
    <t>941709510</t>
  </si>
  <si>
    <t>941740653</t>
  </si>
  <si>
    <t>941759128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</si>
  <si>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</si>
  <si>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</si>
  <si>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</si>
  <si>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</si>
  <si>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</si>
  <si>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</si>
  <si>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</si>
  <si>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</si>
  <si>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</si>
  <si>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</si>
  <si>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</si>
  <si>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941911124</t>
  </si>
  <si>
    <t>941913898</t>
  </si>
  <si>
    <t>941921944</t>
  </si>
  <si>
    <t>941924546</t>
  </si>
  <si>
    <t>941953142</t>
  </si>
  <si>
    <t>941966466</t>
  </si>
  <si>
    <t>942093983</t>
  </si>
  <si>
    <t>942133842</t>
  </si>
  <si>
    <t>942203552</t>
  </si>
  <si>
    <t>942212828</t>
  </si>
  <si>
    <t>942220113</t>
  </si>
  <si>
    <t>942220257</t>
  </si>
  <si>
    <t>942226898</t>
  </si>
  <si>
    <t>942245249</t>
  </si>
  <si>
    <t>942285818</t>
  </si>
  <si>
    <t>942290614</t>
  </si>
  <si>
    <t>942324554</t>
  </si>
  <si>
    <t>942339216</t>
  </si>
  <si>
    <t>942387813</t>
  </si>
  <si>
    <t>942398608</t>
  </si>
  <si>
    <t>942408225</t>
  </si>
  <si>
    <t>942412500</t>
  </si>
  <si>
    <t>942421183</t>
  </si>
  <si>
    <t>942422401</t>
  </si>
  <si>
    <t>942490210</t>
  </si>
  <si>
    <t>942544983</t>
  </si>
  <si>
    <t>942555303</t>
  </si>
  <si>
    <t>942603218</t>
  </si>
  <si>
    <t>942681913</t>
  </si>
  <si>
    <t>942719245</t>
  </si>
  <si>
    <t>942727956</t>
  </si>
  <si>
    <t>942909760</t>
  </si>
  <si>
    <t>942922730</t>
  </si>
  <si>
    <t>942955091</t>
  </si>
  <si>
    <t>943003619</t>
  </si>
  <si>
    <t>943006400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</si>
  <si>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</si>
  <si>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</si>
  <si>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</si>
  <si>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</si>
  <si>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</si>
  <si>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</si>
  <si>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</si>
  <si>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943234492</t>
  </si>
  <si>
    <t>943236949</t>
  </si>
  <si>
    <t>943284936</t>
  </si>
  <si>
    <t>943300395</t>
  </si>
  <si>
    <t>943300651</t>
  </si>
  <si>
    <t>943308886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</si>
  <si>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</si>
  <si>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</si>
  <si>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</si>
  <si>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</si>
  <si>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</si>
  <si>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</si>
  <si>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</si>
  <si>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</si>
  <si>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</si>
  <si>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</si>
  <si>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</si>
  <si>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</si>
  <si>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944002844</t>
  </si>
  <si>
    <t>944007963</t>
  </si>
  <si>
    <t>944022100</t>
  </si>
  <si>
    <t>944061050</t>
  </si>
  <si>
    <t>944062967</t>
  </si>
  <si>
    <t>944110409</t>
  </si>
  <si>
    <t>944131394</t>
  </si>
  <si>
    <t>944205231</t>
  </si>
  <si>
    <t>944224240</t>
  </si>
  <si>
    <t>944250044</t>
  </si>
  <si>
    <t>944310927</t>
  </si>
  <si>
    <t>944362575</t>
  </si>
  <si>
    <t>944397601</t>
  </si>
  <si>
    <t>944441789</t>
  </si>
  <si>
    <t>944444084</t>
  </si>
  <si>
    <t>944445494</t>
  </si>
  <si>
    <t>944531494</t>
  </si>
  <si>
    <t>944577317</t>
  </si>
  <si>
    <t>944584366</t>
  </si>
  <si>
    <t>944623374</t>
  </si>
  <si>
    <t>944637442</t>
  </si>
  <si>
    <t>944687234</t>
  </si>
  <si>
    <t>944771582</t>
  </si>
  <si>
    <t>944783945</t>
  </si>
  <si>
    <t>944814228</t>
  </si>
  <si>
    <t>944969349</t>
  </si>
  <si>
    <t>945001656</t>
  </si>
  <si>
    <t>945017134</t>
  </si>
  <si>
    <t>945077056</t>
  </si>
  <si>
    <t>945171475</t>
  </si>
  <si>
    <t>945216007</t>
  </si>
  <si>
    <t>945292429</t>
  </si>
  <si>
    <t>945347056</t>
  </si>
  <si>
    <t>945360611</t>
  </si>
  <si>
    <t>945408417</t>
  </si>
  <si>
    <t>945414348</t>
  </si>
  <si>
    <t>945437267</t>
  </si>
  <si>
    <t>945478031</t>
  </si>
  <si>
    <t>945595388</t>
  </si>
  <si>
    <t>945600025</t>
  </si>
  <si>
    <t>945609344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</si>
  <si>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</si>
  <si>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</si>
  <si>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</si>
  <si>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</si>
  <si>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</si>
  <si>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</si>
  <si>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</si>
  <si>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945742665</t>
  </si>
  <si>
    <t>945752666</t>
  </si>
  <si>
    <t>945759975</t>
  </si>
  <si>
    <t>945767574</t>
  </si>
  <si>
    <t>945949011</t>
  </si>
  <si>
    <t>946017749</t>
  </si>
  <si>
    <t>946114468</t>
  </si>
  <si>
    <t>946135045</t>
  </si>
  <si>
    <t>946209664</t>
  </si>
  <si>
    <t>946244690</t>
  </si>
  <si>
    <t>946251270</t>
  </si>
  <si>
    <t>946262762</t>
  </si>
  <si>
    <t>946323967</t>
  </si>
  <si>
    <t>946335120</t>
  </si>
  <si>
    <t>946372732</t>
  </si>
  <si>
    <t>946373174</t>
  </si>
  <si>
    <t>946401930</t>
  </si>
  <si>
    <t>946409281</t>
  </si>
  <si>
    <t>946465863</t>
  </si>
  <si>
    <t>946508707</t>
  </si>
  <si>
    <t>946535627</t>
  </si>
  <si>
    <t>946541985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</si>
  <si>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</si>
  <si>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</si>
  <si>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</si>
  <si>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</si>
  <si>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</si>
  <si>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</si>
  <si>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</si>
  <si>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946701171</t>
  </si>
  <si>
    <t>946756567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</si>
  <si>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</si>
  <si>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</si>
  <si>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</si>
  <si>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</si>
  <si>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</si>
  <si>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</si>
  <si>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</si>
  <si>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</si>
  <si>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</si>
  <si>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947090805</t>
  </si>
  <si>
    <t>947102411</t>
  </si>
  <si>
    <t>947108240</t>
  </si>
  <si>
    <t>947152583</t>
  </si>
  <si>
    <t>947153032</t>
  </si>
  <si>
    <t>947161293</t>
  </si>
  <si>
    <t>947248413</t>
  </si>
  <si>
    <t>947256397</t>
  </si>
  <si>
    <t>947265863</t>
  </si>
  <si>
    <t>947268165</t>
  </si>
  <si>
    <t>947269782</t>
  </si>
  <si>
    <t>947272285</t>
  </si>
  <si>
    <t>947275424</t>
  </si>
  <si>
    <t>947282696</t>
  </si>
  <si>
    <t>947374330</t>
  </si>
  <si>
    <t>947374961</t>
  </si>
  <si>
    <t>947382840</t>
  </si>
  <si>
    <t>947413360</t>
  </si>
  <si>
    <t>947442717</t>
  </si>
  <si>
    <t>947444522</t>
  </si>
  <si>
    <t>947460213</t>
  </si>
  <si>
    <t>947491119</t>
  </si>
  <si>
    <t>947529371</t>
  </si>
  <si>
    <t>947539705</t>
  </si>
  <si>
    <t>947752752</t>
  </si>
  <si>
    <t>947826329</t>
  </si>
  <si>
    <t>947855569</t>
  </si>
  <si>
    <t>947864261</t>
  </si>
  <si>
    <t>948050991</t>
  </si>
  <si>
    <t>948075150</t>
  </si>
  <si>
    <t>948154489</t>
  </si>
  <si>
    <t>948163337</t>
  </si>
  <si>
    <t>948242477</t>
  </si>
  <si>
    <t>948273011</t>
  </si>
  <si>
    <t>948390432</t>
  </si>
  <si>
    <t>948476240</t>
  </si>
  <si>
    <t>948512695</t>
  </si>
  <si>
    <t>948545530</t>
  </si>
  <si>
    <t>948671412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</si>
  <si>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</si>
  <si>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</si>
  <si>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</si>
  <si>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</si>
  <si>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</si>
  <si>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</si>
  <si>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</si>
  <si>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</si>
  <si>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</si>
  <si>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</si>
  <si>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</si>
  <si>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949079825</t>
  </si>
  <si>
    <t>949086541</t>
  </si>
  <si>
    <t>949088306</t>
  </si>
  <si>
    <t>949105884</t>
  </si>
  <si>
    <t>949125806</t>
  </si>
  <si>
    <t>949128251</t>
  </si>
  <si>
    <t>949201436</t>
  </si>
  <si>
    <t>949228159</t>
  </si>
  <si>
    <t>949264145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</si>
  <si>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</si>
  <si>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</si>
  <si>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</si>
  <si>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</si>
  <si>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</si>
  <si>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</si>
  <si>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</si>
  <si>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</si>
  <si>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949573375</t>
  </si>
  <si>
    <t>949674697</t>
  </si>
  <si>
    <t>949685531</t>
  </si>
  <si>
    <t>949773797</t>
  </si>
  <si>
    <t>949775509</t>
  </si>
  <si>
    <t>949785741</t>
  </si>
  <si>
    <t>949937080</t>
  </si>
  <si>
    <t>951020091</t>
  </si>
  <si>
    <t>951052365</t>
  </si>
  <si>
    <t>951053208</t>
  </si>
  <si>
    <t>951079698</t>
  </si>
  <si>
    <t>951080771</t>
  </si>
  <si>
    <t>951102221</t>
  </si>
  <si>
    <t>951418988</t>
  </si>
  <si>
    <t>951525204</t>
  </si>
  <si>
    <t>951569414</t>
  </si>
  <si>
    <t>951616092</t>
  </si>
  <si>
    <t>951635326</t>
  </si>
  <si>
    <t>951933310</t>
  </si>
  <si>
    <t>952115050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</si>
  <si>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</si>
  <si>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</si>
  <si>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</si>
  <si>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</si>
  <si>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</si>
  <si>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</si>
  <si>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</si>
  <si>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</si>
  <si>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</si>
  <si>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</si>
  <si>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</si>
  <si>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</si>
  <si>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</si>
  <si>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952873336</t>
  </si>
  <si>
    <t>952982997</t>
  </si>
  <si>
    <t>953115822</t>
  </si>
  <si>
    <t>953134432</t>
  </si>
  <si>
    <t>953170136</t>
  </si>
  <si>
    <t>953219625</t>
  </si>
  <si>
    <t>953229284</t>
  </si>
  <si>
    <t>953348385</t>
  </si>
  <si>
    <t>953428007</t>
  </si>
  <si>
    <t>953592995</t>
  </si>
  <si>
    <t>953841491</t>
  </si>
  <si>
    <t>953908203</t>
  </si>
  <si>
    <t>953999508</t>
  </si>
  <si>
    <t>954079011</t>
  </si>
  <si>
    <t>954090911</t>
  </si>
  <si>
    <t>954107700</t>
  </si>
  <si>
    <t>954139934</t>
  </si>
  <si>
    <t>954158531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</si>
  <si>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</si>
  <si>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</si>
  <si>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</si>
  <si>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</si>
  <si>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</si>
  <si>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</si>
  <si>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</si>
  <si>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</si>
  <si>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</si>
  <si>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</si>
  <si>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</si>
  <si>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954584031</t>
  </si>
  <si>
    <t>954664523</t>
  </si>
  <si>
    <t>954783514</t>
  </si>
  <si>
    <t>954790277</t>
  </si>
  <si>
    <t>954819513</t>
  </si>
  <si>
    <t>954911612</t>
  </si>
  <si>
    <t>954920859</t>
  </si>
  <si>
    <t>954956635</t>
  </si>
  <si>
    <t>954972518</t>
  </si>
  <si>
    <t>954980295</t>
  </si>
  <si>
    <t>954987210</t>
  </si>
  <si>
    <t>954999989</t>
  </si>
  <si>
    <t>955032363</t>
  </si>
  <si>
    <t>955038322</t>
  </si>
  <si>
    <t>955078443</t>
  </si>
  <si>
    <t>955095339</t>
  </si>
  <si>
    <t>955151588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</si>
  <si>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</si>
  <si>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</si>
  <si>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</si>
  <si>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</si>
  <si>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</si>
  <si>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</si>
  <si>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</si>
  <si>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</si>
  <si>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</si>
  <si>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</si>
  <si>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</si>
  <si>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</si>
  <si>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</si>
  <si>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</si>
  <si>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</si>
  <si>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</si>
  <si>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</si>
  <si>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</si>
  <si>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</si>
  <si>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</si>
  <si>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956164280</t>
  </si>
  <si>
    <t>956167134</t>
  </si>
  <si>
    <t>956229470</t>
  </si>
  <si>
    <t>956406262</t>
  </si>
  <si>
    <t>956654325</t>
  </si>
  <si>
    <t>956665528</t>
  </si>
  <si>
    <t>956706574</t>
  </si>
  <si>
    <t>956765679</t>
  </si>
  <si>
    <t>957053821</t>
  </si>
  <si>
    <t>960147841</t>
  </si>
  <si>
    <t>960184365</t>
  </si>
  <si>
    <t>960192962</t>
  </si>
  <si>
    <t>960233322</t>
  </si>
  <si>
    <t>960287857</t>
  </si>
  <si>
    <t>960455606</t>
  </si>
  <si>
    <t>960532390</t>
  </si>
  <si>
    <t>960570504</t>
  </si>
  <si>
    <t>960737167</t>
  </si>
  <si>
    <t>960770852</t>
  </si>
  <si>
    <t>960796425</t>
  </si>
  <si>
    <t>960912767</t>
  </si>
  <si>
    <t>960992780</t>
  </si>
  <si>
    <t>961024710</t>
  </si>
  <si>
    <t>961089079</t>
  </si>
  <si>
    <t>961098987</t>
  </si>
  <si>
    <t>961133223</t>
  </si>
  <si>
    <t>961138882</t>
  </si>
  <si>
    <t>961384173</t>
  </si>
  <si>
    <t>961538150</t>
  </si>
  <si>
    <t>961602711</t>
  </si>
  <si>
    <t>961608867</t>
  </si>
  <si>
    <t>961732299</t>
  </si>
  <si>
    <t>961757258</t>
  </si>
  <si>
    <t>961886810</t>
  </si>
  <si>
    <t>961890844</t>
  </si>
  <si>
    <t>961916141</t>
  </si>
  <si>
    <t>961968768</t>
  </si>
  <si>
    <t>962001245</t>
  </si>
  <si>
    <t>962232482</t>
  </si>
  <si>
    <t>962271498</t>
  </si>
  <si>
    <t>962353982</t>
  </si>
  <si>
    <t>962372962</t>
  </si>
  <si>
    <t>962397987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</si>
  <si>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</si>
  <si>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</si>
  <si>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</si>
  <si>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</si>
  <si>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</si>
  <si>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</si>
  <si>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</si>
  <si>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962881590</t>
  </si>
  <si>
    <t>962893915</t>
  </si>
  <si>
    <t>962955865</t>
  </si>
  <si>
    <t>962988464</t>
  </si>
  <si>
    <t>963065081</t>
  </si>
  <si>
    <t>963113838</t>
  </si>
  <si>
    <t>963142647</t>
  </si>
  <si>
    <t>963168579</t>
  </si>
  <si>
    <t>963175015</t>
  </si>
  <si>
    <t>963279518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</si>
  <si>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</si>
  <si>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</si>
  <si>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</si>
  <si>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</si>
  <si>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</si>
  <si>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</si>
  <si>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</si>
  <si>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</si>
  <si>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963908054</t>
  </si>
  <si>
    <t>963982415</t>
  </si>
  <si>
    <t>964003830</t>
  </si>
  <si>
    <t>964025194</t>
  </si>
  <si>
    <t>964108344</t>
  </si>
  <si>
    <t>964199474</t>
  </si>
  <si>
    <t>964250915</t>
  </si>
  <si>
    <t>964273026</t>
  </si>
  <si>
    <t>964362216</t>
  </si>
  <si>
    <t>964493021</t>
  </si>
  <si>
    <t>964554060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</si>
  <si>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</si>
  <si>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</si>
  <si>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</si>
  <si>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</si>
  <si>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</si>
  <si>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</si>
  <si>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</si>
  <si>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</si>
  <si>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965109010</t>
  </si>
  <si>
    <t>965193627</t>
  </si>
  <si>
    <t>965255546</t>
  </si>
  <si>
    <t>965286650</t>
  </si>
  <si>
    <t>965307644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</si>
  <si>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</si>
  <si>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</si>
  <si>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</si>
  <si>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</si>
  <si>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</si>
  <si>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</si>
  <si>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</si>
  <si>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</si>
  <si>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</si>
  <si>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</si>
  <si>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</si>
  <si>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</si>
  <si>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965496462</t>
  </si>
  <si>
    <t>965564334</t>
  </si>
  <si>
    <t>965566927</t>
  </si>
  <si>
    <t>965576448</t>
  </si>
  <si>
    <t>965647572</t>
  </si>
  <si>
    <t>965701238</t>
  </si>
  <si>
    <t>965731321</t>
  </si>
  <si>
    <t>965752466</t>
  </si>
  <si>
    <t>965806862</t>
  </si>
  <si>
    <t>965884522</t>
  </si>
  <si>
    <t>965913061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</si>
  <si>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</si>
  <si>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</si>
  <si>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</si>
  <si>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</si>
  <si>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</si>
  <si>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</si>
  <si>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</si>
  <si>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</si>
  <si>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</si>
  <si>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</si>
  <si>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</si>
  <si>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</si>
  <si>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</si>
  <si>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</si>
  <si>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</si>
  <si>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</si>
  <si>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</si>
  <si>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</si>
  <si>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</si>
  <si>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</si>
  <si>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</si>
  <si>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966797960</t>
  </si>
  <si>
    <t>966846288</t>
  </si>
  <si>
    <t>966875685</t>
  </si>
  <si>
    <t>966876214</t>
  </si>
  <si>
    <t>966892949</t>
  </si>
  <si>
    <t>966924278</t>
  </si>
  <si>
    <t>966975107</t>
  </si>
  <si>
    <t>966975440</t>
  </si>
  <si>
    <t>967005313</t>
  </si>
  <si>
    <t>967017455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</si>
  <si>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</si>
  <si>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</si>
  <si>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</si>
  <si>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</si>
  <si>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</si>
  <si>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</si>
  <si>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</si>
  <si>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</si>
  <si>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</si>
  <si>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</si>
  <si>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</si>
  <si>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</si>
  <si>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</si>
  <si>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</si>
  <si>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</si>
  <si>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</si>
  <si>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</si>
  <si>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</si>
  <si>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</si>
  <si>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</si>
  <si>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</si>
  <si>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</si>
  <si>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967498405</t>
  </si>
  <si>
    <t>967537033</t>
  </si>
  <si>
    <t>967540687</t>
  </si>
  <si>
    <t>967542332</t>
  </si>
  <si>
    <t>967547959</t>
  </si>
  <si>
    <t>967580748</t>
  </si>
  <si>
    <t>967608560</t>
  </si>
  <si>
    <t>967653674</t>
  </si>
  <si>
    <t>967654904</t>
  </si>
  <si>
    <t>967659291</t>
  </si>
  <si>
    <t>967687778</t>
  </si>
  <si>
    <t>967701094</t>
  </si>
  <si>
    <t>967702150</t>
  </si>
  <si>
    <t>967725450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</si>
  <si>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</si>
  <si>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</si>
  <si>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</si>
  <si>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</si>
  <si>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</si>
  <si>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</si>
  <si>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</si>
  <si>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</si>
  <si>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</si>
  <si>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</si>
  <si>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</si>
  <si>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</si>
  <si>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</si>
  <si>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</si>
  <si>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</si>
  <si>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</si>
  <si>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</si>
  <si>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</si>
  <si>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</si>
  <si>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</si>
  <si>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</si>
  <si>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968397919</t>
  </si>
  <si>
    <t>968431521</t>
  </si>
  <si>
    <t>968504370</t>
  </si>
  <si>
    <t>968512093</t>
  </si>
  <si>
    <t>968512811</t>
  </si>
  <si>
    <t>968515907</t>
  </si>
  <si>
    <t>968581331</t>
  </si>
  <si>
    <t>968592953</t>
  </si>
  <si>
    <t>968605870</t>
  </si>
  <si>
    <t>968614358</t>
  </si>
  <si>
    <t>968631582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</si>
  <si>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</si>
  <si>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</si>
  <si>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</si>
  <si>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</si>
  <si>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</si>
  <si>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</si>
  <si>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</si>
  <si>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</si>
  <si>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</si>
  <si>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969201896</t>
  </si>
  <si>
    <t>969254532</t>
  </si>
  <si>
    <t>969351198</t>
  </si>
  <si>
    <t>969352596</t>
  </si>
  <si>
    <t>969421897</t>
  </si>
  <si>
    <t>969452772</t>
  </si>
  <si>
    <t>969758010</t>
  </si>
  <si>
    <t>969835161</t>
  </si>
  <si>
    <t>969878589</t>
  </si>
  <si>
    <t>970130506</t>
  </si>
  <si>
    <t>970169479</t>
  </si>
  <si>
    <t>970277519</t>
  </si>
  <si>
    <t>970417017</t>
  </si>
  <si>
    <t>970453274</t>
  </si>
  <si>
    <t>970590289</t>
  </si>
  <si>
    <t>970611126</t>
  </si>
  <si>
    <t>970618471</t>
  </si>
  <si>
    <t>970711804</t>
  </si>
  <si>
    <t>970729204</t>
  </si>
  <si>
    <t>970738088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</si>
  <si>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</si>
  <si>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</si>
  <si>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</si>
  <si>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</si>
  <si>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</si>
  <si>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</si>
  <si>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</si>
  <si>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972422832</t>
  </si>
  <si>
    <t>972489535</t>
  </si>
  <si>
    <t>972529295</t>
  </si>
  <si>
    <t>972555328</t>
  </si>
  <si>
    <t>972560409</t>
  </si>
  <si>
    <t>972574979</t>
  </si>
  <si>
    <t>972746120</t>
  </si>
  <si>
    <t>972843988</t>
  </si>
  <si>
    <t>972914773</t>
  </si>
  <si>
    <t>973020101</t>
  </si>
  <si>
    <t>973069132</t>
  </si>
  <si>
    <t>973086454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</si>
  <si>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</si>
  <si>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</si>
  <si>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</si>
  <si>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</si>
  <si>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</si>
  <si>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</si>
  <si>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</si>
  <si>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973402050</t>
  </si>
  <si>
    <t>973424764</t>
  </si>
  <si>
    <t>973472246</t>
  </si>
  <si>
    <t>973491358</t>
  </si>
  <si>
    <t>973503626</t>
  </si>
  <si>
    <t>973536630</t>
  </si>
  <si>
    <t>973560160</t>
  </si>
  <si>
    <t>973690381</t>
  </si>
  <si>
    <t>973702661</t>
  </si>
  <si>
    <t>973731549</t>
  </si>
  <si>
    <t>973734949</t>
  </si>
  <si>
    <t>973927252</t>
  </si>
  <si>
    <t>973985020</t>
  </si>
  <si>
    <t>974088245</t>
  </si>
  <si>
    <t>974136155</t>
  </si>
  <si>
    <t>974137842</t>
  </si>
  <si>
    <t>974220108</t>
  </si>
  <si>
    <t>974321316</t>
  </si>
  <si>
    <t>974370092</t>
  </si>
  <si>
    <t>974379930</t>
  </si>
  <si>
    <t>974437654</t>
  </si>
  <si>
    <t>974555295</t>
  </si>
  <si>
    <t>974557767</t>
  </si>
  <si>
    <t>974621196</t>
  </si>
  <si>
    <t>974707251</t>
  </si>
  <si>
    <t>974786894</t>
  </si>
  <si>
    <t>974854591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</si>
  <si>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</si>
  <si>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</si>
  <si>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</si>
  <si>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</si>
  <si>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</si>
  <si>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</si>
  <si>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</si>
  <si>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</si>
  <si>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</si>
  <si>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</si>
  <si>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</si>
  <si>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</si>
  <si>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</si>
  <si>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</si>
  <si>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</si>
  <si>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</si>
  <si>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975559788</t>
  </si>
  <si>
    <t>975680566</t>
  </si>
  <si>
    <t>975709921</t>
  </si>
  <si>
    <t>975725723</t>
  </si>
  <si>
    <t>975749023</t>
  </si>
  <si>
    <t>975811798</t>
  </si>
  <si>
    <t>976054251</t>
  </si>
  <si>
    <t>976063213</t>
  </si>
  <si>
    <t>976182254</t>
  </si>
  <si>
    <t>976415179</t>
  </si>
  <si>
    <t>976492574</t>
  </si>
  <si>
    <t>976544543</t>
  </si>
  <si>
    <t>976628586</t>
  </si>
  <si>
    <t>976634555</t>
  </si>
  <si>
    <t>976839555</t>
  </si>
  <si>
    <t>976858682</t>
  </si>
  <si>
    <t>976876709</t>
  </si>
  <si>
    <t>977002566</t>
  </si>
  <si>
    <t>977050993</t>
  </si>
  <si>
    <t>977152950</t>
  </si>
  <si>
    <t>977154956</t>
  </si>
  <si>
    <t>977218028</t>
  </si>
  <si>
    <t>977280078</t>
  </si>
  <si>
    <t>977307547</t>
  </si>
  <si>
    <t>977324242</t>
  </si>
  <si>
    <t>977417400</t>
  </si>
  <si>
    <t>977498799</t>
  </si>
  <si>
    <t>977590772</t>
  </si>
  <si>
    <t>977711884</t>
  </si>
  <si>
    <t>977767810</t>
  </si>
  <si>
    <t>977775993</t>
  </si>
  <si>
    <t>977938714</t>
  </si>
  <si>
    <t>977941953</t>
  </si>
  <si>
    <t>977986388</t>
  </si>
  <si>
    <t>978161664</t>
  </si>
  <si>
    <t>978271298</t>
  </si>
  <si>
    <t>978300423</t>
  </si>
  <si>
    <t>978454559</t>
  </si>
  <si>
    <t>978464590</t>
  </si>
  <si>
    <t>978490038</t>
  </si>
  <si>
    <t>978638476</t>
  </si>
  <si>
    <t>978640090</t>
  </si>
  <si>
    <t>978651679</t>
  </si>
  <si>
    <t>978696632</t>
  </si>
  <si>
    <t>978697916</t>
  </si>
  <si>
    <t>978769241</t>
  </si>
  <si>
    <t>978807334</t>
  </si>
  <si>
    <t>978813033</t>
  </si>
  <si>
    <t>978814942</t>
  </si>
  <si>
    <t>978818197</t>
  </si>
  <si>
    <t>978911856</t>
  </si>
  <si>
    <t>979005949</t>
  </si>
  <si>
    <t>979065289</t>
  </si>
  <si>
    <t>979079997</t>
  </si>
  <si>
    <t>979091880</t>
  </si>
  <si>
    <t>979107076</t>
  </si>
  <si>
    <t>979236244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</si>
  <si>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</si>
  <si>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</si>
  <si>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</si>
  <si>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</si>
  <si>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</si>
  <si>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</si>
  <si>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</si>
  <si>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979644360</t>
  </si>
  <si>
    <t>979671412</t>
  </si>
  <si>
    <t>979674916</t>
  </si>
  <si>
    <t>979727936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</si>
  <si>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</si>
  <si>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</si>
  <si>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</si>
  <si>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</si>
  <si>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</si>
  <si>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</si>
  <si>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</si>
  <si>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980162951</t>
  </si>
  <si>
    <t>980438686</t>
  </si>
  <si>
    <t>980439170</t>
  </si>
  <si>
    <t>980500075</t>
  </si>
  <si>
    <t>980543952</t>
  </si>
  <si>
    <t>980600743</t>
  </si>
  <si>
    <t>981152941</t>
  </si>
  <si>
    <t>982014164</t>
  </si>
  <si>
    <t>982083775</t>
  </si>
  <si>
    <t>982094546</t>
  </si>
  <si>
    <t>982095041</t>
  </si>
  <si>
    <t>982174331</t>
  </si>
  <si>
    <t>982210344</t>
  </si>
  <si>
    <t>982390694</t>
  </si>
  <si>
    <t>982517439</t>
  </si>
  <si>
    <t>982627164</t>
  </si>
  <si>
    <t>982638476</t>
  </si>
  <si>
    <t>982660383</t>
  </si>
  <si>
    <t>982711884</t>
  </si>
  <si>
    <t>982714423</t>
  </si>
  <si>
    <t>982734956</t>
  </si>
  <si>
    <t>982769474</t>
  </si>
  <si>
    <t>982816421</t>
  </si>
  <si>
    <t>982923508</t>
  </si>
  <si>
    <t>983013530</t>
  </si>
  <si>
    <t>983089699</t>
  </si>
  <si>
    <t>983090756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</si>
  <si>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</si>
  <si>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</si>
  <si>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</si>
  <si>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</si>
  <si>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</si>
  <si>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</si>
  <si>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</si>
  <si>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</si>
  <si>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</si>
  <si>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983511112</t>
  </si>
  <si>
    <t>983511305</t>
  </si>
  <si>
    <t>983575532</t>
  </si>
  <si>
    <t>983650746</t>
  </si>
  <si>
    <t>983662727</t>
  </si>
  <si>
    <t>983694655</t>
  </si>
  <si>
    <t>983708542</t>
  </si>
  <si>
    <t>983740465</t>
  </si>
  <si>
    <t>983744290</t>
  </si>
  <si>
    <t>983752664</t>
  </si>
  <si>
    <t>983771368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</si>
  <si>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</si>
  <si>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</si>
  <si>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</si>
  <si>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</si>
  <si>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</si>
  <si>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</si>
  <si>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</si>
  <si>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984783271</t>
  </si>
  <si>
    <t>984791834</t>
  </si>
  <si>
    <t>984798828</t>
  </si>
  <si>
    <t>984920660</t>
  </si>
  <si>
    <t>984974355</t>
  </si>
  <si>
    <t>985019458</t>
  </si>
  <si>
    <t>985030032</t>
  </si>
  <si>
    <t>985068483</t>
  </si>
  <si>
    <t>985074028</t>
  </si>
  <si>
    <t>985080272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</si>
  <si>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</si>
  <si>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</si>
  <si>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</si>
  <si>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</si>
  <si>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</si>
  <si>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</si>
  <si>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</si>
  <si>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</si>
  <si>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985543618</t>
  </si>
  <si>
    <t>985545547</t>
  </si>
  <si>
    <t>985705822</t>
  </si>
  <si>
    <t>985707646</t>
  </si>
  <si>
    <t>985786030</t>
  </si>
  <si>
    <t>985790300</t>
  </si>
  <si>
    <t>985790602</t>
  </si>
  <si>
    <t>985849970</t>
  </si>
  <si>
    <t>985972466</t>
  </si>
  <si>
    <t>986106752</t>
  </si>
  <si>
    <t>986110010</t>
  </si>
  <si>
    <t>986128030</t>
  </si>
  <si>
    <t>986151317</t>
  </si>
  <si>
    <t>986360055</t>
  </si>
  <si>
    <t>986475562</t>
  </si>
  <si>
    <t>986479117</t>
  </si>
  <si>
    <t>986498963</t>
  </si>
  <si>
    <t>986539101</t>
  </si>
  <si>
    <t>986552749</t>
  </si>
  <si>
    <t>986572980</t>
  </si>
  <si>
    <t>986807345</t>
  </si>
  <si>
    <t>986823485</t>
  </si>
  <si>
    <t>986867788</t>
  </si>
  <si>
    <t>986885763</t>
  </si>
  <si>
    <t>986947998</t>
  </si>
  <si>
    <t>987105674</t>
  </si>
  <si>
    <t>987124031</t>
  </si>
  <si>
    <t>987272741</t>
  </si>
  <si>
    <t>987273734</t>
  </si>
  <si>
    <t>987345621</t>
  </si>
  <si>
    <t>987444813</t>
  </si>
  <si>
    <t>987590528</t>
  </si>
  <si>
    <t>987654321</t>
  </si>
  <si>
    <t>987654323</t>
  </si>
  <si>
    <t>987676712</t>
  </si>
  <si>
    <t>987678789</t>
  </si>
  <si>
    <t>987686545</t>
  </si>
  <si>
    <t>987749050</t>
  </si>
  <si>
    <t>987786554</t>
  </si>
  <si>
    <t>987786556</t>
  </si>
  <si>
    <t>987880809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</si>
  <si>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</si>
  <si>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</si>
  <si>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</si>
  <si>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</si>
  <si>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</si>
  <si>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</si>
  <si>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</si>
  <si>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</si>
  <si>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</si>
  <si>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</si>
  <si>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988285718</t>
  </si>
  <si>
    <t>988320177</t>
  </si>
  <si>
    <t>988327295</t>
  </si>
  <si>
    <t>988328834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</si>
  <si>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</si>
  <si>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</si>
  <si>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</si>
  <si>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</si>
  <si>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</si>
  <si>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</si>
  <si>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</si>
  <si>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</si>
  <si>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</si>
  <si>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</si>
  <si>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</si>
  <si>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</si>
  <si>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988983189</t>
  </si>
  <si>
    <t>988998268</t>
  </si>
  <si>
    <t>988999669</t>
  </si>
  <si>
    <t>989015992</t>
  </si>
  <si>
    <t>989059331</t>
  </si>
  <si>
    <t>989114886</t>
  </si>
  <si>
    <t>989173953</t>
  </si>
  <si>
    <t>989181808</t>
  </si>
  <si>
    <t>989255580</t>
  </si>
  <si>
    <t>989282149</t>
  </si>
  <si>
    <t>989306067</t>
  </si>
  <si>
    <t>989332032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</si>
  <si>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</si>
  <si>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</si>
  <si>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</si>
  <si>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</si>
  <si>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</si>
  <si>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</si>
  <si>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</si>
  <si>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</si>
  <si>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</si>
  <si>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</si>
  <si>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989874141</t>
  </si>
  <si>
    <t>989889861</t>
  </si>
  <si>
    <t>989891172</t>
  </si>
  <si>
    <t>989952079</t>
  </si>
  <si>
    <t>989952388</t>
  </si>
  <si>
    <t>989987667</t>
  </si>
  <si>
    <t>989991052</t>
  </si>
  <si>
    <t>991066170</t>
  </si>
  <si>
    <t>991069399</t>
  </si>
  <si>
    <t>991119527</t>
  </si>
  <si>
    <t>991150971</t>
  </si>
  <si>
    <t>991158394</t>
  </si>
  <si>
    <t>991163778</t>
  </si>
  <si>
    <t>991169716</t>
  </si>
  <si>
    <t>991174288</t>
  </si>
  <si>
    <t>991217617</t>
  </si>
  <si>
    <t>991322572</t>
  </si>
  <si>
    <t>991323760</t>
  </si>
  <si>
    <t>991385151</t>
  </si>
  <si>
    <t>991395185</t>
  </si>
  <si>
    <t>991485615</t>
  </si>
  <si>
    <t>991527058</t>
  </si>
  <si>
    <t>991552058</t>
  </si>
  <si>
    <t>991822437</t>
  </si>
  <si>
    <t>991873298</t>
  </si>
  <si>
    <t>991988767</t>
  </si>
  <si>
    <t>992024787</t>
  </si>
  <si>
    <t>992091350</t>
  </si>
  <si>
    <t>992199143</t>
  </si>
  <si>
    <t>992573564</t>
  </si>
  <si>
    <t>992578908</t>
  </si>
  <si>
    <t>992721165</t>
  </si>
  <si>
    <t>992983367</t>
  </si>
  <si>
    <t>993260655</t>
  </si>
  <si>
    <t>993463786</t>
  </si>
  <si>
    <t>993927402</t>
  </si>
  <si>
    <t>993949301</t>
  </si>
  <si>
    <t>993955704</t>
  </si>
  <si>
    <t>994052325</t>
  </si>
  <si>
    <t>994124305</t>
  </si>
  <si>
    <t>994147444</t>
  </si>
  <si>
    <t>994229766</t>
  </si>
  <si>
    <t>994425660</t>
  </si>
  <si>
    <t>994437030</t>
  </si>
  <si>
    <t>994498251</t>
  </si>
  <si>
    <t>994557670</t>
  </si>
  <si>
    <t>994620972</t>
  </si>
  <si>
    <t>994647129</t>
  </si>
  <si>
    <t>994680769</t>
  </si>
  <si>
    <t>994699064</t>
  </si>
  <si>
    <t>994900143</t>
  </si>
  <si>
    <t>995167404</t>
  </si>
  <si>
    <t>995400731</t>
  </si>
  <si>
    <t>995413123</t>
  </si>
  <si>
    <t>995445776</t>
  </si>
  <si>
    <t>995468027</t>
  </si>
  <si>
    <t>995505736</t>
  </si>
  <si>
    <t>995959283</t>
  </si>
  <si>
    <t>996247501</t>
  </si>
  <si>
    <t>996257006</t>
  </si>
  <si>
    <t>996298587</t>
  </si>
  <si>
    <t>996326251</t>
  </si>
  <si>
    <t>996345397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</si>
  <si>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</si>
  <si>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</si>
  <si>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</si>
  <si>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</si>
  <si>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</si>
  <si>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</si>
  <si>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</si>
  <si>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</si>
  <si>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</si>
  <si>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910111655</t>
  </si>
  <si>
    <t>933802887</t>
  </si>
  <si>
    <t>949191993</t>
  </si>
  <si>
    <t>916248105</t>
  </si>
  <si>
    <t>919306426</t>
  </si>
  <si>
    <t>934054185</t>
  </si>
  <si>
    <t>932225252</t>
  </si>
  <si>
    <t>938347907</t>
  </si>
  <si>
    <t>952012795</t>
  </si>
  <si>
    <t>966183880</t>
  </si>
  <si>
    <t>901112183</t>
  </si>
  <si>
    <t>908251441</t>
  </si>
  <si>
    <t>919599149</t>
  </si>
  <si>
    <t>921296264</t>
  </si>
  <si>
    <t>930646614</t>
  </si>
  <si>
    <t>931412984</t>
  </si>
  <si>
    <t>938956400</t>
  </si>
  <si>
    <t>943322123</t>
  </si>
  <si>
    <t>949402822</t>
  </si>
  <si>
    <t>954656796</t>
  </si>
  <si>
    <t>964620844</t>
  </si>
  <si>
    <t>974480513</t>
  </si>
  <si>
    <t>710521582</t>
  </si>
  <si>
    <t>900303193</t>
  </si>
  <si>
    <t>903706578</t>
  </si>
  <si>
    <t>907332163</t>
  </si>
  <si>
    <t>909034602</t>
  </si>
  <si>
    <t>909269220</t>
  </si>
  <si>
    <t>911455825</t>
  </si>
  <si>
    <t>911567708</t>
  </si>
  <si>
    <t>912113869</t>
  </si>
  <si>
    <t>912238034</t>
  </si>
  <si>
    <t>912605013</t>
  </si>
  <si>
    <t>918128300</t>
  </si>
  <si>
    <t>918194850</t>
  </si>
  <si>
    <t>919132792</t>
  </si>
  <si>
    <t>919408420</t>
  </si>
  <si>
    <t>921309187</t>
  </si>
  <si>
    <t>921471299</t>
  </si>
  <si>
    <t>925195008</t>
  </si>
  <si>
    <t>928941276</t>
  </si>
  <si>
    <t>929560669</t>
  </si>
  <si>
    <t>935070974</t>
  </si>
  <si>
    <t>937024410</t>
  </si>
  <si>
    <t>938178018</t>
  </si>
  <si>
    <t>939722368</t>
  </si>
  <si>
    <t>940200820</t>
  </si>
  <si>
    <t>941424529</t>
  </si>
  <si>
    <t>944699080</t>
  </si>
  <si>
    <t>952231188</t>
  </si>
  <si>
    <t>960863686</t>
  </si>
  <si>
    <t>963482726</t>
  </si>
  <si>
    <t>966266966</t>
  </si>
  <si>
    <t>970770470</t>
  </si>
  <si>
    <t>973934487</t>
  </si>
  <si>
    <t>974042404</t>
  </si>
  <si>
    <t>982136292</t>
  </si>
  <si>
    <t>982345717</t>
  </si>
  <si>
    <t>986145851</t>
  </si>
  <si>
    <t>988286003</t>
  </si>
  <si>
    <t>995167370</t>
  </si>
  <si>
    <t>964011277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</si>
  <si>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</si>
  <si>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</si>
  <si>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</si>
  <si>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</si>
  <si>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</si>
  <si>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</si>
  <si>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</si>
  <si>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</si>
  <si>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</si>
  <si>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</si>
  <si>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</si>
  <si>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</si>
  <si>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</si>
  <si>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</si>
  <si>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 xml:space="preserve">Busy </t>
  </si>
  <si>
    <t>Wrong Person</t>
  </si>
  <si>
    <t>Reached</t>
  </si>
  <si>
    <t>YES</t>
  </si>
  <si>
    <t>Maybe will finish</t>
  </si>
  <si>
    <t xml:space="preserve">Forgot about it </t>
  </si>
  <si>
    <t xml:space="preserve">too busy schedule </t>
  </si>
  <si>
    <t xml:space="preserve">he will try to come </t>
  </si>
  <si>
    <t>NO</t>
  </si>
  <si>
    <t>Will not finish</t>
  </si>
  <si>
    <t>Other</t>
  </si>
  <si>
    <t>Not in addis</t>
  </si>
  <si>
    <t>he is in jimma</t>
  </si>
  <si>
    <t xml:space="preserve">Personal/ Family Issues </t>
  </si>
  <si>
    <t>Not Interested</t>
  </si>
  <si>
    <t>he dont need it couse of personal issue</t>
  </si>
  <si>
    <t>MAYBE</t>
  </si>
  <si>
    <t xml:space="preserve">Busy Schedule </t>
  </si>
  <si>
    <t>she will call back</t>
  </si>
  <si>
    <t>she is busy and cant attend in person</t>
  </si>
  <si>
    <t xml:space="preserve">repeted </t>
  </si>
  <si>
    <t>Not interested</t>
  </si>
  <si>
    <t>she gave her email adress to help the foot solders but not intrested</t>
  </si>
  <si>
    <t>he is in desse</t>
  </si>
  <si>
    <t>Will finish later</t>
  </si>
  <si>
    <t>They Will Finish</t>
  </si>
  <si>
    <t>he will come to hub</t>
  </si>
  <si>
    <t xml:space="preserve">she will try to com to the event </t>
  </si>
  <si>
    <t>Not sure</t>
  </si>
  <si>
    <t>he will try to come</t>
  </si>
  <si>
    <t>he is out of the city and cant finsh the aplication proccess</t>
  </si>
  <si>
    <t>he is not in adiss abab</t>
  </si>
  <si>
    <t>she is in assosa</t>
  </si>
  <si>
    <t>he will come to the  event</t>
  </si>
  <si>
    <t>she will try to come to hub other day</t>
  </si>
  <si>
    <t xml:space="preserve">he dont even interested to talk </t>
  </si>
  <si>
    <t>she in jigjiga</t>
  </si>
  <si>
    <t>she will come to event</t>
  </si>
  <si>
    <t>she said she gave her email and phone no to help on kpi of foot solder</t>
  </si>
  <si>
    <t>he will come to the event</t>
  </si>
  <si>
    <t>she is not interested to finish the app process</t>
  </si>
  <si>
    <t xml:space="preserve">he will try </t>
  </si>
  <si>
    <t>Lost Link</t>
  </si>
  <si>
    <t>she is not interested to talk even</t>
  </si>
  <si>
    <t>Phone Not Working</t>
  </si>
  <si>
    <t>Not Picking Up</t>
  </si>
  <si>
    <t>repeted</t>
  </si>
  <si>
    <t>He's in Shire</t>
  </si>
  <si>
    <t xml:space="preserve">She might come </t>
  </si>
  <si>
    <t xml:space="preserve">She's in Bahirdar </t>
  </si>
  <si>
    <t xml:space="preserve">He's in Amahra region </t>
  </si>
  <si>
    <t>H'es in Jimma</t>
  </si>
  <si>
    <t>Wanted Other Cource</t>
  </si>
  <si>
    <t xml:space="preserve">He won't come </t>
  </si>
  <si>
    <t>Can't Afford</t>
  </si>
  <si>
    <t xml:space="preserve">He can't come </t>
  </si>
  <si>
    <t xml:space="preserve">He's in Jijiga </t>
  </si>
  <si>
    <t xml:space="preserve">he will come </t>
  </si>
  <si>
    <t xml:space="preserve">she will come </t>
  </si>
  <si>
    <t xml:space="preserve">Hewon't come </t>
  </si>
  <si>
    <t>He won't come</t>
  </si>
  <si>
    <t xml:space="preserve">She will come </t>
  </si>
  <si>
    <t>dont rememeber</t>
  </si>
  <si>
    <t>she is in nazeret</t>
  </si>
  <si>
    <t>Unable to Talk</t>
  </si>
  <si>
    <t xml:space="preserve">She will come to the infosession </t>
  </si>
  <si>
    <t xml:space="preserve">He's in Debretabor </t>
  </si>
  <si>
    <t>He can't come</t>
  </si>
  <si>
    <t xml:space="preserve">Her family said no </t>
  </si>
  <si>
    <t xml:space="preserve">She can't come </t>
  </si>
  <si>
    <t xml:space="preserve">He's in Bahirdar </t>
  </si>
  <si>
    <t xml:space="preserve">Laguage </t>
  </si>
  <si>
    <t xml:space="preserve">She's in Arbaminch </t>
  </si>
  <si>
    <t xml:space="preserve">She doesn't want us to call her anymore </t>
  </si>
  <si>
    <t>He's in Gojam</t>
  </si>
  <si>
    <t xml:space="preserve">Internet Access </t>
  </si>
  <si>
    <t xml:space="preserve">He will come to the info session  </t>
  </si>
  <si>
    <t xml:space="preserve">He will come to the infosession </t>
  </si>
  <si>
    <t xml:space="preserve">He might come to the infession </t>
  </si>
  <si>
    <t xml:space="preserve">she might come to the infosession </t>
  </si>
  <si>
    <t xml:space="preserve">he has already Masters </t>
  </si>
  <si>
    <t xml:space="preserve">She's in Debretabor University </t>
  </si>
  <si>
    <t>he doesn't want us to call him anymoreb</t>
  </si>
  <si>
    <t>she might come</t>
  </si>
  <si>
    <t xml:space="preserve">he can't come </t>
  </si>
  <si>
    <t xml:space="preserve">he might come </t>
  </si>
  <si>
    <t>He's in grade 11</t>
  </si>
  <si>
    <t>Girumsew</t>
  </si>
  <si>
    <t>Haemnen</t>
  </si>
  <si>
    <t>Wrong Number</t>
  </si>
  <si>
    <t>They will pass the messagee</t>
  </si>
  <si>
    <t>Will immediatly finish</t>
  </si>
  <si>
    <t xml:space="preserve">never call to him </t>
  </si>
  <si>
    <t>By Mistake</t>
  </si>
  <si>
    <t>Done</t>
  </si>
  <si>
    <t>Already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</si>
</sst>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2418880.0</v>
      </c>
      <c r="B2" s="3" t="s">
        <v>15</v>
      </c>
      <c r="C2" s="3" t="b">
        <v>1</v>
      </c>
      <c r="D2" s="3" t="b">
        <v>1</v>
      </c>
      <c r="E2" s="3" t="s">
        <v>16</v>
      </c>
      <c r="F2" s="3" t="s">
        <v>17</v>
      </c>
      <c r="G2" s="4">
        <f>+251927071614</f>
        <v>251927071614</v>
      </c>
      <c r="H2" s="3" t="s">
        <v>18</v>
      </c>
      <c r="I2" s="3" t="s">
        <v>19</v>
      </c>
      <c r="J2" s="3" t="s">
        <v>19</v>
      </c>
      <c r="K2" s="3" t="s">
        <v>20</v>
      </c>
      <c r="L2" s="3">
        <v>27.95</v>
      </c>
      <c r="M2" s="3" t="s">
        <v>21</v>
      </c>
      <c r="O2" s="3">
        <v>9.5190453496E10</v>
      </c>
    </row>
    <row r="3">
      <c r="A3" s="3">
        <v>2411469.0</v>
      </c>
      <c r="B3" s="3" t="s">
        <v>22</v>
      </c>
      <c r="C3" s="3" t="b">
        <v>1</v>
      </c>
      <c r="D3" s="3" t="b">
        <v>1</v>
      </c>
      <c r="E3" s="3" t="s">
        <v>23</v>
      </c>
      <c r="F3" s="3" t="s">
        <v>24</v>
      </c>
      <c r="G3" s="4">
        <f>+251920709608</f>
        <v>251920709608</v>
      </c>
      <c r="H3" s="3" t="s">
        <v>18</v>
      </c>
      <c r="I3" s="3" t="s">
        <v>19</v>
      </c>
      <c r="J3" s="3" t="s">
        <v>19</v>
      </c>
      <c r="K3" s="3" t="s">
        <v>25</v>
      </c>
      <c r="L3" s="3">
        <v>34.28</v>
      </c>
      <c r="M3" s="3" t="s">
        <v>21</v>
      </c>
      <c r="O3" s="3">
        <v>7.3603123428E10</v>
      </c>
    </row>
    <row r="4">
      <c r="A4" s="3">
        <v>2419916.0</v>
      </c>
      <c r="B4" s="3" t="s">
        <v>26</v>
      </c>
      <c r="C4" s="3" t="b">
        <v>1</v>
      </c>
      <c r="D4" s="3" t="b">
        <v>1</v>
      </c>
      <c r="E4" s="3" t="s">
        <v>27</v>
      </c>
      <c r="F4" s="3" t="s">
        <v>28</v>
      </c>
      <c r="G4" s="4">
        <f>+251920256064</f>
        <v>251920256064</v>
      </c>
      <c r="H4" s="3" t="s">
        <v>29</v>
      </c>
      <c r="I4" s="3" t="s">
        <v>19</v>
      </c>
      <c r="J4" s="3" t="s">
        <v>19</v>
      </c>
      <c r="K4" s="3" t="s">
        <v>25</v>
      </c>
      <c r="L4" s="3">
        <v>26.7</v>
      </c>
      <c r="M4" s="3" t="s">
        <v>21</v>
      </c>
      <c r="O4" s="3">
        <v>9.7004938465E10</v>
      </c>
    </row>
    <row r="5">
      <c r="A5" s="3">
        <v>729640.0</v>
      </c>
      <c r="B5" s="3" t="s">
        <v>30</v>
      </c>
      <c r="C5" s="3" t="b">
        <v>1</v>
      </c>
      <c r="D5" s="3" t="b">
        <v>1</v>
      </c>
      <c r="E5" s="3" t="s">
        <v>31</v>
      </c>
      <c r="F5" s="3" t="s">
        <v>32</v>
      </c>
      <c r="G5" s="3">
        <v>9.94494649E8</v>
      </c>
      <c r="H5" s="3" t="s">
        <v>18</v>
      </c>
      <c r="I5" s="3" t="s">
        <v>19</v>
      </c>
      <c r="J5" s="3" t="s">
        <v>19</v>
      </c>
      <c r="K5" s="3" t="s">
        <v>25</v>
      </c>
      <c r="L5" s="3">
        <v>32.2</v>
      </c>
      <c r="M5" s="3" t="s">
        <v>21</v>
      </c>
      <c r="O5" s="3">
        <v>2.9609768E7</v>
      </c>
    </row>
    <row r="6">
      <c r="A6" s="3">
        <v>1052577.0</v>
      </c>
      <c r="B6" s="3" t="s">
        <v>33</v>
      </c>
      <c r="C6" s="3" t="b">
        <v>1</v>
      </c>
      <c r="D6" s="3" t="b">
        <v>1</v>
      </c>
      <c r="E6" s="3" t="s">
        <v>34</v>
      </c>
      <c r="F6" s="3" t="s">
        <v>35</v>
      </c>
      <c r="G6" s="4">
        <f>+251996350063</f>
        <v>251996350063</v>
      </c>
      <c r="H6" s="3" t="s">
        <v>18</v>
      </c>
      <c r="I6" s="3" t="s">
        <v>19</v>
      </c>
      <c r="J6" s="3" t="s">
        <v>19</v>
      </c>
      <c r="K6" s="3" t="s">
        <v>25</v>
      </c>
      <c r="L6" s="3">
        <v>26.84</v>
      </c>
      <c r="M6" s="3" t="s">
        <v>21</v>
      </c>
      <c r="O6" s="3">
        <v>6.274488824E9</v>
      </c>
    </row>
    <row r="7">
      <c r="A7" s="3">
        <v>1738475.0</v>
      </c>
      <c r="B7" s="3" t="s">
        <v>36</v>
      </c>
      <c r="C7" s="3" t="b">
        <v>1</v>
      </c>
      <c r="D7" s="3" t="b">
        <v>1</v>
      </c>
      <c r="E7" s="3" t="s">
        <v>37</v>
      </c>
      <c r="F7" s="3" t="s">
        <v>38</v>
      </c>
      <c r="G7" s="4">
        <f>+251920647708</f>
        <v>251920647708</v>
      </c>
      <c r="H7" s="3" t="s">
        <v>18</v>
      </c>
      <c r="I7" s="3" t="s">
        <v>19</v>
      </c>
      <c r="J7" s="3" t="s">
        <v>19</v>
      </c>
      <c r="K7" s="3" t="s">
        <v>25</v>
      </c>
      <c r="L7" s="3">
        <v>28.2</v>
      </c>
      <c r="M7" s="3" t="s">
        <v>21</v>
      </c>
      <c r="O7" s="3">
        <v>8898493.0</v>
      </c>
    </row>
    <row r="8">
      <c r="A8" s="3">
        <v>2423255.0</v>
      </c>
      <c r="B8" s="3" t="s">
        <v>39</v>
      </c>
      <c r="C8" s="3" t="b">
        <v>1</v>
      </c>
      <c r="D8" s="3" t="b">
        <v>1</v>
      </c>
      <c r="E8" s="3" t="s">
        <v>40</v>
      </c>
      <c r="F8" s="3" t="s">
        <v>41</v>
      </c>
      <c r="G8" s="3">
        <v>9.09958682E8</v>
      </c>
      <c r="H8" s="3" t="s">
        <v>18</v>
      </c>
      <c r="I8" s="3" t="s">
        <v>19</v>
      </c>
      <c r="J8" s="3" t="s">
        <v>19</v>
      </c>
      <c r="K8" s="3" t="s">
        <v>20</v>
      </c>
      <c r="L8" s="3">
        <v>19.6</v>
      </c>
      <c r="M8" s="3" t="s">
        <v>21</v>
      </c>
      <c r="O8" s="3">
        <v>9.8819018979E10</v>
      </c>
    </row>
    <row r="9">
      <c r="A9" s="3">
        <v>1803743.0</v>
      </c>
      <c r="B9" s="3" t="s">
        <v>42</v>
      </c>
      <c r="C9" s="3" t="b">
        <v>1</v>
      </c>
      <c r="D9" s="3" t="b">
        <v>1</v>
      </c>
      <c r="E9" s="3" t="s">
        <v>43</v>
      </c>
      <c r="F9" s="3" t="s">
        <v>35</v>
      </c>
      <c r="G9" s="4">
        <f>+251921260128</f>
        <v>251921260128</v>
      </c>
      <c r="H9" s="3" t="s">
        <v>44</v>
      </c>
      <c r="I9" s="3" t="s">
        <v>19</v>
      </c>
      <c r="J9" s="3" t="s">
        <v>19</v>
      </c>
      <c r="K9" s="3" t="s">
        <v>25</v>
      </c>
      <c r="L9" s="3">
        <v>28.59</v>
      </c>
      <c r="M9" s="3" t="s">
        <v>21</v>
      </c>
      <c r="O9" s="3">
        <v>1456397.0</v>
      </c>
    </row>
    <row r="10">
      <c r="A10" s="3">
        <v>192227.0</v>
      </c>
      <c r="B10" s="3" t="s">
        <v>45</v>
      </c>
      <c r="C10" s="3" t="b">
        <v>1</v>
      </c>
      <c r="D10" s="3" t="b">
        <v>1</v>
      </c>
      <c r="E10" s="3" t="s">
        <v>46</v>
      </c>
      <c r="F10" s="3" t="s">
        <v>35</v>
      </c>
      <c r="G10" s="4">
        <f>+251961124911</f>
        <v>251961124911</v>
      </c>
      <c r="H10" s="3" t="s">
        <v>18</v>
      </c>
      <c r="I10" s="3" t="s">
        <v>19</v>
      </c>
      <c r="J10" s="3" t="s">
        <v>19</v>
      </c>
      <c r="K10" s="3" t="s">
        <v>25</v>
      </c>
      <c r="L10" s="3">
        <v>26.65</v>
      </c>
      <c r="M10" s="3" t="s">
        <v>21</v>
      </c>
      <c r="O10" s="3">
        <v>3982227.0</v>
      </c>
    </row>
    <row r="11">
      <c r="A11" s="3">
        <v>2416893.0</v>
      </c>
      <c r="B11" s="3" t="s">
        <v>47</v>
      </c>
      <c r="C11" s="3" t="b">
        <v>1</v>
      </c>
      <c r="D11" s="3" t="b">
        <v>1</v>
      </c>
      <c r="E11" s="3" t="s">
        <v>48</v>
      </c>
      <c r="F11" s="3" t="s">
        <v>49</v>
      </c>
      <c r="G11" s="4">
        <f>+251985793636</f>
        <v>251985793636</v>
      </c>
      <c r="H11" s="3" t="s">
        <v>18</v>
      </c>
      <c r="I11" s="3" t="s">
        <v>19</v>
      </c>
      <c r="J11" s="3" t="s">
        <v>19</v>
      </c>
      <c r="K11" s="3" t="s">
        <v>25</v>
      </c>
      <c r="L11" s="3">
        <v>18.74</v>
      </c>
      <c r="M11" s="3" t="s">
        <v>21</v>
      </c>
      <c r="O11" s="3">
        <v>8.8195035367E10</v>
      </c>
    </row>
    <row r="12">
      <c r="A12" s="3">
        <v>2424946.0</v>
      </c>
      <c r="B12" s="3" t="s">
        <v>50</v>
      </c>
      <c r="C12" s="3" t="b">
        <v>1</v>
      </c>
      <c r="D12" s="3" t="b">
        <v>1</v>
      </c>
      <c r="E12" s="3" t="s">
        <v>51</v>
      </c>
      <c r="F12" s="3" t="s">
        <v>52</v>
      </c>
      <c r="G12" s="4">
        <f>+251934861435</f>
        <v>251934861435</v>
      </c>
      <c r="H12" s="3" t="s">
        <v>18</v>
      </c>
      <c r="I12" s="3" t="s">
        <v>19</v>
      </c>
      <c r="J12" s="3" t="s">
        <v>19</v>
      </c>
      <c r="K12" s="3" t="s">
        <v>20</v>
      </c>
      <c r="L12" s="3">
        <v>19.97</v>
      </c>
      <c r="M12" s="3" t="s">
        <v>21</v>
      </c>
      <c r="O12" s="3">
        <v>9.9715699938E10</v>
      </c>
    </row>
    <row r="13">
      <c r="A13" s="3">
        <v>2425086.0</v>
      </c>
      <c r="B13" s="3" t="s">
        <v>53</v>
      </c>
      <c r="C13" s="3" t="b">
        <v>1</v>
      </c>
      <c r="D13" s="3" t="b">
        <v>1</v>
      </c>
      <c r="E13" s="3" t="s">
        <v>54</v>
      </c>
      <c r="F13" s="3" t="s">
        <v>55</v>
      </c>
      <c r="G13" s="4">
        <f>+251943176601</f>
        <v>251943176601</v>
      </c>
      <c r="H13" s="3" t="s">
        <v>18</v>
      </c>
      <c r="I13" s="3" t="s">
        <v>19</v>
      </c>
      <c r="J13" s="3" t="s">
        <v>19</v>
      </c>
      <c r="K13" s="3" t="s">
        <v>20</v>
      </c>
      <c r="L13" s="3">
        <v>20.77</v>
      </c>
      <c r="M13" s="3" t="s">
        <v>21</v>
      </c>
    </row>
    <row r="14">
      <c r="A14" s="3">
        <v>1959557.0</v>
      </c>
      <c r="B14" s="3" t="s">
        <v>56</v>
      </c>
      <c r="C14" s="3" t="b">
        <v>1</v>
      </c>
      <c r="D14" s="3" t="b">
        <v>1</v>
      </c>
      <c r="E14" s="3" t="s">
        <v>57</v>
      </c>
      <c r="F14" s="3" t="s">
        <v>58</v>
      </c>
      <c r="G14" s="4">
        <f>+251976941176</f>
        <v>251976941176</v>
      </c>
      <c r="H14" s="3" t="s">
        <v>18</v>
      </c>
      <c r="I14" s="3" t="s">
        <v>19</v>
      </c>
      <c r="J14" s="3" t="s">
        <v>19</v>
      </c>
      <c r="K14" s="3" t="s">
        <v>25</v>
      </c>
      <c r="L14" s="3">
        <v>21.04</v>
      </c>
      <c r="M14" s="3" t="s">
        <v>21</v>
      </c>
      <c r="O14" s="3">
        <v>1.6605003E7</v>
      </c>
    </row>
    <row r="15">
      <c r="A15" s="3">
        <v>2428210.0</v>
      </c>
      <c r="B15" s="3" t="s">
        <v>59</v>
      </c>
      <c r="C15" s="3" t="b">
        <v>1</v>
      </c>
      <c r="D15" s="3" t="b">
        <v>1</v>
      </c>
      <c r="E15" s="3" t="s">
        <v>60</v>
      </c>
      <c r="F15" s="3" t="s">
        <v>61</v>
      </c>
      <c r="G15" s="4">
        <f>+251900494233</f>
        <v>251900494233</v>
      </c>
      <c r="H15" s="3" t="s">
        <v>18</v>
      </c>
      <c r="I15" s="3" t="s">
        <v>19</v>
      </c>
      <c r="J15" s="3" t="s">
        <v>19</v>
      </c>
      <c r="K15" s="3" t="s">
        <v>25</v>
      </c>
      <c r="L15" s="3">
        <v>21.97</v>
      </c>
      <c r="M15" s="3" t="s">
        <v>21</v>
      </c>
    </row>
    <row r="16">
      <c r="A16" s="3">
        <v>2367105.0</v>
      </c>
      <c r="B16" s="3" t="s">
        <v>62</v>
      </c>
      <c r="C16" s="3" t="b">
        <v>1</v>
      </c>
      <c r="D16" s="3" t="b">
        <v>1</v>
      </c>
      <c r="E16" s="3" t="s">
        <v>63</v>
      </c>
      <c r="F16" s="3" t="s">
        <v>64</v>
      </c>
      <c r="G16" s="4">
        <f>+251942282146</f>
        <v>251942282146</v>
      </c>
      <c r="H16" s="3" t="s">
        <v>29</v>
      </c>
      <c r="I16" s="3" t="s">
        <v>19</v>
      </c>
      <c r="J16" s="3" t="s">
        <v>19</v>
      </c>
      <c r="K16" s="3" t="s">
        <v>25</v>
      </c>
      <c r="L16" s="3">
        <v>25.41</v>
      </c>
      <c r="M16" s="3" t="s">
        <v>21</v>
      </c>
    </row>
    <row r="17">
      <c r="A17" s="3">
        <v>2412763.0</v>
      </c>
      <c r="B17" s="3" t="s">
        <v>65</v>
      </c>
      <c r="C17" s="3" t="b">
        <v>1</v>
      </c>
      <c r="D17" s="3" t="b">
        <v>1</v>
      </c>
      <c r="E17" s="3" t="s">
        <v>66</v>
      </c>
      <c r="F17" s="3" t="s">
        <v>67</v>
      </c>
      <c r="G17" s="4">
        <f>+251937375634</f>
        <v>251937375634</v>
      </c>
      <c r="H17" s="3" t="s">
        <v>18</v>
      </c>
      <c r="I17" s="3" t="s">
        <v>19</v>
      </c>
      <c r="J17" s="3" t="s">
        <v>19</v>
      </c>
      <c r="K17" s="3" t="s">
        <v>25</v>
      </c>
      <c r="L17" s="3">
        <v>32.4</v>
      </c>
      <c r="M17" s="3" t="s">
        <v>21</v>
      </c>
      <c r="O17" s="3">
        <v>8343901.0</v>
      </c>
    </row>
    <row r="18">
      <c r="A18" s="3">
        <v>2391296.0</v>
      </c>
      <c r="B18" s="3" t="s">
        <v>68</v>
      </c>
      <c r="C18" s="3" t="b">
        <v>1</v>
      </c>
      <c r="D18" s="3" t="b">
        <v>1</v>
      </c>
      <c r="E18" s="3" t="s">
        <v>69</v>
      </c>
      <c r="F18" s="3" t="s">
        <v>70</v>
      </c>
      <c r="G18" s="4">
        <f>+251914711181</f>
        <v>251914711181</v>
      </c>
      <c r="H18" s="3" t="s">
        <v>18</v>
      </c>
      <c r="I18" s="3" t="s">
        <v>19</v>
      </c>
      <c r="J18" s="3" t="s">
        <v>19</v>
      </c>
      <c r="K18" s="3" t="s">
        <v>25</v>
      </c>
      <c r="L18" s="3">
        <v>21.32</v>
      </c>
      <c r="M18" s="3" t="s">
        <v>21</v>
      </c>
      <c r="O18" s="3">
        <v>4.2480122616E10</v>
      </c>
    </row>
    <row r="19">
      <c r="A19" s="3">
        <v>2411139.0</v>
      </c>
      <c r="B19" s="3" t="s">
        <v>71</v>
      </c>
      <c r="C19" s="3" t="b">
        <v>1</v>
      </c>
      <c r="D19" s="3" t="b">
        <v>1</v>
      </c>
      <c r="E19" s="3" t="s">
        <v>72</v>
      </c>
      <c r="F19" s="3" t="s">
        <v>73</v>
      </c>
      <c r="G19" s="4">
        <f>+251938947977</f>
        <v>251938947977</v>
      </c>
      <c r="H19" s="3" t="s">
        <v>18</v>
      </c>
      <c r="I19" s="3" t="s">
        <v>19</v>
      </c>
      <c r="J19" s="3" t="s">
        <v>19</v>
      </c>
      <c r="K19" s="3" t="s">
        <v>20</v>
      </c>
      <c r="L19" s="3">
        <v>24.03</v>
      </c>
      <c r="M19" s="3" t="s">
        <v>21</v>
      </c>
      <c r="O19" s="3">
        <v>7.2361425124E10</v>
      </c>
    </row>
    <row r="20">
      <c r="A20" s="3">
        <v>2356713.0</v>
      </c>
      <c r="B20" s="3" t="s">
        <v>74</v>
      </c>
      <c r="C20" s="3" t="b">
        <v>1</v>
      </c>
      <c r="D20" s="3" t="b">
        <v>1</v>
      </c>
      <c r="E20" s="3" t="s">
        <v>75</v>
      </c>
      <c r="F20" s="3" t="s">
        <v>76</v>
      </c>
      <c r="G20" s="4">
        <f>+251942410233</f>
        <v>251942410233</v>
      </c>
      <c r="H20" s="3" t="s">
        <v>18</v>
      </c>
      <c r="I20" s="3" t="s">
        <v>19</v>
      </c>
      <c r="J20" s="3" t="s">
        <v>19</v>
      </c>
      <c r="K20" s="3" t="s">
        <v>20</v>
      </c>
      <c r="L20" s="3">
        <v>19.35</v>
      </c>
      <c r="M20" s="3" t="s">
        <v>21</v>
      </c>
      <c r="O20" s="3">
        <v>3.9521435079E10</v>
      </c>
    </row>
    <row r="21">
      <c r="A21" s="3">
        <v>2429803.0</v>
      </c>
      <c r="B21" s="3" t="s">
        <v>77</v>
      </c>
      <c r="C21" s="3" t="b">
        <v>1</v>
      </c>
      <c r="D21" s="3" t="b">
        <v>1</v>
      </c>
      <c r="E21" s="3" t="s">
        <v>78</v>
      </c>
      <c r="F21" s="3" t="s">
        <v>79</v>
      </c>
      <c r="G21" s="4">
        <f>+251923353860</f>
        <v>251923353860</v>
      </c>
      <c r="H21" s="3" t="s">
        <v>18</v>
      </c>
      <c r="I21" s="3" t="s">
        <v>19</v>
      </c>
      <c r="J21" s="3" t="s">
        <v>19</v>
      </c>
      <c r="K21" s="3" t="s">
        <v>25</v>
      </c>
      <c r="L21" s="3">
        <v>29.58</v>
      </c>
      <c r="M21" s="3" t="s">
        <v>21</v>
      </c>
      <c r="O21" s="3">
        <v>1.01027477729E11</v>
      </c>
    </row>
    <row r="22">
      <c r="A22" s="3">
        <v>2430248.0</v>
      </c>
      <c r="B22" s="3" t="s">
        <v>80</v>
      </c>
      <c r="C22" s="3" t="b">
        <v>1</v>
      </c>
      <c r="D22" s="3" t="b">
        <v>1</v>
      </c>
      <c r="E22" s="3" t="s">
        <v>81</v>
      </c>
      <c r="F22" s="3" t="s">
        <v>82</v>
      </c>
      <c r="G22" s="4">
        <f>+251995251893</f>
        <v>251995251893</v>
      </c>
      <c r="H22" s="3" t="s">
        <v>83</v>
      </c>
      <c r="I22" s="3" t="s">
        <v>19</v>
      </c>
      <c r="J22" s="3" t="s">
        <v>19</v>
      </c>
      <c r="K22" s="3" t="s">
        <v>25</v>
      </c>
      <c r="L22" s="3">
        <v>24.76</v>
      </c>
      <c r="M22" s="3" t="s">
        <v>21</v>
      </c>
      <c r="O22" s="3">
        <v>1.01131111644E11</v>
      </c>
    </row>
    <row r="23">
      <c r="A23" s="3">
        <v>1241260.0</v>
      </c>
      <c r="B23" s="3" t="s">
        <v>84</v>
      </c>
      <c r="C23" s="3" t="b">
        <v>1</v>
      </c>
      <c r="D23" s="3" t="b">
        <v>1</v>
      </c>
      <c r="E23" s="3" t="s">
        <v>85</v>
      </c>
      <c r="F23" s="3" t="s">
        <v>86</v>
      </c>
      <c r="G23" s="4">
        <f>+251911789097</f>
        <v>251911789097</v>
      </c>
      <c r="H23" s="3" t="s">
        <v>87</v>
      </c>
      <c r="I23" s="3" t="s">
        <v>19</v>
      </c>
      <c r="J23" s="3" t="s">
        <v>19</v>
      </c>
      <c r="K23" s="3" t="s">
        <v>25</v>
      </c>
      <c r="L23" s="3">
        <v>34.48</v>
      </c>
      <c r="M23" s="3" t="s">
        <v>21</v>
      </c>
      <c r="O23" s="3">
        <v>5183113.0</v>
      </c>
    </row>
    <row r="24">
      <c r="A24" s="3">
        <v>439549.0</v>
      </c>
      <c r="B24" s="3" t="s">
        <v>88</v>
      </c>
      <c r="C24" s="3" t="b">
        <v>1</v>
      </c>
      <c r="D24" s="3" t="b">
        <v>1</v>
      </c>
      <c r="E24" s="3" t="s">
        <v>89</v>
      </c>
      <c r="F24" s="3" t="s">
        <v>90</v>
      </c>
      <c r="G24" s="4">
        <f>+251911060380</f>
        <v>251911060380</v>
      </c>
      <c r="H24" s="3" t="s">
        <v>18</v>
      </c>
      <c r="I24" s="3" t="s">
        <v>19</v>
      </c>
      <c r="J24" s="3" t="s">
        <v>19</v>
      </c>
      <c r="K24" s="3" t="s">
        <v>25</v>
      </c>
      <c r="L24" s="3">
        <v>32.18</v>
      </c>
      <c r="M24" s="3" t="s">
        <v>21</v>
      </c>
      <c r="O24" s="3">
        <v>3261788.0</v>
      </c>
    </row>
    <row r="25">
      <c r="A25" s="3">
        <v>2246588.0</v>
      </c>
      <c r="B25" s="3" t="s">
        <v>91</v>
      </c>
      <c r="C25" s="3" t="b">
        <v>1</v>
      </c>
      <c r="D25" s="3" t="b">
        <v>1</v>
      </c>
      <c r="E25" s="3" t="s">
        <v>92</v>
      </c>
      <c r="F25" s="3" t="s">
        <v>93</v>
      </c>
      <c r="G25" s="4">
        <f>+251913218081</f>
        <v>251913218081</v>
      </c>
      <c r="H25" s="3" t="s">
        <v>44</v>
      </c>
      <c r="I25" s="3" t="s">
        <v>19</v>
      </c>
      <c r="J25" s="3" t="s">
        <v>19</v>
      </c>
      <c r="K25" s="3" t="s">
        <v>25</v>
      </c>
      <c r="L25" s="3">
        <v>30.49</v>
      </c>
      <c r="M25" s="3" t="s">
        <v>21</v>
      </c>
      <c r="O25" s="3">
        <v>8836046.0</v>
      </c>
    </row>
    <row r="26">
      <c r="A26" s="3">
        <v>2431080.0</v>
      </c>
      <c r="B26" s="3" t="s">
        <v>94</v>
      </c>
      <c r="C26" s="3" t="b">
        <v>1</v>
      </c>
      <c r="D26" s="3" t="b">
        <v>1</v>
      </c>
      <c r="E26" s="3" t="s">
        <v>95</v>
      </c>
      <c r="F26" s="3" t="s">
        <v>96</v>
      </c>
      <c r="G26" s="4">
        <f>+251918458650</f>
        <v>251918458650</v>
      </c>
      <c r="H26" s="3" t="s">
        <v>18</v>
      </c>
      <c r="I26" s="3" t="s">
        <v>19</v>
      </c>
      <c r="J26" s="3" t="s">
        <v>19</v>
      </c>
      <c r="K26" s="3" t="s">
        <v>25</v>
      </c>
      <c r="L26" s="3">
        <v>24.87</v>
      </c>
      <c r="M26" s="3" t="s">
        <v>21</v>
      </c>
      <c r="O26" s="3">
        <v>1.01436833985E11</v>
      </c>
    </row>
    <row r="27">
      <c r="A27" s="3">
        <v>288735.0</v>
      </c>
      <c r="B27" s="3" t="s">
        <v>97</v>
      </c>
      <c r="C27" s="3" t="b">
        <v>1</v>
      </c>
      <c r="D27" s="3" t="b">
        <v>1</v>
      </c>
      <c r="E27" s="3" t="s">
        <v>98</v>
      </c>
      <c r="F27" s="3" t="s">
        <v>99</v>
      </c>
      <c r="G27" s="3">
        <v>9.23319868E8</v>
      </c>
      <c r="H27" s="3" t="s">
        <v>18</v>
      </c>
      <c r="I27" s="3" t="s">
        <v>19</v>
      </c>
      <c r="J27" s="3" t="s">
        <v>19</v>
      </c>
      <c r="K27" s="3" t="s">
        <v>25</v>
      </c>
      <c r="L27" s="3">
        <v>28.85</v>
      </c>
      <c r="M27" s="3" t="s">
        <v>21</v>
      </c>
      <c r="O27" s="3">
        <v>354910.0</v>
      </c>
    </row>
    <row r="28">
      <c r="A28" s="3">
        <v>2431040.0</v>
      </c>
      <c r="B28" s="3" t="s">
        <v>100</v>
      </c>
      <c r="C28" s="3" t="b">
        <v>1</v>
      </c>
      <c r="D28" s="3" t="b">
        <v>1</v>
      </c>
      <c r="E28" s="3" t="s">
        <v>101</v>
      </c>
      <c r="F28" s="3" t="s">
        <v>102</v>
      </c>
      <c r="G28" s="4">
        <f>+251946354652</f>
        <v>251946354652</v>
      </c>
      <c r="H28" s="3" t="s">
        <v>18</v>
      </c>
      <c r="I28" s="3" t="s">
        <v>19</v>
      </c>
      <c r="J28" s="3" t="s">
        <v>19</v>
      </c>
      <c r="K28" s="3" t="s">
        <v>25</v>
      </c>
      <c r="L28" s="3">
        <v>29.81</v>
      </c>
      <c r="M28" s="3" t="s">
        <v>21</v>
      </c>
      <c r="O28" s="3">
        <v>562877.0</v>
      </c>
    </row>
    <row r="29">
      <c r="A29" s="3">
        <v>843152.0</v>
      </c>
      <c r="B29" s="3" t="s">
        <v>103</v>
      </c>
      <c r="C29" s="3" t="b">
        <v>1</v>
      </c>
      <c r="D29" s="3" t="b">
        <v>1</v>
      </c>
      <c r="E29" s="3" t="s">
        <v>104</v>
      </c>
      <c r="F29" s="3" t="s">
        <v>105</v>
      </c>
      <c r="G29" s="3">
        <v>9.00522043E8</v>
      </c>
      <c r="H29" s="3" t="s">
        <v>106</v>
      </c>
      <c r="I29" s="3" t="s">
        <v>19</v>
      </c>
      <c r="J29" s="3" t="s">
        <v>19</v>
      </c>
      <c r="K29" s="3" t="s">
        <v>25</v>
      </c>
      <c r="L29" s="3">
        <v>20.72</v>
      </c>
      <c r="M29" s="3" t="s">
        <v>21</v>
      </c>
      <c r="O29" s="3">
        <v>3.423815881E9</v>
      </c>
    </row>
    <row r="30">
      <c r="A30" s="3">
        <v>2431282.0</v>
      </c>
      <c r="B30" s="3" t="s">
        <v>107</v>
      </c>
      <c r="C30" s="3" t="b">
        <v>1</v>
      </c>
      <c r="D30" s="3" t="b">
        <v>1</v>
      </c>
      <c r="E30" s="3" t="s">
        <v>108</v>
      </c>
      <c r="F30" s="3" t="s">
        <v>109</v>
      </c>
      <c r="G30" s="4">
        <f>+251913545321</f>
        <v>251913545321</v>
      </c>
      <c r="H30" s="3" t="s">
        <v>18</v>
      </c>
      <c r="I30" s="3" t="s">
        <v>19</v>
      </c>
      <c r="J30" s="3" t="s">
        <v>19</v>
      </c>
      <c r="K30" s="3" t="s">
        <v>25</v>
      </c>
      <c r="L30" s="3">
        <v>27.0</v>
      </c>
      <c r="M30" s="3" t="s">
        <v>21</v>
      </c>
      <c r="O30" s="3">
        <v>1.01526647994E11</v>
      </c>
    </row>
    <row r="31">
      <c r="A31" s="3">
        <v>164666.0</v>
      </c>
      <c r="B31" s="3" t="s">
        <v>110</v>
      </c>
      <c r="C31" s="3" t="b">
        <v>1</v>
      </c>
      <c r="D31" s="3" t="b">
        <v>1</v>
      </c>
      <c r="E31" s="3" t="s">
        <v>111</v>
      </c>
      <c r="F31" s="3" t="s">
        <v>112</v>
      </c>
      <c r="G31" s="4">
        <f>+251917680558</f>
        <v>251917680558</v>
      </c>
      <c r="H31" s="3" t="s">
        <v>18</v>
      </c>
      <c r="I31" s="3" t="s">
        <v>19</v>
      </c>
      <c r="J31" s="3" t="s">
        <v>19</v>
      </c>
      <c r="K31" s="3" t="s">
        <v>25</v>
      </c>
      <c r="L31" s="3">
        <v>31.74</v>
      </c>
      <c r="M31" s="3" t="s">
        <v>21</v>
      </c>
      <c r="O31" s="3">
        <v>2.4875251E7</v>
      </c>
    </row>
    <row r="32">
      <c r="A32" s="3">
        <v>1970202.0</v>
      </c>
      <c r="B32" s="3" t="s">
        <v>113</v>
      </c>
      <c r="C32" s="3" t="b">
        <v>1</v>
      </c>
      <c r="D32" s="3" t="b">
        <v>1</v>
      </c>
      <c r="E32" s="3" t="s">
        <v>114</v>
      </c>
      <c r="F32" s="3" t="s">
        <v>115</v>
      </c>
      <c r="G32" s="4">
        <f>+251946728989</f>
        <v>251946728989</v>
      </c>
      <c r="H32" s="3" t="s">
        <v>18</v>
      </c>
      <c r="I32" s="3" t="s">
        <v>19</v>
      </c>
      <c r="J32" s="3" t="s">
        <v>19</v>
      </c>
      <c r="K32" s="3" t="s">
        <v>25</v>
      </c>
      <c r="L32" s="3">
        <v>26.31</v>
      </c>
      <c r="M32" s="3" t="s">
        <v>21</v>
      </c>
      <c r="O32" s="3">
        <v>2.7903124925E10</v>
      </c>
    </row>
    <row r="33">
      <c r="A33" s="3">
        <v>1383741.0</v>
      </c>
      <c r="B33" s="3" t="s">
        <v>116</v>
      </c>
      <c r="C33" s="3" t="b">
        <v>1</v>
      </c>
      <c r="D33" s="3" t="b">
        <v>1</v>
      </c>
      <c r="E33" s="3" t="s">
        <v>117</v>
      </c>
      <c r="F33" s="3" t="s">
        <v>118</v>
      </c>
      <c r="G33" s="4">
        <f>+251921682025</f>
        <v>251921682025</v>
      </c>
      <c r="H33" s="3" t="s">
        <v>18</v>
      </c>
      <c r="I33" s="3" t="s">
        <v>19</v>
      </c>
      <c r="J33" s="3" t="s">
        <v>19</v>
      </c>
      <c r="K33" s="3" t="s">
        <v>25</v>
      </c>
      <c r="L33" s="3">
        <v>31.84</v>
      </c>
      <c r="M33" s="3" t="s">
        <v>21</v>
      </c>
      <c r="O33" s="3">
        <v>1.3856366779E10</v>
      </c>
    </row>
    <row r="34">
      <c r="A34" s="3">
        <v>1867552.0</v>
      </c>
      <c r="B34" s="3" t="s">
        <v>119</v>
      </c>
      <c r="C34" s="3" t="b">
        <v>1</v>
      </c>
      <c r="D34" s="3" t="b">
        <v>1</v>
      </c>
      <c r="E34" s="3" t="s">
        <v>120</v>
      </c>
      <c r="F34" s="3" t="s">
        <v>121</v>
      </c>
      <c r="G34" s="4">
        <f>+251912135134</f>
        <v>251912135134</v>
      </c>
      <c r="H34" s="3" t="s">
        <v>44</v>
      </c>
      <c r="I34" s="3" t="s">
        <v>19</v>
      </c>
      <c r="J34" s="3" t="s">
        <v>19</v>
      </c>
      <c r="K34" s="3" t="s">
        <v>25</v>
      </c>
      <c r="L34" s="3">
        <v>27.81</v>
      </c>
      <c r="M34" s="3" t="s">
        <v>21</v>
      </c>
      <c r="O34" s="3">
        <v>2.5616678379E10</v>
      </c>
    </row>
    <row r="35">
      <c r="A35" s="3">
        <v>2373300.0</v>
      </c>
      <c r="B35" s="3" t="s">
        <v>122</v>
      </c>
      <c r="C35" s="3" t="b">
        <v>1</v>
      </c>
      <c r="D35" s="3" t="b">
        <v>1</v>
      </c>
      <c r="E35" s="3" t="s">
        <v>123</v>
      </c>
      <c r="F35" s="3" t="s">
        <v>124</v>
      </c>
      <c r="G35" s="4">
        <f>+251982021996</f>
        <v>251982021996</v>
      </c>
      <c r="H35" s="3" t="s">
        <v>106</v>
      </c>
      <c r="I35" s="3" t="s">
        <v>19</v>
      </c>
      <c r="J35" s="3" t="s">
        <v>19</v>
      </c>
      <c r="K35" s="3" t="s">
        <v>25</v>
      </c>
      <c r="L35" s="3">
        <v>34.71</v>
      </c>
      <c r="M35" s="3" t="s">
        <v>21</v>
      </c>
      <c r="O35" s="3">
        <v>6155415.0</v>
      </c>
    </row>
    <row r="36">
      <c r="A36" s="3">
        <v>33174.0</v>
      </c>
      <c r="B36" s="3" t="s">
        <v>125</v>
      </c>
      <c r="C36" s="3" t="b">
        <v>1</v>
      </c>
      <c r="D36" s="3" t="b">
        <v>1</v>
      </c>
      <c r="E36" s="3" t="s">
        <v>126</v>
      </c>
      <c r="F36" s="3" t="s">
        <v>127</v>
      </c>
      <c r="G36" s="4">
        <f>+251911917631</f>
        <v>251911917631</v>
      </c>
      <c r="H36" s="3" t="s">
        <v>18</v>
      </c>
      <c r="I36" s="3" t="s">
        <v>19</v>
      </c>
      <c r="J36" s="3" t="s">
        <v>19</v>
      </c>
      <c r="K36" s="3" t="s">
        <v>25</v>
      </c>
      <c r="L36" s="3">
        <v>25.09</v>
      </c>
      <c r="M36" s="3" t="s">
        <v>21</v>
      </c>
      <c r="O36" s="3">
        <v>588020.0</v>
      </c>
    </row>
    <row r="37">
      <c r="A37" s="3">
        <v>2225980.0</v>
      </c>
      <c r="B37" s="3" t="s">
        <v>128</v>
      </c>
      <c r="C37" s="3" t="b">
        <v>1</v>
      </c>
      <c r="D37" s="3" t="b">
        <v>1</v>
      </c>
      <c r="E37" s="3" t="s">
        <v>129</v>
      </c>
      <c r="F37" s="3" t="s">
        <v>64</v>
      </c>
      <c r="G37" s="4">
        <f>+251943170977</f>
        <v>251943170977</v>
      </c>
      <c r="H37" s="3" t="s">
        <v>18</v>
      </c>
      <c r="I37" s="3" t="s">
        <v>19</v>
      </c>
      <c r="J37" s="3" t="s">
        <v>19</v>
      </c>
      <c r="K37" s="3" t="s">
        <v>20</v>
      </c>
      <c r="L37" s="3">
        <v>24.52</v>
      </c>
      <c r="M37" s="3" t="s">
        <v>21</v>
      </c>
      <c r="O37" s="3">
        <v>804612.0</v>
      </c>
    </row>
    <row r="38">
      <c r="A38" s="3">
        <v>2432968.0</v>
      </c>
      <c r="B38" s="3" t="s">
        <v>130</v>
      </c>
      <c r="C38" s="3" t="b">
        <v>1</v>
      </c>
      <c r="D38" s="3" t="b">
        <v>1</v>
      </c>
      <c r="E38" s="3" t="s">
        <v>131</v>
      </c>
      <c r="F38" s="3" t="s">
        <v>132</v>
      </c>
      <c r="G38" s="4">
        <f>+251903036084</f>
        <v>251903036084</v>
      </c>
      <c r="H38" s="3" t="s">
        <v>18</v>
      </c>
      <c r="I38" s="3" t="s">
        <v>19</v>
      </c>
      <c r="J38" s="3" t="s">
        <v>19</v>
      </c>
      <c r="K38" s="3" t="s">
        <v>20</v>
      </c>
      <c r="L38" s="3">
        <v>22.59</v>
      </c>
      <c r="M38" s="3" t="s">
        <v>21</v>
      </c>
    </row>
    <row r="39">
      <c r="A39" s="3">
        <v>2433517.0</v>
      </c>
      <c r="B39" s="3" t="s">
        <v>133</v>
      </c>
      <c r="C39" s="3" t="b">
        <v>1</v>
      </c>
      <c r="D39" s="3" t="b">
        <v>1</v>
      </c>
      <c r="E39" s="3" t="s">
        <v>134</v>
      </c>
      <c r="F39" s="3" t="s">
        <v>135</v>
      </c>
      <c r="G39" s="4">
        <f>+251989207956</f>
        <v>251989207956</v>
      </c>
      <c r="H39" s="3" t="s">
        <v>18</v>
      </c>
      <c r="I39" s="3" t="s">
        <v>19</v>
      </c>
      <c r="J39" s="3" t="s">
        <v>19</v>
      </c>
      <c r="K39" s="3" t="s">
        <v>25</v>
      </c>
      <c r="L39" s="3">
        <v>21.27</v>
      </c>
      <c r="M39" s="3" t="s">
        <v>21</v>
      </c>
    </row>
    <row r="40">
      <c r="A40" s="3">
        <v>2434528.0</v>
      </c>
      <c r="B40" s="3" t="s">
        <v>136</v>
      </c>
      <c r="C40" s="3" t="b">
        <v>1</v>
      </c>
      <c r="D40" s="3" t="b">
        <v>1</v>
      </c>
      <c r="E40" s="3" t="s">
        <v>137</v>
      </c>
      <c r="F40" s="3" t="s">
        <v>138</v>
      </c>
      <c r="G40" s="4">
        <f>+251968941233</f>
        <v>251968941233</v>
      </c>
      <c r="H40" s="3" t="s">
        <v>18</v>
      </c>
      <c r="I40" s="3" t="s">
        <v>19</v>
      </c>
      <c r="J40" s="3" t="s">
        <v>19</v>
      </c>
      <c r="K40" s="3" t="s">
        <v>25</v>
      </c>
      <c r="L40" s="3">
        <v>18.83</v>
      </c>
      <c r="M40" s="3" t="s">
        <v>21</v>
      </c>
      <c r="O40" s="3">
        <v>1.02461070532E11</v>
      </c>
    </row>
    <row r="41">
      <c r="A41" s="3">
        <v>2435166.0</v>
      </c>
      <c r="B41" s="3" t="s">
        <v>139</v>
      </c>
      <c r="C41" s="3" t="b">
        <v>1</v>
      </c>
      <c r="D41" s="3" t="b">
        <v>1</v>
      </c>
      <c r="E41" s="3" t="s">
        <v>140</v>
      </c>
      <c r="F41" s="3" t="s">
        <v>35</v>
      </c>
      <c r="G41" s="4">
        <f>+251703650379</f>
        <v>251703650379</v>
      </c>
      <c r="H41" s="3" t="s">
        <v>18</v>
      </c>
      <c r="I41" s="3" t="s">
        <v>19</v>
      </c>
      <c r="J41" s="3" t="s">
        <v>19</v>
      </c>
      <c r="K41" s="3" t="s">
        <v>25</v>
      </c>
      <c r="L41" s="3">
        <v>19.77</v>
      </c>
      <c r="M41" s="3" t="s">
        <v>21</v>
      </c>
      <c r="O41" s="3">
        <v>1.02543518923E11</v>
      </c>
    </row>
    <row r="42">
      <c r="A42" s="3">
        <v>1367544.0</v>
      </c>
      <c r="B42" s="3" t="s">
        <v>141</v>
      </c>
      <c r="C42" s="3" t="b">
        <v>1</v>
      </c>
      <c r="D42" s="3" t="b">
        <v>1</v>
      </c>
      <c r="E42" s="3" t="s">
        <v>142</v>
      </c>
      <c r="F42" s="3" t="s">
        <v>143</v>
      </c>
      <c r="G42" s="4">
        <f>+251927801942</f>
        <v>251927801942</v>
      </c>
      <c r="H42" s="3" t="s">
        <v>87</v>
      </c>
      <c r="I42" s="3" t="s">
        <v>19</v>
      </c>
      <c r="J42" s="3" t="s">
        <v>19</v>
      </c>
      <c r="K42" s="3" t="s">
        <v>25</v>
      </c>
      <c r="L42" s="3">
        <v>23.07</v>
      </c>
      <c r="M42" s="3" t="s">
        <v>21</v>
      </c>
    </row>
    <row r="43">
      <c r="A43" s="3">
        <v>2435658.0</v>
      </c>
      <c r="B43" s="3" t="s">
        <v>144</v>
      </c>
      <c r="C43" s="3" t="b">
        <v>1</v>
      </c>
      <c r="D43" s="3" t="b">
        <v>1</v>
      </c>
      <c r="E43" s="3" t="s">
        <v>145</v>
      </c>
      <c r="F43" s="3" t="s">
        <v>146</v>
      </c>
      <c r="G43" s="3">
        <v>9.2180201E8</v>
      </c>
      <c r="H43" s="3" t="s">
        <v>18</v>
      </c>
      <c r="I43" s="3" t="s">
        <v>19</v>
      </c>
      <c r="J43" s="3" t="s">
        <v>19</v>
      </c>
      <c r="K43" s="3" t="s">
        <v>25</v>
      </c>
      <c r="L43" s="3">
        <v>33.68</v>
      </c>
      <c r="M43" s="3" t="s">
        <v>21</v>
      </c>
      <c r="O43" s="3">
        <v>2.3540139E7</v>
      </c>
    </row>
    <row r="44">
      <c r="A44" s="3">
        <v>480419.0</v>
      </c>
      <c r="B44" s="3" t="s">
        <v>147</v>
      </c>
      <c r="C44" s="3" t="b">
        <v>1</v>
      </c>
      <c r="D44" s="3" t="b">
        <v>1</v>
      </c>
      <c r="E44" s="3" t="s">
        <v>148</v>
      </c>
      <c r="F44" s="3" t="s">
        <v>149</v>
      </c>
      <c r="G44" s="4">
        <f>+251912180850</f>
        <v>251912180850</v>
      </c>
      <c r="H44" s="3" t="s">
        <v>18</v>
      </c>
      <c r="I44" s="3" t="s">
        <v>19</v>
      </c>
      <c r="J44" s="3" t="s">
        <v>19</v>
      </c>
      <c r="K44" s="3" t="s">
        <v>25</v>
      </c>
      <c r="L44" s="3">
        <v>26.55</v>
      </c>
      <c r="M44" s="3" t="s">
        <v>21</v>
      </c>
      <c r="O44" s="3">
        <v>166652.0</v>
      </c>
    </row>
    <row r="45">
      <c r="A45" s="3">
        <v>1019151.0</v>
      </c>
      <c r="B45" s="3" t="s">
        <v>150</v>
      </c>
      <c r="C45" s="3" t="b">
        <v>1</v>
      </c>
      <c r="D45" s="3" t="b">
        <v>1</v>
      </c>
      <c r="E45" s="3" t="s">
        <v>151</v>
      </c>
      <c r="F45" s="3" t="s">
        <v>152</v>
      </c>
      <c r="G45" s="4">
        <f>+251946568623</f>
        <v>251946568623</v>
      </c>
      <c r="H45" s="3" t="s">
        <v>18</v>
      </c>
      <c r="I45" s="3" t="s">
        <v>19</v>
      </c>
      <c r="J45" s="3" t="s">
        <v>19</v>
      </c>
      <c r="K45" s="3" t="s">
        <v>25</v>
      </c>
      <c r="L45" s="3">
        <v>31.88</v>
      </c>
      <c r="M45" s="3" t="s">
        <v>21</v>
      </c>
      <c r="O45" s="3">
        <v>762109.0</v>
      </c>
    </row>
    <row r="46">
      <c r="A46" s="3">
        <v>199197.0</v>
      </c>
      <c r="B46" s="3" t="s">
        <v>153</v>
      </c>
      <c r="C46" s="3" t="b">
        <v>1</v>
      </c>
      <c r="D46" s="3" t="b">
        <v>1</v>
      </c>
      <c r="E46" s="3" t="s">
        <v>154</v>
      </c>
      <c r="F46" s="3" t="s">
        <v>155</v>
      </c>
      <c r="G46" s="4">
        <f>+251920336233</f>
        <v>251920336233</v>
      </c>
      <c r="H46" s="3" t="s">
        <v>18</v>
      </c>
      <c r="I46" s="3" t="s">
        <v>19</v>
      </c>
      <c r="J46" s="3" t="s">
        <v>19</v>
      </c>
      <c r="K46" s="3" t="s">
        <v>25</v>
      </c>
      <c r="L46" s="3">
        <v>24.28</v>
      </c>
      <c r="M46" s="3" t="s">
        <v>21</v>
      </c>
      <c r="O46" s="3">
        <v>712121.0</v>
      </c>
    </row>
    <row r="47">
      <c r="A47" s="3">
        <v>1320665.0</v>
      </c>
      <c r="B47" s="3" t="s">
        <v>156</v>
      </c>
      <c r="C47" s="3" t="b">
        <v>1</v>
      </c>
      <c r="D47" s="3" t="b">
        <v>1</v>
      </c>
      <c r="E47" s="3" t="s">
        <v>157</v>
      </c>
      <c r="F47" s="3" t="s">
        <v>158</v>
      </c>
      <c r="G47" s="4">
        <f>+251909104080</f>
        <v>251909104080</v>
      </c>
      <c r="H47" s="3" t="s">
        <v>18</v>
      </c>
      <c r="I47" s="3" t="s">
        <v>19</v>
      </c>
      <c r="J47" s="3" t="s">
        <v>19</v>
      </c>
      <c r="K47" s="3" t="s">
        <v>20</v>
      </c>
      <c r="L47" s="3">
        <v>23.62</v>
      </c>
      <c r="M47" s="3" t="s">
        <v>21</v>
      </c>
      <c r="O47" s="3">
        <v>1.2105838814E10</v>
      </c>
    </row>
    <row r="48">
      <c r="A48" s="3">
        <v>2404776.0</v>
      </c>
      <c r="B48" s="3" t="s">
        <v>159</v>
      </c>
      <c r="C48" s="3" t="b">
        <v>1</v>
      </c>
      <c r="D48" s="3" t="b">
        <v>1</v>
      </c>
      <c r="E48" s="3" t="s">
        <v>46</v>
      </c>
      <c r="F48" s="3" t="s">
        <v>160</v>
      </c>
      <c r="G48" s="4">
        <f>+251921151535</f>
        <v>251921151535</v>
      </c>
      <c r="H48" s="3" t="s">
        <v>18</v>
      </c>
      <c r="I48" s="3" t="s">
        <v>19</v>
      </c>
      <c r="J48" s="3" t="s">
        <v>19</v>
      </c>
      <c r="K48" s="3" t="s">
        <v>25</v>
      </c>
      <c r="L48" s="3">
        <v>20.22</v>
      </c>
      <c r="M48" s="3" t="s">
        <v>21</v>
      </c>
      <c r="O48" s="3">
        <v>1.9751263164E10</v>
      </c>
    </row>
    <row r="49">
      <c r="A49" s="3">
        <v>2437813.0</v>
      </c>
      <c r="B49" s="3" t="s">
        <v>161</v>
      </c>
      <c r="C49" s="3" t="b">
        <v>1</v>
      </c>
      <c r="D49" s="3" t="b">
        <v>1</v>
      </c>
      <c r="E49" s="3" t="s">
        <v>162</v>
      </c>
      <c r="F49" s="3" t="s">
        <v>163</v>
      </c>
      <c r="G49" s="4">
        <f>+251913765114</f>
        <v>251913765114</v>
      </c>
      <c r="H49" s="3" t="s">
        <v>18</v>
      </c>
      <c r="I49" s="3" t="s">
        <v>19</v>
      </c>
      <c r="J49" s="3" t="s">
        <v>19</v>
      </c>
      <c r="K49" s="3" t="s">
        <v>25</v>
      </c>
      <c r="L49" s="3">
        <v>31.99</v>
      </c>
      <c r="M49" s="3" t="s">
        <v>21</v>
      </c>
      <c r="O49" s="3">
        <v>6032135.0</v>
      </c>
    </row>
    <row r="50">
      <c r="A50" s="3">
        <v>2438389.0</v>
      </c>
      <c r="B50" s="3" t="s">
        <v>164</v>
      </c>
      <c r="C50" s="3" t="b">
        <v>1</v>
      </c>
      <c r="D50" s="3" t="b">
        <v>1</v>
      </c>
      <c r="E50" s="3" t="s">
        <v>58</v>
      </c>
      <c r="F50" s="3" t="s">
        <v>165</v>
      </c>
      <c r="G50" s="4">
        <f>+251993421912</f>
        <v>251993421912</v>
      </c>
      <c r="H50" s="3" t="s">
        <v>18</v>
      </c>
      <c r="I50" s="3" t="s">
        <v>19</v>
      </c>
      <c r="J50" s="3" t="s">
        <v>19</v>
      </c>
      <c r="K50" s="3" t="s">
        <v>25</v>
      </c>
      <c r="L50" s="3">
        <v>22.66</v>
      </c>
      <c r="M50" s="3" t="s">
        <v>21</v>
      </c>
      <c r="O50" s="3">
        <v>1.03668328648E11</v>
      </c>
    </row>
    <row r="51">
      <c r="A51" s="3">
        <v>2438412.0</v>
      </c>
      <c r="B51" s="3" t="s">
        <v>166</v>
      </c>
      <c r="C51" s="3" t="b">
        <v>1</v>
      </c>
      <c r="D51" s="3" t="b">
        <v>1</v>
      </c>
      <c r="E51" s="3" t="s">
        <v>167</v>
      </c>
      <c r="F51" s="3" t="s">
        <v>168</v>
      </c>
      <c r="G51" s="4">
        <f>+251963737965</f>
        <v>251963737965</v>
      </c>
      <c r="H51" s="3" t="s">
        <v>18</v>
      </c>
      <c r="I51" s="3" t="s">
        <v>19</v>
      </c>
      <c r="J51" s="3" t="s">
        <v>19</v>
      </c>
      <c r="K51" s="3" t="s">
        <v>25</v>
      </c>
      <c r="L51" s="3">
        <v>19.74</v>
      </c>
      <c r="M51" s="3" t="s">
        <v>21</v>
      </c>
      <c r="O51" s="3">
        <v>9.7139214555E10</v>
      </c>
    </row>
    <row r="52">
      <c r="A52" s="3">
        <v>2438784.0</v>
      </c>
      <c r="B52" s="3" t="s">
        <v>169</v>
      </c>
      <c r="C52" s="3" t="b">
        <v>1</v>
      </c>
      <c r="D52" s="3" t="b">
        <v>1</v>
      </c>
      <c r="E52" s="3" t="s">
        <v>131</v>
      </c>
      <c r="F52" s="3" t="s">
        <v>170</v>
      </c>
      <c r="G52" s="4">
        <f>+251932829547</f>
        <v>251932829547</v>
      </c>
      <c r="H52" s="3" t="s">
        <v>29</v>
      </c>
      <c r="I52" s="3" t="s">
        <v>19</v>
      </c>
      <c r="J52" s="3" t="s">
        <v>19</v>
      </c>
      <c r="K52" s="3" t="s">
        <v>20</v>
      </c>
      <c r="L52" s="3">
        <v>27.68</v>
      </c>
      <c r="M52" s="3" t="s">
        <v>21</v>
      </c>
      <c r="O52" s="3">
        <v>1.0400703615E11</v>
      </c>
    </row>
    <row r="53">
      <c r="A53" s="3">
        <v>90999.0</v>
      </c>
      <c r="B53" s="3" t="s">
        <v>171</v>
      </c>
      <c r="C53" s="3" t="b">
        <v>1</v>
      </c>
      <c r="D53" s="3" t="b">
        <v>1</v>
      </c>
      <c r="E53" s="3" t="s">
        <v>172</v>
      </c>
      <c r="F53" s="3" t="s">
        <v>173</v>
      </c>
      <c r="G53" s="3">
        <v>9.25180038E8</v>
      </c>
      <c r="H53" s="3" t="s">
        <v>18</v>
      </c>
      <c r="I53" s="3" t="s">
        <v>19</v>
      </c>
      <c r="J53" s="3" t="s">
        <v>19</v>
      </c>
      <c r="K53" s="3" t="s">
        <v>20</v>
      </c>
      <c r="L53" s="3">
        <v>28.42</v>
      </c>
      <c r="M53" s="3" t="s">
        <v>21</v>
      </c>
      <c r="O53" s="3">
        <v>944915.0</v>
      </c>
    </row>
    <row r="54">
      <c r="A54" s="3">
        <v>2441194.0</v>
      </c>
      <c r="B54" s="3" t="s">
        <v>174</v>
      </c>
      <c r="C54" s="3" t="b">
        <v>1</v>
      </c>
      <c r="D54" s="3" t="b">
        <v>1</v>
      </c>
      <c r="E54" s="3" t="s">
        <v>175</v>
      </c>
      <c r="F54" s="3" t="s">
        <v>176</v>
      </c>
      <c r="G54" s="4">
        <f>+251922972599</f>
        <v>251922972599</v>
      </c>
      <c r="H54" s="3" t="s">
        <v>18</v>
      </c>
      <c r="I54" s="3" t="s">
        <v>19</v>
      </c>
      <c r="J54" s="3" t="s">
        <v>19</v>
      </c>
      <c r="K54" s="3" t="s">
        <v>25</v>
      </c>
      <c r="L54" s="3">
        <v>27.63</v>
      </c>
      <c r="M54" s="3" t="s">
        <v>21</v>
      </c>
      <c r="O54" s="3">
        <v>1.04839378137E11</v>
      </c>
    </row>
    <row r="55">
      <c r="A55" s="3">
        <v>1351738.0</v>
      </c>
      <c r="B55" s="3" t="s">
        <v>177</v>
      </c>
      <c r="C55" s="3" t="b">
        <v>1</v>
      </c>
      <c r="D55" s="3" t="b">
        <v>1</v>
      </c>
      <c r="E55" s="3" t="s">
        <v>178</v>
      </c>
      <c r="F55" s="3" t="s">
        <v>179</v>
      </c>
      <c r="G55" s="4">
        <f>+251947314063</f>
        <v>251947314063</v>
      </c>
      <c r="H55" s="3" t="s">
        <v>18</v>
      </c>
      <c r="I55" s="3" t="s">
        <v>19</v>
      </c>
      <c r="J55" s="3" t="s">
        <v>19</v>
      </c>
      <c r="K55" s="3" t="s">
        <v>25</v>
      </c>
      <c r="L55" s="3">
        <v>27.26</v>
      </c>
      <c r="M55" s="3" t="s">
        <v>21</v>
      </c>
      <c r="O55" s="3">
        <v>8719236.0</v>
      </c>
    </row>
    <row r="56">
      <c r="A56" s="3">
        <v>2442050.0</v>
      </c>
      <c r="B56" s="3" t="s">
        <v>180</v>
      </c>
      <c r="C56" s="3" t="b">
        <v>1</v>
      </c>
      <c r="D56" s="3" t="b">
        <v>1</v>
      </c>
      <c r="E56" s="3" t="s">
        <v>181</v>
      </c>
      <c r="F56" s="3" t="s">
        <v>182</v>
      </c>
      <c r="G56" s="4">
        <f>+251912650413</f>
        <v>251912650413</v>
      </c>
      <c r="H56" s="3" t="s">
        <v>18</v>
      </c>
      <c r="I56" s="3" t="s">
        <v>19</v>
      </c>
      <c r="J56" s="3" t="s">
        <v>19</v>
      </c>
      <c r="K56" s="3" t="s">
        <v>25</v>
      </c>
      <c r="L56" s="3">
        <v>29.86</v>
      </c>
      <c r="M56" s="3" t="s">
        <v>21</v>
      </c>
      <c r="O56" s="3">
        <v>1.05196300494E11</v>
      </c>
    </row>
    <row r="57">
      <c r="A57" s="3">
        <v>76525.0</v>
      </c>
      <c r="B57" s="3" t="s">
        <v>183</v>
      </c>
      <c r="C57" s="3" t="b">
        <v>1</v>
      </c>
      <c r="D57" s="3" t="b">
        <v>1</v>
      </c>
      <c r="E57" s="3" t="s">
        <v>58</v>
      </c>
      <c r="F57" s="3" t="s">
        <v>184</v>
      </c>
      <c r="G57" s="3">
        <v>9.16991334E8</v>
      </c>
      <c r="H57" s="3" t="s">
        <v>18</v>
      </c>
      <c r="I57" s="3" t="s">
        <v>19</v>
      </c>
      <c r="J57" s="3" t="s">
        <v>19</v>
      </c>
      <c r="K57" s="3" t="s">
        <v>25</v>
      </c>
      <c r="L57" s="3">
        <v>32.39</v>
      </c>
      <c r="M57" s="3" t="s">
        <v>21</v>
      </c>
      <c r="O57" s="3">
        <v>5682944.0</v>
      </c>
    </row>
    <row r="58">
      <c r="A58" s="3">
        <v>2436269.0</v>
      </c>
      <c r="B58" s="3" t="s">
        <v>185</v>
      </c>
      <c r="C58" s="3" t="b">
        <v>1</v>
      </c>
      <c r="D58" s="3" t="b">
        <v>1</v>
      </c>
      <c r="E58" s="3" t="s">
        <v>16</v>
      </c>
      <c r="F58" s="3" t="s">
        <v>186</v>
      </c>
      <c r="G58" s="4">
        <f>+251933532872</f>
        <v>251933532872</v>
      </c>
      <c r="H58" s="3" t="s">
        <v>18</v>
      </c>
      <c r="I58" s="3" t="s">
        <v>19</v>
      </c>
      <c r="J58" s="3" t="s">
        <v>19</v>
      </c>
      <c r="K58" s="3" t="s">
        <v>20</v>
      </c>
      <c r="L58" s="3">
        <v>26.52</v>
      </c>
      <c r="M58" s="3" t="s">
        <v>21</v>
      </c>
      <c r="O58" s="3">
        <v>1.03149431997E11</v>
      </c>
    </row>
    <row r="59">
      <c r="A59" s="3">
        <v>2444030.0</v>
      </c>
      <c r="B59" s="3" t="s">
        <v>187</v>
      </c>
      <c r="C59" s="3" t="b">
        <v>1</v>
      </c>
      <c r="D59" s="3" t="b">
        <v>1</v>
      </c>
      <c r="E59" s="3" t="s">
        <v>188</v>
      </c>
      <c r="F59" s="3" t="s">
        <v>189</v>
      </c>
      <c r="G59" s="4">
        <f>+251910849890</f>
        <v>251910849890</v>
      </c>
      <c r="H59" s="3" t="s">
        <v>18</v>
      </c>
      <c r="I59" s="3" t="s">
        <v>19</v>
      </c>
      <c r="J59" s="3" t="s">
        <v>19</v>
      </c>
      <c r="K59" s="3" t="s">
        <v>25</v>
      </c>
      <c r="L59" s="3">
        <v>32.33</v>
      </c>
      <c r="M59" s="3" t="s">
        <v>21</v>
      </c>
      <c r="O59" s="3">
        <v>1.05813028074E11</v>
      </c>
    </row>
    <row r="60">
      <c r="A60" s="3">
        <v>2378665.0</v>
      </c>
      <c r="B60" s="3" t="s">
        <v>190</v>
      </c>
      <c r="C60" s="3" t="b">
        <v>1</v>
      </c>
      <c r="D60" s="3" t="b">
        <v>1</v>
      </c>
      <c r="E60" s="3" t="s">
        <v>54</v>
      </c>
      <c r="F60" s="3" t="s">
        <v>58</v>
      </c>
      <c r="G60" s="4">
        <f>+251930835372</f>
        <v>251930835372</v>
      </c>
      <c r="H60" s="3" t="s">
        <v>18</v>
      </c>
      <c r="I60" s="3" t="s">
        <v>19</v>
      </c>
      <c r="J60" s="3" t="s">
        <v>19</v>
      </c>
      <c r="K60" s="3" t="s">
        <v>20</v>
      </c>
      <c r="L60" s="3">
        <v>18.63</v>
      </c>
      <c r="M60" s="3" t="s">
        <v>21</v>
      </c>
      <c r="O60" s="3">
        <v>4.1325819353E10</v>
      </c>
    </row>
    <row r="61">
      <c r="A61" s="3">
        <v>2444492.0</v>
      </c>
      <c r="B61" s="3" t="s">
        <v>191</v>
      </c>
      <c r="C61" s="3" t="b">
        <v>1</v>
      </c>
      <c r="D61" s="3" t="b">
        <v>1</v>
      </c>
      <c r="E61" s="3" t="s">
        <v>192</v>
      </c>
      <c r="F61" s="3" t="s">
        <v>193</v>
      </c>
      <c r="G61" s="4">
        <f>+251989999909</f>
        <v>251989999909</v>
      </c>
      <c r="H61" s="3" t="s">
        <v>18</v>
      </c>
      <c r="I61" s="3" t="s">
        <v>19</v>
      </c>
      <c r="J61" s="3" t="s">
        <v>19</v>
      </c>
      <c r="K61" s="3" t="s">
        <v>25</v>
      </c>
      <c r="L61" s="3">
        <v>18.84</v>
      </c>
      <c r="M61" s="3" t="s">
        <v>21</v>
      </c>
      <c r="O61" s="3">
        <v>8719079.0</v>
      </c>
    </row>
    <row r="62">
      <c r="A62" s="3">
        <v>2445347.0</v>
      </c>
      <c r="B62" s="3" t="s">
        <v>194</v>
      </c>
      <c r="C62" s="3" t="b">
        <v>1</v>
      </c>
      <c r="D62" s="3" t="b">
        <v>1</v>
      </c>
      <c r="E62" s="3" t="s">
        <v>195</v>
      </c>
      <c r="F62" s="3" t="s">
        <v>196</v>
      </c>
      <c r="G62" s="4">
        <f>+251973629590</f>
        <v>251973629590</v>
      </c>
      <c r="H62" s="3" t="s">
        <v>18</v>
      </c>
      <c r="I62" s="3" t="s">
        <v>19</v>
      </c>
      <c r="J62" s="3" t="s">
        <v>19</v>
      </c>
      <c r="K62" s="3" t="s">
        <v>20</v>
      </c>
      <c r="L62" s="3">
        <v>23.78</v>
      </c>
      <c r="M62" s="3" t="s">
        <v>21</v>
      </c>
      <c r="O62" s="3">
        <v>1.06438449354E11</v>
      </c>
    </row>
    <row r="63">
      <c r="A63" s="3">
        <v>2445465.0</v>
      </c>
      <c r="B63" s="3" t="s">
        <v>197</v>
      </c>
      <c r="C63" s="3" t="b">
        <v>1</v>
      </c>
      <c r="D63" s="3" t="b">
        <v>1</v>
      </c>
      <c r="E63" s="3" t="s">
        <v>198</v>
      </c>
      <c r="F63" s="3" t="s">
        <v>199</v>
      </c>
      <c r="G63" s="4">
        <f>+251965714933</f>
        <v>251965714933</v>
      </c>
      <c r="H63" s="3" t="s">
        <v>18</v>
      </c>
      <c r="I63" s="3" t="s">
        <v>19</v>
      </c>
      <c r="J63" s="3" t="s">
        <v>19</v>
      </c>
      <c r="K63" s="3" t="s">
        <v>20</v>
      </c>
      <c r="L63" s="3">
        <v>22.8</v>
      </c>
      <c r="M63" s="3" t="s">
        <v>21</v>
      </c>
    </row>
    <row r="64">
      <c r="A64" s="3">
        <v>2445581.0</v>
      </c>
      <c r="B64" s="3" t="s">
        <v>200</v>
      </c>
      <c r="C64" s="3" t="b">
        <v>1</v>
      </c>
      <c r="D64" s="3" t="b">
        <v>1</v>
      </c>
      <c r="E64" s="3" t="s">
        <v>201</v>
      </c>
      <c r="F64" s="3" t="s">
        <v>202</v>
      </c>
      <c r="G64" s="4">
        <f>+251941990930</f>
        <v>251941990930</v>
      </c>
      <c r="H64" s="3" t="s">
        <v>18</v>
      </c>
      <c r="I64" s="3" t="s">
        <v>19</v>
      </c>
      <c r="J64" s="3" t="s">
        <v>19</v>
      </c>
      <c r="K64" s="3" t="s">
        <v>25</v>
      </c>
      <c r="L64" s="3">
        <v>28.5</v>
      </c>
      <c r="M64" s="3" t="s">
        <v>21</v>
      </c>
      <c r="O64" s="3">
        <v>8858582.0</v>
      </c>
    </row>
    <row r="65">
      <c r="A65" s="3">
        <v>2445909.0</v>
      </c>
      <c r="B65" s="3" t="s">
        <v>203</v>
      </c>
      <c r="C65" s="3" t="b">
        <v>1</v>
      </c>
      <c r="D65" s="3" t="b">
        <v>1</v>
      </c>
      <c r="E65" s="3" t="s">
        <v>204</v>
      </c>
      <c r="F65" s="3" t="s">
        <v>111</v>
      </c>
      <c r="G65" s="4">
        <f>+251927994034</f>
        <v>251927994034</v>
      </c>
      <c r="H65" s="3" t="s">
        <v>18</v>
      </c>
      <c r="I65" s="3" t="s">
        <v>19</v>
      </c>
      <c r="J65" s="3" t="s">
        <v>19</v>
      </c>
      <c r="K65" s="3" t="s">
        <v>25</v>
      </c>
      <c r="L65" s="3">
        <v>21.96</v>
      </c>
      <c r="M65" s="3" t="s">
        <v>21</v>
      </c>
      <c r="O65" s="3">
        <v>6289559.0</v>
      </c>
    </row>
    <row r="66">
      <c r="A66" s="3">
        <v>2446494.0</v>
      </c>
      <c r="B66" s="3" t="s">
        <v>205</v>
      </c>
      <c r="C66" s="3" t="b">
        <v>1</v>
      </c>
      <c r="D66" s="3" t="b">
        <v>1</v>
      </c>
      <c r="E66" s="3" t="s">
        <v>24</v>
      </c>
      <c r="F66" s="3" t="s">
        <v>206</v>
      </c>
      <c r="G66" s="4">
        <f>+251916347655</f>
        <v>251916347655</v>
      </c>
      <c r="H66" s="3" t="s">
        <v>18</v>
      </c>
      <c r="I66" s="3" t="s">
        <v>19</v>
      </c>
      <c r="J66" s="3" t="s">
        <v>19</v>
      </c>
      <c r="K66" s="3" t="s">
        <v>25</v>
      </c>
      <c r="L66" s="3">
        <v>23.24</v>
      </c>
      <c r="M66" s="3" t="s">
        <v>21</v>
      </c>
      <c r="O66" s="3">
        <v>1.06962281708E11</v>
      </c>
    </row>
    <row r="67">
      <c r="A67" s="3">
        <v>2446651.0</v>
      </c>
      <c r="B67" s="3" t="s">
        <v>207</v>
      </c>
      <c r="C67" s="3" t="b">
        <v>1</v>
      </c>
      <c r="D67" s="3" t="b">
        <v>1</v>
      </c>
      <c r="E67" s="3" t="s">
        <v>208</v>
      </c>
      <c r="F67" s="3" t="s">
        <v>209</v>
      </c>
      <c r="G67" s="4">
        <f>+251983105707</f>
        <v>251983105707</v>
      </c>
      <c r="H67" s="3" t="s">
        <v>18</v>
      </c>
      <c r="I67" s="3" t="s">
        <v>19</v>
      </c>
      <c r="J67" s="3" t="s">
        <v>19</v>
      </c>
      <c r="K67" s="3" t="s">
        <v>25</v>
      </c>
      <c r="L67" s="3">
        <v>22.46</v>
      </c>
      <c r="M67" s="3" t="s">
        <v>21</v>
      </c>
    </row>
    <row r="68">
      <c r="A68" s="3">
        <v>2446967.0</v>
      </c>
      <c r="B68" s="3" t="s">
        <v>210</v>
      </c>
      <c r="C68" s="3" t="b">
        <v>1</v>
      </c>
      <c r="D68" s="3" t="b">
        <v>1</v>
      </c>
      <c r="E68" s="3" t="s">
        <v>211</v>
      </c>
      <c r="F68" s="3" t="s">
        <v>212</v>
      </c>
      <c r="G68" s="4">
        <f>+251945275461</f>
        <v>251945275461</v>
      </c>
      <c r="H68" s="3" t="s">
        <v>18</v>
      </c>
      <c r="I68" s="3" t="s">
        <v>19</v>
      </c>
      <c r="J68" s="3" t="s">
        <v>19</v>
      </c>
      <c r="K68" s="3" t="s">
        <v>25</v>
      </c>
      <c r="L68" s="3">
        <v>29.28</v>
      </c>
      <c r="M68" s="3" t="s">
        <v>21</v>
      </c>
      <c r="O68" s="3">
        <v>1.07084707061E11</v>
      </c>
    </row>
    <row r="69">
      <c r="A69" s="3">
        <v>230475.0</v>
      </c>
      <c r="B69" s="3" t="s">
        <v>213</v>
      </c>
      <c r="C69" s="3" t="b">
        <v>1</v>
      </c>
      <c r="D69" s="3" t="b">
        <v>1</v>
      </c>
      <c r="E69" s="3" t="s">
        <v>214</v>
      </c>
      <c r="F69" s="3" t="s">
        <v>215</v>
      </c>
      <c r="G69" s="4">
        <f>+251912414924</f>
        <v>251912414924</v>
      </c>
      <c r="H69" s="3" t="s">
        <v>18</v>
      </c>
      <c r="I69" s="3" t="s">
        <v>19</v>
      </c>
      <c r="J69" s="3" t="s">
        <v>19</v>
      </c>
      <c r="K69" s="3" t="s">
        <v>25</v>
      </c>
      <c r="L69" s="3">
        <v>33.27</v>
      </c>
      <c r="M69" s="3" t="s">
        <v>21</v>
      </c>
      <c r="O69" s="3">
        <v>1901382.0</v>
      </c>
    </row>
    <row r="70">
      <c r="A70" s="3">
        <v>2447646.0</v>
      </c>
      <c r="B70" s="3" t="s">
        <v>216</v>
      </c>
      <c r="C70" s="3" t="b">
        <v>1</v>
      </c>
      <c r="D70" s="3" t="b">
        <v>1</v>
      </c>
      <c r="E70" s="3" t="s">
        <v>217</v>
      </c>
      <c r="F70" s="3" t="s">
        <v>218</v>
      </c>
      <c r="G70" s="4">
        <f>+251902147712</f>
        <v>251902147712</v>
      </c>
      <c r="H70" s="3" t="s">
        <v>18</v>
      </c>
      <c r="I70" s="3" t="s">
        <v>19</v>
      </c>
      <c r="J70" s="3" t="s">
        <v>19</v>
      </c>
      <c r="K70" s="3" t="s">
        <v>25</v>
      </c>
      <c r="L70" s="3">
        <v>19.14</v>
      </c>
      <c r="M70" s="3" t="s">
        <v>21</v>
      </c>
      <c r="O70" s="3">
        <v>1.07563502781E11</v>
      </c>
    </row>
    <row r="71">
      <c r="A71" s="3">
        <v>1112706.0</v>
      </c>
      <c r="B71" s="3" t="s">
        <v>219</v>
      </c>
      <c r="C71" s="3" t="b">
        <v>1</v>
      </c>
      <c r="D71" s="3" t="b">
        <v>1</v>
      </c>
      <c r="E71" s="3" t="s">
        <v>220</v>
      </c>
      <c r="F71" s="3" t="s">
        <v>221</v>
      </c>
      <c r="G71" s="4">
        <f>+251947142487</f>
        <v>251947142487</v>
      </c>
      <c r="H71" s="3" t="s">
        <v>18</v>
      </c>
      <c r="I71" s="3" t="s">
        <v>19</v>
      </c>
      <c r="J71" s="3" t="s">
        <v>19</v>
      </c>
      <c r="K71" s="3" t="s">
        <v>20</v>
      </c>
      <c r="L71" s="3">
        <v>23.38</v>
      </c>
      <c r="M71" s="3" t="s">
        <v>21</v>
      </c>
      <c r="O71" s="3">
        <v>2.3113961E7</v>
      </c>
    </row>
    <row r="72">
      <c r="A72" s="3">
        <v>1540450.0</v>
      </c>
      <c r="B72" s="3" t="s">
        <v>222</v>
      </c>
      <c r="C72" s="3" t="b">
        <v>1</v>
      </c>
      <c r="D72" s="3" t="b">
        <v>1</v>
      </c>
      <c r="E72" s="3" t="s">
        <v>223</v>
      </c>
      <c r="F72" s="3" t="s">
        <v>224</v>
      </c>
      <c r="G72" s="3">
        <v>9.29503105E8</v>
      </c>
      <c r="H72" s="3" t="s">
        <v>18</v>
      </c>
      <c r="I72" s="3" t="s">
        <v>19</v>
      </c>
      <c r="J72" s="3" t="s">
        <v>19</v>
      </c>
      <c r="K72" s="3" t="s">
        <v>25</v>
      </c>
      <c r="L72" s="3">
        <v>29.7</v>
      </c>
      <c r="M72" s="3" t="s">
        <v>21</v>
      </c>
    </row>
    <row r="73">
      <c r="A73" s="3">
        <v>2449473.0</v>
      </c>
      <c r="B73" s="3" t="s">
        <v>225</v>
      </c>
      <c r="C73" s="3" t="b">
        <v>1</v>
      </c>
      <c r="D73" s="3" t="b">
        <v>1</v>
      </c>
      <c r="E73" s="3" t="s">
        <v>226</v>
      </c>
      <c r="F73" s="3" t="s">
        <v>227</v>
      </c>
      <c r="G73" s="4">
        <f>+251948730120</f>
        <v>251948730120</v>
      </c>
      <c r="H73" s="3" t="s">
        <v>18</v>
      </c>
      <c r="I73" s="3" t="s">
        <v>19</v>
      </c>
      <c r="J73" s="3" t="s">
        <v>19</v>
      </c>
      <c r="K73" s="3" t="s">
        <v>25</v>
      </c>
      <c r="L73" s="3">
        <v>18.93</v>
      </c>
      <c r="M73" s="3" t="s">
        <v>21</v>
      </c>
      <c r="O73" s="3">
        <v>1.08149186797E11</v>
      </c>
    </row>
    <row r="74">
      <c r="A74" s="3">
        <v>2449541.0</v>
      </c>
      <c r="B74" s="3" t="s">
        <v>228</v>
      </c>
      <c r="C74" s="3" t="b">
        <v>1</v>
      </c>
      <c r="D74" s="3" t="b">
        <v>1</v>
      </c>
      <c r="E74" s="3" t="s">
        <v>229</v>
      </c>
      <c r="F74" s="3" t="s">
        <v>230</v>
      </c>
      <c r="G74" s="4">
        <f>+251977571230</f>
        <v>251977571230</v>
      </c>
      <c r="H74" s="3" t="s">
        <v>18</v>
      </c>
      <c r="I74" s="3" t="s">
        <v>19</v>
      </c>
      <c r="J74" s="3" t="s">
        <v>19</v>
      </c>
      <c r="K74" s="3" t="s">
        <v>25</v>
      </c>
      <c r="L74" s="3">
        <v>29.22</v>
      </c>
      <c r="M74" s="3" t="s">
        <v>21</v>
      </c>
    </row>
    <row r="75">
      <c r="A75" s="3">
        <v>241015.0</v>
      </c>
      <c r="B75" s="3" t="s">
        <v>231</v>
      </c>
      <c r="C75" s="3" t="b">
        <v>1</v>
      </c>
      <c r="D75" s="3" t="b">
        <v>1</v>
      </c>
      <c r="E75" s="3" t="s">
        <v>232</v>
      </c>
      <c r="F75" s="3" t="s">
        <v>233</v>
      </c>
      <c r="G75" s="4">
        <f>+251925482816</f>
        <v>251925482816</v>
      </c>
      <c r="H75" s="3" t="s">
        <v>18</v>
      </c>
      <c r="I75" s="3" t="s">
        <v>19</v>
      </c>
      <c r="J75" s="3" t="s">
        <v>19</v>
      </c>
      <c r="K75" s="3" t="s">
        <v>20</v>
      </c>
      <c r="L75" s="3">
        <v>24.74</v>
      </c>
      <c r="M75" s="3" t="s">
        <v>21</v>
      </c>
    </row>
    <row r="76">
      <c r="A76" s="3">
        <v>139292.0</v>
      </c>
      <c r="B76" s="3" t="s">
        <v>234</v>
      </c>
      <c r="C76" s="3" t="b">
        <v>1</v>
      </c>
      <c r="D76" s="3" t="b">
        <v>1</v>
      </c>
      <c r="E76" s="3" t="s">
        <v>235</v>
      </c>
      <c r="F76" s="3" t="s">
        <v>236</v>
      </c>
      <c r="G76" s="4">
        <f>+251799493839</f>
        <v>251799493839</v>
      </c>
      <c r="H76" s="3" t="s">
        <v>237</v>
      </c>
      <c r="I76" s="3" t="s">
        <v>19</v>
      </c>
      <c r="J76" s="3" t="s">
        <v>19</v>
      </c>
      <c r="K76" s="3" t="s">
        <v>25</v>
      </c>
      <c r="L76" s="3">
        <v>34.48</v>
      </c>
      <c r="M76" s="3" t="s">
        <v>21</v>
      </c>
      <c r="O76" s="3">
        <v>2.62763E7</v>
      </c>
    </row>
    <row r="77">
      <c r="A77" s="3">
        <v>1979731.0</v>
      </c>
      <c r="B77" s="3" t="s">
        <v>238</v>
      </c>
      <c r="C77" s="3" t="b">
        <v>1</v>
      </c>
      <c r="D77" s="3" t="b">
        <v>1</v>
      </c>
      <c r="E77" s="3" t="s">
        <v>239</v>
      </c>
      <c r="F77" s="3" t="s">
        <v>240</v>
      </c>
      <c r="G77" s="4">
        <f>+251929044079</f>
        <v>251929044079</v>
      </c>
      <c r="H77" s="3" t="s">
        <v>18</v>
      </c>
      <c r="I77" s="3" t="s">
        <v>19</v>
      </c>
      <c r="J77" s="3" t="s">
        <v>19</v>
      </c>
      <c r="K77" s="3" t="s">
        <v>25</v>
      </c>
      <c r="L77" s="3">
        <v>30.52</v>
      </c>
      <c r="M77" s="3" t="s">
        <v>21</v>
      </c>
      <c r="O77" s="3">
        <v>2.8041466095E10</v>
      </c>
    </row>
    <row r="78">
      <c r="A78" s="3">
        <v>2450369.0</v>
      </c>
      <c r="B78" s="3" t="s">
        <v>241</v>
      </c>
      <c r="C78" s="3" t="b">
        <v>1</v>
      </c>
      <c r="D78" s="3" t="b">
        <v>1</v>
      </c>
      <c r="E78" s="3" t="s">
        <v>242</v>
      </c>
      <c r="F78" s="3" t="s">
        <v>243</v>
      </c>
      <c r="G78" s="4">
        <f>+251926837221</f>
        <v>251926837221</v>
      </c>
      <c r="H78" s="3" t="s">
        <v>18</v>
      </c>
      <c r="I78" s="3" t="s">
        <v>19</v>
      </c>
      <c r="J78" s="3" t="s">
        <v>19</v>
      </c>
      <c r="K78" s="3" t="s">
        <v>25</v>
      </c>
      <c r="L78" s="3">
        <v>32.62</v>
      </c>
      <c r="M78" s="3" t="s">
        <v>21</v>
      </c>
      <c r="O78" s="3">
        <v>1.08296994008E11</v>
      </c>
    </row>
    <row r="79">
      <c r="A79" s="3">
        <v>2450801.0</v>
      </c>
      <c r="B79" s="3" t="s">
        <v>244</v>
      </c>
      <c r="C79" s="3" t="b">
        <v>1</v>
      </c>
      <c r="D79" s="3" t="b">
        <v>1</v>
      </c>
      <c r="E79" s="3" t="s">
        <v>245</v>
      </c>
      <c r="F79" s="3" t="s">
        <v>246</v>
      </c>
      <c r="G79" s="4">
        <f>+251925695504</f>
        <v>251925695504</v>
      </c>
      <c r="H79" s="3" t="s">
        <v>18</v>
      </c>
      <c r="I79" s="3" t="s">
        <v>19</v>
      </c>
      <c r="J79" s="3" t="s">
        <v>19</v>
      </c>
      <c r="K79" s="3" t="s">
        <v>20</v>
      </c>
      <c r="L79" s="3">
        <v>26.61</v>
      </c>
      <c r="M79" s="3" t="s">
        <v>21</v>
      </c>
    </row>
    <row r="80">
      <c r="A80" s="3">
        <v>2451525.0</v>
      </c>
      <c r="B80" s="3" t="s">
        <v>247</v>
      </c>
      <c r="C80" s="3" t="b">
        <v>1</v>
      </c>
      <c r="D80" s="3" t="b">
        <v>1</v>
      </c>
      <c r="E80" s="3" t="s">
        <v>196</v>
      </c>
      <c r="F80" s="3" t="s">
        <v>248</v>
      </c>
      <c r="G80" s="4">
        <f>+251938880766</f>
        <v>251938880766</v>
      </c>
      <c r="H80" s="3" t="s">
        <v>249</v>
      </c>
      <c r="I80" s="3" t="s">
        <v>19</v>
      </c>
      <c r="J80" s="3" t="s">
        <v>19</v>
      </c>
      <c r="K80" s="3" t="s">
        <v>25</v>
      </c>
      <c r="L80" s="3">
        <v>28.53</v>
      </c>
      <c r="M80" s="3" t="s">
        <v>21</v>
      </c>
      <c r="O80" s="3">
        <v>1.08751502545E11</v>
      </c>
    </row>
    <row r="81">
      <c r="A81" s="3">
        <v>2451754.0</v>
      </c>
      <c r="B81" s="3" t="s">
        <v>250</v>
      </c>
      <c r="C81" s="3" t="b">
        <v>1</v>
      </c>
      <c r="D81" s="3" t="b">
        <v>1</v>
      </c>
      <c r="E81" s="3" t="s">
        <v>251</v>
      </c>
      <c r="F81" s="3" t="s">
        <v>252</v>
      </c>
      <c r="G81" s="4">
        <f>+251924473928</f>
        <v>251924473928</v>
      </c>
      <c r="H81" s="3" t="s">
        <v>18</v>
      </c>
      <c r="I81" s="3" t="s">
        <v>19</v>
      </c>
      <c r="J81" s="3" t="s">
        <v>19</v>
      </c>
      <c r="K81" s="3" t="s">
        <v>25</v>
      </c>
      <c r="L81" s="3">
        <v>33.19</v>
      </c>
      <c r="M81" s="3" t="s">
        <v>21</v>
      </c>
      <c r="O81" s="3">
        <v>1.08820434106E11</v>
      </c>
    </row>
    <row r="82">
      <c r="A82" s="3">
        <v>2451971.0</v>
      </c>
      <c r="B82" s="3" t="s">
        <v>253</v>
      </c>
      <c r="C82" s="3" t="b">
        <v>1</v>
      </c>
      <c r="D82" s="3" t="b">
        <v>1</v>
      </c>
      <c r="E82" s="3" t="s">
        <v>254</v>
      </c>
      <c r="F82" s="3" t="s">
        <v>255</v>
      </c>
      <c r="G82" s="4">
        <f>+2511955038322</f>
        <v>2511955038322</v>
      </c>
      <c r="H82" s="3" t="s">
        <v>18</v>
      </c>
      <c r="I82" s="3" t="s">
        <v>19</v>
      </c>
      <c r="J82" s="3" t="s">
        <v>256</v>
      </c>
      <c r="K82" s="3" t="s">
        <v>20</v>
      </c>
      <c r="L82" s="3">
        <v>19.3</v>
      </c>
      <c r="M82" s="3" t="s">
        <v>21</v>
      </c>
    </row>
    <row r="83">
      <c r="A83" s="3">
        <v>2132303.0</v>
      </c>
      <c r="B83" s="3" t="s">
        <v>257</v>
      </c>
      <c r="C83" s="3" t="b">
        <v>1</v>
      </c>
      <c r="D83" s="3" t="b">
        <v>1</v>
      </c>
      <c r="E83" s="3" t="s">
        <v>258</v>
      </c>
      <c r="F83" s="3" t="s">
        <v>259</v>
      </c>
      <c r="G83" s="4">
        <f>+251921567840</f>
        <v>251921567840</v>
      </c>
      <c r="H83" s="3" t="s">
        <v>18</v>
      </c>
      <c r="I83" s="3" t="s">
        <v>19</v>
      </c>
      <c r="J83" s="3" t="s">
        <v>19</v>
      </c>
      <c r="K83" s="3" t="s">
        <v>25</v>
      </c>
      <c r="L83" s="3">
        <v>32.03</v>
      </c>
      <c r="M83" s="3" t="s">
        <v>21</v>
      </c>
      <c r="O83" s="3">
        <v>1.1117261E7</v>
      </c>
    </row>
    <row r="84">
      <c r="A84" s="3">
        <v>2452239.0</v>
      </c>
      <c r="B84" s="3" t="s">
        <v>260</v>
      </c>
      <c r="C84" s="3" t="b">
        <v>1</v>
      </c>
      <c r="D84" s="3" t="b">
        <v>1</v>
      </c>
      <c r="E84" s="3" t="s">
        <v>261</v>
      </c>
      <c r="F84" s="3" t="s">
        <v>262</v>
      </c>
      <c r="G84" s="4">
        <f>+251936466290</f>
        <v>251936466290</v>
      </c>
      <c r="H84" s="3" t="s">
        <v>18</v>
      </c>
      <c r="I84" s="3" t="s">
        <v>19</v>
      </c>
      <c r="J84" s="3" t="s">
        <v>19</v>
      </c>
      <c r="K84" s="3" t="s">
        <v>25</v>
      </c>
      <c r="L84" s="3">
        <v>33.67</v>
      </c>
      <c r="M84" s="3" t="s">
        <v>21</v>
      </c>
      <c r="O84" s="3">
        <v>1.08862941409E11</v>
      </c>
    </row>
    <row r="85">
      <c r="A85" s="3">
        <v>2453831.0</v>
      </c>
      <c r="B85" s="3" t="s">
        <v>263</v>
      </c>
      <c r="C85" s="3" t="b">
        <v>1</v>
      </c>
      <c r="D85" s="3" t="b">
        <v>1</v>
      </c>
      <c r="E85" s="3" t="s">
        <v>264</v>
      </c>
      <c r="F85" s="3" t="s">
        <v>265</v>
      </c>
      <c r="G85" s="3">
        <v>9.10851111E8</v>
      </c>
      <c r="H85" s="3" t="s">
        <v>18</v>
      </c>
      <c r="I85" s="3" t="s">
        <v>19</v>
      </c>
      <c r="J85" s="3" t="s">
        <v>19</v>
      </c>
      <c r="K85" s="3" t="s">
        <v>25</v>
      </c>
      <c r="L85" s="3">
        <v>30.63</v>
      </c>
      <c r="M85" s="3" t="s">
        <v>21</v>
      </c>
      <c r="O85" s="3">
        <v>1.09211173059E11</v>
      </c>
    </row>
    <row r="86">
      <c r="A86" s="3">
        <v>2453925.0</v>
      </c>
      <c r="B86" s="3" t="s">
        <v>266</v>
      </c>
      <c r="C86" s="3" t="b">
        <v>1</v>
      </c>
      <c r="D86" s="3" t="b">
        <v>1</v>
      </c>
      <c r="E86" s="3" t="s">
        <v>267</v>
      </c>
      <c r="F86" s="3" t="s">
        <v>268</v>
      </c>
      <c r="G86" s="4">
        <f>+251920352236</f>
        <v>251920352236</v>
      </c>
      <c r="H86" s="3" t="s">
        <v>18</v>
      </c>
      <c r="I86" s="3" t="s">
        <v>19</v>
      </c>
      <c r="J86" s="3" t="s">
        <v>19</v>
      </c>
      <c r="K86" s="3" t="s">
        <v>25</v>
      </c>
      <c r="L86" s="3">
        <v>33.01</v>
      </c>
      <c r="M86" s="3" t="s">
        <v>21</v>
      </c>
      <c r="O86" s="3">
        <v>1.09355555046E11</v>
      </c>
    </row>
    <row r="87">
      <c r="A87" s="3">
        <v>2357031.0</v>
      </c>
      <c r="B87" s="3" t="s">
        <v>269</v>
      </c>
      <c r="C87" s="3" t="b">
        <v>1</v>
      </c>
      <c r="D87" s="3" t="b">
        <v>1</v>
      </c>
      <c r="E87" s="3" t="s">
        <v>270</v>
      </c>
      <c r="F87" s="3" t="s">
        <v>271</v>
      </c>
      <c r="G87" s="4">
        <f>+251904986915</f>
        <v>251904986915</v>
      </c>
      <c r="H87" s="3" t="s">
        <v>18</v>
      </c>
      <c r="I87" s="3" t="s">
        <v>19</v>
      </c>
      <c r="J87" s="3" t="s">
        <v>19</v>
      </c>
      <c r="K87" s="3" t="s">
        <v>20</v>
      </c>
      <c r="L87" s="3">
        <v>21.85</v>
      </c>
      <c r="M87" s="3" t="s">
        <v>21</v>
      </c>
      <c r="O87" s="3">
        <v>4.0502293989E10</v>
      </c>
    </row>
    <row r="88">
      <c r="A88" s="3">
        <v>2454910.0</v>
      </c>
      <c r="B88" s="3" t="s">
        <v>272</v>
      </c>
      <c r="C88" s="3" t="b">
        <v>1</v>
      </c>
      <c r="D88" s="3" t="b">
        <v>1</v>
      </c>
      <c r="E88" s="3" t="s">
        <v>273</v>
      </c>
      <c r="F88" s="3" t="s">
        <v>274</v>
      </c>
      <c r="G88" s="4">
        <f>+251912786801</f>
        <v>251912786801</v>
      </c>
      <c r="H88" s="3" t="s">
        <v>18</v>
      </c>
      <c r="I88" s="3" t="s">
        <v>19</v>
      </c>
      <c r="J88" s="3" t="s">
        <v>19</v>
      </c>
      <c r="K88" s="3" t="s">
        <v>25</v>
      </c>
      <c r="L88" s="3">
        <v>19.8</v>
      </c>
      <c r="M88" s="3" t="s">
        <v>21</v>
      </c>
      <c r="O88" s="3">
        <v>1.09337750775E11</v>
      </c>
    </row>
    <row r="89">
      <c r="A89" s="3">
        <v>2420019.0</v>
      </c>
      <c r="B89" s="3" t="s">
        <v>275</v>
      </c>
      <c r="C89" s="3" t="b">
        <v>1</v>
      </c>
      <c r="D89" s="3" t="b">
        <v>1</v>
      </c>
      <c r="E89" s="3" t="s">
        <v>276</v>
      </c>
      <c r="F89" s="3" t="s">
        <v>277</v>
      </c>
      <c r="G89" s="4">
        <f>+251983039018</f>
        <v>251983039018</v>
      </c>
      <c r="H89" s="3" t="s">
        <v>18</v>
      </c>
      <c r="I89" s="3" t="s">
        <v>19</v>
      </c>
      <c r="J89" s="3" t="s">
        <v>19</v>
      </c>
      <c r="K89" s="3" t="s">
        <v>25</v>
      </c>
      <c r="L89" s="3">
        <v>20.57</v>
      </c>
      <c r="M89" s="3" t="s">
        <v>21</v>
      </c>
      <c r="O89" s="3">
        <v>825177.0</v>
      </c>
    </row>
    <row r="90">
      <c r="A90" s="3">
        <v>2455120.0</v>
      </c>
      <c r="B90" s="3" t="s">
        <v>278</v>
      </c>
      <c r="C90" s="3" t="b">
        <v>1</v>
      </c>
      <c r="D90" s="3" t="b">
        <v>1</v>
      </c>
      <c r="E90" s="3" t="s">
        <v>279</v>
      </c>
      <c r="F90" s="3" t="s">
        <v>280</v>
      </c>
      <c r="G90" s="4">
        <f>+251968332497</f>
        <v>251968332497</v>
      </c>
      <c r="H90" s="3" t="s">
        <v>18</v>
      </c>
      <c r="I90" s="3" t="s">
        <v>19</v>
      </c>
      <c r="J90" s="3" t="s">
        <v>19</v>
      </c>
      <c r="K90" s="3" t="s">
        <v>25</v>
      </c>
      <c r="L90" s="3">
        <v>19.62</v>
      </c>
      <c r="M90" s="3" t="s">
        <v>21</v>
      </c>
      <c r="O90" s="3">
        <v>1.09642319056E11</v>
      </c>
    </row>
    <row r="91">
      <c r="A91" s="3">
        <v>2355554.0</v>
      </c>
      <c r="B91" s="3" t="s">
        <v>281</v>
      </c>
      <c r="C91" s="3" t="b">
        <v>1</v>
      </c>
      <c r="D91" s="3" t="b">
        <v>1</v>
      </c>
      <c r="E91" s="3" t="s">
        <v>27</v>
      </c>
      <c r="F91" s="3" t="s">
        <v>282</v>
      </c>
      <c r="G91" s="4">
        <f>+251929465025</f>
        <v>251929465025</v>
      </c>
      <c r="H91" s="3" t="s">
        <v>18</v>
      </c>
      <c r="I91" s="3" t="s">
        <v>19</v>
      </c>
      <c r="J91" s="3" t="s">
        <v>19</v>
      </c>
      <c r="K91" s="3" t="s">
        <v>25</v>
      </c>
      <c r="L91" s="3">
        <v>30.55</v>
      </c>
      <c r="M91" s="3" t="s">
        <v>21</v>
      </c>
      <c r="O91" s="3">
        <v>3.9443108343E10</v>
      </c>
    </row>
    <row r="92">
      <c r="A92" s="3">
        <v>1757906.0</v>
      </c>
      <c r="B92" s="3" t="s">
        <v>283</v>
      </c>
      <c r="C92" s="3" t="b">
        <v>1</v>
      </c>
      <c r="D92" s="3" t="b">
        <v>1</v>
      </c>
      <c r="E92" s="3" t="s">
        <v>284</v>
      </c>
      <c r="F92" s="3" t="s">
        <v>285</v>
      </c>
      <c r="G92" s="3">
        <v>9.34959777E8</v>
      </c>
      <c r="H92" s="3" t="s">
        <v>18</v>
      </c>
      <c r="I92" s="3" t="s">
        <v>19</v>
      </c>
      <c r="J92" s="3" t="s">
        <v>19</v>
      </c>
      <c r="K92" s="3" t="s">
        <v>25</v>
      </c>
      <c r="L92" s="3">
        <v>28.1</v>
      </c>
      <c r="M92" s="3" t="s">
        <v>21</v>
      </c>
      <c r="O92" s="3">
        <v>2.3545477068E10</v>
      </c>
    </row>
    <row r="93">
      <c r="A93" s="3">
        <v>2455418.0</v>
      </c>
      <c r="B93" s="3" t="s">
        <v>286</v>
      </c>
      <c r="C93" s="3" t="b">
        <v>1</v>
      </c>
      <c r="D93" s="3" t="b">
        <v>1</v>
      </c>
      <c r="E93" s="3" t="s">
        <v>287</v>
      </c>
      <c r="F93" s="3" t="s">
        <v>288</v>
      </c>
      <c r="G93" s="4">
        <f>+251982769474</f>
        <v>251982769474</v>
      </c>
      <c r="H93" s="3" t="s">
        <v>289</v>
      </c>
      <c r="I93" s="3" t="s">
        <v>19</v>
      </c>
      <c r="J93" s="3" t="s">
        <v>19</v>
      </c>
      <c r="K93" s="3" t="s">
        <v>25</v>
      </c>
      <c r="L93" s="3">
        <v>30.13</v>
      </c>
      <c r="M93" s="3" t="s">
        <v>21</v>
      </c>
      <c r="O93" s="3">
        <v>9.997371825E10</v>
      </c>
    </row>
    <row r="94">
      <c r="A94" s="3">
        <v>2455729.0</v>
      </c>
      <c r="B94" s="3" t="s">
        <v>290</v>
      </c>
      <c r="C94" s="3" t="b">
        <v>1</v>
      </c>
      <c r="D94" s="3" t="b">
        <v>1</v>
      </c>
      <c r="E94" s="3" t="s">
        <v>291</v>
      </c>
      <c r="F94" s="3" t="s">
        <v>292</v>
      </c>
      <c r="G94" s="3">
        <v>9.00399296E8</v>
      </c>
      <c r="H94" s="3" t="s">
        <v>29</v>
      </c>
      <c r="I94" s="3" t="s">
        <v>19</v>
      </c>
      <c r="J94" s="3" t="s">
        <v>19</v>
      </c>
      <c r="K94" s="3" t="s">
        <v>20</v>
      </c>
      <c r="L94" s="3">
        <v>23.05</v>
      </c>
      <c r="M94" s="3" t="s">
        <v>21</v>
      </c>
      <c r="O94" s="3">
        <v>1.09804521688E11</v>
      </c>
    </row>
    <row r="95">
      <c r="A95" s="3">
        <v>2455878.0</v>
      </c>
      <c r="B95" s="3" t="s">
        <v>293</v>
      </c>
      <c r="C95" s="3" t="b">
        <v>1</v>
      </c>
      <c r="D95" s="3" t="b">
        <v>1</v>
      </c>
      <c r="E95" s="3" t="s">
        <v>294</v>
      </c>
      <c r="F95" s="3" t="s">
        <v>295</v>
      </c>
      <c r="G95" s="4">
        <f>+251968938737</f>
        <v>251968938737</v>
      </c>
      <c r="H95" s="3" t="s">
        <v>18</v>
      </c>
      <c r="I95" s="3" t="s">
        <v>19</v>
      </c>
      <c r="J95" s="3" t="s">
        <v>19</v>
      </c>
      <c r="K95" s="3" t="s">
        <v>20</v>
      </c>
      <c r="L95" s="3">
        <v>21.44</v>
      </c>
      <c r="M95" s="3" t="s">
        <v>21</v>
      </c>
      <c r="O95" s="3">
        <v>1.03006557393E11</v>
      </c>
    </row>
    <row r="96">
      <c r="A96" s="3">
        <v>2448898.0</v>
      </c>
      <c r="B96" s="3" t="s">
        <v>296</v>
      </c>
      <c r="C96" s="3" t="b">
        <v>1</v>
      </c>
      <c r="D96" s="3" t="b">
        <v>1</v>
      </c>
      <c r="E96" s="3" t="s">
        <v>297</v>
      </c>
      <c r="F96" s="3" t="s">
        <v>298</v>
      </c>
      <c r="G96" s="4">
        <f>+251920063009</f>
        <v>251920063009</v>
      </c>
      <c r="H96" s="3" t="s">
        <v>18</v>
      </c>
      <c r="I96" s="3" t="s">
        <v>19</v>
      </c>
      <c r="J96" s="3" t="s">
        <v>19</v>
      </c>
      <c r="K96" s="3" t="s">
        <v>25</v>
      </c>
      <c r="L96" s="3">
        <v>23.15</v>
      </c>
      <c r="M96" s="3" t="s">
        <v>21</v>
      </c>
      <c r="O96" s="3">
        <v>2.3378796E7</v>
      </c>
    </row>
    <row r="97">
      <c r="A97" s="3">
        <v>2456354.0</v>
      </c>
      <c r="B97" s="3" t="s">
        <v>299</v>
      </c>
      <c r="C97" s="3" t="b">
        <v>1</v>
      </c>
      <c r="D97" s="3" t="b">
        <v>1</v>
      </c>
      <c r="E97" s="3" t="s">
        <v>300</v>
      </c>
      <c r="F97" s="3" t="s">
        <v>301</v>
      </c>
      <c r="G97" s="4">
        <f>+251930743447</f>
        <v>251930743447</v>
      </c>
      <c r="H97" s="3" t="s">
        <v>18</v>
      </c>
      <c r="I97" s="3" t="s">
        <v>19</v>
      </c>
      <c r="J97" s="3" t="s">
        <v>19</v>
      </c>
      <c r="K97" s="3" t="s">
        <v>25</v>
      </c>
      <c r="L97" s="3">
        <v>25.22</v>
      </c>
      <c r="M97" s="3" t="s">
        <v>21</v>
      </c>
      <c r="O97" s="3">
        <v>1.0986623611E11</v>
      </c>
    </row>
    <row r="98">
      <c r="A98" s="3">
        <v>2456997.0</v>
      </c>
      <c r="B98" s="3" t="s">
        <v>302</v>
      </c>
      <c r="C98" s="3" t="b">
        <v>1</v>
      </c>
      <c r="D98" s="3" t="b">
        <v>1</v>
      </c>
      <c r="E98" s="3" t="s">
        <v>303</v>
      </c>
      <c r="F98" s="3" t="s">
        <v>304</v>
      </c>
      <c r="G98" s="4">
        <f>+251920606565</f>
        <v>251920606565</v>
      </c>
      <c r="H98" s="3" t="s">
        <v>18</v>
      </c>
      <c r="I98" s="3" t="s">
        <v>19</v>
      </c>
      <c r="J98" s="3" t="s">
        <v>19</v>
      </c>
      <c r="K98" s="3" t="s">
        <v>20</v>
      </c>
      <c r="L98" s="3">
        <v>21.64</v>
      </c>
      <c r="M98" s="3" t="s">
        <v>21</v>
      </c>
      <c r="O98" s="3">
        <v>1.10083271873E11</v>
      </c>
    </row>
    <row r="99">
      <c r="A99" s="3">
        <v>2457002.0</v>
      </c>
      <c r="B99" s="3" t="s">
        <v>305</v>
      </c>
      <c r="C99" s="3" t="b">
        <v>1</v>
      </c>
      <c r="D99" s="3" t="b">
        <v>1</v>
      </c>
      <c r="E99" s="3" t="s">
        <v>306</v>
      </c>
      <c r="F99" s="3" t="s">
        <v>307</v>
      </c>
      <c r="G99" s="4">
        <f>+251917722361</f>
        <v>251917722361</v>
      </c>
      <c r="H99" s="3" t="s">
        <v>18</v>
      </c>
      <c r="I99" s="3" t="s">
        <v>19</v>
      </c>
      <c r="J99" s="3" t="s">
        <v>19</v>
      </c>
      <c r="K99" s="3" t="s">
        <v>25</v>
      </c>
      <c r="L99" s="3">
        <v>31.41</v>
      </c>
      <c r="M99" s="3" t="s">
        <v>21</v>
      </c>
      <c r="O99" s="3">
        <v>1.10087991525E11</v>
      </c>
    </row>
    <row r="100">
      <c r="A100" s="3">
        <v>2092051.0</v>
      </c>
      <c r="B100" s="3" t="s">
        <v>308</v>
      </c>
      <c r="C100" s="3" t="b">
        <v>1</v>
      </c>
      <c r="D100" s="3" t="b">
        <v>1</v>
      </c>
      <c r="E100" s="3" t="s">
        <v>309</v>
      </c>
      <c r="F100" s="3" t="s">
        <v>55</v>
      </c>
      <c r="G100" s="4">
        <f>+251913362556</f>
        <v>251913362556</v>
      </c>
      <c r="H100" s="3" t="s">
        <v>29</v>
      </c>
      <c r="I100" s="3" t="s">
        <v>19</v>
      </c>
      <c r="J100" s="3" t="s">
        <v>19</v>
      </c>
      <c r="K100" s="3" t="s">
        <v>25</v>
      </c>
      <c r="L100" s="3">
        <v>32.64</v>
      </c>
      <c r="M100" s="3" t="s">
        <v>21</v>
      </c>
      <c r="O100" s="3">
        <v>3.0570974443E10</v>
      </c>
    </row>
    <row r="101">
      <c r="A101" s="3">
        <v>2458214.0</v>
      </c>
      <c r="B101" s="3" t="s">
        <v>310</v>
      </c>
      <c r="C101" s="3" t="b">
        <v>1</v>
      </c>
      <c r="D101" s="3" t="b">
        <v>1</v>
      </c>
      <c r="E101" s="3" t="s">
        <v>311</v>
      </c>
      <c r="F101" s="3" t="s">
        <v>312</v>
      </c>
      <c r="G101" s="4">
        <f>+251979298990</f>
        <v>251979298990</v>
      </c>
      <c r="H101" s="3" t="s">
        <v>18</v>
      </c>
      <c r="I101" s="3" t="s">
        <v>19</v>
      </c>
      <c r="J101" s="3" t="s">
        <v>19</v>
      </c>
      <c r="K101" s="3" t="s">
        <v>20</v>
      </c>
      <c r="L101" s="3">
        <v>27.62</v>
      </c>
      <c r="M101" s="3" t="s">
        <v>21</v>
      </c>
      <c r="O101" s="3">
        <v>1864264.0</v>
      </c>
    </row>
    <row r="102">
      <c r="A102" s="3">
        <v>2458313.0</v>
      </c>
      <c r="B102" s="3" t="s">
        <v>313</v>
      </c>
      <c r="C102" s="3" t="b">
        <v>1</v>
      </c>
      <c r="D102" s="3" t="b">
        <v>1</v>
      </c>
      <c r="E102" s="3" t="s">
        <v>64</v>
      </c>
      <c r="F102" s="3" t="s">
        <v>314</v>
      </c>
      <c r="G102" s="4">
        <f>+251987203894</f>
        <v>251987203894</v>
      </c>
      <c r="H102" s="3" t="s">
        <v>18</v>
      </c>
      <c r="I102" s="3" t="s">
        <v>19</v>
      </c>
      <c r="J102" s="3" t="s">
        <v>19</v>
      </c>
      <c r="K102" s="3" t="s">
        <v>25</v>
      </c>
      <c r="L102" s="3">
        <v>26.99</v>
      </c>
      <c r="M102" s="3" t="s">
        <v>21</v>
      </c>
      <c r="O102" s="3">
        <v>1.10368976077E11</v>
      </c>
    </row>
    <row r="103">
      <c r="A103" s="3">
        <v>2458376.0</v>
      </c>
      <c r="B103" s="3" t="s">
        <v>315</v>
      </c>
      <c r="C103" s="3" t="b">
        <v>1</v>
      </c>
      <c r="D103" s="3" t="b">
        <v>1</v>
      </c>
      <c r="E103" s="3" t="s">
        <v>316</v>
      </c>
      <c r="F103" s="3" t="s">
        <v>317</v>
      </c>
      <c r="G103" s="4">
        <f>+251910585771</f>
        <v>251910585771</v>
      </c>
      <c r="H103" s="3" t="s">
        <v>18</v>
      </c>
      <c r="I103" s="3" t="s">
        <v>19</v>
      </c>
      <c r="J103" s="3" t="s">
        <v>19</v>
      </c>
      <c r="K103" s="3" t="s">
        <v>25</v>
      </c>
      <c r="L103" s="3">
        <v>31.66</v>
      </c>
      <c r="M103" s="3" t="s">
        <v>21</v>
      </c>
      <c r="O103" s="3">
        <v>1.10430357696E11</v>
      </c>
    </row>
    <row r="104">
      <c r="A104" s="3">
        <v>158845.0</v>
      </c>
      <c r="B104" s="3" t="s">
        <v>318</v>
      </c>
      <c r="C104" s="3" t="b">
        <v>1</v>
      </c>
      <c r="D104" s="3" t="b">
        <v>1</v>
      </c>
      <c r="E104" s="3" t="s">
        <v>319</v>
      </c>
      <c r="F104" s="3" t="s">
        <v>320</v>
      </c>
      <c r="G104" s="4">
        <f>+251927682925</f>
        <v>251927682925</v>
      </c>
      <c r="H104" s="3" t="s">
        <v>18</v>
      </c>
      <c r="I104" s="3" t="s">
        <v>19</v>
      </c>
      <c r="J104" s="3" t="s">
        <v>19</v>
      </c>
      <c r="K104" s="3" t="s">
        <v>25</v>
      </c>
      <c r="L104" s="3">
        <v>20.39</v>
      </c>
      <c r="M104" s="3" t="s">
        <v>21</v>
      </c>
      <c r="O104" s="3">
        <v>1.7152951E7</v>
      </c>
    </row>
    <row r="105">
      <c r="A105" s="3">
        <v>2459184.0</v>
      </c>
      <c r="B105" s="3" t="s">
        <v>321</v>
      </c>
      <c r="C105" s="3" t="b">
        <v>1</v>
      </c>
      <c r="D105" s="3" t="b">
        <v>1</v>
      </c>
      <c r="E105" s="3" t="s">
        <v>322</v>
      </c>
      <c r="F105" s="3" t="s">
        <v>179</v>
      </c>
      <c r="G105" s="4">
        <f>+251949228307</f>
        <v>251949228307</v>
      </c>
      <c r="H105" s="3" t="s">
        <v>18</v>
      </c>
      <c r="I105" s="3" t="s">
        <v>19</v>
      </c>
      <c r="J105" s="3" t="s">
        <v>19</v>
      </c>
      <c r="K105" s="3" t="s">
        <v>20</v>
      </c>
      <c r="L105" s="3">
        <v>26.73</v>
      </c>
      <c r="M105" s="3" t="s">
        <v>21</v>
      </c>
      <c r="O105" s="3">
        <v>1.10517087454E11</v>
      </c>
    </row>
    <row r="106">
      <c r="A106" s="3">
        <v>2459143.0</v>
      </c>
      <c r="B106" s="3" t="s">
        <v>323</v>
      </c>
      <c r="C106" s="3" t="b">
        <v>1</v>
      </c>
      <c r="D106" s="3" t="b">
        <v>1</v>
      </c>
      <c r="E106" s="3" t="s">
        <v>324</v>
      </c>
      <c r="F106" s="3" t="s">
        <v>325</v>
      </c>
      <c r="G106" s="4">
        <f>+251913303816</f>
        <v>251913303816</v>
      </c>
      <c r="H106" s="3" t="s">
        <v>18</v>
      </c>
      <c r="I106" s="3" t="s">
        <v>19</v>
      </c>
      <c r="J106" s="3" t="s">
        <v>19</v>
      </c>
      <c r="K106" s="3" t="s">
        <v>25</v>
      </c>
      <c r="L106" s="3">
        <v>34.13</v>
      </c>
      <c r="M106" s="3" t="s">
        <v>21</v>
      </c>
      <c r="O106" s="3">
        <v>1.10549578943E11</v>
      </c>
    </row>
    <row r="107">
      <c r="A107" s="3">
        <v>2460141.0</v>
      </c>
      <c r="B107" s="3" t="s">
        <v>326</v>
      </c>
      <c r="C107" s="3" t="b">
        <v>1</v>
      </c>
      <c r="D107" s="3" t="b">
        <v>1</v>
      </c>
      <c r="E107" s="3" t="s">
        <v>327</v>
      </c>
      <c r="F107" s="3" t="s">
        <v>328</v>
      </c>
      <c r="G107" s="4">
        <f>+251911515296</f>
        <v>251911515296</v>
      </c>
      <c r="H107" s="3" t="s">
        <v>18</v>
      </c>
      <c r="I107" s="3" t="s">
        <v>19</v>
      </c>
      <c r="J107" s="3" t="s">
        <v>19</v>
      </c>
      <c r="K107" s="3" t="s">
        <v>25</v>
      </c>
      <c r="L107" s="3">
        <v>35.16</v>
      </c>
      <c r="M107" s="3" t="s">
        <v>21</v>
      </c>
      <c r="O107" s="3">
        <v>1.10975043772E11</v>
      </c>
    </row>
    <row r="108">
      <c r="A108" s="3">
        <v>2460233.0</v>
      </c>
      <c r="B108" s="3" t="s">
        <v>329</v>
      </c>
      <c r="C108" s="3" t="b">
        <v>1</v>
      </c>
      <c r="D108" s="3" t="b">
        <v>1</v>
      </c>
      <c r="E108" s="3" t="s">
        <v>330</v>
      </c>
      <c r="F108" s="3" t="s">
        <v>331</v>
      </c>
      <c r="G108" s="4">
        <f>+251914821449</f>
        <v>251914821449</v>
      </c>
      <c r="H108" s="3" t="s">
        <v>18</v>
      </c>
      <c r="I108" s="3" t="s">
        <v>19</v>
      </c>
      <c r="J108" s="3" t="s">
        <v>19</v>
      </c>
      <c r="K108" s="3" t="s">
        <v>25</v>
      </c>
      <c r="L108" s="3">
        <v>32.66</v>
      </c>
      <c r="M108" s="3" t="s">
        <v>21</v>
      </c>
      <c r="O108" s="3">
        <v>6171978.0</v>
      </c>
    </row>
    <row r="109">
      <c r="A109" s="3">
        <v>361755.0</v>
      </c>
      <c r="B109" s="3" t="s">
        <v>332</v>
      </c>
      <c r="C109" s="3" t="b">
        <v>1</v>
      </c>
      <c r="D109" s="3" t="b">
        <v>1</v>
      </c>
      <c r="E109" s="3" t="s">
        <v>137</v>
      </c>
      <c r="F109" s="3" t="s">
        <v>333</v>
      </c>
      <c r="G109" s="4">
        <f>+251938117260</f>
        <v>251938117260</v>
      </c>
      <c r="H109" s="3" t="s">
        <v>18</v>
      </c>
      <c r="I109" s="3" t="s">
        <v>19</v>
      </c>
      <c r="J109" s="3" t="s">
        <v>19</v>
      </c>
      <c r="K109" s="3" t="s">
        <v>25</v>
      </c>
      <c r="L109" s="3">
        <v>27.18</v>
      </c>
      <c r="M109" s="3" t="s">
        <v>21</v>
      </c>
      <c r="O109" s="3">
        <v>1860496.0</v>
      </c>
    </row>
    <row r="110">
      <c r="A110" s="3">
        <v>2460409.0</v>
      </c>
      <c r="B110" s="3" t="s">
        <v>334</v>
      </c>
      <c r="C110" s="3" t="b">
        <v>1</v>
      </c>
      <c r="D110" s="3" t="b">
        <v>1</v>
      </c>
      <c r="E110" s="3" t="s">
        <v>335</v>
      </c>
      <c r="F110" s="3" t="s">
        <v>336</v>
      </c>
      <c r="G110" s="4">
        <f>+251929097325</f>
        <v>251929097325</v>
      </c>
      <c r="H110" s="3" t="s">
        <v>18</v>
      </c>
      <c r="I110" s="3" t="s">
        <v>19</v>
      </c>
      <c r="J110" s="3" t="s">
        <v>19</v>
      </c>
      <c r="K110" s="3" t="s">
        <v>25</v>
      </c>
      <c r="L110" s="3">
        <v>24.49</v>
      </c>
      <c r="M110" s="3" t="s">
        <v>21</v>
      </c>
      <c r="O110" s="3">
        <v>1.11018127575E11</v>
      </c>
    </row>
    <row r="111">
      <c r="A111" s="3">
        <v>338756.0</v>
      </c>
      <c r="B111" s="3" t="s">
        <v>337</v>
      </c>
      <c r="C111" s="3" t="b">
        <v>1</v>
      </c>
      <c r="D111" s="3" t="b">
        <v>1</v>
      </c>
      <c r="E111" s="3" t="s">
        <v>338</v>
      </c>
      <c r="F111" s="3" t="s">
        <v>339</v>
      </c>
      <c r="G111" s="4">
        <f>+251994129740</f>
        <v>251994129740</v>
      </c>
      <c r="H111" s="3" t="s">
        <v>18</v>
      </c>
      <c r="I111" s="3" t="s">
        <v>19</v>
      </c>
      <c r="J111" s="3" t="s">
        <v>19</v>
      </c>
      <c r="K111" s="3" t="s">
        <v>25</v>
      </c>
      <c r="L111" s="3">
        <v>20.22</v>
      </c>
      <c r="M111" s="3" t="s">
        <v>21</v>
      </c>
      <c r="O111" s="3">
        <v>1.5764901E7</v>
      </c>
    </row>
    <row r="112">
      <c r="A112" s="3">
        <v>2460644.0</v>
      </c>
      <c r="B112" s="3" t="s">
        <v>340</v>
      </c>
      <c r="C112" s="3" t="b">
        <v>1</v>
      </c>
      <c r="D112" s="3" t="b">
        <v>1</v>
      </c>
      <c r="E112" s="3" t="s">
        <v>341</v>
      </c>
      <c r="F112" s="3" t="s">
        <v>342</v>
      </c>
      <c r="G112" s="4">
        <f>+251906283518</f>
        <v>251906283518</v>
      </c>
      <c r="H112" s="3" t="s">
        <v>29</v>
      </c>
      <c r="I112" s="3" t="s">
        <v>19</v>
      </c>
      <c r="J112" s="3" t="s">
        <v>19</v>
      </c>
      <c r="K112" s="3" t="s">
        <v>25</v>
      </c>
      <c r="L112" s="3">
        <v>32.49</v>
      </c>
      <c r="M112" s="3" t="s">
        <v>21</v>
      </c>
      <c r="O112" s="3">
        <v>8836922.0</v>
      </c>
    </row>
    <row r="113">
      <c r="A113" s="3">
        <v>2162128.0</v>
      </c>
      <c r="B113" s="3" t="s">
        <v>343</v>
      </c>
      <c r="C113" s="3" t="b">
        <v>1</v>
      </c>
      <c r="D113" s="3" t="b">
        <v>1</v>
      </c>
      <c r="E113" s="3" t="s">
        <v>344</v>
      </c>
      <c r="F113" s="3" t="s">
        <v>345</v>
      </c>
      <c r="G113" s="4">
        <f>+251982964398</f>
        <v>251982964398</v>
      </c>
      <c r="H113" s="3" t="s">
        <v>346</v>
      </c>
      <c r="I113" s="3" t="s">
        <v>19</v>
      </c>
      <c r="J113" s="3" t="s">
        <v>19</v>
      </c>
      <c r="K113" s="3" t="s">
        <v>20</v>
      </c>
      <c r="L113" s="3">
        <v>19.11</v>
      </c>
      <c r="M113" s="3" t="s">
        <v>21</v>
      </c>
      <c r="O113" s="3">
        <v>3.2267711197E10</v>
      </c>
    </row>
    <row r="114">
      <c r="A114" s="3">
        <v>2462881.0</v>
      </c>
      <c r="B114" s="3" t="s">
        <v>347</v>
      </c>
      <c r="C114" s="3" t="b">
        <v>1</v>
      </c>
      <c r="D114" s="3" t="b">
        <v>1</v>
      </c>
      <c r="E114" s="3" t="s">
        <v>267</v>
      </c>
      <c r="F114" s="3" t="s">
        <v>348</v>
      </c>
      <c r="G114" s="4">
        <f>+251939778240</f>
        <v>251939778240</v>
      </c>
      <c r="H114" s="3" t="s">
        <v>18</v>
      </c>
      <c r="I114" s="3" t="s">
        <v>19</v>
      </c>
      <c r="J114" s="3" t="s">
        <v>19</v>
      </c>
      <c r="K114" s="3" t="s">
        <v>25</v>
      </c>
      <c r="L114" s="3">
        <v>25.56</v>
      </c>
      <c r="M114" s="3" t="s">
        <v>21</v>
      </c>
      <c r="O114" s="3">
        <v>1.1172700593E11</v>
      </c>
    </row>
    <row r="115">
      <c r="A115" s="3">
        <v>2455020.0</v>
      </c>
      <c r="B115" s="3" t="s">
        <v>349</v>
      </c>
      <c r="C115" s="3" t="b">
        <v>1</v>
      </c>
      <c r="D115" s="3" t="b">
        <v>1</v>
      </c>
      <c r="E115" s="3" t="s">
        <v>350</v>
      </c>
      <c r="F115" s="3" t="s">
        <v>351</v>
      </c>
      <c r="G115" s="3">
        <v>2.51921245984E11</v>
      </c>
      <c r="H115" s="3" t="s">
        <v>18</v>
      </c>
      <c r="I115" s="3" t="s">
        <v>19</v>
      </c>
      <c r="J115" s="3" t="s">
        <v>19</v>
      </c>
      <c r="K115" s="3" t="s">
        <v>20</v>
      </c>
      <c r="L115" s="3">
        <v>28.79</v>
      </c>
      <c r="M115" s="3" t="s">
        <v>21</v>
      </c>
      <c r="O115" s="3">
        <v>1.09637395667E11</v>
      </c>
    </row>
    <row r="116">
      <c r="A116" s="3">
        <v>2129955.0</v>
      </c>
      <c r="B116" s="3" t="s">
        <v>352</v>
      </c>
      <c r="C116" s="3" t="b">
        <v>1</v>
      </c>
      <c r="D116" s="3" t="b">
        <v>1</v>
      </c>
      <c r="E116" s="3" t="s">
        <v>353</v>
      </c>
      <c r="F116" s="3" t="s">
        <v>354</v>
      </c>
      <c r="G116" s="4">
        <f>+251985194185</f>
        <v>251985194185</v>
      </c>
      <c r="H116" s="3" t="s">
        <v>18</v>
      </c>
      <c r="I116" s="3" t="s">
        <v>19</v>
      </c>
      <c r="J116" s="3" t="s">
        <v>19</v>
      </c>
      <c r="K116" s="3" t="s">
        <v>25</v>
      </c>
      <c r="L116" s="3">
        <v>23.79</v>
      </c>
      <c r="M116" s="3" t="s">
        <v>21</v>
      </c>
      <c r="O116" s="3">
        <v>3.1553555394E10</v>
      </c>
    </row>
    <row r="117">
      <c r="A117" s="3">
        <v>462870.0</v>
      </c>
      <c r="B117" s="3" t="s">
        <v>355</v>
      </c>
      <c r="C117" s="3" t="b">
        <v>1</v>
      </c>
      <c r="D117" s="3" t="b">
        <v>1</v>
      </c>
      <c r="E117" s="3" t="s">
        <v>356</v>
      </c>
      <c r="F117" s="3" t="s">
        <v>357</v>
      </c>
      <c r="G117" s="4">
        <f>+251925768776</f>
        <v>251925768776</v>
      </c>
      <c r="H117" s="3" t="s">
        <v>18</v>
      </c>
      <c r="I117" s="3" t="s">
        <v>19</v>
      </c>
      <c r="J117" s="3" t="s">
        <v>19</v>
      </c>
      <c r="K117" s="3" t="s">
        <v>25</v>
      </c>
      <c r="L117" s="3">
        <v>28.84</v>
      </c>
      <c r="M117" s="3" t="s">
        <v>21</v>
      </c>
      <c r="O117" s="3">
        <v>1.0312371E7</v>
      </c>
    </row>
    <row r="118">
      <c r="A118" s="3">
        <v>2415481.0</v>
      </c>
      <c r="B118" s="3" t="s">
        <v>358</v>
      </c>
      <c r="C118" s="3" t="b">
        <v>1</v>
      </c>
      <c r="D118" s="3" t="b">
        <v>1</v>
      </c>
      <c r="E118" s="3" t="s">
        <v>359</v>
      </c>
      <c r="F118" s="3" t="s">
        <v>360</v>
      </c>
      <c r="G118" s="4">
        <f>+251923204661</f>
        <v>251923204661</v>
      </c>
      <c r="H118" s="3" t="s">
        <v>18</v>
      </c>
      <c r="I118" s="3" t="s">
        <v>19</v>
      </c>
      <c r="J118" s="3" t="s">
        <v>19</v>
      </c>
      <c r="K118" s="3" t="s">
        <v>20</v>
      </c>
      <c r="L118" s="3">
        <v>23.23</v>
      </c>
      <c r="M118" s="3" t="s">
        <v>21</v>
      </c>
      <c r="O118" s="3">
        <v>8.4596582601E10</v>
      </c>
    </row>
    <row r="119">
      <c r="A119" s="3">
        <v>2463723.0</v>
      </c>
      <c r="B119" s="3" t="s">
        <v>361</v>
      </c>
      <c r="C119" s="3" t="b">
        <v>1</v>
      </c>
      <c r="D119" s="3" t="b">
        <v>1</v>
      </c>
      <c r="E119" s="3" t="s">
        <v>362</v>
      </c>
      <c r="F119" s="3" t="s">
        <v>325</v>
      </c>
      <c r="G119" s="4">
        <f>+251906625755</f>
        <v>251906625755</v>
      </c>
      <c r="H119" s="3" t="s">
        <v>18</v>
      </c>
      <c r="I119" s="3" t="s">
        <v>19</v>
      </c>
      <c r="J119" s="3" t="s">
        <v>19</v>
      </c>
      <c r="K119" s="3" t="s">
        <v>25</v>
      </c>
      <c r="L119" s="3">
        <v>22.9</v>
      </c>
      <c r="M119" s="3" t="s">
        <v>21</v>
      </c>
      <c r="O119" s="3">
        <v>1181660.0</v>
      </c>
    </row>
    <row r="120">
      <c r="A120" s="3">
        <v>2464552.0</v>
      </c>
      <c r="B120" s="3" t="s">
        <v>363</v>
      </c>
      <c r="C120" s="3" t="b">
        <v>1</v>
      </c>
      <c r="D120" s="3" t="b">
        <v>1</v>
      </c>
      <c r="E120" s="3" t="s">
        <v>364</v>
      </c>
      <c r="F120" s="3" t="s">
        <v>365</v>
      </c>
      <c r="G120" s="4">
        <f>+251929049680</f>
        <v>251929049680</v>
      </c>
      <c r="H120" s="3" t="s">
        <v>18</v>
      </c>
      <c r="I120" s="3" t="s">
        <v>19</v>
      </c>
      <c r="J120" s="3" t="s">
        <v>19</v>
      </c>
      <c r="K120" s="3" t="s">
        <v>20</v>
      </c>
      <c r="L120" s="3">
        <v>25.49</v>
      </c>
      <c r="M120" s="3" t="s">
        <v>21</v>
      </c>
      <c r="O120" s="3">
        <v>1.1204253819E11</v>
      </c>
    </row>
    <row r="121">
      <c r="A121" s="3">
        <v>2464949.0</v>
      </c>
      <c r="B121" s="3" t="s">
        <v>366</v>
      </c>
      <c r="C121" s="3" t="b">
        <v>1</v>
      </c>
      <c r="D121" s="3" t="b">
        <v>1</v>
      </c>
      <c r="E121" s="3" t="s">
        <v>104</v>
      </c>
      <c r="F121" s="3" t="s">
        <v>105</v>
      </c>
      <c r="G121" s="4">
        <f>+251900522043</f>
        <v>251900522043</v>
      </c>
      <c r="H121" s="3" t="s">
        <v>18</v>
      </c>
      <c r="I121" s="3" t="s">
        <v>19</v>
      </c>
      <c r="J121" s="3" t="s">
        <v>19</v>
      </c>
      <c r="K121" s="3" t="s">
        <v>25</v>
      </c>
      <c r="L121" s="3">
        <v>20.72</v>
      </c>
      <c r="M121" s="3" t="s">
        <v>21</v>
      </c>
      <c r="O121" s="3">
        <v>1.12065729758E11</v>
      </c>
    </row>
    <row r="122">
      <c r="A122" s="3">
        <v>2465472.0</v>
      </c>
      <c r="B122" s="3" t="s">
        <v>367</v>
      </c>
      <c r="C122" s="3" t="b">
        <v>1</v>
      </c>
      <c r="D122" s="3" t="b">
        <v>1</v>
      </c>
      <c r="E122" s="3" t="s">
        <v>368</v>
      </c>
      <c r="F122" s="3" t="s">
        <v>170</v>
      </c>
      <c r="G122" s="4">
        <f>+251970738088</f>
        <v>251970738088</v>
      </c>
      <c r="H122" s="3" t="s">
        <v>18</v>
      </c>
      <c r="I122" s="3" t="s">
        <v>19</v>
      </c>
      <c r="J122" s="3" t="s">
        <v>19</v>
      </c>
      <c r="K122" s="3" t="s">
        <v>25</v>
      </c>
      <c r="L122" s="3">
        <v>27.23</v>
      </c>
      <c r="M122" s="3" t="s">
        <v>21</v>
      </c>
      <c r="O122" s="3">
        <v>1.12220469492E11</v>
      </c>
    </row>
    <row r="123">
      <c r="A123" s="3">
        <v>279314.0</v>
      </c>
      <c r="B123" s="3" t="s">
        <v>369</v>
      </c>
      <c r="C123" s="3" t="b">
        <v>1</v>
      </c>
      <c r="D123" s="3" t="b">
        <v>1</v>
      </c>
      <c r="E123" s="3" t="s">
        <v>370</v>
      </c>
      <c r="F123" s="3" t="s">
        <v>371</v>
      </c>
      <c r="G123" s="4">
        <f>+251911330784</f>
        <v>251911330784</v>
      </c>
      <c r="H123" s="3" t="s">
        <v>18</v>
      </c>
      <c r="I123" s="3" t="s">
        <v>19</v>
      </c>
      <c r="J123" s="3" t="s">
        <v>19</v>
      </c>
      <c r="K123" s="3" t="s">
        <v>25</v>
      </c>
      <c r="L123" s="3">
        <v>32.16</v>
      </c>
      <c r="M123" s="3" t="s">
        <v>21</v>
      </c>
      <c r="O123" s="3">
        <v>779751.0</v>
      </c>
    </row>
    <row r="124">
      <c r="A124" s="3">
        <v>2465702.0</v>
      </c>
      <c r="B124" s="3" t="s">
        <v>372</v>
      </c>
      <c r="C124" s="3" t="b">
        <v>1</v>
      </c>
      <c r="D124" s="3" t="b">
        <v>1</v>
      </c>
      <c r="E124" s="3" t="s">
        <v>373</v>
      </c>
      <c r="F124" s="3" t="s">
        <v>374</v>
      </c>
      <c r="G124" s="4">
        <f>+251931050023</f>
        <v>251931050023</v>
      </c>
      <c r="H124" s="3" t="s">
        <v>18</v>
      </c>
      <c r="I124" s="3" t="s">
        <v>19</v>
      </c>
      <c r="J124" s="3" t="s">
        <v>19</v>
      </c>
      <c r="K124" s="3" t="s">
        <v>20</v>
      </c>
      <c r="L124" s="3">
        <v>22.14</v>
      </c>
      <c r="M124" s="3" t="s">
        <v>21</v>
      </c>
      <c r="O124" s="3">
        <v>1.12290672866E11</v>
      </c>
    </row>
    <row r="125">
      <c r="A125" s="3">
        <v>2465140.0</v>
      </c>
      <c r="B125" s="3" t="s">
        <v>375</v>
      </c>
      <c r="C125" s="3" t="b">
        <v>1</v>
      </c>
      <c r="D125" s="3" t="b">
        <v>1</v>
      </c>
      <c r="E125" s="3" t="s">
        <v>376</v>
      </c>
      <c r="F125" s="3" t="s">
        <v>35</v>
      </c>
      <c r="G125" s="4">
        <f>+251902894251</f>
        <v>251902894251</v>
      </c>
      <c r="H125" s="3" t="s">
        <v>83</v>
      </c>
      <c r="I125" s="3" t="s">
        <v>19</v>
      </c>
      <c r="J125" s="3" t="s">
        <v>19</v>
      </c>
      <c r="K125" s="3" t="s">
        <v>25</v>
      </c>
      <c r="L125" s="3">
        <v>18.93</v>
      </c>
      <c r="M125" s="3" t="s">
        <v>21</v>
      </c>
    </row>
    <row r="126">
      <c r="A126" s="3">
        <v>2467384.0</v>
      </c>
      <c r="B126" s="3" t="s">
        <v>377</v>
      </c>
      <c r="C126" s="3" t="b">
        <v>1</v>
      </c>
      <c r="D126" s="3" t="b">
        <v>1</v>
      </c>
      <c r="E126" s="3" t="s">
        <v>378</v>
      </c>
      <c r="F126" s="3" t="s">
        <v>379</v>
      </c>
      <c r="G126" s="4">
        <f>+251922868373</f>
        <v>251922868373</v>
      </c>
      <c r="H126" s="3" t="s">
        <v>18</v>
      </c>
      <c r="I126" s="3" t="s">
        <v>19</v>
      </c>
      <c r="J126" s="3" t="s">
        <v>19</v>
      </c>
      <c r="K126" s="3" t="s">
        <v>25</v>
      </c>
      <c r="L126" s="3">
        <v>27.62</v>
      </c>
      <c r="M126" s="3" t="s">
        <v>21</v>
      </c>
      <c r="O126" s="3">
        <v>1.12855989497E11</v>
      </c>
    </row>
    <row r="127">
      <c r="A127" s="3">
        <v>2468413.0</v>
      </c>
      <c r="B127" s="3" t="s">
        <v>380</v>
      </c>
      <c r="C127" s="3" t="b">
        <v>1</v>
      </c>
      <c r="D127" s="3" t="b">
        <v>1</v>
      </c>
      <c r="E127" s="3" t="s">
        <v>264</v>
      </c>
      <c r="F127" s="3" t="s">
        <v>381</v>
      </c>
      <c r="G127" s="4">
        <f>+251935296398</f>
        <v>251935296398</v>
      </c>
      <c r="H127" s="3" t="s">
        <v>18</v>
      </c>
      <c r="I127" s="3" t="s">
        <v>19</v>
      </c>
      <c r="J127" s="3" t="s">
        <v>19</v>
      </c>
      <c r="K127" s="3" t="s">
        <v>25</v>
      </c>
      <c r="L127" s="3">
        <v>19.88</v>
      </c>
      <c r="M127" s="3" t="s">
        <v>21</v>
      </c>
      <c r="O127" s="3">
        <v>1.13092807907E11</v>
      </c>
    </row>
    <row r="128">
      <c r="A128" s="3">
        <v>2468916.0</v>
      </c>
      <c r="B128" s="3" t="s">
        <v>382</v>
      </c>
      <c r="C128" s="3" t="b">
        <v>1</v>
      </c>
      <c r="D128" s="3" t="b">
        <v>1</v>
      </c>
      <c r="E128" s="3" t="s">
        <v>383</v>
      </c>
      <c r="F128" s="3" t="s">
        <v>384</v>
      </c>
      <c r="G128" s="4">
        <f>+251966905361</f>
        <v>251966905361</v>
      </c>
      <c r="H128" s="3" t="s">
        <v>18</v>
      </c>
      <c r="I128" s="3" t="s">
        <v>19</v>
      </c>
      <c r="J128" s="3" t="s">
        <v>19</v>
      </c>
      <c r="K128" s="3" t="s">
        <v>25</v>
      </c>
      <c r="L128" s="3">
        <v>20.51</v>
      </c>
      <c r="M128" s="3" t="s">
        <v>21</v>
      </c>
      <c r="O128" s="3">
        <v>1.13273457873E11</v>
      </c>
    </row>
    <row r="129">
      <c r="A129" s="3">
        <v>2468975.0</v>
      </c>
      <c r="B129" s="3" t="s">
        <v>385</v>
      </c>
      <c r="C129" s="3" t="b">
        <v>1</v>
      </c>
      <c r="D129" s="3" t="b">
        <v>1</v>
      </c>
      <c r="E129" s="3" t="s">
        <v>386</v>
      </c>
      <c r="F129" s="3" t="s">
        <v>387</v>
      </c>
      <c r="G129" s="4">
        <f>+251922587187</f>
        <v>251922587187</v>
      </c>
      <c r="H129" s="3" t="s">
        <v>18</v>
      </c>
      <c r="I129" s="3" t="s">
        <v>19</v>
      </c>
      <c r="J129" s="3" t="s">
        <v>19</v>
      </c>
      <c r="K129" s="3" t="s">
        <v>25</v>
      </c>
      <c r="L129" s="3">
        <v>28.28</v>
      </c>
      <c r="M129" s="3" t="s">
        <v>21</v>
      </c>
      <c r="O129" s="3">
        <v>1.13339048136E11</v>
      </c>
    </row>
    <row r="130">
      <c r="A130" s="3">
        <v>2470575.0</v>
      </c>
      <c r="B130" s="3" t="s">
        <v>388</v>
      </c>
      <c r="C130" s="3" t="b">
        <v>1</v>
      </c>
      <c r="D130" s="3" t="b">
        <v>1</v>
      </c>
      <c r="E130" s="3" t="s">
        <v>389</v>
      </c>
      <c r="F130" s="3" t="s">
        <v>193</v>
      </c>
      <c r="G130" s="4">
        <f>+251910310455</f>
        <v>251910310455</v>
      </c>
      <c r="H130" s="3" t="s">
        <v>289</v>
      </c>
      <c r="I130" s="3" t="s">
        <v>19</v>
      </c>
      <c r="J130" s="3" t="s">
        <v>19</v>
      </c>
      <c r="K130" s="3" t="s">
        <v>25</v>
      </c>
      <c r="L130" s="3">
        <v>23.13</v>
      </c>
      <c r="M130" s="3" t="s">
        <v>21</v>
      </c>
      <c r="O130" s="3">
        <v>1.07207126203E11</v>
      </c>
    </row>
    <row r="131">
      <c r="A131" s="3">
        <v>2471073.0</v>
      </c>
      <c r="B131" s="3" t="s">
        <v>390</v>
      </c>
      <c r="C131" s="3" t="b">
        <v>1</v>
      </c>
      <c r="D131" s="3" t="b">
        <v>1</v>
      </c>
      <c r="E131" s="3" t="s">
        <v>391</v>
      </c>
      <c r="F131" s="3" t="s">
        <v>392</v>
      </c>
      <c r="G131" s="4">
        <f>+251982945042</f>
        <v>251982945042</v>
      </c>
      <c r="H131" s="3" t="s">
        <v>18</v>
      </c>
      <c r="I131" s="3" t="s">
        <v>19</v>
      </c>
      <c r="J131" s="3" t="s">
        <v>19</v>
      </c>
      <c r="K131" s="3" t="s">
        <v>25</v>
      </c>
      <c r="L131" s="3">
        <v>24.94</v>
      </c>
      <c r="M131" s="3" t="s">
        <v>21</v>
      </c>
      <c r="O131" s="3">
        <v>1.14129021145E11</v>
      </c>
    </row>
    <row r="132">
      <c r="A132" s="3">
        <v>510629.0</v>
      </c>
      <c r="B132" s="3" t="s">
        <v>393</v>
      </c>
      <c r="C132" s="3" t="b">
        <v>1</v>
      </c>
      <c r="D132" s="3" t="b">
        <v>1</v>
      </c>
      <c r="E132" s="3" t="s">
        <v>394</v>
      </c>
      <c r="F132" s="3" t="s">
        <v>395</v>
      </c>
      <c r="G132" s="4">
        <f>+251966767168</f>
        <v>251966767168</v>
      </c>
      <c r="H132" s="3" t="s">
        <v>18</v>
      </c>
      <c r="I132" s="3" t="s">
        <v>19</v>
      </c>
      <c r="J132" s="3" t="s">
        <v>19</v>
      </c>
      <c r="K132" s="3" t="s">
        <v>25</v>
      </c>
      <c r="L132" s="3">
        <v>22.5</v>
      </c>
      <c r="M132" s="3" t="s">
        <v>21</v>
      </c>
      <c r="O132" s="3">
        <v>1.4233783227E10</v>
      </c>
    </row>
    <row r="133">
      <c r="A133" s="3">
        <v>2471790.0</v>
      </c>
      <c r="B133" s="3" t="s">
        <v>396</v>
      </c>
      <c r="C133" s="3" t="b">
        <v>1</v>
      </c>
      <c r="D133" s="3" t="b">
        <v>1</v>
      </c>
      <c r="E133" s="3" t="s">
        <v>397</v>
      </c>
      <c r="F133" s="3" t="s">
        <v>398</v>
      </c>
      <c r="G133" s="4">
        <f>+251970432041</f>
        <v>251970432041</v>
      </c>
      <c r="H133" s="3" t="s">
        <v>18</v>
      </c>
      <c r="I133" s="3" t="s">
        <v>19</v>
      </c>
      <c r="J133" s="3" t="s">
        <v>19</v>
      </c>
      <c r="K133" s="3" t="s">
        <v>20</v>
      </c>
      <c r="L133" s="3">
        <v>19.1</v>
      </c>
      <c r="M133" s="3" t="s">
        <v>21</v>
      </c>
      <c r="O133" s="3">
        <v>1.09357760728E11</v>
      </c>
    </row>
    <row r="134">
      <c r="A134" s="3">
        <v>2471759.0</v>
      </c>
      <c r="B134" s="3" t="s">
        <v>399</v>
      </c>
      <c r="C134" s="3" t="b">
        <v>1</v>
      </c>
      <c r="D134" s="3" t="b">
        <v>1</v>
      </c>
      <c r="E134" s="3" t="s">
        <v>400</v>
      </c>
      <c r="F134" s="3" t="s">
        <v>401</v>
      </c>
      <c r="G134" s="4">
        <f>+251915177388</f>
        <v>251915177388</v>
      </c>
      <c r="H134" s="3" t="s">
        <v>289</v>
      </c>
      <c r="I134" s="3" t="s">
        <v>19</v>
      </c>
      <c r="J134" s="3" t="s">
        <v>19</v>
      </c>
      <c r="K134" s="3" t="s">
        <v>25</v>
      </c>
      <c r="L134" s="3">
        <v>23.39</v>
      </c>
      <c r="M134" s="3" t="s">
        <v>21</v>
      </c>
      <c r="O134" s="3">
        <v>1.05350824133E11</v>
      </c>
    </row>
    <row r="135">
      <c r="A135" s="3">
        <v>2392342.0</v>
      </c>
      <c r="B135" s="3" t="s">
        <v>402</v>
      </c>
      <c r="C135" s="3" t="b">
        <v>1</v>
      </c>
      <c r="D135" s="3" t="b">
        <v>1</v>
      </c>
      <c r="E135" s="3" t="s">
        <v>403</v>
      </c>
      <c r="F135" s="3" t="s">
        <v>404</v>
      </c>
      <c r="G135" s="4">
        <f>+251713239489</f>
        <v>251713239489</v>
      </c>
      <c r="H135" s="3" t="s">
        <v>18</v>
      </c>
      <c r="I135" s="3" t="s">
        <v>19</v>
      </c>
      <c r="J135" s="3" t="s">
        <v>19</v>
      </c>
      <c r="K135" s="3" t="s">
        <v>20</v>
      </c>
      <c r="L135" s="3">
        <v>19.34</v>
      </c>
      <c r="M135" s="3" t="s">
        <v>21</v>
      </c>
      <c r="O135" s="3">
        <v>4.2559813578E10</v>
      </c>
    </row>
    <row r="136">
      <c r="A136" s="3">
        <v>2472624.0</v>
      </c>
      <c r="B136" s="3" t="s">
        <v>405</v>
      </c>
      <c r="C136" s="3" t="b">
        <v>1</v>
      </c>
      <c r="D136" s="3" t="b">
        <v>1</v>
      </c>
      <c r="E136" s="3" t="s">
        <v>85</v>
      </c>
      <c r="F136" s="3" t="s">
        <v>406</v>
      </c>
      <c r="G136" s="4">
        <f>+251948283891</f>
        <v>251948283891</v>
      </c>
      <c r="H136" s="3" t="s">
        <v>29</v>
      </c>
      <c r="I136" s="3" t="s">
        <v>19</v>
      </c>
      <c r="J136" s="3" t="s">
        <v>19</v>
      </c>
      <c r="K136" s="3" t="s">
        <v>25</v>
      </c>
      <c r="L136" s="3">
        <v>20.57</v>
      </c>
      <c r="M136" s="3" t="s">
        <v>21</v>
      </c>
      <c r="O136" s="3">
        <v>1.14623778041E11</v>
      </c>
    </row>
    <row r="137">
      <c r="A137" s="3">
        <v>2472816.0</v>
      </c>
      <c r="B137" s="3" t="s">
        <v>407</v>
      </c>
      <c r="C137" s="3" t="b">
        <v>1</v>
      </c>
      <c r="D137" s="3" t="b">
        <v>1</v>
      </c>
      <c r="E137" s="3" t="s">
        <v>408</v>
      </c>
      <c r="F137" s="3" t="s">
        <v>409</v>
      </c>
      <c r="G137" s="4">
        <f>+251927174463</f>
        <v>251927174463</v>
      </c>
      <c r="H137" s="3" t="s">
        <v>18</v>
      </c>
      <c r="I137" s="3" t="s">
        <v>19</v>
      </c>
      <c r="J137" s="3" t="s">
        <v>19</v>
      </c>
      <c r="K137" s="3" t="s">
        <v>20</v>
      </c>
      <c r="L137" s="3">
        <v>26.26</v>
      </c>
      <c r="M137" s="3" t="s">
        <v>21</v>
      </c>
      <c r="O137" s="3">
        <v>8837972.0</v>
      </c>
    </row>
    <row r="138">
      <c r="A138" s="3">
        <v>2473290.0</v>
      </c>
      <c r="B138" s="3" t="s">
        <v>410</v>
      </c>
      <c r="C138" s="3" t="b">
        <v>1</v>
      </c>
      <c r="D138" s="3" t="b">
        <v>1</v>
      </c>
      <c r="E138" s="3" t="s">
        <v>411</v>
      </c>
      <c r="F138" s="3" t="s">
        <v>412</v>
      </c>
      <c r="G138" s="4">
        <f>+251901515757</f>
        <v>251901515757</v>
      </c>
      <c r="H138" s="3" t="s">
        <v>18</v>
      </c>
      <c r="I138" s="3" t="s">
        <v>19</v>
      </c>
      <c r="J138" s="3" t="s">
        <v>19</v>
      </c>
      <c r="K138" s="3" t="s">
        <v>20</v>
      </c>
      <c r="L138" s="3">
        <v>22.98</v>
      </c>
      <c r="M138" s="3" t="s">
        <v>21</v>
      </c>
      <c r="O138" s="3">
        <v>1.15028393148E11</v>
      </c>
    </row>
    <row r="139">
      <c r="A139" s="3">
        <v>2473340.0</v>
      </c>
      <c r="B139" s="3" t="s">
        <v>413</v>
      </c>
      <c r="C139" s="3" t="b">
        <v>1</v>
      </c>
      <c r="D139" s="3" t="b">
        <v>1</v>
      </c>
      <c r="E139" s="3" t="s">
        <v>414</v>
      </c>
      <c r="F139" s="3" t="s">
        <v>415</v>
      </c>
      <c r="G139" s="4">
        <f>+251947474893</f>
        <v>251947474893</v>
      </c>
      <c r="H139" s="3" t="s">
        <v>18</v>
      </c>
      <c r="I139" s="3" t="s">
        <v>19</v>
      </c>
      <c r="J139" s="3" t="s">
        <v>19</v>
      </c>
      <c r="K139" s="3" t="s">
        <v>25</v>
      </c>
      <c r="L139" s="3">
        <v>20.13</v>
      </c>
      <c r="M139" s="3" t="s">
        <v>21</v>
      </c>
      <c r="O139" s="3">
        <v>1.15114600638E11</v>
      </c>
    </row>
    <row r="140">
      <c r="A140" s="3">
        <v>1847996.0</v>
      </c>
      <c r="B140" s="3" t="s">
        <v>416</v>
      </c>
      <c r="C140" s="3" t="b">
        <v>1</v>
      </c>
      <c r="D140" s="3" t="b">
        <v>1</v>
      </c>
      <c r="E140" s="3" t="s">
        <v>417</v>
      </c>
      <c r="F140" s="3" t="s">
        <v>418</v>
      </c>
      <c r="G140" s="4">
        <f>+251925776814</f>
        <v>251925776814</v>
      </c>
      <c r="H140" s="3" t="s">
        <v>18</v>
      </c>
      <c r="I140" s="3" t="s">
        <v>19</v>
      </c>
      <c r="J140" s="3" t="s">
        <v>19</v>
      </c>
      <c r="K140" s="3" t="s">
        <v>25</v>
      </c>
      <c r="L140" s="3">
        <v>19.8</v>
      </c>
      <c r="M140" s="3" t="s">
        <v>21</v>
      </c>
      <c r="O140" s="3">
        <v>2.5312324857E10</v>
      </c>
    </row>
    <row r="141">
      <c r="A141" s="3">
        <v>2473397.0</v>
      </c>
      <c r="B141" s="3" t="s">
        <v>419</v>
      </c>
      <c r="C141" s="3" t="b">
        <v>1</v>
      </c>
      <c r="D141" s="3" t="b">
        <v>1</v>
      </c>
      <c r="E141" s="3" t="s">
        <v>420</v>
      </c>
      <c r="F141" s="3" t="s">
        <v>109</v>
      </c>
      <c r="G141" s="4">
        <f>+251903548023</f>
        <v>251903548023</v>
      </c>
      <c r="H141" s="3" t="s">
        <v>18</v>
      </c>
      <c r="I141" s="3" t="s">
        <v>19</v>
      </c>
      <c r="J141" s="3" t="s">
        <v>19</v>
      </c>
      <c r="K141" s="3" t="s">
        <v>25</v>
      </c>
      <c r="L141" s="3">
        <v>18.8</v>
      </c>
      <c r="M141" s="3" t="s">
        <v>21</v>
      </c>
      <c r="O141" s="3">
        <v>1.15081615547E11</v>
      </c>
    </row>
    <row r="142">
      <c r="A142" s="3">
        <v>2473396.0</v>
      </c>
      <c r="B142" s="3" t="s">
        <v>421</v>
      </c>
      <c r="C142" s="3" t="b">
        <v>1</v>
      </c>
      <c r="D142" s="3" t="b">
        <v>1</v>
      </c>
      <c r="E142" s="3" t="s">
        <v>378</v>
      </c>
      <c r="F142" s="3" t="s">
        <v>422</v>
      </c>
      <c r="G142" s="4">
        <f>+251969970749</f>
        <v>251969970749</v>
      </c>
      <c r="H142" s="3" t="s">
        <v>18</v>
      </c>
      <c r="I142" s="3" t="s">
        <v>19</v>
      </c>
      <c r="J142" s="3" t="s">
        <v>19</v>
      </c>
      <c r="K142" s="3" t="s">
        <v>25</v>
      </c>
      <c r="L142" s="3">
        <v>19.34</v>
      </c>
      <c r="M142" s="3" t="s">
        <v>21</v>
      </c>
      <c r="O142" s="3">
        <v>1.15124375744E11</v>
      </c>
    </row>
    <row r="143">
      <c r="A143" s="3">
        <v>2473399.0</v>
      </c>
      <c r="B143" s="3" t="s">
        <v>423</v>
      </c>
      <c r="C143" s="3" t="b">
        <v>1</v>
      </c>
      <c r="D143" s="3" t="b">
        <v>1</v>
      </c>
      <c r="E143" s="3" t="s">
        <v>424</v>
      </c>
      <c r="F143" s="3" t="s">
        <v>425</v>
      </c>
      <c r="G143" s="4">
        <f>+251967650616</f>
        <v>251967650616</v>
      </c>
      <c r="H143" s="3" t="s">
        <v>18</v>
      </c>
      <c r="I143" s="3" t="s">
        <v>19</v>
      </c>
      <c r="J143" s="3" t="s">
        <v>19</v>
      </c>
      <c r="K143" s="3" t="s">
        <v>25</v>
      </c>
      <c r="L143" s="3">
        <v>18.39</v>
      </c>
      <c r="M143" s="3" t="s">
        <v>21</v>
      </c>
      <c r="O143" s="3">
        <v>1.15125325009E11</v>
      </c>
    </row>
    <row r="144">
      <c r="A144" s="3">
        <v>2473400.0</v>
      </c>
      <c r="B144" s="3" t="s">
        <v>426</v>
      </c>
      <c r="C144" s="3" t="b">
        <v>1</v>
      </c>
      <c r="D144" s="3" t="b">
        <v>1</v>
      </c>
      <c r="E144" s="3" t="s">
        <v>417</v>
      </c>
      <c r="F144" s="3" t="s">
        <v>271</v>
      </c>
      <c r="G144" s="4">
        <f>+251946703303</f>
        <v>251946703303</v>
      </c>
      <c r="H144" s="3" t="s">
        <v>18</v>
      </c>
      <c r="I144" s="3" t="s">
        <v>19</v>
      </c>
      <c r="J144" s="3" t="s">
        <v>19</v>
      </c>
      <c r="K144" s="3" t="s">
        <v>25</v>
      </c>
      <c r="L144" s="3">
        <v>19.95</v>
      </c>
      <c r="M144" s="3" t="s">
        <v>21</v>
      </c>
      <c r="O144" s="3">
        <v>1.15125335227E11</v>
      </c>
    </row>
    <row r="145">
      <c r="A145" s="3">
        <v>2285931.0</v>
      </c>
      <c r="B145" s="3" t="s">
        <v>427</v>
      </c>
      <c r="C145" s="3" t="b">
        <v>1</v>
      </c>
      <c r="D145" s="3" t="b">
        <v>1</v>
      </c>
      <c r="E145" s="3" t="s">
        <v>58</v>
      </c>
      <c r="F145" s="3" t="s">
        <v>428</v>
      </c>
      <c r="G145" s="4">
        <f>+251922858039</f>
        <v>251922858039</v>
      </c>
      <c r="H145" s="3" t="s">
        <v>18</v>
      </c>
      <c r="I145" s="3" t="s">
        <v>19</v>
      </c>
      <c r="J145" s="3" t="s">
        <v>19</v>
      </c>
      <c r="K145" s="3" t="s">
        <v>25</v>
      </c>
      <c r="L145" s="3">
        <v>19.35</v>
      </c>
      <c r="M145" s="3" t="s">
        <v>21</v>
      </c>
      <c r="O145" s="3">
        <v>3.5486017731E10</v>
      </c>
    </row>
    <row r="146">
      <c r="A146" s="3">
        <v>2473404.0</v>
      </c>
      <c r="B146" s="3" t="s">
        <v>429</v>
      </c>
      <c r="C146" s="3" t="b">
        <v>1</v>
      </c>
      <c r="D146" s="3" t="b">
        <v>1</v>
      </c>
      <c r="E146" s="3" t="s">
        <v>430</v>
      </c>
      <c r="F146" s="3" t="s">
        <v>404</v>
      </c>
      <c r="G146" s="4">
        <f>+251980483701</f>
        <v>251980483701</v>
      </c>
      <c r="H146" s="3" t="s">
        <v>18</v>
      </c>
      <c r="I146" s="3" t="s">
        <v>19</v>
      </c>
      <c r="J146" s="3" t="s">
        <v>19</v>
      </c>
      <c r="K146" s="3" t="s">
        <v>20</v>
      </c>
      <c r="L146" s="3">
        <v>20.0</v>
      </c>
      <c r="M146" s="3" t="s">
        <v>21</v>
      </c>
      <c r="O146" s="3">
        <v>1.1507549204E11</v>
      </c>
    </row>
    <row r="147">
      <c r="A147" s="3">
        <v>2473414.0</v>
      </c>
      <c r="B147" s="3" t="s">
        <v>431</v>
      </c>
      <c r="C147" s="3" t="b">
        <v>1</v>
      </c>
      <c r="D147" s="3" t="b">
        <v>1</v>
      </c>
      <c r="E147" s="3" t="s">
        <v>432</v>
      </c>
      <c r="F147" s="3" t="s">
        <v>404</v>
      </c>
      <c r="G147" s="4">
        <f>+251943071127</f>
        <v>251943071127</v>
      </c>
      <c r="H147" s="3" t="s">
        <v>18</v>
      </c>
      <c r="I147" s="3" t="s">
        <v>19</v>
      </c>
      <c r="J147" s="3" t="s">
        <v>19</v>
      </c>
      <c r="K147" s="3" t="s">
        <v>20</v>
      </c>
      <c r="L147" s="3">
        <v>22.69</v>
      </c>
      <c r="M147" s="3" t="s">
        <v>21</v>
      </c>
      <c r="O147" s="3">
        <v>1.15124575447E11</v>
      </c>
    </row>
    <row r="148">
      <c r="A148" s="3">
        <v>2473436.0</v>
      </c>
      <c r="B148" s="3" t="s">
        <v>433</v>
      </c>
      <c r="C148" s="3" t="b">
        <v>1</v>
      </c>
      <c r="D148" s="3" t="b">
        <v>1</v>
      </c>
      <c r="E148" s="3" t="s">
        <v>264</v>
      </c>
      <c r="F148" s="3" t="s">
        <v>434</v>
      </c>
      <c r="G148" s="4">
        <f>+251983767009</f>
        <v>251983767009</v>
      </c>
      <c r="H148" s="3" t="s">
        <v>18</v>
      </c>
      <c r="I148" s="3" t="s">
        <v>19</v>
      </c>
      <c r="J148" s="3" t="s">
        <v>19</v>
      </c>
      <c r="K148" s="3" t="s">
        <v>25</v>
      </c>
      <c r="L148" s="3">
        <v>18.27</v>
      </c>
      <c r="M148" s="3" t="s">
        <v>21</v>
      </c>
      <c r="O148" s="3">
        <v>1.15081834734E11</v>
      </c>
    </row>
    <row r="149">
      <c r="A149" s="3">
        <v>2473440.0</v>
      </c>
      <c r="B149" s="3" t="s">
        <v>435</v>
      </c>
      <c r="C149" s="3" t="b">
        <v>1</v>
      </c>
      <c r="D149" s="3" t="b">
        <v>1</v>
      </c>
      <c r="E149" s="3" t="s">
        <v>436</v>
      </c>
      <c r="F149" s="3" t="s">
        <v>437</v>
      </c>
      <c r="G149" s="4">
        <f>+251965566927</f>
        <v>251965566927</v>
      </c>
      <c r="H149" s="3" t="s">
        <v>18</v>
      </c>
      <c r="I149" s="3" t="s">
        <v>19</v>
      </c>
      <c r="J149" s="3" t="s">
        <v>19</v>
      </c>
      <c r="K149" s="3" t="s">
        <v>25</v>
      </c>
      <c r="L149" s="3">
        <v>20.94</v>
      </c>
      <c r="M149" s="3" t="s">
        <v>21</v>
      </c>
      <c r="O149" s="3">
        <v>1.15133337841E11</v>
      </c>
    </row>
    <row r="150">
      <c r="A150" s="3">
        <v>2473413.0</v>
      </c>
      <c r="B150" s="3" t="s">
        <v>438</v>
      </c>
      <c r="C150" s="3" t="b">
        <v>1</v>
      </c>
      <c r="D150" s="3" t="b">
        <v>1</v>
      </c>
      <c r="E150" s="3" t="s">
        <v>439</v>
      </c>
      <c r="F150" s="3" t="s">
        <v>440</v>
      </c>
      <c r="G150" s="4">
        <f>+251937041631</f>
        <v>251937041631</v>
      </c>
      <c r="H150" s="3" t="s">
        <v>18</v>
      </c>
      <c r="I150" s="3" t="s">
        <v>19</v>
      </c>
      <c r="J150" s="3" t="s">
        <v>19</v>
      </c>
      <c r="K150" s="3" t="s">
        <v>20</v>
      </c>
      <c r="L150" s="3">
        <v>23.89</v>
      </c>
      <c r="M150" s="3" t="s">
        <v>21</v>
      </c>
      <c r="O150" s="3">
        <v>1.15124568283E11</v>
      </c>
    </row>
    <row r="151">
      <c r="A151" s="3">
        <v>2473430.0</v>
      </c>
      <c r="B151" s="3" t="s">
        <v>441</v>
      </c>
      <c r="C151" s="3" t="b">
        <v>1</v>
      </c>
      <c r="D151" s="3" t="b">
        <v>1</v>
      </c>
      <c r="E151" s="3" t="s">
        <v>442</v>
      </c>
      <c r="F151" s="3" t="s">
        <v>443</v>
      </c>
      <c r="G151" s="4">
        <f>+251923846712</f>
        <v>251923846712</v>
      </c>
      <c r="H151" s="3" t="s">
        <v>18</v>
      </c>
      <c r="I151" s="3" t="s">
        <v>19</v>
      </c>
      <c r="J151" s="3" t="s">
        <v>19</v>
      </c>
      <c r="K151" s="3" t="s">
        <v>25</v>
      </c>
      <c r="L151" s="3">
        <v>19.17</v>
      </c>
      <c r="M151" s="3" t="s">
        <v>21</v>
      </c>
    </row>
    <row r="152">
      <c r="A152" s="3">
        <v>2473444.0</v>
      </c>
      <c r="B152" s="3" t="s">
        <v>444</v>
      </c>
      <c r="C152" s="3" t="b">
        <v>1</v>
      </c>
      <c r="D152" s="3" t="b">
        <v>1</v>
      </c>
      <c r="E152" s="3" t="s">
        <v>445</v>
      </c>
      <c r="F152" s="3" t="s">
        <v>446</v>
      </c>
      <c r="G152" s="4">
        <f>+251911001228</f>
        <v>251911001228</v>
      </c>
      <c r="H152" s="3" t="s">
        <v>18</v>
      </c>
      <c r="I152" s="3" t="s">
        <v>19</v>
      </c>
      <c r="J152" s="3" t="s">
        <v>19</v>
      </c>
      <c r="K152" s="3" t="s">
        <v>20</v>
      </c>
      <c r="L152" s="3">
        <v>21.12</v>
      </c>
      <c r="M152" s="3" t="s">
        <v>21</v>
      </c>
      <c r="O152" s="3">
        <v>1.15112060138E11</v>
      </c>
    </row>
    <row r="153">
      <c r="A153" s="3">
        <v>2473450.0</v>
      </c>
      <c r="B153" s="3" t="s">
        <v>447</v>
      </c>
      <c r="C153" s="3" t="b">
        <v>1</v>
      </c>
      <c r="D153" s="3" t="b">
        <v>1</v>
      </c>
      <c r="E153" s="3" t="s">
        <v>294</v>
      </c>
      <c r="F153" s="3" t="s">
        <v>448</v>
      </c>
      <c r="G153" s="4">
        <f>+251947937090</f>
        <v>251947937090</v>
      </c>
      <c r="H153" s="3" t="s">
        <v>18</v>
      </c>
      <c r="I153" s="3" t="s">
        <v>19</v>
      </c>
      <c r="J153" s="3" t="s">
        <v>19</v>
      </c>
      <c r="K153" s="3" t="s">
        <v>20</v>
      </c>
      <c r="L153" s="3">
        <v>20.74</v>
      </c>
      <c r="M153" s="3" t="s">
        <v>21</v>
      </c>
    </row>
    <row r="154">
      <c r="A154" s="3">
        <v>2051433.0</v>
      </c>
      <c r="B154" s="3" t="s">
        <v>449</v>
      </c>
      <c r="C154" s="3" t="b">
        <v>1</v>
      </c>
      <c r="D154" s="3" t="b">
        <v>1</v>
      </c>
      <c r="E154" s="3" t="s">
        <v>450</v>
      </c>
      <c r="F154" s="3" t="s">
        <v>451</v>
      </c>
      <c r="G154" s="4">
        <f>+251949701952</f>
        <v>251949701952</v>
      </c>
      <c r="H154" s="3" t="s">
        <v>18</v>
      </c>
      <c r="I154" s="3" t="s">
        <v>19</v>
      </c>
      <c r="J154" s="3" t="s">
        <v>19</v>
      </c>
      <c r="K154" s="3" t="s">
        <v>25</v>
      </c>
      <c r="L154" s="3">
        <v>23.83</v>
      </c>
      <c r="M154" s="3" t="s">
        <v>21</v>
      </c>
      <c r="O154" s="3">
        <v>2.9655822565E10</v>
      </c>
    </row>
    <row r="155">
      <c r="A155" s="3">
        <v>2473456.0</v>
      </c>
      <c r="B155" s="3" t="s">
        <v>452</v>
      </c>
      <c r="C155" s="3" t="b">
        <v>1</v>
      </c>
      <c r="D155" s="3" t="b">
        <v>1</v>
      </c>
      <c r="E155" s="3" t="s">
        <v>453</v>
      </c>
      <c r="F155" s="3" t="s">
        <v>277</v>
      </c>
      <c r="G155" s="4">
        <f>+251902039209</f>
        <v>251902039209</v>
      </c>
      <c r="H155" s="3" t="s">
        <v>346</v>
      </c>
      <c r="I155" s="3" t="s">
        <v>19</v>
      </c>
      <c r="J155" s="3" t="s">
        <v>19</v>
      </c>
      <c r="K155" s="3" t="s">
        <v>25</v>
      </c>
      <c r="L155" s="3">
        <v>22.68</v>
      </c>
      <c r="M155" s="3" t="s">
        <v>21</v>
      </c>
      <c r="O155" s="3">
        <v>3041013.0</v>
      </c>
    </row>
    <row r="156">
      <c r="A156" s="3">
        <v>2356976.0</v>
      </c>
      <c r="B156" s="3" t="s">
        <v>454</v>
      </c>
      <c r="C156" s="3" t="b">
        <v>1</v>
      </c>
      <c r="D156" s="3" t="b">
        <v>1</v>
      </c>
      <c r="E156" s="3" t="s">
        <v>455</v>
      </c>
      <c r="F156" s="3" t="s">
        <v>456</v>
      </c>
      <c r="G156" s="4">
        <f>+251912153542</f>
        <v>251912153542</v>
      </c>
      <c r="H156" s="3" t="s">
        <v>18</v>
      </c>
      <c r="I156" s="3" t="s">
        <v>19</v>
      </c>
      <c r="J156" s="3" t="s">
        <v>19</v>
      </c>
      <c r="K156" s="3" t="s">
        <v>20</v>
      </c>
      <c r="L156" s="3">
        <v>18.76</v>
      </c>
      <c r="M156" s="3" t="s">
        <v>21</v>
      </c>
      <c r="O156" s="3">
        <v>3.9536511204E10</v>
      </c>
    </row>
    <row r="157">
      <c r="A157" s="3">
        <v>2473465.0</v>
      </c>
      <c r="B157" s="3" t="s">
        <v>457</v>
      </c>
      <c r="C157" s="3" t="b">
        <v>1</v>
      </c>
      <c r="D157" s="3" t="b">
        <v>1</v>
      </c>
      <c r="E157" s="3" t="s">
        <v>64</v>
      </c>
      <c r="F157" s="3" t="s">
        <v>458</v>
      </c>
      <c r="G157" s="4">
        <f>+251973176620</f>
        <v>251973176620</v>
      </c>
      <c r="H157" s="3" t="s">
        <v>18</v>
      </c>
      <c r="I157" s="3" t="s">
        <v>19</v>
      </c>
      <c r="J157" s="3" t="s">
        <v>19</v>
      </c>
      <c r="K157" s="3" t="s">
        <v>25</v>
      </c>
      <c r="L157" s="3">
        <v>24.99</v>
      </c>
      <c r="M157" s="3" t="s">
        <v>21</v>
      </c>
      <c r="O157" s="3">
        <v>1.15132778723E11</v>
      </c>
    </row>
    <row r="158">
      <c r="A158" s="3">
        <v>2042968.0</v>
      </c>
      <c r="B158" s="3" t="s">
        <v>459</v>
      </c>
      <c r="C158" s="3" t="b">
        <v>1</v>
      </c>
      <c r="D158" s="3" t="b">
        <v>1</v>
      </c>
      <c r="E158" s="3" t="s">
        <v>460</v>
      </c>
      <c r="F158" s="3" t="s">
        <v>461</v>
      </c>
      <c r="G158" s="4">
        <f>+251947425030</f>
        <v>251947425030</v>
      </c>
      <c r="H158" s="3" t="s">
        <v>18</v>
      </c>
      <c r="I158" s="3" t="s">
        <v>19</v>
      </c>
      <c r="J158" s="3" t="s">
        <v>19</v>
      </c>
      <c r="K158" s="3" t="s">
        <v>20</v>
      </c>
      <c r="L158" s="3">
        <v>20.68</v>
      </c>
      <c r="M158" s="3" t="s">
        <v>21</v>
      </c>
      <c r="O158" s="3">
        <v>3.1170481107E10</v>
      </c>
    </row>
    <row r="159">
      <c r="A159" s="3">
        <v>2473486.0</v>
      </c>
      <c r="B159" s="3" t="s">
        <v>462</v>
      </c>
      <c r="C159" s="3" t="b">
        <v>1</v>
      </c>
      <c r="D159" s="3" t="b">
        <v>1</v>
      </c>
      <c r="E159" s="3" t="s">
        <v>192</v>
      </c>
      <c r="F159" s="3" t="s">
        <v>463</v>
      </c>
      <c r="G159" s="4">
        <f>+251967266958</f>
        <v>251967266958</v>
      </c>
      <c r="H159" s="3" t="s">
        <v>18</v>
      </c>
      <c r="I159" s="3" t="s">
        <v>19</v>
      </c>
      <c r="J159" s="3" t="s">
        <v>19</v>
      </c>
      <c r="K159" s="3" t="s">
        <v>25</v>
      </c>
      <c r="L159" s="3">
        <v>22.51</v>
      </c>
      <c r="M159" s="3" t="s">
        <v>21</v>
      </c>
    </row>
    <row r="160">
      <c r="A160" s="3">
        <v>2473463.0</v>
      </c>
      <c r="B160" s="3" t="s">
        <v>464</v>
      </c>
      <c r="C160" s="3" t="b">
        <v>1</v>
      </c>
      <c r="D160" s="3" t="b">
        <v>1</v>
      </c>
      <c r="E160" s="3" t="s">
        <v>465</v>
      </c>
      <c r="F160" s="3" t="s">
        <v>466</v>
      </c>
      <c r="G160" s="4">
        <f>+251941502226</f>
        <v>251941502226</v>
      </c>
      <c r="H160" s="3" t="s">
        <v>18</v>
      </c>
      <c r="I160" s="3" t="s">
        <v>19</v>
      </c>
      <c r="J160" s="3" t="s">
        <v>19</v>
      </c>
      <c r="K160" s="3" t="s">
        <v>20</v>
      </c>
      <c r="L160" s="3">
        <v>19.29</v>
      </c>
      <c r="M160" s="3" t="s">
        <v>21</v>
      </c>
      <c r="O160" s="3">
        <v>1.15133936831E11</v>
      </c>
    </row>
    <row r="161">
      <c r="A161" s="3">
        <v>2473504.0</v>
      </c>
      <c r="B161" s="3" t="s">
        <v>467</v>
      </c>
      <c r="C161" s="3" t="b">
        <v>1</v>
      </c>
      <c r="D161" s="3" t="b">
        <v>1</v>
      </c>
      <c r="E161" s="3" t="s">
        <v>468</v>
      </c>
      <c r="F161" s="3" t="s">
        <v>109</v>
      </c>
      <c r="G161" s="4">
        <f>+251949334834</f>
        <v>251949334834</v>
      </c>
      <c r="H161" s="3" t="s">
        <v>18</v>
      </c>
      <c r="I161" s="3" t="s">
        <v>19</v>
      </c>
      <c r="J161" s="3" t="s">
        <v>19</v>
      </c>
      <c r="K161" s="3" t="s">
        <v>25</v>
      </c>
      <c r="L161" s="3">
        <v>22.84</v>
      </c>
      <c r="M161" s="3" t="s">
        <v>21</v>
      </c>
      <c r="O161" s="3">
        <v>2.3035432E7</v>
      </c>
    </row>
    <row r="162">
      <c r="A162" s="3">
        <v>2473482.0</v>
      </c>
      <c r="B162" s="3" t="s">
        <v>469</v>
      </c>
      <c r="C162" s="3" t="b">
        <v>1</v>
      </c>
      <c r="D162" s="3" t="b">
        <v>1</v>
      </c>
      <c r="E162" s="3" t="s">
        <v>470</v>
      </c>
      <c r="F162" s="3" t="s">
        <v>471</v>
      </c>
      <c r="G162" s="4">
        <f>+251942364745</f>
        <v>251942364745</v>
      </c>
      <c r="H162" s="3" t="s">
        <v>18</v>
      </c>
      <c r="I162" s="3" t="s">
        <v>19</v>
      </c>
      <c r="J162" s="3" t="s">
        <v>19</v>
      </c>
      <c r="K162" s="3" t="s">
        <v>20</v>
      </c>
      <c r="L162" s="3">
        <v>18.67</v>
      </c>
      <c r="M162" s="3" t="s">
        <v>21</v>
      </c>
      <c r="O162" s="3">
        <v>1.15140405478E11</v>
      </c>
    </row>
    <row r="163">
      <c r="A163" s="3">
        <v>2473516.0</v>
      </c>
      <c r="B163" s="3" t="s">
        <v>472</v>
      </c>
      <c r="C163" s="3" t="b">
        <v>1</v>
      </c>
      <c r="D163" s="3" t="b">
        <v>1</v>
      </c>
      <c r="E163" s="3" t="s">
        <v>473</v>
      </c>
      <c r="F163" s="3" t="s">
        <v>474</v>
      </c>
      <c r="G163" s="4">
        <f>+251915576771</f>
        <v>251915576771</v>
      </c>
      <c r="H163" s="3" t="s">
        <v>18</v>
      </c>
      <c r="I163" s="3" t="s">
        <v>19</v>
      </c>
      <c r="J163" s="3" t="s">
        <v>19</v>
      </c>
      <c r="K163" s="3" t="s">
        <v>25</v>
      </c>
      <c r="L163" s="3">
        <v>21.43</v>
      </c>
      <c r="M163" s="3" t="s">
        <v>21</v>
      </c>
      <c r="O163" s="3">
        <v>1.15105146059E11</v>
      </c>
    </row>
    <row r="164">
      <c r="A164" s="3">
        <v>2473517.0</v>
      </c>
      <c r="B164" s="3" t="s">
        <v>475</v>
      </c>
      <c r="C164" s="3" t="b">
        <v>1</v>
      </c>
      <c r="D164" s="3" t="b">
        <v>1</v>
      </c>
      <c r="E164" s="3" t="s">
        <v>476</v>
      </c>
      <c r="F164" s="3" t="s">
        <v>261</v>
      </c>
      <c r="G164" s="4">
        <f>+251988841323</f>
        <v>251988841323</v>
      </c>
      <c r="H164" s="3" t="s">
        <v>18</v>
      </c>
      <c r="I164" s="3" t="s">
        <v>19</v>
      </c>
      <c r="J164" s="3" t="s">
        <v>19</v>
      </c>
      <c r="K164" s="3" t="s">
        <v>20</v>
      </c>
      <c r="L164" s="3">
        <v>19.47</v>
      </c>
      <c r="M164" s="3" t="s">
        <v>21</v>
      </c>
      <c r="O164" s="3">
        <v>1.15109545191E11</v>
      </c>
    </row>
    <row r="165">
      <c r="A165" s="3">
        <v>2473523.0</v>
      </c>
      <c r="B165" s="3" t="s">
        <v>477</v>
      </c>
      <c r="C165" s="3" t="b">
        <v>1</v>
      </c>
      <c r="D165" s="3" t="b">
        <v>1</v>
      </c>
      <c r="E165" s="3" t="s">
        <v>478</v>
      </c>
      <c r="F165" s="3" t="s">
        <v>479</v>
      </c>
      <c r="G165" s="4">
        <f>+251940048924</f>
        <v>251940048924</v>
      </c>
      <c r="H165" s="3" t="s">
        <v>18</v>
      </c>
      <c r="I165" s="3" t="s">
        <v>19</v>
      </c>
      <c r="J165" s="3" t="s">
        <v>19</v>
      </c>
      <c r="K165" s="3" t="s">
        <v>20</v>
      </c>
      <c r="L165" s="3">
        <v>21.02</v>
      </c>
      <c r="M165" s="3" t="s">
        <v>21</v>
      </c>
      <c r="O165" s="3">
        <v>1.15145955557E11</v>
      </c>
    </row>
    <row r="166">
      <c r="A166" s="3">
        <v>2473542.0</v>
      </c>
      <c r="B166" s="3" t="s">
        <v>480</v>
      </c>
      <c r="C166" s="3" t="b">
        <v>1</v>
      </c>
      <c r="D166" s="3" t="b">
        <v>1</v>
      </c>
      <c r="E166" s="3" t="s">
        <v>481</v>
      </c>
      <c r="F166" s="3" t="s">
        <v>482</v>
      </c>
      <c r="G166" s="4">
        <f>+251926406426</f>
        <v>251926406426</v>
      </c>
      <c r="H166" s="3" t="s">
        <v>18</v>
      </c>
      <c r="I166" s="3" t="s">
        <v>19</v>
      </c>
      <c r="J166" s="3" t="s">
        <v>19</v>
      </c>
      <c r="K166" s="3" t="s">
        <v>20</v>
      </c>
      <c r="L166" s="3">
        <v>21.78</v>
      </c>
      <c r="M166" s="3" t="s">
        <v>21</v>
      </c>
      <c r="O166" s="3">
        <v>1.15146399931E11</v>
      </c>
    </row>
    <row r="167">
      <c r="A167" s="3">
        <v>2473574.0</v>
      </c>
      <c r="B167" s="3" t="s">
        <v>483</v>
      </c>
      <c r="C167" s="3" t="b">
        <v>1</v>
      </c>
      <c r="D167" s="3" t="b">
        <v>1</v>
      </c>
      <c r="E167" s="3" t="s">
        <v>484</v>
      </c>
      <c r="F167" s="3" t="s">
        <v>485</v>
      </c>
      <c r="G167" s="4">
        <f>+251986113619</f>
        <v>251986113619</v>
      </c>
      <c r="H167" s="3" t="s">
        <v>18</v>
      </c>
      <c r="I167" s="3" t="s">
        <v>19</v>
      </c>
      <c r="J167" s="3" t="s">
        <v>19</v>
      </c>
      <c r="K167" s="3" t="s">
        <v>20</v>
      </c>
      <c r="L167" s="3">
        <v>21.47</v>
      </c>
      <c r="M167" s="3" t="s">
        <v>21</v>
      </c>
    </row>
    <row r="168">
      <c r="A168" s="3">
        <v>2473602.0</v>
      </c>
      <c r="B168" s="3" t="s">
        <v>486</v>
      </c>
      <c r="C168" s="3" t="b">
        <v>1</v>
      </c>
      <c r="D168" s="3" t="b">
        <v>1</v>
      </c>
      <c r="E168" s="3" t="s">
        <v>487</v>
      </c>
      <c r="F168" s="3" t="s">
        <v>488</v>
      </c>
      <c r="G168" s="4">
        <f>+251928414116</f>
        <v>251928414116</v>
      </c>
      <c r="H168" s="3" t="s">
        <v>18</v>
      </c>
      <c r="I168" s="3" t="s">
        <v>19</v>
      </c>
      <c r="J168" s="3" t="s">
        <v>19</v>
      </c>
      <c r="K168" s="3" t="s">
        <v>20</v>
      </c>
      <c r="L168" s="3">
        <v>20.07</v>
      </c>
      <c r="M168" s="3" t="s">
        <v>21</v>
      </c>
      <c r="O168" s="3">
        <v>1.15168559314E11</v>
      </c>
    </row>
    <row r="169">
      <c r="A169" s="3">
        <v>2429813.0</v>
      </c>
      <c r="B169" s="3" t="s">
        <v>489</v>
      </c>
      <c r="C169" s="3" t="b">
        <v>1</v>
      </c>
      <c r="D169" s="3" t="b">
        <v>1</v>
      </c>
      <c r="E169" s="3" t="s">
        <v>490</v>
      </c>
      <c r="F169" s="3" t="s">
        <v>491</v>
      </c>
      <c r="G169" s="4">
        <f>+251949778868</f>
        <v>251949778868</v>
      </c>
      <c r="H169" s="3" t="s">
        <v>18</v>
      </c>
      <c r="I169" s="3" t="s">
        <v>19</v>
      </c>
      <c r="J169" s="3" t="s">
        <v>19</v>
      </c>
      <c r="K169" s="3" t="s">
        <v>25</v>
      </c>
      <c r="L169" s="3">
        <v>31.06</v>
      </c>
      <c r="M169" s="3" t="s">
        <v>21</v>
      </c>
      <c r="O169" s="3">
        <v>7.7965068483E10</v>
      </c>
    </row>
    <row r="170">
      <c r="A170" s="3">
        <v>2473620.0</v>
      </c>
      <c r="B170" s="3" t="s">
        <v>492</v>
      </c>
      <c r="C170" s="3" t="b">
        <v>1</v>
      </c>
      <c r="D170" s="3" t="b">
        <v>1</v>
      </c>
      <c r="E170" s="3" t="s">
        <v>493</v>
      </c>
      <c r="F170" s="3" t="s">
        <v>494</v>
      </c>
      <c r="G170" s="4">
        <f>+251940115428</f>
        <v>251940115428</v>
      </c>
      <c r="H170" s="3" t="s">
        <v>18</v>
      </c>
      <c r="I170" s="3" t="s">
        <v>19</v>
      </c>
      <c r="J170" s="3" t="s">
        <v>19</v>
      </c>
      <c r="K170" s="3" t="s">
        <v>25</v>
      </c>
      <c r="L170" s="3">
        <v>20.26</v>
      </c>
      <c r="M170" s="3" t="s">
        <v>21</v>
      </c>
      <c r="O170" s="3">
        <v>1.15170795729E11</v>
      </c>
    </row>
    <row r="171">
      <c r="A171" s="3">
        <v>521094.0</v>
      </c>
      <c r="B171" s="3" t="s">
        <v>495</v>
      </c>
      <c r="C171" s="3" t="b">
        <v>1</v>
      </c>
      <c r="D171" s="3" t="b">
        <v>1</v>
      </c>
      <c r="E171" s="3" t="s">
        <v>496</v>
      </c>
      <c r="F171" s="3" t="s">
        <v>497</v>
      </c>
      <c r="G171" s="4">
        <f>+251989992816</f>
        <v>251989992816</v>
      </c>
      <c r="H171" s="3" t="s">
        <v>18</v>
      </c>
      <c r="I171" s="3" t="s">
        <v>19</v>
      </c>
      <c r="J171" s="3" t="s">
        <v>19</v>
      </c>
      <c r="K171" s="3" t="s">
        <v>20</v>
      </c>
      <c r="L171" s="3">
        <v>19.42</v>
      </c>
      <c r="M171" s="3" t="s">
        <v>21</v>
      </c>
      <c r="O171" s="3">
        <v>2.8500921E7</v>
      </c>
    </row>
    <row r="172">
      <c r="A172" s="3">
        <v>2473658.0</v>
      </c>
      <c r="B172" s="3" t="s">
        <v>498</v>
      </c>
      <c r="C172" s="3" t="b">
        <v>1</v>
      </c>
      <c r="D172" s="3" t="b">
        <v>1</v>
      </c>
      <c r="E172" s="3" t="s">
        <v>499</v>
      </c>
      <c r="F172" s="3" t="s">
        <v>404</v>
      </c>
      <c r="G172" s="4">
        <f>+251940200820</f>
        <v>251940200820</v>
      </c>
      <c r="H172" s="3" t="s">
        <v>18</v>
      </c>
      <c r="I172" s="3" t="s">
        <v>19</v>
      </c>
      <c r="J172" s="3" t="s">
        <v>19</v>
      </c>
      <c r="K172" s="3" t="s">
        <v>20</v>
      </c>
      <c r="L172" s="3">
        <v>19.06</v>
      </c>
      <c r="M172" s="3" t="s">
        <v>21</v>
      </c>
    </row>
    <row r="173">
      <c r="A173" s="3">
        <v>2473675.0</v>
      </c>
      <c r="B173" s="3" t="s">
        <v>500</v>
      </c>
      <c r="C173" s="3" t="b">
        <v>1</v>
      </c>
      <c r="D173" s="3" t="b">
        <v>1</v>
      </c>
      <c r="E173" s="3" t="s">
        <v>270</v>
      </c>
      <c r="F173" s="3" t="s">
        <v>342</v>
      </c>
      <c r="G173" s="4">
        <f>+251900480410</f>
        <v>251900480410</v>
      </c>
      <c r="H173" s="3" t="s">
        <v>18</v>
      </c>
      <c r="I173" s="3" t="s">
        <v>19</v>
      </c>
      <c r="J173" s="3" t="s">
        <v>19</v>
      </c>
      <c r="K173" s="3" t="s">
        <v>20</v>
      </c>
      <c r="L173" s="3">
        <v>19.37</v>
      </c>
      <c r="M173" s="3" t="s">
        <v>21</v>
      </c>
      <c r="O173" s="3">
        <v>1.15223653576E11</v>
      </c>
    </row>
    <row r="174">
      <c r="A174" s="3">
        <v>2473693.0</v>
      </c>
      <c r="B174" s="3" t="s">
        <v>501</v>
      </c>
      <c r="C174" s="3" t="b">
        <v>1</v>
      </c>
      <c r="D174" s="3" t="b">
        <v>1</v>
      </c>
      <c r="E174" s="3" t="s">
        <v>188</v>
      </c>
      <c r="F174" s="3" t="s">
        <v>502</v>
      </c>
      <c r="G174" s="4">
        <f>+251933901778</f>
        <v>251933901778</v>
      </c>
      <c r="H174" s="3" t="s">
        <v>18</v>
      </c>
      <c r="I174" s="3" t="s">
        <v>19</v>
      </c>
      <c r="J174" s="3" t="s">
        <v>19</v>
      </c>
      <c r="K174" s="3" t="s">
        <v>25</v>
      </c>
      <c r="L174" s="3">
        <v>24.85</v>
      </c>
      <c r="M174" s="3" t="s">
        <v>21</v>
      </c>
      <c r="O174" s="3">
        <v>1.15243032786E11</v>
      </c>
    </row>
    <row r="175">
      <c r="A175" s="3">
        <v>2473704.0</v>
      </c>
      <c r="B175" s="3" t="s">
        <v>503</v>
      </c>
      <c r="C175" s="3" t="b">
        <v>1</v>
      </c>
      <c r="D175" s="3" t="b">
        <v>1</v>
      </c>
      <c r="E175" s="3" t="s">
        <v>504</v>
      </c>
      <c r="F175" s="3" t="s">
        <v>70</v>
      </c>
      <c r="G175" s="4">
        <f>+251922808192</f>
        <v>251922808192</v>
      </c>
      <c r="H175" s="3" t="s">
        <v>18</v>
      </c>
      <c r="I175" s="3" t="s">
        <v>19</v>
      </c>
      <c r="J175" s="3" t="s">
        <v>19</v>
      </c>
      <c r="K175" s="3" t="s">
        <v>25</v>
      </c>
      <c r="L175" s="3">
        <v>18.53</v>
      </c>
      <c r="M175" s="3" t="s">
        <v>21</v>
      </c>
      <c r="O175" s="3">
        <v>1.15240892638E11</v>
      </c>
    </row>
    <row r="176">
      <c r="A176" s="3">
        <v>2473726.0</v>
      </c>
      <c r="B176" s="3" t="s">
        <v>505</v>
      </c>
      <c r="C176" s="3" t="b">
        <v>1</v>
      </c>
      <c r="D176" s="3" t="b">
        <v>1</v>
      </c>
      <c r="E176" s="3" t="s">
        <v>506</v>
      </c>
      <c r="F176" s="3" t="s">
        <v>507</v>
      </c>
      <c r="G176" s="4">
        <f>+251954697522</f>
        <v>251954697522</v>
      </c>
      <c r="H176" s="3" t="s">
        <v>18</v>
      </c>
      <c r="I176" s="3" t="s">
        <v>19</v>
      </c>
      <c r="J176" s="3" t="s">
        <v>19</v>
      </c>
      <c r="K176" s="3" t="s">
        <v>25</v>
      </c>
      <c r="L176" s="3">
        <v>19.02</v>
      </c>
      <c r="M176" s="3" t="s">
        <v>21</v>
      </c>
    </row>
    <row r="177">
      <c r="A177" s="3">
        <v>2473740.0</v>
      </c>
      <c r="B177" s="3" t="s">
        <v>508</v>
      </c>
      <c r="C177" s="3" t="b">
        <v>1</v>
      </c>
      <c r="D177" s="3" t="b">
        <v>1</v>
      </c>
      <c r="E177" s="3" t="s">
        <v>509</v>
      </c>
      <c r="F177" s="3" t="s">
        <v>510</v>
      </c>
      <c r="G177" s="4">
        <f>+251910978802</f>
        <v>251910978802</v>
      </c>
      <c r="H177" s="3" t="s">
        <v>18</v>
      </c>
      <c r="I177" s="3" t="s">
        <v>19</v>
      </c>
      <c r="J177" s="3" t="s">
        <v>19</v>
      </c>
      <c r="K177" s="3" t="s">
        <v>20</v>
      </c>
      <c r="L177" s="3">
        <v>22.82</v>
      </c>
      <c r="M177" s="3" t="s">
        <v>21</v>
      </c>
      <c r="O177" s="3">
        <v>1.15227156696E11</v>
      </c>
    </row>
    <row r="178">
      <c r="A178" s="3">
        <v>2473724.0</v>
      </c>
      <c r="B178" s="3" t="s">
        <v>511</v>
      </c>
      <c r="C178" s="3" t="b">
        <v>1</v>
      </c>
      <c r="D178" s="3" t="b">
        <v>1</v>
      </c>
      <c r="E178" s="3" t="s">
        <v>512</v>
      </c>
      <c r="F178" s="3" t="s">
        <v>513</v>
      </c>
      <c r="G178" s="4">
        <f>+251925266903</f>
        <v>251925266903</v>
      </c>
      <c r="H178" s="3" t="s">
        <v>18</v>
      </c>
      <c r="I178" s="3" t="s">
        <v>19</v>
      </c>
      <c r="J178" s="3" t="s">
        <v>19</v>
      </c>
      <c r="K178" s="3" t="s">
        <v>25</v>
      </c>
      <c r="L178" s="3">
        <v>20.83</v>
      </c>
      <c r="M178" s="3" t="s">
        <v>21</v>
      </c>
      <c r="O178" s="3">
        <v>1.15223427283E11</v>
      </c>
    </row>
    <row r="179">
      <c r="A179" s="3">
        <v>2473756.0</v>
      </c>
      <c r="B179" s="3" t="s">
        <v>514</v>
      </c>
      <c r="C179" s="3" t="b">
        <v>1</v>
      </c>
      <c r="D179" s="3" t="b">
        <v>1</v>
      </c>
      <c r="E179" s="3" t="s">
        <v>515</v>
      </c>
      <c r="F179" s="3" t="s">
        <v>515</v>
      </c>
      <c r="G179" s="4">
        <f>+251946135045</f>
        <v>251946135045</v>
      </c>
      <c r="H179" s="3" t="s">
        <v>18</v>
      </c>
      <c r="I179" s="3" t="s">
        <v>19</v>
      </c>
      <c r="J179" s="3" t="s">
        <v>19</v>
      </c>
      <c r="K179" s="3" t="s">
        <v>25</v>
      </c>
      <c r="L179" s="3">
        <v>22.78</v>
      </c>
      <c r="M179" s="3" t="s">
        <v>21</v>
      </c>
      <c r="O179" s="3">
        <v>1.15251335373E11</v>
      </c>
    </row>
    <row r="180">
      <c r="A180" s="3">
        <v>2473768.0</v>
      </c>
      <c r="B180" s="3" t="s">
        <v>516</v>
      </c>
      <c r="C180" s="3" t="b">
        <v>1</v>
      </c>
      <c r="D180" s="3" t="b">
        <v>1</v>
      </c>
      <c r="E180" s="3" t="s">
        <v>517</v>
      </c>
      <c r="F180" s="3" t="s">
        <v>518</v>
      </c>
      <c r="G180" s="4">
        <f>+251989991052</f>
        <v>251989991052</v>
      </c>
      <c r="H180" s="3" t="s">
        <v>18</v>
      </c>
      <c r="I180" s="3" t="s">
        <v>19</v>
      </c>
      <c r="J180" s="3" t="s">
        <v>19</v>
      </c>
      <c r="K180" s="3" t="s">
        <v>20</v>
      </c>
      <c r="L180" s="3">
        <v>22.36</v>
      </c>
      <c r="M180" s="3" t="s">
        <v>21</v>
      </c>
      <c r="O180" s="3">
        <v>1.15258014962E11</v>
      </c>
    </row>
    <row r="181">
      <c r="A181" s="3">
        <v>2473770.0</v>
      </c>
      <c r="B181" s="3" t="s">
        <v>519</v>
      </c>
      <c r="C181" s="3" t="b">
        <v>1</v>
      </c>
      <c r="D181" s="3" t="b">
        <v>1</v>
      </c>
      <c r="E181" s="3" t="s">
        <v>276</v>
      </c>
      <c r="F181" s="3" t="s">
        <v>520</v>
      </c>
      <c r="G181" s="4">
        <f>+251921808804</f>
        <v>251921808804</v>
      </c>
      <c r="H181" s="3" t="s">
        <v>18</v>
      </c>
      <c r="I181" s="3" t="s">
        <v>19</v>
      </c>
      <c r="J181" s="3" t="s">
        <v>19</v>
      </c>
      <c r="K181" s="3" t="s">
        <v>25</v>
      </c>
      <c r="L181" s="3">
        <v>19.06</v>
      </c>
      <c r="M181" s="3" t="s">
        <v>21</v>
      </c>
    </row>
    <row r="182">
      <c r="A182" s="3">
        <v>2473763.0</v>
      </c>
      <c r="B182" s="3" t="s">
        <v>521</v>
      </c>
      <c r="C182" s="3" t="b">
        <v>1</v>
      </c>
      <c r="D182" s="3" t="b">
        <v>1</v>
      </c>
      <c r="E182" s="3" t="s">
        <v>522</v>
      </c>
      <c r="F182" s="3" t="s">
        <v>523</v>
      </c>
      <c r="G182" s="4">
        <f>+251955417051</f>
        <v>251955417051</v>
      </c>
      <c r="H182" s="3" t="s">
        <v>18</v>
      </c>
      <c r="I182" s="3" t="s">
        <v>19</v>
      </c>
      <c r="J182" s="3" t="s">
        <v>19</v>
      </c>
      <c r="K182" s="3" t="s">
        <v>20</v>
      </c>
      <c r="L182" s="3">
        <v>20.37</v>
      </c>
      <c r="M182" s="3" t="s">
        <v>21</v>
      </c>
      <c r="O182" s="3">
        <v>8899045.0</v>
      </c>
    </row>
    <row r="183">
      <c r="A183" s="3">
        <v>2473785.0</v>
      </c>
      <c r="B183" s="3" t="s">
        <v>524</v>
      </c>
      <c r="C183" s="3" t="b">
        <v>1</v>
      </c>
      <c r="D183" s="3" t="b">
        <v>1</v>
      </c>
      <c r="E183" s="3" t="s">
        <v>525</v>
      </c>
      <c r="F183" s="3" t="s">
        <v>526</v>
      </c>
      <c r="G183" s="3">
        <v>9.47991462E8</v>
      </c>
      <c r="H183" s="3" t="s">
        <v>18</v>
      </c>
      <c r="I183" s="3" t="s">
        <v>19</v>
      </c>
      <c r="J183" s="3" t="s">
        <v>19</v>
      </c>
      <c r="K183" s="3" t="s">
        <v>20</v>
      </c>
      <c r="L183" s="3">
        <v>18.34</v>
      </c>
      <c r="M183" s="3" t="s">
        <v>21</v>
      </c>
      <c r="O183" s="3">
        <v>1.15282191602E11</v>
      </c>
    </row>
    <row r="184">
      <c r="A184" s="3">
        <v>2473799.0</v>
      </c>
      <c r="B184" s="3" t="s">
        <v>527</v>
      </c>
      <c r="C184" s="3" t="b">
        <v>1</v>
      </c>
      <c r="D184" s="3" t="b">
        <v>1</v>
      </c>
      <c r="E184" s="3" t="s">
        <v>528</v>
      </c>
      <c r="F184" s="3" t="s">
        <v>529</v>
      </c>
      <c r="G184" s="4">
        <f>+251940118461</f>
        <v>251940118461</v>
      </c>
      <c r="H184" s="3" t="s">
        <v>18</v>
      </c>
      <c r="I184" s="3" t="s">
        <v>19</v>
      </c>
      <c r="J184" s="3" t="s">
        <v>19</v>
      </c>
      <c r="K184" s="3" t="s">
        <v>20</v>
      </c>
      <c r="L184" s="3">
        <v>19.43</v>
      </c>
      <c r="M184" s="3" t="s">
        <v>21</v>
      </c>
      <c r="O184" s="3">
        <v>1.15275515085E11</v>
      </c>
    </row>
    <row r="185">
      <c r="A185" s="3">
        <v>2473814.0</v>
      </c>
      <c r="B185" s="3" t="s">
        <v>530</v>
      </c>
      <c r="C185" s="3" t="b">
        <v>1</v>
      </c>
      <c r="D185" s="3" t="b">
        <v>1</v>
      </c>
      <c r="E185" s="3" t="s">
        <v>531</v>
      </c>
      <c r="F185" s="3" t="s">
        <v>532</v>
      </c>
      <c r="G185" s="4">
        <f>+25191223870</f>
        <v>25191223870</v>
      </c>
      <c r="H185" s="3" t="s">
        <v>18</v>
      </c>
      <c r="I185" s="3" t="s">
        <v>19</v>
      </c>
      <c r="J185" s="3" t="s">
        <v>19</v>
      </c>
      <c r="K185" s="3" t="s">
        <v>20</v>
      </c>
      <c r="L185" s="3">
        <v>19.31</v>
      </c>
      <c r="M185" s="3" t="s">
        <v>21</v>
      </c>
      <c r="O185" s="3">
        <v>1.15283120372E11</v>
      </c>
    </row>
    <row r="186">
      <c r="A186" s="3">
        <v>2473867.0</v>
      </c>
      <c r="B186" s="3" t="s">
        <v>533</v>
      </c>
      <c r="C186" s="3" t="b">
        <v>1</v>
      </c>
      <c r="D186" s="3" t="b">
        <v>1</v>
      </c>
      <c r="E186" s="3" t="s">
        <v>534</v>
      </c>
      <c r="F186" s="3" t="s">
        <v>535</v>
      </c>
      <c r="G186" s="4">
        <f>+251911882980</f>
        <v>251911882980</v>
      </c>
      <c r="H186" s="3" t="s">
        <v>18</v>
      </c>
      <c r="I186" s="3" t="s">
        <v>19</v>
      </c>
      <c r="J186" s="3" t="s">
        <v>19</v>
      </c>
      <c r="K186" s="3" t="s">
        <v>20</v>
      </c>
      <c r="L186" s="3">
        <v>22.62</v>
      </c>
      <c r="M186" s="3" t="s">
        <v>21</v>
      </c>
    </row>
    <row r="187">
      <c r="A187" s="3">
        <v>2473881.0</v>
      </c>
      <c r="B187" s="3" t="s">
        <v>536</v>
      </c>
      <c r="C187" s="3" t="b">
        <v>1</v>
      </c>
      <c r="D187" s="3" t="b">
        <v>1</v>
      </c>
      <c r="E187" s="3" t="s">
        <v>537</v>
      </c>
      <c r="F187" s="3" t="s">
        <v>538</v>
      </c>
      <c r="G187" s="4">
        <f>+251947912243</f>
        <v>251947912243</v>
      </c>
      <c r="H187" s="3" t="s">
        <v>18</v>
      </c>
      <c r="I187" s="3" t="s">
        <v>19</v>
      </c>
      <c r="J187" s="3" t="s">
        <v>19</v>
      </c>
      <c r="K187" s="3" t="s">
        <v>20</v>
      </c>
      <c r="L187" s="3">
        <v>20.99</v>
      </c>
      <c r="M187" s="3" t="s">
        <v>21</v>
      </c>
      <c r="O187" s="3">
        <v>8897226.0</v>
      </c>
    </row>
    <row r="188">
      <c r="A188" s="3">
        <v>2473890.0</v>
      </c>
      <c r="B188" s="3" t="s">
        <v>539</v>
      </c>
      <c r="C188" s="3" t="b">
        <v>1</v>
      </c>
      <c r="D188" s="3" t="b">
        <v>1</v>
      </c>
      <c r="E188" s="3" t="s">
        <v>378</v>
      </c>
      <c r="F188" s="3" t="s">
        <v>540</v>
      </c>
      <c r="G188" s="4">
        <f>+251939157691</f>
        <v>251939157691</v>
      </c>
      <c r="H188" s="3" t="s">
        <v>18</v>
      </c>
      <c r="I188" s="3" t="s">
        <v>19</v>
      </c>
      <c r="J188" s="3" t="s">
        <v>19</v>
      </c>
      <c r="K188" s="3" t="s">
        <v>25</v>
      </c>
      <c r="L188" s="3">
        <v>20.82</v>
      </c>
      <c r="M188" s="3" t="s">
        <v>21</v>
      </c>
    </row>
    <row r="189">
      <c r="A189" s="3">
        <v>2473917.0</v>
      </c>
      <c r="B189" s="3" t="s">
        <v>541</v>
      </c>
      <c r="C189" s="3" t="b">
        <v>1</v>
      </c>
      <c r="D189" s="3" t="b">
        <v>1</v>
      </c>
      <c r="E189" s="3" t="s">
        <v>542</v>
      </c>
      <c r="F189" s="3" t="s">
        <v>540</v>
      </c>
      <c r="G189" s="4">
        <f>+251995013405</f>
        <v>251995013405</v>
      </c>
      <c r="H189" s="3" t="s">
        <v>18</v>
      </c>
      <c r="I189" s="3" t="s">
        <v>19</v>
      </c>
      <c r="J189" s="3" t="s">
        <v>19</v>
      </c>
      <c r="K189" s="3" t="s">
        <v>20</v>
      </c>
      <c r="L189" s="3">
        <v>20.83</v>
      </c>
      <c r="M189" s="3" t="s">
        <v>21</v>
      </c>
    </row>
    <row r="190">
      <c r="A190" s="3">
        <v>2474367.0</v>
      </c>
      <c r="B190" s="3" t="s">
        <v>543</v>
      </c>
      <c r="C190" s="3" t="b">
        <v>1</v>
      </c>
      <c r="D190" s="3" t="b">
        <v>1</v>
      </c>
      <c r="E190" s="3" t="s">
        <v>544</v>
      </c>
      <c r="F190" s="3" t="s">
        <v>545</v>
      </c>
      <c r="G190" s="4">
        <f>+251961038253</f>
        <v>251961038253</v>
      </c>
      <c r="H190" s="3" t="s">
        <v>18</v>
      </c>
      <c r="I190" s="3" t="s">
        <v>19</v>
      </c>
      <c r="J190" s="3" t="s">
        <v>19</v>
      </c>
      <c r="K190" s="3" t="s">
        <v>25</v>
      </c>
      <c r="L190" s="3">
        <v>18.87</v>
      </c>
      <c r="M190" s="3" t="s">
        <v>21</v>
      </c>
      <c r="O190" s="3">
        <v>1.15403859185E11</v>
      </c>
    </row>
    <row r="191">
      <c r="A191" s="3">
        <v>2475908.0</v>
      </c>
      <c r="B191" s="3" t="s">
        <v>546</v>
      </c>
      <c r="C191" s="3" t="b">
        <v>1</v>
      </c>
      <c r="D191" s="3" t="b">
        <v>1</v>
      </c>
      <c r="E191" s="3" t="s">
        <v>547</v>
      </c>
      <c r="F191" s="3" t="s">
        <v>548</v>
      </c>
      <c r="G191" s="4">
        <f>+251965566927</f>
        <v>251965566927</v>
      </c>
      <c r="H191" s="3" t="s">
        <v>18</v>
      </c>
      <c r="I191" s="3" t="s">
        <v>19</v>
      </c>
      <c r="J191" s="3" t="s">
        <v>19</v>
      </c>
      <c r="K191" s="3" t="s">
        <v>25</v>
      </c>
      <c r="L191" s="3">
        <v>20.94</v>
      </c>
      <c r="M191" s="3" t="s">
        <v>21</v>
      </c>
      <c r="O191" s="3">
        <v>1.16201209072E11</v>
      </c>
    </row>
    <row r="192">
      <c r="A192" s="3">
        <v>2476267.0</v>
      </c>
      <c r="B192" s="3" t="s">
        <v>549</v>
      </c>
      <c r="C192" s="3" t="b">
        <v>1</v>
      </c>
      <c r="D192" s="3" t="b">
        <v>1</v>
      </c>
      <c r="E192" s="3" t="s">
        <v>550</v>
      </c>
      <c r="F192" s="3" t="s">
        <v>551</v>
      </c>
      <c r="G192" s="4">
        <f>+251972732464</f>
        <v>251972732464</v>
      </c>
      <c r="H192" s="3" t="s">
        <v>18</v>
      </c>
      <c r="I192" s="3" t="s">
        <v>19</v>
      </c>
      <c r="J192" s="3" t="s">
        <v>19</v>
      </c>
      <c r="K192" s="3" t="s">
        <v>25</v>
      </c>
      <c r="L192" s="3">
        <v>27.74</v>
      </c>
      <c r="M192" s="3" t="s">
        <v>21</v>
      </c>
      <c r="O192" s="3">
        <v>2.9693477E7</v>
      </c>
    </row>
    <row r="193">
      <c r="A193" s="3">
        <v>1929269.0</v>
      </c>
      <c r="B193" s="3" t="s">
        <v>552</v>
      </c>
      <c r="C193" s="3" t="b">
        <v>1</v>
      </c>
      <c r="D193" s="3" t="b">
        <v>1</v>
      </c>
      <c r="E193" s="3" t="s">
        <v>553</v>
      </c>
      <c r="F193" s="3" t="s">
        <v>554</v>
      </c>
      <c r="G193" s="4">
        <f>+251902166440</f>
        <v>251902166440</v>
      </c>
      <c r="H193" s="3" t="s">
        <v>18</v>
      </c>
      <c r="I193" s="3" t="s">
        <v>19</v>
      </c>
      <c r="J193" s="3" t="s">
        <v>19</v>
      </c>
      <c r="K193" s="3" t="s">
        <v>20</v>
      </c>
      <c r="L193" s="3">
        <v>20.26</v>
      </c>
      <c r="M193" s="3" t="s">
        <v>21</v>
      </c>
      <c r="O193" s="3">
        <v>2.6855316203E10</v>
      </c>
    </row>
    <row r="194">
      <c r="A194" s="3">
        <v>582004.0</v>
      </c>
      <c r="B194" s="3" t="s">
        <v>555</v>
      </c>
      <c r="C194" s="3" t="b">
        <v>1</v>
      </c>
      <c r="D194" s="3" t="b">
        <v>1</v>
      </c>
      <c r="E194" s="3" t="s">
        <v>556</v>
      </c>
      <c r="F194" s="3" t="s">
        <v>557</v>
      </c>
      <c r="G194" s="3">
        <v>9.10144018E8</v>
      </c>
      <c r="H194" s="3" t="s">
        <v>18</v>
      </c>
      <c r="I194" s="3" t="s">
        <v>19</v>
      </c>
      <c r="J194" s="3" t="s">
        <v>19</v>
      </c>
      <c r="K194" s="3" t="s">
        <v>25</v>
      </c>
      <c r="L194" s="3">
        <v>31.42</v>
      </c>
      <c r="M194" s="3" t="s">
        <v>21</v>
      </c>
      <c r="O194" s="3">
        <v>8831704.0</v>
      </c>
    </row>
    <row r="195">
      <c r="A195" s="3">
        <v>2477413.0</v>
      </c>
      <c r="B195" s="3" t="s">
        <v>558</v>
      </c>
      <c r="C195" s="3" t="b">
        <v>1</v>
      </c>
      <c r="D195" s="3" t="b">
        <v>1</v>
      </c>
      <c r="E195" s="3" t="s">
        <v>137</v>
      </c>
      <c r="F195" s="3" t="s">
        <v>559</v>
      </c>
      <c r="G195" s="4">
        <f>+251919836633</f>
        <v>251919836633</v>
      </c>
      <c r="H195" s="3" t="s">
        <v>18</v>
      </c>
      <c r="I195" s="3" t="s">
        <v>19</v>
      </c>
      <c r="J195" s="3" t="s">
        <v>19</v>
      </c>
      <c r="K195" s="3" t="s">
        <v>25</v>
      </c>
      <c r="L195" s="3">
        <v>30.55</v>
      </c>
      <c r="M195" s="3" t="s">
        <v>21</v>
      </c>
      <c r="O195" s="3">
        <v>8885184.0</v>
      </c>
    </row>
    <row r="196">
      <c r="A196" s="3">
        <v>2477516.0</v>
      </c>
      <c r="B196" s="3" t="s">
        <v>560</v>
      </c>
      <c r="C196" s="3" t="b">
        <v>1</v>
      </c>
      <c r="D196" s="3" t="b">
        <v>0</v>
      </c>
      <c r="E196" s="3" t="s">
        <v>23</v>
      </c>
      <c r="F196" s="3" t="s">
        <v>561</v>
      </c>
      <c r="G196" s="4">
        <f>+251975996971</f>
        <v>251975996971</v>
      </c>
      <c r="H196" s="3" t="s">
        <v>18</v>
      </c>
      <c r="I196" s="3" t="s">
        <v>19</v>
      </c>
      <c r="J196" s="3" t="s">
        <v>19</v>
      </c>
      <c r="K196" s="3" t="s">
        <v>25</v>
      </c>
      <c r="L196" s="3">
        <v>32.75</v>
      </c>
      <c r="M196" s="3" t="s">
        <v>21</v>
      </c>
      <c r="O196" s="3">
        <v>1.17141331188E11</v>
      </c>
    </row>
    <row r="197">
      <c r="A197" s="3">
        <v>2455117.0</v>
      </c>
      <c r="B197" s="3" t="s">
        <v>562</v>
      </c>
      <c r="C197" s="3" t="b">
        <v>1</v>
      </c>
      <c r="D197" s="3" t="b">
        <v>1</v>
      </c>
      <c r="E197" s="3" t="s">
        <v>563</v>
      </c>
      <c r="F197" s="3" t="s">
        <v>564</v>
      </c>
      <c r="G197" s="4">
        <f>+251970364564</f>
        <v>251970364564</v>
      </c>
      <c r="H197" s="3" t="s">
        <v>18</v>
      </c>
      <c r="I197" s="3" t="s">
        <v>19</v>
      </c>
      <c r="J197" s="3" t="s">
        <v>19</v>
      </c>
      <c r="K197" s="3" t="s">
        <v>25</v>
      </c>
      <c r="L197" s="3">
        <v>29.54</v>
      </c>
      <c r="M197" s="3" t="s">
        <v>21</v>
      </c>
      <c r="O197" s="3">
        <v>1.09641045212E11</v>
      </c>
    </row>
    <row r="198">
      <c r="A198" s="3">
        <v>2477799.0</v>
      </c>
      <c r="B198" s="3" t="s">
        <v>565</v>
      </c>
      <c r="C198" s="3" t="b">
        <v>1</v>
      </c>
      <c r="D198" s="3" t="b">
        <v>1</v>
      </c>
      <c r="E198" s="3" t="s">
        <v>195</v>
      </c>
      <c r="F198" s="3" t="s">
        <v>566</v>
      </c>
      <c r="G198" s="4">
        <f>+251915956155</f>
        <v>251915956155</v>
      </c>
      <c r="H198" s="3" t="s">
        <v>18</v>
      </c>
      <c r="I198" s="3" t="s">
        <v>19</v>
      </c>
      <c r="J198" s="3" t="s">
        <v>19</v>
      </c>
      <c r="K198" s="3" t="s">
        <v>20</v>
      </c>
      <c r="L198" s="3">
        <v>23.02</v>
      </c>
      <c r="M198" s="3" t="s">
        <v>21</v>
      </c>
    </row>
    <row r="199">
      <c r="A199" s="3">
        <v>2477998.0</v>
      </c>
      <c r="B199" s="3" t="s">
        <v>567</v>
      </c>
      <c r="C199" s="3" t="b">
        <v>1</v>
      </c>
      <c r="D199" s="3" t="b">
        <v>1</v>
      </c>
      <c r="E199" s="3" t="s">
        <v>568</v>
      </c>
      <c r="F199" s="3" t="s">
        <v>569</v>
      </c>
      <c r="G199" s="4">
        <f>+251965939904</f>
        <v>251965939904</v>
      </c>
      <c r="H199" s="3" t="s">
        <v>18</v>
      </c>
      <c r="I199" s="3" t="s">
        <v>19</v>
      </c>
      <c r="J199" s="3" t="s">
        <v>19</v>
      </c>
      <c r="K199" s="3" t="s">
        <v>25</v>
      </c>
      <c r="L199" s="3">
        <v>21.54</v>
      </c>
      <c r="M199" s="3" t="s">
        <v>21</v>
      </c>
      <c r="O199" s="3">
        <v>1.17530784973E11</v>
      </c>
    </row>
    <row r="200">
      <c r="A200" s="3">
        <v>815298.0</v>
      </c>
      <c r="B200" s="3" t="s">
        <v>570</v>
      </c>
      <c r="C200" s="3" t="b">
        <v>1</v>
      </c>
      <c r="D200" s="3" t="b">
        <v>1</v>
      </c>
      <c r="E200" s="3" t="s">
        <v>571</v>
      </c>
      <c r="F200" s="3" t="s">
        <v>572</v>
      </c>
      <c r="G200" s="4">
        <f>+251989759276</f>
        <v>251989759276</v>
      </c>
      <c r="H200" s="3" t="s">
        <v>18</v>
      </c>
      <c r="I200" s="3" t="s">
        <v>19</v>
      </c>
      <c r="J200" s="3" t="s">
        <v>19</v>
      </c>
      <c r="K200" s="3" t="s">
        <v>25</v>
      </c>
      <c r="L200" s="3">
        <v>24.43</v>
      </c>
      <c r="M200" s="3" t="s">
        <v>21</v>
      </c>
      <c r="O200" s="3">
        <v>6031214.0</v>
      </c>
    </row>
    <row r="201">
      <c r="A201" s="3">
        <v>2472606.0</v>
      </c>
      <c r="B201" s="3" t="s">
        <v>573</v>
      </c>
      <c r="C201" s="3" t="b">
        <v>1</v>
      </c>
      <c r="D201" s="3" t="b">
        <v>1</v>
      </c>
      <c r="E201" s="3" t="s">
        <v>574</v>
      </c>
      <c r="F201" s="3" t="s">
        <v>575</v>
      </c>
      <c r="G201" s="4">
        <f>+251902407231</f>
        <v>251902407231</v>
      </c>
      <c r="H201" s="3" t="s">
        <v>18</v>
      </c>
      <c r="I201" s="3" t="s">
        <v>19</v>
      </c>
      <c r="J201" s="3" t="s">
        <v>19</v>
      </c>
      <c r="K201" s="3" t="s">
        <v>20</v>
      </c>
      <c r="L201" s="3">
        <v>21.43</v>
      </c>
      <c r="M201" s="3" t="s">
        <v>21</v>
      </c>
      <c r="O201" s="3">
        <v>8868386.0</v>
      </c>
    </row>
    <row r="202">
      <c r="A202" s="3">
        <v>2479971.0</v>
      </c>
      <c r="B202" s="3" t="s">
        <v>576</v>
      </c>
      <c r="C202" s="3" t="b">
        <v>1</v>
      </c>
      <c r="D202" s="3" t="b">
        <v>1</v>
      </c>
      <c r="E202" s="3" t="s">
        <v>577</v>
      </c>
      <c r="F202" s="3" t="s">
        <v>559</v>
      </c>
      <c r="G202" s="4">
        <f>+251983178718</f>
        <v>251983178718</v>
      </c>
      <c r="H202" s="3" t="s">
        <v>18</v>
      </c>
      <c r="I202" s="3" t="s">
        <v>19</v>
      </c>
      <c r="J202" s="3" t="s">
        <v>19</v>
      </c>
      <c r="K202" s="3" t="s">
        <v>20</v>
      </c>
      <c r="L202" s="3">
        <v>18.23</v>
      </c>
      <c r="M202" s="3" t="s">
        <v>21</v>
      </c>
      <c r="O202" s="3">
        <v>9.5747684561E10</v>
      </c>
    </row>
    <row r="203">
      <c r="A203" s="3">
        <v>2481169.0</v>
      </c>
      <c r="B203" s="3" t="s">
        <v>578</v>
      </c>
      <c r="C203" s="3" t="b">
        <v>1</v>
      </c>
      <c r="D203" s="3" t="b">
        <v>1</v>
      </c>
      <c r="E203" s="3" t="s">
        <v>579</v>
      </c>
      <c r="F203" s="3" t="s">
        <v>580</v>
      </c>
      <c r="G203" s="4">
        <f>+251983827723</f>
        <v>251983827723</v>
      </c>
      <c r="H203" s="3" t="s">
        <v>18</v>
      </c>
      <c r="I203" s="3" t="s">
        <v>19</v>
      </c>
      <c r="J203" s="3" t="s">
        <v>19</v>
      </c>
      <c r="K203" s="3" t="s">
        <v>20</v>
      </c>
      <c r="L203" s="3">
        <v>23.12</v>
      </c>
      <c r="M203" s="3" t="s">
        <v>21</v>
      </c>
      <c r="O203" s="3">
        <v>1.19938586857E11</v>
      </c>
    </row>
    <row r="204">
      <c r="A204" s="3">
        <v>2483399.0</v>
      </c>
      <c r="B204" s="3" t="s">
        <v>581</v>
      </c>
      <c r="C204" s="3" t="b">
        <v>1</v>
      </c>
      <c r="D204" s="3" t="b">
        <v>1</v>
      </c>
      <c r="E204" s="3" t="s">
        <v>192</v>
      </c>
      <c r="F204" s="3" t="s">
        <v>273</v>
      </c>
      <c r="G204" s="4">
        <f>+251913255288</f>
        <v>251913255288</v>
      </c>
      <c r="H204" s="3" t="s">
        <v>18</v>
      </c>
      <c r="I204" s="3" t="s">
        <v>19</v>
      </c>
      <c r="J204" s="3" t="s">
        <v>19</v>
      </c>
      <c r="K204" s="3" t="s">
        <v>25</v>
      </c>
      <c r="L204" s="3">
        <v>21.33</v>
      </c>
      <c r="M204" s="3" t="s">
        <v>21</v>
      </c>
      <c r="O204" s="3">
        <v>1.21452036342E11</v>
      </c>
    </row>
    <row r="205">
      <c r="A205" s="3">
        <v>2483020.0</v>
      </c>
      <c r="B205" s="3" t="s">
        <v>582</v>
      </c>
      <c r="C205" s="3" t="b">
        <v>1</v>
      </c>
      <c r="D205" s="3" t="b">
        <v>1</v>
      </c>
      <c r="E205" s="3" t="s">
        <v>583</v>
      </c>
      <c r="F205" s="3" t="s">
        <v>443</v>
      </c>
      <c r="G205" s="4">
        <f>+251969599554</f>
        <v>251969599554</v>
      </c>
      <c r="H205" s="3" t="s">
        <v>87</v>
      </c>
      <c r="I205" s="3" t="s">
        <v>19</v>
      </c>
      <c r="J205" s="3" t="s">
        <v>19</v>
      </c>
      <c r="K205" s="3" t="s">
        <v>20</v>
      </c>
      <c r="L205" s="3">
        <v>22.19</v>
      </c>
      <c r="M205" s="3" t="s">
        <v>21</v>
      </c>
      <c r="O205" s="3">
        <v>1.21190131955E11</v>
      </c>
    </row>
    <row r="206">
      <c r="A206" s="3">
        <v>2484168.0</v>
      </c>
      <c r="B206" s="3" t="s">
        <v>584</v>
      </c>
      <c r="C206" s="3" t="b">
        <v>1</v>
      </c>
      <c r="D206" s="3" t="b">
        <v>0</v>
      </c>
      <c r="E206" s="3" t="s">
        <v>585</v>
      </c>
      <c r="F206" s="3" t="s">
        <v>586</v>
      </c>
      <c r="G206" s="3">
        <v>9.04618444E8</v>
      </c>
      <c r="H206" s="3" t="s">
        <v>18</v>
      </c>
      <c r="I206" s="3" t="s">
        <v>19</v>
      </c>
      <c r="J206" s="3" t="s">
        <v>19</v>
      </c>
      <c r="K206" s="3" t="s">
        <v>25</v>
      </c>
      <c r="L206" s="3">
        <v>22.19</v>
      </c>
      <c r="M206" s="3" t="s">
        <v>21</v>
      </c>
    </row>
    <row r="207">
      <c r="A207" s="3">
        <v>2484192.0</v>
      </c>
      <c r="B207" s="3" t="s">
        <v>587</v>
      </c>
      <c r="C207" s="3" t="b">
        <v>1</v>
      </c>
      <c r="D207" s="3" t="b">
        <v>1</v>
      </c>
      <c r="E207" s="3" t="s">
        <v>304</v>
      </c>
      <c r="F207" s="3" t="s">
        <v>324</v>
      </c>
      <c r="G207" s="4">
        <f>+251967339171</f>
        <v>251967339171</v>
      </c>
      <c r="H207" s="3" t="s">
        <v>18</v>
      </c>
      <c r="I207" s="3" t="s">
        <v>19</v>
      </c>
      <c r="J207" s="3" t="s">
        <v>19</v>
      </c>
      <c r="K207" s="3" t="s">
        <v>25</v>
      </c>
      <c r="L207" s="3">
        <v>18.96</v>
      </c>
      <c r="M207" s="3" t="s">
        <v>21</v>
      </c>
    </row>
    <row r="208">
      <c r="A208" s="3">
        <v>2339515.0</v>
      </c>
      <c r="B208" s="3" t="s">
        <v>588</v>
      </c>
      <c r="C208" s="3" t="b">
        <v>1</v>
      </c>
      <c r="D208" s="3" t="b">
        <v>1</v>
      </c>
      <c r="E208" s="3" t="s">
        <v>589</v>
      </c>
      <c r="F208" s="3" t="s">
        <v>590</v>
      </c>
      <c r="G208" s="4">
        <f>+251929153122</f>
        <v>251929153122</v>
      </c>
      <c r="H208" s="3" t="s">
        <v>18</v>
      </c>
      <c r="I208" s="3" t="s">
        <v>19</v>
      </c>
      <c r="J208" s="3" t="s">
        <v>19</v>
      </c>
      <c r="K208" s="3" t="s">
        <v>20</v>
      </c>
      <c r="L208" s="3">
        <v>19.27</v>
      </c>
      <c r="M208" s="3" t="s">
        <v>21</v>
      </c>
    </row>
    <row r="209">
      <c r="A209" s="3">
        <v>2484216.0</v>
      </c>
      <c r="B209" s="3" t="s">
        <v>591</v>
      </c>
      <c r="C209" s="3" t="b">
        <v>1</v>
      </c>
      <c r="D209" s="3" t="b">
        <v>1</v>
      </c>
      <c r="E209" s="3" t="s">
        <v>592</v>
      </c>
      <c r="F209" s="3" t="s">
        <v>593</v>
      </c>
      <c r="G209" s="4">
        <f>+251973141159</f>
        <v>251973141159</v>
      </c>
      <c r="H209" s="3" t="s">
        <v>18</v>
      </c>
      <c r="I209" s="3" t="s">
        <v>19</v>
      </c>
      <c r="J209" s="3" t="s">
        <v>19</v>
      </c>
      <c r="K209" s="3" t="s">
        <v>25</v>
      </c>
      <c r="L209" s="3">
        <v>18.95</v>
      </c>
      <c r="M209" s="3" t="s">
        <v>21</v>
      </c>
    </row>
    <row r="210">
      <c r="A210" s="3">
        <v>2484202.0</v>
      </c>
      <c r="B210" s="3" t="s">
        <v>594</v>
      </c>
      <c r="C210" s="3" t="b">
        <v>1</v>
      </c>
      <c r="D210" s="3" t="b">
        <v>1</v>
      </c>
      <c r="E210" s="3" t="s">
        <v>595</v>
      </c>
      <c r="F210" s="3" t="s">
        <v>596</v>
      </c>
      <c r="G210" s="4">
        <f>+251988937672</f>
        <v>251988937672</v>
      </c>
      <c r="H210" s="3" t="s">
        <v>18</v>
      </c>
      <c r="I210" s="3" t="s">
        <v>19</v>
      </c>
      <c r="J210" s="3" t="s">
        <v>19</v>
      </c>
      <c r="K210" s="3" t="s">
        <v>20</v>
      </c>
      <c r="L210" s="3">
        <v>22.43</v>
      </c>
      <c r="M210" s="3" t="s">
        <v>21</v>
      </c>
    </row>
    <row r="211">
      <c r="A211" s="3">
        <v>2484207.0</v>
      </c>
      <c r="B211" s="3" t="s">
        <v>597</v>
      </c>
      <c r="C211" s="3" t="b">
        <v>1</v>
      </c>
      <c r="D211" s="3" t="b">
        <v>1</v>
      </c>
      <c r="E211" s="3" t="s">
        <v>598</v>
      </c>
      <c r="F211" s="3" t="s">
        <v>599</v>
      </c>
      <c r="G211" s="4">
        <f>+251951246680</f>
        <v>251951246680</v>
      </c>
      <c r="H211" s="3" t="s">
        <v>18</v>
      </c>
      <c r="I211" s="3" t="s">
        <v>19</v>
      </c>
      <c r="J211" s="3" t="s">
        <v>19</v>
      </c>
      <c r="K211" s="3" t="s">
        <v>25</v>
      </c>
      <c r="L211" s="3">
        <v>20.44</v>
      </c>
      <c r="M211" s="3" t="s">
        <v>21</v>
      </c>
    </row>
    <row r="212">
      <c r="A212" s="3">
        <v>2484222.0</v>
      </c>
      <c r="B212" s="3" t="s">
        <v>600</v>
      </c>
      <c r="C212" s="3" t="b">
        <v>1</v>
      </c>
      <c r="D212" s="3" t="b">
        <v>1</v>
      </c>
      <c r="E212" s="3" t="s">
        <v>601</v>
      </c>
      <c r="F212" s="3" t="s">
        <v>602</v>
      </c>
      <c r="G212" s="4">
        <f>+251902778144</f>
        <v>251902778144</v>
      </c>
      <c r="H212" s="3" t="s">
        <v>18</v>
      </c>
      <c r="I212" s="3" t="s">
        <v>19</v>
      </c>
      <c r="J212" s="3" t="s">
        <v>19</v>
      </c>
      <c r="K212" s="3" t="s">
        <v>25</v>
      </c>
      <c r="L212" s="3">
        <v>21.16</v>
      </c>
      <c r="M212" s="3" t="s">
        <v>21</v>
      </c>
    </row>
    <row r="213">
      <c r="A213" s="3">
        <v>2484223.0</v>
      </c>
      <c r="B213" s="3" t="s">
        <v>603</v>
      </c>
      <c r="C213" s="3" t="b">
        <v>1</v>
      </c>
      <c r="D213" s="3" t="b">
        <v>1</v>
      </c>
      <c r="E213" s="3" t="s">
        <v>162</v>
      </c>
      <c r="F213" s="3" t="s">
        <v>604</v>
      </c>
      <c r="G213" s="4">
        <f>+251985175239</f>
        <v>251985175239</v>
      </c>
      <c r="H213" s="3" t="s">
        <v>18</v>
      </c>
      <c r="I213" s="3" t="s">
        <v>19</v>
      </c>
      <c r="J213" s="3" t="s">
        <v>19</v>
      </c>
      <c r="K213" s="3" t="s">
        <v>25</v>
      </c>
      <c r="L213" s="3">
        <v>19.68</v>
      </c>
      <c r="M213" s="3" t="s">
        <v>21</v>
      </c>
    </row>
    <row r="214">
      <c r="A214" s="3">
        <v>2484210.0</v>
      </c>
      <c r="B214" s="3" t="s">
        <v>605</v>
      </c>
      <c r="C214" s="3" t="b">
        <v>1</v>
      </c>
      <c r="D214" s="3" t="b">
        <v>1</v>
      </c>
      <c r="E214" s="3" t="s">
        <v>162</v>
      </c>
      <c r="F214" s="3" t="s">
        <v>271</v>
      </c>
      <c r="G214" s="4">
        <f>+251968050553</f>
        <v>251968050553</v>
      </c>
      <c r="H214" s="3" t="s">
        <v>18</v>
      </c>
      <c r="I214" s="3" t="s">
        <v>19</v>
      </c>
      <c r="J214" s="3" t="s">
        <v>19</v>
      </c>
      <c r="K214" s="3" t="s">
        <v>25</v>
      </c>
      <c r="L214" s="3">
        <v>23.08</v>
      </c>
      <c r="M214" s="3" t="s">
        <v>21</v>
      </c>
      <c r="O214" s="3">
        <v>1.22376435946E11</v>
      </c>
    </row>
    <row r="215">
      <c r="A215" s="3">
        <v>2484234.0</v>
      </c>
      <c r="B215" s="3" t="s">
        <v>606</v>
      </c>
      <c r="C215" s="3" t="b">
        <v>1</v>
      </c>
      <c r="D215" s="3" t="b">
        <v>1</v>
      </c>
      <c r="E215" s="3" t="s">
        <v>607</v>
      </c>
      <c r="F215" s="3" t="s">
        <v>404</v>
      </c>
      <c r="G215" s="4">
        <f>+251961054054</f>
        <v>251961054054</v>
      </c>
      <c r="H215" s="3" t="s">
        <v>18</v>
      </c>
      <c r="I215" s="3" t="s">
        <v>19</v>
      </c>
      <c r="J215" s="3" t="s">
        <v>19</v>
      </c>
      <c r="K215" s="3" t="s">
        <v>20</v>
      </c>
      <c r="L215" s="3">
        <v>20.26</v>
      </c>
      <c r="M215" s="3" t="s">
        <v>21</v>
      </c>
      <c r="O215" s="3">
        <v>1.22266667199E11</v>
      </c>
    </row>
    <row r="216">
      <c r="A216" s="3">
        <v>2484231.0</v>
      </c>
      <c r="B216" s="3" t="s">
        <v>608</v>
      </c>
      <c r="C216" s="3" t="b">
        <v>1</v>
      </c>
      <c r="D216" s="3" t="b">
        <v>1</v>
      </c>
      <c r="E216" s="3" t="s">
        <v>188</v>
      </c>
      <c r="F216" s="3" t="s">
        <v>292</v>
      </c>
      <c r="G216" s="4">
        <f>+251991128166</f>
        <v>251991128166</v>
      </c>
      <c r="H216" s="3" t="s">
        <v>18</v>
      </c>
      <c r="I216" s="3" t="s">
        <v>19</v>
      </c>
      <c r="J216" s="3" t="s">
        <v>19</v>
      </c>
      <c r="K216" s="3" t="s">
        <v>25</v>
      </c>
      <c r="L216" s="3">
        <v>20.3</v>
      </c>
      <c r="M216" s="3" t="s">
        <v>21</v>
      </c>
      <c r="O216" s="3">
        <v>1.22377193716E11</v>
      </c>
    </row>
    <row r="217">
      <c r="A217" s="3">
        <v>374706.0</v>
      </c>
      <c r="B217" s="3" t="s">
        <v>609</v>
      </c>
      <c r="C217" s="3" t="b">
        <v>1</v>
      </c>
      <c r="D217" s="3" t="b">
        <v>1</v>
      </c>
      <c r="E217" s="3" t="s">
        <v>607</v>
      </c>
      <c r="F217" s="3" t="s">
        <v>610</v>
      </c>
      <c r="G217" s="4">
        <f>+251989528444</f>
        <v>251989528444</v>
      </c>
      <c r="H217" s="3" t="s">
        <v>18</v>
      </c>
      <c r="I217" s="3" t="s">
        <v>19</v>
      </c>
      <c r="J217" s="3" t="s">
        <v>19</v>
      </c>
      <c r="K217" s="3" t="s">
        <v>20</v>
      </c>
      <c r="L217" s="3">
        <v>19.4</v>
      </c>
      <c r="M217" s="3" t="s">
        <v>21</v>
      </c>
    </row>
    <row r="218">
      <c r="A218" s="3">
        <v>2484232.0</v>
      </c>
      <c r="B218" s="3" t="s">
        <v>611</v>
      </c>
      <c r="C218" s="3" t="b">
        <v>1</v>
      </c>
      <c r="D218" s="3" t="b">
        <v>1</v>
      </c>
      <c r="E218" s="3" t="s">
        <v>612</v>
      </c>
      <c r="F218" s="3" t="s">
        <v>613</v>
      </c>
      <c r="G218" s="4">
        <f>+251969280022</f>
        <v>251969280022</v>
      </c>
      <c r="H218" s="3" t="s">
        <v>18</v>
      </c>
      <c r="I218" s="3" t="s">
        <v>19</v>
      </c>
      <c r="J218" s="3" t="s">
        <v>19</v>
      </c>
      <c r="K218" s="3" t="s">
        <v>25</v>
      </c>
      <c r="L218" s="3">
        <v>18.87</v>
      </c>
      <c r="M218" s="3" t="s">
        <v>21</v>
      </c>
      <c r="O218" s="3">
        <v>3.1181736156E10</v>
      </c>
    </row>
    <row r="219">
      <c r="A219" s="3">
        <v>2484237.0</v>
      </c>
      <c r="B219" s="3" t="s">
        <v>614</v>
      </c>
      <c r="C219" s="3" t="b">
        <v>1</v>
      </c>
      <c r="D219" s="3" t="b">
        <v>1</v>
      </c>
      <c r="E219" s="3" t="s">
        <v>468</v>
      </c>
      <c r="F219" s="3" t="s">
        <v>615</v>
      </c>
      <c r="G219" s="4">
        <f>+251930546275</f>
        <v>251930546275</v>
      </c>
      <c r="H219" s="3" t="s">
        <v>18</v>
      </c>
      <c r="I219" s="3" t="s">
        <v>19</v>
      </c>
      <c r="J219" s="3" t="s">
        <v>19</v>
      </c>
      <c r="K219" s="3" t="s">
        <v>25</v>
      </c>
      <c r="L219" s="3">
        <v>26.14</v>
      </c>
      <c r="M219" s="3" t="s">
        <v>21</v>
      </c>
      <c r="O219" s="3">
        <v>1.22255912176E11</v>
      </c>
    </row>
    <row r="220">
      <c r="A220" s="3">
        <v>2484224.0</v>
      </c>
      <c r="B220" s="3" t="s">
        <v>616</v>
      </c>
      <c r="C220" s="3" t="b">
        <v>1</v>
      </c>
      <c r="D220" s="3" t="b">
        <v>1</v>
      </c>
      <c r="E220" s="3" t="s">
        <v>420</v>
      </c>
      <c r="F220" s="3" t="s">
        <v>179</v>
      </c>
      <c r="G220" s="4">
        <f>+251939316169</f>
        <v>251939316169</v>
      </c>
      <c r="H220" s="3" t="s">
        <v>18</v>
      </c>
      <c r="I220" s="3" t="s">
        <v>19</v>
      </c>
      <c r="J220" s="3" t="s">
        <v>19</v>
      </c>
      <c r="K220" s="3" t="s">
        <v>25</v>
      </c>
      <c r="L220" s="3">
        <v>18.57</v>
      </c>
      <c r="M220" s="3" t="s">
        <v>21</v>
      </c>
    </row>
    <row r="221">
      <c r="A221" s="3">
        <v>2484246.0</v>
      </c>
      <c r="B221" s="3" t="s">
        <v>617</v>
      </c>
      <c r="C221" s="3" t="b">
        <v>1</v>
      </c>
      <c r="D221" s="3" t="b">
        <v>1</v>
      </c>
      <c r="E221" s="3" t="s">
        <v>618</v>
      </c>
      <c r="F221" s="3" t="s">
        <v>420</v>
      </c>
      <c r="G221" s="4">
        <f>+251962009720</f>
        <v>251962009720</v>
      </c>
      <c r="H221" s="3" t="s">
        <v>18</v>
      </c>
      <c r="I221" s="3" t="s">
        <v>19</v>
      </c>
      <c r="J221" s="3" t="s">
        <v>19</v>
      </c>
      <c r="K221" s="3" t="s">
        <v>25</v>
      </c>
      <c r="L221" s="3">
        <v>19.1</v>
      </c>
      <c r="M221" s="3" t="s">
        <v>21</v>
      </c>
      <c r="O221" s="3">
        <v>1.22261136628E11</v>
      </c>
    </row>
    <row r="222">
      <c r="A222" s="3">
        <v>2479992.0</v>
      </c>
      <c r="B222" s="3" t="s">
        <v>619</v>
      </c>
      <c r="C222" s="3" t="b">
        <v>1</v>
      </c>
      <c r="D222" s="3" t="b">
        <v>1</v>
      </c>
      <c r="E222" s="3" t="s">
        <v>620</v>
      </c>
      <c r="F222" s="3" t="s">
        <v>621</v>
      </c>
      <c r="G222" s="4">
        <f>+251945264165</f>
        <v>251945264165</v>
      </c>
      <c r="H222" s="3" t="s">
        <v>18</v>
      </c>
      <c r="I222" s="3" t="s">
        <v>19</v>
      </c>
      <c r="J222" s="3" t="s">
        <v>19</v>
      </c>
      <c r="K222" s="3" t="s">
        <v>20</v>
      </c>
      <c r="L222" s="3">
        <v>18.25</v>
      </c>
      <c r="M222" s="3" t="s">
        <v>21</v>
      </c>
      <c r="O222" s="3">
        <v>1.18699448557E11</v>
      </c>
    </row>
    <row r="223">
      <c r="A223" s="3">
        <v>336133.0</v>
      </c>
      <c r="B223" s="3" t="s">
        <v>622</v>
      </c>
      <c r="C223" s="3" t="b">
        <v>1</v>
      </c>
      <c r="D223" s="3" t="b">
        <v>1</v>
      </c>
      <c r="E223" s="3" t="s">
        <v>623</v>
      </c>
      <c r="F223" s="3" t="s">
        <v>624</v>
      </c>
      <c r="G223" s="4">
        <f>+251942740001</f>
        <v>251942740001</v>
      </c>
      <c r="H223" s="3" t="s">
        <v>18</v>
      </c>
      <c r="I223" s="3" t="s">
        <v>19</v>
      </c>
      <c r="J223" s="3" t="s">
        <v>19</v>
      </c>
      <c r="K223" s="3" t="s">
        <v>20</v>
      </c>
      <c r="L223" s="3">
        <v>19.8</v>
      </c>
      <c r="M223" s="3" t="s">
        <v>21</v>
      </c>
      <c r="O223" s="3">
        <v>2.7495941E7</v>
      </c>
    </row>
    <row r="224">
      <c r="A224" s="3">
        <v>2484249.0</v>
      </c>
      <c r="B224" s="3" t="s">
        <v>625</v>
      </c>
      <c r="C224" s="3" t="b">
        <v>1</v>
      </c>
      <c r="D224" s="3" t="b">
        <v>1</v>
      </c>
      <c r="E224" s="3" t="s">
        <v>626</v>
      </c>
      <c r="F224" s="3" t="s">
        <v>627</v>
      </c>
      <c r="G224" s="4">
        <f>+251956015521</f>
        <v>251956015521</v>
      </c>
      <c r="H224" s="3" t="s">
        <v>18</v>
      </c>
      <c r="I224" s="3" t="s">
        <v>19</v>
      </c>
      <c r="J224" s="3" t="s">
        <v>19</v>
      </c>
      <c r="K224" s="3" t="s">
        <v>25</v>
      </c>
      <c r="L224" s="3">
        <v>18.62</v>
      </c>
      <c r="M224" s="3" t="s">
        <v>21</v>
      </c>
    </row>
    <row r="225">
      <c r="A225" s="3">
        <v>1309098.0</v>
      </c>
      <c r="B225" s="3" t="s">
        <v>628</v>
      </c>
      <c r="C225" s="3" t="b">
        <v>1</v>
      </c>
      <c r="D225" s="3" t="b">
        <v>1</v>
      </c>
      <c r="E225" s="3" t="s">
        <v>192</v>
      </c>
      <c r="F225" s="3" t="s">
        <v>629</v>
      </c>
      <c r="G225" s="4">
        <f>+251915745991</f>
        <v>251915745991</v>
      </c>
      <c r="H225" s="3" t="s">
        <v>18</v>
      </c>
      <c r="I225" s="3" t="s">
        <v>19</v>
      </c>
      <c r="J225" s="3" t="s">
        <v>19</v>
      </c>
      <c r="K225" s="3" t="s">
        <v>25</v>
      </c>
      <c r="L225" s="3">
        <v>22.51</v>
      </c>
      <c r="M225" s="3" t="s">
        <v>21</v>
      </c>
      <c r="O225" s="3">
        <v>3261771.0</v>
      </c>
    </row>
    <row r="226">
      <c r="A226" s="3">
        <v>2484252.0</v>
      </c>
      <c r="B226" s="3" t="s">
        <v>630</v>
      </c>
      <c r="C226" s="3" t="b">
        <v>1</v>
      </c>
      <c r="D226" s="3" t="b">
        <v>1</v>
      </c>
      <c r="E226" s="3" t="s">
        <v>195</v>
      </c>
      <c r="F226" s="3" t="s">
        <v>631</v>
      </c>
      <c r="G226" s="4">
        <f>+251995145512</f>
        <v>251995145512</v>
      </c>
      <c r="H226" s="3" t="s">
        <v>18</v>
      </c>
      <c r="I226" s="3" t="s">
        <v>19</v>
      </c>
      <c r="J226" s="3" t="s">
        <v>19</v>
      </c>
      <c r="K226" s="3" t="s">
        <v>20</v>
      </c>
      <c r="L226" s="3">
        <v>20.5</v>
      </c>
      <c r="M226" s="3" t="s">
        <v>21</v>
      </c>
      <c r="O226" s="3">
        <v>1.22382866634E11</v>
      </c>
    </row>
    <row r="227">
      <c r="A227" s="3">
        <v>2484266.0</v>
      </c>
      <c r="B227" s="3" t="s">
        <v>632</v>
      </c>
      <c r="C227" s="3" t="b">
        <v>1</v>
      </c>
      <c r="D227" s="3" t="b">
        <v>1</v>
      </c>
      <c r="E227" s="3" t="s">
        <v>633</v>
      </c>
      <c r="F227" s="3" t="s">
        <v>634</v>
      </c>
      <c r="G227" s="4">
        <f>+251939070264</f>
        <v>251939070264</v>
      </c>
      <c r="H227" s="3" t="s">
        <v>18</v>
      </c>
      <c r="I227" s="3" t="s">
        <v>19</v>
      </c>
      <c r="J227" s="3" t="s">
        <v>635</v>
      </c>
      <c r="K227" s="3" t="s">
        <v>25</v>
      </c>
      <c r="L227" s="3">
        <v>20.34</v>
      </c>
      <c r="M227" s="3" t="s">
        <v>21</v>
      </c>
      <c r="O227" s="3">
        <v>1.22383415494E11</v>
      </c>
    </row>
    <row r="228">
      <c r="A228" s="3">
        <v>2384978.0</v>
      </c>
      <c r="B228" s="3" t="s">
        <v>636</v>
      </c>
      <c r="C228" s="3" t="b">
        <v>1</v>
      </c>
      <c r="D228" s="3" t="b">
        <v>1</v>
      </c>
      <c r="E228" s="3" t="s">
        <v>522</v>
      </c>
      <c r="F228" s="3" t="s">
        <v>118</v>
      </c>
      <c r="G228" s="4">
        <f>+251974062002</f>
        <v>251974062002</v>
      </c>
      <c r="H228" s="3" t="s">
        <v>18</v>
      </c>
      <c r="I228" s="3" t="s">
        <v>19</v>
      </c>
      <c r="J228" s="3" t="s">
        <v>19</v>
      </c>
      <c r="K228" s="3" t="s">
        <v>20</v>
      </c>
      <c r="L228" s="3">
        <v>19.32</v>
      </c>
      <c r="M228" s="3" t="s">
        <v>21</v>
      </c>
      <c r="O228" s="3">
        <v>8911247.0</v>
      </c>
    </row>
    <row r="229">
      <c r="A229" s="3">
        <v>2484267.0</v>
      </c>
      <c r="B229" s="3" t="s">
        <v>637</v>
      </c>
      <c r="C229" s="3" t="b">
        <v>1</v>
      </c>
      <c r="D229" s="3" t="b">
        <v>1</v>
      </c>
      <c r="E229" s="3" t="s">
        <v>638</v>
      </c>
      <c r="F229" s="3" t="s">
        <v>639</v>
      </c>
      <c r="G229" s="4">
        <f>+251982738934</f>
        <v>251982738934</v>
      </c>
      <c r="H229" s="3" t="s">
        <v>18</v>
      </c>
      <c r="I229" s="3" t="s">
        <v>19</v>
      </c>
      <c r="J229" s="3" t="s">
        <v>19</v>
      </c>
      <c r="K229" s="3" t="s">
        <v>25</v>
      </c>
      <c r="L229" s="3">
        <v>23.31</v>
      </c>
      <c r="M229" s="3" t="s">
        <v>21</v>
      </c>
      <c r="O229" s="3">
        <v>1.22270916857E11</v>
      </c>
    </row>
    <row r="230">
      <c r="A230" s="3">
        <v>2484268.0</v>
      </c>
      <c r="B230" s="3" t="s">
        <v>640</v>
      </c>
      <c r="C230" s="3" t="b">
        <v>1</v>
      </c>
      <c r="D230" s="3" t="b">
        <v>1</v>
      </c>
      <c r="E230" s="3" t="s">
        <v>641</v>
      </c>
      <c r="F230" s="3" t="s">
        <v>642</v>
      </c>
      <c r="G230" s="4">
        <f>+251917633361</f>
        <v>251917633361</v>
      </c>
      <c r="H230" s="3" t="s">
        <v>18</v>
      </c>
      <c r="I230" s="3" t="s">
        <v>19</v>
      </c>
      <c r="J230" s="3" t="s">
        <v>19</v>
      </c>
      <c r="K230" s="3" t="s">
        <v>25</v>
      </c>
      <c r="L230" s="3">
        <v>21.1</v>
      </c>
      <c r="M230" s="3" t="s">
        <v>21</v>
      </c>
      <c r="O230" s="3">
        <v>1.22383463657E11</v>
      </c>
    </row>
    <row r="231">
      <c r="A231" s="3">
        <v>2484284.0</v>
      </c>
      <c r="B231" s="3" t="s">
        <v>643</v>
      </c>
      <c r="C231" s="3" t="b">
        <v>1</v>
      </c>
      <c r="D231" s="3" t="b">
        <v>1</v>
      </c>
      <c r="E231" s="3" t="s">
        <v>220</v>
      </c>
      <c r="F231" s="3" t="s">
        <v>613</v>
      </c>
      <c r="G231" s="4">
        <f>+251904179786</f>
        <v>251904179786</v>
      </c>
      <c r="H231" s="3" t="s">
        <v>18</v>
      </c>
      <c r="I231" s="3" t="s">
        <v>19</v>
      </c>
      <c r="J231" s="3" t="s">
        <v>19</v>
      </c>
      <c r="K231" s="3" t="s">
        <v>20</v>
      </c>
      <c r="L231" s="3">
        <v>19.61</v>
      </c>
      <c r="M231" s="3" t="s">
        <v>21</v>
      </c>
      <c r="O231" s="3">
        <v>1.22283417848E11</v>
      </c>
    </row>
    <row r="232">
      <c r="A232" s="3">
        <v>2457778.0</v>
      </c>
      <c r="B232" s="3" t="s">
        <v>644</v>
      </c>
      <c r="C232" s="3" t="b">
        <v>1</v>
      </c>
      <c r="D232" s="3" t="b">
        <v>1</v>
      </c>
      <c r="E232" s="3" t="s">
        <v>645</v>
      </c>
      <c r="F232" s="3" t="s">
        <v>646</v>
      </c>
      <c r="G232" s="4">
        <f>+251969194015</f>
        <v>251969194015</v>
      </c>
      <c r="H232" s="3" t="s">
        <v>18</v>
      </c>
      <c r="I232" s="3" t="s">
        <v>19</v>
      </c>
      <c r="J232" s="3" t="s">
        <v>19</v>
      </c>
      <c r="K232" s="3" t="s">
        <v>25</v>
      </c>
      <c r="L232" s="3">
        <v>19.6</v>
      </c>
      <c r="M232" s="3" t="s">
        <v>21</v>
      </c>
    </row>
    <row r="233">
      <c r="A233" s="3">
        <v>2484301.0</v>
      </c>
      <c r="B233" s="3" t="s">
        <v>647</v>
      </c>
      <c r="C233" s="3" t="b">
        <v>1</v>
      </c>
      <c r="D233" s="3" t="b">
        <v>1</v>
      </c>
      <c r="E233" s="3" t="s">
        <v>648</v>
      </c>
      <c r="F233" s="3" t="s">
        <v>649</v>
      </c>
      <c r="G233" s="3">
        <v>9.4027189E8</v>
      </c>
      <c r="H233" s="3" t="s">
        <v>18</v>
      </c>
      <c r="I233" s="3" t="s">
        <v>19</v>
      </c>
      <c r="J233" s="3" t="s">
        <v>19</v>
      </c>
      <c r="K233" s="3" t="s">
        <v>20</v>
      </c>
      <c r="L233" s="3">
        <v>21.79</v>
      </c>
      <c r="M233" s="3" t="s">
        <v>21</v>
      </c>
    </row>
    <row r="234">
      <c r="A234" s="3">
        <v>2484298.0</v>
      </c>
      <c r="B234" s="3" t="s">
        <v>650</v>
      </c>
      <c r="C234" s="3" t="b">
        <v>1</v>
      </c>
      <c r="D234" s="3" t="b">
        <v>1</v>
      </c>
      <c r="E234" s="3" t="s">
        <v>420</v>
      </c>
      <c r="F234" s="3" t="s">
        <v>651</v>
      </c>
      <c r="G234" s="4">
        <f>+251963338061</f>
        <v>251963338061</v>
      </c>
      <c r="H234" s="3" t="s">
        <v>18</v>
      </c>
      <c r="I234" s="3" t="s">
        <v>19</v>
      </c>
      <c r="J234" s="3" t="s">
        <v>19</v>
      </c>
      <c r="K234" s="3" t="s">
        <v>25</v>
      </c>
      <c r="L234" s="3">
        <v>19.75</v>
      </c>
      <c r="M234" s="3" t="s">
        <v>21</v>
      </c>
    </row>
    <row r="235">
      <c r="A235" s="3">
        <v>2484289.0</v>
      </c>
      <c r="B235" s="3" t="s">
        <v>652</v>
      </c>
      <c r="C235" s="3" t="b">
        <v>1</v>
      </c>
      <c r="D235" s="3" t="b">
        <v>1</v>
      </c>
      <c r="E235" s="3" t="s">
        <v>653</v>
      </c>
      <c r="F235" s="3" t="s">
        <v>422</v>
      </c>
      <c r="G235" s="4">
        <f>+251928027092</f>
        <v>251928027092</v>
      </c>
      <c r="H235" s="3" t="s">
        <v>18</v>
      </c>
      <c r="I235" s="3" t="s">
        <v>19</v>
      </c>
      <c r="J235" s="3" t="s">
        <v>19</v>
      </c>
      <c r="K235" s="3" t="s">
        <v>25</v>
      </c>
      <c r="L235" s="3">
        <v>21.88</v>
      </c>
      <c r="M235" s="3" t="s">
        <v>21</v>
      </c>
      <c r="O235" s="3">
        <v>744305.0</v>
      </c>
    </row>
    <row r="236">
      <c r="A236" s="3">
        <v>2484299.0</v>
      </c>
      <c r="B236" s="3" t="s">
        <v>654</v>
      </c>
      <c r="C236" s="3" t="b">
        <v>1</v>
      </c>
      <c r="D236" s="3" t="b">
        <v>1</v>
      </c>
      <c r="E236" s="3" t="s">
        <v>655</v>
      </c>
      <c r="F236" s="3" t="s">
        <v>656</v>
      </c>
      <c r="G236" s="4">
        <f>+251944116770</f>
        <v>251944116770</v>
      </c>
      <c r="H236" s="3" t="s">
        <v>18</v>
      </c>
      <c r="I236" s="3" t="s">
        <v>19</v>
      </c>
      <c r="J236" s="3" t="s">
        <v>19</v>
      </c>
      <c r="K236" s="3" t="s">
        <v>25</v>
      </c>
      <c r="L236" s="3">
        <v>21.16</v>
      </c>
      <c r="M236" s="3" t="s">
        <v>21</v>
      </c>
    </row>
    <row r="237">
      <c r="A237" s="3">
        <v>2484304.0</v>
      </c>
      <c r="B237" s="3" t="s">
        <v>657</v>
      </c>
      <c r="C237" s="3" t="b">
        <v>1</v>
      </c>
      <c r="D237" s="3" t="b">
        <v>1</v>
      </c>
      <c r="E237" s="3" t="s">
        <v>85</v>
      </c>
      <c r="F237" s="3" t="s">
        <v>658</v>
      </c>
      <c r="G237" s="4">
        <f>+251909119899</f>
        <v>251909119899</v>
      </c>
      <c r="H237" s="3" t="s">
        <v>18</v>
      </c>
      <c r="I237" s="3" t="s">
        <v>19</v>
      </c>
      <c r="J237" s="3" t="s">
        <v>19</v>
      </c>
      <c r="K237" s="3" t="s">
        <v>25</v>
      </c>
      <c r="L237" s="3">
        <v>21.65</v>
      </c>
      <c r="M237" s="3" t="s">
        <v>21</v>
      </c>
      <c r="O237" s="3">
        <v>1.22394200311E11</v>
      </c>
    </row>
    <row r="238">
      <c r="A238" s="3">
        <v>431187.0</v>
      </c>
      <c r="B238" s="3" t="s">
        <v>659</v>
      </c>
      <c r="C238" s="3" t="b">
        <v>1</v>
      </c>
      <c r="D238" s="3" t="b">
        <v>1</v>
      </c>
      <c r="E238" s="3" t="s">
        <v>397</v>
      </c>
      <c r="F238" s="3" t="s">
        <v>101</v>
      </c>
      <c r="G238" s="4">
        <f>+251973075517</f>
        <v>251973075517</v>
      </c>
      <c r="H238" s="3" t="s">
        <v>18</v>
      </c>
      <c r="I238" s="3" t="s">
        <v>19</v>
      </c>
      <c r="J238" s="3" t="s">
        <v>19</v>
      </c>
      <c r="K238" s="3" t="s">
        <v>25</v>
      </c>
      <c r="L238" s="3">
        <v>21.07</v>
      </c>
      <c r="M238" s="3" t="s">
        <v>21</v>
      </c>
      <c r="O238" s="3">
        <v>2.8076849E7</v>
      </c>
    </row>
    <row r="239">
      <c r="A239" s="3">
        <v>2484316.0</v>
      </c>
      <c r="B239" s="3" t="s">
        <v>660</v>
      </c>
      <c r="C239" s="3" t="b">
        <v>1</v>
      </c>
      <c r="D239" s="3" t="b">
        <v>1</v>
      </c>
      <c r="E239" s="3" t="s">
        <v>436</v>
      </c>
      <c r="F239" s="3" t="s">
        <v>661</v>
      </c>
      <c r="G239" s="4">
        <f>+251902268040</f>
        <v>251902268040</v>
      </c>
      <c r="H239" s="3" t="s">
        <v>18</v>
      </c>
      <c r="I239" s="3" t="s">
        <v>19</v>
      </c>
      <c r="J239" s="3" t="s">
        <v>19</v>
      </c>
      <c r="K239" s="3" t="s">
        <v>20</v>
      </c>
      <c r="L239" s="3">
        <v>21.05</v>
      </c>
      <c r="M239" s="3" t="s">
        <v>21</v>
      </c>
      <c r="O239" s="3">
        <v>1.22398477544E11</v>
      </c>
    </row>
    <row r="240">
      <c r="A240" s="3">
        <v>2484314.0</v>
      </c>
      <c r="B240" s="3" t="s">
        <v>662</v>
      </c>
      <c r="C240" s="3" t="b">
        <v>1</v>
      </c>
      <c r="D240" s="3" t="b">
        <v>1</v>
      </c>
      <c r="E240" s="3" t="s">
        <v>663</v>
      </c>
      <c r="F240" s="3" t="s">
        <v>664</v>
      </c>
      <c r="G240" s="4">
        <f>+251926080866</f>
        <v>251926080866</v>
      </c>
      <c r="H240" s="3" t="s">
        <v>18</v>
      </c>
      <c r="I240" s="3" t="s">
        <v>19</v>
      </c>
      <c r="J240" s="3" t="s">
        <v>19</v>
      </c>
      <c r="K240" s="3" t="s">
        <v>20</v>
      </c>
      <c r="L240" s="3">
        <v>19.19</v>
      </c>
      <c r="M240" s="3" t="s">
        <v>21</v>
      </c>
      <c r="O240" s="3">
        <v>1.22286809283E11</v>
      </c>
    </row>
    <row r="241">
      <c r="A241" s="3">
        <v>754610.0</v>
      </c>
      <c r="B241" s="3" t="s">
        <v>665</v>
      </c>
      <c r="C241" s="3" t="b">
        <v>1</v>
      </c>
      <c r="D241" s="3" t="b">
        <v>1</v>
      </c>
      <c r="E241" s="3" t="s">
        <v>420</v>
      </c>
      <c r="F241" s="3" t="s">
        <v>666</v>
      </c>
      <c r="G241" s="4">
        <f>+251933527368</f>
        <v>251933527368</v>
      </c>
      <c r="H241" s="3" t="s">
        <v>18</v>
      </c>
      <c r="I241" s="3" t="s">
        <v>19</v>
      </c>
      <c r="J241" s="3" t="s">
        <v>19</v>
      </c>
      <c r="K241" s="3" t="s">
        <v>25</v>
      </c>
      <c r="L241" s="3">
        <v>20.15</v>
      </c>
      <c r="M241" s="3" t="s">
        <v>21</v>
      </c>
      <c r="O241" s="3">
        <v>2.9746029E7</v>
      </c>
    </row>
    <row r="242">
      <c r="A242" s="3">
        <v>2484324.0</v>
      </c>
      <c r="B242" s="3" t="s">
        <v>667</v>
      </c>
      <c r="C242" s="3" t="b">
        <v>1</v>
      </c>
      <c r="D242" s="3" t="b">
        <v>1</v>
      </c>
      <c r="E242" s="3" t="s">
        <v>267</v>
      </c>
      <c r="F242" s="3" t="s">
        <v>668</v>
      </c>
      <c r="G242" s="4">
        <f>+251919576003</f>
        <v>251919576003</v>
      </c>
      <c r="H242" s="3" t="s">
        <v>18</v>
      </c>
      <c r="I242" s="3" t="s">
        <v>19</v>
      </c>
      <c r="J242" s="3" t="s">
        <v>19</v>
      </c>
      <c r="K242" s="3" t="s">
        <v>25</v>
      </c>
      <c r="L242" s="3">
        <v>23.07</v>
      </c>
      <c r="M242" s="3" t="s">
        <v>21</v>
      </c>
      <c r="O242" s="3">
        <v>1.22287317187E11</v>
      </c>
    </row>
    <row r="243">
      <c r="A243" s="3">
        <v>2484355.0</v>
      </c>
      <c r="B243" s="3" t="s">
        <v>669</v>
      </c>
      <c r="C243" s="3" t="b">
        <v>1</v>
      </c>
      <c r="D243" s="3" t="b">
        <v>1</v>
      </c>
      <c r="E243" s="3" t="s">
        <v>670</v>
      </c>
      <c r="F243" s="3" t="s">
        <v>671</v>
      </c>
      <c r="G243" s="4">
        <f>+251918345691</f>
        <v>251918345691</v>
      </c>
      <c r="H243" s="3" t="s">
        <v>18</v>
      </c>
      <c r="I243" s="3" t="s">
        <v>19</v>
      </c>
      <c r="J243" s="3" t="s">
        <v>19</v>
      </c>
      <c r="K243" s="3" t="s">
        <v>25</v>
      </c>
      <c r="L243" s="3">
        <v>32.2</v>
      </c>
      <c r="M243" s="3" t="s">
        <v>21</v>
      </c>
    </row>
    <row r="244">
      <c r="A244" s="3">
        <v>2484349.0</v>
      </c>
      <c r="B244" s="3" t="s">
        <v>672</v>
      </c>
      <c r="C244" s="3" t="b">
        <v>1</v>
      </c>
      <c r="D244" s="3" t="b">
        <v>1</v>
      </c>
      <c r="E244" s="3" t="s">
        <v>673</v>
      </c>
      <c r="F244" s="3" t="s">
        <v>674</v>
      </c>
      <c r="G244" s="4">
        <f>+251928318842</f>
        <v>251928318842</v>
      </c>
      <c r="H244" s="3" t="s">
        <v>18</v>
      </c>
      <c r="I244" s="3" t="s">
        <v>19</v>
      </c>
      <c r="J244" s="3" t="s">
        <v>19</v>
      </c>
      <c r="K244" s="3" t="s">
        <v>25</v>
      </c>
      <c r="L244" s="3">
        <v>21.65</v>
      </c>
      <c r="M244" s="3" t="s">
        <v>21</v>
      </c>
    </row>
    <row r="245">
      <c r="A245" s="3">
        <v>2484362.0</v>
      </c>
      <c r="B245" s="3" t="s">
        <v>675</v>
      </c>
      <c r="C245" s="3" t="b">
        <v>1</v>
      </c>
      <c r="D245" s="3" t="b">
        <v>1</v>
      </c>
      <c r="E245" s="3" t="s">
        <v>676</v>
      </c>
      <c r="F245" s="3" t="s">
        <v>395</v>
      </c>
      <c r="G245" s="4">
        <f>+251947644120</f>
        <v>251947644120</v>
      </c>
      <c r="H245" s="3" t="s">
        <v>18</v>
      </c>
      <c r="I245" s="3" t="s">
        <v>19</v>
      </c>
      <c r="J245" s="3" t="s">
        <v>19</v>
      </c>
      <c r="K245" s="3" t="s">
        <v>25</v>
      </c>
      <c r="L245" s="3">
        <v>18.35</v>
      </c>
      <c r="M245" s="3" t="s">
        <v>21</v>
      </c>
      <c r="O245" s="3">
        <v>1.22290178256E11</v>
      </c>
    </row>
    <row r="246">
      <c r="A246" s="3">
        <v>2484368.0</v>
      </c>
      <c r="B246" s="3" t="s">
        <v>677</v>
      </c>
      <c r="C246" s="3" t="b">
        <v>1</v>
      </c>
      <c r="D246" s="3" t="b">
        <v>1</v>
      </c>
      <c r="E246" s="3" t="s">
        <v>534</v>
      </c>
      <c r="F246" s="3" t="s">
        <v>446</v>
      </c>
      <c r="G246" s="4">
        <f>+251945759973</f>
        <v>251945759973</v>
      </c>
      <c r="H246" s="3" t="s">
        <v>18</v>
      </c>
      <c r="I246" s="3" t="s">
        <v>19</v>
      </c>
      <c r="J246" s="3" t="s">
        <v>19</v>
      </c>
      <c r="K246" s="3" t="s">
        <v>25</v>
      </c>
      <c r="L246" s="3">
        <v>19.47</v>
      </c>
      <c r="M246" s="3" t="s">
        <v>21</v>
      </c>
      <c r="O246" s="3">
        <v>1.22401545434E11</v>
      </c>
    </row>
    <row r="247">
      <c r="A247" s="3">
        <v>1065157.0</v>
      </c>
      <c r="B247" s="3" t="s">
        <v>678</v>
      </c>
      <c r="C247" s="3" t="b">
        <v>1</v>
      </c>
      <c r="D247" s="3" t="b">
        <v>0</v>
      </c>
      <c r="E247" s="3" t="s">
        <v>338</v>
      </c>
      <c r="F247" s="3" t="s">
        <v>679</v>
      </c>
      <c r="G247" s="4">
        <f>+251901117904</f>
        <v>251901117904</v>
      </c>
      <c r="H247" s="3" t="s">
        <v>18</v>
      </c>
      <c r="I247" s="3" t="s">
        <v>19</v>
      </c>
      <c r="J247" s="3" t="s">
        <v>19</v>
      </c>
      <c r="K247" s="3" t="s">
        <v>25</v>
      </c>
      <c r="L247" s="3">
        <v>21.02</v>
      </c>
      <c r="M247" s="3" t="s">
        <v>21</v>
      </c>
      <c r="O247" s="3">
        <v>6.438426091E9</v>
      </c>
    </row>
    <row r="248">
      <c r="A248" s="3">
        <v>2484387.0</v>
      </c>
      <c r="B248" s="3" t="s">
        <v>680</v>
      </c>
      <c r="C248" s="3" t="b">
        <v>1</v>
      </c>
      <c r="D248" s="3" t="b">
        <v>1</v>
      </c>
      <c r="E248" s="3" t="s">
        <v>309</v>
      </c>
      <c r="F248" s="3" t="s">
        <v>681</v>
      </c>
      <c r="G248" s="4">
        <f>+251921549090</f>
        <v>251921549090</v>
      </c>
      <c r="H248" s="3" t="s">
        <v>18</v>
      </c>
      <c r="I248" s="3" t="s">
        <v>19</v>
      </c>
      <c r="J248" s="3" t="s">
        <v>19</v>
      </c>
      <c r="K248" s="3" t="s">
        <v>25</v>
      </c>
      <c r="L248" s="3">
        <v>22.38</v>
      </c>
      <c r="M248" s="3" t="s">
        <v>21</v>
      </c>
      <c r="O248" s="3">
        <v>1.22391042245E11</v>
      </c>
    </row>
    <row r="249">
      <c r="A249" s="3">
        <v>2484393.0</v>
      </c>
      <c r="B249" s="3" t="s">
        <v>682</v>
      </c>
      <c r="C249" s="3" t="b">
        <v>1</v>
      </c>
      <c r="D249" s="3" t="b">
        <v>1</v>
      </c>
      <c r="E249" s="3" t="s">
        <v>683</v>
      </c>
      <c r="F249" s="3" t="s">
        <v>684</v>
      </c>
      <c r="G249" s="4">
        <f>+251928872529</f>
        <v>251928872529</v>
      </c>
      <c r="H249" s="3" t="s">
        <v>18</v>
      </c>
      <c r="I249" s="3" t="s">
        <v>19</v>
      </c>
      <c r="J249" s="3" t="s">
        <v>19</v>
      </c>
      <c r="K249" s="3" t="s">
        <v>25</v>
      </c>
      <c r="L249" s="3">
        <v>25.98</v>
      </c>
      <c r="M249" s="3" t="s">
        <v>21</v>
      </c>
      <c r="O249" s="3">
        <v>1.22296627398E11</v>
      </c>
    </row>
    <row r="250">
      <c r="A250" s="3">
        <v>1680485.0</v>
      </c>
      <c r="B250" s="3" t="s">
        <v>685</v>
      </c>
      <c r="C250" s="3" t="b">
        <v>1</v>
      </c>
      <c r="D250" s="3" t="b">
        <v>1</v>
      </c>
      <c r="E250" s="3" t="s">
        <v>686</v>
      </c>
      <c r="F250" s="3" t="s">
        <v>687</v>
      </c>
      <c r="G250" s="4">
        <f>+251914834349</f>
        <v>251914834349</v>
      </c>
      <c r="H250" s="3" t="s">
        <v>18</v>
      </c>
      <c r="I250" s="3" t="s">
        <v>19</v>
      </c>
      <c r="J250" s="3" t="s">
        <v>19</v>
      </c>
      <c r="K250" s="3" t="s">
        <v>20</v>
      </c>
      <c r="L250" s="3">
        <v>21.73</v>
      </c>
      <c r="M250" s="3" t="s">
        <v>21</v>
      </c>
      <c r="O250" s="3">
        <v>2.1521627857E10</v>
      </c>
    </row>
    <row r="251">
      <c r="A251" s="3">
        <v>2484430.0</v>
      </c>
      <c r="B251" s="3" t="s">
        <v>688</v>
      </c>
      <c r="C251" s="3" t="b">
        <v>1</v>
      </c>
      <c r="D251" s="3" t="b">
        <v>1</v>
      </c>
      <c r="E251" s="3" t="s">
        <v>689</v>
      </c>
      <c r="F251" s="3" t="s">
        <v>70</v>
      </c>
      <c r="G251" s="4">
        <f>+251923930868</f>
        <v>251923930868</v>
      </c>
      <c r="H251" s="3" t="s">
        <v>18</v>
      </c>
      <c r="I251" s="3" t="s">
        <v>19</v>
      </c>
      <c r="J251" s="3" t="s">
        <v>19</v>
      </c>
      <c r="K251" s="3" t="s">
        <v>20</v>
      </c>
      <c r="L251" s="3">
        <v>23.71</v>
      </c>
      <c r="M251" s="3" t="s">
        <v>21</v>
      </c>
    </row>
    <row r="252">
      <c r="A252" s="3">
        <v>2484442.0</v>
      </c>
      <c r="B252" s="3" t="s">
        <v>690</v>
      </c>
      <c r="C252" s="3" t="b">
        <v>1</v>
      </c>
      <c r="D252" s="3" t="b">
        <v>1</v>
      </c>
      <c r="E252" s="3" t="s">
        <v>691</v>
      </c>
      <c r="F252" s="3" t="s">
        <v>692</v>
      </c>
      <c r="G252" s="3" t="s">
        <v>693</v>
      </c>
      <c r="H252" s="3" t="s">
        <v>18</v>
      </c>
      <c r="I252" s="3" t="s">
        <v>19</v>
      </c>
      <c r="J252" s="3" t="s">
        <v>19</v>
      </c>
      <c r="K252" s="3" t="s">
        <v>20</v>
      </c>
      <c r="L252" s="3">
        <v>19.96</v>
      </c>
      <c r="M252" s="3" t="s">
        <v>21</v>
      </c>
      <c r="O252" s="3">
        <v>4.2655933385E10</v>
      </c>
    </row>
    <row r="253">
      <c r="A253" s="3">
        <v>2484436.0</v>
      </c>
      <c r="B253" s="3" t="s">
        <v>694</v>
      </c>
      <c r="C253" s="3" t="b">
        <v>1</v>
      </c>
      <c r="D253" s="3" t="b">
        <v>1</v>
      </c>
      <c r="E253" s="3" t="s">
        <v>540</v>
      </c>
      <c r="F253" s="3" t="s">
        <v>668</v>
      </c>
      <c r="G253" s="4">
        <f>+251925365269</f>
        <v>251925365269</v>
      </c>
      <c r="H253" s="3" t="s">
        <v>18</v>
      </c>
      <c r="I253" s="3" t="s">
        <v>19</v>
      </c>
      <c r="J253" s="3" t="s">
        <v>19</v>
      </c>
      <c r="K253" s="3" t="s">
        <v>25</v>
      </c>
      <c r="L253" s="3">
        <v>22.6</v>
      </c>
      <c r="M253" s="3" t="s">
        <v>21</v>
      </c>
    </row>
    <row r="254">
      <c r="A254" s="3">
        <v>2484439.0</v>
      </c>
      <c r="B254" s="3" t="s">
        <v>695</v>
      </c>
      <c r="C254" s="3" t="b">
        <v>1</v>
      </c>
      <c r="D254" s="3" t="b">
        <v>1</v>
      </c>
      <c r="E254" s="3" t="s">
        <v>57</v>
      </c>
      <c r="F254" s="3" t="s">
        <v>282</v>
      </c>
      <c r="G254" s="4">
        <f>+251951902333</f>
        <v>251951902333</v>
      </c>
      <c r="H254" s="3" t="s">
        <v>18</v>
      </c>
      <c r="I254" s="3" t="s">
        <v>19</v>
      </c>
      <c r="J254" s="3" t="s">
        <v>19</v>
      </c>
      <c r="K254" s="3" t="s">
        <v>25</v>
      </c>
      <c r="L254" s="3">
        <v>20.73</v>
      </c>
      <c r="M254" s="3" t="s">
        <v>21</v>
      </c>
    </row>
    <row r="255">
      <c r="A255" s="3">
        <v>2484453.0</v>
      </c>
      <c r="B255" s="3" t="s">
        <v>696</v>
      </c>
      <c r="C255" s="3" t="b">
        <v>1</v>
      </c>
      <c r="D255" s="3" t="b">
        <v>1</v>
      </c>
      <c r="E255" s="3" t="s">
        <v>697</v>
      </c>
      <c r="F255" s="3" t="s">
        <v>613</v>
      </c>
      <c r="G255" s="4">
        <f>+251939035094</f>
        <v>251939035094</v>
      </c>
      <c r="H255" s="3" t="s">
        <v>18</v>
      </c>
      <c r="I255" s="3" t="s">
        <v>19</v>
      </c>
      <c r="J255" s="3" t="s">
        <v>19</v>
      </c>
      <c r="K255" s="3" t="s">
        <v>20</v>
      </c>
      <c r="L255" s="3">
        <v>19.84</v>
      </c>
      <c r="M255" s="3" t="s">
        <v>21</v>
      </c>
      <c r="O255" s="3">
        <v>1.22405822652E11</v>
      </c>
    </row>
    <row r="256">
      <c r="A256" s="3">
        <v>2484462.0</v>
      </c>
      <c r="B256" s="3" t="s">
        <v>698</v>
      </c>
      <c r="C256" s="3" t="b">
        <v>1</v>
      </c>
      <c r="D256" s="3" t="b">
        <v>1</v>
      </c>
      <c r="E256" s="3" t="s">
        <v>386</v>
      </c>
      <c r="F256" s="3" t="s">
        <v>395</v>
      </c>
      <c r="G256" s="4">
        <f>+251904121046</f>
        <v>251904121046</v>
      </c>
      <c r="H256" s="3" t="s">
        <v>18</v>
      </c>
      <c r="I256" s="3" t="s">
        <v>19</v>
      </c>
      <c r="J256" s="3" t="s">
        <v>19</v>
      </c>
      <c r="K256" s="3" t="s">
        <v>20</v>
      </c>
      <c r="L256" s="3">
        <v>19.73</v>
      </c>
      <c r="M256" s="3" t="s">
        <v>21</v>
      </c>
    </row>
    <row r="257">
      <c r="A257" s="3">
        <v>2484443.0</v>
      </c>
      <c r="B257" s="3" t="s">
        <v>699</v>
      </c>
      <c r="C257" s="3" t="b">
        <v>1</v>
      </c>
      <c r="D257" s="3" t="b">
        <v>1</v>
      </c>
      <c r="E257" s="3" t="s">
        <v>700</v>
      </c>
      <c r="F257" s="3" t="s">
        <v>701</v>
      </c>
      <c r="G257" s="4">
        <f>+251945466157</f>
        <v>251945466157</v>
      </c>
      <c r="H257" s="3" t="s">
        <v>18</v>
      </c>
      <c r="I257" s="3" t="s">
        <v>19</v>
      </c>
      <c r="J257" s="3" t="s">
        <v>19</v>
      </c>
      <c r="K257" s="3" t="s">
        <v>25</v>
      </c>
      <c r="L257" s="3">
        <v>19.16</v>
      </c>
      <c r="M257" s="3" t="s">
        <v>21</v>
      </c>
    </row>
    <row r="258">
      <c r="A258" s="3">
        <v>2484450.0</v>
      </c>
      <c r="B258" s="3" t="s">
        <v>702</v>
      </c>
      <c r="C258" s="3" t="b">
        <v>1</v>
      </c>
      <c r="D258" s="3" t="b">
        <v>1</v>
      </c>
      <c r="E258" s="3" t="s">
        <v>120</v>
      </c>
      <c r="F258" s="3" t="s">
        <v>703</v>
      </c>
      <c r="G258" s="4">
        <f>+251904599423</f>
        <v>251904599423</v>
      </c>
      <c r="H258" s="3" t="s">
        <v>18</v>
      </c>
      <c r="I258" s="3" t="s">
        <v>19</v>
      </c>
      <c r="J258" s="3" t="s">
        <v>19</v>
      </c>
      <c r="K258" s="3" t="s">
        <v>25</v>
      </c>
      <c r="L258" s="3">
        <v>18.2</v>
      </c>
      <c r="M258" s="3" t="s">
        <v>21</v>
      </c>
      <c r="O258" s="3">
        <v>1.22304544983E11</v>
      </c>
    </row>
    <row r="259">
      <c r="A259" s="3">
        <v>2484483.0</v>
      </c>
      <c r="B259" s="3" t="s">
        <v>704</v>
      </c>
      <c r="C259" s="3" t="b">
        <v>1</v>
      </c>
      <c r="D259" s="3" t="b">
        <v>1</v>
      </c>
      <c r="E259" s="3" t="s">
        <v>279</v>
      </c>
      <c r="F259" s="3" t="s">
        <v>218</v>
      </c>
      <c r="G259" s="4">
        <f>+251924481269</f>
        <v>251924481269</v>
      </c>
      <c r="H259" s="3" t="s">
        <v>18</v>
      </c>
      <c r="I259" s="3" t="s">
        <v>19</v>
      </c>
      <c r="J259" s="3" t="s">
        <v>19</v>
      </c>
      <c r="K259" s="3" t="s">
        <v>25</v>
      </c>
      <c r="L259" s="3">
        <v>21.26</v>
      </c>
      <c r="M259" s="3" t="s">
        <v>21</v>
      </c>
    </row>
    <row r="260">
      <c r="A260" s="3">
        <v>2484477.0</v>
      </c>
      <c r="B260" s="3" t="s">
        <v>705</v>
      </c>
      <c r="C260" s="3" t="b">
        <v>1</v>
      </c>
      <c r="D260" s="3" t="b">
        <v>1</v>
      </c>
      <c r="E260" s="3" t="s">
        <v>706</v>
      </c>
      <c r="F260" s="3" t="s">
        <v>707</v>
      </c>
      <c r="G260" s="4">
        <f>+251911826582</f>
        <v>251911826582</v>
      </c>
      <c r="H260" s="3" t="s">
        <v>18</v>
      </c>
      <c r="I260" s="3" t="s">
        <v>19</v>
      </c>
      <c r="J260" s="3" t="s">
        <v>19</v>
      </c>
      <c r="K260" s="3" t="s">
        <v>20</v>
      </c>
      <c r="L260" s="3">
        <v>20.99</v>
      </c>
      <c r="M260" s="3" t="s">
        <v>21</v>
      </c>
      <c r="O260" s="3">
        <v>1.22305668297E11</v>
      </c>
    </row>
    <row r="261">
      <c r="A261" s="3">
        <v>2484522.0</v>
      </c>
      <c r="B261" s="3" t="s">
        <v>708</v>
      </c>
      <c r="C261" s="3" t="b">
        <v>1</v>
      </c>
      <c r="D261" s="3" t="b">
        <v>1</v>
      </c>
      <c r="E261" s="3" t="s">
        <v>709</v>
      </c>
      <c r="F261" s="3" t="s">
        <v>284</v>
      </c>
      <c r="G261" s="4">
        <f>+251937804048</f>
        <v>251937804048</v>
      </c>
      <c r="H261" s="3" t="s">
        <v>18</v>
      </c>
      <c r="I261" s="3" t="s">
        <v>19</v>
      </c>
      <c r="J261" s="3" t="s">
        <v>19</v>
      </c>
      <c r="K261" s="3" t="s">
        <v>20</v>
      </c>
      <c r="L261" s="3">
        <v>21.09</v>
      </c>
      <c r="M261" s="3" t="s">
        <v>21</v>
      </c>
      <c r="O261" s="3">
        <v>1.22419785945E11</v>
      </c>
    </row>
    <row r="262">
      <c r="A262" s="3">
        <v>2484517.0</v>
      </c>
      <c r="B262" s="3" t="s">
        <v>710</v>
      </c>
      <c r="C262" s="3" t="b">
        <v>1</v>
      </c>
      <c r="D262" s="3" t="b">
        <v>1</v>
      </c>
      <c r="E262" s="3" t="s">
        <v>711</v>
      </c>
      <c r="F262" s="3" t="s">
        <v>471</v>
      </c>
      <c r="G262" s="4">
        <f>+251933882090</f>
        <v>251933882090</v>
      </c>
      <c r="H262" s="3" t="s">
        <v>18</v>
      </c>
      <c r="I262" s="3" t="s">
        <v>19</v>
      </c>
      <c r="J262" s="3" t="s">
        <v>19</v>
      </c>
      <c r="K262" s="3" t="s">
        <v>20</v>
      </c>
      <c r="L262" s="3">
        <v>20.06</v>
      </c>
      <c r="M262" s="3" t="s">
        <v>21</v>
      </c>
      <c r="O262" s="3">
        <v>1.22314828007E11</v>
      </c>
    </row>
    <row r="263">
      <c r="A263" s="3">
        <v>2484570.0</v>
      </c>
      <c r="B263" s="3" t="s">
        <v>712</v>
      </c>
      <c r="C263" s="3" t="b">
        <v>1</v>
      </c>
      <c r="D263" s="3" t="b">
        <v>1</v>
      </c>
      <c r="E263" s="3" t="s">
        <v>713</v>
      </c>
      <c r="F263" s="3" t="s">
        <v>714</v>
      </c>
      <c r="G263" s="4">
        <f>+251900462771</f>
        <v>251900462771</v>
      </c>
      <c r="H263" s="3" t="s">
        <v>18</v>
      </c>
      <c r="I263" s="3" t="s">
        <v>19</v>
      </c>
      <c r="J263" s="3" t="s">
        <v>19</v>
      </c>
      <c r="K263" s="3" t="s">
        <v>25</v>
      </c>
      <c r="L263" s="3">
        <v>19.66</v>
      </c>
      <c r="M263" s="3" t="s">
        <v>21</v>
      </c>
      <c r="O263" s="3">
        <v>1.22448785607E11</v>
      </c>
    </row>
    <row r="264">
      <c r="A264" s="3">
        <v>2484567.0</v>
      </c>
      <c r="B264" s="3" t="s">
        <v>715</v>
      </c>
      <c r="C264" s="3" t="b">
        <v>1</v>
      </c>
      <c r="D264" s="3" t="b">
        <v>1</v>
      </c>
      <c r="E264" s="3" t="s">
        <v>378</v>
      </c>
      <c r="F264" s="3" t="s">
        <v>716</v>
      </c>
      <c r="G264" s="4">
        <f>+251955331635</f>
        <v>251955331635</v>
      </c>
      <c r="H264" s="3" t="s">
        <v>18</v>
      </c>
      <c r="I264" s="3" t="s">
        <v>19</v>
      </c>
      <c r="J264" s="3" t="s">
        <v>19</v>
      </c>
      <c r="K264" s="3" t="s">
        <v>25</v>
      </c>
      <c r="L264" s="3">
        <v>19.7</v>
      </c>
      <c r="M264" s="3" t="s">
        <v>21</v>
      </c>
      <c r="O264" s="3">
        <v>1.22448767209E11</v>
      </c>
    </row>
    <row r="265">
      <c r="A265" s="3">
        <v>2484588.0</v>
      </c>
      <c r="B265" s="3" t="s">
        <v>717</v>
      </c>
      <c r="C265" s="3" t="b">
        <v>1</v>
      </c>
      <c r="D265" s="3" t="b">
        <v>1</v>
      </c>
      <c r="E265" s="3" t="s">
        <v>468</v>
      </c>
      <c r="F265" s="3" t="s">
        <v>109</v>
      </c>
      <c r="G265" s="4">
        <f>+251913680857</f>
        <v>251913680857</v>
      </c>
      <c r="H265" s="3" t="s">
        <v>18</v>
      </c>
      <c r="I265" s="3" t="s">
        <v>19</v>
      </c>
      <c r="J265" s="3" t="s">
        <v>19</v>
      </c>
      <c r="K265" s="3" t="s">
        <v>25</v>
      </c>
      <c r="L265" s="3">
        <v>21.96</v>
      </c>
      <c r="M265" s="3" t="s">
        <v>21</v>
      </c>
      <c r="O265" s="3">
        <v>1.2243213538E11</v>
      </c>
    </row>
    <row r="266">
      <c r="A266" s="3">
        <v>1921455.0</v>
      </c>
      <c r="B266" s="3" t="s">
        <v>718</v>
      </c>
      <c r="C266" s="3" t="b">
        <v>1</v>
      </c>
      <c r="D266" s="3" t="b">
        <v>1</v>
      </c>
      <c r="E266" s="3" t="s">
        <v>719</v>
      </c>
      <c r="F266" s="3" t="s">
        <v>66</v>
      </c>
      <c r="G266" s="4">
        <f>+251902399672</f>
        <v>251902399672</v>
      </c>
      <c r="H266" s="3" t="s">
        <v>18</v>
      </c>
      <c r="I266" s="3" t="s">
        <v>19</v>
      </c>
      <c r="J266" s="3" t="s">
        <v>19</v>
      </c>
      <c r="K266" s="3" t="s">
        <v>20</v>
      </c>
      <c r="L266" s="3">
        <v>20.38</v>
      </c>
      <c r="M266" s="3" t="s">
        <v>21</v>
      </c>
    </row>
    <row r="267">
      <c r="A267" s="3">
        <v>2484605.0</v>
      </c>
      <c r="B267" s="3" t="s">
        <v>720</v>
      </c>
      <c r="C267" s="3" t="b">
        <v>1</v>
      </c>
      <c r="D267" s="3" t="b">
        <v>1</v>
      </c>
      <c r="E267" s="3" t="s">
        <v>721</v>
      </c>
      <c r="F267" s="3" t="s">
        <v>722</v>
      </c>
      <c r="G267" s="4">
        <f>+251953415850</f>
        <v>251953415850</v>
      </c>
      <c r="H267" s="3" t="s">
        <v>18</v>
      </c>
      <c r="I267" s="3" t="s">
        <v>19</v>
      </c>
      <c r="J267" s="3" t="s">
        <v>19</v>
      </c>
      <c r="K267" s="3" t="s">
        <v>25</v>
      </c>
      <c r="L267" s="3">
        <v>23.83</v>
      </c>
      <c r="M267" s="3" t="s">
        <v>21</v>
      </c>
      <c r="O267" s="3">
        <v>1.22450944227E11</v>
      </c>
    </row>
    <row r="268">
      <c r="A268" s="3">
        <v>2484602.0</v>
      </c>
      <c r="B268" s="3" t="s">
        <v>723</v>
      </c>
      <c r="C268" s="3" t="b">
        <v>1</v>
      </c>
      <c r="D268" s="3" t="b">
        <v>1</v>
      </c>
      <c r="E268" s="3" t="s">
        <v>267</v>
      </c>
      <c r="F268" s="3" t="s">
        <v>724</v>
      </c>
      <c r="G268" s="4">
        <f>+251901094281</f>
        <v>251901094281</v>
      </c>
      <c r="H268" s="3" t="s">
        <v>18</v>
      </c>
      <c r="I268" s="3" t="s">
        <v>19</v>
      </c>
      <c r="J268" s="3" t="s">
        <v>19</v>
      </c>
      <c r="K268" s="3" t="s">
        <v>25</v>
      </c>
      <c r="L268" s="3">
        <v>21.34</v>
      </c>
      <c r="M268" s="3" t="s">
        <v>21</v>
      </c>
    </row>
    <row r="269">
      <c r="A269" s="3">
        <v>2484619.0</v>
      </c>
      <c r="B269" s="3" t="s">
        <v>725</v>
      </c>
      <c r="C269" s="3" t="b">
        <v>1</v>
      </c>
      <c r="D269" s="3" t="b">
        <v>1</v>
      </c>
      <c r="E269" s="3" t="s">
        <v>162</v>
      </c>
      <c r="F269" s="3" t="s">
        <v>262</v>
      </c>
      <c r="G269" s="4">
        <f>+251991178465</f>
        <v>251991178465</v>
      </c>
      <c r="H269" s="3" t="s">
        <v>18</v>
      </c>
      <c r="I269" s="3" t="s">
        <v>19</v>
      </c>
      <c r="J269" s="3" t="s">
        <v>19</v>
      </c>
      <c r="K269" s="3" t="s">
        <v>25</v>
      </c>
      <c r="L269" s="3">
        <v>21.6</v>
      </c>
      <c r="M269" s="3" t="s">
        <v>21</v>
      </c>
    </row>
    <row r="270">
      <c r="A270" s="3">
        <v>2484607.0</v>
      </c>
      <c r="B270" s="3" t="s">
        <v>726</v>
      </c>
      <c r="C270" s="3" t="b">
        <v>1</v>
      </c>
      <c r="D270" s="3" t="b">
        <v>1</v>
      </c>
      <c r="E270" s="3" t="s">
        <v>645</v>
      </c>
      <c r="F270" s="3" t="s">
        <v>727</v>
      </c>
      <c r="G270" s="4">
        <f>+251920610169</f>
        <v>251920610169</v>
      </c>
      <c r="H270" s="3" t="s">
        <v>18</v>
      </c>
      <c r="I270" s="3" t="s">
        <v>19</v>
      </c>
      <c r="J270" s="3" t="s">
        <v>19</v>
      </c>
      <c r="K270" s="3" t="s">
        <v>20</v>
      </c>
      <c r="L270" s="3">
        <v>20.69</v>
      </c>
      <c r="M270" s="3" t="s">
        <v>21</v>
      </c>
    </row>
    <row r="271">
      <c r="A271" s="3">
        <v>2484631.0</v>
      </c>
      <c r="B271" s="3" t="s">
        <v>728</v>
      </c>
      <c r="C271" s="3" t="b">
        <v>1</v>
      </c>
      <c r="D271" s="3" t="b">
        <v>1</v>
      </c>
      <c r="E271" s="3" t="s">
        <v>729</v>
      </c>
      <c r="F271" s="3" t="s">
        <v>196</v>
      </c>
      <c r="G271" s="4">
        <f>+251970716224</f>
        <v>251970716224</v>
      </c>
      <c r="H271" s="3" t="s">
        <v>18</v>
      </c>
      <c r="I271" s="3" t="s">
        <v>19</v>
      </c>
      <c r="J271" s="3" t="s">
        <v>19</v>
      </c>
      <c r="K271" s="3" t="s">
        <v>20</v>
      </c>
      <c r="L271" s="3">
        <v>21.75</v>
      </c>
      <c r="M271" s="3" t="s">
        <v>21</v>
      </c>
    </row>
    <row r="272">
      <c r="A272" s="3">
        <v>2484618.0</v>
      </c>
      <c r="B272" s="3" t="s">
        <v>730</v>
      </c>
      <c r="C272" s="3" t="b">
        <v>1</v>
      </c>
      <c r="D272" s="3" t="b">
        <v>1</v>
      </c>
      <c r="E272" s="3" t="s">
        <v>731</v>
      </c>
      <c r="F272" s="3" t="s">
        <v>732</v>
      </c>
      <c r="G272" s="4">
        <f>+251916147885</f>
        <v>251916147885</v>
      </c>
      <c r="H272" s="3" t="s">
        <v>18</v>
      </c>
      <c r="I272" s="3" t="s">
        <v>19</v>
      </c>
      <c r="J272" s="3" t="s">
        <v>19</v>
      </c>
      <c r="K272" s="3" t="s">
        <v>25</v>
      </c>
      <c r="L272" s="3">
        <v>30.78</v>
      </c>
      <c r="M272" s="3" t="s">
        <v>21</v>
      </c>
    </row>
    <row r="273">
      <c r="A273" s="3">
        <v>2484600.0</v>
      </c>
      <c r="B273" s="3" t="s">
        <v>733</v>
      </c>
      <c r="C273" s="3" t="b">
        <v>1</v>
      </c>
      <c r="D273" s="3" t="b">
        <v>1</v>
      </c>
      <c r="E273" s="3" t="s">
        <v>734</v>
      </c>
      <c r="F273" s="3" t="s">
        <v>518</v>
      </c>
      <c r="G273" s="4">
        <f>+251922849243</f>
        <v>251922849243</v>
      </c>
      <c r="H273" s="3" t="s">
        <v>18</v>
      </c>
      <c r="I273" s="3" t="s">
        <v>19</v>
      </c>
      <c r="J273" s="3" t="s">
        <v>19</v>
      </c>
      <c r="K273" s="3" t="s">
        <v>25</v>
      </c>
      <c r="L273" s="3">
        <v>19.25</v>
      </c>
      <c r="M273" s="3" t="s">
        <v>21</v>
      </c>
    </row>
    <row r="274">
      <c r="A274" s="3">
        <v>2484666.0</v>
      </c>
      <c r="B274" s="3" t="s">
        <v>735</v>
      </c>
      <c r="C274" s="3" t="b">
        <v>1</v>
      </c>
      <c r="D274" s="3" t="b">
        <v>1</v>
      </c>
      <c r="E274" s="3" t="s">
        <v>101</v>
      </c>
      <c r="F274" s="3" t="s">
        <v>736</v>
      </c>
      <c r="G274" s="4">
        <f>+251909269496</f>
        <v>251909269496</v>
      </c>
      <c r="H274" s="3" t="s">
        <v>18</v>
      </c>
      <c r="I274" s="3" t="s">
        <v>19</v>
      </c>
      <c r="J274" s="3" t="s">
        <v>19</v>
      </c>
      <c r="K274" s="3" t="s">
        <v>25</v>
      </c>
      <c r="L274" s="3">
        <v>22.55</v>
      </c>
      <c r="M274" s="3" t="s">
        <v>21</v>
      </c>
      <c r="O274" s="3">
        <v>1.22440989935E11</v>
      </c>
    </row>
    <row r="275">
      <c r="A275" s="3">
        <v>2484681.0</v>
      </c>
      <c r="B275" s="3" t="s">
        <v>737</v>
      </c>
      <c r="C275" s="3" t="b">
        <v>1</v>
      </c>
      <c r="D275" s="3" t="b">
        <v>1</v>
      </c>
      <c r="E275" s="3" t="s">
        <v>738</v>
      </c>
      <c r="F275" s="3" t="s">
        <v>115</v>
      </c>
      <c r="G275" s="4">
        <f>+251943821818</f>
        <v>251943821818</v>
      </c>
      <c r="H275" s="3" t="s">
        <v>18</v>
      </c>
      <c r="I275" s="3" t="s">
        <v>19</v>
      </c>
      <c r="J275" s="3" t="s">
        <v>19</v>
      </c>
      <c r="K275" s="3" t="s">
        <v>25</v>
      </c>
      <c r="L275" s="3">
        <v>20.25</v>
      </c>
      <c r="M275" s="3" t="s">
        <v>21</v>
      </c>
    </row>
    <row r="276">
      <c r="A276" s="3">
        <v>2484720.0</v>
      </c>
      <c r="B276" s="3" t="s">
        <v>739</v>
      </c>
      <c r="C276" s="3" t="b">
        <v>1</v>
      </c>
      <c r="D276" s="3" t="b">
        <v>1</v>
      </c>
      <c r="E276" s="3" t="s">
        <v>740</v>
      </c>
      <c r="F276" s="3" t="s">
        <v>741</v>
      </c>
      <c r="G276" s="3">
        <v>2.5197777298E11</v>
      </c>
      <c r="H276" s="3" t="s">
        <v>18</v>
      </c>
      <c r="I276" s="3" t="s">
        <v>19</v>
      </c>
      <c r="J276" s="3" t="s">
        <v>19</v>
      </c>
      <c r="K276" s="3" t="s">
        <v>20</v>
      </c>
      <c r="L276" s="3">
        <v>21.08</v>
      </c>
      <c r="M276" s="3" t="s">
        <v>21</v>
      </c>
    </row>
    <row r="277">
      <c r="A277" s="3">
        <v>2484719.0</v>
      </c>
      <c r="B277" s="3" t="s">
        <v>742</v>
      </c>
      <c r="C277" s="3" t="b">
        <v>1</v>
      </c>
      <c r="D277" s="3" t="b">
        <v>1</v>
      </c>
      <c r="E277" s="3" t="s">
        <v>743</v>
      </c>
      <c r="F277" s="3" t="s">
        <v>744</v>
      </c>
      <c r="G277" s="4">
        <f>+251921277746</f>
        <v>251921277746</v>
      </c>
      <c r="H277" s="3" t="s">
        <v>18</v>
      </c>
      <c r="I277" s="3" t="s">
        <v>19</v>
      </c>
      <c r="J277" s="3" t="s">
        <v>19</v>
      </c>
      <c r="K277" s="3" t="s">
        <v>20</v>
      </c>
      <c r="L277" s="3">
        <v>21.62</v>
      </c>
      <c r="M277" s="3" t="s">
        <v>21</v>
      </c>
    </row>
    <row r="278">
      <c r="A278" s="3">
        <v>2484727.0</v>
      </c>
      <c r="B278" s="3" t="s">
        <v>745</v>
      </c>
      <c r="C278" s="3" t="b">
        <v>1</v>
      </c>
      <c r="D278" s="3" t="b">
        <v>1</v>
      </c>
      <c r="E278" s="3" t="s">
        <v>746</v>
      </c>
      <c r="F278" s="3" t="s">
        <v>747</v>
      </c>
      <c r="G278" s="4">
        <f>+251921419495</f>
        <v>251921419495</v>
      </c>
      <c r="H278" s="3" t="s">
        <v>18</v>
      </c>
      <c r="I278" s="3" t="s">
        <v>19</v>
      </c>
      <c r="J278" s="3" t="s">
        <v>19</v>
      </c>
      <c r="K278" s="3" t="s">
        <v>25</v>
      </c>
      <c r="L278" s="3">
        <v>30.83</v>
      </c>
      <c r="M278" s="3" t="s">
        <v>21</v>
      </c>
      <c r="O278" s="3">
        <v>1.22462801098E11</v>
      </c>
    </row>
    <row r="279">
      <c r="A279" s="3">
        <v>1942206.0</v>
      </c>
      <c r="B279" s="3" t="s">
        <v>748</v>
      </c>
      <c r="C279" s="3" t="b">
        <v>1</v>
      </c>
      <c r="D279" s="3" t="b">
        <v>1</v>
      </c>
      <c r="E279" s="3" t="s">
        <v>749</v>
      </c>
      <c r="F279" s="3" t="s">
        <v>750</v>
      </c>
      <c r="G279" s="4">
        <f>+251975830422</f>
        <v>251975830422</v>
      </c>
      <c r="H279" s="3" t="s">
        <v>18</v>
      </c>
      <c r="I279" s="3" t="s">
        <v>19</v>
      </c>
      <c r="J279" s="3" t="s">
        <v>19</v>
      </c>
      <c r="K279" s="3" t="s">
        <v>25</v>
      </c>
      <c r="L279" s="3">
        <v>24.27</v>
      </c>
      <c r="M279" s="3" t="s">
        <v>21</v>
      </c>
      <c r="O279" s="3">
        <v>2.7254605028E10</v>
      </c>
    </row>
    <row r="280">
      <c r="A280" s="3">
        <v>2484747.0</v>
      </c>
      <c r="B280" s="3" t="s">
        <v>751</v>
      </c>
      <c r="C280" s="3" t="b">
        <v>1</v>
      </c>
      <c r="D280" s="3" t="b">
        <v>1</v>
      </c>
      <c r="E280" s="3" t="s">
        <v>752</v>
      </c>
      <c r="F280" s="3" t="s">
        <v>211</v>
      </c>
      <c r="G280" s="3">
        <v>9.41145769E8</v>
      </c>
      <c r="H280" s="3" t="s">
        <v>18</v>
      </c>
      <c r="I280" s="3" t="s">
        <v>19</v>
      </c>
      <c r="J280" s="3" t="s">
        <v>19</v>
      </c>
      <c r="K280" s="3" t="s">
        <v>25</v>
      </c>
      <c r="L280" s="3">
        <v>21.14</v>
      </c>
      <c r="M280" s="3" t="s">
        <v>21</v>
      </c>
      <c r="O280" s="3">
        <v>1.22465240264E11</v>
      </c>
    </row>
    <row r="281">
      <c r="A281" s="3">
        <v>2484757.0</v>
      </c>
      <c r="B281" s="3" t="s">
        <v>753</v>
      </c>
      <c r="C281" s="3" t="b">
        <v>1</v>
      </c>
      <c r="D281" s="3" t="b">
        <v>1</v>
      </c>
      <c r="E281" s="3" t="s">
        <v>534</v>
      </c>
      <c r="F281" s="3" t="s">
        <v>649</v>
      </c>
      <c r="G281" s="4">
        <f>+251908007374</f>
        <v>251908007374</v>
      </c>
      <c r="H281" s="3" t="s">
        <v>18</v>
      </c>
      <c r="I281" s="3" t="s">
        <v>19</v>
      </c>
      <c r="J281" s="3" t="s">
        <v>19</v>
      </c>
      <c r="K281" s="3" t="s">
        <v>20</v>
      </c>
      <c r="L281" s="3">
        <v>20.95</v>
      </c>
      <c r="M281" s="3" t="s">
        <v>21</v>
      </c>
    </row>
    <row r="282">
      <c r="A282" s="3">
        <v>2484782.0</v>
      </c>
      <c r="B282" s="3" t="s">
        <v>754</v>
      </c>
      <c r="C282" s="3" t="b">
        <v>1</v>
      </c>
      <c r="D282" s="3" t="b">
        <v>1</v>
      </c>
      <c r="E282" s="3" t="s">
        <v>131</v>
      </c>
      <c r="F282" s="3" t="s">
        <v>755</v>
      </c>
      <c r="G282" s="4">
        <f>+251907531802</f>
        <v>251907531802</v>
      </c>
      <c r="H282" s="3" t="s">
        <v>18</v>
      </c>
      <c r="I282" s="3" t="s">
        <v>19</v>
      </c>
      <c r="J282" s="3" t="s">
        <v>19</v>
      </c>
      <c r="K282" s="3" t="s">
        <v>20</v>
      </c>
      <c r="L282" s="3">
        <v>20.21</v>
      </c>
      <c r="M282" s="3" t="s">
        <v>21</v>
      </c>
    </row>
    <row r="283">
      <c r="A283" s="3">
        <v>2264284.0</v>
      </c>
      <c r="B283" s="3" t="s">
        <v>756</v>
      </c>
      <c r="C283" s="3" t="b">
        <v>1</v>
      </c>
      <c r="D283" s="3" t="b">
        <v>1</v>
      </c>
      <c r="E283" s="3" t="s">
        <v>356</v>
      </c>
      <c r="F283" s="3" t="s">
        <v>179</v>
      </c>
      <c r="G283" s="4">
        <f>+251921912566</f>
        <v>251921912566</v>
      </c>
      <c r="H283" s="3" t="s">
        <v>18</v>
      </c>
      <c r="I283" s="3" t="s">
        <v>19</v>
      </c>
      <c r="J283" s="3" t="s">
        <v>19</v>
      </c>
      <c r="K283" s="3" t="s">
        <v>25</v>
      </c>
      <c r="L283" s="3">
        <v>32.43</v>
      </c>
      <c r="M283" s="3" t="s">
        <v>21</v>
      </c>
      <c r="O283" s="3">
        <v>1876142.0</v>
      </c>
    </row>
    <row r="284">
      <c r="A284" s="3">
        <v>2484796.0</v>
      </c>
      <c r="B284" s="3" t="s">
        <v>757</v>
      </c>
      <c r="C284" s="3" t="b">
        <v>1</v>
      </c>
      <c r="D284" s="3" t="b">
        <v>1</v>
      </c>
      <c r="E284" s="3" t="s">
        <v>58</v>
      </c>
      <c r="F284" s="3" t="s">
        <v>610</v>
      </c>
      <c r="G284" s="4">
        <f>+251989098183</f>
        <v>251989098183</v>
      </c>
      <c r="H284" s="3" t="s">
        <v>18</v>
      </c>
      <c r="I284" s="3" t="s">
        <v>19</v>
      </c>
      <c r="J284" s="3" t="s">
        <v>19</v>
      </c>
      <c r="K284" s="3" t="s">
        <v>25</v>
      </c>
      <c r="L284" s="3">
        <v>19.22</v>
      </c>
      <c r="M284" s="3" t="s">
        <v>21</v>
      </c>
      <c r="O284" s="3">
        <v>1.22470906073E11</v>
      </c>
    </row>
    <row r="285">
      <c r="A285" s="3">
        <v>2484817.0</v>
      </c>
      <c r="B285" s="3" t="s">
        <v>758</v>
      </c>
      <c r="C285" s="3" t="b">
        <v>1</v>
      </c>
      <c r="D285" s="3" t="b">
        <v>1</v>
      </c>
      <c r="E285" s="3" t="s">
        <v>759</v>
      </c>
      <c r="F285" s="3" t="s">
        <v>760</v>
      </c>
      <c r="G285" s="4">
        <f>+251989420947</f>
        <v>251989420947</v>
      </c>
      <c r="H285" s="3" t="s">
        <v>18</v>
      </c>
      <c r="I285" s="3" t="s">
        <v>19</v>
      </c>
      <c r="J285" s="3" t="s">
        <v>19</v>
      </c>
      <c r="K285" s="3" t="s">
        <v>20</v>
      </c>
      <c r="L285" s="3">
        <v>20.27</v>
      </c>
      <c r="M285" s="3" t="s">
        <v>21</v>
      </c>
      <c r="O285" s="3">
        <v>1.22484791495E11</v>
      </c>
    </row>
    <row r="286">
      <c r="A286" s="3">
        <v>2484999.0</v>
      </c>
      <c r="B286" s="3" t="s">
        <v>761</v>
      </c>
      <c r="C286" s="3" t="b">
        <v>1</v>
      </c>
      <c r="D286" s="3" t="b">
        <v>1</v>
      </c>
      <c r="E286" s="3" t="s">
        <v>762</v>
      </c>
      <c r="F286" s="3" t="s">
        <v>763</v>
      </c>
      <c r="G286" s="4">
        <f>+251912382222</f>
        <v>251912382222</v>
      </c>
      <c r="H286" s="3" t="s">
        <v>18</v>
      </c>
      <c r="I286" s="3" t="s">
        <v>19</v>
      </c>
      <c r="J286" s="3" t="s">
        <v>19</v>
      </c>
      <c r="K286" s="3" t="s">
        <v>20</v>
      </c>
      <c r="L286" s="3">
        <v>18.48</v>
      </c>
      <c r="M286" s="3" t="s">
        <v>21</v>
      </c>
    </row>
    <row r="287">
      <c r="A287" s="3">
        <v>2485228.0</v>
      </c>
      <c r="B287" s="3" t="s">
        <v>764</v>
      </c>
      <c r="C287" s="3" t="b">
        <v>1</v>
      </c>
      <c r="D287" s="3" t="b">
        <v>1</v>
      </c>
      <c r="E287" s="3" t="s">
        <v>409</v>
      </c>
      <c r="F287" s="3" t="s">
        <v>538</v>
      </c>
      <c r="G287" s="4">
        <f>+251921485707</f>
        <v>251921485707</v>
      </c>
      <c r="H287" s="3" t="s">
        <v>18</v>
      </c>
      <c r="I287" s="3" t="s">
        <v>19</v>
      </c>
      <c r="J287" s="3" t="s">
        <v>19</v>
      </c>
      <c r="K287" s="3" t="s">
        <v>25</v>
      </c>
      <c r="L287" s="3">
        <v>21.6</v>
      </c>
      <c r="M287" s="3" t="s">
        <v>21</v>
      </c>
      <c r="O287" s="3">
        <v>7210051.0</v>
      </c>
    </row>
    <row r="288">
      <c r="A288" s="3">
        <v>2485603.0</v>
      </c>
      <c r="B288" s="3" t="s">
        <v>765</v>
      </c>
      <c r="C288" s="3" t="b">
        <v>1</v>
      </c>
      <c r="D288" s="3" t="b">
        <v>1</v>
      </c>
      <c r="E288" s="3" t="s">
        <v>766</v>
      </c>
      <c r="F288" s="3" t="s">
        <v>767</v>
      </c>
      <c r="G288" s="4">
        <f>+251995167370</f>
        <v>251995167370</v>
      </c>
      <c r="H288" s="3" t="s">
        <v>18</v>
      </c>
      <c r="I288" s="3" t="s">
        <v>19</v>
      </c>
      <c r="J288" s="3" t="s">
        <v>19</v>
      </c>
      <c r="K288" s="3" t="s">
        <v>20</v>
      </c>
      <c r="L288" s="3">
        <v>20.97</v>
      </c>
      <c r="M288" s="3" t="s">
        <v>21</v>
      </c>
      <c r="O288" s="3">
        <v>1.23046453483E11</v>
      </c>
    </row>
    <row r="289">
      <c r="A289" s="3">
        <v>1267053.0</v>
      </c>
      <c r="B289" s="3" t="s">
        <v>768</v>
      </c>
      <c r="C289" s="3" t="b">
        <v>1</v>
      </c>
      <c r="D289" s="3" t="b">
        <v>1</v>
      </c>
      <c r="E289" s="3" t="s">
        <v>414</v>
      </c>
      <c r="F289" s="3" t="s">
        <v>744</v>
      </c>
      <c r="G289" s="4">
        <f>+251943160884</f>
        <v>251943160884</v>
      </c>
      <c r="H289" s="3" t="s">
        <v>18</v>
      </c>
      <c r="I289" s="3" t="s">
        <v>19</v>
      </c>
      <c r="J289" s="3" t="s">
        <v>19</v>
      </c>
      <c r="K289" s="3" t="s">
        <v>25</v>
      </c>
      <c r="L289" s="3">
        <v>22.63</v>
      </c>
      <c r="M289" s="3" t="s">
        <v>21</v>
      </c>
      <c r="O289" s="3">
        <v>1.0457167598E10</v>
      </c>
    </row>
    <row r="290">
      <c r="A290" s="3">
        <v>2485739.0</v>
      </c>
      <c r="B290" s="3" t="s">
        <v>769</v>
      </c>
      <c r="C290" s="3" t="b">
        <v>1</v>
      </c>
      <c r="D290" s="3" t="b">
        <v>1</v>
      </c>
      <c r="E290" s="3" t="s">
        <v>770</v>
      </c>
      <c r="F290" s="3" t="s">
        <v>771</v>
      </c>
      <c r="G290" s="4">
        <f>+251972165322</f>
        <v>251972165322</v>
      </c>
      <c r="H290" s="3" t="s">
        <v>18</v>
      </c>
      <c r="I290" s="3" t="s">
        <v>19</v>
      </c>
      <c r="J290" s="3" t="s">
        <v>19</v>
      </c>
      <c r="K290" s="3" t="s">
        <v>25</v>
      </c>
      <c r="L290" s="3">
        <v>23.0</v>
      </c>
      <c r="M290" s="3" t="s">
        <v>21</v>
      </c>
    </row>
    <row r="291">
      <c r="A291" s="3">
        <v>2485734.0</v>
      </c>
      <c r="B291" s="3" t="s">
        <v>772</v>
      </c>
      <c r="C291" s="3" t="b">
        <v>1</v>
      </c>
      <c r="D291" s="3" t="b">
        <v>1</v>
      </c>
      <c r="E291" s="3" t="s">
        <v>773</v>
      </c>
      <c r="F291" s="3" t="s">
        <v>774</v>
      </c>
      <c r="G291" s="4">
        <f>+251902030860</f>
        <v>251902030860</v>
      </c>
      <c r="H291" s="3" t="s">
        <v>18</v>
      </c>
      <c r="I291" s="3" t="s">
        <v>19</v>
      </c>
      <c r="J291" s="3" t="s">
        <v>19</v>
      </c>
      <c r="K291" s="3" t="s">
        <v>20</v>
      </c>
      <c r="L291" s="3">
        <v>20.62</v>
      </c>
      <c r="M291" s="3" t="s">
        <v>21</v>
      </c>
      <c r="O291" s="3">
        <v>4.6036036581E10</v>
      </c>
    </row>
    <row r="292">
      <c r="A292" s="3">
        <v>2483686.0</v>
      </c>
      <c r="B292" s="3" t="s">
        <v>775</v>
      </c>
      <c r="C292" s="3" t="b">
        <v>1</v>
      </c>
      <c r="D292" s="3" t="b">
        <v>1</v>
      </c>
      <c r="E292" s="3" t="s">
        <v>776</v>
      </c>
      <c r="F292" s="3" t="s">
        <v>204</v>
      </c>
      <c r="G292" s="4">
        <f>+251920806571</f>
        <v>251920806571</v>
      </c>
      <c r="H292" s="3" t="s">
        <v>18</v>
      </c>
      <c r="I292" s="3" t="s">
        <v>19</v>
      </c>
      <c r="J292" s="3" t="s">
        <v>19</v>
      </c>
      <c r="K292" s="3" t="s">
        <v>25</v>
      </c>
      <c r="L292" s="3">
        <v>20.3</v>
      </c>
      <c r="M292" s="3" t="s">
        <v>21</v>
      </c>
      <c r="O292" s="3">
        <v>1.21922963665E11</v>
      </c>
    </row>
    <row r="293">
      <c r="A293" s="3">
        <v>2485748.0</v>
      </c>
      <c r="B293" s="3" t="s">
        <v>777</v>
      </c>
      <c r="C293" s="3" t="b">
        <v>1</v>
      </c>
      <c r="D293" s="3" t="b">
        <v>1</v>
      </c>
      <c r="E293" s="3" t="s">
        <v>778</v>
      </c>
      <c r="F293" s="3" t="s">
        <v>118</v>
      </c>
      <c r="G293" s="4">
        <f>+251955370381</f>
        <v>251955370381</v>
      </c>
      <c r="H293" s="3" t="s">
        <v>18</v>
      </c>
      <c r="I293" s="3" t="s">
        <v>19</v>
      </c>
      <c r="J293" s="3" t="s">
        <v>19</v>
      </c>
      <c r="K293" s="3" t="s">
        <v>25</v>
      </c>
      <c r="L293" s="3">
        <v>19.43</v>
      </c>
      <c r="M293" s="3" t="s">
        <v>21</v>
      </c>
    </row>
    <row r="294">
      <c r="A294" s="3">
        <v>461611.0</v>
      </c>
      <c r="B294" s="3" t="s">
        <v>779</v>
      </c>
      <c r="C294" s="3" t="b">
        <v>1</v>
      </c>
      <c r="D294" s="3" t="b">
        <v>1</v>
      </c>
      <c r="E294" s="3" t="s">
        <v>504</v>
      </c>
      <c r="F294" s="3" t="s">
        <v>274</v>
      </c>
      <c r="G294" s="4">
        <f>+251983003031</f>
        <v>251983003031</v>
      </c>
      <c r="H294" s="3" t="s">
        <v>18</v>
      </c>
      <c r="I294" s="3" t="s">
        <v>19</v>
      </c>
      <c r="J294" s="3" t="s">
        <v>19</v>
      </c>
      <c r="K294" s="3" t="s">
        <v>25</v>
      </c>
      <c r="L294" s="3">
        <v>20.33</v>
      </c>
      <c r="M294" s="3" t="s">
        <v>21</v>
      </c>
      <c r="O294" s="3">
        <v>2.8278179E7</v>
      </c>
    </row>
    <row r="295">
      <c r="A295" s="3">
        <v>2485744.0</v>
      </c>
      <c r="B295" s="3" t="s">
        <v>780</v>
      </c>
      <c r="C295" s="3" t="b">
        <v>1</v>
      </c>
      <c r="D295" s="3" t="b">
        <v>1</v>
      </c>
      <c r="E295" s="3" t="s">
        <v>16</v>
      </c>
      <c r="F295" s="3" t="s">
        <v>781</v>
      </c>
      <c r="G295" s="4">
        <f>+251975666954</f>
        <v>251975666954</v>
      </c>
      <c r="H295" s="3" t="s">
        <v>18</v>
      </c>
      <c r="I295" s="3" t="s">
        <v>19</v>
      </c>
      <c r="J295" s="3" t="s">
        <v>19</v>
      </c>
      <c r="K295" s="3" t="s">
        <v>20</v>
      </c>
      <c r="L295" s="3">
        <v>18.43</v>
      </c>
      <c r="M295" s="3" t="s">
        <v>21</v>
      </c>
    </row>
    <row r="296">
      <c r="A296" s="3">
        <v>2485764.0</v>
      </c>
      <c r="B296" s="3" t="s">
        <v>782</v>
      </c>
      <c r="C296" s="3" t="b">
        <v>1</v>
      </c>
      <c r="D296" s="3" t="b">
        <v>1</v>
      </c>
      <c r="E296" s="3" t="s">
        <v>783</v>
      </c>
      <c r="F296" s="3" t="s">
        <v>784</v>
      </c>
      <c r="G296" s="4">
        <f>+251939365511</f>
        <v>251939365511</v>
      </c>
      <c r="H296" s="3" t="s">
        <v>18</v>
      </c>
      <c r="I296" s="3" t="s">
        <v>19</v>
      </c>
      <c r="J296" s="3" t="s">
        <v>19</v>
      </c>
      <c r="K296" s="3" t="s">
        <v>25</v>
      </c>
      <c r="L296" s="3">
        <v>20.98</v>
      </c>
      <c r="M296" s="3" t="s">
        <v>21</v>
      </c>
    </row>
    <row r="297">
      <c r="A297" s="3">
        <v>2485757.0</v>
      </c>
      <c r="B297" s="3" t="s">
        <v>785</v>
      </c>
      <c r="C297" s="3" t="b">
        <v>1</v>
      </c>
      <c r="D297" s="3" t="b">
        <v>1</v>
      </c>
      <c r="E297" s="3" t="s">
        <v>420</v>
      </c>
      <c r="F297" s="3" t="s">
        <v>55</v>
      </c>
      <c r="G297" s="4">
        <f>+251921965422</f>
        <v>251921965422</v>
      </c>
      <c r="H297" s="3" t="s">
        <v>18</v>
      </c>
      <c r="I297" s="3" t="s">
        <v>19</v>
      </c>
      <c r="J297" s="3" t="s">
        <v>19</v>
      </c>
      <c r="K297" s="3" t="s">
        <v>25</v>
      </c>
      <c r="L297" s="3">
        <v>20.39</v>
      </c>
      <c r="M297" s="3" t="s">
        <v>21</v>
      </c>
    </row>
    <row r="298">
      <c r="A298" s="3">
        <v>2485761.0</v>
      </c>
      <c r="B298" s="3" t="s">
        <v>786</v>
      </c>
      <c r="C298" s="3" t="b">
        <v>1</v>
      </c>
      <c r="D298" s="3" t="b">
        <v>1</v>
      </c>
      <c r="E298" s="3" t="s">
        <v>787</v>
      </c>
      <c r="F298" s="3" t="s">
        <v>788</v>
      </c>
      <c r="G298" s="4">
        <f>+251908421889</f>
        <v>251908421889</v>
      </c>
      <c r="H298" s="3" t="s">
        <v>18</v>
      </c>
      <c r="I298" s="3" t="s">
        <v>19</v>
      </c>
      <c r="J298" s="3" t="s">
        <v>19</v>
      </c>
      <c r="K298" s="3" t="s">
        <v>25</v>
      </c>
      <c r="L298" s="3">
        <v>19.4</v>
      </c>
      <c r="M298" s="3" t="s">
        <v>21</v>
      </c>
    </row>
    <row r="299">
      <c r="A299" s="3">
        <v>2485766.0</v>
      </c>
      <c r="B299" s="3" t="s">
        <v>789</v>
      </c>
      <c r="C299" s="3" t="b">
        <v>1</v>
      </c>
      <c r="D299" s="3" t="b">
        <v>1</v>
      </c>
      <c r="E299" s="3" t="s">
        <v>790</v>
      </c>
      <c r="F299" s="3" t="s">
        <v>420</v>
      </c>
      <c r="G299" s="4">
        <f>+251906817917</f>
        <v>251906817917</v>
      </c>
      <c r="H299" s="3" t="s">
        <v>18</v>
      </c>
      <c r="I299" s="3" t="s">
        <v>19</v>
      </c>
      <c r="J299" s="3" t="s">
        <v>19</v>
      </c>
      <c r="K299" s="3" t="s">
        <v>25</v>
      </c>
      <c r="L299" s="3">
        <v>18.74</v>
      </c>
      <c r="M299" s="3" t="s">
        <v>21</v>
      </c>
    </row>
    <row r="300">
      <c r="A300" s="3">
        <v>2485765.0</v>
      </c>
      <c r="B300" s="3" t="s">
        <v>791</v>
      </c>
      <c r="C300" s="3" t="b">
        <v>1</v>
      </c>
      <c r="D300" s="3" t="b">
        <v>1</v>
      </c>
      <c r="E300" s="3" t="s">
        <v>386</v>
      </c>
      <c r="F300" s="3" t="s">
        <v>792</v>
      </c>
      <c r="G300" s="4">
        <f>+251939531958</f>
        <v>251939531958</v>
      </c>
      <c r="H300" s="3" t="s">
        <v>18</v>
      </c>
      <c r="I300" s="3" t="s">
        <v>19</v>
      </c>
      <c r="J300" s="3" t="s">
        <v>19</v>
      </c>
      <c r="K300" s="3" t="s">
        <v>20</v>
      </c>
      <c r="L300" s="3">
        <v>20.14</v>
      </c>
      <c r="M300" s="3" t="s">
        <v>21</v>
      </c>
      <c r="O300" s="3">
        <v>1.232462973E11</v>
      </c>
    </row>
    <row r="301">
      <c r="A301" s="3">
        <v>2485754.0</v>
      </c>
      <c r="B301" s="3" t="s">
        <v>793</v>
      </c>
      <c r="C301" s="3" t="b">
        <v>1</v>
      </c>
      <c r="D301" s="3" t="b">
        <v>1</v>
      </c>
      <c r="E301" s="3" t="s">
        <v>794</v>
      </c>
      <c r="F301" s="3" t="s">
        <v>795</v>
      </c>
      <c r="G301" s="4">
        <f>+251970498842</f>
        <v>251970498842</v>
      </c>
      <c r="H301" s="3" t="s">
        <v>18</v>
      </c>
      <c r="I301" s="3" t="s">
        <v>19</v>
      </c>
      <c r="J301" s="3" t="s">
        <v>19</v>
      </c>
      <c r="K301" s="3" t="s">
        <v>20</v>
      </c>
      <c r="L301" s="3">
        <v>20.31</v>
      </c>
      <c r="M301" s="3" t="s">
        <v>21</v>
      </c>
    </row>
    <row r="302">
      <c r="A302" s="3">
        <v>2485771.0</v>
      </c>
      <c r="B302" s="3" t="s">
        <v>796</v>
      </c>
      <c r="C302" s="3" t="b">
        <v>1</v>
      </c>
      <c r="D302" s="3" t="b">
        <v>1</v>
      </c>
      <c r="E302" s="3" t="s">
        <v>797</v>
      </c>
      <c r="F302" s="3" t="s">
        <v>798</v>
      </c>
      <c r="G302" s="4">
        <f>+251985605846</f>
        <v>251985605846</v>
      </c>
      <c r="H302" s="3" t="s">
        <v>18</v>
      </c>
      <c r="I302" s="3" t="s">
        <v>19</v>
      </c>
      <c r="J302" s="3" t="s">
        <v>19</v>
      </c>
      <c r="K302" s="3" t="s">
        <v>25</v>
      </c>
      <c r="L302" s="3">
        <v>19.87</v>
      </c>
      <c r="M302" s="3" t="s">
        <v>21</v>
      </c>
      <c r="O302" s="3">
        <v>1.23239061696E11</v>
      </c>
    </row>
    <row r="303">
      <c r="A303" s="3">
        <v>2485785.0</v>
      </c>
      <c r="B303" s="3" t="s">
        <v>799</v>
      </c>
      <c r="C303" s="3" t="b">
        <v>1</v>
      </c>
      <c r="D303" s="3" t="b">
        <v>1</v>
      </c>
      <c r="E303" s="3" t="s">
        <v>800</v>
      </c>
      <c r="F303" s="3" t="s">
        <v>801</v>
      </c>
      <c r="G303" s="4">
        <f>+251963336895</f>
        <v>251963336895</v>
      </c>
      <c r="H303" s="3" t="s">
        <v>18</v>
      </c>
      <c r="I303" s="3" t="s">
        <v>19</v>
      </c>
      <c r="J303" s="3" t="s">
        <v>19</v>
      </c>
      <c r="K303" s="3" t="s">
        <v>20</v>
      </c>
      <c r="L303" s="3">
        <v>22.01</v>
      </c>
      <c r="M303" s="3" t="s">
        <v>21</v>
      </c>
    </row>
    <row r="304">
      <c r="A304" s="3">
        <v>2485781.0</v>
      </c>
      <c r="B304" s="3" t="s">
        <v>802</v>
      </c>
      <c r="C304" s="3" t="b">
        <v>1</v>
      </c>
      <c r="D304" s="3" t="b">
        <v>1</v>
      </c>
      <c r="E304" s="3" t="s">
        <v>803</v>
      </c>
      <c r="F304" s="3" t="s">
        <v>804</v>
      </c>
      <c r="G304" s="4">
        <f>+251963906727</f>
        <v>251963906727</v>
      </c>
      <c r="H304" s="3" t="s">
        <v>87</v>
      </c>
      <c r="I304" s="3" t="s">
        <v>19</v>
      </c>
      <c r="J304" s="3" t="s">
        <v>19</v>
      </c>
      <c r="K304" s="3" t="s">
        <v>25</v>
      </c>
      <c r="L304" s="3">
        <v>20.3</v>
      </c>
      <c r="M304" s="3" t="s">
        <v>21</v>
      </c>
    </row>
    <row r="305">
      <c r="A305" s="3">
        <v>2485799.0</v>
      </c>
      <c r="B305" s="3" t="s">
        <v>805</v>
      </c>
      <c r="C305" s="3" t="b">
        <v>1</v>
      </c>
      <c r="D305" s="3" t="b">
        <v>1</v>
      </c>
      <c r="E305" s="3" t="s">
        <v>806</v>
      </c>
      <c r="F305" s="3" t="s">
        <v>807</v>
      </c>
      <c r="G305" s="4">
        <f>+251916284497</f>
        <v>251916284497</v>
      </c>
      <c r="H305" s="3" t="s">
        <v>18</v>
      </c>
      <c r="I305" s="3" t="s">
        <v>19</v>
      </c>
      <c r="J305" s="3" t="s">
        <v>19</v>
      </c>
      <c r="K305" s="3" t="s">
        <v>20</v>
      </c>
      <c r="L305" s="3">
        <v>19.78</v>
      </c>
      <c r="M305" s="3" t="s">
        <v>21</v>
      </c>
      <c r="O305" s="3">
        <v>1.23223168217E11</v>
      </c>
    </row>
    <row r="306">
      <c r="A306" s="3">
        <v>1609578.0</v>
      </c>
      <c r="B306" s="3" t="s">
        <v>808</v>
      </c>
      <c r="C306" s="3" t="b">
        <v>1</v>
      </c>
      <c r="D306" s="3" t="b">
        <v>1</v>
      </c>
      <c r="E306" s="3" t="s">
        <v>809</v>
      </c>
      <c r="F306" s="3" t="s">
        <v>810</v>
      </c>
      <c r="G306" s="3">
        <v>9.41999983E8</v>
      </c>
      <c r="H306" s="3" t="s">
        <v>18</v>
      </c>
      <c r="I306" s="3" t="s">
        <v>19</v>
      </c>
      <c r="J306" s="3" t="s">
        <v>19</v>
      </c>
      <c r="K306" s="3" t="s">
        <v>25</v>
      </c>
      <c r="L306" s="3">
        <v>20.52</v>
      </c>
      <c r="M306" s="3" t="s">
        <v>21</v>
      </c>
      <c r="O306" s="3">
        <v>1.9924541627E10</v>
      </c>
    </row>
    <row r="307">
      <c r="A307" s="3">
        <v>2134870.0</v>
      </c>
      <c r="B307" s="3" t="s">
        <v>811</v>
      </c>
      <c r="C307" s="3" t="b">
        <v>1</v>
      </c>
      <c r="D307" s="3" t="b">
        <v>1</v>
      </c>
      <c r="E307" s="3" t="s">
        <v>812</v>
      </c>
      <c r="F307" s="3" t="s">
        <v>813</v>
      </c>
      <c r="G307" s="4">
        <f>+251954863940</f>
        <v>251954863940</v>
      </c>
      <c r="H307" s="3" t="s">
        <v>18</v>
      </c>
      <c r="I307" s="3" t="s">
        <v>19</v>
      </c>
      <c r="J307" s="3" t="s">
        <v>19</v>
      </c>
      <c r="K307" s="3" t="s">
        <v>20</v>
      </c>
      <c r="L307" s="3">
        <v>18.7</v>
      </c>
      <c r="M307" s="3" t="s">
        <v>21</v>
      </c>
      <c r="O307" s="3">
        <v>3.1673095919E10</v>
      </c>
    </row>
    <row r="308">
      <c r="A308" s="3">
        <v>2485817.0</v>
      </c>
      <c r="B308" s="3" t="s">
        <v>814</v>
      </c>
      <c r="C308" s="3" t="b">
        <v>1</v>
      </c>
      <c r="D308" s="3" t="b">
        <v>1</v>
      </c>
      <c r="E308" s="3" t="s">
        <v>46</v>
      </c>
      <c r="F308" s="3" t="s">
        <v>815</v>
      </c>
      <c r="G308" s="4">
        <f>+251967768370</f>
        <v>251967768370</v>
      </c>
      <c r="H308" s="3" t="s">
        <v>18</v>
      </c>
      <c r="I308" s="3" t="s">
        <v>19</v>
      </c>
      <c r="J308" s="3" t="s">
        <v>19</v>
      </c>
      <c r="K308" s="3" t="s">
        <v>25</v>
      </c>
      <c r="L308" s="3">
        <v>21.5</v>
      </c>
      <c r="M308" s="3" t="s">
        <v>21</v>
      </c>
    </row>
    <row r="309">
      <c r="A309" s="3">
        <v>2485818.0</v>
      </c>
      <c r="B309" s="3" t="s">
        <v>816</v>
      </c>
      <c r="C309" s="3" t="b">
        <v>1</v>
      </c>
      <c r="D309" s="3" t="b">
        <v>1</v>
      </c>
      <c r="E309" s="3" t="s">
        <v>817</v>
      </c>
      <c r="F309" s="3" t="s">
        <v>818</v>
      </c>
      <c r="G309" s="4">
        <f>+251912361879</f>
        <v>251912361879</v>
      </c>
      <c r="H309" s="3" t="s">
        <v>18</v>
      </c>
      <c r="I309" s="3" t="s">
        <v>19</v>
      </c>
      <c r="J309" s="3" t="s">
        <v>19</v>
      </c>
      <c r="K309" s="3" t="s">
        <v>25</v>
      </c>
      <c r="L309" s="3">
        <v>20.42</v>
      </c>
      <c r="M309" s="3" t="s">
        <v>21</v>
      </c>
    </row>
    <row r="310">
      <c r="A310" s="3">
        <v>2485826.0</v>
      </c>
      <c r="B310" s="3" t="s">
        <v>819</v>
      </c>
      <c r="C310" s="3" t="b">
        <v>1</v>
      </c>
      <c r="D310" s="3" t="b">
        <v>1</v>
      </c>
      <c r="E310" s="3" t="s">
        <v>424</v>
      </c>
      <c r="F310" s="3" t="s">
        <v>820</v>
      </c>
      <c r="G310" s="4">
        <f>+251934177448</f>
        <v>251934177448</v>
      </c>
      <c r="H310" s="3" t="s">
        <v>18</v>
      </c>
      <c r="I310" s="3" t="s">
        <v>19</v>
      </c>
      <c r="J310" s="3" t="s">
        <v>19</v>
      </c>
      <c r="K310" s="3" t="s">
        <v>25</v>
      </c>
      <c r="L310" s="3">
        <v>18.54</v>
      </c>
      <c r="M310" s="3" t="s">
        <v>21</v>
      </c>
    </row>
    <row r="311">
      <c r="A311" s="3">
        <v>2485850.0</v>
      </c>
      <c r="B311" s="3" t="s">
        <v>821</v>
      </c>
      <c r="C311" s="3" t="b">
        <v>1</v>
      </c>
      <c r="D311" s="3" t="b">
        <v>1</v>
      </c>
      <c r="E311" s="3" t="s">
        <v>822</v>
      </c>
      <c r="F311" s="3" t="s">
        <v>823</v>
      </c>
      <c r="G311" s="4">
        <f>+251903977771</f>
        <v>251903977771</v>
      </c>
      <c r="H311" s="3" t="s">
        <v>18</v>
      </c>
      <c r="I311" s="3" t="s">
        <v>19</v>
      </c>
      <c r="J311" s="3" t="s">
        <v>19</v>
      </c>
      <c r="K311" s="3" t="s">
        <v>20</v>
      </c>
      <c r="L311" s="3">
        <v>21.47</v>
      </c>
      <c r="M311" s="3" t="s">
        <v>21</v>
      </c>
      <c r="O311" s="3">
        <v>1.23404949706E11</v>
      </c>
    </row>
    <row r="312">
      <c r="A312" s="3">
        <v>2485866.0</v>
      </c>
      <c r="B312" s="3" t="s">
        <v>824</v>
      </c>
      <c r="C312" s="3" t="b">
        <v>1</v>
      </c>
      <c r="D312" s="3" t="b">
        <v>1</v>
      </c>
      <c r="E312" s="3" t="s">
        <v>825</v>
      </c>
      <c r="F312" s="3" t="s">
        <v>826</v>
      </c>
      <c r="G312" s="4">
        <f>+251933128693</f>
        <v>251933128693</v>
      </c>
      <c r="H312" s="3" t="s">
        <v>18</v>
      </c>
      <c r="I312" s="3" t="s">
        <v>19</v>
      </c>
      <c r="J312" s="3" t="s">
        <v>19</v>
      </c>
      <c r="K312" s="3" t="s">
        <v>20</v>
      </c>
      <c r="L312" s="3">
        <v>19.12</v>
      </c>
      <c r="M312" s="3" t="s">
        <v>21</v>
      </c>
      <c r="O312" s="3">
        <v>1.23409286357E11</v>
      </c>
    </row>
    <row r="313">
      <c r="A313" s="3">
        <v>2485711.0</v>
      </c>
      <c r="B313" s="3" t="s">
        <v>827</v>
      </c>
      <c r="C313" s="3" t="b">
        <v>1</v>
      </c>
      <c r="D313" s="3" t="b">
        <v>1</v>
      </c>
      <c r="E313" s="3" t="s">
        <v>828</v>
      </c>
      <c r="F313" s="3" t="s">
        <v>518</v>
      </c>
      <c r="G313" s="4">
        <f>+251962643969</f>
        <v>251962643969</v>
      </c>
      <c r="H313" s="3" t="s">
        <v>18</v>
      </c>
      <c r="I313" s="3" t="s">
        <v>19</v>
      </c>
      <c r="J313" s="3" t="s">
        <v>19</v>
      </c>
      <c r="K313" s="3" t="s">
        <v>25</v>
      </c>
      <c r="L313" s="3">
        <v>22.78</v>
      </c>
      <c r="M313" s="3" t="s">
        <v>21</v>
      </c>
      <c r="O313" s="3">
        <v>1.23241118951E11</v>
      </c>
    </row>
    <row r="314">
      <c r="A314" s="3">
        <v>2485875.0</v>
      </c>
      <c r="B314" s="3" t="s">
        <v>829</v>
      </c>
      <c r="C314" s="3" t="b">
        <v>1</v>
      </c>
      <c r="D314" s="3" t="b">
        <v>1</v>
      </c>
      <c r="E314" s="3" t="s">
        <v>830</v>
      </c>
      <c r="F314" s="3" t="s">
        <v>831</v>
      </c>
      <c r="G314" s="4">
        <f>+251947020017</f>
        <v>251947020017</v>
      </c>
      <c r="H314" s="3" t="s">
        <v>18</v>
      </c>
      <c r="I314" s="3" t="s">
        <v>19</v>
      </c>
      <c r="J314" s="3" t="s">
        <v>19</v>
      </c>
      <c r="K314" s="3" t="s">
        <v>25</v>
      </c>
      <c r="L314" s="3">
        <v>22.04</v>
      </c>
      <c r="M314" s="3" t="s">
        <v>21</v>
      </c>
      <c r="O314" s="3">
        <v>1.23413440722E11</v>
      </c>
    </row>
    <row r="315">
      <c r="A315" s="3">
        <v>2485884.0</v>
      </c>
      <c r="B315" s="3" t="s">
        <v>832</v>
      </c>
      <c r="C315" s="3" t="b">
        <v>1</v>
      </c>
      <c r="D315" s="3" t="b">
        <v>1</v>
      </c>
      <c r="E315" s="3" t="s">
        <v>833</v>
      </c>
      <c r="F315" s="3" t="s">
        <v>538</v>
      </c>
      <c r="G315" s="4">
        <f>+251973228009</f>
        <v>251973228009</v>
      </c>
      <c r="H315" s="3" t="s">
        <v>18</v>
      </c>
      <c r="I315" s="3" t="s">
        <v>19</v>
      </c>
      <c r="J315" s="3" t="s">
        <v>19</v>
      </c>
      <c r="K315" s="3" t="s">
        <v>20</v>
      </c>
      <c r="L315" s="3">
        <v>19.01</v>
      </c>
      <c r="M315" s="3" t="s">
        <v>21</v>
      </c>
      <c r="O315" s="3">
        <v>1.23412325594E11</v>
      </c>
    </row>
    <row r="316">
      <c r="A316" s="3">
        <v>2485916.0</v>
      </c>
      <c r="B316" s="3" t="s">
        <v>834</v>
      </c>
      <c r="C316" s="3" t="b">
        <v>1</v>
      </c>
      <c r="D316" s="3" t="b">
        <v>1</v>
      </c>
      <c r="E316" s="3" t="s">
        <v>835</v>
      </c>
      <c r="F316" s="3" t="s">
        <v>836</v>
      </c>
      <c r="G316" s="4">
        <f>+251908346916</f>
        <v>251908346916</v>
      </c>
      <c r="H316" s="3" t="s">
        <v>18</v>
      </c>
      <c r="I316" s="3" t="s">
        <v>19</v>
      </c>
      <c r="J316" s="3" t="s">
        <v>19</v>
      </c>
      <c r="K316" s="3" t="s">
        <v>25</v>
      </c>
      <c r="L316" s="3">
        <v>13.2</v>
      </c>
      <c r="M316" s="3" t="s">
        <v>21</v>
      </c>
      <c r="O316" s="3">
        <v>1.23448694993E11</v>
      </c>
    </row>
    <row r="317">
      <c r="A317" s="3">
        <v>2419732.0</v>
      </c>
      <c r="B317" s="3" t="s">
        <v>837</v>
      </c>
      <c r="C317" s="3" t="b">
        <v>1</v>
      </c>
      <c r="D317" s="3" t="b">
        <v>1</v>
      </c>
      <c r="E317" s="3" t="s">
        <v>719</v>
      </c>
      <c r="F317" s="3" t="s">
        <v>838</v>
      </c>
      <c r="G317" s="4">
        <f>+251905756058</f>
        <v>251905756058</v>
      </c>
      <c r="H317" s="3" t="s">
        <v>18</v>
      </c>
      <c r="I317" s="3" t="s">
        <v>19</v>
      </c>
      <c r="J317" s="3" t="s">
        <v>19</v>
      </c>
      <c r="K317" s="3" t="s">
        <v>20</v>
      </c>
      <c r="L317" s="3">
        <v>19.93</v>
      </c>
      <c r="M317" s="3" t="s">
        <v>21</v>
      </c>
      <c r="O317" s="3">
        <v>9.6927697125E10</v>
      </c>
    </row>
    <row r="318">
      <c r="A318" s="3">
        <v>2485922.0</v>
      </c>
      <c r="B318" s="3" t="s">
        <v>839</v>
      </c>
      <c r="C318" s="3" t="b">
        <v>1</v>
      </c>
      <c r="D318" s="3" t="b">
        <v>1</v>
      </c>
      <c r="E318" s="3" t="s">
        <v>162</v>
      </c>
      <c r="F318" s="3" t="s">
        <v>840</v>
      </c>
      <c r="G318" s="4">
        <f>+251935610770</f>
        <v>251935610770</v>
      </c>
      <c r="H318" s="3" t="s">
        <v>18</v>
      </c>
      <c r="I318" s="3" t="s">
        <v>19</v>
      </c>
      <c r="J318" s="3" t="s">
        <v>19</v>
      </c>
      <c r="K318" s="3" t="s">
        <v>25</v>
      </c>
      <c r="L318" s="3">
        <v>20.66</v>
      </c>
      <c r="M318" s="3" t="s">
        <v>21</v>
      </c>
    </row>
    <row r="319">
      <c r="A319" s="3">
        <v>2485934.0</v>
      </c>
      <c r="B319" s="3" t="s">
        <v>841</v>
      </c>
      <c r="C319" s="3" t="b">
        <v>1</v>
      </c>
      <c r="D319" s="3" t="b">
        <v>1</v>
      </c>
      <c r="E319" s="3" t="s">
        <v>842</v>
      </c>
      <c r="F319" s="3" t="s">
        <v>795</v>
      </c>
      <c r="G319" s="4">
        <f>+251960058352</f>
        <v>251960058352</v>
      </c>
      <c r="H319" s="3" t="s">
        <v>18</v>
      </c>
      <c r="I319" s="3" t="s">
        <v>19</v>
      </c>
      <c r="J319" s="3" t="s">
        <v>19</v>
      </c>
      <c r="K319" s="3" t="s">
        <v>20</v>
      </c>
      <c r="L319" s="3">
        <v>20.18</v>
      </c>
      <c r="M319" s="3" t="s">
        <v>21</v>
      </c>
    </row>
    <row r="320">
      <c r="A320" s="3">
        <v>2485950.0</v>
      </c>
      <c r="B320" s="3" t="s">
        <v>843</v>
      </c>
      <c r="C320" s="3" t="b">
        <v>1</v>
      </c>
      <c r="D320" s="3" t="b">
        <v>1</v>
      </c>
      <c r="E320" s="3" t="s">
        <v>531</v>
      </c>
      <c r="F320" s="3" t="s">
        <v>844</v>
      </c>
      <c r="G320" s="4">
        <f>+251962461615</f>
        <v>251962461615</v>
      </c>
      <c r="H320" s="3" t="s">
        <v>18</v>
      </c>
      <c r="I320" s="3" t="s">
        <v>19</v>
      </c>
      <c r="J320" s="3" t="s">
        <v>19</v>
      </c>
      <c r="K320" s="3" t="s">
        <v>20</v>
      </c>
      <c r="L320" s="3">
        <v>22.16</v>
      </c>
      <c r="M320" s="3" t="s">
        <v>21</v>
      </c>
      <c r="O320" s="3">
        <v>1.23448239324E11</v>
      </c>
    </row>
    <row r="321">
      <c r="A321" s="3">
        <v>2485977.0</v>
      </c>
      <c r="B321" s="3" t="s">
        <v>845</v>
      </c>
      <c r="C321" s="3" t="b">
        <v>1</v>
      </c>
      <c r="D321" s="3" t="b">
        <v>1</v>
      </c>
      <c r="E321" s="3" t="s">
        <v>846</v>
      </c>
      <c r="F321" s="3" t="s">
        <v>218</v>
      </c>
      <c r="G321" s="4">
        <f>+251924236394</f>
        <v>251924236394</v>
      </c>
      <c r="H321" s="3" t="s">
        <v>18</v>
      </c>
      <c r="I321" s="3" t="s">
        <v>19</v>
      </c>
      <c r="J321" s="3" t="s">
        <v>19</v>
      </c>
      <c r="K321" s="3" t="s">
        <v>20</v>
      </c>
      <c r="L321" s="3">
        <v>18.22</v>
      </c>
      <c r="M321" s="3" t="s">
        <v>21</v>
      </c>
      <c r="O321" s="3">
        <v>1.23301846221E11</v>
      </c>
    </row>
    <row r="322">
      <c r="A322" s="3">
        <v>2485973.0</v>
      </c>
      <c r="B322" s="3" t="s">
        <v>847</v>
      </c>
      <c r="C322" s="3" t="b">
        <v>1</v>
      </c>
      <c r="D322" s="3" t="b">
        <v>1</v>
      </c>
      <c r="E322" s="3" t="s">
        <v>848</v>
      </c>
      <c r="F322" s="3" t="s">
        <v>849</v>
      </c>
      <c r="G322" s="4">
        <f>+251967260205</f>
        <v>251967260205</v>
      </c>
      <c r="H322" s="3" t="s">
        <v>18</v>
      </c>
      <c r="I322" s="3" t="s">
        <v>19</v>
      </c>
      <c r="J322" s="3" t="s">
        <v>19</v>
      </c>
      <c r="K322" s="3" t="s">
        <v>20</v>
      </c>
      <c r="L322" s="3">
        <v>18.89</v>
      </c>
      <c r="M322" s="3" t="s">
        <v>21</v>
      </c>
      <c r="O322" s="3">
        <v>1.23300457688E11</v>
      </c>
    </row>
    <row r="323">
      <c r="A323" s="3">
        <v>2485970.0</v>
      </c>
      <c r="B323" s="3" t="s">
        <v>850</v>
      </c>
      <c r="C323" s="3" t="b">
        <v>1</v>
      </c>
      <c r="D323" s="3" t="b">
        <v>1</v>
      </c>
      <c r="E323" s="3" t="s">
        <v>851</v>
      </c>
      <c r="F323" s="3" t="s">
        <v>849</v>
      </c>
      <c r="G323" s="4">
        <f>+251946409924</f>
        <v>251946409924</v>
      </c>
      <c r="H323" s="3" t="s">
        <v>18</v>
      </c>
      <c r="I323" s="3" t="s">
        <v>19</v>
      </c>
      <c r="J323" s="3" t="s">
        <v>19</v>
      </c>
      <c r="K323" s="3" t="s">
        <v>20</v>
      </c>
      <c r="L323" s="3">
        <v>20.91</v>
      </c>
      <c r="M323" s="3" t="s">
        <v>21</v>
      </c>
    </row>
    <row r="324">
      <c r="A324" s="3">
        <v>2485964.0</v>
      </c>
      <c r="B324" s="3" t="s">
        <v>852</v>
      </c>
      <c r="C324" s="3" t="b">
        <v>1</v>
      </c>
      <c r="D324" s="3" t="b">
        <v>1</v>
      </c>
      <c r="E324" s="3" t="s">
        <v>853</v>
      </c>
      <c r="F324" s="3" t="s">
        <v>854</v>
      </c>
      <c r="G324" s="4">
        <f>+251960221768</f>
        <v>251960221768</v>
      </c>
      <c r="H324" s="3" t="s">
        <v>855</v>
      </c>
      <c r="I324" s="3" t="s">
        <v>19</v>
      </c>
      <c r="J324" s="3" t="s">
        <v>19</v>
      </c>
      <c r="K324" s="3" t="s">
        <v>25</v>
      </c>
      <c r="L324" s="3">
        <v>19.34</v>
      </c>
      <c r="M324" s="3" t="s">
        <v>21</v>
      </c>
      <c r="O324" s="3">
        <v>1.23298618617E11</v>
      </c>
    </row>
    <row r="325">
      <c r="A325" s="3">
        <v>2485978.0</v>
      </c>
      <c r="B325" s="3" t="s">
        <v>856</v>
      </c>
      <c r="C325" s="3" t="b">
        <v>1</v>
      </c>
      <c r="D325" s="3" t="b">
        <v>1</v>
      </c>
      <c r="E325" s="3" t="s">
        <v>857</v>
      </c>
      <c r="F325" s="3" t="s">
        <v>196</v>
      </c>
      <c r="G325" s="4">
        <f>+251930531538</f>
        <v>251930531538</v>
      </c>
      <c r="H325" s="3" t="s">
        <v>18</v>
      </c>
      <c r="I325" s="3" t="s">
        <v>19</v>
      </c>
      <c r="J325" s="3" t="s">
        <v>19</v>
      </c>
      <c r="K325" s="3" t="s">
        <v>20</v>
      </c>
      <c r="L325" s="3">
        <v>22.03</v>
      </c>
      <c r="M325" s="3" t="s">
        <v>21</v>
      </c>
    </row>
    <row r="326">
      <c r="A326" s="3">
        <v>2485985.0</v>
      </c>
      <c r="B326" s="3" t="s">
        <v>858</v>
      </c>
      <c r="C326" s="3" t="b">
        <v>1</v>
      </c>
      <c r="D326" s="3" t="b">
        <v>1</v>
      </c>
      <c r="E326" s="3" t="s">
        <v>859</v>
      </c>
      <c r="F326" s="3" t="s">
        <v>860</v>
      </c>
      <c r="G326" s="4">
        <f>+251910253622</f>
        <v>251910253622</v>
      </c>
      <c r="H326" s="3" t="s">
        <v>18</v>
      </c>
      <c r="I326" s="3" t="s">
        <v>19</v>
      </c>
      <c r="J326" s="3" t="s">
        <v>19</v>
      </c>
      <c r="K326" s="3" t="s">
        <v>25</v>
      </c>
      <c r="L326" s="3">
        <v>28.65</v>
      </c>
      <c r="M326" s="3" t="s">
        <v>21</v>
      </c>
      <c r="O326" s="3">
        <v>1.23302246589E11</v>
      </c>
    </row>
    <row r="327">
      <c r="A327" s="3">
        <v>2485999.0</v>
      </c>
      <c r="B327" s="3" t="s">
        <v>861</v>
      </c>
      <c r="C327" s="3" t="b">
        <v>1</v>
      </c>
      <c r="D327" s="3" t="b">
        <v>1</v>
      </c>
      <c r="E327" s="3" t="s">
        <v>760</v>
      </c>
      <c r="F327" s="3" t="s">
        <v>862</v>
      </c>
      <c r="G327" s="4">
        <f>+251946906869</f>
        <v>251946906869</v>
      </c>
      <c r="H327" s="3" t="s">
        <v>18</v>
      </c>
      <c r="I327" s="3" t="s">
        <v>19</v>
      </c>
      <c r="J327" s="3" t="s">
        <v>19</v>
      </c>
      <c r="K327" s="3" t="s">
        <v>20</v>
      </c>
      <c r="L327" s="3">
        <v>18.75</v>
      </c>
      <c r="M327" s="3" t="s">
        <v>21</v>
      </c>
      <c r="O327" s="3">
        <v>1.23457377514E11</v>
      </c>
    </row>
    <row r="328">
      <c r="A328" s="3">
        <v>2486021.0</v>
      </c>
      <c r="B328" s="3" t="s">
        <v>863</v>
      </c>
      <c r="C328" s="3" t="b">
        <v>1</v>
      </c>
      <c r="D328" s="3" t="b">
        <v>1</v>
      </c>
      <c r="E328" s="3" t="s">
        <v>864</v>
      </c>
      <c r="F328" s="3" t="s">
        <v>865</v>
      </c>
      <c r="G328" s="4">
        <f>+251926666606</f>
        <v>251926666606</v>
      </c>
      <c r="H328" s="3" t="s">
        <v>18</v>
      </c>
      <c r="I328" s="3" t="s">
        <v>19</v>
      </c>
      <c r="J328" s="3" t="s">
        <v>19</v>
      </c>
      <c r="K328" s="3" t="s">
        <v>25</v>
      </c>
      <c r="L328" s="3">
        <v>19.51</v>
      </c>
      <c r="M328" s="3" t="s">
        <v>21</v>
      </c>
    </row>
    <row r="329">
      <c r="A329" s="3">
        <v>2486030.0</v>
      </c>
      <c r="B329" s="3" t="s">
        <v>866</v>
      </c>
      <c r="C329" s="3" t="b">
        <v>1</v>
      </c>
      <c r="D329" s="3" t="b">
        <v>1</v>
      </c>
      <c r="E329" s="3" t="s">
        <v>867</v>
      </c>
      <c r="F329" s="3" t="s">
        <v>64</v>
      </c>
      <c r="G329" s="4">
        <f>+251993594229</f>
        <v>251993594229</v>
      </c>
      <c r="H329" s="3" t="s">
        <v>18</v>
      </c>
      <c r="I329" s="3" t="s">
        <v>19</v>
      </c>
      <c r="J329" s="3" t="s">
        <v>19</v>
      </c>
      <c r="K329" s="3" t="s">
        <v>25</v>
      </c>
      <c r="L329" s="3">
        <v>23.56</v>
      </c>
      <c r="M329" s="3" t="s">
        <v>21</v>
      </c>
      <c r="O329" s="3">
        <v>1.2330872751E11</v>
      </c>
    </row>
    <row r="330">
      <c r="A330" s="3">
        <v>2486093.0</v>
      </c>
      <c r="B330" s="3" t="s">
        <v>868</v>
      </c>
      <c r="C330" s="3" t="b">
        <v>1</v>
      </c>
      <c r="D330" s="3" t="b">
        <v>1</v>
      </c>
      <c r="E330" s="3" t="s">
        <v>273</v>
      </c>
      <c r="F330" s="3" t="s">
        <v>869</v>
      </c>
      <c r="G330" s="4">
        <f>+251938116198</f>
        <v>251938116198</v>
      </c>
      <c r="H330" s="3" t="s">
        <v>18</v>
      </c>
      <c r="I330" s="3" t="s">
        <v>19</v>
      </c>
      <c r="J330" s="3" t="s">
        <v>19</v>
      </c>
      <c r="K330" s="3" t="s">
        <v>25</v>
      </c>
      <c r="L330" s="3">
        <v>19.53</v>
      </c>
      <c r="M330" s="3" t="s">
        <v>21</v>
      </c>
      <c r="O330" s="3">
        <v>1.23592151274E11</v>
      </c>
    </row>
    <row r="331">
      <c r="A331" s="3">
        <v>2486083.0</v>
      </c>
      <c r="B331" s="3" t="s">
        <v>870</v>
      </c>
      <c r="C331" s="3" t="b">
        <v>1</v>
      </c>
      <c r="D331" s="3" t="b">
        <v>1</v>
      </c>
      <c r="E331" s="3" t="s">
        <v>871</v>
      </c>
      <c r="F331" s="3" t="s">
        <v>872</v>
      </c>
      <c r="G331" s="4">
        <f>+251964329855</f>
        <v>251964329855</v>
      </c>
      <c r="H331" s="3" t="s">
        <v>18</v>
      </c>
      <c r="I331" s="3" t="s">
        <v>19</v>
      </c>
      <c r="J331" s="3" t="s">
        <v>19</v>
      </c>
      <c r="K331" s="3" t="s">
        <v>20</v>
      </c>
      <c r="L331" s="3">
        <v>19.32</v>
      </c>
      <c r="M331" s="3" t="s">
        <v>21</v>
      </c>
      <c r="O331" s="3">
        <v>1.23528906964E11</v>
      </c>
    </row>
    <row r="332">
      <c r="A332" s="3">
        <v>2486067.0</v>
      </c>
      <c r="B332" s="3" t="s">
        <v>873</v>
      </c>
      <c r="C332" s="3" t="b">
        <v>1</v>
      </c>
      <c r="D332" s="3" t="b">
        <v>1</v>
      </c>
      <c r="E332" s="3" t="s">
        <v>874</v>
      </c>
      <c r="F332" s="3" t="s">
        <v>875</v>
      </c>
      <c r="G332" s="3">
        <v>9.20200879E8</v>
      </c>
      <c r="H332" s="3" t="s">
        <v>18</v>
      </c>
      <c r="I332" s="3" t="s">
        <v>19</v>
      </c>
      <c r="J332" s="3" t="s">
        <v>19</v>
      </c>
      <c r="K332" s="3" t="s">
        <v>20</v>
      </c>
      <c r="L332" s="3">
        <v>20.54</v>
      </c>
      <c r="M332" s="3" t="s">
        <v>21</v>
      </c>
      <c r="O332" s="3">
        <v>1.23311119605E11</v>
      </c>
    </row>
    <row r="333">
      <c r="A333" s="3">
        <v>2486103.0</v>
      </c>
      <c r="B333" s="3" t="s">
        <v>876</v>
      </c>
      <c r="C333" s="3" t="b">
        <v>1</v>
      </c>
      <c r="D333" s="3" t="b">
        <v>1</v>
      </c>
      <c r="E333" s="3" t="s">
        <v>877</v>
      </c>
      <c r="F333" s="3" t="s">
        <v>878</v>
      </c>
      <c r="G333" s="4">
        <f>+251995320548</f>
        <v>251995320548</v>
      </c>
      <c r="H333" s="3" t="s">
        <v>18</v>
      </c>
      <c r="I333" s="3" t="s">
        <v>19</v>
      </c>
      <c r="J333" s="3" t="s">
        <v>19</v>
      </c>
      <c r="K333" s="3" t="s">
        <v>25</v>
      </c>
      <c r="L333" s="3">
        <v>25.78</v>
      </c>
      <c r="M333" s="3" t="s">
        <v>21</v>
      </c>
      <c r="O333" s="3">
        <v>1.23633070293E11</v>
      </c>
    </row>
    <row r="334">
      <c r="A334" s="3">
        <v>2486110.0</v>
      </c>
      <c r="B334" s="3" t="s">
        <v>879</v>
      </c>
      <c r="C334" s="3" t="b">
        <v>1</v>
      </c>
      <c r="D334" s="3" t="b">
        <v>1</v>
      </c>
      <c r="E334" s="3" t="s">
        <v>880</v>
      </c>
      <c r="F334" s="3" t="s">
        <v>881</v>
      </c>
      <c r="G334" s="4">
        <f>+251989876969</f>
        <v>251989876969</v>
      </c>
      <c r="H334" s="3" t="s">
        <v>18</v>
      </c>
      <c r="I334" s="3" t="s">
        <v>19</v>
      </c>
      <c r="J334" s="3" t="s">
        <v>19</v>
      </c>
      <c r="K334" s="3" t="s">
        <v>25</v>
      </c>
      <c r="L334" s="3">
        <v>21.63</v>
      </c>
      <c r="M334" s="3" t="s">
        <v>21</v>
      </c>
      <c r="O334" s="3">
        <v>1.23634702581E11</v>
      </c>
    </row>
    <row r="335">
      <c r="A335" s="3">
        <v>2486119.0</v>
      </c>
      <c r="B335" s="3" t="s">
        <v>882</v>
      </c>
      <c r="C335" s="3" t="b">
        <v>1</v>
      </c>
      <c r="D335" s="3" t="b">
        <v>1</v>
      </c>
      <c r="E335" s="3" t="s">
        <v>883</v>
      </c>
      <c r="F335" s="3" t="s">
        <v>884</v>
      </c>
      <c r="G335" s="4">
        <f>+251960778509</f>
        <v>251960778509</v>
      </c>
      <c r="H335" s="3" t="s">
        <v>18</v>
      </c>
      <c r="I335" s="3" t="s">
        <v>19</v>
      </c>
      <c r="J335" s="3" t="s">
        <v>19</v>
      </c>
      <c r="K335" s="3" t="s">
        <v>20</v>
      </c>
      <c r="L335" s="3">
        <v>19.13</v>
      </c>
      <c r="M335" s="3" t="s">
        <v>21</v>
      </c>
    </row>
    <row r="336">
      <c r="A336" s="3">
        <v>2486122.0</v>
      </c>
      <c r="B336" s="3" t="s">
        <v>885</v>
      </c>
      <c r="C336" s="3" t="b">
        <v>1</v>
      </c>
      <c r="D336" s="3" t="b">
        <v>1</v>
      </c>
      <c r="E336" s="3" t="s">
        <v>886</v>
      </c>
      <c r="F336" s="3" t="s">
        <v>887</v>
      </c>
      <c r="G336" s="4">
        <f>+251942105777</f>
        <v>251942105777</v>
      </c>
      <c r="H336" s="3" t="s">
        <v>18</v>
      </c>
      <c r="I336" s="3" t="s">
        <v>19</v>
      </c>
      <c r="J336" s="3" t="s">
        <v>19</v>
      </c>
      <c r="K336" s="3" t="s">
        <v>25</v>
      </c>
      <c r="L336" s="3">
        <v>19.28</v>
      </c>
      <c r="M336" s="3" t="s">
        <v>21</v>
      </c>
      <c r="O336" s="3">
        <v>1.23633969379E11</v>
      </c>
    </row>
    <row r="337">
      <c r="A337" s="3">
        <v>2486116.0</v>
      </c>
      <c r="B337" s="3" t="s">
        <v>888</v>
      </c>
      <c r="C337" s="3" t="b">
        <v>1</v>
      </c>
      <c r="D337" s="3" t="b">
        <v>1</v>
      </c>
      <c r="E337" s="3" t="s">
        <v>889</v>
      </c>
      <c r="F337" s="3" t="s">
        <v>703</v>
      </c>
      <c r="G337" s="4">
        <f>+251928388399</f>
        <v>251928388399</v>
      </c>
      <c r="H337" s="3" t="s">
        <v>44</v>
      </c>
      <c r="I337" s="3" t="s">
        <v>19</v>
      </c>
      <c r="J337" s="3" t="s">
        <v>19</v>
      </c>
      <c r="K337" s="3" t="s">
        <v>20</v>
      </c>
      <c r="L337" s="3">
        <v>18.53</v>
      </c>
      <c r="M337" s="3" t="s">
        <v>21</v>
      </c>
    </row>
    <row r="338">
      <c r="A338" s="3">
        <v>2486121.0</v>
      </c>
      <c r="B338" s="3" t="s">
        <v>890</v>
      </c>
      <c r="C338" s="3" t="b">
        <v>1</v>
      </c>
      <c r="D338" s="3" t="b">
        <v>1</v>
      </c>
      <c r="E338" s="3" t="s">
        <v>891</v>
      </c>
      <c r="F338" s="3" t="s">
        <v>892</v>
      </c>
      <c r="G338" s="4">
        <f>+251960538449</f>
        <v>251960538449</v>
      </c>
      <c r="H338" s="3" t="s">
        <v>18</v>
      </c>
      <c r="I338" s="3" t="s">
        <v>19</v>
      </c>
      <c r="J338" s="3" t="s">
        <v>19</v>
      </c>
      <c r="K338" s="3" t="s">
        <v>25</v>
      </c>
      <c r="L338" s="3">
        <v>18.88</v>
      </c>
      <c r="M338" s="3" t="s">
        <v>21</v>
      </c>
    </row>
    <row r="339">
      <c r="A339" s="3">
        <v>2290042.0</v>
      </c>
      <c r="B339" s="3" t="s">
        <v>893</v>
      </c>
      <c r="C339" s="3" t="b">
        <v>1</v>
      </c>
      <c r="D339" s="3" t="b">
        <v>1</v>
      </c>
      <c r="E339" s="3" t="s">
        <v>894</v>
      </c>
      <c r="F339" s="3" t="s">
        <v>895</v>
      </c>
      <c r="G339" s="4">
        <f>+251941818755</f>
        <v>251941818755</v>
      </c>
      <c r="H339" s="3" t="s">
        <v>18</v>
      </c>
      <c r="I339" s="3" t="s">
        <v>19</v>
      </c>
      <c r="J339" s="3" t="s">
        <v>19</v>
      </c>
      <c r="K339" s="3" t="s">
        <v>20</v>
      </c>
      <c r="L339" s="3">
        <v>20.05</v>
      </c>
      <c r="M339" s="3" t="s">
        <v>21</v>
      </c>
    </row>
    <row r="340">
      <c r="A340" s="3">
        <v>2486160.0</v>
      </c>
      <c r="B340" s="3" t="s">
        <v>896</v>
      </c>
      <c r="C340" s="3" t="b">
        <v>1</v>
      </c>
      <c r="D340" s="3" t="b">
        <v>1</v>
      </c>
      <c r="E340" s="3" t="s">
        <v>897</v>
      </c>
      <c r="F340" s="3" t="s">
        <v>898</v>
      </c>
      <c r="G340" s="4">
        <f>+251912035489</f>
        <v>251912035489</v>
      </c>
      <c r="H340" s="3" t="s">
        <v>18</v>
      </c>
      <c r="I340" s="3" t="s">
        <v>19</v>
      </c>
      <c r="J340" s="3" t="s">
        <v>19</v>
      </c>
      <c r="K340" s="3" t="s">
        <v>25</v>
      </c>
      <c r="L340" s="3">
        <v>27.05</v>
      </c>
      <c r="M340" s="3" t="s">
        <v>21</v>
      </c>
      <c r="O340" s="3">
        <v>2.4796908E7</v>
      </c>
    </row>
    <row r="341">
      <c r="A341" s="3">
        <v>2486167.0</v>
      </c>
      <c r="B341" s="3" t="s">
        <v>899</v>
      </c>
      <c r="C341" s="3" t="b">
        <v>1</v>
      </c>
      <c r="D341" s="3" t="b">
        <v>1</v>
      </c>
      <c r="E341" s="3" t="s">
        <v>900</v>
      </c>
      <c r="F341" s="3" t="s">
        <v>901</v>
      </c>
      <c r="G341" s="4">
        <f>+251910783327</f>
        <v>251910783327</v>
      </c>
      <c r="H341" s="3" t="s">
        <v>18</v>
      </c>
      <c r="I341" s="3" t="s">
        <v>19</v>
      </c>
      <c r="J341" s="3" t="s">
        <v>19</v>
      </c>
      <c r="K341" s="3" t="s">
        <v>25</v>
      </c>
      <c r="L341" s="3">
        <v>32.22</v>
      </c>
      <c r="M341" s="3" t="s">
        <v>21</v>
      </c>
      <c r="O341" s="3">
        <v>1890613.0</v>
      </c>
    </row>
    <row r="342">
      <c r="A342" s="3">
        <v>2093505.0</v>
      </c>
      <c r="B342" s="3" t="s">
        <v>902</v>
      </c>
      <c r="C342" s="3" t="b">
        <v>1</v>
      </c>
      <c r="D342" s="3" t="b">
        <v>1</v>
      </c>
      <c r="E342" s="3" t="s">
        <v>903</v>
      </c>
      <c r="F342" s="3" t="s">
        <v>904</v>
      </c>
      <c r="G342" s="4">
        <f>+251953445072</f>
        <v>251953445072</v>
      </c>
      <c r="H342" s="3" t="s">
        <v>18</v>
      </c>
      <c r="I342" s="3" t="s">
        <v>19</v>
      </c>
      <c r="J342" s="3" t="s">
        <v>19</v>
      </c>
      <c r="K342" s="3" t="s">
        <v>25</v>
      </c>
      <c r="L342" s="3">
        <v>23.77</v>
      </c>
      <c r="M342" s="3" t="s">
        <v>21</v>
      </c>
      <c r="O342" s="3">
        <v>8868733.0</v>
      </c>
    </row>
    <row r="343">
      <c r="A343" s="3">
        <v>2486168.0</v>
      </c>
      <c r="B343" s="3" t="s">
        <v>905</v>
      </c>
      <c r="C343" s="3" t="b">
        <v>1</v>
      </c>
      <c r="D343" s="3" t="b">
        <v>1</v>
      </c>
      <c r="E343" s="3" t="s">
        <v>906</v>
      </c>
      <c r="F343" s="3" t="s">
        <v>907</v>
      </c>
      <c r="G343" s="4">
        <f>+251980633614</f>
        <v>251980633614</v>
      </c>
      <c r="H343" s="3" t="s">
        <v>18</v>
      </c>
      <c r="I343" s="3" t="s">
        <v>19</v>
      </c>
      <c r="J343" s="3" t="s">
        <v>19</v>
      </c>
      <c r="K343" s="3" t="s">
        <v>20</v>
      </c>
      <c r="L343" s="3">
        <v>20.21</v>
      </c>
      <c r="M343" s="3" t="s">
        <v>21</v>
      </c>
    </row>
    <row r="344">
      <c r="A344" s="3">
        <v>2486261.0</v>
      </c>
      <c r="B344" s="3" t="s">
        <v>908</v>
      </c>
      <c r="C344" s="3" t="b">
        <v>1</v>
      </c>
      <c r="D344" s="3" t="b">
        <v>1</v>
      </c>
      <c r="E344" s="3" t="s">
        <v>909</v>
      </c>
      <c r="F344" s="3" t="s">
        <v>109</v>
      </c>
      <c r="G344" s="4">
        <f>+251942132791</f>
        <v>251942132791</v>
      </c>
      <c r="H344" s="3" t="s">
        <v>18</v>
      </c>
      <c r="I344" s="3" t="s">
        <v>19</v>
      </c>
      <c r="J344" s="3" t="s">
        <v>19</v>
      </c>
      <c r="K344" s="3" t="s">
        <v>20</v>
      </c>
      <c r="L344" s="3">
        <v>20.51</v>
      </c>
      <c r="M344" s="3" t="s">
        <v>21</v>
      </c>
      <c r="O344" s="3">
        <v>7.0136510688E10</v>
      </c>
    </row>
    <row r="345">
      <c r="A345" s="3">
        <v>2486257.0</v>
      </c>
      <c r="B345" s="3" t="s">
        <v>910</v>
      </c>
      <c r="C345" s="3" t="b">
        <v>1</v>
      </c>
      <c r="D345" s="3" t="b">
        <v>1</v>
      </c>
      <c r="E345" s="3" t="s">
        <v>188</v>
      </c>
      <c r="F345" s="3" t="s">
        <v>911</v>
      </c>
      <c r="G345" s="4">
        <f>+251967119103</f>
        <v>251967119103</v>
      </c>
      <c r="H345" s="3" t="s">
        <v>18</v>
      </c>
      <c r="I345" s="3" t="s">
        <v>19</v>
      </c>
      <c r="J345" s="3" t="s">
        <v>19</v>
      </c>
      <c r="K345" s="3" t="s">
        <v>25</v>
      </c>
      <c r="L345" s="3">
        <v>19.14</v>
      </c>
      <c r="M345" s="3" t="s">
        <v>21</v>
      </c>
      <c r="O345" s="3">
        <v>1.2370073518E11</v>
      </c>
    </row>
    <row r="346">
      <c r="A346" s="3">
        <v>2486253.0</v>
      </c>
      <c r="B346" s="3" t="s">
        <v>912</v>
      </c>
      <c r="C346" s="3" t="b">
        <v>1</v>
      </c>
      <c r="D346" s="3" t="b">
        <v>1</v>
      </c>
      <c r="E346" s="3" t="s">
        <v>583</v>
      </c>
      <c r="F346" s="3" t="s">
        <v>913</v>
      </c>
      <c r="G346" s="4">
        <f>+251944094140</f>
        <v>251944094140</v>
      </c>
      <c r="H346" s="3" t="s">
        <v>18</v>
      </c>
      <c r="I346" s="3" t="s">
        <v>19</v>
      </c>
      <c r="J346" s="3" t="s">
        <v>19</v>
      </c>
      <c r="K346" s="3" t="s">
        <v>20</v>
      </c>
      <c r="L346" s="3">
        <v>28.42</v>
      </c>
      <c r="M346" s="3" t="s">
        <v>21</v>
      </c>
      <c r="O346" s="3">
        <v>1.23475464431E11</v>
      </c>
    </row>
    <row r="347">
      <c r="A347" s="3">
        <v>2486247.0</v>
      </c>
      <c r="B347" s="3" t="s">
        <v>914</v>
      </c>
      <c r="C347" s="3" t="b">
        <v>1</v>
      </c>
      <c r="D347" s="3" t="b">
        <v>1</v>
      </c>
      <c r="E347" s="3" t="s">
        <v>915</v>
      </c>
      <c r="F347" s="3" t="s">
        <v>916</v>
      </c>
      <c r="G347" s="4">
        <f>+251912321087</f>
        <v>251912321087</v>
      </c>
      <c r="H347" s="3" t="s">
        <v>18</v>
      </c>
      <c r="I347" s="3" t="s">
        <v>19</v>
      </c>
      <c r="J347" s="3" t="s">
        <v>19</v>
      </c>
      <c r="K347" s="3" t="s">
        <v>25</v>
      </c>
      <c r="L347" s="3">
        <v>24.69</v>
      </c>
      <c r="M347" s="3" t="s">
        <v>21</v>
      </c>
      <c r="O347" s="3">
        <v>8778682.0</v>
      </c>
    </row>
    <row r="348">
      <c r="A348" s="3">
        <v>2486293.0</v>
      </c>
      <c r="B348" s="3" t="s">
        <v>917</v>
      </c>
      <c r="C348" s="3" t="b">
        <v>1</v>
      </c>
      <c r="D348" s="3" t="b">
        <v>1</v>
      </c>
      <c r="E348" s="3" t="s">
        <v>817</v>
      </c>
      <c r="F348" s="3" t="s">
        <v>918</v>
      </c>
      <c r="G348" s="4">
        <f>+251970414936</f>
        <v>251970414936</v>
      </c>
      <c r="H348" s="3" t="s">
        <v>18</v>
      </c>
      <c r="I348" s="3" t="s">
        <v>19</v>
      </c>
      <c r="J348" s="3" t="s">
        <v>19</v>
      </c>
      <c r="K348" s="3" t="s">
        <v>25</v>
      </c>
      <c r="L348" s="3">
        <v>22.23</v>
      </c>
      <c r="M348" s="3" t="s">
        <v>21</v>
      </c>
      <c r="O348" s="3">
        <v>2.4666777E7</v>
      </c>
    </row>
    <row r="349">
      <c r="A349" s="3">
        <v>2486301.0</v>
      </c>
      <c r="B349" s="3" t="s">
        <v>919</v>
      </c>
      <c r="C349" s="3" t="b">
        <v>1</v>
      </c>
      <c r="D349" s="3" t="b">
        <v>1</v>
      </c>
      <c r="E349" s="3" t="s">
        <v>192</v>
      </c>
      <c r="F349" s="3" t="s">
        <v>920</v>
      </c>
      <c r="G349" s="4">
        <f>+251943079990</f>
        <v>251943079990</v>
      </c>
      <c r="H349" s="3" t="s">
        <v>18</v>
      </c>
      <c r="I349" s="3" t="s">
        <v>19</v>
      </c>
      <c r="J349" s="3" t="s">
        <v>19</v>
      </c>
      <c r="K349" s="3" t="s">
        <v>20</v>
      </c>
      <c r="L349" s="3">
        <v>20.25</v>
      </c>
      <c r="M349" s="3" t="s">
        <v>21</v>
      </c>
    </row>
    <row r="350">
      <c r="A350" s="3">
        <v>701842.0</v>
      </c>
      <c r="B350" s="3" t="s">
        <v>921</v>
      </c>
      <c r="C350" s="3" t="b">
        <v>1</v>
      </c>
      <c r="D350" s="3" t="b">
        <v>1</v>
      </c>
      <c r="E350" s="3" t="s">
        <v>270</v>
      </c>
      <c r="F350" s="3" t="s">
        <v>922</v>
      </c>
      <c r="G350" s="4">
        <f>+251942793050</f>
        <v>251942793050</v>
      </c>
      <c r="H350" s="3" t="s">
        <v>18</v>
      </c>
      <c r="I350" s="3" t="s">
        <v>19</v>
      </c>
      <c r="J350" s="3" t="s">
        <v>19</v>
      </c>
      <c r="K350" s="3" t="s">
        <v>20</v>
      </c>
      <c r="L350" s="3">
        <v>24.66</v>
      </c>
      <c r="M350" s="3" t="s">
        <v>21</v>
      </c>
      <c r="O350" s="3">
        <v>2.9462569E7</v>
      </c>
    </row>
    <row r="351">
      <c r="A351" s="3">
        <v>19429.0</v>
      </c>
      <c r="B351" s="3" t="s">
        <v>923</v>
      </c>
      <c r="C351" s="3" t="b">
        <v>1</v>
      </c>
      <c r="D351" s="3" t="b">
        <v>1</v>
      </c>
      <c r="E351" s="3" t="s">
        <v>924</v>
      </c>
      <c r="F351" s="3" t="s">
        <v>925</v>
      </c>
      <c r="G351" s="4">
        <f>+251712439577</f>
        <v>251712439577</v>
      </c>
      <c r="H351" s="3" t="s">
        <v>18</v>
      </c>
      <c r="I351" s="3" t="s">
        <v>19</v>
      </c>
      <c r="J351" s="3" t="s">
        <v>19</v>
      </c>
      <c r="K351" s="3" t="s">
        <v>25</v>
      </c>
      <c r="L351" s="3">
        <v>31.74</v>
      </c>
      <c r="M351" s="3" t="s">
        <v>21</v>
      </c>
      <c r="O351" s="3">
        <v>1222948.0</v>
      </c>
    </row>
    <row r="352">
      <c r="A352" s="3">
        <v>2487629.0</v>
      </c>
      <c r="B352" s="3" t="s">
        <v>926</v>
      </c>
      <c r="C352" s="3" t="b">
        <v>1</v>
      </c>
      <c r="D352" s="3" t="b">
        <v>1</v>
      </c>
      <c r="E352" s="3" t="s">
        <v>927</v>
      </c>
      <c r="F352" s="3" t="s">
        <v>928</v>
      </c>
      <c r="G352" s="4">
        <f>+251954863178</f>
        <v>251954863178</v>
      </c>
      <c r="H352" s="3" t="s">
        <v>18</v>
      </c>
      <c r="I352" s="3" t="s">
        <v>19</v>
      </c>
      <c r="J352" s="3" t="s">
        <v>19</v>
      </c>
      <c r="K352" s="3" t="s">
        <v>25</v>
      </c>
      <c r="L352" s="3">
        <v>20.36</v>
      </c>
      <c r="M352" s="3" t="s">
        <v>21</v>
      </c>
      <c r="O352" s="3">
        <v>1.24730062073E11</v>
      </c>
    </row>
    <row r="353">
      <c r="A353" s="3">
        <v>2488990.0</v>
      </c>
      <c r="B353" s="3" t="s">
        <v>929</v>
      </c>
      <c r="C353" s="3" t="b">
        <v>1</v>
      </c>
      <c r="D353" s="3" t="b">
        <v>1</v>
      </c>
      <c r="E353" s="3" t="s">
        <v>930</v>
      </c>
      <c r="F353" s="3" t="s">
        <v>931</v>
      </c>
      <c r="G353" s="4">
        <f>+251906652714</f>
        <v>251906652714</v>
      </c>
      <c r="H353" s="3" t="s">
        <v>18</v>
      </c>
      <c r="I353" s="3" t="s">
        <v>19</v>
      </c>
      <c r="J353" s="3" t="s">
        <v>19</v>
      </c>
      <c r="K353" s="3" t="s">
        <v>25</v>
      </c>
      <c r="L353" s="3">
        <v>22.16</v>
      </c>
      <c r="M353" s="3" t="s">
        <v>21</v>
      </c>
      <c r="O353" s="3">
        <v>1.26271123687E11</v>
      </c>
    </row>
    <row r="354">
      <c r="A354" s="3">
        <v>2489199.0</v>
      </c>
      <c r="B354" s="3" t="s">
        <v>932</v>
      </c>
      <c r="C354" s="3" t="b">
        <v>1</v>
      </c>
      <c r="D354" s="3" t="b">
        <v>1</v>
      </c>
      <c r="E354" s="3" t="s">
        <v>933</v>
      </c>
      <c r="F354" s="3" t="s">
        <v>934</v>
      </c>
      <c r="G354" s="4">
        <f>+251917095508</f>
        <v>251917095508</v>
      </c>
      <c r="H354" s="3" t="s">
        <v>18</v>
      </c>
      <c r="I354" s="3" t="s">
        <v>19</v>
      </c>
      <c r="J354" s="3" t="s">
        <v>19</v>
      </c>
      <c r="K354" s="3" t="s">
        <v>25</v>
      </c>
      <c r="L354" s="3">
        <v>23.35</v>
      </c>
      <c r="M354" s="3" t="s">
        <v>21</v>
      </c>
    </row>
    <row r="355">
      <c r="A355" s="3">
        <v>93419.0</v>
      </c>
      <c r="B355" s="3" t="s">
        <v>935</v>
      </c>
      <c r="C355" s="3" t="b">
        <v>1</v>
      </c>
      <c r="D355" s="3" t="b">
        <v>1</v>
      </c>
      <c r="E355" s="3" t="s">
        <v>936</v>
      </c>
      <c r="F355" s="3" t="s">
        <v>422</v>
      </c>
      <c r="G355" s="4">
        <f>+251988747602</f>
        <v>251988747602</v>
      </c>
      <c r="H355" s="3" t="s">
        <v>18</v>
      </c>
      <c r="I355" s="3" t="s">
        <v>19</v>
      </c>
      <c r="J355" s="3" t="s">
        <v>19</v>
      </c>
      <c r="K355" s="3" t="s">
        <v>20</v>
      </c>
      <c r="L355" s="3">
        <v>22.8</v>
      </c>
      <c r="M355" s="3" t="s">
        <v>21</v>
      </c>
      <c r="O355" s="3">
        <v>2.6097814E7</v>
      </c>
    </row>
    <row r="356">
      <c r="A356" s="3">
        <v>2467859.0</v>
      </c>
      <c r="B356" s="3" t="s">
        <v>937</v>
      </c>
      <c r="C356" s="3" t="b">
        <v>1</v>
      </c>
      <c r="D356" s="3" t="b">
        <v>1</v>
      </c>
      <c r="E356" s="3" t="s">
        <v>938</v>
      </c>
      <c r="F356" s="3" t="s">
        <v>939</v>
      </c>
      <c r="G356" s="4">
        <f>+251922255271</f>
        <v>251922255271</v>
      </c>
      <c r="H356" s="3" t="s">
        <v>249</v>
      </c>
      <c r="I356" s="3" t="s">
        <v>19</v>
      </c>
      <c r="J356" s="3" t="s">
        <v>19</v>
      </c>
      <c r="K356" s="3" t="s">
        <v>25</v>
      </c>
      <c r="L356" s="3">
        <v>22.51</v>
      </c>
      <c r="M356" s="3" t="s">
        <v>21</v>
      </c>
      <c r="O356" s="3">
        <v>1.1297752395E11</v>
      </c>
    </row>
    <row r="357">
      <c r="A357" s="3">
        <v>2491485.0</v>
      </c>
      <c r="B357" s="3" t="s">
        <v>940</v>
      </c>
      <c r="C357" s="3" t="b">
        <v>1</v>
      </c>
      <c r="D357" s="3" t="b">
        <v>1</v>
      </c>
      <c r="E357" s="3" t="s">
        <v>941</v>
      </c>
      <c r="F357" s="3" t="s">
        <v>109</v>
      </c>
      <c r="G357" s="4">
        <f>+251930389794</f>
        <v>251930389794</v>
      </c>
      <c r="H357" s="3" t="s">
        <v>18</v>
      </c>
      <c r="I357" s="3" t="s">
        <v>19</v>
      </c>
      <c r="J357" s="3" t="s">
        <v>19</v>
      </c>
      <c r="K357" s="3" t="s">
        <v>20</v>
      </c>
      <c r="L357" s="3">
        <v>21.7</v>
      </c>
      <c r="M357" s="3" t="s">
        <v>21</v>
      </c>
      <c r="O357" s="3">
        <v>1.277764262E11</v>
      </c>
    </row>
    <row r="358">
      <c r="A358" s="3">
        <v>1940084.0</v>
      </c>
      <c r="B358" s="3" t="s">
        <v>942</v>
      </c>
      <c r="C358" s="3" t="b">
        <v>1</v>
      </c>
      <c r="D358" s="3" t="b">
        <v>1</v>
      </c>
      <c r="E358" s="3" t="s">
        <v>943</v>
      </c>
      <c r="F358" s="3" t="s">
        <v>35</v>
      </c>
      <c r="G358" s="4">
        <f>+251910217819</f>
        <v>251910217819</v>
      </c>
      <c r="H358" s="3" t="s">
        <v>18</v>
      </c>
      <c r="I358" s="3" t="s">
        <v>19</v>
      </c>
      <c r="J358" s="3" t="s">
        <v>19</v>
      </c>
      <c r="K358" s="3" t="s">
        <v>20</v>
      </c>
      <c r="L358" s="3">
        <v>30.84</v>
      </c>
      <c r="M358" s="3" t="s">
        <v>21</v>
      </c>
      <c r="O358" s="3">
        <v>3987338.0</v>
      </c>
    </row>
    <row r="359">
      <c r="A359" s="3">
        <v>2493815.0</v>
      </c>
      <c r="B359" s="3" t="s">
        <v>944</v>
      </c>
      <c r="C359" s="3" t="b">
        <v>1</v>
      </c>
      <c r="D359" s="3" t="b">
        <v>1</v>
      </c>
      <c r="E359" s="3" t="s">
        <v>945</v>
      </c>
      <c r="F359" s="3" t="s">
        <v>946</v>
      </c>
      <c r="G359" s="4">
        <f>+251947866184</f>
        <v>251947866184</v>
      </c>
      <c r="H359" s="3" t="s">
        <v>947</v>
      </c>
      <c r="I359" s="3" t="s">
        <v>19</v>
      </c>
      <c r="J359" s="3" t="s">
        <v>19</v>
      </c>
      <c r="K359" s="3" t="s">
        <v>25</v>
      </c>
      <c r="L359" s="3">
        <v>19.65</v>
      </c>
      <c r="M359" s="3" t="s">
        <v>21</v>
      </c>
      <c r="O359" s="3">
        <v>1.29677847765E11</v>
      </c>
    </row>
    <row r="360">
      <c r="A360" s="3">
        <v>1039396.0</v>
      </c>
      <c r="B360" s="3" t="s">
        <v>948</v>
      </c>
      <c r="C360" s="3" t="b">
        <v>1</v>
      </c>
      <c r="D360" s="3" t="b">
        <v>1</v>
      </c>
      <c r="E360" s="3" t="s">
        <v>949</v>
      </c>
      <c r="F360" s="3" t="s">
        <v>229</v>
      </c>
      <c r="G360" s="4">
        <f>+251960161366</f>
        <v>251960161366</v>
      </c>
      <c r="H360" s="3" t="s">
        <v>18</v>
      </c>
      <c r="I360" s="3" t="s">
        <v>19</v>
      </c>
      <c r="J360" s="3" t="s">
        <v>19</v>
      </c>
      <c r="K360" s="3" t="s">
        <v>25</v>
      </c>
      <c r="L360" s="3">
        <v>23.18</v>
      </c>
      <c r="M360" s="3" t="s">
        <v>21</v>
      </c>
      <c r="O360" s="3">
        <v>6.10105419E9</v>
      </c>
    </row>
    <row r="361">
      <c r="A361" s="3">
        <v>2495069.0</v>
      </c>
      <c r="B361" s="3" t="s">
        <v>950</v>
      </c>
      <c r="C361" s="3" t="b">
        <v>1</v>
      </c>
      <c r="D361" s="3" t="b">
        <v>1</v>
      </c>
      <c r="E361" s="3" t="s">
        <v>378</v>
      </c>
      <c r="F361" s="3" t="s">
        <v>951</v>
      </c>
      <c r="G361" s="4">
        <f>+251966687112</f>
        <v>251966687112</v>
      </c>
      <c r="H361" s="3" t="s">
        <v>18</v>
      </c>
      <c r="I361" s="3" t="s">
        <v>19</v>
      </c>
      <c r="J361" s="3" t="s">
        <v>19</v>
      </c>
      <c r="K361" s="3" t="s">
        <v>25</v>
      </c>
      <c r="L361" s="3">
        <v>18.6</v>
      </c>
      <c r="M361" s="3" t="s">
        <v>21</v>
      </c>
      <c r="O361" s="3">
        <v>1.30817444035E11</v>
      </c>
    </row>
    <row r="362">
      <c r="A362" s="3">
        <v>2495122.0</v>
      </c>
      <c r="B362" s="3" t="s">
        <v>952</v>
      </c>
      <c r="C362" s="3" t="b">
        <v>1</v>
      </c>
      <c r="D362" s="3" t="b">
        <v>1</v>
      </c>
      <c r="E362" s="3" t="s">
        <v>953</v>
      </c>
      <c r="F362" s="3" t="s">
        <v>954</v>
      </c>
      <c r="G362" s="4">
        <f>+251943349980</f>
        <v>251943349980</v>
      </c>
      <c r="H362" s="3" t="s">
        <v>18</v>
      </c>
      <c r="I362" s="3" t="s">
        <v>19</v>
      </c>
      <c r="J362" s="3" t="s">
        <v>19</v>
      </c>
      <c r="K362" s="3" t="s">
        <v>25</v>
      </c>
      <c r="L362" s="3">
        <v>26.29</v>
      </c>
      <c r="M362" s="3" t="s">
        <v>21</v>
      </c>
    </row>
    <row r="363">
      <c r="A363" s="3">
        <v>2495126.0</v>
      </c>
      <c r="B363" s="3" t="s">
        <v>955</v>
      </c>
      <c r="C363" s="3" t="b">
        <v>1</v>
      </c>
      <c r="D363" s="3" t="b">
        <v>1</v>
      </c>
      <c r="E363" s="3" t="s">
        <v>531</v>
      </c>
      <c r="F363" s="3" t="s">
        <v>518</v>
      </c>
      <c r="G363" s="4">
        <f>+251979841219</f>
        <v>251979841219</v>
      </c>
      <c r="H363" s="3" t="s">
        <v>18</v>
      </c>
      <c r="I363" s="3" t="s">
        <v>19</v>
      </c>
      <c r="J363" s="3" t="s">
        <v>19</v>
      </c>
      <c r="K363" s="3" t="s">
        <v>20</v>
      </c>
      <c r="L363" s="3">
        <v>23.63</v>
      </c>
      <c r="M363" s="3" t="s">
        <v>21</v>
      </c>
      <c r="O363" s="3">
        <v>5912480.0</v>
      </c>
    </row>
    <row r="364">
      <c r="A364" s="3">
        <v>213186.0</v>
      </c>
      <c r="B364" s="3" t="s">
        <v>956</v>
      </c>
      <c r="C364" s="3" t="b">
        <v>1</v>
      </c>
      <c r="D364" s="3" t="b">
        <v>1</v>
      </c>
      <c r="E364" s="3" t="s">
        <v>957</v>
      </c>
      <c r="F364" s="3" t="s">
        <v>958</v>
      </c>
      <c r="G364" s="4">
        <f>+251918178264</f>
        <v>251918178264</v>
      </c>
      <c r="H364" s="3" t="s">
        <v>18</v>
      </c>
      <c r="I364" s="3" t="s">
        <v>19</v>
      </c>
      <c r="J364" s="3" t="s">
        <v>19</v>
      </c>
      <c r="K364" s="3" t="s">
        <v>959</v>
      </c>
      <c r="L364" s="3">
        <v>24.62</v>
      </c>
      <c r="M364" s="3" t="s">
        <v>21</v>
      </c>
      <c r="O364" s="3">
        <v>5900913.0</v>
      </c>
    </row>
    <row r="365">
      <c r="A365" s="3">
        <v>2495252.0</v>
      </c>
      <c r="B365" s="3" t="s">
        <v>960</v>
      </c>
      <c r="C365" s="3" t="b">
        <v>1</v>
      </c>
      <c r="D365" s="3" t="b">
        <v>1</v>
      </c>
      <c r="E365" s="3" t="s">
        <v>961</v>
      </c>
      <c r="F365" s="3" t="s">
        <v>913</v>
      </c>
      <c r="G365" s="4">
        <f>+251966143454</f>
        <v>251966143454</v>
      </c>
      <c r="H365" s="3" t="s">
        <v>18</v>
      </c>
      <c r="I365" s="3" t="s">
        <v>19</v>
      </c>
      <c r="J365" s="3" t="s">
        <v>19</v>
      </c>
      <c r="K365" s="3" t="s">
        <v>25</v>
      </c>
      <c r="L365" s="3">
        <v>24.7</v>
      </c>
      <c r="M365" s="3" t="s">
        <v>21</v>
      </c>
      <c r="O365" s="3">
        <v>1.30908295394E11</v>
      </c>
    </row>
    <row r="366">
      <c r="A366" s="3">
        <v>2495329.0</v>
      </c>
      <c r="B366" s="3" t="s">
        <v>962</v>
      </c>
      <c r="C366" s="3" t="b">
        <v>1</v>
      </c>
      <c r="D366" s="3" t="b">
        <v>1</v>
      </c>
      <c r="E366" s="3" t="s">
        <v>963</v>
      </c>
      <c r="F366" s="3" t="s">
        <v>596</v>
      </c>
      <c r="G366" s="4">
        <f>+251955434818</f>
        <v>251955434818</v>
      </c>
      <c r="H366" s="3" t="s">
        <v>18</v>
      </c>
      <c r="I366" s="3" t="s">
        <v>19</v>
      </c>
      <c r="J366" s="3" t="s">
        <v>19</v>
      </c>
      <c r="K366" s="3" t="s">
        <v>25</v>
      </c>
      <c r="L366" s="3">
        <v>20.78</v>
      </c>
      <c r="M366" s="3" t="s">
        <v>21</v>
      </c>
    </row>
    <row r="367">
      <c r="A367" s="3">
        <v>2241628.0</v>
      </c>
      <c r="B367" s="3" t="s">
        <v>964</v>
      </c>
      <c r="C367" s="3" t="b">
        <v>1</v>
      </c>
      <c r="D367" s="3" t="b">
        <v>1</v>
      </c>
      <c r="E367" s="3" t="s">
        <v>965</v>
      </c>
      <c r="F367" s="3" t="s">
        <v>27</v>
      </c>
      <c r="G367" s="4">
        <f>+251963227027</f>
        <v>251963227027</v>
      </c>
      <c r="H367" s="3" t="s">
        <v>18</v>
      </c>
      <c r="I367" s="3" t="s">
        <v>19</v>
      </c>
      <c r="J367" s="3" t="s">
        <v>19</v>
      </c>
      <c r="K367" s="3" t="s">
        <v>25</v>
      </c>
      <c r="L367" s="3">
        <v>22.66</v>
      </c>
      <c r="M367" s="3" t="s">
        <v>21</v>
      </c>
      <c r="O367" s="3">
        <v>3.3876740338E10</v>
      </c>
    </row>
    <row r="368">
      <c r="A368" s="3">
        <v>2496477.0</v>
      </c>
      <c r="B368" s="3" t="s">
        <v>966</v>
      </c>
      <c r="C368" s="3" t="b">
        <v>1</v>
      </c>
      <c r="D368" s="3" t="b">
        <v>1</v>
      </c>
      <c r="E368" s="3" t="s">
        <v>967</v>
      </c>
      <c r="F368" s="3" t="s">
        <v>968</v>
      </c>
      <c r="G368" s="4">
        <f>+251911939650</f>
        <v>251911939650</v>
      </c>
      <c r="H368" s="3" t="s">
        <v>18</v>
      </c>
      <c r="I368" s="3" t="s">
        <v>19</v>
      </c>
      <c r="J368" s="3" t="s">
        <v>19</v>
      </c>
      <c r="K368" s="3" t="s">
        <v>20</v>
      </c>
      <c r="L368" s="3">
        <v>19.22</v>
      </c>
      <c r="M368" s="3" t="s">
        <v>21</v>
      </c>
      <c r="O368" s="3">
        <v>1.31917467895E11</v>
      </c>
    </row>
    <row r="369">
      <c r="A369" s="3">
        <v>2496516.0</v>
      </c>
      <c r="B369" s="3" t="s">
        <v>969</v>
      </c>
      <c r="C369" s="3" t="b">
        <v>1</v>
      </c>
      <c r="D369" s="3" t="b">
        <v>1</v>
      </c>
      <c r="E369" s="3" t="s">
        <v>645</v>
      </c>
      <c r="F369" s="3" t="s">
        <v>970</v>
      </c>
      <c r="G369" s="4">
        <f>+251973599842</f>
        <v>251973599842</v>
      </c>
      <c r="H369" s="3" t="s">
        <v>18</v>
      </c>
      <c r="I369" s="3" t="s">
        <v>19</v>
      </c>
      <c r="J369" s="3" t="s">
        <v>19</v>
      </c>
      <c r="K369" s="3" t="s">
        <v>25</v>
      </c>
      <c r="L369" s="3">
        <v>18.28</v>
      </c>
      <c r="M369" s="3" t="s">
        <v>21</v>
      </c>
      <c r="O369" s="3">
        <v>1.3191819083E11</v>
      </c>
    </row>
    <row r="370">
      <c r="A370" s="3">
        <v>2496527.0</v>
      </c>
      <c r="B370" s="3" t="s">
        <v>971</v>
      </c>
      <c r="C370" s="3" t="b">
        <v>1</v>
      </c>
      <c r="D370" s="3" t="b">
        <v>1</v>
      </c>
      <c r="E370" s="3" t="s">
        <v>972</v>
      </c>
      <c r="F370" s="3" t="s">
        <v>970</v>
      </c>
      <c r="G370" s="4">
        <f>+251911124502</f>
        <v>251911124502</v>
      </c>
      <c r="H370" s="3" t="s">
        <v>18</v>
      </c>
      <c r="I370" s="3" t="s">
        <v>19</v>
      </c>
      <c r="J370" s="3" t="s">
        <v>19</v>
      </c>
      <c r="K370" s="3" t="s">
        <v>20</v>
      </c>
      <c r="L370" s="3">
        <v>18.42</v>
      </c>
      <c r="M370" s="3" t="s">
        <v>21</v>
      </c>
      <c r="O370" s="3">
        <v>1.31931831542E11</v>
      </c>
    </row>
    <row r="371">
      <c r="A371" s="3">
        <v>2496569.0</v>
      </c>
      <c r="B371" s="3" t="s">
        <v>973</v>
      </c>
      <c r="C371" s="3" t="b">
        <v>1</v>
      </c>
      <c r="D371" s="3" t="b">
        <v>1</v>
      </c>
      <c r="E371" s="3" t="s">
        <v>974</v>
      </c>
      <c r="F371" s="3" t="s">
        <v>267</v>
      </c>
      <c r="G371" s="4">
        <f>+251978651679</f>
        <v>251978651679</v>
      </c>
      <c r="H371" s="3" t="s">
        <v>18</v>
      </c>
      <c r="I371" s="3" t="s">
        <v>19</v>
      </c>
      <c r="J371" s="3" t="s">
        <v>19</v>
      </c>
      <c r="K371" s="3" t="s">
        <v>20</v>
      </c>
      <c r="L371" s="3">
        <v>19.29</v>
      </c>
      <c r="M371" s="3" t="s">
        <v>21</v>
      </c>
      <c r="O371" s="3">
        <v>1.320008389E11</v>
      </c>
    </row>
    <row r="372">
      <c r="A372" s="3">
        <v>2498893.0</v>
      </c>
      <c r="B372" s="3" t="s">
        <v>975</v>
      </c>
      <c r="C372" s="3" t="b">
        <v>1</v>
      </c>
      <c r="D372" s="3" t="b">
        <v>1</v>
      </c>
      <c r="E372" s="3" t="s">
        <v>729</v>
      </c>
      <c r="F372" s="3" t="s">
        <v>976</v>
      </c>
      <c r="G372" s="4">
        <f>+251941187942</f>
        <v>251941187942</v>
      </c>
      <c r="H372" s="3" t="s">
        <v>106</v>
      </c>
      <c r="I372" s="3" t="s">
        <v>19</v>
      </c>
      <c r="J372" s="3" t="s">
        <v>19</v>
      </c>
      <c r="K372" s="3" t="s">
        <v>20</v>
      </c>
      <c r="L372" s="3">
        <v>18.7</v>
      </c>
      <c r="M372" s="3" t="s">
        <v>21</v>
      </c>
      <c r="O372" s="3">
        <v>1.3417333781E11</v>
      </c>
    </row>
    <row r="373">
      <c r="A373" s="3">
        <v>2499271.0</v>
      </c>
      <c r="B373" s="3" t="s">
        <v>977</v>
      </c>
      <c r="C373" s="3" t="b">
        <v>1</v>
      </c>
      <c r="D373" s="3" t="b">
        <v>1</v>
      </c>
      <c r="E373" s="3" t="s">
        <v>978</v>
      </c>
      <c r="F373" s="3" t="s">
        <v>918</v>
      </c>
      <c r="G373" s="4">
        <f>+251955701575</f>
        <v>251955701575</v>
      </c>
      <c r="H373" s="3" t="s">
        <v>18</v>
      </c>
      <c r="I373" s="3" t="s">
        <v>19</v>
      </c>
      <c r="J373" s="3" t="s">
        <v>19</v>
      </c>
      <c r="K373" s="3" t="s">
        <v>20</v>
      </c>
      <c r="L373" s="3">
        <v>19.55</v>
      </c>
      <c r="M373" s="3" t="s">
        <v>21</v>
      </c>
      <c r="O373" s="3">
        <v>1.34434806983E11</v>
      </c>
    </row>
    <row r="374">
      <c r="A374" s="3">
        <v>2499764.0</v>
      </c>
      <c r="B374" s="3" t="s">
        <v>979</v>
      </c>
      <c r="C374" s="3" t="b">
        <v>1</v>
      </c>
      <c r="D374" s="3" t="b">
        <v>1</v>
      </c>
      <c r="E374" s="3" t="s">
        <v>980</v>
      </c>
      <c r="F374" s="3" t="s">
        <v>981</v>
      </c>
      <c r="G374" s="4">
        <f>+251935082239</f>
        <v>251935082239</v>
      </c>
      <c r="H374" s="3" t="s">
        <v>18</v>
      </c>
      <c r="I374" s="3" t="s">
        <v>19</v>
      </c>
      <c r="J374" s="3" t="s">
        <v>19</v>
      </c>
      <c r="K374" s="3" t="s">
        <v>25</v>
      </c>
      <c r="L374" s="3">
        <v>19.21</v>
      </c>
      <c r="M374" s="3" t="s">
        <v>21</v>
      </c>
      <c r="O374" s="3">
        <v>1.34937910476E11</v>
      </c>
    </row>
    <row r="375">
      <c r="A375" s="3">
        <v>2088187.0</v>
      </c>
      <c r="B375" s="3" t="s">
        <v>982</v>
      </c>
      <c r="C375" s="3" t="b">
        <v>1</v>
      </c>
      <c r="D375" s="3" t="b">
        <v>1</v>
      </c>
      <c r="E375" s="3" t="s">
        <v>983</v>
      </c>
      <c r="F375" s="3" t="s">
        <v>984</v>
      </c>
      <c r="G375" s="4">
        <f>+251987963921</f>
        <v>251987963921</v>
      </c>
      <c r="H375" s="3" t="s">
        <v>985</v>
      </c>
      <c r="I375" s="3" t="s">
        <v>19</v>
      </c>
      <c r="J375" s="3" t="s">
        <v>19</v>
      </c>
      <c r="K375" s="3" t="s">
        <v>25</v>
      </c>
      <c r="L375" s="3">
        <v>20.11</v>
      </c>
      <c r="M375" s="3" t="s">
        <v>21</v>
      </c>
      <c r="O375" s="3">
        <v>3.0505554393E10</v>
      </c>
    </row>
    <row r="376">
      <c r="A376" s="3">
        <v>2372071.0</v>
      </c>
      <c r="B376" s="3" t="s">
        <v>986</v>
      </c>
      <c r="C376" s="3" t="b">
        <v>1</v>
      </c>
      <c r="D376" s="3" t="b">
        <v>1</v>
      </c>
      <c r="E376" s="3" t="s">
        <v>58</v>
      </c>
      <c r="F376" s="3" t="s">
        <v>987</v>
      </c>
      <c r="G376" s="3">
        <v>9.08358443E8</v>
      </c>
      <c r="H376" s="3" t="s">
        <v>18</v>
      </c>
      <c r="I376" s="3" t="s">
        <v>19</v>
      </c>
      <c r="J376" s="3" t="s">
        <v>19</v>
      </c>
      <c r="K376" s="3" t="s">
        <v>25</v>
      </c>
      <c r="L376" s="3">
        <v>24.39</v>
      </c>
      <c r="M376" s="3" t="s">
        <v>21</v>
      </c>
      <c r="O376" s="3">
        <v>1.2105597E7</v>
      </c>
    </row>
    <row r="377">
      <c r="A377" s="3">
        <v>2172287.0</v>
      </c>
      <c r="B377" s="3" t="s">
        <v>988</v>
      </c>
      <c r="C377" s="3" t="b">
        <v>1</v>
      </c>
      <c r="D377" s="3" t="b">
        <v>1</v>
      </c>
      <c r="E377" s="3" t="s">
        <v>989</v>
      </c>
      <c r="F377" s="3" t="s">
        <v>990</v>
      </c>
      <c r="G377" s="4">
        <f>+251977295357</f>
        <v>251977295357</v>
      </c>
      <c r="H377" s="3" t="s">
        <v>29</v>
      </c>
      <c r="I377" s="3" t="s">
        <v>19</v>
      </c>
      <c r="J377" s="3" t="s">
        <v>19</v>
      </c>
      <c r="K377" s="3" t="s">
        <v>25</v>
      </c>
      <c r="L377" s="3">
        <v>24.48</v>
      </c>
      <c r="M377" s="3" t="s">
        <v>21</v>
      </c>
    </row>
    <row r="378">
      <c r="A378" s="3">
        <v>2501746.0</v>
      </c>
      <c r="B378" s="3" t="s">
        <v>991</v>
      </c>
      <c r="C378" s="3" t="b">
        <v>1</v>
      </c>
      <c r="D378" s="3" t="b">
        <v>1</v>
      </c>
      <c r="E378" s="3" t="s">
        <v>992</v>
      </c>
      <c r="F378" s="3" t="s">
        <v>993</v>
      </c>
      <c r="G378" s="4">
        <f>+251955330716</f>
        <v>251955330716</v>
      </c>
      <c r="H378" s="3" t="s">
        <v>18</v>
      </c>
      <c r="I378" s="3" t="s">
        <v>19</v>
      </c>
      <c r="J378" s="3" t="s">
        <v>19</v>
      </c>
      <c r="K378" s="3" t="s">
        <v>20</v>
      </c>
      <c r="L378" s="3">
        <v>20.7</v>
      </c>
      <c r="M378" s="3" t="s">
        <v>21</v>
      </c>
      <c r="O378" s="3">
        <v>806347.0</v>
      </c>
    </row>
    <row r="379">
      <c r="A379" s="3">
        <v>1828310.0</v>
      </c>
      <c r="B379" s="3" t="s">
        <v>994</v>
      </c>
      <c r="C379" s="3" t="b">
        <v>1</v>
      </c>
      <c r="D379" s="3" t="b">
        <v>1</v>
      </c>
      <c r="E379" s="3" t="s">
        <v>386</v>
      </c>
      <c r="F379" s="3" t="s">
        <v>995</v>
      </c>
      <c r="G379" s="4">
        <f>+251918472817</f>
        <v>251918472817</v>
      </c>
      <c r="H379" s="3" t="s">
        <v>18</v>
      </c>
      <c r="I379" s="3" t="s">
        <v>19</v>
      </c>
      <c r="J379" s="3" t="s">
        <v>19</v>
      </c>
      <c r="K379" s="3" t="s">
        <v>25</v>
      </c>
      <c r="L379" s="3">
        <v>27.29</v>
      </c>
      <c r="M379" s="3" t="s">
        <v>21</v>
      </c>
      <c r="O379" s="3">
        <v>2.4930391794E10</v>
      </c>
    </row>
    <row r="380">
      <c r="A380" s="3">
        <v>2020581.0</v>
      </c>
      <c r="B380" s="3" t="s">
        <v>996</v>
      </c>
      <c r="C380" s="3" t="b">
        <v>1</v>
      </c>
      <c r="D380" s="3" t="b">
        <v>1</v>
      </c>
      <c r="E380" s="3" t="s">
        <v>997</v>
      </c>
      <c r="F380" s="3" t="s">
        <v>35</v>
      </c>
      <c r="G380" s="4">
        <f>+251917106066</f>
        <v>251917106066</v>
      </c>
      <c r="H380" s="3" t="s">
        <v>998</v>
      </c>
      <c r="I380" s="3" t="s">
        <v>19</v>
      </c>
      <c r="J380" s="3" t="s">
        <v>19</v>
      </c>
      <c r="K380" s="3" t="s">
        <v>25</v>
      </c>
      <c r="L380" s="3">
        <v>34.85</v>
      </c>
      <c r="M380" s="3" t="s">
        <v>21</v>
      </c>
      <c r="O380" s="3">
        <v>2.8969814715E10</v>
      </c>
    </row>
    <row r="381">
      <c r="A381" s="3">
        <v>2485873.0</v>
      </c>
      <c r="B381" s="3" t="s">
        <v>999</v>
      </c>
      <c r="C381" s="3" t="b">
        <v>1</v>
      </c>
      <c r="D381" s="3" t="b">
        <v>1</v>
      </c>
      <c r="E381" s="3" t="s">
        <v>504</v>
      </c>
      <c r="F381" s="3" t="s">
        <v>1000</v>
      </c>
      <c r="G381" s="4">
        <f>+251911107203</f>
        <v>251911107203</v>
      </c>
      <c r="H381" s="3" t="s">
        <v>18</v>
      </c>
      <c r="I381" s="3" t="s">
        <v>19</v>
      </c>
      <c r="J381" s="3" t="s">
        <v>19</v>
      </c>
      <c r="K381" s="3" t="s">
        <v>25</v>
      </c>
      <c r="L381" s="3">
        <v>29.76</v>
      </c>
      <c r="M381" s="3" t="s">
        <v>21</v>
      </c>
      <c r="O381" s="3">
        <v>8897605.0</v>
      </c>
    </row>
    <row r="382">
      <c r="A382" s="3">
        <v>2502100.0</v>
      </c>
      <c r="B382" s="3" t="s">
        <v>1001</v>
      </c>
      <c r="C382" s="3" t="b">
        <v>1</v>
      </c>
      <c r="D382" s="3" t="b">
        <v>1</v>
      </c>
      <c r="E382" s="3" t="s">
        <v>1002</v>
      </c>
      <c r="F382" s="3" t="s">
        <v>1003</v>
      </c>
      <c r="G382" s="4">
        <f>+251933300382</f>
        <v>251933300382</v>
      </c>
      <c r="H382" s="3" t="s">
        <v>18</v>
      </c>
      <c r="I382" s="3" t="s">
        <v>19</v>
      </c>
      <c r="J382" s="3" t="s">
        <v>19</v>
      </c>
      <c r="K382" s="3" t="s">
        <v>25</v>
      </c>
      <c r="L382" s="3">
        <v>21.17</v>
      </c>
      <c r="M382" s="3" t="s">
        <v>21</v>
      </c>
    </row>
    <row r="383">
      <c r="A383" s="3">
        <v>2147483.0</v>
      </c>
      <c r="B383" s="3" t="s">
        <v>1004</v>
      </c>
      <c r="C383" s="3" t="b">
        <v>1</v>
      </c>
      <c r="D383" s="3" t="b">
        <v>1</v>
      </c>
      <c r="E383" s="3" t="s">
        <v>1005</v>
      </c>
      <c r="F383" s="3" t="s">
        <v>35</v>
      </c>
      <c r="G383" s="4">
        <f>+251914103830</f>
        <v>251914103830</v>
      </c>
      <c r="H383" s="3" t="s">
        <v>18</v>
      </c>
      <c r="I383" s="3" t="s">
        <v>19</v>
      </c>
      <c r="J383" s="3" t="s">
        <v>19</v>
      </c>
      <c r="K383" s="3" t="s">
        <v>25</v>
      </c>
      <c r="L383" s="3">
        <v>22.71</v>
      </c>
      <c r="M383" s="3" t="s">
        <v>21</v>
      </c>
      <c r="O383" s="3">
        <v>3.1921235937E10</v>
      </c>
    </row>
    <row r="384">
      <c r="A384" s="3">
        <v>2366988.0</v>
      </c>
      <c r="B384" s="3" t="s">
        <v>1006</v>
      </c>
      <c r="C384" s="3" t="b">
        <v>1</v>
      </c>
      <c r="D384" s="3" t="b">
        <v>1</v>
      </c>
      <c r="E384" s="3" t="s">
        <v>1007</v>
      </c>
      <c r="F384" s="3" t="s">
        <v>1008</v>
      </c>
      <c r="G384" s="4">
        <f>+251900648243</f>
        <v>251900648243</v>
      </c>
      <c r="H384" s="3" t="s">
        <v>18</v>
      </c>
      <c r="I384" s="3" t="s">
        <v>19</v>
      </c>
      <c r="J384" s="3" t="s">
        <v>19</v>
      </c>
      <c r="K384" s="3" t="s">
        <v>20</v>
      </c>
      <c r="L384" s="3">
        <v>19.12</v>
      </c>
      <c r="M384" s="3" t="s">
        <v>21</v>
      </c>
      <c r="O384" s="3">
        <v>4.0260741871E10</v>
      </c>
    </row>
    <row r="385">
      <c r="A385" s="3">
        <v>1209690.0</v>
      </c>
      <c r="B385" s="3" t="s">
        <v>1009</v>
      </c>
      <c r="C385" s="3" t="b">
        <v>1</v>
      </c>
      <c r="D385" s="3" t="b">
        <v>1</v>
      </c>
      <c r="E385" s="3" t="s">
        <v>1010</v>
      </c>
      <c r="F385" s="3" t="s">
        <v>1011</v>
      </c>
      <c r="G385" s="4">
        <f>+251987142575</f>
        <v>251987142575</v>
      </c>
      <c r="H385" s="3" t="s">
        <v>18</v>
      </c>
      <c r="I385" s="3" t="s">
        <v>19</v>
      </c>
      <c r="J385" s="3" t="s">
        <v>19</v>
      </c>
      <c r="K385" s="3" t="s">
        <v>20</v>
      </c>
      <c r="L385" s="3">
        <v>19.78</v>
      </c>
      <c r="M385" s="3" t="s">
        <v>21</v>
      </c>
      <c r="O385" s="3">
        <v>9.006865643E9</v>
      </c>
    </row>
    <row r="386">
      <c r="A386" s="3">
        <v>2503136.0</v>
      </c>
      <c r="B386" s="3" t="s">
        <v>1012</v>
      </c>
      <c r="C386" s="3" t="b">
        <v>1</v>
      </c>
      <c r="D386" s="3" t="b">
        <v>1</v>
      </c>
      <c r="E386" s="3" t="s">
        <v>1013</v>
      </c>
      <c r="F386" s="3" t="s">
        <v>642</v>
      </c>
      <c r="G386" s="4">
        <f>+251916143647</f>
        <v>251916143647</v>
      </c>
      <c r="H386" s="3" t="s">
        <v>18</v>
      </c>
      <c r="I386" s="3" t="s">
        <v>19</v>
      </c>
      <c r="J386" s="3" t="s">
        <v>19</v>
      </c>
      <c r="K386" s="3" t="s">
        <v>25</v>
      </c>
      <c r="L386" s="3">
        <v>32.09</v>
      </c>
      <c r="M386" s="3" t="s">
        <v>21</v>
      </c>
      <c r="O386" s="3">
        <v>4.3127265503E10</v>
      </c>
    </row>
    <row r="387">
      <c r="A387" s="3">
        <v>2503339.0</v>
      </c>
      <c r="B387" s="3" t="s">
        <v>1014</v>
      </c>
      <c r="C387" s="3" t="b">
        <v>1</v>
      </c>
      <c r="D387" s="3" t="b">
        <v>1</v>
      </c>
      <c r="E387" s="3" t="s">
        <v>1015</v>
      </c>
      <c r="F387" s="3" t="s">
        <v>1016</v>
      </c>
      <c r="G387" s="4">
        <f>+251919322339</f>
        <v>251919322339</v>
      </c>
      <c r="H387" s="3" t="s">
        <v>18</v>
      </c>
      <c r="I387" s="3" t="s">
        <v>19</v>
      </c>
      <c r="J387" s="3" t="s">
        <v>19</v>
      </c>
      <c r="K387" s="3" t="s">
        <v>25</v>
      </c>
      <c r="L387" s="3">
        <v>19.76</v>
      </c>
      <c r="M387" s="3" t="s">
        <v>21</v>
      </c>
      <c r="O387" s="3">
        <v>1.38229880031E11</v>
      </c>
    </row>
    <row r="388">
      <c r="A388" s="3">
        <v>834936.0</v>
      </c>
      <c r="B388" s="3" t="s">
        <v>1017</v>
      </c>
      <c r="C388" s="3" t="b">
        <v>1</v>
      </c>
      <c r="D388" s="3" t="b">
        <v>1</v>
      </c>
      <c r="E388" s="3" t="s">
        <v>1018</v>
      </c>
      <c r="F388" s="3" t="s">
        <v>1019</v>
      </c>
      <c r="G388" s="4">
        <f>+251924245766</f>
        <v>251924245766</v>
      </c>
      <c r="H388" s="3" t="s">
        <v>18</v>
      </c>
      <c r="I388" s="3" t="s">
        <v>19</v>
      </c>
      <c r="J388" s="3" t="s">
        <v>19</v>
      </c>
      <c r="K388" s="3" t="s">
        <v>25</v>
      </c>
      <c r="L388" s="3">
        <v>33.53</v>
      </c>
      <c r="M388" s="3" t="s">
        <v>21</v>
      </c>
      <c r="O388" s="3">
        <v>1.0254477E7</v>
      </c>
    </row>
    <row r="389">
      <c r="A389" s="3">
        <v>2503391.0</v>
      </c>
      <c r="B389" s="3" t="s">
        <v>1020</v>
      </c>
      <c r="C389" s="3" t="b">
        <v>1</v>
      </c>
      <c r="D389" s="3" t="b">
        <v>1</v>
      </c>
      <c r="E389" s="3" t="s">
        <v>1021</v>
      </c>
      <c r="F389" s="3" t="s">
        <v>1022</v>
      </c>
      <c r="G389" s="4">
        <f>+251932792971</f>
        <v>251932792971</v>
      </c>
      <c r="H389" s="3" t="s">
        <v>18</v>
      </c>
      <c r="I389" s="3" t="s">
        <v>19</v>
      </c>
      <c r="J389" s="3" t="s">
        <v>19</v>
      </c>
      <c r="K389" s="3" t="s">
        <v>20</v>
      </c>
      <c r="L389" s="3">
        <v>18.42</v>
      </c>
      <c r="M389" s="3" t="s">
        <v>21</v>
      </c>
    </row>
    <row r="390">
      <c r="A390" s="3">
        <v>2503392.0</v>
      </c>
      <c r="B390" s="3" t="s">
        <v>1023</v>
      </c>
      <c r="C390" s="3" t="b">
        <v>1</v>
      </c>
      <c r="D390" s="3" t="b">
        <v>1</v>
      </c>
      <c r="E390" s="3" t="s">
        <v>1024</v>
      </c>
      <c r="F390" s="3" t="s">
        <v>518</v>
      </c>
      <c r="G390" s="4">
        <f>+251944966670</f>
        <v>251944966670</v>
      </c>
      <c r="H390" s="3" t="s">
        <v>18</v>
      </c>
      <c r="I390" s="3" t="s">
        <v>19</v>
      </c>
      <c r="J390" s="3" t="s">
        <v>19</v>
      </c>
      <c r="K390" s="3" t="s">
        <v>25</v>
      </c>
      <c r="L390" s="3">
        <v>21.72</v>
      </c>
      <c r="M390" s="3" t="s">
        <v>21</v>
      </c>
    </row>
    <row r="391">
      <c r="A391" s="3">
        <v>2503390.0</v>
      </c>
      <c r="B391" s="3" t="s">
        <v>1025</v>
      </c>
      <c r="C391" s="3" t="b">
        <v>1</v>
      </c>
      <c r="D391" s="3" t="b">
        <v>1</v>
      </c>
      <c r="E391" s="3" t="s">
        <v>120</v>
      </c>
      <c r="F391" s="3">
        <v>19.0</v>
      </c>
      <c r="G391" s="4">
        <f>+251910448771</f>
        <v>251910448771</v>
      </c>
      <c r="H391" s="3" t="s">
        <v>18</v>
      </c>
      <c r="I391" s="3" t="s">
        <v>19</v>
      </c>
      <c r="J391" s="3" t="s">
        <v>19</v>
      </c>
      <c r="K391" s="3" t="s">
        <v>25</v>
      </c>
      <c r="L391" s="3">
        <v>19.97</v>
      </c>
      <c r="M391" s="3" t="s">
        <v>21</v>
      </c>
    </row>
    <row r="392">
      <c r="A392" s="3">
        <v>2503395.0</v>
      </c>
      <c r="B392" s="3" t="s">
        <v>1026</v>
      </c>
      <c r="C392" s="3" t="b">
        <v>1</v>
      </c>
      <c r="D392" s="3" t="b">
        <v>1</v>
      </c>
      <c r="E392" s="3" t="s">
        <v>1027</v>
      </c>
      <c r="F392" s="3" t="s">
        <v>1028</v>
      </c>
      <c r="G392" s="4">
        <f>+251983777812</f>
        <v>251983777812</v>
      </c>
      <c r="H392" s="3" t="s">
        <v>18</v>
      </c>
      <c r="I392" s="3" t="s">
        <v>19</v>
      </c>
      <c r="J392" s="3" t="s">
        <v>19</v>
      </c>
      <c r="K392" s="3" t="s">
        <v>25</v>
      </c>
      <c r="L392" s="3">
        <v>21.4</v>
      </c>
      <c r="M392" s="3" t="s">
        <v>21</v>
      </c>
    </row>
    <row r="393">
      <c r="A393" s="3">
        <v>2503403.0</v>
      </c>
      <c r="B393" s="3" t="s">
        <v>1029</v>
      </c>
      <c r="C393" s="3" t="b">
        <v>1</v>
      </c>
      <c r="D393" s="3" t="b">
        <v>1</v>
      </c>
      <c r="E393" s="3" t="s">
        <v>1030</v>
      </c>
      <c r="F393" s="3" t="s">
        <v>277</v>
      </c>
      <c r="G393" s="4">
        <f>+251907140683</f>
        <v>251907140683</v>
      </c>
      <c r="H393" s="3" t="s">
        <v>18</v>
      </c>
      <c r="I393" s="3" t="s">
        <v>19</v>
      </c>
      <c r="J393" s="3" t="s">
        <v>19</v>
      </c>
      <c r="K393" s="3" t="s">
        <v>20</v>
      </c>
      <c r="L393" s="3">
        <v>18.28</v>
      </c>
      <c r="M393" s="3" t="s">
        <v>21</v>
      </c>
      <c r="O393" s="3">
        <v>1.38296500417E11</v>
      </c>
    </row>
    <row r="394">
      <c r="A394" s="3">
        <v>2503413.0</v>
      </c>
      <c r="B394" s="3" t="s">
        <v>1031</v>
      </c>
      <c r="C394" s="3" t="b">
        <v>1</v>
      </c>
      <c r="D394" s="3" t="b">
        <v>1</v>
      </c>
      <c r="E394" s="3" t="s">
        <v>1032</v>
      </c>
      <c r="F394" s="3" t="s">
        <v>35</v>
      </c>
      <c r="G394" s="4">
        <f>+251954936677</f>
        <v>251954936677</v>
      </c>
      <c r="H394" s="3" t="s">
        <v>18</v>
      </c>
      <c r="I394" s="3" t="s">
        <v>19</v>
      </c>
      <c r="J394" s="3" t="s">
        <v>19</v>
      </c>
      <c r="K394" s="3" t="s">
        <v>20</v>
      </c>
      <c r="L394" s="3">
        <v>19.04</v>
      </c>
      <c r="M394" s="3" t="s">
        <v>21</v>
      </c>
      <c r="O394" s="3">
        <v>1.38324841702E11</v>
      </c>
    </row>
    <row r="395">
      <c r="A395" s="3">
        <v>2503421.0</v>
      </c>
      <c r="B395" s="3" t="s">
        <v>1033</v>
      </c>
      <c r="C395" s="3" t="b">
        <v>1</v>
      </c>
      <c r="D395" s="3" t="b">
        <v>1</v>
      </c>
      <c r="E395" s="3" t="s">
        <v>1034</v>
      </c>
      <c r="F395" s="3" t="s">
        <v>1035</v>
      </c>
      <c r="G395" s="4">
        <f>+251989332454</f>
        <v>251989332454</v>
      </c>
      <c r="H395" s="3" t="s">
        <v>18</v>
      </c>
      <c r="I395" s="3" t="s">
        <v>19</v>
      </c>
      <c r="J395" s="3" t="s">
        <v>19</v>
      </c>
      <c r="K395" s="3" t="s">
        <v>20</v>
      </c>
      <c r="L395" s="3">
        <v>18.54</v>
      </c>
      <c r="M395" s="3" t="s">
        <v>21</v>
      </c>
      <c r="O395" s="3">
        <v>1.383228449E11</v>
      </c>
    </row>
    <row r="396">
      <c r="A396" s="3">
        <v>271748.0</v>
      </c>
      <c r="B396" s="3" t="s">
        <v>1036</v>
      </c>
      <c r="C396" s="3" t="b">
        <v>1</v>
      </c>
      <c r="D396" s="3" t="b">
        <v>1</v>
      </c>
      <c r="E396" s="3" t="s">
        <v>1037</v>
      </c>
      <c r="F396" s="3" t="s">
        <v>1038</v>
      </c>
      <c r="G396" s="4">
        <f>+251923942772</f>
        <v>251923942772</v>
      </c>
      <c r="H396" s="3" t="s">
        <v>18</v>
      </c>
      <c r="I396" s="3" t="s">
        <v>19</v>
      </c>
      <c r="J396" s="3" t="s">
        <v>19</v>
      </c>
      <c r="K396" s="3" t="s">
        <v>25</v>
      </c>
      <c r="L396" s="3">
        <v>30.16</v>
      </c>
      <c r="M396" s="3" t="s">
        <v>21</v>
      </c>
      <c r="O396" s="3">
        <v>5209511.0</v>
      </c>
    </row>
    <row r="397">
      <c r="A397" s="3">
        <v>2503430.0</v>
      </c>
      <c r="B397" s="3" t="s">
        <v>1039</v>
      </c>
      <c r="C397" s="3" t="b">
        <v>1</v>
      </c>
      <c r="D397" s="3" t="b">
        <v>1</v>
      </c>
      <c r="E397" s="3" t="s">
        <v>1040</v>
      </c>
      <c r="F397" s="3" t="s">
        <v>1041</v>
      </c>
      <c r="G397" s="4">
        <f>+251983479159</f>
        <v>251983479159</v>
      </c>
      <c r="H397" s="3" t="s">
        <v>18</v>
      </c>
      <c r="I397" s="3" t="s">
        <v>19</v>
      </c>
      <c r="J397" s="3" t="s">
        <v>19</v>
      </c>
      <c r="K397" s="3" t="s">
        <v>25</v>
      </c>
      <c r="L397" s="3">
        <v>19.74</v>
      </c>
      <c r="M397" s="3" t="s">
        <v>21</v>
      </c>
      <c r="O397" s="3">
        <v>1.38309063882E11</v>
      </c>
    </row>
    <row r="398">
      <c r="A398" s="3">
        <v>2503441.0</v>
      </c>
      <c r="B398" s="3" t="s">
        <v>1042</v>
      </c>
      <c r="C398" s="3" t="b">
        <v>1</v>
      </c>
      <c r="D398" s="3" t="b">
        <v>1</v>
      </c>
      <c r="E398" s="3" t="s">
        <v>1043</v>
      </c>
      <c r="F398" s="3" t="s">
        <v>1044</v>
      </c>
      <c r="G398" s="4">
        <f>+251970284424</f>
        <v>251970284424</v>
      </c>
      <c r="H398" s="3" t="s">
        <v>18</v>
      </c>
      <c r="I398" s="3" t="s">
        <v>19</v>
      </c>
      <c r="J398" s="3" t="s">
        <v>19</v>
      </c>
      <c r="K398" s="3" t="s">
        <v>20</v>
      </c>
      <c r="L398" s="3">
        <v>18.45</v>
      </c>
      <c r="M398" s="3" t="s">
        <v>21</v>
      </c>
      <c r="O398" s="3">
        <v>1.38326361324E11</v>
      </c>
    </row>
    <row r="399">
      <c r="A399" s="3">
        <v>2503453.0</v>
      </c>
      <c r="B399" s="3" t="s">
        <v>1045</v>
      </c>
      <c r="C399" s="3" t="b">
        <v>1</v>
      </c>
      <c r="D399" s="3" t="b">
        <v>1</v>
      </c>
      <c r="E399" s="3" t="s">
        <v>414</v>
      </c>
      <c r="F399" s="3" t="s">
        <v>446</v>
      </c>
      <c r="G399" s="4">
        <f>+251911695619</f>
        <v>251911695619</v>
      </c>
      <c r="H399" s="3" t="s">
        <v>18</v>
      </c>
      <c r="I399" s="3" t="s">
        <v>19</v>
      </c>
      <c r="J399" s="3" t="s">
        <v>19</v>
      </c>
      <c r="K399" s="3" t="s">
        <v>25</v>
      </c>
      <c r="L399" s="3">
        <v>20.15</v>
      </c>
      <c r="M399" s="3" t="s">
        <v>21</v>
      </c>
      <c r="O399" s="3">
        <v>1.38338038973E11</v>
      </c>
    </row>
    <row r="400">
      <c r="A400" s="3">
        <v>2503463.0</v>
      </c>
      <c r="B400" s="3" t="s">
        <v>1046</v>
      </c>
      <c r="C400" s="3" t="b">
        <v>1</v>
      </c>
      <c r="D400" s="3" t="b">
        <v>1</v>
      </c>
      <c r="E400" s="3" t="s">
        <v>1034</v>
      </c>
      <c r="F400" s="3" t="s">
        <v>196</v>
      </c>
      <c r="G400" s="4">
        <f>+251936426278</f>
        <v>251936426278</v>
      </c>
      <c r="H400" s="3" t="s">
        <v>18</v>
      </c>
      <c r="I400" s="3" t="s">
        <v>19</v>
      </c>
      <c r="J400" s="3" t="s">
        <v>19</v>
      </c>
      <c r="K400" s="3" t="s">
        <v>20</v>
      </c>
      <c r="L400" s="3">
        <v>19.04</v>
      </c>
      <c r="M400" s="3" t="s">
        <v>21</v>
      </c>
      <c r="O400" s="3">
        <v>1.38369737963E11</v>
      </c>
    </row>
    <row r="401">
      <c r="A401" s="3">
        <v>2503466.0</v>
      </c>
      <c r="B401" s="3" t="s">
        <v>1047</v>
      </c>
      <c r="C401" s="3" t="b">
        <v>1</v>
      </c>
      <c r="D401" s="3" t="b">
        <v>1</v>
      </c>
      <c r="E401" s="3" t="s">
        <v>273</v>
      </c>
      <c r="F401" s="3" t="s">
        <v>1048</v>
      </c>
      <c r="G401" s="4">
        <f>+251938968446</f>
        <v>251938968446</v>
      </c>
      <c r="H401" s="3" t="s">
        <v>18</v>
      </c>
      <c r="I401" s="3" t="s">
        <v>19</v>
      </c>
      <c r="J401" s="3" t="s">
        <v>19</v>
      </c>
      <c r="K401" s="3" t="s">
        <v>25</v>
      </c>
      <c r="L401" s="3">
        <v>23.81</v>
      </c>
      <c r="M401" s="3" t="s">
        <v>21</v>
      </c>
      <c r="O401" s="3">
        <v>5910854.0</v>
      </c>
    </row>
    <row r="402">
      <c r="A402" s="3">
        <v>2503468.0</v>
      </c>
      <c r="B402" s="3" t="s">
        <v>1049</v>
      </c>
      <c r="C402" s="3" t="b">
        <v>1</v>
      </c>
      <c r="D402" s="3" t="b">
        <v>1</v>
      </c>
      <c r="E402" s="3" t="s">
        <v>327</v>
      </c>
      <c r="F402" s="3" t="s">
        <v>1050</v>
      </c>
      <c r="G402" s="4">
        <f>+251926705951</f>
        <v>251926705951</v>
      </c>
      <c r="H402" s="3" t="s">
        <v>18</v>
      </c>
      <c r="I402" s="3" t="s">
        <v>19</v>
      </c>
      <c r="J402" s="3" t="s">
        <v>19</v>
      </c>
      <c r="K402" s="3" t="s">
        <v>25</v>
      </c>
      <c r="L402" s="3">
        <v>28.38</v>
      </c>
      <c r="M402" s="3" t="s">
        <v>21</v>
      </c>
      <c r="O402" s="3">
        <v>1.38365786309E11</v>
      </c>
    </row>
    <row r="403">
      <c r="A403" s="3">
        <v>2396390.0</v>
      </c>
      <c r="B403" s="3" t="s">
        <v>1051</v>
      </c>
      <c r="C403" s="3" t="b">
        <v>1</v>
      </c>
      <c r="D403" s="3" t="b">
        <v>1</v>
      </c>
      <c r="E403" s="3" t="s">
        <v>353</v>
      </c>
      <c r="F403" s="3" t="s">
        <v>1052</v>
      </c>
      <c r="G403" s="4">
        <f>+251913714275</f>
        <v>251913714275</v>
      </c>
      <c r="H403" s="3" t="s">
        <v>18</v>
      </c>
      <c r="I403" s="3" t="s">
        <v>19</v>
      </c>
      <c r="J403" s="3" t="s">
        <v>19</v>
      </c>
      <c r="K403" s="3" t="s">
        <v>25</v>
      </c>
      <c r="L403" s="3">
        <v>32.6</v>
      </c>
      <c r="M403" s="3" t="s">
        <v>21</v>
      </c>
      <c r="O403" s="3">
        <v>4.2979501527E10</v>
      </c>
    </row>
    <row r="404">
      <c r="A404" s="3">
        <v>2503491.0</v>
      </c>
      <c r="B404" s="3" t="s">
        <v>1053</v>
      </c>
      <c r="C404" s="3" t="b">
        <v>1</v>
      </c>
      <c r="D404" s="3" t="b">
        <v>1</v>
      </c>
      <c r="E404" s="3" t="s">
        <v>1054</v>
      </c>
      <c r="F404" s="3" t="s">
        <v>1055</v>
      </c>
      <c r="G404" s="4">
        <f>+251942744777</f>
        <v>251942744777</v>
      </c>
      <c r="H404" s="3" t="s">
        <v>18</v>
      </c>
      <c r="I404" s="3" t="s">
        <v>19</v>
      </c>
      <c r="J404" s="3" t="s">
        <v>19</v>
      </c>
      <c r="K404" s="3" t="s">
        <v>20</v>
      </c>
      <c r="L404" s="3">
        <v>18.94</v>
      </c>
      <c r="M404" s="3" t="s">
        <v>21</v>
      </c>
    </row>
    <row r="405">
      <c r="A405" s="3">
        <v>2503492.0</v>
      </c>
      <c r="B405" s="3" t="s">
        <v>1056</v>
      </c>
      <c r="C405" s="3" t="b">
        <v>1</v>
      </c>
      <c r="D405" s="3" t="b">
        <v>1</v>
      </c>
      <c r="E405" s="3" t="s">
        <v>16</v>
      </c>
      <c r="F405" s="3" t="s">
        <v>1057</v>
      </c>
      <c r="G405" s="4">
        <f>+251973362255</f>
        <v>251973362255</v>
      </c>
      <c r="H405" s="3" t="s">
        <v>18</v>
      </c>
      <c r="I405" s="3" t="s">
        <v>19</v>
      </c>
      <c r="J405" s="3" t="s">
        <v>19</v>
      </c>
      <c r="K405" s="3" t="s">
        <v>20</v>
      </c>
      <c r="L405" s="3">
        <v>18.37</v>
      </c>
      <c r="M405" s="3" t="s">
        <v>21</v>
      </c>
    </row>
    <row r="406">
      <c r="A406" s="3">
        <v>2503490.0</v>
      </c>
      <c r="B406" s="3" t="s">
        <v>1058</v>
      </c>
      <c r="C406" s="3" t="b">
        <v>1</v>
      </c>
      <c r="D406" s="3" t="b">
        <v>1</v>
      </c>
      <c r="E406" s="3" t="s">
        <v>1059</v>
      </c>
      <c r="F406" s="3" t="s">
        <v>1060</v>
      </c>
      <c r="G406" s="4">
        <f>+251947175647</f>
        <v>251947175647</v>
      </c>
      <c r="H406" s="3" t="s">
        <v>18</v>
      </c>
      <c r="I406" s="3" t="s">
        <v>19</v>
      </c>
      <c r="J406" s="3" t="s">
        <v>19</v>
      </c>
      <c r="K406" s="3" t="s">
        <v>25</v>
      </c>
      <c r="L406" s="3">
        <v>23.69</v>
      </c>
      <c r="M406" s="3" t="s">
        <v>21</v>
      </c>
      <c r="O406" s="3">
        <v>1.38397544671E11</v>
      </c>
    </row>
    <row r="407">
      <c r="A407" s="3">
        <v>2356970.0</v>
      </c>
      <c r="B407" s="3" t="s">
        <v>1061</v>
      </c>
      <c r="C407" s="3" t="b">
        <v>1</v>
      </c>
      <c r="D407" s="3" t="b">
        <v>1</v>
      </c>
      <c r="E407" s="3" t="s">
        <v>773</v>
      </c>
      <c r="F407" s="3" t="s">
        <v>112</v>
      </c>
      <c r="G407" s="4">
        <f>+251995435092</f>
        <v>251995435092</v>
      </c>
      <c r="H407" s="3" t="s">
        <v>18</v>
      </c>
      <c r="I407" s="3" t="s">
        <v>19</v>
      </c>
      <c r="J407" s="3" t="s">
        <v>19</v>
      </c>
      <c r="K407" s="3" t="s">
        <v>20</v>
      </c>
      <c r="L407" s="3">
        <v>19.32</v>
      </c>
      <c r="M407" s="3" t="s">
        <v>21</v>
      </c>
      <c r="O407" s="3">
        <v>3.9533194179E10</v>
      </c>
    </row>
    <row r="408">
      <c r="A408" s="3">
        <v>2503503.0</v>
      </c>
      <c r="B408" s="3" t="s">
        <v>1062</v>
      </c>
      <c r="C408" s="3" t="b">
        <v>1</v>
      </c>
      <c r="D408" s="3" t="b">
        <v>1</v>
      </c>
      <c r="E408" s="3" t="s">
        <v>1063</v>
      </c>
      <c r="F408" s="3" t="s">
        <v>666</v>
      </c>
      <c r="G408" s="4">
        <f>+251942761957</f>
        <v>251942761957</v>
      </c>
      <c r="H408" s="3" t="s">
        <v>18</v>
      </c>
      <c r="I408" s="3" t="s">
        <v>19</v>
      </c>
      <c r="J408" s="3" t="s">
        <v>19</v>
      </c>
      <c r="K408" s="3" t="s">
        <v>20</v>
      </c>
      <c r="L408" s="3">
        <v>20.01</v>
      </c>
      <c r="M408" s="3" t="s">
        <v>21</v>
      </c>
    </row>
    <row r="409">
      <c r="A409" s="3">
        <v>2503516.0</v>
      </c>
      <c r="B409" s="3" t="s">
        <v>1064</v>
      </c>
      <c r="C409" s="3" t="b">
        <v>1</v>
      </c>
      <c r="D409" s="3" t="b">
        <v>1</v>
      </c>
      <c r="E409" s="3" t="s">
        <v>1065</v>
      </c>
      <c r="F409" s="3" t="s">
        <v>1066</v>
      </c>
      <c r="G409" s="4">
        <f>+251967996718</f>
        <v>251967996718</v>
      </c>
      <c r="H409" s="3" t="s">
        <v>18</v>
      </c>
      <c r="I409" s="3" t="s">
        <v>19</v>
      </c>
      <c r="J409" s="3" t="s">
        <v>19</v>
      </c>
      <c r="K409" s="3" t="s">
        <v>25</v>
      </c>
      <c r="L409" s="3">
        <v>21.7</v>
      </c>
      <c r="M409" s="3" t="s">
        <v>21</v>
      </c>
    </row>
    <row r="410">
      <c r="A410" s="3">
        <v>2503554.0</v>
      </c>
      <c r="B410" s="3" t="s">
        <v>1067</v>
      </c>
      <c r="C410" s="3" t="b">
        <v>1</v>
      </c>
      <c r="D410" s="3" t="b">
        <v>1</v>
      </c>
      <c r="E410" s="3" t="s">
        <v>1068</v>
      </c>
      <c r="F410" s="3" t="s">
        <v>1069</v>
      </c>
      <c r="G410" s="4">
        <f>+251977618717</f>
        <v>251977618717</v>
      </c>
      <c r="H410" s="3" t="s">
        <v>18</v>
      </c>
      <c r="I410" s="3" t="s">
        <v>19</v>
      </c>
      <c r="J410" s="3" t="s">
        <v>19</v>
      </c>
      <c r="K410" s="3" t="s">
        <v>25</v>
      </c>
      <c r="L410" s="3">
        <v>21.8</v>
      </c>
      <c r="M410" s="3" t="s">
        <v>21</v>
      </c>
      <c r="O410" s="3">
        <v>8759353.0</v>
      </c>
    </row>
    <row r="411">
      <c r="A411" s="3">
        <v>2503622.0</v>
      </c>
      <c r="B411" s="3" t="s">
        <v>1070</v>
      </c>
      <c r="C411" s="3" t="b">
        <v>1</v>
      </c>
      <c r="D411" s="3" t="b">
        <v>1</v>
      </c>
      <c r="E411" s="3" t="s">
        <v>1071</v>
      </c>
      <c r="F411" s="3" t="s">
        <v>1072</v>
      </c>
      <c r="G411" s="4">
        <f>+251955909004</f>
        <v>251955909004</v>
      </c>
      <c r="H411" s="3" t="s">
        <v>18</v>
      </c>
      <c r="I411" s="3" t="s">
        <v>19</v>
      </c>
      <c r="J411" s="3" t="s">
        <v>19</v>
      </c>
      <c r="K411" s="3" t="s">
        <v>25</v>
      </c>
      <c r="L411" s="3">
        <v>22.16</v>
      </c>
      <c r="M411" s="3" t="s">
        <v>21</v>
      </c>
    </row>
    <row r="412">
      <c r="A412" s="3">
        <v>2503631.0</v>
      </c>
      <c r="B412" s="3" t="s">
        <v>1073</v>
      </c>
      <c r="C412" s="3" t="b">
        <v>1</v>
      </c>
      <c r="D412" s="3" t="b">
        <v>1</v>
      </c>
      <c r="E412" s="3" t="s">
        <v>279</v>
      </c>
      <c r="F412" s="3" t="s">
        <v>1074</v>
      </c>
      <c r="G412" s="4">
        <f>+251907769676</f>
        <v>251907769676</v>
      </c>
      <c r="H412" s="3" t="s">
        <v>18</v>
      </c>
      <c r="I412" s="3" t="s">
        <v>19</v>
      </c>
      <c r="J412" s="3" t="s">
        <v>19</v>
      </c>
      <c r="K412" s="3" t="s">
        <v>25</v>
      </c>
      <c r="L412" s="3">
        <v>18.86</v>
      </c>
      <c r="M412" s="3" t="s">
        <v>21</v>
      </c>
      <c r="O412" s="3">
        <v>1.38432322786E11</v>
      </c>
    </row>
    <row r="413">
      <c r="A413" s="3">
        <v>2503629.0</v>
      </c>
      <c r="B413" s="3" t="s">
        <v>1075</v>
      </c>
      <c r="C413" s="3" t="b">
        <v>1</v>
      </c>
      <c r="D413" s="3" t="b">
        <v>0</v>
      </c>
      <c r="E413" s="3" t="s">
        <v>420</v>
      </c>
      <c r="F413" s="3" t="s">
        <v>1076</v>
      </c>
      <c r="G413" s="4">
        <f>+251951055978</f>
        <v>251951055978</v>
      </c>
      <c r="H413" s="3" t="s">
        <v>18</v>
      </c>
      <c r="I413" s="3" t="s">
        <v>19</v>
      </c>
      <c r="J413" s="3" t="s">
        <v>19</v>
      </c>
      <c r="K413" s="3" t="s">
        <v>25</v>
      </c>
      <c r="L413" s="3">
        <v>18.87</v>
      </c>
      <c r="M413" s="3" t="s">
        <v>21</v>
      </c>
      <c r="O413" s="3">
        <v>1.38431777991E11</v>
      </c>
    </row>
    <row r="414">
      <c r="A414" s="3">
        <v>2503632.0</v>
      </c>
      <c r="B414" s="3" t="s">
        <v>1077</v>
      </c>
      <c r="C414" s="3" t="b">
        <v>1</v>
      </c>
      <c r="D414" s="3" t="b">
        <v>1</v>
      </c>
      <c r="E414" s="3" t="s">
        <v>1078</v>
      </c>
      <c r="F414" s="3" t="s">
        <v>422</v>
      </c>
      <c r="G414" s="4">
        <f>+251922232561</f>
        <v>251922232561</v>
      </c>
      <c r="H414" s="3" t="s">
        <v>18</v>
      </c>
      <c r="I414" s="3" t="s">
        <v>19</v>
      </c>
      <c r="J414" s="3" t="s">
        <v>19</v>
      </c>
      <c r="K414" s="3" t="s">
        <v>25</v>
      </c>
      <c r="L414" s="3">
        <v>18.27</v>
      </c>
      <c r="M414" s="3" t="s">
        <v>21</v>
      </c>
    </row>
    <row r="415">
      <c r="A415" s="3">
        <v>1736580.0</v>
      </c>
      <c r="B415" s="3" t="s">
        <v>1079</v>
      </c>
      <c r="C415" s="3" t="b">
        <v>1</v>
      </c>
      <c r="D415" s="3" t="b">
        <v>1</v>
      </c>
      <c r="E415" s="3" t="s">
        <v>1080</v>
      </c>
      <c r="F415" s="3" t="s">
        <v>860</v>
      </c>
      <c r="G415" s="4">
        <f>+251947781814</f>
        <v>251947781814</v>
      </c>
      <c r="H415" s="3" t="s">
        <v>18</v>
      </c>
      <c r="I415" s="3" t="s">
        <v>19</v>
      </c>
      <c r="J415" s="3" t="s">
        <v>19</v>
      </c>
      <c r="K415" s="3" t="s">
        <v>25</v>
      </c>
      <c r="L415" s="3">
        <v>19.05</v>
      </c>
      <c r="M415" s="3" t="s">
        <v>21</v>
      </c>
      <c r="O415" s="3">
        <v>2.3048720364E10</v>
      </c>
    </row>
    <row r="416">
      <c r="A416" s="3">
        <v>2503626.0</v>
      </c>
      <c r="B416" s="3" t="s">
        <v>1081</v>
      </c>
      <c r="C416" s="3" t="b">
        <v>1</v>
      </c>
      <c r="D416" s="3" t="b">
        <v>1</v>
      </c>
      <c r="E416" s="3" t="s">
        <v>676</v>
      </c>
      <c r="F416" s="3" t="s">
        <v>1082</v>
      </c>
      <c r="G416" s="4">
        <f>+251961110069</f>
        <v>251961110069</v>
      </c>
      <c r="H416" s="3" t="s">
        <v>18</v>
      </c>
      <c r="I416" s="3" t="s">
        <v>19</v>
      </c>
      <c r="J416" s="3" t="s">
        <v>19</v>
      </c>
      <c r="K416" s="3" t="s">
        <v>25</v>
      </c>
      <c r="L416" s="3">
        <v>18.73</v>
      </c>
      <c r="M416" s="3" t="s">
        <v>21</v>
      </c>
    </row>
    <row r="417">
      <c r="A417" s="3">
        <v>2503641.0</v>
      </c>
      <c r="B417" s="3" t="s">
        <v>1083</v>
      </c>
      <c r="C417" s="3" t="b">
        <v>1</v>
      </c>
      <c r="D417" s="3" t="b">
        <v>1</v>
      </c>
      <c r="E417" s="3" t="s">
        <v>1084</v>
      </c>
      <c r="F417" s="3" t="s">
        <v>1085</v>
      </c>
      <c r="G417" s="4">
        <f>+251991158394</f>
        <v>251991158394</v>
      </c>
      <c r="H417" s="3" t="s">
        <v>18</v>
      </c>
      <c r="I417" s="3" t="s">
        <v>19</v>
      </c>
      <c r="J417" s="3" t="s">
        <v>19</v>
      </c>
      <c r="K417" s="3" t="s">
        <v>20</v>
      </c>
      <c r="L417" s="3">
        <v>19.64</v>
      </c>
      <c r="M417" s="3" t="s">
        <v>21</v>
      </c>
    </row>
    <row r="418">
      <c r="A418" s="3">
        <v>2503635.0</v>
      </c>
      <c r="B418" s="3" t="s">
        <v>1086</v>
      </c>
      <c r="C418" s="3" t="b">
        <v>1</v>
      </c>
      <c r="D418" s="3" t="b">
        <v>1</v>
      </c>
      <c r="E418" s="3" t="s">
        <v>1087</v>
      </c>
      <c r="F418" s="3" t="s">
        <v>1088</v>
      </c>
      <c r="G418" s="4">
        <f>+251935146361</f>
        <v>251935146361</v>
      </c>
      <c r="H418" s="3" t="s">
        <v>18</v>
      </c>
      <c r="I418" s="3" t="s">
        <v>19</v>
      </c>
      <c r="J418" s="3" t="s">
        <v>19</v>
      </c>
      <c r="K418" s="3" t="s">
        <v>20</v>
      </c>
      <c r="L418" s="3">
        <v>20.17</v>
      </c>
      <c r="M418" s="3" t="s">
        <v>21</v>
      </c>
      <c r="O418" s="3">
        <v>1.38456384739E11</v>
      </c>
    </row>
    <row r="419">
      <c r="A419" s="3">
        <v>2503660.0</v>
      </c>
      <c r="B419" s="3" t="s">
        <v>1089</v>
      </c>
      <c r="C419" s="3" t="b">
        <v>1</v>
      </c>
      <c r="D419" s="3" t="b">
        <v>1</v>
      </c>
      <c r="E419" s="3" t="s">
        <v>264</v>
      </c>
      <c r="F419" s="3" t="s">
        <v>404</v>
      </c>
      <c r="G419" s="4">
        <f>+251994981885</f>
        <v>251994981885</v>
      </c>
      <c r="H419" s="3" t="s">
        <v>18</v>
      </c>
      <c r="I419" s="3" t="s">
        <v>19</v>
      </c>
      <c r="J419" s="3" t="s">
        <v>19</v>
      </c>
      <c r="K419" s="3" t="s">
        <v>25</v>
      </c>
      <c r="L419" s="3">
        <v>19.08</v>
      </c>
      <c r="M419" s="3" t="s">
        <v>21</v>
      </c>
      <c r="O419" s="3">
        <v>1.38435954923E11</v>
      </c>
    </row>
    <row r="420">
      <c r="A420" s="3">
        <v>2503650.0</v>
      </c>
      <c r="B420" s="3" t="s">
        <v>1090</v>
      </c>
      <c r="C420" s="3" t="b">
        <v>1</v>
      </c>
      <c r="D420" s="3" t="b">
        <v>1</v>
      </c>
      <c r="E420" s="3" t="s">
        <v>1091</v>
      </c>
      <c r="F420" s="3" t="s">
        <v>101</v>
      </c>
      <c r="G420" s="3">
        <v>9.02462056E8</v>
      </c>
      <c r="H420" s="3" t="s">
        <v>18</v>
      </c>
      <c r="I420" s="3" t="s">
        <v>19</v>
      </c>
      <c r="J420" s="3" t="s">
        <v>19</v>
      </c>
      <c r="K420" s="3" t="s">
        <v>20</v>
      </c>
      <c r="L420" s="3">
        <v>18.69</v>
      </c>
      <c r="M420" s="3" t="s">
        <v>21</v>
      </c>
    </row>
    <row r="421">
      <c r="A421" s="3">
        <v>2503655.0</v>
      </c>
      <c r="B421" s="3" t="s">
        <v>1092</v>
      </c>
      <c r="C421" s="3" t="b">
        <v>1</v>
      </c>
      <c r="D421" s="3" t="b">
        <v>0</v>
      </c>
      <c r="E421" s="3" t="s">
        <v>1093</v>
      </c>
      <c r="F421" s="3" t="s">
        <v>1094</v>
      </c>
      <c r="G421" s="4">
        <f>+251935095565</f>
        <v>251935095565</v>
      </c>
      <c r="H421" s="3" t="s">
        <v>18</v>
      </c>
      <c r="I421" s="3" t="s">
        <v>19</v>
      </c>
      <c r="J421" s="3" t="s">
        <v>19</v>
      </c>
      <c r="K421" s="3" t="s">
        <v>20</v>
      </c>
      <c r="L421" s="3">
        <v>19.9</v>
      </c>
      <c r="M421" s="3" t="s">
        <v>21</v>
      </c>
      <c r="O421" s="3">
        <v>1.38454331604E11</v>
      </c>
    </row>
    <row r="422">
      <c r="A422" s="3">
        <v>2503722.0</v>
      </c>
      <c r="B422" s="3" t="s">
        <v>1095</v>
      </c>
      <c r="C422" s="3" t="b">
        <v>1</v>
      </c>
      <c r="D422" s="3" t="b">
        <v>1</v>
      </c>
      <c r="E422" s="3" t="s">
        <v>1096</v>
      </c>
      <c r="F422" s="3" t="s">
        <v>179</v>
      </c>
      <c r="G422" s="4">
        <f>+251920225755</f>
        <v>251920225755</v>
      </c>
      <c r="H422" s="3" t="s">
        <v>18</v>
      </c>
      <c r="I422" s="3" t="s">
        <v>19</v>
      </c>
      <c r="J422" s="3" t="s">
        <v>19</v>
      </c>
      <c r="K422" s="3" t="s">
        <v>25</v>
      </c>
      <c r="L422" s="3">
        <v>21.43</v>
      </c>
      <c r="M422" s="3" t="s">
        <v>21</v>
      </c>
      <c r="O422" s="3">
        <v>1.38500293833E11</v>
      </c>
    </row>
    <row r="423">
      <c r="A423" s="3">
        <v>2503727.0</v>
      </c>
      <c r="B423" s="3" t="s">
        <v>1097</v>
      </c>
      <c r="C423" s="3" t="b">
        <v>1</v>
      </c>
      <c r="D423" s="3" t="b">
        <v>1</v>
      </c>
      <c r="E423" s="3" t="s">
        <v>1098</v>
      </c>
      <c r="F423" s="3" t="s">
        <v>420</v>
      </c>
      <c r="G423" s="4">
        <f>+251934121264</f>
        <v>251934121264</v>
      </c>
      <c r="H423" s="3" t="s">
        <v>18</v>
      </c>
      <c r="I423" s="3" t="s">
        <v>19</v>
      </c>
      <c r="J423" s="3" t="s">
        <v>19</v>
      </c>
      <c r="K423" s="3" t="s">
        <v>20</v>
      </c>
      <c r="L423" s="3">
        <v>18.51</v>
      </c>
      <c r="M423" s="3" t="s">
        <v>21</v>
      </c>
      <c r="O423" s="3">
        <v>1.38470473936E11</v>
      </c>
    </row>
    <row r="424">
      <c r="A424" s="3">
        <v>2503764.0</v>
      </c>
      <c r="B424" s="3" t="s">
        <v>1099</v>
      </c>
      <c r="C424" s="3" t="b">
        <v>1</v>
      </c>
      <c r="D424" s="3" t="b">
        <v>1</v>
      </c>
      <c r="E424" s="3" t="s">
        <v>85</v>
      </c>
      <c r="F424" s="3" t="s">
        <v>218</v>
      </c>
      <c r="G424" s="4">
        <f>+251976007913</f>
        <v>251976007913</v>
      </c>
      <c r="H424" s="3" t="s">
        <v>18</v>
      </c>
      <c r="I424" s="3" t="s">
        <v>19</v>
      </c>
      <c r="J424" s="3" t="s">
        <v>19</v>
      </c>
      <c r="K424" s="3" t="s">
        <v>25</v>
      </c>
      <c r="L424" s="3">
        <v>18.9</v>
      </c>
      <c r="M424" s="3" t="s">
        <v>21</v>
      </c>
    </row>
    <row r="425">
      <c r="A425" s="3">
        <v>2503803.0</v>
      </c>
      <c r="B425" s="3" t="s">
        <v>1100</v>
      </c>
      <c r="C425" s="3" t="b">
        <v>1</v>
      </c>
      <c r="D425" s="3" t="b">
        <v>1</v>
      </c>
      <c r="E425" s="3" t="s">
        <v>1101</v>
      </c>
      <c r="F425" s="3" t="s">
        <v>1102</v>
      </c>
      <c r="G425" s="4">
        <f>+251965053695</f>
        <v>251965053695</v>
      </c>
      <c r="H425" s="3" t="s">
        <v>18</v>
      </c>
      <c r="I425" s="3" t="s">
        <v>19</v>
      </c>
      <c r="J425" s="3" t="s">
        <v>19</v>
      </c>
      <c r="K425" s="3" t="s">
        <v>20</v>
      </c>
      <c r="L425" s="3">
        <v>18.84</v>
      </c>
      <c r="M425" s="3" t="s">
        <v>21</v>
      </c>
      <c r="O425" s="3">
        <v>1.38518129892E11</v>
      </c>
    </row>
    <row r="426">
      <c r="A426" s="3">
        <v>2503759.0</v>
      </c>
      <c r="B426" s="3" t="s">
        <v>1103</v>
      </c>
      <c r="C426" s="3" t="b">
        <v>1</v>
      </c>
      <c r="D426" s="3" t="b">
        <v>1</v>
      </c>
      <c r="E426" s="3" t="s">
        <v>1104</v>
      </c>
      <c r="F426" s="3" t="s">
        <v>1105</v>
      </c>
      <c r="G426" s="4">
        <f>+251923055802</f>
        <v>251923055802</v>
      </c>
      <c r="H426" s="3" t="s">
        <v>18</v>
      </c>
      <c r="I426" s="3" t="s">
        <v>19</v>
      </c>
      <c r="J426" s="3" t="s">
        <v>19</v>
      </c>
      <c r="K426" s="3" t="s">
        <v>25</v>
      </c>
      <c r="L426" s="3">
        <v>18.87</v>
      </c>
      <c r="M426" s="3" t="s">
        <v>21</v>
      </c>
      <c r="O426" s="3">
        <v>2.2826001E7</v>
      </c>
    </row>
    <row r="427">
      <c r="A427" s="3">
        <v>2504235.0</v>
      </c>
      <c r="B427" s="3" t="s">
        <v>1106</v>
      </c>
      <c r="C427" s="3" t="b">
        <v>1</v>
      </c>
      <c r="D427" s="3" t="b">
        <v>1</v>
      </c>
      <c r="E427" s="3" t="s">
        <v>749</v>
      </c>
      <c r="F427" s="3" t="s">
        <v>1028</v>
      </c>
      <c r="G427" s="4">
        <f>+251951676784</f>
        <v>251951676784</v>
      </c>
      <c r="H427" s="3" t="s">
        <v>18</v>
      </c>
      <c r="I427" s="3" t="s">
        <v>19</v>
      </c>
      <c r="J427" s="3" t="s">
        <v>19</v>
      </c>
      <c r="K427" s="3" t="s">
        <v>25</v>
      </c>
      <c r="L427" s="3">
        <v>19.46</v>
      </c>
      <c r="M427" s="3" t="s">
        <v>21</v>
      </c>
      <c r="O427" s="3">
        <v>5694736.0</v>
      </c>
    </row>
    <row r="428">
      <c r="A428" s="3">
        <v>2504360.0</v>
      </c>
      <c r="B428" s="3" t="s">
        <v>1107</v>
      </c>
      <c r="C428" s="3" t="b">
        <v>1</v>
      </c>
      <c r="D428" s="3" t="b">
        <v>1</v>
      </c>
      <c r="E428" s="3" t="s">
        <v>1108</v>
      </c>
      <c r="F428" s="3" t="s">
        <v>1109</v>
      </c>
      <c r="G428" s="4">
        <f>+25109269220</f>
        <v>25109269220</v>
      </c>
      <c r="H428" s="3" t="s">
        <v>18</v>
      </c>
      <c r="I428" s="3" t="s">
        <v>19</v>
      </c>
      <c r="J428" s="3" t="s">
        <v>19</v>
      </c>
      <c r="K428" s="3" t="s">
        <v>25</v>
      </c>
      <c r="L428" s="3">
        <v>22.44</v>
      </c>
      <c r="M428" s="3" t="s">
        <v>21</v>
      </c>
      <c r="O428" s="3">
        <v>1.39148070092E11</v>
      </c>
    </row>
    <row r="429">
      <c r="A429" s="3">
        <v>1113071.0</v>
      </c>
      <c r="B429" s="3" t="s">
        <v>1110</v>
      </c>
      <c r="C429" s="3" t="b">
        <v>1</v>
      </c>
      <c r="D429" s="3" t="b">
        <v>1</v>
      </c>
      <c r="E429" s="3" t="s">
        <v>35</v>
      </c>
      <c r="F429" s="3" t="s">
        <v>43</v>
      </c>
      <c r="G429" s="3">
        <v>9.48333398E8</v>
      </c>
      <c r="H429" s="3" t="s">
        <v>18</v>
      </c>
      <c r="I429" s="3" t="s">
        <v>19</v>
      </c>
      <c r="J429" s="3" t="s">
        <v>19</v>
      </c>
      <c r="K429" s="3" t="s">
        <v>25</v>
      </c>
      <c r="L429" s="3">
        <v>23.15</v>
      </c>
      <c r="M429" s="3" t="s">
        <v>21</v>
      </c>
      <c r="O429" s="3">
        <v>1223424.0</v>
      </c>
    </row>
    <row r="430">
      <c r="A430" s="3">
        <v>2506897.0</v>
      </c>
      <c r="B430" s="3" t="s">
        <v>1111</v>
      </c>
      <c r="C430" s="3" t="b">
        <v>1</v>
      </c>
      <c r="D430" s="3" t="b">
        <v>1</v>
      </c>
      <c r="E430" s="3" t="s">
        <v>1112</v>
      </c>
      <c r="F430" s="3" t="s">
        <v>1071</v>
      </c>
      <c r="G430" s="4">
        <f>+251920302596</f>
        <v>251920302596</v>
      </c>
      <c r="H430" s="3" t="s">
        <v>29</v>
      </c>
      <c r="I430" s="3" t="s">
        <v>19</v>
      </c>
      <c r="J430" s="3" t="s">
        <v>19</v>
      </c>
      <c r="K430" s="3" t="s">
        <v>25</v>
      </c>
      <c r="L430" s="3">
        <v>22.94</v>
      </c>
      <c r="M430" s="3" t="s">
        <v>21</v>
      </c>
      <c r="O430" s="3">
        <v>1.41228133581E11</v>
      </c>
    </row>
    <row r="431">
      <c r="A431" s="3">
        <v>2507264.0</v>
      </c>
      <c r="B431" s="3" t="s">
        <v>1113</v>
      </c>
      <c r="C431" s="3" t="b">
        <v>1</v>
      </c>
      <c r="D431" s="3" t="b">
        <v>1</v>
      </c>
      <c r="E431" s="3" t="s">
        <v>1114</v>
      </c>
      <c r="F431" s="3" t="s">
        <v>1115</v>
      </c>
      <c r="G431" s="4">
        <f>+251924924265</f>
        <v>251924924265</v>
      </c>
      <c r="H431" s="3" t="s">
        <v>18</v>
      </c>
      <c r="I431" s="3" t="s">
        <v>19</v>
      </c>
      <c r="J431" s="3" t="s">
        <v>19</v>
      </c>
      <c r="K431" s="3" t="s">
        <v>25</v>
      </c>
      <c r="L431" s="3">
        <v>25.68</v>
      </c>
      <c r="M431" s="3" t="s">
        <v>21</v>
      </c>
    </row>
    <row r="432">
      <c r="A432" s="3">
        <v>1983557.0</v>
      </c>
      <c r="B432" s="3" t="s">
        <v>1116</v>
      </c>
      <c r="C432" s="3" t="b">
        <v>1</v>
      </c>
      <c r="D432" s="3" t="b">
        <v>0</v>
      </c>
      <c r="E432" s="3" t="s">
        <v>1117</v>
      </c>
      <c r="F432" s="3" t="s">
        <v>1118</v>
      </c>
      <c r="G432" s="4">
        <f>+454984949</f>
        <v>454984949</v>
      </c>
      <c r="H432" s="3" t="s">
        <v>18</v>
      </c>
      <c r="I432" s="3" t="s">
        <v>19</v>
      </c>
      <c r="J432" s="3" t="s">
        <v>19</v>
      </c>
      <c r="K432" s="3" t="s">
        <v>25</v>
      </c>
      <c r="L432" s="3">
        <v>25.14</v>
      </c>
      <c r="M432" s="3" t="s">
        <v>21</v>
      </c>
      <c r="O432" s="3">
        <v>2599885.0</v>
      </c>
    </row>
    <row r="433">
      <c r="A433" s="3">
        <v>2507609.0</v>
      </c>
      <c r="B433" s="3" t="s">
        <v>1119</v>
      </c>
      <c r="C433" s="3" t="b">
        <v>1</v>
      </c>
      <c r="D433" s="3" t="b">
        <v>1</v>
      </c>
      <c r="E433" s="3" t="s">
        <v>1120</v>
      </c>
      <c r="F433" s="3" t="s">
        <v>518</v>
      </c>
      <c r="G433" s="4">
        <f>+251914051012</f>
        <v>251914051012</v>
      </c>
      <c r="H433" s="3" t="s">
        <v>18</v>
      </c>
      <c r="I433" s="3" t="s">
        <v>19</v>
      </c>
      <c r="J433" s="3" t="s">
        <v>19</v>
      </c>
      <c r="K433" s="3" t="s">
        <v>25</v>
      </c>
      <c r="L433" s="3">
        <v>24.32</v>
      </c>
      <c r="M433" s="3" t="s">
        <v>21</v>
      </c>
      <c r="O433" s="3">
        <v>1.41630154995E11</v>
      </c>
    </row>
    <row r="434">
      <c r="A434" s="3">
        <v>2507642.0</v>
      </c>
      <c r="B434" s="3" t="s">
        <v>1121</v>
      </c>
      <c r="C434" s="3" t="b">
        <v>1</v>
      </c>
      <c r="D434" s="3" t="b">
        <v>1</v>
      </c>
      <c r="E434" s="3" t="s">
        <v>1122</v>
      </c>
      <c r="F434" s="3" t="s">
        <v>1123</v>
      </c>
      <c r="G434" s="4">
        <f>+251939985601</f>
        <v>251939985601</v>
      </c>
      <c r="H434" s="3" t="s">
        <v>985</v>
      </c>
      <c r="I434" s="3" t="s">
        <v>19</v>
      </c>
      <c r="J434" s="3" t="s">
        <v>19</v>
      </c>
      <c r="K434" s="3" t="s">
        <v>25</v>
      </c>
      <c r="L434" s="3">
        <v>28.21</v>
      </c>
      <c r="M434" s="3" t="s">
        <v>21</v>
      </c>
      <c r="O434" s="3">
        <v>1.41706176708E11</v>
      </c>
    </row>
    <row r="435">
      <c r="A435" s="3">
        <v>174575.0</v>
      </c>
      <c r="B435" s="3" t="s">
        <v>1124</v>
      </c>
      <c r="C435" s="3" t="b">
        <v>1</v>
      </c>
      <c r="D435" s="3" t="b">
        <v>1</v>
      </c>
      <c r="E435" s="3" t="s">
        <v>518</v>
      </c>
      <c r="F435" s="3" t="s">
        <v>1125</v>
      </c>
      <c r="G435" s="4">
        <f>+251964703012</f>
        <v>251964703012</v>
      </c>
      <c r="H435" s="3" t="s">
        <v>18</v>
      </c>
      <c r="I435" s="3" t="s">
        <v>19</v>
      </c>
      <c r="J435" s="3" t="s">
        <v>19</v>
      </c>
      <c r="K435" s="3" t="s">
        <v>25</v>
      </c>
      <c r="L435" s="3">
        <v>33.15</v>
      </c>
      <c r="M435" s="3" t="s">
        <v>21</v>
      </c>
    </row>
    <row r="436">
      <c r="A436" s="3">
        <v>2507780.0</v>
      </c>
      <c r="B436" s="3" t="s">
        <v>1126</v>
      </c>
      <c r="C436" s="3" t="b">
        <v>1</v>
      </c>
      <c r="D436" s="3" t="b">
        <v>1</v>
      </c>
      <c r="E436" s="3" t="s">
        <v>1127</v>
      </c>
      <c r="F436" s="3" t="s">
        <v>1128</v>
      </c>
      <c r="G436" s="4">
        <f>+251922268213</f>
        <v>251922268213</v>
      </c>
      <c r="H436" s="3" t="s">
        <v>29</v>
      </c>
      <c r="I436" s="3" t="s">
        <v>19</v>
      </c>
      <c r="J436" s="3" t="s">
        <v>19</v>
      </c>
      <c r="K436" s="3" t="s">
        <v>20</v>
      </c>
      <c r="L436" s="3">
        <v>32.2</v>
      </c>
      <c r="M436" s="3" t="s">
        <v>21</v>
      </c>
      <c r="O436" s="3">
        <v>1.41853083883E11</v>
      </c>
    </row>
    <row r="437">
      <c r="A437" s="3">
        <v>2507658.0</v>
      </c>
      <c r="B437" s="3" t="s">
        <v>1129</v>
      </c>
      <c r="C437" s="3" t="b">
        <v>1</v>
      </c>
      <c r="D437" s="3" t="b">
        <v>0</v>
      </c>
      <c r="E437" s="3" t="s">
        <v>1130</v>
      </c>
      <c r="F437" s="3" t="s">
        <v>1131</v>
      </c>
      <c r="G437" s="4">
        <f>+251910751429</f>
        <v>251910751429</v>
      </c>
      <c r="H437" s="3" t="s">
        <v>18</v>
      </c>
      <c r="I437" s="3" t="s">
        <v>19</v>
      </c>
      <c r="J437" s="3" t="s">
        <v>19</v>
      </c>
      <c r="K437" s="3" t="s">
        <v>25</v>
      </c>
      <c r="L437" s="3">
        <v>35.09</v>
      </c>
      <c r="M437" s="3" t="s">
        <v>21</v>
      </c>
      <c r="O437" s="3">
        <v>1.41791511795E11</v>
      </c>
    </row>
    <row r="438">
      <c r="A438" s="3">
        <v>2507976.0</v>
      </c>
      <c r="B438" s="3" t="s">
        <v>1132</v>
      </c>
      <c r="C438" s="3" t="b">
        <v>1</v>
      </c>
      <c r="D438" s="3" t="b">
        <v>1</v>
      </c>
      <c r="E438" s="3" t="s">
        <v>1133</v>
      </c>
      <c r="F438" s="3" t="s">
        <v>1134</v>
      </c>
      <c r="G438" s="4">
        <f>+251993749541</f>
        <v>251993749541</v>
      </c>
      <c r="H438" s="3" t="s">
        <v>18</v>
      </c>
      <c r="I438" s="3" t="s">
        <v>19</v>
      </c>
      <c r="J438" s="3" t="s">
        <v>19</v>
      </c>
      <c r="K438" s="3" t="s">
        <v>20</v>
      </c>
      <c r="L438" s="3">
        <v>22.46</v>
      </c>
      <c r="M438" s="3" t="s">
        <v>21</v>
      </c>
    </row>
    <row r="439">
      <c r="A439" s="3">
        <v>4063.0</v>
      </c>
      <c r="B439" s="3" t="s">
        <v>1135</v>
      </c>
      <c r="C439" s="3" t="b">
        <v>1</v>
      </c>
      <c r="D439" s="3" t="b">
        <v>1</v>
      </c>
      <c r="E439" s="3" t="s">
        <v>1136</v>
      </c>
      <c r="F439" s="3" t="s">
        <v>1137</v>
      </c>
      <c r="G439" s="3">
        <v>9.67137221E8</v>
      </c>
      <c r="H439" s="3" t="s">
        <v>18</v>
      </c>
      <c r="I439" s="3" t="s">
        <v>19</v>
      </c>
      <c r="J439" s="3" t="s">
        <v>19</v>
      </c>
      <c r="K439" s="3" t="s">
        <v>20</v>
      </c>
      <c r="L439" s="3">
        <v>23.61</v>
      </c>
      <c r="M439" s="3" t="s">
        <v>21</v>
      </c>
      <c r="O439" s="3">
        <v>1.4699501E7</v>
      </c>
    </row>
    <row r="440">
      <c r="A440" s="3">
        <v>2508467.0</v>
      </c>
      <c r="B440" s="3" t="s">
        <v>1138</v>
      </c>
      <c r="C440" s="3" t="b">
        <v>1</v>
      </c>
      <c r="D440" s="3" t="b">
        <v>1</v>
      </c>
      <c r="E440" s="3" t="s">
        <v>1139</v>
      </c>
      <c r="F440" s="3" t="s">
        <v>795</v>
      </c>
      <c r="G440" s="4">
        <f>+251948594808</f>
        <v>251948594808</v>
      </c>
      <c r="H440" s="3" t="s">
        <v>346</v>
      </c>
      <c r="I440" s="3" t="s">
        <v>19</v>
      </c>
      <c r="J440" s="3" t="s">
        <v>19</v>
      </c>
      <c r="K440" s="3" t="s">
        <v>25</v>
      </c>
      <c r="L440" s="3">
        <v>33.79</v>
      </c>
      <c r="M440" s="3" t="s">
        <v>21</v>
      </c>
    </row>
    <row r="441">
      <c r="A441" s="3">
        <v>2508505.0</v>
      </c>
      <c r="B441" s="3" t="s">
        <v>1140</v>
      </c>
      <c r="C441" s="3" t="b">
        <v>1</v>
      </c>
      <c r="D441" s="3" t="b">
        <v>1</v>
      </c>
      <c r="E441" s="3" t="s">
        <v>1141</v>
      </c>
      <c r="F441" s="3" t="s">
        <v>1142</v>
      </c>
      <c r="G441" s="4">
        <f>+251912353600</f>
        <v>251912353600</v>
      </c>
      <c r="H441" s="3" t="s">
        <v>18</v>
      </c>
      <c r="I441" s="3" t="s">
        <v>19</v>
      </c>
      <c r="J441" s="3" t="s">
        <v>19</v>
      </c>
      <c r="K441" s="3" t="s">
        <v>25</v>
      </c>
      <c r="L441" s="3">
        <v>26.59</v>
      </c>
      <c r="M441" s="3" t="s">
        <v>21</v>
      </c>
      <c r="O441" s="3">
        <v>1.42231217351E11</v>
      </c>
    </row>
    <row r="442">
      <c r="A442" s="3">
        <v>1522861.0</v>
      </c>
      <c r="B442" s="3" t="s">
        <v>1143</v>
      </c>
      <c r="C442" s="3" t="b">
        <v>1</v>
      </c>
      <c r="D442" s="3" t="b">
        <v>1</v>
      </c>
      <c r="E442" s="3" t="s">
        <v>1144</v>
      </c>
      <c r="F442" s="3" t="s">
        <v>1145</v>
      </c>
      <c r="G442" s="4">
        <f>+251965934340</f>
        <v>251965934340</v>
      </c>
      <c r="H442" s="3" t="s">
        <v>18</v>
      </c>
      <c r="I442" s="3" t="s">
        <v>19</v>
      </c>
      <c r="J442" s="3" t="s">
        <v>19</v>
      </c>
      <c r="K442" s="3" t="s">
        <v>25</v>
      </c>
      <c r="L442" s="3">
        <v>33.07</v>
      </c>
      <c r="M442" s="3" t="s">
        <v>21</v>
      </c>
      <c r="O442" s="3">
        <v>1.8596501E7</v>
      </c>
    </row>
    <row r="443">
      <c r="A443" s="3">
        <v>2509157.0</v>
      </c>
      <c r="B443" s="3" t="s">
        <v>1146</v>
      </c>
      <c r="C443" s="3" t="b">
        <v>1</v>
      </c>
      <c r="D443" s="3" t="b">
        <v>1</v>
      </c>
      <c r="E443" s="3" t="s">
        <v>1147</v>
      </c>
      <c r="F443" s="3" t="s">
        <v>1148</v>
      </c>
      <c r="G443" s="4">
        <f>+251940117873</f>
        <v>251940117873</v>
      </c>
      <c r="H443" s="3" t="s">
        <v>18</v>
      </c>
      <c r="I443" s="3" t="s">
        <v>19</v>
      </c>
      <c r="J443" s="3" t="s">
        <v>19</v>
      </c>
      <c r="K443" s="3" t="s">
        <v>25</v>
      </c>
      <c r="L443" s="3">
        <v>24.61</v>
      </c>
      <c r="M443" s="3" t="s">
        <v>21</v>
      </c>
      <c r="O443" s="3">
        <v>1.42770007255E11</v>
      </c>
    </row>
    <row r="444">
      <c r="A444" s="3">
        <v>2508604.0</v>
      </c>
      <c r="B444" s="3" t="s">
        <v>1149</v>
      </c>
      <c r="C444" s="3" t="b">
        <v>1</v>
      </c>
      <c r="D444" s="3" t="b">
        <v>1</v>
      </c>
      <c r="E444" s="3" t="s">
        <v>1112</v>
      </c>
      <c r="F444" s="3" t="s">
        <v>1150</v>
      </c>
      <c r="G444" s="4">
        <f>+251940586588</f>
        <v>251940586588</v>
      </c>
      <c r="H444" s="3" t="s">
        <v>44</v>
      </c>
      <c r="I444" s="3" t="s">
        <v>19</v>
      </c>
      <c r="J444" s="3" t="s">
        <v>19</v>
      </c>
      <c r="K444" s="3" t="s">
        <v>25</v>
      </c>
      <c r="L444" s="3">
        <v>31.29</v>
      </c>
      <c r="M444" s="3" t="s">
        <v>21</v>
      </c>
      <c r="O444" s="3">
        <v>1.42273165512E11</v>
      </c>
    </row>
    <row r="445">
      <c r="A445" s="3">
        <v>2506849.0</v>
      </c>
      <c r="B445" s="3" t="s">
        <v>1151</v>
      </c>
      <c r="C445" s="3" t="b">
        <v>1</v>
      </c>
      <c r="D445" s="3" t="b">
        <v>1</v>
      </c>
      <c r="E445" s="3" t="s">
        <v>674</v>
      </c>
      <c r="F445" s="3" t="s">
        <v>1152</v>
      </c>
      <c r="G445" s="4">
        <f>+251945551581</f>
        <v>251945551581</v>
      </c>
      <c r="H445" s="3" t="s">
        <v>18</v>
      </c>
      <c r="I445" s="3" t="s">
        <v>19</v>
      </c>
      <c r="J445" s="3" t="s">
        <v>19</v>
      </c>
      <c r="K445" s="3" t="s">
        <v>25</v>
      </c>
      <c r="L445" s="3">
        <v>29.69</v>
      </c>
      <c r="M445" s="3" t="s">
        <v>21</v>
      </c>
      <c r="O445" s="3">
        <v>1.41250907381E11</v>
      </c>
    </row>
    <row r="446">
      <c r="A446" s="3">
        <v>2509827.0</v>
      </c>
      <c r="B446" s="3" t="s">
        <v>1153</v>
      </c>
      <c r="C446" s="3" t="b">
        <v>1</v>
      </c>
      <c r="D446" s="3" t="b">
        <v>1</v>
      </c>
      <c r="E446" s="3" t="s">
        <v>1022</v>
      </c>
      <c r="F446" s="3" t="s">
        <v>1154</v>
      </c>
      <c r="G446" s="4">
        <f>+251914402233</f>
        <v>251914402233</v>
      </c>
      <c r="H446" s="3" t="s">
        <v>18</v>
      </c>
      <c r="I446" s="3" t="s">
        <v>19</v>
      </c>
      <c r="J446" s="3" t="s">
        <v>19</v>
      </c>
      <c r="K446" s="3" t="s">
        <v>25</v>
      </c>
      <c r="L446" s="3">
        <v>24.75</v>
      </c>
      <c r="M446" s="3" t="s">
        <v>21</v>
      </c>
      <c r="O446" s="3">
        <v>1.43046305987E11</v>
      </c>
    </row>
    <row r="447">
      <c r="A447" s="3">
        <v>2503871.0</v>
      </c>
      <c r="B447" s="3" t="s">
        <v>1155</v>
      </c>
      <c r="C447" s="3" t="b">
        <v>1</v>
      </c>
      <c r="D447" s="3" t="b">
        <v>1</v>
      </c>
      <c r="E447" s="3" t="s">
        <v>1156</v>
      </c>
      <c r="F447" s="3" t="s">
        <v>1157</v>
      </c>
      <c r="G447" s="4">
        <f>+251915567498</f>
        <v>251915567498</v>
      </c>
      <c r="H447" s="3" t="s">
        <v>18</v>
      </c>
      <c r="I447" s="3" t="s">
        <v>19</v>
      </c>
      <c r="J447" s="3" t="s">
        <v>19</v>
      </c>
      <c r="K447" s="3" t="s">
        <v>20</v>
      </c>
      <c r="L447" s="3">
        <v>24.16</v>
      </c>
      <c r="M447" s="3" t="s">
        <v>21</v>
      </c>
      <c r="O447" s="3">
        <v>1.38569145554E11</v>
      </c>
    </row>
    <row r="448">
      <c r="A448" s="3">
        <v>2509986.0</v>
      </c>
      <c r="B448" s="3" t="s">
        <v>1158</v>
      </c>
      <c r="C448" s="3" t="b">
        <v>1</v>
      </c>
      <c r="D448" s="3" t="b">
        <v>1</v>
      </c>
      <c r="E448" s="3" t="s">
        <v>1159</v>
      </c>
      <c r="F448" s="3" t="s">
        <v>1160</v>
      </c>
      <c r="G448" s="4">
        <f>+251926324489</f>
        <v>251926324489</v>
      </c>
      <c r="H448" s="3" t="s">
        <v>18</v>
      </c>
      <c r="I448" s="3" t="s">
        <v>19</v>
      </c>
      <c r="J448" s="3" t="s">
        <v>19</v>
      </c>
      <c r="K448" s="3" t="s">
        <v>25</v>
      </c>
      <c r="L448" s="3">
        <v>31.18</v>
      </c>
      <c r="M448" s="3" t="s">
        <v>21</v>
      </c>
      <c r="O448" s="3">
        <v>1.43157932275E11</v>
      </c>
    </row>
    <row r="449">
      <c r="A449" s="3">
        <v>2118621.0</v>
      </c>
      <c r="B449" s="3" t="s">
        <v>1161</v>
      </c>
      <c r="C449" s="3" t="b">
        <v>1</v>
      </c>
      <c r="D449" s="3" t="b">
        <v>1</v>
      </c>
      <c r="E449" s="3" t="s">
        <v>1162</v>
      </c>
      <c r="F449" s="3" t="s">
        <v>980</v>
      </c>
      <c r="G449" s="4">
        <f>+251921271000</f>
        <v>251921271000</v>
      </c>
      <c r="H449" s="3" t="s">
        <v>106</v>
      </c>
      <c r="I449" s="3" t="s">
        <v>19</v>
      </c>
      <c r="J449" s="3" t="s">
        <v>19</v>
      </c>
      <c r="K449" s="3" t="s">
        <v>25</v>
      </c>
      <c r="L449" s="3">
        <v>24.44</v>
      </c>
      <c r="M449" s="3" t="s">
        <v>21</v>
      </c>
      <c r="O449" s="3">
        <v>3.1240657135E10</v>
      </c>
    </row>
    <row r="450">
      <c r="A450" s="3">
        <v>2482252.0</v>
      </c>
      <c r="B450" s="3" t="s">
        <v>1163</v>
      </c>
      <c r="C450" s="3" t="b">
        <v>1</v>
      </c>
      <c r="D450" s="3" t="b">
        <v>1</v>
      </c>
      <c r="E450" s="3" t="s">
        <v>273</v>
      </c>
      <c r="F450" s="3" t="s">
        <v>1164</v>
      </c>
      <c r="G450" s="4">
        <f>+251968915106</f>
        <v>251968915106</v>
      </c>
      <c r="H450" s="3" t="s">
        <v>18</v>
      </c>
      <c r="I450" s="3" t="s">
        <v>19</v>
      </c>
      <c r="J450" s="3" t="s">
        <v>19</v>
      </c>
      <c r="K450" s="3" t="s">
        <v>25</v>
      </c>
      <c r="L450" s="3">
        <v>22.89</v>
      </c>
      <c r="M450" s="3" t="s">
        <v>21</v>
      </c>
    </row>
    <row r="451">
      <c r="A451" s="3">
        <v>2510402.0</v>
      </c>
      <c r="B451" s="3" t="s">
        <v>1165</v>
      </c>
      <c r="C451" s="3" t="b">
        <v>1</v>
      </c>
      <c r="D451" s="3" t="b">
        <v>1</v>
      </c>
      <c r="E451" s="3" t="s">
        <v>1166</v>
      </c>
      <c r="F451" s="3" t="s">
        <v>1167</v>
      </c>
      <c r="G451" s="4">
        <f>+251941981234</f>
        <v>251941981234</v>
      </c>
      <c r="H451" s="3" t="s">
        <v>18</v>
      </c>
      <c r="I451" s="3" t="s">
        <v>19</v>
      </c>
      <c r="J451" s="3" t="s">
        <v>19</v>
      </c>
      <c r="K451" s="3" t="s">
        <v>25</v>
      </c>
      <c r="L451" s="3">
        <v>25.75</v>
      </c>
      <c r="M451" s="3" t="s">
        <v>21</v>
      </c>
      <c r="O451" s="3">
        <v>1.43254930632E11</v>
      </c>
    </row>
    <row r="452">
      <c r="A452" s="3">
        <v>2510632.0</v>
      </c>
      <c r="B452" s="3" t="s">
        <v>1168</v>
      </c>
      <c r="C452" s="3" t="b">
        <v>1</v>
      </c>
      <c r="D452" s="3" t="b">
        <v>1</v>
      </c>
      <c r="E452" s="3" t="s">
        <v>504</v>
      </c>
      <c r="F452" s="3" t="s">
        <v>1169</v>
      </c>
      <c r="G452" s="4">
        <f>+251777832726</f>
        <v>251777832726</v>
      </c>
      <c r="H452" s="3" t="s">
        <v>346</v>
      </c>
      <c r="I452" s="3" t="s">
        <v>19</v>
      </c>
      <c r="J452" s="3" t="s">
        <v>19</v>
      </c>
      <c r="K452" s="3" t="s">
        <v>25</v>
      </c>
      <c r="L452" s="3">
        <v>22.76</v>
      </c>
      <c r="M452" s="3" t="s">
        <v>21</v>
      </c>
      <c r="O452" s="3">
        <v>2.2255279E7</v>
      </c>
    </row>
    <row r="453">
      <c r="A453" s="3">
        <v>2510634.0</v>
      </c>
      <c r="B453" s="3" t="s">
        <v>1170</v>
      </c>
      <c r="C453" s="3" t="b">
        <v>1</v>
      </c>
      <c r="D453" s="3" t="b">
        <v>1</v>
      </c>
      <c r="E453" s="3" t="s">
        <v>1171</v>
      </c>
      <c r="F453" s="3" t="s">
        <v>1154</v>
      </c>
      <c r="G453" s="4">
        <f>+251926932764</f>
        <v>251926932764</v>
      </c>
      <c r="H453" s="3" t="s">
        <v>18</v>
      </c>
      <c r="I453" s="3" t="s">
        <v>19</v>
      </c>
      <c r="J453" s="3" t="s">
        <v>19</v>
      </c>
      <c r="K453" s="3" t="s">
        <v>25</v>
      </c>
      <c r="L453" s="3">
        <v>20.52</v>
      </c>
      <c r="M453" s="3" t="s">
        <v>21</v>
      </c>
      <c r="O453" s="3">
        <v>1.43587055862E11</v>
      </c>
    </row>
    <row r="454">
      <c r="A454" s="3">
        <v>2510724.0</v>
      </c>
      <c r="B454" s="3" t="s">
        <v>1172</v>
      </c>
      <c r="C454" s="3" t="b">
        <v>1</v>
      </c>
      <c r="D454" s="3" t="b">
        <v>1</v>
      </c>
      <c r="E454" s="3" t="s">
        <v>1173</v>
      </c>
      <c r="F454" s="3" t="s">
        <v>1174</v>
      </c>
      <c r="G454" s="4">
        <f>+251919447232</f>
        <v>251919447232</v>
      </c>
      <c r="H454" s="3" t="s">
        <v>1175</v>
      </c>
      <c r="I454" s="3" t="s">
        <v>19</v>
      </c>
      <c r="J454" s="3" t="s">
        <v>19</v>
      </c>
      <c r="K454" s="3" t="s">
        <v>25</v>
      </c>
      <c r="L454" s="3">
        <v>33.93</v>
      </c>
      <c r="M454" s="3" t="s">
        <v>21</v>
      </c>
      <c r="O454" s="3">
        <v>1.43614499024E11</v>
      </c>
    </row>
    <row r="455">
      <c r="A455" s="3">
        <v>2511187.0</v>
      </c>
      <c r="B455" s="3" t="s">
        <v>1176</v>
      </c>
      <c r="C455" s="3" t="b">
        <v>1</v>
      </c>
      <c r="D455" s="3" t="b">
        <v>1</v>
      </c>
      <c r="E455" s="3" t="s">
        <v>134</v>
      </c>
      <c r="F455" s="3" t="s">
        <v>1177</v>
      </c>
      <c r="G455" s="4">
        <f>+251919295765</f>
        <v>251919295765</v>
      </c>
      <c r="H455" s="3" t="s">
        <v>106</v>
      </c>
      <c r="I455" s="3" t="s">
        <v>19</v>
      </c>
      <c r="J455" s="3" t="s">
        <v>19</v>
      </c>
      <c r="K455" s="3" t="s">
        <v>25</v>
      </c>
      <c r="L455" s="3">
        <v>24.2</v>
      </c>
      <c r="M455" s="3" t="s">
        <v>21</v>
      </c>
    </row>
    <row r="456">
      <c r="A456" s="3">
        <v>2511871.0</v>
      </c>
      <c r="B456" s="3" t="s">
        <v>1178</v>
      </c>
      <c r="C456" s="3" t="b">
        <v>1</v>
      </c>
      <c r="D456" s="3" t="b">
        <v>1</v>
      </c>
      <c r="E456" s="3" t="s">
        <v>1179</v>
      </c>
      <c r="F456" s="3" t="s">
        <v>1180</v>
      </c>
      <c r="G456" s="4">
        <f>+251928993626</f>
        <v>251928993626</v>
      </c>
      <c r="H456" s="3" t="s">
        <v>18</v>
      </c>
      <c r="I456" s="3" t="s">
        <v>19</v>
      </c>
      <c r="J456" s="3" t="s">
        <v>19</v>
      </c>
      <c r="K456" s="3" t="s">
        <v>25</v>
      </c>
      <c r="L456" s="3">
        <v>34.68</v>
      </c>
      <c r="M456" s="3" t="s">
        <v>21</v>
      </c>
      <c r="O456" s="3">
        <v>1907462.0</v>
      </c>
    </row>
    <row r="457">
      <c r="A457" s="3">
        <v>2485322.0</v>
      </c>
      <c r="B457" s="3" t="s">
        <v>1181</v>
      </c>
      <c r="C457" s="3" t="b">
        <v>1</v>
      </c>
      <c r="D457" s="3" t="b">
        <v>1</v>
      </c>
      <c r="E457" s="3" t="s">
        <v>356</v>
      </c>
      <c r="F457" s="3" t="s">
        <v>1069</v>
      </c>
      <c r="G457" s="3">
        <v>9.06322991E8</v>
      </c>
      <c r="H457" s="3" t="s">
        <v>18</v>
      </c>
      <c r="I457" s="3" t="s">
        <v>19</v>
      </c>
      <c r="J457" s="3" t="s">
        <v>19</v>
      </c>
      <c r="K457" s="3" t="s">
        <v>25</v>
      </c>
      <c r="L457" s="3">
        <v>26.19</v>
      </c>
      <c r="M457" s="3" t="s">
        <v>21</v>
      </c>
      <c r="O457" s="3">
        <v>2.4638453E7</v>
      </c>
    </row>
    <row r="458">
      <c r="A458" s="3">
        <v>2512471.0</v>
      </c>
      <c r="B458" s="3" t="s">
        <v>1182</v>
      </c>
      <c r="C458" s="3" t="b">
        <v>1</v>
      </c>
      <c r="D458" s="3" t="b">
        <v>1</v>
      </c>
      <c r="E458" s="3" t="s">
        <v>1183</v>
      </c>
      <c r="F458" s="3" t="s">
        <v>196</v>
      </c>
      <c r="G458" s="4">
        <f>+251973048921</f>
        <v>251973048921</v>
      </c>
      <c r="H458" s="3" t="s">
        <v>18</v>
      </c>
      <c r="I458" s="3" t="s">
        <v>19</v>
      </c>
      <c r="J458" s="3" t="s">
        <v>19</v>
      </c>
      <c r="K458" s="3" t="s">
        <v>20</v>
      </c>
      <c r="L458" s="3">
        <v>19.56</v>
      </c>
      <c r="M458" s="3" t="s">
        <v>21</v>
      </c>
      <c r="O458" s="3">
        <v>1.44606437585E11</v>
      </c>
    </row>
    <row r="459">
      <c r="A459" s="3">
        <v>2512644.0</v>
      </c>
      <c r="B459" s="3" t="s">
        <v>1184</v>
      </c>
      <c r="C459" s="3" t="b">
        <v>1</v>
      </c>
      <c r="D459" s="3" t="b">
        <v>1</v>
      </c>
      <c r="E459" s="3" t="s">
        <v>1185</v>
      </c>
      <c r="F459" s="3" t="s">
        <v>186</v>
      </c>
      <c r="G459" s="4">
        <f>+251918297906</f>
        <v>251918297906</v>
      </c>
      <c r="H459" s="3" t="s">
        <v>18</v>
      </c>
      <c r="I459" s="3" t="s">
        <v>19</v>
      </c>
      <c r="J459" s="3" t="s">
        <v>19</v>
      </c>
      <c r="K459" s="3" t="s">
        <v>25</v>
      </c>
      <c r="L459" s="3">
        <v>31.17</v>
      </c>
      <c r="M459" s="3" t="s">
        <v>21</v>
      </c>
      <c r="O459" s="3">
        <v>1.4475418542E11</v>
      </c>
    </row>
    <row r="460">
      <c r="A460" s="3">
        <v>2512705.0</v>
      </c>
      <c r="B460" s="3" t="s">
        <v>1186</v>
      </c>
      <c r="C460" s="3" t="b">
        <v>1</v>
      </c>
      <c r="D460" s="3" t="b">
        <v>1</v>
      </c>
      <c r="E460" s="3" t="s">
        <v>1187</v>
      </c>
      <c r="F460" s="3" t="s">
        <v>1188</v>
      </c>
      <c r="G460" s="4">
        <f>+251937870138</f>
        <v>251937870138</v>
      </c>
      <c r="H460" s="3" t="s">
        <v>18</v>
      </c>
      <c r="I460" s="3" t="s">
        <v>19</v>
      </c>
      <c r="J460" s="3" t="s">
        <v>19</v>
      </c>
      <c r="K460" s="3" t="s">
        <v>25</v>
      </c>
      <c r="L460" s="3">
        <v>21.67</v>
      </c>
      <c r="M460" s="3" t="s">
        <v>21</v>
      </c>
      <c r="O460" s="3">
        <v>1.44726901986E11</v>
      </c>
    </row>
    <row r="461">
      <c r="A461" s="3">
        <v>2513128.0</v>
      </c>
      <c r="B461" s="3" t="s">
        <v>1189</v>
      </c>
      <c r="C461" s="3" t="b">
        <v>1</v>
      </c>
      <c r="D461" s="3" t="b">
        <v>1</v>
      </c>
      <c r="E461" s="3" t="s">
        <v>684</v>
      </c>
      <c r="F461" s="3" t="s">
        <v>1190</v>
      </c>
      <c r="G461" s="4">
        <f>+251962760283</f>
        <v>251962760283</v>
      </c>
      <c r="H461" s="3" t="s">
        <v>18</v>
      </c>
      <c r="I461" s="3" t="s">
        <v>19</v>
      </c>
      <c r="J461" s="3" t="s">
        <v>19</v>
      </c>
      <c r="K461" s="3" t="s">
        <v>25</v>
      </c>
      <c r="L461" s="3">
        <v>24.27</v>
      </c>
      <c r="M461" s="3" t="s">
        <v>21</v>
      </c>
      <c r="O461" s="3">
        <v>1.44873081054E11</v>
      </c>
    </row>
    <row r="462">
      <c r="A462" s="3">
        <v>2513446.0</v>
      </c>
      <c r="B462" s="3" t="s">
        <v>1191</v>
      </c>
      <c r="C462" s="3" t="b">
        <v>1</v>
      </c>
      <c r="D462" s="3" t="b">
        <v>1</v>
      </c>
      <c r="E462" s="3" t="s">
        <v>1192</v>
      </c>
      <c r="F462" s="3" t="s">
        <v>1193</v>
      </c>
      <c r="G462" s="4">
        <f>+251907525068</f>
        <v>251907525068</v>
      </c>
      <c r="H462" s="3" t="s">
        <v>29</v>
      </c>
      <c r="I462" s="3" t="s">
        <v>19</v>
      </c>
      <c r="J462" s="3" t="s">
        <v>19</v>
      </c>
      <c r="K462" s="3" t="s">
        <v>25</v>
      </c>
      <c r="L462" s="3">
        <v>21.03</v>
      </c>
      <c r="M462" s="3" t="s">
        <v>21</v>
      </c>
    </row>
    <row r="463">
      <c r="A463" s="3">
        <v>2514078.0</v>
      </c>
      <c r="B463" s="3" t="s">
        <v>1194</v>
      </c>
      <c r="C463" s="3" t="b">
        <v>1</v>
      </c>
      <c r="D463" s="3" t="b">
        <v>1</v>
      </c>
      <c r="E463" s="3" t="s">
        <v>1195</v>
      </c>
      <c r="F463" s="3" t="s">
        <v>314</v>
      </c>
      <c r="G463" s="4">
        <f>+251940395429</f>
        <v>251940395429</v>
      </c>
      <c r="H463" s="3" t="s">
        <v>18</v>
      </c>
      <c r="I463" s="3" t="s">
        <v>19</v>
      </c>
      <c r="J463" s="3" t="s">
        <v>19</v>
      </c>
      <c r="K463" s="3" t="s">
        <v>25</v>
      </c>
      <c r="L463" s="3">
        <v>21.62</v>
      </c>
      <c r="M463" s="3" t="s">
        <v>21</v>
      </c>
      <c r="O463" s="3">
        <v>2414371.0</v>
      </c>
    </row>
    <row r="464">
      <c r="A464" s="3">
        <v>2514628.0</v>
      </c>
      <c r="B464" s="3" t="s">
        <v>1196</v>
      </c>
      <c r="C464" s="3" t="b">
        <v>1</v>
      </c>
      <c r="D464" s="3" t="b">
        <v>1</v>
      </c>
      <c r="E464" s="3" t="s">
        <v>1197</v>
      </c>
      <c r="F464" s="3" t="s">
        <v>1198</v>
      </c>
      <c r="G464" s="4">
        <f>+251912282638</f>
        <v>251912282638</v>
      </c>
      <c r="H464" s="3" t="s">
        <v>18</v>
      </c>
      <c r="I464" s="3" t="s">
        <v>19</v>
      </c>
      <c r="J464" s="3" t="s">
        <v>19</v>
      </c>
      <c r="K464" s="3" t="s">
        <v>25</v>
      </c>
      <c r="L464" s="3">
        <v>33.29</v>
      </c>
      <c r="M464" s="3" t="s">
        <v>21</v>
      </c>
      <c r="O464" s="3">
        <v>1.45775999213E11</v>
      </c>
    </row>
    <row r="465">
      <c r="A465" s="3">
        <v>243801.0</v>
      </c>
      <c r="B465" s="3" t="s">
        <v>1199</v>
      </c>
      <c r="C465" s="3" t="b">
        <v>1</v>
      </c>
      <c r="D465" s="3" t="b">
        <v>1</v>
      </c>
      <c r="E465" s="3" t="s">
        <v>1200</v>
      </c>
      <c r="F465" s="3" t="s">
        <v>1201</v>
      </c>
      <c r="G465" s="4">
        <f>+25191068213</f>
        <v>25191068213</v>
      </c>
      <c r="H465" s="3" t="s">
        <v>44</v>
      </c>
      <c r="I465" s="3" t="s">
        <v>19</v>
      </c>
      <c r="J465" s="3" t="s">
        <v>19</v>
      </c>
      <c r="K465" s="3" t="s">
        <v>25</v>
      </c>
      <c r="L465" s="3">
        <v>33.35</v>
      </c>
      <c r="M465" s="3" t="s">
        <v>21</v>
      </c>
      <c r="O465" s="3">
        <v>770031.0</v>
      </c>
    </row>
    <row r="466">
      <c r="A466" s="3">
        <v>993611.0</v>
      </c>
      <c r="B466" s="3" t="s">
        <v>1202</v>
      </c>
      <c r="C466" s="3" t="b">
        <v>1</v>
      </c>
      <c r="D466" s="3" t="b">
        <v>1</v>
      </c>
      <c r="E466" s="3" t="s">
        <v>709</v>
      </c>
      <c r="F466" s="3" t="s">
        <v>35</v>
      </c>
      <c r="G466" s="4">
        <f>+251936128083</f>
        <v>251936128083</v>
      </c>
      <c r="H466" s="3" t="s">
        <v>18</v>
      </c>
      <c r="I466" s="3" t="s">
        <v>19</v>
      </c>
      <c r="J466" s="3" t="s">
        <v>19</v>
      </c>
      <c r="K466" s="3" t="s">
        <v>20</v>
      </c>
      <c r="L466" s="3">
        <v>22.07</v>
      </c>
      <c r="M466" s="3" t="s">
        <v>21</v>
      </c>
      <c r="O466" s="3">
        <v>5.482991854E9</v>
      </c>
    </row>
    <row r="467">
      <c r="A467" s="3">
        <v>2515311.0</v>
      </c>
      <c r="B467" s="3" t="s">
        <v>1203</v>
      </c>
      <c r="C467" s="3" t="b">
        <v>1</v>
      </c>
      <c r="D467" s="3" t="b">
        <v>1</v>
      </c>
      <c r="E467" s="3" t="s">
        <v>336</v>
      </c>
      <c r="F467" s="3" t="s">
        <v>189</v>
      </c>
      <c r="G467" s="4">
        <f>+251940189969</f>
        <v>251940189969</v>
      </c>
      <c r="H467" s="3" t="s">
        <v>18</v>
      </c>
      <c r="I467" s="3" t="s">
        <v>19</v>
      </c>
      <c r="J467" s="3" t="s">
        <v>19</v>
      </c>
      <c r="K467" s="3" t="s">
        <v>25</v>
      </c>
      <c r="L467" s="3">
        <v>27.56</v>
      </c>
      <c r="M467" s="3" t="s">
        <v>21</v>
      </c>
    </row>
    <row r="468">
      <c r="A468" s="3">
        <v>2515342.0</v>
      </c>
      <c r="B468" s="3" t="s">
        <v>1204</v>
      </c>
      <c r="C468" s="3" t="b">
        <v>1</v>
      </c>
      <c r="D468" s="3" t="b">
        <v>1</v>
      </c>
      <c r="E468" s="3" t="s">
        <v>316</v>
      </c>
      <c r="F468" s="3" t="s">
        <v>456</v>
      </c>
      <c r="G468" s="4">
        <f>+251917830581</f>
        <v>251917830581</v>
      </c>
      <c r="H468" s="3" t="s">
        <v>18</v>
      </c>
      <c r="I468" s="3" t="s">
        <v>19</v>
      </c>
      <c r="J468" s="3" t="s">
        <v>19</v>
      </c>
      <c r="K468" s="3" t="s">
        <v>25</v>
      </c>
      <c r="L468" s="3">
        <v>28.44</v>
      </c>
      <c r="M468" s="3" t="s">
        <v>21</v>
      </c>
      <c r="O468" s="3">
        <v>1.46005753065E11</v>
      </c>
    </row>
    <row r="469">
      <c r="A469" s="3">
        <v>1928758.0</v>
      </c>
      <c r="B469" s="3" t="s">
        <v>1205</v>
      </c>
      <c r="C469" s="3" t="b">
        <v>1</v>
      </c>
      <c r="D469" s="3" t="b">
        <v>0</v>
      </c>
      <c r="E469" s="3" t="s">
        <v>846</v>
      </c>
      <c r="F469" s="3" t="s">
        <v>1206</v>
      </c>
      <c r="G469" s="4">
        <f>+251966400718</f>
        <v>251966400718</v>
      </c>
      <c r="H469" s="3" t="s">
        <v>18</v>
      </c>
      <c r="I469" s="3" t="s">
        <v>19</v>
      </c>
      <c r="J469" s="3" t="s">
        <v>19</v>
      </c>
      <c r="K469" s="3" t="s">
        <v>20</v>
      </c>
      <c r="L469" s="3">
        <v>21.35</v>
      </c>
      <c r="M469" s="3" t="s">
        <v>21</v>
      </c>
      <c r="O469" s="3">
        <v>2.6849108675E10</v>
      </c>
    </row>
    <row r="470">
      <c r="A470" s="3">
        <v>2516100.0</v>
      </c>
      <c r="B470" s="3" t="s">
        <v>1207</v>
      </c>
      <c r="C470" s="3" t="b">
        <v>1</v>
      </c>
      <c r="D470" s="3" t="b">
        <v>1</v>
      </c>
      <c r="E470" s="3" t="s">
        <v>1208</v>
      </c>
      <c r="F470" s="3" t="s">
        <v>1000</v>
      </c>
      <c r="G470" s="4">
        <f>+251940410658</f>
        <v>251940410658</v>
      </c>
      <c r="H470" s="3" t="s">
        <v>18</v>
      </c>
      <c r="I470" s="3" t="s">
        <v>19</v>
      </c>
      <c r="J470" s="3" t="s">
        <v>19</v>
      </c>
      <c r="K470" s="3" t="s">
        <v>20</v>
      </c>
      <c r="L470" s="3">
        <v>21.76</v>
      </c>
      <c r="M470" s="3" t="s">
        <v>21</v>
      </c>
    </row>
    <row r="471">
      <c r="A471" s="3">
        <v>2516988.0</v>
      </c>
      <c r="B471" s="3" t="s">
        <v>1209</v>
      </c>
      <c r="C471" s="3" t="b">
        <v>1</v>
      </c>
      <c r="D471" s="3" t="b">
        <v>1</v>
      </c>
      <c r="E471" s="3" t="s">
        <v>1210</v>
      </c>
      <c r="F471" s="3" t="s">
        <v>1211</v>
      </c>
      <c r="G471" s="4">
        <f>+251934044693</f>
        <v>251934044693</v>
      </c>
      <c r="H471" s="3" t="s">
        <v>346</v>
      </c>
      <c r="I471" s="3" t="s">
        <v>19</v>
      </c>
      <c r="J471" s="3" t="s">
        <v>19</v>
      </c>
      <c r="K471" s="3" t="s">
        <v>25</v>
      </c>
      <c r="L471" s="3">
        <v>20.3</v>
      </c>
      <c r="M471" s="3" t="s">
        <v>21</v>
      </c>
      <c r="O471" s="3">
        <v>1.47552672965E11</v>
      </c>
    </row>
    <row r="472">
      <c r="A472" s="3">
        <v>2514719.0</v>
      </c>
      <c r="B472" s="3" t="s">
        <v>1212</v>
      </c>
      <c r="C472" s="3" t="b">
        <v>1</v>
      </c>
      <c r="D472" s="3" t="b">
        <v>1</v>
      </c>
      <c r="E472" s="3" t="s">
        <v>273</v>
      </c>
      <c r="F472" s="3" t="s">
        <v>1213</v>
      </c>
      <c r="G472" s="4">
        <f>+251913767842</f>
        <v>251913767842</v>
      </c>
      <c r="H472" s="3" t="s">
        <v>29</v>
      </c>
      <c r="I472" s="3" t="s">
        <v>19</v>
      </c>
      <c r="J472" s="3" t="s">
        <v>19</v>
      </c>
      <c r="K472" s="3" t="s">
        <v>25</v>
      </c>
      <c r="L472" s="3">
        <v>29.75</v>
      </c>
      <c r="M472" s="3" t="s">
        <v>21</v>
      </c>
      <c r="O472" s="3">
        <v>1.45735446739E11</v>
      </c>
    </row>
    <row r="473">
      <c r="A473" s="3">
        <v>1969810.0</v>
      </c>
      <c r="B473" s="3" t="s">
        <v>1214</v>
      </c>
      <c r="C473" s="3" t="b">
        <v>1</v>
      </c>
      <c r="D473" s="3" t="b">
        <v>1</v>
      </c>
      <c r="E473" s="3" t="s">
        <v>1215</v>
      </c>
      <c r="F473" s="3" t="s">
        <v>1216</v>
      </c>
      <c r="G473" s="4">
        <f>+251993260655</f>
        <v>251993260655</v>
      </c>
      <c r="H473" s="3" t="s">
        <v>18</v>
      </c>
      <c r="I473" s="3" t="s">
        <v>19</v>
      </c>
      <c r="J473" s="3" t="s">
        <v>19</v>
      </c>
      <c r="K473" s="3" t="s">
        <v>25</v>
      </c>
      <c r="L473" s="3">
        <v>19.69</v>
      </c>
      <c r="M473" s="3" t="s">
        <v>21</v>
      </c>
      <c r="O473" s="3">
        <v>1913666.0</v>
      </c>
    </row>
    <row r="474">
      <c r="A474" s="3">
        <v>2518789.0</v>
      </c>
      <c r="B474" s="3" t="s">
        <v>1217</v>
      </c>
      <c r="C474" s="3" t="b">
        <v>1</v>
      </c>
      <c r="D474" s="3" t="b">
        <v>1</v>
      </c>
      <c r="E474" s="3" t="s">
        <v>1218</v>
      </c>
      <c r="F474" s="3" t="s">
        <v>1219</v>
      </c>
      <c r="G474" s="4">
        <f>+251960241718</f>
        <v>251960241718</v>
      </c>
      <c r="H474" s="3" t="s">
        <v>18</v>
      </c>
      <c r="I474" s="3" t="s">
        <v>19</v>
      </c>
      <c r="J474" s="3" t="s">
        <v>19</v>
      </c>
      <c r="K474" s="3" t="s">
        <v>25</v>
      </c>
      <c r="L474" s="3">
        <v>25.02</v>
      </c>
      <c r="M474" s="3" t="s">
        <v>21</v>
      </c>
    </row>
    <row r="475">
      <c r="A475" s="3">
        <v>2518417.0</v>
      </c>
      <c r="B475" s="3" t="s">
        <v>1220</v>
      </c>
      <c r="C475" s="3" t="b">
        <v>1</v>
      </c>
      <c r="D475" s="3" t="b">
        <v>1</v>
      </c>
      <c r="E475" s="3" t="s">
        <v>1221</v>
      </c>
      <c r="F475" s="3" t="s">
        <v>1222</v>
      </c>
      <c r="G475" s="4">
        <f>+251934827754</f>
        <v>251934827754</v>
      </c>
      <c r="H475" s="3" t="s">
        <v>18</v>
      </c>
      <c r="I475" s="3" t="s">
        <v>19</v>
      </c>
      <c r="J475" s="3" t="s">
        <v>19</v>
      </c>
      <c r="K475" s="3" t="s">
        <v>20</v>
      </c>
      <c r="L475" s="3">
        <v>26.98</v>
      </c>
      <c r="M475" s="3" t="s">
        <v>21</v>
      </c>
    </row>
    <row r="476">
      <c r="A476" s="3">
        <v>705926.0</v>
      </c>
      <c r="B476" s="3" t="s">
        <v>1223</v>
      </c>
      <c r="C476" s="3" t="b">
        <v>1</v>
      </c>
      <c r="D476" s="3" t="b">
        <v>1</v>
      </c>
      <c r="E476" s="3" t="s">
        <v>466</v>
      </c>
      <c r="F476" s="3" t="s">
        <v>1224</v>
      </c>
      <c r="G476" s="4">
        <f>+251916062786</f>
        <v>251916062786</v>
      </c>
      <c r="H476" s="3" t="s">
        <v>18</v>
      </c>
      <c r="I476" s="3" t="s">
        <v>19</v>
      </c>
      <c r="J476" s="3" t="s">
        <v>19</v>
      </c>
      <c r="K476" s="3" t="s">
        <v>25</v>
      </c>
      <c r="L476" s="3">
        <v>22.4</v>
      </c>
      <c r="M476" s="3" t="s">
        <v>21</v>
      </c>
      <c r="O476" s="3">
        <v>879004.0</v>
      </c>
    </row>
    <row r="477">
      <c r="A477" s="3">
        <v>2218001.0</v>
      </c>
      <c r="B477" s="3" t="s">
        <v>1225</v>
      </c>
      <c r="C477" s="3" t="b">
        <v>1</v>
      </c>
      <c r="D477" s="3" t="b">
        <v>1</v>
      </c>
      <c r="E477" s="3" t="s">
        <v>1226</v>
      </c>
      <c r="F477" s="3" t="s">
        <v>422</v>
      </c>
      <c r="G477" s="4">
        <f>+251974140270</f>
        <v>251974140270</v>
      </c>
      <c r="H477" s="3" t="s">
        <v>18</v>
      </c>
      <c r="I477" s="3" t="s">
        <v>19</v>
      </c>
      <c r="J477" s="3" t="s">
        <v>19</v>
      </c>
      <c r="K477" s="3" t="s">
        <v>25</v>
      </c>
      <c r="L477" s="3">
        <v>23.81</v>
      </c>
      <c r="M477" s="3" t="s">
        <v>21</v>
      </c>
    </row>
    <row r="478">
      <c r="A478" s="3">
        <v>2522711.0</v>
      </c>
      <c r="B478" s="3" t="s">
        <v>1227</v>
      </c>
      <c r="C478" s="3" t="b">
        <v>1</v>
      </c>
      <c r="D478" s="3" t="b">
        <v>1</v>
      </c>
      <c r="E478" s="3" t="s">
        <v>1228</v>
      </c>
      <c r="F478" s="3" t="s">
        <v>1229</v>
      </c>
      <c r="G478" s="4">
        <f>+251979414797</f>
        <v>251979414797</v>
      </c>
      <c r="H478" s="3" t="s">
        <v>18</v>
      </c>
      <c r="I478" s="3" t="s">
        <v>19</v>
      </c>
      <c r="J478" s="3" t="s">
        <v>19</v>
      </c>
      <c r="K478" s="3" t="s">
        <v>25</v>
      </c>
      <c r="L478" s="3">
        <v>31.55</v>
      </c>
      <c r="M478" s="3" t="s">
        <v>21</v>
      </c>
      <c r="O478" s="3">
        <v>1.50789281011E11</v>
      </c>
    </row>
    <row r="479">
      <c r="A479" s="3">
        <v>2465429.0</v>
      </c>
      <c r="B479" s="3" t="s">
        <v>1230</v>
      </c>
      <c r="C479" s="3" t="b">
        <v>1</v>
      </c>
      <c r="D479" s="3" t="b">
        <v>1</v>
      </c>
      <c r="E479" s="3" t="s">
        <v>1231</v>
      </c>
      <c r="F479" s="3" t="s">
        <v>1232</v>
      </c>
      <c r="G479" s="4">
        <f>+251918367353</f>
        <v>251918367353</v>
      </c>
      <c r="H479" s="3" t="s">
        <v>18</v>
      </c>
      <c r="I479" s="3" t="s">
        <v>19</v>
      </c>
      <c r="J479" s="3" t="s">
        <v>19</v>
      </c>
      <c r="K479" s="3" t="s">
        <v>25</v>
      </c>
      <c r="L479" s="3">
        <v>19.85</v>
      </c>
      <c r="M479" s="3" t="s">
        <v>21</v>
      </c>
      <c r="O479" s="3">
        <v>4.2292557243E10</v>
      </c>
    </row>
    <row r="480">
      <c r="A480" s="3">
        <v>2504069.0</v>
      </c>
      <c r="B480" s="3" t="s">
        <v>1233</v>
      </c>
      <c r="C480" s="3" t="b">
        <v>1</v>
      </c>
      <c r="D480" s="3" t="b">
        <v>1</v>
      </c>
      <c r="E480" s="3" t="s">
        <v>1234</v>
      </c>
      <c r="F480" s="3" t="s">
        <v>1235</v>
      </c>
      <c r="G480" s="4">
        <f>+251924070330</f>
        <v>251924070330</v>
      </c>
      <c r="H480" s="3" t="s">
        <v>18</v>
      </c>
      <c r="I480" s="3" t="s">
        <v>19</v>
      </c>
      <c r="J480" s="3" t="s">
        <v>19</v>
      </c>
      <c r="K480" s="3" t="s">
        <v>25</v>
      </c>
      <c r="L480" s="3">
        <v>33.41</v>
      </c>
      <c r="M480" s="3" t="s">
        <v>21</v>
      </c>
      <c r="O480" s="3">
        <v>1.38702063847E11</v>
      </c>
    </row>
    <row r="481">
      <c r="A481" s="3">
        <v>1864061.0</v>
      </c>
      <c r="B481" s="3" t="s">
        <v>1236</v>
      </c>
      <c r="C481" s="3" t="b">
        <v>1</v>
      </c>
      <c r="D481" s="3" t="b">
        <v>1</v>
      </c>
      <c r="E481" s="3" t="s">
        <v>55</v>
      </c>
      <c r="F481" s="3" t="s">
        <v>1237</v>
      </c>
      <c r="G481" s="4">
        <f>+251918797131</f>
        <v>251918797131</v>
      </c>
      <c r="H481" s="3" t="s">
        <v>18</v>
      </c>
      <c r="I481" s="3" t="s">
        <v>19</v>
      </c>
      <c r="J481" s="3" t="s">
        <v>19</v>
      </c>
      <c r="K481" s="3" t="s">
        <v>25</v>
      </c>
      <c r="L481" s="3">
        <v>29.11</v>
      </c>
      <c r="M481" s="3" t="s">
        <v>21</v>
      </c>
    </row>
    <row r="482">
      <c r="A482" s="3">
        <v>2457266.0</v>
      </c>
      <c r="B482" s="3" t="s">
        <v>1238</v>
      </c>
      <c r="C482" s="3" t="b">
        <v>1</v>
      </c>
      <c r="D482" s="3" t="b">
        <v>1</v>
      </c>
      <c r="E482" s="3" t="s">
        <v>291</v>
      </c>
      <c r="F482" s="3" t="s">
        <v>93</v>
      </c>
      <c r="G482" s="4">
        <f>+251920837698</f>
        <v>251920837698</v>
      </c>
      <c r="H482" s="3" t="s">
        <v>18</v>
      </c>
      <c r="I482" s="3" t="s">
        <v>19</v>
      </c>
      <c r="J482" s="3" t="s">
        <v>19</v>
      </c>
      <c r="K482" s="3" t="s">
        <v>20</v>
      </c>
      <c r="L482" s="3">
        <v>30.19</v>
      </c>
      <c r="M482" s="3" t="s">
        <v>21</v>
      </c>
      <c r="O482" s="3">
        <v>1.10134219969E11</v>
      </c>
    </row>
    <row r="483">
      <c r="A483" s="3">
        <v>2358275.0</v>
      </c>
      <c r="B483" s="3" t="s">
        <v>1239</v>
      </c>
      <c r="C483" s="3" t="b">
        <v>1</v>
      </c>
      <c r="D483" s="3" t="b">
        <v>1</v>
      </c>
      <c r="E483" s="3" t="s">
        <v>1154</v>
      </c>
      <c r="F483" s="3" t="s">
        <v>1240</v>
      </c>
      <c r="G483" s="4">
        <f>+251902645997</f>
        <v>251902645997</v>
      </c>
      <c r="H483" s="3" t="s">
        <v>18</v>
      </c>
      <c r="I483" s="3" t="s">
        <v>19</v>
      </c>
      <c r="J483" s="3" t="s">
        <v>19</v>
      </c>
      <c r="K483" s="3" t="s">
        <v>25</v>
      </c>
      <c r="L483" s="3">
        <v>34.1</v>
      </c>
      <c r="M483" s="3" t="s">
        <v>21</v>
      </c>
      <c r="O483" s="3">
        <v>3.9629645026E10</v>
      </c>
    </row>
    <row r="484">
      <c r="A484" s="3">
        <v>2453967.0</v>
      </c>
      <c r="B484" s="3" t="s">
        <v>1241</v>
      </c>
      <c r="C484" s="3" t="b">
        <v>1</v>
      </c>
      <c r="D484" s="3" t="b">
        <v>1</v>
      </c>
      <c r="E484" s="3" t="s">
        <v>1242</v>
      </c>
      <c r="F484" s="3" t="s">
        <v>261</v>
      </c>
      <c r="G484" s="4">
        <f>+251937727901</f>
        <v>251937727901</v>
      </c>
      <c r="H484" s="3" t="s">
        <v>18</v>
      </c>
      <c r="I484" s="3" t="s">
        <v>19</v>
      </c>
      <c r="J484" s="3" t="s">
        <v>19</v>
      </c>
      <c r="K484" s="3" t="s">
        <v>20</v>
      </c>
      <c r="L484" s="3">
        <v>20.94</v>
      </c>
      <c r="M484" s="3" t="s">
        <v>21</v>
      </c>
      <c r="O484" s="3">
        <v>1.0942922976E11</v>
      </c>
    </row>
    <row r="485">
      <c r="A485" s="3">
        <v>2525889.0</v>
      </c>
      <c r="B485" s="3" t="s">
        <v>1243</v>
      </c>
      <c r="C485" s="3" t="b">
        <v>1</v>
      </c>
      <c r="D485" s="3" t="b">
        <v>0</v>
      </c>
      <c r="E485" s="3" t="s">
        <v>126</v>
      </c>
      <c r="F485" s="3" t="s">
        <v>1244</v>
      </c>
      <c r="G485" s="4">
        <f>+251967193733</f>
        <v>251967193733</v>
      </c>
      <c r="H485" s="3" t="s">
        <v>29</v>
      </c>
      <c r="I485" s="3" t="s">
        <v>19</v>
      </c>
      <c r="J485" s="3" t="s">
        <v>19</v>
      </c>
      <c r="K485" s="3" t="s">
        <v>25</v>
      </c>
      <c r="L485" s="3">
        <v>20.57</v>
      </c>
      <c r="M485" s="3" t="s">
        <v>21</v>
      </c>
      <c r="O485" s="3">
        <v>1.52549354713E11</v>
      </c>
    </row>
    <row r="486">
      <c r="A486" s="3">
        <v>2525982.0</v>
      </c>
      <c r="B486" s="3" t="s">
        <v>1245</v>
      </c>
      <c r="C486" s="3" t="b">
        <v>1</v>
      </c>
      <c r="D486" s="3" t="b">
        <v>1</v>
      </c>
      <c r="E486" s="3" t="s">
        <v>1246</v>
      </c>
      <c r="F486" s="3" t="s">
        <v>1247</v>
      </c>
      <c r="G486" s="4">
        <f>+251916391806</f>
        <v>251916391806</v>
      </c>
      <c r="H486" s="3" t="s">
        <v>18</v>
      </c>
      <c r="I486" s="3" t="s">
        <v>19</v>
      </c>
      <c r="J486" s="3" t="s">
        <v>19</v>
      </c>
      <c r="K486" s="3" t="s">
        <v>25</v>
      </c>
      <c r="L486" s="3">
        <v>23.82</v>
      </c>
      <c r="M486" s="3" t="s">
        <v>21</v>
      </c>
    </row>
    <row r="487">
      <c r="A487" s="3">
        <v>2526266.0</v>
      </c>
      <c r="B487" s="3" t="s">
        <v>1248</v>
      </c>
      <c r="C487" s="3" t="b">
        <v>1</v>
      </c>
      <c r="D487" s="3" t="b">
        <v>1</v>
      </c>
      <c r="E487" s="3" t="s">
        <v>446</v>
      </c>
      <c r="F487" s="3" t="s">
        <v>1076</v>
      </c>
      <c r="G487" s="3">
        <v>9.13500247E8</v>
      </c>
      <c r="H487" s="3" t="s">
        <v>44</v>
      </c>
      <c r="I487" s="3" t="s">
        <v>19</v>
      </c>
      <c r="J487" s="3" t="s">
        <v>19</v>
      </c>
      <c r="K487" s="3" t="s">
        <v>25</v>
      </c>
      <c r="L487" s="3">
        <v>29.78</v>
      </c>
      <c r="M487" s="3" t="s">
        <v>21</v>
      </c>
      <c r="O487" s="3">
        <v>1.52996973754E11</v>
      </c>
    </row>
    <row r="488">
      <c r="A488" s="3">
        <v>2528640.0</v>
      </c>
      <c r="B488" s="3" t="s">
        <v>1249</v>
      </c>
      <c r="C488" s="3" t="b">
        <v>1</v>
      </c>
      <c r="D488" s="3" t="b">
        <v>1</v>
      </c>
      <c r="E488" s="3" t="s">
        <v>1250</v>
      </c>
      <c r="F488" s="3" t="s">
        <v>1251</v>
      </c>
      <c r="G488" s="4">
        <f>+251917216519</f>
        <v>251917216519</v>
      </c>
      <c r="H488" s="3" t="s">
        <v>18</v>
      </c>
      <c r="I488" s="3" t="s">
        <v>19</v>
      </c>
      <c r="J488" s="3" t="s">
        <v>19</v>
      </c>
      <c r="K488" s="3" t="s">
        <v>25</v>
      </c>
      <c r="L488" s="3">
        <v>35.06</v>
      </c>
      <c r="M488" s="3" t="s">
        <v>21</v>
      </c>
    </row>
    <row r="489">
      <c r="A489" s="3">
        <v>2529079.0</v>
      </c>
      <c r="B489" s="3" t="s">
        <v>1252</v>
      </c>
      <c r="C489" s="3" t="b">
        <v>1</v>
      </c>
      <c r="D489" s="3" t="b">
        <v>1</v>
      </c>
      <c r="E489" s="3" t="s">
        <v>1253</v>
      </c>
      <c r="F489" s="3" t="s">
        <v>1254</v>
      </c>
      <c r="G489" s="4">
        <f>+251967478871</f>
        <v>251967478871</v>
      </c>
      <c r="H489" s="3" t="s">
        <v>18</v>
      </c>
      <c r="I489" s="3" t="s">
        <v>19</v>
      </c>
      <c r="J489" s="3" t="s">
        <v>19</v>
      </c>
      <c r="K489" s="3" t="s">
        <v>25</v>
      </c>
      <c r="L489" s="3">
        <v>24.3</v>
      </c>
      <c r="M489" s="3" t="s">
        <v>21</v>
      </c>
    </row>
    <row r="490">
      <c r="A490" s="3">
        <v>2534290.0</v>
      </c>
      <c r="B490" s="3" t="s">
        <v>1255</v>
      </c>
      <c r="C490" s="3" t="b">
        <v>1</v>
      </c>
      <c r="D490" s="3" t="b">
        <v>0</v>
      </c>
      <c r="E490" s="3" t="s">
        <v>85</v>
      </c>
      <c r="F490" s="3" t="s">
        <v>1256</v>
      </c>
      <c r="G490" s="4">
        <f>+251948000148</f>
        <v>251948000148</v>
      </c>
      <c r="H490" s="3" t="s">
        <v>18</v>
      </c>
      <c r="I490" s="3" t="s">
        <v>19</v>
      </c>
      <c r="J490" s="3" t="s">
        <v>19</v>
      </c>
      <c r="K490" s="3" t="s">
        <v>25</v>
      </c>
      <c r="L490" s="3">
        <v>20.86</v>
      </c>
      <c r="M490" s="3" t="s">
        <v>21</v>
      </c>
    </row>
    <row r="491">
      <c r="A491" s="3">
        <v>2536471.0</v>
      </c>
      <c r="B491" s="3" t="s">
        <v>1257</v>
      </c>
      <c r="C491" s="3" t="b">
        <v>1</v>
      </c>
      <c r="D491" s="3" t="b">
        <v>1</v>
      </c>
      <c r="E491" s="3" t="s">
        <v>1258</v>
      </c>
      <c r="F491" s="3" t="s">
        <v>1259</v>
      </c>
      <c r="G491" s="4">
        <f>+251963354905</f>
        <v>251963354905</v>
      </c>
      <c r="H491" s="3" t="s">
        <v>18</v>
      </c>
      <c r="I491" s="3" t="s">
        <v>19</v>
      </c>
      <c r="J491" s="3" t="s">
        <v>19</v>
      </c>
      <c r="K491" s="3" t="s">
        <v>20</v>
      </c>
      <c r="L491" s="3">
        <v>27.87</v>
      </c>
      <c r="M491" s="3" t="s">
        <v>21</v>
      </c>
      <c r="O491" s="3">
        <v>5763914.0</v>
      </c>
    </row>
    <row r="492">
      <c r="A492" s="3">
        <v>502846.0</v>
      </c>
      <c r="B492" s="3" t="s">
        <v>1260</v>
      </c>
      <c r="C492" s="3" t="b">
        <v>1</v>
      </c>
      <c r="D492" s="3" t="b">
        <v>1</v>
      </c>
      <c r="E492" s="3" t="s">
        <v>120</v>
      </c>
      <c r="F492" s="3" t="s">
        <v>1261</v>
      </c>
      <c r="G492" s="4">
        <f>+251975071157</f>
        <v>251975071157</v>
      </c>
      <c r="H492" s="3" t="s">
        <v>18</v>
      </c>
      <c r="I492" s="3" t="s">
        <v>19</v>
      </c>
      <c r="J492" s="3" t="s">
        <v>19</v>
      </c>
      <c r="K492" s="3" t="s">
        <v>25</v>
      </c>
      <c r="L492" s="3">
        <v>22.37</v>
      </c>
      <c r="M492" s="3" t="s">
        <v>21</v>
      </c>
      <c r="O492" s="3">
        <v>1252371.0</v>
      </c>
    </row>
    <row r="493">
      <c r="A493" s="3">
        <v>2302018.0</v>
      </c>
      <c r="B493" s="3" t="s">
        <v>1262</v>
      </c>
      <c r="C493" s="3" t="b">
        <v>1</v>
      </c>
      <c r="D493" s="3" t="b">
        <v>1</v>
      </c>
      <c r="E493" s="3" t="s">
        <v>1263</v>
      </c>
      <c r="F493" s="3" t="s">
        <v>750</v>
      </c>
      <c r="G493" s="4">
        <f>+251979501199</f>
        <v>251979501199</v>
      </c>
      <c r="H493" s="3" t="s">
        <v>18</v>
      </c>
      <c r="I493" s="3" t="s">
        <v>19</v>
      </c>
      <c r="J493" s="3" t="s">
        <v>19</v>
      </c>
      <c r="K493" s="3" t="s">
        <v>25</v>
      </c>
      <c r="L493" s="3">
        <v>25.81</v>
      </c>
      <c r="M493" s="3" t="s">
        <v>21</v>
      </c>
      <c r="O493" s="3">
        <v>3.5936304873E10</v>
      </c>
    </row>
    <row r="494">
      <c r="A494" s="3">
        <v>2537064.0</v>
      </c>
      <c r="B494" s="3" t="s">
        <v>1264</v>
      </c>
      <c r="C494" s="3" t="b">
        <v>1</v>
      </c>
      <c r="D494" s="3" t="b">
        <v>1</v>
      </c>
      <c r="E494" s="3" t="s">
        <v>1265</v>
      </c>
      <c r="F494" s="3" t="s">
        <v>1266</v>
      </c>
      <c r="G494" s="4">
        <f>+251915103707</f>
        <v>251915103707</v>
      </c>
      <c r="H494" s="3" t="s">
        <v>18</v>
      </c>
      <c r="I494" s="3" t="s">
        <v>19</v>
      </c>
      <c r="J494" s="3" t="s">
        <v>19</v>
      </c>
      <c r="K494" s="3" t="s">
        <v>25</v>
      </c>
      <c r="L494" s="3">
        <v>31.06</v>
      </c>
      <c r="M494" s="3" t="s">
        <v>21</v>
      </c>
      <c r="O494" s="3">
        <v>1.57677370587E11</v>
      </c>
    </row>
    <row r="495">
      <c r="A495" s="3">
        <v>248608.0</v>
      </c>
      <c r="B495" s="3" t="s">
        <v>1267</v>
      </c>
      <c r="C495" s="3" t="b">
        <v>1</v>
      </c>
      <c r="D495" s="3" t="b">
        <v>0</v>
      </c>
      <c r="E495" s="3" t="s">
        <v>1060</v>
      </c>
      <c r="F495" s="3" t="s">
        <v>224</v>
      </c>
      <c r="G495" s="4">
        <f>+251920571867</f>
        <v>251920571867</v>
      </c>
      <c r="H495" s="3" t="s">
        <v>18</v>
      </c>
      <c r="I495" s="3" t="s">
        <v>19</v>
      </c>
      <c r="J495" s="3" t="s">
        <v>19</v>
      </c>
      <c r="K495" s="3" t="s">
        <v>25</v>
      </c>
      <c r="L495" s="3">
        <v>33.87</v>
      </c>
      <c r="M495" s="3" t="s">
        <v>21</v>
      </c>
      <c r="O495" s="3">
        <v>8734909.0</v>
      </c>
    </row>
    <row r="496">
      <c r="A496" s="3">
        <v>2537704.0</v>
      </c>
      <c r="B496" s="3" t="s">
        <v>1268</v>
      </c>
      <c r="C496" s="3" t="b">
        <v>1</v>
      </c>
      <c r="D496" s="3" t="b">
        <v>1</v>
      </c>
      <c r="E496" s="3" t="s">
        <v>72</v>
      </c>
      <c r="F496" s="3" t="s">
        <v>1269</v>
      </c>
      <c r="G496" s="4">
        <f>+251942887741</f>
        <v>251942887741</v>
      </c>
      <c r="H496" s="3" t="s">
        <v>18</v>
      </c>
      <c r="I496" s="3" t="s">
        <v>19</v>
      </c>
      <c r="J496" s="3" t="s">
        <v>19</v>
      </c>
      <c r="K496" s="3" t="s">
        <v>20</v>
      </c>
      <c r="L496" s="3">
        <v>24.35</v>
      </c>
      <c r="M496" s="3" t="s">
        <v>21</v>
      </c>
      <c r="O496" s="3">
        <v>1.57917879505E11</v>
      </c>
    </row>
    <row r="497">
      <c r="A497" s="3">
        <v>2537966.0</v>
      </c>
      <c r="B497" s="3" t="s">
        <v>1270</v>
      </c>
      <c r="C497" s="3" t="b">
        <v>1</v>
      </c>
      <c r="D497" s="3" t="b">
        <v>1</v>
      </c>
      <c r="E497" s="3" t="s">
        <v>504</v>
      </c>
      <c r="F497" s="3" t="s">
        <v>1271</v>
      </c>
      <c r="G497" s="4">
        <f>+251904020302</f>
        <v>251904020302</v>
      </c>
      <c r="H497" s="3" t="s">
        <v>18</v>
      </c>
      <c r="I497" s="3" t="s">
        <v>19</v>
      </c>
      <c r="J497" s="3" t="s">
        <v>19</v>
      </c>
      <c r="K497" s="3" t="s">
        <v>25</v>
      </c>
      <c r="L497" s="3">
        <v>20.39</v>
      </c>
      <c r="M497" s="3" t="s">
        <v>21</v>
      </c>
      <c r="O497" s="3">
        <v>1.58062937335E11</v>
      </c>
    </row>
    <row r="498">
      <c r="A498" s="3">
        <v>2538945.0</v>
      </c>
      <c r="B498" s="3" t="s">
        <v>1272</v>
      </c>
      <c r="C498" s="3" t="b">
        <v>1</v>
      </c>
      <c r="D498" s="3" t="b">
        <v>1</v>
      </c>
      <c r="E498" s="3" t="s">
        <v>1273</v>
      </c>
      <c r="F498" s="3" t="s">
        <v>1274</v>
      </c>
      <c r="G498" s="4">
        <f>+251911020857</f>
        <v>251911020857</v>
      </c>
      <c r="H498" s="3" t="s">
        <v>18</v>
      </c>
      <c r="I498" s="3" t="s">
        <v>19</v>
      </c>
      <c r="J498" s="3" t="s">
        <v>19</v>
      </c>
      <c r="K498" s="3" t="s">
        <v>25</v>
      </c>
      <c r="L498" s="3">
        <v>32.49</v>
      </c>
      <c r="M498" s="3" t="s">
        <v>21</v>
      </c>
      <c r="O498" s="3">
        <v>1.58870890705E11</v>
      </c>
    </row>
    <row r="499">
      <c r="A499" s="3">
        <v>2096451.0</v>
      </c>
      <c r="B499" s="3" t="s">
        <v>1275</v>
      </c>
      <c r="C499" s="3" t="b">
        <v>1</v>
      </c>
      <c r="D499" s="3" t="b">
        <v>1</v>
      </c>
      <c r="E499" s="3" t="s">
        <v>1276</v>
      </c>
      <c r="F499" s="3" t="s">
        <v>387</v>
      </c>
      <c r="G499" s="4">
        <f>+251910861475</f>
        <v>251910861475</v>
      </c>
      <c r="H499" s="3" t="s">
        <v>18</v>
      </c>
      <c r="I499" s="3" t="s">
        <v>19</v>
      </c>
      <c r="J499" s="3" t="s">
        <v>19</v>
      </c>
      <c r="K499" s="3" t="s">
        <v>25</v>
      </c>
      <c r="L499" s="3">
        <v>33.83</v>
      </c>
      <c r="M499" s="3" t="s">
        <v>21</v>
      </c>
      <c r="O499" s="3">
        <v>3.0655040248E10</v>
      </c>
    </row>
    <row r="500">
      <c r="A500" s="3">
        <v>2539180.0</v>
      </c>
      <c r="B500" s="3" t="s">
        <v>1277</v>
      </c>
      <c r="C500" s="3" t="b">
        <v>1</v>
      </c>
      <c r="D500" s="3" t="b">
        <v>0</v>
      </c>
      <c r="E500" s="3" t="s">
        <v>1278</v>
      </c>
      <c r="F500" s="3" t="s">
        <v>993</v>
      </c>
      <c r="G500" s="4">
        <f>+251910344532</f>
        <v>251910344532</v>
      </c>
      <c r="H500" s="3" t="s">
        <v>18</v>
      </c>
      <c r="I500" s="3" t="s">
        <v>19</v>
      </c>
      <c r="J500" s="3" t="s">
        <v>19</v>
      </c>
      <c r="K500" s="3" t="s">
        <v>20</v>
      </c>
      <c r="L500" s="3">
        <v>34.87</v>
      </c>
      <c r="M500" s="3" t="s">
        <v>21</v>
      </c>
      <c r="O500" s="3">
        <v>1.58838930646E11</v>
      </c>
    </row>
    <row r="501">
      <c r="A501" s="3">
        <v>2542356.0</v>
      </c>
      <c r="B501" s="3" t="s">
        <v>1279</v>
      </c>
      <c r="C501" s="3" t="b">
        <v>1</v>
      </c>
      <c r="D501" s="3" t="b">
        <v>1</v>
      </c>
      <c r="E501" s="3" t="s">
        <v>1280</v>
      </c>
      <c r="F501" s="3" t="s">
        <v>1281</v>
      </c>
      <c r="G501" s="4">
        <f>+251989951542</f>
        <v>251989951542</v>
      </c>
      <c r="H501" s="3" t="s">
        <v>18</v>
      </c>
      <c r="I501" s="3" t="s">
        <v>19</v>
      </c>
      <c r="J501" s="3" t="s">
        <v>19</v>
      </c>
      <c r="K501" s="3" t="s">
        <v>25</v>
      </c>
      <c r="L501" s="3">
        <v>19.76</v>
      </c>
      <c r="M501" s="3" t="s">
        <v>21</v>
      </c>
    </row>
    <row r="502">
      <c r="A502" s="3">
        <v>1695405.0</v>
      </c>
      <c r="B502" s="3" t="s">
        <v>1282</v>
      </c>
      <c r="C502" s="3" t="b">
        <v>1</v>
      </c>
      <c r="D502" s="3" t="b">
        <v>1</v>
      </c>
      <c r="E502" s="3" t="s">
        <v>760</v>
      </c>
      <c r="F502" s="3" t="s">
        <v>538</v>
      </c>
      <c r="G502" s="4">
        <f>+251955414191</f>
        <v>251955414191</v>
      </c>
      <c r="H502" s="3" t="s">
        <v>87</v>
      </c>
      <c r="I502" s="3" t="s">
        <v>19</v>
      </c>
      <c r="J502" s="3" t="s">
        <v>19</v>
      </c>
      <c r="K502" s="3" t="s">
        <v>20</v>
      </c>
      <c r="L502" s="3">
        <v>21.16</v>
      </c>
      <c r="M502" s="3" t="s">
        <v>21</v>
      </c>
      <c r="O502" s="3">
        <v>2.185294921E10</v>
      </c>
    </row>
    <row r="503">
      <c r="A503" s="3">
        <v>2542783.0</v>
      </c>
      <c r="B503" s="3" t="s">
        <v>1283</v>
      </c>
      <c r="C503" s="3" t="b">
        <v>1</v>
      </c>
      <c r="D503" s="3" t="b">
        <v>1</v>
      </c>
      <c r="E503" s="3" t="s">
        <v>1284</v>
      </c>
      <c r="F503" s="3" t="s">
        <v>1285</v>
      </c>
      <c r="G503" s="4">
        <f>+251929496731</f>
        <v>251929496731</v>
      </c>
      <c r="H503" s="3" t="s">
        <v>18</v>
      </c>
      <c r="I503" s="3" t="s">
        <v>19</v>
      </c>
      <c r="J503" s="3" t="s">
        <v>19</v>
      </c>
      <c r="K503" s="3" t="s">
        <v>25</v>
      </c>
      <c r="L503" s="3">
        <v>28.73</v>
      </c>
      <c r="M503" s="3" t="s">
        <v>21</v>
      </c>
      <c r="O503" s="3">
        <v>7.645240138E10</v>
      </c>
    </row>
    <row r="504">
      <c r="A504" s="3">
        <v>2544011.0</v>
      </c>
      <c r="B504" s="3" t="s">
        <v>1286</v>
      </c>
      <c r="C504" s="3" t="b">
        <v>1</v>
      </c>
      <c r="D504" s="3" t="b">
        <v>1</v>
      </c>
      <c r="E504" s="3" t="s">
        <v>1287</v>
      </c>
      <c r="F504" s="3" t="s">
        <v>1288</v>
      </c>
      <c r="G504" s="3">
        <v>9.18367931E8</v>
      </c>
      <c r="H504" s="3" t="s">
        <v>947</v>
      </c>
      <c r="I504" s="3" t="s">
        <v>19</v>
      </c>
      <c r="J504" s="3" t="s">
        <v>19</v>
      </c>
      <c r="K504" s="3" t="s">
        <v>20</v>
      </c>
      <c r="L504" s="3">
        <v>19.82</v>
      </c>
      <c r="M504" s="3" t="s">
        <v>21</v>
      </c>
      <c r="O504" s="3">
        <v>1.9766351E7</v>
      </c>
    </row>
    <row r="505">
      <c r="A505" s="3">
        <v>2544230.0</v>
      </c>
      <c r="B505" s="3" t="s">
        <v>1289</v>
      </c>
      <c r="C505" s="3" t="b">
        <v>1</v>
      </c>
      <c r="D505" s="3" t="b">
        <v>1</v>
      </c>
      <c r="E505" s="3" t="s">
        <v>1290</v>
      </c>
      <c r="F505" s="3" t="s">
        <v>70</v>
      </c>
      <c r="G505" s="3">
        <v>2.51913815656E11</v>
      </c>
      <c r="H505" s="3" t="s">
        <v>18</v>
      </c>
      <c r="I505" s="3" t="s">
        <v>19</v>
      </c>
      <c r="J505" s="3" t="s">
        <v>19</v>
      </c>
      <c r="K505" s="3" t="s">
        <v>25</v>
      </c>
      <c r="L505" s="3">
        <v>18.34</v>
      </c>
      <c r="M505" s="3" t="s">
        <v>21</v>
      </c>
      <c r="O505" s="3">
        <v>1.61228990713E11</v>
      </c>
    </row>
    <row r="506">
      <c r="A506" s="3">
        <v>2544856.0</v>
      </c>
      <c r="B506" s="3" t="s">
        <v>1291</v>
      </c>
      <c r="C506" s="3" t="b">
        <v>1</v>
      </c>
      <c r="D506" s="3" t="b">
        <v>1</v>
      </c>
      <c r="E506" s="3" t="s">
        <v>1292</v>
      </c>
      <c r="F506" s="3" t="s">
        <v>1271</v>
      </c>
      <c r="G506" s="4">
        <f>+251912155573</f>
        <v>251912155573</v>
      </c>
      <c r="H506" s="3" t="s">
        <v>18</v>
      </c>
      <c r="I506" s="3" t="s">
        <v>19</v>
      </c>
      <c r="J506" s="3" t="s">
        <v>19</v>
      </c>
      <c r="K506" s="3" t="s">
        <v>25</v>
      </c>
      <c r="L506" s="3">
        <v>34.87</v>
      </c>
      <c r="M506" s="3" t="s">
        <v>21</v>
      </c>
      <c r="O506" s="3">
        <v>2.3430842E7</v>
      </c>
    </row>
    <row r="507">
      <c r="A507" s="3">
        <v>2545308.0</v>
      </c>
      <c r="B507" s="3" t="s">
        <v>1293</v>
      </c>
      <c r="C507" s="3" t="b">
        <v>1</v>
      </c>
      <c r="D507" s="3" t="b">
        <v>1</v>
      </c>
      <c r="E507" s="3" t="s">
        <v>1294</v>
      </c>
      <c r="F507" s="3" t="s">
        <v>1295</v>
      </c>
      <c r="G507" s="4">
        <f>+251916410755</f>
        <v>251916410755</v>
      </c>
      <c r="H507" s="3" t="s">
        <v>18</v>
      </c>
      <c r="I507" s="3" t="s">
        <v>19</v>
      </c>
      <c r="J507" s="3" t="s">
        <v>19</v>
      </c>
      <c r="K507" s="3" t="s">
        <v>20</v>
      </c>
      <c r="L507" s="3">
        <v>28.21</v>
      </c>
      <c r="M507" s="3" t="s">
        <v>21</v>
      </c>
    </row>
    <row r="508">
      <c r="A508" s="3">
        <v>222269.0</v>
      </c>
      <c r="B508" s="3" t="s">
        <v>1296</v>
      </c>
      <c r="C508" s="3" t="b">
        <v>1</v>
      </c>
      <c r="D508" s="3" t="b">
        <v>1</v>
      </c>
      <c r="E508" s="3" t="s">
        <v>1297</v>
      </c>
      <c r="F508" s="3" t="s">
        <v>1298</v>
      </c>
      <c r="G508" s="4">
        <f>+251911865501</f>
        <v>251911865501</v>
      </c>
      <c r="H508" s="3" t="s">
        <v>18</v>
      </c>
      <c r="I508" s="3" t="s">
        <v>19</v>
      </c>
      <c r="J508" s="3" t="s">
        <v>19</v>
      </c>
      <c r="K508" s="3" t="s">
        <v>25</v>
      </c>
      <c r="L508" s="3">
        <v>33.03</v>
      </c>
      <c r="M508" s="3" t="s">
        <v>21</v>
      </c>
      <c r="O508" s="3">
        <v>5185169.0</v>
      </c>
    </row>
    <row r="509">
      <c r="A509" s="3">
        <v>711851.0</v>
      </c>
      <c r="B509" s="3" t="s">
        <v>1299</v>
      </c>
      <c r="C509" s="3" t="b">
        <v>1</v>
      </c>
      <c r="D509" s="3" t="b">
        <v>1</v>
      </c>
      <c r="E509" s="3" t="s">
        <v>1300</v>
      </c>
      <c r="F509" s="3" t="s">
        <v>1301</v>
      </c>
      <c r="G509" s="4">
        <f>+251913957258</f>
        <v>251913957258</v>
      </c>
      <c r="H509" s="3" t="s">
        <v>18</v>
      </c>
      <c r="I509" s="3" t="s">
        <v>19</v>
      </c>
      <c r="J509" s="3" t="s">
        <v>19</v>
      </c>
      <c r="K509" s="3" t="s">
        <v>25</v>
      </c>
      <c r="L509" s="3">
        <v>32.19</v>
      </c>
      <c r="M509" s="3" t="s">
        <v>21</v>
      </c>
      <c r="O509" s="3">
        <v>2.9517034E7</v>
      </c>
    </row>
    <row r="510">
      <c r="A510" s="3">
        <v>2342977.0</v>
      </c>
      <c r="B510" s="3" t="s">
        <v>1302</v>
      </c>
      <c r="C510" s="3" t="b">
        <v>1</v>
      </c>
      <c r="D510" s="3" t="b">
        <v>1</v>
      </c>
      <c r="E510" s="3" t="s">
        <v>1303</v>
      </c>
      <c r="F510" s="3" t="s">
        <v>1304</v>
      </c>
      <c r="G510" s="4">
        <f>+251991320665</f>
        <v>251991320665</v>
      </c>
      <c r="H510" s="3" t="s">
        <v>18</v>
      </c>
      <c r="I510" s="3" t="s">
        <v>19</v>
      </c>
      <c r="J510" s="3" t="s">
        <v>19</v>
      </c>
      <c r="K510" s="3" t="s">
        <v>20</v>
      </c>
      <c r="L510" s="3">
        <v>18.73</v>
      </c>
      <c r="M510" s="3" t="s">
        <v>21</v>
      </c>
      <c r="O510" s="3">
        <v>3.8439146982E10</v>
      </c>
    </row>
    <row r="511">
      <c r="A511" s="3">
        <v>1699162.0</v>
      </c>
      <c r="B511" s="3" t="s">
        <v>1305</v>
      </c>
      <c r="C511" s="3" t="b">
        <v>1</v>
      </c>
      <c r="D511" s="3" t="b">
        <v>1</v>
      </c>
      <c r="E511" s="3" t="s">
        <v>1306</v>
      </c>
      <c r="F511" s="3" t="s">
        <v>1307</v>
      </c>
      <c r="G511" s="4">
        <f>+251900837479</f>
        <v>251900837479</v>
      </c>
      <c r="H511" s="3" t="s">
        <v>18</v>
      </c>
      <c r="I511" s="3" t="s">
        <v>19</v>
      </c>
      <c r="J511" s="3" t="s">
        <v>19</v>
      </c>
      <c r="K511" s="3" t="s">
        <v>25</v>
      </c>
      <c r="L511" s="3">
        <v>24.68</v>
      </c>
      <c r="M511" s="3" t="s">
        <v>21</v>
      </c>
      <c r="O511" s="3">
        <v>2.1963134196E10</v>
      </c>
    </row>
    <row r="512">
      <c r="A512" s="3">
        <v>2547678.0</v>
      </c>
      <c r="B512" s="3" t="s">
        <v>1308</v>
      </c>
      <c r="C512" s="3" t="b">
        <v>1</v>
      </c>
      <c r="D512" s="3" t="b">
        <v>1</v>
      </c>
      <c r="E512" s="3" t="s">
        <v>1309</v>
      </c>
      <c r="F512" s="3" t="s">
        <v>1310</v>
      </c>
      <c r="G512" s="4">
        <f>+251922543579</f>
        <v>251922543579</v>
      </c>
      <c r="H512" s="3" t="s">
        <v>18</v>
      </c>
      <c r="I512" s="3" t="s">
        <v>19</v>
      </c>
      <c r="J512" s="3" t="s">
        <v>19</v>
      </c>
      <c r="K512" s="3" t="s">
        <v>25</v>
      </c>
      <c r="L512" s="3">
        <v>25.71</v>
      </c>
      <c r="M512" s="3" t="s">
        <v>21</v>
      </c>
      <c r="O512" s="3">
        <v>8846119.0</v>
      </c>
    </row>
    <row r="513">
      <c r="A513" s="3">
        <v>2548367.0</v>
      </c>
      <c r="B513" s="3" t="s">
        <v>1311</v>
      </c>
      <c r="C513" s="3" t="b">
        <v>1</v>
      </c>
      <c r="D513" s="3" t="b">
        <v>1</v>
      </c>
      <c r="E513" s="3" t="s">
        <v>195</v>
      </c>
      <c r="F513" s="3" t="s">
        <v>1312</v>
      </c>
      <c r="G513" s="4">
        <f>+251924463537</f>
        <v>251924463537</v>
      </c>
      <c r="H513" s="3" t="s">
        <v>18</v>
      </c>
      <c r="I513" s="3" t="s">
        <v>19</v>
      </c>
      <c r="J513" s="3" t="s">
        <v>19</v>
      </c>
      <c r="K513" s="3" t="s">
        <v>20</v>
      </c>
      <c r="L513" s="3">
        <v>19.84</v>
      </c>
      <c r="M513" s="3" t="s">
        <v>21</v>
      </c>
      <c r="O513" s="3">
        <v>1.64161759428E11</v>
      </c>
    </row>
    <row r="514">
      <c r="A514" s="3">
        <v>87849.0</v>
      </c>
      <c r="B514" s="3" t="s">
        <v>1313</v>
      </c>
      <c r="C514" s="3" t="b">
        <v>1</v>
      </c>
      <c r="D514" s="3" t="b">
        <v>1</v>
      </c>
      <c r="E514" s="3" t="s">
        <v>327</v>
      </c>
      <c r="F514" s="3" t="s">
        <v>1314</v>
      </c>
      <c r="G514" s="4">
        <f>+251920290846</f>
        <v>251920290846</v>
      </c>
      <c r="H514" s="3" t="s">
        <v>18</v>
      </c>
      <c r="I514" s="3" t="s">
        <v>19</v>
      </c>
      <c r="J514" s="3" t="s">
        <v>19</v>
      </c>
      <c r="K514" s="3" t="s">
        <v>25</v>
      </c>
      <c r="L514" s="3">
        <v>29.79</v>
      </c>
      <c r="M514" s="3" t="s">
        <v>21</v>
      </c>
      <c r="O514" s="3">
        <v>1223363.0</v>
      </c>
    </row>
    <row r="515">
      <c r="A515" s="3">
        <v>2549383.0</v>
      </c>
      <c r="B515" s="3" t="s">
        <v>1315</v>
      </c>
      <c r="C515" s="3" t="b">
        <v>1</v>
      </c>
      <c r="D515" s="3" t="b">
        <v>1</v>
      </c>
      <c r="E515" s="3" t="s">
        <v>1316</v>
      </c>
      <c r="F515" s="3" t="s">
        <v>1317</v>
      </c>
      <c r="G515" s="4">
        <f>+251965676507</f>
        <v>251965676507</v>
      </c>
      <c r="H515" s="3" t="s">
        <v>18</v>
      </c>
      <c r="I515" s="3" t="s">
        <v>19</v>
      </c>
      <c r="J515" s="3" t="s">
        <v>19</v>
      </c>
      <c r="K515" s="3" t="s">
        <v>25</v>
      </c>
      <c r="L515" s="3">
        <v>34.59</v>
      </c>
      <c r="M515" s="3" t="s">
        <v>21</v>
      </c>
      <c r="O515" s="3">
        <v>2.3559047E7</v>
      </c>
    </row>
    <row r="516">
      <c r="A516" s="3">
        <v>2550793.0</v>
      </c>
      <c r="B516" s="3" t="s">
        <v>1318</v>
      </c>
      <c r="C516" s="3" t="b">
        <v>1</v>
      </c>
      <c r="D516" s="3" t="b">
        <v>1</v>
      </c>
      <c r="E516" s="3" t="s">
        <v>1319</v>
      </c>
      <c r="F516" s="3" t="s">
        <v>596</v>
      </c>
      <c r="G516" s="4">
        <f>+251920908793</f>
        <v>251920908793</v>
      </c>
      <c r="H516" s="3" t="s">
        <v>346</v>
      </c>
      <c r="I516" s="3" t="s">
        <v>19</v>
      </c>
      <c r="J516" s="3" t="s">
        <v>19</v>
      </c>
      <c r="K516" s="3" t="s">
        <v>25</v>
      </c>
      <c r="L516" s="3">
        <v>29.9</v>
      </c>
      <c r="M516" s="3" t="s">
        <v>21</v>
      </c>
      <c r="O516" s="3">
        <v>1.65343032555E11</v>
      </c>
    </row>
    <row r="517">
      <c r="A517" s="3">
        <v>1465904.0</v>
      </c>
      <c r="B517" s="3" t="s">
        <v>1320</v>
      </c>
      <c r="C517" s="3" t="b">
        <v>1</v>
      </c>
      <c r="D517" s="3" t="b">
        <v>1</v>
      </c>
      <c r="E517" s="3" t="s">
        <v>1321</v>
      </c>
      <c r="F517" s="3" t="s">
        <v>409</v>
      </c>
      <c r="G517" s="4">
        <f>+251968739617</f>
        <v>251968739617</v>
      </c>
      <c r="H517" s="3" t="s">
        <v>18</v>
      </c>
      <c r="I517" s="3" t="s">
        <v>19</v>
      </c>
      <c r="J517" s="3" t="s">
        <v>19</v>
      </c>
      <c r="K517" s="3" t="s">
        <v>25</v>
      </c>
      <c r="L517" s="3">
        <v>28.71</v>
      </c>
      <c r="M517" s="3" t="s">
        <v>21</v>
      </c>
      <c r="O517" s="3">
        <v>1096821.0</v>
      </c>
    </row>
    <row r="518">
      <c r="A518" s="3">
        <v>566343.0</v>
      </c>
      <c r="B518" s="3" t="s">
        <v>1322</v>
      </c>
      <c r="C518" s="3" t="b">
        <v>1</v>
      </c>
      <c r="D518" s="3" t="b">
        <v>1</v>
      </c>
      <c r="E518" s="3" t="s">
        <v>137</v>
      </c>
      <c r="F518" s="3" t="s">
        <v>1323</v>
      </c>
      <c r="G518" s="4">
        <f>+251920051199</f>
        <v>251920051199</v>
      </c>
      <c r="H518" s="3" t="s">
        <v>18</v>
      </c>
      <c r="I518" s="3" t="s">
        <v>19</v>
      </c>
      <c r="J518" s="3" t="s">
        <v>19</v>
      </c>
      <c r="K518" s="3" t="s">
        <v>25</v>
      </c>
      <c r="L518" s="3">
        <v>23.55</v>
      </c>
      <c r="M518" s="3" t="s">
        <v>21</v>
      </c>
      <c r="O518" s="3">
        <v>2.8774244E7</v>
      </c>
    </row>
    <row r="519">
      <c r="A519" s="3">
        <v>2556079.0</v>
      </c>
      <c r="B519" s="3" t="s">
        <v>1324</v>
      </c>
      <c r="C519" s="3" t="b">
        <v>1</v>
      </c>
      <c r="D519" s="3" t="b">
        <v>1</v>
      </c>
      <c r="E519" s="3" t="s">
        <v>1325</v>
      </c>
      <c r="F519" s="3" t="s">
        <v>1326</v>
      </c>
      <c r="G519" s="4">
        <f>+251992708389</f>
        <v>251992708389</v>
      </c>
      <c r="H519" s="3" t="s">
        <v>29</v>
      </c>
      <c r="I519" s="3" t="s">
        <v>19</v>
      </c>
      <c r="J519" s="3" t="s">
        <v>19</v>
      </c>
      <c r="K519" s="3" t="s">
        <v>25</v>
      </c>
      <c r="L519" s="3">
        <v>29.16</v>
      </c>
      <c r="M519" s="3" t="s">
        <v>21</v>
      </c>
    </row>
    <row r="520">
      <c r="A520" s="3">
        <v>2557799.0</v>
      </c>
      <c r="B520" s="3" t="s">
        <v>1327</v>
      </c>
      <c r="C520" s="3" t="b">
        <v>1</v>
      </c>
      <c r="D520" s="3" t="b">
        <v>1</v>
      </c>
      <c r="E520" s="3" t="s">
        <v>978</v>
      </c>
      <c r="F520" s="3" t="s">
        <v>918</v>
      </c>
      <c r="G520" s="4">
        <f>+251903757075</f>
        <v>251903757075</v>
      </c>
      <c r="H520" s="3" t="s">
        <v>18</v>
      </c>
      <c r="I520" s="3" t="s">
        <v>19</v>
      </c>
      <c r="J520" s="3" t="s">
        <v>19</v>
      </c>
      <c r="K520" s="3" t="s">
        <v>20</v>
      </c>
      <c r="L520" s="3">
        <v>20.05</v>
      </c>
      <c r="M520" s="3" t="s">
        <v>21</v>
      </c>
      <c r="O520" s="3">
        <v>1.67574685935E11</v>
      </c>
    </row>
    <row r="521">
      <c r="A521" s="3">
        <v>1700124.0</v>
      </c>
      <c r="B521" s="3" t="s">
        <v>1328</v>
      </c>
      <c r="C521" s="3" t="b">
        <v>1</v>
      </c>
      <c r="D521" s="3" t="b">
        <v>1</v>
      </c>
      <c r="E521" s="3" t="s">
        <v>111</v>
      </c>
      <c r="F521" s="3" t="s">
        <v>1329</v>
      </c>
      <c r="G521" s="4">
        <f>+251925833201</f>
        <v>251925833201</v>
      </c>
      <c r="H521" s="3" t="s">
        <v>18</v>
      </c>
      <c r="I521" s="3" t="s">
        <v>19</v>
      </c>
      <c r="J521" s="3" t="s">
        <v>19</v>
      </c>
      <c r="K521" s="3" t="s">
        <v>25</v>
      </c>
      <c r="L521" s="3">
        <v>24.82</v>
      </c>
      <c r="M521" s="3" t="s">
        <v>21</v>
      </c>
      <c r="O521" s="3">
        <v>8833071.0</v>
      </c>
    </row>
    <row r="522">
      <c r="A522" s="3">
        <v>2562678.0</v>
      </c>
      <c r="B522" s="3" t="s">
        <v>1330</v>
      </c>
      <c r="C522" s="3" t="b">
        <v>1</v>
      </c>
      <c r="D522" s="3" t="b">
        <v>1</v>
      </c>
      <c r="E522" s="3" t="s">
        <v>1331</v>
      </c>
      <c r="F522" s="3" t="s">
        <v>559</v>
      </c>
      <c r="G522" s="4">
        <f>+251966006114</f>
        <v>251966006114</v>
      </c>
      <c r="H522" s="3" t="s">
        <v>18</v>
      </c>
      <c r="I522" s="3" t="s">
        <v>19</v>
      </c>
      <c r="J522" s="3" t="s">
        <v>19</v>
      </c>
      <c r="K522" s="3" t="s">
        <v>20</v>
      </c>
      <c r="L522" s="3">
        <v>31.75</v>
      </c>
      <c r="M522" s="3" t="s">
        <v>21</v>
      </c>
      <c r="O522" s="3">
        <v>1208131.0</v>
      </c>
    </row>
    <row r="523">
      <c r="A523" s="3">
        <v>2562990.0</v>
      </c>
      <c r="B523" s="3" t="s">
        <v>1332</v>
      </c>
      <c r="C523" s="3" t="b">
        <v>1</v>
      </c>
      <c r="D523" s="3" t="b">
        <v>1</v>
      </c>
      <c r="E523" s="3" t="s">
        <v>1114</v>
      </c>
      <c r="F523" s="3" t="s">
        <v>1333</v>
      </c>
      <c r="G523" s="4">
        <f>+251948040868</f>
        <v>251948040868</v>
      </c>
      <c r="H523" s="3" t="s">
        <v>18</v>
      </c>
      <c r="I523" s="3" t="s">
        <v>19</v>
      </c>
      <c r="J523" s="3" t="s">
        <v>19</v>
      </c>
      <c r="K523" s="3" t="s">
        <v>25</v>
      </c>
      <c r="L523" s="3">
        <v>25.33</v>
      </c>
      <c r="M523" s="3" t="s">
        <v>21</v>
      </c>
    </row>
    <row r="524">
      <c r="A524" s="3">
        <v>2347531.0</v>
      </c>
      <c r="B524" s="3" t="s">
        <v>1334</v>
      </c>
      <c r="C524" s="3" t="b">
        <v>1</v>
      </c>
      <c r="D524" s="3" t="b">
        <v>1</v>
      </c>
      <c r="E524" s="3" t="s">
        <v>412</v>
      </c>
      <c r="F524" s="3" t="s">
        <v>1335</v>
      </c>
      <c r="G524" s="4">
        <f>+251928690569</f>
        <v>251928690569</v>
      </c>
      <c r="H524" s="3" t="s">
        <v>18</v>
      </c>
      <c r="I524" s="3" t="s">
        <v>19</v>
      </c>
      <c r="J524" s="3" t="s">
        <v>19</v>
      </c>
      <c r="K524" s="3" t="s">
        <v>25</v>
      </c>
      <c r="L524" s="3">
        <v>33.11</v>
      </c>
      <c r="M524" s="3" t="s">
        <v>21</v>
      </c>
      <c r="O524" s="3">
        <v>3.8810762207E10</v>
      </c>
    </row>
    <row r="525">
      <c r="A525" s="3">
        <v>2564291.0</v>
      </c>
      <c r="B525" s="3" t="s">
        <v>1336</v>
      </c>
      <c r="C525" s="3" t="b">
        <v>1</v>
      </c>
      <c r="D525" s="3" t="b">
        <v>1</v>
      </c>
      <c r="E525" s="3" t="s">
        <v>1337</v>
      </c>
      <c r="F525" s="3" t="s">
        <v>409</v>
      </c>
      <c r="G525" s="4">
        <f>+251937720062</f>
        <v>251937720062</v>
      </c>
      <c r="H525" s="3" t="s">
        <v>18</v>
      </c>
      <c r="I525" s="3" t="s">
        <v>19</v>
      </c>
      <c r="J525" s="3" t="s">
        <v>19</v>
      </c>
      <c r="K525" s="3" t="s">
        <v>25</v>
      </c>
      <c r="L525" s="3">
        <v>23.46</v>
      </c>
      <c r="M525" s="3" t="s">
        <v>21</v>
      </c>
      <c r="O525" s="3">
        <v>1.69937553617E11</v>
      </c>
    </row>
    <row r="526">
      <c r="A526" s="3">
        <v>2415081.0</v>
      </c>
      <c r="B526" s="3" t="s">
        <v>1338</v>
      </c>
      <c r="C526" s="3" t="b">
        <v>1</v>
      </c>
      <c r="D526" s="3" t="b">
        <v>1</v>
      </c>
      <c r="E526" s="3" t="s">
        <v>1339</v>
      </c>
      <c r="F526" s="3" t="s">
        <v>422</v>
      </c>
      <c r="G526" s="4">
        <f>+251923713484</f>
        <v>251923713484</v>
      </c>
      <c r="H526" s="3" t="s">
        <v>18</v>
      </c>
      <c r="I526" s="3" t="s">
        <v>19</v>
      </c>
      <c r="J526" s="3" t="s">
        <v>19</v>
      </c>
      <c r="K526" s="3" t="s">
        <v>25</v>
      </c>
      <c r="L526" s="3">
        <v>22.76</v>
      </c>
      <c r="M526" s="3" t="s">
        <v>21</v>
      </c>
      <c r="O526" s="3">
        <v>7080925.0</v>
      </c>
    </row>
    <row r="527">
      <c r="A527" s="3">
        <v>2085271.0</v>
      </c>
      <c r="B527" s="3" t="s">
        <v>1340</v>
      </c>
      <c r="C527" s="3" t="b">
        <v>1</v>
      </c>
      <c r="D527" s="3" t="b">
        <v>1</v>
      </c>
      <c r="E527" s="3" t="s">
        <v>689</v>
      </c>
      <c r="F527" s="3" t="s">
        <v>409</v>
      </c>
      <c r="G527" s="4">
        <f>+251976285616</f>
        <v>251976285616</v>
      </c>
      <c r="H527" s="3" t="s">
        <v>18</v>
      </c>
      <c r="I527" s="3" t="s">
        <v>19</v>
      </c>
      <c r="J527" s="3" t="s">
        <v>19</v>
      </c>
      <c r="K527" s="3" t="s">
        <v>20</v>
      </c>
      <c r="L527" s="3">
        <v>21.74</v>
      </c>
      <c r="M527" s="3" t="s">
        <v>21</v>
      </c>
      <c r="O527" s="3">
        <v>3.0452073956E10</v>
      </c>
    </row>
    <row r="528">
      <c r="A528" s="3">
        <v>1472548.0</v>
      </c>
      <c r="B528" s="3" t="s">
        <v>1341</v>
      </c>
      <c r="C528" s="3" t="b">
        <v>1</v>
      </c>
      <c r="D528" s="3" t="b">
        <v>1</v>
      </c>
      <c r="E528" s="3" t="s">
        <v>1342</v>
      </c>
      <c r="F528" s="3" t="s">
        <v>196</v>
      </c>
      <c r="G528" s="4">
        <f>+251940102089</f>
        <v>251940102089</v>
      </c>
      <c r="H528" s="3" t="s">
        <v>18</v>
      </c>
      <c r="I528" s="3" t="s">
        <v>19</v>
      </c>
      <c r="J528" s="3" t="s">
        <v>19</v>
      </c>
      <c r="K528" s="3" t="s">
        <v>25</v>
      </c>
      <c r="L528" s="3">
        <v>27.04</v>
      </c>
      <c r="M528" s="3" t="s">
        <v>21</v>
      </c>
      <c r="O528" s="3">
        <v>1.5545918159E10</v>
      </c>
    </row>
    <row r="529">
      <c r="A529" s="3">
        <v>2569190.0</v>
      </c>
      <c r="B529" s="3" t="s">
        <v>1343</v>
      </c>
      <c r="C529" s="3" t="b">
        <v>1</v>
      </c>
      <c r="D529" s="3" t="b">
        <v>1</v>
      </c>
      <c r="E529" s="3" t="s">
        <v>16</v>
      </c>
      <c r="F529" s="3" t="s">
        <v>446</v>
      </c>
      <c r="G529" s="4">
        <f>+251951744805</f>
        <v>251951744805</v>
      </c>
      <c r="H529" s="3" t="s">
        <v>18</v>
      </c>
      <c r="I529" s="3" t="s">
        <v>19</v>
      </c>
      <c r="J529" s="3" t="s">
        <v>19</v>
      </c>
      <c r="K529" s="3" t="s">
        <v>20</v>
      </c>
      <c r="L529" s="3">
        <v>22.31</v>
      </c>
      <c r="M529" s="3" t="s">
        <v>21</v>
      </c>
      <c r="O529" s="3">
        <v>1.7163800186E11</v>
      </c>
    </row>
    <row r="530">
      <c r="A530" s="3">
        <v>2569206.0</v>
      </c>
      <c r="B530" s="3" t="s">
        <v>1344</v>
      </c>
      <c r="C530" s="3" t="b">
        <v>1</v>
      </c>
      <c r="D530" s="3" t="b">
        <v>1</v>
      </c>
      <c r="E530" s="3" t="s">
        <v>140</v>
      </c>
      <c r="F530" s="3" t="s">
        <v>1345</v>
      </c>
      <c r="G530" s="4">
        <f>+251900167773</f>
        <v>251900167773</v>
      </c>
      <c r="H530" s="3" t="s">
        <v>18</v>
      </c>
      <c r="I530" s="3" t="s">
        <v>19</v>
      </c>
      <c r="J530" s="3" t="s">
        <v>19</v>
      </c>
      <c r="K530" s="3" t="s">
        <v>25</v>
      </c>
      <c r="L530" s="3">
        <v>21.94</v>
      </c>
      <c r="M530" s="3" t="s">
        <v>21</v>
      </c>
    </row>
    <row r="531">
      <c r="A531" s="3">
        <v>2059801.0</v>
      </c>
      <c r="B531" s="3" t="s">
        <v>1346</v>
      </c>
      <c r="C531" s="3" t="b">
        <v>1</v>
      </c>
      <c r="D531" s="3" t="b">
        <v>1</v>
      </c>
      <c r="E531" s="3" t="s">
        <v>1347</v>
      </c>
      <c r="F531" s="3" t="s">
        <v>1348</v>
      </c>
      <c r="G531" s="4">
        <f>+251968602948</f>
        <v>251968602948</v>
      </c>
      <c r="H531" s="3" t="s">
        <v>18</v>
      </c>
      <c r="I531" s="3" t="s">
        <v>19</v>
      </c>
      <c r="J531" s="3" t="s">
        <v>19</v>
      </c>
      <c r="K531" s="3" t="s">
        <v>20</v>
      </c>
      <c r="L531" s="3">
        <v>20.42</v>
      </c>
      <c r="M531" s="3" t="s">
        <v>21</v>
      </c>
      <c r="O531" s="3">
        <v>2.9825195498E10</v>
      </c>
    </row>
    <row r="532">
      <c r="A532" s="3">
        <v>2569792.0</v>
      </c>
      <c r="B532" s="3" t="s">
        <v>1349</v>
      </c>
      <c r="C532" s="3" t="b">
        <v>1</v>
      </c>
      <c r="D532" s="3" t="b">
        <v>1</v>
      </c>
      <c r="E532" s="3" t="s">
        <v>1350</v>
      </c>
      <c r="F532" s="3" t="s">
        <v>1351</v>
      </c>
      <c r="G532" s="4">
        <f>+251978901699</f>
        <v>251978901699</v>
      </c>
      <c r="H532" s="3" t="s">
        <v>18</v>
      </c>
      <c r="I532" s="3" t="s">
        <v>19</v>
      </c>
      <c r="J532" s="3" t="s">
        <v>19</v>
      </c>
      <c r="K532" s="3" t="s">
        <v>25</v>
      </c>
      <c r="L532" s="3">
        <v>18.37</v>
      </c>
      <c r="M532" s="3" t="s">
        <v>21</v>
      </c>
    </row>
    <row r="533">
      <c r="A533" s="3">
        <v>254369.0</v>
      </c>
      <c r="B533" s="3" t="s">
        <v>1352</v>
      </c>
      <c r="C533" s="3" t="b">
        <v>1</v>
      </c>
      <c r="D533" s="3" t="b">
        <v>1</v>
      </c>
      <c r="E533" s="3" t="s">
        <v>1353</v>
      </c>
      <c r="F533" s="3" t="s">
        <v>1354</v>
      </c>
      <c r="G533" s="4">
        <f>+251993535516</f>
        <v>251993535516</v>
      </c>
      <c r="H533" s="3" t="s">
        <v>18</v>
      </c>
      <c r="I533" s="3" t="s">
        <v>19</v>
      </c>
      <c r="J533" s="3" t="s">
        <v>19</v>
      </c>
      <c r="K533" s="3" t="s">
        <v>25</v>
      </c>
      <c r="L533" s="3">
        <v>23.81</v>
      </c>
      <c r="M533" s="3" t="s">
        <v>21</v>
      </c>
      <c r="O533" s="3">
        <v>2.7003068E7</v>
      </c>
    </row>
    <row r="534">
      <c r="A534" s="3">
        <v>177841.0</v>
      </c>
      <c r="B534" s="3" t="s">
        <v>1355</v>
      </c>
      <c r="C534" s="3" t="b">
        <v>1</v>
      </c>
      <c r="D534" s="3" t="b">
        <v>1</v>
      </c>
      <c r="E534" s="3" t="s">
        <v>1356</v>
      </c>
      <c r="F534" s="3" t="s">
        <v>96</v>
      </c>
      <c r="G534" s="4">
        <f>+12342132134</f>
        <v>12342132134</v>
      </c>
      <c r="H534" s="3" t="s">
        <v>18</v>
      </c>
      <c r="I534" s="3" t="s">
        <v>19</v>
      </c>
      <c r="J534" s="3" t="s">
        <v>19</v>
      </c>
      <c r="K534" s="3" t="s">
        <v>20</v>
      </c>
      <c r="L534" s="3">
        <v>30.32</v>
      </c>
      <c r="M534" s="3" t="s">
        <v>21</v>
      </c>
      <c r="O534" s="3">
        <v>2.6503787E7</v>
      </c>
    </row>
    <row r="535">
      <c r="A535" s="3">
        <v>2570060.0</v>
      </c>
      <c r="B535" s="3" t="s">
        <v>1357</v>
      </c>
      <c r="C535" s="3" t="b">
        <v>1</v>
      </c>
      <c r="D535" s="3" t="b">
        <v>1</v>
      </c>
      <c r="E535" s="3" t="s">
        <v>1358</v>
      </c>
      <c r="F535" s="3" t="s">
        <v>1359</v>
      </c>
      <c r="G535" s="4">
        <f>+251956881171</f>
        <v>251956881171</v>
      </c>
      <c r="H535" s="3" t="s">
        <v>18</v>
      </c>
      <c r="I535" s="3" t="s">
        <v>19</v>
      </c>
      <c r="J535" s="3" t="s">
        <v>19</v>
      </c>
      <c r="K535" s="3" t="s">
        <v>20</v>
      </c>
      <c r="L535" s="3">
        <v>18.8</v>
      </c>
      <c r="M535" s="3" t="s">
        <v>21</v>
      </c>
    </row>
    <row r="536">
      <c r="A536" s="3">
        <v>2571785.0</v>
      </c>
      <c r="B536" s="3" t="s">
        <v>1360</v>
      </c>
      <c r="C536" s="3" t="b">
        <v>1</v>
      </c>
      <c r="D536" s="3" t="b">
        <v>1</v>
      </c>
      <c r="E536" s="3" t="s">
        <v>420</v>
      </c>
      <c r="F536" s="3" t="s">
        <v>1361</v>
      </c>
      <c r="G536" s="4">
        <f>+251986589983</f>
        <v>251986589983</v>
      </c>
      <c r="H536" s="3" t="s">
        <v>18</v>
      </c>
      <c r="I536" s="3" t="s">
        <v>19</v>
      </c>
      <c r="J536" s="3" t="s">
        <v>19</v>
      </c>
      <c r="K536" s="3" t="s">
        <v>25</v>
      </c>
      <c r="L536" s="3">
        <v>25.02</v>
      </c>
      <c r="M536" s="3" t="s">
        <v>21</v>
      </c>
      <c r="O536" s="3">
        <v>8742494.0</v>
      </c>
    </row>
    <row r="537">
      <c r="A537" s="3">
        <v>2571805.0</v>
      </c>
      <c r="B537" s="3" t="s">
        <v>1362</v>
      </c>
      <c r="C537" s="3" t="b">
        <v>1</v>
      </c>
      <c r="D537" s="3" t="b">
        <v>1</v>
      </c>
      <c r="E537" s="3" t="s">
        <v>1363</v>
      </c>
      <c r="F537" s="3" t="s">
        <v>1364</v>
      </c>
      <c r="G537" s="4">
        <f>+251917520934</f>
        <v>251917520934</v>
      </c>
      <c r="H537" s="3" t="s">
        <v>18</v>
      </c>
      <c r="I537" s="3" t="s">
        <v>19</v>
      </c>
      <c r="J537" s="3" t="s">
        <v>19</v>
      </c>
      <c r="K537" s="3" t="s">
        <v>25</v>
      </c>
      <c r="L537" s="3">
        <v>19.97</v>
      </c>
      <c r="M537" s="3" t="s">
        <v>21</v>
      </c>
    </row>
    <row r="538">
      <c r="A538" s="3">
        <v>2571792.0</v>
      </c>
      <c r="B538" s="3" t="s">
        <v>1365</v>
      </c>
      <c r="C538" s="3" t="b">
        <v>1</v>
      </c>
      <c r="D538" s="3" t="b">
        <v>1</v>
      </c>
      <c r="E538" s="3" t="s">
        <v>553</v>
      </c>
      <c r="F538" s="3" t="s">
        <v>1366</v>
      </c>
      <c r="G538" s="4">
        <f>+251936167754</f>
        <v>251936167754</v>
      </c>
      <c r="H538" s="3" t="s">
        <v>18</v>
      </c>
      <c r="I538" s="3" t="s">
        <v>19</v>
      </c>
      <c r="J538" s="3" t="s">
        <v>19</v>
      </c>
      <c r="K538" s="3" t="s">
        <v>20</v>
      </c>
      <c r="L538" s="3">
        <v>18.32</v>
      </c>
      <c r="M538" s="3" t="s">
        <v>21</v>
      </c>
    </row>
    <row r="539">
      <c r="A539" s="3">
        <v>1855453.0</v>
      </c>
      <c r="B539" s="3" t="s">
        <v>1367</v>
      </c>
      <c r="C539" s="3" t="b">
        <v>1</v>
      </c>
      <c r="D539" s="3" t="b">
        <v>1</v>
      </c>
      <c r="E539" s="3" t="s">
        <v>46</v>
      </c>
      <c r="F539" s="3" t="s">
        <v>1368</v>
      </c>
      <c r="G539" s="4">
        <f>+251928680723</f>
        <v>251928680723</v>
      </c>
      <c r="H539" s="3" t="s">
        <v>18</v>
      </c>
      <c r="I539" s="3" t="s">
        <v>19</v>
      </c>
      <c r="J539" s="3" t="s">
        <v>19</v>
      </c>
      <c r="K539" s="3" t="s">
        <v>25</v>
      </c>
      <c r="L539" s="3">
        <v>29.0</v>
      </c>
      <c r="M539" s="3" t="s">
        <v>21</v>
      </c>
      <c r="O539" s="3">
        <v>2.5419910621E10</v>
      </c>
    </row>
    <row r="540">
      <c r="A540" s="3">
        <v>2572002.0</v>
      </c>
      <c r="B540" s="3" t="s">
        <v>1369</v>
      </c>
      <c r="C540" s="3" t="b">
        <v>1</v>
      </c>
      <c r="D540" s="3" t="b">
        <v>1</v>
      </c>
      <c r="E540" s="3" t="s">
        <v>1370</v>
      </c>
      <c r="F540" s="3" t="s">
        <v>324</v>
      </c>
      <c r="G540" s="4">
        <f>+251995983523</f>
        <v>251995983523</v>
      </c>
      <c r="H540" s="3" t="s">
        <v>18</v>
      </c>
      <c r="I540" s="3" t="s">
        <v>19</v>
      </c>
      <c r="J540" s="3" t="s">
        <v>19</v>
      </c>
      <c r="K540" s="3" t="s">
        <v>25</v>
      </c>
      <c r="L540" s="3">
        <v>27.06</v>
      </c>
      <c r="M540" s="3" t="s">
        <v>21</v>
      </c>
      <c r="O540" s="3">
        <v>1.72522121424E11</v>
      </c>
    </row>
    <row r="541">
      <c r="A541" s="3">
        <v>2572022.0</v>
      </c>
      <c r="B541" s="3" t="s">
        <v>1371</v>
      </c>
      <c r="C541" s="3" t="b">
        <v>1</v>
      </c>
      <c r="D541" s="3" t="b">
        <v>1</v>
      </c>
      <c r="E541" s="3" t="s">
        <v>1372</v>
      </c>
      <c r="F541" s="3" t="s">
        <v>724</v>
      </c>
      <c r="G541" s="4">
        <f>+251915460792</f>
        <v>251915460792</v>
      </c>
      <c r="H541" s="3" t="s">
        <v>18</v>
      </c>
      <c r="I541" s="3" t="s">
        <v>19</v>
      </c>
      <c r="J541" s="3" t="s">
        <v>19</v>
      </c>
      <c r="K541" s="3" t="s">
        <v>20</v>
      </c>
      <c r="L541" s="3">
        <v>21.6</v>
      </c>
      <c r="M541" s="3" t="s">
        <v>21</v>
      </c>
    </row>
    <row r="542">
      <c r="A542" s="3">
        <v>382040.0</v>
      </c>
      <c r="B542" s="3" t="s">
        <v>1373</v>
      </c>
      <c r="C542" s="3" t="b">
        <v>1</v>
      </c>
      <c r="D542" s="3" t="b">
        <v>1</v>
      </c>
      <c r="E542" s="3" t="s">
        <v>1374</v>
      </c>
      <c r="F542" s="3" t="s">
        <v>538</v>
      </c>
      <c r="G542" s="4">
        <f>+251952040249</f>
        <v>251952040249</v>
      </c>
      <c r="H542" s="3" t="s">
        <v>18</v>
      </c>
      <c r="I542" s="3" t="s">
        <v>19</v>
      </c>
      <c r="J542" s="3" t="s">
        <v>19</v>
      </c>
      <c r="K542" s="3" t="s">
        <v>20</v>
      </c>
      <c r="L542" s="3">
        <v>21.45</v>
      </c>
      <c r="M542" s="3" t="s">
        <v>21</v>
      </c>
      <c r="O542" s="3">
        <v>1875227.0</v>
      </c>
    </row>
    <row r="543">
      <c r="A543" s="3">
        <v>2572054.0</v>
      </c>
      <c r="B543" s="3" t="s">
        <v>1375</v>
      </c>
      <c r="C543" s="3" t="b">
        <v>1</v>
      </c>
      <c r="D543" s="3" t="b">
        <v>1</v>
      </c>
      <c r="E543" s="3" t="s">
        <v>1376</v>
      </c>
      <c r="F543" s="3" t="s">
        <v>76</v>
      </c>
      <c r="G543" s="4">
        <f>+251922902755</f>
        <v>251922902755</v>
      </c>
      <c r="H543" s="3" t="s">
        <v>18</v>
      </c>
      <c r="I543" s="3" t="s">
        <v>19</v>
      </c>
      <c r="J543" s="3" t="s">
        <v>19</v>
      </c>
      <c r="K543" s="3" t="s">
        <v>25</v>
      </c>
      <c r="L543" s="3">
        <v>21.59</v>
      </c>
      <c r="M543" s="3" t="s">
        <v>21</v>
      </c>
      <c r="O543" s="3">
        <v>1.72580321474E11</v>
      </c>
    </row>
    <row r="544">
      <c r="A544" s="3">
        <v>2572056.0</v>
      </c>
      <c r="B544" s="3" t="s">
        <v>1377</v>
      </c>
      <c r="C544" s="3" t="b">
        <v>1</v>
      </c>
      <c r="D544" s="3" t="b">
        <v>1</v>
      </c>
      <c r="E544" s="3" t="s">
        <v>220</v>
      </c>
      <c r="F544" s="3" t="s">
        <v>32</v>
      </c>
      <c r="G544" s="4">
        <f>+251967193180</f>
        <v>251967193180</v>
      </c>
      <c r="H544" s="3" t="s">
        <v>18</v>
      </c>
      <c r="I544" s="3" t="s">
        <v>19</v>
      </c>
      <c r="J544" s="3" t="s">
        <v>19</v>
      </c>
      <c r="K544" s="3" t="s">
        <v>20</v>
      </c>
      <c r="L544" s="3">
        <v>18.58</v>
      </c>
      <c r="M544" s="3" t="s">
        <v>21</v>
      </c>
    </row>
    <row r="545">
      <c r="A545" s="3">
        <v>2572226.0</v>
      </c>
      <c r="B545" s="3" t="s">
        <v>1378</v>
      </c>
      <c r="C545" s="3" t="b">
        <v>1</v>
      </c>
      <c r="D545" s="3" t="b">
        <v>1</v>
      </c>
      <c r="E545" s="3" t="s">
        <v>1379</v>
      </c>
      <c r="F545" s="3" t="s">
        <v>1380</v>
      </c>
      <c r="G545" s="4">
        <f>+251914220188</f>
        <v>251914220188</v>
      </c>
      <c r="H545" s="3" t="s">
        <v>18</v>
      </c>
      <c r="I545" s="3" t="s">
        <v>19</v>
      </c>
      <c r="J545" s="3" t="s">
        <v>19</v>
      </c>
      <c r="K545" s="3" t="s">
        <v>25</v>
      </c>
      <c r="L545" s="3">
        <v>27.81</v>
      </c>
      <c r="M545" s="3" t="s">
        <v>21</v>
      </c>
      <c r="O545" s="3">
        <v>8780647.0</v>
      </c>
    </row>
    <row r="546">
      <c r="A546" s="3">
        <v>2572245.0</v>
      </c>
      <c r="B546" s="3" t="s">
        <v>1381</v>
      </c>
      <c r="C546" s="3" t="b">
        <v>1</v>
      </c>
      <c r="D546" s="3" t="b">
        <v>1</v>
      </c>
      <c r="E546" s="3" t="s">
        <v>208</v>
      </c>
      <c r="F546" s="3" t="s">
        <v>27</v>
      </c>
      <c r="G546" s="4">
        <f>+251982240946</f>
        <v>251982240946</v>
      </c>
      <c r="H546" s="3" t="s">
        <v>18</v>
      </c>
      <c r="I546" s="3" t="s">
        <v>19</v>
      </c>
      <c r="J546" s="3" t="s">
        <v>19</v>
      </c>
      <c r="K546" s="3" t="s">
        <v>25</v>
      </c>
      <c r="L546" s="3">
        <v>18.75</v>
      </c>
      <c r="M546" s="3" t="s">
        <v>21</v>
      </c>
      <c r="O546" s="3">
        <v>1.71963494595E11</v>
      </c>
    </row>
    <row r="547">
      <c r="A547" s="3">
        <v>2572295.0</v>
      </c>
      <c r="B547" s="3" t="s">
        <v>1382</v>
      </c>
      <c r="C547" s="3" t="b">
        <v>1</v>
      </c>
      <c r="D547" s="3" t="b">
        <v>1</v>
      </c>
      <c r="E547" s="3" t="s">
        <v>1383</v>
      </c>
      <c r="F547" s="3" t="s">
        <v>1384</v>
      </c>
      <c r="G547" s="4">
        <f>+251954875826</f>
        <v>251954875826</v>
      </c>
      <c r="H547" s="3" t="s">
        <v>18</v>
      </c>
      <c r="I547" s="3" t="s">
        <v>19</v>
      </c>
      <c r="J547" s="3" t="s">
        <v>19</v>
      </c>
      <c r="K547" s="3" t="s">
        <v>25</v>
      </c>
      <c r="L547" s="3">
        <v>19.87</v>
      </c>
      <c r="M547" s="3" t="s">
        <v>21</v>
      </c>
      <c r="O547" s="3">
        <v>1.72621134015E11</v>
      </c>
    </row>
    <row r="548">
      <c r="A548" s="3">
        <v>2572292.0</v>
      </c>
      <c r="B548" s="3" t="s">
        <v>1385</v>
      </c>
      <c r="C548" s="3" t="b">
        <v>1</v>
      </c>
      <c r="D548" s="3" t="b">
        <v>0</v>
      </c>
      <c r="E548" s="3" t="s">
        <v>72</v>
      </c>
      <c r="F548" s="3" t="s">
        <v>1386</v>
      </c>
      <c r="G548" s="4">
        <f>+251988625248</f>
        <v>251988625248</v>
      </c>
      <c r="H548" s="3" t="s">
        <v>18</v>
      </c>
      <c r="I548" s="3" t="s">
        <v>19</v>
      </c>
      <c r="J548" s="3" t="s">
        <v>19</v>
      </c>
      <c r="K548" s="3" t="s">
        <v>25</v>
      </c>
      <c r="L548" s="3">
        <v>22.0</v>
      </c>
      <c r="M548" s="3" t="s">
        <v>21</v>
      </c>
    </row>
    <row r="549">
      <c r="A549" s="3">
        <v>2572308.0</v>
      </c>
      <c r="B549" s="3" t="s">
        <v>1387</v>
      </c>
      <c r="C549" s="3" t="b">
        <v>1</v>
      </c>
      <c r="D549" s="3" t="b">
        <v>1</v>
      </c>
      <c r="E549" s="3" t="s">
        <v>279</v>
      </c>
      <c r="F549" s="3" t="s">
        <v>479</v>
      </c>
      <c r="G549" s="4">
        <f>+251703809831</f>
        <v>251703809831</v>
      </c>
      <c r="H549" s="3" t="s">
        <v>18</v>
      </c>
      <c r="I549" s="3" t="s">
        <v>19</v>
      </c>
      <c r="J549" s="3" t="s">
        <v>19</v>
      </c>
      <c r="K549" s="3" t="s">
        <v>25</v>
      </c>
      <c r="L549" s="3">
        <v>19.55</v>
      </c>
      <c r="M549" s="3" t="s">
        <v>21</v>
      </c>
    </row>
    <row r="550">
      <c r="A550" s="3">
        <v>2572306.0</v>
      </c>
      <c r="B550" s="3" t="s">
        <v>1388</v>
      </c>
      <c r="C550" s="3" t="b">
        <v>1</v>
      </c>
      <c r="D550" s="3" t="b">
        <v>1</v>
      </c>
      <c r="E550" s="3" t="s">
        <v>1389</v>
      </c>
      <c r="F550" s="3" t="s">
        <v>1390</v>
      </c>
      <c r="G550" s="4">
        <f>+251961097734</f>
        <v>251961097734</v>
      </c>
      <c r="H550" s="3" t="s">
        <v>18</v>
      </c>
      <c r="I550" s="3" t="s">
        <v>19</v>
      </c>
      <c r="J550" s="3" t="s">
        <v>19</v>
      </c>
      <c r="K550" s="3" t="s">
        <v>25</v>
      </c>
      <c r="L550" s="3">
        <v>21.19</v>
      </c>
      <c r="M550" s="3" t="s">
        <v>21</v>
      </c>
      <c r="O550" s="3">
        <v>1.72599676104E11</v>
      </c>
    </row>
    <row r="551">
      <c r="A551" s="3">
        <v>1232875.0</v>
      </c>
      <c r="B551" s="3" t="s">
        <v>1391</v>
      </c>
      <c r="C551" s="3" t="b">
        <v>1</v>
      </c>
      <c r="D551" s="3" t="b">
        <v>1</v>
      </c>
      <c r="E551" s="3" t="s">
        <v>414</v>
      </c>
      <c r="F551" s="3" t="s">
        <v>404</v>
      </c>
      <c r="G551" s="4">
        <f>+251926303630</f>
        <v>251926303630</v>
      </c>
      <c r="H551" s="3" t="s">
        <v>18</v>
      </c>
      <c r="I551" s="3" t="s">
        <v>19</v>
      </c>
      <c r="J551" s="3" t="s">
        <v>19</v>
      </c>
      <c r="K551" s="3" t="s">
        <v>25</v>
      </c>
      <c r="L551" s="3">
        <v>30.67</v>
      </c>
      <c r="M551" s="3" t="s">
        <v>21</v>
      </c>
      <c r="O551" s="3">
        <v>9.563404521E9</v>
      </c>
    </row>
    <row r="552">
      <c r="A552" s="3">
        <v>2573443.0</v>
      </c>
      <c r="B552" s="3" t="s">
        <v>1392</v>
      </c>
      <c r="C552" s="3" t="b">
        <v>1</v>
      </c>
      <c r="D552" s="3" t="b">
        <v>1</v>
      </c>
      <c r="E552" s="3" t="s">
        <v>120</v>
      </c>
      <c r="F552" s="3" t="s">
        <v>596</v>
      </c>
      <c r="G552" s="4">
        <f>+251988004671</f>
        <v>251988004671</v>
      </c>
      <c r="H552" s="3" t="s">
        <v>18</v>
      </c>
      <c r="I552" s="3" t="s">
        <v>19</v>
      </c>
      <c r="J552" s="3" t="s">
        <v>19</v>
      </c>
      <c r="K552" s="3" t="s">
        <v>25</v>
      </c>
      <c r="L552" s="3">
        <v>19.27</v>
      </c>
      <c r="M552" s="3" t="s">
        <v>21</v>
      </c>
      <c r="O552" s="3">
        <v>1.72837331133E11</v>
      </c>
    </row>
    <row r="553">
      <c r="A553" s="3">
        <v>2542354.0</v>
      </c>
      <c r="B553" s="3" t="s">
        <v>1393</v>
      </c>
      <c r="C553" s="3" t="b">
        <v>1</v>
      </c>
      <c r="D553" s="3" t="b">
        <v>1</v>
      </c>
      <c r="E553" s="3" t="s">
        <v>1394</v>
      </c>
      <c r="F553" s="3" t="s">
        <v>111</v>
      </c>
      <c r="G553" s="4">
        <f>+251935193418</f>
        <v>251935193418</v>
      </c>
      <c r="H553" s="3" t="s">
        <v>18</v>
      </c>
      <c r="I553" s="3" t="s">
        <v>19</v>
      </c>
      <c r="J553" s="3" t="s">
        <v>19</v>
      </c>
      <c r="K553" s="3" t="s">
        <v>25</v>
      </c>
      <c r="L553" s="3">
        <v>33.59</v>
      </c>
      <c r="M553" s="3" t="s">
        <v>21</v>
      </c>
      <c r="O553" s="3">
        <v>1.60424532163E11</v>
      </c>
    </row>
    <row r="554">
      <c r="A554" s="3">
        <v>891586.0</v>
      </c>
      <c r="B554" s="3" t="s">
        <v>1395</v>
      </c>
      <c r="C554" s="3" t="b">
        <v>1</v>
      </c>
      <c r="D554" s="3" t="b">
        <v>1</v>
      </c>
      <c r="E554" s="3" t="s">
        <v>1396</v>
      </c>
      <c r="F554" s="3" t="s">
        <v>1397</v>
      </c>
      <c r="G554" s="3">
        <v>9.20458603E8</v>
      </c>
      <c r="H554" s="3" t="s">
        <v>18</v>
      </c>
      <c r="I554" s="3" t="s">
        <v>19</v>
      </c>
      <c r="J554" s="3" t="s">
        <v>19</v>
      </c>
      <c r="K554" s="3" t="s">
        <v>25</v>
      </c>
      <c r="L554" s="3">
        <v>29.83</v>
      </c>
      <c r="M554" s="3" t="s">
        <v>21</v>
      </c>
      <c r="O554" s="3">
        <v>1914530.0</v>
      </c>
    </row>
    <row r="555">
      <c r="A555" s="3">
        <v>2578607.0</v>
      </c>
      <c r="B555" s="3" t="s">
        <v>1398</v>
      </c>
      <c r="C555" s="3" t="b">
        <v>1</v>
      </c>
      <c r="D555" s="3" t="b">
        <v>1</v>
      </c>
      <c r="E555" s="3" t="s">
        <v>1399</v>
      </c>
      <c r="F555" s="3" t="s">
        <v>1400</v>
      </c>
      <c r="G555" s="4">
        <f>+251939175231</f>
        <v>251939175231</v>
      </c>
      <c r="H555" s="3" t="s">
        <v>346</v>
      </c>
      <c r="I555" s="3" t="s">
        <v>19</v>
      </c>
      <c r="J555" s="3" t="s">
        <v>19</v>
      </c>
      <c r="K555" s="3" t="s">
        <v>25</v>
      </c>
      <c r="L555" s="3">
        <v>31.06</v>
      </c>
      <c r="M555" s="3" t="s">
        <v>21</v>
      </c>
      <c r="O555" s="3">
        <v>1.75143570628E11</v>
      </c>
    </row>
    <row r="556">
      <c r="A556" s="3">
        <v>2578852.0</v>
      </c>
      <c r="B556" s="3" t="s">
        <v>1401</v>
      </c>
      <c r="C556" s="3" t="b">
        <v>1</v>
      </c>
      <c r="D556" s="3" t="b">
        <v>1</v>
      </c>
      <c r="E556" s="3" t="s">
        <v>386</v>
      </c>
      <c r="F556" s="3" t="s">
        <v>1000</v>
      </c>
      <c r="G556" s="4">
        <f>+251991692196</f>
        <v>251991692196</v>
      </c>
      <c r="H556" s="3" t="s">
        <v>18</v>
      </c>
      <c r="I556" s="3" t="s">
        <v>19</v>
      </c>
      <c r="J556" s="3" t="s">
        <v>19</v>
      </c>
      <c r="K556" s="3" t="s">
        <v>25</v>
      </c>
      <c r="L556" s="3">
        <v>22.05</v>
      </c>
      <c r="M556" s="3" t="s">
        <v>21</v>
      </c>
      <c r="O556" s="3">
        <v>1.75242705122E11</v>
      </c>
    </row>
    <row r="557">
      <c r="A557" s="3">
        <v>2056111.0</v>
      </c>
      <c r="B557" s="3" t="s">
        <v>1402</v>
      </c>
      <c r="C557" s="3" t="b">
        <v>1</v>
      </c>
      <c r="D557" s="3" t="b">
        <v>1</v>
      </c>
      <c r="E557" s="3" t="s">
        <v>1403</v>
      </c>
      <c r="F557" s="3" t="s">
        <v>1404</v>
      </c>
      <c r="G557" s="4">
        <f>+251939952021</f>
        <v>251939952021</v>
      </c>
      <c r="H557" s="3" t="s">
        <v>18</v>
      </c>
      <c r="I557" s="3" t="s">
        <v>19</v>
      </c>
      <c r="J557" s="3" t="s">
        <v>19</v>
      </c>
      <c r="K557" s="3" t="s">
        <v>20</v>
      </c>
      <c r="L557" s="3">
        <v>26.23</v>
      </c>
      <c r="M557" s="3" t="s">
        <v>21</v>
      </c>
      <c r="O557" s="3">
        <v>2.1568351E7</v>
      </c>
    </row>
    <row r="558">
      <c r="A558" s="3">
        <v>2012124.0</v>
      </c>
      <c r="B558" s="3" t="s">
        <v>1405</v>
      </c>
      <c r="C558" s="3" t="b">
        <v>1</v>
      </c>
      <c r="D558" s="3" t="b">
        <v>1</v>
      </c>
      <c r="E558" s="3" t="s">
        <v>149</v>
      </c>
      <c r="F558" s="3" t="s">
        <v>1406</v>
      </c>
      <c r="G558" s="4">
        <f>+251943785541</f>
        <v>251943785541</v>
      </c>
      <c r="H558" s="3" t="s">
        <v>18</v>
      </c>
      <c r="I558" s="3" t="s">
        <v>19</v>
      </c>
      <c r="J558" s="3" t="s">
        <v>19</v>
      </c>
      <c r="K558" s="3" t="s">
        <v>25</v>
      </c>
      <c r="L558" s="3">
        <v>34.16</v>
      </c>
      <c r="M558" s="3" t="s">
        <v>21</v>
      </c>
      <c r="O558" s="3">
        <v>1.76185786564E11</v>
      </c>
    </row>
    <row r="559">
      <c r="A559" s="3">
        <v>1912912.0</v>
      </c>
      <c r="B559" s="3" t="s">
        <v>1407</v>
      </c>
      <c r="C559" s="3" t="b">
        <v>1</v>
      </c>
      <c r="D559" s="3" t="b">
        <v>1</v>
      </c>
      <c r="E559" s="3" t="s">
        <v>697</v>
      </c>
      <c r="F559" s="3" t="s">
        <v>1408</v>
      </c>
      <c r="G559" s="4">
        <f>+251937769420</f>
        <v>251937769420</v>
      </c>
      <c r="H559" s="3" t="s">
        <v>18</v>
      </c>
      <c r="I559" s="3" t="s">
        <v>19</v>
      </c>
      <c r="J559" s="3" t="s">
        <v>19</v>
      </c>
      <c r="K559" s="3" t="s">
        <v>20</v>
      </c>
      <c r="L559" s="3">
        <v>25.19</v>
      </c>
      <c r="M559" s="3" t="s">
        <v>21</v>
      </c>
      <c r="O559" s="3">
        <v>2.641558525E10</v>
      </c>
    </row>
    <row r="560">
      <c r="A560" s="3">
        <v>2581886.0</v>
      </c>
      <c r="B560" s="3" t="s">
        <v>1409</v>
      </c>
      <c r="C560" s="3" t="b">
        <v>1</v>
      </c>
      <c r="D560" s="3" t="b">
        <v>1</v>
      </c>
      <c r="E560" s="3" t="s">
        <v>208</v>
      </c>
      <c r="F560" s="3" t="s">
        <v>404</v>
      </c>
      <c r="G560" s="4">
        <f>+251951443331</f>
        <v>251951443331</v>
      </c>
      <c r="H560" s="3" t="s">
        <v>18</v>
      </c>
      <c r="I560" s="3" t="s">
        <v>19</v>
      </c>
      <c r="J560" s="3" t="s">
        <v>19</v>
      </c>
      <c r="K560" s="3" t="s">
        <v>25</v>
      </c>
      <c r="L560" s="3">
        <v>22.43</v>
      </c>
      <c r="M560" s="3" t="s">
        <v>21</v>
      </c>
      <c r="O560" s="3">
        <v>1863300.0</v>
      </c>
    </row>
    <row r="561">
      <c r="A561" s="3">
        <v>1873360.0</v>
      </c>
      <c r="B561" s="3" t="s">
        <v>1410</v>
      </c>
      <c r="C561" s="3" t="b">
        <v>1</v>
      </c>
      <c r="D561" s="3" t="b">
        <v>1</v>
      </c>
      <c r="E561" s="3" t="s">
        <v>1411</v>
      </c>
      <c r="F561" s="3" t="s">
        <v>1412</v>
      </c>
      <c r="G561" s="4">
        <f>+251978264140</f>
        <v>251978264140</v>
      </c>
      <c r="H561" s="3" t="s">
        <v>18</v>
      </c>
      <c r="I561" s="3" t="s">
        <v>19</v>
      </c>
      <c r="J561" s="3" t="s">
        <v>19</v>
      </c>
      <c r="K561" s="3" t="s">
        <v>20</v>
      </c>
      <c r="L561" s="3">
        <v>20.45</v>
      </c>
      <c r="M561" s="3" t="s">
        <v>21</v>
      </c>
      <c r="O561" s="3">
        <v>2.5757763258E10</v>
      </c>
    </row>
    <row r="562">
      <c r="A562" s="3">
        <v>2583157.0</v>
      </c>
      <c r="B562" s="3" t="s">
        <v>1413</v>
      </c>
      <c r="C562" s="3" t="b">
        <v>1</v>
      </c>
      <c r="D562" s="3" t="b">
        <v>1</v>
      </c>
      <c r="E562" s="3" t="s">
        <v>795</v>
      </c>
      <c r="F562" s="3" t="s">
        <v>1414</v>
      </c>
      <c r="G562" s="4">
        <f>+251913238600</f>
        <v>251913238600</v>
      </c>
      <c r="H562" s="3" t="s">
        <v>18</v>
      </c>
      <c r="I562" s="3" t="s">
        <v>19</v>
      </c>
      <c r="J562" s="3" t="s">
        <v>19</v>
      </c>
      <c r="K562" s="3" t="s">
        <v>25</v>
      </c>
      <c r="L562" s="3">
        <v>34.19</v>
      </c>
      <c r="M562" s="3" t="s">
        <v>21</v>
      </c>
      <c r="O562" s="3">
        <v>1.77227580624E11</v>
      </c>
    </row>
    <row r="563">
      <c r="A563" s="3">
        <v>2583295.0</v>
      </c>
      <c r="B563" s="3" t="s">
        <v>1415</v>
      </c>
      <c r="C563" s="3" t="b">
        <v>1</v>
      </c>
      <c r="D563" s="3" t="b">
        <v>1</v>
      </c>
      <c r="E563" s="3" t="s">
        <v>1416</v>
      </c>
      <c r="F563" s="3" t="s">
        <v>1417</v>
      </c>
      <c r="G563" s="4">
        <f>+251915150767</f>
        <v>251915150767</v>
      </c>
      <c r="H563" s="3" t="s">
        <v>289</v>
      </c>
      <c r="I563" s="3" t="s">
        <v>19</v>
      </c>
      <c r="J563" s="3" t="s">
        <v>19</v>
      </c>
      <c r="K563" s="3" t="s">
        <v>25</v>
      </c>
      <c r="L563" s="3">
        <v>27.54</v>
      </c>
      <c r="M563" s="3" t="s">
        <v>21</v>
      </c>
      <c r="O563" s="3">
        <v>2.3075383E7</v>
      </c>
    </row>
    <row r="564">
      <c r="A564" s="3">
        <v>1975788.0</v>
      </c>
      <c r="B564" s="3" t="s">
        <v>1418</v>
      </c>
      <c r="C564" s="3" t="b">
        <v>1</v>
      </c>
      <c r="D564" s="3" t="b">
        <v>1</v>
      </c>
      <c r="E564" s="3" t="s">
        <v>1419</v>
      </c>
      <c r="F564" s="3" t="s">
        <v>1420</v>
      </c>
      <c r="G564" s="4">
        <f>+251921317776</f>
        <v>251921317776</v>
      </c>
      <c r="H564" s="3" t="s">
        <v>18</v>
      </c>
      <c r="I564" s="3" t="s">
        <v>19</v>
      </c>
      <c r="J564" s="3" t="s">
        <v>19</v>
      </c>
      <c r="K564" s="3" t="s">
        <v>25</v>
      </c>
      <c r="L564" s="3">
        <v>29.4</v>
      </c>
      <c r="M564" s="3" t="s">
        <v>21</v>
      </c>
    </row>
    <row r="565">
      <c r="A565" s="3">
        <v>2584992.0</v>
      </c>
      <c r="B565" s="3" t="s">
        <v>1421</v>
      </c>
      <c r="C565" s="3" t="b">
        <v>1</v>
      </c>
      <c r="D565" s="3" t="b">
        <v>1</v>
      </c>
      <c r="E565" s="3" t="s">
        <v>759</v>
      </c>
      <c r="F565" s="3" t="s">
        <v>1422</v>
      </c>
      <c r="G565" s="4">
        <f>+251900615258</f>
        <v>251900615258</v>
      </c>
      <c r="H565" s="3" t="s">
        <v>18</v>
      </c>
      <c r="I565" s="3" t="s">
        <v>19</v>
      </c>
      <c r="J565" s="3" t="s">
        <v>19</v>
      </c>
      <c r="K565" s="3" t="s">
        <v>20</v>
      </c>
      <c r="L565" s="3">
        <v>23.94</v>
      </c>
      <c r="M565" s="3" t="s">
        <v>21</v>
      </c>
    </row>
    <row r="566">
      <c r="A566" s="3">
        <v>1424911.0</v>
      </c>
      <c r="B566" s="3" t="s">
        <v>1423</v>
      </c>
      <c r="C566" s="3" t="b">
        <v>1</v>
      </c>
      <c r="D566" s="3" t="b">
        <v>1</v>
      </c>
      <c r="E566" s="3" t="s">
        <v>1424</v>
      </c>
      <c r="F566" s="3" t="s">
        <v>532</v>
      </c>
      <c r="G566" s="4">
        <f>+251935065468</f>
        <v>251935065468</v>
      </c>
      <c r="H566" s="3" t="s">
        <v>18</v>
      </c>
      <c r="I566" s="3" t="s">
        <v>19</v>
      </c>
      <c r="J566" s="3" t="s">
        <v>19</v>
      </c>
      <c r="K566" s="3" t="s">
        <v>25</v>
      </c>
      <c r="L566" s="3">
        <v>25.07</v>
      </c>
      <c r="M566" s="3" t="s">
        <v>21</v>
      </c>
      <c r="O566" s="3">
        <v>8805505.0</v>
      </c>
    </row>
    <row r="567">
      <c r="A567" s="3">
        <v>2586832.0</v>
      </c>
      <c r="B567" s="3" t="s">
        <v>1425</v>
      </c>
      <c r="C567" s="3" t="b">
        <v>1</v>
      </c>
      <c r="D567" s="3" t="b">
        <v>1</v>
      </c>
      <c r="E567" s="3" t="s">
        <v>1426</v>
      </c>
      <c r="F567" s="3" t="s">
        <v>1074</v>
      </c>
      <c r="G567" s="4">
        <f>+251911574725</f>
        <v>251911574725</v>
      </c>
      <c r="H567" s="3" t="s">
        <v>18</v>
      </c>
      <c r="I567" s="3" t="s">
        <v>19</v>
      </c>
      <c r="J567" s="3" t="s">
        <v>19</v>
      </c>
      <c r="K567" s="3" t="s">
        <v>25</v>
      </c>
      <c r="L567" s="3">
        <v>34.48</v>
      </c>
      <c r="M567" s="3" t="s">
        <v>21</v>
      </c>
      <c r="O567" s="3">
        <v>9440161.0</v>
      </c>
    </row>
    <row r="568">
      <c r="A568" s="3">
        <v>1068745.0</v>
      </c>
      <c r="B568" s="3" t="s">
        <v>1427</v>
      </c>
      <c r="C568" s="3" t="b">
        <v>1</v>
      </c>
      <c r="D568" s="3" t="b">
        <v>1</v>
      </c>
      <c r="E568" s="3" t="s">
        <v>1428</v>
      </c>
      <c r="F568" s="3" t="s">
        <v>1429</v>
      </c>
      <c r="G568" s="4">
        <f>+251940303334</f>
        <v>251940303334</v>
      </c>
      <c r="H568" s="3" t="s">
        <v>18</v>
      </c>
      <c r="I568" s="3" t="s">
        <v>19</v>
      </c>
      <c r="J568" s="3" t="s">
        <v>19</v>
      </c>
      <c r="K568" s="3" t="s">
        <v>20</v>
      </c>
      <c r="L568" s="3">
        <v>20.46</v>
      </c>
      <c r="M568" s="3" t="s">
        <v>21</v>
      </c>
      <c r="O568" s="3">
        <v>6.525159356E9</v>
      </c>
    </row>
    <row r="569">
      <c r="A569" s="3">
        <v>2586897.0</v>
      </c>
      <c r="B569" s="3" t="s">
        <v>1430</v>
      </c>
      <c r="C569" s="3" t="b">
        <v>1</v>
      </c>
      <c r="D569" s="3" t="b">
        <v>1</v>
      </c>
      <c r="E569" s="3" t="s">
        <v>1431</v>
      </c>
      <c r="F569" s="3" t="s">
        <v>1432</v>
      </c>
      <c r="G569" s="4">
        <f>+251946259577</f>
        <v>251946259577</v>
      </c>
      <c r="H569" s="3" t="s">
        <v>18</v>
      </c>
      <c r="I569" s="3" t="s">
        <v>19</v>
      </c>
      <c r="J569" s="3" t="s">
        <v>19</v>
      </c>
      <c r="K569" s="3" t="s">
        <v>25</v>
      </c>
      <c r="L569" s="3">
        <v>22.51</v>
      </c>
      <c r="M569" s="3" t="s">
        <v>21</v>
      </c>
    </row>
    <row r="570">
      <c r="A570" s="3">
        <v>1827779.0</v>
      </c>
      <c r="B570" s="3" t="s">
        <v>1433</v>
      </c>
      <c r="C570" s="3" t="b">
        <v>1</v>
      </c>
      <c r="D570" s="3" t="b">
        <v>1</v>
      </c>
      <c r="E570" s="3" t="s">
        <v>414</v>
      </c>
      <c r="F570" s="3" t="s">
        <v>135</v>
      </c>
      <c r="G570" s="3">
        <v>9.23576139E8</v>
      </c>
      <c r="H570" s="3" t="s">
        <v>18</v>
      </c>
      <c r="I570" s="3" t="s">
        <v>19</v>
      </c>
      <c r="J570" s="3" t="s">
        <v>19</v>
      </c>
      <c r="K570" s="3" t="s">
        <v>25</v>
      </c>
      <c r="L570" s="3">
        <v>22.12</v>
      </c>
      <c r="M570" s="3" t="s">
        <v>21</v>
      </c>
      <c r="O570" s="3">
        <v>2.492885295E10</v>
      </c>
    </row>
    <row r="571">
      <c r="A571" s="3">
        <v>2586902.0</v>
      </c>
      <c r="B571" s="3" t="s">
        <v>1434</v>
      </c>
      <c r="C571" s="3" t="b">
        <v>1</v>
      </c>
      <c r="D571" s="3" t="b">
        <v>0</v>
      </c>
      <c r="E571" s="3" t="s">
        <v>1435</v>
      </c>
      <c r="F571" s="3" t="s">
        <v>1436</v>
      </c>
      <c r="G571" s="4">
        <f>+251970769602</f>
        <v>251970769602</v>
      </c>
      <c r="H571" s="3" t="s">
        <v>18</v>
      </c>
      <c r="I571" s="3" t="s">
        <v>19</v>
      </c>
      <c r="J571" s="3" t="s">
        <v>19</v>
      </c>
      <c r="K571" s="3" t="s">
        <v>25</v>
      </c>
      <c r="L571" s="3">
        <v>21.48</v>
      </c>
      <c r="M571" s="3" t="s">
        <v>21</v>
      </c>
      <c r="O571" s="3">
        <v>1.79116449005E11</v>
      </c>
    </row>
    <row r="572">
      <c r="A572" s="3">
        <v>1118935.0</v>
      </c>
      <c r="B572" s="3" t="s">
        <v>1437</v>
      </c>
      <c r="C572" s="3" t="b">
        <v>1</v>
      </c>
      <c r="D572" s="3" t="b">
        <v>1</v>
      </c>
      <c r="E572" s="3" t="s">
        <v>1438</v>
      </c>
      <c r="F572" s="3" t="s">
        <v>1439</v>
      </c>
      <c r="G572" s="4">
        <f>+251919257652</f>
        <v>251919257652</v>
      </c>
      <c r="H572" s="3" t="s">
        <v>18</v>
      </c>
      <c r="I572" s="3" t="s">
        <v>19</v>
      </c>
      <c r="J572" s="3" t="s">
        <v>19</v>
      </c>
      <c r="K572" s="3" t="s">
        <v>25</v>
      </c>
      <c r="L572" s="3">
        <v>26.3</v>
      </c>
      <c r="M572" s="3" t="s">
        <v>21</v>
      </c>
      <c r="O572" s="3">
        <v>1.0079713E7</v>
      </c>
    </row>
    <row r="573">
      <c r="A573" s="3">
        <v>2586933.0</v>
      </c>
      <c r="B573" s="3" t="s">
        <v>1440</v>
      </c>
      <c r="C573" s="3" t="b">
        <v>1</v>
      </c>
      <c r="D573" s="3" t="b">
        <v>1</v>
      </c>
      <c r="E573" s="3" t="s">
        <v>676</v>
      </c>
      <c r="F573" s="3" t="s">
        <v>1368</v>
      </c>
      <c r="G573" s="4">
        <f>+251949274567</f>
        <v>251949274567</v>
      </c>
      <c r="H573" s="3" t="s">
        <v>18</v>
      </c>
      <c r="I573" s="3" t="s">
        <v>19</v>
      </c>
      <c r="J573" s="3" t="s">
        <v>19</v>
      </c>
      <c r="K573" s="3" t="s">
        <v>25</v>
      </c>
      <c r="L573" s="3">
        <v>22.5</v>
      </c>
      <c r="M573" s="3" t="s">
        <v>21</v>
      </c>
      <c r="O573" s="3">
        <v>1.79246955768E11</v>
      </c>
    </row>
    <row r="574">
      <c r="A574" s="3">
        <v>1943208.0</v>
      </c>
      <c r="B574" s="3" t="s">
        <v>1441</v>
      </c>
      <c r="C574" s="3" t="b">
        <v>1</v>
      </c>
      <c r="D574" s="3" t="b">
        <v>0</v>
      </c>
      <c r="E574" s="3" t="s">
        <v>58</v>
      </c>
      <c r="F574" s="3" t="s">
        <v>1442</v>
      </c>
      <c r="G574" s="3">
        <v>9.28507146E8</v>
      </c>
      <c r="H574" s="3" t="s">
        <v>18</v>
      </c>
      <c r="I574" s="3" t="s">
        <v>19</v>
      </c>
      <c r="J574" s="3" t="s">
        <v>19</v>
      </c>
      <c r="K574" s="3" t="s">
        <v>25</v>
      </c>
      <c r="L574" s="3">
        <v>24.69</v>
      </c>
      <c r="M574" s="3" t="s">
        <v>21</v>
      </c>
      <c r="O574" s="3">
        <v>8742806.0</v>
      </c>
    </row>
    <row r="575">
      <c r="A575" s="3">
        <v>2586969.0</v>
      </c>
      <c r="B575" s="3" t="s">
        <v>1443</v>
      </c>
      <c r="C575" s="3" t="b">
        <v>1</v>
      </c>
      <c r="D575" s="3" t="b">
        <v>1</v>
      </c>
      <c r="E575" s="3" t="s">
        <v>273</v>
      </c>
      <c r="F575" s="3" t="s">
        <v>1444</v>
      </c>
      <c r="G575" s="4">
        <f>+251952649646</f>
        <v>251952649646</v>
      </c>
      <c r="H575" s="3" t="s">
        <v>18</v>
      </c>
      <c r="I575" s="3" t="s">
        <v>19</v>
      </c>
      <c r="J575" s="3" t="s">
        <v>19</v>
      </c>
      <c r="K575" s="3" t="s">
        <v>25</v>
      </c>
      <c r="L575" s="3">
        <v>22.95</v>
      </c>
      <c r="M575" s="3" t="s">
        <v>21</v>
      </c>
      <c r="O575" s="3">
        <v>6028621.0</v>
      </c>
    </row>
    <row r="576">
      <c r="A576" s="3">
        <v>1740531.0</v>
      </c>
      <c r="B576" s="3" t="s">
        <v>1445</v>
      </c>
      <c r="C576" s="3" t="b">
        <v>1</v>
      </c>
      <c r="D576" s="3" t="b">
        <v>1</v>
      </c>
      <c r="E576" s="3" t="s">
        <v>1446</v>
      </c>
      <c r="F576" s="3" t="s">
        <v>1447</v>
      </c>
      <c r="G576" s="4">
        <f>+251910477269</f>
        <v>251910477269</v>
      </c>
      <c r="H576" s="3" t="s">
        <v>18</v>
      </c>
      <c r="I576" s="3" t="s">
        <v>19</v>
      </c>
      <c r="J576" s="3" t="s">
        <v>19</v>
      </c>
      <c r="K576" s="3" t="s">
        <v>25</v>
      </c>
      <c r="L576" s="3">
        <v>24.39</v>
      </c>
      <c r="M576" s="3" t="s">
        <v>21</v>
      </c>
      <c r="O576" s="3">
        <v>6495136.0</v>
      </c>
    </row>
    <row r="577">
      <c r="A577" s="3">
        <v>2587227.0</v>
      </c>
      <c r="B577" s="3" t="s">
        <v>1448</v>
      </c>
      <c r="C577" s="3" t="b">
        <v>1</v>
      </c>
      <c r="D577" s="3" t="b">
        <v>1</v>
      </c>
      <c r="E577" s="3" t="s">
        <v>1449</v>
      </c>
      <c r="F577" s="3" t="s">
        <v>1450</v>
      </c>
      <c r="G577" s="4">
        <f>+251961253335</f>
        <v>251961253335</v>
      </c>
      <c r="H577" s="3" t="s">
        <v>18</v>
      </c>
      <c r="I577" s="3" t="s">
        <v>19</v>
      </c>
      <c r="J577" s="3" t="s">
        <v>19</v>
      </c>
      <c r="K577" s="3" t="s">
        <v>20</v>
      </c>
      <c r="L577" s="3">
        <v>18.46</v>
      </c>
      <c r="M577" s="3" t="s">
        <v>21</v>
      </c>
    </row>
    <row r="578">
      <c r="A578" s="3">
        <v>2587228.0</v>
      </c>
      <c r="B578" s="3" t="s">
        <v>1451</v>
      </c>
      <c r="C578" s="3" t="b">
        <v>1</v>
      </c>
      <c r="D578" s="3" t="b">
        <v>1</v>
      </c>
      <c r="E578" s="3" t="s">
        <v>1452</v>
      </c>
      <c r="F578" s="3" t="s">
        <v>149</v>
      </c>
      <c r="G578" s="4">
        <f>+251940291327</f>
        <v>251940291327</v>
      </c>
      <c r="H578" s="3" t="s">
        <v>18</v>
      </c>
      <c r="I578" s="3" t="s">
        <v>19</v>
      </c>
      <c r="J578" s="3" t="s">
        <v>19</v>
      </c>
      <c r="K578" s="3" t="s">
        <v>25</v>
      </c>
      <c r="L578" s="3">
        <v>18.69</v>
      </c>
      <c r="M578" s="3" t="s">
        <v>21</v>
      </c>
      <c r="O578" s="3">
        <v>1.79451848909E11</v>
      </c>
    </row>
    <row r="579">
      <c r="A579" s="3">
        <v>2587236.0</v>
      </c>
      <c r="B579" s="3" t="s">
        <v>1453</v>
      </c>
      <c r="C579" s="3" t="b">
        <v>1</v>
      </c>
      <c r="D579" s="3" t="b">
        <v>1</v>
      </c>
      <c r="E579" s="3" t="s">
        <v>188</v>
      </c>
      <c r="F579" s="3" t="s">
        <v>1444</v>
      </c>
      <c r="G579" s="4">
        <f>+251944221447</f>
        <v>251944221447</v>
      </c>
      <c r="H579" s="3" t="s">
        <v>18</v>
      </c>
      <c r="I579" s="3" t="s">
        <v>19</v>
      </c>
      <c r="J579" s="3" t="s">
        <v>19</v>
      </c>
      <c r="K579" s="3" t="s">
        <v>25</v>
      </c>
      <c r="L579" s="3">
        <v>18.22</v>
      </c>
      <c r="M579" s="3" t="s">
        <v>21</v>
      </c>
      <c r="O579" s="3">
        <v>1.79428814023E11</v>
      </c>
    </row>
    <row r="580">
      <c r="A580" s="3">
        <v>2587324.0</v>
      </c>
      <c r="B580" s="3" t="s">
        <v>1454</v>
      </c>
      <c r="C580" s="3" t="b">
        <v>1</v>
      </c>
      <c r="D580" s="3" t="b">
        <v>1</v>
      </c>
      <c r="E580" s="3" t="s">
        <v>85</v>
      </c>
      <c r="F580" s="3" t="s">
        <v>1455</v>
      </c>
      <c r="G580" s="4">
        <f>+251986061313</f>
        <v>251986061313</v>
      </c>
      <c r="H580" s="3" t="s">
        <v>18</v>
      </c>
      <c r="I580" s="3" t="s">
        <v>19</v>
      </c>
      <c r="J580" s="3" t="s">
        <v>19</v>
      </c>
      <c r="K580" s="3" t="s">
        <v>25</v>
      </c>
      <c r="L580" s="3">
        <v>18.57</v>
      </c>
      <c r="M580" s="3" t="s">
        <v>21</v>
      </c>
    </row>
    <row r="581">
      <c r="A581" s="3">
        <v>2587379.0</v>
      </c>
      <c r="B581" s="3" t="s">
        <v>1456</v>
      </c>
      <c r="C581" s="3" t="b">
        <v>1</v>
      </c>
      <c r="D581" s="3" t="b">
        <v>1</v>
      </c>
      <c r="E581" s="3" t="s">
        <v>1457</v>
      </c>
      <c r="F581" s="3" t="s">
        <v>1458</v>
      </c>
      <c r="G581" s="4">
        <f>+251940786892</f>
        <v>251940786892</v>
      </c>
      <c r="H581" s="3" t="s">
        <v>18</v>
      </c>
      <c r="I581" s="3" t="s">
        <v>19</v>
      </c>
      <c r="J581" s="3" t="s">
        <v>19</v>
      </c>
      <c r="K581" s="3" t="s">
        <v>20</v>
      </c>
      <c r="L581" s="3">
        <v>19.57</v>
      </c>
      <c r="M581" s="3" t="s">
        <v>21</v>
      </c>
      <c r="O581" s="3">
        <v>1.79524870351E11</v>
      </c>
    </row>
    <row r="582">
      <c r="A582" s="3">
        <v>1655625.0</v>
      </c>
      <c r="B582" s="3" t="s">
        <v>1459</v>
      </c>
      <c r="C582" s="3" t="b">
        <v>1</v>
      </c>
      <c r="D582" s="3" t="b">
        <v>1</v>
      </c>
      <c r="E582" s="3" t="s">
        <v>1460</v>
      </c>
      <c r="F582" s="3" t="s">
        <v>1461</v>
      </c>
      <c r="G582" s="4">
        <f>+251840664132</f>
        <v>251840664132</v>
      </c>
      <c r="H582" s="3" t="s">
        <v>18</v>
      </c>
      <c r="I582" s="3" t="s">
        <v>19</v>
      </c>
      <c r="J582" s="3" t="s">
        <v>19</v>
      </c>
      <c r="K582" s="3" t="s">
        <v>20</v>
      </c>
      <c r="L582" s="3">
        <v>22.05</v>
      </c>
      <c r="M582" s="3" t="s">
        <v>21</v>
      </c>
      <c r="O582" s="3">
        <v>1896467.0</v>
      </c>
    </row>
    <row r="583">
      <c r="A583" s="3">
        <v>1790055.0</v>
      </c>
      <c r="B583" s="3" t="s">
        <v>1462</v>
      </c>
      <c r="C583" s="3" t="b">
        <v>1</v>
      </c>
      <c r="D583" s="3" t="b">
        <v>1</v>
      </c>
      <c r="E583" s="3" t="s">
        <v>1463</v>
      </c>
      <c r="F583" s="3" t="s">
        <v>1074</v>
      </c>
      <c r="G583" s="4">
        <f>+251902385870</f>
        <v>251902385870</v>
      </c>
      <c r="H583" s="3" t="s">
        <v>18</v>
      </c>
      <c r="I583" s="3" t="s">
        <v>19</v>
      </c>
      <c r="J583" s="3" t="s">
        <v>19</v>
      </c>
      <c r="K583" s="3" t="s">
        <v>20</v>
      </c>
      <c r="L583" s="3">
        <v>27.29</v>
      </c>
      <c r="M583" s="3" t="s">
        <v>21</v>
      </c>
      <c r="O583" s="3">
        <v>2.4942874564E10</v>
      </c>
    </row>
    <row r="584">
      <c r="A584" s="3">
        <v>2172056.0</v>
      </c>
      <c r="B584" s="3" t="s">
        <v>1464</v>
      </c>
      <c r="C584" s="3" t="b">
        <v>1</v>
      </c>
      <c r="D584" s="3" t="b">
        <v>0</v>
      </c>
      <c r="E584" s="3" t="s">
        <v>1465</v>
      </c>
      <c r="F584" s="3" t="s">
        <v>1466</v>
      </c>
      <c r="G584" s="4">
        <f>+251932166631</f>
        <v>251932166631</v>
      </c>
      <c r="H584" s="3" t="s">
        <v>18</v>
      </c>
      <c r="I584" s="3" t="s">
        <v>19</v>
      </c>
      <c r="J584" s="3" t="s">
        <v>19</v>
      </c>
      <c r="K584" s="3" t="s">
        <v>25</v>
      </c>
      <c r="L584" s="3">
        <v>26.25</v>
      </c>
      <c r="M584" s="3" t="s">
        <v>21</v>
      </c>
    </row>
    <row r="585">
      <c r="A585" s="3">
        <v>469901.0</v>
      </c>
      <c r="B585" s="3" t="s">
        <v>1467</v>
      </c>
      <c r="C585" s="3" t="b">
        <v>1</v>
      </c>
      <c r="D585" s="3" t="b">
        <v>1</v>
      </c>
      <c r="E585" s="3" t="s">
        <v>1468</v>
      </c>
      <c r="F585" s="3" t="s">
        <v>1469</v>
      </c>
      <c r="G585" s="4">
        <f>+251921574367</f>
        <v>251921574367</v>
      </c>
      <c r="H585" s="3" t="s">
        <v>18</v>
      </c>
      <c r="I585" s="3" t="s">
        <v>19</v>
      </c>
      <c r="J585" s="3" t="s">
        <v>19</v>
      </c>
      <c r="K585" s="3" t="s">
        <v>25</v>
      </c>
      <c r="L585" s="3">
        <v>33.77</v>
      </c>
      <c r="M585" s="3" t="s">
        <v>21</v>
      </c>
      <c r="O585" s="3">
        <v>791742.0</v>
      </c>
    </row>
    <row r="586">
      <c r="A586" s="3">
        <v>2589065.0</v>
      </c>
      <c r="B586" s="3" t="s">
        <v>1470</v>
      </c>
      <c r="C586" s="3" t="b">
        <v>1</v>
      </c>
      <c r="D586" s="3" t="b">
        <v>0</v>
      </c>
      <c r="E586" s="3" t="s">
        <v>276</v>
      </c>
      <c r="F586" s="3" t="s">
        <v>409</v>
      </c>
      <c r="G586" s="4">
        <f>+251928195037</f>
        <v>251928195037</v>
      </c>
      <c r="H586" s="3" t="s">
        <v>18</v>
      </c>
      <c r="I586" s="3" t="s">
        <v>19</v>
      </c>
      <c r="J586" s="3" t="s">
        <v>19</v>
      </c>
      <c r="K586" s="3" t="s">
        <v>25</v>
      </c>
      <c r="L586" s="3">
        <v>19.28</v>
      </c>
      <c r="M586" s="3" t="s">
        <v>21</v>
      </c>
      <c r="O586" s="3">
        <v>1.80684339421E11</v>
      </c>
    </row>
    <row r="587">
      <c r="A587" s="3">
        <v>2589077.0</v>
      </c>
      <c r="B587" s="3" t="s">
        <v>1471</v>
      </c>
      <c r="C587" s="3" t="b">
        <v>1</v>
      </c>
      <c r="D587" s="3" t="b">
        <v>1</v>
      </c>
      <c r="E587" s="3" t="s">
        <v>420</v>
      </c>
      <c r="F587" s="3" t="s">
        <v>1472</v>
      </c>
      <c r="G587" s="4">
        <f>+251901030106</f>
        <v>251901030106</v>
      </c>
      <c r="H587" s="3" t="s">
        <v>18</v>
      </c>
      <c r="I587" s="3" t="s">
        <v>19</v>
      </c>
      <c r="J587" s="3" t="s">
        <v>19</v>
      </c>
      <c r="K587" s="3" t="s">
        <v>25</v>
      </c>
      <c r="L587" s="3">
        <v>18.74</v>
      </c>
      <c r="M587" s="3" t="s">
        <v>21</v>
      </c>
      <c r="O587" s="3">
        <v>1.80688759994E11</v>
      </c>
    </row>
    <row r="588">
      <c r="A588" s="3">
        <v>2589080.0</v>
      </c>
      <c r="B588" s="3" t="s">
        <v>1473</v>
      </c>
      <c r="C588" s="3" t="b">
        <v>1</v>
      </c>
      <c r="D588" s="3" t="b">
        <v>1</v>
      </c>
      <c r="E588" s="3" t="s">
        <v>46</v>
      </c>
      <c r="F588" s="3" t="s">
        <v>471</v>
      </c>
      <c r="G588" s="4">
        <f>+251912047288</f>
        <v>251912047288</v>
      </c>
      <c r="H588" s="3" t="s">
        <v>18</v>
      </c>
      <c r="I588" s="3" t="s">
        <v>19</v>
      </c>
      <c r="J588" s="3" t="s">
        <v>19</v>
      </c>
      <c r="K588" s="3" t="s">
        <v>25</v>
      </c>
      <c r="L588" s="3">
        <v>18.06</v>
      </c>
      <c r="M588" s="3" t="s">
        <v>21</v>
      </c>
      <c r="O588" s="3">
        <v>1.80651005123E11</v>
      </c>
    </row>
    <row r="589">
      <c r="A589" s="3">
        <v>2589089.0</v>
      </c>
      <c r="B589" s="3" t="s">
        <v>1474</v>
      </c>
      <c r="C589" s="3" t="b">
        <v>1</v>
      </c>
      <c r="D589" s="3" t="b">
        <v>1</v>
      </c>
      <c r="E589" s="3" t="s">
        <v>1475</v>
      </c>
      <c r="F589" s="3" t="s">
        <v>218</v>
      </c>
      <c r="G589" s="4">
        <f>+251911608406</f>
        <v>251911608406</v>
      </c>
      <c r="H589" s="3" t="s">
        <v>18</v>
      </c>
      <c r="I589" s="3" t="s">
        <v>19</v>
      </c>
      <c r="J589" s="3" t="s">
        <v>19</v>
      </c>
      <c r="K589" s="3" t="s">
        <v>25</v>
      </c>
      <c r="L589" s="3">
        <v>19.46</v>
      </c>
      <c r="M589" s="3" t="s">
        <v>21</v>
      </c>
      <c r="O589" s="3">
        <v>1.80679576821E11</v>
      </c>
    </row>
    <row r="590">
      <c r="A590" s="3">
        <v>2589127.0</v>
      </c>
      <c r="B590" s="3" t="s">
        <v>1476</v>
      </c>
      <c r="C590" s="3" t="b">
        <v>1</v>
      </c>
      <c r="D590" s="3" t="b">
        <v>1</v>
      </c>
      <c r="E590" s="3" t="s">
        <v>279</v>
      </c>
      <c r="F590" s="3" t="s">
        <v>314</v>
      </c>
      <c r="G590" s="4">
        <f>+251983012019</f>
        <v>251983012019</v>
      </c>
      <c r="H590" s="3" t="s">
        <v>18</v>
      </c>
      <c r="I590" s="3" t="s">
        <v>19</v>
      </c>
      <c r="J590" s="3" t="s">
        <v>19</v>
      </c>
      <c r="K590" s="3" t="s">
        <v>25</v>
      </c>
      <c r="L590" s="3">
        <v>19.02</v>
      </c>
      <c r="M590" s="3" t="s">
        <v>21</v>
      </c>
    </row>
    <row r="591">
      <c r="A591" s="3">
        <v>2589133.0</v>
      </c>
      <c r="B591" s="3" t="s">
        <v>1477</v>
      </c>
      <c r="C591" s="3" t="b">
        <v>1</v>
      </c>
      <c r="D591" s="3" t="b">
        <v>1</v>
      </c>
      <c r="E591" s="3" t="s">
        <v>220</v>
      </c>
      <c r="F591" s="3" t="s">
        <v>1478</v>
      </c>
      <c r="G591" s="4">
        <f>+25109333128693</f>
        <v>25109333128693</v>
      </c>
      <c r="H591" s="3" t="s">
        <v>18</v>
      </c>
      <c r="I591" s="3" t="s">
        <v>19</v>
      </c>
      <c r="J591" s="3" t="s">
        <v>19</v>
      </c>
      <c r="K591" s="3" t="s">
        <v>20</v>
      </c>
      <c r="L591" s="3">
        <v>19.11</v>
      </c>
      <c r="M591" s="3" t="s">
        <v>21</v>
      </c>
      <c r="O591" s="3">
        <v>1.80761566421E11</v>
      </c>
    </row>
    <row r="592">
      <c r="A592" s="3">
        <v>2102682.0</v>
      </c>
      <c r="B592" s="3" t="s">
        <v>1479</v>
      </c>
      <c r="C592" s="3" t="b">
        <v>1</v>
      </c>
      <c r="D592" s="3" t="b">
        <v>0</v>
      </c>
      <c r="E592" s="3" t="s">
        <v>1480</v>
      </c>
      <c r="F592" s="3" t="s">
        <v>417</v>
      </c>
      <c r="G592" s="4">
        <f>+251901004065</f>
        <v>251901004065</v>
      </c>
      <c r="H592" s="3" t="s">
        <v>18</v>
      </c>
      <c r="I592" s="3" t="s">
        <v>19</v>
      </c>
      <c r="J592" s="3" t="s">
        <v>19</v>
      </c>
      <c r="K592" s="3" t="s">
        <v>20</v>
      </c>
      <c r="L592" s="3">
        <v>21.41</v>
      </c>
      <c r="M592" s="3" t="s">
        <v>21</v>
      </c>
      <c r="O592" s="3">
        <v>3.0823892972E10</v>
      </c>
    </row>
    <row r="593">
      <c r="A593" s="3">
        <v>2589263.0</v>
      </c>
      <c r="B593" s="3" t="s">
        <v>1481</v>
      </c>
      <c r="C593" s="3" t="b">
        <v>1</v>
      </c>
      <c r="D593" s="3" t="b">
        <v>1</v>
      </c>
      <c r="E593" s="3" t="s">
        <v>1482</v>
      </c>
      <c r="F593" s="3" t="s">
        <v>1483</v>
      </c>
      <c r="G593" s="4">
        <f>+251929484424</f>
        <v>251929484424</v>
      </c>
      <c r="H593" s="3" t="s">
        <v>18</v>
      </c>
      <c r="I593" s="3" t="s">
        <v>19</v>
      </c>
      <c r="J593" s="3" t="s">
        <v>19</v>
      </c>
      <c r="K593" s="3" t="s">
        <v>25</v>
      </c>
      <c r="L593" s="3">
        <v>20.18</v>
      </c>
      <c r="M593" s="3" t="s">
        <v>21</v>
      </c>
      <c r="O593" s="3">
        <v>1.80871448778E11</v>
      </c>
    </row>
    <row r="594">
      <c r="A594" s="3">
        <v>2589275.0</v>
      </c>
      <c r="B594" s="3" t="s">
        <v>1484</v>
      </c>
      <c r="C594" s="3" t="b">
        <v>1</v>
      </c>
      <c r="D594" s="3" t="b">
        <v>1</v>
      </c>
      <c r="E594" s="3" t="s">
        <v>1485</v>
      </c>
      <c r="F594" s="3" t="s">
        <v>1486</v>
      </c>
      <c r="G594" s="4">
        <f>+251935903454</f>
        <v>251935903454</v>
      </c>
      <c r="H594" s="3" t="s">
        <v>18</v>
      </c>
      <c r="I594" s="3" t="s">
        <v>19</v>
      </c>
      <c r="J594" s="3" t="s">
        <v>19</v>
      </c>
      <c r="K594" s="3" t="s">
        <v>20</v>
      </c>
      <c r="L594" s="3">
        <v>19.53</v>
      </c>
      <c r="M594" s="3" t="s">
        <v>21</v>
      </c>
      <c r="O594" s="3">
        <v>1.80890598635E11</v>
      </c>
    </row>
    <row r="595">
      <c r="A595" s="3">
        <v>1681356.0</v>
      </c>
      <c r="B595" s="3" t="s">
        <v>1487</v>
      </c>
      <c r="C595" s="3" t="b">
        <v>1</v>
      </c>
      <c r="D595" s="3" t="b">
        <v>1</v>
      </c>
      <c r="E595" s="3" t="s">
        <v>494</v>
      </c>
      <c r="F595" s="3" t="s">
        <v>1488</v>
      </c>
      <c r="G595" s="4">
        <f>+251932183998</f>
        <v>251932183998</v>
      </c>
      <c r="H595" s="3" t="s">
        <v>18</v>
      </c>
      <c r="I595" s="3" t="s">
        <v>19</v>
      </c>
      <c r="J595" s="3" t="s">
        <v>19</v>
      </c>
      <c r="K595" s="3" t="s">
        <v>959</v>
      </c>
      <c r="L595" s="3">
        <v>26.71</v>
      </c>
      <c r="M595" s="3" t="s">
        <v>21</v>
      </c>
      <c r="O595" s="3">
        <v>2.1533538297E10</v>
      </c>
    </row>
    <row r="596">
      <c r="A596" s="3">
        <v>2589346.0</v>
      </c>
      <c r="B596" s="3" t="s">
        <v>1489</v>
      </c>
      <c r="C596" s="3" t="b">
        <v>1</v>
      </c>
      <c r="D596" s="3" t="b">
        <v>1</v>
      </c>
      <c r="E596" s="3" t="s">
        <v>1490</v>
      </c>
      <c r="F596" s="3" t="s">
        <v>823</v>
      </c>
      <c r="G596" s="4">
        <f>+251931503437</f>
        <v>251931503437</v>
      </c>
      <c r="H596" s="3" t="s">
        <v>18</v>
      </c>
      <c r="I596" s="3" t="s">
        <v>19</v>
      </c>
      <c r="J596" s="3" t="s">
        <v>19</v>
      </c>
      <c r="K596" s="3" t="s">
        <v>25</v>
      </c>
      <c r="L596" s="3">
        <v>22.22</v>
      </c>
      <c r="M596" s="3" t="s">
        <v>21</v>
      </c>
    </row>
    <row r="597">
      <c r="A597" s="3">
        <v>1760190.0</v>
      </c>
      <c r="B597" s="3" t="s">
        <v>1491</v>
      </c>
      <c r="C597" s="3" t="b">
        <v>1</v>
      </c>
      <c r="D597" s="3" t="b">
        <v>1</v>
      </c>
      <c r="E597" s="3" t="s">
        <v>1492</v>
      </c>
      <c r="F597" s="3" t="s">
        <v>559</v>
      </c>
      <c r="G597" s="4">
        <f>+251926760358</f>
        <v>251926760358</v>
      </c>
      <c r="H597" s="3" t="s">
        <v>18</v>
      </c>
      <c r="I597" s="3" t="s">
        <v>19</v>
      </c>
      <c r="J597" s="3" t="s">
        <v>19</v>
      </c>
      <c r="K597" s="3" t="s">
        <v>20</v>
      </c>
      <c r="L597" s="3">
        <v>19.59</v>
      </c>
      <c r="M597" s="3" t="s">
        <v>21</v>
      </c>
      <c r="O597" s="3">
        <v>2.3596436424E10</v>
      </c>
    </row>
    <row r="598">
      <c r="A598" s="3">
        <v>451588.0</v>
      </c>
      <c r="B598" s="3" t="s">
        <v>1493</v>
      </c>
      <c r="C598" s="3" t="b">
        <v>1</v>
      </c>
      <c r="D598" s="3" t="b">
        <v>1</v>
      </c>
      <c r="E598" s="3" t="s">
        <v>1376</v>
      </c>
      <c r="F598" s="3" t="s">
        <v>404</v>
      </c>
      <c r="G598" s="4">
        <f>+251713221306</f>
        <v>251713221306</v>
      </c>
      <c r="H598" s="3" t="s">
        <v>18</v>
      </c>
      <c r="I598" s="3" t="s">
        <v>19</v>
      </c>
      <c r="J598" s="3" t="s">
        <v>19</v>
      </c>
      <c r="K598" s="3" t="s">
        <v>25</v>
      </c>
      <c r="L598" s="3">
        <v>19.47</v>
      </c>
      <c r="M598" s="3" t="s">
        <v>21</v>
      </c>
    </row>
    <row r="599">
      <c r="A599" s="3">
        <v>2589403.0</v>
      </c>
      <c r="B599" s="3" t="s">
        <v>1494</v>
      </c>
      <c r="C599" s="3" t="b">
        <v>1</v>
      </c>
      <c r="D599" s="3" t="b">
        <v>1</v>
      </c>
      <c r="E599" s="3" t="s">
        <v>1495</v>
      </c>
      <c r="F599" s="3" t="s">
        <v>1496</v>
      </c>
      <c r="G599" s="4">
        <f>+251704402636</f>
        <v>251704402636</v>
      </c>
      <c r="H599" s="3" t="s">
        <v>18</v>
      </c>
      <c r="I599" s="3" t="s">
        <v>19</v>
      </c>
      <c r="J599" s="3" t="s">
        <v>19</v>
      </c>
      <c r="K599" s="3" t="s">
        <v>25</v>
      </c>
      <c r="L599" s="3">
        <v>18.91</v>
      </c>
      <c r="M599" s="3" t="s">
        <v>21</v>
      </c>
      <c r="O599" s="3">
        <v>1.80934505693E11</v>
      </c>
    </row>
    <row r="600">
      <c r="A600" s="3">
        <v>2589455.0</v>
      </c>
      <c r="B600" s="3" t="s">
        <v>1497</v>
      </c>
      <c r="C600" s="3" t="b">
        <v>1</v>
      </c>
      <c r="D600" s="3" t="b">
        <v>1</v>
      </c>
      <c r="E600" s="3" t="s">
        <v>1498</v>
      </c>
      <c r="F600" s="3" t="s">
        <v>404</v>
      </c>
      <c r="G600" s="4">
        <f>+251909328740</f>
        <v>251909328740</v>
      </c>
      <c r="H600" s="3" t="s">
        <v>18</v>
      </c>
      <c r="I600" s="3" t="s">
        <v>19</v>
      </c>
      <c r="J600" s="3" t="s">
        <v>19</v>
      </c>
      <c r="K600" s="3" t="s">
        <v>20</v>
      </c>
      <c r="L600" s="3">
        <v>18.05</v>
      </c>
      <c r="M600" s="3" t="s">
        <v>21</v>
      </c>
      <c r="O600" s="3">
        <v>1.8088000633E11</v>
      </c>
    </row>
    <row r="601">
      <c r="A601" s="3">
        <v>2589494.0</v>
      </c>
      <c r="B601" s="3" t="s">
        <v>1499</v>
      </c>
      <c r="C601" s="3" t="b">
        <v>1</v>
      </c>
      <c r="D601" s="3" t="b">
        <v>1</v>
      </c>
      <c r="E601" s="3" t="s">
        <v>468</v>
      </c>
      <c r="F601" s="3" t="s">
        <v>1500</v>
      </c>
      <c r="G601" s="4">
        <f>+251911081589</f>
        <v>251911081589</v>
      </c>
      <c r="H601" s="3" t="s">
        <v>18</v>
      </c>
      <c r="I601" s="3" t="s">
        <v>19</v>
      </c>
      <c r="J601" s="3" t="s">
        <v>19</v>
      </c>
      <c r="K601" s="3" t="s">
        <v>25</v>
      </c>
      <c r="L601" s="3">
        <v>19.04</v>
      </c>
      <c r="M601" s="3" t="s">
        <v>21</v>
      </c>
      <c r="O601" s="3">
        <v>1.80884583624E11</v>
      </c>
    </row>
    <row r="602">
      <c r="A602" s="3">
        <v>2589587.0</v>
      </c>
      <c r="B602" s="3" t="s">
        <v>1501</v>
      </c>
      <c r="C602" s="3" t="b">
        <v>1</v>
      </c>
      <c r="D602" s="3" t="b">
        <v>1</v>
      </c>
      <c r="E602" s="3" t="s">
        <v>1502</v>
      </c>
      <c r="F602" s="3" t="s">
        <v>1503</v>
      </c>
      <c r="G602" s="4">
        <f>+251989011140</f>
        <v>251989011140</v>
      </c>
      <c r="H602" s="3" t="s">
        <v>18</v>
      </c>
      <c r="I602" s="3" t="s">
        <v>19</v>
      </c>
      <c r="J602" s="3" t="s">
        <v>19</v>
      </c>
      <c r="K602" s="3" t="s">
        <v>20</v>
      </c>
      <c r="L602" s="3">
        <v>20.37</v>
      </c>
      <c r="M602" s="3" t="s">
        <v>21</v>
      </c>
      <c r="O602" s="3">
        <v>1.80982232266E11</v>
      </c>
    </row>
    <row r="603">
      <c r="A603" s="3">
        <v>801120.0</v>
      </c>
      <c r="B603" s="3" t="s">
        <v>1504</v>
      </c>
      <c r="C603" s="3" t="b">
        <v>1</v>
      </c>
      <c r="D603" s="3" t="b">
        <v>1</v>
      </c>
      <c r="E603" s="3" t="s">
        <v>129</v>
      </c>
      <c r="F603" s="3" t="s">
        <v>1505</v>
      </c>
      <c r="G603" s="4">
        <f>+251942465029</f>
        <v>251942465029</v>
      </c>
      <c r="H603" s="3" t="s">
        <v>18</v>
      </c>
      <c r="I603" s="3" t="s">
        <v>19</v>
      </c>
      <c r="J603" s="3" t="s">
        <v>19</v>
      </c>
      <c r="K603" s="3" t="s">
        <v>20</v>
      </c>
      <c r="L603" s="3">
        <v>22.75</v>
      </c>
      <c r="M603" s="3" t="s">
        <v>21</v>
      </c>
      <c r="O603" s="3">
        <v>1227161.0</v>
      </c>
    </row>
    <row r="604">
      <c r="A604" s="3">
        <v>519460.0</v>
      </c>
      <c r="B604" s="3" t="s">
        <v>1506</v>
      </c>
      <c r="C604" s="3" t="b">
        <v>1</v>
      </c>
      <c r="D604" s="3" t="b">
        <v>1</v>
      </c>
      <c r="E604" s="3" t="s">
        <v>314</v>
      </c>
      <c r="F604" s="3" t="s">
        <v>1507</v>
      </c>
      <c r="G604" s="4">
        <f>+251939300774</f>
        <v>251939300774</v>
      </c>
      <c r="H604" s="3" t="s">
        <v>18</v>
      </c>
      <c r="I604" s="3" t="s">
        <v>19</v>
      </c>
      <c r="J604" s="3" t="s">
        <v>19</v>
      </c>
      <c r="K604" s="3" t="s">
        <v>25</v>
      </c>
      <c r="L604" s="3">
        <v>24.7</v>
      </c>
      <c r="M604" s="3" t="s">
        <v>21</v>
      </c>
      <c r="O604" s="3">
        <v>2.8504024E7</v>
      </c>
    </row>
    <row r="605">
      <c r="A605" s="3">
        <v>57506.0</v>
      </c>
      <c r="B605" s="3" t="s">
        <v>1508</v>
      </c>
      <c r="C605" s="3" t="b">
        <v>1</v>
      </c>
      <c r="D605" s="3" t="b">
        <v>1</v>
      </c>
      <c r="E605" s="3" t="s">
        <v>1509</v>
      </c>
      <c r="F605" s="3" t="s">
        <v>196</v>
      </c>
      <c r="G605" s="4">
        <f>+251923721207</f>
        <v>251923721207</v>
      </c>
      <c r="H605" s="3" t="s">
        <v>18</v>
      </c>
      <c r="I605" s="3" t="s">
        <v>19</v>
      </c>
      <c r="J605" s="3" t="s">
        <v>19</v>
      </c>
      <c r="K605" s="3" t="s">
        <v>25</v>
      </c>
      <c r="L605" s="3">
        <v>34.94</v>
      </c>
      <c r="M605" s="3" t="s">
        <v>21</v>
      </c>
      <c r="O605" s="3">
        <v>1886569.0</v>
      </c>
    </row>
    <row r="606">
      <c r="A606" s="3">
        <v>131378.0</v>
      </c>
      <c r="B606" s="3" t="s">
        <v>1510</v>
      </c>
      <c r="C606" s="3" t="b">
        <v>1</v>
      </c>
      <c r="D606" s="3" t="b">
        <v>1</v>
      </c>
      <c r="E606" s="3" t="s">
        <v>1511</v>
      </c>
      <c r="F606" s="3" t="s">
        <v>1512</v>
      </c>
      <c r="G606" s="4">
        <f>+251931579967</f>
        <v>251931579967</v>
      </c>
      <c r="H606" s="3" t="s">
        <v>18</v>
      </c>
      <c r="I606" s="3" t="s">
        <v>19</v>
      </c>
      <c r="J606" s="3" t="s">
        <v>19</v>
      </c>
      <c r="K606" s="3" t="s">
        <v>25</v>
      </c>
      <c r="L606" s="3">
        <v>25.86</v>
      </c>
      <c r="M606" s="3" t="s">
        <v>21</v>
      </c>
      <c r="O606" s="3">
        <v>2.6246476E7</v>
      </c>
    </row>
    <row r="607">
      <c r="A607" s="3">
        <v>2589881.0</v>
      </c>
      <c r="B607" s="3" t="s">
        <v>1513</v>
      </c>
      <c r="C607" s="3" t="b">
        <v>1</v>
      </c>
      <c r="D607" s="3" t="b">
        <v>1</v>
      </c>
      <c r="E607" s="3" t="s">
        <v>264</v>
      </c>
      <c r="F607" s="3" t="s">
        <v>1514</v>
      </c>
      <c r="G607" s="4">
        <f>+251902454108</f>
        <v>251902454108</v>
      </c>
      <c r="H607" s="3" t="s">
        <v>18</v>
      </c>
      <c r="I607" s="3" t="s">
        <v>19</v>
      </c>
      <c r="J607" s="3" t="s">
        <v>19</v>
      </c>
      <c r="K607" s="3" t="s">
        <v>25</v>
      </c>
      <c r="L607" s="3">
        <v>18.13</v>
      </c>
      <c r="M607" s="3" t="s">
        <v>21</v>
      </c>
    </row>
    <row r="608">
      <c r="A608" s="3">
        <v>1713205.0</v>
      </c>
      <c r="B608" s="3" t="s">
        <v>1515</v>
      </c>
      <c r="C608" s="3" t="b">
        <v>1</v>
      </c>
      <c r="D608" s="3" t="b">
        <v>1</v>
      </c>
      <c r="E608" s="3" t="s">
        <v>1516</v>
      </c>
      <c r="F608" s="3" t="s">
        <v>838</v>
      </c>
      <c r="G608" s="4">
        <f>+251912650041</f>
        <v>251912650041</v>
      </c>
      <c r="H608" s="3" t="s">
        <v>18</v>
      </c>
      <c r="I608" s="3" t="s">
        <v>19</v>
      </c>
      <c r="J608" s="3" t="s">
        <v>19</v>
      </c>
      <c r="K608" s="3" t="s">
        <v>25</v>
      </c>
      <c r="L608" s="3">
        <v>29.39</v>
      </c>
      <c r="M608" s="3" t="s">
        <v>21</v>
      </c>
      <c r="O608" s="3">
        <v>2.2393001962E10</v>
      </c>
    </row>
    <row r="609">
      <c r="A609" s="3">
        <v>2590216.0</v>
      </c>
      <c r="B609" s="3" t="s">
        <v>1517</v>
      </c>
      <c r="C609" s="3" t="b">
        <v>1</v>
      </c>
      <c r="D609" s="3" t="b">
        <v>1</v>
      </c>
      <c r="E609" s="3" t="s">
        <v>1063</v>
      </c>
      <c r="F609" s="3" t="s">
        <v>1518</v>
      </c>
      <c r="G609" s="4">
        <f>+251977436765</f>
        <v>251977436765</v>
      </c>
      <c r="H609" s="3" t="s">
        <v>18</v>
      </c>
      <c r="I609" s="3" t="s">
        <v>19</v>
      </c>
      <c r="J609" s="3" t="s">
        <v>19</v>
      </c>
      <c r="K609" s="3" t="s">
        <v>25</v>
      </c>
      <c r="L609" s="3">
        <v>22.15</v>
      </c>
      <c r="M609" s="3" t="s">
        <v>21</v>
      </c>
    </row>
    <row r="610">
      <c r="A610" s="3">
        <v>1454451.0</v>
      </c>
      <c r="B610" s="3" t="s">
        <v>1519</v>
      </c>
      <c r="C610" s="3" t="b">
        <v>1</v>
      </c>
      <c r="D610" s="3" t="b">
        <v>1</v>
      </c>
      <c r="E610" s="3" t="s">
        <v>534</v>
      </c>
      <c r="F610" s="3" t="s">
        <v>64</v>
      </c>
      <c r="G610" s="4">
        <f>+251903689582</f>
        <v>251903689582</v>
      </c>
      <c r="H610" s="3" t="s">
        <v>18</v>
      </c>
      <c r="I610" s="3" t="s">
        <v>19</v>
      </c>
      <c r="J610" s="3" t="s">
        <v>19</v>
      </c>
      <c r="K610" s="3" t="s">
        <v>20</v>
      </c>
      <c r="L610" s="3">
        <v>19.26</v>
      </c>
      <c r="M610" s="3" t="s">
        <v>21</v>
      </c>
    </row>
    <row r="611">
      <c r="A611" s="3">
        <v>2415541.0</v>
      </c>
      <c r="B611" s="3" t="s">
        <v>1520</v>
      </c>
      <c r="C611" s="3" t="b">
        <v>1</v>
      </c>
      <c r="D611" s="3" t="b">
        <v>1</v>
      </c>
      <c r="E611" s="3" t="s">
        <v>386</v>
      </c>
      <c r="F611" s="3" t="s">
        <v>274</v>
      </c>
      <c r="G611" s="4">
        <f>+251913064297</f>
        <v>251913064297</v>
      </c>
      <c r="H611" s="3" t="s">
        <v>18</v>
      </c>
      <c r="I611" s="3" t="s">
        <v>19</v>
      </c>
      <c r="J611" s="3" t="s">
        <v>19</v>
      </c>
      <c r="K611" s="3" t="s">
        <v>25</v>
      </c>
      <c r="L611" s="3">
        <v>30.29</v>
      </c>
      <c r="M611" s="3" t="s">
        <v>21</v>
      </c>
      <c r="O611" s="3">
        <v>9720188.0</v>
      </c>
    </row>
    <row r="612">
      <c r="A612" s="3">
        <v>206268.0</v>
      </c>
      <c r="B612" s="3" t="s">
        <v>1521</v>
      </c>
      <c r="C612" s="3" t="b">
        <v>1</v>
      </c>
      <c r="D612" s="3" t="b">
        <v>1</v>
      </c>
      <c r="E612" s="3" t="s">
        <v>1522</v>
      </c>
      <c r="F612" s="3" t="s">
        <v>58</v>
      </c>
      <c r="G612" s="4">
        <f>+251935817425</f>
        <v>251935817425</v>
      </c>
      <c r="H612" s="3" t="s">
        <v>18</v>
      </c>
      <c r="I612" s="3" t="s">
        <v>19</v>
      </c>
      <c r="J612" s="3" t="s">
        <v>19</v>
      </c>
      <c r="K612" s="3" t="s">
        <v>25</v>
      </c>
      <c r="L612" s="3">
        <v>23.59</v>
      </c>
      <c r="M612" s="3" t="s">
        <v>21</v>
      </c>
      <c r="O612" s="3">
        <v>1.4643703E7</v>
      </c>
    </row>
    <row r="613">
      <c r="A613" s="3">
        <v>2597348.0</v>
      </c>
      <c r="B613" s="3" t="s">
        <v>1523</v>
      </c>
      <c r="C613" s="3" t="b">
        <v>1</v>
      </c>
      <c r="D613" s="3" t="b">
        <v>1</v>
      </c>
      <c r="E613" s="3" t="s">
        <v>1524</v>
      </c>
      <c r="F613" s="3" t="s">
        <v>1525</v>
      </c>
      <c r="G613" s="4">
        <f>+251909943873</f>
        <v>251909943873</v>
      </c>
      <c r="H613" s="3" t="s">
        <v>18</v>
      </c>
      <c r="I613" s="3" t="s">
        <v>19</v>
      </c>
      <c r="J613" s="3" t="s">
        <v>19</v>
      </c>
      <c r="K613" s="3" t="s">
        <v>25</v>
      </c>
      <c r="L613" s="3">
        <v>27.41</v>
      </c>
      <c r="M613" s="3" t="s">
        <v>21</v>
      </c>
      <c r="O613" s="3">
        <v>1.84727265503E11</v>
      </c>
    </row>
    <row r="614">
      <c r="A614" s="3">
        <v>2599076.0</v>
      </c>
      <c r="B614" s="3" t="s">
        <v>1526</v>
      </c>
      <c r="C614" s="3" t="b">
        <v>1</v>
      </c>
      <c r="D614" s="3" t="b">
        <v>1</v>
      </c>
      <c r="E614" s="3" t="s">
        <v>1527</v>
      </c>
      <c r="F614" s="3" t="s">
        <v>170</v>
      </c>
      <c r="G614" s="4">
        <f>+251934138615</f>
        <v>251934138615</v>
      </c>
      <c r="H614" s="3" t="s">
        <v>18</v>
      </c>
      <c r="I614" s="3" t="s">
        <v>19</v>
      </c>
      <c r="J614" s="3" t="s">
        <v>19</v>
      </c>
      <c r="K614" s="3" t="s">
        <v>20</v>
      </c>
      <c r="L614" s="3">
        <v>23.03</v>
      </c>
      <c r="M614" s="3" t="s">
        <v>21</v>
      </c>
      <c r="O614" s="3">
        <v>1.85488144605E11</v>
      </c>
    </row>
    <row r="615">
      <c r="A615" s="3">
        <v>1721656.0</v>
      </c>
      <c r="B615" s="3" t="s">
        <v>1528</v>
      </c>
      <c r="C615" s="3" t="b">
        <v>1</v>
      </c>
      <c r="D615" s="3" t="b">
        <v>1</v>
      </c>
      <c r="E615" s="3" t="s">
        <v>46</v>
      </c>
      <c r="F615" s="3" t="s">
        <v>1529</v>
      </c>
      <c r="G615" s="4">
        <f>+251911257549</f>
        <v>251911257549</v>
      </c>
      <c r="H615" s="3" t="s">
        <v>18</v>
      </c>
      <c r="I615" s="3" t="s">
        <v>19</v>
      </c>
      <c r="J615" s="3" t="s">
        <v>19</v>
      </c>
      <c r="K615" s="3" t="s">
        <v>25</v>
      </c>
      <c r="L615" s="3">
        <v>30.54</v>
      </c>
      <c r="M615" s="3" t="s">
        <v>21</v>
      </c>
      <c r="O615" s="3">
        <v>8770116.0</v>
      </c>
    </row>
    <row r="616">
      <c r="A616" s="3">
        <v>2540337.0</v>
      </c>
      <c r="B616" s="3" t="s">
        <v>1530</v>
      </c>
      <c r="C616" s="3" t="b">
        <v>1</v>
      </c>
      <c r="D616" s="3" t="b">
        <v>1</v>
      </c>
      <c r="E616" s="3" t="s">
        <v>1531</v>
      </c>
      <c r="F616" s="3" t="s">
        <v>1532</v>
      </c>
      <c r="G616" s="4">
        <f>+251924326175</f>
        <v>251924326175</v>
      </c>
      <c r="H616" s="3" t="s">
        <v>18</v>
      </c>
      <c r="I616" s="3" t="s">
        <v>19</v>
      </c>
      <c r="J616" s="3" t="s">
        <v>19</v>
      </c>
      <c r="K616" s="3" t="s">
        <v>25</v>
      </c>
      <c r="L616" s="3">
        <v>24.37</v>
      </c>
      <c r="M616" s="3" t="s">
        <v>21</v>
      </c>
      <c r="O616" s="3">
        <v>1.59611783367E11</v>
      </c>
    </row>
    <row r="617">
      <c r="A617" s="3">
        <v>2604047.0</v>
      </c>
      <c r="B617" s="3" t="s">
        <v>1533</v>
      </c>
      <c r="C617" s="3" t="b">
        <v>1</v>
      </c>
      <c r="D617" s="3" t="b">
        <v>1</v>
      </c>
      <c r="E617" s="3" t="s">
        <v>534</v>
      </c>
      <c r="F617" s="3" t="s">
        <v>1534</v>
      </c>
      <c r="G617" s="4">
        <f>+251701030056</f>
        <v>251701030056</v>
      </c>
      <c r="H617" s="3" t="s">
        <v>18</v>
      </c>
      <c r="I617" s="3" t="s">
        <v>19</v>
      </c>
      <c r="J617" s="3" t="s">
        <v>19</v>
      </c>
      <c r="K617" s="3" t="s">
        <v>20</v>
      </c>
      <c r="L617" s="3">
        <v>22.23</v>
      </c>
      <c r="M617" s="3" t="s">
        <v>21</v>
      </c>
    </row>
    <row r="618">
      <c r="A618" s="3">
        <v>2604133.0</v>
      </c>
      <c r="B618" s="3" t="s">
        <v>1535</v>
      </c>
      <c r="C618" s="3" t="b">
        <v>1</v>
      </c>
      <c r="D618" s="3" t="b">
        <v>1</v>
      </c>
      <c r="E618" s="3" t="s">
        <v>27</v>
      </c>
      <c r="F618" s="3" t="s">
        <v>1536</v>
      </c>
      <c r="G618" s="4">
        <f>+251920477773</f>
        <v>251920477773</v>
      </c>
      <c r="H618" s="3" t="s">
        <v>18</v>
      </c>
      <c r="I618" s="3" t="s">
        <v>19</v>
      </c>
      <c r="J618" s="3" t="s">
        <v>19</v>
      </c>
      <c r="K618" s="3" t="s">
        <v>25</v>
      </c>
      <c r="L618" s="3">
        <v>22.25</v>
      </c>
      <c r="M618" s="3" t="s">
        <v>21</v>
      </c>
      <c r="O618" s="3">
        <v>1.87718709446E11</v>
      </c>
    </row>
    <row r="619">
      <c r="A619" s="3">
        <v>2470538.0</v>
      </c>
      <c r="B619" s="3" t="s">
        <v>1537</v>
      </c>
      <c r="C619" s="3" t="b">
        <v>1</v>
      </c>
      <c r="D619" s="3" t="b">
        <v>1</v>
      </c>
      <c r="E619" s="3" t="s">
        <v>1538</v>
      </c>
      <c r="F619" s="3" t="s">
        <v>1539</v>
      </c>
      <c r="G619" s="4">
        <f>+251986062462</f>
        <v>251986062462</v>
      </c>
      <c r="H619" s="3" t="s">
        <v>18</v>
      </c>
      <c r="I619" s="3" t="s">
        <v>19</v>
      </c>
      <c r="J619" s="3" t="s">
        <v>19</v>
      </c>
      <c r="K619" s="3" t="s">
        <v>25</v>
      </c>
      <c r="L619" s="3">
        <v>27.63</v>
      </c>
      <c r="M619" s="3" t="s">
        <v>21</v>
      </c>
    </row>
    <row r="620">
      <c r="A620" s="3">
        <v>2604702.0</v>
      </c>
      <c r="B620" s="3" t="s">
        <v>1540</v>
      </c>
      <c r="C620" s="3" t="b">
        <v>1</v>
      </c>
      <c r="D620" s="3" t="b">
        <v>1</v>
      </c>
      <c r="E620" s="3" t="s">
        <v>1541</v>
      </c>
      <c r="F620" s="3" t="s">
        <v>1542</v>
      </c>
      <c r="G620" s="4">
        <f>+251938558429</f>
        <v>251938558429</v>
      </c>
      <c r="H620" s="3" t="s">
        <v>18</v>
      </c>
      <c r="I620" s="3" t="s">
        <v>19</v>
      </c>
      <c r="J620" s="3" t="s">
        <v>19</v>
      </c>
      <c r="K620" s="3" t="s">
        <v>20</v>
      </c>
      <c r="L620" s="3">
        <v>19.91</v>
      </c>
      <c r="M620" s="3" t="s">
        <v>21</v>
      </c>
      <c r="O620" s="3">
        <v>1.88135310538E11</v>
      </c>
    </row>
    <row r="621">
      <c r="A621" s="3">
        <v>1984101.0</v>
      </c>
      <c r="B621" s="3" t="s">
        <v>1543</v>
      </c>
      <c r="C621" s="3" t="b">
        <v>1</v>
      </c>
      <c r="D621" s="3" t="b">
        <v>1</v>
      </c>
      <c r="E621" s="3" t="s">
        <v>58</v>
      </c>
      <c r="F621" s="3" t="s">
        <v>468</v>
      </c>
      <c r="G621" s="4">
        <f>+251942181620</f>
        <v>251942181620</v>
      </c>
      <c r="H621" s="3" t="s">
        <v>18</v>
      </c>
      <c r="I621" s="3" t="s">
        <v>19</v>
      </c>
      <c r="J621" s="3" t="s">
        <v>19</v>
      </c>
      <c r="K621" s="3" t="s">
        <v>25</v>
      </c>
      <c r="L621" s="3">
        <v>23.98</v>
      </c>
      <c r="M621" s="3" t="s">
        <v>21</v>
      </c>
      <c r="O621" s="3">
        <v>2.8110836963E10</v>
      </c>
    </row>
    <row r="622">
      <c r="A622" s="3">
        <v>668739.0</v>
      </c>
      <c r="B622" s="3" t="s">
        <v>1544</v>
      </c>
      <c r="C622" s="3" t="b">
        <v>1</v>
      </c>
      <c r="D622" s="3" t="b">
        <v>1</v>
      </c>
      <c r="E622" s="3" t="s">
        <v>1545</v>
      </c>
      <c r="F622" s="3" t="s">
        <v>404</v>
      </c>
      <c r="G622" s="4">
        <f>+251927694164</f>
        <v>251927694164</v>
      </c>
      <c r="H622" s="3" t="s">
        <v>18</v>
      </c>
      <c r="I622" s="3" t="s">
        <v>19</v>
      </c>
      <c r="J622" s="3" t="s">
        <v>19</v>
      </c>
      <c r="K622" s="3" t="s">
        <v>25</v>
      </c>
      <c r="L622" s="3">
        <v>23.06</v>
      </c>
      <c r="M622" s="3" t="s">
        <v>21</v>
      </c>
      <c r="O622" s="3">
        <v>9197003.0</v>
      </c>
    </row>
    <row r="623">
      <c r="A623" s="3">
        <v>2605568.0</v>
      </c>
      <c r="B623" s="3" t="s">
        <v>1546</v>
      </c>
      <c r="C623" s="3" t="b">
        <v>1</v>
      </c>
      <c r="D623" s="3" t="b">
        <v>1</v>
      </c>
      <c r="E623" s="3" t="s">
        <v>1547</v>
      </c>
      <c r="F623" s="3" t="s">
        <v>336</v>
      </c>
      <c r="G623" s="4">
        <f>+251955237468</f>
        <v>251955237468</v>
      </c>
      <c r="H623" s="3" t="s">
        <v>18</v>
      </c>
      <c r="I623" s="3" t="s">
        <v>19</v>
      </c>
      <c r="J623" s="3" t="s">
        <v>19</v>
      </c>
      <c r="K623" s="3" t="s">
        <v>25</v>
      </c>
      <c r="L623" s="3">
        <v>21.01</v>
      </c>
      <c r="M623" s="3" t="s">
        <v>21</v>
      </c>
    </row>
    <row r="624">
      <c r="A624" s="3">
        <v>2606056.0</v>
      </c>
      <c r="B624" s="3" t="s">
        <v>1548</v>
      </c>
      <c r="C624" s="3" t="b">
        <v>1</v>
      </c>
      <c r="D624" s="3" t="b">
        <v>1</v>
      </c>
      <c r="E624" s="3" t="s">
        <v>1549</v>
      </c>
      <c r="F624" s="3" t="s">
        <v>638</v>
      </c>
      <c r="G624" s="4">
        <f>+251955331410</f>
        <v>251955331410</v>
      </c>
      <c r="H624" s="3" t="s">
        <v>18</v>
      </c>
      <c r="I624" s="3" t="s">
        <v>19</v>
      </c>
      <c r="J624" s="3" t="s">
        <v>19</v>
      </c>
      <c r="K624" s="3" t="s">
        <v>25</v>
      </c>
      <c r="L624" s="3">
        <v>23.03</v>
      </c>
      <c r="M624" s="3" t="s">
        <v>21</v>
      </c>
    </row>
    <row r="625">
      <c r="A625" s="3">
        <v>2606566.0</v>
      </c>
      <c r="B625" s="3" t="s">
        <v>1550</v>
      </c>
      <c r="C625" s="3" t="b">
        <v>1</v>
      </c>
      <c r="D625" s="3" t="b">
        <v>1</v>
      </c>
      <c r="E625" s="3" t="s">
        <v>1551</v>
      </c>
      <c r="F625" s="3" t="s">
        <v>1552</v>
      </c>
      <c r="G625" s="4">
        <f>+251929347723</f>
        <v>251929347723</v>
      </c>
      <c r="H625" s="3" t="s">
        <v>18</v>
      </c>
      <c r="I625" s="3" t="s">
        <v>19</v>
      </c>
      <c r="J625" s="3" t="s">
        <v>19</v>
      </c>
      <c r="K625" s="3" t="s">
        <v>20</v>
      </c>
      <c r="L625" s="3">
        <v>21.04</v>
      </c>
      <c r="M625" s="3" t="s">
        <v>21</v>
      </c>
    </row>
    <row r="626">
      <c r="A626" s="3">
        <v>2608116.0</v>
      </c>
      <c r="B626" s="3" t="s">
        <v>1553</v>
      </c>
      <c r="C626" s="3" t="b">
        <v>1</v>
      </c>
      <c r="D626" s="3" t="b">
        <v>0</v>
      </c>
      <c r="E626" s="3" t="s">
        <v>1554</v>
      </c>
      <c r="F626" s="3" t="s">
        <v>1555</v>
      </c>
      <c r="G626" s="4">
        <f>+251925334167</f>
        <v>251925334167</v>
      </c>
      <c r="H626" s="3" t="s">
        <v>18</v>
      </c>
      <c r="I626" s="3" t="s">
        <v>19</v>
      </c>
      <c r="J626" s="3" t="s">
        <v>19</v>
      </c>
      <c r="K626" s="3" t="s">
        <v>25</v>
      </c>
      <c r="L626" s="3">
        <v>24.74</v>
      </c>
      <c r="M626" s="3" t="s">
        <v>21</v>
      </c>
    </row>
    <row r="627">
      <c r="A627" s="3">
        <v>2608123.0</v>
      </c>
      <c r="B627" s="3" t="s">
        <v>1556</v>
      </c>
      <c r="C627" s="3" t="b">
        <v>1</v>
      </c>
      <c r="D627" s="3" t="b">
        <v>1</v>
      </c>
      <c r="E627" s="3" t="s">
        <v>420</v>
      </c>
      <c r="F627" s="3" t="s">
        <v>1557</v>
      </c>
      <c r="G627" s="4">
        <f>+251907610400</f>
        <v>251907610400</v>
      </c>
      <c r="H627" s="3" t="s">
        <v>18</v>
      </c>
      <c r="I627" s="3" t="s">
        <v>19</v>
      </c>
      <c r="J627" s="3" t="s">
        <v>19</v>
      </c>
      <c r="K627" s="3" t="s">
        <v>25</v>
      </c>
      <c r="L627" s="3">
        <v>21.3</v>
      </c>
      <c r="M627" s="3" t="s">
        <v>21</v>
      </c>
    </row>
    <row r="628">
      <c r="A628" s="3">
        <v>2608168.0</v>
      </c>
      <c r="B628" s="3" t="s">
        <v>1558</v>
      </c>
      <c r="C628" s="3" t="b">
        <v>1</v>
      </c>
      <c r="D628" s="3" t="b">
        <v>1</v>
      </c>
      <c r="E628" s="3" t="s">
        <v>1559</v>
      </c>
      <c r="F628" s="3" t="s">
        <v>284</v>
      </c>
      <c r="G628" s="4">
        <f>+251918346175</f>
        <v>251918346175</v>
      </c>
      <c r="H628" s="3" t="s">
        <v>18</v>
      </c>
      <c r="I628" s="3" t="s">
        <v>19</v>
      </c>
      <c r="J628" s="3" t="s">
        <v>19</v>
      </c>
      <c r="K628" s="3" t="s">
        <v>25</v>
      </c>
      <c r="L628" s="3">
        <v>25.02</v>
      </c>
      <c r="M628" s="3" t="s">
        <v>21</v>
      </c>
      <c r="O628" s="3">
        <v>1.90049982692E11</v>
      </c>
    </row>
    <row r="629">
      <c r="A629" s="3">
        <v>177204.0</v>
      </c>
      <c r="B629" s="3" t="s">
        <v>1560</v>
      </c>
      <c r="C629" s="3" t="b">
        <v>1</v>
      </c>
      <c r="D629" s="3" t="b">
        <v>1</v>
      </c>
      <c r="E629" s="3" t="s">
        <v>1561</v>
      </c>
      <c r="F629" s="3" t="s">
        <v>1562</v>
      </c>
      <c r="G629" s="3">
        <v>9.28522594E8</v>
      </c>
      <c r="H629" s="3" t="s">
        <v>18</v>
      </c>
      <c r="I629" s="3" t="s">
        <v>19</v>
      </c>
      <c r="J629" s="3" t="s">
        <v>19</v>
      </c>
      <c r="K629" s="3" t="s">
        <v>20</v>
      </c>
      <c r="L629" s="3">
        <v>28.04</v>
      </c>
      <c r="M629" s="3" t="s">
        <v>21</v>
      </c>
      <c r="O629" s="3">
        <v>2.5387558E7</v>
      </c>
    </row>
    <row r="630">
      <c r="A630" s="3">
        <v>2437662.0</v>
      </c>
      <c r="B630" s="3" t="s">
        <v>1563</v>
      </c>
      <c r="C630" s="3" t="b">
        <v>1</v>
      </c>
      <c r="D630" s="3" t="b">
        <v>1</v>
      </c>
      <c r="E630" s="3" t="s">
        <v>1564</v>
      </c>
      <c r="F630" s="3" t="s">
        <v>1565</v>
      </c>
      <c r="G630" s="4">
        <f>+251967044111</f>
        <v>251967044111</v>
      </c>
      <c r="H630" s="3" t="s">
        <v>18</v>
      </c>
      <c r="I630" s="3" t="s">
        <v>19</v>
      </c>
      <c r="J630" s="3" t="s">
        <v>19</v>
      </c>
      <c r="K630" s="3" t="s">
        <v>25</v>
      </c>
      <c r="L630" s="3">
        <v>31.55</v>
      </c>
      <c r="M630" s="3" t="s">
        <v>21</v>
      </c>
      <c r="O630" s="3">
        <v>1900791.0</v>
      </c>
    </row>
    <row r="631">
      <c r="A631" s="3">
        <v>212486.0</v>
      </c>
      <c r="B631" s="3" t="s">
        <v>1566</v>
      </c>
      <c r="C631" s="3" t="b">
        <v>1</v>
      </c>
      <c r="D631" s="3" t="b">
        <v>1</v>
      </c>
      <c r="E631" s="3" t="s">
        <v>817</v>
      </c>
      <c r="F631" s="3" t="s">
        <v>428</v>
      </c>
      <c r="G631" s="4">
        <f>+251703000257</f>
        <v>251703000257</v>
      </c>
      <c r="H631" s="3" t="s">
        <v>18</v>
      </c>
      <c r="I631" s="3" t="s">
        <v>19</v>
      </c>
      <c r="J631" s="3" t="s">
        <v>19</v>
      </c>
      <c r="K631" s="3" t="s">
        <v>20</v>
      </c>
      <c r="L631" s="3">
        <v>34.39</v>
      </c>
      <c r="M631" s="3" t="s">
        <v>21</v>
      </c>
      <c r="O631" s="3">
        <v>2.8263142E7</v>
      </c>
    </row>
    <row r="632">
      <c r="A632" s="3">
        <v>2608284.0</v>
      </c>
      <c r="B632" s="3" t="s">
        <v>1567</v>
      </c>
      <c r="C632" s="3" t="b">
        <v>1</v>
      </c>
      <c r="D632" s="3" t="b">
        <v>1</v>
      </c>
      <c r="E632" s="3" t="s">
        <v>1568</v>
      </c>
      <c r="F632" s="3" t="s">
        <v>1569</v>
      </c>
      <c r="G632" s="4">
        <f>+251924013856</f>
        <v>251924013856</v>
      </c>
      <c r="H632" s="3" t="s">
        <v>18</v>
      </c>
      <c r="I632" s="3" t="s">
        <v>19</v>
      </c>
      <c r="J632" s="3" t="s">
        <v>19</v>
      </c>
      <c r="K632" s="3" t="s">
        <v>25</v>
      </c>
      <c r="L632" s="3">
        <v>24.49</v>
      </c>
      <c r="M632" s="3" t="s">
        <v>21</v>
      </c>
      <c r="O632" s="3">
        <v>1074177.0</v>
      </c>
    </row>
    <row r="633">
      <c r="A633" s="3">
        <v>2431230.0</v>
      </c>
      <c r="B633" s="3" t="s">
        <v>1570</v>
      </c>
      <c r="C633" s="3" t="b">
        <v>1</v>
      </c>
      <c r="D633" s="3" t="b">
        <v>1</v>
      </c>
      <c r="E633" s="3" t="s">
        <v>316</v>
      </c>
      <c r="F633" s="3" t="s">
        <v>1503</v>
      </c>
      <c r="G633" s="4">
        <f>+251965178102</f>
        <v>251965178102</v>
      </c>
      <c r="H633" s="3" t="s">
        <v>18</v>
      </c>
      <c r="I633" s="3" t="s">
        <v>19</v>
      </c>
      <c r="J633" s="3" t="s">
        <v>19</v>
      </c>
      <c r="K633" s="3" t="s">
        <v>25</v>
      </c>
      <c r="L633" s="3">
        <v>26.01</v>
      </c>
      <c r="M633" s="3" t="s">
        <v>21</v>
      </c>
      <c r="O633" s="3">
        <v>1.01448681716E11</v>
      </c>
    </row>
    <row r="634">
      <c r="A634" s="3">
        <v>2608318.0</v>
      </c>
      <c r="B634" s="3" t="s">
        <v>1571</v>
      </c>
      <c r="C634" s="3" t="b">
        <v>1</v>
      </c>
      <c r="D634" s="3" t="b">
        <v>1</v>
      </c>
      <c r="E634" s="3" t="s">
        <v>1572</v>
      </c>
      <c r="F634" s="3" t="s">
        <v>1573</v>
      </c>
      <c r="G634" s="4">
        <f>+251938410561</f>
        <v>251938410561</v>
      </c>
      <c r="H634" s="3" t="s">
        <v>18</v>
      </c>
      <c r="I634" s="3" t="s">
        <v>19</v>
      </c>
      <c r="J634" s="3" t="s">
        <v>19</v>
      </c>
      <c r="K634" s="3" t="s">
        <v>25</v>
      </c>
      <c r="L634" s="3">
        <v>26.29</v>
      </c>
      <c r="M634" s="3" t="s">
        <v>21</v>
      </c>
    </row>
    <row r="635">
      <c r="A635" s="3">
        <v>2608314.0</v>
      </c>
      <c r="B635" s="3" t="s">
        <v>1574</v>
      </c>
      <c r="C635" s="3" t="b">
        <v>1</v>
      </c>
      <c r="D635" s="3" t="b">
        <v>1</v>
      </c>
      <c r="E635" s="3" t="s">
        <v>1010</v>
      </c>
      <c r="F635" s="3" t="s">
        <v>1575</v>
      </c>
      <c r="G635" s="4">
        <f>+251976347168</f>
        <v>251976347168</v>
      </c>
      <c r="H635" s="3" t="s">
        <v>18</v>
      </c>
      <c r="I635" s="3" t="s">
        <v>19</v>
      </c>
      <c r="J635" s="3" t="s">
        <v>19</v>
      </c>
      <c r="K635" s="3" t="s">
        <v>20</v>
      </c>
      <c r="L635" s="3">
        <v>27.46</v>
      </c>
      <c r="M635" s="3" t="s">
        <v>21</v>
      </c>
    </row>
    <row r="636">
      <c r="A636" s="3">
        <v>2608313.0</v>
      </c>
      <c r="B636" s="3" t="s">
        <v>1576</v>
      </c>
      <c r="C636" s="3" t="b">
        <v>1</v>
      </c>
      <c r="D636" s="3" t="b">
        <v>1</v>
      </c>
      <c r="E636" s="3" t="s">
        <v>806</v>
      </c>
      <c r="F636" s="3" t="s">
        <v>1577</v>
      </c>
      <c r="G636" s="4">
        <f>+251932280005</f>
        <v>251932280005</v>
      </c>
      <c r="H636" s="3" t="s">
        <v>18</v>
      </c>
      <c r="I636" s="3" t="s">
        <v>19</v>
      </c>
      <c r="J636" s="3" t="s">
        <v>19</v>
      </c>
      <c r="K636" s="3" t="s">
        <v>20</v>
      </c>
      <c r="L636" s="3">
        <v>22.85</v>
      </c>
      <c r="M636" s="3" t="s">
        <v>21</v>
      </c>
      <c r="O636" s="3">
        <v>1.8993938661E11</v>
      </c>
    </row>
    <row r="637">
      <c r="A637" s="3">
        <v>1701516.0</v>
      </c>
      <c r="B637" s="3" t="s">
        <v>1578</v>
      </c>
      <c r="C637" s="3" t="b">
        <v>1</v>
      </c>
      <c r="D637" s="3" t="b">
        <v>1</v>
      </c>
      <c r="E637" s="3" t="s">
        <v>1579</v>
      </c>
      <c r="F637" s="3" t="s">
        <v>425</v>
      </c>
      <c r="G637" s="4">
        <f>+251974519884</f>
        <v>251974519884</v>
      </c>
      <c r="H637" s="3" t="s">
        <v>18</v>
      </c>
      <c r="I637" s="3" t="s">
        <v>19</v>
      </c>
      <c r="J637" s="3" t="s">
        <v>19</v>
      </c>
      <c r="K637" s="3" t="s">
        <v>25</v>
      </c>
      <c r="L637" s="3">
        <v>21.82</v>
      </c>
      <c r="M637" s="3" t="s">
        <v>21</v>
      </c>
      <c r="O637" s="3">
        <v>2.2017482688E10</v>
      </c>
    </row>
    <row r="638">
      <c r="A638" s="3">
        <v>500812.0</v>
      </c>
      <c r="B638" s="3" t="s">
        <v>1580</v>
      </c>
      <c r="C638" s="3" t="b">
        <v>1</v>
      </c>
      <c r="D638" s="3" t="b">
        <v>1</v>
      </c>
      <c r="E638" s="3" t="s">
        <v>1502</v>
      </c>
      <c r="F638" s="3" t="s">
        <v>1581</v>
      </c>
      <c r="G638" s="3">
        <v>9.34453062E8</v>
      </c>
      <c r="H638" s="3" t="s">
        <v>18</v>
      </c>
      <c r="I638" s="3" t="s">
        <v>19</v>
      </c>
      <c r="J638" s="3" t="s">
        <v>19</v>
      </c>
      <c r="K638" s="3" t="s">
        <v>20</v>
      </c>
      <c r="L638" s="3">
        <v>33.8</v>
      </c>
      <c r="M638" s="3" t="s">
        <v>21</v>
      </c>
      <c r="O638" s="3">
        <v>2.842192E7</v>
      </c>
    </row>
    <row r="639">
      <c r="A639" s="3">
        <v>2608569.0</v>
      </c>
      <c r="B639" s="3" t="s">
        <v>1582</v>
      </c>
      <c r="C639" s="3" t="b">
        <v>1</v>
      </c>
      <c r="D639" s="3" t="b">
        <v>1</v>
      </c>
      <c r="E639" s="3" t="s">
        <v>1583</v>
      </c>
      <c r="F639" s="3" t="s">
        <v>1584</v>
      </c>
      <c r="G639" s="4">
        <f>+251984840048</f>
        <v>251984840048</v>
      </c>
      <c r="H639" s="3" t="s">
        <v>18</v>
      </c>
      <c r="I639" s="3" t="s">
        <v>19</v>
      </c>
      <c r="J639" s="3" t="s">
        <v>19</v>
      </c>
      <c r="K639" s="3" t="s">
        <v>25</v>
      </c>
      <c r="L639" s="3">
        <v>24.49</v>
      </c>
      <c r="M639" s="3" t="s">
        <v>21</v>
      </c>
      <c r="O639" s="3">
        <v>1.89960509648E11</v>
      </c>
    </row>
    <row r="640">
      <c r="A640" s="3">
        <v>2608589.0</v>
      </c>
      <c r="B640" s="3" t="s">
        <v>1585</v>
      </c>
      <c r="C640" s="3" t="b">
        <v>1</v>
      </c>
      <c r="D640" s="3" t="b">
        <v>1</v>
      </c>
      <c r="E640" s="3" t="s">
        <v>1104</v>
      </c>
      <c r="F640" s="3" t="s">
        <v>1586</v>
      </c>
      <c r="G640" s="4">
        <f>+251943852446</f>
        <v>251943852446</v>
      </c>
      <c r="H640" s="3" t="s">
        <v>18</v>
      </c>
      <c r="I640" s="3" t="s">
        <v>19</v>
      </c>
      <c r="J640" s="3" t="s">
        <v>19</v>
      </c>
      <c r="K640" s="3" t="s">
        <v>25</v>
      </c>
      <c r="L640" s="3">
        <v>22.74</v>
      </c>
      <c r="M640" s="3" t="s">
        <v>21</v>
      </c>
      <c r="O640" s="3">
        <v>1885455.0</v>
      </c>
    </row>
    <row r="641">
      <c r="A641" s="3">
        <v>2609403.0</v>
      </c>
      <c r="B641" s="3" t="s">
        <v>1587</v>
      </c>
      <c r="C641" s="3" t="b">
        <v>1</v>
      </c>
      <c r="D641" s="3" t="b">
        <v>1</v>
      </c>
      <c r="E641" s="3" t="s">
        <v>1588</v>
      </c>
      <c r="F641" s="3" t="s">
        <v>1589</v>
      </c>
      <c r="G641" s="4">
        <f>+251915987463</f>
        <v>251915987463</v>
      </c>
      <c r="H641" s="3" t="s">
        <v>18</v>
      </c>
      <c r="I641" s="3" t="s">
        <v>19</v>
      </c>
      <c r="J641" s="3" t="s">
        <v>19</v>
      </c>
      <c r="K641" s="3" t="s">
        <v>25</v>
      </c>
      <c r="L641" s="3">
        <v>26.67</v>
      </c>
      <c r="M641" s="3" t="s">
        <v>21</v>
      </c>
      <c r="O641" s="3">
        <v>8820760.0</v>
      </c>
    </row>
    <row r="642">
      <c r="A642" s="3">
        <v>2612421.0</v>
      </c>
      <c r="B642" s="3" t="s">
        <v>1590</v>
      </c>
      <c r="C642" s="3" t="b">
        <v>1</v>
      </c>
      <c r="D642" s="3" t="b">
        <v>1</v>
      </c>
      <c r="E642" s="3" t="s">
        <v>1591</v>
      </c>
      <c r="F642" s="3" t="s">
        <v>230</v>
      </c>
      <c r="G642" s="4">
        <f>+251933855013</f>
        <v>251933855013</v>
      </c>
      <c r="H642" s="3" t="s">
        <v>18</v>
      </c>
      <c r="I642" s="3" t="s">
        <v>19</v>
      </c>
      <c r="J642" s="3" t="s">
        <v>19</v>
      </c>
      <c r="K642" s="3" t="s">
        <v>25</v>
      </c>
      <c r="L642" s="3">
        <v>29.36</v>
      </c>
      <c r="M642" s="3" t="s">
        <v>21</v>
      </c>
      <c r="O642" s="3">
        <v>1.91196603631E11</v>
      </c>
    </row>
    <row r="643">
      <c r="A643" s="3">
        <v>2612471.0</v>
      </c>
      <c r="B643" s="3" t="s">
        <v>1592</v>
      </c>
      <c r="C643" s="3" t="b">
        <v>1</v>
      </c>
      <c r="D643" s="3" t="b">
        <v>1</v>
      </c>
      <c r="E643" s="3" t="s">
        <v>1593</v>
      </c>
      <c r="F643" s="3" t="s">
        <v>1594</v>
      </c>
      <c r="G643" s="4">
        <f>+251962164848</f>
        <v>251962164848</v>
      </c>
      <c r="H643" s="3" t="s">
        <v>18</v>
      </c>
      <c r="I643" s="3" t="s">
        <v>19</v>
      </c>
      <c r="J643" s="3" t="s">
        <v>19</v>
      </c>
      <c r="K643" s="3" t="s">
        <v>25</v>
      </c>
      <c r="L643" s="3">
        <v>33.88</v>
      </c>
      <c r="M643" s="3" t="s">
        <v>21</v>
      </c>
    </row>
    <row r="644">
      <c r="A644" s="3">
        <v>2614530.0</v>
      </c>
      <c r="B644" s="3" t="s">
        <v>1595</v>
      </c>
      <c r="C644" s="3" t="b">
        <v>1</v>
      </c>
      <c r="D644" s="3" t="b">
        <v>1</v>
      </c>
      <c r="E644" s="3" t="s">
        <v>1596</v>
      </c>
      <c r="F644" s="3" t="s">
        <v>70</v>
      </c>
      <c r="G644" s="4">
        <f>+251965702219</f>
        <v>251965702219</v>
      </c>
      <c r="H644" s="3" t="s">
        <v>44</v>
      </c>
      <c r="I644" s="3" t="s">
        <v>19</v>
      </c>
      <c r="J644" s="3" t="s">
        <v>19</v>
      </c>
      <c r="K644" s="3" t="s">
        <v>25</v>
      </c>
      <c r="L644" s="3">
        <v>21.21</v>
      </c>
      <c r="M644" s="3" t="s">
        <v>21</v>
      </c>
    </row>
    <row r="645">
      <c r="A645" s="3">
        <v>2615500.0</v>
      </c>
      <c r="B645" s="3" t="s">
        <v>1597</v>
      </c>
      <c r="C645" s="3" t="b">
        <v>1</v>
      </c>
      <c r="D645" s="3" t="b">
        <v>1</v>
      </c>
      <c r="E645" s="3" t="s">
        <v>1598</v>
      </c>
      <c r="F645" s="3" t="s">
        <v>1599</v>
      </c>
      <c r="G645" s="4">
        <f>+251978346148</f>
        <v>251978346148</v>
      </c>
      <c r="H645" s="3" t="s">
        <v>18</v>
      </c>
      <c r="I645" s="3" t="s">
        <v>19</v>
      </c>
      <c r="J645" s="3" t="s">
        <v>19</v>
      </c>
      <c r="K645" s="3" t="s">
        <v>20</v>
      </c>
      <c r="L645" s="3">
        <v>23.02</v>
      </c>
      <c r="M645" s="3" t="s">
        <v>21</v>
      </c>
      <c r="O645" s="3">
        <v>1.93193968867E11</v>
      </c>
    </row>
    <row r="646">
      <c r="A646" s="3">
        <v>2615742.0</v>
      </c>
      <c r="B646" s="3" t="s">
        <v>1600</v>
      </c>
      <c r="C646" s="3" t="b">
        <v>1</v>
      </c>
      <c r="D646" s="3" t="b">
        <v>1</v>
      </c>
      <c r="E646" s="3" t="s">
        <v>1601</v>
      </c>
      <c r="F646" s="3" t="s">
        <v>1602</v>
      </c>
      <c r="G646" s="4">
        <f>+251979712241</f>
        <v>251979712241</v>
      </c>
      <c r="H646" s="3" t="s">
        <v>106</v>
      </c>
      <c r="I646" s="3" t="s">
        <v>19</v>
      </c>
      <c r="J646" s="3" t="s">
        <v>19</v>
      </c>
      <c r="K646" s="3" t="s">
        <v>20</v>
      </c>
      <c r="L646" s="3">
        <v>21.64</v>
      </c>
      <c r="M646" s="3" t="s">
        <v>21</v>
      </c>
      <c r="O646" s="3">
        <v>1.93282561231E11</v>
      </c>
    </row>
    <row r="647">
      <c r="A647" s="3">
        <v>2616318.0</v>
      </c>
      <c r="B647" s="3" t="s">
        <v>1603</v>
      </c>
      <c r="C647" s="3" t="b">
        <v>1</v>
      </c>
      <c r="D647" s="3" t="b">
        <v>1</v>
      </c>
      <c r="E647" s="3" t="s">
        <v>468</v>
      </c>
      <c r="F647" s="3" t="s">
        <v>189</v>
      </c>
      <c r="G647" s="4">
        <f>+251938030762</f>
        <v>251938030762</v>
      </c>
      <c r="H647" s="3" t="s">
        <v>18</v>
      </c>
      <c r="I647" s="3" t="s">
        <v>19</v>
      </c>
      <c r="J647" s="3" t="s">
        <v>19</v>
      </c>
      <c r="K647" s="3" t="s">
        <v>25</v>
      </c>
      <c r="L647" s="3">
        <v>26.58</v>
      </c>
      <c r="M647" s="3" t="s">
        <v>21</v>
      </c>
      <c r="O647" s="3">
        <v>1.93394117819E11</v>
      </c>
    </row>
    <row r="648">
      <c r="A648" s="3">
        <v>153502.0</v>
      </c>
      <c r="B648" s="3" t="s">
        <v>1604</v>
      </c>
      <c r="C648" s="3" t="b">
        <v>1</v>
      </c>
      <c r="D648" s="3" t="b">
        <v>1</v>
      </c>
      <c r="E648" s="3" t="s">
        <v>1605</v>
      </c>
      <c r="F648" s="3" t="s">
        <v>446</v>
      </c>
      <c r="G648" s="4">
        <f>+251900646549</f>
        <v>251900646549</v>
      </c>
      <c r="H648" s="3" t="s">
        <v>18</v>
      </c>
      <c r="I648" s="3" t="s">
        <v>19</v>
      </c>
      <c r="J648" s="3" t="s">
        <v>19</v>
      </c>
      <c r="K648" s="3" t="s">
        <v>20</v>
      </c>
      <c r="L648" s="3">
        <v>30.88</v>
      </c>
      <c r="M648" s="3" t="s">
        <v>21</v>
      </c>
      <c r="O648" s="3">
        <v>2.6344179E7</v>
      </c>
    </row>
    <row r="649">
      <c r="A649" s="3">
        <v>1573354.0</v>
      </c>
      <c r="B649" s="3" t="s">
        <v>1606</v>
      </c>
      <c r="C649" s="3" t="b">
        <v>1</v>
      </c>
      <c r="D649" s="3" t="b">
        <v>1</v>
      </c>
      <c r="E649" s="3" t="s">
        <v>1607</v>
      </c>
      <c r="F649" s="3" t="s">
        <v>1608</v>
      </c>
      <c r="G649" s="4">
        <f>+251996361418</f>
        <v>251996361418</v>
      </c>
      <c r="H649" s="3" t="s">
        <v>18</v>
      </c>
      <c r="I649" s="3" t="s">
        <v>19</v>
      </c>
      <c r="J649" s="3" t="s">
        <v>19</v>
      </c>
      <c r="K649" s="3" t="s">
        <v>25</v>
      </c>
      <c r="L649" s="3">
        <v>21.59</v>
      </c>
      <c r="M649" s="3" t="s">
        <v>21</v>
      </c>
      <c r="O649" s="3">
        <v>1.9141527228E10</v>
      </c>
    </row>
    <row r="650">
      <c r="A650" s="3">
        <v>2618084.0</v>
      </c>
      <c r="B650" s="3" t="s">
        <v>1609</v>
      </c>
      <c r="C650" s="3" t="b">
        <v>1</v>
      </c>
      <c r="D650" s="3" t="b">
        <v>1</v>
      </c>
      <c r="E650" s="3" t="s">
        <v>1610</v>
      </c>
      <c r="F650" s="3" t="s">
        <v>314</v>
      </c>
      <c r="G650" s="4">
        <f>+251904598901</f>
        <v>251904598901</v>
      </c>
      <c r="H650" s="3" t="s">
        <v>18</v>
      </c>
      <c r="I650" s="3" t="s">
        <v>19</v>
      </c>
      <c r="J650" s="3" t="s">
        <v>19</v>
      </c>
      <c r="K650" s="3" t="s">
        <v>25</v>
      </c>
      <c r="L650" s="3">
        <v>21.05</v>
      </c>
      <c r="M650" s="3" t="s">
        <v>21</v>
      </c>
      <c r="O650" s="3">
        <v>1.94310076626E11</v>
      </c>
    </row>
    <row r="651">
      <c r="A651" s="3">
        <v>2618262.0</v>
      </c>
      <c r="B651" s="3" t="s">
        <v>1611</v>
      </c>
      <c r="C651" s="3" t="b">
        <v>1</v>
      </c>
      <c r="D651" s="3" t="b">
        <v>1</v>
      </c>
      <c r="E651" s="3" t="s">
        <v>1084</v>
      </c>
      <c r="F651" s="3" t="s">
        <v>1612</v>
      </c>
      <c r="G651" s="4">
        <f>+251991158394</f>
        <v>251991158394</v>
      </c>
      <c r="H651" s="3" t="s">
        <v>18</v>
      </c>
      <c r="I651" s="3" t="s">
        <v>19</v>
      </c>
      <c r="J651" s="3" t="s">
        <v>19</v>
      </c>
      <c r="K651" s="3" t="s">
        <v>20</v>
      </c>
      <c r="L651" s="3">
        <v>20.64</v>
      </c>
      <c r="M651" s="3" t="s">
        <v>21</v>
      </c>
      <c r="O651" s="3">
        <v>1.94299134185E11</v>
      </c>
    </row>
    <row r="652">
      <c r="A652" s="3">
        <v>417619.0</v>
      </c>
      <c r="B652" s="3" t="s">
        <v>1613</v>
      </c>
      <c r="C652" s="3" t="b">
        <v>1</v>
      </c>
      <c r="D652" s="3" t="b">
        <v>1</v>
      </c>
      <c r="E652" s="3" t="s">
        <v>1502</v>
      </c>
      <c r="F652" s="3" t="s">
        <v>1614</v>
      </c>
      <c r="G652" s="4">
        <f>+251912163192</f>
        <v>251912163192</v>
      </c>
      <c r="H652" s="3" t="s">
        <v>18</v>
      </c>
      <c r="I652" s="3" t="s">
        <v>19</v>
      </c>
      <c r="J652" s="3" t="s">
        <v>19</v>
      </c>
      <c r="K652" s="3" t="s">
        <v>20</v>
      </c>
      <c r="L652" s="3">
        <v>24.05</v>
      </c>
      <c r="M652" s="3" t="s">
        <v>21</v>
      </c>
      <c r="O652" s="3">
        <v>8732173.0</v>
      </c>
    </row>
    <row r="653">
      <c r="A653" s="3">
        <v>626488.0</v>
      </c>
      <c r="B653" s="3" t="s">
        <v>1615</v>
      </c>
      <c r="C653" s="3" t="b">
        <v>1</v>
      </c>
      <c r="D653" s="3" t="b">
        <v>1</v>
      </c>
      <c r="E653" s="3" t="s">
        <v>504</v>
      </c>
      <c r="F653" s="3" t="s">
        <v>1616</v>
      </c>
      <c r="G653" s="4">
        <f>+251939603429</f>
        <v>251939603429</v>
      </c>
      <c r="H653" s="3" t="s">
        <v>18</v>
      </c>
      <c r="I653" s="3" t="s">
        <v>19</v>
      </c>
      <c r="J653" s="3" t="s">
        <v>19</v>
      </c>
      <c r="K653" s="3" t="s">
        <v>25</v>
      </c>
      <c r="L653" s="3">
        <v>29.75</v>
      </c>
      <c r="M653" s="3" t="s">
        <v>21</v>
      </c>
      <c r="O653" s="3">
        <v>774772.0</v>
      </c>
    </row>
    <row r="654">
      <c r="A654" s="3">
        <v>2618707.0</v>
      </c>
      <c r="B654" s="3" t="s">
        <v>1617</v>
      </c>
      <c r="C654" s="3" t="b">
        <v>1</v>
      </c>
      <c r="D654" s="3" t="b">
        <v>1</v>
      </c>
      <c r="E654" s="3" t="s">
        <v>35</v>
      </c>
      <c r="F654" s="3" t="s">
        <v>1618</v>
      </c>
      <c r="G654" s="4">
        <f>+251925414150</f>
        <v>251925414150</v>
      </c>
      <c r="H654" s="3" t="s">
        <v>18</v>
      </c>
      <c r="I654" s="3" t="s">
        <v>19</v>
      </c>
      <c r="J654" s="3" t="s">
        <v>19</v>
      </c>
      <c r="K654" s="3" t="s">
        <v>25</v>
      </c>
      <c r="L654" s="3">
        <v>23.79</v>
      </c>
      <c r="M654" s="3" t="s">
        <v>21</v>
      </c>
      <c r="O654" s="3">
        <v>1.94427490521E11</v>
      </c>
    </row>
    <row r="655">
      <c r="A655" s="3">
        <v>2437903.0</v>
      </c>
      <c r="B655" s="3" t="s">
        <v>1619</v>
      </c>
      <c r="C655" s="3" t="b">
        <v>1</v>
      </c>
      <c r="D655" s="3" t="b">
        <v>1</v>
      </c>
      <c r="E655" s="3" t="s">
        <v>1620</v>
      </c>
      <c r="F655" s="3" t="s">
        <v>1621</v>
      </c>
      <c r="G655" s="4">
        <f>+251918708430</f>
        <v>251918708430</v>
      </c>
      <c r="H655" s="3" t="s">
        <v>83</v>
      </c>
      <c r="I655" s="3" t="s">
        <v>19</v>
      </c>
      <c r="J655" s="3" t="s">
        <v>19</v>
      </c>
      <c r="K655" s="3" t="s">
        <v>25</v>
      </c>
      <c r="L655" s="3">
        <v>29.36</v>
      </c>
      <c r="M655" s="3" t="s">
        <v>21</v>
      </c>
      <c r="O655" s="3">
        <v>1.03582302409E11</v>
      </c>
    </row>
    <row r="656">
      <c r="A656" s="3">
        <v>2618825.0</v>
      </c>
      <c r="B656" s="3" t="s">
        <v>1622</v>
      </c>
      <c r="C656" s="3" t="b">
        <v>1</v>
      </c>
      <c r="D656" s="3" t="b">
        <v>1</v>
      </c>
      <c r="E656" s="3" t="s">
        <v>1623</v>
      </c>
      <c r="F656" s="3" t="s">
        <v>1177</v>
      </c>
      <c r="G656" s="4">
        <f>+251933611416</f>
        <v>251933611416</v>
      </c>
      <c r="H656" s="3" t="s">
        <v>18</v>
      </c>
      <c r="I656" s="3" t="s">
        <v>19</v>
      </c>
      <c r="J656" s="3" t="s">
        <v>19</v>
      </c>
      <c r="K656" s="3" t="s">
        <v>25</v>
      </c>
      <c r="L656" s="3">
        <v>29.08</v>
      </c>
      <c r="M656" s="3" t="s">
        <v>21</v>
      </c>
    </row>
    <row r="657">
      <c r="A657" s="3">
        <v>2619182.0</v>
      </c>
      <c r="B657" s="3" t="s">
        <v>1624</v>
      </c>
      <c r="C657" s="3" t="b">
        <v>1</v>
      </c>
      <c r="D657" s="3" t="b">
        <v>1</v>
      </c>
      <c r="E657" s="3" t="s">
        <v>1102</v>
      </c>
      <c r="F657" s="3" t="s">
        <v>849</v>
      </c>
      <c r="G657" s="4">
        <f>+1942845731</f>
        <v>1942845731</v>
      </c>
      <c r="H657" s="3" t="s">
        <v>18</v>
      </c>
      <c r="I657" s="3" t="s">
        <v>19</v>
      </c>
      <c r="J657" s="3" t="s">
        <v>19</v>
      </c>
      <c r="K657" s="3" t="s">
        <v>25</v>
      </c>
      <c r="L657" s="3">
        <v>25.02</v>
      </c>
      <c r="M657" s="3" t="s">
        <v>21</v>
      </c>
    </row>
    <row r="658">
      <c r="A658" s="3">
        <v>194253.0</v>
      </c>
      <c r="B658" s="3" t="s">
        <v>1625</v>
      </c>
      <c r="C658" s="3" t="b">
        <v>1</v>
      </c>
      <c r="D658" s="3" t="b">
        <v>0</v>
      </c>
      <c r="E658" s="3" t="s">
        <v>120</v>
      </c>
      <c r="F658" s="3" t="s">
        <v>1157</v>
      </c>
      <c r="G658" s="4">
        <f>+251963476438</f>
        <v>251963476438</v>
      </c>
      <c r="H658" s="3" t="s">
        <v>87</v>
      </c>
      <c r="I658" s="3" t="s">
        <v>19</v>
      </c>
      <c r="J658" s="3" t="s">
        <v>19</v>
      </c>
      <c r="K658" s="3" t="s">
        <v>25</v>
      </c>
      <c r="L658" s="3">
        <v>23.48</v>
      </c>
      <c r="M658" s="3" t="s">
        <v>21</v>
      </c>
      <c r="O658" s="3">
        <v>1.0160963E7</v>
      </c>
    </row>
    <row r="659">
      <c r="A659" s="3">
        <v>1609469.0</v>
      </c>
      <c r="B659" s="3" t="s">
        <v>1626</v>
      </c>
      <c r="C659" s="3" t="b">
        <v>1</v>
      </c>
      <c r="D659" s="3" t="b">
        <v>1</v>
      </c>
      <c r="E659" s="3" t="s">
        <v>1627</v>
      </c>
      <c r="F659" s="3" t="s">
        <v>1628</v>
      </c>
      <c r="G659" s="4">
        <f>+251927255758</f>
        <v>251927255758</v>
      </c>
      <c r="H659" s="3" t="s">
        <v>18</v>
      </c>
      <c r="I659" s="3" t="s">
        <v>19</v>
      </c>
      <c r="J659" s="3" t="s">
        <v>19</v>
      </c>
      <c r="K659" s="3" t="s">
        <v>25</v>
      </c>
      <c r="L659" s="3">
        <v>26.27</v>
      </c>
      <c r="M659" s="3" t="s">
        <v>21</v>
      </c>
      <c r="O659" s="3">
        <v>1815245.0</v>
      </c>
    </row>
    <row r="660">
      <c r="A660" s="3">
        <v>2470990.0</v>
      </c>
      <c r="B660" s="3" t="s">
        <v>1629</v>
      </c>
      <c r="C660" s="3" t="b">
        <v>1</v>
      </c>
      <c r="D660" s="3" t="b">
        <v>1</v>
      </c>
      <c r="E660" s="3" t="s">
        <v>60</v>
      </c>
      <c r="F660" s="3" t="s">
        <v>1060</v>
      </c>
      <c r="G660" s="4">
        <f>+251970771379</f>
        <v>251970771379</v>
      </c>
      <c r="H660" s="3" t="s">
        <v>18</v>
      </c>
      <c r="I660" s="3" t="s">
        <v>19</v>
      </c>
      <c r="J660" s="3" t="s">
        <v>19</v>
      </c>
      <c r="K660" s="3" t="s">
        <v>25</v>
      </c>
      <c r="L660" s="3">
        <v>24.63</v>
      </c>
      <c r="M660" s="3" t="s">
        <v>21</v>
      </c>
    </row>
    <row r="661">
      <c r="A661" s="3">
        <v>1235341.0</v>
      </c>
      <c r="B661" s="3" t="s">
        <v>1630</v>
      </c>
      <c r="C661" s="3" t="b">
        <v>1</v>
      </c>
      <c r="D661" s="3" t="b">
        <v>1</v>
      </c>
      <c r="E661" s="3" t="s">
        <v>1631</v>
      </c>
      <c r="F661" s="3" t="s">
        <v>55</v>
      </c>
      <c r="G661" s="4">
        <f>+251912298277</f>
        <v>251912298277</v>
      </c>
      <c r="H661" s="3" t="s">
        <v>18</v>
      </c>
      <c r="I661" s="3" t="s">
        <v>19</v>
      </c>
      <c r="J661" s="3" t="s">
        <v>19</v>
      </c>
      <c r="K661" s="3" t="s">
        <v>25</v>
      </c>
      <c r="L661" s="3">
        <v>34.07</v>
      </c>
      <c r="M661" s="3" t="s">
        <v>21</v>
      </c>
      <c r="O661" s="3">
        <v>9.604217076E9</v>
      </c>
    </row>
    <row r="662">
      <c r="A662" s="3">
        <v>2622683.0</v>
      </c>
      <c r="B662" s="3" t="s">
        <v>1632</v>
      </c>
      <c r="C662" s="3" t="b">
        <v>1</v>
      </c>
      <c r="D662" s="3" t="b">
        <v>1</v>
      </c>
      <c r="E662" s="3" t="s">
        <v>1633</v>
      </c>
      <c r="F662" s="3" t="s">
        <v>1634</v>
      </c>
      <c r="G662" s="4">
        <f>+251928378419</f>
        <v>251928378419</v>
      </c>
      <c r="H662" s="3" t="s">
        <v>18</v>
      </c>
      <c r="I662" s="3" t="s">
        <v>19</v>
      </c>
      <c r="J662" s="3" t="s">
        <v>19</v>
      </c>
      <c r="K662" s="3" t="s">
        <v>25</v>
      </c>
      <c r="L662" s="3">
        <v>19.55</v>
      </c>
      <c r="M662" s="3" t="s">
        <v>21</v>
      </c>
      <c r="O662" s="3">
        <v>1.96477711561E11</v>
      </c>
    </row>
    <row r="663">
      <c r="A663" s="3">
        <v>2623464.0</v>
      </c>
      <c r="B663" s="3" t="s">
        <v>1635</v>
      </c>
      <c r="C663" s="3" t="b">
        <v>1</v>
      </c>
      <c r="D663" s="3" t="b">
        <v>1</v>
      </c>
      <c r="E663" s="3" t="s">
        <v>1636</v>
      </c>
      <c r="F663" s="3" t="s">
        <v>1162</v>
      </c>
      <c r="G663" s="4">
        <f>+251995559658</f>
        <v>251995559658</v>
      </c>
      <c r="H663" s="3" t="s">
        <v>18</v>
      </c>
      <c r="I663" s="3" t="s">
        <v>19</v>
      </c>
      <c r="J663" s="3" t="s">
        <v>19</v>
      </c>
      <c r="K663" s="3" t="s">
        <v>25</v>
      </c>
      <c r="L663" s="3">
        <v>22.38</v>
      </c>
      <c r="M663" s="3" t="s">
        <v>21</v>
      </c>
      <c r="O663" s="3">
        <v>1.96711207111E11</v>
      </c>
    </row>
    <row r="664">
      <c r="A664" s="3">
        <v>2595598.0</v>
      </c>
      <c r="B664" s="3" t="s">
        <v>1637</v>
      </c>
      <c r="C664" s="3" t="b">
        <v>1</v>
      </c>
      <c r="D664" s="3" t="b">
        <v>1</v>
      </c>
      <c r="E664" s="3" t="s">
        <v>1638</v>
      </c>
      <c r="F664" s="3" t="s">
        <v>649</v>
      </c>
      <c r="G664" s="4">
        <f>+251904601880</f>
        <v>251904601880</v>
      </c>
      <c r="H664" s="3" t="s">
        <v>18</v>
      </c>
      <c r="I664" s="3" t="s">
        <v>19</v>
      </c>
      <c r="J664" s="3" t="s">
        <v>19</v>
      </c>
      <c r="K664" s="3" t="s">
        <v>20</v>
      </c>
      <c r="L664" s="3">
        <v>21.76</v>
      </c>
      <c r="M664" s="3" t="s">
        <v>21</v>
      </c>
      <c r="O664" s="3">
        <v>1.83423256763E11</v>
      </c>
    </row>
    <row r="665">
      <c r="A665" s="3">
        <v>2624217.0</v>
      </c>
      <c r="B665" s="3" t="s">
        <v>1639</v>
      </c>
      <c r="C665" s="3" t="b">
        <v>1</v>
      </c>
      <c r="D665" s="3" t="b">
        <v>1</v>
      </c>
      <c r="E665" s="3" t="s">
        <v>1640</v>
      </c>
      <c r="F665" s="3" t="s">
        <v>64</v>
      </c>
      <c r="G665" s="4">
        <f>+251948021062</f>
        <v>251948021062</v>
      </c>
      <c r="H665" s="3" t="s">
        <v>18</v>
      </c>
      <c r="I665" s="3" t="s">
        <v>19</v>
      </c>
      <c r="J665" s="3" t="s">
        <v>19</v>
      </c>
      <c r="K665" s="3" t="s">
        <v>25</v>
      </c>
      <c r="L665" s="3">
        <v>19.4</v>
      </c>
      <c r="M665" s="3" t="s">
        <v>21</v>
      </c>
      <c r="O665" s="3">
        <v>3.4502370751E10</v>
      </c>
    </row>
    <row r="666">
      <c r="A666" s="3">
        <v>2456508.0</v>
      </c>
      <c r="B666" s="3" t="s">
        <v>1641</v>
      </c>
      <c r="C666" s="3" t="b">
        <v>1</v>
      </c>
      <c r="D666" s="3" t="b">
        <v>1</v>
      </c>
      <c r="E666" s="3" t="s">
        <v>1642</v>
      </c>
      <c r="F666" s="3" t="s">
        <v>795</v>
      </c>
      <c r="G666" s="4">
        <f>+251993044432</f>
        <v>251993044432</v>
      </c>
      <c r="H666" s="3" t="s">
        <v>18</v>
      </c>
      <c r="I666" s="3" t="s">
        <v>19</v>
      </c>
      <c r="J666" s="3" t="s">
        <v>19</v>
      </c>
      <c r="K666" s="3" t="s">
        <v>20</v>
      </c>
      <c r="L666" s="3">
        <v>22.37</v>
      </c>
      <c r="M666" s="3" t="s">
        <v>21</v>
      </c>
      <c r="O666" s="3">
        <v>1.09885755638E11</v>
      </c>
    </row>
    <row r="667">
      <c r="A667" s="3">
        <v>2624255.0</v>
      </c>
      <c r="B667" s="3" t="s">
        <v>1643</v>
      </c>
      <c r="C667" s="3" t="b">
        <v>1</v>
      </c>
      <c r="D667" s="3" t="b">
        <v>1</v>
      </c>
      <c r="E667" s="3" t="s">
        <v>188</v>
      </c>
      <c r="F667" s="3" t="s">
        <v>1644</v>
      </c>
      <c r="G667" s="4">
        <f>+251942557791</f>
        <v>251942557791</v>
      </c>
      <c r="H667" s="3" t="s">
        <v>18</v>
      </c>
      <c r="I667" s="3" t="s">
        <v>19</v>
      </c>
      <c r="J667" s="3" t="s">
        <v>19</v>
      </c>
      <c r="K667" s="3" t="s">
        <v>25</v>
      </c>
      <c r="L667" s="3">
        <v>18.1</v>
      </c>
      <c r="M667" s="3" t="s">
        <v>21</v>
      </c>
    </row>
    <row r="668">
      <c r="A668" s="3">
        <v>2624257.0</v>
      </c>
      <c r="B668" s="3" t="s">
        <v>1645</v>
      </c>
      <c r="C668" s="3" t="b">
        <v>1</v>
      </c>
      <c r="D668" s="3" t="b">
        <v>1</v>
      </c>
      <c r="E668" s="3" t="s">
        <v>420</v>
      </c>
      <c r="F668" s="3" t="s">
        <v>1646</v>
      </c>
      <c r="G668" s="4">
        <f>+251910989154</f>
        <v>251910989154</v>
      </c>
      <c r="H668" s="3" t="s">
        <v>18</v>
      </c>
      <c r="I668" s="3" t="s">
        <v>19</v>
      </c>
      <c r="J668" s="3" t="s">
        <v>19</v>
      </c>
      <c r="K668" s="3" t="s">
        <v>25</v>
      </c>
      <c r="L668" s="3">
        <v>22.05</v>
      </c>
      <c r="M668" s="3" t="s">
        <v>21</v>
      </c>
    </row>
    <row r="669">
      <c r="A669" s="3">
        <v>2624384.0</v>
      </c>
      <c r="B669" s="3" t="s">
        <v>1647</v>
      </c>
      <c r="C669" s="3" t="b">
        <v>1</v>
      </c>
      <c r="D669" s="3" t="b">
        <v>1</v>
      </c>
      <c r="E669" s="3" t="s">
        <v>1648</v>
      </c>
      <c r="F669" s="3" t="s">
        <v>1649</v>
      </c>
      <c r="G669" s="4">
        <f>+25192212580</f>
        <v>25192212580</v>
      </c>
      <c r="H669" s="3" t="s">
        <v>18</v>
      </c>
      <c r="I669" s="3" t="s">
        <v>19</v>
      </c>
      <c r="J669" s="3" t="s">
        <v>19</v>
      </c>
      <c r="K669" s="3" t="s">
        <v>20</v>
      </c>
      <c r="L669" s="3">
        <v>29.2</v>
      </c>
      <c r="M669" s="3" t="s">
        <v>21</v>
      </c>
    </row>
    <row r="670">
      <c r="A670" s="3">
        <v>2624483.0</v>
      </c>
      <c r="B670" s="3" t="s">
        <v>1650</v>
      </c>
      <c r="C670" s="3" t="b">
        <v>1</v>
      </c>
      <c r="D670" s="3" t="b">
        <v>1</v>
      </c>
      <c r="E670" s="3" t="s">
        <v>1651</v>
      </c>
      <c r="F670" s="3" t="s">
        <v>66</v>
      </c>
      <c r="G670" s="4">
        <f>+251969109440</f>
        <v>251969109440</v>
      </c>
      <c r="H670" s="3" t="s">
        <v>18</v>
      </c>
      <c r="I670" s="3" t="s">
        <v>19</v>
      </c>
      <c r="J670" s="3" t="s">
        <v>19</v>
      </c>
      <c r="K670" s="3" t="s">
        <v>25</v>
      </c>
      <c r="L670" s="3">
        <v>23.65</v>
      </c>
      <c r="M670" s="3" t="s">
        <v>21</v>
      </c>
    </row>
    <row r="671">
      <c r="A671" s="3">
        <v>2624477.0</v>
      </c>
      <c r="B671" s="3" t="s">
        <v>1652</v>
      </c>
      <c r="C671" s="3" t="b">
        <v>1</v>
      </c>
      <c r="D671" s="3" t="b">
        <v>1</v>
      </c>
      <c r="E671" s="3" t="s">
        <v>386</v>
      </c>
      <c r="F671" s="3" t="s">
        <v>1653</v>
      </c>
      <c r="G671" s="4">
        <f>+251918817548</f>
        <v>251918817548</v>
      </c>
      <c r="H671" s="3" t="s">
        <v>18</v>
      </c>
      <c r="I671" s="3" t="s">
        <v>19</v>
      </c>
      <c r="J671" s="3" t="s">
        <v>19</v>
      </c>
      <c r="K671" s="3" t="s">
        <v>25</v>
      </c>
      <c r="L671" s="3">
        <v>23.17</v>
      </c>
      <c r="M671" s="3" t="s">
        <v>21</v>
      </c>
    </row>
    <row r="672">
      <c r="A672" s="3">
        <v>2624501.0</v>
      </c>
      <c r="B672" s="3" t="s">
        <v>1654</v>
      </c>
      <c r="C672" s="3" t="b">
        <v>1</v>
      </c>
      <c r="D672" s="3" t="b">
        <v>1</v>
      </c>
      <c r="E672" s="3" t="s">
        <v>1655</v>
      </c>
      <c r="F672" s="3" t="s">
        <v>1656</v>
      </c>
      <c r="G672" s="4">
        <f>+251965592760</f>
        <v>251965592760</v>
      </c>
      <c r="H672" s="3" t="s">
        <v>18</v>
      </c>
      <c r="I672" s="3" t="s">
        <v>19</v>
      </c>
      <c r="J672" s="3" t="s">
        <v>19</v>
      </c>
      <c r="K672" s="3" t="s">
        <v>25</v>
      </c>
      <c r="L672" s="3">
        <v>20.7</v>
      </c>
      <c r="M672" s="3" t="s">
        <v>21</v>
      </c>
      <c r="O672" s="3">
        <v>1.97024562392E11</v>
      </c>
    </row>
    <row r="673">
      <c r="A673" s="3">
        <v>1448685.0</v>
      </c>
      <c r="B673" s="3" t="s">
        <v>1657</v>
      </c>
      <c r="C673" s="3" t="b">
        <v>1</v>
      </c>
      <c r="D673" s="3" t="b">
        <v>1</v>
      </c>
      <c r="E673" s="3" t="s">
        <v>1658</v>
      </c>
      <c r="F673" s="3" t="s">
        <v>392</v>
      </c>
      <c r="G673" s="3">
        <v>9.82945042E8</v>
      </c>
      <c r="H673" s="3" t="s">
        <v>18</v>
      </c>
      <c r="I673" s="3" t="s">
        <v>19</v>
      </c>
      <c r="J673" s="3" t="s">
        <v>19</v>
      </c>
      <c r="K673" s="3" t="s">
        <v>25</v>
      </c>
      <c r="L673" s="3">
        <v>24.94</v>
      </c>
      <c r="M673" s="3" t="s">
        <v>21</v>
      </c>
      <c r="O673" s="3">
        <v>1.5024721105E10</v>
      </c>
    </row>
    <row r="674">
      <c r="A674" s="3">
        <v>2624674.0</v>
      </c>
      <c r="B674" s="3" t="s">
        <v>1659</v>
      </c>
      <c r="C674" s="3" t="b">
        <v>1</v>
      </c>
      <c r="D674" s="3" t="b">
        <v>1</v>
      </c>
      <c r="E674" s="3" t="s">
        <v>1660</v>
      </c>
      <c r="F674" s="3" t="s">
        <v>35</v>
      </c>
      <c r="G674" s="4">
        <f>+251964521722</f>
        <v>251964521722</v>
      </c>
      <c r="H674" s="3" t="s">
        <v>18</v>
      </c>
      <c r="I674" s="3" t="s">
        <v>19</v>
      </c>
      <c r="J674" s="3" t="s">
        <v>19</v>
      </c>
      <c r="K674" s="3" t="s">
        <v>25</v>
      </c>
      <c r="L674" s="3">
        <v>24.3</v>
      </c>
      <c r="M674" s="3" t="s">
        <v>21</v>
      </c>
      <c r="O674" s="3">
        <v>1.97034661061E11</v>
      </c>
    </row>
    <row r="675">
      <c r="A675" s="3">
        <v>2624770.0</v>
      </c>
      <c r="B675" s="3" t="s">
        <v>1661</v>
      </c>
      <c r="C675" s="3" t="b">
        <v>1</v>
      </c>
      <c r="D675" s="3" t="b">
        <v>1</v>
      </c>
      <c r="E675" s="3" t="s">
        <v>504</v>
      </c>
      <c r="F675" s="3" t="s">
        <v>750</v>
      </c>
      <c r="G675" s="4">
        <f>+251965039666</f>
        <v>251965039666</v>
      </c>
      <c r="H675" s="3" t="s">
        <v>18</v>
      </c>
      <c r="I675" s="3" t="s">
        <v>19</v>
      </c>
      <c r="J675" s="3" t="s">
        <v>19</v>
      </c>
      <c r="K675" s="3" t="s">
        <v>25</v>
      </c>
      <c r="L675" s="3">
        <v>20.85</v>
      </c>
      <c r="M675" s="3" t="s">
        <v>21</v>
      </c>
    </row>
    <row r="676">
      <c r="A676" s="3">
        <v>2352046.0</v>
      </c>
      <c r="B676" s="3" t="s">
        <v>1662</v>
      </c>
      <c r="C676" s="3" t="b">
        <v>1</v>
      </c>
      <c r="D676" s="3" t="b">
        <v>1</v>
      </c>
      <c r="E676" s="3" t="s">
        <v>1663</v>
      </c>
      <c r="F676" s="3" t="s">
        <v>1664</v>
      </c>
      <c r="G676" s="4">
        <f>+251969236397</f>
        <v>251969236397</v>
      </c>
      <c r="H676" s="3" t="s">
        <v>18</v>
      </c>
      <c r="I676" s="3" t="s">
        <v>19</v>
      </c>
      <c r="J676" s="3" t="s">
        <v>19</v>
      </c>
      <c r="K676" s="3" t="s">
        <v>20</v>
      </c>
      <c r="L676" s="3">
        <v>18.64</v>
      </c>
      <c r="M676" s="3" t="s">
        <v>21</v>
      </c>
      <c r="O676" s="3">
        <v>3.9155635147E10</v>
      </c>
    </row>
    <row r="677">
      <c r="A677" s="3">
        <v>2624813.0</v>
      </c>
      <c r="B677" s="3" t="s">
        <v>1665</v>
      </c>
      <c r="C677" s="3" t="b">
        <v>1</v>
      </c>
      <c r="D677" s="3" t="b">
        <v>0</v>
      </c>
      <c r="E677" s="3" t="s">
        <v>1666</v>
      </c>
      <c r="F677" s="3" t="s">
        <v>1667</v>
      </c>
      <c r="G677" s="4">
        <f>+251965590335</f>
        <v>251965590335</v>
      </c>
      <c r="H677" s="3" t="s">
        <v>18</v>
      </c>
      <c r="I677" s="3" t="s">
        <v>19</v>
      </c>
      <c r="J677" s="3" t="s">
        <v>19</v>
      </c>
      <c r="K677" s="3" t="s">
        <v>20</v>
      </c>
      <c r="L677" s="3">
        <v>19.1</v>
      </c>
      <c r="M677" s="3" t="s">
        <v>21</v>
      </c>
      <c r="O677" s="3">
        <v>1.97075581152E11</v>
      </c>
    </row>
    <row r="678">
      <c r="A678" s="3">
        <v>2624814.0</v>
      </c>
      <c r="B678" s="3" t="s">
        <v>1668</v>
      </c>
      <c r="C678" s="3" t="b">
        <v>1</v>
      </c>
      <c r="D678" s="3" t="b">
        <v>1</v>
      </c>
      <c r="E678" s="3" t="s">
        <v>422</v>
      </c>
      <c r="F678" s="3" t="s">
        <v>1669</v>
      </c>
      <c r="G678" s="4">
        <f>+251925643700</f>
        <v>251925643700</v>
      </c>
      <c r="H678" s="3" t="s">
        <v>18</v>
      </c>
      <c r="I678" s="3" t="s">
        <v>19</v>
      </c>
      <c r="J678" s="3" t="s">
        <v>19</v>
      </c>
      <c r="K678" s="3" t="s">
        <v>25</v>
      </c>
      <c r="L678" s="3">
        <v>22.8</v>
      </c>
      <c r="M678" s="3" t="s">
        <v>21</v>
      </c>
      <c r="O678" s="3">
        <v>1.97075591413E11</v>
      </c>
    </row>
    <row r="679">
      <c r="A679" s="3">
        <v>2627230.0</v>
      </c>
      <c r="B679" s="3" t="s">
        <v>1670</v>
      </c>
      <c r="C679" s="3" t="b">
        <v>1</v>
      </c>
      <c r="D679" s="3" t="b">
        <v>1</v>
      </c>
      <c r="E679" s="3" t="s">
        <v>1671</v>
      </c>
      <c r="F679" s="3" t="s">
        <v>115</v>
      </c>
      <c r="G679" s="4">
        <f>+251967639964</f>
        <v>251967639964</v>
      </c>
      <c r="H679" s="3" t="s">
        <v>18</v>
      </c>
      <c r="I679" s="3" t="s">
        <v>19</v>
      </c>
      <c r="J679" s="3" t="s">
        <v>19</v>
      </c>
      <c r="K679" s="3" t="s">
        <v>25</v>
      </c>
      <c r="L679" s="3">
        <v>21.97</v>
      </c>
      <c r="M679" s="3" t="s">
        <v>21</v>
      </c>
      <c r="O679" s="3">
        <v>9910984.0</v>
      </c>
    </row>
    <row r="680">
      <c r="A680" s="3">
        <v>2353379.0</v>
      </c>
      <c r="B680" s="3" t="s">
        <v>1672</v>
      </c>
      <c r="C680" s="3" t="b">
        <v>1</v>
      </c>
      <c r="D680" s="3" t="b">
        <v>1</v>
      </c>
      <c r="E680" s="3" t="s">
        <v>1673</v>
      </c>
      <c r="F680" s="3" t="s">
        <v>1674</v>
      </c>
      <c r="G680" s="4">
        <f>+251917512323</f>
        <v>251917512323</v>
      </c>
      <c r="H680" s="3" t="s">
        <v>289</v>
      </c>
      <c r="I680" s="3" t="s">
        <v>19</v>
      </c>
      <c r="J680" s="3" t="s">
        <v>19</v>
      </c>
      <c r="K680" s="3" t="s">
        <v>25</v>
      </c>
      <c r="L680" s="3">
        <v>31.52</v>
      </c>
      <c r="M680" s="3" t="s">
        <v>21</v>
      </c>
      <c r="O680" s="3">
        <v>2.3065476E7</v>
      </c>
    </row>
    <row r="681">
      <c r="A681" s="3">
        <v>2628995.0</v>
      </c>
      <c r="B681" s="3" t="s">
        <v>1675</v>
      </c>
      <c r="C681" s="3" t="b">
        <v>1</v>
      </c>
      <c r="D681" s="3" t="b">
        <v>1</v>
      </c>
      <c r="E681" s="3" t="s">
        <v>1676</v>
      </c>
      <c r="F681" s="3" t="s">
        <v>1677</v>
      </c>
      <c r="G681" s="4">
        <f>+251930412013</f>
        <v>251930412013</v>
      </c>
      <c r="H681" s="3" t="s">
        <v>18</v>
      </c>
      <c r="I681" s="3" t="s">
        <v>19</v>
      </c>
      <c r="J681" s="3" t="s">
        <v>19</v>
      </c>
      <c r="K681" s="3" t="s">
        <v>25</v>
      </c>
      <c r="L681" s="3">
        <v>26.06</v>
      </c>
      <c r="M681" s="3" t="s">
        <v>21</v>
      </c>
      <c r="O681" s="3">
        <v>1.98215624953E11</v>
      </c>
    </row>
    <row r="682">
      <c r="A682" s="3">
        <v>2631961.0</v>
      </c>
      <c r="B682" s="3" t="s">
        <v>1678</v>
      </c>
      <c r="C682" s="3" t="b">
        <v>1</v>
      </c>
      <c r="D682" s="3" t="b">
        <v>0</v>
      </c>
      <c r="E682" s="3" t="s">
        <v>1679</v>
      </c>
      <c r="F682" s="3" t="s">
        <v>1680</v>
      </c>
      <c r="G682" s="4">
        <f>+11111111111</f>
        <v>11111111111</v>
      </c>
      <c r="H682" s="3" t="s">
        <v>18</v>
      </c>
      <c r="I682" s="3" t="s">
        <v>19</v>
      </c>
      <c r="J682" s="3" t="s">
        <v>19</v>
      </c>
      <c r="K682" s="3" t="s">
        <v>25</v>
      </c>
      <c r="L682" s="3">
        <v>25.27</v>
      </c>
      <c r="M682" s="3" t="s">
        <v>21</v>
      </c>
      <c r="O682" s="3">
        <v>1.99356282083E11</v>
      </c>
    </row>
    <row r="683">
      <c r="A683" s="3">
        <v>2632116.0</v>
      </c>
      <c r="B683" s="3" t="s">
        <v>1681</v>
      </c>
      <c r="C683" s="3" t="b">
        <v>1</v>
      </c>
      <c r="D683" s="3" t="b">
        <v>1</v>
      </c>
      <c r="E683" s="3" t="s">
        <v>1682</v>
      </c>
      <c r="F683" s="3" t="s">
        <v>1683</v>
      </c>
      <c r="G683" s="4">
        <f>+263772935605</f>
        <v>263772935605</v>
      </c>
      <c r="H683" s="3" t="s">
        <v>18</v>
      </c>
      <c r="I683" s="3" t="s">
        <v>19</v>
      </c>
      <c r="J683" s="3" t="s">
        <v>1684</v>
      </c>
      <c r="K683" s="3" t="s">
        <v>20</v>
      </c>
      <c r="L683" s="3">
        <v>24.19</v>
      </c>
      <c r="M683" s="3" t="s">
        <v>21</v>
      </c>
      <c r="O683" s="3">
        <v>1.99394119871E11</v>
      </c>
    </row>
    <row r="684">
      <c r="A684" s="3">
        <v>1615900.0</v>
      </c>
      <c r="B684" s="3" t="s">
        <v>1685</v>
      </c>
      <c r="C684" s="3" t="b">
        <v>1</v>
      </c>
      <c r="D684" s="3" t="b">
        <v>1</v>
      </c>
      <c r="E684" s="3" t="s">
        <v>1060</v>
      </c>
      <c r="F684" s="3" t="s">
        <v>1686</v>
      </c>
      <c r="G684" s="4">
        <f>+251928605934</f>
        <v>251928605934</v>
      </c>
      <c r="H684" s="3" t="s">
        <v>18</v>
      </c>
      <c r="I684" s="3" t="s">
        <v>19</v>
      </c>
      <c r="J684" s="3" t="s">
        <v>19</v>
      </c>
      <c r="K684" s="3" t="s">
        <v>25</v>
      </c>
      <c r="L684" s="3">
        <v>24.98</v>
      </c>
      <c r="M684" s="3" t="s">
        <v>21</v>
      </c>
      <c r="O684" s="3">
        <v>2.0013519066E10</v>
      </c>
    </row>
    <row r="685">
      <c r="A685" s="3">
        <v>2632492.0</v>
      </c>
      <c r="B685" s="3" t="s">
        <v>1687</v>
      </c>
      <c r="C685" s="3" t="b">
        <v>1</v>
      </c>
      <c r="D685" s="3" t="b">
        <v>1</v>
      </c>
      <c r="E685" s="3" t="s">
        <v>1688</v>
      </c>
      <c r="F685" s="3" t="s">
        <v>1689</v>
      </c>
      <c r="G685" s="4">
        <f>+251973950664</f>
        <v>251973950664</v>
      </c>
      <c r="H685" s="3" t="s">
        <v>18</v>
      </c>
      <c r="I685" s="3" t="s">
        <v>19</v>
      </c>
      <c r="J685" s="3" t="s">
        <v>19</v>
      </c>
      <c r="K685" s="3" t="s">
        <v>20</v>
      </c>
      <c r="L685" s="3">
        <v>20.91</v>
      </c>
      <c r="M685" s="3" t="s">
        <v>21</v>
      </c>
      <c r="O685" s="3">
        <v>1.99592839369E11</v>
      </c>
    </row>
    <row r="686">
      <c r="A686" s="3">
        <v>2632682.0</v>
      </c>
      <c r="B686" s="3" t="s">
        <v>1690</v>
      </c>
      <c r="C686" s="3" t="b">
        <v>1</v>
      </c>
      <c r="D686" s="3" t="b">
        <v>1</v>
      </c>
      <c r="E686" s="3" t="s">
        <v>270</v>
      </c>
      <c r="F686" s="3" t="s">
        <v>1691</v>
      </c>
      <c r="G686" s="4">
        <f>+251970944881</f>
        <v>251970944881</v>
      </c>
      <c r="H686" s="3" t="s">
        <v>18</v>
      </c>
      <c r="I686" s="3" t="s">
        <v>19</v>
      </c>
      <c r="J686" s="3" t="s">
        <v>19</v>
      </c>
      <c r="K686" s="3" t="s">
        <v>20</v>
      </c>
      <c r="L686" s="3">
        <v>25.72</v>
      </c>
      <c r="M686" s="3" t="s">
        <v>21</v>
      </c>
    </row>
    <row r="687">
      <c r="A687" s="3">
        <v>2419554.0</v>
      </c>
      <c r="B687" s="3" t="s">
        <v>1692</v>
      </c>
      <c r="C687" s="3" t="b">
        <v>0</v>
      </c>
      <c r="D687" s="3" t="b">
        <v>1</v>
      </c>
      <c r="E687" s="3" t="s">
        <v>1693</v>
      </c>
      <c r="F687" s="3" t="s">
        <v>1694</v>
      </c>
      <c r="G687" s="4">
        <f>+251954090911</f>
        <v>251954090911</v>
      </c>
      <c r="H687" s="3" t="s">
        <v>18</v>
      </c>
      <c r="I687" s="3" t="s">
        <v>19</v>
      </c>
      <c r="J687" s="3" t="s">
        <v>19</v>
      </c>
      <c r="K687" s="3" t="s">
        <v>25</v>
      </c>
      <c r="L687" s="3">
        <v>26.51</v>
      </c>
      <c r="M687" s="3" t="s">
        <v>1695</v>
      </c>
      <c r="N687" s="3" t="s">
        <v>1696</v>
      </c>
      <c r="O687" s="3">
        <v>9.6833957101E10</v>
      </c>
    </row>
    <row r="688">
      <c r="A688" s="3">
        <v>2419614.0</v>
      </c>
      <c r="B688" s="3" t="s">
        <v>1697</v>
      </c>
      <c r="C688" s="3" t="b">
        <v>1</v>
      </c>
      <c r="D688" s="3" t="b">
        <v>1</v>
      </c>
      <c r="E688" s="3" t="s">
        <v>420</v>
      </c>
      <c r="F688" s="3" t="s">
        <v>23</v>
      </c>
      <c r="G688" s="4">
        <f>+251911429914</f>
        <v>251911429914</v>
      </c>
      <c r="H688" s="3" t="s">
        <v>18</v>
      </c>
      <c r="I688" s="3" t="s">
        <v>19</v>
      </c>
      <c r="J688" s="3" t="s">
        <v>19</v>
      </c>
      <c r="K688" s="3" t="s">
        <v>25</v>
      </c>
      <c r="L688" s="3">
        <v>57.08</v>
      </c>
      <c r="M688" s="3" t="s">
        <v>1695</v>
      </c>
      <c r="N688" s="3" t="s">
        <v>1696</v>
      </c>
      <c r="O688" s="3">
        <v>9.6844104892E10</v>
      </c>
    </row>
    <row r="689">
      <c r="A689" s="3">
        <v>2419716.0</v>
      </c>
      <c r="B689" s="3" t="s">
        <v>1698</v>
      </c>
      <c r="C689" s="3" t="b">
        <v>1</v>
      </c>
      <c r="D689" s="3" t="b">
        <v>1</v>
      </c>
      <c r="E689" s="3" t="s">
        <v>1699</v>
      </c>
      <c r="F689" s="3" t="s">
        <v>1700</v>
      </c>
      <c r="G689" s="4">
        <f>+251979294827</f>
        <v>251979294827</v>
      </c>
      <c r="H689" s="3" t="s">
        <v>18</v>
      </c>
      <c r="I689" s="3" t="s">
        <v>19</v>
      </c>
      <c r="J689" s="3" t="s">
        <v>19</v>
      </c>
      <c r="K689" s="3" t="s">
        <v>20</v>
      </c>
      <c r="L689" s="3">
        <v>22.73</v>
      </c>
      <c r="M689" s="3" t="s">
        <v>1695</v>
      </c>
      <c r="N689" s="3" t="s">
        <v>1696</v>
      </c>
      <c r="O689" s="3">
        <v>9.6915140844E10</v>
      </c>
    </row>
    <row r="690">
      <c r="A690" s="3">
        <v>2420081.0</v>
      </c>
      <c r="B690" s="3" t="s">
        <v>1701</v>
      </c>
      <c r="C690" s="3" t="b">
        <v>1</v>
      </c>
      <c r="D690" s="3" t="b">
        <v>1</v>
      </c>
      <c r="E690" s="3" t="s">
        <v>1702</v>
      </c>
      <c r="F690" s="3" t="s">
        <v>1703</v>
      </c>
      <c r="G690" s="3">
        <v>9.21342638E8</v>
      </c>
      <c r="H690" s="3" t="s">
        <v>18</v>
      </c>
      <c r="I690" s="3" t="s">
        <v>19</v>
      </c>
      <c r="J690" s="3" t="s">
        <v>19</v>
      </c>
      <c r="K690" s="3" t="s">
        <v>25</v>
      </c>
      <c r="L690" s="3">
        <v>40.45</v>
      </c>
      <c r="M690" s="3" t="s">
        <v>1695</v>
      </c>
      <c r="N690" s="3" t="s">
        <v>1696</v>
      </c>
    </row>
    <row r="691">
      <c r="A691" s="3">
        <v>2421364.0</v>
      </c>
      <c r="B691" s="3" t="s">
        <v>1704</v>
      </c>
      <c r="C691" s="3" t="b">
        <v>1</v>
      </c>
      <c r="D691" s="3" t="b">
        <v>1</v>
      </c>
      <c r="E691" s="3" t="s">
        <v>58</v>
      </c>
      <c r="F691" s="3" t="s">
        <v>1705</v>
      </c>
      <c r="G691" s="4">
        <f>+251921997547</f>
        <v>251921997547</v>
      </c>
      <c r="H691" s="3" t="s">
        <v>18</v>
      </c>
      <c r="I691" s="3" t="s">
        <v>19</v>
      </c>
      <c r="J691" s="3" t="s">
        <v>19</v>
      </c>
      <c r="K691" s="3" t="s">
        <v>25</v>
      </c>
      <c r="L691" s="3">
        <v>21.34</v>
      </c>
      <c r="M691" s="3" t="s">
        <v>1695</v>
      </c>
      <c r="N691" s="3" t="s">
        <v>1696</v>
      </c>
      <c r="O691" s="3">
        <v>9.7810371821E10</v>
      </c>
    </row>
    <row r="692">
      <c r="A692" s="3">
        <v>2421522.0</v>
      </c>
      <c r="B692" s="3" t="s">
        <v>1706</v>
      </c>
      <c r="C692" s="3" t="b">
        <v>0</v>
      </c>
      <c r="D692" s="3" t="b">
        <v>0</v>
      </c>
      <c r="E692" s="3" t="s">
        <v>1707</v>
      </c>
      <c r="F692" s="3" t="s">
        <v>1708</v>
      </c>
      <c r="G692" s="4">
        <f>+251934293860</f>
        <v>251934293860</v>
      </c>
      <c r="H692" s="3" t="s">
        <v>18</v>
      </c>
      <c r="I692" s="3" t="s">
        <v>19</v>
      </c>
      <c r="J692" s="3" t="s">
        <v>19</v>
      </c>
      <c r="K692" s="3" t="s">
        <v>25</v>
      </c>
      <c r="L692" s="3">
        <v>28.27</v>
      </c>
      <c r="M692" s="3" t="s">
        <v>1695</v>
      </c>
      <c r="N692" s="3" t="s">
        <v>1696</v>
      </c>
      <c r="O692" s="3">
        <v>9.787958496E10</v>
      </c>
    </row>
    <row r="693">
      <c r="A693" s="3">
        <v>2421842.0</v>
      </c>
      <c r="B693" s="3" t="s">
        <v>1709</v>
      </c>
      <c r="C693" s="3" t="b">
        <v>1</v>
      </c>
      <c r="D693" s="3" t="b">
        <v>1</v>
      </c>
      <c r="E693" s="3" t="s">
        <v>1710</v>
      </c>
      <c r="F693" s="3" t="s">
        <v>1711</v>
      </c>
      <c r="G693" s="4">
        <f>+251967825278</f>
        <v>251967825278</v>
      </c>
      <c r="H693" s="3" t="s">
        <v>18</v>
      </c>
      <c r="I693" s="3" t="s">
        <v>19</v>
      </c>
      <c r="J693" s="3" t="s">
        <v>19</v>
      </c>
      <c r="K693" s="3" t="s">
        <v>25</v>
      </c>
      <c r="L693" s="3">
        <v>25.85</v>
      </c>
      <c r="M693" s="3" t="s">
        <v>1695</v>
      </c>
      <c r="N693" s="3" t="s">
        <v>1696</v>
      </c>
      <c r="O693" s="3">
        <v>9.8313939141E10</v>
      </c>
    </row>
    <row r="694">
      <c r="A694" s="3">
        <v>2421984.0</v>
      </c>
      <c r="B694" s="3" t="s">
        <v>1712</v>
      </c>
      <c r="C694" s="3" t="b">
        <v>1</v>
      </c>
      <c r="D694" s="3" t="b">
        <v>1</v>
      </c>
      <c r="E694" s="3" t="s">
        <v>1713</v>
      </c>
      <c r="F694" s="3" t="s">
        <v>1130</v>
      </c>
      <c r="G694" s="4">
        <f>+251954330563</f>
        <v>251954330563</v>
      </c>
      <c r="H694" s="3" t="s">
        <v>18</v>
      </c>
      <c r="I694" s="3" t="s">
        <v>19</v>
      </c>
      <c r="J694" s="3" t="s">
        <v>635</v>
      </c>
      <c r="K694" s="3" t="s">
        <v>25</v>
      </c>
      <c r="L694" s="3">
        <v>20.3</v>
      </c>
      <c r="M694" s="3" t="s">
        <v>1695</v>
      </c>
      <c r="N694" s="3" t="s">
        <v>1696</v>
      </c>
    </row>
    <row r="695">
      <c r="A695" s="3">
        <v>2422111.0</v>
      </c>
      <c r="B695" s="3" t="s">
        <v>1714</v>
      </c>
      <c r="C695" s="3" t="b">
        <v>0</v>
      </c>
      <c r="D695" s="3" t="b">
        <v>1</v>
      </c>
      <c r="E695" s="3" t="s">
        <v>328</v>
      </c>
      <c r="F695" s="3" t="s">
        <v>1715</v>
      </c>
      <c r="G695" s="4">
        <f>+251923594589</f>
        <v>251923594589</v>
      </c>
      <c r="H695" s="3" t="s">
        <v>29</v>
      </c>
      <c r="I695" s="3" t="s">
        <v>19</v>
      </c>
      <c r="J695" s="3" t="s">
        <v>19</v>
      </c>
      <c r="K695" s="3" t="s">
        <v>25</v>
      </c>
      <c r="L695" s="3">
        <v>19.29</v>
      </c>
      <c r="M695" s="3" t="s">
        <v>1695</v>
      </c>
      <c r="N695" s="3" t="s">
        <v>1696</v>
      </c>
      <c r="O695" s="3">
        <v>9.8427230417E10</v>
      </c>
    </row>
    <row r="696">
      <c r="A696" s="3">
        <v>2422690.0</v>
      </c>
      <c r="B696" s="3" t="s">
        <v>1716</v>
      </c>
      <c r="C696" s="3" t="b">
        <v>0</v>
      </c>
      <c r="D696" s="3" t="b">
        <v>1</v>
      </c>
      <c r="E696" s="3" t="s">
        <v>276</v>
      </c>
      <c r="F696" s="3" t="s">
        <v>1717</v>
      </c>
      <c r="G696" s="4">
        <f>+251964493021</f>
        <v>251964493021</v>
      </c>
      <c r="H696" s="3" t="s">
        <v>18</v>
      </c>
      <c r="I696" s="3" t="s">
        <v>19</v>
      </c>
      <c r="J696" s="3" t="s">
        <v>19</v>
      </c>
      <c r="K696" s="3" t="s">
        <v>25</v>
      </c>
      <c r="L696" s="3">
        <v>13.27</v>
      </c>
      <c r="M696" s="3" t="s">
        <v>1695</v>
      </c>
      <c r="N696" s="3" t="s">
        <v>1696</v>
      </c>
      <c r="O696" s="3">
        <v>9.8666657982E10</v>
      </c>
    </row>
    <row r="697">
      <c r="A697" s="3">
        <v>2422747.0</v>
      </c>
      <c r="B697" s="3" t="s">
        <v>1718</v>
      </c>
      <c r="C697" s="3" t="b">
        <v>0</v>
      </c>
      <c r="D697" s="3" t="b">
        <v>1</v>
      </c>
      <c r="E697" s="3" t="s">
        <v>270</v>
      </c>
      <c r="F697" s="3" t="s">
        <v>274</v>
      </c>
      <c r="G697" s="4">
        <f>+251901956630</f>
        <v>251901956630</v>
      </c>
      <c r="H697" s="3" t="s">
        <v>18</v>
      </c>
      <c r="I697" s="3" t="s">
        <v>19</v>
      </c>
      <c r="J697" s="3" t="s">
        <v>19</v>
      </c>
      <c r="K697" s="3" t="s">
        <v>20</v>
      </c>
      <c r="L697" s="3">
        <v>21.37</v>
      </c>
      <c r="M697" s="3" t="s">
        <v>1695</v>
      </c>
      <c r="N697" s="3" t="s">
        <v>1696</v>
      </c>
      <c r="O697" s="3">
        <v>9.8669250754E10</v>
      </c>
    </row>
    <row r="698">
      <c r="A698" s="3">
        <v>2421866.0</v>
      </c>
      <c r="B698" s="3" t="s">
        <v>1719</v>
      </c>
      <c r="C698" s="3" t="b">
        <v>1</v>
      </c>
      <c r="D698" s="3" t="b">
        <v>1</v>
      </c>
      <c r="E698" s="3" t="s">
        <v>1720</v>
      </c>
      <c r="F698" s="3" t="s">
        <v>1721</v>
      </c>
      <c r="G698" s="4">
        <f>+251920092648</f>
        <v>251920092648</v>
      </c>
      <c r="H698" s="3" t="s">
        <v>18</v>
      </c>
      <c r="I698" s="3" t="s">
        <v>19</v>
      </c>
      <c r="J698" s="3" t="s">
        <v>19</v>
      </c>
      <c r="K698" s="3" t="s">
        <v>25</v>
      </c>
      <c r="L698" s="3">
        <v>27.17</v>
      </c>
      <c r="M698" s="3" t="s">
        <v>1695</v>
      </c>
      <c r="N698" s="3" t="s">
        <v>1696</v>
      </c>
      <c r="O698" s="3">
        <v>9.835576753E10</v>
      </c>
    </row>
    <row r="699">
      <c r="A699" s="3">
        <v>2422764.0</v>
      </c>
      <c r="B699" s="3" t="s">
        <v>1722</v>
      </c>
      <c r="C699" s="3" t="b">
        <v>0</v>
      </c>
      <c r="D699" s="3" t="b">
        <v>1</v>
      </c>
      <c r="E699" s="3" t="s">
        <v>1723</v>
      </c>
      <c r="F699" s="3" t="s">
        <v>1724</v>
      </c>
      <c r="G699" s="4">
        <f>+251777770400</f>
        <v>251777770400</v>
      </c>
      <c r="H699" s="3" t="s">
        <v>18</v>
      </c>
      <c r="I699" s="3" t="s">
        <v>19</v>
      </c>
      <c r="J699" s="3" t="s">
        <v>19</v>
      </c>
      <c r="K699" s="3" t="s">
        <v>25</v>
      </c>
      <c r="L699" s="3">
        <v>24.28</v>
      </c>
      <c r="M699" s="3" t="s">
        <v>1695</v>
      </c>
      <c r="N699" s="3" t="s">
        <v>1696</v>
      </c>
      <c r="O699" s="3">
        <v>9.8679991544E10</v>
      </c>
    </row>
    <row r="700">
      <c r="A700" s="3">
        <v>2422905.0</v>
      </c>
      <c r="B700" s="3" t="s">
        <v>1725</v>
      </c>
      <c r="C700" s="3" t="b">
        <v>0</v>
      </c>
      <c r="D700" s="3" t="b">
        <v>1</v>
      </c>
      <c r="E700" s="3" t="s">
        <v>1726</v>
      </c>
      <c r="F700" s="3" t="s">
        <v>1552</v>
      </c>
      <c r="G700" s="4">
        <f>+251952793593</f>
        <v>251952793593</v>
      </c>
      <c r="H700" s="3" t="s">
        <v>18</v>
      </c>
      <c r="I700" s="3" t="s">
        <v>19</v>
      </c>
      <c r="J700" s="3" t="s">
        <v>19</v>
      </c>
      <c r="K700" s="3" t="s">
        <v>25</v>
      </c>
      <c r="L700" s="3">
        <v>20.58</v>
      </c>
      <c r="M700" s="3" t="s">
        <v>1695</v>
      </c>
      <c r="N700" s="3" t="s">
        <v>1696</v>
      </c>
      <c r="O700" s="3">
        <v>9.8778861804E10</v>
      </c>
    </row>
    <row r="701">
      <c r="A701" s="3">
        <v>2423066.0</v>
      </c>
      <c r="B701" s="3" t="s">
        <v>1727</v>
      </c>
      <c r="C701" s="3" t="b">
        <v>0</v>
      </c>
      <c r="D701" s="3" t="b">
        <v>1</v>
      </c>
      <c r="E701" s="3" t="s">
        <v>1728</v>
      </c>
      <c r="F701" s="3" t="s">
        <v>1729</v>
      </c>
      <c r="G701" s="4">
        <f>+251910639557</f>
        <v>251910639557</v>
      </c>
      <c r="H701" s="3" t="s">
        <v>18</v>
      </c>
      <c r="I701" s="3" t="s">
        <v>19</v>
      </c>
      <c r="J701" s="3" t="s">
        <v>19</v>
      </c>
      <c r="K701" s="3" t="s">
        <v>25</v>
      </c>
      <c r="L701" s="3">
        <v>31.22</v>
      </c>
      <c r="M701" s="3" t="s">
        <v>1695</v>
      </c>
      <c r="N701" s="3" t="s">
        <v>1696</v>
      </c>
      <c r="O701" s="3">
        <v>561555.0</v>
      </c>
    </row>
    <row r="702">
      <c r="A702" s="3">
        <v>2423509.0</v>
      </c>
      <c r="B702" s="3" t="s">
        <v>1730</v>
      </c>
      <c r="C702" s="3" t="b">
        <v>0</v>
      </c>
      <c r="D702" s="3" t="b">
        <v>1</v>
      </c>
      <c r="E702" s="3" t="s">
        <v>328</v>
      </c>
      <c r="F702" s="3" t="s">
        <v>1584</v>
      </c>
      <c r="G702" s="4">
        <f>+251912104582</f>
        <v>251912104582</v>
      </c>
      <c r="H702" s="3" t="s">
        <v>18</v>
      </c>
      <c r="I702" s="3" t="s">
        <v>19</v>
      </c>
      <c r="J702" s="3" t="s">
        <v>19</v>
      </c>
      <c r="K702" s="3" t="s">
        <v>25</v>
      </c>
      <c r="L702" s="3">
        <v>34.16</v>
      </c>
      <c r="M702" s="3" t="s">
        <v>1695</v>
      </c>
      <c r="N702" s="3" t="s">
        <v>1696</v>
      </c>
      <c r="O702" s="3">
        <v>9.9050215653E10</v>
      </c>
    </row>
    <row r="703">
      <c r="A703" s="3">
        <v>2423521.0</v>
      </c>
      <c r="B703" s="3" t="s">
        <v>1731</v>
      </c>
      <c r="C703" s="3" t="b">
        <v>1</v>
      </c>
      <c r="D703" s="3" t="b">
        <v>1</v>
      </c>
      <c r="E703" s="3" t="s">
        <v>1732</v>
      </c>
      <c r="F703" s="3" t="s">
        <v>314</v>
      </c>
      <c r="G703" s="4">
        <f>+251987749050</f>
        <v>251987749050</v>
      </c>
      <c r="H703" s="3" t="s">
        <v>18</v>
      </c>
      <c r="I703" s="3" t="s">
        <v>19</v>
      </c>
      <c r="J703" s="3" t="s">
        <v>19</v>
      </c>
      <c r="K703" s="3" t="s">
        <v>25</v>
      </c>
      <c r="L703" s="3">
        <v>19.0</v>
      </c>
      <c r="M703" s="3" t="s">
        <v>1695</v>
      </c>
      <c r="N703" s="3" t="s">
        <v>1696</v>
      </c>
      <c r="O703" s="3">
        <v>9.9061766369E10</v>
      </c>
    </row>
    <row r="704">
      <c r="A704" s="3">
        <v>2421871.0</v>
      </c>
      <c r="B704" s="3" t="s">
        <v>1733</v>
      </c>
      <c r="C704" s="3" t="b">
        <v>1</v>
      </c>
      <c r="D704" s="3" t="b">
        <v>0</v>
      </c>
      <c r="E704" s="3" t="s">
        <v>101</v>
      </c>
      <c r="F704" s="3" t="s">
        <v>1224</v>
      </c>
      <c r="G704" s="4">
        <f>+251940477296</f>
        <v>251940477296</v>
      </c>
      <c r="H704" s="3" t="s">
        <v>18</v>
      </c>
      <c r="I704" s="3" t="s">
        <v>19</v>
      </c>
      <c r="J704" s="3" t="s">
        <v>19</v>
      </c>
      <c r="K704" s="3" t="s">
        <v>25</v>
      </c>
      <c r="L704" s="3">
        <v>41.42</v>
      </c>
      <c r="M704" s="3" t="s">
        <v>1695</v>
      </c>
      <c r="N704" s="3" t="s">
        <v>1696</v>
      </c>
      <c r="O704" s="3">
        <v>8836878.0</v>
      </c>
    </row>
    <row r="705">
      <c r="A705" s="3">
        <v>2424118.0</v>
      </c>
      <c r="B705" s="3" t="s">
        <v>1734</v>
      </c>
      <c r="C705" s="3" t="b">
        <v>1</v>
      </c>
      <c r="D705" s="3" t="b">
        <v>1</v>
      </c>
      <c r="E705" s="3" t="s">
        <v>304</v>
      </c>
      <c r="F705" s="3" t="s">
        <v>1066</v>
      </c>
      <c r="G705" s="4">
        <f>+251927719519</f>
        <v>251927719519</v>
      </c>
      <c r="H705" s="3" t="s">
        <v>18</v>
      </c>
      <c r="I705" s="3" t="s">
        <v>19</v>
      </c>
      <c r="J705" s="3" t="s">
        <v>19</v>
      </c>
      <c r="K705" s="3" t="s">
        <v>25</v>
      </c>
      <c r="L705" s="3">
        <v>28.94</v>
      </c>
      <c r="M705" s="3" t="s">
        <v>1695</v>
      </c>
      <c r="N705" s="3" t="s">
        <v>1696</v>
      </c>
      <c r="O705" s="3">
        <v>846725.0</v>
      </c>
    </row>
    <row r="706">
      <c r="A706" s="3">
        <v>2424376.0</v>
      </c>
      <c r="B706" s="3" t="s">
        <v>1735</v>
      </c>
      <c r="C706" s="3" t="b">
        <v>1</v>
      </c>
      <c r="D706" s="3" t="b">
        <v>1</v>
      </c>
      <c r="E706" s="3" t="s">
        <v>1736</v>
      </c>
      <c r="F706" s="3" t="s">
        <v>1737</v>
      </c>
      <c r="G706" s="4">
        <f>+251947161293</f>
        <v>251947161293</v>
      </c>
      <c r="H706" s="3" t="s">
        <v>18</v>
      </c>
      <c r="I706" s="3" t="s">
        <v>19</v>
      </c>
      <c r="J706" s="3" t="s">
        <v>19</v>
      </c>
      <c r="K706" s="3" t="s">
        <v>25</v>
      </c>
      <c r="L706" s="3">
        <v>23.16</v>
      </c>
      <c r="M706" s="3" t="s">
        <v>1695</v>
      </c>
      <c r="N706" s="3" t="s">
        <v>1696</v>
      </c>
    </row>
    <row r="707">
      <c r="A707" s="3">
        <v>2424770.0</v>
      </c>
      <c r="B707" s="3" t="s">
        <v>1738</v>
      </c>
      <c r="C707" s="3" t="b">
        <v>0</v>
      </c>
      <c r="D707" s="3" t="b">
        <v>1</v>
      </c>
      <c r="E707" s="3" t="s">
        <v>1739</v>
      </c>
      <c r="F707" s="3" t="s">
        <v>1596</v>
      </c>
      <c r="G707" s="4">
        <f>+251918638264</f>
        <v>251918638264</v>
      </c>
      <c r="H707" s="3" t="s">
        <v>29</v>
      </c>
      <c r="I707" s="3" t="s">
        <v>19</v>
      </c>
      <c r="J707" s="3" t="s">
        <v>19</v>
      </c>
      <c r="K707" s="3" t="s">
        <v>25</v>
      </c>
      <c r="L707" s="3">
        <v>25.62</v>
      </c>
      <c r="M707" s="3" t="s">
        <v>1695</v>
      </c>
      <c r="N707" s="3" t="s">
        <v>1696</v>
      </c>
      <c r="O707" s="3">
        <v>9.9576049851E10</v>
      </c>
    </row>
    <row r="708">
      <c r="A708" s="3">
        <v>2424886.0</v>
      </c>
      <c r="B708" s="3" t="s">
        <v>1740</v>
      </c>
      <c r="C708" s="3" t="b">
        <v>0</v>
      </c>
      <c r="D708" s="3" t="b">
        <v>1</v>
      </c>
      <c r="E708" s="3" t="s">
        <v>58</v>
      </c>
      <c r="F708" s="3" t="s">
        <v>1741</v>
      </c>
      <c r="G708" s="4">
        <f>+251922638469</f>
        <v>251922638469</v>
      </c>
      <c r="H708" s="3" t="s">
        <v>18</v>
      </c>
      <c r="I708" s="3" t="s">
        <v>19</v>
      </c>
      <c r="J708" s="3" t="s">
        <v>19</v>
      </c>
      <c r="K708" s="3" t="s">
        <v>25</v>
      </c>
      <c r="L708" s="3">
        <v>13.27</v>
      </c>
      <c r="M708" s="3" t="s">
        <v>1695</v>
      </c>
      <c r="N708" s="3" t="s">
        <v>1696</v>
      </c>
      <c r="O708" s="3">
        <v>9.9658634463E10</v>
      </c>
    </row>
    <row r="709">
      <c r="A709" s="3">
        <v>2424883.0</v>
      </c>
      <c r="B709" s="3" t="s">
        <v>1742</v>
      </c>
      <c r="C709" s="3" t="b">
        <v>1</v>
      </c>
      <c r="D709" s="3" t="b">
        <v>1</v>
      </c>
      <c r="E709" s="3" t="s">
        <v>1743</v>
      </c>
      <c r="F709" s="3" t="s">
        <v>1744</v>
      </c>
      <c r="G709" s="4">
        <f>+251991822437</f>
        <v>251991822437</v>
      </c>
      <c r="H709" s="3" t="s">
        <v>18</v>
      </c>
      <c r="I709" s="3" t="s">
        <v>19</v>
      </c>
      <c r="J709" s="3" t="s">
        <v>19</v>
      </c>
      <c r="K709" s="3" t="s">
        <v>20</v>
      </c>
      <c r="L709" s="3">
        <v>24.58</v>
      </c>
      <c r="M709" s="3" t="s">
        <v>1695</v>
      </c>
      <c r="N709" s="3" t="s">
        <v>1696</v>
      </c>
      <c r="O709" s="3">
        <v>840753.0</v>
      </c>
    </row>
    <row r="710">
      <c r="A710" s="3">
        <v>2425133.0</v>
      </c>
      <c r="B710" s="3" t="s">
        <v>1745</v>
      </c>
      <c r="C710" s="3" t="b">
        <v>1</v>
      </c>
      <c r="D710" s="3" t="b">
        <v>1</v>
      </c>
      <c r="E710" s="3" t="s">
        <v>1746</v>
      </c>
      <c r="F710" s="3" t="s">
        <v>1446</v>
      </c>
      <c r="G710" s="4">
        <f>+251985545547</f>
        <v>251985545547</v>
      </c>
      <c r="H710" s="3" t="s">
        <v>18</v>
      </c>
      <c r="I710" s="3" t="s">
        <v>19</v>
      </c>
      <c r="J710" s="3" t="s">
        <v>19</v>
      </c>
      <c r="K710" s="3" t="s">
        <v>20</v>
      </c>
      <c r="L710" s="3">
        <v>20.47</v>
      </c>
      <c r="M710" s="3" t="s">
        <v>1695</v>
      </c>
      <c r="N710" s="3" t="s">
        <v>1696</v>
      </c>
      <c r="O710" s="3">
        <v>9.9750453443E10</v>
      </c>
    </row>
    <row r="711">
      <c r="A711" s="3">
        <v>2425126.0</v>
      </c>
      <c r="B711" s="3" t="s">
        <v>1747</v>
      </c>
      <c r="C711" s="3" t="b">
        <v>0</v>
      </c>
      <c r="D711" s="3" t="b">
        <v>1</v>
      </c>
      <c r="E711" s="3" t="s">
        <v>1748</v>
      </c>
      <c r="F711" s="3" t="s">
        <v>795</v>
      </c>
      <c r="G711" s="4">
        <f>+251956665528</f>
        <v>251956665528</v>
      </c>
      <c r="H711" s="3" t="s">
        <v>18</v>
      </c>
      <c r="I711" s="3" t="s">
        <v>19</v>
      </c>
      <c r="J711" s="3" t="s">
        <v>19</v>
      </c>
      <c r="K711" s="3" t="s">
        <v>25</v>
      </c>
      <c r="L711" s="3">
        <v>23.28</v>
      </c>
      <c r="M711" s="3" t="s">
        <v>1695</v>
      </c>
      <c r="N711" s="3" t="s">
        <v>1696</v>
      </c>
      <c r="O711" s="3">
        <v>9.972762747E10</v>
      </c>
    </row>
    <row r="712">
      <c r="A712" s="3">
        <v>2425159.0</v>
      </c>
      <c r="B712" s="3" t="s">
        <v>1749</v>
      </c>
      <c r="C712" s="3" t="b">
        <v>0</v>
      </c>
      <c r="D712" s="3" t="b">
        <v>1</v>
      </c>
      <c r="E712" s="3" t="s">
        <v>273</v>
      </c>
      <c r="F712" s="3" t="s">
        <v>96</v>
      </c>
      <c r="G712" s="4">
        <f>+251925872444</f>
        <v>251925872444</v>
      </c>
      <c r="H712" s="3" t="s">
        <v>18</v>
      </c>
      <c r="I712" s="3" t="s">
        <v>19</v>
      </c>
      <c r="J712" s="3" t="s">
        <v>19</v>
      </c>
      <c r="K712" s="3" t="s">
        <v>25</v>
      </c>
      <c r="L712" s="3">
        <v>28.22</v>
      </c>
      <c r="M712" s="3" t="s">
        <v>1695</v>
      </c>
      <c r="N712" s="3" t="s">
        <v>1696</v>
      </c>
      <c r="O712" s="3">
        <v>9.9750736092E10</v>
      </c>
    </row>
    <row r="713">
      <c r="A713" s="3">
        <v>1770763.0</v>
      </c>
      <c r="B713" s="3" t="s">
        <v>1750</v>
      </c>
      <c r="C713" s="3" t="b">
        <v>1</v>
      </c>
      <c r="D713" s="3" t="b">
        <v>1</v>
      </c>
      <c r="E713" s="3" t="s">
        <v>420</v>
      </c>
      <c r="F713" s="3" t="s">
        <v>189</v>
      </c>
      <c r="G713" s="4">
        <f>+251912128122</f>
        <v>251912128122</v>
      </c>
      <c r="H713" s="3" t="s">
        <v>18</v>
      </c>
      <c r="I713" s="3" t="s">
        <v>19</v>
      </c>
      <c r="J713" s="3" t="s">
        <v>19</v>
      </c>
      <c r="K713" s="3" t="s">
        <v>25</v>
      </c>
      <c r="L713" s="3">
        <v>24.72</v>
      </c>
      <c r="M713" s="3" t="s">
        <v>1695</v>
      </c>
      <c r="N713" s="3" t="s">
        <v>1696</v>
      </c>
    </row>
    <row r="714">
      <c r="A714" s="3">
        <v>2426282.0</v>
      </c>
      <c r="B714" s="3" t="s">
        <v>1751</v>
      </c>
      <c r="C714" s="3" t="b">
        <v>0</v>
      </c>
      <c r="D714" s="3" t="b">
        <v>1</v>
      </c>
      <c r="E714" s="3" t="s">
        <v>1752</v>
      </c>
      <c r="F714" s="3" t="s">
        <v>1656</v>
      </c>
      <c r="G714" s="4">
        <f>+251955689468</f>
        <v>251955689468</v>
      </c>
      <c r="H714" s="3" t="s">
        <v>18</v>
      </c>
      <c r="I714" s="3" t="s">
        <v>19</v>
      </c>
      <c r="J714" s="3" t="s">
        <v>19</v>
      </c>
      <c r="K714" s="3" t="s">
        <v>20</v>
      </c>
      <c r="L714" s="3">
        <v>19.78</v>
      </c>
      <c r="M714" s="3" t="s">
        <v>1695</v>
      </c>
      <c r="N714" s="3" t="s">
        <v>1696</v>
      </c>
      <c r="O714" s="3">
        <v>1.00176238794E11</v>
      </c>
    </row>
    <row r="715">
      <c r="A715" s="3">
        <v>1430191.0</v>
      </c>
      <c r="B715" s="3" t="s">
        <v>1753</v>
      </c>
      <c r="C715" s="3" t="b">
        <v>1</v>
      </c>
      <c r="D715" s="3" t="b">
        <v>1</v>
      </c>
      <c r="E715" s="3" t="s">
        <v>267</v>
      </c>
      <c r="F715" s="3" t="s">
        <v>64</v>
      </c>
      <c r="G715" s="3">
        <v>9.21764304E8</v>
      </c>
      <c r="H715" s="3" t="s">
        <v>18</v>
      </c>
      <c r="I715" s="3" t="s">
        <v>19</v>
      </c>
      <c r="J715" s="3" t="s">
        <v>19</v>
      </c>
      <c r="K715" s="3" t="s">
        <v>25</v>
      </c>
      <c r="L715" s="3">
        <v>26.76</v>
      </c>
      <c r="M715" s="3" t="s">
        <v>1695</v>
      </c>
      <c r="N715" s="3" t="s">
        <v>1696</v>
      </c>
      <c r="O715" s="3">
        <v>8804699.0</v>
      </c>
    </row>
    <row r="716">
      <c r="A716" s="3">
        <v>2426993.0</v>
      </c>
      <c r="B716" s="3" t="s">
        <v>1754</v>
      </c>
      <c r="C716" s="3" t="b">
        <v>1</v>
      </c>
      <c r="D716" s="3" t="b">
        <v>1</v>
      </c>
      <c r="E716" s="3" t="s">
        <v>1755</v>
      </c>
      <c r="F716" s="3" t="s">
        <v>1756</v>
      </c>
      <c r="G716" s="4">
        <f>+251912946964</f>
        <v>251912946964</v>
      </c>
      <c r="H716" s="3" t="s">
        <v>18</v>
      </c>
      <c r="I716" s="3" t="s">
        <v>19</v>
      </c>
      <c r="J716" s="3" t="s">
        <v>19</v>
      </c>
      <c r="K716" s="3" t="s">
        <v>20</v>
      </c>
      <c r="L716" s="3">
        <v>26.65</v>
      </c>
      <c r="M716" s="3" t="s">
        <v>1695</v>
      </c>
      <c r="N716" s="3" t="s">
        <v>1696</v>
      </c>
      <c r="O716" s="3">
        <v>1.00269350131E11</v>
      </c>
    </row>
    <row r="717">
      <c r="A717" s="3">
        <v>2427112.0</v>
      </c>
      <c r="B717" s="3" t="s">
        <v>1757</v>
      </c>
      <c r="C717" s="3" t="b">
        <v>0</v>
      </c>
      <c r="D717" s="3" t="b">
        <v>1</v>
      </c>
      <c r="E717" s="3" t="s">
        <v>1758</v>
      </c>
      <c r="F717" s="3" t="s">
        <v>70</v>
      </c>
      <c r="G717" s="4">
        <f>+251910018410</f>
        <v>251910018410</v>
      </c>
      <c r="H717" s="3" t="s">
        <v>18</v>
      </c>
      <c r="I717" s="3" t="s">
        <v>19</v>
      </c>
      <c r="J717" s="3" t="s">
        <v>19</v>
      </c>
      <c r="K717" s="3" t="s">
        <v>25</v>
      </c>
      <c r="L717" s="3">
        <v>28.24</v>
      </c>
      <c r="M717" s="3" t="s">
        <v>1695</v>
      </c>
      <c r="N717" s="3" t="s">
        <v>1696</v>
      </c>
      <c r="O717" s="3">
        <v>1.00279312587E11</v>
      </c>
    </row>
    <row r="718">
      <c r="A718" s="3">
        <v>1991501.0</v>
      </c>
      <c r="B718" s="3" t="s">
        <v>1759</v>
      </c>
      <c r="C718" s="3" t="b">
        <v>1</v>
      </c>
      <c r="D718" s="3" t="b">
        <v>1</v>
      </c>
      <c r="E718" s="3" t="s">
        <v>1760</v>
      </c>
      <c r="F718" s="3" t="s">
        <v>1761</v>
      </c>
      <c r="G718" s="4">
        <f>+251940956155</f>
        <v>251940956155</v>
      </c>
      <c r="H718" s="3" t="s">
        <v>1175</v>
      </c>
      <c r="I718" s="3" t="s">
        <v>19</v>
      </c>
      <c r="J718" s="3" t="s">
        <v>19</v>
      </c>
      <c r="K718" s="3" t="s">
        <v>25</v>
      </c>
      <c r="L718" s="3">
        <v>32.69</v>
      </c>
      <c r="M718" s="3" t="s">
        <v>1695</v>
      </c>
      <c r="N718" s="3" t="s">
        <v>1696</v>
      </c>
      <c r="O718" s="3">
        <v>2.8274084055E10</v>
      </c>
    </row>
    <row r="719">
      <c r="A719" s="3">
        <v>2427429.0</v>
      </c>
      <c r="B719" s="3" t="s">
        <v>1762</v>
      </c>
      <c r="C719" s="3" t="b">
        <v>1</v>
      </c>
      <c r="D719" s="3" t="b">
        <v>1</v>
      </c>
      <c r="E719" s="3" t="s">
        <v>1763</v>
      </c>
      <c r="F719" s="3" t="s">
        <v>1764</v>
      </c>
      <c r="G719" s="4">
        <f>+251953428007</f>
        <v>251953428007</v>
      </c>
      <c r="H719" s="3" t="s">
        <v>18</v>
      </c>
      <c r="I719" s="3" t="s">
        <v>19</v>
      </c>
      <c r="J719" s="3" t="s">
        <v>19</v>
      </c>
      <c r="K719" s="3" t="s">
        <v>20</v>
      </c>
      <c r="L719" s="3">
        <v>33.64</v>
      </c>
      <c r="M719" s="3" t="s">
        <v>1695</v>
      </c>
      <c r="N719" s="3" t="s">
        <v>1696</v>
      </c>
    </row>
    <row r="720">
      <c r="A720" s="3">
        <v>2427699.0</v>
      </c>
      <c r="B720" s="3" t="s">
        <v>1765</v>
      </c>
      <c r="C720" s="3" t="b">
        <v>1</v>
      </c>
      <c r="D720" s="3" t="b">
        <v>1</v>
      </c>
      <c r="E720" s="3" t="s">
        <v>1766</v>
      </c>
      <c r="F720" s="3" t="s">
        <v>1074</v>
      </c>
      <c r="G720" s="4">
        <f>+251989812581</f>
        <v>251989812581</v>
      </c>
      <c r="H720" s="3" t="s">
        <v>29</v>
      </c>
      <c r="I720" s="3" t="s">
        <v>19</v>
      </c>
      <c r="J720" s="3" t="s">
        <v>19</v>
      </c>
      <c r="K720" s="3" t="s">
        <v>20</v>
      </c>
      <c r="L720" s="3">
        <v>16.26</v>
      </c>
      <c r="M720" s="3" t="s">
        <v>1695</v>
      </c>
      <c r="N720" s="3" t="s">
        <v>1696</v>
      </c>
      <c r="O720" s="3">
        <v>1.00552380603E11</v>
      </c>
    </row>
    <row r="721">
      <c r="A721" s="3">
        <v>2427785.0</v>
      </c>
      <c r="B721" s="3" t="s">
        <v>1767</v>
      </c>
      <c r="C721" s="3" t="b">
        <v>0</v>
      </c>
      <c r="D721" s="3" t="b">
        <v>1</v>
      </c>
      <c r="E721" s="3" t="s">
        <v>1768</v>
      </c>
      <c r="F721" s="3" t="s">
        <v>1769</v>
      </c>
      <c r="G721" s="4">
        <f>+251903913207</f>
        <v>251903913207</v>
      </c>
      <c r="H721" s="3" t="s">
        <v>18</v>
      </c>
      <c r="I721" s="3" t="s">
        <v>19</v>
      </c>
      <c r="J721" s="3" t="s">
        <v>1770</v>
      </c>
      <c r="K721" s="3" t="s">
        <v>20</v>
      </c>
      <c r="L721" s="3">
        <v>18.7</v>
      </c>
      <c r="M721" s="3" t="s">
        <v>1695</v>
      </c>
      <c r="N721" s="3" t="s">
        <v>1696</v>
      </c>
      <c r="O721" s="3">
        <v>1.00579670236E11</v>
      </c>
    </row>
    <row r="722">
      <c r="A722" s="3">
        <v>2402529.0</v>
      </c>
      <c r="B722" s="3" t="s">
        <v>1771</v>
      </c>
      <c r="C722" s="3" t="b">
        <v>1</v>
      </c>
      <c r="D722" s="3" t="b">
        <v>1</v>
      </c>
      <c r="E722" s="3" t="s">
        <v>645</v>
      </c>
      <c r="F722" s="3" t="s">
        <v>32</v>
      </c>
      <c r="G722" s="4">
        <f>+251988328834</f>
        <v>251988328834</v>
      </c>
      <c r="H722" s="3" t="s">
        <v>18</v>
      </c>
      <c r="I722" s="3" t="s">
        <v>19</v>
      </c>
      <c r="J722" s="3" t="s">
        <v>19</v>
      </c>
      <c r="K722" s="3" t="s">
        <v>25</v>
      </c>
      <c r="L722" s="3">
        <v>19.1</v>
      </c>
      <c r="M722" s="3" t="s">
        <v>1695</v>
      </c>
      <c r="N722" s="3" t="s">
        <v>1696</v>
      </c>
      <c r="O722" s="3">
        <v>4.3602857696E10</v>
      </c>
    </row>
    <row r="723">
      <c r="A723" s="3">
        <v>2427924.0</v>
      </c>
      <c r="B723" s="3" t="s">
        <v>1772</v>
      </c>
      <c r="C723" s="3" t="b">
        <v>1</v>
      </c>
      <c r="D723" s="3" t="b">
        <v>1</v>
      </c>
      <c r="E723" s="3" t="s">
        <v>1773</v>
      </c>
      <c r="F723" s="3" t="s">
        <v>1774</v>
      </c>
      <c r="G723" s="4">
        <f>+251926556079</f>
        <v>251926556079</v>
      </c>
      <c r="H723" s="3" t="s">
        <v>18</v>
      </c>
      <c r="I723" s="3" t="s">
        <v>19</v>
      </c>
      <c r="J723" s="3" t="s">
        <v>19</v>
      </c>
      <c r="K723" s="3" t="s">
        <v>25</v>
      </c>
      <c r="L723" s="3">
        <v>23.22</v>
      </c>
      <c r="M723" s="3" t="s">
        <v>1695</v>
      </c>
      <c r="N723" s="3" t="s">
        <v>1696</v>
      </c>
      <c r="O723" s="3">
        <v>1.00570368228E11</v>
      </c>
    </row>
    <row r="724">
      <c r="A724" s="3">
        <v>2428032.0</v>
      </c>
      <c r="B724" s="3" t="s">
        <v>1775</v>
      </c>
      <c r="C724" s="3" t="b">
        <v>1</v>
      </c>
      <c r="D724" s="3" t="b">
        <v>1</v>
      </c>
      <c r="E724" s="3" t="s">
        <v>46</v>
      </c>
      <c r="F724" s="3" t="s">
        <v>1776</v>
      </c>
      <c r="G724" s="4">
        <f>+251927886734</f>
        <v>251927886734</v>
      </c>
      <c r="H724" s="3" t="s">
        <v>18</v>
      </c>
      <c r="I724" s="3" t="s">
        <v>19</v>
      </c>
      <c r="J724" s="3" t="s">
        <v>19</v>
      </c>
      <c r="K724" s="3" t="s">
        <v>25</v>
      </c>
      <c r="L724" s="3">
        <v>13.28</v>
      </c>
      <c r="M724" s="3" t="s">
        <v>1695</v>
      </c>
      <c r="N724" s="3" t="s">
        <v>1696</v>
      </c>
      <c r="O724" s="3">
        <v>1.00603547877E11</v>
      </c>
    </row>
    <row r="725">
      <c r="A725" s="3">
        <v>2127226.0</v>
      </c>
      <c r="B725" s="3" t="s">
        <v>1777</v>
      </c>
      <c r="C725" s="3" t="b">
        <v>1</v>
      </c>
      <c r="D725" s="3" t="b">
        <v>1</v>
      </c>
      <c r="E725" s="3" t="s">
        <v>1778</v>
      </c>
      <c r="F725" s="3" t="s">
        <v>1779</v>
      </c>
      <c r="G725" s="4">
        <f>+251911415958</f>
        <v>251911415958</v>
      </c>
      <c r="H725" s="3" t="s">
        <v>18</v>
      </c>
      <c r="I725" s="3" t="s">
        <v>19</v>
      </c>
      <c r="J725" s="3" t="s">
        <v>19</v>
      </c>
      <c r="K725" s="3" t="s">
        <v>25</v>
      </c>
      <c r="L725" s="3">
        <v>16.99</v>
      </c>
      <c r="M725" s="3" t="s">
        <v>1695</v>
      </c>
      <c r="N725" s="3" t="s">
        <v>1696</v>
      </c>
      <c r="O725" s="3">
        <v>3.1479213558E10</v>
      </c>
    </row>
    <row r="726">
      <c r="A726" s="3">
        <v>2426830.0</v>
      </c>
      <c r="B726" s="3" t="s">
        <v>1780</v>
      </c>
      <c r="C726" s="3" t="b">
        <v>0</v>
      </c>
      <c r="D726" s="3" t="b">
        <v>1</v>
      </c>
      <c r="E726" s="3" t="s">
        <v>697</v>
      </c>
      <c r="F726" s="3" t="s">
        <v>102</v>
      </c>
      <c r="G726" s="4">
        <f>+251084165002</f>
        <v>251084165002</v>
      </c>
      <c r="H726" s="3" t="s">
        <v>18</v>
      </c>
      <c r="I726" s="3" t="s">
        <v>19</v>
      </c>
      <c r="J726" s="3" t="s">
        <v>19</v>
      </c>
      <c r="K726" s="3" t="s">
        <v>20</v>
      </c>
      <c r="L726" s="3">
        <v>19.83</v>
      </c>
      <c r="M726" s="3" t="s">
        <v>1695</v>
      </c>
      <c r="N726" s="3" t="s">
        <v>1696</v>
      </c>
      <c r="O726" s="3">
        <v>1.00256627922E11</v>
      </c>
    </row>
    <row r="727">
      <c r="A727" s="3">
        <v>120105.0</v>
      </c>
      <c r="B727" s="3" t="s">
        <v>1781</v>
      </c>
      <c r="C727" s="3" t="b">
        <v>1</v>
      </c>
      <c r="D727" s="3" t="b">
        <v>1</v>
      </c>
      <c r="E727" s="3" t="s">
        <v>409</v>
      </c>
      <c r="F727" s="3" t="s">
        <v>387</v>
      </c>
      <c r="G727" s="4">
        <f>+251938030275</f>
        <v>251938030275</v>
      </c>
      <c r="H727" s="3" t="s">
        <v>18</v>
      </c>
      <c r="I727" s="3" t="s">
        <v>19</v>
      </c>
      <c r="J727" s="3" t="s">
        <v>19</v>
      </c>
      <c r="K727" s="3" t="s">
        <v>25</v>
      </c>
      <c r="L727" s="3">
        <v>26.48</v>
      </c>
      <c r="M727" s="3" t="s">
        <v>1695</v>
      </c>
      <c r="N727" s="3" t="s">
        <v>1696</v>
      </c>
      <c r="O727" s="3">
        <v>2.3219138E7</v>
      </c>
    </row>
    <row r="728">
      <c r="A728" s="3">
        <v>2364645.0</v>
      </c>
      <c r="B728" s="3" t="s">
        <v>1782</v>
      </c>
      <c r="C728" s="3" t="b">
        <v>1</v>
      </c>
      <c r="D728" s="3" t="b">
        <v>1</v>
      </c>
      <c r="E728" s="3" t="s">
        <v>196</v>
      </c>
      <c r="F728" s="3" t="s">
        <v>1783</v>
      </c>
      <c r="G728" s="4">
        <f>+251924140662</f>
        <v>251924140662</v>
      </c>
      <c r="H728" s="3" t="s">
        <v>18</v>
      </c>
      <c r="I728" s="3" t="s">
        <v>19</v>
      </c>
      <c r="J728" s="3" t="s">
        <v>19</v>
      </c>
      <c r="K728" s="3" t="s">
        <v>25</v>
      </c>
      <c r="L728" s="3">
        <v>32.44</v>
      </c>
      <c r="M728" s="3" t="s">
        <v>1695</v>
      </c>
      <c r="N728" s="3" t="s">
        <v>1696</v>
      </c>
      <c r="O728" s="3">
        <v>2.5551301E7</v>
      </c>
    </row>
    <row r="729">
      <c r="A729" s="3">
        <v>2428356.0</v>
      </c>
      <c r="B729" s="3" t="s">
        <v>1784</v>
      </c>
      <c r="C729" s="3" t="b">
        <v>0</v>
      </c>
      <c r="D729" s="3" t="b">
        <v>1</v>
      </c>
      <c r="E729" s="3" t="s">
        <v>538</v>
      </c>
      <c r="F729" s="3" t="s">
        <v>1785</v>
      </c>
      <c r="G729" s="4">
        <f>+251912694932</f>
        <v>251912694932</v>
      </c>
      <c r="H729" s="3" t="s">
        <v>18</v>
      </c>
      <c r="I729" s="3" t="s">
        <v>19</v>
      </c>
      <c r="J729" s="3" t="s">
        <v>19</v>
      </c>
      <c r="K729" s="3" t="s">
        <v>25</v>
      </c>
      <c r="L729" s="3">
        <v>34.44</v>
      </c>
      <c r="M729" s="3" t="s">
        <v>1695</v>
      </c>
      <c r="N729" s="3" t="s">
        <v>1696</v>
      </c>
      <c r="O729" s="3">
        <v>1910952.0</v>
      </c>
    </row>
    <row r="730">
      <c r="A730" s="3">
        <v>885416.0</v>
      </c>
      <c r="B730" s="3" t="s">
        <v>1786</v>
      </c>
      <c r="C730" s="3" t="b">
        <v>1</v>
      </c>
      <c r="D730" s="3" t="b">
        <v>0</v>
      </c>
      <c r="E730" s="3" t="s">
        <v>1787</v>
      </c>
      <c r="F730" s="3" t="s">
        <v>1269</v>
      </c>
      <c r="G730" s="4">
        <f>+251912481638</f>
        <v>251912481638</v>
      </c>
      <c r="H730" s="3" t="s">
        <v>18</v>
      </c>
      <c r="I730" s="3" t="s">
        <v>19</v>
      </c>
      <c r="J730" s="3" t="s">
        <v>19</v>
      </c>
      <c r="K730" s="3" t="s">
        <v>20</v>
      </c>
      <c r="L730" s="3">
        <v>28.01</v>
      </c>
      <c r="M730" s="3" t="s">
        <v>1695</v>
      </c>
      <c r="N730" s="3" t="s">
        <v>1696</v>
      </c>
      <c r="O730" s="3">
        <v>1841658.0</v>
      </c>
    </row>
    <row r="731">
      <c r="A731" s="3">
        <v>2429032.0</v>
      </c>
      <c r="B731" s="3" t="s">
        <v>1788</v>
      </c>
      <c r="C731" s="3" t="b">
        <v>0</v>
      </c>
      <c r="D731" s="3" t="b">
        <v>1</v>
      </c>
      <c r="E731" s="3" t="s">
        <v>1789</v>
      </c>
      <c r="F731" s="3" t="s">
        <v>1790</v>
      </c>
      <c r="G731" s="4">
        <f>+251978911856</f>
        <v>251978911856</v>
      </c>
      <c r="H731" s="3" t="s">
        <v>18</v>
      </c>
      <c r="I731" s="3" t="s">
        <v>19</v>
      </c>
      <c r="J731" s="3" t="s">
        <v>19</v>
      </c>
      <c r="K731" s="3" t="s">
        <v>25</v>
      </c>
      <c r="L731" s="3">
        <v>19.45</v>
      </c>
      <c r="M731" s="3" t="s">
        <v>1695</v>
      </c>
      <c r="N731" s="3" t="s">
        <v>1696</v>
      </c>
      <c r="O731" s="3">
        <v>1.00831934652E11</v>
      </c>
    </row>
    <row r="732">
      <c r="A732" s="3">
        <v>1764.0</v>
      </c>
      <c r="B732" s="3" t="s">
        <v>1791</v>
      </c>
      <c r="C732" s="3" t="b">
        <v>1</v>
      </c>
      <c r="D732" s="3" t="b">
        <v>1</v>
      </c>
      <c r="E732" s="3" t="s">
        <v>1545</v>
      </c>
      <c r="F732" s="3" t="s">
        <v>1792</v>
      </c>
      <c r="G732" s="4">
        <f>+251966332402</f>
        <v>251966332402</v>
      </c>
      <c r="H732" s="3" t="s">
        <v>18</v>
      </c>
      <c r="I732" s="3" t="s">
        <v>19</v>
      </c>
      <c r="J732" s="3" t="s">
        <v>19</v>
      </c>
      <c r="K732" s="3" t="s">
        <v>25</v>
      </c>
      <c r="L732" s="3">
        <v>27.29</v>
      </c>
      <c r="M732" s="3" t="s">
        <v>1695</v>
      </c>
      <c r="N732" s="3" t="s">
        <v>1696</v>
      </c>
      <c r="O732" s="3">
        <v>1855174.0</v>
      </c>
    </row>
    <row r="733">
      <c r="A733" s="3">
        <v>2405171.0</v>
      </c>
      <c r="B733" s="3" t="s">
        <v>1793</v>
      </c>
      <c r="C733" s="3" t="b">
        <v>1</v>
      </c>
      <c r="D733" s="3" t="b">
        <v>1</v>
      </c>
      <c r="E733" s="3" t="s">
        <v>1532</v>
      </c>
      <c r="F733" s="3" t="s">
        <v>1794</v>
      </c>
      <c r="G733" s="4">
        <f>+251989691202</f>
        <v>251989691202</v>
      </c>
      <c r="H733" s="3" t="s">
        <v>18</v>
      </c>
      <c r="I733" s="3" t="s">
        <v>19</v>
      </c>
      <c r="J733" s="3" t="s">
        <v>19</v>
      </c>
      <c r="K733" s="3" t="s">
        <v>25</v>
      </c>
      <c r="L733" s="3">
        <v>27.43</v>
      </c>
      <c r="M733" s="3" t="s">
        <v>1695</v>
      </c>
      <c r="N733" s="3" t="s">
        <v>1696</v>
      </c>
      <c r="O733" s="3">
        <v>4.5164011731E10</v>
      </c>
    </row>
    <row r="734">
      <c r="A734" s="3">
        <v>2141246.0</v>
      </c>
      <c r="B734" s="3" t="s">
        <v>1795</v>
      </c>
      <c r="C734" s="3" t="b">
        <v>1</v>
      </c>
      <c r="D734" s="3" t="b">
        <v>1</v>
      </c>
      <c r="E734" s="3" t="s">
        <v>356</v>
      </c>
      <c r="F734" s="3" t="s">
        <v>1796</v>
      </c>
      <c r="G734" s="4">
        <f>+251902479690</f>
        <v>251902479690</v>
      </c>
      <c r="H734" s="3" t="s">
        <v>106</v>
      </c>
      <c r="I734" s="3" t="s">
        <v>19</v>
      </c>
      <c r="J734" s="3" t="s">
        <v>19</v>
      </c>
      <c r="K734" s="3" t="s">
        <v>25</v>
      </c>
      <c r="L734" s="3">
        <v>23.17</v>
      </c>
      <c r="M734" s="3" t="s">
        <v>1695</v>
      </c>
      <c r="N734" s="3" t="s">
        <v>1696</v>
      </c>
      <c r="O734" s="3">
        <v>3.1801993976E10</v>
      </c>
    </row>
    <row r="735">
      <c r="A735" s="3">
        <v>1691448.0</v>
      </c>
      <c r="B735" s="3" t="s">
        <v>1797</v>
      </c>
      <c r="C735" s="3" t="b">
        <v>1</v>
      </c>
      <c r="D735" s="3" t="b">
        <v>1</v>
      </c>
      <c r="E735" s="3" t="s">
        <v>1798</v>
      </c>
      <c r="F735" s="3" t="s">
        <v>1799</v>
      </c>
      <c r="G735" s="3">
        <v>9.85042445E8</v>
      </c>
      <c r="H735" s="3" t="s">
        <v>29</v>
      </c>
      <c r="I735" s="3" t="s">
        <v>19</v>
      </c>
      <c r="J735" s="3" t="s">
        <v>19</v>
      </c>
      <c r="K735" s="3" t="s">
        <v>25</v>
      </c>
      <c r="L735" s="3">
        <v>24.97</v>
      </c>
      <c r="M735" s="3" t="s">
        <v>1695</v>
      </c>
      <c r="N735" s="3" t="s">
        <v>1696</v>
      </c>
      <c r="O735" s="3">
        <v>2106007.0</v>
      </c>
    </row>
    <row r="736">
      <c r="A736" s="3">
        <v>2234088.0</v>
      </c>
      <c r="B736" s="3" t="s">
        <v>1800</v>
      </c>
      <c r="C736" s="3" t="b">
        <v>1</v>
      </c>
      <c r="D736" s="3" t="b">
        <v>1</v>
      </c>
      <c r="E736" s="3" t="s">
        <v>1801</v>
      </c>
      <c r="F736" s="3" t="s">
        <v>1000</v>
      </c>
      <c r="G736" s="4">
        <f>+251976858682</f>
        <v>251976858682</v>
      </c>
      <c r="H736" s="3" t="s">
        <v>18</v>
      </c>
      <c r="I736" s="3" t="s">
        <v>19</v>
      </c>
      <c r="J736" s="3" t="s">
        <v>19</v>
      </c>
      <c r="K736" s="3" t="s">
        <v>20</v>
      </c>
      <c r="L736" s="3">
        <v>19.17</v>
      </c>
      <c r="M736" s="3" t="s">
        <v>1695</v>
      </c>
      <c r="N736" s="3" t="s">
        <v>1696</v>
      </c>
      <c r="O736" s="3">
        <v>3.3712885733E10</v>
      </c>
    </row>
    <row r="737">
      <c r="A737" s="3">
        <v>2411190.0</v>
      </c>
      <c r="B737" s="3" t="s">
        <v>1802</v>
      </c>
      <c r="C737" s="3" t="b">
        <v>1</v>
      </c>
      <c r="D737" s="3" t="b">
        <v>1</v>
      </c>
      <c r="E737" s="3" t="s">
        <v>1803</v>
      </c>
      <c r="F737" s="3" t="s">
        <v>1804</v>
      </c>
      <c r="G737" s="4">
        <f>+251910899215</f>
        <v>251910899215</v>
      </c>
      <c r="H737" s="3" t="s">
        <v>18</v>
      </c>
      <c r="I737" s="3" t="s">
        <v>19</v>
      </c>
      <c r="J737" s="3" t="s">
        <v>19</v>
      </c>
      <c r="K737" s="3" t="s">
        <v>25</v>
      </c>
      <c r="L737" s="3">
        <v>33.44</v>
      </c>
      <c r="M737" s="3" t="s">
        <v>1695</v>
      </c>
      <c r="N737" s="3" t="s">
        <v>1696</v>
      </c>
      <c r="O737" s="3">
        <v>7.2547977422E10</v>
      </c>
    </row>
    <row r="738">
      <c r="A738" s="3">
        <v>2429313.0</v>
      </c>
      <c r="B738" s="3" t="s">
        <v>1805</v>
      </c>
      <c r="C738" s="3" t="b">
        <v>1</v>
      </c>
      <c r="D738" s="3" t="b">
        <v>1</v>
      </c>
      <c r="E738" s="3" t="s">
        <v>1806</v>
      </c>
      <c r="F738" s="3" t="s">
        <v>1807</v>
      </c>
      <c r="G738" s="4">
        <f>+251916205021</f>
        <v>251916205021</v>
      </c>
      <c r="H738" s="3" t="s">
        <v>29</v>
      </c>
      <c r="I738" s="3" t="s">
        <v>19</v>
      </c>
      <c r="J738" s="3" t="s">
        <v>19</v>
      </c>
      <c r="K738" s="3" t="s">
        <v>20</v>
      </c>
      <c r="L738" s="3">
        <v>18.89</v>
      </c>
      <c r="M738" s="3" t="s">
        <v>1695</v>
      </c>
      <c r="N738" s="3" t="s">
        <v>1696</v>
      </c>
      <c r="O738" s="3">
        <v>1.00897689788E11</v>
      </c>
    </row>
    <row r="739">
      <c r="A739" s="3">
        <v>2429527.0</v>
      </c>
      <c r="B739" s="3" t="s">
        <v>1808</v>
      </c>
      <c r="C739" s="3" t="b">
        <v>1</v>
      </c>
      <c r="D739" s="3" t="b">
        <v>1</v>
      </c>
      <c r="E739" s="3" t="s">
        <v>481</v>
      </c>
      <c r="F739" s="3" t="s">
        <v>1809</v>
      </c>
      <c r="G739" s="3" t="s">
        <v>1810</v>
      </c>
      <c r="H739" s="3" t="s">
        <v>29</v>
      </c>
      <c r="I739" s="3" t="s">
        <v>19</v>
      </c>
      <c r="J739" s="3" t="s">
        <v>19</v>
      </c>
      <c r="K739" s="3" t="s">
        <v>20</v>
      </c>
      <c r="L739" s="3">
        <v>23.62</v>
      </c>
      <c r="M739" s="3" t="s">
        <v>1695</v>
      </c>
      <c r="N739" s="3" t="s">
        <v>1696</v>
      </c>
      <c r="O739" s="3">
        <v>1.00957395137E11</v>
      </c>
    </row>
    <row r="740">
      <c r="A740" s="3">
        <v>2429554.0</v>
      </c>
      <c r="B740" s="3" t="s">
        <v>1811</v>
      </c>
      <c r="C740" s="3" t="b">
        <v>1</v>
      </c>
      <c r="D740" s="3" t="b">
        <v>1</v>
      </c>
      <c r="E740" s="3" t="s">
        <v>913</v>
      </c>
      <c r="F740" s="3" t="s">
        <v>35</v>
      </c>
      <c r="G740" s="4">
        <f>+251920098365</f>
        <v>251920098365</v>
      </c>
      <c r="H740" s="3" t="s">
        <v>1812</v>
      </c>
      <c r="I740" s="3" t="s">
        <v>19</v>
      </c>
      <c r="J740" s="3" t="s">
        <v>19</v>
      </c>
      <c r="K740" s="3" t="s">
        <v>25</v>
      </c>
      <c r="L740" s="3">
        <v>32.78</v>
      </c>
      <c r="M740" s="3" t="s">
        <v>1695</v>
      </c>
      <c r="N740" s="3" t="s">
        <v>1696</v>
      </c>
      <c r="O740" s="3">
        <v>1.00924885199E11</v>
      </c>
    </row>
    <row r="741">
      <c r="A741" s="3">
        <v>2429580.0</v>
      </c>
      <c r="B741" s="3" t="s">
        <v>1813</v>
      </c>
      <c r="C741" s="3" t="b">
        <v>1</v>
      </c>
      <c r="D741" s="3" t="b">
        <v>1</v>
      </c>
      <c r="E741" s="3" t="s">
        <v>1814</v>
      </c>
      <c r="F741" s="3" t="s">
        <v>1815</v>
      </c>
      <c r="G741" s="4">
        <f>+251925378621</f>
        <v>251925378621</v>
      </c>
      <c r="H741" s="3" t="s">
        <v>18</v>
      </c>
      <c r="I741" s="3" t="s">
        <v>19</v>
      </c>
      <c r="J741" s="3" t="s">
        <v>19</v>
      </c>
      <c r="K741" s="3" t="s">
        <v>25</v>
      </c>
      <c r="L741" s="3">
        <v>33.29</v>
      </c>
      <c r="M741" s="3" t="s">
        <v>1695</v>
      </c>
      <c r="N741" s="3" t="s">
        <v>1696</v>
      </c>
      <c r="O741" s="3">
        <v>1.00929310907E11</v>
      </c>
    </row>
    <row r="742">
      <c r="A742" s="3">
        <v>2429651.0</v>
      </c>
      <c r="B742" s="3" t="s">
        <v>1816</v>
      </c>
      <c r="C742" s="3" t="b">
        <v>0</v>
      </c>
      <c r="D742" s="3" t="b">
        <v>1</v>
      </c>
      <c r="E742" s="3" t="s">
        <v>1817</v>
      </c>
      <c r="F742" s="3" t="s">
        <v>1818</v>
      </c>
      <c r="G742" s="4">
        <f>+251967005313</f>
        <v>251967005313</v>
      </c>
      <c r="H742" s="3" t="s">
        <v>18</v>
      </c>
      <c r="I742" s="3" t="s">
        <v>19</v>
      </c>
      <c r="J742" s="3" t="s">
        <v>19</v>
      </c>
      <c r="K742" s="3" t="s">
        <v>25</v>
      </c>
      <c r="L742" s="3">
        <v>23.45</v>
      </c>
      <c r="M742" s="3" t="s">
        <v>1695</v>
      </c>
      <c r="N742" s="3" t="s">
        <v>1696</v>
      </c>
      <c r="O742" s="3">
        <v>1.00985976015E11</v>
      </c>
    </row>
    <row r="743">
      <c r="A743" s="3">
        <v>467516.0</v>
      </c>
      <c r="B743" s="3" t="s">
        <v>1819</v>
      </c>
      <c r="C743" s="3" t="b">
        <v>1</v>
      </c>
      <c r="D743" s="3" t="b">
        <v>1</v>
      </c>
      <c r="E743" s="3" t="s">
        <v>1156</v>
      </c>
      <c r="F743" s="3" t="s">
        <v>1368</v>
      </c>
      <c r="G743" s="4">
        <f>+251911384912</f>
        <v>251911384912</v>
      </c>
      <c r="H743" s="3" t="s">
        <v>18</v>
      </c>
      <c r="I743" s="3" t="s">
        <v>19</v>
      </c>
      <c r="J743" s="3" t="s">
        <v>19</v>
      </c>
      <c r="K743" s="3" t="s">
        <v>20</v>
      </c>
      <c r="L743" s="3">
        <v>34.82</v>
      </c>
      <c r="M743" s="3" t="s">
        <v>1695</v>
      </c>
      <c r="N743" s="3" t="s">
        <v>1820</v>
      </c>
      <c r="O743" s="3">
        <v>2.8278947E7</v>
      </c>
    </row>
    <row r="744">
      <c r="A744" s="3">
        <v>2429833.0</v>
      </c>
      <c r="B744" s="3" t="s">
        <v>1821</v>
      </c>
      <c r="C744" s="3" t="b">
        <v>1</v>
      </c>
      <c r="D744" s="3" t="b">
        <v>1</v>
      </c>
      <c r="E744" s="3" t="s">
        <v>806</v>
      </c>
      <c r="F744" s="3" t="s">
        <v>572</v>
      </c>
      <c r="G744" s="4">
        <f>+251969254532</f>
        <v>251969254532</v>
      </c>
      <c r="H744" s="3" t="s">
        <v>18</v>
      </c>
      <c r="I744" s="3" t="s">
        <v>19</v>
      </c>
      <c r="J744" s="3" t="s">
        <v>19</v>
      </c>
      <c r="K744" s="3" t="s">
        <v>20</v>
      </c>
      <c r="L744" s="3">
        <v>21.07</v>
      </c>
      <c r="M744" s="3" t="s">
        <v>1695</v>
      </c>
      <c r="N744" s="3" t="s">
        <v>1696</v>
      </c>
      <c r="O744" s="3">
        <v>1.00998980823E11</v>
      </c>
    </row>
    <row r="745">
      <c r="A745" s="3">
        <v>2429874.0</v>
      </c>
      <c r="B745" s="3" t="s">
        <v>1822</v>
      </c>
      <c r="C745" s="3" t="b">
        <v>1</v>
      </c>
      <c r="D745" s="3" t="b">
        <v>1</v>
      </c>
      <c r="E745" s="3" t="s">
        <v>1823</v>
      </c>
      <c r="F745" s="3" t="s">
        <v>1824</v>
      </c>
      <c r="G745" s="4">
        <f>+2510933802887</f>
        <v>2510933802887</v>
      </c>
      <c r="H745" s="3" t="s">
        <v>18</v>
      </c>
      <c r="I745" s="3" t="s">
        <v>19</v>
      </c>
      <c r="J745" s="3" t="s">
        <v>19</v>
      </c>
      <c r="K745" s="3" t="s">
        <v>20</v>
      </c>
      <c r="L745" s="3">
        <v>27.64</v>
      </c>
      <c r="M745" s="3" t="s">
        <v>1695</v>
      </c>
      <c r="N745" s="3" t="s">
        <v>1696</v>
      </c>
      <c r="O745" s="3">
        <v>2.3282031E7</v>
      </c>
    </row>
    <row r="746">
      <c r="A746" s="3">
        <v>2429985.0</v>
      </c>
      <c r="B746" s="3" t="s">
        <v>1825</v>
      </c>
      <c r="C746" s="3" t="b">
        <v>0</v>
      </c>
      <c r="D746" s="3" t="b">
        <v>1</v>
      </c>
      <c r="E746" s="3" t="s">
        <v>1826</v>
      </c>
      <c r="F746" s="3" t="s">
        <v>1827</v>
      </c>
      <c r="G746" s="4">
        <f>+251928438883</f>
        <v>251928438883</v>
      </c>
      <c r="H746" s="3" t="s">
        <v>18</v>
      </c>
      <c r="I746" s="3" t="s">
        <v>19</v>
      </c>
      <c r="J746" s="3" t="s">
        <v>19</v>
      </c>
      <c r="K746" s="3" t="s">
        <v>25</v>
      </c>
      <c r="L746" s="3">
        <v>30.64</v>
      </c>
      <c r="M746" s="3" t="s">
        <v>1695</v>
      </c>
      <c r="N746" s="3" t="s">
        <v>1696</v>
      </c>
      <c r="O746" s="3">
        <v>1.01015710931E11</v>
      </c>
    </row>
    <row r="747">
      <c r="A747" s="3">
        <v>72303.0</v>
      </c>
      <c r="B747" s="3" t="s">
        <v>1828</v>
      </c>
      <c r="C747" s="3" t="b">
        <v>1</v>
      </c>
      <c r="D747" s="3" t="b">
        <v>1</v>
      </c>
      <c r="E747" s="3" t="s">
        <v>1829</v>
      </c>
      <c r="F747" s="3" t="s">
        <v>1830</v>
      </c>
      <c r="G747" s="4">
        <f>+251987880809</f>
        <v>251987880809</v>
      </c>
      <c r="H747" s="3" t="s">
        <v>18</v>
      </c>
      <c r="I747" s="3" t="s">
        <v>19</v>
      </c>
      <c r="J747" s="3" t="s">
        <v>19</v>
      </c>
      <c r="K747" s="3" t="s">
        <v>25</v>
      </c>
      <c r="L747" s="3">
        <v>28.88</v>
      </c>
      <c r="M747" s="3" t="s">
        <v>1695</v>
      </c>
      <c r="N747" s="3" t="s">
        <v>1696</v>
      </c>
      <c r="O747" s="3">
        <v>5911791.0</v>
      </c>
    </row>
    <row r="748">
      <c r="A748" s="3">
        <v>158018.0</v>
      </c>
      <c r="B748" s="3" t="s">
        <v>1831</v>
      </c>
      <c r="C748" s="3" t="b">
        <v>1</v>
      </c>
      <c r="D748" s="3" t="b">
        <v>1</v>
      </c>
      <c r="E748" s="3" t="s">
        <v>1832</v>
      </c>
      <c r="F748" s="3" t="s">
        <v>1833</v>
      </c>
      <c r="G748" s="4">
        <f>+251968972974</f>
        <v>251968972974</v>
      </c>
      <c r="H748" s="3" t="s">
        <v>18</v>
      </c>
      <c r="I748" s="3" t="s">
        <v>19</v>
      </c>
      <c r="J748" s="3" t="s">
        <v>19</v>
      </c>
      <c r="K748" s="3" t="s">
        <v>25</v>
      </c>
      <c r="L748" s="3">
        <v>23.77</v>
      </c>
      <c r="M748" s="3" t="s">
        <v>1695</v>
      </c>
      <c r="N748" s="3" t="s">
        <v>1696</v>
      </c>
      <c r="O748" s="3">
        <v>2.6375602E7</v>
      </c>
    </row>
    <row r="749">
      <c r="A749" s="3">
        <v>1996992.0</v>
      </c>
      <c r="B749" s="3" t="s">
        <v>1834</v>
      </c>
      <c r="C749" s="3" t="b">
        <v>1</v>
      </c>
      <c r="D749" s="3" t="b">
        <v>1</v>
      </c>
      <c r="E749" s="3" t="s">
        <v>1835</v>
      </c>
      <c r="F749" s="3" t="s">
        <v>261</v>
      </c>
      <c r="G749" s="4">
        <f>+251911653154</f>
        <v>251911653154</v>
      </c>
      <c r="H749" s="3" t="s">
        <v>18</v>
      </c>
      <c r="I749" s="3" t="s">
        <v>19</v>
      </c>
      <c r="J749" s="3" t="s">
        <v>19</v>
      </c>
      <c r="K749" s="3" t="s">
        <v>20</v>
      </c>
      <c r="L749" s="3">
        <v>21.03</v>
      </c>
      <c r="M749" s="3" t="s">
        <v>1695</v>
      </c>
      <c r="N749" s="3" t="s">
        <v>1696</v>
      </c>
      <c r="O749" s="3">
        <v>2.8395878107E10</v>
      </c>
    </row>
    <row r="750">
      <c r="A750" s="3">
        <v>2430452.0</v>
      </c>
      <c r="B750" s="3" t="s">
        <v>1836</v>
      </c>
      <c r="C750" s="3" t="b">
        <v>0</v>
      </c>
      <c r="D750" s="3" t="b">
        <v>1</v>
      </c>
      <c r="E750" s="3" t="s">
        <v>1708</v>
      </c>
      <c r="F750" s="3" t="s">
        <v>1837</v>
      </c>
      <c r="G750" s="4">
        <f>+251913625958</f>
        <v>251913625958</v>
      </c>
      <c r="H750" s="3" t="s">
        <v>18</v>
      </c>
      <c r="I750" s="3" t="s">
        <v>19</v>
      </c>
      <c r="J750" s="3" t="s">
        <v>19</v>
      </c>
      <c r="K750" s="3" t="s">
        <v>25</v>
      </c>
      <c r="L750" s="3">
        <v>32.8</v>
      </c>
      <c r="M750" s="3" t="s">
        <v>1695</v>
      </c>
      <c r="N750" s="3" t="s">
        <v>1696</v>
      </c>
      <c r="O750" s="3">
        <v>1.01265293531E11</v>
      </c>
    </row>
    <row r="751">
      <c r="A751" s="3">
        <v>2301154.0</v>
      </c>
      <c r="B751" s="3" t="s">
        <v>1838</v>
      </c>
      <c r="C751" s="3" t="b">
        <v>1</v>
      </c>
      <c r="D751" s="3" t="b">
        <v>1</v>
      </c>
      <c r="E751" s="3" t="s">
        <v>1839</v>
      </c>
      <c r="F751" s="3" t="s">
        <v>795</v>
      </c>
      <c r="G751" s="4">
        <f>+251915033790</f>
        <v>251915033790</v>
      </c>
      <c r="H751" s="3" t="s">
        <v>18</v>
      </c>
      <c r="I751" s="3" t="s">
        <v>19</v>
      </c>
      <c r="J751" s="3" t="s">
        <v>19</v>
      </c>
      <c r="K751" s="3" t="s">
        <v>25</v>
      </c>
      <c r="L751" s="3">
        <v>32.44</v>
      </c>
      <c r="M751" s="3" t="s">
        <v>1695</v>
      </c>
      <c r="N751" s="3" t="s">
        <v>1696</v>
      </c>
      <c r="O751" s="3">
        <v>3.5908183794E10</v>
      </c>
    </row>
    <row r="752">
      <c r="A752" s="3">
        <v>2357029.0</v>
      </c>
      <c r="B752" s="3" t="s">
        <v>1840</v>
      </c>
      <c r="C752" s="3" t="b">
        <v>1</v>
      </c>
      <c r="D752" s="3" t="b">
        <v>1</v>
      </c>
      <c r="E752" s="3" t="s">
        <v>1841</v>
      </c>
      <c r="F752" s="3" t="s">
        <v>649</v>
      </c>
      <c r="G752" s="4">
        <f>+251943006400</f>
        <v>251943006400</v>
      </c>
      <c r="H752" s="3" t="s">
        <v>29</v>
      </c>
      <c r="I752" s="3" t="s">
        <v>19</v>
      </c>
      <c r="J752" s="3" t="s">
        <v>19</v>
      </c>
      <c r="K752" s="3" t="s">
        <v>25</v>
      </c>
      <c r="L752" s="3">
        <v>32.81</v>
      </c>
      <c r="M752" s="3" t="s">
        <v>1695</v>
      </c>
      <c r="N752" s="3" t="s">
        <v>1696</v>
      </c>
      <c r="O752" s="3">
        <v>3.9538238199E10</v>
      </c>
    </row>
    <row r="753">
      <c r="A753" s="3">
        <v>2430633.0</v>
      </c>
      <c r="B753" s="3" t="s">
        <v>1842</v>
      </c>
      <c r="C753" s="3" t="b">
        <v>1</v>
      </c>
      <c r="D753" s="3" t="b">
        <v>1</v>
      </c>
      <c r="E753" s="3" t="s">
        <v>1843</v>
      </c>
      <c r="F753" s="3" t="s">
        <v>1351</v>
      </c>
      <c r="G753" s="4">
        <f>+251954390062</f>
        <v>251954390062</v>
      </c>
      <c r="H753" s="3" t="s">
        <v>249</v>
      </c>
      <c r="I753" s="3" t="s">
        <v>19</v>
      </c>
      <c r="J753" s="3" t="s">
        <v>19</v>
      </c>
      <c r="K753" s="3" t="s">
        <v>25</v>
      </c>
      <c r="L753" s="3">
        <v>23.66</v>
      </c>
      <c r="M753" s="3" t="s">
        <v>1695</v>
      </c>
      <c r="N753" s="3" t="s">
        <v>1696</v>
      </c>
      <c r="O753" s="3">
        <v>1.01400894701E11</v>
      </c>
    </row>
    <row r="754">
      <c r="A754" s="3">
        <v>75560.0</v>
      </c>
      <c r="B754" s="3" t="s">
        <v>1844</v>
      </c>
      <c r="C754" s="3" t="b">
        <v>1</v>
      </c>
      <c r="D754" s="3" t="b">
        <v>1</v>
      </c>
      <c r="E754" s="3" t="s">
        <v>760</v>
      </c>
      <c r="F754" s="3" t="s">
        <v>1845</v>
      </c>
      <c r="G754" s="4">
        <f>+10974480513</f>
        <v>10974480513</v>
      </c>
      <c r="H754" s="3" t="s">
        <v>249</v>
      </c>
      <c r="I754" s="3" t="s">
        <v>19</v>
      </c>
      <c r="J754" s="3" t="s">
        <v>19</v>
      </c>
      <c r="K754" s="3" t="s">
        <v>20</v>
      </c>
      <c r="L754" s="3">
        <v>22.07</v>
      </c>
      <c r="M754" s="3" t="s">
        <v>1695</v>
      </c>
      <c r="N754" s="3" t="s">
        <v>1696</v>
      </c>
      <c r="O754" s="3">
        <v>847265.0</v>
      </c>
    </row>
    <row r="755">
      <c r="A755" s="3">
        <v>2430803.0</v>
      </c>
      <c r="B755" s="3" t="s">
        <v>1846</v>
      </c>
      <c r="C755" s="3" t="b">
        <v>0</v>
      </c>
      <c r="D755" s="3" t="b">
        <v>1</v>
      </c>
      <c r="E755" s="3" t="s">
        <v>607</v>
      </c>
      <c r="F755" s="3" t="s">
        <v>282</v>
      </c>
      <c r="G755" s="4">
        <f>+251094628723</f>
        <v>251094628723</v>
      </c>
      <c r="H755" s="3" t="s">
        <v>44</v>
      </c>
      <c r="I755" s="3" t="s">
        <v>19</v>
      </c>
      <c r="J755" s="3" t="s">
        <v>19</v>
      </c>
      <c r="K755" s="3" t="s">
        <v>20</v>
      </c>
      <c r="L755" s="3">
        <v>20.61</v>
      </c>
      <c r="M755" s="3" t="s">
        <v>1695</v>
      </c>
      <c r="N755" s="3" t="s">
        <v>1696</v>
      </c>
      <c r="O755" s="3">
        <v>1.01372674252E11</v>
      </c>
    </row>
    <row r="756">
      <c r="A756" s="3">
        <v>123258.0</v>
      </c>
      <c r="B756" s="3" t="s">
        <v>1847</v>
      </c>
      <c r="C756" s="3" t="b">
        <v>1</v>
      </c>
      <c r="D756" s="3" t="b">
        <v>1</v>
      </c>
      <c r="E756" s="3" t="s">
        <v>1848</v>
      </c>
      <c r="F756" s="3" t="s">
        <v>1849</v>
      </c>
      <c r="G756" s="4">
        <f>+251945360611</f>
        <v>251945360611</v>
      </c>
      <c r="H756" s="3" t="s">
        <v>18</v>
      </c>
      <c r="I756" s="3" t="s">
        <v>19</v>
      </c>
      <c r="J756" s="3" t="s">
        <v>19</v>
      </c>
      <c r="K756" s="3" t="s">
        <v>25</v>
      </c>
      <c r="L756" s="3">
        <v>28.87</v>
      </c>
      <c r="M756" s="3" t="s">
        <v>1695</v>
      </c>
      <c r="N756" s="3" t="s">
        <v>1696</v>
      </c>
      <c r="O756" s="3">
        <v>2.6211488E7</v>
      </c>
    </row>
    <row r="757">
      <c r="A757" s="3">
        <v>1667508.0</v>
      </c>
      <c r="B757" s="3" t="s">
        <v>1850</v>
      </c>
      <c r="C757" s="3" t="b">
        <v>1</v>
      </c>
      <c r="D757" s="3" t="b">
        <v>1</v>
      </c>
      <c r="E757" s="3" t="s">
        <v>484</v>
      </c>
      <c r="F757" s="3" t="s">
        <v>218</v>
      </c>
      <c r="G757" s="4">
        <f>+251967653674</f>
        <v>251967653674</v>
      </c>
      <c r="H757" s="3" t="s">
        <v>18</v>
      </c>
      <c r="I757" s="3" t="s">
        <v>19</v>
      </c>
      <c r="J757" s="3" t="s">
        <v>19</v>
      </c>
      <c r="K757" s="3" t="s">
        <v>20</v>
      </c>
      <c r="L757" s="3">
        <v>23.33</v>
      </c>
      <c r="M757" s="3" t="s">
        <v>1695</v>
      </c>
      <c r="N757" s="3" t="s">
        <v>1696</v>
      </c>
      <c r="O757" s="3">
        <v>6578437.0</v>
      </c>
    </row>
    <row r="758">
      <c r="A758" s="3">
        <v>169120.0</v>
      </c>
      <c r="B758" s="3" t="s">
        <v>1851</v>
      </c>
      <c r="C758" s="3" t="b">
        <v>1</v>
      </c>
      <c r="D758" s="3" t="b">
        <v>1</v>
      </c>
      <c r="E758" s="3" t="s">
        <v>304</v>
      </c>
      <c r="F758" s="3" t="s">
        <v>1852</v>
      </c>
      <c r="G758" s="3">
        <v>9.23833039E8</v>
      </c>
      <c r="H758" s="3" t="s">
        <v>18</v>
      </c>
      <c r="I758" s="3" t="s">
        <v>19</v>
      </c>
      <c r="J758" s="3" t="s">
        <v>19</v>
      </c>
      <c r="K758" s="3" t="s">
        <v>25</v>
      </c>
      <c r="L758" s="3">
        <v>28.47</v>
      </c>
      <c r="M758" s="3" t="s">
        <v>1695</v>
      </c>
      <c r="N758" s="3" t="s">
        <v>1696</v>
      </c>
      <c r="O758" s="3">
        <v>1845002.0</v>
      </c>
    </row>
    <row r="759">
      <c r="A759" s="3">
        <v>1268400.0</v>
      </c>
      <c r="B759" s="3" t="s">
        <v>1853</v>
      </c>
      <c r="C759" s="3" t="b">
        <v>1</v>
      </c>
      <c r="D759" s="3" t="b">
        <v>1</v>
      </c>
      <c r="E759" s="3" t="s">
        <v>104</v>
      </c>
      <c r="F759" s="3" t="s">
        <v>105</v>
      </c>
      <c r="G759" s="4">
        <f>+251900522043</f>
        <v>251900522043</v>
      </c>
      <c r="H759" s="3" t="s">
        <v>106</v>
      </c>
      <c r="I759" s="3" t="s">
        <v>19</v>
      </c>
      <c r="J759" s="3" t="s">
        <v>19</v>
      </c>
      <c r="K759" s="3" t="s">
        <v>25</v>
      </c>
      <c r="L759" s="3">
        <v>20.72</v>
      </c>
      <c r="M759" s="3" t="s">
        <v>1695</v>
      </c>
      <c r="N759" s="3" t="s">
        <v>1696</v>
      </c>
      <c r="O759" s="3">
        <v>1.0506985186E10</v>
      </c>
    </row>
    <row r="760">
      <c r="A760" s="3">
        <v>2431142.0</v>
      </c>
      <c r="B760" s="3" t="s">
        <v>1854</v>
      </c>
      <c r="C760" s="3" t="b">
        <v>0</v>
      </c>
      <c r="D760" s="3" t="b">
        <v>1</v>
      </c>
      <c r="E760" s="3" t="s">
        <v>1855</v>
      </c>
      <c r="F760" s="3" t="s">
        <v>1856</v>
      </c>
      <c r="G760" s="4">
        <f>+251912452320</f>
        <v>251912452320</v>
      </c>
      <c r="H760" s="3" t="s">
        <v>44</v>
      </c>
      <c r="I760" s="3" t="s">
        <v>19</v>
      </c>
      <c r="J760" s="3" t="s">
        <v>19</v>
      </c>
      <c r="K760" s="3" t="s">
        <v>25</v>
      </c>
      <c r="L760" s="3">
        <v>23.26</v>
      </c>
      <c r="M760" s="3" t="s">
        <v>1695</v>
      </c>
      <c r="N760" s="3" t="s">
        <v>1696</v>
      </c>
      <c r="O760" s="3">
        <v>1.01513394393E11</v>
      </c>
    </row>
    <row r="761">
      <c r="A761" s="3">
        <v>2431422.0</v>
      </c>
      <c r="B761" s="3" t="s">
        <v>1857</v>
      </c>
      <c r="C761" s="3" t="b">
        <v>1</v>
      </c>
      <c r="D761" s="3" t="b">
        <v>1</v>
      </c>
      <c r="E761" s="3" t="s">
        <v>1386</v>
      </c>
      <c r="F761" s="3" t="s">
        <v>328</v>
      </c>
      <c r="G761" s="4">
        <f>+251905439415</f>
        <v>251905439415</v>
      </c>
      <c r="H761" s="3" t="s">
        <v>18</v>
      </c>
      <c r="I761" s="3" t="s">
        <v>19</v>
      </c>
      <c r="J761" s="3" t="s">
        <v>19</v>
      </c>
      <c r="K761" s="3" t="s">
        <v>25</v>
      </c>
      <c r="L761" s="3">
        <v>21.52</v>
      </c>
      <c r="M761" s="3" t="s">
        <v>1695</v>
      </c>
      <c r="N761" s="3" t="s">
        <v>1696</v>
      </c>
      <c r="O761" s="3">
        <v>1.01461661923E11</v>
      </c>
    </row>
    <row r="762">
      <c r="A762" s="3">
        <v>141501.0</v>
      </c>
      <c r="B762" s="3" t="s">
        <v>1858</v>
      </c>
      <c r="C762" s="3" t="b">
        <v>1</v>
      </c>
      <c r="D762" s="3" t="b">
        <v>1</v>
      </c>
      <c r="E762" s="3" t="s">
        <v>1859</v>
      </c>
      <c r="F762" s="3" t="s">
        <v>1860</v>
      </c>
      <c r="G762" s="4">
        <f>+251938311108</f>
        <v>251938311108</v>
      </c>
      <c r="H762" s="3" t="s">
        <v>18</v>
      </c>
      <c r="I762" s="3" t="s">
        <v>19</v>
      </c>
      <c r="J762" s="3" t="s">
        <v>19</v>
      </c>
      <c r="K762" s="3" t="s">
        <v>20</v>
      </c>
      <c r="L762" s="3">
        <v>20.82</v>
      </c>
      <c r="M762" s="3" t="s">
        <v>1695</v>
      </c>
      <c r="N762" s="3" t="s">
        <v>1696</v>
      </c>
      <c r="O762" s="3">
        <v>8848008.0</v>
      </c>
    </row>
    <row r="763">
      <c r="A763" s="3">
        <v>2099153.0</v>
      </c>
      <c r="B763" s="3" t="s">
        <v>1861</v>
      </c>
      <c r="C763" s="3" t="b">
        <v>1</v>
      </c>
      <c r="D763" s="3" t="b">
        <v>0</v>
      </c>
      <c r="E763" s="3" t="s">
        <v>1862</v>
      </c>
      <c r="F763" s="3" t="s">
        <v>1863</v>
      </c>
      <c r="G763" s="4">
        <f>+251902162117</f>
        <v>251902162117</v>
      </c>
      <c r="H763" s="3" t="s">
        <v>18</v>
      </c>
      <c r="I763" s="3" t="s">
        <v>19</v>
      </c>
      <c r="J763" s="3" t="s">
        <v>19</v>
      </c>
      <c r="K763" s="3" t="s">
        <v>25</v>
      </c>
      <c r="L763" s="3">
        <v>25.29</v>
      </c>
      <c r="M763" s="3" t="s">
        <v>1695</v>
      </c>
      <c r="N763" s="3" t="s">
        <v>1696</v>
      </c>
      <c r="O763" s="3">
        <v>3.0712124361E10</v>
      </c>
    </row>
    <row r="764">
      <c r="A764" s="3">
        <v>2431671.0</v>
      </c>
      <c r="B764" s="3" t="s">
        <v>1864</v>
      </c>
      <c r="C764" s="3" t="b">
        <v>1</v>
      </c>
      <c r="D764" s="3" t="b">
        <v>1</v>
      </c>
      <c r="E764" s="3" t="s">
        <v>1865</v>
      </c>
      <c r="F764" s="3" t="s">
        <v>271</v>
      </c>
      <c r="G764" s="4">
        <f>+251973020101</f>
        <v>251973020101</v>
      </c>
      <c r="H764" s="3" t="s">
        <v>18</v>
      </c>
      <c r="I764" s="3" t="s">
        <v>19</v>
      </c>
      <c r="J764" s="3" t="s">
        <v>19</v>
      </c>
      <c r="K764" s="3" t="s">
        <v>20</v>
      </c>
      <c r="L764" s="3">
        <v>22.28</v>
      </c>
      <c r="M764" s="3" t="s">
        <v>1695</v>
      </c>
      <c r="N764" s="3" t="s">
        <v>1696</v>
      </c>
      <c r="O764" s="3">
        <v>1.01549246652E11</v>
      </c>
    </row>
    <row r="765">
      <c r="A765" s="3">
        <v>2431845.0</v>
      </c>
      <c r="B765" s="3" t="s">
        <v>1866</v>
      </c>
      <c r="C765" s="3" t="b">
        <v>0</v>
      </c>
      <c r="D765" s="3" t="b">
        <v>1</v>
      </c>
      <c r="E765" s="3" t="s">
        <v>1867</v>
      </c>
      <c r="F765" s="3" t="s">
        <v>1868</v>
      </c>
      <c r="G765" s="4">
        <f>+251991163778</f>
        <v>251991163778</v>
      </c>
      <c r="H765" s="3" t="s">
        <v>18</v>
      </c>
      <c r="I765" s="3" t="s">
        <v>19</v>
      </c>
      <c r="J765" s="3" t="s">
        <v>19</v>
      </c>
      <c r="K765" s="3" t="s">
        <v>20</v>
      </c>
      <c r="L765" s="3">
        <v>18.48</v>
      </c>
      <c r="M765" s="3" t="s">
        <v>1695</v>
      </c>
      <c r="N765" s="3" t="s">
        <v>1696</v>
      </c>
      <c r="O765" s="3">
        <v>1.01580164345E11</v>
      </c>
    </row>
    <row r="766">
      <c r="A766" s="3">
        <v>2431862.0</v>
      </c>
      <c r="B766" s="3" t="s">
        <v>1869</v>
      </c>
      <c r="C766" s="3" t="b">
        <v>0</v>
      </c>
      <c r="D766" s="3" t="b">
        <v>0</v>
      </c>
      <c r="E766" s="3" t="s">
        <v>1700</v>
      </c>
      <c r="F766" s="3" t="s">
        <v>795</v>
      </c>
      <c r="G766" s="4">
        <f>+251903220938</f>
        <v>251903220938</v>
      </c>
      <c r="H766" s="3" t="s">
        <v>18</v>
      </c>
      <c r="I766" s="3" t="s">
        <v>19</v>
      </c>
      <c r="J766" s="3" t="s">
        <v>19</v>
      </c>
      <c r="K766" s="3" t="s">
        <v>25</v>
      </c>
      <c r="L766" s="3">
        <v>20.12</v>
      </c>
      <c r="M766" s="3" t="s">
        <v>1695</v>
      </c>
      <c r="N766" s="3" t="s">
        <v>1696</v>
      </c>
      <c r="O766" s="3">
        <v>1.01486768349E11</v>
      </c>
    </row>
    <row r="767">
      <c r="A767" s="3">
        <v>2431929.0</v>
      </c>
      <c r="B767" s="3" t="s">
        <v>1870</v>
      </c>
      <c r="C767" s="3" t="b">
        <v>1</v>
      </c>
      <c r="D767" s="3" t="b">
        <v>1</v>
      </c>
      <c r="E767" s="3" t="s">
        <v>1215</v>
      </c>
      <c r="F767" s="3" t="s">
        <v>1216</v>
      </c>
      <c r="G767" s="4">
        <f>+251993260655</f>
        <v>251993260655</v>
      </c>
      <c r="H767" s="3" t="s">
        <v>18</v>
      </c>
      <c r="I767" s="3" t="s">
        <v>19</v>
      </c>
      <c r="J767" s="3" t="s">
        <v>19</v>
      </c>
      <c r="K767" s="3" t="s">
        <v>25</v>
      </c>
      <c r="L767" s="3">
        <v>13.26</v>
      </c>
      <c r="M767" s="3" t="s">
        <v>1695</v>
      </c>
      <c r="N767" s="3" t="s">
        <v>1696</v>
      </c>
      <c r="O767" s="3">
        <v>1.0159287521E11</v>
      </c>
    </row>
    <row r="768">
      <c r="A768" s="3">
        <v>2431923.0</v>
      </c>
      <c r="B768" s="3" t="s">
        <v>1871</v>
      </c>
      <c r="C768" s="3" t="b">
        <v>1</v>
      </c>
      <c r="D768" s="3" t="b">
        <v>1</v>
      </c>
      <c r="E768" s="3" t="s">
        <v>540</v>
      </c>
      <c r="F768" s="3" t="s">
        <v>1872</v>
      </c>
      <c r="G768" s="3">
        <v>2.519228864E11</v>
      </c>
      <c r="H768" s="3" t="s">
        <v>18</v>
      </c>
      <c r="I768" s="3" t="s">
        <v>19</v>
      </c>
      <c r="J768" s="3" t="s">
        <v>19</v>
      </c>
      <c r="K768" s="3" t="s">
        <v>25</v>
      </c>
      <c r="L768" s="3">
        <v>38.89</v>
      </c>
      <c r="M768" s="3" t="s">
        <v>1695</v>
      </c>
      <c r="N768" s="3" t="s">
        <v>1696</v>
      </c>
      <c r="O768" s="3">
        <v>1859670.0</v>
      </c>
    </row>
    <row r="769">
      <c r="A769" s="3">
        <v>2415386.0</v>
      </c>
      <c r="B769" s="3" t="s">
        <v>1873</v>
      </c>
      <c r="C769" s="3" t="b">
        <v>1</v>
      </c>
      <c r="D769" s="3" t="b">
        <v>1</v>
      </c>
      <c r="E769" s="3" t="s">
        <v>871</v>
      </c>
      <c r="F769" s="3" t="s">
        <v>1408</v>
      </c>
      <c r="G769" s="4">
        <f>+251991485615</f>
        <v>251991485615</v>
      </c>
      <c r="H769" s="3" t="s">
        <v>18</v>
      </c>
      <c r="I769" s="3" t="s">
        <v>19</v>
      </c>
      <c r="J769" s="3" t="s">
        <v>19</v>
      </c>
      <c r="K769" s="3" t="s">
        <v>20</v>
      </c>
      <c r="L769" s="3">
        <v>23.04</v>
      </c>
      <c r="M769" s="3" t="s">
        <v>1695</v>
      </c>
      <c r="N769" s="3" t="s">
        <v>1696</v>
      </c>
      <c r="O769" s="3">
        <v>8.4412045519E10</v>
      </c>
    </row>
    <row r="770">
      <c r="A770" s="3">
        <v>2392501.0</v>
      </c>
      <c r="B770" s="3" t="s">
        <v>1874</v>
      </c>
      <c r="C770" s="3" t="b">
        <v>1</v>
      </c>
      <c r="D770" s="3" t="b">
        <v>1</v>
      </c>
      <c r="E770" s="3" t="s">
        <v>1875</v>
      </c>
      <c r="F770" s="3" t="s">
        <v>1376</v>
      </c>
      <c r="G770" s="4">
        <f>+251983137712</f>
        <v>251983137712</v>
      </c>
      <c r="H770" s="3" t="s">
        <v>346</v>
      </c>
      <c r="I770" s="3" t="s">
        <v>19</v>
      </c>
      <c r="J770" s="3" t="s">
        <v>19</v>
      </c>
      <c r="K770" s="3" t="s">
        <v>25</v>
      </c>
      <c r="L770" s="3">
        <v>20.38</v>
      </c>
      <c r="M770" s="3" t="s">
        <v>1695</v>
      </c>
      <c r="N770" s="3" t="s">
        <v>1696</v>
      </c>
    </row>
    <row r="771">
      <c r="A771" s="3">
        <v>894557.0</v>
      </c>
      <c r="B771" s="3" t="s">
        <v>1876</v>
      </c>
      <c r="C771" s="3" t="b">
        <v>1</v>
      </c>
      <c r="D771" s="3" t="b">
        <v>1</v>
      </c>
      <c r="E771" s="3" t="s">
        <v>1877</v>
      </c>
      <c r="F771" s="3" t="s">
        <v>1878</v>
      </c>
      <c r="G771" s="4">
        <f>+251911506877</f>
        <v>251911506877</v>
      </c>
      <c r="H771" s="3" t="s">
        <v>18</v>
      </c>
      <c r="I771" s="3" t="s">
        <v>19</v>
      </c>
      <c r="J771" s="3" t="s">
        <v>19</v>
      </c>
      <c r="K771" s="3" t="s">
        <v>25</v>
      </c>
      <c r="L771" s="3">
        <v>29.11</v>
      </c>
      <c r="M771" s="3" t="s">
        <v>1695</v>
      </c>
      <c r="N771" s="3" t="s">
        <v>1696</v>
      </c>
      <c r="O771" s="3">
        <v>1883515.0</v>
      </c>
    </row>
    <row r="772">
      <c r="A772" s="3">
        <v>2432165.0</v>
      </c>
      <c r="B772" s="3" t="s">
        <v>1879</v>
      </c>
      <c r="C772" s="3" t="b">
        <v>0</v>
      </c>
      <c r="D772" s="3" t="b">
        <v>1</v>
      </c>
      <c r="E772" s="3" t="s">
        <v>1880</v>
      </c>
      <c r="F772" s="3" t="s">
        <v>1265</v>
      </c>
      <c r="G772" s="4">
        <f>+251978271298</f>
        <v>251978271298</v>
      </c>
      <c r="H772" s="3" t="s">
        <v>18</v>
      </c>
      <c r="I772" s="3" t="s">
        <v>19</v>
      </c>
      <c r="J772" s="3" t="s">
        <v>19</v>
      </c>
      <c r="K772" s="3" t="s">
        <v>25</v>
      </c>
      <c r="L772" s="3">
        <v>13.26</v>
      </c>
      <c r="M772" s="3" t="s">
        <v>1695</v>
      </c>
      <c r="N772" s="3" t="s">
        <v>1696</v>
      </c>
      <c r="O772" s="3">
        <v>1.01635788008E11</v>
      </c>
    </row>
    <row r="773">
      <c r="A773" s="3">
        <v>117059.0</v>
      </c>
      <c r="B773" s="3" t="s">
        <v>1881</v>
      </c>
      <c r="C773" s="3" t="b">
        <v>1</v>
      </c>
      <c r="D773" s="3" t="b">
        <v>1</v>
      </c>
      <c r="E773" s="3" t="s">
        <v>1882</v>
      </c>
      <c r="F773" s="3" t="s">
        <v>1883</v>
      </c>
      <c r="G773" s="4">
        <f>+251910284577</f>
        <v>251910284577</v>
      </c>
      <c r="H773" s="3" t="s">
        <v>18</v>
      </c>
      <c r="I773" s="3" t="s">
        <v>19</v>
      </c>
      <c r="J773" s="3" t="s">
        <v>19</v>
      </c>
      <c r="K773" s="3" t="s">
        <v>25</v>
      </c>
      <c r="L773" s="3">
        <v>34.93</v>
      </c>
      <c r="M773" s="3" t="s">
        <v>1695</v>
      </c>
      <c r="N773" s="3" t="s">
        <v>1696</v>
      </c>
      <c r="O773" s="3">
        <v>2.6688226E7</v>
      </c>
    </row>
    <row r="774">
      <c r="A774" s="3">
        <v>2432506.0</v>
      </c>
      <c r="B774" s="3" t="s">
        <v>1884</v>
      </c>
      <c r="C774" s="3" t="b">
        <v>0</v>
      </c>
      <c r="D774" s="3" t="b">
        <v>1</v>
      </c>
      <c r="E774" s="3" t="s">
        <v>1885</v>
      </c>
      <c r="F774" s="3" t="s">
        <v>1886</v>
      </c>
      <c r="G774" s="4">
        <f>+251973424764</f>
        <v>251973424764</v>
      </c>
      <c r="H774" s="3" t="s">
        <v>29</v>
      </c>
      <c r="I774" s="3" t="s">
        <v>19</v>
      </c>
      <c r="J774" s="3" t="s">
        <v>19</v>
      </c>
      <c r="K774" s="3" t="s">
        <v>20</v>
      </c>
      <c r="L774" s="3">
        <v>22.88</v>
      </c>
      <c r="M774" s="3" t="s">
        <v>1695</v>
      </c>
      <c r="N774" s="3" t="s">
        <v>1696</v>
      </c>
      <c r="O774" s="3">
        <v>1.01729304795E11</v>
      </c>
    </row>
    <row r="775">
      <c r="A775" s="3">
        <v>2432530.0</v>
      </c>
      <c r="B775" s="3" t="s">
        <v>1887</v>
      </c>
      <c r="C775" s="3" t="b">
        <v>1</v>
      </c>
      <c r="D775" s="3" t="b">
        <v>1</v>
      </c>
      <c r="E775" s="3" t="s">
        <v>432</v>
      </c>
      <c r="F775" s="3" t="s">
        <v>1888</v>
      </c>
      <c r="G775" s="4">
        <f>+251916824594</f>
        <v>251916824594</v>
      </c>
      <c r="H775" s="3" t="s">
        <v>18</v>
      </c>
      <c r="I775" s="3" t="s">
        <v>19</v>
      </c>
      <c r="J775" s="3" t="s">
        <v>19</v>
      </c>
      <c r="K775" s="3" t="s">
        <v>20</v>
      </c>
      <c r="L775" s="3">
        <v>19.23</v>
      </c>
      <c r="M775" s="3" t="s">
        <v>1695</v>
      </c>
      <c r="N775" s="3" t="s">
        <v>1696</v>
      </c>
      <c r="O775" s="3">
        <v>1.0173843478E11</v>
      </c>
    </row>
    <row r="776">
      <c r="A776" s="3">
        <v>2432724.0</v>
      </c>
      <c r="B776" s="3" t="s">
        <v>1889</v>
      </c>
      <c r="C776" s="3" t="b">
        <v>0</v>
      </c>
      <c r="D776" s="3" t="b">
        <v>1</v>
      </c>
      <c r="E776" s="3" t="s">
        <v>1890</v>
      </c>
      <c r="F776" s="3" t="s">
        <v>1667</v>
      </c>
      <c r="G776" s="4">
        <f>+251927352487</f>
        <v>251927352487</v>
      </c>
      <c r="H776" s="3" t="s">
        <v>18</v>
      </c>
      <c r="I776" s="3" t="s">
        <v>19</v>
      </c>
      <c r="J776" s="3" t="s">
        <v>1891</v>
      </c>
      <c r="K776" s="3" t="s">
        <v>20</v>
      </c>
      <c r="L776" s="3">
        <v>30.02</v>
      </c>
      <c r="M776" s="3" t="s">
        <v>1695</v>
      </c>
      <c r="N776" s="3" t="s">
        <v>1696</v>
      </c>
      <c r="O776" s="3">
        <v>1.01757752559E11</v>
      </c>
    </row>
    <row r="777">
      <c r="A777" s="3">
        <v>2432789.0</v>
      </c>
      <c r="B777" s="3" t="s">
        <v>1892</v>
      </c>
      <c r="C777" s="3" t="b">
        <v>0</v>
      </c>
      <c r="D777" s="3" t="b">
        <v>1</v>
      </c>
      <c r="E777" s="3" t="s">
        <v>1893</v>
      </c>
      <c r="F777" s="3" t="s">
        <v>1894</v>
      </c>
      <c r="G777" s="4">
        <f>+251922160297</f>
        <v>251922160297</v>
      </c>
      <c r="H777" s="3" t="s">
        <v>18</v>
      </c>
      <c r="I777" s="3" t="s">
        <v>19</v>
      </c>
      <c r="J777" s="3" t="s">
        <v>19</v>
      </c>
      <c r="K777" s="3" t="s">
        <v>20</v>
      </c>
      <c r="L777" s="3">
        <v>20.4</v>
      </c>
      <c r="M777" s="3" t="s">
        <v>1695</v>
      </c>
      <c r="N777" s="3" t="s">
        <v>1696</v>
      </c>
      <c r="O777" s="3">
        <v>1.01766860025E11</v>
      </c>
    </row>
    <row r="778">
      <c r="A778" s="3">
        <v>2433215.0</v>
      </c>
      <c r="B778" s="3" t="s">
        <v>1895</v>
      </c>
      <c r="C778" s="3" t="b">
        <v>0</v>
      </c>
      <c r="D778" s="3" t="b">
        <v>1</v>
      </c>
      <c r="E778" s="3" t="s">
        <v>468</v>
      </c>
      <c r="F778" s="3" t="s">
        <v>1896</v>
      </c>
      <c r="G778" s="4">
        <f>+251955151588</f>
        <v>251955151588</v>
      </c>
      <c r="H778" s="3" t="s">
        <v>18</v>
      </c>
      <c r="I778" s="3" t="s">
        <v>19</v>
      </c>
      <c r="J778" s="3" t="s">
        <v>19</v>
      </c>
      <c r="K778" s="3" t="s">
        <v>25</v>
      </c>
      <c r="L778" s="3">
        <v>33.31</v>
      </c>
      <c r="M778" s="3" t="s">
        <v>1695</v>
      </c>
      <c r="N778" s="3" t="s">
        <v>1696</v>
      </c>
      <c r="O778" s="3">
        <v>1.02072436982E11</v>
      </c>
    </row>
    <row r="779">
      <c r="A779" s="3">
        <v>2433291.0</v>
      </c>
      <c r="B779" s="3" t="s">
        <v>1897</v>
      </c>
      <c r="C779" s="3" t="b">
        <v>1</v>
      </c>
      <c r="D779" s="3" t="b">
        <v>1</v>
      </c>
      <c r="E779" s="3" t="s">
        <v>1898</v>
      </c>
      <c r="F779" s="3" t="s">
        <v>218</v>
      </c>
      <c r="G779" s="4">
        <f>+251993463786</f>
        <v>251993463786</v>
      </c>
      <c r="H779" s="3" t="s">
        <v>18</v>
      </c>
      <c r="I779" s="3" t="s">
        <v>19</v>
      </c>
      <c r="J779" s="3" t="s">
        <v>19</v>
      </c>
      <c r="K779" s="3" t="s">
        <v>25</v>
      </c>
      <c r="L779" s="3">
        <v>33.2</v>
      </c>
      <c r="M779" s="3" t="s">
        <v>1695</v>
      </c>
      <c r="N779" s="3" t="s">
        <v>1696</v>
      </c>
      <c r="O779" s="3">
        <v>1.02080423132E11</v>
      </c>
    </row>
    <row r="780">
      <c r="A780" s="3">
        <v>2433477.0</v>
      </c>
      <c r="B780" s="3" t="s">
        <v>1899</v>
      </c>
      <c r="C780" s="3" t="b">
        <v>1</v>
      </c>
      <c r="D780" s="3" t="b">
        <v>1</v>
      </c>
      <c r="E780" s="3" t="s">
        <v>1900</v>
      </c>
      <c r="F780" s="3" t="s">
        <v>1901</v>
      </c>
      <c r="G780" s="4">
        <f>+251965806862</f>
        <v>251965806862</v>
      </c>
      <c r="H780" s="3" t="s">
        <v>18</v>
      </c>
      <c r="I780" s="3" t="s">
        <v>19</v>
      </c>
      <c r="J780" s="3" t="s">
        <v>19</v>
      </c>
      <c r="K780" s="3" t="s">
        <v>20</v>
      </c>
      <c r="L780" s="3">
        <v>24.5</v>
      </c>
      <c r="M780" s="3" t="s">
        <v>1695</v>
      </c>
      <c r="N780" s="3" t="s">
        <v>1696</v>
      </c>
      <c r="O780" s="3">
        <v>1.02127556846E11</v>
      </c>
    </row>
    <row r="781">
      <c r="A781" s="3">
        <v>2433490.0</v>
      </c>
      <c r="B781" s="3" t="s">
        <v>1902</v>
      </c>
      <c r="C781" s="3" t="b">
        <v>0</v>
      </c>
      <c r="D781" s="3" t="b">
        <v>1</v>
      </c>
      <c r="E781" s="3" t="s">
        <v>612</v>
      </c>
      <c r="F781" s="3" t="s">
        <v>404</v>
      </c>
      <c r="G781" s="4">
        <f>+251968512093</f>
        <v>251968512093</v>
      </c>
      <c r="H781" s="3" t="s">
        <v>18</v>
      </c>
      <c r="I781" s="3" t="s">
        <v>19</v>
      </c>
      <c r="J781" s="3" t="s">
        <v>19</v>
      </c>
      <c r="K781" s="3" t="s">
        <v>20</v>
      </c>
      <c r="L781" s="3">
        <v>20.32</v>
      </c>
      <c r="M781" s="3" t="s">
        <v>1695</v>
      </c>
      <c r="N781" s="3" t="s">
        <v>1696</v>
      </c>
      <c r="O781" s="3">
        <v>1.02127011029E11</v>
      </c>
    </row>
    <row r="782">
      <c r="A782" s="3">
        <v>2433487.0</v>
      </c>
      <c r="B782" s="3" t="s">
        <v>1903</v>
      </c>
      <c r="C782" s="3" t="b">
        <v>0</v>
      </c>
      <c r="D782" s="3" t="b">
        <v>1</v>
      </c>
      <c r="E782" s="3" t="s">
        <v>1904</v>
      </c>
      <c r="F782" s="3" t="s">
        <v>1905</v>
      </c>
      <c r="G782" s="4">
        <f>+251933466885</f>
        <v>251933466885</v>
      </c>
      <c r="H782" s="3" t="s">
        <v>18</v>
      </c>
      <c r="I782" s="3" t="s">
        <v>19</v>
      </c>
      <c r="J782" s="3" t="s">
        <v>19</v>
      </c>
      <c r="K782" s="3" t="s">
        <v>25</v>
      </c>
      <c r="L782" s="3">
        <v>27.1</v>
      </c>
      <c r="M782" s="3" t="s">
        <v>1695</v>
      </c>
      <c r="N782" s="3" t="s">
        <v>1696</v>
      </c>
      <c r="O782" s="3">
        <v>1.0213038718E11</v>
      </c>
    </row>
    <row r="783">
      <c r="A783" s="3">
        <v>2433588.0</v>
      </c>
      <c r="B783" s="3" t="s">
        <v>1906</v>
      </c>
      <c r="C783" s="3" t="b">
        <v>1</v>
      </c>
      <c r="D783" s="3" t="b">
        <v>1</v>
      </c>
      <c r="E783" s="3" t="s">
        <v>938</v>
      </c>
      <c r="F783" s="3" t="s">
        <v>939</v>
      </c>
      <c r="G783" s="4">
        <f>+251922255271</f>
        <v>251922255271</v>
      </c>
      <c r="H783" s="3" t="s">
        <v>29</v>
      </c>
      <c r="I783" s="3" t="s">
        <v>19</v>
      </c>
      <c r="J783" s="3" t="s">
        <v>19</v>
      </c>
      <c r="K783" s="3" t="s">
        <v>25</v>
      </c>
      <c r="L783" s="3">
        <v>22.48</v>
      </c>
      <c r="M783" s="3" t="s">
        <v>1695</v>
      </c>
      <c r="N783" s="3" t="s">
        <v>1696</v>
      </c>
      <c r="O783" s="3">
        <v>1.02240733418E11</v>
      </c>
    </row>
    <row r="784">
      <c r="A784" s="3">
        <v>2433592.0</v>
      </c>
      <c r="B784" s="3" t="s">
        <v>1907</v>
      </c>
      <c r="C784" s="3" t="b">
        <v>0</v>
      </c>
      <c r="D784" s="3" t="b">
        <v>1</v>
      </c>
      <c r="E784" s="3" t="s">
        <v>1908</v>
      </c>
      <c r="F784" s="3" t="s">
        <v>1909</v>
      </c>
      <c r="G784" s="4">
        <f>+251920245832</f>
        <v>251920245832</v>
      </c>
      <c r="H784" s="3" t="s">
        <v>18</v>
      </c>
      <c r="I784" s="3" t="s">
        <v>19</v>
      </c>
      <c r="J784" s="3" t="s">
        <v>19</v>
      </c>
      <c r="K784" s="3" t="s">
        <v>25</v>
      </c>
      <c r="L784" s="3">
        <v>31.31</v>
      </c>
      <c r="M784" s="3" t="s">
        <v>1695</v>
      </c>
      <c r="N784" s="3" t="s">
        <v>1696</v>
      </c>
      <c r="O784" s="3">
        <v>1.02201580771E11</v>
      </c>
    </row>
    <row r="785">
      <c r="A785" s="3">
        <v>2433917.0</v>
      </c>
      <c r="B785" s="3" t="s">
        <v>1910</v>
      </c>
      <c r="C785" s="3" t="b">
        <v>1</v>
      </c>
      <c r="D785" s="3" t="b">
        <v>1</v>
      </c>
      <c r="E785" s="3" t="s">
        <v>1911</v>
      </c>
      <c r="F785" s="3" t="s">
        <v>1912</v>
      </c>
      <c r="G785" s="4">
        <f>+251951020091</f>
        <v>251951020091</v>
      </c>
      <c r="H785" s="3" t="s">
        <v>106</v>
      </c>
      <c r="I785" s="3" t="s">
        <v>19</v>
      </c>
      <c r="J785" s="3" t="s">
        <v>19</v>
      </c>
      <c r="K785" s="3" t="s">
        <v>20</v>
      </c>
      <c r="L785" s="3">
        <v>21.04</v>
      </c>
      <c r="M785" s="3" t="s">
        <v>1695</v>
      </c>
      <c r="N785" s="3" t="s">
        <v>1696</v>
      </c>
      <c r="O785" s="3">
        <v>1.0236016251E11</v>
      </c>
    </row>
    <row r="786">
      <c r="A786" s="3">
        <v>2433982.0</v>
      </c>
      <c r="B786" s="3" t="s">
        <v>1913</v>
      </c>
      <c r="C786" s="3" t="b">
        <v>0</v>
      </c>
      <c r="D786" s="3" t="b">
        <v>1</v>
      </c>
      <c r="E786" s="3" t="s">
        <v>1502</v>
      </c>
      <c r="F786" s="3" t="s">
        <v>1271</v>
      </c>
      <c r="G786" s="4">
        <f>+251910454465</f>
        <v>251910454465</v>
      </c>
      <c r="H786" s="3" t="s">
        <v>346</v>
      </c>
      <c r="I786" s="3" t="s">
        <v>19</v>
      </c>
      <c r="J786" s="3" t="s">
        <v>19</v>
      </c>
      <c r="K786" s="3" t="s">
        <v>20</v>
      </c>
      <c r="L786" s="3">
        <v>18.91</v>
      </c>
      <c r="M786" s="3" t="s">
        <v>1695</v>
      </c>
      <c r="N786" s="3" t="s">
        <v>1696</v>
      </c>
      <c r="O786" s="3">
        <v>1.02359659735E11</v>
      </c>
    </row>
    <row r="787">
      <c r="A787" s="3">
        <v>2434040.0</v>
      </c>
      <c r="B787" s="3" t="s">
        <v>1914</v>
      </c>
      <c r="C787" s="3" t="b">
        <v>1</v>
      </c>
      <c r="D787" s="3" t="b">
        <v>1</v>
      </c>
      <c r="E787" s="3" t="s">
        <v>1915</v>
      </c>
      <c r="F787" s="3" t="s">
        <v>1916</v>
      </c>
      <c r="G787" s="4">
        <f>+251923560860</f>
        <v>251923560860</v>
      </c>
      <c r="H787" s="3" t="s">
        <v>83</v>
      </c>
      <c r="I787" s="3" t="s">
        <v>19</v>
      </c>
      <c r="J787" s="3" t="s">
        <v>19</v>
      </c>
      <c r="K787" s="3" t="s">
        <v>25</v>
      </c>
      <c r="L787" s="3">
        <v>21.08</v>
      </c>
      <c r="M787" s="3" t="s">
        <v>1695</v>
      </c>
      <c r="N787" s="3" t="s">
        <v>1696</v>
      </c>
      <c r="O787" s="3">
        <v>2.3531181E7</v>
      </c>
    </row>
    <row r="788">
      <c r="A788" s="3">
        <v>2434120.0</v>
      </c>
      <c r="B788" s="3" t="s">
        <v>1917</v>
      </c>
      <c r="C788" s="3" t="b">
        <v>0</v>
      </c>
      <c r="D788" s="3" t="b">
        <v>1</v>
      </c>
      <c r="E788" s="3" t="s">
        <v>1918</v>
      </c>
      <c r="F788" s="3" t="s">
        <v>1919</v>
      </c>
      <c r="G788" s="4">
        <f>+251991323760</f>
        <v>251991323760</v>
      </c>
      <c r="H788" s="3" t="s">
        <v>18</v>
      </c>
      <c r="I788" s="3" t="s">
        <v>19</v>
      </c>
      <c r="J788" s="3" t="s">
        <v>19</v>
      </c>
      <c r="K788" s="3" t="s">
        <v>20</v>
      </c>
      <c r="L788" s="3">
        <v>32.87</v>
      </c>
      <c r="M788" s="3" t="s">
        <v>1695</v>
      </c>
      <c r="N788" s="3" t="s">
        <v>1696</v>
      </c>
      <c r="O788" s="3">
        <v>2969921.0</v>
      </c>
    </row>
    <row r="789">
      <c r="A789" s="3">
        <v>2434346.0</v>
      </c>
      <c r="B789" s="3" t="s">
        <v>1920</v>
      </c>
      <c r="C789" s="3" t="b">
        <v>0</v>
      </c>
      <c r="D789" s="3" t="b">
        <v>0</v>
      </c>
      <c r="E789" s="3" t="s">
        <v>1921</v>
      </c>
      <c r="F789" s="3" t="s">
        <v>1584</v>
      </c>
      <c r="G789" s="3">
        <v>9.13672485E8</v>
      </c>
      <c r="H789" s="3" t="s">
        <v>18</v>
      </c>
      <c r="I789" s="3" t="s">
        <v>19</v>
      </c>
      <c r="J789" s="3" t="s">
        <v>19</v>
      </c>
      <c r="K789" s="3" t="s">
        <v>20</v>
      </c>
      <c r="L789" s="3">
        <v>18.29</v>
      </c>
      <c r="M789" s="3" t="s">
        <v>1695</v>
      </c>
      <c r="N789" s="3" t="s">
        <v>1696</v>
      </c>
      <c r="O789" s="3">
        <v>1.02388736204E11</v>
      </c>
    </row>
    <row r="790">
      <c r="A790" s="3">
        <v>2434432.0</v>
      </c>
      <c r="B790" s="3" t="s">
        <v>1922</v>
      </c>
      <c r="C790" s="3" t="b">
        <v>1</v>
      </c>
      <c r="D790" s="3" t="b">
        <v>1</v>
      </c>
      <c r="E790" s="3" t="s">
        <v>1923</v>
      </c>
      <c r="F790" s="3" t="s">
        <v>1924</v>
      </c>
      <c r="G790" s="4">
        <f>+251902894251</f>
        <v>251902894251</v>
      </c>
      <c r="H790" s="3" t="s">
        <v>83</v>
      </c>
      <c r="I790" s="3" t="s">
        <v>19</v>
      </c>
      <c r="J790" s="3" t="s">
        <v>19</v>
      </c>
      <c r="K790" s="3" t="s">
        <v>25</v>
      </c>
      <c r="L790" s="3">
        <v>18.93</v>
      </c>
      <c r="M790" s="3" t="s">
        <v>1695</v>
      </c>
      <c r="N790" s="3" t="s">
        <v>1696</v>
      </c>
      <c r="O790" s="3">
        <v>1.02395793604E11</v>
      </c>
    </row>
    <row r="791">
      <c r="A791" s="3">
        <v>2434435.0</v>
      </c>
      <c r="B791" s="3" t="s">
        <v>1925</v>
      </c>
      <c r="C791" s="3" t="b">
        <v>1</v>
      </c>
      <c r="D791" s="3" t="b">
        <v>1</v>
      </c>
      <c r="E791" s="3" t="s">
        <v>812</v>
      </c>
      <c r="F791" s="3" t="s">
        <v>1926</v>
      </c>
      <c r="G791" s="4">
        <f>+251934088432</f>
        <v>251934088432</v>
      </c>
      <c r="H791" s="3" t="s">
        <v>18</v>
      </c>
      <c r="I791" s="3" t="s">
        <v>19</v>
      </c>
      <c r="J791" s="3" t="s">
        <v>19</v>
      </c>
      <c r="K791" s="3" t="s">
        <v>20</v>
      </c>
      <c r="L791" s="3">
        <v>25.33</v>
      </c>
      <c r="M791" s="3" t="s">
        <v>1695</v>
      </c>
      <c r="N791" s="3" t="s">
        <v>1696</v>
      </c>
      <c r="O791" s="3">
        <v>2.3368238E7</v>
      </c>
    </row>
    <row r="792">
      <c r="A792" s="3">
        <v>2434456.0</v>
      </c>
      <c r="B792" s="3" t="s">
        <v>1927</v>
      </c>
      <c r="C792" s="3" t="b">
        <v>0</v>
      </c>
      <c r="D792" s="3" t="b">
        <v>1</v>
      </c>
      <c r="E792" s="3" t="s">
        <v>1356</v>
      </c>
      <c r="F792" s="3" t="s">
        <v>168</v>
      </c>
      <c r="G792" s="4">
        <f>+251986823485</f>
        <v>251986823485</v>
      </c>
      <c r="H792" s="3" t="s">
        <v>249</v>
      </c>
      <c r="I792" s="3" t="s">
        <v>19</v>
      </c>
      <c r="J792" s="3" t="s">
        <v>19</v>
      </c>
      <c r="K792" s="3" t="s">
        <v>20</v>
      </c>
      <c r="L792" s="3">
        <v>27.31</v>
      </c>
      <c r="M792" s="3" t="s">
        <v>1695</v>
      </c>
      <c r="N792" s="3" t="s">
        <v>1696</v>
      </c>
      <c r="O792" s="3">
        <v>1.02420036795E11</v>
      </c>
    </row>
    <row r="793">
      <c r="A793" s="3">
        <v>2434598.0</v>
      </c>
      <c r="B793" s="3" t="s">
        <v>1928</v>
      </c>
      <c r="C793" s="3" t="b">
        <v>1</v>
      </c>
      <c r="D793" s="3" t="b">
        <v>1</v>
      </c>
      <c r="E793" s="3" t="s">
        <v>1929</v>
      </c>
      <c r="F793" s="3" t="s">
        <v>1930</v>
      </c>
      <c r="G793" s="4">
        <f>+251940191555</f>
        <v>251940191555</v>
      </c>
      <c r="H793" s="3" t="s">
        <v>18</v>
      </c>
      <c r="I793" s="3" t="s">
        <v>19</v>
      </c>
      <c r="J793" s="3" t="s">
        <v>19</v>
      </c>
      <c r="K793" s="3" t="s">
        <v>25</v>
      </c>
      <c r="L793" s="3">
        <v>28.02</v>
      </c>
      <c r="M793" s="3" t="s">
        <v>1695</v>
      </c>
      <c r="N793" s="3" t="s">
        <v>1696</v>
      </c>
      <c r="O793" s="3">
        <v>1.02426033399E11</v>
      </c>
    </row>
    <row r="794">
      <c r="A794" s="3">
        <v>2434642.0</v>
      </c>
      <c r="B794" s="3" t="s">
        <v>1931</v>
      </c>
      <c r="C794" s="3" t="b">
        <v>1</v>
      </c>
      <c r="D794" s="3" t="b">
        <v>1</v>
      </c>
      <c r="E794" s="3" t="s">
        <v>1932</v>
      </c>
      <c r="F794" s="3" t="s">
        <v>1933</v>
      </c>
      <c r="G794" s="4">
        <f>+251940625645</f>
        <v>251940625645</v>
      </c>
      <c r="H794" s="3" t="s">
        <v>18</v>
      </c>
      <c r="I794" s="3" t="s">
        <v>19</v>
      </c>
      <c r="J794" s="3" t="s">
        <v>19</v>
      </c>
      <c r="K794" s="3" t="s">
        <v>20</v>
      </c>
      <c r="L794" s="3">
        <v>18.31</v>
      </c>
      <c r="M794" s="3" t="s">
        <v>1695</v>
      </c>
      <c r="N794" s="3" t="s">
        <v>1696</v>
      </c>
      <c r="O794" s="3">
        <v>1.02476633332E11</v>
      </c>
    </row>
    <row r="795">
      <c r="A795" s="3">
        <v>2434954.0</v>
      </c>
      <c r="B795" s="3" t="s">
        <v>1934</v>
      </c>
      <c r="C795" s="3" t="b">
        <v>1</v>
      </c>
      <c r="D795" s="3" t="b">
        <v>1</v>
      </c>
      <c r="E795" s="3" t="s">
        <v>368</v>
      </c>
      <c r="F795" s="3" t="s">
        <v>1935</v>
      </c>
      <c r="G795" s="4">
        <f>+251970738088</f>
        <v>251970738088</v>
      </c>
      <c r="H795" s="3" t="s">
        <v>18</v>
      </c>
      <c r="I795" s="3" t="s">
        <v>19</v>
      </c>
      <c r="J795" s="3" t="s">
        <v>19</v>
      </c>
      <c r="K795" s="3" t="s">
        <v>25</v>
      </c>
      <c r="L795" s="3">
        <v>27.05</v>
      </c>
      <c r="M795" s="3" t="s">
        <v>1695</v>
      </c>
      <c r="N795" s="3" t="s">
        <v>1696</v>
      </c>
    </row>
    <row r="796">
      <c r="A796" s="3">
        <v>2435022.0</v>
      </c>
      <c r="B796" s="3" t="s">
        <v>1936</v>
      </c>
      <c r="C796" s="3" t="b">
        <v>1</v>
      </c>
      <c r="D796" s="3" t="b">
        <v>1</v>
      </c>
      <c r="E796" s="3" t="s">
        <v>1532</v>
      </c>
      <c r="F796" s="3" t="s">
        <v>1937</v>
      </c>
      <c r="G796" s="4">
        <f>+251911930654</f>
        <v>251911930654</v>
      </c>
      <c r="H796" s="3" t="s">
        <v>18</v>
      </c>
      <c r="I796" s="3" t="s">
        <v>19</v>
      </c>
      <c r="J796" s="3" t="s">
        <v>19</v>
      </c>
      <c r="K796" s="3" t="s">
        <v>25</v>
      </c>
      <c r="L796" s="3">
        <v>31.26</v>
      </c>
      <c r="M796" s="3" t="s">
        <v>1695</v>
      </c>
      <c r="N796" s="3" t="s">
        <v>1696</v>
      </c>
      <c r="O796" s="3">
        <v>1.02575733988E11</v>
      </c>
    </row>
    <row r="797">
      <c r="A797" s="3">
        <v>2435108.0</v>
      </c>
      <c r="B797" s="3" t="s">
        <v>1938</v>
      </c>
      <c r="C797" s="3" t="b">
        <v>1</v>
      </c>
      <c r="D797" s="3" t="b">
        <v>1</v>
      </c>
      <c r="E797" s="3" t="s">
        <v>1939</v>
      </c>
      <c r="F797" s="3" t="s">
        <v>1940</v>
      </c>
      <c r="G797" s="4">
        <f>+251926680499</f>
        <v>251926680499</v>
      </c>
      <c r="H797" s="3" t="s">
        <v>18</v>
      </c>
      <c r="I797" s="3" t="s">
        <v>19</v>
      </c>
      <c r="J797" s="3" t="s">
        <v>19</v>
      </c>
      <c r="K797" s="3" t="s">
        <v>25</v>
      </c>
      <c r="L797" s="3">
        <v>20.69</v>
      </c>
      <c r="M797" s="3" t="s">
        <v>1695</v>
      </c>
      <c r="N797" s="3" t="s">
        <v>1696</v>
      </c>
      <c r="O797" s="3">
        <v>1.0257144956E11</v>
      </c>
    </row>
    <row r="798">
      <c r="A798" s="3">
        <v>2435461.0</v>
      </c>
      <c r="B798" s="3" t="s">
        <v>1941</v>
      </c>
      <c r="C798" s="3" t="b">
        <v>0</v>
      </c>
      <c r="D798" s="3" t="b">
        <v>1</v>
      </c>
      <c r="E798" s="3" t="s">
        <v>1942</v>
      </c>
      <c r="F798" s="3" t="s">
        <v>1943</v>
      </c>
      <c r="G798" s="4">
        <f>+251964003830</f>
        <v>251964003830</v>
      </c>
      <c r="H798" s="3" t="s">
        <v>18</v>
      </c>
      <c r="I798" s="3" t="s">
        <v>19</v>
      </c>
      <c r="J798" s="3" t="s">
        <v>19</v>
      </c>
      <c r="K798" s="3" t="s">
        <v>25</v>
      </c>
      <c r="L798" s="3">
        <v>18.47</v>
      </c>
      <c r="M798" s="3" t="s">
        <v>1695</v>
      </c>
      <c r="N798" s="3" t="s">
        <v>1696</v>
      </c>
      <c r="O798" s="3">
        <v>1.02665368816E11</v>
      </c>
    </row>
    <row r="799">
      <c r="A799" s="3">
        <v>2435629.0</v>
      </c>
      <c r="B799" s="3" t="s">
        <v>1944</v>
      </c>
      <c r="C799" s="3" t="b">
        <v>0</v>
      </c>
      <c r="D799" s="3" t="b">
        <v>1</v>
      </c>
      <c r="E799" s="3" t="s">
        <v>877</v>
      </c>
      <c r="F799" s="3" t="s">
        <v>1945</v>
      </c>
      <c r="G799" s="4">
        <f>+251955964279</f>
        <v>251955964279</v>
      </c>
      <c r="H799" s="3" t="s">
        <v>289</v>
      </c>
      <c r="I799" s="3" t="s">
        <v>19</v>
      </c>
      <c r="J799" s="3" t="s">
        <v>19</v>
      </c>
      <c r="K799" s="3" t="s">
        <v>25</v>
      </c>
      <c r="L799" s="3">
        <v>20.48</v>
      </c>
      <c r="M799" s="3" t="s">
        <v>1695</v>
      </c>
      <c r="N799" s="3" t="s">
        <v>1696</v>
      </c>
      <c r="O799" s="3">
        <v>1.02742247667E11</v>
      </c>
    </row>
    <row r="800">
      <c r="A800" s="3">
        <v>2435673.0</v>
      </c>
      <c r="B800" s="3" t="s">
        <v>1946</v>
      </c>
      <c r="C800" s="3" t="b">
        <v>1</v>
      </c>
      <c r="D800" s="3" t="b">
        <v>1</v>
      </c>
      <c r="E800" s="3" t="s">
        <v>414</v>
      </c>
      <c r="F800" s="3" t="s">
        <v>1947</v>
      </c>
      <c r="G800" s="4">
        <f>+251902954049</f>
        <v>251902954049</v>
      </c>
      <c r="H800" s="3" t="s">
        <v>44</v>
      </c>
      <c r="I800" s="3" t="s">
        <v>19</v>
      </c>
      <c r="J800" s="3" t="s">
        <v>19</v>
      </c>
      <c r="K800" s="3" t="s">
        <v>25</v>
      </c>
      <c r="L800" s="3">
        <v>13.64</v>
      </c>
      <c r="M800" s="3" t="s">
        <v>1695</v>
      </c>
      <c r="N800" s="3" t="s">
        <v>1696</v>
      </c>
    </row>
    <row r="801">
      <c r="A801" s="3">
        <v>2435813.0</v>
      </c>
      <c r="B801" s="3" t="s">
        <v>1948</v>
      </c>
      <c r="C801" s="3" t="b">
        <v>1</v>
      </c>
      <c r="D801" s="3" t="b">
        <v>1</v>
      </c>
      <c r="E801" s="3" t="s">
        <v>1949</v>
      </c>
      <c r="F801" s="3" t="s">
        <v>1950</v>
      </c>
      <c r="G801" s="4">
        <f>+251938166874</f>
        <v>251938166874</v>
      </c>
      <c r="H801" s="3" t="s">
        <v>18</v>
      </c>
      <c r="I801" s="3" t="s">
        <v>19</v>
      </c>
      <c r="J801" s="3" t="s">
        <v>19</v>
      </c>
      <c r="K801" s="3" t="s">
        <v>25</v>
      </c>
      <c r="L801" s="3">
        <v>26.8</v>
      </c>
      <c r="M801" s="3" t="s">
        <v>1695</v>
      </c>
      <c r="N801" s="3" t="s">
        <v>1696</v>
      </c>
      <c r="O801" s="3">
        <v>1.02868717805E11</v>
      </c>
    </row>
    <row r="802">
      <c r="A802" s="3">
        <v>161324.0</v>
      </c>
      <c r="B802" s="3" t="s">
        <v>1951</v>
      </c>
      <c r="C802" s="3" t="b">
        <v>1</v>
      </c>
      <c r="D802" s="3" t="b">
        <v>1</v>
      </c>
      <c r="E802" s="3" t="s">
        <v>1952</v>
      </c>
      <c r="F802" s="3" t="s">
        <v>193</v>
      </c>
      <c r="G802" s="4">
        <f>+251974137842</f>
        <v>251974137842</v>
      </c>
      <c r="H802" s="3" t="s">
        <v>18</v>
      </c>
      <c r="I802" s="3" t="s">
        <v>19</v>
      </c>
      <c r="J802" s="3" t="s">
        <v>19</v>
      </c>
      <c r="K802" s="3" t="s">
        <v>25</v>
      </c>
      <c r="L802" s="3">
        <v>22.9</v>
      </c>
      <c r="M802" s="3" t="s">
        <v>1695</v>
      </c>
      <c r="N802" s="3" t="s">
        <v>1696</v>
      </c>
      <c r="O802" s="3">
        <v>5826282.0</v>
      </c>
    </row>
    <row r="803">
      <c r="A803" s="3">
        <v>2435969.0</v>
      </c>
      <c r="B803" s="3" t="s">
        <v>1953</v>
      </c>
      <c r="C803" s="3" t="b">
        <v>1</v>
      </c>
      <c r="D803" s="3" t="b">
        <v>1</v>
      </c>
      <c r="E803" s="3" t="s">
        <v>1954</v>
      </c>
      <c r="F803" s="3" t="s">
        <v>1955</v>
      </c>
      <c r="G803" s="4">
        <f>+251994437030</f>
        <v>251994437030</v>
      </c>
      <c r="H803" s="3" t="s">
        <v>18</v>
      </c>
      <c r="I803" s="3" t="s">
        <v>19</v>
      </c>
      <c r="J803" s="3" t="s">
        <v>19</v>
      </c>
      <c r="K803" s="3" t="s">
        <v>25</v>
      </c>
      <c r="L803" s="3">
        <v>22.9</v>
      </c>
      <c r="M803" s="3" t="s">
        <v>1695</v>
      </c>
      <c r="N803" s="3" t="s">
        <v>1696</v>
      </c>
      <c r="O803" s="3">
        <v>1.03006698721E11</v>
      </c>
    </row>
    <row r="804">
      <c r="A804" s="3">
        <v>290614.0</v>
      </c>
      <c r="B804" s="3" t="s">
        <v>1956</v>
      </c>
      <c r="C804" s="3" t="b">
        <v>1</v>
      </c>
      <c r="D804" s="3" t="b">
        <v>1</v>
      </c>
      <c r="E804" s="3" t="s">
        <v>1803</v>
      </c>
      <c r="F804" s="3" t="s">
        <v>446</v>
      </c>
      <c r="G804" s="4">
        <f>+251991066170</f>
        <v>251991066170</v>
      </c>
      <c r="H804" s="3" t="s">
        <v>18</v>
      </c>
      <c r="I804" s="3" t="s">
        <v>19</v>
      </c>
      <c r="J804" s="3" t="s">
        <v>19</v>
      </c>
      <c r="K804" s="3" t="s">
        <v>25</v>
      </c>
      <c r="L804" s="3">
        <v>27.39</v>
      </c>
      <c r="M804" s="3" t="s">
        <v>1695</v>
      </c>
      <c r="N804" s="3" t="s">
        <v>1696</v>
      </c>
      <c r="O804" s="3">
        <v>6034422.0</v>
      </c>
    </row>
    <row r="805">
      <c r="A805" s="3">
        <v>2436013.0</v>
      </c>
      <c r="B805" s="3" t="s">
        <v>1957</v>
      </c>
      <c r="C805" s="3" t="b">
        <v>1</v>
      </c>
      <c r="D805" s="3" t="b">
        <v>1</v>
      </c>
      <c r="E805" s="3" t="s">
        <v>649</v>
      </c>
      <c r="F805" s="3" t="s">
        <v>610</v>
      </c>
      <c r="G805" s="4">
        <f>+251904673581</f>
        <v>251904673581</v>
      </c>
      <c r="H805" s="3" t="s">
        <v>29</v>
      </c>
      <c r="I805" s="3" t="s">
        <v>19</v>
      </c>
      <c r="J805" s="3" t="s">
        <v>19</v>
      </c>
      <c r="K805" s="3" t="s">
        <v>25</v>
      </c>
      <c r="L805" s="3">
        <v>23.08</v>
      </c>
      <c r="M805" s="3" t="s">
        <v>1695</v>
      </c>
      <c r="N805" s="3" t="s">
        <v>1696</v>
      </c>
      <c r="O805" s="3">
        <v>1.03036765433E11</v>
      </c>
    </row>
    <row r="806">
      <c r="A806" s="3">
        <v>2436057.0</v>
      </c>
      <c r="B806" s="3" t="s">
        <v>1958</v>
      </c>
      <c r="C806" s="3" t="b">
        <v>1</v>
      </c>
      <c r="D806" s="3" t="b">
        <v>1</v>
      </c>
      <c r="E806" s="3" t="s">
        <v>1959</v>
      </c>
      <c r="F806" s="3" t="s">
        <v>1960</v>
      </c>
      <c r="G806" s="4">
        <f>+251919989228</f>
        <v>251919989228</v>
      </c>
      <c r="H806" s="3" t="s">
        <v>44</v>
      </c>
      <c r="I806" s="3" t="s">
        <v>19</v>
      </c>
      <c r="J806" s="3" t="s">
        <v>19</v>
      </c>
      <c r="K806" s="3" t="s">
        <v>25</v>
      </c>
      <c r="L806" s="3">
        <v>25.0</v>
      </c>
      <c r="M806" s="3" t="s">
        <v>1695</v>
      </c>
      <c r="N806" s="3" t="s">
        <v>1696</v>
      </c>
    </row>
    <row r="807">
      <c r="A807" s="3">
        <v>2436509.0</v>
      </c>
      <c r="B807" s="3" t="s">
        <v>1961</v>
      </c>
      <c r="C807" s="3" t="b">
        <v>1</v>
      </c>
      <c r="D807" s="3" t="b">
        <v>1</v>
      </c>
      <c r="E807" s="3" t="s">
        <v>292</v>
      </c>
      <c r="F807" s="3" t="s">
        <v>1962</v>
      </c>
      <c r="G807" s="4">
        <f>+251942226898</f>
        <v>251942226898</v>
      </c>
      <c r="H807" s="3" t="s">
        <v>18</v>
      </c>
      <c r="I807" s="3" t="s">
        <v>19</v>
      </c>
      <c r="J807" s="3" t="s">
        <v>19</v>
      </c>
      <c r="K807" s="3" t="s">
        <v>25</v>
      </c>
      <c r="L807" s="3">
        <v>34.92</v>
      </c>
      <c r="M807" s="3" t="s">
        <v>1695</v>
      </c>
      <c r="N807" s="3" t="s">
        <v>1696</v>
      </c>
      <c r="O807" s="3">
        <v>1858759.0</v>
      </c>
    </row>
    <row r="808">
      <c r="A808" s="3">
        <v>2436854.0</v>
      </c>
      <c r="B808" s="3" t="s">
        <v>1963</v>
      </c>
      <c r="C808" s="3" t="b">
        <v>0</v>
      </c>
      <c r="D808" s="3" t="b">
        <v>1</v>
      </c>
      <c r="E808" s="3" t="s">
        <v>1511</v>
      </c>
      <c r="F808" s="3" t="s">
        <v>1964</v>
      </c>
      <c r="G808" s="4">
        <f>+251932283154</f>
        <v>251932283154</v>
      </c>
      <c r="H808" s="3" t="s">
        <v>18</v>
      </c>
      <c r="I808" s="3" t="s">
        <v>19</v>
      </c>
      <c r="J808" s="3" t="s">
        <v>19</v>
      </c>
      <c r="K808" s="3" t="s">
        <v>20</v>
      </c>
      <c r="L808" s="3">
        <v>26.82</v>
      </c>
      <c r="M808" s="3" t="s">
        <v>1695</v>
      </c>
      <c r="N808" s="3" t="s">
        <v>1696</v>
      </c>
      <c r="O808" s="3">
        <v>1.03401594077E11</v>
      </c>
    </row>
    <row r="809">
      <c r="A809" s="3">
        <v>2436884.0</v>
      </c>
      <c r="B809" s="3" t="s">
        <v>1965</v>
      </c>
      <c r="C809" s="3" t="b">
        <v>0</v>
      </c>
      <c r="D809" s="3" t="b">
        <v>1</v>
      </c>
      <c r="E809" s="3" t="s">
        <v>1112</v>
      </c>
      <c r="F809" s="3" t="s">
        <v>1966</v>
      </c>
      <c r="G809" s="4">
        <f>+251920760340</f>
        <v>251920760340</v>
      </c>
      <c r="H809" s="3" t="s">
        <v>18</v>
      </c>
      <c r="I809" s="3" t="s">
        <v>19</v>
      </c>
      <c r="J809" s="3" t="s">
        <v>19</v>
      </c>
      <c r="K809" s="3" t="s">
        <v>25</v>
      </c>
      <c r="L809" s="3">
        <v>34.27</v>
      </c>
      <c r="M809" s="3" t="s">
        <v>1695</v>
      </c>
      <c r="N809" s="3" t="s">
        <v>1696</v>
      </c>
      <c r="O809" s="3">
        <v>1.0336267288E11</v>
      </c>
    </row>
    <row r="810">
      <c r="A810" s="3">
        <v>2437159.0</v>
      </c>
      <c r="B810" s="3" t="s">
        <v>1967</v>
      </c>
      <c r="C810" s="3" t="b">
        <v>0</v>
      </c>
      <c r="D810" s="3" t="b">
        <v>1</v>
      </c>
      <c r="E810" s="3" t="s">
        <v>1968</v>
      </c>
      <c r="F810" s="3" t="s">
        <v>1969</v>
      </c>
      <c r="G810" s="3">
        <v>9.18082965E8</v>
      </c>
      <c r="H810" s="3" t="s">
        <v>249</v>
      </c>
      <c r="I810" s="3" t="s">
        <v>19</v>
      </c>
      <c r="J810" s="3" t="s">
        <v>19</v>
      </c>
      <c r="K810" s="3" t="s">
        <v>25</v>
      </c>
      <c r="L810" s="3">
        <v>36.79</v>
      </c>
      <c r="M810" s="3" t="s">
        <v>1695</v>
      </c>
      <c r="N810" s="3" t="s">
        <v>1696</v>
      </c>
      <c r="O810" s="3">
        <v>1.03407597772E11</v>
      </c>
    </row>
    <row r="811">
      <c r="A811" s="3">
        <v>2437206.0</v>
      </c>
      <c r="B811" s="3" t="s">
        <v>1970</v>
      </c>
      <c r="C811" s="3" t="b">
        <v>1</v>
      </c>
      <c r="D811" s="3" t="b">
        <v>1</v>
      </c>
      <c r="E811" s="3" t="s">
        <v>1971</v>
      </c>
      <c r="F811" s="3" t="s">
        <v>1972</v>
      </c>
      <c r="G811" s="4">
        <f>+251912148418</f>
        <v>251912148418</v>
      </c>
      <c r="H811" s="3" t="s">
        <v>18</v>
      </c>
      <c r="I811" s="3" t="s">
        <v>19</v>
      </c>
      <c r="J811" s="3" t="s">
        <v>19</v>
      </c>
      <c r="K811" s="3" t="s">
        <v>20</v>
      </c>
      <c r="L811" s="3">
        <v>33.94</v>
      </c>
      <c r="M811" s="3" t="s">
        <v>1695</v>
      </c>
      <c r="N811" s="3" t="s">
        <v>1696</v>
      </c>
      <c r="O811" s="3">
        <v>1.0342552086E11</v>
      </c>
    </row>
    <row r="812">
      <c r="A812" s="3">
        <v>2437385.0</v>
      </c>
      <c r="B812" s="3" t="s">
        <v>1973</v>
      </c>
      <c r="C812" s="3" t="b">
        <v>1</v>
      </c>
      <c r="D812" s="3" t="b">
        <v>1</v>
      </c>
      <c r="E812" s="3" t="s">
        <v>1974</v>
      </c>
      <c r="F812" s="3" t="s">
        <v>1975</v>
      </c>
      <c r="G812" s="4">
        <f>+251947009730</f>
        <v>251947009730</v>
      </c>
      <c r="H812" s="3" t="s">
        <v>18</v>
      </c>
      <c r="I812" s="3" t="s">
        <v>19</v>
      </c>
      <c r="J812" s="3" t="s">
        <v>19</v>
      </c>
      <c r="K812" s="3" t="s">
        <v>20</v>
      </c>
      <c r="L812" s="3">
        <v>27.16</v>
      </c>
      <c r="M812" s="3" t="s">
        <v>1695</v>
      </c>
      <c r="N812" s="3" t="s">
        <v>1696</v>
      </c>
      <c r="O812" s="3">
        <v>1.03464947913E11</v>
      </c>
    </row>
    <row r="813">
      <c r="A813" s="3">
        <v>2113272.0</v>
      </c>
      <c r="B813" s="3" t="s">
        <v>1976</v>
      </c>
      <c r="C813" s="3" t="b">
        <v>1</v>
      </c>
      <c r="D813" s="3" t="b">
        <v>1</v>
      </c>
      <c r="E813" s="3" t="s">
        <v>534</v>
      </c>
      <c r="F813" s="3" t="s">
        <v>1977</v>
      </c>
      <c r="G813" s="4">
        <f>+251978300423</f>
        <v>251978300423</v>
      </c>
      <c r="H813" s="3" t="s">
        <v>29</v>
      </c>
      <c r="I813" s="3" t="s">
        <v>19</v>
      </c>
      <c r="J813" s="3" t="s">
        <v>19</v>
      </c>
      <c r="K813" s="3" t="s">
        <v>20</v>
      </c>
      <c r="L813" s="3">
        <v>22.73</v>
      </c>
      <c r="M813" s="3" t="s">
        <v>1695</v>
      </c>
      <c r="N813" s="3" t="s">
        <v>1696</v>
      </c>
      <c r="O813" s="3">
        <v>2.9893596656E10</v>
      </c>
    </row>
    <row r="814">
      <c r="A814" s="3">
        <v>2437552.0</v>
      </c>
      <c r="B814" s="3" t="s">
        <v>1978</v>
      </c>
      <c r="C814" s="3" t="b">
        <v>1</v>
      </c>
      <c r="D814" s="3" t="b">
        <v>1</v>
      </c>
      <c r="E814" s="3" t="s">
        <v>1442</v>
      </c>
      <c r="F814" s="3" t="s">
        <v>1979</v>
      </c>
      <c r="G814" s="4">
        <f>+251928555588</f>
        <v>251928555588</v>
      </c>
      <c r="H814" s="3" t="s">
        <v>18</v>
      </c>
      <c r="I814" s="3" t="s">
        <v>19</v>
      </c>
      <c r="J814" s="3" t="s">
        <v>19</v>
      </c>
      <c r="K814" s="3" t="s">
        <v>25</v>
      </c>
      <c r="L814" s="3">
        <v>29.99</v>
      </c>
      <c r="M814" s="3" t="s">
        <v>1695</v>
      </c>
      <c r="N814" s="3" t="s">
        <v>1696</v>
      </c>
    </row>
    <row r="815">
      <c r="A815" s="3">
        <v>2437549.0</v>
      </c>
      <c r="B815" s="3" t="s">
        <v>1980</v>
      </c>
      <c r="C815" s="3" t="b">
        <v>1</v>
      </c>
      <c r="D815" s="3" t="b">
        <v>1</v>
      </c>
      <c r="E815" s="3" t="s">
        <v>1981</v>
      </c>
      <c r="F815" s="3" t="s">
        <v>52</v>
      </c>
      <c r="G815" s="4">
        <f>+251941924546</f>
        <v>251941924546</v>
      </c>
      <c r="H815" s="3" t="s">
        <v>18</v>
      </c>
      <c r="I815" s="3" t="s">
        <v>19</v>
      </c>
      <c r="J815" s="3" t="s">
        <v>19</v>
      </c>
      <c r="K815" s="3" t="s">
        <v>20</v>
      </c>
      <c r="L815" s="3">
        <v>19.86</v>
      </c>
      <c r="M815" s="3" t="s">
        <v>1695</v>
      </c>
      <c r="N815" s="3" t="s">
        <v>1696</v>
      </c>
      <c r="O815" s="3">
        <v>3788453.0</v>
      </c>
    </row>
    <row r="816">
      <c r="A816" s="3">
        <v>2437663.0</v>
      </c>
      <c r="B816" s="3" t="s">
        <v>1982</v>
      </c>
      <c r="C816" s="3" t="b">
        <v>1</v>
      </c>
      <c r="D816" s="3" t="b">
        <v>1</v>
      </c>
      <c r="E816" s="3" t="s">
        <v>1983</v>
      </c>
      <c r="F816" s="3" t="s">
        <v>58</v>
      </c>
      <c r="G816" s="4">
        <f>+251921420692</f>
        <v>251921420692</v>
      </c>
      <c r="H816" s="3" t="s">
        <v>18</v>
      </c>
      <c r="I816" s="3" t="s">
        <v>19</v>
      </c>
      <c r="J816" s="3" t="s">
        <v>19</v>
      </c>
      <c r="K816" s="3" t="s">
        <v>25</v>
      </c>
      <c r="L816" s="3">
        <v>20.03</v>
      </c>
      <c r="M816" s="3" t="s">
        <v>1695</v>
      </c>
      <c r="N816" s="3" t="s">
        <v>1696</v>
      </c>
    </row>
    <row r="817">
      <c r="A817" s="3">
        <v>2437690.0</v>
      </c>
      <c r="B817" s="3" t="s">
        <v>1984</v>
      </c>
      <c r="C817" s="3" t="b">
        <v>0</v>
      </c>
      <c r="D817" s="3" t="b">
        <v>1</v>
      </c>
      <c r="E817" s="3" t="s">
        <v>513</v>
      </c>
      <c r="F817" s="3" t="s">
        <v>1271</v>
      </c>
      <c r="G817" s="4">
        <f>+251901405156</f>
        <v>251901405156</v>
      </c>
      <c r="H817" s="3" t="s">
        <v>18</v>
      </c>
      <c r="I817" s="3" t="s">
        <v>19</v>
      </c>
      <c r="J817" s="3" t="s">
        <v>19</v>
      </c>
      <c r="K817" s="3" t="s">
        <v>25</v>
      </c>
      <c r="L817" s="3">
        <v>18.96</v>
      </c>
      <c r="M817" s="3" t="s">
        <v>1695</v>
      </c>
      <c r="N817" s="3" t="s">
        <v>1696</v>
      </c>
      <c r="O817" s="3">
        <v>1.03561654495E11</v>
      </c>
    </row>
    <row r="818">
      <c r="A818" s="3">
        <v>2437757.0</v>
      </c>
      <c r="B818" s="3" t="s">
        <v>1985</v>
      </c>
      <c r="C818" s="3" t="b">
        <v>0</v>
      </c>
      <c r="D818" s="3" t="b">
        <v>1</v>
      </c>
      <c r="E818" s="3" t="s">
        <v>817</v>
      </c>
      <c r="F818" s="3" t="s">
        <v>1986</v>
      </c>
      <c r="G818" s="4">
        <f>+251912718544</f>
        <v>251912718544</v>
      </c>
      <c r="H818" s="3" t="s">
        <v>18</v>
      </c>
      <c r="I818" s="3" t="s">
        <v>19</v>
      </c>
      <c r="J818" s="3" t="s">
        <v>19</v>
      </c>
      <c r="K818" s="3" t="s">
        <v>25</v>
      </c>
      <c r="L818" s="3">
        <v>33.13</v>
      </c>
      <c r="M818" s="3" t="s">
        <v>1695</v>
      </c>
      <c r="N818" s="3" t="s">
        <v>1696</v>
      </c>
      <c r="O818" s="3">
        <v>35952.0</v>
      </c>
    </row>
    <row r="819">
      <c r="A819" s="3">
        <v>1122783.0</v>
      </c>
      <c r="B819" s="3" t="s">
        <v>1987</v>
      </c>
      <c r="C819" s="3" t="b">
        <v>1</v>
      </c>
      <c r="D819" s="3" t="b">
        <v>1</v>
      </c>
      <c r="E819" s="3" t="s">
        <v>1988</v>
      </c>
      <c r="F819" s="3" t="s">
        <v>1646</v>
      </c>
      <c r="G819" s="4">
        <f>+251992024787</f>
        <v>251992024787</v>
      </c>
      <c r="H819" s="3" t="s">
        <v>18</v>
      </c>
      <c r="I819" s="3" t="s">
        <v>19</v>
      </c>
      <c r="J819" s="3" t="s">
        <v>19</v>
      </c>
      <c r="K819" s="3" t="s">
        <v>25</v>
      </c>
      <c r="L819" s="3">
        <v>20.16</v>
      </c>
      <c r="M819" s="3" t="s">
        <v>1695</v>
      </c>
      <c r="N819" s="3" t="s">
        <v>1696</v>
      </c>
    </row>
    <row r="820">
      <c r="A820" s="3">
        <v>2437907.0</v>
      </c>
      <c r="B820" s="3" t="s">
        <v>1989</v>
      </c>
      <c r="C820" s="3" t="b">
        <v>0</v>
      </c>
      <c r="D820" s="3" t="b">
        <v>1</v>
      </c>
      <c r="E820" s="3" t="s">
        <v>267</v>
      </c>
      <c r="F820" s="3" t="s">
        <v>920</v>
      </c>
      <c r="G820" s="4">
        <f>+251922472691</f>
        <v>251922472691</v>
      </c>
      <c r="H820" s="3" t="s">
        <v>18</v>
      </c>
      <c r="I820" s="3" t="s">
        <v>19</v>
      </c>
      <c r="J820" s="3" t="s">
        <v>1990</v>
      </c>
      <c r="K820" s="3" t="s">
        <v>25</v>
      </c>
      <c r="L820" s="3">
        <v>28.36</v>
      </c>
      <c r="M820" s="3" t="s">
        <v>1695</v>
      </c>
      <c r="N820" s="3" t="s">
        <v>1696</v>
      </c>
      <c r="O820" s="3">
        <v>1.03514631359E11</v>
      </c>
    </row>
    <row r="821">
      <c r="A821" s="3">
        <v>2438154.0</v>
      </c>
      <c r="B821" s="3" t="s">
        <v>1991</v>
      </c>
      <c r="C821" s="3" t="b">
        <v>0</v>
      </c>
      <c r="D821" s="3" t="b">
        <v>1</v>
      </c>
      <c r="E821" s="3" t="s">
        <v>703</v>
      </c>
      <c r="F821" s="3" t="s">
        <v>1522</v>
      </c>
      <c r="G821" s="4">
        <f>+251927610217</f>
        <v>251927610217</v>
      </c>
      <c r="H821" s="3" t="s">
        <v>18</v>
      </c>
      <c r="I821" s="3" t="s">
        <v>19</v>
      </c>
      <c r="J821" s="3" t="s">
        <v>19</v>
      </c>
      <c r="K821" s="3" t="s">
        <v>25</v>
      </c>
      <c r="L821" s="3">
        <v>23.17</v>
      </c>
      <c r="M821" s="3" t="s">
        <v>1695</v>
      </c>
      <c r="N821" s="3" t="s">
        <v>1696</v>
      </c>
      <c r="O821" s="3">
        <v>1.03634070728E11</v>
      </c>
    </row>
    <row r="822">
      <c r="A822" s="3">
        <v>2438198.0</v>
      </c>
      <c r="B822" s="3" t="s">
        <v>1992</v>
      </c>
      <c r="C822" s="3" t="b">
        <v>1</v>
      </c>
      <c r="D822" s="3" t="b">
        <v>1</v>
      </c>
      <c r="E822" s="3" t="s">
        <v>750</v>
      </c>
      <c r="F822" s="3" t="s">
        <v>1993</v>
      </c>
      <c r="G822" s="3">
        <v>9.7574674E8</v>
      </c>
      <c r="H822" s="3" t="s">
        <v>18</v>
      </c>
      <c r="I822" s="3" t="s">
        <v>19</v>
      </c>
      <c r="J822" s="3" t="s">
        <v>19</v>
      </c>
      <c r="K822" s="3" t="s">
        <v>25</v>
      </c>
      <c r="L822" s="3">
        <v>27.25</v>
      </c>
      <c r="M822" s="3" t="s">
        <v>1695</v>
      </c>
      <c r="N822" s="3" t="s">
        <v>1696</v>
      </c>
      <c r="O822" s="3">
        <v>1.03631152375E11</v>
      </c>
    </row>
    <row r="823">
      <c r="A823" s="3">
        <v>2438343.0</v>
      </c>
      <c r="B823" s="3" t="s">
        <v>1994</v>
      </c>
      <c r="C823" s="3" t="b">
        <v>1</v>
      </c>
      <c r="D823" s="3" t="b">
        <v>1</v>
      </c>
      <c r="E823" s="3" t="s">
        <v>522</v>
      </c>
      <c r="F823" s="3" t="s">
        <v>1995</v>
      </c>
      <c r="G823" s="4">
        <f>+251974379930</f>
        <v>251974379930</v>
      </c>
      <c r="H823" s="3" t="s">
        <v>18</v>
      </c>
      <c r="I823" s="3" t="s">
        <v>19</v>
      </c>
      <c r="J823" s="3" t="s">
        <v>19</v>
      </c>
      <c r="K823" s="3" t="s">
        <v>20</v>
      </c>
      <c r="L823" s="3">
        <v>18.47</v>
      </c>
      <c r="M823" s="3" t="s">
        <v>1695</v>
      </c>
      <c r="N823" s="3" t="s">
        <v>1696</v>
      </c>
      <c r="O823" s="3">
        <v>1.03655341259E11</v>
      </c>
    </row>
    <row r="824">
      <c r="A824" s="3">
        <v>2438725.0</v>
      </c>
      <c r="B824" s="3" t="s">
        <v>1996</v>
      </c>
      <c r="C824" s="3" t="b">
        <v>0</v>
      </c>
      <c r="D824" s="3" t="b">
        <v>1</v>
      </c>
      <c r="E824" s="3" t="s">
        <v>304</v>
      </c>
      <c r="F824" s="3" t="s">
        <v>1000</v>
      </c>
      <c r="G824" s="4">
        <f>+251915894836</f>
        <v>251915894836</v>
      </c>
      <c r="H824" s="3" t="s">
        <v>289</v>
      </c>
      <c r="I824" s="3" t="s">
        <v>19</v>
      </c>
      <c r="J824" s="3" t="s">
        <v>19</v>
      </c>
      <c r="K824" s="3" t="s">
        <v>25</v>
      </c>
      <c r="L824" s="3">
        <v>13.25</v>
      </c>
      <c r="M824" s="3" t="s">
        <v>1695</v>
      </c>
      <c r="N824" s="3" t="s">
        <v>1696</v>
      </c>
      <c r="O824" s="3">
        <v>1.03925819594E11</v>
      </c>
    </row>
    <row r="825">
      <c r="A825" s="3">
        <v>2438783.0</v>
      </c>
      <c r="B825" s="3" t="s">
        <v>1997</v>
      </c>
      <c r="C825" s="3" t="b">
        <v>1</v>
      </c>
      <c r="D825" s="3" t="b">
        <v>1</v>
      </c>
      <c r="E825" s="3" t="s">
        <v>1998</v>
      </c>
      <c r="F825" s="3" t="s">
        <v>1999</v>
      </c>
      <c r="G825" s="4">
        <f>+250793313927</f>
        <v>250793313927</v>
      </c>
      <c r="H825" s="3" t="s">
        <v>18</v>
      </c>
      <c r="I825" s="3" t="s">
        <v>19</v>
      </c>
      <c r="J825" s="3" t="s">
        <v>256</v>
      </c>
      <c r="K825" s="3" t="s">
        <v>25</v>
      </c>
      <c r="L825" s="3">
        <v>21.13</v>
      </c>
      <c r="M825" s="3" t="s">
        <v>1695</v>
      </c>
      <c r="N825" s="3" t="s">
        <v>1696</v>
      </c>
      <c r="O825" s="3">
        <v>1.03963815157E11</v>
      </c>
    </row>
    <row r="826">
      <c r="A826" s="3">
        <v>2283067.0</v>
      </c>
      <c r="B826" s="3" t="s">
        <v>2000</v>
      </c>
      <c r="C826" s="3" t="b">
        <v>1</v>
      </c>
      <c r="D826" s="3" t="b">
        <v>1</v>
      </c>
      <c r="E826" s="3" t="s">
        <v>2001</v>
      </c>
      <c r="F826" s="3" t="s">
        <v>2002</v>
      </c>
      <c r="G826" s="4">
        <f>+251983013530</f>
        <v>251983013530</v>
      </c>
      <c r="H826" s="3" t="s">
        <v>18</v>
      </c>
      <c r="I826" s="3" t="s">
        <v>19</v>
      </c>
      <c r="J826" s="3" t="s">
        <v>19</v>
      </c>
      <c r="K826" s="3" t="s">
        <v>20</v>
      </c>
      <c r="L826" s="3">
        <v>28.12</v>
      </c>
      <c r="M826" s="3" t="s">
        <v>1695</v>
      </c>
      <c r="N826" s="3" t="s">
        <v>1696</v>
      </c>
      <c r="O826" s="3">
        <v>3.5432745436E10</v>
      </c>
    </row>
    <row r="827">
      <c r="A827" s="3">
        <v>2439415.0</v>
      </c>
      <c r="B827" s="3" t="s">
        <v>2003</v>
      </c>
      <c r="C827" s="3" t="b">
        <v>0</v>
      </c>
      <c r="D827" s="3" t="b">
        <v>1</v>
      </c>
      <c r="E827" s="3" t="s">
        <v>328</v>
      </c>
      <c r="F827" s="3" t="s">
        <v>2004</v>
      </c>
      <c r="G827" s="4">
        <f>+251910437988</f>
        <v>251910437988</v>
      </c>
      <c r="H827" s="3" t="s">
        <v>18</v>
      </c>
      <c r="I827" s="3" t="s">
        <v>19</v>
      </c>
      <c r="J827" s="3" t="s">
        <v>19</v>
      </c>
      <c r="K827" s="3" t="s">
        <v>25</v>
      </c>
      <c r="L827" s="3">
        <v>28.07</v>
      </c>
      <c r="M827" s="3" t="s">
        <v>1695</v>
      </c>
      <c r="N827" s="3" t="s">
        <v>1696</v>
      </c>
      <c r="O827" s="3">
        <v>1.04234604783E11</v>
      </c>
    </row>
    <row r="828">
      <c r="A828" s="3">
        <v>2439471.0</v>
      </c>
      <c r="B828" s="3" t="s">
        <v>2005</v>
      </c>
      <c r="C828" s="3" t="b">
        <v>1</v>
      </c>
      <c r="D828" s="3" t="b">
        <v>1</v>
      </c>
      <c r="E828" s="3" t="s">
        <v>2006</v>
      </c>
      <c r="F828" s="3" t="s">
        <v>2007</v>
      </c>
      <c r="G828" s="4">
        <f>+10964620844</f>
        <v>10964620844</v>
      </c>
      <c r="H828" s="3" t="s">
        <v>29</v>
      </c>
      <c r="I828" s="3" t="s">
        <v>19</v>
      </c>
      <c r="J828" s="3" t="s">
        <v>19</v>
      </c>
      <c r="K828" s="3" t="s">
        <v>25</v>
      </c>
      <c r="L828" s="3">
        <v>27.25</v>
      </c>
      <c r="M828" s="3" t="s">
        <v>1695</v>
      </c>
      <c r="N828" s="3" t="s">
        <v>1696</v>
      </c>
      <c r="O828" s="3">
        <v>1.04246424808E11</v>
      </c>
    </row>
    <row r="829">
      <c r="A829" s="3">
        <v>2439675.0</v>
      </c>
      <c r="B829" s="3" t="s">
        <v>2008</v>
      </c>
      <c r="C829" s="3" t="b">
        <v>0</v>
      </c>
      <c r="D829" s="3" t="b">
        <v>1</v>
      </c>
      <c r="E829" s="3" t="s">
        <v>2009</v>
      </c>
      <c r="F829" s="3" t="s">
        <v>2010</v>
      </c>
      <c r="G829" s="4">
        <f>+251944637442</f>
        <v>251944637442</v>
      </c>
      <c r="H829" s="3" t="s">
        <v>18</v>
      </c>
      <c r="I829" s="3" t="s">
        <v>19</v>
      </c>
      <c r="J829" s="3" t="s">
        <v>19</v>
      </c>
      <c r="K829" s="3" t="s">
        <v>20</v>
      </c>
      <c r="L829" s="3">
        <v>18.02</v>
      </c>
      <c r="M829" s="3" t="s">
        <v>1695</v>
      </c>
      <c r="N829" s="3" t="s">
        <v>1696</v>
      </c>
      <c r="O829" s="3">
        <v>1.04334209255E11</v>
      </c>
    </row>
    <row r="830">
      <c r="A830" s="3">
        <v>1932881.0</v>
      </c>
      <c r="B830" s="3" t="s">
        <v>2011</v>
      </c>
      <c r="C830" s="3" t="b">
        <v>1</v>
      </c>
      <c r="D830" s="3" t="b">
        <v>1</v>
      </c>
      <c r="E830" s="3" t="s">
        <v>54</v>
      </c>
      <c r="F830" s="3" t="s">
        <v>596</v>
      </c>
      <c r="G830" s="4">
        <f>+251933533047</f>
        <v>251933533047</v>
      </c>
      <c r="H830" s="3" t="s">
        <v>18</v>
      </c>
      <c r="I830" s="3" t="s">
        <v>19</v>
      </c>
      <c r="J830" s="3" t="s">
        <v>19</v>
      </c>
      <c r="K830" s="3" t="s">
        <v>20</v>
      </c>
      <c r="L830" s="3">
        <v>26.34</v>
      </c>
      <c r="M830" s="3" t="s">
        <v>1695</v>
      </c>
      <c r="N830" s="3" t="s">
        <v>1820</v>
      </c>
      <c r="O830" s="3">
        <v>2.696434533E10</v>
      </c>
    </row>
    <row r="831">
      <c r="A831" s="3">
        <v>2439949.0</v>
      </c>
      <c r="B831" s="3" t="s">
        <v>2012</v>
      </c>
      <c r="C831" s="3" t="b">
        <v>0</v>
      </c>
      <c r="D831" s="3" t="b">
        <v>1</v>
      </c>
      <c r="E831" s="3" t="s">
        <v>689</v>
      </c>
      <c r="F831" s="3" t="s">
        <v>1584</v>
      </c>
      <c r="G831" s="4">
        <f>+251975181598</f>
        <v>251975181598</v>
      </c>
      <c r="H831" s="3" t="s">
        <v>29</v>
      </c>
      <c r="I831" s="3" t="s">
        <v>19</v>
      </c>
      <c r="J831" s="3" t="s">
        <v>19</v>
      </c>
      <c r="K831" s="3" t="s">
        <v>25</v>
      </c>
      <c r="L831" s="3">
        <v>26.23</v>
      </c>
      <c r="M831" s="3" t="s">
        <v>1695</v>
      </c>
      <c r="N831" s="3" t="s">
        <v>1696</v>
      </c>
      <c r="O831" s="3">
        <v>1.04427542762E11</v>
      </c>
    </row>
    <row r="832">
      <c r="A832" s="3">
        <v>2440087.0</v>
      </c>
      <c r="B832" s="3" t="s">
        <v>2013</v>
      </c>
      <c r="C832" s="3" t="b">
        <v>1</v>
      </c>
      <c r="D832" s="3" t="b">
        <v>1</v>
      </c>
      <c r="E832" s="3" t="s">
        <v>188</v>
      </c>
      <c r="F832" s="3" t="s">
        <v>2014</v>
      </c>
      <c r="G832" s="4">
        <f>+251920207346</f>
        <v>251920207346</v>
      </c>
      <c r="H832" s="3" t="s">
        <v>18</v>
      </c>
      <c r="I832" s="3" t="s">
        <v>19</v>
      </c>
      <c r="J832" s="3" t="s">
        <v>19</v>
      </c>
      <c r="K832" s="3" t="s">
        <v>25</v>
      </c>
      <c r="L832" s="3">
        <v>33.54</v>
      </c>
      <c r="M832" s="3" t="s">
        <v>1695</v>
      </c>
      <c r="N832" s="3" t="s">
        <v>1696</v>
      </c>
      <c r="O832" s="3">
        <v>1.04504839383E11</v>
      </c>
    </row>
    <row r="833">
      <c r="A833" s="3">
        <v>2440113.0</v>
      </c>
      <c r="B833" s="3" t="s">
        <v>2015</v>
      </c>
      <c r="C833" s="3" t="b">
        <v>1</v>
      </c>
      <c r="D833" s="3" t="b">
        <v>1</v>
      </c>
      <c r="E833" s="3" t="s">
        <v>2016</v>
      </c>
      <c r="F833" s="3" t="s">
        <v>513</v>
      </c>
      <c r="G833" s="4">
        <f>+251913842891</f>
        <v>251913842891</v>
      </c>
      <c r="H833" s="3" t="s">
        <v>44</v>
      </c>
      <c r="I833" s="3" t="s">
        <v>19</v>
      </c>
      <c r="J833" s="3" t="s">
        <v>19</v>
      </c>
      <c r="K833" s="3" t="s">
        <v>25</v>
      </c>
      <c r="L833" s="3">
        <v>41.32</v>
      </c>
      <c r="M833" s="3" t="s">
        <v>1695</v>
      </c>
      <c r="N833" s="3" t="s">
        <v>1696</v>
      </c>
    </row>
    <row r="834">
      <c r="A834" s="3">
        <v>2440450.0</v>
      </c>
      <c r="B834" s="3" t="s">
        <v>2017</v>
      </c>
      <c r="C834" s="3" t="b">
        <v>0</v>
      </c>
      <c r="D834" s="3" t="b">
        <v>1</v>
      </c>
      <c r="E834" s="3" t="s">
        <v>1801</v>
      </c>
      <c r="F834" s="3" t="s">
        <v>2018</v>
      </c>
      <c r="G834" s="4">
        <f>+251989173953</f>
        <v>251989173953</v>
      </c>
      <c r="H834" s="3" t="s">
        <v>18</v>
      </c>
      <c r="I834" s="3" t="s">
        <v>19</v>
      </c>
      <c r="J834" s="3" t="s">
        <v>19</v>
      </c>
      <c r="K834" s="3" t="s">
        <v>20</v>
      </c>
      <c r="L834" s="3">
        <v>18.5</v>
      </c>
      <c r="M834" s="3" t="s">
        <v>1695</v>
      </c>
      <c r="N834" s="3" t="s">
        <v>1696</v>
      </c>
      <c r="O834" s="3">
        <v>1.0461685477E11</v>
      </c>
    </row>
    <row r="835">
      <c r="A835" s="3">
        <v>2370493.0</v>
      </c>
      <c r="B835" s="3" t="s">
        <v>2019</v>
      </c>
      <c r="C835" s="3" t="b">
        <v>1</v>
      </c>
      <c r="D835" s="3" t="b">
        <v>1</v>
      </c>
      <c r="E835" s="3" t="s">
        <v>2020</v>
      </c>
      <c r="F835" s="3" t="s">
        <v>2021</v>
      </c>
      <c r="G835" s="4">
        <f>+251920486618</f>
        <v>251920486618</v>
      </c>
      <c r="H835" s="3" t="s">
        <v>18</v>
      </c>
      <c r="I835" s="3" t="s">
        <v>19</v>
      </c>
      <c r="J835" s="3" t="s">
        <v>19</v>
      </c>
      <c r="K835" s="3" t="s">
        <v>20</v>
      </c>
      <c r="L835" s="3">
        <v>26.16</v>
      </c>
      <c r="M835" s="3" t="s">
        <v>1695</v>
      </c>
      <c r="N835" s="3" t="s">
        <v>1696</v>
      </c>
      <c r="O835" s="3">
        <v>672686.0</v>
      </c>
    </row>
    <row r="836">
      <c r="A836" s="3">
        <v>2440970.0</v>
      </c>
      <c r="B836" s="3" t="s">
        <v>2022</v>
      </c>
      <c r="C836" s="3" t="b">
        <v>0</v>
      </c>
      <c r="D836" s="3" t="b">
        <v>1</v>
      </c>
      <c r="E836" s="3" t="s">
        <v>32</v>
      </c>
      <c r="F836" s="3" t="s">
        <v>2023</v>
      </c>
      <c r="G836" s="4">
        <f>+251933707226</f>
        <v>251933707226</v>
      </c>
      <c r="H836" s="3" t="s">
        <v>44</v>
      </c>
      <c r="I836" s="3" t="s">
        <v>19</v>
      </c>
      <c r="J836" s="3" t="s">
        <v>19</v>
      </c>
      <c r="K836" s="3" t="s">
        <v>25</v>
      </c>
      <c r="L836" s="3">
        <v>20.22</v>
      </c>
      <c r="M836" s="3" t="s">
        <v>1695</v>
      </c>
      <c r="N836" s="3" t="s">
        <v>1696</v>
      </c>
      <c r="O836" s="3">
        <v>1.04785916106E11</v>
      </c>
    </row>
    <row r="837">
      <c r="A837" s="3">
        <v>2441133.0</v>
      </c>
      <c r="B837" s="3" t="s">
        <v>2024</v>
      </c>
      <c r="C837" s="3" t="b">
        <v>1</v>
      </c>
      <c r="D837" s="3" t="b">
        <v>0</v>
      </c>
      <c r="E837" s="3" t="s">
        <v>72</v>
      </c>
      <c r="F837" s="3" t="s">
        <v>328</v>
      </c>
      <c r="G837" s="4">
        <f>+251920168370</f>
        <v>251920168370</v>
      </c>
      <c r="H837" s="3" t="s">
        <v>18</v>
      </c>
      <c r="I837" s="3" t="s">
        <v>19</v>
      </c>
      <c r="J837" s="3" t="s">
        <v>19</v>
      </c>
      <c r="K837" s="3" t="s">
        <v>25</v>
      </c>
      <c r="L837" s="3">
        <v>23.73</v>
      </c>
      <c r="M837" s="3" t="s">
        <v>1695</v>
      </c>
      <c r="N837" s="3" t="s">
        <v>1696</v>
      </c>
      <c r="O837" s="3">
        <v>1.04834596062E11</v>
      </c>
    </row>
    <row r="838">
      <c r="A838" s="3">
        <v>120749.0</v>
      </c>
      <c r="B838" s="3" t="s">
        <v>2025</v>
      </c>
      <c r="C838" s="3" t="b">
        <v>1</v>
      </c>
      <c r="D838" s="3" t="b">
        <v>1</v>
      </c>
      <c r="E838" s="3" t="s">
        <v>2026</v>
      </c>
      <c r="F838" s="3" t="s">
        <v>2027</v>
      </c>
      <c r="G838" s="4">
        <f>+251977938714</f>
        <v>251977938714</v>
      </c>
      <c r="H838" s="3" t="s">
        <v>18</v>
      </c>
      <c r="I838" s="3" t="s">
        <v>19</v>
      </c>
      <c r="J838" s="3" t="s">
        <v>19</v>
      </c>
      <c r="K838" s="3" t="s">
        <v>20</v>
      </c>
      <c r="L838" s="3">
        <v>29.51</v>
      </c>
      <c r="M838" s="3" t="s">
        <v>1695</v>
      </c>
      <c r="N838" s="3" t="s">
        <v>1696</v>
      </c>
      <c r="O838" s="3">
        <v>1865841.0</v>
      </c>
    </row>
    <row r="839">
      <c r="A839" s="3">
        <v>2441433.0</v>
      </c>
      <c r="B839" s="3" t="s">
        <v>2028</v>
      </c>
      <c r="C839" s="3" t="b">
        <v>1</v>
      </c>
      <c r="D839" s="3" t="b">
        <v>1</v>
      </c>
      <c r="E839" s="3" t="s">
        <v>1739</v>
      </c>
      <c r="F839" s="3" t="s">
        <v>2029</v>
      </c>
      <c r="G839" s="4">
        <f>+251935758348</f>
        <v>251935758348</v>
      </c>
      <c r="H839" s="3" t="s">
        <v>18</v>
      </c>
      <c r="I839" s="3" t="s">
        <v>19</v>
      </c>
      <c r="J839" s="3" t="s">
        <v>19</v>
      </c>
      <c r="K839" s="3" t="s">
        <v>25</v>
      </c>
      <c r="L839" s="3">
        <v>22.24</v>
      </c>
      <c r="M839" s="3" t="s">
        <v>1695</v>
      </c>
      <c r="N839" s="3" t="s">
        <v>1696</v>
      </c>
    </row>
    <row r="840">
      <c r="A840" s="3">
        <v>2441499.0</v>
      </c>
      <c r="B840" s="3" t="s">
        <v>2030</v>
      </c>
      <c r="C840" s="3" t="b">
        <v>1</v>
      </c>
      <c r="D840" s="3" t="b">
        <v>1</v>
      </c>
      <c r="E840" s="3" t="s">
        <v>2031</v>
      </c>
      <c r="F840" s="3" t="s">
        <v>2032</v>
      </c>
      <c r="G840" s="4">
        <f>+251903902104</f>
        <v>251903902104</v>
      </c>
      <c r="H840" s="3" t="s">
        <v>18</v>
      </c>
      <c r="I840" s="3" t="s">
        <v>19</v>
      </c>
      <c r="J840" s="3" t="s">
        <v>19</v>
      </c>
      <c r="K840" s="3" t="s">
        <v>20</v>
      </c>
      <c r="L840" s="3">
        <v>18.67</v>
      </c>
      <c r="M840" s="3" t="s">
        <v>1695</v>
      </c>
      <c r="N840" s="3" t="s">
        <v>1696</v>
      </c>
      <c r="O840" s="3">
        <v>1.04970511587E11</v>
      </c>
    </row>
    <row r="841">
      <c r="A841" s="3">
        <v>2441540.0</v>
      </c>
      <c r="B841" s="3" t="s">
        <v>2033</v>
      </c>
      <c r="C841" s="3" t="b">
        <v>1</v>
      </c>
      <c r="D841" s="3" t="b">
        <v>1</v>
      </c>
      <c r="E841" s="3" t="s">
        <v>422</v>
      </c>
      <c r="F841" s="3" t="s">
        <v>425</v>
      </c>
      <c r="G841" s="4">
        <f>+251973927252</f>
        <v>251973927252</v>
      </c>
      <c r="H841" s="3" t="s">
        <v>29</v>
      </c>
      <c r="I841" s="3" t="s">
        <v>19</v>
      </c>
      <c r="J841" s="3" t="s">
        <v>19</v>
      </c>
      <c r="K841" s="3" t="s">
        <v>25</v>
      </c>
      <c r="L841" s="3">
        <v>22.14</v>
      </c>
      <c r="M841" s="3" t="s">
        <v>1695</v>
      </c>
      <c r="N841" s="3" t="s">
        <v>1696</v>
      </c>
      <c r="O841" s="3">
        <v>1.04971055325E11</v>
      </c>
    </row>
    <row r="842">
      <c r="A842" s="3">
        <v>2441943.0</v>
      </c>
      <c r="B842" s="3" t="s">
        <v>2034</v>
      </c>
      <c r="C842" s="3" t="b">
        <v>0</v>
      </c>
      <c r="D842" s="3" t="b">
        <v>1</v>
      </c>
      <c r="E842" s="3" t="s">
        <v>2035</v>
      </c>
      <c r="F842" s="3" t="s">
        <v>2036</v>
      </c>
      <c r="G842" s="4">
        <f>+251918014093</f>
        <v>251918014093</v>
      </c>
      <c r="H842" s="3" t="s">
        <v>29</v>
      </c>
      <c r="I842" s="3" t="s">
        <v>19</v>
      </c>
      <c r="J842" s="3" t="s">
        <v>19</v>
      </c>
      <c r="K842" s="3" t="s">
        <v>25</v>
      </c>
      <c r="L842" s="3">
        <v>22.31</v>
      </c>
      <c r="M842" s="3" t="s">
        <v>1695</v>
      </c>
      <c r="N842" s="3" t="s">
        <v>1696</v>
      </c>
      <c r="O842" s="3">
        <v>1.0518858875E11</v>
      </c>
    </row>
    <row r="843">
      <c r="A843" s="3">
        <v>2442040.0</v>
      </c>
      <c r="B843" s="3" t="s">
        <v>2037</v>
      </c>
      <c r="C843" s="3" t="b">
        <v>0</v>
      </c>
      <c r="D843" s="3" t="b">
        <v>1</v>
      </c>
      <c r="E843" s="3" t="s">
        <v>2038</v>
      </c>
      <c r="F843" s="3" t="s">
        <v>2039</v>
      </c>
      <c r="G843" s="4">
        <f>+251974136155</f>
        <v>251974136155</v>
      </c>
      <c r="H843" s="3" t="s">
        <v>18</v>
      </c>
      <c r="I843" s="3" t="s">
        <v>19</v>
      </c>
      <c r="J843" s="3" t="s">
        <v>19</v>
      </c>
      <c r="K843" s="3" t="s">
        <v>25</v>
      </c>
      <c r="L843" s="3">
        <v>13.76</v>
      </c>
      <c r="M843" s="3" t="s">
        <v>1695</v>
      </c>
      <c r="N843" s="3" t="s">
        <v>1696</v>
      </c>
      <c r="O843" s="3">
        <v>1.05193901257E11</v>
      </c>
    </row>
    <row r="844">
      <c r="A844" s="3">
        <v>2442041.0</v>
      </c>
      <c r="B844" s="3" t="s">
        <v>2040</v>
      </c>
      <c r="C844" s="3" t="b">
        <v>0</v>
      </c>
      <c r="D844" s="3" t="b">
        <v>1</v>
      </c>
      <c r="E844" s="3" t="s">
        <v>2041</v>
      </c>
      <c r="F844" s="3" t="s">
        <v>750</v>
      </c>
      <c r="G844" s="4">
        <f>+251963651683</f>
        <v>251963651683</v>
      </c>
      <c r="H844" s="3" t="s">
        <v>346</v>
      </c>
      <c r="I844" s="3" t="s">
        <v>19</v>
      </c>
      <c r="J844" s="3" t="s">
        <v>19</v>
      </c>
      <c r="K844" s="3" t="s">
        <v>20</v>
      </c>
      <c r="L844" s="3">
        <v>23.24</v>
      </c>
      <c r="M844" s="3" t="s">
        <v>1695</v>
      </c>
      <c r="N844" s="3" t="s">
        <v>1696</v>
      </c>
      <c r="O844" s="3">
        <v>1.05134952673E11</v>
      </c>
    </row>
    <row r="845">
      <c r="A845" s="3">
        <v>2442121.0</v>
      </c>
      <c r="B845" s="3" t="s">
        <v>2042</v>
      </c>
      <c r="C845" s="3" t="b">
        <v>1</v>
      </c>
      <c r="D845" s="3" t="b">
        <v>1</v>
      </c>
      <c r="E845" s="3" t="s">
        <v>2043</v>
      </c>
      <c r="F845" s="3" t="s">
        <v>35</v>
      </c>
      <c r="G845" s="4">
        <f>+251984256275</f>
        <v>251984256275</v>
      </c>
      <c r="H845" s="3" t="s">
        <v>18</v>
      </c>
      <c r="I845" s="3" t="s">
        <v>19</v>
      </c>
      <c r="J845" s="3" t="s">
        <v>19</v>
      </c>
      <c r="K845" s="3" t="s">
        <v>25</v>
      </c>
      <c r="L845" s="3">
        <v>32.9</v>
      </c>
      <c r="M845" s="3" t="s">
        <v>1695</v>
      </c>
      <c r="N845" s="3" t="s">
        <v>1696</v>
      </c>
    </row>
    <row r="846">
      <c r="A846" s="3">
        <v>2442152.0</v>
      </c>
      <c r="B846" s="3" t="s">
        <v>2044</v>
      </c>
      <c r="C846" s="3" t="b">
        <v>1</v>
      </c>
      <c r="D846" s="3" t="b">
        <v>1</v>
      </c>
      <c r="E846" s="3" t="s">
        <v>2045</v>
      </c>
      <c r="F846" s="3" t="s">
        <v>35</v>
      </c>
      <c r="G846" s="4">
        <f>+251904963739</f>
        <v>251904963739</v>
      </c>
      <c r="H846" s="3" t="s">
        <v>18</v>
      </c>
      <c r="I846" s="3" t="s">
        <v>19</v>
      </c>
      <c r="J846" s="3" t="s">
        <v>19</v>
      </c>
      <c r="K846" s="3" t="s">
        <v>25</v>
      </c>
      <c r="L846" s="3">
        <v>29.76</v>
      </c>
      <c r="M846" s="3" t="s">
        <v>1695</v>
      </c>
      <c r="N846" s="3" t="s">
        <v>1696</v>
      </c>
      <c r="O846" s="3">
        <v>1.05210308818E11</v>
      </c>
    </row>
    <row r="847">
      <c r="A847" s="3">
        <v>2442798.0</v>
      </c>
      <c r="B847" s="3" t="s">
        <v>2046</v>
      </c>
      <c r="C847" s="3" t="b">
        <v>0</v>
      </c>
      <c r="D847" s="3" t="b">
        <v>1</v>
      </c>
      <c r="E847" s="3" t="s">
        <v>414</v>
      </c>
      <c r="F847" s="3" t="s">
        <v>2047</v>
      </c>
      <c r="G847" s="4">
        <f>+251944002844</f>
        <v>251944002844</v>
      </c>
      <c r="H847" s="3" t="s">
        <v>18</v>
      </c>
      <c r="I847" s="3" t="s">
        <v>19</v>
      </c>
      <c r="J847" s="3" t="s">
        <v>19</v>
      </c>
      <c r="K847" s="3" t="s">
        <v>25</v>
      </c>
      <c r="L847" s="3">
        <v>20.41</v>
      </c>
      <c r="M847" s="3" t="s">
        <v>1695</v>
      </c>
      <c r="N847" s="3" t="s">
        <v>1696</v>
      </c>
      <c r="O847" s="3">
        <v>1.05446448333E11</v>
      </c>
    </row>
    <row r="848">
      <c r="A848" s="3">
        <v>2442839.0</v>
      </c>
      <c r="B848" s="3" t="s">
        <v>2048</v>
      </c>
      <c r="C848" s="3" t="b">
        <v>1</v>
      </c>
      <c r="D848" s="3" t="b">
        <v>1</v>
      </c>
      <c r="E848" s="3" t="s">
        <v>101</v>
      </c>
      <c r="F848" s="3" t="s">
        <v>1174</v>
      </c>
      <c r="G848" s="4">
        <f>+251979236244</f>
        <v>251979236244</v>
      </c>
      <c r="H848" s="3" t="s">
        <v>18</v>
      </c>
      <c r="I848" s="3" t="s">
        <v>19</v>
      </c>
      <c r="J848" s="3" t="s">
        <v>19</v>
      </c>
      <c r="K848" s="3" t="s">
        <v>25</v>
      </c>
      <c r="L848" s="3">
        <v>24.28</v>
      </c>
      <c r="M848" s="3" t="s">
        <v>1695</v>
      </c>
      <c r="N848" s="3" t="s">
        <v>1696</v>
      </c>
    </row>
    <row r="849">
      <c r="A849" s="3">
        <v>2094047.0</v>
      </c>
      <c r="B849" s="3" t="s">
        <v>2049</v>
      </c>
      <c r="C849" s="3" t="b">
        <v>1</v>
      </c>
      <c r="D849" s="3" t="b">
        <v>1</v>
      </c>
      <c r="E849" s="3" t="s">
        <v>2050</v>
      </c>
      <c r="F849" s="3" t="s">
        <v>1112</v>
      </c>
      <c r="G849" s="4">
        <f>+251966413713</f>
        <v>251966413713</v>
      </c>
      <c r="H849" s="3" t="s">
        <v>18</v>
      </c>
      <c r="I849" s="3" t="s">
        <v>19</v>
      </c>
      <c r="J849" s="3" t="s">
        <v>19</v>
      </c>
      <c r="K849" s="3" t="s">
        <v>20</v>
      </c>
      <c r="L849" s="3">
        <v>23.21</v>
      </c>
      <c r="M849" s="3" t="s">
        <v>1695</v>
      </c>
      <c r="N849" s="3" t="s">
        <v>1696</v>
      </c>
      <c r="O849" s="3">
        <v>3.060983138E10</v>
      </c>
    </row>
    <row r="850">
      <c r="A850" s="3">
        <v>2335887.0</v>
      </c>
      <c r="B850" s="3" t="s">
        <v>2051</v>
      </c>
      <c r="C850" s="3" t="b">
        <v>1</v>
      </c>
      <c r="D850" s="3" t="b">
        <v>1</v>
      </c>
      <c r="E850" s="3" t="s">
        <v>2052</v>
      </c>
      <c r="F850" s="3" t="s">
        <v>404</v>
      </c>
      <c r="G850" s="4">
        <f>+251980438686</f>
        <v>251980438686</v>
      </c>
      <c r="H850" s="3" t="s">
        <v>18</v>
      </c>
      <c r="I850" s="3" t="s">
        <v>19</v>
      </c>
      <c r="J850" s="3" t="s">
        <v>19</v>
      </c>
      <c r="K850" s="3" t="s">
        <v>25</v>
      </c>
      <c r="L850" s="3">
        <v>24.05</v>
      </c>
      <c r="M850" s="3" t="s">
        <v>1695</v>
      </c>
      <c r="N850" s="3" t="s">
        <v>1696</v>
      </c>
      <c r="O850" s="3">
        <v>6750217.0</v>
      </c>
    </row>
    <row r="851">
      <c r="A851" s="3">
        <v>2443316.0</v>
      </c>
      <c r="B851" s="3" t="s">
        <v>2053</v>
      </c>
      <c r="C851" s="3" t="b">
        <v>0</v>
      </c>
      <c r="D851" s="3" t="b">
        <v>1</v>
      </c>
      <c r="E851" s="3" t="s">
        <v>2054</v>
      </c>
      <c r="F851" s="3" t="s">
        <v>2055</v>
      </c>
      <c r="G851" s="4">
        <f>+251924297423</f>
        <v>251924297423</v>
      </c>
      <c r="H851" s="3" t="s">
        <v>18</v>
      </c>
      <c r="I851" s="3" t="s">
        <v>19</v>
      </c>
      <c r="J851" s="3" t="s">
        <v>19</v>
      </c>
      <c r="K851" s="3" t="s">
        <v>25</v>
      </c>
      <c r="L851" s="3">
        <v>32.37</v>
      </c>
      <c r="M851" s="3" t="s">
        <v>1695</v>
      </c>
      <c r="N851" s="3" t="s">
        <v>1696</v>
      </c>
      <c r="O851" s="3">
        <v>1.05568993491E11</v>
      </c>
    </row>
    <row r="852">
      <c r="A852" s="3">
        <v>2443437.0</v>
      </c>
      <c r="B852" s="3" t="s">
        <v>2056</v>
      </c>
      <c r="C852" s="3" t="b">
        <v>1</v>
      </c>
      <c r="D852" s="3" t="b">
        <v>1</v>
      </c>
      <c r="E852" s="3" t="s">
        <v>676</v>
      </c>
      <c r="F852" s="3" t="s">
        <v>2057</v>
      </c>
      <c r="G852" s="3">
        <v>2.51916717624E11</v>
      </c>
      <c r="H852" s="3" t="s">
        <v>18</v>
      </c>
      <c r="I852" s="3" t="s">
        <v>19</v>
      </c>
      <c r="J852" s="3" t="s">
        <v>19</v>
      </c>
      <c r="K852" s="3" t="s">
        <v>25</v>
      </c>
      <c r="L852" s="3">
        <v>29.77</v>
      </c>
      <c r="M852" s="3" t="s">
        <v>1695</v>
      </c>
      <c r="N852" s="3" t="s">
        <v>1696</v>
      </c>
      <c r="O852" s="3">
        <v>6491531.0</v>
      </c>
    </row>
    <row r="853">
      <c r="A853" s="3">
        <v>2443817.0</v>
      </c>
      <c r="B853" s="3" t="s">
        <v>2058</v>
      </c>
      <c r="C853" s="3" t="b">
        <v>1</v>
      </c>
      <c r="D853" s="3" t="b">
        <v>1</v>
      </c>
      <c r="E853" s="3" t="s">
        <v>2059</v>
      </c>
      <c r="F853" s="3" t="s">
        <v>2060</v>
      </c>
      <c r="G853" s="4">
        <f>+251932829344</f>
        <v>251932829344</v>
      </c>
      <c r="H853" s="3" t="s">
        <v>18</v>
      </c>
      <c r="I853" s="3" t="s">
        <v>19</v>
      </c>
      <c r="J853" s="3" t="s">
        <v>19</v>
      </c>
      <c r="K853" s="3" t="s">
        <v>25</v>
      </c>
      <c r="L853" s="3">
        <v>31.06</v>
      </c>
      <c r="M853" s="3" t="s">
        <v>1695</v>
      </c>
      <c r="N853" s="3" t="s">
        <v>1696</v>
      </c>
      <c r="O853" s="3">
        <v>1.05848499414E11</v>
      </c>
    </row>
    <row r="854">
      <c r="A854" s="3">
        <v>2443831.0</v>
      </c>
      <c r="B854" s="3" t="s">
        <v>2061</v>
      </c>
      <c r="C854" s="3" t="b">
        <v>0</v>
      </c>
      <c r="D854" s="3" t="b">
        <v>1</v>
      </c>
      <c r="E854" s="3" t="s">
        <v>58</v>
      </c>
      <c r="F854" s="3" t="s">
        <v>2062</v>
      </c>
      <c r="G854" s="4">
        <f>+251910907887</f>
        <v>251910907887</v>
      </c>
      <c r="H854" s="3" t="s">
        <v>1175</v>
      </c>
      <c r="I854" s="3" t="s">
        <v>19</v>
      </c>
      <c r="J854" s="3" t="s">
        <v>19</v>
      </c>
      <c r="K854" s="3" t="s">
        <v>25</v>
      </c>
      <c r="L854" s="3">
        <v>33.14</v>
      </c>
      <c r="M854" s="3" t="s">
        <v>1695</v>
      </c>
      <c r="N854" s="3" t="s">
        <v>1696</v>
      </c>
      <c r="O854" s="3">
        <v>1.05790722288E11</v>
      </c>
    </row>
    <row r="855">
      <c r="A855" s="3">
        <v>2443511.0</v>
      </c>
      <c r="B855" s="3" t="s">
        <v>2063</v>
      </c>
      <c r="C855" s="3" t="b">
        <v>1</v>
      </c>
      <c r="D855" s="3" t="b">
        <v>1</v>
      </c>
      <c r="E855" s="3" t="s">
        <v>2064</v>
      </c>
      <c r="F855" s="3" t="s">
        <v>2065</v>
      </c>
      <c r="G855" s="4">
        <f>+251967922868</f>
        <v>251967922868</v>
      </c>
      <c r="H855" s="3" t="s">
        <v>18</v>
      </c>
      <c r="I855" s="3" t="s">
        <v>19</v>
      </c>
      <c r="J855" s="3" t="s">
        <v>19</v>
      </c>
      <c r="K855" s="3" t="s">
        <v>20</v>
      </c>
      <c r="L855" s="3">
        <v>19.31</v>
      </c>
      <c r="M855" s="3" t="s">
        <v>1695</v>
      </c>
      <c r="N855" s="3" t="s">
        <v>1696</v>
      </c>
      <c r="O855" s="3">
        <v>1.05753173217E11</v>
      </c>
    </row>
    <row r="856">
      <c r="A856" s="3">
        <v>2444229.0</v>
      </c>
      <c r="B856" s="3" t="s">
        <v>2066</v>
      </c>
      <c r="C856" s="3" t="b">
        <v>0</v>
      </c>
      <c r="D856" s="3" t="b">
        <v>1</v>
      </c>
      <c r="E856" s="3" t="s">
        <v>2067</v>
      </c>
      <c r="F856" s="3" t="s">
        <v>406</v>
      </c>
      <c r="G856" s="4">
        <f>+251949128251</f>
        <v>251949128251</v>
      </c>
      <c r="H856" s="3" t="s">
        <v>1175</v>
      </c>
      <c r="I856" s="3" t="s">
        <v>19</v>
      </c>
      <c r="J856" s="3" t="s">
        <v>19</v>
      </c>
      <c r="K856" s="3" t="s">
        <v>25</v>
      </c>
      <c r="L856" s="3">
        <v>27.71</v>
      </c>
      <c r="M856" s="3" t="s">
        <v>1695</v>
      </c>
      <c r="N856" s="3" t="s">
        <v>1696</v>
      </c>
      <c r="O856" s="3">
        <v>1.06018956526E11</v>
      </c>
    </row>
    <row r="857">
      <c r="A857" s="3">
        <v>1245539.0</v>
      </c>
      <c r="B857" s="3" t="s">
        <v>2068</v>
      </c>
      <c r="C857" s="3" t="b">
        <v>1</v>
      </c>
      <c r="D857" s="3" t="b">
        <v>1</v>
      </c>
      <c r="E857" s="3" t="s">
        <v>1584</v>
      </c>
      <c r="F857" s="3" t="s">
        <v>428</v>
      </c>
      <c r="G857" s="4">
        <f>+251968915595</f>
        <v>251968915595</v>
      </c>
      <c r="H857" s="3" t="s">
        <v>18</v>
      </c>
      <c r="I857" s="3" t="s">
        <v>19</v>
      </c>
      <c r="J857" s="3" t="s">
        <v>19</v>
      </c>
      <c r="K857" s="3" t="s">
        <v>25</v>
      </c>
      <c r="L857" s="3">
        <v>21.75</v>
      </c>
      <c r="M857" s="3" t="s">
        <v>1695</v>
      </c>
      <c r="N857" s="3" t="s">
        <v>1696</v>
      </c>
      <c r="O857" s="3">
        <v>9.804950239E9</v>
      </c>
    </row>
    <row r="858">
      <c r="A858" s="3">
        <v>2444405.0</v>
      </c>
      <c r="B858" s="3" t="s">
        <v>2069</v>
      </c>
      <c r="C858" s="3" t="b">
        <v>1</v>
      </c>
      <c r="D858" s="3" t="b">
        <v>1</v>
      </c>
      <c r="E858" s="3" t="s">
        <v>129</v>
      </c>
      <c r="F858" s="3" t="s">
        <v>2070</v>
      </c>
      <c r="G858" s="4">
        <f>+251965913061</f>
        <v>251965913061</v>
      </c>
      <c r="H858" s="3" t="s">
        <v>18</v>
      </c>
      <c r="I858" s="3" t="s">
        <v>19</v>
      </c>
      <c r="J858" s="3" t="s">
        <v>19</v>
      </c>
      <c r="K858" s="3" t="s">
        <v>25</v>
      </c>
      <c r="L858" s="3">
        <v>17.25</v>
      </c>
      <c r="M858" s="3" t="s">
        <v>1695</v>
      </c>
      <c r="N858" s="3" t="s">
        <v>1696</v>
      </c>
      <c r="O858" s="3">
        <v>1.05957353678E11</v>
      </c>
    </row>
    <row r="859">
      <c r="A859" s="3">
        <v>2444485.0</v>
      </c>
      <c r="B859" s="3" t="s">
        <v>2071</v>
      </c>
      <c r="C859" s="3" t="b">
        <v>0</v>
      </c>
      <c r="D859" s="3" t="b">
        <v>1</v>
      </c>
      <c r="E859" s="3" t="s">
        <v>1667</v>
      </c>
      <c r="F859" s="3" t="s">
        <v>193</v>
      </c>
      <c r="G859" s="4">
        <f>+251952714323</f>
        <v>251952714323</v>
      </c>
      <c r="H859" s="3" t="s">
        <v>18</v>
      </c>
      <c r="I859" s="3" t="s">
        <v>19</v>
      </c>
      <c r="J859" s="3" t="s">
        <v>19</v>
      </c>
      <c r="K859" s="3" t="s">
        <v>25</v>
      </c>
      <c r="L859" s="3">
        <v>22.25</v>
      </c>
      <c r="M859" s="3" t="s">
        <v>1695</v>
      </c>
      <c r="N859" s="3" t="s">
        <v>1696</v>
      </c>
      <c r="O859" s="3">
        <v>1.06047618283E11</v>
      </c>
    </row>
    <row r="860">
      <c r="A860" s="3">
        <v>2444699.0</v>
      </c>
      <c r="B860" s="3" t="s">
        <v>2072</v>
      </c>
      <c r="C860" s="3" t="b">
        <v>0</v>
      </c>
      <c r="D860" s="3" t="b">
        <v>1</v>
      </c>
      <c r="E860" s="3" t="s">
        <v>534</v>
      </c>
      <c r="F860" s="3" t="s">
        <v>649</v>
      </c>
      <c r="G860" s="4">
        <f>+251949785741</f>
        <v>251949785741</v>
      </c>
      <c r="H860" s="3" t="s">
        <v>106</v>
      </c>
      <c r="I860" s="3" t="s">
        <v>19</v>
      </c>
      <c r="J860" s="3" t="s">
        <v>19</v>
      </c>
      <c r="K860" s="3" t="s">
        <v>20</v>
      </c>
      <c r="L860" s="3">
        <v>24.08</v>
      </c>
      <c r="M860" s="3" t="s">
        <v>1695</v>
      </c>
      <c r="N860" s="3" t="s">
        <v>1696</v>
      </c>
      <c r="O860" s="3">
        <v>1913205.0</v>
      </c>
    </row>
    <row r="861">
      <c r="A861" s="3">
        <v>2444817.0</v>
      </c>
      <c r="B861" s="3" t="s">
        <v>2073</v>
      </c>
      <c r="C861" s="3" t="b">
        <v>1</v>
      </c>
      <c r="D861" s="3" t="b">
        <v>1</v>
      </c>
      <c r="E861" s="3" t="s">
        <v>2074</v>
      </c>
      <c r="F861" s="3" t="s">
        <v>532</v>
      </c>
      <c r="G861" s="4">
        <f>+251970277519</f>
        <v>251970277519</v>
      </c>
      <c r="H861" s="3" t="s">
        <v>18</v>
      </c>
      <c r="I861" s="3" t="s">
        <v>19</v>
      </c>
      <c r="J861" s="3" t="s">
        <v>19</v>
      </c>
      <c r="K861" s="3" t="s">
        <v>20</v>
      </c>
      <c r="L861" s="3">
        <v>29.14</v>
      </c>
      <c r="M861" s="3" t="s">
        <v>1695</v>
      </c>
      <c r="N861" s="3" t="s">
        <v>1696</v>
      </c>
      <c r="O861" s="3">
        <v>4.6213734619E10</v>
      </c>
    </row>
    <row r="862">
      <c r="A862" s="3">
        <v>2444909.0</v>
      </c>
      <c r="B862" s="3" t="s">
        <v>2075</v>
      </c>
      <c r="C862" s="3" t="b">
        <v>0</v>
      </c>
      <c r="D862" s="3" t="b">
        <v>1</v>
      </c>
      <c r="E862" s="3" t="s">
        <v>534</v>
      </c>
      <c r="F862" s="3" t="s">
        <v>1584</v>
      </c>
      <c r="G862" s="4">
        <f>+251954139934</f>
        <v>251954139934</v>
      </c>
      <c r="H862" s="3" t="s">
        <v>18</v>
      </c>
      <c r="I862" s="3" t="s">
        <v>19</v>
      </c>
      <c r="J862" s="3" t="s">
        <v>19</v>
      </c>
      <c r="K862" s="3" t="s">
        <v>20</v>
      </c>
      <c r="L862" s="3">
        <v>19.52</v>
      </c>
      <c r="M862" s="3" t="s">
        <v>1695</v>
      </c>
      <c r="N862" s="3" t="s">
        <v>1696</v>
      </c>
      <c r="O862" s="3">
        <v>1.06008214743E11</v>
      </c>
    </row>
    <row r="863">
      <c r="A863" s="3">
        <v>2445173.0</v>
      </c>
      <c r="B863" s="3" t="s">
        <v>2076</v>
      </c>
      <c r="C863" s="3" t="b">
        <v>0</v>
      </c>
      <c r="D863" s="3" t="b">
        <v>1</v>
      </c>
      <c r="E863" s="3" t="s">
        <v>2077</v>
      </c>
      <c r="F863" s="3" t="s">
        <v>2078</v>
      </c>
      <c r="G863" s="4">
        <f>+251965440189</f>
        <v>251965440189</v>
      </c>
      <c r="H863" s="3" t="s">
        <v>18</v>
      </c>
      <c r="I863" s="3" t="s">
        <v>19</v>
      </c>
      <c r="J863" s="3" t="s">
        <v>19</v>
      </c>
      <c r="K863" s="3" t="s">
        <v>20</v>
      </c>
      <c r="L863" s="3">
        <v>24.46</v>
      </c>
      <c r="M863" s="3" t="s">
        <v>1695</v>
      </c>
      <c r="N863" s="3" t="s">
        <v>1696</v>
      </c>
      <c r="O863" s="3">
        <v>1.06312319177E11</v>
      </c>
    </row>
    <row r="864">
      <c r="A864" s="3">
        <v>2445300.0</v>
      </c>
      <c r="B864" s="3" t="s">
        <v>2079</v>
      </c>
      <c r="C864" s="3" t="b">
        <v>1</v>
      </c>
      <c r="D864" s="3" t="b">
        <v>1</v>
      </c>
      <c r="E864" s="3" t="s">
        <v>2080</v>
      </c>
      <c r="F864" s="3" t="s">
        <v>2081</v>
      </c>
      <c r="G864" s="4">
        <f>+251967307608</f>
        <v>251967307608</v>
      </c>
      <c r="H864" s="3" t="s">
        <v>29</v>
      </c>
      <c r="I864" s="3" t="s">
        <v>19</v>
      </c>
      <c r="J864" s="3" t="s">
        <v>19</v>
      </c>
      <c r="K864" s="3" t="s">
        <v>20</v>
      </c>
      <c r="L864" s="3">
        <v>17.3</v>
      </c>
      <c r="M864" s="3" t="s">
        <v>1695</v>
      </c>
      <c r="N864" s="3" t="s">
        <v>1696</v>
      </c>
      <c r="O864" s="3">
        <v>1.06426147029E11</v>
      </c>
    </row>
    <row r="865">
      <c r="A865" s="3">
        <v>2445606.0</v>
      </c>
      <c r="B865" s="3" t="s">
        <v>2082</v>
      </c>
      <c r="C865" s="3" t="b">
        <v>0</v>
      </c>
      <c r="D865" s="3" t="b">
        <v>1</v>
      </c>
      <c r="E865" s="3" t="s">
        <v>2083</v>
      </c>
      <c r="F865" s="3" t="s">
        <v>2084</v>
      </c>
      <c r="G865" s="4">
        <f>+251944110409</f>
        <v>251944110409</v>
      </c>
      <c r="H865" s="3" t="s">
        <v>44</v>
      </c>
      <c r="I865" s="3" t="s">
        <v>19</v>
      </c>
      <c r="J865" s="3" t="s">
        <v>19</v>
      </c>
      <c r="K865" s="3" t="s">
        <v>25</v>
      </c>
      <c r="L865" s="3">
        <v>30.27</v>
      </c>
      <c r="M865" s="3" t="s">
        <v>1695</v>
      </c>
      <c r="N865" s="3" t="s">
        <v>1696</v>
      </c>
      <c r="O865" s="3">
        <v>1.06604418251E11</v>
      </c>
    </row>
    <row r="866">
      <c r="A866" s="3">
        <v>2445790.0</v>
      </c>
      <c r="B866" s="3" t="s">
        <v>2085</v>
      </c>
      <c r="C866" s="3" t="b">
        <v>1</v>
      </c>
      <c r="D866" s="3" t="b">
        <v>1</v>
      </c>
      <c r="E866" s="3" t="s">
        <v>2086</v>
      </c>
      <c r="F866" s="3" t="s">
        <v>443</v>
      </c>
      <c r="G866" s="4">
        <f>+251904032313</f>
        <v>251904032313</v>
      </c>
      <c r="H866" s="3" t="s">
        <v>18</v>
      </c>
      <c r="I866" s="3" t="s">
        <v>19</v>
      </c>
      <c r="J866" s="3" t="s">
        <v>19</v>
      </c>
      <c r="K866" s="3" t="s">
        <v>25</v>
      </c>
      <c r="L866" s="3">
        <v>19.99</v>
      </c>
      <c r="M866" s="3" t="s">
        <v>1695</v>
      </c>
      <c r="N866" s="3" t="s">
        <v>1696</v>
      </c>
      <c r="O866" s="3">
        <v>1.06653449402E11</v>
      </c>
    </row>
    <row r="867">
      <c r="A867" s="3">
        <v>2445868.0</v>
      </c>
      <c r="B867" s="3" t="s">
        <v>2087</v>
      </c>
      <c r="C867" s="3" t="b">
        <v>1</v>
      </c>
      <c r="D867" s="3" t="b">
        <v>1</v>
      </c>
      <c r="E867" s="3" t="s">
        <v>2088</v>
      </c>
      <c r="F867" s="3" t="s">
        <v>112</v>
      </c>
      <c r="G867" s="4">
        <f>+251963510793</f>
        <v>251963510793</v>
      </c>
      <c r="H867" s="3" t="s">
        <v>985</v>
      </c>
      <c r="I867" s="3" t="s">
        <v>19</v>
      </c>
      <c r="J867" s="3" t="s">
        <v>19</v>
      </c>
      <c r="K867" s="3" t="s">
        <v>25</v>
      </c>
      <c r="L867" s="3">
        <v>26.24</v>
      </c>
      <c r="M867" s="3" t="s">
        <v>1695</v>
      </c>
      <c r="N867" s="3" t="s">
        <v>1696</v>
      </c>
      <c r="O867" s="3">
        <v>1.06652463344E11</v>
      </c>
    </row>
    <row r="868">
      <c r="A868" s="3">
        <v>2445188.0</v>
      </c>
      <c r="B868" s="3" t="s">
        <v>2089</v>
      </c>
      <c r="C868" s="3" t="b">
        <v>1</v>
      </c>
      <c r="D868" s="3" t="b">
        <v>1</v>
      </c>
      <c r="E868" s="3" t="s">
        <v>2090</v>
      </c>
      <c r="F868" s="3" t="s">
        <v>2091</v>
      </c>
      <c r="G868" s="4">
        <f>+251984264707</f>
        <v>251984264707</v>
      </c>
      <c r="H868" s="3" t="s">
        <v>18</v>
      </c>
      <c r="I868" s="3" t="s">
        <v>19</v>
      </c>
      <c r="J868" s="3" t="s">
        <v>19</v>
      </c>
      <c r="K868" s="3" t="s">
        <v>25</v>
      </c>
      <c r="L868" s="3">
        <v>18.36</v>
      </c>
      <c r="M868" s="3" t="s">
        <v>1695</v>
      </c>
      <c r="N868" s="3" t="s">
        <v>1696</v>
      </c>
      <c r="O868" s="3">
        <v>8719914.0</v>
      </c>
    </row>
    <row r="869">
      <c r="A869" s="3">
        <v>1767463.0</v>
      </c>
      <c r="B869" s="3" t="s">
        <v>2092</v>
      </c>
      <c r="C869" s="3" t="b">
        <v>1</v>
      </c>
      <c r="D869" s="3" t="b">
        <v>1</v>
      </c>
      <c r="E869" s="3" t="s">
        <v>2093</v>
      </c>
      <c r="F869" s="3" t="s">
        <v>2094</v>
      </c>
      <c r="G869" s="4">
        <f>+251985394098</f>
        <v>251985394098</v>
      </c>
      <c r="H869" s="3" t="s">
        <v>18</v>
      </c>
      <c r="I869" s="3" t="s">
        <v>19</v>
      </c>
      <c r="J869" s="3" t="s">
        <v>19</v>
      </c>
      <c r="K869" s="3" t="s">
        <v>25</v>
      </c>
      <c r="L869" s="3">
        <v>18.62</v>
      </c>
      <c r="M869" s="3" t="s">
        <v>1695</v>
      </c>
      <c r="N869" s="3" t="s">
        <v>1696</v>
      </c>
    </row>
    <row r="870">
      <c r="A870" s="3">
        <v>2444739.0</v>
      </c>
      <c r="B870" s="3" t="s">
        <v>2095</v>
      </c>
      <c r="C870" s="3" t="b">
        <v>1</v>
      </c>
      <c r="D870" s="3" t="b">
        <v>1</v>
      </c>
      <c r="E870" s="3" t="s">
        <v>101</v>
      </c>
      <c r="F870" s="3" t="s">
        <v>179</v>
      </c>
      <c r="G870" s="4">
        <f>+251927631139</f>
        <v>251927631139</v>
      </c>
      <c r="H870" s="3" t="s">
        <v>18</v>
      </c>
      <c r="I870" s="3" t="s">
        <v>19</v>
      </c>
      <c r="J870" s="3" t="s">
        <v>19</v>
      </c>
      <c r="K870" s="3" t="s">
        <v>25</v>
      </c>
      <c r="L870" s="3">
        <v>26.18</v>
      </c>
      <c r="M870" s="3" t="s">
        <v>1695</v>
      </c>
      <c r="N870" s="3" t="s">
        <v>1696</v>
      </c>
      <c r="O870" s="3">
        <v>1.06197237977E11</v>
      </c>
    </row>
    <row r="871">
      <c r="A871" s="3">
        <v>2446194.0</v>
      </c>
      <c r="B871" s="3" t="s">
        <v>2096</v>
      </c>
      <c r="C871" s="3" t="b">
        <v>1</v>
      </c>
      <c r="D871" s="3" t="b">
        <v>1</v>
      </c>
      <c r="E871" s="3" t="s">
        <v>1766</v>
      </c>
      <c r="F871" s="3" t="s">
        <v>204</v>
      </c>
      <c r="G871" s="4">
        <f>+251934312094</f>
        <v>251934312094</v>
      </c>
      <c r="H871" s="3" t="s">
        <v>18</v>
      </c>
      <c r="I871" s="3" t="s">
        <v>19</v>
      </c>
      <c r="J871" s="3" t="s">
        <v>19</v>
      </c>
      <c r="K871" s="3" t="s">
        <v>20</v>
      </c>
      <c r="L871" s="3">
        <v>14.08</v>
      </c>
      <c r="M871" s="3" t="s">
        <v>1695</v>
      </c>
      <c r="N871" s="3" t="s">
        <v>1696</v>
      </c>
      <c r="O871" s="3">
        <v>1.06847327455E11</v>
      </c>
    </row>
    <row r="872">
      <c r="A872" s="3">
        <v>2446250.0</v>
      </c>
      <c r="B872" s="3" t="s">
        <v>2097</v>
      </c>
      <c r="C872" s="3" t="b">
        <v>0</v>
      </c>
      <c r="D872" s="3" t="b">
        <v>1</v>
      </c>
      <c r="E872" s="3" t="s">
        <v>1246</v>
      </c>
      <c r="F872" s="3" t="s">
        <v>342</v>
      </c>
      <c r="G872" s="4">
        <f>+251938241813</f>
        <v>251938241813</v>
      </c>
      <c r="H872" s="3" t="s">
        <v>18</v>
      </c>
      <c r="I872" s="3" t="s">
        <v>19</v>
      </c>
      <c r="J872" s="3" t="s">
        <v>19</v>
      </c>
      <c r="K872" s="3" t="s">
        <v>25</v>
      </c>
      <c r="L872" s="3">
        <v>19.93</v>
      </c>
      <c r="M872" s="3" t="s">
        <v>1695</v>
      </c>
      <c r="N872" s="3" t="s">
        <v>1696</v>
      </c>
      <c r="O872" s="3">
        <v>1.06918437109E11</v>
      </c>
    </row>
    <row r="873">
      <c r="A873" s="3">
        <v>253787.0</v>
      </c>
      <c r="B873" s="3" t="s">
        <v>2098</v>
      </c>
      <c r="C873" s="3" t="b">
        <v>1</v>
      </c>
      <c r="D873" s="3" t="b">
        <v>1</v>
      </c>
      <c r="E873" s="3" t="s">
        <v>540</v>
      </c>
      <c r="F873" s="3" t="s">
        <v>2099</v>
      </c>
      <c r="G873" s="4">
        <f>+251989552420</f>
        <v>251989552420</v>
      </c>
      <c r="H873" s="3" t="s">
        <v>18</v>
      </c>
      <c r="I873" s="3" t="s">
        <v>19</v>
      </c>
      <c r="J873" s="3" t="s">
        <v>19</v>
      </c>
      <c r="K873" s="3" t="s">
        <v>20</v>
      </c>
      <c r="L873" s="3">
        <v>23.03</v>
      </c>
      <c r="M873" s="3" t="s">
        <v>1695</v>
      </c>
      <c r="N873" s="3" t="s">
        <v>1696</v>
      </c>
      <c r="O873" s="3">
        <v>1.4234960613E10</v>
      </c>
    </row>
    <row r="874">
      <c r="A874" s="3">
        <v>2416649.0</v>
      </c>
      <c r="B874" s="3" t="s">
        <v>2100</v>
      </c>
      <c r="C874" s="3" t="b">
        <v>1</v>
      </c>
      <c r="D874" s="3" t="b">
        <v>1</v>
      </c>
      <c r="E874" s="3" t="s">
        <v>2101</v>
      </c>
      <c r="F874" s="3" t="s">
        <v>2045</v>
      </c>
      <c r="G874" s="4">
        <f>+251976628586</f>
        <v>251976628586</v>
      </c>
      <c r="H874" s="3" t="s">
        <v>18</v>
      </c>
      <c r="I874" s="3" t="s">
        <v>19</v>
      </c>
      <c r="J874" s="3" t="s">
        <v>19</v>
      </c>
      <c r="K874" s="3" t="s">
        <v>25</v>
      </c>
      <c r="L874" s="3">
        <v>19.96</v>
      </c>
      <c r="M874" s="3" t="s">
        <v>1695</v>
      </c>
      <c r="N874" s="3" t="s">
        <v>1696</v>
      </c>
      <c r="O874" s="3">
        <v>4.0312038602E10</v>
      </c>
    </row>
    <row r="875">
      <c r="A875" s="3">
        <v>2446648.0</v>
      </c>
      <c r="B875" s="3" t="s">
        <v>2102</v>
      </c>
      <c r="C875" s="3" t="b">
        <v>1</v>
      </c>
      <c r="D875" s="3" t="b">
        <v>1</v>
      </c>
      <c r="E875" s="3" t="s">
        <v>2103</v>
      </c>
      <c r="F875" s="3" t="s">
        <v>551</v>
      </c>
      <c r="G875" s="4">
        <f>+251910124073</f>
        <v>251910124073</v>
      </c>
      <c r="H875" s="3" t="s">
        <v>18</v>
      </c>
      <c r="I875" s="3" t="s">
        <v>19</v>
      </c>
      <c r="J875" s="3" t="s">
        <v>19</v>
      </c>
      <c r="K875" s="3" t="s">
        <v>25</v>
      </c>
      <c r="L875" s="3">
        <v>38.55</v>
      </c>
      <c r="M875" s="3" t="s">
        <v>1695</v>
      </c>
      <c r="N875" s="3" t="s">
        <v>1696</v>
      </c>
      <c r="O875" s="3">
        <v>1.07052180671E11</v>
      </c>
    </row>
    <row r="876">
      <c r="A876" s="3">
        <v>2446843.0</v>
      </c>
      <c r="B876" s="3" t="s">
        <v>2104</v>
      </c>
      <c r="C876" s="3" t="b">
        <v>1</v>
      </c>
      <c r="D876" s="3" t="b">
        <v>1</v>
      </c>
      <c r="E876" s="3" t="s">
        <v>2105</v>
      </c>
      <c r="F876" s="3" t="s">
        <v>261</v>
      </c>
      <c r="G876" s="4">
        <f>+251975559788</f>
        <v>251975559788</v>
      </c>
      <c r="H876" s="3" t="s">
        <v>18</v>
      </c>
      <c r="I876" s="3" t="s">
        <v>19</v>
      </c>
      <c r="J876" s="3" t="s">
        <v>19</v>
      </c>
      <c r="K876" s="3" t="s">
        <v>25</v>
      </c>
      <c r="L876" s="3">
        <v>15.53</v>
      </c>
      <c r="M876" s="3" t="s">
        <v>1695</v>
      </c>
      <c r="N876" s="3" t="s">
        <v>1696</v>
      </c>
    </row>
    <row r="877">
      <c r="A877" s="3">
        <v>2446817.0</v>
      </c>
      <c r="B877" s="3" t="s">
        <v>2106</v>
      </c>
      <c r="C877" s="3" t="b">
        <v>0</v>
      </c>
      <c r="D877" s="3" t="b">
        <v>1</v>
      </c>
      <c r="E877" s="3" t="s">
        <v>2107</v>
      </c>
      <c r="F877" s="3" t="s">
        <v>2108</v>
      </c>
      <c r="G877" s="4">
        <f>+251904725563</f>
        <v>251904725563</v>
      </c>
      <c r="H877" s="3" t="s">
        <v>18</v>
      </c>
      <c r="I877" s="3" t="s">
        <v>19</v>
      </c>
      <c r="J877" s="3" t="s">
        <v>19</v>
      </c>
      <c r="K877" s="3" t="s">
        <v>25</v>
      </c>
      <c r="L877" s="3">
        <v>22.68</v>
      </c>
      <c r="M877" s="3" t="s">
        <v>1695</v>
      </c>
      <c r="N877" s="3" t="s">
        <v>1696</v>
      </c>
      <c r="O877" s="3">
        <v>1.07066201277E11</v>
      </c>
    </row>
    <row r="878">
      <c r="A878" s="3">
        <v>2447045.0</v>
      </c>
      <c r="B878" s="3" t="s">
        <v>2109</v>
      </c>
      <c r="C878" s="3" t="b">
        <v>1</v>
      </c>
      <c r="D878" s="3" t="b">
        <v>1</v>
      </c>
      <c r="E878" s="3" t="s">
        <v>2110</v>
      </c>
      <c r="F878" s="3" t="s">
        <v>1271</v>
      </c>
      <c r="G878" s="4">
        <f>+251939426466</f>
        <v>251939426466</v>
      </c>
      <c r="H878" s="3" t="s">
        <v>985</v>
      </c>
      <c r="I878" s="3" t="s">
        <v>19</v>
      </c>
      <c r="J878" s="3" t="s">
        <v>19</v>
      </c>
      <c r="K878" s="3" t="s">
        <v>25</v>
      </c>
      <c r="L878" s="3">
        <v>28.58</v>
      </c>
      <c r="M878" s="3" t="s">
        <v>1695</v>
      </c>
      <c r="N878" s="3" t="s">
        <v>1696</v>
      </c>
      <c r="O878" s="3">
        <v>1.07140164823E11</v>
      </c>
    </row>
    <row r="879">
      <c r="A879" s="3">
        <v>2447232.0</v>
      </c>
      <c r="B879" s="3" t="s">
        <v>2111</v>
      </c>
      <c r="C879" s="3" t="b">
        <v>0</v>
      </c>
      <c r="D879" s="3" t="b">
        <v>1</v>
      </c>
      <c r="E879" s="3" t="s">
        <v>2112</v>
      </c>
      <c r="F879" s="3" t="s">
        <v>2113</v>
      </c>
      <c r="G879" s="4">
        <f>+251986128030</f>
        <v>251986128030</v>
      </c>
      <c r="H879" s="3" t="s">
        <v>18</v>
      </c>
      <c r="I879" s="3" t="s">
        <v>19</v>
      </c>
      <c r="J879" s="3" t="s">
        <v>19</v>
      </c>
      <c r="K879" s="3" t="s">
        <v>25</v>
      </c>
      <c r="L879" s="3">
        <v>13.29</v>
      </c>
      <c r="M879" s="3" t="s">
        <v>1695</v>
      </c>
      <c r="N879" s="3" t="s">
        <v>1696</v>
      </c>
      <c r="O879" s="3">
        <v>1.07273629903E11</v>
      </c>
    </row>
    <row r="880">
      <c r="A880" s="3">
        <v>2447359.0</v>
      </c>
      <c r="B880" s="3" t="s">
        <v>2114</v>
      </c>
      <c r="C880" s="3" t="b">
        <v>0</v>
      </c>
      <c r="D880" s="3" t="b">
        <v>1</v>
      </c>
      <c r="E880" s="3" t="s">
        <v>1656</v>
      </c>
      <c r="F880" s="3" t="s">
        <v>1729</v>
      </c>
      <c r="G880" s="4">
        <f>+251918735961</f>
        <v>251918735961</v>
      </c>
      <c r="H880" s="3" t="s">
        <v>18</v>
      </c>
      <c r="I880" s="3" t="s">
        <v>19</v>
      </c>
      <c r="J880" s="3" t="s">
        <v>19</v>
      </c>
      <c r="K880" s="3" t="s">
        <v>25</v>
      </c>
      <c r="L880" s="3">
        <v>28.24</v>
      </c>
      <c r="M880" s="3" t="s">
        <v>1695</v>
      </c>
      <c r="N880" s="3" t="s">
        <v>1696</v>
      </c>
      <c r="O880" s="3">
        <v>1.07352201444E11</v>
      </c>
    </row>
    <row r="881">
      <c r="A881" s="3">
        <v>2447379.0</v>
      </c>
      <c r="B881" s="3" t="s">
        <v>2115</v>
      </c>
      <c r="C881" s="3" t="b">
        <v>1</v>
      </c>
      <c r="D881" s="3" t="b">
        <v>1</v>
      </c>
      <c r="E881" s="3" t="s">
        <v>2116</v>
      </c>
      <c r="F881" s="3" t="s">
        <v>750</v>
      </c>
      <c r="G881" s="4">
        <f>+251985234456</f>
        <v>251985234456</v>
      </c>
      <c r="H881" s="3" t="s">
        <v>1812</v>
      </c>
      <c r="I881" s="3" t="s">
        <v>19</v>
      </c>
      <c r="J881" s="3" t="s">
        <v>19</v>
      </c>
      <c r="K881" s="3" t="s">
        <v>25</v>
      </c>
      <c r="L881" s="3">
        <v>25.74</v>
      </c>
      <c r="M881" s="3" t="s">
        <v>1695</v>
      </c>
      <c r="N881" s="3" t="s">
        <v>1696</v>
      </c>
      <c r="O881" s="3">
        <v>2.3413835E7</v>
      </c>
    </row>
    <row r="882">
      <c r="A882" s="3">
        <v>2447530.0</v>
      </c>
      <c r="B882" s="3" t="s">
        <v>2117</v>
      </c>
      <c r="C882" s="3" t="b">
        <v>1</v>
      </c>
      <c r="D882" s="3" t="b">
        <v>1</v>
      </c>
      <c r="E882" s="3" t="s">
        <v>208</v>
      </c>
      <c r="F882" s="3" t="s">
        <v>2118</v>
      </c>
      <c r="G882" s="4">
        <f>+251942220257</f>
        <v>251942220257</v>
      </c>
      <c r="H882" s="3" t="s">
        <v>18</v>
      </c>
      <c r="I882" s="3" t="s">
        <v>19</v>
      </c>
      <c r="J882" s="3" t="s">
        <v>19</v>
      </c>
      <c r="K882" s="3" t="s">
        <v>25</v>
      </c>
      <c r="L882" s="3">
        <v>46.74</v>
      </c>
      <c r="M882" s="3" t="s">
        <v>1695</v>
      </c>
      <c r="N882" s="3" t="s">
        <v>1696</v>
      </c>
      <c r="O882" s="3">
        <v>1.07388517618E11</v>
      </c>
    </row>
    <row r="883">
      <c r="A883" s="3">
        <v>2447815.0</v>
      </c>
      <c r="B883" s="3" t="s">
        <v>2119</v>
      </c>
      <c r="C883" s="3" t="b">
        <v>1</v>
      </c>
      <c r="D883" s="3" t="b">
        <v>1</v>
      </c>
      <c r="E883" s="3" t="s">
        <v>425</v>
      </c>
      <c r="F883" s="3" t="s">
        <v>218</v>
      </c>
      <c r="G883" s="4">
        <f>+251942285818</f>
        <v>251942285818</v>
      </c>
      <c r="H883" s="3" t="s">
        <v>18</v>
      </c>
      <c r="I883" s="3" t="s">
        <v>19</v>
      </c>
      <c r="J883" s="3" t="s">
        <v>19</v>
      </c>
      <c r="K883" s="3" t="s">
        <v>25</v>
      </c>
      <c r="L883" s="3">
        <v>22.43</v>
      </c>
      <c r="M883" s="3" t="s">
        <v>1695</v>
      </c>
      <c r="N883" s="3" t="s">
        <v>1696</v>
      </c>
      <c r="O883" s="3">
        <v>1.07580003538E11</v>
      </c>
    </row>
    <row r="884">
      <c r="A884" s="3">
        <v>2447885.0</v>
      </c>
      <c r="B884" s="3" t="s">
        <v>2120</v>
      </c>
      <c r="C884" s="3" t="b">
        <v>0</v>
      </c>
      <c r="D884" s="3" t="b">
        <v>1</v>
      </c>
      <c r="E884" s="3" t="s">
        <v>446</v>
      </c>
      <c r="F884" s="3" t="s">
        <v>1586</v>
      </c>
      <c r="G884" s="3">
        <v>9.37038653E8</v>
      </c>
      <c r="H884" s="3" t="s">
        <v>18</v>
      </c>
      <c r="I884" s="3" t="s">
        <v>19</v>
      </c>
      <c r="J884" s="3" t="s">
        <v>19</v>
      </c>
      <c r="K884" s="3" t="s">
        <v>25</v>
      </c>
      <c r="L884" s="3">
        <v>32.13</v>
      </c>
      <c r="M884" s="3" t="s">
        <v>1695</v>
      </c>
      <c r="N884" s="3" t="s">
        <v>1696</v>
      </c>
      <c r="O884" s="3">
        <v>1.07726527707E11</v>
      </c>
    </row>
    <row r="885">
      <c r="A885" s="3">
        <v>2447905.0</v>
      </c>
      <c r="B885" s="3" t="s">
        <v>2121</v>
      </c>
      <c r="C885" s="3" t="b">
        <v>0</v>
      </c>
      <c r="D885" s="3" t="b">
        <v>1</v>
      </c>
      <c r="E885" s="3" t="s">
        <v>1157</v>
      </c>
      <c r="F885" s="3" t="s">
        <v>2122</v>
      </c>
      <c r="G885" s="4">
        <f>+251905148317</f>
        <v>251905148317</v>
      </c>
      <c r="H885" s="3" t="s">
        <v>18</v>
      </c>
      <c r="I885" s="3" t="s">
        <v>19</v>
      </c>
      <c r="J885" s="3" t="s">
        <v>19</v>
      </c>
      <c r="K885" s="3" t="s">
        <v>25</v>
      </c>
      <c r="L885" s="3">
        <v>13.27</v>
      </c>
      <c r="M885" s="3" t="s">
        <v>1695</v>
      </c>
      <c r="N885" s="3" t="s">
        <v>1696</v>
      </c>
      <c r="O885" s="3">
        <v>1.07738195174E11</v>
      </c>
    </row>
    <row r="886">
      <c r="A886" s="3">
        <v>2135116.0</v>
      </c>
      <c r="B886" s="3" t="s">
        <v>2123</v>
      </c>
      <c r="C886" s="3" t="b">
        <v>1</v>
      </c>
      <c r="D886" s="3" t="b">
        <v>1</v>
      </c>
      <c r="E886" s="3" t="s">
        <v>2124</v>
      </c>
      <c r="F886" s="3" t="s">
        <v>2125</v>
      </c>
      <c r="G886" s="4">
        <f>+251930798431</f>
        <v>251930798431</v>
      </c>
      <c r="H886" s="3" t="s">
        <v>18</v>
      </c>
      <c r="I886" s="3" t="s">
        <v>19</v>
      </c>
      <c r="J886" s="3" t="s">
        <v>19</v>
      </c>
      <c r="K886" s="3" t="s">
        <v>25</v>
      </c>
      <c r="L886" s="3">
        <v>24.1</v>
      </c>
      <c r="M886" s="3" t="s">
        <v>1695</v>
      </c>
      <c r="N886" s="3" t="s">
        <v>1696</v>
      </c>
      <c r="O886" s="3">
        <v>3.1676831195E10</v>
      </c>
    </row>
    <row r="887">
      <c r="A887" s="3">
        <v>268334.0</v>
      </c>
      <c r="B887" s="3" t="s">
        <v>2126</v>
      </c>
      <c r="C887" s="3" t="b">
        <v>1</v>
      </c>
      <c r="D887" s="3" t="b">
        <v>1</v>
      </c>
      <c r="E887" s="3" t="s">
        <v>2127</v>
      </c>
      <c r="F887" s="3" t="s">
        <v>2128</v>
      </c>
      <c r="G887" s="4">
        <f>+251908872550</f>
        <v>251908872550</v>
      </c>
      <c r="H887" s="3" t="s">
        <v>29</v>
      </c>
      <c r="I887" s="3" t="s">
        <v>19</v>
      </c>
      <c r="J887" s="3" t="s">
        <v>19</v>
      </c>
      <c r="K887" s="3" t="s">
        <v>20</v>
      </c>
      <c r="L887" s="3">
        <v>21.45</v>
      </c>
      <c r="M887" s="3" t="s">
        <v>1695</v>
      </c>
      <c r="N887" s="3" t="s">
        <v>1696</v>
      </c>
      <c r="O887" s="3">
        <v>2.708372E7</v>
      </c>
    </row>
    <row r="888">
      <c r="A888" s="3">
        <v>2448537.0</v>
      </c>
      <c r="B888" s="3" t="s">
        <v>2129</v>
      </c>
      <c r="C888" s="3" t="b">
        <v>1</v>
      </c>
      <c r="D888" s="3" t="b">
        <v>1</v>
      </c>
      <c r="E888" s="3" t="s">
        <v>414</v>
      </c>
      <c r="F888" s="3" t="s">
        <v>1152</v>
      </c>
      <c r="G888" s="4">
        <f>+251979107076</f>
        <v>251979107076</v>
      </c>
      <c r="H888" s="3" t="s">
        <v>29</v>
      </c>
      <c r="I888" s="3" t="s">
        <v>19</v>
      </c>
      <c r="J888" s="3" t="s">
        <v>19</v>
      </c>
      <c r="K888" s="3" t="s">
        <v>25</v>
      </c>
      <c r="L888" s="3">
        <v>33.11</v>
      </c>
      <c r="M888" s="3" t="s">
        <v>1695</v>
      </c>
      <c r="N888" s="3" t="s">
        <v>1696</v>
      </c>
      <c r="O888" s="3">
        <v>1.07847446751E11</v>
      </c>
    </row>
    <row r="889">
      <c r="A889" s="3">
        <v>2448606.0</v>
      </c>
      <c r="B889" s="3" t="s">
        <v>2130</v>
      </c>
      <c r="C889" s="3" t="b">
        <v>0</v>
      </c>
      <c r="D889" s="3" t="b">
        <v>0</v>
      </c>
      <c r="E889" s="3" t="s">
        <v>58</v>
      </c>
      <c r="F889" s="3" t="s">
        <v>2131</v>
      </c>
      <c r="G889" s="4">
        <f>+25152016147</f>
        <v>25152016147</v>
      </c>
      <c r="H889" s="3" t="s">
        <v>29</v>
      </c>
      <c r="I889" s="3" t="s">
        <v>19</v>
      </c>
      <c r="J889" s="3" t="s">
        <v>19</v>
      </c>
      <c r="K889" s="3" t="s">
        <v>25</v>
      </c>
      <c r="L889" s="3">
        <v>28.19</v>
      </c>
      <c r="M889" s="3" t="s">
        <v>1695</v>
      </c>
      <c r="N889" s="3" t="s">
        <v>1696</v>
      </c>
      <c r="O889" s="3">
        <v>1.07911785667E11</v>
      </c>
    </row>
    <row r="890">
      <c r="A890" s="3">
        <v>2448654.0</v>
      </c>
      <c r="B890" s="3" t="s">
        <v>2132</v>
      </c>
      <c r="C890" s="3" t="b">
        <v>1</v>
      </c>
      <c r="D890" s="3" t="b">
        <v>1</v>
      </c>
      <c r="E890" s="3" t="s">
        <v>2133</v>
      </c>
      <c r="F890" s="3" t="s">
        <v>2134</v>
      </c>
      <c r="G890" s="4">
        <f>+251945720709</f>
        <v>251945720709</v>
      </c>
      <c r="H890" s="3" t="s">
        <v>44</v>
      </c>
      <c r="I890" s="3" t="s">
        <v>19</v>
      </c>
      <c r="J890" s="3" t="s">
        <v>19</v>
      </c>
      <c r="K890" s="3" t="s">
        <v>20</v>
      </c>
      <c r="L890" s="3">
        <v>27.71</v>
      </c>
      <c r="M890" s="3" t="s">
        <v>1695</v>
      </c>
      <c r="N890" s="3" t="s">
        <v>1696</v>
      </c>
      <c r="O890" s="3">
        <v>1.07910074575E11</v>
      </c>
    </row>
    <row r="891">
      <c r="A891" s="3">
        <v>2448659.0</v>
      </c>
      <c r="B891" s="3" t="s">
        <v>2135</v>
      </c>
      <c r="C891" s="3" t="b">
        <v>0</v>
      </c>
      <c r="D891" s="3" t="b">
        <v>1</v>
      </c>
      <c r="E891" s="3" t="s">
        <v>2136</v>
      </c>
      <c r="F891" s="3" t="s">
        <v>118</v>
      </c>
      <c r="G891" s="4">
        <f>+251972489535</f>
        <v>251972489535</v>
      </c>
      <c r="H891" s="3" t="s">
        <v>18</v>
      </c>
      <c r="I891" s="3" t="s">
        <v>19</v>
      </c>
      <c r="J891" s="3" t="s">
        <v>19</v>
      </c>
      <c r="K891" s="3" t="s">
        <v>20</v>
      </c>
      <c r="L891" s="3">
        <v>13.24</v>
      </c>
      <c r="M891" s="3" t="s">
        <v>1695</v>
      </c>
      <c r="N891" s="3" t="s">
        <v>1696</v>
      </c>
      <c r="O891" s="3">
        <v>1.07907611871E11</v>
      </c>
    </row>
    <row r="892">
      <c r="A892" s="3">
        <v>2448881.0</v>
      </c>
      <c r="B892" s="3" t="s">
        <v>2137</v>
      </c>
      <c r="C892" s="3" t="b">
        <v>0</v>
      </c>
      <c r="D892" s="3" t="b">
        <v>1</v>
      </c>
      <c r="E892" s="3" t="s">
        <v>2138</v>
      </c>
      <c r="F892" s="3" t="s">
        <v>2139</v>
      </c>
      <c r="G892" s="4">
        <f>+251911424849</f>
        <v>251911424849</v>
      </c>
      <c r="H892" s="3" t="s">
        <v>18</v>
      </c>
      <c r="I892" s="3" t="s">
        <v>19</v>
      </c>
      <c r="J892" s="3" t="s">
        <v>19</v>
      </c>
      <c r="K892" s="3" t="s">
        <v>20</v>
      </c>
      <c r="L892" s="3">
        <v>27.95</v>
      </c>
      <c r="M892" s="3" t="s">
        <v>1695</v>
      </c>
      <c r="N892" s="3" t="s">
        <v>1696</v>
      </c>
    </row>
    <row r="893">
      <c r="A893" s="3">
        <v>2449042.0</v>
      </c>
      <c r="B893" s="3" t="s">
        <v>2140</v>
      </c>
      <c r="C893" s="3" t="b">
        <v>1</v>
      </c>
      <c r="D893" s="3" t="b">
        <v>1</v>
      </c>
      <c r="E893" s="3" t="s">
        <v>1221</v>
      </c>
      <c r="F893" s="3" t="s">
        <v>2141</v>
      </c>
      <c r="G893" s="4">
        <f>+251910503195</f>
        <v>251910503195</v>
      </c>
      <c r="H893" s="3" t="s">
        <v>18</v>
      </c>
      <c r="I893" s="3" t="s">
        <v>19</v>
      </c>
      <c r="J893" s="3" t="s">
        <v>19</v>
      </c>
      <c r="K893" s="3" t="s">
        <v>25</v>
      </c>
      <c r="L893" s="3">
        <v>34.75</v>
      </c>
      <c r="M893" s="3" t="s">
        <v>1695</v>
      </c>
      <c r="N893" s="3" t="s">
        <v>1696</v>
      </c>
      <c r="O893" s="3">
        <v>1.08007123152E11</v>
      </c>
    </row>
    <row r="894">
      <c r="A894" s="3">
        <v>2449513.0</v>
      </c>
      <c r="B894" s="3" t="s">
        <v>2142</v>
      </c>
      <c r="C894" s="3" t="b">
        <v>1</v>
      </c>
      <c r="D894" s="3" t="b">
        <v>1</v>
      </c>
      <c r="E894" s="3" t="s">
        <v>2143</v>
      </c>
      <c r="F894" s="3" t="s">
        <v>2144</v>
      </c>
      <c r="G894" s="4">
        <f>+251976839555</f>
        <v>251976839555</v>
      </c>
      <c r="H894" s="3" t="s">
        <v>18</v>
      </c>
      <c r="I894" s="3" t="s">
        <v>19</v>
      </c>
      <c r="J894" s="3" t="s">
        <v>2145</v>
      </c>
      <c r="K894" s="3" t="s">
        <v>25</v>
      </c>
      <c r="L894" s="3">
        <v>20.0</v>
      </c>
      <c r="M894" s="3" t="s">
        <v>1695</v>
      </c>
      <c r="N894" s="3" t="s">
        <v>1696</v>
      </c>
    </row>
    <row r="895">
      <c r="A895" s="3">
        <v>2449727.0</v>
      </c>
      <c r="B895" s="3" t="s">
        <v>2146</v>
      </c>
      <c r="C895" s="3" t="b">
        <v>0</v>
      </c>
      <c r="D895" s="3" t="b">
        <v>1</v>
      </c>
      <c r="E895" s="3" t="s">
        <v>1010</v>
      </c>
      <c r="F895" s="3" t="s">
        <v>1584</v>
      </c>
      <c r="G895" s="4">
        <f>+251941826451</f>
        <v>251941826451</v>
      </c>
      <c r="H895" s="3" t="s">
        <v>18</v>
      </c>
      <c r="I895" s="3" t="s">
        <v>19</v>
      </c>
      <c r="J895" s="3" t="s">
        <v>19</v>
      </c>
      <c r="K895" s="3" t="s">
        <v>20</v>
      </c>
      <c r="L895" s="3">
        <v>23.86</v>
      </c>
      <c r="M895" s="3" t="s">
        <v>1695</v>
      </c>
      <c r="N895" s="3" t="s">
        <v>1696</v>
      </c>
      <c r="O895" s="3">
        <v>1.08212373705E11</v>
      </c>
    </row>
    <row r="896">
      <c r="A896" s="3">
        <v>2449897.0</v>
      </c>
      <c r="B896" s="3" t="s">
        <v>2147</v>
      </c>
      <c r="C896" s="3" t="b">
        <v>0</v>
      </c>
      <c r="D896" s="3" t="b">
        <v>1</v>
      </c>
      <c r="E896" s="3" t="s">
        <v>64</v>
      </c>
      <c r="F896" s="3" t="s">
        <v>466</v>
      </c>
      <c r="G896" s="4">
        <f>+251947413360</f>
        <v>251947413360</v>
      </c>
      <c r="H896" s="3" t="s">
        <v>18</v>
      </c>
      <c r="I896" s="3" t="s">
        <v>19</v>
      </c>
      <c r="J896" s="3" t="s">
        <v>19</v>
      </c>
      <c r="K896" s="3" t="s">
        <v>25</v>
      </c>
      <c r="L896" s="3">
        <v>27.29</v>
      </c>
      <c r="M896" s="3" t="s">
        <v>1695</v>
      </c>
      <c r="N896" s="3" t="s">
        <v>1696</v>
      </c>
      <c r="O896" s="3">
        <v>1.08251482336E11</v>
      </c>
    </row>
    <row r="897">
      <c r="A897" s="3">
        <v>2450087.0</v>
      </c>
      <c r="B897" s="3" t="s">
        <v>2148</v>
      </c>
      <c r="C897" s="3" t="b">
        <v>0</v>
      </c>
      <c r="D897" s="3" t="b">
        <v>1</v>
      </c>
      <c r="E897" s="3" t="s">
        <v>2149</v>
      </c>
      <c r="F897" s="3" t="s">
        <v>2150</v>
      </c>
      <c r="G897" s="4">
        <f>+251955440128</f>
        <v>251955440128</v>
      </c>
      <c r="H897" s="3" t="s">
        <v>18</v>
      </c>
      <c r="I897" s="3" t="s">
        <v>19</v>
      </c>
      <c r="J897" s="3" t="s">
        <v>19</v>
      </c>
      <c r="K897" s="3" t="s">
        <v>25</v>
      </c>
      <c r="L897" s="3">
        <v>41.55</v>
      </c>
      <c r="M897" s="3" t="s">
        <v>1695</v>
      </c>
      <c r="N897" s="3" t="s">
        <v>1696</v>
      </c>
      <c r="O897" s="3">
        <v>1.08243045584E11</v>
      </c>
    </row>
    <row r="898">
      <c r="A898" s="3">
        <v>2450229.0</v>
      </c>
      <c r="B898" s="3" t="s">
        <v>2151</v>
      </c>
      <c r="C898" s="3" t="b">
        <v>1</v>
      </c>
      <c r="D898" s="3" t="b">
        <v>1</v>
      </c>
      <c r="E898" s="3" t="s">
        <v>2152</v>
      </c>
      <c r="F898" s="3" t="s">
        <v>2153</v>
      </c>
      <c r="G898" s="3">
        <v>2.51918718462E11</v>
      </c>
      <c r="H898" s="3" t="s">
        <v>18</v>
      </c>
      <c r="I898" s="3" t="s">
        <v>19</v>
      </c>
      <c r="J898" s="3" t="s">
        <v>19</v>
      </c>
      <c r="K898" s="3" t="s">
        <v>25</v>
      </c>
      <c r="L898" s="3">
        <v>29.76</v>
      </c>
      <c r="M898" s="3" t="s">
        <v>1695</v>
      </c>
      <c r="N898" s="3" t="s">
        <v>1696</v>
      </c>
      <c r="O898" s="3">
        <v>4.7065773266E10</v>
      </c>
    </row>
    <row r="899">
      <c r="A899" s="3">
        <v>2450382.0</v>
      </c>
      <c r="B899" s="3" t="s">
        <v>2154</v>
      </c>
      <c r="C899" s="3" t="b">
        <v>1</v>
      </c>
      <c r="D899" s="3" t="b">
        <v>1</v>
      </c>
      <c r="E899" s="3" t="s">
        <v>2155</v>
      </c>
      <c r="F899" s="3" t="s">
        <v>2156</v>
      </c>
      <c r="G899" s="4">
        <f>+251955202091</f>
        <v>251955202091</v>
      </c>
      <c r="H899" s="3" t="s">
        <v>249</v>
      </c>
      <c r="I899" s="3" t="s">
        <v>19</v>
      </c>
      <c r="J899" s="3" t="s">
        <v>19</v>
      </c>
      <c r="K899" s="3" t="s">
        <v>25</v>
      </c>
      <c r="L899" s="3">
        <v>24.06</v>
      </c>
      <c r="M899" s="3" t="s">
        <v>1695</v>
      </c>
      <c r="N899" s="3" t="s">
        <v>1696</v>
      </c>
      <c r="O899" s="3">
        <v>1.083428129E11</v>
      </c>
    </row>
    <row r="900">
      <c r="A900" s="3">
        <v>2450558.0</v>
      </c>
      <c r="B900" s="3" t="s">
        <v>2157</v>
      </c>
      <c r="C900" s="3" t="b">
        <v>0</v>
      </c>
      <c r="D900" s="3" t="b">
        <v>1</v>
      </c>
      <c r="E900" s="3" t="s">
        <v>267</v>
      </c>
      <c r="F900" s="3" t="s">
        <v>2158</v>
      </c>
      <c r="G900" s="4">
        <f>+251910798537</f>
        <v>251910798537</v>
      </c>
      <c r="H900" s="3" t="s">
        <v>18</v>
      </c>
      <c r="I900" s="3" t="s">
        <v>19</v>
      </c>
      <c r="J900" s="3" t="s">
        <v>19</v>
      </c>
      <c r="K900" s="3" t="s">
        <v>25</v>
      </c>
      <c r="L900" s="3">
        <v>39.04</v>
      </c>
      <c r="M900" s="3" t="s">
        <v>1695</v>
      </c>
      <c r="N900" s="3" t="s">
        <v>1696</v>
      </c>
      <c r="O900" s="3">
        <v>812345.0</v>
      </c>
    </row>
    <row r="901">
      <c r="A901" s="3">
        <v>2450481.0</v>
      </c>
      <c r="B901" s="3" t="s">
        <v>2159</v>
      </c>
      <c r="C901" s="3" t="b">
        <v>0</v>
      </c>
      <c r="D901" s="3" t="b">
        <v>1</v>
      </c>
      <c r="E901" s="3" t="s">
        <v>245</v>
      </c>
      <c r="F901" s="3" t="s">
        <v>246</v>
      </c>
      <c r="G901" s="4">
        <f>+251925695504</f>
        <v>251925695504</v>
      </c>
      <c r="H901" s="3" t="s">
        <v>18</v>
      </c>
      <c r="I901" s="3" t="s">
        <v>19</v>
      </c>
      <c r="J901" s="3" t="s">
        <v>19</v>
      </c>
      <c r="K901" s="3" t="s">
        <v>20</v>
      </c>
      <c r="L901" s="3">
        <v>26.61</v>
      </c>
      <c r="M901" s="3" t="s">
        <v>1695</v>
      </c>
      <c r="N901" s="3" t="s">
        <v>1696</v>
      </c>
      <c r="O901" s="3">
        <v>1.08354996451E11</v>
      </c>
    </row>
    <row r="902">
      <c r="A902" s="3">
        <v>2450575.0</v>
      </c>
      <c r="B902" s="3" t="s">
        <v>2160</v>
      </c>
      <c r="C902" s="3" t="b">
        <v>0</v>
      </c>
      <c r="D902" s="3" t="b">
        <v>1</v>
      </c>
      <c r="E902" s="3" t="s">
        <v>2161</v>
      </c>
      <c r="F902" s="3" t="s">
        <v>443</v>
      </c>
      <c r="G902" s="4">
        <f>+251941953142</f>
        <v>251941953142</v>
      </c>
      <c r="H902" s="3" t="s">
        <v>947</v>
      </c>
      <c r="I902" s="3" t="s">
        <v>19</v>
      </c>
      <c r="J902" s="3" t="s">
        <v>19</v>
      </c>
      <c r="K902" s="3" t="s">
        <v>20</v>
      </c>
      <c r="L902" s="3">
        <v>21.5</v>
      </c>
      <c r="M902" s="3" t="s">
        <v>1695</v>
      </c>
      <c r="N902" s="3" t="s">
        <v>1696</v>
      </c>
      <c r="O902" s="3">
        <v>1.08387577051E11</v>
      </c>
    </row>
    <row r="903">
      <c r="A903" s="3">
        <v>2450644.0</v>
      </c>
      <c r="B903" s="3" t="s">
        <v>2162</v>
      </c>
      <c r="C903" s="3" t="b">
        <v>1</v>
      </c>
      <c r="D903" s="3" t="b">
        <v>1</v>
      </c>
      <c r="E903" s="3" t="s">
        <v>2163</v>
      </c>
      <c r="F903" s="3" t="s">
        <v>55</v>
      </c>
      <c r="G903" s="4">
        <f>+251921380820</f>
        <v>251921380820</v>
      </c>
      <c r="H903" s="3" t="s">
        <v>18</v>
      </c>
      <c r="I903" s="3" t="s">
        <v>19</v>
      </c>
      <c r="J903" s="3" t="s">
        <v>19</v>
      </c>
      <c r="K903" s="3" t="s">
        <v>20</v>
      </c>
      <c r="L903" s="3">
        <v>24.48</v>
      </c>
      <c r="M903" s="3" t="s">
        <v>1695</v>
      </c>
      <c r="N903" s="3" t="s">
        <v>1696</v>
      </c>
      <c r="O903" s="3">
        <v>1.08401865951E11</v>
      </c>
    </row>
    <row r="904">
      <c r="A904" s="3">
        <v>2450690.0</v>
      </c>
      <c r="B904" s="3" t="s">
        <v>2164</v>
      </c>
      <c r="C904" s="3" t="b">
        <v>0</v>
      </c>
      <c r="D904" s="3" t="b">
        <v>1</v>
      </c>
      <c r="E904" s="3" t="s">
        <v>1867</v>
      </c>
      <c r="F904" s="3" t="s">
        <v>671</v>
      </c>
      <c r="G904" s="4">
        <f>+251961138882</f>
        <v>251961138882</v>
      </c>
      <c r="H904" s="3" t="s">
        <v>18</v>
      </c>
      <c r="I904" s="3" t="s">
        <v>19</v>
      </c>
      <c r="J904" s="3" t="s">
        <v>19</v>
      </c>
      <c r="K904" s="3" t="s">
        <v>25</v>
      </c>
      <c r="L904" s="3">
        <v>20.66</v>
      </c>
      <c r="M904" s="3" t="s">
        <v>1695</v>
      </c>
      <c r="N904" s="3" t="s">
        <v>1696</v>
      </c>
      <c r="O904" s="3">
        <v>1.08407681246E11</v>
      </c>
    </row>
    <row r="905">
      <c r="A905" s="3">
        <v>2450714.0</v>
      </c>
      <c r="B905" s="3" t="s">
        <v>2165</v>
      </c>
      <c r="C905" s="3" t="b">
        <v>0</v>
      </c>
      <c r="D905" s="3" t="b">
        <v>1</v>
      </c>
      <c r="E905" s="3" t="s">
        <v>2166</v>
      </c>
      <c r="F905" s="3" t="s">
        <v>384</v>
      </c>
      <c r="G905" s="4">
        <f>+251973323476</f>
        <v>251973323476</v>
      </c>
      <c r="H905" s="3" t="s">
        <v>18</v>
      </c>
      <c r="I905" s="3" t="s">
        <v>19</v>
      </c>
      <c r="J905" s="3" t="s">
        <v>19</v>
      </c>
      <c r="K905" s="3" t="s">
        <v>25</v>
      </c>
      <c r="L905" s="3">
        <v>18.97</v>
      </c>
      <c r="M905" s="3" t="s">
        <v>1695</v>
      </c>
      <c r="N905" s="3" t="s">
        <v>1696</v>
      </c>
      <c r="O905" s="3">
        <v>1.08424667381E11</v>
      </c>
    </row>
    <row r="906">
      <c r="A906" s="3">
        <v>2450408.0</v>
      </c>
      <c r="B906" s="3" t="s">
        <v>2167</v>
      </c>
      <c r="C906" s="3" t="b">
        <v>1</v>
      </c>
      <c r="D906" s="3" t="b">
        <v>1</v>
      </c>
      <c r="E906" s="3" t="s">
        <v>2168</v>
      </c>
      <c r="F906" s="3" t="s">
        <v>2169</v>
      </c>
      <c r="G906" s="3">
        <v>9.70453199E8</v>
      </c>
      <c r="H906" s="3" t="s">
        <v>18</v>
      </c>
      <c r="I906" s="3" t="s">
        <v>19</v>
      </c>
      <c r="J906" s="3" t="s">
        <v>19</v>
      </c>
      <c r="K906" s="3" t="s">
        <v>25</v>
      </c>
      <c r="L906" s="3">
        <v>27.3</v>
      </c>
      <c r="M906" s="3" t="s">
        <v>1695</v>
      </c>
      <c r="N906" s="3" t="s">
        <v>1696</v>
      </c>
      <c r="O906" s="3">
        <v>1.08347623651E11</v>
      </c>
    </row>
    <row r="907">
      <c r="A907" s="3">
        <v>2450879.0</v>
      </c>
      <c r="B907" s="3" t="s">
        <v>2170</v>
      </c>
      <c r="C907" s="3" t="b">
        <v>1</v>
      </c>
      <c r="D907" s="3" t="b">
        <v>1</v>
      </c>
      <c r="E907" s="3" t="s">
        <v>2171</v>
      </c>
      <c r="F907" s="3" t="s">
        <v>2172</v>
      </c>
      <c r="G907" s="4">
        <f>+251994229766</f>
        <v>251994229766</v>
      </c>
      <c r="H907" s="3" t="s">
        <v>18</v>
      </c>
      <c r="I907" s="3" t="s">
        <v>19</v>
      </c>
      <c r="J907" s="3" t="s">
        <v>19</v>
      </c>
      <c r="K907" s="3" t="s">
        <v>25</v>
      </c>
      <c r="L907" s="3">
        <v>30.44</v>
      </c>
      <c r="M907" s="3" t="s">
        <v>1695</v>
      </c>
      <c r="N907" s="3" t="s">
        <v>1696</v>
      </c>
      <c r="O907" s="3">
        <v>1.08487906553E11</v>
      </c>
    </row>
    <row r="908">
      <c r="A908" s="3">
        <v>2450911.0</v>
      </c>
      <c r="B908" s="3" t="s">
        <v>2173</v>
      </c>
      <c r="C908" s="3" t="b">
        <v>0</v>
      </c>
      <c r="D908" s="3" t="b">
        <v>1</v>
      </c>
      <c r="E908" s="3" t="s">
        <v>2174</v>
      </c>
      <c r="F908" s="3" t="s">
        <v>2175</v>
      </c>
      <c r="G908" s="4">
        <f>+251991988767</f>
        <v>251991988767</v>
      </c>
      <c r="H908" s="3" t="s">
        <v>18</v>
      </c>
      <c r="I908" s="3" t="s">
        <v>19</v>
      </c>
      <c r="J908" s="3" t="s">
        <v>19</v>
      </c>
      <c r="K908" s="3" t="s">
        <v>25</v>
      </c>
      <c r="L908" s="3">
        <v>13.25</v>
      </c>
      <c r="M908" s="3" t="s">
        <v>1695</v>
      </c>
      <c r="N908" s="3" t="s">
        <v>1696</v>
      </c>
    </row>
    <row r="909">
      <c r="A909" s="3">
        <v>2450923.0</v>
      </c>
      <c r="B909" s="3" t="s">
        <v>2176</v>
      </c>
      <c r="C909" s="3" t="b">
        <v>0</v>
      </c>
      <c r="D909" s="3" t="b">
        <v>1</v>
      </c>
      <c r="E909" s="3" t="s">
        <v>2177</v>
      </c>
      <c r="F909" s="3" t="s">
        <v>2178</v>
      </c>
      <c r="G909" s="4">
        <f>+251908720092</f>
        <v>251908720092</v>
      </c>
      <c r="H909" s="3" t="s">
        <v>29</v>
      </c>
      <c r="I909" s="3" t="s">
        <v>19</v>
      </c>
      <c r="J909" s="3" t="s">
        <v>19</v>
      </c>
      <c r="K909" s="3" t="s">
        <v>25</v>
      </c>
      <c r="L909" s="3">
        <v>27.41</v>
      </c>
      <c r="M909" s="3" t="s">
        <v>1695</v>
      </c>
      <c r="N909" s="3" t="s">
        <v>1696</v>
      </c>
      <c r="O909" s="3">
        <v>1.08491816149E11</v>
      </c>
    </row>
    <row r="910">
      <c r="A910" s="3">
        <v>2450865.0</v>
      </c>
      <c r="B910" s="3" t="s">
        <v>2179</v>
      </c>
      <c r="C910" s="3" t="b">
        <v>0</v>
      </c>
      <c r="D910" s="3" t="b">
        <v>1</v>
      </c>
      <c r="E910" s="3" t="s">
        <v>2180</v>
      </c>
      <c r="F910" s="3" t="s">
        <v>2181</v>
      </c>
      <c r="G910" s="4">
        <f>+251923179369</f>
        <v>251923179369</v>
      </c>
      <c r="H910" s="3" t="s">
        <v>346</v>
      </c>
      <c r="I910" s="3" t="s">
        <v>19</v>
      </c>
      <c r="J910" s="3" t="s">
        <v>19</v>
      </c>
      <c r="K910" s="3" t="s">
        <v>25</v>
      </c>
      <c r="L910" s="3">
        <v>38.81</v>
      </c>
      <c r="M910" s="3" t="s">
        <v>1695</v>
      </c>
      <c r="N910" s="3" t="s">
        <v>1696</v>
      </c>
      <c r="O910" s="3">
        <v>1.08471702733E11</v>
      </c>
    </row>
    <row r="911">
      <c r="A911" s="3">
        <v>2451455.0</v>
      </c>
      <c r="B911" s="3" t="s">
        <v>2182</v>
      </c>
      <c r="C911" s="3" t="b">
        <v>1</v>
      </c>
      <c r="D911" s="3" t="b">
        <v>0</v>
      </c>
      <c r="E911" s="3" t="s">
        <v>420</v>
      </c>
      <c r="F911" s="3" t="s">
        <v>2183</v>
      </c>
      <c r="G911" s="4">
        <f>+251917822497</f>
        <v>251917822497</v>
      </c>
      <c r="H911" s="3" t="s">
        <v>18</v>
      </c>
      <c r="I911" s="3" t="s">
        <v>19</v>
      </c>
      <c r="J911" s="3" t="s">
        <v>19</v>
      </c>
      <c r="K911" s="3" t="s">
        <v>25</v>
      </c>
      <c r="L911" s="3">
        <v>54.43</v>
      </c>
      <c r="M911" s="3" t="s">
        <v>1695</v>
      </c>
      <c r="N911" s="3" t="s">
        <v>1696</v>
      </c>
      <c r="O911" s="3">
        <v>1.08741811434E11</v>
      </c>
    </row>
    <row r="912">
      <c r="A912" s="3">
        <v>2451470.0</v>
      </c>
      <c r="B912" s="3" t="s">
        <v>2184</v>
      </c>
      <c r="C912" s="3" t="b">
        <v>1</v>
      </c>
      <c r="D912" s="3" t="b">
        <v>1</v>
      </c>
      <c r="E912" s="3" t="s">
        <v>2185</v>
      </c>
      <c r="F912" s="3" t="s">
        <v>2186</v>
      </c>
      <c r="G912" s="4">
        <f>+251913110315</f>
        <v>251913110315</v>
      </c>
      <c r="H912" s="3" t="s">
        <v>18</v>
      </c>
      <c r="I912" s="3" t="s">
        <v>19</v>
      </c>
      <c r="J912" s="3" t="s">
        <v>19</v>
      </c>
      <c r="K912" s="3" t="s">
        <v>25</v>
      </c>
      <c r="L912" s="3">
        <v>29.59</v>
      </c>
      <c r="M912" s="3" t="s">
        <v>1695</v>
      </c>
      <c r="N912" s="3" t="s">
        <v>1696</v>
      </c>
      <c r="O912" s="3">
        <v>1.0874204694E11</v>
      </c>
    </row>
    <row r="913">
      <c r="A913" s="3">
        <v>2451490.0</v>
      </c>
      <c r="B913" s="3" t="s">
        <v>2187</v>
      </c>
      <c r="C913" s="3" t="b">
        <v>0</v>
      </c>
      <c r="D913" s="3" t="b">
        <v>1</v>
      </c>
      <c r="E913" s="3" t="s">
        <v>2188</v>
      </c>
      <c r="F913" s="3" t="s">
        <v>784</v>
      </c>
      <c r="G913" s="4">
        <f>+251909537266</f>
        <v>251909537266</v>
      </c>
      <c r="H913" s="3" t="s">
        <v>18</v>
      </c>
      <c r="I913" s="3" t="s">
        <v>19</v>
      </c>
      <c r="J913" s="3" t="s">
        <v>19</v>
      </c>
      <c r="K913" s="3" t="s">
        <v>25</v>
      </c>
      <c r="L913" s="3">
        <v>20.27</v>
      </c>
      <c r="M913" s="3" t="s">
        <v>1695</v>
      </c>
      <c r="N913" s="3" t="s">
        <v>1696</v>
      </c>
      <c r="O913" s="3">
        <v>1.08745610456E11</v>
      </c>
    </row>
    <row r="914">
      <c r="A914" s="3">
        <v>2451741.0</v>
      </c>
      <c r="B914" s="3" t="s">
        <v>2189</v>
      </c>
      <c r="C914" s="3" t="b">
        <v>0</v>
      </c>
      <c r="D914" s="3" t="b">
        <v>1</v>
      </c>
      <c r="E914" s="3" t="s">
        <v>2190</v>
      </c>
      <c r="F914" s="3" t="s">
        <v>2191</v>
      </c>
      <c r="G914" s="4">
        <f>+251904138571</f>
        <v>251904138571</v>
      </c>
      <c r="H914" s="3" t="s">
        <v>18</v>
      </c>
      <c r="I914" s="3" t="s">
        <v>19</v>
      </c>
      <c r="J914" s="3" t="s">
        <v>19</v>
      </c>
      <c r="K914" s="3" t="s">
        <v>25</v>
      </c>
      <c r="L914" s="3">
        <v>25.68</v>
      </c>
      <c r="M914" s="3" t="s">
        <v>1695</v>
      </c>
      <c r="N914" s="3" t="s">
        <v>1696</v>
      </c>
      <c r="O914" s="3">
        <v>1.08827713737E11</v>
      </c>
    </row>
    <row r="915">
      <c r="A915" s="3">
        <v>2451888.0</v>
      </c>
      <c r="B915" s="3" t="s">
        <v>2192</v>
      </c>
      <c r="C915" s="3" t="b">
        <v>1</v>
      </c>
      <c r="D915" s="3" t="b">
        <v>1</v>
      </c>
      <c r="E915" s="3" t="s">
        <v>254</v>
      </c>
      <c r="F915" s="3" t="s">
        <v>255</v>
      </c>
      <c r="G915" s="4">
        <f>+251955038322</f>
        <v>251955038322</v>
      </c>
      <c r="H915" s="3" t="s">
        <v>18</v>
      </c>
      <c r="I915" s="3" t="s">
        <v>19</v>
      </c>
      <c r="J915" s="3" t="s">
        <v>256</v>
      </c>
      <c r="K915" s="3" t="s">
        <v>20</v>
      </c>
      <c r="L915" s="3">
        <v>19.3</v>
      </c>
      <c r="M915" s="3" t="s">
        <v>1695</v>
      </c>
      <c r="N915" s="3" t="s">
        <v>1696</v>
      </c>
    </row>
    <row r="916">
      <c r="A916" s="3">
        <v>663270.0</v>
      </c>
      <c r="B916" s="3" t="s">
        <v>2193</v>
      </c>
      <c r="C916" s="3" t="b">
        <v>1</v>
      </c>
      <c r="D916" s="3" t="b">
        <v>1</v>
      </c>
      <c r="E916" s="3" t="s">
        <v>2194</v>
      </c>
      <c r="F916" s="3" t="s">
        <v>2195</v>
      </c>
      <c r="G916" s="4">
        <f>+251921340094</f>
        <v>251921340094</v>
      </c>
      <c r="H916" s="3" t="s">
        <v>18</v>
      </c>
      <c r="I916" s="3" t="s">
        <v>19</v>
      </c>
      <c r="J916" s="3" t="s">
        <v>19</v>
      </c>
      <c r="K916" s="3" t="s">
        <v>25</v>
      </c>
      <c r="L916" s="3">
        <v>29.3</v>
      </c>
      <c r="M916" s="3" t="s">
        <v>1695</v>
      </c>
      <c r="N916" s="3" t="s">
        <v>1696</v>
      </c>
      <c r="O916" s="3">
        <v>2.9265456E7</v>
      </c>
    </row>
    <row r="917">
      <c r="A917" s="3">
        <v>2452123.0</v>
      </c>
      <c r="B917" s="3" t="s">
        <v>2196</v>
      </c>
      <c r="C917" s="3" t="b">
        <v>1</v>
      </c>
      <c r="D917" s="3" t="b">
        <v>1</v>
      </c>
      <c r="E917" s="3" t="s">
        <v>27</v>
      </c>
      <c r="F917" s="3" t="s">
        <v>2197</v>
      </c>
      <c r="G917" s="4">
        <f>+251947090805</f>
        <v>251947090805</v>
      </c>
      <c r="H917" s="3" t="s">
        <v>249</v>
      </c>
      <c r="I917" s="3" t="s">
        <v>19</v>
      </c>
      <c r="J917" s="3" t="s">
        <v>19</v>
      </c>
      <c r="K917" s="3" t="s">
        <v>25</v>
      </c>
      <c r="L917" s="3">
        <v>26.82</v>
      </c>
      <c r="M917" s="3" t="s">
        <v>1695</v>
      </c>
      <c r="N917" s="3" t="s">
        <v>1696</v>
      </c>
    </row>
    <row r="918">
      <c r="A918" s="3">
        <v>2105303.0</v>
      </c>
      <c r="B918" s="3" t="s">
        <v>2198</v>
      </c>
      <c r="C918" s="3" t="b">
        <v>1</v>
      </c>
      <c r="D918" s="3" t="b">
        <v>1</v>
      </c>
      <c r="E918" s="3" t="s">
        <v>812</v>
      </c>
      <c r="F918" s="3" t="s">
        <v>928</v>
      </c>
      <c r="G918" s="4">
        <f>+251985395070</f>
        <v>251985395070</v>
      </c>
      <c r="H918" s="3" t="s">
        <v>18</v>
      </c>
      <c r="I918" s="3" t="s">
        <v>19</v>
      </c>
      <c r="J918" s="3" t="s">
        <v>19</v>
      </c>
      <c r="K918" s="3" t="s">
        <v>25</v>
      </c>
      <c r="L918" s="3">
        <v>22.38</v>
      </c>
      <c r="M918" s="3" t="s">
        <v>1695</v>
      </c>
      <c r="N918" s="3" t="s">
        <v>1696</v>
      </c>
      <c r="O918" s="3">
        <v>3.0878127598E10</v>
      </c>
    </row>
    <row r="919">
      <c r="A919" s="3">
        <v>98865.0</v>
      </c>
      <c r="B919" s="3" t="s">
        <v>2199</v>
      </c>
      <c r="C919" s="3" t="b">
        <v>1</v>
      </c>
      <c r="D919" s="3" t="b">
        <v>1</v>
      </c>
      <c r="E919" s="3" t="s">
        <v>755</v>
      </c>
      <c r="F919" s="3" t="s">
        <v>2200</v>
      </c>
      <c r="G919" s="4">
        <f>+251920178933</f>
        <v>251920178933</v>
      </c>
      <c r="H919" s="3" t="s">
        <v>18</v>
      </c>
      <c r="I919" s="3" t="s">
        <v>19</v>
      </c>
      <c r="J919" s="3" t="s">
        <v>19</v>
      </c>
      <c r="K919" s="3" t="s">
        <v>25</v>
      </c>
      <c r="L919" s="3">
        <v>24.72</v>
      </c>
      <c r="M919" s="3" t="s">
        <v>1695</v>
      </c>
      <c r="N919" s="3" t="s">
        <v>1696</v>
      </c>
      <c r="O919" s="3">
        <v>514283.0</v>
      </c>
    </row>
    <row r="920">
      <c r="A920" s="3">
        <v>543315.0</v>
      </c>
      <c r="B920" s="3" t="s">
        <v>2201</v>
      </c>
      <c r="C920" s="3" t="b">
        <v>1</v>
      </c>
      <c r="D920" s="3" t="b">
        <v>1</v>
      </c>
      <c r="E920" s="3" t="s">
        <v>2202</v>
      </c>
      <c r="F920" s="3" t="s">
        <v>2203</v>
      </c>
      <c r="G920" s="4">
        <f>+251992199143</f>
        <v>251992199143</v>
      </c>
      <c r="H920" s="3" t="s">
        <v>18</v>
      </c>
      <c r="I920" s="3" t="s">
        <v>19</v>
      </c>
      <c r="J920" s="3" t="s">
        <v>19</v>
      </c>
      <c r="K920" s="3" t="s">
        <v>25</v>
      </c>
      <c r="L920" s="3">
        <v>32.33</v>
      </c>
      <c r="M920" s="3" t="s">
        <v>1695</v>
      </c>
      <c r="N920" s="3" t="s">
        <v>1696</v>
      </c>
      <c r="O920" s="3">
        <v>1862167.0</v>
      </c>
    </row>
    <row r="921">
      <c r="A921" s="3">
        <v>1095378.0</v>
      </c>
      <c r="B921" s="3" t="s">
        <v>2204</v>
      </c>
      <c r="C921" s="3" t="b">
        <v>1</v>
      </c>
      <c r="D921" s="3" t="b">
        <v>0</v>
      </c>
      <c r="E921" s="3" t="s">
        <v>2205</v>
      </c>
      <c r="F921" s="3" t="s">
        <v>1164</v>
      </c>
      <c r="G921" s="4">
        <f>+251901761824</f>
        <v>251901761824</v>
      </c>
      <c r="H921" s="3" t="s">
        <v>18</v>
      </c>
      <c r="I921" s="3" t="s">
        <v>19</v>
      </c>
      <c r="J921" s="3" t="s">
        <v>19</v>
      </c>
      <c r="K921" s="3" t="s">
        <v>25</v>
      </c>
      <c r="L921" s="3">
        <v>25.02</v>
      </c>
      <c r="M921" s="3" t="s">
        <v>1695</v>
      </c>
      <c r="N921" s="3" t="s">
        <v>1696</v>
      </c>
      <c r="O921" s="3">
        <v>7.080164588E9</v>
      </c>
    </row>
    <row r="922">
      <c r="A922" s="3">
        <v>2453968.0</v>
      </c>
      <c r="B922" s="3" t="s">
        <v>2206</v>
      </c>
      <c r="C922" s="3" t="b">
        <v>1</v>
      </c>
      <c r="D922" s="3" t="b">
        <v>1</v>
      </c>
      <c r="E922" s="3" t="s">
        <v>1736</v>
      </c>
      <c r="F922" s="3" t="s">
        <v>2207</v>
      </c>
      <c r="G922" s="4">
        <f>+251938029765</f>
        <v>251938029765</v>
      </c>
      <c r="H922" s="3" t="s">
        <v>18</v>
      </c>
      <c r="I922" s="3" t="s">
        <v>19</v>
      </c>
      <c r="J922" s="3" t="s">
        <v>19</v>
      </c>
      <c r="K922" s="3" t="s">
        <v>25</v>
      </c>
      <c r="L922" s="3">
        <v>40.0</v>
      </c>
      <c r="M922" s="3" t="s">
        <v>1695</v>
      </c>
      <c r="N922" s="3" t="s">
        <v>1696</v>
      </c>
    </row>
    <row r="923">
      <c r="A923" s="3">
        <v>2453974.0</v>
      </c>
      <c r="B923" s="3" t="s">
        <v>2208</v>
      </c>
      <c r="C923" s="3" t="b">
        <v>0</v>
      </c>
      <c r="D923" s="3" t="b">
        <v>1</v>
      </c>
      <c r="E923" s="3" t="s">
        <v>2209</v>
      </c>
      <c r="F923" s="3" t="s">
        <v>2210</v>
      </c>
      <c r="G923" s="4">
        <f>+251918491468</f>
        <v>251918491468</v>
      </c>
      <c r="H923" s="3" t="s">
        <v>18</v>
      </c>
      <c r="I923" s="3" t="s">
        <v>19</v>
      </c>
      <c r="J923" s="3" t="s">
        <v>19</v>
      </c>
      <c r="K923" s="3" t="s">
        <v>25</v>
      </c>
      <c r="L923" s="3">
        <v>32.64</v>
      </c>
      <c r="M923" s="3" t="s">
        <v>1695</v>
      </c>
      <c r="N923" s="3" t="s">
        <v>1696</v>
      </c>
      <c r="O923" s="3">
        <v>1.09356760258E11</v>
      </c>
    </row>
    <row r="924">
      <c r="A924" s="3">
        <v>2453989.0</v>
      </c>
      <c r="B924" s="3" t="s">
        <v>2211</v>
      </c>
      <c r="C924" s="3" t="b">
        <v>0</v>
      </c>
      <c r="D924" s="3" t="b">
        <v>1</v>
      </c>
      <c r="E924" s="3" t="s">
        <v>2212</v>
      </c>
      <c r="F924" s="3" t="s">
        <v>2213</v>
      </c>
      <c r="G924" s="4">
        <f>+251901163820</f>
        <v>251901163820</v>
      </c>
      <c r="H924" s="3" t="s">
        <v>18</v>
      </c>
      <c r="I924" s="3" t="s">
        <v>19</v>
      </c>
      <c r="J924" s="3" t="s">
        <v>19</v>
      </c>
      <c r="K924" s="3" t="s">
        <v>20</v>
      </c>
      <c r="L924" s="3">
        <v>20.36</v>
      </c>
      <c r="M924" s="3" t="s">
        <v>1695</v>
      </c>
      <c r="N924" s="3" t="s">
        <v>1696</v>
      </c>
      <c r="O924" s="3">
        <v>1.09358572759E11</v>
      </c>
    </row>
    <row r="925">
      <c r="A925" s="3">
        <v>2160132.0</v>
      </c>
      <c r="B925" s="3" t="s">
        <v>2214</v>
      </c>
      <c r="C925" s="3" t="b">
        <v>1</v>
      </c>
      <c r="D925" s="3" t="b">
        <v>1</v>
      </c>
      <c r="E925" s="3" t="s">
        <v>2215</v>
      </c>
      <c r="F925" s="3" t="s">
        <v>1130</v>
      </c>
      <c r="G925" s="3">
        <v>9.30496611E8</v>
      </c>
      <c r="H925" s="3" t="s">
        <v>18</v>
      </c>
      <c r="I925" s="3" t="s">
        <v>19</v>
      </c>
      <c r="J925" s="3" t="s">
        <v>19</v>
      </c>
      <c r="K925" s="3" t="s">
        <v>25</v>
      </c>
      <c r="L925" s="3">
        <v>25.95</v>
      </c>
      <c r="M925" s="3" t="s">
        <v>1695</v>
      </c>
      <c r="N925" s="3" t="s">
        <v>1696</v>
      </c>
      <c r="O925" s="3">
        <v>3.2216552429E10</v>
      </c>
    </row>
    <row r="926">
      <c r="A926" s="3">
        <v>2454338.0</v>
      </c>
      <c r="B926" s="3" t="s">
        <v>2216</v>
      </c>
      <c r="C926" s="3" t="b">
        <v>1</v>
      </c>
      <c r="D926" s="3" t="b">
        <v>1</v>
      </c>
      <c r="E926" s="3" t="s">
        <v>2217</v>
      </c>
      <c r="F926" s="3" t="s">
        <v>2218</v>
      </c>
      <c r="G926" s="4">
        <f>+251919850861</f>
        <v>251919850861</v>
      </c>
      <c r="H926" s="3" t="s">
        <v>18</v>
      </c>
      <c r="I926" s="3" t="s">
        <v>19</v>
      </c>
      <c r="J926" s="3" t="s">
        <v>19</v>
      </c>
      <c r="K926" s="3" t="s">
        <v>25</v>
      </c>
      <c r="L926" s="3">
        <v>26.26</v>
      </c>
      <c r="M926" s="3" t="s">
        <v>1695</v>
      </c>
      <c r="N926" s="3" t="s">
        <v>1696</v>
      </c>
    </row>
    <row r="927">
      <c r="A927" s="3">
        <v>2454387.0</v>
      </c>
      <c r="B927" s="3" t="s">
        <v>2219</v>
      </c>
      <c r="C927" s="3" t="b">
        <v>1</v>
      </c>
      <c r="D927" s="3" t="b">
        <v>1</v>
      </c>
      <c r="E927" s="3" t="s">
        <v>1801</v>
      </c>
      <c r="F927" s="3" t="s">
        <v>2220</v>
      </c>
      <c r="G927" s="4">
        <f>+251933584758</f>
        <v>251933584758</v>
      </c>
      <c r="H927" s="3" t="s">
        <v>18</v>
      </c>
      <c r="I927" s="3" t="s">
        <v>19</v>
      </c>
      <c r="J927" s="3" t="s">
        <v>19</v>
      </c>
      <c r="K927" s="3" t="s">
        <v>20</v>
      </c>
      <c r="L927" s="3">
        <v>19.23</v>
      </c>
      <c r="M927" s="3" t="s">
        <v>1695</v>
      </c>
      <c r="N927" s="3" t="s">
        <v>1696</v>
      </c>
      <c r="O927" s="3">
        <v>1.09482203384E11</v>
      </c>
    </row>
    <row r="928">
      <c r="A928" s="3">
        <v>2454452.0</v>
      </c>
      <c r="B928" s="3" t="s">
        <v>2221</v>
      </c>
      <c r="C928" s="3" t="b">
        <v>1</v>
      </c>
      <c r="D928" s="3" t="b">
        <v>1</v>
      </c>
      <c r="E928" s="3" t="s">
        <v>2222</v>
      </c>
      <c r="F928" s="3" t="s">
        <v>2223</v>
      </c>
      <c r="G928" s="4">
        <f>+251946017749</f>
        <v>251946017749</v>
      </c>
      <c r="H928" s="3" t="s">
        <v>18</v>
      </c>
      <c r="I928" s="3" t="s">
        <v>19</v>
      </c>
      <c r="J928" s="3" t="s">
        <v>19</v>
      </c>
      <c r="K928" s="3" t="s">
        <v>25</v>
      </c>
      <c r="L928" s="3">
        <v>25.33</v>
      </c>
      <c r="M928" s="3" t="s">
        <v>1695</v>
      </c>
      <c r="N928" s="3" t="s">
        <v>1696</v>
      </c>
      <c r="O928" s="3">
        <v>1.09135894752E11</v>
      </c>
    </row>
    <row r="929">
      <c r="A929" s="3">
        <v>2454551.0</v>
      </c>
      <c r="B929" s="3" t="s">
        <v>2224</v>
      </c>
      <c r="C929" s="3" t="b">
        <v>0</v>
      </c>
      <c r="D929" s="3" t="b">
        <v>1</v>
      </c>
      <c r="E929" s="3" t="s">
        <v>2225</v>
      </c>
      <c r="F929" s="3" t="s">
        <v>671</v>
      </c>
      <c r="G929" s="4">
        <f>+251927859793</f>
        <v>251927859793</v>
      </c>
      <c r="H929" s="3" t="s">
        <v>29</v>
      </c>
      <c r="I929" s="3" t="s">
        <v>19</v>
      </c>
      <c r="J929" s="3" t="s">
        <v>19</v>
      </c>
      <c r="K929" s="3" t="s">
        <v>25</v>
      </c>
      <c r="L929" s="3">
        <v>30.34</v>
      </c>
      <c r="M929" s="3" t="s">
        <v>1695</v>
      </c>
      <c r="N929" s="3" t="s">
        <v>1696</v>
      </c>
      <c r="O929" s="3">
        <v>1.09536889062E11</v>
      </c>
    </row>
    <row r="930">
      <c r="A930" s="3">
        <v>2454644.0</v>
      </c>
      <c r="B930" s="3" t="s">
        <v>2226</v>
      </c>
      <c r="C930" s="3" t="b">
        <v>1</v>
      </c>
      <c r="D930" s="3" t="b">
        <v>1</v>
      </c>
      <c r="E930" s="3" t="s">
        <v>773</v>
      </c>
      <c r="F930" s="3" t="s">
        <v>2227</v>
      </c>
      <c r="G930" s="4">
        <f>+251952271184</f>
        <v>251952271184</v>
      </c>
      <c r="H930" s="3" t="s">
        <v>1175</v>
      </c>
      <c r="I930" s="3" t="s">
        <v>19</v>
      </c>
      <c r="J930" s="3" t="s">
        <v>19</v>
      </c>
      <c r="K930" s="3" t="s">
        <v>20</v>
      </c>
      <c r="L930" s="3">
        <v>21.07</v>
      </c>
      <c r="M930" s="3" t="s">
        <v>1695</v>
      </c>
      <c r="N930" s="3" t="s">
        <v>1696</v>
      </c>
      <c r="O930" s="3">
        <v>1.0957291439E11</v>
      </c>
    </row>
    <row r="931">
      <c r="A931" s="3">
        <v>2454819.0</v>
      </c>
      <c r="B931" s="3" t="s">
        <v>2228</v>
      </c>
      <c r="C931" s="3" t="b">
        <v>1</v>
      </c>
      <c r="D931" s="3" t="b">
        <v>1</v>
      </c>
      <c r="E931" s="3" t="s">
        <v>2229</v>
      </c>
      <c r="F931" s="3" t="s">
        <v>2230</v>
      </c>
      <c r="G931" s="3">
        <v>9.18232918E8</v>
      </c>
      <c r="H931" s="3" t="s">
        <v>29</v>
      </c>
      <c r="I931" s="3" t="s">
        <v>19</v>
      </c>
      <c r="J931" s="3" t="s">
        <v>19</v>
      </c>
      <c r="K931" s="3" t="s">
        <v>25</v>
      </c>
      <c r="L931" s="3">
        <v>32.46</v>
      </c>
      <c r="M931" s="3" t="s">
        <v>1695</v>
      </c>
      <c r="N931" s="3" t="s">
        <v>1696</v>
      </c>
      <c r="O931" s="3">
        <v>1.0933268812E11</v>
      </c>
    </row>
    <row r="932">
      <c r="A932" s="3">
        <v>2454917.0</v>
      </c>
      <c r="B932" s="3" t="s">
        <v>2231</v>
      </c>
      <c r="C932" s="3" t="b">
        <v>1</v>
      </c>
      <c r="D932" s="3" t="b">
        <v>1</v>
      </c>
      <c r="E932" s="3" t="s">
        <v>2232</v>
      </c>
      <c r="F932" s="3" t="s">
        <v>2232</v>
      </c>
      <c r="G932" s="4">
        <f>+251927284545</f>
        <v>251927284545</v>
      </c>
      <c r="H932" s="3" t="s">
        <v>44</v>
      </c>
      <c r="I932" s="3" t="s">
        <v>19</v>
      </c>
      <c r="J932" s="3" t="s">
        <v>19</v>
      </c>
      <c r="K932" s="3" t="s">
        <v>25</v>
      </c>
      <c r="L932" s="3">
        <v>33.93</v>
      </c>
      <c r="M932" s="3" t="s">
        <v>1695</v>
      </c>
      <c r="N932" s="3" t="s">
        <v>1696</v>
      </c>
      <c r="O932" s="3">
        <v>1.09337813227E11</v>
      </c>
    </row>
    <row r="933">
      <c r="A933" s="3">
        <v>2455252.0</v>
      </c>
      <c r="B933" s="3" t="s">
        <v>2233</v>
      </c>
      <c r="C933" s="3" t="b">
        <v>1</v>
      </c>
      <c r="D933" s="3" t="b">
        <v>1</v>
      </c>
      <c r="E933" s="3" t="s">
        <v>2234</v>
      </c>
      <c r="F933" s="3" t="s">
        <v>2235</v>
      </c>
      <c r="G933" s="4">
        <f>+251968512811</f>
        <v>251968512811</v>
      </c>
      <c r="H933" s="3" t="s">
        <v>18</v>
      </c>
      <c r="I933" s="3" t="s">
        <v>19</v>
      </c>
      <c r="J933" s="3" t="s">
        <v>19</v>
      </c>
      <c r="K933" s="3" t="s">
        <v>25</v>
      </c>
      <c r="L933" s="3">
        <v>22.18</v>
      </c>
      <c r="M933" s="3" t="s">
        <v>1695</v>
      </c>
      <c r="N933" s="3" t="s">
        <v>1696</v>
      </c>
      <c r="O933" s="3">
        <v>1.00279198909E11</v>
      </c>
    </row>
    <row r="934">
      <c r="A934" s="3">
        <v>2455333.0</v>
      </c>
      <c r="B934" s="3" t="s">
        <v>2236</v>
      </c>
      <c r="C934" s="3" t="b">
        <v>0</v>
      </c>
      <c r="D934" s="3" t="b">
        <v>1</v>
      </c>
      <c r="E934" s="3" t="s">
        <v>2237</v>
      </c>
      <c r="F934" s="3" t="s">
        <v>44</v>
      </c>
      <c r="G934" s="4">
        <f>+251918146833</f>
        <v>251918146833</v>
      </c>
      <c r="H934" s="3" t="s">
        <v>29</v>
      </c>
      <c r="I934" s="3" t="s">
        <v>19</v>
      </c>
      <c r="J934" s="3" t="s">
        <v>19</v>
      </c>
      <c r="K934" s="3" t="s">
        <v>25</v>
      </c>
      <c r="L934" s="3">
        <v>35.06</v>
      </c>
      <c r="M934" s="3" t="s">
        <v>1695</v>
      </c>
      <c r="N934" s="3" t="s">
        <v>1696</v>
      </c>
      <c r="O934" s="3">
        <v>1.09721629924E11</v>
      </c>
    </row>
    <row r="935">
      <c r="A935" s="3">
        <v>2292847.0</v>
      </c>
      <c r="B935" s="3" t="s">
        <v>2238</v>
      </c>
      <c r="C935" s="3" t="b">
        <v>1</v>
      </c>
      <c r="D935" s="3" t="b">
        <v>1</v>
      </c>
      <c r="E935" s="3" t="s">
        <v>2239</v>
      </c>
      <c r="F935" s="3" t="s">
        <v>2240</v>
      </c>
      <c r="G935" s="3" t="s">
        <v>2241</v>
      </c>
      <c r="H935" s="3" t="s">
        <v>18</v>
      </c>
      <c r="I935" s="3" t="s">
        <v>19</v>
      </c>
      <c r="J935" s="3" t="s">
        <v>19</v>
      </c>
      <c r="K935" s="3" t="s">
        <v>25</v>
      </c>
      <c r="L935" s="3">
        <v>26.48</v>
      </c>
      <c r="M935" s="3" t="s">
        <v>1695</v>
      </c>
      <c r="N935" s="3" t="s">
        <v>1696</v>
      </c>
    </row>
    <row r="936">
      <c r="A936" s="3">
        <v>2455433.0</v>
      </c>
      <c r="B936" s="3" t="s">
        <v>2242</v>
      </c>
      <c r="C936" s="3" t="b">
        <v>0</v>
      </c>
      <c r="D936" s="3" t="b">
        <v>1</v>
      </c>
      <c r="E936" s="3" t="s">
        <v>2243</v>
      </c>
      <c r="F936" s="3" t="s">
        <v>2244</v>
      </c>
      <c r="G936" s="4">
        <f>+251968095344</f>
        <v>251968095344</v>
      </c>
      <c r="H936" s="3" t="s">
        <v>18</v>
      </c>
      <c r="I936" s="3" t="s">
        <v>19</v>
      </c>
      <c r="J936" s="3" t="s">
        <v>19</v>
      </c>
      <c r="K936" s="3" t="s">
        <v>20</v>
      </c>
      <c r="L936" s="3">
        <v>30.12</v>
      </c>
      <c r="M936" s="3" t="s">
        <v>1695</v>
      </c>
      <c r="N936" s="3" t="s">
        <v>1696</v>
      </c>
      <c r="O936" s="3">
        <v>1.09762065604E11</v>
      </c>
    </row>
    <row r="937">
      <c r="A937" s="3">
        <v>2455464.0</v>
      </c>
      <c r="B937" s="3" t="s">
        <v>2245</v>
      </c>
      <c r="C937" s="3" t="b">
        <v>1</v>
      </c>
      <c r="D937" s="3" t="b">
        <v>1</v>
      </c>
      <c r="E937" s="3" t="s">
        <v>719</v>
      </c>
      <c r="F937" s="3" t="s">
        <v>218</v>
      </c>
      <c r="G937" s="4">
        <f>+251954203747</f>
        <v>251954203747</v>
      </c>
      <c r="H937" s="3" t="s">
        <v>249</v>
      </c>
      <c r="I937" s="3" t="s">
        <v>19</v>
      </c>
      <c r="J937" s="3" t="s">
        <v>19</v>
      </c>
      <c r="K937" s="3" t="s">
        <v>20</v>
      </c>
      <c r="L937" s="3">
        <v>28.58</v>
      </c>
      <c r="M937" s="3" t="s">
        <v>1695</v>
      </c>
      <c r="N937" s="3" t="s">
        <v>1696</v>
      </c>
      <c r="O937" s="3">
        <v>1.09708814525E11</v>
      </c>
    </row>
    <row r="938">
      <c r="A938" s="3">
        <v>2455501.0</v>
      </c>
      <c r="B938" s="3" t="s">
        <v>2246</v>
      </c>
      <c r="C938" s="3" t="b">
        <v>1</v>
      </c>
      <c r="D938" s="3" t="b">
        <v>1</v>
      </c>
      <c r="E938" s="3" t="s">
        <v>2247</v>
      </c>
      <c r="F938" s="3" t="s">
        <v>443</v>
      </c>
      <c r="G938" s="3">
        <v>9.86929229E8</v>
      </c>
      <c r="H938" s="3" t="s">
        <v>289</v>
      </c>
      <c r="I938" s="3" t="s">
        <v>19</v>
      </c>
      <c r="J938" s="3" t="s">
        <v>19</v>
      </c>
      <c r="K938" s="3" t="s">
        <v>25</v>
      </c>
      <c r="L938" s="3">
        <v>18.38</v>
      </c>
      <c r="M938" s="3" t="s">
        <v>1695</v>
      </c>
      <c r="N938" s="3" t="s">
        <v>1696</v>
      </c>
    </row>
    <row r="939">
      <c r="A939" s="3">
        <v>2455592.0</v>
      </c>
      <c r="B939" s="3" t="s">
        <v>2248</v>
      </c>
      <c r="C939" s="3" t="b">
        <v>0</v>
      </c>
      <c r="D939" s="3" t="b">
        <v>1</v>
      </c>
      <c r="E939" s="3" t="s">
        <v>2249</v>
      </c>
      <c r="F939" s="3" t="s">
        <v>1572</v>
      </c>
      <c r="G939" s="4">
        <f>+251904933522</f>
        <v>251904933522</v>
      </c>
      <c r="H939" s="3" t="s">
        <v>249</v>
      </c>
      <c r="I939" s="3" t="s">
        <v>19</v>
      </c>
      <c r="J939" s="3" t="s">
        <v>19</v>
      </c>
      <c r="K939" s="3" t="s">
        <v>20</v>
      </c>
      <c r="L939" s="3">
        <v>33.33</v>
      </c>
      <c r="M939" s="3" t="s">
        <v>1695</v>
      </c>
      <c r="N939" s="3" t="s">
        <v>1696</v>
      </c>
      <c r="O939" s="3">
        <v>1.09780198643E11</v>
      </c>
    </row>
    <row r="940">
      <c r="A940" s="3">
        <v>2455677.0</v>
      </c>
      <c r="B940" s="3" t="s">
        <v>2250</v>
      </c>
      <c r="C940" s="3" t="b">
        <v>1</v>
      </c>
      <c r="D940" s="3" t="b">
        <v>1</v>
      </c>
      <c r="E940" s="3" t="s">
        <v>2251</v>
      </c>
      <c r="F940" s="3" t="s">
        <v>428</v>
      </c>
      <c r="G940" s="4">
        <f>+1966183880</f>
        <v>1966183880</v>
      </c>
      <c r="H940" s="3" t="s">
        <v>18</v>
      </c>
      <c r="I940" s="3" t="s">
        <v>19</v>
      </c>
      <c r="J940" s="3" t="s">
        <v>19</v>
      </c>
      <c r="K940" s="3" t="s">
        <v>25</v>
      </c>
      <c r="L940" s="3">
        <v>21.45</v>
      </c>
      <c r="M940" s="3" t="s">
        <v>1695</v>
      </c>
      <c r="N940" s="3" t="s">
        <v>1696</v>
      </c>
      <c r="O940" s="3">
        <v>1.09784673511E11</v>
      </c>
    </row>
    <row r="941">
      <c r="A941" s="3">
        <v>2455826.0</v>
      </c>
      <c r="B941" s="3" t="s">
        <v>2252</v>
      </c>
      <c r="C941" s="3" t="b">
        <v>0</v>
      </c>
      <c r="D941" s="3" t="b">
        <v>1</v>
      </c>
      <c r="E941" s="3" t="s">
        <v>1034</v>
      </c>
      <c r="F941" s="3" t="s">
        <v>826</v>
      </c>
      <c r="G941" s="4">
        <f>+251983916419</f>
        <v>251983916419</v>
      </c>
      <c r="H941" s="3" t="s">
        <v>29</v>
      </c>
      <c r="I941" s="3" t="s">
        <v>19</v>
      </c>
      <c r="J941" s="3" t="s">
        <v>19</v>
      </c>
      <c r="K941" s="3" t="s">
        <v>20</v>
      </c>
      <c r="L941" s="3">
        <v>17.71</v>
      </c>
      <c r="M941" s="3" t="s">
        <v>1695</v>
      </c>
      <c r="N941" s="3" t="s">
        <v>1696</v>
      </c>
      <c r="O941" s="3">
        <v>1.09803709678E11</v>
      </c>
    </row>
    <row r="942">
      <c r="A942" s="3">
        <v>2455910.0</v>
      </c>
      <c r="B942" s="3" t="s">
        <v>2253</v>
      </c>
      <c r="C942" s="3" t="b">
        <v>0</v>
      </c>
      <c r="D942" s="3" t="b">
        <v>1</v>
      </c>
      <c r="E942" s="3" t="s">
        <v>2254</v>
      </c>
      <c r="F942" s="3" t="s">
        <v>2255</v>
      </c>
      <c r="G942" s="3">
        <v>9.44286611E8</v>
      </c>
      <c r="H942" s="3" t="s">
        <v>18</v>
      </c>
      <c r="I942" s="3" t="s">
        <v>19</v>
      </c>
      <c r="J942" s="3" t="s">
        <v>19</v>
      </c>
      <c r="K942" s="3" t="s">
        <v>20</v>
      </c>
      <c r="L942" s="3">
        <v>17.37</v>
      </c>
      <c r="M942" s="3" t="s">
        <v>1695</v>
      </c>
      <c r="N942" s="3" t="s">
        <v>1696</v>
      </c>
      <c r="O942" s="3">
        <v>1.09816424678E11</v>
      </c>
    </row>
    <row r="943">
      <c r="A943" s="3">
        <v>2455838.0</v>
      </c>
      <c r="B943" s="3" t="s">
        <v>2256</v>
      </c>
      <c r="C943" s="3" t="b">
        <v>1</v>
      </c>
      <c r="D943" s="3" t="b">
        <v>1</v>
      </c>
      <c r="E943" s="3" t="s">
        <v>1924</v>
      </c>
      <c r="F943" s="3" t="s">
        <v>2257</v>
      </c>
      <c r="G943" s="4">
        <f>+251900143764</f>
        <v>251900143764</v>
      </c>
      <c r="H943" s="3" t="s">
        <v>18</v>
      </c>
      <c r="I943" s="3" t="s">
        <v>19</v>
      </c>
      <c r="J943" s="3" t="s">
        <v>19</v>
      </c>
      <c r="K943" s="3" t="s">
        <v>25</v>
      </c>
      <c r="L943" s="3">
        <v>20.3</v>
      </c>
      <c r="M943" s="3" t="s">
        <v>1695</v>
      </c>
      <c r="N943" s="3" t="s">
        <v>1696</v>
      </c>
      <c r="O943" s="3">
        <v>1.07228223701E11</v>
      </c>
    </row>
    <row r="944">
      <c r="A944" s="3">
        <v>2455969.0</v>
      </c>
      <c r="B944" s="3" t="s">
        <v>2258</v>
      </c>
      <c r="C944" s="3" t="b">
        <v>1</v>
      </c>
      <c r="D944" s="3" t="b">
        <v>0</v>
      </c>
      <c r="E944" s="3" t="s">
        <v>2259</v>
      </c>
      <c r="F944" s="3" t="s">
        <v>1572</v>
      </c>
      <c r="G944" s="4">
        <f>+251984791834</f>
        <v>251984791834</v>
      </c>
      <c r="H944" s="3" t="s">
        <v>18</v>
      </c>
      <c r="I944" s="3" t="s">
        <v>19</v>
      </c>
      <c r="J944" s="3" t="s">
        <v>19</v>
      </c>
      <c r="K944" s="3" t="s">
        <v>20</v>
      </c>
      <c r="L944" s="3">
        <v>25.01</v>
      </c>
      <c r="M944" s="3" t="s">
        <v>1695</v>
      </c>
      <c r="N944" s="3" t="s">
        <v>1696</v>
      </c>
      <c r="O944" s="3">
        <v>1.09821972669E11</v>
      </c>
    </row>
    <row r="945">
      <c r="A945" s="3">
        <v>2455962.0</v>
      </c>
      <c r="B945" s="3" t="s">
        <v>2260</v>
      </c>
      <c r="C945" s="3" t="b">
        <v>1</v>
      </c>
      <c r="D945" s="3" t="b">
        <v>1</v>
      </c>
      <c r="E945" s="3" t="s">
        <v>697</v>
      </c>
      <c r="F945" s="3" t="s">
        <v>2261</v>
      </c>
      <c r="G945" s="4">
        <f>+251900440002</f>
        <v>251900440002</v>
      </c>
      <c r="H945" s="3" t="s">
        <v>29</v>
      </c>
      <c r="I945" s="3" t="s">
        <v>19</v>
      </c>
      <c r="J945" s="3" t="s">
        <v>19</v>
      </c>
      <c r="K945" s="3" t="s">
        <v>20</v>
      </c>
      <c r="L945" s="3">
        <v>27.62</v>
      </c>
      <c r="M945" s="3" t="s">
        <v>1695</v>
      </c>
      <c r="N945" s="3" t="s">
        <v>1696</v>
      </c>
      <c r="O945" s="3">
        <v>1.09848595662E11</v>
      </c>
    </row>
    <row r="946">
      <c r="A946" s="3">
        <v>2456035.0</v>
      </c>
      <c r="B946" s="3" t="s">
        <v>2262</v>
      </c>
      <c r="C946" s="3" t="b">
        <v>1</v>
      </c>
      <c r="D946" s="3" t="b">
        <v>1</v>
      </c>
      <c r="E946" s="3" t="s">
        <v>2263</v>
      </c>
      <c r="F946" s="3" t="s">
        <v>2264</v>
      </c>
      <c r="G946" s="4">
        <f>+251910520754</f>
        <v>251910520754</v>
      </c>
      <c r="H946" s="3" t="s">
        <v>18</v>
      </c>
      <c r="I946" s="3" t="s">
        <v>19</v>
      </c>
      <c r="J946" s="3" t="s">
        <v>19</v>
      </c>
      <c r="K946" s="3" t="s">
        <v>25</v>
      </c>
      <c r="L946" s="3">
        <v>29.4</v>
      </c>
      <c r="M946" s="3" t="s">
        <v>1695</v>
      </c>
      <c r="N946" s="3" t="s">
        <v>1696</v>
      </c>
    </row>
    <row r="947">
      <c r="A947" s="3">
        <v>2456049.0</v>
      </c>
      <c r="B947" s="3" t="s">
        <v>2265</v>
      </c>
      <c r="C947" s="3" t="b">
        <v>1</v>
      </c>
      <c r="D947" s="3" t="b">
        <v>1</v>
      </c>
      <c r="E947" s="3" t="s">
        <v>2266</v>
      </c>
      <c r="F947" s="3" t="s">
        <v>2267</v>
      </c>
      <c r="G947" s="4">
        <f>+251921224201</f>
        <v>251921224201</v>
      </c>
      <c r="H947" s="3" t="s">
        <v>1812</v>
      </c>
      <c r="I947" s="3" t="s">
        <v>19</v>
      </c>
      <c r="J947" s="3" t="s">
        <v>19</v>
      </c>
      <c r="K947" s="3" t="s">
        <v>25</v>
      </c>
      <c r="L947" s="3">
        <v>49.34</v>
      </c>
      <c r="M947" s="3" t="s">
        <v>1695</v>
      </c>
      <c r="N947" s="3" t="s">
        <v>1696</v>
      </c>
      <c r="O947" s="3">
        <v>1.09853534449E11</v>
      </c>
    </row>
    <row r="948">
      <c r="A948" s="3">
        <v>914129.0</v>
      </c>
      <c r="B948" s="3" t="s">
        <v>2268</v>
      </c>
      <c r="C948" s="3" t="b">
        <v>1</v>
      </c>
      <c r="D948" s="3" t="b">
        <v>1</v>
      </c>
      <c r="E948" s="3" t="s">
        <v>267</v>
      </c>
      <c r="F948" s="3" t="s">
        <v>1898</v>
      </c>
      <c r="G948" s="4">
        <f>+251919370099</f>
        <v>251919370099</v>
      </c>
      <c r="H948" s="3" t="s">
        <v>18</v>
      </c>
      <c r="I948" s="3" t="s">
        <v>19</v>
      </c>
      <c r="J948" s="3" t="s">
        <v>19</v>
      </c>
      <c r="K948" s="3" t="s">
        <v>25</v>
      </c>
      <c r="L948" s="3">
        <v>28.17</v>
      </c>
      <c r="M948" s="3" t="s">
        <v>1695</v>
      </c>
      <c r="N948" s="3" t="s">
        <v>1696</v>
      </c>
      <c r="O948" s="3">
        <v>1903760.0</v>
      </c>
    </row>
    <row r="949">
      <c r="A949" s="3">
        <v>2456368.0</v>
      </c>
      <c r="B949" s="3" t="s">
        <v>2269</v>
      </c>
      <c r="C949" s="3" t="b">
        <v>1</v>
      </c>
      <c r="D949" s="3" t="b">
        <v>1</v>
      </c>
      <c r="E949" s="3" t="s">
        <v>2270</v>
      </c>
      <c r="F949" s="3" t="s">
        <v>418</v>
      </c>
      <c r="G949" s="4">
        <f>+251930557413</f>
        <v>251930557413</v>
      </c>
      <c r="H949" s="3" t="s">
        <v>18</v>
      </c>
      <c r="I949" s="3" t="s">
        <v>19</v>
      </c>
      <c r="J949" s="3" t="s">
        <v>19</v>
      </c>
      <c r="K949" s="3" t="s">
        <v>20</v>
      </c>
      <c r="L949" s="3">
        <v>24.97</v>
      </c>
      <c r="M949" s="3" t="s">
        <v>1695</v>
      </c>
      <c r="N949" s="3" t="s">
        <v>1696</v>
      </c>
      <c r="O949" s="3">
        <v>1.09877310672E11</v>
      </c>
    </row>
    <row r="950">
      <c r="A950" s="3">
        <v>2456558.0</v>
      </c>
      <c r="B950" s="3" t="s">
        <v>2271</v>
      </c>
      <c r="C950" s="3" t="b">
        <v>0</v>
      </c>
      <c r="D950" s="3" t="b">
        <v>1</v>
      </c>
      <c r="E950" s="3" t="s">
        <v>2272</v>
      </c>
      <c r="F950" s="3" t="s">
        <v>70</v>
      </c>
      <c r="G950" s="4">
        <f>+251989059331</f>
        <v>251989059331</v>
      </c>
      <c r="H950" s="3" t="s">
        <v>18</v>
      </c>
      <c r="I950" s="3" t="s">
        <v>19</v>
      </c>
      <c r="J950" s="3" t="s">
        <v>19</v>
      </c>
      <c r="K950" s="3" t="s">
        <v>25</v>
      </c>
      <c r="L950" s="3">
        <v>26.05</v>
      </c>
      <c r="M950" s="3" t="s">
        <v>1695</v>
      </c>
      <c r="N950" s="3" t="s">
        <v>1696</v>
      </c>
      <c r="O950" s="3">
        <v>4.3174036187E10</v>
      </c>
    </row>
    <row r="951">
      <c r="A951" s="3">
        <v>2456672.0</v>
      </c>
      <c r="B951" s="3" t="s">
        <v>2273</v>
      </c>
      <c r="C951" s="3" t="b">
        <v>0</v>
      </c>
      <c r="D951" s="3" t="b">
        <v>1</v>
      </c>
      <c r="E951" s="3" t="s">
        <v>2274</v>
      </c>
      <c r="F951" s="3" t="s">
        <v>2275</v>
      </c>
      <c r="G951" s="4">
        <f>+251915113010</f>
        <v>251915113010</v>
      </c>
      <c r="H951" s="3" t="s">
        <v>18</v>
      </c>
      <c r="I951" s="3" t="s">
        <v>19</v>
      </c>
      <c r="J951" s="3" t="s">
        <v>19</v>
      </c>
      <c r="K951" s="3" t="s">
        <v>25</v>
      </c>
      <c r="L951" s="3">
        <v>21.59</v>
      </c>
      <c r="M951" s="3" t="s">
        <v>1695</v>
      </c>
      <c r="N951" s="3" t="s">
        <v>1696</v>
      </c>
      <c r="O951" s="3">
        <v>1.09969360109E11</v>
      </c>
    </row>
    <row r="952">
      <c r="A952" s="3">
        <v>2433224.0</v>
      </c>
      <c r="B952" s="3" t="s">
        <v>2276</v>
      </c>
      <c r="C952" s="3" t="b">
        <v>1</v>
      </c>
      <c r="D952" s="3" t="b">
        <v>1</v>
      </c>
      <c r="E952" s="3" t="s">
        <v>2277</v>
      </c>
      <c r="F952" s="3" t="s">
        <v>2278</v>
      </c>
      <c r="G952" s="4">
        <f>+251928190172</f>
        <v>251928190172</v>
      </c>
      <c r="H952" s="3" t="s">
        <v>29</v>
      </c>
      <c r="I952" s="3" t="s">
        <v>19</v>
      </c>
      <c r="J952" s="3" t="s">
        <v>19</v>
      </c>
      <c r="K952" s="3" t="s">
        <v>25</v>
      </c>
      <c r="L952" s="3">
        <v>22.77</v>
      </c>
      <c r="M952" s="3" t="s">
        <v>1695</v>
      </c>
      <c r="N952" s="3" t="s">
        <v>1696</v>
      </c>
    </row>
    <row r="953">
      <c r="A953" s="3">
        <v>2456772.0</v>
      </c>
      <c r="B953" s="3" t="s">
        <v>2279</v>
      </c>
      <c r="C953" s="3" t="b">
        <v>1</v>
      </c>
      <c r="D953" s="3" t="b">
        <v>1</v>
      </c>
      <c r="E953" s="3" t="s">
        <v>2280</v>
      </c>
      <c r="F953" s="3" t="s">
        <v>2281</v>
      </c>
      <c r="G953" s="4">
        <f>+251929397908</f>
        <v>251929397908</v>
      </c>
      <c r="H953" s="3" t="s">
        <v>18</v>
      </c>
      <c r="I953" s="3" t="s">
        <v>19</v>
      </c>
      <c r="J953" s="3" t="s">
        <v>19</v>
      </c>
      <c r="K953" s="3" t="s">
        <v>25</v>
      </c>
      <c r="L953" s="3">
        <v>13.24</v>
      </c>
      <c r="M953" s="3" t="s">
        <v>1695</v>
      </c>
      <c r="N953" s="3" t="s">
        <v>1696</v>
      </c>
    </row>
    <row r="954">
      <c r="A954" s="3">
        <v>2456887.0</v>
      </c>
      <c r="B954" s="3" t="s">
        <v>2282</v>
      </c>
      <c r="C954" s="3" t="b">
        <v>0</v>
      </c>
      <c r="D954" s="3" t="b">
        <v>1</v>
      </c>
      <c r="E954" s="3" t="s">
        <v>129</v>
      </c>
      <c r="F954" s="3" t="s">
        <v>2283</v>
      </c>
      <c r="G954" s="4">
        <f>+251988983189</f>
        <v>251988983189</v>
      </c>
      <c r="H954" s="3" t="s">
        <v>18</v>
      </c>
      <c r="I954" s="3" t="s">
        <v>19</v>
      </c>
      <c r="J954" s="3" t="s">
        <v>19</v>
      </c>
      <c r="K954" s="3" t="s">
        <v>20</v>
      </c>
      <c r="L954" s="3">
        <v>20.38</v>
      </c>
      <c r="M954" s="3" t="s">
        <v>1695</v>
      </c>
      <c r="N954" s="3" t="s">
        <v>1696</v>
      </c>
      <c r="O954" s="3">
        <v>1.10042648797E11</v>
      </c>
    </row>
    <row r="955">
      <c r="A955" s="3">
        <v>1621851.0</v>
      </c>
      <c r="B955" s="3" t="s">
        <v>2284</v>
      </c>
      <c r="C955" s="3" t="b">
        <v>1</v>
      </c>
      <c r="D955" s="3" t="b">
        <v>1</v>
      </c>
      <c r="E955" s="3" t="s">
        <v>208</v>
      </c>
      <c r="F955" s="3" t="s">
        <v>1069</v>
      </c>
      <c r="G955" s="4">
        <f>+251902403127</f>
        <v>251902403127</v>
      </c>
      <c r="H955" s="3" t="s">
        <v>18</v>
      </c>
      <c r="I955" s="3" t="s">
        <v>19</v>
      </c>
      <c r="J955" s="3" t="s">
        <v>19</v>
      </c>
      <c r="K955" s="3" t="s">
        <v>25</v>
      </c>
      <c r="L955" s="3">
        <v>28.41</v>
      </c>
      <c r="M955" s="3" t="s">
        <v>1695</v>
      </c>
      <c r="N955" s="3" t="s">
        <v>1696</v>
      </c>
      <c r="O955" s="3">
        <v>2.0095173595E10</v>
      </c>
    </row>
    <row r="956">
      <c r="A956" s="3">
        <v>1986039.0</v>
      </c>
      <c r="B956" s="3" t="s">
        <v>2285</v>
      </c>
      <c r="C956" s="3" t="b">
        <v>1</v>
      </c>
      <c r="D956" s="3" t="b">
        <v>1</v>
      </c>
      <c r="E956" s="3" t="s">
        <v>414</v>
      </c>
      <c r="F956" s="3" t="s">
        <v>2286</v>
      </c>
      <c r="G956" s="4">
        <f>+251921563313</f>
        <v>251921563313</v>
      </c>
      <c r="H956" s="3" t="s">
        <v>18</v>
      </c>
      <c r="I956" s="3" t="s">
        <v>19</v>
      </c>
      <c r="J956" s="3" t="s">
        <v>19</v>
      </c>
      <c r="K956" s="3" t="s">
        <v>25</v>
      </c>
      <c r="L956" s="3">
        <v>28.93</v>
      </c>
      <c r="M956" s="3" t="s">
        <v>1695</v>
      </c>
      <c r="N956" s="3" t="s">
        <v>1696</v>
      </c>
      <c r="O956" s="3">
        <v>2.8153780157E10</v>
      </c>
    </row>
    <row r="957">
      <c r="A957" s="3">
        <v>2456946.0</v>
      </c>
      <c r="B957" s="3" t="s">
        <v>2287</v>
      </c>
      <c r="C957" s="3" t="b">
        <v>1</v>
      </c>
      <c r="D957" s="3" t="b">
        <v>1</v>
      </c>
      <c r="E957" s="3" t="s">
        <v>2288</v>
      </c>
      <c r="F957" s="3" t="s">
        <v>561</v>
      </c>
      <c r="G957" s="4">
        <f>+251983291090</f>
        <v>251983291090</v>
      </c>
      <c r="H957" s="3" t="s">
        <v>18</v>
      </c>
      <c r="I957" s="3" t="s">
        <v>19</v>
      </c>
      <c r="J957" s="3" t="s">
        <v>19</v>
      </c>
      <c r="K957" s="3" t="s">
        <v>25</v>
      </c>
      <c r="L957" s="3">
        <v>22.31</v>
      </c>
      <c r="M957" s="3" t="s">
        <v>1695</v>
      </c>
      <c r="N957" s="3" t="s">
        <v>1696</v>
      </c>
      <c r="O957" s="3">
        <v>1.1007911648E11</v>
      </c>
    </row>
    <row r="958">
      <c r="A958" s="3">
        <v>2456981.0</v>
      </c>
      <c r="B958" s="3" t="s">
        <v>2289</v>
      </c>
      <c r="C958" s="3" t="b">
        <v>0</v>
      </c>
      <c r="D958" s="3" t="b">
        <v>1</v>
      </c>
      <c r="E958" s="3" t="s">
        <v>2290</v>
      </c>
      <c r="F958" s="3" t="s">
        <v>1074</v>
      </c>
      <c r="G958" s="4">
        <f>+251952734066</f>
        <v>251952734066</v>
      </c>
      <c r="H958" s="3" t="s">
        <v>289</v>
      </c>
      <c r="I958" s="3" t="s">
        <v>19</v>
      </c>
      <c r="J958" s="3" t="s">
        <v>19</v>
      </c>
      <c r="K958" s="3" t="s">
        <v>20</v>
      </c>
      <c r="L958" s="3">
        <v>22.17</v>
      </c>
      <c r="M958" s="3" t="s">
        <v>1695</v>
      </c>
      <c r="N958" s="3" t="s">
        <v>1696</v>
      </c>
      <c r="O958" s="3">
        <v>1.10086138098E11</v>
      </c>
    </row>
    <row r="959">
      <c r="A959" s="3">
        <v>2457008.0</v>
      </c>
      <c r="B959" s="3" t="s">
        <v>2291</v>
      </c>
      <c r="C959" s="3" t="b">
        <v>1</v>
      </c>
      <c r="D959" s="3" t="b">
        <v>1</v>
      </c>
      <c r="E959" s="3" t="s">
        <v>2292</v>
      </c>
      <c r="F959" s="3" t="s">
        <v>2292</v>
      </c>
      <c r="G959" s="4">
        <f>+251910465253</f>
        <v>251910465253</v>
      </c>
      <c r="H959" s="3" t="s">
        <v>44</v>
      </c>
      <c r="I959" s="3" t="s">
        <v>19</v>
      </c>
      <c r="J959" s="3" t="s">
        <v>19</v>
      </c>
      <c r="K959" s="3" t="s">
        <v>25</v>
      </c>
      <c r="L959" s="3">
        <v>32.23</v>
      </c>
      <c r="M959" s="3" t="s">
        <v>1695</v>
      </c>
      <c r="N959" s="3" t="s">
        <v>1696</v>
      </c>
    </row>
    <row r="960">
      <c r="A960" s="3">
        <v>2457055.0</v>
      </c>
      <c r="B960" s="3" t="s">
        <v>2293</v>
      </c>
      <c r="C960" s="3" t="b">
        <v>1</v>
      </c>
      <c r="D960" s="3" t="b">
        <v>1</v>
      </c>
      <c r="E960" s="3" t="s">
        <v>2294</v>
      </c>
      <c r="F960" s="3" t="s">
        <v>2295</v>
      </c>
      <c r="G960" s="4">
        <f>+251914748584</f>
        <v>251914748584</v>
      </c>
      <c r="H960" s="3" t="s">
        <v>18</v>
      </c>
      <c r="I960" s="3" t="s">
        <v>19</v>
      </c>
      <c r="J960" s="3" t="s">
        <v>19</v>
      </c>
      <c r="K960" s="3" t="s">
        <v>25</v>
      </c>
      <c r="L960" s="3">
        <v>33.14</v>
      </c>
      <c r="M960" s="3" t="s">
        <v>1695</v>
      </c>
      <c r="N960" s="3" t="s">
        <v>1696</v>
      </c>
      <c r="O960" s="3">
        <v>1.10100780252E11</v>
      </c>
    </row>
    <row r="961">
      <c r="A961" s="3">
        <v>693779.0</v>
      </c>
      <c r="B961" s="3" t="s">
        <v>2296</v>
      </c>
      <c r="C961" s="3" t="b">
        <v>1</v>
      </c>
      <c r="D961" s="3" t="b">
        <v>0</v>
      </c>
      <c r="E961" s="3" t="s">
        <v>291</v>
      </c>
      <c r="F961" s="3" t="s">
        <v>1269</v>
      </c>
      <c r="G961" s="4">
        <f>+251912631314</f>
        <v>251912631314</v>
      </c>
      <c r="H961" s="3" t="s">
        <v>18</v>
      </c>
      <c r="I961" s="3" t="s">
        <v>19</v>
      </c>
      <c r="J961" s="3" t="s">
        <v>19</v>
      </c>
      <c r="K961" s="3" t="s">
        <v>20</v>
      </c>
      <c r="L961" s="3">
        <v>30.44</v>
      </c>
      <c r="M961" s="3" t="s">
        <v>1695</v>
      </c>
      <c r="N961" s="3" t="s">
        <v>1696</v>
      </c>
      <c r="O961" s="3">
        <v>8719330.0</v>
      </c>
    </row>
    <row r="962">
      <c r="A962" s="3">
        <v>2192291.0</v>
      </c>
      <c r="B962" s="3" t="s">
        <v>2297</v>
      </c>
      <c r="C962" s="3" t="b">
        <v>1</v>
      </c>
      <c r="D962" s="3" t="b">
        <v>1</v>
      </c>
      <c r="E962" s="3" t="s">
        <v>129</v>
      </c>
      <c r="F962" s="3" t="s">
        <v>1898</v>
      </c>
      <c r="G962" s="3">
        <v>9.13034733E8</v>
      </c>
      <c r="H962" s="3" t="s">
        <v>18</v>
      </c>
      <c r="I962" s="3" t="s">
        <v>19</v>
      </c>
      <c r="J962" s="3" t="s">
        <v>19</v>
      </c>
      <c r="K962" s="3" t="s">
        <v>20</v>
      </c>
      <c r="L962" s="3">
        <v>24.62</v>
      </c>
      <c r="M962" s="3" t="s">
        <v>1695</v>
      </c>
      <c r="N962" s="3" t="s">
        <v>1696</v>
      </c>
      <c r="O962" s="3">
        <v>3.2946942417E10</v>
      </c>
    </row>
    <row r="963">
      <c r="A963" s="3">
        <v>2457387.0</v>
      </c>
      <c r="B963" s="3" t="s">
        <v>2298</v>
      </c>
      <c r="C963" s="3" t="b">
        <v>1</v>
      </c>
      <c r="D963" s="3" t="b">
        <v>1</v>
      </c>
      <c r="E963" s="3" t="s">
        <v>2299</v>
      </c>
      <c r="F963" s="3" t="s">
        <v>918</v>
      </c>
      <c r="G963" s="4">
        <f>+251973319739</f>
        <v>251973319739</v>
      </c>
      <c r="H963" s="3" t="s">
        <v>106</v>
      </c>
      <c r="I963" s="3" t="s">
        <v>19</v>
      </c>
      <c r="J963" s="3" t="s">
        <v>19</v>
      </c>
      <c r="K963" s="3" t="s">
        <v>25</v>
      </c>
      <c r="L963" s="3">
        <v>27.31</v>
      </c>
      <c r="M963" s="3" t="s">
        <v>1695</v>
      </c>
      <c r="N963" s="3" t="s">
        <v>1696</v>
      </c>
      <c r="O963" s="3">
        <v>872320.0</v>
      </c>
    </row>
    <row r="964">
      <c r="A964" s="3">
        <v>2443160.0</v>
      </c>
      <c r="B964" s="3" t="s">
        <v>2300</v>
      </c>
      <c r="C964" s="3" t="b">
        <v>1</v>
      </c>
      <c r="D964" s="3" t="b">
        <v>1</v>
      </c>
      <c r="E964" s="3" t="s">
        <v>2301</v>
      </c>
      <c r="F964" s="3" t="s">
        <v>2302</v>
      </c>
      <c r="G964" s="4">
        <f>+251951052365</f>
        <v>251951052365</v>
      </c>
      <c r="H964" s="3" t="s">
        <v>18</v>
      </c>
      <c r="I964" s="3" t="s">
        <v>19</v>
      </c>
      <c r="J964" s="3" t="s">
        <v>19</v>
      </c>
      <c r="K964" s="3" t="s">
        <v>20</v>
      </c>
      <c r="L964" s="3">
        <v>22.81</v>
      </c>
      <c r="M964" s="3" t="s">
        <v>1695</v>
      </c>
      <c r="N964" s="3" t="s">
        <v>1696</v>
      </c>
      <c r="O964" s="3">
        <v>1.05505473779E11</v>
      </c>
    </row>
    <row r="965">
      <c r="A965" s="3">
        <v>2457772.0</v>
      </c>
      <c r="B965" s="3" t="s">
        <v>2303</v>
      </c>
      <c r="C965" s="3" t="b">
        <v>1</v>
      </c>
      <c r="D965" s="3" t="b">
        <v>1</v>
      </c>
      <c r="E965" s="3" t="s">
        <v>328</v>
      </c>
      <c r="F965" s="3" t="s">
        <v>1000</v>
      </c>
      <c r="G965" s="4">
        <f>+251919349242</f>
        <v>251919349242</v>
      </c>
      <c r="H965" s="3" t="s">
        <v>18</v>
      </c>
      <c r="I965" s="3" t="s">
        <v>19</v>
      </c>
      <c r="J965" s="3" t="s">
        <v>19</v>
      </c>
      <c r="K965" s="3" t="s">
        <v>25</v>
      </c>
      <c r="L965" s="3">
        <v>25.68</v>
      </c>
      <c r="M965" s="3" t="s">
        <v>1695</v>
      </c>
      <c r="N965" s="3" t="s">
        <v>1696</v>
      </c>
    </row>
    <row r="966">
      <c r="A966" s="3">
        <v>2458135.0</v>
      </c>
      <c r="B966" s="3" t="s">
        <v>2304</v>
      </c>
      <c r="C966" s="3" t="b">
        <v>1</v>
      </c>
      <c r="D966" s="3" t="b">
        <v>1</v>
      </c>
      <c r="E966" s="3" t="s">
        <v>208</v>
      </c>
      <c r="F966" s="3" t="s">
        <v>610</v>
      </c>
      <c r="G966" s="4">
        <f>+251913191648</f>
        <v>251913191648</v>
      </c>
      <c r="H966" s="3" t="s">
        <v>87</v>
      </c>
      <c r="I966" s="3" t="s">
        <v>19</v>
      </c>
      <c r="J966" s="3" t="s">
        <v>19</v>
      </c>
      <c r="K966" s="3" t="s">
        <v>25</v>
      </c>
      <c r="L966" s="3">
        <v>14.42</v>
      </c>
      <c r="M966" s="3" t="s">
        <v>1695</v>
      </c>
      <c r="N966" s="3" t="s">
        <v>1696</v>
      </c>
    </row>
    <row r="967">
      <c r="A967" s="3">
        <v>2458375.0</v>
      </c>
      <c r="B967" s="3" t="s">
        <v>2305</v>
      </c>
      <c r="C967" s="3" t="b">
        <v>1</v>
      </c>
      <c r="D967" s="3" t="b">
        <v>1</v>
      </c>
      <c r="E967" s="3" t="s">
        <v>353</v>
      </c>
      <c r="F967" s="3" t="s">
        <v>32</v>
      </c>
      <c r="G967" s="4">
        <f>+251922558950</f>
        <v>251922558950</v>
      </c>
      <c r="H967" s="3" t="s">
        <v>18</v>
      </c>
      <c r="I967" s="3" t="s">
        <v>19</v>
      </c>
      <c r="J967" s="3" t="s">
        <v>19</v>
      </c>
      <c r="K967" s="3" t="s">
        <v>25</v>
      </c>
      <c r="L967" s="3">
        <v>19.31</v>
      </c>
      <c r="M967" s="3" t="s">
        <v>1695</v>
      </c>
      <c r="N967" s="3" t="s">
        <v>1696</v>
      </c>
      <c r="O967" s="3">
        <v>1.1042489573E11</v>
      </c>
    </row>
    <row r="968">
      <c r="A968" s="3">
        <v>2458331.0</v>
      </c>
      <c r="B968" s="3" t="s">
        <v>2306</v>
      </c>
      <c r="C968" s="3" t="b">
        <v>0</v>
      </c>
      <c r="D968" s="3" t="b">
        <v>1</v>
      </c>
      <c r="E968" s="3" t="s">
        <v>58</v>
      </c>
      <c r="F968" s="3" t="s">
        <v>1321</v>
      </c>
      <c r="G968" s="4">
        <f>+251930665878</f>
        <v>251930665878</v>
      </c>
      <c r="H968" s="3" t="s">
        <v>18</v>
      </c>
      <c r="I968" s="3" t="s">
        <v>19</v>
      </c>
      <c r="J968" s="3" t="s">
        <v>19</v>
      </c>
      <c r="K968" s="3" t="s">
        <v>25</v>
      </c>
      <c r="L968" s="3">
        <v>28.01</v>
      </c>
      <c r="M968" s="3" t="s">
        <v>1695</v>
      </c>
      <c r="N968" s="3" t="s">
        <v>1696</v>
      </c>
      <c r="O968" s="3">
        <v>1.10387887349E11</v>
      </c>
    </row>
    <row r="969">
      <c r="A969" s="3">
        <v>212621.0</v>
      </c>
      <c r="B969" s="3" t="s">
        <v>2307</v>
      </c>
      <c r="C969" s="3" t="b">
        <v>1</v>
      </c>
      <c r="D969" s="3" t="b">
        <v>1</v>
      </c>
      <c r="E969" s="3" t="s">
        <v>2308</v>
      </c>
      <c r="F969" s="3" t="s">
        <v>2309</v>
      </c>
      <c r="G969" s="4">
        <f>+251924437234</f>
        <v>251924437234</v>
      </c>
      <c r="H969" s="3" t="s">
        <v>18</v>
      </c>
      <c r="I969" s="3" t="s">
        <v>19</v>
      </c>
      <c r="J969" s="3" t="s">
        <v>19</v>
      </c>
      <c r="K969" s="3" t="s">
        <v>25</v>
      </c>
      <c r="L969" s="3">
        <v>36.87</v>
      </c>
      <c r="M969" s="3" t="s">
        <v>1695</v>
      </c>
      <c r="N969" s="3" t="s">
        <v>1696</v>
      </c>
      <c r="O969" s="3">
        <v>2.6745736E7</v>
      </c>
    </row>
    <row r="970">
      <c r="A970" s="3">
        <v>2458675.0</v>
      </c>
      <c r="B970" s="3" t="s">
        <v>2310</v>
      </c>
      <c r="C970" s="3" t="b">
        <v>1</v>
      </c>
      <c r="D970" s="3" t="b">
        <v>1</v>
      </c>
      <c r="E970" s="3" t="s">
        <v>1773</v>
      </c>
      <c r="F970" s="3" t="s">
        <v>2311</v>
      </c>
      <c r="G970" s="4">
        <f>+251926168273</f>
        <v>251926168273</v>
      </c>
      <c r="H970" s="3" t="s">
        <v>18</v>
      </c>
      <c r="I970" s="3" t="s">
        <v>19</v>
      </c>
      <c r="J970" s="3" t="s">
        <v>19</v>
      </c>
      <c r="K970" s="3" t="s">
        <v>25</v>
      </c>
      <c r="L970" s="3">
        <v>23.6</v>
      </c>
      <c r="M970" s="3" t="s">
        <v>1695</v>
      </c>
      <c r="N970" s="3" t="s">
        <v>1696</v>
      </c>
      <c r="O970" s="3">
        <v>1.10450742513E11</v>
      </c>
    </row>
    <row r="971">
      <c r="A971" s="3">
        <v>2458808.0</v>
      </c>
      <c r="B971" s="3" t="s">
        <v>2312</v>
      </c>
      <c r="C971" s="3" t="b">
        <v>0</v>
      </c>
      <c r="D971" s="3" t="b">
        <v>1</v>
      </c>
      <c r="E971" s="3" t="s">
        <v>468</v>
      </c>
      <c r="F971" s="3" t="s">
        <v>44</v>
      </c>
      <c r="G971" s="4">
        <f>+251970453274</f>
        <v>251970453274</v>
      </c>
      <c r="H971" s="3" t="s">
        <v>249</v>
      </c>
      <c r="I971" s="3" t="s">
        <v>19</v>
      </c>
      <c r="J971" s="3" t="s">
        <v>19</v>
      </c>
      <c r="K971" s="3" t="s">
        <v>25</v>
      </c>
      <c r="L971" s="3">
        <v>13.24</v>
      </c>
      <c r="M971" s="3" t="s">
        <v>1695</v>
      </c>
      <c r="N971" s="3" t="s">
        <v>1696</v>
      </c>
      <c r="O971" s="3">
        <v>1.10483491029E11</v>
      </c>
    </row>
    <row r="972">
      <c r="A972" s="3">
        <v>2458846.0</v>
      </c>
      <c r="B972" s="3" t="s">
        <v>2313</v>
      </c>
      <c r="C972" s="3" t="b">
        <v>0</v>
      </c>
      <c r="D972" s="3" t="b">
        <v>1</v>
      </c>
      <c r="E972" s="3" t="s">
        <v>1215</v>
      </c>
      <c r="F972" s="3" t="s">
        <v>2314</v>
      </c>
      <c r="G972" s="4">
        <f>+251914987844</f>
        <v>251914987844</v>
      </c>
      <c r="H972" s="3" t="s">
        <v>346</v>
      </c>
      <c r="I972" s="3" t="s">
        <v>19</v>
      </c>
      <c r="J972" s="3" t="s">
        <v>19</v>
      </c>
      <c r="K972" s="3" t="s">
        <v>25</v>
      </c>
      <c r="L972" s="3">
        <v>13.24</v>
      </c>
      <c r="M972" s="3" t="s">
        <v>1695</v>
      </c>
      <c r="N972" s="3" t="s">
        <v>1696</v>
      </c>
      <c r="O972" s="3">
        <v>2.3417212E7</v>
      </c>
    </row>
    <row r="973">
      <c r="A973" s="3">
        <v>2459021.0</v>
      </c>
      <c r="B973" s="3" t="s">
        <v>2315</v>
      </c>
      <c r="C973" s="3" t="b">
        <v>1</v>
      </c>
      <c r="D973" s="3" t="b">
        <v>1</v>
      </c>
      <c r="E973" s="3" t="s">
        <v>209</v>
      </c>
      <c r="F973" s="3" t="s">
        <v>2316</v>
      </c>
      <c r="G973" s="4">
        <f>+251910897448</f>
        <v>251910897448</v>
      </c>
      <c r="H973" s="3" t="s">
        <v>18</v>
      </c>
      <c r="I973" s="3" t="s">
        <v>19</v>
      </c>
      <c r="J973" s="3" t="s">
        <v>2317</v>
      </c>
      <c r="K973" s="3" t="s">
        <v>25</v>
      </c>
      <c r="L973" s="3">
        <v>35.13</v>
      </c>
      <c r="M973" s="3" t="s">
        <v>1695</v>
      </c>
      <c r="N973" s="3" t="s">
        <v>1696</v>
      </c>
      <c r="O973" s="3">
        <v>1.1050542921E11</v>
      </c>
    </row>
    <row r="974">
      <c r="A974" s="3">
        <v>2459177.0</v>
      </c>
      <c r="B974" s="3" t="s">
        <v>2318</v>
      </c>
      <c r="C974" s="3" t="b">
        <v>0</v>
      </c>
      <c r="D974" s="3" t="b">
        <v>1</v>
      </c>
      <c r="E974" s="3" t="s">
        <v>2319</v>
      </c>
      <c r="F974" s="3" t="s">
        <v>406</v>
      </c>
      <c r="G974" s="4">
        <f>+251911003502</f>
        <v>251911003502</v>
      </c>
      <c r="H974" s="3" t="s">
        <v>18</v>
      </c>
      <c r="I974" s="3" t="s">
        <v>19</v>
      </c>
      <c r="J974" s="3" t="s">
        <v>19</v>
      </c>
      <c r="K974" s="3" t="s">
        <v>20</v>
      </c>
      <c r="L974" s="3">
        <v>35.06</v>
      </c>
      <c r="M974" s="3" t="s">
        <v>1695</v>
      </c>
      <c r="N974" s="3" t="s">
        <v>1696</v>
      </c>
      <c r="O974" s="3">
        <v>1.1063571173E11</v>
      </c>
    </row>
    <row r="975">
      <c r="A975" s="3">
        <v>808978.0</v>
      </c>
      <c r="B975" s="3" t="s">
        <v>2320</v>
      </c>
      <c r="C975" s="3" t="b">
        <v>1</v>
      </c>
      <c r="D975" s="3" t="b">
        <v>1</v>
      </c>
      <c r="E975" s="3" t="s">
        <v>1671</v>
      </c>
      <c r="F975" s="3" t="s">
        <v>2321</v>
      </c>
      <c r="G975" s="4">
        <f>+251912858363</f>
        <v>251912858363</v>
      </c>
      <c r="H975" s="3" t="s">
        <v>18</v>
      </c>
      <c r="I975" s="3" t="s">
        <v>19</v>
      </c>
      <c r="J975" s="3" t="s">
        <v>19</v>
      </c>
      <c r="K975" s="3" t="s">
        <v>25</v>
      </c>
      <c r="L975" s="3">
        <v>24.92</v>
      </c>
      <c r="M975" s="3" t="s">
        <v>1695</v>
      </c>
      <c r="N975" s="3" t="s">
        <v>1696</v>
      </c>
      <c r="O975" s="3">
        <v>3.116357077E9</v>
      </c>
    </row>
    <row r="976">
      <c r="A976" s="3">
        <v>2459919.0</v>
      </c>
      <c r="B976" s="3" t="s">
        <v>2322</v>
      </c>
      <c r="C976" s="3" t="b">
        <v>0</v>
      </c>
      <c r="D976" s="3" t="b">
        <v>0</v>
      </c>
      <c r="E976" s="3" t="s">
        <v>2323</v>
      </c>
      <c r="F976" s="3" t="s">
        <v>2324</v>
      </c>
      <c r="G976" s="4">
        <f>+251925536616</f>
        <v>251925536616</v>
      </c>
      <c r="H976" s="3" t="s">
        <v>29</v>
      </c>
      <c r="I976" s="3" t="s">
        <v>19</v>
      </c>
      <c r="J976" s="3" t="s">
        <v>19</v>
      </c>
      <c r="K976" s="3" t="s">
        <v>25</v>
      </c>
      <c r="L976" s="3">
        <v>13.23</v>
      </c>
      <c r="M976" s="3" t="s">
        <v>1695</v>
      </c>
      <c r="N976" s="3" t="s">
        <v>1696</v>
      </c>
      <c r="O976" s="3">
        <v>1.10871630035E11</v>
      </c>
    </row>
    <row r="977">
      <c r="A977" s="3">
        <v>2459939.0</v>
      </c>
      <c r="B977" s="3" t="s">
        <v>2325</v>
      </c>
      <c r="C977" s="3" t="b">
        <v>1</v>
      </c>
      <c r="D977" s="3" t="b">
        <v>1</v>
      </c>
      <c r="E977" s="3" t="s">
        <v>2326</v>
      </c>
      <c r="F977" s="3" t="s">
        <v>2327</v>
      </c>
      <c r="G977" s="4">
        <f>+251919839191</f>
        <v>251919839191</v>
      </c>
      <c r="H977" s="3" t="s">
        <v>18</v>
      </c>
      <c r="I977" s="3" t="s">
        <v>19</v>
      </c>
      <c r="J977" s="3" t="s">
        <v>19</v>
      </c>
      <c r="K977" s="3" t="s">
        <v>20</v>
      </c>
      <c r="L977" s="3">
        <v>24.63</v>
      </c>
      <c r="M977" s="3" t="s">
        <v>1695</v>
      </c>
      <c r="N977" s="3" t="s">
        <v>1696</v>
      </c>
    </row>
    <row r="978">
      <c r="A978" s="3">
        <v>2460009.0</v>
      </c>
      <c r="B978" s="3" t="s">
        <v>2328</v>
      </c>
      <c r="C978" s="3" t="b">
        <v>1</v>
      </c>
      <c r="D978" s="3" t="b">
        <v>1</v>
      </c>
      <c r="E978" s="3" t="s">
        <v>2329</v>
      </c>
      <c r="F978" s="3" t="s">
        <v>2330</v>
      </c>
      <c r="G978" s="4">
        <f>+251936519051</f>
        <v>251936519051</v>
      </c>
      <c r="H978" s="3" t="s">
        <v>18</v>
      </c>
      <c r="I978" s="3" t="s">
        <v>19</v>
      </c>
      <c r="J978" s="3" t="s">
        <v>19</v>
      </c>
      <c r="K978" s="3" t="s">
        <v>20</v>
      </c>
      <c r="L978" s="3">
        <v>16.88</v>
      </c>
      <c r="M978" s="3" t="s">
        <v>1695</v>
      </c>
      <c r="N978" s="3" t="s">
        <v>1696</v>
      </c>
      <c r="O978" s="3">
        <v>1.10893891786E11</v>
      </c>
    </row>
    <row r="979">
      <c r="A979" s="3">
        <v>2460220.0</v>
      </c>
      <c r="B979" s="3" t="s">
        <v>2331</v>
      </c>
      <c r="C979" s="3" t="b">
        <v>1</v>
      </c>
      <c r="D979" s="3" t="b">
        <v>1</v>
      </c>
      <c r="E979" s="3" t="s">
        <v>2332</v>
      </c>
      <c r="F979" s="3" t="s">
        <v>649</v>
      </c>
      <c r="G979" s="4">
        <f>+251966875685</f>
        <v>251966875685</v>
      </c>
      <c r="H979" s="3" t="s">
        <v>18</v>
      </c>
      <c r="I979" s="3" t="s">
        <v>19</v>
      </c>
      <c r="J979" s="3" t="s">
        <v>19</v>
      </c>
      <c r="K979" s="3" t="s">
        <v>25</v>
      </c>
      <c r="L979" s="3">
        <v>27.47</v>
      </c>
      <c r="M979" s="3" t="s">
        <v>1695</v>
      </c>
      <c r="N979" s="3" t="s">
        <v>1696</v>
      </c>
      <c r="O979" s="3">
        <v>1.10916295876E11</v>
      </c>
    </row>
    <row r="980">
      <c r="A980" s="3">
        <v>2460586.0</v>
      </c>
      <c r="B980" s="3" t="s">
        <v>2333</v>
      </c>
      <c r="C980" s="3" t="b">
        <v>0</v>
      </c>
      <c r="D980" s="3" t="b">
        <v>1</v>
      </c>
      <c r="E980" s="3" t="s">
        <v>642</v>
      </c>
      <c r="F980" s="3" t="s">
        <v>763</v>
      </c>
      <c r="G980" s="4">
        <f>+251933453876</f>
        <v>251933453876</v>
      </c>
      <c r="H980" s="3" t="s">
        <v>947</v>
      </c>
      <c r="I980" s="3" t="s">
        <v>19</v>
      </c>
      <c r="J980" s="3" t="s">
        <v>19</v>
      </c>
      <c r="K980" s="3" t="s">
        <v>25</v>
      </c>
      <c r="L980" s="3">
        <v>26.74</v>
      </c>
      <c r="M980" s="3" t="s">
        <v>1695</v>
      </c>
      <c r="N980" s="3" t="s">
        <v>1696</v>
      </c>
    </row>
    <row r="981">
      <c r="A981" s="3">
        <v>2458918.0</v>
      </c>
      <c r="B981" s="3" t="s">
        <v>2334</v>
      </c>
      <c r="C981" s="3" t="b">
        <v>1</v>
      </c>
      <c r="D981" s="3" t="b">
        <v>1</v>
      </c>
      <c r="E981" s="3" t="s">
        <v>596</v>
      </c>
      <c r="F981" s="3" t="s">
        <v>196</v>
      </c>
      <c r="G981" s="4">
        <f>+251921968160</f>
        <v>251921968160</v>
      </c>
      <c r="H981" s="3" t="s">
        <v>44</v>
      </c>
      <c r="I981" s="3" t="s">
        <v>19</v>
      </c>
      <c r="J981" s="3" t="s">
        <v>19</v>
      </c>
      <c r="K981" s="3" t="s">
        <v>25</v>
      </c>
      <c r="L981" s="3">
        <v>40.42</v>
      </c>
      <c r="M981" s="3" t="s">
        <v>1695</v>
      </c>
      <c r="N981" s="3" t="s">
        <v>1696</v>
      </c>
      <c r="O981" s="3">
        <v>1.1054173105E11</v>
      </c>
    </row>
    <row r="982">
      <c r="A982" s="3">
        <v>2462426.0</v>
      </c>
      <c r="B982" s="3" t="s">
        <v>2335</v>
      </c>
      <c r="C982" s="3" t="b">
        <v>1</v>
      </c>
      <c r="D982" s="3" t="b">
        <v>1</v>
      </c>
      <c r="E982" s="3" t="s">
        <v>267</v>
      </c>
      <c r="F982" s="3" t="s">
        <v>2336</v>
      </c>
      <c r="G982" s="4">
        <f>+251948390432</f>
        <v>251948390432</v>
      </c>
      <c r="H982" s="3" t="s">
        <v>18</v>
      </c>
      <c r="I982" s="3" t="s">
        <v>19</v>
      </c>
      <c r="J982" s="3" t="s">
        <v>19</v>
      </c>
      <c r="K982" s="3" t="s">
        <v>25</v>
      </c>
      <c r="L982" s="3">
        <v>18.98</v>
      </c>
      <c r="M982" s="3" t="s">
        <v>1695</v>
      </c>
      <c r="N982" s="3" t="s">
        <v>1696</v>
      </c>
      <c r="O982" s="3">
        <v>1.1160047231E11</v>
      </c>
    </row>
    <row r="983">
      <c r="A983" s="3">
        <v>2462045.0</v>
      </c>
      <c r="B983" s="3" t="s">
        <v>2337</v>
      </c>
      <c r="C983" s="3" t="b">
        <v>1</v>
      </c>
      <c r="D983" s="3" t="b">
        <v>1</v>
      </c>
      <c r="E983" s="3" t="s">
        <v>2338</v>
      </c>
      <c r="F983" s="3" t="s">
        <v>2339</v>
      </c>
      <c r="G983" s="4">
        <f>+251966892949</f>
        <v>251966892949</v>
      </c>
      <c r="H983" s="3" t="s">
        <v>18</v>
      </c>
      <c r="I983" s="3" t="s">
        <v>19</v>
      </c>
      <c r="J983" s="3" t="s">
        <v>2340</v>
      </c>
      <c r="K983" s="3" t="s">
        <v>20</v>
      </c>
      <c r="L983" s="3">
        <v>28.28</v>
      </c>
      <c r="M983" s="3" t="s">
        <v>1695</v>
      </c>
      <c r="N983" s="3" t="s">
        <v>1696</v>
      </c>
      <c r="O983" s="3">
        <v>1.11511373044E11</v>
      </c>
    </row>
    <row r="984">
      <c r="A984" s="3">
        <v>2463721.0</v>
      </c>
      <c r="B984" s="3" t="s">
        <v>2341</v>
      </c>
      <c r="C984" s="3" t="b">
        <v>0</v>
      </c>
      <c r="D984" s="3" t="b">
        <v>0</v>
      </c>
      <c r="E984" s="3" t="s">
        <v>518</v>
      </c>
      <c r="F984" s="3" t="s">
        <v>2342</v>
      </c>
      <c r="G984" s="4">
        <f>+251948476240</f>
        <v>251948476240</v>
      </c>
      <c r="H984" s="3" t="s">
        <v>18</v>
      </c>
      <c r="I984" s="3" t="s">
        <v>19</v>
      </c>
      <c r="J984" s="3" t="s">
        <v>19</v>
      </c>
      <c r="K984" s="3" t="s">
        <v>25</v>
      </c>
      <c r="L984" s="3">
        <v>24.39</v>
      </c>
      <c r="M984" s="3" t="s">
        <v>1695</v>
      </c>
      <c r="N984" s="3" t="s">
        <v>1696</v>
      </c>
      <c r="O984" s="3">
        <v>1.11920059579E11</v>
      </c>
    </row>
    <row r="985">
      <c r="A985" s="3">
        <v>2464399.0</v>
      </c>
      <c r="B985" s="3" t="s">
        <v>2343</v>
      </c>
      <c r="C985" s="3" t="b">
        <v>1</v>
      </c>
      <c r="D985" s="3" t="b">
        <v>0</v>
      </c>
      <c r="E985" s="3" t="s">
        <v>967</v>
      </c>
      <c r="F985" s="3" t="s">
        <v>471</v>
      </c>
      <c r="G985" s="4">
        <f>+251982210344</f>
        <v>251982210344</v>
      </c>
      <c r="H985" s="3" t="s">
        <v>18</v>
      </c>
      <c r="I985" s="3" t="s">
        <v>19</v>
      </c>
      <c r="J985" s="3" t="s">
        <v>19</v>
      </c>
      <c r="K985" s="3" t="s">
        <v>20</v>
      </c>
      <c r="L985" s="3">
        <v>25.05</v>
      </c>
      <c r="M985" s="3" t="s">
        <v>1695</v>
      </c>
      <c r="N985" s="3" t="s">
        <v>1696</v>
      </c>
      <c r="O985" s="3">
        <v>1.12027321574E11</v>
      </c>
    </row>
    <row r="986">
      <c r="A986" s="3">
        <v>2075394.0</v>
      </c>
      <c r="B986" s="3" t="s">
        <v>2344</v>
      </c>
      <c r="C986" s="3" t="b">
        <v>1</v>
      </c>
      <c r="D986" s="3" t="b">
        <v>1</v>
      </c>
      <c r="E986" s="3" t="s">
        <v>2345</v>
      </c>
      <c r="F986" s="3" t="s">
        <v>446</v>
      </c>
      <c r="G986" s="4">
        <f>+251912020749</f>
        <v>251912020749</v>
      </c>
      <c r="H986" s="3" t="s">
        <v>18</v>
      </c>
      <c r="I986" s="3" t="s">
        <v>19</v>
      </c>
      <c r="J986" s="3" t="s">
        <v>19</v>
      </c>
      <c r="K986" s="3" t="s">
        <v>20</v>
      </c>
      <c r="L986" s="3">
        <v>29.53</v>
      </c>
      <c r="M986" s="3" t="s">
        <v>1695</v>
      </c>
      <c r="N986" s="3" t="s">
        <v>1696</v>
      </c>
      <c r="O986" s="3">
        <v>3.0225763289E10</v>
      </c>
    </row>
    <row r="987">
      <c r="A987" s="3">
        <v>2465112.0</v>
      </c>
      <c r="B987" s="3" t="s">
        <v>2346</v>
      </c>
      <c r="C987" s="3" t="b">
        <v>0</v>
      </c>
      <c r="D987" s="3" t="b">
        <v>1</v>
      </c>
      <c r="E987" s="3" t="s">
        <v>35</v>
      </c>
      <c r="F987" s="3" t="s">
        <v>2347</v>
      </c>
      <c r="G987" s="4">
        <f>+251966074050</f>
        <v>251966074050</v>
      </c>
      <c r="H987" s="3" t="s">
        <v>18</v>
      </c>
      <c r="I987" s="3" t="s">
        <v>19</v>
      </c>
      <c r="J987" s="3" t="s">
        <v>19</v>
      </c>
      <c r="K987" s="3" t="s">
        <v>25</v>
      </c>
      <c r="L987" s="3">
        <v>21.1</v>
      </c>
      <c r="M987" s="3" t="s">
        <v>1695</v>
      </c>
      <c r="N987" s="3" t="s">
        <v>1696</v>
      </c>
      <c r="O987" s="3">
        <v>1.12068868324E11</v>
      </c>
    </row>
    <row r="988">
      <c r="A988" s="3">
        <v>2465151.0</v>
      </c>
      <c r="B988" s="3" t="s">
        <v>2348</v>
      </c>
      <c r="C988" s="3" t="b">
        <v>0</v>
      </c>
      <c r="D988" s="3" t="b">
        <v>1</v>
      </c>
      <c r="E988" s="3" t="s">
        <v>2349</v>
      </c>
      <c r="F988" s="3" t="s">
        <v>2350</v>
      </c>
      <c r="G988" s="4">
        <f>+251916105212</f>
        <v>251916105212</v>
      </c>
      <c r="H988" s="3" t="s">
        <v>18</v>
      </c>
      <c r="I988" s="3" t="s">
        <v>19</v>
      </c>
      <c r="J988" s="3" t="s">
        <v>19</v>
      </c>
      <c r="K988" s="3" t="s">
        <v>25</v>
      </c>
      <c r="L988" s="3">
        <v>19.22</v>
      </c>
      <c r="M988" s="3" t="s">
        <v>1695</v>
      </c>
      <c r="N988" s="3" t="s">
        <v>1696</v>
      </c>
      <c r="O988" s="3">
        <v>1.12099996862E11</v>
      </c>
    </row>
    <row r="989">
      <c r="A989" s="3">
        <v>2465166.0</v>
      </c>
      <c r="B989" s="3" t="s">
        <v>2351</v>
      </c>
      <c r="C989" s="3" t="b">
        <v>1</v>
      </c>
      <c r="D989" s="3" t="b">
        <v>1</v>
      </c>
      <c r="E989" s="3" t="s">
        <v>2352</v>
      </c>
      <c r="F989" s="3" t="s">
        <v>288</v>
      </c>
      <c r="G989" s="4">
        <f>+251982769474</f>
        <v>251982769474</v>
      </c>
      <c r="H989" s="3" t="s">
        <v>18</v>
      </c>
      <c r="I989" s="3" t="s">
        <v>19</v>
      </c>
      <c r="J989" s="3" t="s">
        <v>19</v>
      </c>
      <c r="K989" s="3" t="s">
        <v>25</v>
      </c>
      <c r="L989" s="3">
        <v>30.38</v>
      </c>
      <c r="M989" s="3" t="s">
        <v>1695</v>
      </c>
      <c r="N989" s="3" t="s">
        <v>1696</v>
      </c>
      <c r="O989" s="3">
        <v>1.12071575749E11</v>
      </c>
    </row>
    <row r="990">
      <c r="A990" s="3">
        <v>2465212.0</v>
      </c>
      <c r="B990" s="3" t="s">
        <v>2353</v>
      </c>
      <c r="C990" s="3" t="b">
        <v>0</v>
      </c>
      <c r="D990" s="3" t="b">
        <v>1</v>
      </c>
      <c r="E990" s="3" t="s">
        <v>2138</v>
      </c>
      <c r="F990" s="3" t="s">
        <v>76</v>
      </c>
      <c r="G990" s="4">
        <f>+251911424849</f>
        <v>251911424849</v>
      </c>
      <c r="H990" s="3" t="s">
        <v>18</v>
      </c>
      <c r="I990" s="3" t="s">
        <v>19</v>
      </c>
      <c r="J990" s="3" t="s">
        <v>19</v>
      </c>
      <c r="K990" s="3" t="s">
        <v>20</v>
      </c>
      <c r="L990" s="3">
        <v>27.95</v>
      </c>
      <c r="M990" s="3" t="s">
        <v>1695</v>
      </c>
      <c r="N990" s="3" t="s">
        <v>1696</v>
      </c>
      <c r="O990" s="3">
        <v>1.12108911852E11</v>
      </c>
    </row>
    <row r="991">
      <c r="A991" s="3">
        <v>2465238.0</v>
      </c>
      <c r="B991" s="3" t="s">
        <v>2354</v>
      </c>
      <c r="C991" s="3" t="b">
        <v>0</v>
      </c>
      <c r="D991" s="3" t="b">
        <v>1</v>
      </c>
      <c r="E991" s="3" t="s">
        <v>170</v>
      </c>
      <c r="F991" s="3" t="s">
        <v>2355</v>
      </c>
      <c r="G991" s="4">
        <f>+251913995952</f>
        <v>251913995952</v>
      </c>
      <c r="H991" s="3" t="s">
        <v>18</v>
      </c>
      <c r="I991" s="3" t="s">
        <v>19</v>
      </c>
      <c r="J991" s="3" t="s">
        <v>19</v>
      </c>
      <c r="K991" s="3" t="s">
        <v>25</v>
      </c>
      <c r="L991" s="3">
        <v>18.34</v>
      </c>
      <c r="M991" s="3" t="s">
        <v>1695</v>
      </c>
      <c r="N991" s="3" t="s">
        <v>1696</v>
      </c>
      <c r="O991" s="3">
        <v>1.12103900367E11</v>
      </c>
    </row>
    <row r="992">
      <c r="A992" s="3">
        <v>2465626.0</v>
      </c>
      <c r="B992" s="3" t="s">
        <v>2356</v>
      </c>
      <c r="C992" s="3" t="b">
        <v>0</v>
      </c>
      <c r="D992" s="3" t="b">
        <v>1</v>
      </c>
      <c r="E992" s="3" t="s">
        <v>386</v>
      </c>
      <c r="F992" s="3" t="s">
        <v>2357</v>
      </c>
      <c r="G992" s="4">
        <f>+251954790277</f>
        <v>251954790277</v>
      </c>
      <c r="H992" s="3" t="s">
        <v>18</v>
      </c>
      <c r="I992" s="3" t="s">
        <v>19</v>
      </c>
      <c r="J992" s="3" t="s">
        <v>19</v>
      </c>
      <c r="K992" s="3" t="s">
        <v>25</v>
      </c>
      <c r="L992" s="3">
        <v>25.4</v>
      </c>
      <c r="M992" s="3" t="s">
        <v>1695</v>
      </c>
      <c r="N992" s="3" t="s">
        <v>1696</v>
      </c>
      <c r="O992" s="3">
        <v>1.12248630462E11</v>
      </c>
    </row>
    <row r="993">
      <c r="A993" s="3">
        <v>2465635.0</v>
      </c>
      <c r="B993" s="3" t="s">
        <v>2358</v>
      </c>
      <c r="C993" s="3" t="b">
        <v>0</v>
      </c>
      <c r="D993" s="3" t="b">
        <v>1</v>
      </c>
      <c r="E993" s="3" t="s">
        <v>2263</v>
      </c>
      <c r="F993" s="3" t="s">
        <v>2264</v>
      </c>
      <c r="G993" s="4">
        <f>+251910520754</f>
        <v>251910520754</v>
      </c>
      <c r="H993" s="3" t="s">
        <v>18</v>
      </c>
      <c r="I993" s="3" t="s">
        <v>19</v>
      </c>
      <c r="J993" s="3" t="s">
        <v>19</v>
      </c>
      <c r="K993" s="3" t="s">
        <v>25</v>
      </c>
      <c r="L993" s="3">
        <v>29.4</v>
      </c>
      <c r="M993" s="3" t="s">
        <v>1695</v>
      </c>
      <c r="N993" s="3" t="s">
        <v>1696</v>
      </c>
      <c r="O993" s="3">
        <v>1.12247189699E11</v>
      </c>
    </row>
    <row r="994">
      <c r="A994" s="3">
        <v>462558.0</v>
      </c>
      <c r="B994" s="3" t="s">
        <v>2359</v>
      </c>
      <c r="C994" s="3" t="b">
        <v>1</v>
      </c>
      <c r="D994" s="3" t="b">
        <v>0</v>
      </c>
      <c r="E994" s="3" t="s">
        <v>188</v>
      </c>
      <c r="F994" s="3" t="s">
        <v>428</v>
      </c>
      <c r="G994" s="4">
        <f>+251945171475</f>
        <v>251945171475</v>
      </c>
      <c r="H994" s="3" t="s">
        <v>18</v>
      </c>
      <c r="I994" s="3" t="s">
        <v>19</v>
      </c>
      <c r="J994" s="3" t="s">
        <v>19</v>
      </c>
      <c r="K994" s="3" t="s">
        <v>25</v>
      </c>
      <c r="L994" s="3">
        <v>15.66</v>
      </c>
      <c r="M994" s="3" t="s">
        <v>1695</v>
      </c>
      <c r="N994" s="3" t="s">
        <v>1696</v>
      </c>
      <c r="O994" s="3">
        <v>1.4236681957E10</v>
      </c>
    </row>
    <row r="995">
      <c r="A995" s="3">
        <v>2466835.0</v>
      </c>
      <c r="B995" s="3" t="s">
        <v>2360</v>
      </c>
      <c r="C995" s="3" t="b">
        <v>1</v>
      </c>
      <c r="D995" s="3" t="b">
        <v>1</v>
      </c>
      <c r="E995" s="3" t="s">
        <v>192</v>
      </c>
      <c r="F995" s="3" t="s">
        <v>2361</v>
      </c>
      <c r="G995" s="3">
        <v>9.7399596E8</v>
      </c>
      <c r="H995" s="3" t="s">
        <v>18</v>
      </c>
      <c r="I995" s="3" t="s">
        <v>19</v>
      </c>
      <c r="J995" s="3" t="s">
        <v>19</v>
      </c>
      <c r="K995" s="3" t="s">
        <v>20</v>
      </c>
      <c r="L995" s="3">
        <v>20.22</v>
      </c>
      <c r="M995" s="3" t="s">
        <v>1695</v>
      </c>
      <c r="N995" s="3" t="s">
        <v>1696</v>
      </c>
    </row>
    <row r="996">
      <c r="A996" s="3">
        <v>2467224.0</v>
      </c>
      <c r="B996" s="3" t="s">
        <v>2362</v>
      </c>
      <c r="C996" s="3" t="b">
        <v>1</v>
      </c>
      <c r="D996" s="3" t="b">
        <v>0</v>
      </c>
      <c r="E996" s="3" t="s">
        <v>204</v>
      </c>
      <c r="F996" s="3" t="s">
        <v>2363</v>
      </c>
      <c r="G996" s="4">
        <f>+251915127698</f>
        <v>251915127698</v>
      </c>
      <c r="H996" s="3" t="s">
        <v>18</v>
      </c>
      <c r="I996" s="3" t="s">
        <v>19</v>
      </c>
      <c r="J996" s="3" t="s">
        <v>19</v>
      </c>
      <c r="K996" s="3" t="s">
        <v>25</v>
      </c>
      <c r="L996" s="3">
        <v>13.23</v>
      </c>
      <c r="M996" s="3" t="s">
        <v>1695</v>
      </c>
      <c r="N996" s="3" t="s">
        <v>1696</v>
      </c>
    </row>
    <row r="997">
      <c r="A997" s="3">
        <v>2467535.0</v>
      </c>
      <c r="B997" s="3" t="s">
        <v>2364</v>
      </c>
      <c r="C997" s="3" t="b">
        <v>0</v>
      </c>
      <c r="D997" s="3" t="b">
        <v>1</v>
      </c>
      <c r="E997" s="3" t="s">
        <v>2365</v>
      </c>
      <c r="F997" s="3" t="s">
        <v>2366</v>
      </c>
      <c r="G997" s="3">
        <v>9.11933889E8</v>
      </c>
      <c r="H997" s="3" t="s">
        <v>106</v>
      </c>
      <c r="I997" s="3" t="s">
        <v>19</v>
      </c>
      <c r="J997" s="3" t="s">
        <v>19</v>
      </c>
      <c r="K997" s="3" t="s">
        <v>25</v>
      </c>
      <c r="L997" s="3">
        <v>17.12</v>
      </c>
      <c r="M997" s="3" t="s">
        <v>1695</v>
      </c>
      <c r="N997" s="3" t="s">
        <v>1696</v>
      </c>
      <c r="O997" s="3">
        <v>1.12874143958E11</v>
      </c>
    </row>
    <row r="998">
      <c r="A998" s="3">
        <v>2467657.0</v>
      </c>
      <c r="B998" s="3" t="s">
        <v>2367</v>
      </c>
      <c r="C998" s="3" t="b">
        <v>1</v>
      </c>
      <c r="D998" s="3" t="b">
        <v>1</v>
      </c>
      <c r="E998" s="3" t="s">
        <v>1226</v>
      </c>
      <c r="F998" s="3" t="s">
        <v>649</v>
      </c>
      <c r="G998" s="3">
        <v>9.29811396E8</v>
      </c>
      <c r="H998" s="3" t="s">
        <v>18</v>
      </c>
      <c r="I998" s="3" t="s">
        <v>19</v>
      </c>
      <c r="J998" s="3" t="s">
        <v>19</v>
      </c>
      <c r="K998" s="3" t="s">
        <v>25</v>
      </c>
      <c r="L998" s="3">
        <v>28.13</v>
      </c>
      <c r="M998" s="3" t="s">
        <v>1695</v>
      </c>
      <c r="N998" s="3" t="s">
        <v>1696</v>
      </c>
      <c r="O998" s="3">
        <v>1.12890601659E11</v>
      </c>
    </row>
    <row r="999">
      <c r="A999" s="3">
        <v>1343625.0</v>
      </c>
      <c r="B999" s="3" t="s">
        <v>2368</v>
      </c>
      <c r="C999" s="3" t="b">
        <v>1</v>
      </c>
      <c r="D999" s="3" t="b">
        <v>1</v>
      </c>
      <c r="E999" s="3" t="s">
        <v>2110</v>
      </c>
      <c r="F999" s="3" t="s">
        <v>2369</v>
      </c>
      <c r="G999" s="4">
        <f>+251973086454</f>
        <v>251973086454</v>
      </c>
      <c r="H999" s="3" t="s">
        <v>18</v>
      </c>
      <c r="I999" s="3" t="s">
        <v>19</v>
      </c>
      <c r="J999" s="3" t="s">
        <v>19</v>
      </c>
      <c r="K999" s="3" t="s">
        <v>25</v>
      </c>
      <c r="L999" s="3">
        <v>29.77</v>
      </c>
      <c r="M999" s="3" t="s">
        <v>1695</v>
      </c>
      <c r="N999" s="3" t="s">
        <v>1820</v>
      </c>
      <c r="O999" s="3">
        <v>1.2765854441E10</v>
      </c>
    </row>
    <row r="1000">
      <c r="A1000" s="3">
        <v>2468707.0</v>
      </c>
      <c r="B1000" s="3" t="s">
        <v>2370</v>
      </c>
      <c r="C1000" s="3" t="b">
        <v>1</v>
      </c>
      <c r="D1000" s="3" t="b">
        <v>1</v>
      </c>
      <c r="E1000" s="3" t="s">
        <v>2174</v>
      </c>
      <c r="F1000" s="3" t="s">
        <v>2371</v>
      </c>
      <c r="G1000" s="4">
        <f>+251920336606</f>
        <v>251920336606</v>
      </c>
      <c r="H1000" s="3" t="s">
        <v>18</v>
      </c>
      <c r="I1000" s="3" t="s">
        <v>19</v>
      </c>
      <c r="J1000" s="3" t="s">
        <v>19</v>
      </c>
      <c r="K1000" s="3" t="s">
        <v>25</v>
      </c>
      <c r="L1000" s="3">
        <v>28.23</v>
      </c>
      <c r="M1000" s="3" t="s">
        <v>1695</v>
      </c>
      <c r="N1000" s="3" t="s">
        <v>1696</v>
      </c>
      <c r="O1000" s="3">
        <v>1.13169289452E11</v>
      </c>
    </row>
    <row r="1001">
      <c r="A1001" s="3">
        <v>2468911.0</v>
      </c>
      <c r="B1001" s="3" t="s">
        <v>2372</v>
      </c>
      <c r="C1001" s="3" t="b">
        <v>1</v>
      </c>
      <c r="D1001" s="3" t="b">
        <v>1</v>
      </c>
      <c r="E1001" s="3" t="s">
        <v>2373</v>
      </c>
      <c r="F1001" s="3" t="s">
        <v>2374</v>
      </c>
      <c r="G1001" s="4">
        <f>+251967687778</f>
        <v>251967687778</v>
      </c>
      <c r="H1001" s="3" t="s">
        <v>18</v>
      </c>
      <c r="I1001" s="3" t="s">
        <v>19</v>
      </c>
      <c r="J1001" s="3" t="s">
        <v>19</v>
      </c>
      <c r="K1001" s="3" t="s">
        <v>20</v>
      </c>
      <c r="L1001" s="3">
        <v>22.39</v>
      </c>
      <c r="M1001" s="3" t="s">
        <v>1695</v>
      </c>
      <c r="N1001" s="3" t="s">
        <v>1696</v>
      </c>
      <c r="O1001" s="3">
        <v>1.00678662393E11</v>
      </c>
    </row>
    <row r="1002">
      <c r="A1002" s="3">
        <v>2469809.0</v>
      </c>
      <c r="B1002" s="3" t="s">
        <v>2375</v>
      </c>
      <c r="C1002" s="3" t="b">
        <v>0</v>
      </c>
      <c r="D1002" s="3" t="b">
        <v>1</v>
      </c>
      <c r="E1002" s="3" t="s">
        <v>504</v>
      </c>
      <c r="F1002" s="3" t="s">
        <v>1549</v>
      </c>
      <c r="G1002" s="4">
        <f>+251942245249</f>
        <v>251942245249</v>
      </c>
      <c r="H1002" s="3" t="s">
        <v>18</v>
      </c>
      <c r="I1002" s="3" t="s">
        <v>19</v>
      </c>
      <c r="J1002" s="3" t="s">
        <v>19</v>
      </c>
      <c r="K1002" s="3" t="s">
        <v>25</v>
      </c>
      <c r="L1002" s="3">
        <v>19.57</v>
      </c>
      <c r="M1002" s="3" t="s">
        <v>1695</v>
      </c>
      <c r="N1002" s="3" t="s">
        <v>1696</v>
      </c>
      <c r="O1002" s="3">
        <v>1.13659191509E11</v>
      </c>
    </row>
    <row r="1003">
      <c r="A1003" s="3">
        <v>2469908.0</v>
      </c>
      <c r="B1003" s="3" t="s">
        <v>2376</v>
      </c>
      <c r="C1003" s="3" t="b">
        <v>1</v>
      </c>
      <c r="D1003" s="3" t="b">
        <v>0</v>
      </c>
      <c r="E1003" s="3" t="s">
        <v>1284</v>
      </c>
      <c r="F1003" s="3" t="s">
        <v>259</v>
      </c>
      <c r="G1003" s="4">
        <f>+251921567840</f>
        <v>251921567840</v>
      </c>
      <c r="H1003" s="3" t="s">
        <v>18</v>
      </c>
      <c r="I1003" s="3" t="s">
        <v>19</v>
      </c>
      <c r="J1003" s="3" t="s">
        <v>19</v>
      </c>
      <c r="K1003" s="3" t="s">
        <v>25</v>
      </c>
      <c r="L1003" s="3">
        <v>32.03</v>
      </c>
      <c r="M1003" s="3" t="s">
        <v>1695</v>
      </c>
      <c r="N1003" s="3" t="s">
        <v>1696</v>
      </c>
      <c r="O1003" s="3">
        <v>9915244.0</v>
      </c>
    </row>
    <row r="1004">
      <c r="A1004" s="3">
        <v>2451761.0</v>
      </c>
      <c r="B1004" s="3" t="s">
        <v>2377</v>
      </c>
      <c r="C1004" s="3" t="b">
        <v>1</v>
      </c>
      <c r="D1004" s="3" t="b">
        <v>0</v>
      </c>
      <c r="E1004" s="3" t="s">
        <v>2378</v>
      </c>
      <c r="F1004" s="3" t="s">
        <v>2379</v>
      </c>
      <c r="G1004" s="4">
        <f>+251918067080</f>
        <v>251918067080</v>
      </c>
      <c r="H1004" s="3" t="s">
        <v>18</v>
      </c>
      <c r="I1004" s="3" t="s">
        <v>19</v>
      </c>
      <c r="J1004" s="3" t="s">
        <v>19</v>
      </c>
      <c r="K1004" s="3" t="s">
        <v>25</v>
      </c>
      <c r="L1004" s="3">
        <v>35.35</v>
      </c>
      <c r="M1004" s="3" t="s">
        <v>1695</v>
      </c>
      <c r="N1004" s="3" t="s">
        <v>1696</v>
      </c>
      <c r="O1004" s="3">
        <v>1.08820500729E11</v>
      </c>
    </row>
    <row r="1005">
      <c r="A1005" s="3">
        <v>2401999.0</v>
      </c>
      <c r="B1005" s="3" t="s">
        <v>2380</v>
      </c>
      <c r="C1005" s="3" t="b">
        <v>1</v>
      </c>
      <c r="D1005" s="3" t="b">
        <v>1</v>
      </c>
      <c r="E1005" s="3" t="s">
        <v>1215</v>
      </c>
      <c r="F1005" s="3" t="s">
        <v>1561</v>
      </c>
      <c r="G1005" s="4">
        <f>+251903114414</f>
        <v>251903114414</v>
      </c>
      <c r="H1005" s="3" t="s">
        <v>18</v>
      </c>
      <c r="I1005" s="3" t="s">
        <v>19</v>
      </c>
      <c r="J1005" s="3" t="s">
        <v>19</v>
      </c>
      <c r="K1005" s="3" t="s">
        <v>25</v>
      </c>
      <c r="L1005" s="3">
        <v>18.92</v>
      </c>
      <c r="M1005" s="3" t="s">
        <v>1695</v>
      </c>
      <c r="N1005" s="3" t="s">
        <v>1696</v>
      </c>
      <c r="O1005" s="3">
        <v>4.3460594876E10</v>
      </c>
    </row>
    <row r="1006">
      <c r="A1006" s="3">
        <v>2308031.0</v>
      </c>
      <c r="B1006" s="3" t="s">
        <v>2381</v>
      </c>
      <c r="C1006" s="3" t="b">
        <v>1</v>
      </c>
      <c r="D1006" s="3" t="b">
        <v>1</v>
      </c>
      <c r="E1006" s="3" t="s">
        <v>2382</v>
      </c>
      <c r="F1006" s="3" t="s">
        <v>2383</v>
      </c>
      <c r="G1006" s="4">
        <f>+251915148702</f>
        <v>251915148702</v>
      </c>
      <c r="H1006" s="3" t="s">
        <v>346</v>
      </c>
      <c r="I1006" s="3" t="s">
        <v>19</v>
      </c>
      <c r="J1006" s="3" t="s">
        <v>19</v>
      </c>
      <c r="K1006" s="3" t="s">
        <v>25</v>
      </c>
      <c r="L1006" s="3">
        <v>22.1</v>
      </c>
      <c r="M1006" s="3" t="s">
        <v>1695</v>
      </c>
      <c r="N1006" s="3" t="s">
        <v>1696</v>
      </c>
      <c r="O1006" s="3">
        <v>3.613961287E10</v>
      </c>
    </row>
    <row r="1007">
      <c r="A1007" s="3">
        <v>2471265.0</v>
      </c>
      <c r="B1007" s="3" t="s">
        <v>2384</v>
      </c>
      <c r="C1007" s="3" t="b">
        <v>1</v>
      </c>
      <c r="D1007" s="3" t="b">
        <v>1</v>
      </c>
      <c r="E1007" s="3" t="s">
        <v>2385</v>
      </c>
      <c r="F1007" s="3" t="s">
        <v>2386</v>
      </c>
      <c r="G1007" s="4">
        <f>+251929864340</f>
        <v>251929864340</v>
      </c>
      <c r="H1007" s="3" t="s">
        <v>18</v>
      </c>
      <c r="I1007" s="3" t="s">
        <v>19</v>
      </c>
      <c r="J1007" s="3" t="s">
        <v>19</v>
      </c>
      <c r="K1007" s="3" t="s">
        <v>20</v>
      </c>
      <c r="L1007" s="3">
        <v>20.53</v>
      </c>
      <c r="M1007" s="3" t="s">
        <v>1695</v>
      </c>
      <c r="N1007" s="3" t="s">
        <v>1696</v>
      </c>
      <c r="O1007" s="3">
        <v>1.14136802519E11</v>
      </c>
    </row>
    <row r="1008">
      <c r="A1008" s="3">
        <v>2470334.0</v>
      </c>
      <c r="B1008" s="3" t="s">
        <v>2387</v>
      </c>
      <c r="C1008" s="3" t="b">
        <v>1</v>
      </c>
      <c r="D1008" s="3" t="b">
        <v>1</v>
      </c>
      <c r="E1008" s="3" t="s">
        <v>179</v>
      </c>
      <c r="F1008" s="3" t="s">
        <v>2388</v>
      </c>
      <c r="G1008" s="4">
        <f>+251989891172</f>
        <v>251989891172</v>
      </c>
      <c r="H1008" s="3" t="s">
        <v>289</v>
      </c>
      <c r="I1008" s="3" t="s">
        <v>19</v>
      </c>
      <c r="J1008" s="3" t="s">
        <v>19</v>
      </c>
      <c r="K1008" s="3" t="s">
        <v>25</v>
      </c>
      <c r="L1008" s="3">
        <v>23.73</v>
      </c>
      <c r="M1008" s="3" t="s">
        <v>1695</v>
      </c>
      <c r="N1008" s="3" t="s">
        <v>1696</v>
      </c>
      <c r="O1008" s="3">
        <v>1.1356812004E11</v>
      </c>
    </row>
    <row r="1009">
      <c r="A1009" s="3">
        <v>2471740.0</v>
      </c>
      <c r="B1009" s="3" t="s">
        <v>2389</v>
      </c>
      <c r="C1009" s="3" t="b">
        <v>0</v>
      </c>
      <c r="D1009" s="3" t="b">
        <v>1</v>
      </c>
      <c r="E1009" s="3" t="s">
        <v>2390</v>
      </c>
      <c r="F1009" s="3" t="s">
        <v>1512</v>
      </c>
      <c r="G1009" s="4">
        <f>+251968105626</f>
        <v>251968105626</v>
      </c>
      <c r="H1009" s="3" t="s">
        <v>18</v>
      </c>
      <c r="I1009" s="3" t="s">
        <v>19</v>
      </c>
      <c r="J1009" s="3" t="s">
        <v>19</v>
      </c>
      <c r="K1009" s="3" t="s">
        <v>20</v>
      </c>
      <c r="L1009" s="3">
        <v>20.19</v>
      </c>
      <c r="M1009" s="3" t="s">
        <v>1695</v>
      </c>
      <c r="N1009" s="3" t="s">
        <v>1696</v>
      </c>
      <c r="O1009" s="3">
        <v>1.05402350824E11</v>
      </c>
    </row>
    <row r="1010">
      <c r="A1010" s="3">
        <v>2471846.0</v>
      </c>
      <c r="B1010" s="3" t="s">
        <v>2391</v>
      </c>
      <c r="C1010" s="3" t="b">
        <v>0</v>
      </c>
      <c r="D1010" s="3" t="b">
        <v>1</v>
      </c>
      <c r="E1010" s="3" t="s">
        <v>1814</v>
      </c>
      <c r="F1010" s="3" t="s">
        <v>2392</v>
      </c>
      <c r="G1010" s="4">
        <f>+251982095041</f>
        <v>251982095041</v>
      </c>
      <c r="H1010" s="3" t="s">
        <v>289</v>
      </c>
      <c r="I1010" s="3" t="s">
        <v>19</v>
      </c>
      <c r="J1010" s="3" t="s">
        <v>19</v>
      </c>
      <c r="K1010" s="3" t="s">
        <v>25</v>
      </c>
      <c r="L1010" s="3">
        <v>22.22</v>
      </c>
      <c r="M1010" s="3" t="s">
        <v>1695</v>
      </c>
      <c r="N1010" s="3" t="s">
        <v>1696</v>
      </c>
      <c r="O1010" s="3">
        <v>1.13211715821E11</v>
      </c>
    </row>
    <row r="1011">
      <c r="A1011" s="3">
        <v>2471834.0</v>
      </c>
      <c r="B1011" s="3" t="s">
        <v>2393</v>
      </c>
      <c r="C1011" s="3" t="b">
        <v>0</v>
      </c>
      <c r="D1011" s="3" t="b">
        <v>1</v>
      </c>
      <c r="E1011" s="3" t="s">
        <v>2394</v>
      </c>
      <c r="F1011" s="3" t="s">
        <v>2395</v>
      </c>
      <c r="G1011" s="4">
        <f>+251913357201</f>
        <v>251913357201</v>
      </c>
      <c r="H1011" s="3" t="s">
        <v>346</v>
      </c>
      <c r="I1011" s="3" t="s">
        <v>19</v>
      </c>
      <c r="J1011" s="3" t="s">
        <v>19</v>
      </c>
      <c r="K1011" s="3" t="s">
        <v>25</v>
      </c>
      <c r="L1011" s="3">
        <v>21.95</v>
      </c>
      <c r="M1011" s="3" t="s">
        <v>1695</v>
      </c>
      <c r="N1011" s="3" t="s">
        <v>1696</v>
      </c>
      <c r="O1011" s="3">
        <v>1.14064143576E11</v>
      </c>
    </row>
    <row r="1012">
      <c r="A1012" s="3">
        <v>2471786.0</v>
      </c>
      <c r="B1012" s="3" t="s">
        <v>2396</v>
      </c>
      <c r="C1012" s="3" t="b">
        <v>1</v>
      </c>
      <c r="D1012" s="3" t="b">
        <v>1</v>
      </c>
      <c r="E1012" s="3" t="s">
        <v>2397</v>
      </c>
      <c r="F1012" s="3" t="s">
        <v>913</v>
      </c>
      <c r="G1012" s="4">
        <f>+251934196887</f>
        <v>251934196887</v>
      </c>
      <c r="H1012" s="3" t="s">
        <v>289</v>
      </c>
      <c r="I1012" s="3" t="s">
        <v>19</v>
      </c>
      <c r="J1012" s="3" t="s">
        <v>19</v>
      </c>
      <c r="K1012" s="3" t="s">
        <v>25</v>
      </c>
      <c r="L1012" s="3">
        <v>23.69</v>
      </c>
      <c r="M1012" s="3" t="s">
        <v>1695</v>
      </c>
      <c r="N1012" s="3" t="s">
        <v>1696</v>
      </c>
      <c r="O1012" s="3">
        <v>1.05464515807E11</v>
      </c>
    </row>
    <row r="1013">
      <c r="A1013" s="3">
        <v>2472001.0</v>
      </c>
      <c r="B1013" s="3" t="s">
        <v>2398</v>
      </c>
      <c r="C1013" s="3" t="b">
        <v>0</v>
      </c>
      <c r="D1013" s="3" t="b">
        <v>1</v>
      </c>
      <c r="E1013" s="3" t="s">
        <v>2399</v>
      </c>
      <c r="F1013" s="3" t="s">
        <v>2400</v>
      </c>
      <c r="G1013" s="4">
        <f>+251972746120</f>
        <v>251972746120</v>
      </c>
      <c r="H1013" s="3" t="s">
        <v>289</v>
      </c>
      <c r="I1013" s="3" t="s">
        <v>19</v>
      </c>
      <c r="J1013" s="3" t="s">
        <v>19</v>
      </c>
      <c r="K1013" s="3" t="s">
        <v>20</v>
      </c>
      <c r="L1013" s="3">
        <v>26.69</v>
      </c>
      <c r="M1013" s="3" t="s">
        <v>1695</v>
      </c>
      <c r="N1013" s="3" t="s">
        <v>1696</v>
      </c>
      <c r="O1013" s="3">
        <v>1.13563269337E11</v>
      </c>
    </row>
    <row r="1014">
      <c r="A1014" s="3">
        <v>2472063.0</v>
      </c>
      <c r="B1014" s="3" t="s">
        <v>2401</v>
      </c>
      <c r="C1014" s="3" t="b">
        <v>1</v>
      </c>
      <c r="D1014" s="3" t="b">
        <v>1</v>
      </c>
      <c r="E1014" s="3" t="s">
        <v>2402</v>
      </c>
      <c r="F1014" s="3" t="s">
        <v>2403</v>
      </c>
      <c r="G1014" s="4">
        <f>+251927346140</f>
        <v>251927346140</v>
      </c>
      <c r="H1014" s="3" t="s">
        <v>289</v>
      </c>
      <c r="I1014" s="3" t="s">
        <v>19</v>
      </c>
      <c r="J1014" s="3" t="s">
        <v>19</v>
      </c>
      <c r="K1014" s="3" t="s">
        <v>20</v>
      </c>
      <c r="L1014" s="3">
        <v>20.98</v>
      </c>
      <c r="M1014" s="3" t="s">
        <v>1695</v>
      </c>
      <c r="N1014" s="3" t="s">
        <v>1696</v>
      </c>
    </row>
    <row r="1015">
      <c r="A1015" s="3">
        <v>2351498.0</v>
      </c>
      <c r="B1015" s="3" t="s">
        <v>2404</v>
      </c>
      <c r="C1015" s="3" t="b">
        <v>1</v>
      </c>
      <c r="D1015" s="3" t="b">
        <v>1</v>
      </c>
      <c r="E1015" s="3" t="s">
        <v>409</v>
      </c>
      <c r="F1015" s="3" t="s">
        <v>1596</v>
      </c>
      <c r="G1015" s="4">
        <f>+251946701171</f>
        <v>251946701171</v>
      </c>
      <c r="H1015" s="3" t="s">
        <v>18</v>
      </c>
      <c r="I1015" s="3" t="s">
        <v>19</v>
      </c>
      <c r="J1015" s="3" t="s">
        <v>19</v>
      </c>
      <c r="K1015" s="3" t="s">
        <v>25</v>
      </c>
      <c r="L1015" s="3">
        <v>33.34</v>
      </c>
      <c r="M1015" s="3" t="s">
        <v>1695</v>
      </c>
      <c r="N1015" s="3" t="s">
        <v>1696</v>
      </c>
      <c r="O1015" s="3">
        <v>3.9123424505E10</v>
      </c>
    </row>
    <row r="1016">
      <c r="A1016" s="3">
        <v>1885567.0</v>
      </c>
      <c r="B1016" s="3" t="s">
        <v>2405</v>
      </c>
      <c r="C1016" s="3" t="b">
        <v>1</v>
      </c>
      <c r="D1016" s="3" t="b">
        <v>1</v>
      </c>
      <c r="E1016" s="3" t="s">
        <v>1728</v>
      </c>
      <c r="F1016" s="3" t="s">
        <v>404</v>
      </c>
      <c r="G1016" s="4">
        <f>+251929184457</f>
        <v>251929184457</v>
      </c>
      <c r="H1016" s="3" t="s">
        <v>18</v>
      </c>
      <c r="I1016" s="3" t="s">
        <v>19</v>
      </c>
      <c r="J1016" s="3" t="s">
        <v>19</v>
      </c>
      <c r="K1016" s="3" t="s">
        <v>25</v>
      </c>
      <c r="L1016" s="3">
        <v>28.03</v>
      </c>
      <c r="M1016" s="3" t="s">
        <v>1695</v>
      </c>
      <c r="N1016" s="3" t="s">
        <v>1696</v>
      </c>
      <c r="O1016" s="3">
        <v>2.598427134E10</v>
      </c>
    </row>
    <row r="1017">
      <c r="A1017" s="3">
        <v>2051054.0</v>
      </c>
      <c r="B1017" s="3" t="s">
        <v>2406</v>
      </c>
      <c r="C1017" s="3" t="b">
        <v>1</v>
      </c>
      <c r="D1017" s="3" t="b">
        <v>1</v>
      </c>
      <c r="E1017" s="3" t="s">
        <v>2407</v>
      </c>
      <c r="F1017" s="3" t="s">
        <v>35</v>
      </c>
      <c r="G1017" s="4">
        <f>+251966846288</f>
        <v>251966846288</v>
      </c>
      <c r="H1017" s="3" t="s">
        <v>18</v>
      </c>
      <c r="I1017" s="3" t="s">
        <v>19</v>
      </c>
      <c r="J1017" s="3" t="s">
        <v>19</v>
      </c>
      <c r="K1017" s="3" t="s">
        <v>20</v>
      </c>
      <c r="L1017" s="3">
        <v>19.24</v>
      </c>
      <c r="M1017" s="3" t="s">
        <v>1695</v>
      </c>
      <c r="N1017" s="3" t="s">
        <v>1696</v>
      </c>
      <c r="O1017" s="3">
        <v>2.9640466629E10</v>
      </c>
    </row>
    <row r="1018">
      <c r="A1018" s="3">
        <v>2473598.0</v>
      </c>
      <c r="B1018" s="3" t="s">
        <v>2408</v>
      </c>
      <c r="C1018" s="3" t="b">
        <v>0</v>
      </c>
      <c r="D1018" s="3" t="b">
        <v>1</v>
      </c>
      <c r="E1018" s="3" t="s">
        <v>2409</v>
      </c>
      <c r="F1018" s="3" t="s">
        <v>2410</v>
      </c>
      <c r="G1018" s="4">
        <f>+251923168790</f>
        <v>251923168790</v>
      </c>
      <c r="H1018" s="3" t="s">
        <v>18</v>
      </c>
      <c r="I1018" s="3" t="s">
        <v>19</v>
      </c>
      <c r="J1018" s="3" t="s">
        <v>19</v>
      </c>
      <c r="K1018" s="3" t="s">
        <v>25</v>
      </c>
      <c r="L1018" s="3">
        <v>19.15</v>
      </c>
      <c r="M1018" s="3" t="s">
        <v>1695</v>
      </c>
      <c r="N1018" s="3" t="s">
        <v>1696</v>
      </c>
      <c r="O1018" s="3">
        <v>1.15167923434E11</v>
      </c>
    </row>
    <row r="1019">
      <c r="A1019" s="3">
        <v>2473613.0</v>
      </c>
      <c r="B1019" s="3" t="s">
        <v>2411</v>
      </c>
      <c r="C1019" s="3" t="b">
        <v>1</v>
      </c>
      <c r="D1019" s="3" t="b">
        <v>1</v>
      </c>
      <c r="E1019" s="3" t="s">
        <v>436</v>
      </c>
      <c r="F1019" s="3" t="s">
        <v>437</v>
      </c>
      <c r="G1019" s="4">
        <f>+251965566927</f>
        <v>251965566927</v>
      </c>
      <c r="H1019" s="3" t="s">
        <v>18</v>
      </c>
      <c r="I1019" s="3" t="s">
        <v>19</v>
      </c>
      <c r="J1019" s="3" t="s">
        <v>19</v>
      </c>
      <c r="K1019" s="3" t="s">
        <v>25</v>
      </c>
      <c r="L1019" s="3">
        <v>20.94</v>
      </c>
      <c r="M1019" s="3" t="s">
        <v>1695</v>
      </c>
      <c r="N1019" s="3" t="s">
        <v>1696</v>
      </c>
      <c r="O1019" s="3">
        <v>1.15168319726E11</v>
      </c>
    </row>
    <row r="1020">
      <c r="A1020" s="3">
        <v>2473694.0</v>
      </c>
      <c r="B1020" s="3" t="s">
        <v>2412</v>
      </c>
      <c r="C1020" s="3" t="b">
        <v>0</v>
      </c>
      <c r="D1020" s="3" t="b">
        <v>1</v>
      </c>
      <c r="E1020" s="3" t="s">
        <v>2413</v>
      </c>
      <c r="F1020" s="3" t="s">
        <v>2414</v>
      </c>
      <c r="G1020" s="4">
        <f>+251918741039</f>
        <v>251918741039</v>
      </c>
      <c r="H1020" s="3" t="s">
        <v>18</v>
      </c>
      <c r="I1020" s="3" t="s">
        <v>19</v>
      </c>
      <c r="J1020" s="3" t="s">
        <v>19</v>
      </c>
      <c r="K1020" s="3" t="s">
        <v>25</v>
      </c>
      <c r="L1020" s="3">
        <v>26.16</v>
      </c>
      <c r="M1020" s="3" t="s">
        <v>1695</v>
      </c>
      <c r="N1020" s="3" t="s">
        <v>1696</v>
      </c>
      <c r="O1020" s="3">
        <v>1.15205757131E11</v>
      </c>
    </row>
    <row r="1021">
      <c r="A1021" s="3">
        <v>2473735.0</v>
      </c>
      <c r="B1021" s="3" t="s">
        <v>2415</v>
      </c>
      <c r="C1021" s="3" t="b">
        <v>1</v>
      </c>
      <c r="D1021" s="3" t="b">
        <v>1</v>
      </c>
      <c r="E1021" s="3" t="s">
        <v>2416</v>
      </c>
      <c r="F1021" s="3" t="s">
        <v>2417</v>
      </c>
      <c r="G1021" s="4">
        <f>+251923168790</f>
        <v>251923168790</v>
      </c>
      <c r="H1021" s="3" t="s">
        <v>18</v>
      </c>
      <c r="I1021" s="3" t="s">
        <v>19</v>
      </c>
      <c r="J1021" s="3" t="s">
        <v>19</v>
      </c>
      <c r="K1021" s="3" t="s">
        <v>25</v>
      </c>
      <c r="L1021" s="3">
        <v>19.15</v>
      </c>
      <c r="M1021" s="3" t="s">
        <v>1695</v>
      </c>
      <c r="N1021" s="3" t="s">
        <v>1696</v>
      </c>
      <c r="O1021" s="3">
        <v>1.15240259772E11</v>
      </c>
    </row>
    <row r="1022">
      <c r="A1022" s="3">
        <v>2473719.0</v>
      </c>
      <c r="B1022" s="3" t="s">
        <v>2418</v>
      </c>
      <c r="C1022" s="3" t="b">
        <v>0</v>
      </c>
      <c r="D1022" s="3" t="b">
        <v>1</v>
      </c>
      <c r="E1022" s="3" t="s">
        <v>517</v>
      </c>
      <c r="F1022" s="3" t="s">
        <v>518</v>
      </c>
      <c r="G1022" s="4">
        <f>+251989991052</f>
        <v>251989991052</v>
      </c>
      <c r="H1022" s="3" t="s">
        <v>18</v>
      </c>
      <c r="I1022" s="3" t="s">
        <v>19</v>
      </c>
      <c r="J1022" s="3" t="s">
        <v>19</v>
      </c>
      <c r="K1022" s="3" t="s">
        <v>20</v>
      </c>
      <c r="L1022" s="3">
        <v>22.36</v>
      </c>
      <c r="M1022" s="3" t="s">
        <v>1695</v>
      </c>
      <c r="N1022" s="3" t="s">
        <v>1696</v>
      </c>
      <c r="O1022" s="3">
        <v>1.15251023057E11</v>
      </c>
    </row>
    <row r="1023">
      <c r="A1023" s="3">
        <v>2473699.0</v>
      </c>
      <c r="B1023" s="3" t="s">
        <v>2419</v>
      </c>
      <c r="C1023" s="3" t="b">
        <v>1</v>
      </c>
      <c r="D1023" s="3" t="b">
        <v>1</v>
      </c>
      <c r="E1023" s="3" t="s">
        <v>114</v>
      </c>
      <c r="F1023" s="3" t="s">
        <v>2420</v>
      </c>
      <c r="G1023" s="4">
        <f>+251979334990</f>
        <v>251979334990</v>
      </c>
      <c r="H1023" s="3" t="s">
        <v>18</v>
      </c>
      <c r="I1023" s="3" t="s">
        <v>19</v>
      </c>
      <c r="J1023" s="3" t="s">
        <v>19</v>
      </c>
      <c r="K1023" s="3" t="s">
        <v>25</v>
      </c>
      <c r="L1023" s="3">
        <v>21.38</v>
      </c>
      <c r="M1023" s="3" t="s">
        <v>1695</v>
      </c>
      <c r="N1023" s="3" t="s">
        <v>1696</v>
      </c>
      <c r="O1023" s="3">
        <v>1.15205782728E11</v>
      </c>
    </row>
    <row r="1024">
      <c r="A1024" s="3">
        <v>2473812.0</v>
      </c>
      <c r="B1024" s="3" t="s">
        <v>2421</v>
      </c>
      <c r="C1024" s="3" t="b">
        <v>1</v>
      </c>
      <c r="D1024" s="3" t="b">
        <v>1</v>
      </c>
      <c r="E1024" s="3" t="s">
        <v>27</v>
      </c>
      <c r="F1024" s="3" t="s">
        <v>1536</v>
      </c>
      <c r="G1024" s="4">
        <f t="shared" ref="G1024:G1025" si="1">+251920477773</f>
        <v>251920477773</v>
      </c>
      <c r="H1024" s="3" t="s">
        <v>18</v>
      </c>
      <c r="I1024" s="3" t="s">
        <v>19</v>
      </c>
      <c r="J1024" s="3" t="s">
        <v>19</v>
      </c>
      <c r="K1024" s="3" t="s">
        <v>25</v>
      </c>
      <c r="L1024" s="3">
        <v>23.24</v>
      </c>
      <c r="M1024" s="3" t="s">
        <v>1695</v>
      </c>
      <c r="N1024" s="3" t="s">
        <v>1696</v>
      </c>
      <c r="O1024" s="3">
        <v>1.1526924619E11</v>
      </c>
    </row>
    <row r="1025">
      <c r="A1025" s="3">
        <v>2473827.0</v>
      </c>
      <c r="B1025" s="3" t="s">
        <v>2422</v>
      </c>
      <c r="C1025" s="3" t="b">
        <v>1</v>
      </c>
      <c r="D1025" s="3" t="b">
        <v>1</v>
      </c>
      <c r="E1025" s="3" t="s">
        <v>27</v>
      </c>
      <c r="F1025" s="3" t="s">
        <v>1536</v>
      </c>
      <c r="G1025" s="4">
        <f t="shared" si="1"/>
        <v>251920477773</v>
      </c>
      <c r="H1025" s="3" t="s">
        <v>18</v>
      </c>
      <c r="I1025" s="3" t="s">
        <v>19</v>
      </c>
      <c r="J1025" s="3" t="s">
        <v>19</v>
      </c>
      <c r="K1025" s="3" t="s">
        <v>25</v>
      </c>
      <c r="L1025" s="3">
        <v>23.38</v>
      </c>
      <c r="M1025" s="3" t="s">
        <v>1695</v>
      </c>
      <c r="N1025" s="3" t="s">
        <v>1696</v>
      </c>
    </row>
    <row r="1026">
      <c r="A1026" s="3">
        <v>2473817.0</v>
      </c>
      <c r="B1026" s="3" t="s">
        <v>2423</v>
      </c>
      <c r="C1026" s="3" t="b">
        <v>0</v>
      </c>
      <c r="D1026" s="3" t="b">
        <v>1</v>
      </c>
      <c r="E1026" s="3" t="s">
        <v>1954</v>
      </c>
      <c r="F1026" s="3" t="s">
        <v>32</v>
      </c>
      <c r="G1026" s="4">
        <f>+251910272847</f>
        <v>251910272847</v>
      </c>
      <c r="H1026" s="3" t="s">
        <v>18</v>
      </c>
      <c r="I1026" s="3" t="s">
        <v>19</v>
      </c>
      <c r="J1026" s="3" t="s">
        <v>19</v>
      </c>
      <c r="K1026" s="3" t="s">
        <v>25</v>
      </c>
      <c r="L1026" s="3">
        <v>27.66</v>
      </c>
      <c r="M1026" s="3" t="s">
        <v>1695</v>
      </c>
      <c r="N1026" s="3" t="s">
        <v>1696</v>
      </c>
      <c r="O1026" s="3">
        <v>1.15270930669E11</v>
      </c>
    </row>
    <row r="1027">
      <c r="A1027" s="3">
        <v>1502308.0</v>
      </c>
      <c r="B1027" s="3" t="s">
        <v>2424</v>
      </c>
      <c r="C1027" s="3" t="b">
        <v>1</v>
      </c>
      <c r="D1027" s="3" t="b">
        <v>1</v>
      </c>
      <c r="E1027" s="3" t="s">
        <v>114</v>
      </c>
      <c r="F1027" s="3" t="s">
        <v>314</v>
      </c>
      <c r="G1027" s="4">
        <f>+251979334990</f>
        <v>251979334990</v>
      </c>
      <c r="H1027" s="3" t="s">
        <v>18</v>
      </c>
      <c r="I1027" s="3" t="s">
        <v>19</v>
      </c>
      <c r="J1027" s="3" t="s">
        <v>19</v>
      </c>
      <c r="K1027" s="3" t="s">
        <v>25</v>
      </c>
      <c r="L1027" s="3">
        <v>21.37</v>
      </c>
      <c r="M1027" s="3" t="s">
        <v>1695</v>
      </c>
      <c r="N1027" s="3" t="s">
        <v>1696</v>
      </c>
      <c r="O1027" s="3">
        <v>1.6569805541E10</v>
      </c>
    </row>
    <row r="1028">
      <c r="A1028" s="3">
        <v>201750.0</v>
      </c>
      <c r="B1028" s="3" t="s">
        <v>2425</v>
      </c>
      <c r="C1028" s="3" t="b">
        <v>1</v>
      </c>
      <c r="D1028" s="3" t="b">
        <v>0</v>
      </c>
      <c r="E1028" s="3" t="s">
        <v>2426</v>
      </c>
      <c r="F1028" s="3" t="s">
        <v>916</v>
      </c>
      <c r="G1028" s="3">
        <v>9.47331893E8</v>
      </c>
      <c r="H1028" s="3" t="s">
        <v>18</v>
      </c>
      <c r="I1028" s="3" t="s">
        <v>19</v>
      </c>
      <c r="J1028" s="3" t="s">
        <v>19</v>
      </c>
      <c r="K1028" s="3" t="s">
        <v>20</v>
      </c>
      <c r="L1028" s="3">
        <v>29.28</v>
      </c>
      <c r="M1028" s="3" t="s">
        <v>1695</v>
      </c>
      <c r="N1028" s="3" t="s">
        <v>1696</v>
      </c>
      <c r="O1028" s="3">
        <v>708653.0</v>
      </c>
    </row>
    <row r="1029">
      <c r="A1029" s="3">
        <v>2473934.0</v>
      </c>
      <c r="B1029" s="3" t="s">
        <v>2427</v>
      </c>
      <c r="C1029" s="3" t="b">
        <v>1</v>
      </c>
      <c r="D1029" s="3" t="b">
        <v>1</v>
      </c>
      <c r="E1029" s="3" t="s">
        <v>747</v>
      </c>
      <c r="F1029" s="3" t="s">
        <v>2428</v>
      </c>
      <c r="G1029" s="4">
        <f>+251963279518</f>
        <v>251963279518</v>
      </c>
      <c r="H1029" s="3" t="s">
        <v>18</v>
      </c>
      <c r="I1029" s="3" t="s">
        <v>19</v>
      </c>
      <c r="J1029" s="3" t="s">
        <v>19</v>
      </c>
      <c r="K1029" s="3" t="s">
        <v>20</v>
      </c>
      <c r="L1029" s="3">
        <v>25.88</v>
      </c>
      <c r="M1029" s="3" t="s">
        <v>1695</v>
      </c>
      <c r="N1029" s="3" t="s">
        <v>1696</v>
      </c>
      <c r="O1029" s="3">
        <v>1.15306680563E11</v>
      </c>
    </row>
    <row r="1030">
      <c r="A1030" s="3">
        <v>2473932.0</v>
      </c>
      <c r="B1030" s="3" t="s">
        <v>2429</v>
      </c>
      <c r="C1030" s="3" t="b">
        <v>0</v>
      </c>
      <c r="D1030" s="3" t="b">
        <v>1</v>
      </c>
      <c r="E1030" s="3" t="s">
        <v>1358</v>
      </c>
      <c r="F1030" s="3" t="s">
        <v>683</v>
      </c>
      <c r="G1030" s="4">
        <f>+251927222149</f>
        <v>251927222149</v>
      </c>
      <c r="H1030" s="3" t="s">
        <v>18</v>
      </c>
      <c r="I1030" s="3" t="s">
        <v>19</v>
      </c>
      <c r="J1030" s="3" t="s">
        <v>19</v>
      </c>
      <c r="K1030" s="3" t="s">
        <v>20</v>
      </c>
      <c r="L1030" s="3">
        <v>25.18</v>
      </c>
      <c r="M1030" s="3" t="s">
        <v>1695</v>
      </c>
      <c r="N1030" s="3" t="s">
        <v>1696</v>
      </c>
      <c r="O1030" s="3">
        <v>1.1534313698E11</v>
      </c>
    </row>
    <row r="1031">
      <c r="A1031" s="3">
        <v>2473978.0</v>
      </c>
      <c r="B1031" s="3" t="s">
        <v>2430</v>
      </c>
      <c r="C1031" s="3" t="b">
        <v>0</v>
      </c>
      <c r="D1031" s="3" t="b">
        <v>1</v>
      </c>
      <c r="E1031" s="3" t="s">
        <v>2431</v>
      </c>
      <c r="F1031" s="3" t="s">
        <v>2432</v>
      </c>
      <c r="G1031" s="4">
        <f>+251932292039</f>
        <v>251932292039</v>
      </c>
      <c r="H1031" s="3" t="s">
        <v>18</v>
      </c>
      <c r="I1031" s="3" t="s">
        <v>19</v>
      </c>
      <c r="J1031" s="3" t="s">
        <v>19</v>
      </c>
      <c r="K1031" s="3" t="s">
        <v>25</v>
      </c>
      <c r="L1031" s="3">
        <v>20.17</v>
      </c>
      <c r="M1031" s="3" t="s">
        <v>1695</v>
      </c>
      <c r="N1031" s="3" t="s">
        <v>1696</v>
      </c>
      <c r="O1031" s="3">
        <v>1.15346848975E11</v>
      </c>
    </row>
    <row r="1032">
      <c r="A1032" s="3">
        <v>1283958.0</v>
      </c>
      <c r="B1032" s="3" t="s">
        <v>2433</v>
      </c>
      <c r="C1032" s="3" t="b">
        <v>1</v>
      </c>
      <c r="D1032" s="3" t="b">
        <v>1</v>
      </c>
      <c r="E1032" s="3" t="s">
        <v>2434</v>
      </c>
      <c r="F1032" s="3" t="s">
        <v>2435</v>
      </c>
      <c r="G1032" s="4">
        <f>+251943126180</f>
        <v>251943126180</v>
      </c>
      <c r="H1032" s="3" t="s">
        <v>18</v>
      </c>
      <c r="I1032" s="3" t="s">
        <v>19</v>
      </c>
      <c r="J1032" s="3" t="s">
        <v>19</v>
      </c>
      <c r="K1032" s="3" t="s">
        <v>25</v>
      </c>
      <c r="L1032" s="3">
        <v>21.72</v>
      </c>
      <c r="M1032" s="3" t="s">
        <v>1695</v>
      </c>
      <c r="N1032" s="3" t="s">
        <v>1696</v>
      </c>
      <c r="O1032" s="3">
        <v>1.2337349E7</v>
      </c>
    </row>
    <row r="1033">
      <c r="A1033" s="3">
        <v>2474260.0</v>
      </c>
      <c r="B1033" s="3" t="s">
        <v>2436</v>
      </c>
      <c r="C1033" s="3" t="b">
        <v>1</v>
      </c>
      <c r="D1033" s="3" t="b">
        <v>1</v>
      </c>
      <c r="E1033" s="3" t="s">
        <v>2437</v>
      </c>
      <c r="F1033" s="3" t="s">
        <v>446</v>
      </c>
      <c r="G1033" s="4">
        <f>+251986572980</f>
        <v>251986572980</v>
      </c>
      <c r="H1033" s="3" t="s">
        <v>18</v>
      </c>
      <c r="I1033" s="3" t="s">
        <v>19</v>
      </c>
      <c r="J1033" s="3" t="s">
        <v>19</v>
      </c>
      <c r="K1033" s="3" t="s">
        <v>25</v>
      </c>
      <c r="L1033" s="3">
        <v>22.99</v>
      </c>
      <c r="M1033" s="3" t="s">
        <v>1695</v>
      </c>
      <c r="N1033" s="3" t="s">
        <v>1696</v>
      </c>
      <c r="O1033" s="3">
        <v>6567791.0</v>
      </c>
    </row>
    <row r="1034">
      <c r="A1034" s="3">
        <v>2474279.0</v>
      </c>
      <c r="B1034" s="3" t="s">
        <v>2438</v>
      </c>
      <c r="C1034" s="3" t="b">
        <v>0</v>
      </c>
      <c r="D1034" s="3" t="b">
        <v>1</v>
      </c>
      <c r="E1034" s="3" t="s">
        <v>1572</v>
      </c>
      <c r="F1034" s="3" t="s">
        <v>66</v>
      </c>
      <c r="G1034" s="4">
        <f>+251915770808</f>
        <v>251915770808</v>
      </c>
      <c r="H1034" s="3" t="s">
        <v>29</v>
      </c>
      <c r="I1034" s="3" t="s">
        <v>19</v>
      </c>
      <c r="J1034" s="3" t="s">
        <v>19</v>
      </c>
      <c r="K1034" s="3" t="s">
        <v>25</v>
      </c>
      <c r="L1034" s="3">
        <v>33.91</v>
      </c>
      <c r="M1034" s="3" t="s">
        <v>1695</v>
      </c>
      <c r="N1034" s="3" t="s">
        <v>1696</v>
      </c>
      <c r="O1034" s="3">
        <v>1.15390832861E11</v>
      </c>
    </row>
    <row r="1035">
      <c r="A1035" s="3">
        <v>2474276.0</v>
      </c>
      <c r="B1035" s="3" t="s">
        <v>2439</v>
      </c>
      <c r="C1035" s="3" t="b">
        <v>1</v>
      </c>
      <c r="D1035" s="3" t="b">
        <v>1</v>
      </c>
      <c r="E1035" s="3" t="s">
        <v>195</v>
      </c>
      <c r="F1035" s="3" t="s">
        <v>1646</v>
      </c>
      <c r="G1035" s="4" t="str">
        <f>+2519 117 8890</f>
        <v>#ERROR!</v>
      </c>
      <c r="H1035" s="3" t="s">
        <v>18</v>
      </c>
      <c r="I1035" s="3" t="s">
        <v>19</v>
      </c>
      <c r="J1035" s="3" t="s">
        <v>19</v>
      </c>
      <c r="K1035" s="3" t="s">
        <v>20</v>
      </c>
      <c r="L1035" s="3">
        <v>23.68</v>
      </c>
      <c r="M1035" s="3" t="s">
        <v>1695</v>
      </c>
      <c r="N1035" s="3" t="s">
        <v>1696</v>
      </c>
      <c r="O1035" s="3">
        <v>1.15391514836E11</v>
      </c>
    </row>
    <row r="1036">
      <c r="A1036" s="3">
        <v>2005467.0</v>
      </c>
      <c r="B1036" s="3" t="s">
        <v>2440</v>
      </c>
      <c r="C1036" s="3" t="b">
        <v>1</v>
      </c>
      <c r="D1036" s="3" t="b">
        <v>1</v>
      </c>
      <c r="E1036" s="3" t="s">
        <v>2441</v>
      </c>
      <c r="F1036" s="3" t="s">
        <v>747</v>
      </c>
      <c r="G1036" s="4">
        <f>+251951635326</f>
        <v>251951635326</v>
      </c>
      <c r="H1036" s="3" t="s">
        <v>18</v>
      </c>
      <c r="I1036" s="3" t="s">
        <v>19</v>
      </c>
      <c r="J1036" s="3" t="s">
        <v>19</v>
      </c>
      <c r="K1036" s="3" t="s">
        <v>20</v>
      </c>
      <c r="L1036" s="3">
        <v>21.23</v>
      </c>
      <c r="M1036" s="3" t="s">
        <v>1695</v>
      </c>
      <c r="N1036" s="3" t="s">
        <v>1696</v>
      </c>
      <c r="O1036" s="3">
        <v>2.8577073878E10</v>
      </c>
    </row>
    <row r="1037">
      <c r="A1037" s="3">
        <v>1983778.0</v>
      </c>
      <c r="B1037" s="3" t="s">
        <v>2442</v>
      </c>
      <c r="C1037" s="3" t="b">
        <v>1</v>
      </c>
      <c r="D1037" s="3" t="b">
        <v>1</v>
      </c>
      <c r="E1037" s="3" t="s">
        <v>1485</v>
      </c>
      <c r="F1037" s="3" t="s">
        <v>1321</v>
      </c>
      <c r="G1037" s="4">
        <f>+251962397987</f>
        <v>251962397987</v>
      </c>
      <c r="H1037" s="3" t="s">
        <v>18</v>
      </c>
      <c r="I1037" s="3" t="s">
        <v>19</v>
      </c>
      <c r="J1037" s="3" t="s">
        <v>19</v>
      </c>
      <c r="K1037" s="3" t="s">
        <v>20</v>
      </c>
      <c r="L1037" s="3">
        <v>20.29</v>
      </c>
      <c r="M1037" s="3" t="s">
        <v>1695</v>
      </c>
      <c r="N1037" s="3" t="s">
        <v>1696</v>
      </c>
      <c r="O1037" s="3">
        <v>2.8107478204E10</v>
      </c>
    </row>
    <row r="1038">
      <c r="A1038" s="3">
        <v>2475778.0</v>
      </c>
      <c r="B1038" s="3" t="s">
        <v>2443</v>
      </c>
      <c r="C1038" s="3" t="b">
        <v>1</v>
      </c>
      <c r="D1038" s="3" t="b">
        <v>1</v>
      </c>
      <c r="E1038" s="3" t="s">
        <v>40</v>
      </c>
      <c r="F1038" s="3" t="s">
        <v>1028</v>
      </c>
      <c r="G1038" s="4">
        <f>+251941890134</f>
        <v>251941890134</v>
      </c>
      <c r="H1038" s="3" t="s">
        <v>18</v>
      </c>
      <c r="I1038" s="3" t="s">
        <v>19</v>
      </c>
      <c r="J1038" s="3" t="s">
        <v>19</v>
      </c>
      <c r="K1038" s="3" t="s">
        <v>20</v>
      </c>
      <c r="L1038" s="3">
        <v>25.4</v>
      </c>
      <c r="M1038" s="3" t="s">
        <v>1695</v>
      </c>
      <c r="N1038" s="3" t="s">
        <v>1696</v>
      </c>
      <c r="O1038" s="3">
        <v>1.1619832545E11</v>
      </c>
    </row>
    <row r="1039">
      <c r="A1039" s="3">
        <v>2458554.0</v>
      </c>
      <c r="B1039" s="3" t="s">
        <v>2444</v>
      </c>
      <c r="C1039" s="3" t="b">
        <v>1</v>
      </c>
      <c r="D1039" s="3" t="b">
        <v>1</v>
      </c>
      <c r="E1039" s="3" t="s">
        <v>1177</v>
      </c>
      <c r="F1039" s="3" t="s">
        <v>70</v>
      </c>
      <c r="G1039" s="4">
        <f>+251948705611</f>
        <v>251948705611</v>
      </c>
      <c r="H1039" s="3" t="s">
        <v>18</v>
      </c>
      <c r="I1039" s="3" t="s">
        <v>19</v>
      </c>
      <c r="J1039" s="3" t="s">
        <v>19</v>
      </c>
      <c r="K1039" s="3" t="s">
        <v>25</v>
      </c>
      <c r="L1039" s="3">
        <v>19.58</v>
      </c>
      <c r="M1039" s="3" t="s">
        <v>1695</v>
      </c>
      <c r="N1039" s="3" t="s">
        <v>1696</v>
      </c>
      <c r="O1039" s="3">
        <v>1.10412922099E11</v>
      </c>
    </row>
    <row r="1040">
      <c r="A1040" s="3">
        <v>1276605.0</v>
      </c>
      <c r="B1040" s="3" t="s">
        <v>2445</v>
      </c>
      <c r="C1040" s="3" t="b">
        <v>1</v>
      </c>
      <c r="D1040" s="3" t="b">
        <v>1</v>
      </c>
      <c r="E1040" s="3" t="s">
        <v>2446</v>
      </c>
      <c r="F1040" s="3" t="s">
        <v>1769</v>
      </c>
      <c r="G1040" s="3">
        <v>9.36064639E8</v>
      </c>
      <c r="H1040" s="3" t="s">
        <v>289</v>
      </c>
      <c r="I1040" s="3" t="s">
        <v>19</v>
      </c>
      <c r="J1040" s="3" t="s">
        <v>19</v>
      </c>
      <c r="K1040" s="3" t="s">
        <v>25</v>
      </c>
      <c r="L1040" s="3">
        <v>21.8</v>
      </c>
      <c r="M1040" s="3" t="s">
        <v>1695</v>
      </c>
      <c r="N1040" s="3" t="s">
        <v>1696</v>
      </c>
      <c r="O1040" s="3">
        <v>1.0770901972E10</v>
      </c>
    </row>
    <row r="1041">
      <c r="A1041" s="3">
        <v>2475832.0</v>
      </c>
      <c r="B1041" s="3" t="s">
        <v>2447</v>
      </c>
      <c r="C1041" s="3" t="b">
        <v>0</v>
      </c>
      <c r="D1041" s="3" t="b">
        <v>1</v>
      </c>
      <c r="E1041" s="3" t="s">
        <v>1321</v>
      </c>
      <c r="F1041" s="3" t="s">
        <v>328</v>
      </c>
      <c r="G1041" s="4">
        <f>+251707874100</f>
        <v>251707874100</v>
      </c>
      <c r="H1041" s="3" t="s">
        <v>18</v>
      </c>
      <c r="I1041" s="3" t="s">
        <v>19</v>
      </c>
      <c r="J1041" s="3" t="s">
        <v>19</v>
      </c>
      <c r="K1041" s="3" t="s">
        <v>25</v>
      </c>
      <c r="L1041" s="3">
        <v>13.22</v>
      </c>
      <c r="M1041" s="3" t="s">
        <v>1695</v>
      </c>
      <c r="N1041" s="3" t="s">
        <v>1696</v>
      </c>
      <c r="O1041" s="3">
        <v>1.16237543654E11</v>
      </c>
    </row>
    <row r="1042">
      <c r="A1042" s="3">
        <v>2476826.0</v>
      </c>
      <c r="B1042" s="3" t="s">
        <v>2448</v>
      </c>
      <c r="C1042" s="3" t="b">
        <v>0</v>
      </c>
      <c r="D1042" s="3" t="b">
        <v>1</v>
      </c>
      <c r="E1042" s="3" t="s">
        <v>2449</v>
      </c>
      <c r="F1042" s="3" t="s">
        <v>2450</v>
      </c>
      <c r="G1042" s="4">
        <f>+251942555303</f>
        <v>251942555303</v>
      </c>
      <c r="H1042" s="3" t="s">
        <v>18</v>
      </c>
      <c r="I1042" s="3" t="s">
        <v>19</v>
      </c>
      <c r="J1042" s="3" t="s">
        <v>19</v>
      </c>
      <c r="K1042" s="3" t="s">
        <v>25</v>
      </c>
      <c r="L1042" s="3">
        <v>13.21</v>
      </c>
      <c r="M1042" s="3" t="s">
        <v>1695</v>
      </c>
      <c r="N1042" s="3" t="s">
        <v>1696</v>
      </c>
      <c r="O1042" s="3">
        <v>1.16760286397E11</v>
      </c>
    </row>
    <row r="1043">
      <c r="A1043" s="3">
        <v>2476960.0</v>
      </c>
      <c r="B1043" s="3" t="s">
        <v>2451</v>
      </c>
      <c r="C1043" s="3" t="b">
        <v>0</v>
      </c>
      <c r="D1043" s="3" t="b">
        <v>1</v>
      </c>
      <c r="E1043" s="3" t="s">
        <v>1710</v>
      </c>
      <c r="F1043" s="3" t="s">
        <v>2452</v>
      </c>
      <c r="G1043" s="4">
        <f>+251918364979</f>
        <v>251918364979</v>
      </c>
      <c r="H1043" s="3" t="s">
        <v>18</v>
      </c>
      <c r="I1043" s="3" t="s">
        <v>19</v>
      </c>
      <c r="J1043" s="3" t="s">
        <v>19</v>
      </c>
      <c r="K1043" s="3" t="s">
        <v>25</v>
      </c>
      <c r="L1043" s="3">
        <v>24.47</v>
      </c>
      <c r="M1043" s="3" t="s">
        <v>1695</v>
      </c>
      <c r="N1043" s="3" t="s">
        <v>1696</v>
      </c>
      <c r="O1043" s="3">
        <v>1.16810957042E11</v>
      </c>
    </row>
    <row r="1044">
      <c r="A1044" s="3">
        <v>2476965.0</v>
      </c>
      <c r="B1044" s="3" t="s">
        <v>2453</v>
      </c>
      <c r="C1044" s="3" t="b">
        <v>1</v>
      </c>
      <c r="D1044" s="3" t="b">
        <v>1</v>
      </c>
      <c r="E1044" s="3" t="s">
        <v>2454</v>
      </c>
      <c r="F1044" s="3" t="s">
        <v>2455</v>
      </c>
      <c r="G1044" s="4">
        <f>+251922626451</f>
        <v>251922626451</v>
      </c>
      <c r="H1044" s="3" t="s">
        <v>18</v>
      </c>
      <c r="I1044" s="3" t="s">
        <v>19</v>
      </c>
      <c r="J1044" s="3" t="s">
        <v>19</v>
      </c>
      <c r="K1044" s="3" t="s">
        <v>20</v>
      </c>
      <c r="L1044" s="3">
        <v>26.16</v>
      </c>
      <c r="M1044" s="3" t="s">
        <v>1695</v>
      </c>
      <c r="N1044" s="3" t="s">
        <v>1696</v>
      </c>
    </row>
    <row r="1045">
      <c r="A1045" s="3">
        <v>2116220.0</v>
      </c>
      <c r="B1045" s="3" t="s">
        <v>2456</v>
      </c>
      <c r="C1045" s="3" t="b">
        <v>1</v>
      </c>
      <c r="D1045" s="3" t="b">
        <v>1</v>
      </c>
      <c r="E1045" s="3" t="s">
        <v>2457</v>
      </c>
      <c r="F1045" s="3" t="s">
        <v>2458</v>
      </c>
      <c r="G1045" s="4">
        <f>+251909980055</f>
        <v>251909980055</v>
      </c>
      <c r="H1045" s="3" t="s">
        <v>18</v>
      </c>
      <c r="I1045" s="3" t="s">
        <v>19</v>
      </c>
      <c r="J1045" s="3" t="s">
        <v>19</v>
      </c>
      <c r="K1045" s="3" t="s">
        <v>25</v>
      </c>
      <c r="L1045" s="3">
        <v>24.2</v>
      </c>
      <c r="M1045" s="3" t="s">
        <v>1695</v>
      </c>
      <c r="N1045" s="3" t="s">
        <v>1696</v>
      </c>
      <c r="O1045" s="3">
        <v>3.1172078524E10</v>
      </c>
    </row>
    <row r="1046">
      <c r="A1046" s="3">
        <v>2477811.0</v>
      </c>
      <c r="B1046" s="3" t="s">
        <v>2459</v>
      </c>
      <c r="C1046" s="3" t="b">
        <v>1</v>
      </c>
      <c r="D1046" s="3" t="b">
        <v>1</v>
      </c>
      <c r="E1046" s="3" t="s">
        <v>280</v>
      </c>
      <c r="F1046" s="3" t="s">
        <v>993</v>
      </c>
      <c r="G1046" s="4">
        <f>+251937053768</f>
        <v>251937053768</v>
      </c>
      <c r="H1046" s="3" t="s">
        <v>18</v>
      </c>
      <c r="I1046" s="3" t="s">
        <v>19</v>
      </c>
      <c r="J1046" s="3" t="s">
        <v>19</v>
      </c>
      <c r="K1046" s="3" t="s">
        <v>25</v>
      </c>
      <c r="L1046" s="3">
        <v>27.19</v>
      </c>
      <c r="M1046" s="3" t="s">
        <v>1695</v>
      </c>
      <c r="N1046" s="3" t="s">
        <v>1696</v>
      </c>
      <c r="O1046" s="3">
        <v>1849047.0</v>
      </c>
    </row>
    <row r="1047">
      <c r="A1047" s="3">
        <v>2477858.0</v>
      </c>
      <c r="B1047" s="3" t="s">
        <v>2460</v>
      </c>
      <c r="C1047" s="3" t="b">
        <v>1</v>
      </c>
      <c r="D1047" s="3" t="b">
        <v>1</v>
      </c>
      <c r="E1047" s="3" t="s">
        <v>2461</v>
      </c>
      <c r="F1047" s="3" t="s">
        <v>2462</v>
      </c>
      <c r="G1047" s="4">
        <f>+251983650746</f>
        <v>251983650746</v>
      </c>
      <c r="H1047" s="3" t="s">
        <v>18</v>
      </c>
      <c r="I1047" s="3" t="s">
        <v>19</v>
      </c>
      <c r="J1047" s="3" t="s">
        <v>19</v>
      </c>
      <c r="K1047" s="3" t="s">
        <v>25</v>
      </c>
      <c r="L1047" s="3">
        <v>24.43</v>
      </c>
      <c r="M1047" s="3" t="s">
        <v>1695</v>
      </c>
      <c r="N1047" s="3" t="s">
        <v>1696</v>
      </c>
      <c r="O1047" s="3">
        <v>1.17449177326E11</v>
      </c>
    </row>
    <row r="1048">
      <c r="A1048" s="3">
        <v>2440138.0</v>
      </c>
      <c r="B1048" s="3" t="s">
        <v>2463</v>
      </c>
      <c r="C1048" s="3" t="b">
        <v>1</v>
      </c>
      <c r="D1048" s="3" t="b">
        <v>1</v>
      </c>
      <c r="E1048" s="3" t="s">
        <v>418</v>
      </c>
      <c r="F1048" s="3" t="s">
        <v>613</v>
      </c>
      <c r="G1048" s="4">
        <f>+251917145574</f>
        <v>251917145574</v>
      </c>
      <c r="H1048" s="3" t="s">
        <v>29</v>
      </c>
      <c r="I1048" s="3" t="s">
        <v>19</v>
      </c>
      <c r="J1048" s="3" t="s">
        <v>19</v>
      </c>
      <c r="K1048" s="3" t="s">
        <v>25</v>
      </c>
      <c r="L1048" s="3">
        <v>32.1</v>
      </c>
      <c r="M1048" s="3" t="s">
        <v>1695</v>
      </c>
      <c r="N1048" s="3" t="s">
        <v>1696</v>
      </c>
      <c r="O1048" s="3">
        <v>1.04518942948E11</v>
      </c>
    </row>
    <row r="1049">
      <c r="A1049" s="3">
        <v>2477997.0</v>
      </c>
      <c r="B1049" s="3" t="s">
        <v>2464</v>
      </c>
      <c r="C1049" s="3" t="b">
        <v>1</v>
      </c>
      <c r="D1049" s="3" t="b">
        <v>1</v>
      </c>
      <c r="E1049" s="3" t="s">
        <v>2465</v>
      </c>
      <c r="F1049" s="3" t="s">
        <v>1000</v>
      </c>
      <c r="G1049" s="4">
        <f>+251965701238</f>
        <v>251965701238</v>
      </c>
      <c r="H1049" s="3" t="s">
        <v>18</v>
      </c>
      <c r="I1049" s="3" t="s">
        <v>19</v>
      </c>
      <c r="J1049" s="3" t="s">
        <v>19</v>
      </c>
      <c r="K1049" s="3" t="s">
        <v>25</v>
      </c>
      <c r="L1049" s="3">
        <v>28.46</v>
      </c>
      <c r="M1049" s="3" t="s">
        <v>1695</v>
      </c>
      <c r="N1049" s="3" t="s">
        <v>1696</v>
      </c>
      <c r="O1049" s="3">
        <v>588181.0</v>
      </c>
    </row>
    <row r="1050">
      <c r="A1050" s="3">
        <v>2202297.0</v>
      </c>
      <c r="B1050" s="3" t="s">
        <v>2466</v>
      </c>
      <c r="C1050" s="3" t="b">
        <v>1</v>
      </c>
      <c r="D1050" s="3" t="b">
        <v>1</v>
      </c>
      <c r="E1050" s="3" t="s">
        <v>1814</v>
      </c>
      <c r="F1050" s="3" t="s">
        <v>2467</v>
      </c>
      <c r="G1050" s="4">
        <f>+251987590528</f>
        <v>251987590528</v>
      </c>
      <c r="H1050" s="3" t="s">
        <v>106</v>
      </c>
      <c r="I1050" s="3" t="s">
        <v>19</v>
      </c>
      <c r="J1050" s="3" t="s">
        <v>19</v>
      </c>
      <c r="K1050" s="3" t="s">
        <v>25</v>
      </c>
      <c r="L1050" s="3">
        <v>26.65</v>
      </c>
      <c r="M1050" s="3" t="s">
        <v>1695</v>
      </c>
      <c r="N1050" s="3" t="s">
        <v>1696</v>
      </c>
      <c r="O1050" s="3">
        <v>3.3130052323E10</v>
      </c>
    </row>
    <row r="1051">
      <c r="A1051" s="3">
        <v>2478689.0</v>
      </c>
      <c r="B1051" s="3" t="s">
        <v>2468</v>
      </c>
      <c r="C1051" s="3" t="b">
        <v>1</v>
      </c>
      <c r="D1051" s="3" t="b">
        <v>0</v>
      </c>
      <c r="E1051" s="3" t="s">
        <v>2469</v>
      </c>
      <c r="F1051" s="3" t="s">
        <v>2470</v>
      </c>
      <c r="G1051" s="4">
        <f>+251923407002</f>
        <v>251923407002</v>
      </c>
      <c r="H1051" s="3" t="s">
        <v>18</v>
      </c>
      <c r="I1051" s="3" t="s">
        <v>19</v>
      </c>
      <c r="J1051" s="3" t="s">
        <v>19</v>
      </c>
      <c r="K1051" s="3" t="s">
        <v>25</v>
      </c>
      <c r="L1051" s="3">
        <v>28.56</v>
      </c>
      <c r="M1051" s="3" t="s">
        <v>1695</v>
      </c>
      <c r="N1051" s="3" t="s">
        <v>1696</v>
      </c>
      <c r="O1051" s="3">
        <v>69900.0</v>
      </c>
    </row>
    <row r="1052">
      <c r="A1052" s="3">
        <v>1978794.0</v>
      </c>
      <c r="B1052" s="3" t="s">
        <v>2471</v>
      </c>
      <c r="C1052" s="3" t="b">
        <v>1</v>
      </c>
      <c r="D1052" s="3" t="b">
        <v>1</v>
      </c>
      <c r="E1052" s="3" t="s">
        <v>2472</v>
      </c>
      <c r="F1052" s="3" t="s">
        <v>1109</v>
      </c>
      <c r="G1052" s="4">
        <f>+251934414011</f>
        <v>251934414011</v>
      </c>
      <c r="H1052" s="3" t="s">
        <v>18</v>
      </c>
      <c r="I1052" s="3" t="s">
        <v>19</v>
      </c>
      <c r="J1052" s="3" t="s">
        <v>19</v>
      </c>
      <c r="K1052" s="3" t="s">
        <v>20</v>
      </c>
      <c r="L1052" s="3">
        <v>27.41</v>
      </c>
      <c r="M1052" s="3" t="s">
        <v>1695</v>
      </c>
      <c r="N1052" s="3" t="s">
        <v>1696</v>
      </c>
      <c r="O1052" s="3">
        <v>2.8026404601E10</v>
      </c>
    </row>
    <row r="1053">
      <c r="A1053" s="3">
        <v>2479145.0</v>
      </c>
      <c r="B1053" s="3" t="s">
        <v>2473</v>
      </c>
      <c r="C1053" s="3" t="b">
        <v>1</v>
      </c>
      <c r="D1053" s="3" t="b">
        <v>1</v>
      </c>
      <c r="E1053" s="3" t="s">
        <v>92</v>
      </c>
      <c r="F1053" s="3" t="s">
        <v>2474</v>
      </c>
      <c r="G1053" s="4">
        <f>+251918545577</f>
        <v>251918545577</v>
      </c>
      <c r="H1053" s="3" t="s">
        <v>18</v>
      </c>
      <c r="I1053" s="3" t="s">
        <v>19</v>
      </c>
      <c r="J1053" s="3" t="s">
        <v>19</v>
      </c>
      <c r="K1053" s="3" t="s">
        <v>25</v>
      </c>
      <c r="L1053" s="3">
        <v>33.92</v>
      </c>
      <c r="M1053" s="3" t="s">
        <v>1695</v>
      </c>
      <c r="N1053" s="3" t="s">
        <v>1696</v>
      </c>
      <c r="O1053" s="3">
        <v>1.18245028079E11</v>
      </c>
    </row>
    <row r="1054">
      <c r="A1054" s="3">
        <v>2479909.0</v>
      </c>
      <c r="B1054" s="3" t="s">
        <v>2475</v>
      </c>
      <c r="C1054" s="3" t="b">
        <v>1</v>
      </c>
      <c r="D1054" s="3" t="b">
        <v>0</v>
      </c>
      <c r="E1054" s="3" t="s">
        <v>930</v>
      </c>
      <c r="F1054" s="3" t="s">
        <v>1226</v>
      </c>
      <c r="G1054" s="4">
        <f>+251983979072</f>
        <v>251983979072</v>
      </c>
      <c r="H1054" s="3" t="s">
        <v>18</v>
      </c>
      <c r="I1054" s="3" t="s">
        <v>19</v>
      </c>
      <c r="J1054" s="3" t="s">
        <v>19</v>
      </c>
      <c r="K1054" s="3" t="s">
        <v>25</v>
      </c>
      <c r="L1054" s="3">
        <v>25.73</v>
      </c>
      <c r="M1054" s="3" t="s">
        <v>1695</v>
      </c>
      <c r="N1054" s="3" t="s">
        <v>1696</v>
      </c>
    </row>
    <row r="1055">
      <c r="A1055" s="3">
        <v>2479999.0</v>
      </c>
      <c r="B1055" s="3" t="s">
        <v>2476</v>
      </c>
      <c r="C1055" s="3" t="b">
        <v>1</v>
      </c>
      <c r="D1055" s="3" t="b">
        <v>1</v>
      </c>
      <c r="E1055" s="3" t="s">
        <v>2477</v>
      </c>
      <c r="F1055" s="3" t="s">
        <v>2478</v>
      </c>
      <c r="G1055" s="4">
        <f>+10919599149</f>
        <v>10919599149</v>
      </c>
      <c r="H1055" s="3" t="s">
        <v>289</v>
      </c>
      <c r="I1055" s="3" t="s">
        <v>19</v>
      </c>
      <c r="J1055" s="3" t="s">
        <v>19</v>
      </c>
      <c r="K1055" s="3" t="s">
        <v>25</v>
      </c>
      <c r="L1055" s="3">
        <v>31.79</v>
      </c>
      <c r="M1055" s="3" t="s">
        <v>1695</v>
      </c>
      <c r="N1055" s="3" t="s">
        <v>1696</v>
      </c>
      <c r="O1055" s="3">
        <v>1.12017880294E11</v>
      </c>
    </row>
    <row r="1056">
      <c r="A1056" s="3">
        <v>2480152.0</v>
      </c>
      <c r="B1056" s="3" t="s">
        <v>2479</v>
      </c>
      <c r="C1056" s="3" t="b">
        <v>1</v>
      </c>
      <c r="D1056" s="3" t="b">
        <v>1</v>
      </c>
      <c r="E1056" s="3" t="s">
        <v>2480</v>
      </c>
      <c r="F1056" s="3" t="s">
        <v>2481</v>
      </c>
      <c r="G1056" s="4">
        <f>+251956167134</f>
        <v>251956167134</v>
      </c>
      <c r="H1056" s="3" t="s">
        <v>29</v>
      </c>
      <c r="I1056" s="3" t="s">
        <v>19</v>
      </c>
      <c r="J1056" s="3" t="s">
        <v>19</v>
      </c>
      <c r="K1056" s="3" t="s">
        <v>25</v>
      </c>
      <c r="L1056" s="3">
        <v>26.17</v>
      </c>
      <c r="M1056" s="3" t="s">
        <v>1695</v>
      </c>
      <c r="N1056" s="3" t="s">
        <v>1696</v>
      </c>
      <c r="O1056" s="3">
        <v>1.18769087726E11</v>
      </c>
    </row>
    <row r="1057">
      <c r="A1057" s="3">
        <v>2480200.0</v>
      </c>
      <c r="B1057" s="3" t="s">
        <v>2482</v>
      </c>
      <c r="C1057" s="3" t="b">
        <v>0</v>
      </c>
      <c r="D1057" s="3" t="b">
        <v>1</v>
      </c>
      <c r="E1057" s="3" t="s">
        <v>974</v>
      </c>
      <c r="F1057" s="3" t="s">
        <v>267</v>
      </c>
      <c r="G1057" s="4">
        <f>+251978651679</f>
        <v>251978651679</v>
      </c>
      <c r="H1057" s="3" t="s">
        <v>18</v>
      </c>
      <c r="I1057" s="3" t="s">
        <v>19</v>
      </c>
      <c r="J1057" s="3" t="s">
        <v>19</v>
      </c>
      <c r="K1057" s="3" t="s">
        <v>20</v>
      </c>
      <c r="L1057" s="3">
        <v>19.29</v>
      </c>
      <c r="M1057" s="3" t="s">
        <v>1695</v>
      </c>
      <c r="N1057" s="3" t="s">
        <v>1696</v>
      </c>
      <c r="O1057" s="3">
        <v>1.18776225003E11</v>
      </c>
    </row>
    <row r="1058">
      <c r="A1058" s="3">
        <v>2480528.0</v>
      </c>
      <c r="B1058" s="3" t="s">
        <v>2483</v>
      </c>
      <c r="C1058" s="3" t="b">
        <v>1</v>
      </c>
      <c r="D1058" s="3" t="b">
        <v>1</v>
      </c>
      <c r="E1058" s="3" t="s">
        <v>120</v>
      </c>
      <c r="F1058" s="3" t="s">
        <v>2484</v>
      </c>
      <c r="G1058" s="4">
        <f>+251910989334</f>
        <v>251910989334</v>
      </c>
      <c r="H1058" s="3" t="s">
        <v>18</v>
      </c>
      <c r="I1058" s="3" t="s">
        <v>19</v>
      </c>
      <c r="J1058" s="3" t="s">
        <v>19</v>
      </c>
      <c r="K1058" s="3" t="s">
        <v>25</v>
      </c>
      <c r="L1058" s="3">
        <v>31.44</v>
      </c>
      <c r="M1058" s="3" t="s">
        <v>1695</v>
      </c>
      <c r="N1058" s="3" t="s">
        <v>1696</v>
      </c>
      <c r="O1058" s="3">
        <v>1.19161137374E11</v>
      </c>
    </row>
    <row r="1059">
      <c r="A1059" s="3">
        <v>1995059.0</v>
      </c>
      <c r="B1059" s="3" t="s">
        <v>2485</v>
      </c>
      <c r="C1059" s="3" t="b">
        <v>1</v>
      </c>
      <c r="D1059" s="3" t="b">
        <v>0</v>
      </c>
      <c r="E1059" s="3" t="s">
        <v>2345</v>
      </c>
      <c r="F1059" s="3" t="s">
        <v>2486</v>
      </c>
      <c r="G1059" s="4">
        <f>+251940231275</f>
        <v>251940231275</v>
      </c>
      <c r="H1059" s="3" t="s">
        <v>18</v>
      </c>
      <c r="I1059" s="3" t="s">
        <v>19</v>
      </c>
      <c r="J1059" s="3" t="s">
        <v>19</v>
      </c>
      <c r="K1059" s="3" t="s">
        <v>20</v>
      </c>
      <c r="L1059" s="3">
        <v>18.72</v>
      </c>
      <c r="M1059" s="3" t="s">
        <v>1695</v>
      </c>
      <c r="N1059" s="3" t="s">
        <v>1696</v>
      </c>
    </row>
    <row r="1060">
      <c r="A1060" s="3">
        <v>2355368.0</v>
      </c>
      <c r="B1060" s="3" t="s">
        <v>2487</v>
      </c>
      <c r="C1060" s="3" t="b">
        <v>1</v>
      </c>
      <c r="D1060" s="3" t="b">
        <v>1</v>
      </c>
      <c r="E1060" s="3" t="s">
        <v>2488</v>
      </c>
      <c r="F1060" s="3" t="s">
        <v>446</v>
      </c>
      <c r="G1060" s="4">
        <f>+251911676281</f>
        <v>251911676281</v>
      </c>
      <c r="H1060" s="3" t="s">
        <v>18</v>
      </c>
      <c r="I1060" s="3" t="s">
        <v>19</v>
      </c>
      <c r="J1060" s="3" t="s">
        <v>19</v>
      </c>
      <c r="K1060" s="3" t="s">
        <v>25</v>
      </c>
      <c r="L1060" s="3">
        <v>19.05</v>
      </c>
      <c r="M1060" s="3" t="s">
        <v>1695</v>
      </c>
      <c r="N1060" s="3" t="s">
        <v>1696</v>
      </c>
    </row>
    <row r="1061">
      <c r="A1061" s="3">
        <v>2481866.0</v>
      </c>
      <c r="B1061" s="3" t="s">
        <v>2489</v>
      </c>
      <c r="C1061" s="3" t="b">
        <v>0</v>
      </c>
      <c r="D1061" s="3" t="b">
        <v>1</v>
      </c>
      <c r="E1061" s="3" t="s">
        <v>2490</v>
      </c>
      <c r="F1061" s="3" t="s">
        <v>683</v>
      </c>
      <c r="G1061" s="4">
        <f>+251955880786</f>
        <v>251955880786</v>
      </c>
      <c r="H1061" s="3" t="s">
        <v>18</v>
      </c>
      <c r="I1061" s="3" t="s">
        <v>19</v>
      </c>
      <c r="J1061" s="3" t="s">
        <v>19</v>
      </c>
      <c r="K1061" s="3" t="s">
        <v>25</v>
      </c>
      <c r="L1061" s="3">
        <v>22.42</v>
      </c>
      <c r="M1061" s="3" t="s">
        <v>1695</v>
      </c>
      <c r="N1061" s="3" t="s">
        <v>1696</v>
      </c>
      <c r="O1061" s="3">
        <v>1.20332572861E11</v>
      </c>
    </row>
    <row r="1062">
      <c r="A1062" s="3">
        <v>35972.0</v>
      </c>
      <c r="B1062" s="3" t="s">
        <v>2491</v>
      </c>
      <c r="C1062" s="3" t="b">
        <v>1</v>
      </c>
      <c r="D1062" s="3" t="b">
        <v>1</v>
      </c>
      <c r="E1062" s="3" t="s">
        <v>2492</v>
      </c>
      <c r="F1062" s="3" t="s">
        <v>2493</v>
      </c>
      <c r="G1062" s="4">
        <f>+251919130459</f>
        <v>251919130459</v>
      </c>
      <c r="H1062" s="3" t="s">
        <v>2494</v>
      </c>
      <c r="I1062" s="3" t="s">
        <v>19</v>
      </c>
      <c r="J1062" s="3" t="s">
        <v>19</v>
      </c>
      <c r="K1062" s="3" t="s">
        <v>25</v>
      </c>
      <c r="L1062" s="3">
        <v>31.89</v>
      </c>
      <c r="M1062" s="3" t="s">
        <v>1695</v>
      </c>
      <c r="N1062" s="3" t="s">
        <v>1696</v>
      </c>
      <c r="O1062" s="3">
        <v>7717301.0</v>
      </c>
    </row>
    <row r="1063">
      <c r="A1063" s="3">
        <v>2481890.0</v>
      </c>
      <c r="B1063" s="3" t="s">
        <v>2495</v>
      </c>
      <c r="C1063" s="3" t="b">
        <v>1</v>
      </c>
      <c r="D1063" s="3" t="b">
        <v>1</v>
      </c>
      <c r="E1063" s="3" t="s">
        <v>2496</v>
      </c>
      <c r="F1063" s="3" t="s">
        <v>913</v>
      </c>
      <c r="G1063" s="3" t="s">
        <v>2497</v>
      </c>
      <c r="H1063" s="3" t="s">
        <v>1812</v>
      </c>
      <c r="I1063" s="3" t="s">
        <v>19</v>
      </c>
      <c r="J1063" s="3" t="s">
        <v>19</v>
      </c>
      <c r="K1063" s="3" t="s">
        <v>20</v>
      </c>
      <c r="L1063" s="3">
        <v>18.88</v>
      </c>
      <c r="M1063" s="3" t="s">
        <v>1695</v>
      </c>
      <c r="N1063" s="3" t="s">
        <v>1696</v>
      </c>
      <c r="O1063" s="3">
        <v>1.20315804891E11</v>
      </c>
    </row>
    <row r="1064">
      <c r="A1064" s="3">
        <v>2482517.0</v>
      </c>
      <c r="B1064" s="3" t="s">
        <v>2498</v>
      </c>
      <c r="C1064" s="3" t="b">
        <v>1</v>
      </c>
      <c r="D1064" s="3" t="b">
        <v>1</v>
      </c>
      <c r="E1064" s="3" t="s">
        <v>2499</v>
      </c>
      <c r="F1064" s="3" t="s">
        <v>2500</v>
      </c>
      <c r="G1064" s="4">
        <f>+251961608867</f>
        <v>251961608867</v>
      </c>
      <c r="H1064" s="3" t="s">
        <v>18</v>
      </c>
      <c r="I1064" s="3" t="s">
        <v>19</v>
      </c>
      <c r="J1064" s="3" t="s">
        <v>19</v>
      </c>
      <c r="K1064" s="3" t="s">
        <v>20</v>
      </c>
      <c r="L1064" s="3">
        <v>19.21</v>
      </c>
      <c r="M1064" s="3" t="s">
        <v>1695</v>
      </c>
      <c r="N1064" s="3" t="s">
        <v>1696</v>
      </c>
      <c r="O1064" s="3">
        <v>1.20794720475E11</v>
      </c>
    </row>
    <row r="1065">
      <c r="A1065" s="3">
        <v>2482468.0</v>
      </c>
      <c r="B1065" s="3" t="s">
        <v>2501</v>
      </c>
      <c r="C1065" s="3" t="b">
        <v>1</v>
      </c>
      <c r="D1065" s="3" t="b">
        <v>1</v>
      </c>
      <c r="E1065" s="3" t="s">
        <v>2502</v>
      </c>
      <c r="F1065" s="3" t="s">
        <v>409</v>
      </c>
      <c r="G1065" s="4">
        <f>+251988838927</f>
        <v>251988838927</v>
      </c>
      <c r="H1065" s="3" t="s">
        <v>18</v>
      </c>
      <c r="I1065" s="3" t="s">
        <v>19</v>
      </c>
      <c r="J1065" s="3" t="s">
        <v>19</v>
      </c>
      <c r="K1065" s="3" t="s">
        <v>20</v>
      </c>
      <c r="L1065" s="3">
        <v>19.99</v>
      </c>
      <c r="M1065" s="3" t="s">
        <v>1695</v>
      </c>
      <c r="N1065" s="3" t="s">
        <v>1696</v>
      </c>
      <c r="O1065" s="3">
        <v>1.20784116936E11</v>
      </c>
    </row>
    <row r="1066">
      <c r="A1066" s="3">
        <v>516683.0</v>
      </c>
      <c r="B1066" s="3" t="s">
        <v>2503</v>
      </c>
      <c r="C1066" s="3" t="b">
        <v>1</v>
      </c>
      <c r="D1066" s="3" t="b">
        <v>1</v>
      </c>
      <c r="E1066" s="3" t="s">
        <v>676</v>
      </c>
      <c r="F1066" s="3" t="s">
        <v>1368</v>
      </c>
      <c r="G1066" s="4">
        <f>+251962271498</f>
        <v>251962271498</v>
      </c>
      <c r="H1066" s="3" t="s">
        <v>18</v>
      </c>
      <c r="I1066" s="3" t="s">
        <v>19</v>
      </c>
      <c r="J1066" s="3" t="s">
        <v>19</v>
      </c>
      <c r="K1066" s="3" t="s">
        <v>25</v>
      </c>
      <c r="L1066" s="3">
        <v>23.16</v>
      </c>
      <c r="M1066" s="3" t="s">
        <v>1695</v>
      </c>
      <c r="N1066" s="3" t="s">
        <v>1696</v>
      </c>
      <c r="O1066" s="3">
        <v>8758237.0</v>
      </c>
    </row>
    <row r="1067">
      <c r="A1067" s="3">
        <v>2482591.0</v>
      </c>
      <c r="B1067" s="3" t="s">
        <v>2504</v>
      </c>
      <c r="C1067" s="3" t="b">
        <v>1</v>
      </c>
      <c r="D1067" s="3" t="b">
        <v>1</v>
      </c>
      <c r="E1067" s="3" t="s">
        <v>531</v>
      </c>
      <c r="F1067" s="3" t="s">
        <v>2505</v>
      </c>
      <c r="G1067" s="4">
        <f>+251944444084</f>
        <v>251944444084</v>
      </c>
      <c r="H1067" s="3" t="s">
        <v>18</v>
      </c>
      <c r="I1067" s="3" t="s">
        <v>19</v>
      </c>
      <c r="J1067" s="3" t="s">
        <v>19</v>
      </c>
      <c r="K1067" s="3" t="s">
        <v>20</v>
      </c>
      <c r="L1067" s="3">
        <v>30.37</v>
      </c>
      <c r="M1067" s="3" t="s">
        <v>1695</v>
      </c>
      <c r="N1067" s="3" t="s">
        <v>1696</v>
      </c>
      <c r="O1067" s="3">
        <v>1.20980669688E11</v>
      </c>
    </row>
    <row r="1068">
      <c r="A1068" s="3">
        <v>2482942.0</v>
      </c>
      <c r="B1068" s="3" t="s">
        <v>2506</v>
      </c>
      <c r="C1068" s="3" t="b">
        <v>1</v>
      </c>
      <c r="D1068" s="3" t="b">
        <v>1</v>
      </c>
      <c r="E1068" s="3" t="s">
        <v>218</v>
      </c>
      <c r="F1068" s="3" t="s">
        <v>2507</v>
      </c>
      <c r="G1068" s="4">
        <f>+251936903582</f>
        <v>251936903582</v>
      </c>
      <c r="H1068" s="3" t="s">
        <v>346</v>
      </c>
      <c r="I1068" s="3" t="s">
        <v>19</v>
      </c>
      <c r="J1068" s="3" t="s">
        <v>19</v>
      </c>
      <c r="K1068" s="3" t="s">
        <v>25</v>
      </c>
      <c r="L1068" s="3">
        <v>22.11</v>
      </c>
      <c r="M1068" s="3" t="s">
        <v>1695</v>
      </c>
      <c r="N1068" s="3" t="s">
        <v>1696</v>
      </c>
      <c r="O1068" s="3">
        <v>1.21165203643E11</v>
      </c>
    </row>
    <row r="1069">
      <c r="A1069" s="3">
        <v>628664.0</v>
      </c>
      <c r="B1069" s="3" t="s">
        <v>2508</v>
      </c>
      <c r="C1069" s="3" t="b">
        <v>1</v>
      </c>
      <c r="D1069" s="3" t="b">
        <v>1</v>
      </c>
      <c r="E1069" s="3" t="s">
        <v>2509</v>
      </c>
      <c r="F1069" s="3" t="s">
        <v>2510</v>
      </c>
      <c r="G1069" s="4">
        <f>+251913698108</f>
        <v>251913698108</v>
      </c>
      <c r="H1069" s="3" t="s">
        <v>18</v>
      </c>
      <c r="I1069" s="3" t="s">
        <v>19</v>
      </c>
      <c r="J1069" s="3" t="s">
        <v>19</v>
      </c>
      <c r="K1069" s="3" t="s">
        <v>20</v>
      </c>
      <c r="L1069" s="3">
        <v>31.26</v>
      </c>
      <c r="M1069" s="3" t="s">
        <v>1695</v>
      </c>
      <c r="N1069" s="3" t="s">
        <v>1696</v>
      </c>
      <c r="O1069" s="3">
        <v>2.9082579E7</v>
      </c>
    </row>
    <row r="1070">
      <c r="A1070" s="3">
        <v>2483078.0</v>
      </c>
      <c r="B1070" s="3" t="s">
        <v>2511</v>
      </c>
      <c r="C1070" s="3" t="b">
        <v>1</v>
      </c>
      <c r="D1070" s="3" t="b">
        <v>0</v>
      </c>
      <c r="E1070" s="3" t="s">
        <v>1814</v>
      </c>
      <c r="F1070" s="3" t="s">
        <v>1656</v>
      </c>
      <c r="G1070" s="4">
        <f>+251930802721</f>
        <v>251930802721</v>
      </c>
      <c r="H1070" s="3" t="s">
        <v>18</v>
      </c>
      <c r="I1070" s="3" t="s">
        <v>19</v>
      </c>
      <c r="J1070" s="3" t="s">
        <v>19</v>
      </c>
      <c r="K1070" s="3" t="s">
        <v>25</v>
      </c>
      <c r="L1070" s="3">
        <v>26.17</v>
      </c>
      <c r="M1070" s="3" t="s">
        <v>1695</v>
      </c>
      <c r="N1070" s="3" t="s">
        <v>1696</v>
      </c>
      <c r="O1070" s="3">
        <v>1.21191191784E11</v>
      </c>
    </row>
    <row r="1071">
      <c r="A1071" s="3">
        <v>2483273.0</v>
      </c>
      <c r="B1071" s="3" t="s">
        <v>2512</v>
      </c>
      <c r="C1071" s="3" t="b">
        <v>1</v>
      </c>
      <c r="D1071" s="3" t="b">
        <v>1</v>
      </c>
      <c r="E1071" s="3" t="s">
        <v>2513</v>
      </c>
      <c r="F1071" s="3" t="s">
        <v>443</v>
      </c>
      <c r="G1071" s="4">
        <f>+251936082321</f>
        <v>251936082321</v>
      </c>
      <c r="H1071" s="3" t="s">
        <v>18</v>
      </c>
      <c r="I1071" s="3" t="s">
        <v>19</v>
      </c>
      <c r="J1071" s="3" t="s">
        <v>19</v>
      </c>
      <c r="K1071" s="3" t="s">
        <v>20</v>
      </c>
      <c r="L1071" s="3">
        <v>19.62</v>
      </c>
      <c r="M1071" s="3" t="s">
        <v>1695</v>
      </c>
      <c r="N1071" s="3" t="s">
        <v>1696</v>
      </c>
      <c r="O1071" s="3">
        <v>1.21401456868E11</v>
      </c>
    </row>
    <row r="1072">
      <c r="A1072" s="3">
        <v>2483271.0</v>
      </c>
      <c r="B1072" s="3" t="s">
        <v>2514</v>
      </c>
      <c r="C1072" s="3" t="b">
        <v>1</v>
      </c>
      <c r="D1072" s="3" t="b">
        <v>1</v>
      </c>
      <c r="E1072" s="3" t="s">
        <v>676</v>
      </c>
      <c r="F1072" s="3" t="s">
        <v>2515</v>
      </c>
      <c r="G1072" s="4">
        <f>+251921322115</f>
        <v>251921322115</v>
      </c>
      <c r="H1072" s="3" t="s">
        <v>18</v>
      </c>
      <c r="I1072" s="3" t="s">
        <v>19</v>
      </c>
      <c r="J1072" s="3" t="s">
        <v>19</v>
      </c>
      <c r="K1072" s="3" t="s">
        <v>25</v>
      </c>
      <c r="L1072" s="3">
        <v>21.76</v>
      </c>
      <c r="M1072" s="3" t="s">
        <v>1695</v>
      </c>
      <c r="N1072" s="3" t="s">
        <v>1696</v>
      </c>
    </row>
    <row r="1073">
      <c r="A1073" s="3">
        <v>1627738.0</v>
      </c>
      <c r="B1073" s="3" t="s">
        <v>2516</v>
      </c>
      <c r="C1073" s="3" t="b">
        <v>1</v>
      </c>
      <c r="D1073" s="3" t="b">
        <v>1</v>
      </c>
      <c r="E1073" s="3" t="s">
        <v>806</v>
      </c>
      <c r="F1073" s="3" t="s">
        <v>951</v>
      </c>
      <c r="G1073" s="4">
        <f>+251942408225</f>
        <v>251942408225</v>
      </c>
      <c r="H1073" s="3" t="s">
        <v>18</v>
      </c>
      <c r="I1073" s="3" t="s">
        <v>19</v>
      </c>
      <c r="J1073" s="3" t="s">
        <v>19</v>
      </c>
      <c r="K1073" s="3" t="s">
        <v>20</v>
      </c>
      <c r="L1073" s="3">
        <v>19.49</v>
      </c>
      <c r="M1073" s="3" t="s">
        <v>1695</v>
      </c>
      <c r="N1073" s="3" t="s">
        <v>1696</v>
      </c>
      <c r="O1073" s="3">
        <v>2.022401427E10</v>
      </c>
    </row>
    <row r="1074">
      <c r="A1074" s="3">
        <v>686148.0</v>
      </c>
      <c r="B1074" s="3" t="s">
        <v>2517</v>
      </c>
      <c r="C1074" s="3" t="b">
        <v>1</v>
      </c>
      <c r="D1074" s="3" t="b">
        <v>1</v>
      </c>
      <c r="E1074" s="3" t="s">
        <v>2518</v>
      </c>
      <c r="F1074" s="3" t="s">
        <v>2519</v>
      </c>
      <c r="G1074" s="4">
        <f>+251981152941</f>
        <v>251981152941</v>
      </c>
      <c r="H1074" s="3" t="s">
        <v>18</v>
      </c>
      <c r="I1074" s="3" t="s">
        <v>19</v>
      </c>
      <c r="J1074" s="3" t="s">
        <v>19</v>
      </c>
      <c r="K1074" s="3" t="s">
        <v>20</v>
      </c>
      <c r="L1074" s="3">
        <v>21.07</v>
      </c>
      <c r="M1074" s="3" t="s">
        <v>1695</v>
      </c>
      <c r="N1074" s="3" t="s">
        <v>1696</v>
      </c>
      <c r="O1074" s="3">
        <v>2.9378257E7</v>
      </c>
    </row>
    <row r="1075">
      <c r="A1075" s="3">
        <v>2484190.0</v>
      </c>
      <c r="B1075" s="3" t="s">
        <v>2520</v>
      </c>
      <c r="C1075" s="3" t="b">
        <v>1</v>
      </c>
      <c r="D1075" s="3" t="b">
        <v>1</v>
      </c>
      <c r="E1075" s="3" t="s">
        <v>534</v>
      </c>
      <c r="F1075" s="3" t="s">
        <v>446</v>
      </c>
      <c r="G1075" s="4">
        <f>+251945759975</f>
        <v>251945759975</v>
      </c>
      <c r="H1075" s="3" t="s">
        <v>18</v>
      </c>
      <c r="I1075" s="3" t="s">
        <v>19</v>
      </c>
      <c r="J1075" s="3" t="s">
        <v>19</v>
      </c>
      <c r="K1075" s="3" t="s">
        <v>25</v>
      </c>
      <c r="L1075" s="3">
        <v>19.47</v>
      </c>
      <c r="M1075" s="3" t="s">
        <v>1695</v>
      </c>
      <c r="N1075" s="3" t="s">
        <v>1696</v>
      </c>
    </row>
    <row r="1076">
      <c r="A1076" s="3">
        <v>2484215.0</v>
      </c>
      <c r="B1076" s="3" t="s">
        <v>2521</v>
      </c>
      <c r="C1076" s="3" t="b">
        <v>1</v>
      </c>
      <c r="D1076" s="3" t="b">
        <v>1</v>
      </c>
      <c r="E1076" s="3" t="s">
        <v>2032</v>
      </c>
      <c r="F1076" s="3" t="s">
        <v>2522</v>
      </c>
      <c r="G1076" s="4">
        <f>+251940851485</f>
        <v>251940851485</v>
      </c>
      <c r="H1076" s="3" t="s">
        <v>18</v>
      </c>
      <c r="I1076" s="3" t="s">
        <v>19</v>
      </c>
      <c r="J1076" s="3" t="s">
        <v>19</v>
      </c>
      <c r="K1076" s="3" t="s">
        <v>25</v>
      </c>
      <c r="L1076" s="3">
        <v>26.51</v>
      </c>
      <c r="M1076" s="3" t="s">
        <v>1695</v>
      </c>
      <c r="N1076" s="3" t="s">
        <v>1696</v>
      </c>
      <c r="O1076" s="3">
        <v>8861709.0</v>
      </c>
    </row>
    <row r="1077">
      <c r="A1077" s="3">
        <v>2484230.0</v>
      </c>
      <c r="B1077" s="3" t="s">
        <v>2523</v>
      </c>
      <c r="C1077" s="3" t="b">
        <v>1</v>
      </c>
      <c r="D1077" s="3" t="b">
        <v>1</v>
      </c>
      <c r="E1077" s="3" t="s">
        <v>1034</v>
      </c>
      <c r="F1077" s="3" t="s">
        <v>1321</v>
      </c>
      <c r="G1077" s="4">
        <f>+251920336291</f>
        <v>251920336291</v>
      </c>
      <c r="H1077" s="3" t="s">
        <v>18</v>
      </c>
      <c r="I1077" s="3" t="s">
        <v>19</v>
      </c>
      <c r="J1077" s="3" t="s">
        <v>19</v>
      </c>
      <c r="K1077" s="3" t="s">
        <v>20</v>
      </c>
      <c r="L1077" s="3">
        <v>22.69</v>
      </c>
      <c r="M1077" s="3" t="s">
        <v>1695</v>
      </c>
      <c r="N1077" s="3" t="s">
        <v>1696</v>
      </c>
    </row>
    <row r="1078">
      <c r="A1078" s="3">
        <v>2259607.0</v>
      </c>
      <c r="B1078" s="3" t="s">
        <v>2524</v>
      </c>
      <c r="C1078" s="3" t="b">
        <v>1</v>
      </c>
      <c r="D1078" s="3" t="b">
        <v>1</v>
      </c>
      <c r="E1078" s="3" t="s">
        <v>2525</v>
      </c>
      <c r="F1078" s="3" t="s">
        <v>189</v>
      </c>
      <c r="G1078" s="4">
        <f>+25190453634</f>
        <v>25190453634</v>
      </c>
      <c r="H1078" s="3" t="s">
        <v>18</v>
      </c>
      <c r="I1078" s="3" t="s">
        <v>19</v>
      </c>
      <c r="J1078" s="3" t="s">
        <v>19</v>
      </c>
      <c r="K1078" s="3" t="s">
        <v>25</v>
      </c>
      <c r="L1078" s="3">
        <v>19.49</v>
      </c>
      <c r="M1078" s="3" t="s">
        <v>1695</v>
      </c>
      <c r="N1078" s="3" t="s">
        <v>1696</v>
      </c>
    </row>
    <row r="1079">
      <c r="A1079" s="3">
        <v>2484276.0</v>
      </c>
      <c r="B1079" s="3" t="s">
        <v>2526</v>
      </c>
      <c r="C1079" s="3" t="b">
        <v>1</v>
      </c>
      <c r="D1079" s="3" t="b">
        <v>1</v>
      </c>
      <c r="E1079" s="3" t="s">
        <v>686</v>
      </c>
      <c r="F1079" s="3" t="s">
        <v>35</v>
      </c>
      <c r="G1079" s="4">
        <f>+251914834249</f>
        <v>251914834249</v>
      </c>
      <c r="H1079" s="3" t="s">
        <v>18</v>
      </c>
      <c r="I1079" s="3" t="s">
        <v>19</v>
      </c>
      <c r="J1079" s="3" t="s">
        <v>19</v>
      </c>
      <c r="K1079" s="3" t="s">
        <v>20</v>
      </c>
      <c r="L1079" s="3">
        <v>21.73</v>
      </c>
      <c r="M1079" s="3" t="s">
        <v>1695</v>
      </c>
      <c r="N1079" s="3" t="s">
        <v>1696</v>
      </c>
      <c r="O1079" s="3">
        <v>1.22274599149E11</v>
      </c>
    </row>
    <row r="1080">
      <c r="A1080" s="3">
        <v>2484277.0</v>
      </c>
      <c r="B1080" s="3" t="s">
        <v>2527</v>
      </c>
      <c r="C1080" s="3" t="b">
        <v>0</v>
      </c>
      <c r="D1080" s="3" t="b">
        <v>1</v>
      </c>
      <c r="E1080" s="3" t="s">
        <v>2528</v>
      </c>
      <c r="F1080" s="3" t="s">
        <v>2529</v>
      </c>
      <c r="G1080" s="4">
        <f>+251944783945</f>
        <v>251944783945</v>
      </c>
      <c r="H1080" s="3" t="s">
        <v>18</v>
      </c>
      <c r="I1080" s="3" t="s">
        <v>19</v>
      </c>
      <c r="J1080" s="3" t="s">
        <v>2530</v>
      </c>
      <c r="K1080" s="3" t="s">
        <v>25</v>
      </c>
      <c r="L1080" s="3">
        <v>19.31</v>
      </c>
      <c r="M1080" s="3" t="s">
        <v>1695</v>
      </c>
      <c r="N1080" s="3" t="s">
        <v>1696</v>
      </c>
      <c r="O1080" s="3">
        <v>1.22270992618E11</v>
      </c>
    </row>
    <row r="1081">
      <c r="A1081" s="3">
        <v>2484275.0</v>
      </c>
      <c r="B1081" s="3" t="s">
        <v>2531</v>
      </c>
      <c r="C1081" s="3" t="b">
        <v>1</v>
      </c>
      <c r="D1081" s="3" t="b">
        <v>1</v>
      </c>
      <c r="E1081" s="3" t="s">
        <v>85</v>
      </c>
      <c r="F1081" s="3" t="s">
        <v>2532</v>
      </c>
      <c r="G1081" s="4">
        <f>+251910461762</f>
        <v>251910461762</v>
      </c>
      <c r="H1081" s="3" t="s">
        <v>18</v>
      </c>
      <c r="I1081" s="3" t="s">
        <v>19</v>
      </c>
      <c r="J1081" s="3" t="s">
        <v>19</v>
      </c>
      <c r="K1081" s="3" t="s">
        <v>25</v>
      </c>
      <c r="L1081" s="3">
        <v>21.86</v>
      </c>
      <c r="M1081" s="3" t="s">
        <v>1695</v>
      </c>
      <c r="N1081" s="3" t="s">
        <v>1696</v>
      </c>
      <c r="O1081" s="3">
        <v>1.22280754414E11</v>
      </c>
    </row>
    <row r="1082">
      <c r="A1082" s="3">
        <v>2484291.0</v>
      </c>
      <c r="B1082" s="3" t="s">
        <v>2533</v>
      </c>
      <c r="C1082" s="3" t="b">
        <v>0</v>
      </c>
      <c r="D1082" s="3" t="b">
        <v>1</v>
      </c>
      <c r="E1082" s="3" t="s">
        <v>534</v>
      </c>
      <c r="F1082" s="3" t="s">
        <v>446</v>
      </c>
      <c r="G1082" s="4">
        <f>+251945759975</f>
        <v>251945759975</v>
      </c>
      <c r="H1082" s="3" t="s">
        <v>18</v>
      </c>
      <c r="I1082" s="3" t="s">
        <v>19</v>
      </c>
      <c r="J1082" s="3" t="s">
        <v>19</v>
      </c>
      <c r="K1082" s="3" t="s">
        <v>25</v>
      </c>
      <c r="L1082" s="3">
        <v>19.47</v>
      </c>
      <c r="M1082" s="3" t="s">
        <v>1695</v>
      </c>
      <c r="N1082" s="3" t="s">
        <v>1696</v>
      </c>
      <c r="O1082" s="3">
        <v>1.22277020861E11</v>
      </c>
    </row>
    <row r="1083">
      <c r="A1083" s="3">
        <v>2415279.0</v>
      </c>
      <c r="B1083" s="3" t="s">
        <v>2534</v>
      </c>
      <c r="C1083" s="3" t="b">
        <v>1</v>
      </c>
      <c r="D1083" s="3" t="b">
        <v>1</v>
      </c>
      <c r="E1083" s="3" t="s">
        <v>2535</v>
      </c>
      <c r="F1083" s="3" t="s">
        <v>911</v>
      </c>
      <c r="G1083" s="4">
        <f>+251986479117</f>
        <v>251986479117</v>
      </c>
      <c r="H1083" s="3" t="s">
        <v>18</v>
      </c>
      <c r="I1083" s="3" t="s">
        <v>19</v>
      </c>
      <c r="J1083" s="3" t="s">
        <v>19</v>
      </c>
      <c r="K1083" s="3" t="s">
        <v>20</v>
      </c>
      <c r="L1083" s="3">
        <v>19.3</v>
      </c>
      <c r="M1083" s="3" t="s">
        <v>1695</v>
      </c>
      <c r="N1083" s="3" t="s">
        <v>1696</v>
      </c>
      <c r="O1083" s="3">
        <v>8.4211469504E10</v>
      </c>
    </row>
    <row r="1084">
      <c r="A1084" s="3">
        <v>2484303.0</v>
      </c>
      <c r="B1084" s="3" t="s">
        <v>2536</v>
      </c>
      <c r="C1084" s="3" t="b">
        <v>1</v>
      </c>
      <c r="D1084" s="3" t="b">
        <v>1</v>
      </c>
      <c r="E1084" s="3" t="s">
        <v>2537</v>
      </c>
      <c r="F1084" s="3" t="s">
        <v>158</v>
      </c>
      <c r="G1084" s="4">
        <f>+251967449400</f>
        <v>251967449400</v>
      </c>
      <c r="H1084" s="3" t="s">
        <v>18</v>
      </c>
      <c r="I1084" s="3" t="s">
        <v>19</v>
      </c>
      <c r="J1084" s="3" t="s">
        <v>19</v>
      </c>
      <c r="K1084" s="3" t="s">
        <v>20</v>
      </c>
      <c r="L1084" s="3">
        <v>20.35</v>
      </c>
      <c r="M1084" s="3" t="s">
        <v>1695</v>
      </c>
      <c r="N1084" s="3" t="s">
        <v>1696</v>
      </c>
      <c r="O1084" s="3">
        <v>1.22283703538E11</v>
      </c>
    </row>
    <row r="1085">
      <c r="A1085" s="3">
        <v>2484302.0</v>
      </c>
      <c r="B1085" s="3" t="s">
        <v>2538</v>
      </c>
      <c r="C1085" s="3" t="b">
        <v>1</v>
      </c>
      <c r="D1085" s="3" t="b">
        <v>1</v>
      </c>
      <c r="E1085" s="3" t="s">
        <v>2539</v>
      </c>
      <c r="F1085" s="3" t="s">
        <v>2540</v>
      </c>
      <c r="G1085" s="4">
        <f>+251936376106</f>
        <v>251936376106</v>
      </c>
      <c r="H1085" s="3" t="s">
        <v>18</v>
      </c>
      <c r="I1085" s="3" t="s">
        <v>19</v>
      </c>
      <c r="J1085" s="3" t="s">
        <v>19</v>
      </c>
      <c r="K1085" s="3" t="s">
        <v>20</v>
      </c>
      <c r="L1085" s="3">
        <v>20.53</v>
      </c>
      <c r="M1085" s="3" t="s">
        <v>1695</v>
      </c>
      <c r="N1085" s="3" t="s">
        <v>1696</v>
      </c>
      <c r="O1085" s="3">
        <v>1.22393568483E11</v>
      </c>
    </row>
    <row r="1086">
      <c r="A1086" s="3">
        <v>2484318.0</v>
      </c>
      <c r="B1086" s="3" t="s">
        <v>2541</v>
      </c>
      <c r="C1086" s="3" t="b">
        <v>1</v>
      </c>
      <c r="D1086" s="3" t="b">
        <v>1</v>
      </c>
      <c r="E1086" s="3" t="s">
        <v>279</v>
      </c>
      <c r="F1086" s="3" t="s">
        <v>218</v>
      </c>
      <c r="G1086" s="4">
        <f>+251924481269</f>
        <v>251924481269</v>
      </c>
      <c r="H1086" s="3" t="s">
        <v>18</v>
      </c>
      <c r="I1086" s="3" t="s">
        <v>19</v>
      </c>
      <c r="J1086" s="3" t="s">
        <v>19</v>
      </c>
      <c r="K1086" s="3" t="s">
        <v>25</v>
      </c>
      <c r="L1086" s="3">
        <v>21.26</v>
      </c>
      <c r="M1086" s="3" t="s">
        <v>1695</v>
      </c>
      <c r="N1086" s="3" t="s">
        <v>1696</v>
      </c>
      <c r="O1086" s="3">
        <v>1.22286578904E11</v>
      </c>
    </row>
    <row r="1087">
      <c r="A1087" s="3">
        <v>2484317.0</v>
      </c>
      <c r="B1087" s="3" t="s">
        <v>2542</v>
      </c>
      <c r="C1087" s="3" t="b">
        <v>0</v>
      </c>
      <c r="D1087" s="3" t="b">
        <v>1</v>
      </c>
      <c r="E1087" s="3" t="s">
        <v>2543</v>
      </c>
      <c r="F1087" s="3" t="s">
        <v>273</v>
      </c>
      <c r="G1087" s="4">
        <f>+251988869116</f>
        <v>251988869116</v>
      </c>
      <c r="H1087" s="3" t="s">
        <v>18</v>
      </c>
      <c r="I1087" s="3" t="s">
        <v>19</v>
      </c>
      <c r="J1087" s="3" t="s">
        <v>19</v>
      </c>
      <c r="K1087" s="3" t="s">
        <v>20</v>
      </c>
      <c r="L1087" s="3">
        <v>20.17</v>
      </c>
      <c r="M1087" s="3" t="s">
        <v>1695</v>
      </c>
      <c r="N1087" s="3" t="s">
        <v>1696</v>
      </c>
      <c r="O1087" s="3">
        <v>1.22286561521E11</v>
      </c>
    </row>
    <row r="1088">
      <c r="A1088" s="3">
        <v>2484336.0</v>
      </c>
      <c r="B1088" s="3" t="s">
        <v>2544</v>
      </c>
      <c r="C1088" s="3" t="b">
        <v>0</v>
      </c>
      <c r="D1088" s="3" t="b">
        <v>1</v>
      </c>
      <c r="E1088" s="3" t="s">
        <v>261</v>
      </c>
      <c r="F1088" s="3" t="s">
        <v>2545</v>
      </c>
      <c r="G1088" s="4">
        <f>+251996594655</f>
        <v>251996594655</v>
      </c>
      <c r="H1088" s="3" t="s">
        <v>18</v>
      </c>
      <c r="I1088" s="3" t="s">
        <v>19</v>
      </c>
      <c r="J1088" s="3" t="s">
        <v>19</v>
      </c>
      <c r="K1088" s="3" t="s">
        <v>25</v>
      </c>
      <c r="L1088" s="3">
        <v>21.54</v>
      </c>
      <c r="M1088" s="3" t="s">
        <v>1695</v>
      </c>
      <c r="N1088" s="3" t="s">
        <v>1696</v>
      </c>
      <c r="O1088" s="3">
        <v>1.22393896139E11</v>
      </c>
    </row>
    <row r="1089">
      <c r="A1089" s="3">
        <v>2484345.0</v>
      </c>
      <c r="B1089" s="3" t="s">
        <v>2546</v>
      </c>
      <c r="C1089" s="3" t="b">
        <v>0</v>
      </c>
      <c r="D1089" s="3" t="b">
        <v>1</v>
      </c>
      <c r="E1089" s="3" t="s">
        <v>849</v>
      </c>
      <c r="F1089" s="3" t="s">
        <v>2547</v>
      </c>
      <c r="G1089" s="4">
        <f>+251928204561</f>
        <v>251928204561</v>
      </c>
      <c r="H1089" s="3" t="s">
        <v>18</v>
      </c>
      <c r="I1089" s="3" t="s">
        <v>19</v>
      </c>
      <c r="J1089" s="3" t="s">
        <v>19</v>
      </c>
      <c r="K1089" s="3" t="s">
        <v>25</v>
      </c>
      <c r="L1089" s="3">
        <v>22.22</v>
      </c>
      <c r="M1089" s="3" t="s">
        <v>1695</v>
      </c>
      <c r="N1089" s="3" t="s">
        <v>1696</v>
      </c>
      <c r="O1089" s="3">
        <v>1.22398680285E11</v>
      </c>
    </row>
    <row r="1090">
      <c r="A1090" s="3">
        <v>2484354.0</v>
      </c>
      <c r="B1090" s="3" t="s">
        <v>2548</v>
      </c>
      <c r="C1090" s="3" t="b">
        <v>1</v>
      </c>
      <c r="D1090" s="3" t="b">
        <v>1</v>
      </c>
      <c r="E1090" s="3" t="s">
        <v>420</v>
      </c>
      <c r="F1090" s="3" t="s">
        <v>67</v>
      </c>
      <c r="G1090" s="4">
        <f>+251930959837</f>
        <v>251930959837</v>
      </c>
      <c r="H1090" s="3" t="s">
        <v>18</v>
      </c>
      <c r="I1090" s="3" t="s">
        <v>19</v>
      </c>
      <c r="J1090" s="3" t="s">
        <v>19</v>
      </c>
      <c r="K1090" s="3" t="s">
        <v>25</v>
      </c>
      <c r="L1090" s="3">
        <v>24.72</v>
      </c>
      <c r="M1090" s="3" t="s">
        <v>1695</v>
      </c>
      <c r="N1090" s="3" t="s">
        <v>1696</v>
      </c>
      <c r="O1090" s="3">
        <v>1.22290663624E11</v>
      </c>
    </row>
    <row r="1091">
      <c r="A1091" s="3">
        <v>2484342.0</v>
      </c>
      <c r="B1091" s="3" t="s">
        <v>2549</v>
      </c>
      <c r="C1091" s="3" t="b">
        <v>0</v>
      </c>
      <c r="D1091" s="3" t="b">
        <v>1</v>
      </c>
      <c r="E1091" s="3" t="s">
        <v>1605</v>
      </c>
      <c r="F1091" s="3" t="s">
        <v>2550</v>
      </c>
      <c r="G1091" s="4">
        <f>+251904745523</f>
        <v>251904745523</v>
      </c>
      <c r="H1091" s="3" t="s">
        <v>18</v>
      </c>
      <c r="I1091" s="3" t="s">
        <v>19</v>
      </c>
      <c r="J1091" s="3" t="s">
        <v>19</v>
      </c>
      <c r="K1091" s="3" t="s">
        <v>20</v>
      </c>
      <c r="L1091" s="3">
        <v>18.78</v>
      </c>
      <c r="M1091" s="3" t="s">
        <v>1695</v>
      </c>
      <c r="N1091" s="3" t="s">
        <v>1696</v>
      </c>
      <c r="O1091" s="3">
        <v>1.22398658769E11</v>
      </c>
    </row>
    <row r="1092">
      <c r="A1092" s="3">
        <v>2484353.0</v>
      </c>
      <c r="B1092" s="3" t="s">
        <v>2551</v>
      </c>
      <c r="C1092" s="3" t="b">
        <v>1</v>
      </c>
      <c r="D1092" s="3" t="b">
        <v>1</v>
      </c>
      <c r="E1092" s="3" t="s">
        <v>386</v>
      </c>
      <c r="F1092" s="3" t="s">
        <v>44</v>
      </c>
      <c r="G1092" s="4">
        <f>+251914293669</f>
        <v>251914293669</v>
      </c>
      <c r="H1092" s="3" t="s">
        <v>18</v>
      </c>
      <c r="I1092" s="3" t="s">
        <v>19</v>
      </c>
      <c r="J1092" s="3" t="s">
        <v>19</v>
      </c>
      <c r="K1092" s="3" t="s">
        <v>25</v>
      </c>
      <c r="L1092" s="3">
        <v>21.26</v>
      </c>
      <c r="M1092" s="3" t="s">
        <v>1695</v>
      </c>
      <c r="N1092" s="3" t="s">
        <v>1696</v>
      </c>
      <c r="O1092" s="3">
        <v>1.22293346519E11</v>
      </c>
    </row>
    <row r="1093">
      <c r="A1093" s="3">
        <v>2484343.0</v>
      </c>
      <c r="B1093" s="3" t="s">
        <v>2552</v>
      </c>
      <c r="C1093" s="3" t="b">
        <v>1</v>
      </c>
      <c r="D1093" s="3" t="b">
        <v>1</v>
      </c>
      <c r="E1093" s="3" t="s">
        <v>2553</v>
      </c>
      <c r="F1093" s="3" t="s">
        <v>2554</v>
      </c>
      <c r="G1093" s="3">
        <v>9.27727475E8</v>
      </c>
      <c r="H1093" s="3" t="s">
        <v>18</v>
      </c>
      <c r="I1093" s="3" t="s">
        <v>19</v>
      </c>
      <c r="J1093" s="3" t="s">
        <v>19</v>
      </c>
      <c r="K1093" s="3" t="s">
        <v>25</v>
      </c>
      <c r="L1093" s="3">
        <v>23.84</v>
      </c>
      <c r="M1093" s="3" t="s">
        <v>1695</v>
      </c>
      <c r="N1093" s="3" t="s">
        <v>1696</v>
      </c>
      <c r="O1093" s="3">
        <v>1.22290818284E11</v>
      </c>
    </row>
    <row r="1094">
      <c r="A1094" s="3">
        <v>2484348.0</v>
      </c>
      <c r="B1094" s="3" t="s">
        <v>2555</v>
      </c>
      <c r="C1094" s="3" t="b">
        <v>0</v>
      </c>
      <c r="D1094" s="3" t="b">
        <v>1</v>
      </c>
      <c r="E1094" s="3" t="s">
        <v>446</v>
      </c>
      <c r="F1094" s="3" t="s">
        <v>767</v>
      </c>
      <c r="G1094" s="4">
        <f>+251975187043</f>
        <v>251975187043</v>
      </c>
      <c r="H1094" s="3" t="s">
        <v>18</v>
      </c>
      <c r="I1094" s="3" t="s">
        <v>19</v>
      </c>
      <c r="J1094" s="3" t="s">
        <v>19</v>
      </c>
      <c r="K1094" s="3" t="s">
        <v>25</v>
      </c>
      <c r="L1094" s="3">
        <v>24.87</v>
      </c>
      <c r="M1094" s="3" t="s">
        <v>1695</v>
      </c>
      <c r="N1094" s="3" t="s">
        <v>1696</v>
      </c>
      <c r="O1094" s="3">
        <v>1.22399739113E11</v>
      </c>
    </row>
    <row r="1095">
      <c r="A1095" s="3">
        <v>2484358.0</v>
      </c>
      <c r="B1095" s="3" t="s">
        <v>2556</v>
      </c>
      <c r="C1095" s="3" t="b">
        <v>0</v>
      </c>
      <c r="D1095" s="3" t="b">
        <v>1</v>
      </c>
      <c r="E1095" s="3" t="s">
        <v>2441</v>
      </c>
      <c r="F1095" s="3" t="s">
        <v>2557</v>
      </c>
      <c r="G1095" s="4">
        <f>+251924474050</f>
        <v>251924474050</v>
      </c>
      <c r="H1095" s="3" t="s">
        <v>18</v>
      </c>
      <c r="I1095" s="3" t="s">
        <v>19</v>
      </c>
      <c r="J1095" s="3" t="s">
        <v>19</v>
      </c>
      <c r="K1095" s="3" t="s">
        <v>20</v>
      </c>
      <c r="L1095" s="3">
        <v>20.26</v>
      </c>
      <c r="M1095" s="3" t="s">
        <v>1695</v>
      </c>
      <c r="N1095" s="3" t="s">
        <v>1696</v>
      </c>
      <c r="O1095" s="3">
        <v>1.22293710029E11</v>
      </c>
    </row>
    <row r="1096">
      <c r="A1096" s="3">
        <v>2484378.0</v>
      </c>
      <c r="B1096" s="3" t="s">
        <v>2558</v>
      </c>
      <c r="C1096" s="3" t="b">
        <v>1</v>
      </c>
      <c r="D1096" s="3" t="b">
        <v>1</v>
      </c>
      <c r="E1096" s="3" t="s">
        <v>2559</v>
      </c>
      <c r="F1096" s="3" t="s">
        <v>189</v>
      </c>
      <c r="G1096" s="4">
        <f>+25104536345</f>
        <v>25104536345</v>
      </c>
      <c r="H1096" s="3" t="s">
        <v>18</v>
      </c>
      <c r="I1096" s="3" t="s">
        <v>19</v>
      </c>
      <c r="J1096" s="3" t="s">
        <v>19</v>
      </c>
      <c r="K1096" s="3" t="s">
        <v>25</v>
      </c>
      <c r="L1096" s="3">
        <v>19.53</v>
      </c>
      <c r="M1096" s="3" t="s">
        <v>1695</v>
      </c>
      <c r="N1096" s="3" t="s">
        <v>1696</v>
      </c>
    </row>
    <row r="1097">
      <c r="A1097" s="3">
        <v>2484383.0</v>
      </c>
      <c r="B1097" s="3" t="s">
        <v>2560</v>
      </c>
      <c r="C1097" s="3" t="b">
        <v>1</v>
      </c>
      <c r="D1097" s="3" t="b">
        <v>1</v>
      </c>
      <c r="E1097" s="3" t="s">
        <v>2561</v>
      </c>
      <c r="F1097" s="3" t="s">
        <v>2562</v>
      </c>
      <c r="G1097" s="4">
        <f>+251941539755</f>
        <v>251941539755</v>
      </c>
      <c r="H1097" s="3" t="s">
        <v>18</v>
      </c>
      <c r="I1097" s="3" t="s">
        <v>19</v>
      </c>
      <c r="J1097" s="3" t="s">
        <v>19</v>
      </c>
      <c r="K1097" s="3" t="s">
        <v>25</v>
      </c>
      <c r="L1097" s="3">
        <v>19.07</v>
      </c>
      <c r="M1097" s="3" t="s">
        <v>1695</v>
      </c>
      <c r="N1097" s="3" t="s">
        <v>1696</v>
      </c>
      <c r="O1097" s="3">
        <v>1.22296201407E11</v>
      </c>
    </row>
    <row r="1098">
      <c r="A1098" s="3">
        <v>2484388.0</v>
      </c>
      <c r="B1098" s="3" t="s">
        <v>2563</v>
      </c>
      <c r="C1098" s="3" t="b">
        <v>1</v>
      </c>
      <c r="D1098" s="3" t="b">
        <v>0</v>
      </c>
      <c r="E1098" s="3" t="s">
        <v>394</v>
      </c>
      <c r="F1098" s="3" t="s">
        <v>510</v>
      </c>
      <c r="G1098" s="4">
        <f>+251906913148</f>
        <v>251906913148</v>
      </c>
      <c r="H1098" s="3" t="s">
        <v>18</v>
      </c>
      <c r="I1098" s="3" t="s">
        <v>19</v>
      </c>
      <c r="J1098" s="3" t="s">
        <v>19</v>
      </c>
      <c r="K1098" s="3" t="s">
        <v>25</v>
      </c>
      <c r="L1098" s="3">
        <v>26.17</v>
      </c>
      <c r="M1098" s="3" t="s">
        <v>1695</v>
      </c>
      <c r="N1098" s="3" t="s">
        <v>1696</v>
      </c>
      <c r="O1098" s="3">
        <v>1.22402990307E11</v>
      </c>
    </row>
    <row r="1099">
      <c r="A1099" s="3">
        <v>2484402.0</v>
      </c>
      <c r="B1099" s="3" t="s">
        <v>2564</v>
      </c>
      <c r="C1099" s="3" t="b">
        <v>1</v>
      </c>
      <c r="D1099" s="3" t="b">
        <v>0</v>
      </c>
      <c r="E1099" s="3" t="s">
        <v>790</v>
      </c>
      <c r="F1099" s="3" t="s">
        <v>58</v>
      </c>
      <c r="G1099" s="4">
        <f>+251985707646</f>
        <v>251985707646</v>
      </c>
      <c r="H1099" s="3" t="s">
        <v>18</v>
      </c>
      <c r="I1099" s="3" t="s">
        <v>19</v>
      </c>
      <c r="J1099" s="3" t="s">
        <v>19</v>
      </c>
      <c r="K1099" s="3" t="s">
        <v>25</v>
      </c>
      <c r="L1099" s="3">
        <v>19.36</v>
      </c>
      <c r="M1099" s="3" t="s">
        <v>1695</v>
      </c>
      <c r="N1099" s="3" t="s">
        <v>1696</v>
      </c>
      <c r="O1099" s="3">
        <v>1.2240508027E11</v>
      </c>
    </row>
    <row r="1100">
      <c r="A1100" s="3">
        <v>2484408.0</v>
      </c>
      <c r="B1100" s="3" t="s">
        <v>2565</v>
      </c>
      <c r="C1100" s="3" t="b">
        <v>1</v>
      </c>
      <c r="D1100" s="3" t="b">
        <v>1</v>
      </c>
      <c r="E1100" s="3" t="s">
        <v>2566</v>
      </c>
      <c r="F1100" s="3" t="s">
        <v>404</v>
      </c>
      <c r="G1100" s="4">
        <f>+251911131959</f>
        <v>251911131959</v>
      </c>
      <c r="H1100" s="3" t="s">
        <v>18</v>
      </c>
      <c r="I1100" s="3" t="s">
        <v>19</v>
      </c>
      <c r="J1100" s="3" t="s">
        <v>19</v>
      </c>
      <c r="K1100" s="3" t="s">
        <v>20</v>
      </c>
      <c r="L1100" s="3">
        <v>18.28</v>
      </c>
      <c r="M1100" s="3" t="s">
        <v>1695</v>
      </c>
      <c r="N1100" s="3" t="s">
        <v>1696</v>
      </c>
      <c r="O1100" s="3">
        <v>1.22296799432E11</v>
      </c>
    </row>
    <row r="1101">
      <c r="A1101" s="3">
        <v>2484416.0</v>
      </c>
      <c r="B1101" s="3" t="s">
        <v>2567</v>
      </c>
      <c r="C1101" s="3" t="b">
        <v>1</v>
      </c>
      <c r="D1101" s="3" t="b">
        <v>1</v>
      </c>
      <c r="E1101" s="3" t="s">
        <v>2537</v>
      </c>
      <c r="F1101" s="3" t="s">
        <v>2568</v>
      </c>
      <c r="G1101" s="4">
        <f>+251967449400</f>
        <v>251967449400</v>
      </c>
      <c r="H1101" s="3" t="s">
        <v>18</v>
      </c>
      <c r="I1101" s="3" t="s">
        <v>19</v>
      </c>
      <c r="J1101" s="3" t="s">
        <v>19</v>
      </c>
      <c r="K1101" s="3" t="s">
        <v>20</v>
      </c>
      <c r="L1101" s="3">
        <v>20.35</v>
      </c>
      <c r="M1101" s="3" t="s">
        <v>1695</v>
      </c>
      <c r="N1101" s="3" t="s">
        <v>1696</v>
      </c>
      <c r="O1101" s="3">
        <v>1.22298183913E11</v>
      </c>
    </row>
    <row r="1102">
      <c r="A1102" s="3">
        <v>2484403.0</v>
      </c>
      <c r="B1102" s="3" t="s">
        <v>2569</v>
      </c>
      <c r="C1102" s="3" t="b">
        <v>1</v>
      </c>
      <c r="D1102" s="3" t="b">
        <v>1</v>
      </c>
      <c r="E1102" s="3" t="s">
        <v>574</v>
      </c>
      <c r="F1102" s="3" t="s">
        <v>2570</v>
      </c>
      <c r="G1102" s="3">
        <v>9.87310231E8</v>
      </c>
      <c r="H1102" s="3" t="s">
        <v>18</v>
      </c>
      <c r="I1102" s="3" t="s">
        <v>19</v>
      </c>
      <c r="J1102" s="3" t="s">
        <v>19</v>
      </c>
      <c r="K1102" s="3" t="s">
        <v>20</v>
      </c>
      <c r="L1102" s="3">
        <v>19.06</v>
      </c>
      <c r="M1102" s="3" t="s">
        <v>1695</v>
      </c>
      <c r="N1102" s="3" t="s">
        <v>1696</v>
      </c>
      <c r="O1102" s="3">
        <v>1.22404871403E11</v>
      </c>
    </row>
    <row r="1103">
      <c r="A1103" s="3">
        <v>2484418.0</v>
      </c>
      <c r="B1103" s="3" t="s">
        <v>2571</v>
      </c>
      <c r="C1103" s="3" t="b">
        <v>0</v>
      </c>
      <c r="D1103" s="3" t="b">
        <v>1</v>
      </c>
      <c r="E1103" s="3" t="s">
        <v>978</v>
      </c>
      <c r="F1103" s="3" t="s">
        <v>918</v>
      </c>
      <c r="G1103" s="4">
        <f>+251903757075</f>
        <v>251903757075</v>
      </c>
      <c r="H1103" s="3" t="s">
        <v>18</v>
      </c>
      <c r="I1103" s="3" t="s">
        <v>19</v>
      </c>
      <c r="J1103" s="3" t="s">
        <v>19</v>
      </c>
      <c r="K1103" s="3" t="s">
        <v>20</v>
      </c>
      <c r="L1103" s="3">
        <v>18.55</v>
      </c>
      <c r="M1103" s="3" t="s">
        <v>1695</v>
      </c>
      <c r="N1103" s="3" t="s">
        <v>1696</v>
      </c>
      <c r="O1103" s="3">
        <v>1.22298202342E11</v>
      </c>
    </row>
    <row r="1104">
      <c r="A1104" s="3">
        <v>2484422.0</v>
      </c>
      <c r="B1104" s="3" t="s">
        <v>2572</v>
      </c>
      <c r="C1104" s="3" t="b">
        <v>1</v>
      </c>
      <c r="D1104" s="3" t="b">
        <v>1</v>
      </c>
      <c r="E1104" s="3" t="s">
        <v>356</v>
      </c>
      <c r="F1104" s="3" t="s">
        <v>2573</v>
      </c>
      <c r="G1104" s="4">
        <f>+251909057072</f>
        <v>251909057072</v>
      </c>
      <c r="H1104" s="3" t="s">
        <v>18</v>
      </c>
      <c r="I1104" s="3" t="s">
        <v>19</v>
      </c>
      <c r="J1104" s="3" t="s">
        <v>19</v>
      </c>
      <c r="K1104" s="3" t="s">
        <v>25</v>
      </c>
      <c r="L1104" s="3">
        <v>18.53</v>
      </c>
      <c r="M1104" s="3" t="s">
        <v>1695</v>
      </c>
      <c r="N1104" s="3" t="s">
        <v>1696</v>
      </c>
      <c r="O1104" s="3">
        <v>1.22300511439E11</v>
      </c>
    </row>
    <row r="1105">
      <c r="A1105" s="3">
        <v>2484435.0</v>
      </c>
      <c r="B1105" s="3" t="s">
        <v>2574</v>
      </c>
      <c r="C1105" s="3" t="b">
        <v>0</v>
      </c>
      <c r="D1105" s="3" t="b">
        <v>1</v>
      </c>
      <c r="E1105" s="3" t="s">
        <v>849</v>
      </c>
      <c r="F1105" s="3" t="s">
        <v>2547</v>
      </c>
      <c r="G1105" s="3">
        <v>9.28204561E8</v>
      </c>
      <c r="H1105" s="3" t="s">
        <v>18</v>
      </c>
      <c r="I1105" s="3" t="s">
        <v>19</v>
      </c>
      <c r="J1105" s="3" t="s">
        <v>19</v>
      </c>
      <c r="K1105" s="3" t="s">
        <v>25</v>
      </c>
      <c r="L1105" s="3">
        <v>22.2</v>
      </c>
      <c r="M1105" s="3" t="s">
        <v>1695</v>
      </c>
      <c r="N1105" s="3" t="s">
        <v>1696</v>
      </c>
      <c r="O1105" s="3">
        <v>1.22296114376E11</v>
      </c>
    </row>
    <row r="1106">
      <c r="A1106" s="3">
        <v>2484438.0</v>
      </c>
      <c r="B1106" s="3" t="s">
        <v>2575</v>
      </c>
      <c r="C1106" s="3" t="b">
        <v>1</v>
      </c>
      <c r="D1106" s="3" t="b">
        <v>1</v>
      </c>
      <c r="E1106" s="3" t="s">
        <v>2576</v>
      </c>
      <c r="F1106" s="3" t="s">
        <v>2577</v>
      </c>
      <c r="G1106" s="4">
        <f>+251947864261</f>
        <v>251947864261</v>
      </c>
      <c r="H1106" s="3" t="s">
        <v>18</v>
      </c>
      <c r="I1106" s="3" t="s">
        <v>19</v>
      </c>
      <c r="J1106" s="3" t="s">
        <v>19</v>
      </c>
      <c r="K1106" s="3" t="s">
        <v>20</v>
      </c>
      <c r="L1106" s="3">
        <v>20.61</v>
      </c>
      <c r="M1106" s="3" t="s">
        <v>1695</v>
      </c>
      <c r="N1106" s="3" t="s">
        <v>1696</v>
      </c>
      <c r="O1106" s="3">
        <v>1.22304875767E11</v>
      </c>
    </row>
    <row r="1107">
      <c r="A1107" s="3">
        <v>2484460.0</v>
      </c>
      <c r="B1107" s="3" t="s">
        <v>2578</v>
      </c>
      <c r="C1107" s="3" t="b">
        <v>0</v>
      </c>
      <c r="D1107" s="3" t="b">
        <v>1</v>
      </c>
      <c r="E1107" s="3" t="s">
        <v>1114</v>
      </c>
      <c r="F1107" s="3" t="s">
        <v>2579</v>
      </c>
      <c r="G1107" s="4">
        <f>+251901740298</f>
        <v>251901740298</v>
      </c>
      <c r="H1107" s="3" t="s">
        <v>18</v>
      </c>
      <c r="I1107" s="3" t="s">
        <v>19</v>
      </c>
      <c r="J1107" s="3" t="s">
        <v>19</v>
      </c>
      <c r="K1107" s="3" t="s">
        <v>25</v>
      </c>
      <c r="L1107" s="3">
        <v>21.61</v>
      </c>
      <c r="M1107" s="3" t="s">
        <v>1695</v>
      </c>
      <c r="N1107" s="3" t="s">
        <v>1696</v>
      </c>
      <c r="O1107" s="3">
        <v>1.22308248821E11</v>
      </c>
    </row>
    <row r="1108">
      <c r="A1108" s="3">
        <v>2484510.0</v>
      </c>
      <c r="B1108" s="3" t="s">
        <v>2580</v>
      </c>
      <c r="C1108" s="3" t="b">
        <v>0</v>
      </c>
      <c r="D1108" s="3" t="b">
        <v>1</v>
      </c>
      <c r="E1108" s="3" t="s">
        <v>2383</v>
      </c>
      <c r="F1108" s="3" t="s">
        <v>783</v>
      </c>
      <c r="G1108" s="4">
        <f>+251932036797</f>
        <v>251932036797</v>
      </c>
      <c r="H1108" s="3" t="s">
        <v>18</v>
      </c>
      <c r="I1108" s="3" t="s">
        <v>19</v>
      </c>
      <c r="J1108" s="3" t="s">
        <v>19</v>
      </c>
      <c r="K1108" s="3" t="s">
        <v>25</v>
      </c>
      <c r="L1108" s="3">
        <v>23.6</v>
      </c>
      <c r="M1108" s="3" t="s">
        <v>1695</v>
      </c>
      <c r="N1108" s="3" t="s">
        <v>1696</v>
      </c>
      <c r="O1108" s="3">
        <v>1.22312126651E11</v>
      </c>
    </row>
    <row r="1109">
      <c r="A1109" s="3">
        <v>2484488.0</v>
      </c>
      <c r="B1109" s="3" t="s">
        <v>2581</v>
      </c>
      <c r="C1109" s="3" t="b">
        <v>0</v>
      </c>
      <c r="D1109" s="3" t="b">
        <v>1</v>
      </c>
      <c r="E1109" s="3" t="s">
        <v>2582</v>
      </c>
      <c r="F1109" s="3" t="s">
        <v>2583</v>
      </c>
      <c r="G1109" s="4">
        <f>+251961886810</f>
        <v>251961886810</v>
      </c>
      <c r="H1109" s="3" t="s">
        <v>18</v>
      </c>
      <c r="I1109" s="3" t="s">
        <v>19</v>
      </c>
      <c r="J1109" s="3" t="s">
        <v>19</v>
      </c>
      <c r="K1109" s="3" t="s">
        <v>25</v>
      </c>
      <c r="L1109" s="3">
        <v>21.71</v>
      </c>
      <c r="M1109" s="3" t="s">
        <v>1695</v>
      </c>
      <c r="N1109" s="3" t="s">
        <v>1696</v>
      </c>
      <c r="O1109" s="3">
        <v>1.22311586E11</v>
      </c>
    </row>
    <row r="1110">
      <c r="A1110" s="3">
        <v>2484503.0</v>
      </c>
      <c r="B1110" s="3" t="s">
        <v>2584</v>
      </c>
      <c r="C1110" s="3" t="b">
        <v>1</v>
      </c>
      <c r="D1110" s="3" t="b">
        <v>1</v>
      </c>
      <c r="E1110" s="3" t="s">
        <v>2585</v>
      </c>
      <c r="F1110" s="3" t="s">
        <v>1157</v>
      </c>
      <c r="G1110" s="4">
        <f>+251970130506</f>
        <v>251970130506</v>
      </c>
      <c r="H1110" s="3" t="s">
        <v>18</v>
      </c>
      <c r="I1110" s="3" t="s">
        <v>19</v>
      </c>
      <c r="J1110" s="3" t="s">
        <v>19</v>
      </c>
      <c r="K1110" s="3" t="s">
        <v>25</v>
      </c>
      <c r="L1110" s="3">
        <v>24.88</v>
      </c>
      <c r="M1110" s="3" t="s">
        <v>1695</v>
      </c>
      <c r="N1110" s="3" t="s">
        <v>1696</v>
      </c>
      <c r="O1110" s="3">
        <v>1.22313776349E11</v>
      </c>
    </row>
    <row r="1111">
      <c r="A1111" s="3">
        <v>2484464.0</v>
      </c>
      <c r="B1111" s="3" t="s">
        <v>2586</v>
      </c>
      <c r="C1111" s="3" t="b">
        <v>1</v>
      </c>
      <c r="D1111" s="3" t="b">
        <v>1</v>
      </c>
      <c r="E1111" s="3" t="s">
        <v>2587</v>
      </c>
      <c r="F1111" s="3" t="s">
        <v>446</v>
      </c>
      <c r="G1111" s="4">
        <f>+1952012795</f>
        <v>1952012795</v>
      </c>
      <c r="H1111" s="3" t="s">
        <v>18</v>
      </c>
      <c r="I1111" s="3" t="s">
        <v>19</v>
      </c>
      <c r="J1111" s="3" t="s">
        <v>19</v>
      </c>
      <c r="K1111" s="3" t="s">
        <v>20</v>
      </c>
      <c r="L1111" s="3">
        <v>29.22</v>
      </c>
      <c r="M1111" s="3" t="s">
        <v>1695</v>
      </c>
      <c r="N1111" s="3" t="s">
        <v>1696</v>
      </c>
    </row>
    <row r="1112">
      <c r="A1112" s="3">
        <v>2484546.0</v>
      </c>
      <c r="B1112" s="3" t="s">
        <v>2588</v>
      </c>
      <c r="C1112" s="3" t="b">
        <v>0</v>
      </c>
      <c r="D1112" s="3" t="b">
        <v>1</v>
      </c>
      <c r="E1112" s="3" t="s">
        <v>689</v>
      </c>
      <c r="F1112" s="3" t="s">
        <v>1368</v>
      </c>
      <c r="G1112" s="4">
        <f>+251902638126</f>
        <v>251902638126</v>
      </c>
      <c r="H1112" s="3" t="s">
        <v>18</v>
      </c>
      <c r="I1112" s="3" t="s">
        <v>19</v>
      </c>
      <c r="J1112" s="3" t="s">
        <v>19</v>
      </c>
      <c r="K1112" s="3" t="s">
        <v>20</v>
      </c>
      <c r="L1112" s="3">
        <v>19.46</v>
      </c>
      <c r="M1112" s="3" t="s">
        <v>1695</v>
      </c>
      <c r="N1112" s="3" t="s">
        <v>1696</v>
      </c>
      <c r="O1112" s="3">
        <v>1.22444506307E11</v>
      </c>
    </row>
    <row r="1113">
      <c r="A1113" s="3">
        <v>2484555.0</v>
      </c>
      <c r="B1113" s="3" t="s">
        <v>2589</v>
      </c>
      <c r="C1113" s="3" t="b">
        <v>0</v>
      </c>
      <c r="D1113" s="3" t="b">
        <v>1</v>
      </c>
      <c r="E1113" s="3" t="s">
        <v>2590</v>
      </c>
      <c r="F1113" s="3" t="s">
        <v>1134</v>
      </c>
      <c r="G1113" s="4">
        <f>+251985705822</f>
        <v>251985705822</v>
      </c>
      <c r="H1113" s="3" t="s">
        <v>18</v>
      </c>
      <c r="I1113" s="3" t="s">
        <v>19</v>
      </c>
      <c r="J1113" s="3" t="s">
        <v>19</v>
      </c>
      <c r="K1113" s="3" t="s">
        <v>20</v>
      </c>
      <c r="L1113" s="3">
        <v>18.79</v>
      </c>
      <c r="M1113" s="3" t="s">
        <v>1695</v>
      </c>
      <c r="N1113" s="3" t="s">
        <v>1696</v>
      </c>
      <c r="O1113" s="3">
        <v>1.22427806917E11</v>
      </c>
    </row>
    <row r="1114">
      <c r="A1114" s="3">
        <v>1953439.0</v>
      </c>
      <c r="B1114" s="3" t="s">
        <v>2591</v>
      </c>
      <c r="C1114" s="3" t="b">
        <v>1</v>
      </c>
      <c r="D1114" s="3" t="b">
        <v>1</v>
      </c>
      <c r="E1114" s="3" t="s">
        <v>2592</v>
      </c>
      <c r="F1114" s="3" t="s">
        <v>328</v>
      </c>
      <c r="G1114" s="4">
        <f>+251996976927</f>
        <v>251996976927</v>
      </c>
      <c r="H1114" s="3" t="s">
        <v>18</v>
      </c>
      <c r="I1114" s="3" t="s">
        <v>19</v>
      </c>
      <c r="J1114" s="3" t="s">
        <v>19</v>
      </c>
      <c r="K1114" s="3" t="s">
        <v>25</v>
      </c>
      <c r="L1114" s="3">
        <v>19.53</v>
      </c>
      <c r="M1114" s="3" t="s">
        <v>1695</v>
      </c>
      <c r="N1114" s="3" t="s">
        <v>1696</v>
      </c>
      <c r="O1114" s="3">
        <v>2.7552610032E10</v>
      </c>
    </row>
    <row r="1115">
      <c r="A1115" s="3">
        <v>2484565.0</v>
      </c>
      <c r="B1115" s="3" t="s">
        <v>2593</v>
      </c>
      <c r="C1115" s="3" t="b">
        <v>1</v>
      </c>
      <c r="D1115" s="3" t="b">
        <v>1</v>
      </c>
      <c r="E1115" s="3" t="s">
        <v>2594</v>
      </c>
      <c r="F1115" s="3" t="s">
        <v>2595</v>
      </c>
      <c r="G1115" s="4">
        <f>+251939221210</f>
        <v>251939221210</v>
      </c>
      <c r="H1115" s="3" t="s">
        <v>18</v>
      </c>
      <c r="I1115" s="3" t="s">
        <v>19</v>
      </c>
      <c r="J1115" s="3" t="s">
        <v>19</v>
      </c>
      <c r="K1115" s="3" t="s">
        <v>20</v>
      </c>
      <c r="L1115" s="3">
        <v>18.63</v>
      </c>
      <c r="M1115" s="3" t="s">
        <v>1695</v>
      </c>
      <c r="N1115" s="3" t="s">
        <v>1696</v>
      </c>
      <c r="O1115" s="3">
        <v>1.22315306191E11</v>
      </c>
    </row>
    <row r="1116">
      <c r="A1116" s="3">
        <v>2484561.0</v>
      </c>
      <c r="B1116" s="3" t="s">
        <v>2596</v>
      </c>
      <c r="C1116" s="3" t="b">
        <v>1</v>
      </c>
      <c r="D1116" s="3" t="b">
        <v>1</v>
      </c>
      <c r="E1116" s="3" t="s">
        <v>2597</v>
      </c>
      <c r="F1116" s="3" t="s">
        <v>282</v>
      </c>
      <c r="G1116" s="4">
        <f>+251938043131</f>
        <v>251938043131</v>
      </c>
      <c r="H1116" s="3" t="s">
        <v>18</v>
      </c>
      <c r="I1116" s="3" t="s">
        <v>19</v>
      </c>
      <c r="J1116" s="3" t="s">
        <v>19</v>
      </c>
      <c r="K1116" s="3" t="s">
        <v>20</v>
      </c>
      <c r="L1116" s="3">
        <v>19.16</v>
      </c>
      <c r="M1116" s="3" t="s">
        <v>1695</v>
      </c>
      <c r="N1116" s="3" t="s">
        <v>1696</v>
      </c>
      <c r="O1116" s="3">
        <v>1.22315302076E11</v>
      </c>
    </row>
    <row r="1117">
      <c r="A1117" s="3">
        <v>2484569.0</v>
      </c>
      <c r="B1117" s="3" t="s">
        <v>2598</v>
      </c>
      <c r="C1117" s="3" t="b">
        <v>1</v>
      </c>
      <c r="D1117" s="3" t="b">
        <v>1</v>
      </c>
      <c r="E1117" s="3" t="s">
        <v>738</v>
      </c>
      <c r="F1117" s="3" t="s">
        <v>115</v>
      </c>
      <c r="G1117" s="4">
        <f>+251943821818</f>
        <v>251943821818</v>
      </c>
      <c r="H1117" s="3" t="s">
        <v>18</v>
      </c>
      <c r="I1117" s="3" t="s">
        <v>19</v>
      </c>
      <c r="J1117" s="3" t="s">
        <v>19</v>
      </c>
      <c r="K1117" s="3" t="s">
        <v>25</v>
      </c>
      <c r="L1117" s="3">
        <v>20.25</v>
      </c>
      <c r="M1117" s="3" t="s">
        <v>1695</v>
      </c>
      <c r="N1117" s="3" t="s">
        <v>1696</v>
      </c>
    </row>
    <row r="1118">
      <c r="A1118" s="3">
        <v>2484589.0</v>
      </c>
      <c r="B1118" s="3" t="s">
        <v>2599</v>
      </c>
      <c r="C1118" s="3" t="b">
        <v>0</v>
      </c>
      <c r="D1118" s="3" t="b">
        <v>1</v>
      </c>
      <c r="E1118" s="3" t="s">
        <v>54</v>
      </c>
      <c r="F1118" s="3" t="s">
        <v>64</v>
      </c>
      <c r="G1118" s="4">
        <f>+251934102131</f>
        <v>251934102131</v>
      </c>
      <c r="H1118" s="3" t="s">
        <v>18</v>
      </c>
      <c r="I1118" s="3" t="s">
        <v>19</v>
      </c>
      <c r="J1118" s="3" t="s">
        <v>19</v>
      </c>
      <c r="K1118" s="3" t="s">
        <v>20</v>
      </c>
      <c r="L1118" s="3">
        <v>24.68</v>
      </c>
      <c r="M1118" s="3" t="s">
        <v>1695</v>
      </c>
      <c r="N1118" s="3" t="s">
        <v>1696</v>
      </c>
      <c r="O1118" s="3">
        <v>1.22452714698E11</v>
      </c>
    </row>
    <row r="1119">
      <c r="A1119" s="3">
        <v>2484592.0</v>
      </c>
      <c r="B1119" s="3" t="s">
        <v>2600</v>
      </c>
      <c r="C1119" s="3" t="b">
        <v>1</v>
      </c>
      <c r="D1119" s="3" t="b">
        <v>1</v>
      </c>
      <c r="E1119" s="3" t="s">
        <v>327</v>
      </c>
      <c r="F1119" s="3" t="s">
        <v>1586</v>
      </c>
      <c r="G1119" s="4">
        <f>+251703685875</f>
        <v>251703685875</v>
      </c>
      <c r="H1119" s="3" t="s">
        <v>18</v>
      </c>
      <c r="I1119" s="3" t="s">
        <v>19</v>
      </c>
      <c r="J1119" s="3" t="s">
        <v>19</v>
      </c>
      <c r="K1119" s="3" t="s">
        <v>25</v>
      </c>
      <c r="L1119" s="3">
        <v>24.47</v>
      </c>
      <c r="M1119" s="3" t="s">
        <v>1695</v>
      </c>
      <c r="N1119" s="3" t="s">
        <v>1696</v>
      </c>
      <c r="O1119" s="3">
        <v>1.22432940253E11</v>
      </c>
    </row>
    <row r="1120">
      <c r="A1120" s="3">
        <v>2484518.0</v>
      </c>
      <c r="B1120" s="3" t="s">
        <v>2601</v>
      </c>
      <c r="C1120" s="3" t="b">
        <v>1</v>
      </c>
      <c r="D1120" s="3" t="b">
        <v>1</v>
      </c>
      <c r="E1120" s="3" t="s">
        <v>706</v>
      </c>
      <c r="F1120" s="3" t="s">
        <v>2602</v>
      </c>
      <c r="G1120" s="4">
        <f>+251911826582</f>
        <v>251911826582</v>
      </c>
      <c r="H1120" s="3" t="s">
        <v>18</v>
      </c>
      <c r="I1120" s="3" t="s">
        <v>19</v>
      </c>
      <c r="J1120" s="3" t="s">
        <v>19</v>
      </c>
      <c r="K1120" s="3" t="s">
        <v>20</v>
      </c>
      <c r="L1120" s="3">
        <v>20.99</v>
      </c>
      <c r="M1120" s="3" t="s">
        <v>1695</v>
      </c>
      <c r="N1120" s="3" t="s">
        <v>1696</v>
      </c>
      <c r="O1120" s="3">
        <v>1.22413662451E11</v>
      </c>
    </row>
    <row r="1121">
      <c r="A1121" s="3">
        <v>2072253.0</v>
      </c>
      <c r="B1121" s="3" t="s">
        <v>2603</v>
      </c>
      <c r="C1121" s="3" t="b">
        <v>1</v>
      </c>
      <c r="D1121" s="3" t="b">
        <v>1</v>
      </c>
      <c r="E1121" s="3" t="s">
        <v>1068</v>
      </c>
      <c r="F1121" s="3" t="s">
        <v>218</v>
      </c>
      <c r="G1121" s="4">
        <f>+251931523243</f>
        <v>251931523243</v>
      </c>
      <c r="H1121" s="3" t="s">
        <v>18</v>
      </c>
      <c r="I1121" s="3" t="s">
        <v>19</v>
      </c>
      <c r="J1121" s="3" t="s">
        <v>19</v>
      </c>
      <c r="K1121" s="3" t="s">
        <v>25</v>
      </c>
      <c r="L1121" s="3">
        <v>19.86</v>
      </c>
      <c r="M1121" s="3" t="s">
        <v>1695</v>
      </c>
      <c r="N1121" s="3" t="s">
        <v>1696</v>
      </c>
      <c r="O1121" s="3">
        <v>3.1171354832E10</v>
      </c>
    </row>
    <row r="1122">
      <c r="A1122" s="3">
        <v>2484609.0</v>
      </c>
      <c r="B1122" s="3" t="s">
        <v>2604</v>
      </c>
      <c r="C1122" s="3" t="b">
        <v>1</v>
      </c>
      <c r="D1122" s="3" t="b">
        <v>1</v>
      </c>
      <c r="E1122" s="3" t="s">
        <v>2605</v>
      </c>
      <c r="F1122" s="3" t="s">
        <v>404</v>
      </c>
      <c r="G1122" s="4">
        <f>+251901956024</f>
        <v>251901956024</v>
      </c>
      <c r="H1122" s="3" t="s">
        <v>18</v>
      </c>
      <c r="I1122" s="3" t="s">
        <v>19</v>
      </c>
      <c r="J1122" s="3" t="s">
        <v>19</v>
      </c>
      <c r="K1122" s="3" t="s">
        <v>20</v>
      </c>
      <c r="L1122" s="3">
        <v>21.03</v>
      </c>
      <c r="M1122" s="3" t="s">
        <v>1695</v>
      </c>
      <c r="N1122" s="3" t="s">
        <v>1696</v>
      </c>
    </row>
    <row r="1123">
      <c r="A1123" s="3">
        <v>2484608.0</v>
      </c>
      <c r="B1123" s="3" t="s">
        <v>2606</v>
      </c>
      <c r="C1123" s="3" t="b">
        <v>1</v>
      </c>
      <c r="D1123" s="3" t="b">
        <v>1</v>
      </c>
      <c r="E1123" s="3" t="s">
        <v>386</v>
      </c>
      <c r="F1123" s="3" t="s">
        <v>2607</v>
      </c>
      <c r="G1123" s="4">
        <f>+251932194342</f>
        <v>251932194342</v>
      </c>
      <c r="H1123" s="3" t="s">
        <v>18</v>
      </c>
      <c r="I1123" s="3" t="s">
        <v>19</v>
      </c>
      <c r="J1123" s="3" t="s">
        <v>19</v>
      </c>
      <c r="K1123" s="3" t="s">
        <v>25</v>
      </c>
      <c r="L1123" s="3">
        <v>25.35</v>
      </c>
      <c r="M1123" s="3" t="s">
        <v>1695</v>
      </c>
      <c r="N1123" s="3" t="s">
        <v>1696</v>
      </c>
      <c r="O1123" s="3">
        <v>1.22431543505E11</v>
      </c>
    </row>
    <row r="1124">
      <c r="A1124" s="3">
        <v>2484606.0</v>
      </c>
      <c r="B1124" s="3" t="s">
        <v>2608</v>
      </c>
      <c r="C1124" s="3" t="b">
        <v>1</v>
      </c>
      <c r="D1124" s="3" t="b">
        <v>1</v>
      </c>
      <c r="E1124" s="3" t="s">
        <v>131</v>
      </c>
      <c r="F1124" s="3" t="s">
        <v>755</v>
      </c>
      <c r="G1124" s="4">
        <f>+251907531802</f>
        <v>251907531802</v>
      </c>
      <c r="H1124" s="3" t="s">
        <v>18</v>
      </c>
      <c r="I1124" s="3" t="s">
        <v>19</v>
      </c>
      <c r="J1124" s="3" t="s">
        <v>19</v>
      </c>
      <c r="K1124" s="3" t="s">
        <v>20</v>
      </c>
      <c r="L1124" s="3">
        <v>20.87</v>
      </c>
      <c r="M1124" s="3" t="s">
        <v>1695</v>
      </c>
      <c r="N1124" s="3" t="s">
        <v>1696</v>
      </c>
    </row>
    <row r="1125">
      <c r="A1125" s="3">
        <v>2484559.0</v>
      </c>
      <c r="B1125" s="3" t="s">
        <v>2609</v>
      </c>
      <c r="C1125" s="3" t="b">
        <v>1</v>
      </c>
      <c r="D1125" s="3" t="b">
        <v>1</v>
      </c>
      <c r="E1125" s="3" t="s">
        <v>2610</v>
      </c>
      <c r="F1125" s="3" t="s">
        <v>2611</v>
      </c>
      <c r="G1125" s="4">
        <f>+251902206470</f>
        <v>251902206470</v>
      </c>
      <c r="H1125" s="3" t="s">
        <v>18</v>
      </c>
      <c r="I1125" s="3" t="s">
        <v>19</v>
      </c>
      <c r="J1125" s="3" t="s">
        <v>19</v>
      </c>
      <c r="K1125" s="3" t="s">
        <v>20</v>
      </c>
      <c r="L1125" s="3">
        <v>19.19</v>
      </c>
      <c r="M1125" s="3" t="s">
        <v>1695</v>
      </c>
      <c r="N1125" s="3" t="s">
        <v>1696</v>
      </c>
      <c r="O1125" s="3">
        <v>1.2242791238E11</v>
      </c>
    </row>
    <row r="1126">
      <c r="A1126" s="3">
        <v>2484625.0</v>
      </c>
      <c r="B1126" s="3" t="s">
        <v>2612</v>
      </c>
      <c r="C1126" s="3" t="b">
        <v>1</v>
      </c>
      <c r="D1126" s="3" t="b">
        <v>1</v>
      </c>
      <c r="E1126" s="3" t="s">
        <v>2613</v>
      </c>
      <c r="F1126" s="3" t="s">
        <v>115</v>
      </c>
      <c r="G1126" s="4">
        <f>+251912646516</f>
        <v>251912646516</v>
      </c>
      <c r="H1126" s="3" t="s">
        <v>18</v>
      </c>
      <c r="I1126" s="3" t="s">
        <v>19</v>
      </c>
      <c r="J1126" s="3" t="s">
        <v>19</v>
      </c>
      <c r="K1126" s="3" t="s">
        <v>25</v>
      </c>
      <c r="L1126" s="3">
        <v>21.6</v>
      </c>
      <c r="M1126" s="3" t="s">
        <v>1695</v>
      </c>
      <c r="N1126" s="3" t="s">
        <v>1696</v>
      </c>
    </row>
    <row r="1127">
      <c r="A1127" s="3">
        <v>5399.0</v>
      </c>
      <c r="B1127" s="3" t="s">
        <v>2614</v>
      </c>
      <c r="C1127" s="3" t="b">
        <v>1</v>
      </c>
      <c r="D1127" s="3" t="b">
        <v>1</v>
      </c>
      <c r="E1127" s="3" t="s">
        <v>676</v>
      </c>
      <c r="F1127" s="3" t="s">
        <v>2615</v>
      </c>
      <c r="G1127" s="4">
        <f>+251911638930</f>
        <v>251911638930</v>
      </c>
      <c r="H1127" s="3" t="s">
        <v>18</v>
      </c>
      <c r="I1127" s="3" t="s">
        <v>19</v>
      </c>
      <c r="J1127" s="3" t="s">
        <v>19</v>
      </c>
      <c r="K1127" s="3" t="s">
        <v>25</v>
      </c>
      <c r="L1127" s="3">
        <v>22.25</v>
      </c>
      <c r="M1127" s="3" t="s">
        <v>1695</v>
      </c>
      <c r="N1127" s="3" t="s">
        <v>1696</v>
      </c>
      <c r="O1127" s="3">
        <v>728109.0</v>
      </c>
    </row>
    <row r="1128">
      <c r="A1128" s="3">
        <v>2484707.0</v>
      </c>
      <c r="B1128" s="3" t="s">
        <v>2616</v>
      </c>
      <c r="C1128" s="3" t="b">
        <v>0</v>
      </c>
      <c r="D1128" s="3" t="b">
        <v>1</v>
      </c>
      <c r="E1128" s="3" t="s">
        <v>697</v>
      </c>
      <c r="F1128" s="3" t="s">
        <v>2617</v>
      </c>
      <c r="G1128" s="4">
        <f>+251943330208</f>
        <v>251943330208</v>
      </c>
      <c r="H1128" s="3" t="s">
        <v>18</v>
      </c>
      <c r="I1128" s="3" t="s">
        <v>19</v>
      </c>
      <c r="J1128" s="3" t="s">
        <v>19</v>
      </c>
      <c r="K1128" s="3" t="s">
        <v>20</v>
      </c>
      <c r="L1128" s="3">
        <v>19.26</v>
      </c>
      <c r="M1128" s="3" t="s">
        <v>1695</v>
      </c>
      <c r="N1128" s="3" t="s">
        <v>1696</v>
      </c>
      <c r="O1128" s="3">
        <v>1.22442005696E11</v>
      </c>
    </row>
    <row r="1129">
      <c r="A1129" s="3">
        <v>1730738.0</v>
      </c>
      <c r="B1129" s="3" t="s">
        <v>2618</v>
      </c>
      <c r="C1129" s="3" t="b">
        <v>1</v>
      </c>
      <c r="D1129" s="3" t="b">
        <v>1</v>
      </c>
      <c r="E1129" s="3" t="s">
        <v>2619</v>
      </c>
      <c r="F1129" s="3" t="s">
        <v>2620</v>
      </c>
      <c r="G1129" s="4">
        <f>+251972422832</f>
        <v>251972422832</v>
      </c>
      <c r="H1129" s="3" t="s">
        <v>18</v>
      </c>
      <c r="I1129" s="3" t="s">
        <v>19</v>
      </c>
      <c r="J1129" s="3" t="s">
        <v>19</v>
      </c>
      <c r="K1129" s="3" t="s">
        <v>25</v>
      </c>
      <c r="L1129" s="3">
        <v>23.57</v>
      </c>
      <c r="M1129" s="3" t="s">
        <v>1695</v>
      </c>
      <c r="N1129" s="3" t="s">
        <v>1696</v>
      </c>
      <c r="O1129" s="3">
        <v>8774864.0</v>
      </c>
    </row>
    <row r="1130">
      <c r="A1130" s="3">
        <v>2484903.0</v>
      </c>
      <c r="B1130" s="3" t="s">
        <v>2621</v>
      </c>
      <c r="C1130" s="3" t="b">
        <v>1</v>
      </c>
      <c r="D1130" s="3" t="b">
        <v>1</v>
      </c>
      <c r="E1130" s="3" t="s">
        <v>2622</v>
      </c>
      <c r="F1130" s="3" t="s">
        <v>101</v>
      </c>
      <c r="G1130" s="4">
        <f>+251989597095</f>
        <v>251989597095</v>
      </c>
      <c r="H1130" s="3" t="s">
        <v>18</v>
      </c>
      <c r="I1130" s="3" t="s">
        <v>19</v>
      </c>
      <c r="J1130" s="3" t="s">
        <v>19</v>
      </c>
      <c r="K1130" s="3" t="s">
        <v>20</v>
      </c>
      <c r="L1130" s="3">
        <v>20.98</v>
      </c>
      <c r="M1130" s="3" t="s">
        <v>1695</v>
      </c>
      <c r="N1130" s="3" t="s">
        <v>1696</v>
      </c>
      <c r="O1130" s="3">
        <v>1866320.0</v>
      </c>
    </row>
    <row r="1131">
      <c r="A1131" s="3">
        <v>2484900.0</v>
      </c>
      <c r="B1131" s="3" t="s">
        <v>2623</v>
      </c>
      <c r="C1131" s="3" t="b">
        <v>0</v>
      </c>
      <c r="D1131" s="3" t="b">
        <v>1</v>
      </c>
      <c r="E1131" s="3" t="s">
        <v>2624</v>
      </c>
      <c r="F1131" s="3" t="s">
        <v>2625</v>
      </c>
      <c r="G1131" s="4">
        <f>+251954819513</f>
        <v>251954819513</v>
      </c>
      <c r="H1131" s="3" t="s">
        <v>18</v>
      </c>
      <c r="I1131" s="3" t="s">
        <v>19</v>
      </c>
      <c r="J1131" s="3" t="s">
        <v>19</v>
      </c>
      <c r="K1131" s="3" t="s">
        <v>20</v>
      </c>
      <c r="L1131" s="3">
        <v>18.63</v>
      </c>
      <c r="M1131" s="3" t="s">
        <v>1695</v>
      </c>
      <c r="N1131" s="3" t="s">
        <v>1696</v>
      </c>
      <c r="O1131" s="3">
        <v>1.22489703634E11</v>
      </c>
    </row>
    <row r="1132">
      <c r="A1132" s="3">
        <v>2484906.0</v>
      </c>
      <c r="B1132" s="3" t="s">
        <v>2626</v>
      </c>
      <c r="C1132" s="3" t="b">
        <v>1</v>
      </c>
      <c r="D1132" s="3" t="b">
        <v>1</v>
      </c>
      <c r="E1132" s="3" t="s">
        <v>439</v>
      </c>
      <c r="F1132" s="3" t="s">
        <v>2627</v>
      </c>
      <c r="G1132" s="4">
        <f>+251929342642</f>
        <v>251929342642</v>
      </c>
      <c r="H1132" s="3" t="s">
        <v>18</v>
      </c>
      <c r="I1132" s="3" t="s">
        <v>19</v>
      </c>
      <c r="J1132" s="3" t="s">
        <v>19</v>
      </c>
      <c r="K1132" s="3" t="s">
        <v>20</v>
      </c>
      <c r="L1132" s="3">
        <v>20.66</v>
      </c>
      <c r="M1132" s="3" t="s">
        <v>1695</v>
      </c>
      <c r="N1132" s="3" t="s">
        <v>1696</v>
      </c>
      <c r="O1132" s="3">
        <v>1.22528922834E11</v>
      </c>
    </row>
    <row r="1133">
      <c r="A1133" s="3">
        <v>2484953.0</v>
      </c>
      <c r="B1133" s="3" t="s">
        <v>2628</v>
      </c>
      <c r="C1133" s="3" t="b">
        <v>1</v>
      </c>
      <c r="D1133" s="3" t="b">
        <v>1</v>
      </c>
      <c r="E1133" s="3" t="s">
        <v>2629</v>
      </c>
      <c r="F1133" s="3" t="s">
        <v>2630</v>
      </c>
      <c r="G1133" s="4">
        <f>+251914987236</f>
        <v>251914987236</v>
      </c>
      <c r="H1133" s="3" t="s">
        <v>289</v>
      </c>
      <c r="I1133" s="3" t="s">
        <v>19</v>
      </c>
      <c r="J1133" s="3" t="s">
        <v>19</v>
      </c>
      <c r="K1133" s="3" t="s">
        <v>25</v>
      </c>
      <c r="L1133" s="3">
        <v>20.74</v>
      </c>
      <c r="M1133" s="3" t="s">
        <v>1695</v>
      </c>
      <c r="N1133" s="3" t="s">
        <v>1696</v>
      </c>
      <c r="O1133" s="3">
        <v>6391176.0</v>
      </c>
    </row>
    <row r="1134">
      <c r="A1134" s="3">
        <v>2485092.0</v>
      </c>
      <c r="B1134" s="3" t="s">
        <v>2631</v>
      </c>
      <c r="C1134" s="3" t="b">
        <v>1</v>
      </c>
      <c r="D1134" s="3" t="b">
        <v>1</v>
      </c>
      <c r="E1134" s="3" t="s">
        <v>1480</v>
      </c>
      <c r="F1134" s="3" t="s">
        <v>1157</v>
      </c>
      <c r="G1134" s="4">
        <f>+251093020399</f>
        <v>251093020399</v>
      </c>
      <c r="H1134" s="3" t="s">
        <v>18</v>
      </c>
      <c r="I1134" s="3" t="s">
        <v>19</v>
      </c>
      <c r="J1134" s="3" t="s">
        <v>19</v>
      </c>
      <c r="K1134" s="3" t="s">
        <v>20</v>
      </c>
      <c r="L1134" s="3">
        <v>19.44</v>
      </c>
      <c r="M1134" s="3" t="s">
        <v>1695</v>
      </c>
      <c r="N1134" s="3" t="s">
        <v>1696</v>
      </c>
      <c r="O1134" s="3">
        <v>1.22566897855E11</v>
      </c>
    </row>
    <row r="1135">
      <c r="A1135" s="3">
        <v>2485324.0</v>
      </c>
      <c r="B1135" s="3" t="s">
        <v>2632</v>
      </c>
      <c r="C1135" s="3" t="b">
        <v>0</v>
      </c>
      <c r="D1135" s="3" t="b">
        <v>1</v>
      </c>
      <c r="E1135" s="3" t="s">
        <v>2633</v>
      </c>
      <c r="F1135" s="3" t="s">
        <v>2634</v>
      </c>
      <c r="G1135" s="4">
        <f>+251994680769</f>
        <v>251994680769</v>
      </c>
      <c r="H1135" s="3" t="s">
        <v>18</v>
      </c>
      <c r="I1135" s="3" t="s">
        <v>19</v>
      </c>
      <c r="J1135" s="3" t="s">
        <v>19</v>
      </c>
      <c r="K1135" s="3" t="s">
        <v>20</v>
      </c>
      <c r="L1135" s="3">
        <v>23.9</v>
      </c>
      <c r="M1135" s="3" t="s">
        <v>1695</v>
      </c>
      <c r="N1135" s="3" t="s">
        <v>1696</v>
      </c>
      <c r="O1135" s="3">
        <v>1.22706756854E11</v>
      </c>
    </row>
    <row r="1136">
      <c r="A1136" s="3">
        <v>2485371.0</v>
      </c>
      <c r="B1136" s="3" t="s">
        <v>2635</v>
      </c>
      <c r="C1136" s="3" t="b">
        <v>1</v>
      </c>
      <c r="D1136" s="3" t="b">
        <v>1</v>
      </c>
      <c r="E1136" s="3" t="s">
        <v>2153</v>
      </c>
      <c r="F1136" s="3" t="s">
        <v>292</v>
      </c>
      <c r="G1136" s="4">
        <f>+251910460726</f>
        <v>251910460726</v>
      </c>
      <c r="H1136" s="3" t="s">
        <v>29</v>
      </c>
      <c r="I1136" s="3" t="s">
        <v>19</v>
      </c>
      <c r="J1136" s="3" t="s">
        <v>19</v>
      </c>
      <c r="K1136" s="3" t="s">
        <v>25</v>
      </c>
      <c r="L1136" s="3">
        <v>38.13</v>
      </c>
      <c r="M1136" s="3" t="s">
        <v>1695</v>
      </c>
      <c r="N1136" s="3" t="s">
        <v>1696</v>
      </c>
      <c r="O1136" s="3">
        <v>4.6174428092E10</v>
      </c>
    </row>
    <row r="1137">
      <c r="A1137" s="3">
        <v>2485648.0</v>
      </c>
      <c r="B1137" s="3" t="s">
        <v>2636</v>
      </c>
      <c r="C1137" s="3" t="b">
        <v>1</v>
      </c>
      <c r="D1137" s="3" t="b">
        <v>1</v>
      </c>
      <c r="E1137" s="3" t="s">
        <v>2637</v>
      </c>
      <c r="F1137" s="3" t="s">
        <v>540</v>
      </c>
      <c r="G1137" s="4">
        <f>+251933913793</f>
        <v>251933913793</v>
      </c>
      <c r="H1137" s="3" t="s">
        <v>249</v>
      </c>
      <c r="I1137" s="3" t="s">
        <v>19</v>
      </c>
      <c r="J1137" s="3" t="s">
        <v>19</v>
      </c>
      <c r="K1137" s="3" t="s">
        <v>25</v>
      </c>
      <c r="L1137" s="3">
        <v>28.99</v>
      </c>
      <c r="M1137" s="3" t="s">
        <v>1695</v>
      </c>
      <c r="N1137" s="3" t="s">
        <v>1696</v>
      </c>
    </row>
    <row r="1138">
      <c r="A1138" s="3">
        <v>2485741.0</v>
      </c>
      <c r="B1138" s="3" t="s">
        <v>2638</v>
      </c>
      <c r="C1138" s="3" t="b">
        <v>1</v>
      </c>
      <c r="D1138" s="3" t="b">
        <v>1</v>
      </c>
      <c r="E1138" s="3" t="s">
        <v>46</v>
      </c>
      <c r="F1138" s="3" t="s">
        <v>815</v>
      </c>
      <c r="G1138" s="4">
        <f>+251967768370</f>
        <v>251967768370</v>
      </c>
      <c r="H1138" s="3" t="s">
        <v>18</v>
      </c>
      <c r="I1138" s="3" t="s">
        <v>19</v>
      </c>
      <c r="J1138" s="3" t="s">
        <v>19</v>
      </c>
      <c r="K1138" s="3" t="s">
        <v>25</v>
      </c>
      <c r="L1138" s="3">
        <v>19.49</v>
      </c>
      <c r="M1138" s="3" t="s">
        <v>1695</v>
      </c>
      <c r="N1138" s="3" t="s">
        <v>1696</v>
      </c>
      <c r="O1138" s="3">
        <v>1.23245562094E11</v>
      </c>
    </row>
    <row r="1139">
      <c r="A1139" s="3">
        <v>2485760.0</v>
      </c>
      <c r="B1139" s="3" t="s">
        <v>2639</v>
      </c>
      <c r="C1139" s="3" t="b">
        <v>0</v>
      </c>
      <c r="D1139" s="3" t="b">
        <v>1</v>
      </c>
      <c r="E1139" s="3" t="s">
        <v>162</v>
      </c>
      <c r="F1139" s="3" t="s">
        <v>2640</v>
      </c>
      <c r="G1139" s="4">
        <f>+251917312297</f>
        <v>251917312297</v>
      </c>
      <c r="H1139" s="3" t="s">
        <v>18</v>
      </c>
      <c r="I1139" s="3" t="s">
        <v>19</v>
      </c>
      <c r="J1139" s="3" t="s">
        <v>19</v>
      </c>
      <c r="K1139" s="3" t="s">
        <v>25</v>
      </c>
      <c r="L1139" s="3">
        <v>25.32</v>
      </c>
      <c r="M1139" s="3" t="s">
        <v>1695</v>
      </c>
      <c r="N1139" s="3" t="s">
        <v>1696</v>
      </c>
      <c r="O1139" s="3">
        <v>1.23246267612E11</v>
      </c>
    </row>
    <row r="1140">
      <c r="A1140" s="3">
        <v>2485777.0</v>
      </c>
      <c r="B1140" s="3" t="s">
        <v>2641</v>
      </c>
      <c r="C1140" s="3" t="b">
        <v>1</v>
      </c>
      <c r="D1140" s="3" t="b">
        <v>1</v>
      </c>
      <c r="E1140" s="3" t="s">
        <v>2642</v>
      </c>
      <c r="F1140" s="3" t="s">
        <v>815</v>
      </c>
      <c r="G1140" s="4">
        <f>+251967768370</f>
        <v>251967768370</v>
      </c>
      <c r="H1140" s="3" t="s">
        <v>18</v>
      </c>
      <c r="I1140" s="3" t="s">
        <v>19</v>
      </c>
      <c r="J1140" s="3" t="s">
        <v>19</v>
      </c>
      <c r="K1140" s="3" t="s">
        <v>25</v>
      </c>
      <c r="L1140" s="3">
        <v>20.49</v>
      </c>
      <c r="M1140" s="3" t="s">
        <v>1695</v>
      </c>
      <c r="N1140" s="3" t="s">
        <v>1696</v>
      </c>
    </row>
    <row r="1141">
      <c r="A1141" s="3">
        <v>2485786.0</v>
      </c>
      <c r="B1141" s="3" t="s">
        <v>2643</v>
      </c>
      <c r="C1141" s="3" t="b">
        <v>1</v>
      </c>
      <c r="D1141" s="3" t="b">
        <v>1</v>
      </c>
      <c r="E1141" s="3" t="s">
        <v>1954</v>
      </c>
      <c r="F1141" s="3" t="s">
        <v>2644</v>
      </c>
      <c r="G1141" s="4">
        <f>+251991873298</f>
        <v>251991873298</v>
      </c>
      <c r="H1141" s="3" t="s">
        <v>18</v>
      </c>
      <c r="I1141" s="3" t="s">
        <v>19</v>
      </c>
      <c r="J1141" s="3" t="s">
        <v>19</v>
      </c>
      <c r="K1141" s="3" t="s">
        <v>25</v>
      </c>
      <c r="L1141" s="3">
        <v>19.5</v>
      </c>
      <c r="M1141" s="3" t="s">
        <v>1695</v>
      </c>
      <c r="N1141" s="3" t="s">
        <v>1696</v>
      </c>
      <c r="O1141" s="3">
        <v>1.23227243715E11</v>
      </c>
    </row>
    <row r="1142">
      <c r="A1142" s="3">
        <v>2485788.0</v>
      </c>
      <c r="B1142" s="3" t="s">
        <v>2645</v>
      </c>
      <c r="C1142" s="3" t="b">
        <v>0</v>
      </c>
      <c r="D1142" s="3" t="b">
        <v>1</v>
      </c>
      <c r="E1142" s="3" t="s">
        <v>2646</v>
      </c>
      <c r="F1142" s="3" t="s">
        <v>2647</v>
      </c>
      <c r="G1142" s="4">
        <f>+251901303663</f>
        <v>251901303663</v>
      </c>
      <c r="H1142" s="3" t="s">
        <v>18</v>
      </c>
      <c r="I1142" s="3" t="s">
        <v>19</v>
      </c>
      <c r="J1142" s="3" t="s">
        <v>19</v>
      </c>
      <c r="K1142" s="3" t="s">
        <v>25</v>
      </c>
      <c r="L1142" s="3">
        <v>26.02</v>
      </c>
      <c r="M1142" s="3" t="s">
        <v>1695</v>
      </c>
      <c r="N1142" s="3" t="s">
        <v>1696</v>
      </c>
      <c r="O1142" s="3">
        <v>1.23253086448E11</v>
      </c>
    </row>
    <row r="1143">
      <c r="A1143" s="3">
        <v>2485789.0</v>
      </c>
      <c r="B1143" s="3" t="s">
        <v>2648</v>
      </c>
      <c r="C1143" s="3" t="b">
        <v>1</v>
      </c>
      <c r="D1143" s="3" t="b">
        <v>1</v>
      </c>
      <c r="E1143" s="3" t="s">
        <v>2649</v>
      </c>
      <c r="F1143" s="3" t="s">
        <v>2649</v>
      </c>
      <c r="G1143" s="4">
        <f>+251983744290</f>
        <v>251983744290</v>
      </c>
      <c r="H1143" s="3" t="s">
        <v>18</v>
      </c>
      <c r="I1143" s="3" t="s">
        <v>19</v>
      </c>
      <c r="J1143" s="3" t="s">
        <v>19</v>
      </c>
      <c r="K1143" s="3" t="s">
        <v>20</v>
      </c>
      <c r="L1143" s="3">
        <v>18.87</v>
      </c>
      <c r="M1143" s="3" t="s">
        <v>1695</v>
      </c>
      <c r="N1143" s="3" t="s">
        <v>1696</v>
      </c>
    </row>
    <row r="1144">
      <c r="A1144" s="3">
        <v>2485787.0</v>
      </c>
      <c r="B1144" s="3" t="s">
        <v>2650</v>
      </c>
      <c r="C1144" s="3" t="b">
        <v>1</v>
      </c>
      <c r="D1144" s="3" t="b">
        <v>1</v>
      </c>
      <c r="E1144" s="3" t="s">
        <v>195</v>
      </c>
      <c r="F1144" s="3" t="s">
        <v>1164</v>
      </c>
      <c r="G1144" s="4">
        <f>+251985849970</f>
        <v>251985849970</v>
      </c>
      <c r="H1144" s="3" t="s">
        <v>18</v>
      </c>
      <c r="I1144" s="3" t="s">
        <v>19</v>
      </c>
      <c r="J1144" s="3" t="s">
        <v>19</v>
      </c>
      <c r="K1144" s="3" t="s">
        <v>20</v>
      </c>
      <c r="L1144" s="3">
        <v>19.26</v>
      </c>
      <c r="M1144" s="3" t="s">
        <v>1695</v>
      </c>
      <c r="N1144" s="3" t="s">
        <v>1696</v>
      </c>
    </row>
    <row r="1145">
      <c r="A1145" s="3">
        <v>2485812.0</v>
      </c>
      <c r="B1145" s="3" t="s">
        <v>2651</v>
      </c>
      <c r="C1145" s="3" t="b">
        <v>1</v>
      </c>
      <c r="D1145" s="3" t="b">
        <v>1</v>
      </c>
      <c r="E1145" s="3" t="s">
        <v>170</v>
      </c>
      <c r="F1145" s="3" t="s">
        <v>2652</v>
      </c>
      <c r="G1145" s="4">
        <f>+251952873336</f>
        <v>251952873336</v>
      </c>
      <c r="H1145" s="3" t="s">
        <v>18</v>
      </c>
      <c r="I1145" s="3" t="s">
        <v>19</v>
      </c>
      <c r="J1145" s="3" t="s">
        <v>19</v>
      </c>
      <c r="K1145" s="3" t="s">
        <v>25</v>
      </c>
      <c r="L1145" s="3">
        <v>22.7</v>
      </c>
      <c r="M1145" s="3" t="s">
        <v>1695</v>
      </c>
      <c r="N1145" s="3" t="s">
        <v>1696</v>
      </c>
      <c r="O1145" s="3">
        <v>1.23373037786E11</v>
      </c>
    </row>
    <row r="1146">
      <c r="A1146" s="3">
        <v>2485860.0</v>
      </c>
      <c r="B1146" s="3" t="s">
        <v>2653</v>
      </c>
      <c r="C1146" s="3" t="b">
        <v>0</v>
      </c>
      <c r="D1146" s="3" t="b">
        <v>1</v>
      </c>
      <c r="E1146" s="3" t="s">
        <v>276</v>
      </c>
      <c r="F1146" s="3" t="s">
        <v>2654</v>
      </c>
      <c r="G1146" s="4">
        <f>+251962409857</f>
        <v>251962409857</v>
      </c>
      <c r="H1146" s="3" t="s">
        <v>18</v>
      </c>
      <c r="I1146" s="3" t="s">
        <v>19</v>
      </c>
      <c r="J1146" s="3" t="s">
        <v>19</v>
      </c>
      <c r="K1146" s="3" t="s">
        <v>25</v>
      </c>
      <c r="L1146" s="3">
        <v>24.86</v>
      </c>
      <c r="M1146" s="3" t="s">
        <v>1695</v>
      </c>
      <c r="N1146" s="3" t="s">
        <v>1696</v>
      </c>
      <c r="O1146" s="3">
        <v>1.23269948607E11</v>
      </c>
    </row>
    <row r="1147">
      <c r="A1147" s="3">
        <v>2485872.0</v>
      </c>
      <c r="B1147" s="3" t="s">
        <v>2655</v>
      </c>
      <c r="C1147" s="3" t="b">
        <v>1</v>
      </c>
      <c r="D1147" s="3" t="b">
        <v>1</v>
      </c>
      <c r="E1147" s="3" t="s">
        <v>2656</v>
      </c>
      <c r="F1147" s="3" t="s">
        <v>2657</v>
      </c>
      <c r="G1147" s="4">
        <f>+251995445776</f>
        <v>251995445776</v>
      </c>
      <c r="H1147" s="3" t="s">
        <v>18</v>
      </c>
      <c r="I1147" s="3" t="s">
        <v>19</v>
      </c>
      <c r="J1147" s="3" t="s">
        <v>19</v>
      </c>
      <c r="K1147" s="3" t="s">
        <v>25</v>
      </c>
      <c r="L1147" s="3">
        <v>23.21</v>
      </c>
      <c r="M1147" s="3" t="s">
        <v>1695</v>
      </c>
      <c r="N1147" s="3" t="s">
        <v>1696</v>
      </c>
    </row>
    <row r="1148">
      <c r="A1148" s="3">
        <v>2485883.0</v>
      </c>
      <c r="B1148" s="3" t="s">
        <v>2658</v>
      </c>
      <c r="C1148" s="3" t="b">
        <v>0</v>
      </c>
      <c r="D1148" s="3" t="b">
        <v>1</v>
      </c>
      <c r="E1148" s="3" t="s">
        <v>89</v>
      </c>
      <c r="F1148" s="3" t="s">
        <v>2659</v>
      </c>
      <c r="G1148" s="4">
        <f>+251976415179</f>
        <v>251976415179</v>
      </c>
      <c r="H1148" s="3" t="s">
        <v>87</v>
      </c>
      <c r="I1148" s="3" t="s">
        <v>19</v>
      </c>
      <c r="J1148" s="3" t="s">
        <v>19</v>
      </c>
      <c r="K1148" s="3" t="s">
        <v>25</v>
      </c>
      <c r="L1148" s="3">
        <v>21.13</v>
      </c>
      <c r="M1148" s="3" t="s">
        <v>1695</v>
      </c>
      <c r="N1148" s="3" t="s">
        <v>1696</v>
      </c>
      <c r="O1148" s="3">
        <v>1.23411987672E11</v>
      </c>
    </row>
    <row r="1149">
      <c r="A1149" s="3">
        <v>2485910.0</v>
      </c>
      <c r="B1149" s="3" t="s">
        <v>2660</v>
      </c>
      <c r="C1149" s="3" t="b">
        <v>1</v>
      </c>
      <c r="D1149" s="3" t="b">
        <v>1</v>
      </c>
      <c r="E1149" s="3" t="s">
        <v>2661</v>
      </c>
      <c r="F1149" s="3" t="s">
        <v>2662</v>
      </c>
      <c r="G1149" s="4">
        <f>+251960737167</f>
        <v>251960737167</v>
      </c>
      <c r="H1149" s="3" t="s">
        <v>18</v>
      </c>
      <c r="I1149" s="3" t="s">
        <v>19</v>
      </c>
      <c r="J1149" s="3" t="s">
        <v>19</v>
      </c>
      <c r="K1149" s="3" t="s">
        <v>25</v>
      </c>
      <c r="L1149" s="3">
        <v>22.98</v>
      </c>
      <c r="M1149" s="3" t="s">
        <v>1695</v>
      </c>
      <c r="N1149" s="3" t="s">
        <v>1696</v>
      </c>
    </row>
    <row r="1150">
      <c r="A1150" s="3">
        <v>2485924.0</v>
      </c>
      <c r="B1150" s="3" t="s">
        <v>2663</v>
      </c>
      <c r="C1150" s="3" t="b">
        <v>0</v>
      </c>
      <c r="D1150" s="3" t="b">
        <v>1</v>
      </c>
      <c r="E1150" s="3" t="s">
        <v>2656</v>
      </c>
      <c r="F1150" s="3" t="s">
        <v>35</v>
      </c>
      <c r="G1150" s="4">
        <f>+251995445776</f>
        <v>251995445776</v>
      </c>
      <c r="H1150" s="3" t="s">
        <v>18</v>
      </c>
      <c r="I1150" s="3" t="s">
        <v>19</v>
      </c>
      <c r="J1150" s="3" t="s">
        <v>19</v>
      </c>
      <c r="K1150" s="3" t="s">
        <v>25</v>
      </c>
      <c r="L1150" s="3">
        <v>25.21</v>
      </c>
      <c r="M1150" s="3" t="s">
        <v>1695</v>
      </c>
      <c r="N1150" s="3" t="s">
        <v>1696</v>
      </c>
      <c r="O1150" s="3">
        <v>1.2344783382E11</v>
      </c>
    </row>
    <row r="1151">
      <c r="A1151" s="3">
        <v>2485920.0</v>
      </c>
      <c r="B1151" s="3" t="s">
        <v>2664</v>
      </c>
      <c r="C1151" s="3" t="b">
        <v>1</v>
      </c>
      <c r="D1151" s="3" t="b">
        <v>1</v>
      </c>
      <c r="E1151" s="3" t="s">
        <v>414</v>
      </c>
      <c r="F1151" s="3" t="s">
        <v>2665</v>
      </c>
      <c r="G1151" s="4">
        <f>+251989823085</f>
        <v>251989823085</v>
      </c>
      <c r="H1151" s="3" t="s">
        <v>18</v>
      </c>
      <c r="I1151" s="3" t="s">
        <v>19</v>
      </c>
      <c r="J1151" s="3" t="s">
        <v>19</v>
      </c>
      <c r="K1151" s="3" t="s">
        <v>25</v>
      </c>
      <c r="L1151" s="3">
        <v>21.24</v>
      </c>
      <c r="M1151" s="3" t="s">
        <v>1695</v>
      </c>
      <c r="N1151" s="3" t="s">
        <v>1696</v>
      </c>
      <c r="O1151" s="3">
        <v>1.23447779524E11</v>
      </c>
    </row>
    <row r="1152">
      <c r="A1152" s="3">
        <v>2485929.0</v>
      </c>
      <c r="B1152" s="3" t="s">
        <v>2666</v>
      </c>
      <c r="C1152" s="3" t="b">
        <v>0</v>
      </c>
      <c r="D1152" s="3" t="b">
        <v>1</v>
      </c>
      <c r="E1152" s="3" t="s">
        <v>432</v>
      </c>
      <c r="F1152" s="3" t="s">
        <v>2366</v>
      </c>
      <c r="G1152" s="4">
        <f>+251703224290</f>
        <v>251703224290</v>
      </c>
      <c r="H1152" s="3" t="s">
        <v>18</v>
      </c>
      <c r="I1152" s="3" t="s">
        <v>19</v>
      </c>
      <c r="J1152" s="3" t="s">
        <v>19</v>
      </c>
      <c r="K1152" s="3" t="s">
        <v>20</v>
      </c>
      <c r="L1152" s="3">
        <v>18.87</v>
      </c>
      <c r="M1152" s="3" t="s">
        <v>1695</v>
      </c>
      <c r="N1152" s="3" t="s">
        <v>1696</v>
      </c>
      <c r="O1152" s="3">
        <v>1.23290545393E11</v>
      </c>
    </row>
    <row r="1153">
      <c r="A1153" s="3">
        <v>2351484.0</v>
      </c>
      <c r="B1153" s="3" t="s">
        <v>2667</v>
      </c>
      <c r="C1153" s="3" t="b">
        <v>1</v>
      </c>
      <c r="D1153" s="3" t="b">
        <v>1</v>
      </c>
      <c r="E1153" s="3" t="s">
        <v>901</v>
      </c>
      <c r="F1153" s="3" t="s">
        <v>1284</v>
      </c>
      <c r="G1153" s="4">
        <f>+251982638476</f>
        <v>251982638476</v>
      </c>
      <c r="H1153" s="3" t="s">
        <v>18</v>
      </c>
      <c r="I1153" s="3" t="s">
        <v>19</v>
      </c>
      <c r="J1153" s="3" t="s">
        <v>19</v>
      </c>
      <c r="K1153" s="3" t="s">
        <v>25</v>
      </c>
      <c r="L1153" s="3">
        <v>20.75</v>
      </c>
      <c r="M1153" s="3" t="s">
        <v>1695</v>
      </c>
      <c r="N1153" s="3" t="s">
        <v>1696</v>
      </c>
      <c r="O1153" s="3">
        <v>3.9121390837E10</v>
      </c>
    </row>
    <row r="1154">
      <c r="A1154" s="3">
        <v>1947728.0</v>
      </c>
      <c r="B1154" s="3" t="s">
        <v>2668</v>
      </c>
      <c r="C1154" s="3" t="b">
        <v>1</v>
      </c>
      <c r="D1154" s="3" t="b">
        <v>1</v>
      </c>
      <c r="E1154" s="3" t="s">
        <v>192</v>
      </c>
      <c r="F1154" s="3" t="s">
        <v>1269</v>
      </c>
      <c r="G1154" s="4" t="str">
        <f>+251 902653951</f>
        <v>#ERROR!</v>
      </c>
      <c r="H1154" s="3" t="s">
        <v>18</v>
      </c>
      <c r="I1154" s="3" t="s">
        <v>19</v>
      </c>
      <c r="J1154" s="3" t="s">
        <v>19</v>
      </c>
      <c r="K1154" s="3" t="s">
        <v>25</v>
      </c>
      <c r="L1154" s="3">
        <v>21.55</v>
      </c>
      <c r="M1154" s="3" t="s">
        <v>1695</v>
      </c>
      <c r="N1154" s="3" t="s">
        <v>1696</v>
      </c>
      <c r="O1154" s="3">
        <v>2.742342678E10</v>
      </c>
    </row>
    <row r="1155">
      <c r="A1155" s="3">
        <v>2485975.0</v>
      </c>
      <c r="B1155" s="3" t="s">
        <v>2669</v>
      </c>
      <c r="C1155" s="3" t="b">
        <v>1</v>
      </c>
      <c r="D1155" s="3" t="b">
        <v>1</v>
      </c>
      <c r="E1155" s="3" t="s">
        <v>2670</v>
      </c>
      <c r="F1155" s="3" t="s">
        <v>70</v>
      </c>
      <c r="G1155" s="4">
        <f>+251947153032</f>
        <v>251947153032</v>
      </c>
      <c r="H1155" s="3" t="s">
        <v>18</v>
      </c>
      <c r="I1155" s="3" t="s">
        <v>19</v>
      </c>
      <c r="J1155" s="3" t="s">
        <v>19</v>
      </c>
      <c r="K1155" s="3" t="s">
        <v>25</v>
      </c>
      <c r="L1155" s="3">
        <v>22.76</v>
      </c>
      <c r="M1155" s="3" t="s">
        <v>1695</v>
      </c>
      <c r="N1155" s="3" t="s">
        <v>1696</v>
      </c>
      <c r="O1155" s="3">
        <v>1.23531501815E11</v>
      </c>
    </row>
    <row r="1156">
      <c r="A1156" s="3">
        <v>2485974.0</v>
      </c>
      <c r="B1156" s="3" t="s">
        <v>2671</v>
      </c>
      <c r="C1156" s="3" t="b">
        <v>1</v>
      </c>
      <c r="D1156" s="3" t="b">
        <v>1</v>
      </c>
      <c r="E1156" s="3" t="s">
        <v>2672</v>
      </c>
      <c r="F1156" s="3" t="s">
        <v>2673</v>
      </c>
      <c r="G1156" s="4">
        <f>+251905691946</f>
        <v>251905691946</v>
      </c>
      <c r="H1156" s="3" t="s">
        <v>18</v>
      </c>
      <c r="I1156" s="3" t="s">
        <v>19</v>
      </c>
      <c r="J1156" s="3" t="s">
        <v>19</v>
      </c>
      <c r="K1156" s="3" t="s">
        <v>25</v>
      </c>
      <c r="L1156" s="3">
        <v>22.43</v>
      </c>
      <c r="M1156" s="3" t="s">
        <v>1695</v>
      </c>
      <c r="N1156" s="3" t="s">
        <v>1696</v>
      </c>
    </row>
    <row r="1157">
      <c r="A1157" s="3">
        <v>2485988.0</v>
      </c>
      <c r="B1157" s="3" t="s">
        <v>2674</v>
      </c>
      <c r="C1157" s="3" t="b">
        <v>1</v>
      </c>
      <c r="D1157" s="3" t="b">
        <v>1</v>
      </c>
      <c r="E1157" s="3" t="s">
        <v>2675</v>
      </c>
      <c r="F1157" s="3" t="s">
        <v>1237</v>
      </c>
      <c r="G1157" s="4">
        <f>+251944007963</f>
        <v>251944007963</v>
      </c>
      <c r="H1157" s="3" t="s">
        <v>18</v>
      </c>
      <c r="I1157" s="3" t="s">
        <v>19</v>
      </c>
      <c r="J1157" s="3" t="s">
        <v>19</v>
      </c>
      <c r="K1157" s="3" t="s">
        <v>20</v>
      </c>
      <c r="L1157" s="3">
        <v>19.2</v>
      </c>
      <c r="M1157" s="3" t="s">
        <v>1695</v>
      </c>
      <c r="N1157" s="3" t="s">
        <v>1696</v>
      </c>
    </row>
    <row r="1158">
      <c r="A1158" s="3">
        <v>2485981.0</v>
      </c>
      <c r="B1158" s="3" t="s">
        <v>2676</v>
      </c>
      <c r="C1158" s="3" t="b">
        <v>1</v>
      </c>
      <c r="D1158" s="3" t="b">
        <v>1</v>
      </c>
      <c r="E1158" s="3" t="s">
        <v>2677</v>
      </c>
      <c r="F1158" s="3" t="s">
        <v>538</v>
      </c>
      <c r="G1158" s="4">
        <f>+251912689502</f>
        <v>251912689502</v>
      </c>
      <c r="H1158" s="3" t="s">
        <v>18</v>
      </c>
      <c r="I1158" s="3" t="s">
        <v>19</v>
      </c>
      <c r="J1158" s="3" t="s">
        <v>19</v>
      </c>
      <c r="K1158" s="3" t="s">
        <v>25</v>
      </c>
      <c r="L1158" s="3">
        <v>27.64</v>
      </c>
      <c r="M1158" s="3" t="s">
        <v>1695</v>
      </c>
      <c r="N1158" s="3" t="s">
        <v>1696</v>
      </c>
    </row>
    <row r="1159">
      <c r="A1159" s="3">
        <v>2485986.0</v>
      </c>
      <c r="B1159" s="3" t="s">
        <v>2678</v>
      </c>
      <c r="C1159" s="3" t="b">
        <v>1</v>
      </c>
      <c r="D1159" s="3" t="b">
        <v>1</v>
      </c>
      <c r="E1159" s="3" t="s">
        <v>46</v>
      </c>
      <c r="F1159" s="3" t="s">
        <v>1455</v>
      </c>
      <c r="G1159" s="4">
        <f>+251924972905</f>
        <v>251924972905</v>
      </c>
      <c r="H1159" s="3" t="s">
        <v>18</v>
      </c>
      <c r="I1159" s="3" t="s">
        <v>19</v>
      </c>
      <c r="J1159" s="3" t="s">
        <v>19</v>
      </c>
      <c r="K1159" s="3" t="s">
        <v>25</v>
      </c>
      <c r="L1159" s="3">
        <v>26.2</v>
      </c>
      <c r="M1159" s="3" t="s">
        <v>1695</v>
      </c>
      <c r="N1159" s="3" t="s">
        <v>1696</v>
      </c>
      <c r="O1159" s="3">
        <v>1.23296527585E11</v>
      </c>
    </row>
    <row r="1160">
      <c r="A1160" s="3">
        <v>2485995.0</v>
      </c>
      <c r="B1160" s="3" t="s">
        <v>2679</v>
      </c>
      <c r="C1160" s="3" t="b">
        <v>0</v>
      </c>
      <c r="D1160" s="3" t="b">
        <v>1</v>
      </c>
      <c r="E1160" s="3" t="s">
        <v>2539</v>
      </c>
      <c r="F1160" s="3" t="s">
        <v>2680</v>
      </c>
      <c r="G1160" s="4">
        <f>+251936376106</f>
        <v>251936376106</v>
      </c>
      <c r="H1160" s="3" t="s">
        <v>18</v>
      </c>
      <c r="I1160" s="3" t="s">
        <v>19</v>
      </c>
      <c r="J1160" s="3" t="s">
        <v>19</v>
      </c>
      <c r="K1160" s="3" t="s">
        <v>20</v>
      </c>
      <c r="L1160" s="3">
        <v>20.53</v>
      </c>
      <c r="M1160" s="3" t="s">
        <v>1695</v>
      </c>
      <c r="N1160" s="3" t="s">
        <v>1696</v>
      </c>
      <c r="O1160" s="3">
        <v>1.23457349855E11</v>
      </c>
    </row>
    <row r="1161">
      <c r="A1161" s="3">
        <v>2486016.0</v>
      </c>
      <c r="B1161" s="3" t="s">
        <v>2681</v>
      </c>
      <c r="C1161" s="3" t="b">
        <v>0</v>
      </c>
      <c r="D1161" s="3" t="b">
        <v>1</v>
      </c>
      <c r="E1161" s="3" t="s">
        <v>2682</v>
      </c>
      <c r="F1161" s="3" t="s">
        <v>66</v>
      </c>
      <c r="G1161" s="4">
        <f>+251906001584</f>
        <v>251906001584</v>
      </c>
      <c r="H1161" s="3" t="s">
        <v>18</v>
      </c>
      <c r="I1161" s="3" t="s">
        <v>19</v>
      </c>
      <c r="J1161" s="3" t="s">
        <v>19</v>
      </c>
      <c r="K1161" s="3" t="s">
        <v>20</v>
      </c>
      <c r="L1161" s="3">
        <v>20.12</v>
      </c>
      <c r="M1161" s="3" t="s">
        <v>1695</v>
      </c>
      <c r="N1161" s="3" t="s">
        <v>1696</v>
      </c>
      <c r="O1161" s="3">
        <v>1.23306739924E11</v>
      </c>
    </row>
    <row r="1162">
      <c r="A1162" s="3">
        <v>2486053.0</v>
      </c>
      <c r="B1162" s="3" t="s">
        <v>2683</v>
      </c>
      <c r="C1162" s="3" t="b">
        <v>0</v>
      </c>
      <c r="D1162" s="3" t="b">
        <v>1</v>
      </c>
      <c r="E1162" s="3" t="s">
        <v>2553</v>
      </c>
      <c r="F1162" s="3" t="s">
        <v>2554</v>
      </c>
      <c r="G1162" s="4">
        <f>+251927727475</f>
        <v>251927727475</v>
      </c>
      <c r="H1162" s="3" t="s">
        <v>18</v>
      </c>
      <c r="I1162" s="3" t="s">
        <v>19</v>
      </c>
      <c r="J1162" s="3" t="s">
        <v>19</v>
      </c>
      <c r="K1162" s="3" t="s">
        <v>25</v>
      </c>
      <c r="L1162" s="3">
        <v>23.85</v>
      </c>
      <c r="M1162" s="3" t="s">
        <v>1695</v>
      </c>
      <c r="N1162" s="3" t="s">
        <v>1696</v>
      </c>
      <c r="O1162" s="3">
        <v>1.2358769172E11</v>
      </c>
    </row>
    <row r="1163">
      <c r="A1163" s="3">
        <v>2486066.0</v>
      </c>
      <c r="B1163" s="3" t="s">
        <v>2684</v>
      </c>
      <c r="C1163" s="3" t="b">
        <v>1</v>
      </c>
      <c r="D1163" s="3" t="b">
        <v>1</v>
      </c>
      <c r="E1163" s="3" t="s">
        <v>1000</v>
      </c>
      <c r="F1163" s="3" t="s">
        <v>2685</v>
      </c>
      <c r="G1163" s="4">
        <f>+251938181563</f>
        <v>251938181563</v>
      </c>
      <c r="H1163" s="3" t="s">
        <v>18</v>
      </c>
      <c r="I1163" s="3" t="s">
        <v>19</v>
      </c>
      <c r="J1163" s="3" t="s">
        <v>19</v>
      </c>
      <c r="K1163" s="3" t="s">
        <v>25</v>
      </c>
      <c r="L1163" s="3">
        <v>27.89</v>
      </c>
      <c r="M1163" s="3" t="s">
        <v>1695</v>
      </c>
      <c r="N1163" s="3" t="s">
        <v>1696</v>
      </c>
      <c r="O1163" s="3">
        <v>1.23311084776E11</v>
      </c>
    </row>
    <row r="1164">
      <c r="A1164" s="3">
        <v>2486095.0</v>
      </c>
      <c r="B1164" s="3" t="s">
        <v>2686</v>
      </c>
      <c r="C1164" s="3" t="b">
        <v>1</v>
      </c>
      <c r="D1164" s="3" t="b">
        <v>1</v>
      </c>
      <c r="E1164" s="3" t="s">
        <v>596</v>
      </c>
      <c r="F1164" s="3" t="s">
        <v>2687</v>
      </c>
      <c r="G1164" s="4">
        <f>+251969878589</f>
        <v>251969878589</v>
      </c>
      <c r="H1164" s="3" t="s">
        <v>18</v>
      </c>
      <c r="I1164" s="3" t="s">
        <v>19</v>
      </c>
      <c r="J1164" s="3" t="s">
        <v>19</v>
      </c>
      <c r="K1164" s="3" t="s">
        <v>25</v>
      </c>
      <c r="L1164" s="3">
        <v>18.61</v>
      </c>
      <c r="M1164" s="3" t="s">
        <v>1695</v>
      </c>
      <c r="N1164" s="3" t="s">
        <v>1696</v>
      </c>
      <c r="O1164" s="3">
        <v>7.222656942E10</v>
      </c>
    </row>
    <row r="1165">
      <c r="A1165" s="3">
        <v>814402.0</v>
      </c>
      <c r="B1165" s="3" t="s">
        <v>2688</v>
      </c>
      <c r="C1165" s="3" t="b">
        <v>1</v>
      </c>
      <c r="D1165" s="3" t="b">
        <v>1</v>
      </c>
      <c r="E1165" s="3" t="s">
        <v>534</v>
      </c>
      <c r="F1165" s="3" t="s">
        <v>2689</v>
      </c>
      <c r="G1165" s="4">
        <f>+251938426376</f>
        <v>251938426376</v>
      </c>
      <c r="H1165" s="3" t="s">
        <v>18</v>
      </c>
      <c r="I1165" s="3" t="s">
        <v>19</v>
      </c>
      <c r="J1165" s="3" t="s">
        <v>19</v>
      </c>
      <c r="K1165" s="3" t="s">
        <v>20</v>
      </c>
      <c r="L1165" s="3">
        <v>20.85</v>
      </c>
      <c r="M1165" s="3" t="s">
        <v>1695</v>
      </c>
      <c r="N1165" s="3" t="s">
        <v>1696</v>
      </c>
      <c r="O1165" s="3">
        <v>3.142173392E9</v>
      </c>
    </row>
    <row r="1166">
      <c r="A1166" s="3">
        <v>2486135.0</v>
      </c>
      <c r="B1166" s="3" t="s">
        <v>2690</v>
      </c>
      <c r="C1166" s="3" t="b">
        <v>1</v>
      </c>
      <c r="D1166" s="3" t="b">
        <v>1</v>
      </c>
      <c r="E1166" s="3" t="s">
        <v>27</v>
      </c>
      <c r="F1166" s="3" t="s">
        <v>2691</v>
      </c>
      <c r="G1166" s="4">
        <f>+251922005815</f>
        <v>251922005815</v>
      </c>
      <c r="H1166" s="3" t="s">
        <v>18</v>
      </c>
      <c r="I1166" s="3" t="s">
        <v>19</v>
      </c>
      <c r="J1166" s="3" t="s">
        <v>19</v>
      </c>
      <c r="K1166" s="3" t="s">
        <v>25</v>
      </c>
      <c r="L1166" s="3">
        <v>20.93</v>
      </c>
      <c r="M1166" s="3" t="s">
        <v>1695</v>
      </c>
      <c r="N1166" s="3" t="s">
        <v>1696</v>
      </c>
      <c r="O1166" s="3">
        <v>1.23679414493E11</v>
      </c>
    </row>
    <row r="1167">
      <c r="A1167" s="3">
        <v>2039680.0</v>
      </c>
      <c r="B1167" s="3" t="s">
        <v>2692</v>
      </c>
      <c r="C1167" s="3" t="b">
        <v>1</v>
      </c>
      <c r="D1167" s="3" t="b">
        <v>1</v>
      </c>
      <c r="E1167" s="3" t="s">
        <v>1000</v>
      </c>
      <c r="F1167" s="3" t="s">
        <v>2693</v>
      </c>
      <c r="G1167" s="4">
        <f>+251938181563</f>
        <v>251938181563</v>
      </c>
      <c r="H1167" s="3" t="s">
        <v>18</v>
      </c>
      <c r="I1167" s="3" t="s">
        <v>19</v>
      </c>
      <c r="J1167" s="3" t="s">
        <v>19</v>
      </c>
      <c r="K1167" s="3" t="s">
        <v>25</v>
      </c>
      <c r="L1167" s="3">
        <v>27.89</v>
      </c>
      <c r="M1167" s="3" t="s">
        <v>1695</v>
      </c>
      <c r="N1167" s="3" t="s">
        <v>1696</v>
      </c>
    </row>
    <row r="1168">
      <c r="A1168" s="3">
        <v>2486165.0</v>
      </c>
      <c r="B1168" s="3" t="s">
        <v>2694</v>
      </c>
      <c r="C1168" s="3" t="b">
        <v>0</v>
      </c>
      <c r="D1168" s="3" t="b">
        <v>1</v>
      </c>
      <c r="E1168" s="3" t="s">
        <v>162</v>
      </c>
      <c r="F1168" s="3" t="s">
        <v>2695</v>
      </c>
      <c r="G1168" s="4">
        <f>+251902875780</f>
        <v>251902875780</v>
      </c>
      <c r="H1168" s="3" t="s">
        <v>18</v>
      </c>
      <c r="I1168" s="3" t="s">
        <v>19</v>
      </c>
      <c r="J1168" s="3" t="s">
        <v>19</v>
      </c>
      <c r="K1168" s="3" t="s">
        <v>25</v>
      </c>
      <c r="L1168" s="3">
        <v>20.5</v>
      </c>
      <c r="M1168" s="3" t="s">
        <v>1695</v>
      </c>
      <c r="N1168" s="3" t="s">
        <v>1696</v>
      </c>
      <c r="O1168" s="3">
        <v>1.23680408794E11</v>
      </c>
    </row>
    <row r="1169">
      <c r="A1169" s="3">
        <v>2486173.0</v>
      </c>
      <c r="B1169" s="3" t="s">
        <v>2696</v>
      </c>
      <c r="C1169" s="3" t="b">
        <v>0</v>
      </c>
      <c r="D1169" s="3" t="b">
        <v>1</v>
      </c>
      <c r="E1169" s="3" t="s">
        <v>1801</v>
      </c>
      <c r="F1169" s="3" t="s">
        <v>984</v>
      </c>
      <c r="G1169" s="4">
        <f>+251947491119</f>
        <v>251947491119</v>
      </c>
      <c r="H1169" s="3" t="s">
        <v>18</v>
      </c>
      <c r="I1169" s="3" t="s">
        <v>19</v>
      </c>
      <c r="J1169" s="3" t="s">
        <v>19</v>
      </c>
      <c r="K1169" s="3" t="s">
        <v>20</v>
      </c>
      <c r="L1169" s="3">
        <v>19.21</v>
      </c>
      <c r="M1169" s="3" t="s">
        <v>1695</v>
      </c>
      <c r="N1169" s="3" t="s">
        <v>1696</v>
      </c>
      <c r="O1169" s="3">
        <v>1.23466526933E11</v>
      </c>
    </row>
    <row r="1170">
      <c r="A1170" s="3">
        <v>2486166.0</v>
      </c>
      <c r="B1170" s="3" t="s">
        <v>2697</v>
      </c>
      <c r="C1170" s="3" t="b">
        <v>1</v>
      </c>
      <c r="D1170" s="3" t="b">
        <v>1</v>
      </c>
      <c r="E1170" s="3" t="s">
        <v>316</v>
      </c>
      <c r="F1170" s="3" t="s">
        <v>2698</v>
      </c>
      <c r="G1170" s="4">
        <f>+251943571445</f>
        <v>251943571445</v>
      </c>
      <c r="H1170" s="3" t="s">
        <v>18</v>
      </c>
      <c r="I1170" s="3" t="s">
        <v>19</v>
      </c>
      <c r="J1170" s="3" t="s">
        <v>19</v>
      </c>
      <c r="K1170" s="3" t="s">
        <v>25</v>
      </c>
      <c r="L1170" s="3">
        <v>25.11</v>
      </c>
      <c r="M1170" s="3" t="s">
        <v>1695</v>
      </c>
      <c r="N1170" s="3" t="s">
        <v>1696</v>
      </c>
    </row>
    <row r="1171">
      <c r="A1171" s="3">
        <v>2486172.0</v>
      </c>
      <c r="B1171" s="3" t="s">
        <v>2699</v>
      </c>
      <c r="C1171" s="3" t="b">
        <v>1</v>
      </c>
      <c r="D1171" s="3" t="b">
        <v>1</v>
      </c>
      <c r="E1171" s="3" t="s">
        <v>2700</v>
      </c>
      <c r="F1171" s="3" t="s">
        <v>2701</v>
      </c>
      <c r="G1171" s="4">
        <f>+251983752664</f>
        <v>251983752664</v>
      </c>
      <c r="H1171" s="3" t="s">
        <v>18</v>
      </c>
      <c r="I1171" s="3" t="s">
        <v>19</v>
      </c>
      <c r="J1171" s="3" t="s">
        <v>19</v>
      </c>
      <c r="K1171" s="3" t="s">
        <v>25</v>
      </c>
      <c r="L1171" s="3">
        <v>27.7</v>
      </c>
      <c r="M1171" s="3" t="s">
        <v>1695</v>
      </c>
      <c r="N1171" s="3" t="s">
        <v>1696</v>
      </c>
    </row>
    <row r="1172">
      <c r="A1172" s="3">
        <v>2486212.0</v>
      </c>
      <c r="B1172" s="3" t="s">
        <v>2702</v>
      </c>
      <c r="C1172" s="3" t="b">
        <v>1</v>
      </c>
      <c r="D1172" s="3" t="b">
        <v>1</v>
      </c>
      <c r="E1172" s="3" t="s">
        <v>2610</v>
      </c>
      <c r="F1172" s="3" t="s">
        <v>325</v>
      </c>
      <c r="G1172" s="4">
        <f>+251969835161</f>
        <v>251969835161</v>
      </c>
      <c r="H1172" s="3" t="s">
        <v>18</v>
      </c>
      <c r="I1172" s="3" t="s">
        <v>19</v>
      </c>
      <c r="J1172" s="3" t="s">
        <v>19</v>
      </c>
      <c r="K1172" s="3" t="s">
        <v>20</v>
      </c>
      <c r="L1172" s="3">
        <v>20.59</v>
      </c>
      <c r="M1172" s="3" t="s">
        <v>1695</v>
      </c>
      <c r="N1172" s="3" t="s">
        <v>1696</v>
      </c>
    </row>
    <row r="1173">
      <c r="A1173" s="3">
        <v>2486187.0</v>
      </c>
      <c r="B1173" s="3" t="s">
        <v>2703</v>
      </c>
      <c r="C1173" s="3" t="b">
        <v>0</v>
      </c>
      <c r="D1173" s="3" t="b">
        <v>1</v>
      </c>
      <c r="E1173" s="3" t="s">
        <v>1078</v>
      </c>
      <c r="F1173" s="3" t="s">
        <v>417</v>
      </c>
      <c r="G1173" s="4">
        <f>+251940262048</f>
        <v>251940262048</v>
      </c>
      <c r="H1173" s="3" t="s">
        <v>18</v>
      </c>
      <c r="I1173" s="3" t="s">
        <v>19</v>
      </c>
      <c r="J1173" s="3" t="s">
        <v>19</v>
      </c>
      <c r="K1173" s="3" t="s">
        <v>20</v>
      </c>
      <c r="L1173" s="3">
        <v>19.44</v>
      </c>
      <c r="M1173" s="3" t="s">
        <v>1695</v>
      </c>
      <c r="N1173" s="3" t="s">
        <v>1696</v>
      </c>
      <c r="O1173" s="3">
        <v>1.23685837049E11</v>
      </c>
    </row>
    <row r="1174">
      <c r="A1174" s="3">
        <v>2486204.0</v>
      </c>
      <c r="B1174" s="3" t="s">
        <v>2704</v>
      </c>
      <c r="C1174" s="3" t="b">
        <v>1</v>
      </c>
      <c r="D1174" s="3" t="b">
        <v>1</v>
      </c>
      <c r="E1174" s="3" t="s">
        <v>279</v>
      </c>
      <c r="F1174" s="3" t="s">
        <v>2705</v>
      </c>
      <c r="G1174" s="4">
        <f>+251983320461</f>
        <v>251983320461</v>
      </c>
      <c r="H1174" s="3" t="s">
        <v>18</v>
      </c>
      <c r="I1174" s="3" t="s">
        <v>19</v>
      </c>
      <c r="J1174" s="3" t="s">
        <v>19</v>
      </c>
      <c r="K1174" s="3" t="s">
        <v>25</v>
      </c>
      <c r="L1174" s="3">
        <v>22.17</v>
      </c>
      <c r="M1174" s="3" t="s">
        <v>1695</v>
      </c>
      <c r="N1174" s="3" t="s">
        <v>1696</v>
      </c>
    </row>
    <row r="1175">
      <c r="A1175" s="3">
        <v>2486230.0</v>
      </c>
      <c r="B1175" s="3" t="s">
        <v>2706</v>
      </c>
      <c r="C1175" s="3" t="b">
        <v>1</v>
      </c>
      <c r="D1175" s="3" t="b">
        <v>1</v>
      </c>
      <c r="E1175" s="3" t="s">
        <v>261</v>
      </c>
      <c r="F1175" s="3" t="s">
        <v>2707</v>
      </c>
      <c r="G1175" s="4">
        <f>+251914410221</f>
        <v>251914410221</v>
      </c>
      <c r="H1175" s="3" t="s">
        <v>18</v>
      </c>
      <c r="I1175" s="3" t="s">
        <v>19</v>
      </c>
      <c r="J1175" s="3" t="s">
        <v>19</v>
      </c>
      <c r="K1175" s="3" t="s">
        <v>25</v>
      </c>
      <c r="L1175" s="3">
        <v>25.05</v>
      </c>
      <c r="M1175" s="3" t="s">
        <v>1695</v>
      </c>
      <c r="N1175" s="3" t="s">
        <v>1696</v>
      </c>
      <c r="O1175" s="3">
        <v>1.23698047195E11</v>
      </c>
    </row>
    <row r="1176">
      <c r="A1176" s="3">
        <v>2486255.0</v>
      </c>
      <c r="B1176" s="3" t="s">
        <v>2708</v>
      </c>
      <c r="C1176" s="3" t="b">
        <v>1</v>
      </c>
      <c r="D1176" s="3" t="b">
        <v>0</v>
      </c>
      <c r="E1176" s="3" t="s">
        <v>2272</v>
      </c>
      <c r="F1176" s="3" t="s">
        <v>613</v>
      </c>
      <c r="G1176" s="4">
        <f>+251934506969</f>
        <v>251934506969</v>
      </c>
      <c r="H1176" s="3" t="s">
        <v>18</v>
      </c>
      <c r="I1176" s="3" t="s">
        <v>19</v>
      </c>
      <c r="J1176" s="3" t="s">
        <v>19</v>
      </c>
      <c r="K1176" s="3" t="s">
        <v>20</v>
      </c>
      <c r="L1176" s="3">
        <v>27.0</v>
      </c>
      <c r="M1176" s="3" t="s">
        <v>1695</v>
      </c>
      <c r="N1176" s="3" t="s">
        <v>1696</v>
      </c>
      <c r="O1176" s="3">
        <v>1.23702047959E11</v>
      </c>
    </row>
    <row r="1177">
      <c r="A1177" s="3">
        <v>2486263.0</v>
      </c>
      <c r="B1177" s="3" t="s">
        <v>2709</v>
      </c>
      <c r="C1177" s="3" t="b">
        <v>1</v>
      </c>
      <c r="D1177" s="3" t="b">
        <v>1</v>
      </c>
      <c r="E1177" s="3" t="s">
        <v>1801</v>
      </c>
      <c r="F1177" s="3" t="s">
        <v>1710</v>
      </c>
      <c r="G1177" s="4">
        <f>+251926770339</f>
        <v>251926770339</v>
      </c>
      <c r="H1177" s="3" t="s">
        <v>18</v>
      </c>
      <c r="I1177" s="3" t="s">
        <v>19</v>
      </c>
      <c r="J1177" s="3" t="s">
        <v>19</v>
      </c>
      <c r="K1177" s="3" t="s">
        <v>20</v>
      </c>
      <c r="L1177" s="3">
        <v>21.19</v>
      </c>
      <c r="M1177" s="3" t="s">
        <v>1695</v>
      </c>
      <c r="N1177" s="3" t="s">
        <v>1696</v>
      </c>
      <c r="O1177" s="3">
        <v>1.23472751839E11</v>
      </c>
    </row>
    <row r="1178">
      <c r="A1178" s="3">
        <v>2486254.0</v>
      </c>
      <c r="B1178" s="3" t="s">
        <v>2710</v>
      </c>
      <c r="C1178" s="3" t="b">
        <v>0</v>
      </c>
      <c r="D1178" s="3" t="b">
        <v>1</v>
      </c>
      <c r="E1178" s="3" t="s">
        <v>2711</v>
      </c>
      <c r="F1178" s="3" t="s">
        <v>2712</v>
      </c>
      <c r="G1178" s="4">
        <f>+251911191473</f>
        <v>251911191473</v>
      </c>
      <c r="H1178" s="3" t="s">
        <v>18</v>
      </c>
      <c r="I1178" s="3" t="s">
        <v>19</v>
      </c>
      <c r="J1178" s="3" t="s">
        <v>19</v>
      </c>
      <c r="K1178" s="3" t="s">
        <v>25</v>
      </c>
      <c r="L1178" s="3">
        <v>27.43</v>
      </c>
      <c r="M1178" s="3" t="s">
        <v>1695</v>
      </c>
      <c r="N1178" s="3" t="s">
        <v>1696</v>
      </c>
      <c r="O1178" s="3">
        <v>1.23698627818E11</v>
      </c>
    </row>
    <row r="1179">
      <c r="A1179" s="3">
        <v>861474.0</v>
      </c>
      <c r="B1179" s="3" t="s">
        <v>2713</v>
      </c>
      <c r="C1179" s="3" t="b">
        <v>1</v>
      </c>
      <c r="D1179" s="3" t="b">
        <v>1</v>
      </c>
      <c r="E1179" s="3" t="s">
        <v>439</v>
      </c>
      <c r="F1179" s="3" t="s">
        <v>109</v>
      </c>
      <c r="G1179" s="4">
        <f>+251977324242</f>
        <v>251977324242</v>
      </c>
      <c r="H1179" s="3" t="s">
        <v>18</v>
      </c>
      <c r="I1179" s="3" t="s">
        <v>19</v>
      </c>
      <c r="J1179" s="3" t="s">
        <v>19</v>
      </c>
      <c r="K1179" s="3" t="s">
        <v>20</v>
      </c>
      <c r="L1179" s="3">
        <v>23.55</v>
      </c>
      <c r="M1179" s="3" t="s">
        <v>1695</v>
      </c>
      <c r="N1179" s="3" t="s">
        <v>1696</v>
      </c>
      <c r="O1179" s="3">
        <v>3.621108204E9</v>
      </c>
    </row>
    <row r="1180">
      <c r="A1180" s="3">
        <v>2486302.0</v>
      </c>
      <c r="B1180" s="3" t="s">
        <v>2714</v>
      </c>
      <c r="C1180" s="3" t="b">
        <v>1</v>
      </c>
      <c r="D1180" s="3" t="b">
        <v>1</v>
      </c>
      <c r="E1180" s="3" t="s">
        <v>137</v>
      </c>
      <c r="F1180" s="3" t="s">
        <v>2715</v>
      </c>
      <c r="G1180" s="4">
        <f>+251944022100</f>
        <v>251944022100</v>
      </c>
      <c r="H1180" s="3" t="s">
        <v>18</v>
      </c>
      <c r="I1180" s="3" t="s">
        <v>19</v>
      </c>
      <c r="J1180" s="3" t="s">
        <v>19</v>
      </c>
      <c r="K1180" s="3" t="s">
        <v>25</v>
      </c>
      <c r="L1180" s="3">
        <v>22.73</v>
      </c>
      <c r="M1180" s="3" t="s">
        <v>1695</v>
      </c>
      <c r="N1180" s="3" t="s">
        <v>1696</v>
      </c>
    </row>
    <row r="1181">
      <c r="A1181" s="3">
        <v>2486359.0</v>
      </c>
      <c r="B1181" s="3" t="s">
        <v>2716</v>
      </c>
      <c r="C1181" s="3" t="b">
        <v>1</v>
      </c>
      <c r="D1181" s="3" t="b">
        <v>1</v>
      </c>
      <c r="E1181" s="3" t="s">
        <v>2717</v>
      </c>
      <c r="F1181" s="3" t="s">
        <v>2718</v>
      </c>
      <c r="G1181" s="4">
        <f>+251914750970</f>
        <v>251914750970</v>
      </c>
      <c r="H1181" s="3" t="s">
        <v>18</v>
      </c>
      <c r="I1181" s="3" t="s">
        <v>19</v>
      </c>
      <c r="J1181" s="3" t="s">
        <v>19</v>
      </c>
      <c r="K1181" s="3" t="s">
        <v>25</v>
      </c>
      <c r="L1181" s="3">
        <v>41.35</v>
      </c>
      <c r="M1181" s="3" t="s">
        <v>1695</v>
      </c>
      <c r="N1181" s="3" t="s">
        <v>1696</v>
      </c>
      <c r="O1181" s="3">
        <v>1.23719100648E11</v>
      </c>
    </row>
    <row r="1182">
      <c r="A1182" s="3">
        <v>2486441.0</v>
      </c>
      <c r="B1182" s="3" t="s">
        <v>2719</v>
      </c>
      <c r="C1182" s="3" t="b">
        <v>0</v>
      </c>
      <c r="D1182" s="3" t="b">
        <v>1</v>
      </c>
      <c r="E1182" s="3" t="s">
        <v>96</v>
      </c>
      <c r="F1182" s="3" t="s">
        <v>2720</v>
      </c>
      <c r="G1182" s="4">
        <f>+251914041247</f>
        <v>251914041247</v>
      </c>
      <c r="H1182" s="3" t="s">
        <v>18</v>
      </c>
      <c r="I1182" s="3" t="s">
        <v>19</v>
      </c>
      <c r="J1182" s="3" t="s">
        <v>19</v>
      </c>
      <c r="K1182" s="3" t="s">
        <v>25</v>
      </c>
      <c r="L1182" s="3">
        <v>13.2</v>
      </c>
      <c r="M1182" s="3" t="s">
        <v>1695</v>
      </c>
      <c r="N1182" s="3" t="s">
        <v>1696</v>
      </c>
      <c r="O1182" s="3">
        <v>1.23505225965E11</v>
      </c>
    </row>
    <row r="1183">
      <c r="A1183" s="3">
        <v>2486769.0</v>
      </c>
      <c r="B1183" s="3" t="s">
        <v>2721</v>
      </c>
      <c r="C1183" s="3" t="b">
        <v>0</v>
      </c>
      <c r="D1183" s="3" t="b">
        <v>1</v>
      </c>
      <c r="E1183" s="3" t="s">
        <v>137</v>
      </c>
      <c r="F1183" s="3" t="s">
        <v>1572</v>
      </c>
      <c r="G1183" s="4">
        <f>+251944022100</f>
        <v>251944022100</v>
      </c>
      <c r="H1183" s="3" t="s">
        <v>29</v>
      </c>
      <c r="I1183" s="3" t="s">
        <v>19</v>
      </c>
      <c r="J1183" s="3" t="s">
        <v>19</v>
      </c>
      <c r="K1183" s="3" t="s">
        <v>25</v>
      </c>
      <c r="L1183" s="3">
        <v>22.73</v>
      </c>
      <c r="M1183" s="3" t="s">
        <v>1695</v>
      </c>
      <c r="N1183" s="3" t="s">
        <v>1696</v>
      </c>
      <c r="O1183" s="3">
        <v>1.23853648082E11</v>
      </c>
    </row>
    <row r="1184">
      <c r="A1184" s="3">
        <v>2487122.0</v>
      </c>
      <c r="B1184" s="3" t="s">
        <v>2722</v>
      </c>
      <c r="C1184" s="3" t="b">
        <v>0</v>
      </c>
      <c r="D1184" s="3" t="b">
        <v>1</v>
      </c>
      <c r="E1184" s="3" t="s">
        <v>279</v>
      </c>
      <c r="F1184" s="3" t="s">
        <v>2705</v>
      </c>
      <c r="G1184" s="4">
        <f>+251983320461</f>
        <v>251983320461</v>
      </c>
      <c r="H1184" s="3" t="s">
        <v>18</v>
      </c>
      <c r="I1184" s="3" t="s">
        <v>19</v>
      </c>
      <c r="J1184" s="3" t="s">
        <v>19</v>
      </c>
      <c r="K1184" s="3" t="s">
        <v>25</v>
      </c>
      <c r="L1184" s="3">
        <v>22.42</v>
      </c>
      <c r="M1184" s="3" t="s">
        <v>1695</v>
      </c>
      <c r="N1184" s="3" t="s">
        <v>1696</v>
      </c>
      <c r="O1184" s="3">
        <v>1.24370114777E11</v>
      </c>
    </row>
    <row r="1185">
      <c r="A1185" s="3">
        <v>2487572.0</v>
      </c>
      <c r="B1185" s="3" t="s">
        <v>2723</v>
      </c>
      <c r="C1185" s="3" t="b">
        <v>1</v>
      </c>
      <c r="D1185" s="3" t="b">
        <v>1</v>
      </c>
      <c r="E1185" s="3" t="s">
        <v>2724</v>
      </c>
      <c r="F1185" s="3" t="s">
        <v>2725</v>
      </c>
      <c r="G1185" s="4">
        <f>+251777495081</f>
        <v>251777495081</v>
      </c>
      <c r="H1185" s="3" t="s">
        <v>18</v>
      </c>
      <c r="I1185" s="3" t="s">
        <v>19</v>
      </c>
      <c r="J1185" s="3" t="s">
        <v>19</v>
      </c>
      <c r="K1185" s="3" t="s">
        <v>25</v>
      </c>
      <c r="L1185" s="3">
        <v>27.08</v>
      </c>
      <c r="M1185" s="3" t="s">
        <v>1695</v>
      </c>
      <c r="N1185" s="3" t="s">
        <v>1696</v>
      </c>
    </row>
    <row r="1186">
      <c r="A1186" s="3">
        <v>2456206.0</v>
      </c>
      <c r="B1186" s="3" t="s">
        <v>2726</v>
      </c>
      <c r="C1186" s="3" t="b">
        <v>1</v>
      </c>
      <c r="D1186" s="3" t="b">
        <v>1</v>
      </c>
      <c r="E1186" s="3" t="s">
        <v>2727</v>
      </c>
      <c r="F1186" s="3" t="s">
        <v>946</v>
      </c>
      <c r="G1186" s="4">
        <f>+251944814228</f>
        <v>251944814228</v>
      </c>
      <c r="H1186" s="3" t="s">
        <v>1175</v>
      </c>
      <c r="I1186" s="3" t="s">
        <v>19</v>
      </c>
      <c r="J1186" s="3" t="s">
        <v>19</v>
      </c>
      <c r="K1186" s="3" t="s">
        <v>25</v>
      </c>
      <c r="L1186" s="3">
        <v>23.25</v>
      </c>
      <c r="M1186" s="3" t="s">
        <v>1695</v>
      </c>
      <c r="N1186" s="3" t="s">
        <v>1696</v>
      </c>
      <c r="O1186" s="3">
        <v>1.09865499862E11</v>
      </c>
    </row>
    <row r="1187">
      <c r="A1187" s="3">
        <v>1528768.0</v>
      </c>
      <c r="B1187" s="3" t="s">
        <v>2728</v>
      </c>
      <c r="C1187" s="3" t="b">
        <v>1</v>
      </c>
      <c r="D1187" s="3" t="b">
        <v>1</v>
      </c>
      <c r="E1187" s="3" t="s">
        <v>126</v>
      </c>
      <c r="F1187" s="3" t="s">
        <v>2729</v>
      </c>
      <c r="G1187" s="4">
        <f>+251968631582</f>
        <v>251968631582</v>
      </c>
      <c r="H1187" s="3" t="s">
        <v>289</v>
      </c>
      <c r="I1187" s="3" t="s">
        <v>19</v>
      </c>
      <c r="J1187" s="3" t="s">
        <v>19</v>
      </c>
      <c r="K1187" s="3" t="s">
        <v>25</v>
      </c>
      <c r="L1187" s="3">
        <v>30.74</v>
      </c>
      <c r="M1187" s="3" t="s">
        <v>1695</v>
      </c>
      <c r="N1187" s="3" t="s">
        <v>1696</v>
      </c>
      <c r="O1187" s="3">
        <v>1.7514802644E10</v>
      </c>
    </row>
    <row r="1188">
      <c r="A1188" s="3">
        <v>2338832.0</v>
      </c>
      <c r="B1188" s="3" t="s">
        <v>2730</v>
      </c>
      <c r="C1188" s="3" t="b">
        <v>1</v>
      </c>
      <c r="D1188" s="3" t="b">
        <v>1</v>
      </c>
      <c r="E1188" s="3" t="s">
        <v>85</v>
      </c>
      <c r="F1188" s="3" t="s">
        <v>649</v>
      </c>
      <c r="G1188" s="4">
        <f>+251991069399</f>
        <v>251991069399</v>
      </c>
      <c r="H1188" s="3" t="s">
        <v>106</v>
      </c>
      <c r="I1188" s="3" t="s">
        <v>19</v>
      </c>
      <c r="J1188" s="3" t="s">
        <v>19</v>
      </c>
      <c r="K1188" s="3" t="s">
        <v>25</v>
      </c>
      <c r="L1188" s="3">
        <v>23.79</v>
      </c>
      <c r="M1188" s="3" t="s">
        <v>1695</v>
      </c>
      <c r="N1188" s="3" t="s">
        <v>1696</v>
      </c>
      <c r="O1188" s="3">
        <v>3.8055075817E10</v>
      </c>
    </row>
    <row r="1189">
      <c r="A1189" s="3">
        <v>2491728.0</v>
      </c>
      <c r="B1189" s="3" t="s">
        <v>2731</v>
      </c>
      <c r="C1189" s="3" t="b">
        <v>0</v>
      </c>
      <c r="D1189" s="3" t="b">
        <v>1</v>
      </c>
      <c r="E1189" s="3" t="s">
        <v>186</v>
      </c>
      <c r="F1189" s="3" t="s">
        <v>404</v>
      </c>
      <c r="G1189" s="4">
        <f>+251905001128</f>
        <v>251905001128</v>
      </c>
      <c r="H1189" s="3" t="s">
        <v>29</v>
      </c>
      <c r="I1189" s="3" t="s">
        <v>19</v>
      </c>
      <c r="J1189" s="3" t="s">
        <v>19</v>
      </c>
      <c r="K1189" s="3" t="s">
        <v>25</v>
      </c>
      <c r="L1189" s="3">
        <v>24.75</v>
      </c>
      <c r="M1189" s="3" t="s">
        <v>1695</v>
      </c>
      <c r="N1189" s="3" t="s">
        <v>1696</v>
      </c>
      <c r="O1189" s="3">
        <v>1.27954348232E11</v>
      </c>
    </row>
    <row r="1190">
      <c r="A1190" s="3">
        <v>2478099.0</v>
      </c>
      <c r="B1190" s="3" t="s">
        <v>2732</v>
      </c>
      <c r="C1190" s="3" t="b">
        <v>1</v>
      </c>
      <c r="D1190" s="3" t="b">
        <v>1</v>
      </c>
      <c r="E1190" s="3" t="s">
        <v>291</v>
      </c>
      <c r="F1190" s="3" t="s">
        <v>664</v>
      </c>
      <c r="G1190" s="4">
        <f>+251934839524</f>
        <v>251934839524</v>
      </c>
      <c r="H1190" s="3" t="s">
        <v>18</v>
      </c>
      <c r="I1190" s="3" t="s">
        <v>19</v>
      </c>
      <c r="J1190" s="3" t="s">
        <v>19</v>
      </c>
      <c r="K1190" s="3" t="s">
        <v>20</v>
      </c>
      <c r="L1190" s="3">
        <v>27.19</v>
      </c>
      <c r="M1190" s="3" t="s">
        <v>1695</v>
      </c>
      <c r="N1190" s="3" t="s">
        <v>1696</v>
      </c>
    </row>
    <row r="1191">
      <c r="A1191" s="3">
        <v>1799801.0</v>
      </c>
      <c r="B1191" s="3" t="s">
        <v>2733</v>
      </c>
      <c r="C1191" s="3" t="b">
        <v>1</v>
      </c>
      <c r="D1191" s="3" t="b">
        <v>1</v>
      </c>
      <c r="E1191" s="3" t="s">
        <v>2734</v>
      </c>
      <c r="F1191" s="3" t="s">
        <v>2735</v>
      </c>
      <c r="G1191" s="4">
        <f>+251943072024</f>
        <v>251943072024</v>
      </c>
      <c r="H1191" s="3" t="s">
        <v>346</v>
      </c>
      <c r="I1191" s="3" t="s">
        <v>19</v>
      </c>
      <c r="J1191" s="3" t="s">
        <v>19</v>
      </c>
      <c r="K1191" s="3" t="s">
        <v>25</v>
      </c>
      <c r="L1191" s="3">
        <v>31.51</v>
      </c>
      <c r="M1191" s="3" t="s">
        <v>1695</v>
      </c>
      <c r="N1191" s="3" t="s">
        <v>1696</v>
      </c>
      <c r="O1191" s="3">
        <v>6034905.0</v>
      </c>
    </row>
    <row r="1192">
      <c r="A1192" s="3">
        <v>1615409.0</v>
      </c>
      <c r="B1192" s="3" t="s">
        <v>2736</v>
      </c>
      <c r="C1192" s="3" t="b">
        <v>1</v>
      </c>
      <c r="D1192" s="3" t="b">
        <v>1</v>
      </c>
      <c r="E1192" s="3" t="s">
        <v>2737</v>
      </c>
      <c r="F1192" s="3" t="s">
        <v>342</v>
      </c>
      <c r="G1192" s="4">
        <f>+251911567846</f>
        <v>251911567846</v>
      </c>
      <c r="H1192" s="3" t="s">
        <v>18</v>
      </c>
      <c r="I1192" s="3" t="s">
        <v>19</v>
      </c>
      <c r="J1192" s="3" t="s">
        <v>19</v>
      </c>
      <c r="K1192" s="3" t="s">
        <v>20</v>
      </c>
      <c r="L1192" s="3">
        <v>37.22</v>
      </c>
      <c r="M1192" s="3" t="s">
        <v>1695</v>
      </c>
      <c r="N1192" s="3" t="s">
        <v>1696</v>
      </c>
      <c r="O1192" s="3">
        <v>2.0003498735E10</v>
      </c>
    </row>
    <row r="1193">
      <c r="A1193" s="3">
        <v>2094501.0</v>
      </c>
      <c r="B1193" s="3" t="s">
        <v>2738</v>
      </c>
      <c r="C1193" s="3" t="b">
        <v>1</v>
      </c>
      <c r="D1193" s="3" t="b">
        <v>1</v>
      </c>
      <c r="E1193" s="3" t="s">
        <v>826</v>
      </c>
      <c r="F1193" s="3" t="s">
        <v>2739</v>
      </c>
      <c r="G1193" s="4">
        <f>+251912941456</f>
        <v>251912941456</v>
      </c>
      <c r="H1193" s="3" t="s">
        <v>18</v>
      </c>
      <c r="I1193" s="3" t="s">
        <v>19</v>
      </c>
      <c r="J1193" s="3" t="s">
        <v>19</v>
      </c>
      <c r="K1193" s="3" t="s">
        <v>25</v>
      </c>
      <c r="L1193" s="3">
        <v>34.46</v>
      </c>
      <c r="M1193" s="3" t="s">
        <v>1695</v>
      </c>
      <c r="N1193" s="3" t="s">
        <v>1696</v>
      </c>
      <c r="O1193" s="3">
        <v>2.3100599E7</v>
      </c>
    </row>
    <row r="1194">
      <c r="A1194" s="3">
        <v>2494510.0</v>
      </c>
      <c r="B1194" s="3" t="s">
        <v>2740</v>
      </c>
      <c r="C1194" s="3" t="b">
        <v>0</v>
      </c>
      <c r="D1194" s="3" t="b">
        <v>1</v>
      </c>
      <c r="E1194" s="3" t="s">
        <v>2741</v>
      </c>
      <c r="F1194" s="3" t="s">
        <v>2742</v>
      </c>
      <c r="G1194" s="4">
        <f>+251912303575</f>
        <v>251912303575</v>
      </c>
      <c r="H1194" s="3" t="s">
        <v>18</v>
      </c>
      <c r="I1194" s="3" t="s">
        <v>19</v>
      </c>
      <c r="J1194" s="3" t="s">
        <v>19</v>
      </c>
      <c r="K1194" s="3" t="s">
        <v>25</v>
      </c>
      <c r="L1194" s="3">
        <v>23.35</v>
      </c>
      <c r="M1194" s="3" t="s">
        <v>1695</v>
      </c>
      <c r="N1194" s="3" t="s">
        <v>1696</v>
      </c>
      <c r="O1194" s="3">
        <v>1.30237781225E11</v>
      </c>
    </row>
    <row r="1195">
      <c r="A1195" s="3">
        <v>98803.0</v>
      </c>
      <c r="B1195" s="3" t="s">
        <v>2743</v>
      </c>
      <c r="C1195" s="3" t="b">
        <v>1</v>
      </c>
      <c r="D1195" s="3" t="b">
        <v>1</v>
      </c>
      <c r="E1195" s="3" t="s">
        <v>267</v>
      </c>
      <c r="F1195" s="3" t="s">
        <v>64</v>
      </c>
      <c r="G1195" s="4">
        <f>+251921764304</f>
        <v>251921764304</v>
      </c>
      <c r="H1195" s="3" t="s">
        <v>18</v>
      </c>
      <c r="I1195" s="3" t="s">
        <v>19</v>
      </c>
      <c r="J1195" s="3" t="s">
        <v>19</v>
      </c>
      <c r="K1195" s="3" t="s">
        <v>25</v>
      </c>
      <c r="L1195" s="3">
        <v>26.42</v>
      </c>
      <c r="M1195" s="3" t="s">
        <v>1695</v>
      </c>
      <c r="N1195" s="3" t="s">
        <v>1696</v>
      </c>
      <c r="O1195" s="3">
        <v>8735049.0</v>
      </c>
    </row>
    <row r="1196">
      <c r="A1196" s="3">
        <v>2494535.0</v>
      </c>
      <c r="B1196" s="3" t="s">
        <v>2744</v>
      </c>
      <c r="C1196" s="3" t="b">
        <v>1</v>
      </c>
      <c r="D1196" s="3" t="b">
        <v>1</v>
      </c>
      <c r="E1196" s="3" t="s">
        <v>188</v>
      </c>
      <c r="F1196" s="3" t="s">
        <v>2745</v>
      </c>
      <c r="G1196" s="4">
        <f>+251935437902</f>
        <v>251935437902</v>
      </c>
      <c r="H1196" s="3" t="s">
        <v>18</v>
      </c>
      <c r="I1196" s="3" t="s">
        <v>19</v>
      </c>
      <c r="J1196" s="3" t="s">
        <v>19</v>
      </c>
      <c r="K1196" s="3" t="s">
        <v>25</v>
      </c>
      <c r="L1196" s="3">
        <v>17.23</v>
      </c>
      <c r="M1196" s="3" t="s">
        <v>1695</v>
      </c>
      <c r="N1196" s="3" t="s">
        <v>1696</v>
      </c>
      <c r="O1196" s="3">
        <v>1.30210470087E11</v>
      </c>
    </row>
    <row r="1197">
      <c r="A1197" s="3">
        <v>2494649.0</v>
      </c>
      <c r="B1197" s="3" t="s">
        <v>2746</v>
      </c>
      <c r="C1197" s="3" t="b">
        <v>1</v>
      </c>
      <c r="D1197" s="3" t="b">
        <v>1</v>
      </c>
      <c r="E1197" s="3" t="s">
        <v>208</v>
      </c>
      <c r="F1197" s="3" t="s">
        <v>1271</v>
      </c>
      <c r="G1197" s="4">
        <f>+251941447884</f>
        <v>251941447884</v>
      </c>
      <c r="H1197" s="3" t="s">
        <v>18</v>
      </c>
      <c r="I1197" s="3" t="s">
        <v>19</v>
      </c>
      <c r="J1197" s="3" t="s">
        <v>19</v>
      </c>
      <c r="K1197" s="3" t="s">
        <v>25</v>
      </c>
      <c r="L1197" s="3">
        <v>21.56</v>
      </c>
      <c r="M1197" s="3" t="s">
        <v>1695</v>
      </c>
      <c r="N1197" s="3" t="s">
        <v>1696</v>
      </c>
    </row>
    <row r="1198">
      <c r="A1198" s="3">
        <v>152641.0</v>
      </c>
      <c r="B1198" s="3" t="s">
        <v>2747</v>
      </c>
      <c r="C1198" s="3" t="b">
        <v>1</v>
      </c>
      <c r="D1198" s="3" t="b">
        <v>1</v>
      </c>
      <c r="E1198" s="3" t="s">
        <v>2272</v>
      </c>
      <c r="F1198" s="3" t="s">
        <v>1044</v>
      </c>
      <c r="G1198" s="4">
        <f>+251932182090</f>
        <v>251932182090</v>
      </c>
      <c r="H1198" s="3" t="s">
        <v>18</v>
      </c>
      <c r="I1198" s="3" t="s">
        <v>19</v>
      </c>
      <c r="J1198" s="3" t="s">
        <v>19</v>
      </c>
      <c r="K1198" s="3" t="s">
        <v>20</v>
      </c>
      <c r="L1198" s="3">
        <v>30.98</v>
      </c>
      <c r="M1198" s="3" t="s">
        <v>1695</v>
      </c>
      <c r="N1198" s="3" t="s">
        <v>1696</v>
      </c>
      <c r="O1198" s="3">
        <v>61576.0</v>
      </c>
    </row>
    <row r="1199">
      <c r="A1199" s="3">
        <v>2495186.0</v>
      </c>
      <c r="B1199" s="3" t="s">
        <v>2748</v>
      </c>
      <c r="C1199" s="3" t="b">
        <v>1</v>
      </c>
      <c r="D1199" s="3" t="b">
        <v>1</v>
      </c>
      <c r="E1199" s="3" t="s">
        <v>267</v>
      </c>
      <c r="F1199" s="3" t="s">
        <v>196</v>
      </c>
      <c r="G1199" s="4">
        <f>+251934448416</f>
        <v>251934448416</v>
      </c>
      <c r="H1199" s="3" t="s">
        <v>18</v>
      </c>
      <c r="I1199" s="3" t="s">
        <v>19</v>
      </c>
      <c r="J1199" s="3" t="s">
        <v>19</v>
      </c>
      <c r="K1199" s="3" t="s">
        <v>25</v>
      </c>
      <c r="L1199" s="3">
        <v>24.77</v>
      </c>
      <c r="M1199" s="3" t="s">
        <v>1695</v>
      </c>
      <c r="N1199" s="3" t="s">
        <v>1696</v>
      </c>
      <c r="O1199" s="3">
        <v>8739721.0</v>
      </c>
    </row>
    <row r="1200">
      <c r="A1200" s="3">
        <v>1747140.0</v>
      </c>
      <c r="B1200" s="3" t="s">
        <v>2749</v>
      </c>
      <c r="C1200" s="3" t="b">
        <v>1</v>
      </c>
      <c r="D1200" s="3" t="b">
        <v>1</v>
      </c>
      <c r="E1200" s="3" t="s">
        <v>2110</v>
      </c>
      <c r="F1200" s="3" t="s">
        <v>1000</v>
      </c>
      <c r="G1200" s="3">
        <v>9.40261154E8</v>
      </c>
      <c r="H1200" s="3" t="s">
        <v>18</v>
      </c>
      <c r="I1200" s="3" t="s">
        <v>19</v>
      </c>
      <c r="J1200" s="3" t="s">
        <v>19</v>
      </c>
      <c r="K1200" s="3" t="s">
        <v>25</v>
      </c>
      <c r="L1200" s="3">
        <v>26.23</v>
      </c>
      <c r="M1200" s="3" t="s">
        <v>1695</v>
      </c>
      <c r="N1200" s="3" t="s">
        <v>1696</v>
      </c>
      <c r="O1200" s="3">
        <v>2.3318243038E10</v>
      </c>
    </row>
    <row r="1201">
      <c r="A1201" s="3">
        <v>2495814.0</v>
      </c>
      <c r="B1201" s="3" t="s">
        <v>2750</v>
      </c>
      <c r="C1201" s="3" t="b">
        <v>1</v>
      </c>
      <c r="D1201" s="3" t="b">
        <v>0</v>
      </c>
      <c r="E1201" s="3" t="s">
        <v>1865</v>
      </c>
      <c r="F1201" s="3" t="s">
        <v>2751</v>
      </c>
      <c r="G1201" s="4">
        <f>+251912951116</f>
        <v>251912951116</v>
      </c>
      <c r="H1201" s="3" t="s">
        <v>18</v>
      </c>
      <c r="I1201" s="3" t="s">
        <v>19</v>
      </c>
      <c r="J1201" s="3" t="s">
        <v>19</v>
      </c>
      <c r="K1201" s="3" t="s">
        <v>20</v>
      </c>
      <c r="L1201" s="3">
        <v>19.74</v>
      </c>
      <c r="M1201" s="3" t="s">
        <v>1695</v>
      </c>
      <c r="N1201" s="3" t="s">
        <v>1696</v>
      </c>
      <c r="O1201" s="3">
        <v>1.31237096647E11</v>
      </c>
    </row>
    <row r="1202">
      <c r="A1202" s="3">
        <v>197927.0</v>
      </c>
      <c r="B1202" s="3" t="s">
        <v>2752</v>
      </c>
      <c r="C1202" s="3" t="b">
        <v>1</v>
      </c>
      <c r="D1202" s="3" t="b">
        <v>1</v>
      </c>
      <c r="E1202" s="3" t="s">
        <v>2753</v>
      </c>
      <c r="F1202" s="3" t="s">
        <v>2754</v>
      </c>
      <c r="G1202" s="4">
        <f>+251946135045</f>
        <v>251946135045</v>
      </c>
      <c r="H1202" s="3" t="s">
        <v>18</v>
      </c>
      <c r="I1202" s="3" t="s">
        <v>19</v>
      </c>
      <c r="J1202" s="3" t="s">
        <v>19</v>
      </c>
      <c r="K1202" s="3" t="s">
        <v>25</v>
      </c>
      <c r="L1202" s="3">
        <v>23.78</v>
      </c>
      <c r="M1202" s="3" t="s">
        <v>1695</v>
      </c>
      <c r="N1202" s="3" t="s">
        <v>1696</v>
      </c>
      <c r="O1202" s="3">
        <v>8788711.0</v>
      </c>
    </row>
    <row r="1203">
      <c r="A1203" s="3">
        <v>2496535.0</v>
      </c>
      <c r="B1203" s="3" t="s">
        <v>2755</v>
      </c>
      <c r="C1203" s="3" t="b">
        <v>0</v>
      </c>
      <c r="D1203" s="3" t="b">
        <v>1</v>
      </c>
      <c r="E1203" s="3" t="s">
        <v>2756</v>
      </c>
      <c r="F1203" s="3" t="s">
        <v>1271</v>
      </c>
      <c r="G1203" s="4">
        <f>+251901435960</f>
        <v>251901435960</v>
      </c>
      <c r="H1203" s="3" t="s">
        <v>18</v>
      </c>
      <c r="I1203" s="3" t="s">
        <v>19</v>
      </c>
      <c r="J1203" s="3" t="s">
        <v>19</v>
      </c>
      <c r="K1203" s="3" t="s">
        <v>20</v>
      </c>
      <c r="L1203" s="3">
        <v>23.08</v>
      </c>
      <c r="M1203" s="3" t="s">
        <v>1695</v>
      </c>
      <c r="N1203" s="3" t="s">
        <v>1696</v>
      </c>
      <c r="O1203" s="3">
        <v>1.31935298764E11</v>
      </c>
    </row>
    <row r="1204">
      <c r="A1204" s="3">
        <v>2496511.0</v>
      </c>
      <c r="B1204" s="3" t="s">
        <v>2757</v>
      </c>
      <c r="C1204" s="3" t="b">
        <v>0</v>
      </c>
      <c r="D1204" s="3" t="b">
        <v>1</v>
      </c>
      <c r="E1204" s="3" t="s">
        <v>2758</v>
      </c>
      <c r="F1204" s="3" t="s">
        <v>2759</v>
      </c>
      <c r="G1204" s="4">
        <f>+251909042224</f>
        <v>251909042224</v>
      </c>
      <c r="H1204" s="3" t="s">
        <v>18</v>
      </c>
      <c r="I1204" s="3" t="s">
        <v>19</v>
      </c>
      <c r="J1204" s="3" t="s">
        <v>19</v>
      </c>
      <c r="K1204" s="3" t="s">
        <v>20</v>
      </c>
      <c r="L1204" s="3">
        <v>19.96</v>
      </c>
      <c r="M1204" s="3" t="s">
        <v>1695</v>
      </c>
      <c r="N1204" s="3" t="s">
        <v>1696</v>
      </c>
      <c r="O1204" s="3">
        <v>1.31927193798E11</v>
      </c>
    </row>
    <row r="1205">
      <c r="A1205" s="3">
        <v>2496604.0</v>
      </c>
      <c r="B1205" s="3" t="s">
        <v>2760</v>
      </c>
      <c r="C1205" s="3" t="b">
        <v>1</v>
      </c>
      <c r="D1205" s="3" t="b">
        <v>1</v>
      </c>
      <c r="E1205" s="3" t="s">
        <v>414</v>
      </c>
      <c r="F1205" s="3" t="s">
        <v>2355</v>
      </c>
      <c r="G1205" s="4">
        <f>+251967300314</f>
        <v>251967300314</v>
      </c>
      <c r="H1205" s="3" t="s">
        <v>18</v>
      </c>
      <c r="I1205" s="3" t="s">
        <v>19</v>
      </c>
      <c r="J1205" s="3" t="s">
        <v>19</v>
      </c>
      <c r="K1205" s="3" t="s">
        <v>25</v>
      </c>
      <c r="L1205" s="3">
        <v>20.79</v>
      </c>
      <c r="M1205" s="3" t="s">
        <v>1695</v>
      </c>
      <c r="N1205" s="3" t="s">
        <v>1696</v>
      </c>
      <c r="O1205" s="3">
        <v>1.32015188171E11</v>
      </c>
    </row>
    <row r="1206">
      <c r="A1206" s="3">
        <v>2496814.0</v>
      </c>
      <c r="B1206" s="3" t="s">
        <v>2761</v>
      </c>
      <c r="C1206" s="3" t="b">
        <v>1</v>
      </c>
      <c r="D1206" s="3" t="b">
        <v>1</v>
      </c>
      <c r="E1206" s="3" t="s">
        <v>2762</v>
      </c>
      <c r="F1206" s="3" t="s">
        <v>193</v>
      </c>
      <c r="G1206" s="4">
        <f>+251939283611</f>
        <v>251939283611</v>
      </c>
      <c r="H1206" s="3" t="s">
        <v>18</v>
      </c>
      <c r="I1206" s="3" t="s">
        <v>19</v>
      </c>
      <c r="J1206" s="3" t="s">
        <v>19</v>
      </c>
      <c r="K1206" s="3" t="s">
        <v>25</v>
      </c>
      <c r="L1206" s="3">
        <v>19.78</v>
      </c>
      <c r="M1206" s="3" t="s">
        <v>1695</v>
      </c>
      <c r="N1206" s="3" t="s">
        <v>1696</v>
      </c>
      <c r="O1206" s="3">
        <v>1.32167520456E11</v>
      </c>
    </row>
    <row r="1207">
      <c r="A1207" s="3">
        <v>2497221.0</v>
      </c>
      <c r="B1207" s="3" t="s">
        <v>2763</v>
      </c>
      <c r="C1207" s="3" t="b">
        <v>0</v>
      </c>
      <c r="D1207" s="3" t="b">
        <v>1</v>
      </c>
      <c r="E1207" s="3" t="s">
        <v>1193</v>
      </c>
      <c r="F1207" s="3" t="s">
        <v>274</v>
      </c>
      <c r="G1207" s="4">
        <f>+251948797519</f>
        <v>251948797519</v>
      </c>
      <c r="H1207" s="3" t="s">
        <v>29</v>
      </c>
      <c r="I1207" s="3" t="s">
        <v>19</v>
      </c>
      <c r="J1207" s="3" t="s">
        <v>19</v>
      </c>
      <c r="K1207" s="3" t="s">
        <v>25</v>
      </c>
      <c r="L1207" s="3">
        <v>100.18</v>
      </c>
      <c r="M1207" s="3" t="s">
        <v>1695</v>
      </c>
      <c r="N1207" s="3" t="s">
        <v>1696</v>
      </c>
      <c r="O1207" s="3">
        <v>1.32534148286E11</v>
      </c>
    </row>
    <row r="1208">
      <c r="A1208" s="3">
        <v>2132207.0</v>
      </c>
      <c r="B1208" s="3" t="s">
        <v>2764</v>
      </c>
      <c r="C1208" s="3" t="b">
        <v>1</v>
      </c>
      <c r="D1208" s="3" t="b">
        <v>1</v>
      </c>
      <c r="E1208" s="3" t="s">
        <v>353</v>
      </c>
      <c r="F1208" s="3" t="s">
        <v>2131</v>
      </c>
      <c r="G1208" s="4">
        <f>+251963142647</f>
        <v>251963142647</v>
      </c>
      <c r="H1208" s="3" t="s">
        <v>18</v>
      </c>
      <c r="I1208" s="3" t="s">
        <v>19</v>
      </c>
      <c r="J1208" s="3" t="s">
        <v>19</v>
      </c>
      <c r="K1208" s="3" t="s">
        <v>25</v>
      </c>
      <c r="L1208" s="3">
        <v>24.35</v>
      </c>
      <c r="M1208" s="3" t="s">
        <v>1695</v>
      </c>
      <c r="N1208" s="3" t="s">
        <v>1696</v>
      </c>
      <c r="O1208" s="3">
        <v>3.1593263816E10</v>
      </c>
    </row>
    <row r="1209">
      <c r="A1209" s="3">
        <v>2497540.0</v>
      </c>
      <c r="B1209" s="3" t="s">
        <v>2765</v>
      </c>
      <c r="C1209" s="3" t="b">
        <v>1</v>
      </c>
      <c r="D1209" s="3" t="b">
        <v>1</v>
      </c>
      <c r="E1209" s="3" t="s">
        <v>2766</v>
      </c>
      <c r="F1209" s="3" t="s">
        <v>2767</v>
      </c>
      <c r="G1209" s="4">
        <f>+251934698845</f>
        <v>251934698845</v>
      </c>
      <c r="H1209" s="3" t="s">
        <v>18</v>
      </c>
      <c r="I1209" s="3" t="s">
        <v>19</v>
      </c>
      <c r="J1209" s="3" t="s">
        <v>19</v>
      </c>
      <c r="K1209" s="3" t="s">
        <v>25</v>
      </c>
      <c r="L1209" s="3">
        <v>23.62</v>
      </c>
      <c r="M1209" s="3" t="s">
        <v>1695</v>
      </c>
      <c r="N1209" s="3" t="s">
        <v>1696</v>
      </c>
      <c r="O1209" s="3">
        <v>1.32963928283E11</v>
      </c>
    </row>
    <row r="1210">
      <c r="A1210" s="3">
        <v>2497635.0</v>
      </c>
      <c r="B1210" s="3" t="s">
        <v>2768</v>
      </c>
      <c r="C1210" s="3" t="b">
        <v>1</v>
      </c>
      <c r="D1210" s="3" t="b">
        <v>1</v>
      </c>
      <c r="E1210" s="3" t="s">
        <v>468</v>
      </c>
      <c r="F1210" s="3" t="s">
        <v>2769</v>
      </c>
      <c r="G1210" s="4">
        <f>+251996630919</f>
        <v>251996630919</v>
      </c>
      <c r="H1210" s="3" t="s">
        <v>289</v>
      </c>
      <c r="I1210" s="3" t="s">
        <v>19</v>
      </c>
      <c r="J1210" s="3" t="s">
        <v>19</v>
      </c>
      <c r="K1210" s="3" t="s">
        <v>25</v>
      </c>
      <c r="L1210" s="3">
        <v>19.71</v>
      </c>
      <c r="M1210" s="3" t="s">
        <v>1695</v>
      </c>
      <c r="N1210" s="3" t="s">
        <v>1696</v>
      </c>
    </row>
    <row r="1211">
      <c r="A1211" s="3">
        <v>2498171.0</v>
      </c>
      <c r="B1211" s="3" t="s">
        <v>2770</v>
      </c>
      <c r="C1211" s="3" t="b">
        <v>1</v>
      </c>
      <c r="D1211" s="3" t="b">
        <v>1</v>
      </c>
      <c r="E1211" s="3" t="s">
        <v>468</v>
      </c>
      <c r="F1211" s="3" t="s">
        <v>2769</v>
      </c>
      <c r="G1211" s="4">
        <f>+251701508947</f>
        <v>251701508947</v>
      </c>
      <c r="H1211" s="3" t="s">
        <v>289</v>
      </c>
      <c r="I1211" s="3" t="s">
        <v>19</v>
      </c>
      <c r="J1211" s="3" t="s">
        <v>19</v>
      </c>
      <c r="K1211" s="3" t="s">
        <v>25</v>
      </c>
      <c r="L1211" s="3">
        <v>24.71</v>
      </c>
      <c r="M1211" s="3" t="s">
        <v>1695</v>
      </c>
      <c r="N1211" s="3" t="s">
        <v>1696</v>
      </c>
    </row>
    <row r="1212">
      <c r="A1212" s="3">
        <v>2498616.0</v>
      </c>
      <c r="B1212" s="3" t="s">
        <v>2771</v>
      </c>
      <c r="C1212" s="3" t="b">
        <v>1</v>
      </c>
      <c r="D1212" s="3" t="b">
        <v>1</v>
      </c>
      <c r="E1212" s="3" t="s">
        <v>356</v>
      </c>
      <c r="F1212" s="3" t="s">
        <v>2772</v>
      </c>
      <c r="G1212" s="4">
        <f>+251911869986</f>
        <v>251911869986</v>
      </c>
      <c r="H1212" s="3" t="s">
        <v>18</v>
      </c>
      <c r="I1212" s="3" t="s">
        <v>19</v>
      </c>
      <c r="J1212" s="3" t="s">
        <v>19</v>
      </c>
      <c r="K1212" s="3" t="s">
        <v>25</v>
      </c>
      <c r="L1212" s="3">
        <v>33.29</v>
      </c>
      <c r="M1212" s="3" t="s">
        <v>1695</v>
      </c>
      <c r="N1212" s="3" t="s">
        <v>1696</v>
      </c>
      <c r="O1212" s="3">
        <v>1.33835970788E11</v>
      </c>
    </row>
    <row r="1213">
      <c r="A1213" s="3">
        <v>2115158.0</v>
      </c>
      <c r="B1213" s="3" t="s">
        <v>2773</v>
      </c>
      <c r="C1213" s="3" t="b">
        <v>1</v>
      </c>
      <c r="D1213" s="3" t="b">
        <v>0</v>
      </c>
      <c r="E1213" s="3" t="s">
        <v>2774</v>
      </c>
      <c r="F1213" s="3" t="s">
        <v>175</v>
      </c>
      <c r="G1213" s="4">
        <f>+251970611126</f>
        <v>251970611126</v>
      </c>
      <c r="H1213" s="3" t="s">
        <v>29</v>
      </c>
      <c r="I1213" s="3" t="s">
        <v>19</v>
      </c>
      <c r="J1213" s="3" t="s">
        <v>19</v>
      </c>
      <c r="K1213" s="3" t="s">
        <v>25</v>
      </c>
      <c r="L1213" s="3">
        <v>19.74</v>
      </c>
      <c r="M1213" s="3" t="s">
        <v>1695</v>
      </c>
      <c r="N1213" s="3" t="s">
        <v>1696</v>
      </c>
      <c r="O1213" s="3">
        <v>2.352845E7</v>
      </c>
    </row>
    <row r="1214">
      <c r="A1214" s="3">
        <v>2498865.0</v>
      </c>
      <c r="B1214" s="3" t="s">
        <v>2775</v>
      </c>
      <c r="C1214" s="3" t="b">
        <v>0</v>
      </c>
      <c r="D1214" s="3" t="b">
        <v>1</v>
      </c>
      <c r="E1214" s="3" t="s">
        <v>309</v>
      </c>
      <c r="F1214" s="3" t="s">
        <v>2776</v>
      </c>
      <c r="G1214" s="4">
        <f>+251912726008</f>
        <v>251912726008</v>
      </c>
      <c r="H1214" s="3" t="s">
        <v>18</v>
      </c>
      <c r="I1214" s="3" t="s">
        <v>19</v>
      </c>
      <c r="J1214" s="3" t="s">
        <v>19</v>
      </c>
      <c r="K1214" s="3" t="s">
        <v>25</v>
      </c>
      <c r="L1214" s="3">
        <v>29.02</v>
      </c>
      <c r="M1214" s="3" t="s">
        <v>1695</v>
      </c>
      <c r="N1214" s="3" t="s">
        <v>1696</v>
      </c>
      <c r="O1214" s="3">
        <v>1.34161053903E11</v>
      </c>
    </row>
    <row r="1215">
      <c r="A1215" s="3">
        <v>2499123.0</v>
      </c>
      <c r="B1215" s="3" t="s">
        <v>2777</v>
      </c>
      <c r="C1215" s="3" t="b">
        <v>1</v>
      </c>
      <c r="D1215" s="3" t="b">
        <v>1</v>
      </c>
      <c r="E1215" s="3" t="s">
        <v>2778</v>
      </c>
      <c r="F1215" s="3" t="s">
        <v>2779</v>
      </c>
      <c r="G1215" s="4">
        <f>+251988252656</f>
        <v>251988252656</v>
      </c>
      <c r="H1215" s="3" t="s">
        <v>18</v>
      </c>
      <c r="I1215" s="3" t="s">
        <v>19</v>
      </c>
      <c r="J1215" s="3" t="s">
        <v>19</v>
      </c>
      <c r="K1215" s="3" t="s">
        <v>25</v>
      </c>
      <c r="L1215" s="3">
        <v>36.32</v>
      </c>
      <c r="M1215" s="3" t="s">
        <v>1695</v>
      </c>
      <c r="N1215" s="3" t="s">
        <v>1696</v>
      </c>
      <c r="O1215" s="3">
        <v>1.34286736603E11</v>
      </c>
    </row>
    <row r="1216">
      <c r="A1216" s="3">
        <v>1996607.0</v>
      </c>
      <c r="B1216" s="3" t="s">
        <v>2780</v>
      </c>
      <c r="C1216" s="3" t="b">
        <v>1</v>
      </c>
      <c r="D1216" s="3" t="b">
        <v>1</v>
      </c>
      <c r="E1216" s="3" t="s">
        <v>2781</v>
      </c>
      <c r="F1216" s="3" t="s">
        <v>2782</v>
      </c>
      <c r="G1216" s="4">
        <f>+251920650031</f>
        <v>251920650031</v>
      </c>
      <c r="H1216" s="3" t="s">
        <v>18</v>
      </c>
      <c r="I1216" s="3" t="s">
        <v>19</v>
      </c>
      <c r="J1216" s="3" t="s">
        <v>19</v>
      </c>
      <c r="K1216" s="3" t="s">
        <v>20</v>
      </c>
      <c r="L1216" s="3">
        <v>27.76</v>
      </c>
      <c r="M1216" s="3" t="s">
        <v>1695</v>
      </c>
      <c r="N1216" s="3" t="s">
        <v>1696</v>
      </c>
      <c r="O1216" s="3">
        <v>6751648.0</v>
      </c>
    </row>
    <row r="1217">
      <c r="A1217" s="3">
        <v>2499626.0</v>
      </c>
      <c r="B1217" s="3" t="s">
        <v>2783</v>
      </c>
      <c r="C1217" s="3" t="b">
        <v>1</v>
      </c>
      <c r="D1217" s="3" t="b">
        <v>1</v>
      </c>
      <c r="E1217" s="3" t="s">
        <v>2784</v>
      </c>
      <c r="F1217" s="3" t="s">
        <v>1229</v>
      </c>
      <c r="G1217" s="4">
        <f>+251939861590</f>
        <v>251939861590</v>
      </c>
      <c r="H1217" s="3" t="s">
        <v>18</v>
      </c>
      <c r="I1217" s="3" t="s">
        <v>19</v>
      </c>
      <c r="J1217" s="3" t="s">
        <v>19</v>
      </c>
      <c r="K1217" s="3" t="s">
        <v>20</v>
      </c>
      <c r="L1217" s="3">
        <v>28.73</v>
      </c>
      <c r="M1217" s="3" t="s">
        <v>1695</v>
      </c>
      <c r="N1217" s="3" t="s">
        <v>1696</v>
      </c>
    </row>
    <row r="1218">
      <c r="A1218" s="3">
        <v>2500978.0</v>
      </c>
      <c r="B1218" s="3" t="s">
        <v>2785</v>
      </c>
      <c r="C1218" s="3" t="b">
        <v>0</v>
      </c>
      <c r="D1218" s="3" t="b">
        <v>1</v>
      </c>
      <c r="E1218" s="3" t="s">
        <v>1084</v>
      </c>
      <c r="F1218" s="3" t="s">
        <v>1085</v>
      </c>
      <c r="G1218" s="4">
        <f>+251991158394</f>
        <v>251991158394</v>
      </c>
      <c r="H1218" s="3" t="s">
        <v>18</v>
      </c>
      <c r="I1218" s="3" t="s">
        <v>19</v>
      </c>
      <c r="J1218" s="3" t="s">
        <v>19</v>
      </c>
      <c r="K1218" s="3" t="s">
        <v>20</v>
      </c>
      <c r="L1218" s="3">
        <v>20.64</v>
      </c>
      <c r="M1218" s="3" t="s">
        <v>1695</v>
      </c>
      <c r="N1218" s="3" t="s">
        <v>1696</v>
      </c>
      <c r="O1218" s="3">
        <v>1.36022559966E11</v>
      </c>
    </row>
    <row r="1219">
      <c r="A1219" s="3">
        <v>2501306.0</v>
      </c>
      <c r="B1219" s="3" t="s">
        <v>2786</v>
      </c>
      <c r="C1219" s="3" t="b">
        <v>1</v>
      </c>
      <c r="D1219" s="3" t="b">
        <v>1</v>
      </c>
      <c r="E1219" s="3" t="s">
        <v>2787</v>
      </c>
      <c r="F1219" s="3" t="s">
        <v>2788</v>
      </c>
      <c r="G1219" s="4">
        <f>+251975326701</f>
        <v>251975326701</v>
      </c>
      <c r="H1219" s="3" t="s">
        <v>18</v>
      </c>
      <c r="I1219" s="3" t="s">
        <v>19</v>
      </c>
      <c r="J1219" s="3" t="s">
        <v>19</v>
      </c>
      <c r="K1219" s="3" t="s">
        <v>25</v>
      </c>
      <c r="L1219" s="3">
        <v>24.17</v>
      </c>
      <c r="M1219" s="3" t="s">
        <v>1695</v>
      </c>
      <c r="N1219" s="3" t="s">
        <v>1696</v>
      </c>
    </row>
    <row r="1220">
      <c r="A1220" s="3">
        <v>2501397.0</v>
      </c>
      <c r="B1220" s="3" t="s">
        <v>2789</v>
      </c>
      <c r="C1220" s="3" t="b">
        <v>0</v>
      </c>
      <c r="D1220" s="3" t="b">
        <v>1</v>
      </c>
      <c r="E1220" s="3" t="s">
        <v>1769</v>
      </c>
      <c r="F1220" s="3" t="s">
        <v>1162</v>
      </c>
      <c r="G1220" s="4">
        <f>+251910261489</f>
        <v>251910261489</v>
      </c>
      <c r="H1220" s="3" t="s">
        <v>18</v>
      </c>
      <c r="I1220" s="3" t="s">
        <v>19</v>
      </c>
      <c r="J1220" s="3" t="s">
        <v>19</v>
      </c>
      <c r="K1220" s="3" t="s">
        <v>25</v>
      </c>
      <c r="L1220" s="3">
        <v>24.41</v>
      </c>
      <c r="M1220" s="3" t="s">
        <v>1695</v>
      </c>
      <c r="N1220" s="3" t="s">
        <v>1696</v>
      </c>
      <c r="O1220" s="3">
        <v>1.36665604327E11</v>
      </c>
    </row>
    <row r="1221">
      <c r="A1221" s="3">
        <v>2501406.0</v>
      </c>
      <c r="B1221" s="3" t="s">
        <v>2790</v>
      </c>
      <c r="C1221" s="3" t="b">
        <v>1</v>
      </c>
      <c r="D1221" s="3" t="b">
        <v>1</v>
      </c>
      <c r="E1221" s="3" t="s">
        <v>930</v>
      </c>
      <c r="F1221" s="3" t="s">
        <v>1584</v>
      </c>
      <c r="G1221" s="4">
        <f>+251910049267</f>
        <v>251910049267</v>
      </c>
      <c r="H1221" s="3" t="s">
        <v>18</v>
      </c>
      <c r="I1221" s="3" t="s">
        <v>19</v>
      </c>
      <c r="J1221" s="3" t="s">
        <v>19</v>
      </c>
      <c r="K1221" s="3" t="s">
        <v>25</v>
      </c>
      <c r="L1221" s="3">
        <v>26.89</v>
      </c>
      <c r="M1221" s="3" t="s">
        <v>1695</v>
      </c>
      <c r="N1221" s="3" t="s">
        <v>1696</v>
      </c>
      <c r="O1221" s="3">
        <v>727172.0</v>
      </c>
    </row>
    <row r="1222">
      <c r="A1222" s="3">
        <v>2340336.0</v>
      </c>
      <c r="B1222" s="3" t="s">
        <v>2791</v>
      </c>
      <c r="C1222" s="3" t="b">
        <v>1</v>
      </c>
      <c r="D1222" s="3" t="b">
        <v>1</v>
      </c>
      <c r="E1222" s="3" t="s">
        <v>2792</v>
      </c>
      <c r="F1222" s="3" t="s">
        <v>2793</v>
      </c>
      <c r="G1222" s="4">
        <f>+251941130658</f>
        <v>251941130658</v>
      </c>
      <c r="H1222" s="3" t="s">
        <v>18</v>
      </c>
      <c r="I1222" s="3" t="s">
        <v>19</v>
      </c>
      <c r="J1222" s="3" t="s">
        <v>19</v>
      </c>
      <c r="K1222" s="3" t="s">
        <v>20</v>
      </c>
      <c r="L1222" s="3">
        <v>24.24</v>
      </c>
      <c r="M1222" s="3" t="s">
        <v>1695</v>
      </c>
      <c r="N1222" s="3" t="s">
        <v>1696</v>
      </c>
    </row>
    <row r="1223">
      <c r="A1223" s="3">
        <v>2033355.0</v>
      </c>
      <c r="B1223" s="3" t="s">
        <v>2794</v>
      </c>
      <c r="C1223" s="3" t="b">
        <v>1</v>
      </c>
      <c r="D1223" s="3" t="b">
        <v>1</v>
      </c>
      <c r="E1223" s="3" t="s">
        <v>2174</v>
      </c>
      <c r="F1223" s="3" t="s">
        <v>2795</v>
      </c>
      <c r="G1223" s="4">
        <f>+251910139124</f>
        <v>251910139124</v>
      </c>
      <c r="H1223" s="3" t="s">
        <v>29</v>
      </c>
      <c r="I1223" s="3" t="s">
        <v>19</v>
      </c>
      <c r="J1223" s="3" t="s">
        <v>19</v>
      </c>
      <c r="K1223" s="3" t="s">
        <v>25</v>
      </c>
      <c r="L1223" s="3">
        <v>28.22</v>
      </c>
      <c r="M1223" s="3" t="s">
        <v>1695</v>
      </c>
      <c r="N1223" s="3" t="s">
        <v>1696</v>
      </c>
      <c r="O1223" s="3">
        <v>2.9226004172E10</v>
      </c>
    </row>
    <row r="1224">
      <c r="A1224" s="3">
        <v>2379455.0</v>
      </c>
      <c r="B1224" s="3" t="s">
        <v>2796</v>
      </c>
      <c r="C1224" s="3" t="b">
        <v>1</v>
      </c>
      <c r="D1224" s="3" t="b">
        <v>1</v>
      </c>
      <c r="E1224" s="3" t="s">
        <v>992</v>
      </c>
      <c r="F1224" s="3" t="s">
        <v>292</v>
      </c>
      <c r="G1224" s="4">
        <f>+251935937941</f>
        <v>251935937941</v>
      </c>
      <c r="H1224" s="3" t="s">
        <v>18</v>
      </c>
      <c r="I1224" s="3" t="s">
        <v>19</v>
      </c>
      <c r="J1224" s="3" t="s">
        <v>19</v>
      </c>
      <c r="K1224" s="3" t="s">
        <v>25</v>
      </c>
      <c r="L1224" s="3">
        <v>22.94</v>
      </c>
      <c r="M1224" s="3" t="s">
        <v>1695</v>
      </c>
      <c r="N1224" s="3" t="s">
        <v>1696</v>
      </c>
      <c r="O1224" s="3">
        <v>6028647.0</v>
      </c>
    </row>
    <row r="1225">
      <c r="A1225" s="3">
        <v>2501819.0</v>
      </c>
      <c r="B1225" s="3" t="s">
        <v>2797</v>
      </c>
      <c r="C1225" s="3" t="b">
        <v>0</v>
      </c>
      <c r="D1225" s="3" t="b">
        <v>1</v>
      </c>
      <c r="E1225" s="3" t="s">
        <v>920</v>
      </c>
      <c r="F1225" s="3" t="s">
        <v>2798</v>
      </c>
      <c r="G1225" s="4">
        <f>+251979951052</f>
        <v>251979951052</v>
      </c>
      <c r="H1225" s="3" t="s">
        <v>29</v>
      </c>
      <c r="I1225" s="3" t="s">
        <v>19</v>
      </c>
      <c r="J1225" s="3" t="s">
        <v>19</v>
      </c>
      <c r="K1225" s="3" t="s">
        <v>25</v>
      </c>
      <c r="L1225" s="3">
        <v>26.7</v>
      </c>
      <c r="M1225" s="3" t="s">
        <v>1695</v>
      </c>
      <c r="N1225" s="3" t="s">
        <v>1696</v>
      </c>
      <c r="O1225" s="3">
        <v>1.36985736393E11</v>
      </c>
    </row>
    <row r="1226">
      <c r="A1226" s="3">
        <v>2501823.0</v>
      </c>
      <c r="B1226" s="3" t="s">
        <v>2799</v>
      </c>
      <c r="C1226" s="3" t="b">
        <v>1</v>
      </c>
      <c r="D1226" s="3" t="b">
        <v>1</v>
      </c>
      <c r="E1226" s="3" t="s">
        <v>2800</v>
      </c>
      <c r="F1226" s="3" t="s">
        <v>2801</v>
      </c>
      <c r="G1226" s="4">
        <f>+251908183435</f>
        <v>251908183435</v>
      </c>
      <c r="H1226" s="3" t="s">
        <v>346</v>
      </c>
      <c r="I1226" s="3" t="s">
        <v>19</v>
      </c>
      <c r="J1226" s="3" t="s">
        <v>19</v>
      </c>
      <c r="K1226" s="3" t="s">
        <v>25</v>
      </c>
      <c r="L1226" s="3">
        <v>29.46</v>
      </c>
      <c r="M1226" s="3" t="s">
        <v>1695</v>
      </c>
      <c r="N1226" s="3" t="s">
        <v>1696</v>
      </c>
      <c r="O1226" s="3">
        <v>1.37067267269E11</v>
      </c>
    </row>
    <row r="1227">
      <c r="A1227" s="3">
        <v>2501854.0</v>
      </c>
      <c r="B1227" s="3" t="s">
        <v>2802</v>
      </c>
      <c r="C1227" s="3" t="b">
        <v>1</v>
      </c>
      <c r="D1227" s="3" t="b">
        <v>1</v>
      </c>
      <c r="E1227" s="3" t="s">
        <v>2803</v>
      </c>
      <c r="F1227" s="3" t="s">
        <v>2804</v>
      </c>
      <c r="G1227" s="4">
        <f>+251921251983</f>
        <v>251921251983</v>
      </c>
      <c r="H1227" s="3" t="s">
        <v>18</v>
      </c>
      <c r="I1227" s="3" t="s">
        <v>19</v>
      </c>
      <c r="J1227" s="3" t="s">
        <v>19</v>
      </c>
      <c r="K1227" s="3" t="s">
        <v>25</v>
      </c>
      <c r="L1227" s="3">
        <v>29.07</v>
      </c>
      <c r="M1227" s="3" t="s">
        <v>1695</v>
      </c>
      <c r="N1227" s="3" t="s">
        <v>1696</v>
      </c>
    </row>
    <row r="1228">
      <c r="A1228" s="3">
        <v>2501880.0</v>
      </c>
      <c r="B1228" s="3" t="s">
        <v>2805</v>
      </c>
      <c r="C1228" s="3" t="b">
        <v>0</v>
      </c>
      <c r="D1228" s="3" t="b">
        <v>1</v>
      </c>
      <c r="E1228" s="3" t="s">
        <v>2806</v>
      </c>
      <c r="F1228" s="3" t="s">
        <v>274</v>
      </c>
      <c r="G1228" s="4">
        <f>+251988479863</f>
        <v>251988479863</v>
      </c>
      <c r="H1228" s="3" t="s">
        <v>18</v>
      </c>
      <c r="I1228" s="3" t="s">
        <v>19</v>
      </c>
      <c r="J1228" s="3" t="s">
        <v>19</v>
      </c>
      <c r="K1228" s="3" t="s">
        <v>20</v>
      </c>
      <c r="L1228" s="3">
        <v>18.55</v>
      </c>
      <c r="M1228" s="3" t="s">
        <v>1695</v>
      </c>
      <c r="N1228" s="3" t="s">
        <v>1696</v>
      </c>
      <c r="O1228" s="3">
        <v>1.37093224653E11</v>
      </c>
    </row>
    <row r="1229">
      <c r="A1229" s="3">
        <v>14438.0</v>
      </c>
      <c r="B1229" s="3" t="s">
        <v>2807</v>
      </c>
      <c r="C1229" s="3" t="b">
        <v>1</v>
      </c>
      <c r="D1229" s="3" t="b">
        <v>1</v>
      </c>
      <c r="E1229" s="3" t="s">
        <v>192</v>
      </c>
      <c r="F1229" s="3" t="s">
        <v>425</v>
      </c>
      <c r="G1229" s="4">
        <f>+251968785657</f>
        <v>251968785657</v>
      </c>
      <c r="H1229" s="3" t="s">
        <v>18</v>
      </c>
      <c r="I1229" s="3" t="s">
        <v>19</v>
      </c>
      <c r="J1229" s="3" t="s">
        <v>19</v>
      </c>
      <c r="K1229" s="3" t="s">
        <v>25</v>
      </c>
      <c r="L1229" s="3">
        <v>20.62</v>
      </c>
      <c r="M1229" s="3" t="s">
        <v>1695</v>
      </c>
      <c r="N1229" s="3" t="s">
        <v>1696</v>
      </c>
      <c r="O1229" s="3">
        <v>1.1265682E7</v>
      </c>
    </row>
    <row r="1230">
      <c r="A1230" s="3">
        <v>2372350.0</v>
      </c>
      <c r="B1230" s="3" t="s">
        <v>2808</v>
      </c>
      <c r="C1230" s="3" t="b">
        <v>1</v>
      </c>
      <c r="D1230" s="3" t="b">
        <v>1</v>
      </c>
      <c r="E1230" s="3" t="s">
        <v>2809</v>
      </c>
      <c r="F1230" s="3" t="s">
        <v>2810</v>
      </c>
      <c r="G1230" s="4">
        <f>+251989747522</f>
        <v>251989747522</v>
      </c>
      <c r="H1230" s="3" t="s">
        <v>18</v>
      </c>
      <c r="I1230" s="3" t="s">
        <v>19</v>
      </c>
      <c r="J1230" s="3" t="s">
        <v>2530</v>
      </c>
      <c r="K1230" s="3" t="s">
        <v>25</v>
      </c>
      <c r="L1230" s="3">
        <v>28.13</v>
      </c>
      <c r="M1230" s="3" t="s">
        <v>1695</v>
      </c>
      <c r="N1230" s="3" t="s">
        <v>1696</v>
      </c>
      <c r="O1230" s="3">
        <v>4.0768117483E10</v>
      </c>
    </row>
    <row r="1231">
      <c r="A1231" s="3">
        <v>2182088.0</v>
      </c>
      <c r="B1231" s="3" t="s">
        <v>2811</v>
      </c>
      <c r="C1231" s="3" t="b">
        <v>1</v>
      </c>
      <c r="D1231" s="3" t="b">
        <v>1</v>
      </c>
      <c r="E1231" s="3" t="s">
        <v>328</v>
      </c>
      <c r="F1231" s="3" t="s">
        <v>755</v>
      </c>
      <c r="G1231" s="4">
        <f>+251913743863</f>
        <v>251913743863</v>
      </c>
      <c r="H1231" s="3" t="s">
        <v>18</v>
      </c>
      <c r="I1231" s="3" t="s">
        <v>19</v>
      </c>
      <c r="J1231" s="3" t="s">
        <v>19</v>
      </c>
      <c r="K1231" s="3" t="s">
        <v>25</v>
      </c>
      <c r="L1231" s="3">
        <v>31.56</v>
      </c>
      <c r="M1231" s="3" t="s">
        <v>1695</v>
      </c>
      <c r="N1231" s="3" t="s">
        <v>1696</v>
      </c>
      <c r="O1231" s="3">
        <v>3.2762770627E10</v>
      </c>
    </row>
    <row r="1232">
      <c r="A1232" s="3">
        <v>2202052.0</v>
      </c>
      <c r="B1232" s="3" t="s">
        <v>2812</v>
      </c>
      <c r="C1232" s="3" t="b">
        <v>1</v>
      </c>
      <c r="D1232" s="3" t="b">
        <v>1</v>
      </c>
      <c r="E1232" s="3" t="s">
        <v>2813</v>
      </c>
      <c r="F1232" s="3" t="s">
        <v>134</v>
      </c>
      <c r="G1232" s="4">
        <f>+251972004523</f>
        <v>251972004523</v>
      </c>
      <c r="H1232" s="3" t="s">
        <v>18</v>
      </c>
      <c r="I1232" s="3" t="s">
        <v>19</v>
      </c>
      <c r="J1232" s="3" t="s">
        <v>19</v>
      </c>
      <c r="K1232" s="3" t="s">
        <v>25</v>
      </c>
      <c r="L1232" s="3">
        <v>29.23</v>
      </c>
      <c r="M1232" s="3" t="s">
        <v>1695</v>
      </c>
      <c r="N1232" s="3" t="s">
        <v>1696</v>
      </c>
      <c r="O1232" s="3">
        <v>3.3123792348E10</v>
      </c>
    </row>
    <row r="1233">
      <c r="A1233" s="3">
        <v>2502116.0</v>
      </c>
      <c r="B1233" s="3" t="s">
        <v>2814</v>
      </c>
      <c r="C1233" s="3" t="b">
        <v>0</v>
      </c>
      <c r="D1233" s="3" t="b">
        <v>1</v>
      </c>
      <c r="E1233" s="3" t="s">
        <v>58</v>
      </c>
      <c r="F1233" s="3" t="s">
        <v>482</v>
      </c>
      <c r="G1233" s="4">
        <f>+251925549344</f>
        <v>251925549344</v>
      </c>
      <c r="H1233" s="3" t="s">
        <v>18</v>
      </c>
      <c r="I1233" s="3" t="s">
        <v>19</v>
      </c>
      <c r="J1233" s="3" t="s">
        <v>19</v>
      </c>
      <c r="K1233" s="3" t="s">
        <v>25</v>
      </c>
      <c r="L1233" s="3">
        <v>24.16</v>
      </c>
      <c r="M1233" s="3" t="s">
        <v>1695</v>
      </c>
      <c r="N1233" s="3" t="s">
        <v>1696</v>
      </c>
      <c r="O1233" s="3">
        <v>1.37252254911E11</v>
      </c>
    </row>
    <row r="1234">
      <c r="A1234" s="3">
        <v>1719549.0</v>
      </c>
      <c r="B1234" s="3" t="s">
        <v>2815</v>
      </c>
      <c r="C1234" s="3" t="b">
        <v>1</v>
      </c>
      <c r="D1234" s="3" t="b">
        <v>1</v>
      </c>
      <c r="E1234" s="3" t="s">
        <v>2816</v>
      </c>
      <c r="F1234" s="3" t="s">
        <v>2817</v>
      </c>
      <c r="G1234" s="4">
        <f>+251952758945</f>
        <v>251952758945</v>
      </c>
      <c r="H1234" s="3" t="s">
        <v>18</v>
      </c>
      <c r="I1234" s="3" t="s">
        <v>19</v>
      </c>
      <c r="J1234" s="3" t="s">
        <v>19</v>
      </c>
      <c r="K1234" s="3" t="s">
        <v>25</v>
      </c>
      <c r="L1234" s="3">
        <v>19.59</v>
      </c>
      <c r="M1234" s="3" t="s">
        <v>1695</v>
      </c>
      <c r="N1234" s="3" t="s">
        <v>1696</v>
      </c>
      <c r="O1234" s="3">
        <v>2.969564E7</v>
      </c>
    </row>
    <row r="1235">
      <c r="A1235" s="3">
        <v>2502342.0</v>
      </c>
      <c r="B1235" s="3" t="s">
        <v>2818</v>
      </c>
      <c r="C1235" s="3" t="b">
        <v>1</v>
      </c>
      <c r="D1235" s="3" t="b">
        <v>1</v>
      </c>
      <c r="E1235" s="3" t="s">
        <v>2819</v>
      </c>
      <c r="F1235" s="3" t="s">
        <v>2820</v>
      </c>
      <c r="G1235" s="4">
        <f>+251967996718</f>
        <v>251967996718</v>
      </c>
      <c r="H1235" s="3" t="s">
        <v>18</v>
      </c>
      <c r="I1235" s="3" t="s">
        <v>19</v>
      </c>
      <c r="J1235" s="3" t="s">
        <v>19</v>
      </c>
      <c r="K1235" s="3" t="s">
        <v>25</v>
      </c>
      <c r="L1235" s="3">
        <v>21.71</v>
      </c>
      <c r="M1235" s="3" t="s">
        <v>1695</v>
      </c>
      <c r="N1235" s="3" t="s">
        <v>1696</v>
      </c>
      <c r="O1235" s="3">
        <v>1.37538444493E11</v>
      </c>
    </row>
    <row r="1236">
      <c r="A1236" s="3">
        <v>2502372.0</v>
      </c>
      <c r="B1236" s="3" t="s">
        <v>2821</v>
      </c>
      <c r="C1236" s="3" t="b">
        <v>1</v>
      </c>
      <c r="D1236" s="3" t="b">
        <v>1</v>
      </c>
      <c r="E1236" s="3" t="s">
        <v>2822</v>
      </c>
      <c r="F1236" s="3" t="s">
        <v>2823</v>
      </c>
      <c r="G1236" s="4">
        <f>+251927198618</f>
        <v>251927198618</v>
      </c>
      <c r="H1236" s="3" t="s">
        <v>18</v>
      </c>
      <c r="I1236" s="3" t="s">
        <v>19</v>
      </c>
      <c r="J1236" s="3" t="s">
        <v>19</v>
      </c>
      <c r="K1236" s="3" t="s">
        <v>25</v>
      </c>
      <c r="L1236" s="3">
        <v>25.85</v>
      </c>
      <c r="M1236" s="3" t="s">
        <v>1695</v>
      </c>
      <c r="N1236" s="3" t="s">
        <v>1696</v>
      </c>
      <c r="O1236" s="3">
        <v>3450391.0</v>
      </c>
    </row>
    <row r="1237">
      <c r="A1237" s="3">
        <v>2502532.0</v>
      </c>
      <c r="B1237" s="3" t="s">
        <v>2824</v>
      </c>
      <c r="C1237" s="3" t="b">
        <v>1</v>
      </c>
      <c r="D1237" s="3" t="b">
        <v>1</v>
      </c>
      <c r="E1237" s="3" t="s">
        <v>2825</v>
      </c>
      <c r="F1237" s="3" t="s">
        <v>2826</v>
      </c>
      <c r="G1237" s="4">
        <f>+251983245589</f>
        <v>251983245589</v>
      </c>
      <c r="H1237" s="3" t="s">
        <v>18</v>
      </c>
      <c r="I1237" s="3" t="s">
        <v>19</v>
      </c>
      <c r="J1237" s="3" t="s">
        <v>19</v>
      </c>
      <c r="K1237" s="3" t="s">
        <v>25</v>
      </c>
      <c r="L1237" s="3">
        <v>19.58</v>
      </c>
      <c r="M1237" s="3" t="s">
        <v>1695</v>
      </c>
      <c r="N1237" s="3" t="s">
        <v>1696</v>
      </c>
    </row>
    <row r="1238">
      <c r="A1238" s="3">
        <v>2274442.0</v>
      </c>
      <c r="B1238" s="3" t="s">
        <v>2827</v>
      </c>
      <c r="C1238" s="3" t="b">
        <v>1</v>
      </c>
      <c r="D1238" s="3" t="b">
        <v>1</v>
      </c>
      <c r="E1238" s="3" t="s">
        <v>2828</v>
      </c>
      <c r="F1238" s="3" t="s">
        <v>2829</v>
      </c>
      <c r="G1238" s="4">
        <f>+251967580748</f>
        <v>251967580748</v>
      </c>
      <c r="H1238" s="3" t="s">
        <v>18</v>
      </c>
      <c r="I1238" s="3" t="s">
        <v>19</v>
      </c>
      <c r="J1238" s="3" t="s">
        <v>19</v>
      </c>
      <c r="K1238" s="3" t="s">
        <v>20</v>
      </c>
      <c r="L1238" s="3">
        <v>23.44</v>
      </c>
      <c r="M1238" s="3" t="s">
        <v>1695</v>
      </c>
      <c r="N1238" s="3" t="s">
        <v>1696</v>
      </c>
      <c r="O1238" s="3">
        <v>3.5209372368E10</v>
      </c>
    </row>
    <row r="1239">
      <c r="A1239" s="3">
        <v>2502585.0</v>
      </c>
      <c r="B1239" s="3" t="s">
        <v>2830</v>
      </c>
      <c r="C1239" s="3" t="b">
        <v>0</v>
      </c>
      <c r="D1239" s="3" t="b">
        <v>1</v>
      </c>
      <c r="E1239" s="3" t="s">
        <v>1636</v>
      </c>
      <c r="F1239" s="3" t="s">
        <v>1667</v>
      </c>
      <c r="G1239" s="4">
        <f>+251097872731</f>
        <v>251097872731</v>
      </c>
      <c r="H1239" s="3" t="s">
        <v>18</v>
      </c>
      <c r="I1239" s="3" t="s">
        <v>19</v>
      </c>
      <c r="J1239" s="3" t="s">
        <v>19</v>
      </c>
      <c r="K1239" s="3" t="s">
        <v>25</v>
      </c>
      <c r="L1239" s="3">
        <v>39.17</v>
      </c>
      <c r="M1239" s="3" t="s">
        <v>1695</v>
      </c>
      <c r="N1239" s="3" t="s">
        <v>1696</v>
      </c>
      <c r="O1239" s="3">
        <v>1.37686947004E11</v>
      </c>
    </row>
    <row r="1240">
      <c r="A1240" s="3">
        <v>1933429.0</v>
      </c>
      <c r="B1240" s="3" t="s">
        <v>2831</v>
      </c>
      <c r="C1240" s="3" t="b">
        <v>1</v>
      </c>
      <c r="D1240" s="3" t="b">
        <v>1</v>
      </c>
      <c r="E1240" s="3" t="s">
        <v>120</v>
      </c>
      <c r="F1240" s="3" t="s">
        <v>1261</v>
      </c>
      <c r="G1240" s="4">
        <f>+251975071157</f>
        <v>251975071157</v>
      </c>
      <c r="H1240" s="3" t="s">
        <v>18</v>
      </c>
      <c r="I1240" s="3" t="s">
        <v>19</v>
      </c>
      <c r="J1240" s="3" t="s">
        <v>19</v>
      </c>
      <c r="K1240" s="3" t="s">
        <v>25</v>
      </c>
      <c r="L1240" s="3">
        <v>23.37</v>
      </c>
      <c r="M1240" s="3" t="s">
        <v>1695</v>
      </c>
      <c r="N1240" s="3" t="s">
        <v>1696</v>
      </c>
      <c r="O1240" s="3">
        <v>8886815.0</v>
      </c>
    </row>
    <row r="1241">
      <c r="A1241" s="3">
        <v>2303341.0</v>
      </c>
      <c r="B1241" s="3" t="s">
        <v>2832</v>
      </c>
      <c r="C1241" s="3" t="b">
        <v>1</v>
      </c>
      <c r="D1241" s="3" t="b">
        <v>1</v>
      </c>
      <c r="E1241" s="3" t="s">
        <v>2833</v>
      </c>
      <c r="F1241" s="3" t="s">
        <v>2834</v>
      </c>
      <c r="G1241" s="3">
        <v>2.51943436849E11</v>
      </c>
      <c r="H1241" s="3" t="s">
        <v>18</v>
      </c>
      <c r="I1241" s="3" t="s">
        <v>19</v>
      </c>
      <c r="J1241" s="3" t="s">
        <v>19</v>
      </c>
      <c r="K1241" s="3" t="s">
        <v>25</v>
      </c>
      <c r="L1241" s="3">
        <v>22.32</v>
      </c>
      <c r="M1241" s="3" t="s">
        <v>1695</v>
      </c>
      <c r="N1241" s="3" t="s">
        <v>1696</v>
      </c>
      <c r="O1241" s="3">
        <v>3.5953664972E10</v>
      </c>
    </row>
    <row r="1242">
      <c r="A1242" s="3">
        <v>2077703.0</v>
      </c>
      <c r="B1242" s="3" t="s">
        <v>2835</v>
      </c>
      <c r="C1242" s="3" t="b">
        <v>1</v>
      </c>
      <c r="D1242" s="3" t="b">
        <v>1</v>
      </c>
      <c r="E1242" s="3" t="s">
        <v>55</v>
      </c>
      <c r="F1242" s="3" t="s">
        <v>2836</v>
      </c>
      <c r="G1242" s="4">
        <f>+251931132902</f>
        <v>251931132902</v>
      </c>
      <c r="H1242" s="3" t="s">
        <v>985</v>
      </c>
      <c r="I1242" s="3" t="s">
        <v>19</v>
      </c>
      <c r="J1242" s="3" t="s">
        <v>19</v>
      </c>
      <c r="K1242" s="3" t="s">
        <v>25</v>
      </c>
      <c r="L1242" s="3">
        <v>32.67</v>
      </c>
      <c r="M1242" s="3" t="s">
        <v>1695</v>
      </c>
      <c r="N1242" s="3" t="s">
        <v>1696</v>
      </c>
      <c r="O1242" s="3">
        <v>3.0302016494E10</v>
      </c>
    </row>
    <row r="1243">
      <c r="A1243" s="3">
        <v>2172069.0</v>
      </c>
      <c r="B1243" s="3" t="s">
        <v>2837</v>
      </c>
      <c r="C1243" s="3" t="b">
        <v>1</v>
      </c>
      <c r="D1243" s="3" t="b">
        <v>1</v>
      </c>
      <c r="E1243" s="3" t="s">
        <v>104</v>
      </c>
      <c r="F1243" s="3" t="s">
        <v>2838</v>
      </c>
      <c r="G1243" s="4">
        <f>+251928639220</f>
        <v>251928639220</v>
      </c>
      <c r="H1243" s="3" t="s">
        <v>87</v>
      </c>
      <c r="I1243" s="3" t="s">
        <v>19</v>
      </c>
      <c r="J1243" s="3" t="s">
        <v>19</v>
      </c>
      <c r="K1243" s="3" t="s">
        <v>25</v>
      </c>
      <c r="L1243" s="3">
        <v>33.09</v>
      </c>
      <c r="M1243" s="3" t="s">
        <v>1695</v>
      </c>
      <c r="N1243" s="3" t="s">
        <v>1696</v>
      </c>
      <c r="O1243" s="3">
        <v>3.2539909051E10</v>
      </c>
    </row>
    <row r="1244">
      <c r="A1244" s="3">
        <v>1163749.0</v>
      </c>
      <c r="B1244" s="3" t="s">
        <v>2839</v>
      </c>
      <c r="C1244" s="3" t="b">
        <v>1</v>
      </c>
      <c r="D1244" s="3" t="b">
        <v>1</v>
      </c>
      <c r="E1244" s="3" t="s">
        <v>2840</v>
      </c>
      <c r="F1244" s="3" t="s">
        <v>2841</v>
      </c>
      <c r="G1244" s="4">
        <f>+251911276803</f>
        <v>251911276803</v>
      </c>
      <c r="H1244" s="3" t="s">
        <v>18</v>
      </c>
      <c r="I1244" s="3" t="s">
        <v>19</v>
      </c>
      <c r="J1244" s="3" t="s">
        <v>19</v>
      </c>
      <c r="K1244" s="3" t="s">
        <v>25</v>
      </c>
      <c r="L1244" s="3">
        <v>24.88</v>
      </c>
      <c r="M1244" s="3" t="s">
        <v>1695</v>
      </c>
      <c r="N1244" s="3" t="s">
        <v>1696</v>
      </c>
    </row>
    <row r="1245">
      <c r="A1245" s="3">
        <v>203894.0</v>
      </c>
      <c r="B1245" s="3" t="s">
        <v>2842</v>
      </c>
      <c r="C1245" s="3" t="b">
        <v>1</v>
      </c>
      <c r="D1245" s="3" t="b">
        <v>1</v>
      </c>
      <c r="E1245" s="3" t="s">
        <v>204</v>
      </c>
      <c r="F1245" s="3" t="s">
        <v>111</v>
      </c>
      <c r="G1245" s="4">
        <f>+251909333666</f>
        <v>251909333666</v>
      </c>
      <c r="H1245" s="3" t="s">
        <v>346</v>
      </c>
      <c r="I1245" s="3" t="s">
        <v>19</v>
      </c>
      <c r="J1245" s="3" t="s">
        <v>19</v>
      </c>
      <c r="K1245" s="3" t="s">
        <v>25</v>
      </c>
      <c r="L1245" s="3">
        <v>27.05</v>
      </c>
      <c r="M1245" s="3" t="s">
        <v>1695</v>
      </c>
      <c r="N1245" s="3" t="s">
        <v>1696</v>
      </c>
      <c r="O1245" s="3">
        <v>2.6685186E7</v>
      </c>
    </row>
    <row r="1246">
      <c r="A1246" s="3">
        <v>2503328.0</v>
      </c>
      <c r="B1246" s="3" t="s">
        <v>2843</v>
      </c>
      <c r="C1246" s="3" t="b">
        <v>1</v>
      </c>
      <c r="D1246" s="3" t="b">
        <v>1</v>
      </c>
      <c r="E1246" s="3" t="s">
        <v>2844</v>
      </c>
      <c r="F1246" s="3" t="s">
        <v>2845</v>
      </c>
      <c r="G1246" s="4">
        <f>+251940392434</f>
        <v>251940392434</v>
      </c>
      <c r="H1246" s="3" t="s">
        <v>18</v>
      </c>
      <c r="I1246" s="3" t="s">
        <v>19</v>
      </c>
      <c r="J1246" s="3" t="s">
        <v>19</v>
      </c>
      <c r="K1246" s="3" t="s">
        <v>25</v>
      </c>
      <c r="L1246" s="3">
        <v>21.8</v>
      </c>
      <c r="M1246" s="3" t="s">
        <v>1695</v>
      </c>
      <c r="N1246" s="3" t="s">
        <v>1696</v>
      </c>
      <c r="O1246" s="3">
        <v>1.3817114748E11</v>
      </c>
    </row>
    <row r="1247">
      <c r="A1247" s="3">
        <v>484123.0</v>
      </c>
      <c r="B1247" s="3" t="s">
        <v>2846</v>
      </c>
      <c r="C1247" s="3" t="b">
        <v>1</v>
      </c>
      <c r="D1247" s="3" t="b">
        <v>1</v>
      </c>
      <c r="E1247" s="3" t="s">
        <v>752</v>
      </c>
      <c r="F1247" s="3" t="s">
        <v>2847</v>
      </c>
      <c r="G1247" s="4">
        <f>+251939170731</f>
        <v>251939170731</v>
      </c>
      <c r="H1247" s="3" t="s">
        <v>18</v>
      </c>
      <c r="I1247" s="3" t="s">
        <v>19</v>
      </c>
      <c r="J1247" s="3" t="s">
        <v>19</v>
      </c>
      <c r="K1247" s="3" t="s">
        <v>25</v>
      </c>
      <c r="L1247" s="3">
        <v>20.08</v>
      </c>
      <c r="M1247" s="3" t="s">
        <v>1695</v>
      </c>
      <c r="N1247" s="3" t="s">
        <v>1696</v>
      </c>
    </row>
    <row r="1248">
      <c r="A1248" s="3">
        <v>2503405.0</v>
      </c>
      <c r="B1248" s="3" t="s">
        <v>2848</v>
      </c>
      <c r="C1248" s="3" t="b">
        <v>1</v>
      </c>
      <c r="D1248" s="3" t="b">
        <v>1</v>
      </c>
      <c r="E1248" s="3" t="s">
        <v>2849</v>
      </c>
      <c r="F1248" s="3" t="s">
        <v>2850</v>
      </c>
      <c r="G1248" s="4">
        <f>+251921511972</f>
        <v>251921511972</v>
      </c>
      <c r="H1248" s="3" t="s">
        <v>18</v>
      </c>
      <c r="I1248" s="3" t="s">
        <v>19</v>
      </c>
      <c r="J1248" s="3" t="s">
        <v>19</v>
      </c>
      <c r="K1248" s="3" t="s">
        <v>25</v>
      </c>
      <c r="L1248" s="3">
        <v>23.54</v>
      </c>
      <c r="M1248" s="3" t="s">
        <v>1695</v>
      </c>
      <c r="N1248" s="3" t="s">
        <v>1696</v>
      </c>
      <c r="O1248" s="3">
        <v>1.38284091578E11</v>
      </c>
    </row>
    <row r="1249">
      <c r="A1249" s="3">
        <v>2503422.0</v>
      </c>
      <c r="B1249" s="3" t="s">
        <v>2851</v>
      </c>
      <c r="C1249" s="3" t="b">
        <v>0</v>
      </c>
      <c r="D1249" s="3" t="b">
        <v>1</v>
      </c>
      <c r="E1249" s="3" t="s">
        <v>1034</v>
      </c>
      <c r="F1249" s="3" t="s">
        <v>196</v>
      </c>
      <c r="G1249" s="4">
        <f>+251936426278</f>
        <v>251936426278</v>
      </c>
      <c r="H1249" s="3" t="s">
        <v>18</v>
      </c>
      <c r="I1249" s="3" t="s">
        <v>19</v>
      </c>
      <c r="J1249" s="3" t="s">
        <v>19</v>
      </c>
      <c r="K1249" s="3" t="s">
        <v>20</v>
      </c>
      <c r="L1249" s="3">
        <v>19.04</v>
      </c>
      <c r="M1249" s="3" t="s">
        <v>1695</v>
      </c>
      <c r="N1249" s="3" t="s">
        <v>1696</v>
      </c>
      <c r="O1249" s="3">
        <v>4.1627933142E10</v>
      </c>
    </row>
    <row r="1250">
      <c r="A1250" s="3">
        <v>2503398.0</v>
      </c>
      <c r="B1250" s="3" t="s">
        <v>2852</v>
      </c>
      <c r="C1250" s="3" t="b">
        <v>1</v>
      </c>
      <c r="D1250" s="3" t="b">
        <v>1</v>
      </c>
      <c r="E1250" s="3" t="s">
        <v>327</v>
      </c>
      <c r="F1250" s="3" t="s">
        <v>1050</v>
      </c>
      <c r="G1250" s="4">
        <f>+251926705951</f>
        <v>251926705951</v>
      </c>
      <c r="H1250" s="3" t="s">
        <v>18</v>
      </c>
      <c r="I1250" s="3" t="s">
        <v>19</v>
      </c>
      <c r="J1250" s="3" t="s">
        <v>19</v>
      </c>
      <c r="K1250" s="3" t="s">
        <v>25</v>
      </c>
      <c r="L1250" s="3">
        <v>28.38</v>
      </c>
      <c r="M1250" s="3" t="s">
        <v>1695</v>
      </c>
      <c r="N1250" s="3" t="s">
        <v>1696</v>
      </c>
      <c r="O1250" s="3">
        <v>1.38298874068E11</v>
      </c>
    </row>
    <row r="1251">
      <c r="A1251" s="3">
        <v>2503442.0</v>
      </c>
      <c r="B1251" s="3" t="s">
        <v>2853</v>
      </c>
      <c r="C1251" s="3" t="b">
        <v>1</v>
      </c>
      <c r="D1251" s="3" t="b">
        <v>1</v>
      </c>
      <c r="E1251" s="3" t="s">
        <v>817</v>
      </c>
      <c r="F1251" s="3" t="s">
        <v>1271</v>
      </c>
      <c r="G1251" s="4">
        <f>+251920887674</f>
        <v>251920887674</v>
      </c>
      <c r="H1251" s="3" t="s">
        <v>18</v>
      </c>
      <c r="I1251" s="3" t="s">
        <v>19</v>
      </c>
      <c r="J1251" s="3" t="s">
        <v>19</v>
      </c>
      <c r="K1251" s="3" t="s">
        <v>25</v>
      </c>
      <c r="L1251" s="3">
        <v>18.7</v>
      </c>
      <c r="M1251" s="3" t="s">
        <v>1695</v>
      </c>
      <c r="N1251" s="3" t="s">
        <v>1696</v>
      </c>
    </row>
    <row r="1252">
      <c r="A1252" s="3">
        <v>2503451.0</v>
      </c>
      <c r="B1252" s="3" t="s">
        <v>2854</v>
      </c>
      <c r="C1252" s="3" t="b">
        <v>1</v>
      </c>
      <c r="D1252" s="3" t="b">
        <v>1</v>
      </c>
      <c r="E1252" s="3" t="s">
        <v>1746</v>
      </c>
      <c r="F1252" s="3" t="s">
        <v>417</v>
      </c>
      <c r="G1252" s="4">
        <f>+251966462909</f>
        <v>251966462909</v>
      </c>
      <c r="H1252" s="3" t="s">
        <v>106</v>
      </c>
      <c r="I1252" s="3" t="s">
        <v>19</v>
      </c>
      <c r="J1252" s="3" t="s">
        <v>19</v>
      </c>
      <c r="K1252" s="3" t="s">
        <v>20</v>
      </c>
      <c r="L1252" s="3">
        <v>22.18</v>
      </c>
      <c r="M1252" s="3" t="s">
        <v>1695</v>
      </c>
      <c r="N1252" s="3" t="s">
        <v>1696</v>
      </c>
      <c r="O1252" s="3">
        <v>1.38337495242E11</v>
      </c>
    </row>
    <row r="1253">
      <c r="A1253" s="3">
        <v>2503473.0</v>
      </c>
      <c r="B1253" s="3" t="s">
        <v>2855</v>
      </c>
      <c r="C1253" s="3" t="b">
        <v>1</v>
      </c>
      <c r="D1253" s="3" t="b">
        <v>1</v>
      </c>
      <c r="E1253" s="3" t="s">
        <v>1246</v>
      </c>
      <c r="F1253" s="3" t="s">
        <v>414</v>
      </c>
      <c r="G1253" s="4">
        <f>+251917018318</f>
        <v>251917018318</v>
      </c>
      <c r="H1253" s="3" t="s">
        <v>18</v>
      </c>
      <c r="I1253" s="3" t="s">
        <v>19</v>
      </c>
      <c r="J1253" s="3" t="s">
        <v>19</v>
      </c>
      <c r="K1253" s="3" t="s">
        <v>25</v>
      </c>
      <c r="L1253" s="3">
        <v>19.77</v>
      </c>
      <c r="M1253" s="3" t="s">
        <v>1695</v>
      </c>
      <c r="N1253" s="3" t="s">
        <v>1696</v>
      </c>
    </row>
    <row r="1254">
      <c r="A1254" s="3">
        <v>2503469.0</v>
      </c>
      <c r="B1254" s="3" t="s">
        <v>2856</v>
      </c>
      <c r="C1254" s="3" t="b">
        <v>0</v>
      </c>
      <c r="D1254" s="3" t="b">
        <v>1</v>
      </c>
      <c r="E1254" s="3" t="s">
        <v>386</v>
      </c>
      <c r="F1254" s="3" t="s">
        <v>1055</v>
      </c>
      <c r="G1254" s="4">
        <f>+251936925047</f>
        <v>251936925047</v>
      </c>
      <c r="H1254" s="3" t="s">
        <v>18</v>
      </c>
      <c r="I1254" s="3" t="s">
        <v>19</v>
      </c>
      <c r="J1254" s="3" t="s">
        <v>19</v>
      </c>
      <c r="K1254" s="3" t="s">
        <v>25</v>
      </c>
      <c r="L1254" s="3">
        <v>19.17</v>
      </c>
      <c r="M1254" s="3" t="s">
        <v>1695</v>
      </c>
      <c r="N1254" s="3" t="s">
        <v>1696</v>
      </c>
      <c r="O1254" s="3">
        <v>1917233.0</v>
      </c>
    </row>
    <row r="1255">
      <c r="A1255" s="3">
        <v>2503474.0</v>
      </c>
      <c r="B1255" s="3" t="s">
        <v>2857</v>
      </c>
      <c r="C1255" s="3" t="b">
        <v>0</v>
      </c>
      <c r="D1255" s="3" t="b">
        <v>1</v>
      </c>
      <c r="E1255" s="3" t="s">
        <v>386</v>
      </c>
      <c r="F1255" s="3" t="s">
        <v>1269</v>
      </c>
      <c r="G1255" s="4">
        <f>+251984920660</f>
        <v>251984920660</v>
      </c>
      <c r="H1255" s="3" t="s">
        <v>18</v>
      </c>
      <c r="I1255" s="3" t="s">
        <v>19</v>
      </c>
      <c r="J1255" s="3" t="s">
        <v>19</v>
      </c>
      <c r="K1255" s="3" t="s">
        <v>25</v>
      </c>
      <c r="L1255" s="3">
        <v>23.75</v>
      </c>
      <c r="M1255" s="3" t="s">
        <v>1695</v>
      </c>
      <c r="N1255" s="3" t="s">
        <v>1696</v>
      </c>
      <c r="O1255" s="3">
        <v>1.38370315487E11</v>
      </c>
    </row>
    <row r="1256">
      <c r="A1256" s="3">
        <v>2503531.0</v>
      </c>
      <c r="B1256" s="3" t="s">
        <v>2858</v>
      </c>
      <c r="C1256" s="3" t="b">
        <v>1</v>
      </c>
      <c r="D1256" s="3" t="b">
        <v>1</v>
      </c>
      <c r="E1256" s="3" t="s">
        <v>2859</v>
      </c>
      <c r="F1256" s="3" t="s">
        <v>559</v>
      </c>
      <c r="G1256" s="4">
        <f>+251909050201</f>
        <v>251909050201</v>
      </c>
      <c r="H1256" s="3" t="s">
        <v>18</v>
      </c>
      <c r="I1256" s="3" t="s">
        <v>19</v>
      </c>
      <c r="J1256" s="3" t="s">
        <v>19</v>
      </c>
      <c r="K1256" s="3" t="s">
        <v>20</v>
      </c>
      <c r="L1256" s="3">
        <v>22.71</v>
      </c>
      <c r="M1256" s="3" t="s">
        <v>1695</v>
      </c>
      <c r="N1256" s="3" t="s">
        <v>1696</v>
      </c>
      <c r="O1256" s="3">
        <v>1.38407315649E11</v>
      </c>
    </row>
    <row r="1257">
      <c r="A1257" s="3">
        <v>2503546.0</v>
      </c>
      <c r="B1257" s="3" t="s">
        <v>2860</v>
      </c>
      <c r="C1257" s="3" t="b">
        <v>0</v>
      </c>
      <c r="D1257" s="3" t="b">
        <v>1</v>
      </c>
      <c r="E1257" s="3" t="s">
        <v>2861</v>
      </c>
      <c r="F1257" s="3" t="s">
        <v>2862</v>
      </c>
      <c r="G1257" s="4">
        <f>+251912508599</f>
        <v>251912508599</v>
      </c>
      <c r="H1257" s="3" t="s">
        <v>18</v>
      </c>
      <c r="I1257" s="3" t="s">
        <v>19</v>
      </c>
      <c r="J1257" s="3" t="s">
        <v>19</v>
      </c>
      <c r="K1257" s="3" t="s">
        <v>20</v>
      </c>
      <c r="L1257" s="3">
        <v>13.5</v>
      </c>
      <c r="M1257" s="3" t="s">
        <v>1695</v>
      </c>
      <c r="N1257" s="3" t="s">
        <v>1696</v>
      </c>
      <c r="O1257" s="3">
        <v>1.38412680402E11</v>
      </c>
    </row>
    <row r="1258">
      <c r="A1258" s="3">
        <v>2503548.0</v>
      </c>
      <c r="B1258" s="3" t="s">
        <v>2863</v>
      </c>
      <c r="C1258" s="3" t="b">
        <v>0</v>
      </c>
      <c r="D1258" s="3" t="b">
        <v>1</v>
      </c>
      <c r="E1258" s="3" t="s">
        <v>397</v>
      </c>
      <c r="F1258" s="3" t="s">
        <v>2864</v>
      </c>
      <c r="G1258" s="4">
        <f>+251930642249</f>
        <v>251930642249</v>
      </c>
      <c r="H1258" s="3" t="s">
        <v>18</v>
      </c>
      <c r="I1258" s="3" t="s">
        <v>19</v>
      </c>
      <c r="J1258" s="3" t="s">
        <v>19</v>
      </c>
      <c r="K1258" s="3" t="s">
        <v>20</v>
      </c>
      <c r="L1258" s="3">
        <v>18.6</v>
      </c>
      <c r="M1258" s="3" t="s">
        <v>1695</v>
      </c>
      <c r="N1258" s="3" t="s">
        <v>1696</v>
      </c>
      <c r="O1258" s="3">
        <v>1.38413109456E11</v>
      </c>
    </row>
    <row r="1259">
      <c r="A1259" s="3">
        <v>2503566.0</v>
      </c>
      <c r="B1259" s="3" t="s">
        <v>2865</v>
      </c>
      <c r="C1259" s="3" t="b">
        <v>1</v>
      </c>
      <c r="D1259" s="3" t="b">
        <v>1</v>
      </c>
      <c r="E1259" s="3" t="s">
        <v>2866</v>
      </c>
      <c r="F1259" s="3" t="s">
        <v>292</v>
      </c>
      <c r="G1259" s="4">
        <f>+251911010861</f>
        <v>251911010861</v>
      </c>
      <c r="H1259" s="3" t="s">
        <v>18</v>
      </c>
      <c r="I1259" s="3" t="s">
        <v>19</v>
      </c>
      <c r="J1259" s="3" t="s">
        <v>19</v>
      </c>
      <c r="K1259" s="3" t="s">
        <v>20</v>
      </c>
      <c r="L1259" s="3">
        <v>17.61</v>
      </c>
      <c r="M1259" s="3" t="s">
        <v>1695</v>
      </c>
      <c r="N1259" s="3" t="s">
        <v>1696</v>
      </c>
    </row>
    <row r="1260">
      <c r="A1260" s="3">
        <v>2503605.0</v>
      </c>
      <c r="B1260" s="3" t="s">
        <v>2867</v>
      </c>
      <c r="C1260" s="3" t="b">
        <v>1</v>
      </c>
      <c r="D1260" s="3" t="b">
        <v>1</v>
      </c>
      <c r="E1260" s="3" t="s">
        <v>2868</v>
      </c>
      <c r="F1260" s="3" t="s">
        <v>744</v>
      </c>
      <c r="G1260" s="4">
        <f>+251944771582</f>
        <v>251944771582</v>
      </c>
      <c r="H1260" s="3" t="s">
        <v>18</v>
      </c>
      <c r="I1260" s="3" t="s">
        <v>19</v>
      </c>
      <c r="J1260" s="3" t="s">
        <v>19</v>
      </c>
      <c r="K1260" s="3" t="s">
        <v>25</v>
      </c>
      <c r="L1260" s="3">
        <v>19.68</v>
      </c>
      <c r="M1260" s="3" t="s">
        <v>1695</v>
      </c>
      <c r="N1260" s="3" t="s">
        <v>1696</v>
      </c>
      <c r="O1260" s="3">
        <v>1.3842969107E11</v>
      </c>
    </row>
    <row r="1261">
      <c r="A1261" s="3">
        <v>2503606.0</v>
      </c>
      <c r="B1261" s="3" t="s">
        <v>2869</v>
      </c>
      <c r="C1261" s="3" t="b">
        <v>0</v>
      </c>
      <c r="D1261" s="3" t="b">
        <v>1</v>
      </c>
      <c r="E1261" s="3" t="s">
        <v>162</v>
      </c>
      <c r="F1261" s="3" t="s">
        <v>2870</v>
      </c>
      <c r="G1261" s="4">
        <f>+251985786030</f>
        <v>251985786030</v>
      </c>
      <c r="H1261" s="3" t="s">
        <v>18</v>
      </c>
      <c r="I1261" s="3" t="s">
        <v>19</v>
      </c>
      <c r="J1261" s="3" t="s">
        <v>19</v>
      </c>
      <c r="K1261" s="3" t="s">
        <v>25</v>
      </c>
      <c r="L1261" s="3">
        <v>20.72</v>
      </c>
      <c r="M1261" s="3" t="s">
        <v>1695</v>
      </c>
      <c r="N1261" s="3" t="s">
        <v>1696</v>
      </c>
      <c r="O1261" s="3">
        <v>1.3845001033E11</v>
      </c>
    </row>
    <row r="1262">
      <c r="A1262" s="3">
        <v>2503670.0</v>
      </c>
      <c r="B1262" s="3" t="s">
        <v>2871</v>
      </c>
      <c r="C1262" s="3" t="b">
        <v>1</v>
      </c>
      <c r="D1262" s="3" t="b">
        <v>1</v>
      </c>
      <c r="E1262" s="3" t="s">
        <v>1502</v>
      </c>
      <c r="F1262" s="3" t="s">
        <v>1215</v>
      </c>
      <c r="G1262" s="3">
        <v>9.47721833E8</v>
      </c>
      <c r="H1262" s="3" t="s">
        <v>18</v>
      </c>
      <c r="I1262" s="3" t="s">
        <v>19</v>
      </c>
      <c r="J1262" s="3" t="s">
        <v>19</v>
      </c>
      <c r="K1262" s="3" t="s">
        <v>20</v>
      </c>
      <c r="L1262" s="3">
        <v>20.81</v>
      </c>
      <c r="M1262" s="3" t="s">
        <v>1695</v>
      </c>
      <c r="N1262" s="3" t="s">
        <v>1696</v>
      </c>
      <c r="O1262" s="3">
        <v>1.38461362365E11</v>
      </c>
    </row>
    <row r="1263">
      <c r="A1263" s="3">
        <v>2503662.0</v>
      </c>
      <c r="B1263" s="3" t="s">
        <v>2872</v>
      </c>
      <c r="C1263" s="3" t="b">
        <v>1</v>
      </c>
      <c r="D1263" s="3" t="b">
        <v>0</v>
      </c>
      <c r="E1263" s="3" t="s">
        <v>129</v>
      </c>
      <c r="F1263" s="3" t="s">
        <v>2873</v>
      </c>
      <c r="G1263" s="4">
        <f>+251948891414</f>
        <v>251948891414</v>
      </c>
      <c r="H1263" s="3" t="s">
        <v>18</v>
      </c>
      <c r="I1263" s="3" t="s">
        <v>19</v>
      </c>
      <c r="J1263" s="3" t="s">
        <v>19</v>
      </c>
      <c r="K1263" s="3" t="s">
        <v>20</v>
      </c>
      <c r="L1263" s="3">
        <v>22.3</v>
      </c>
      <c r="M1263" s="3" t="s">
        <v>1695</v>
      </c>
      <c r="N1263" s="3" t="s">
        <v>1696</v>
      </c>
      <c r="O1263" s="3">
        <v>1.38455447748E11</v>
      </c>
    </row>
    <row r="1264">
      <c r="A1264" s="3">
        <v>2434362.0</v>
      </c>
      <c r="B1264" s="3" t="s">
        <v>2874</v>
      </c>
      <c r="C1264" s="3" t="b">
        <v>1</v>
      </c>
      <c r="D1264" s="3" t="b">
        <v>1</v>
      </c>
      <c r="E1264" s="3" t="s">
        <v>1114</v>
      </c>
      <c r="F1264" s="3" t="s">
        <v>2875</v>
      </c>
      <c r="G1264" s="4">
        <f>+251945680921</f>
        <v>251945680921</v>
      </c>
      <c r="H1264" s="3" t="s">
        <v>18</v>
      </c>
      <c r="I1264" s="3" t="s">
        <v>19</v>
      </c>
      <c r="J1264" s="3" t="s">
        <v>19</v>
      </c>
      <c r="K1264" s="3" t="s">
        <v>25</v>
      </c>
      <c r="L1264" s="3">
        <v>17.31</v>
      </c>
      <c r="M1264" s="3" t="s">
        <v>1695</v>
      </c>
      <c r="N1264" s="3" t="s">
        <v>1696</v>
      </c>
      <c r="O1264" s="3">
        <v>1.9377656E7</v>
      </c>
    </row>
    <row r="1265">
      <c r="A1265" s="3">
        <v>2503475.0</v>
      </c>
      <c r="B1265" s="3" t="s">
        <v>2876</v>
      </c>
      <c r="C1265" s="3" t="b">
        <v>1</v>
      </c>
      <c r="D1265" s="3" t="b">
        <v>1</v>
      </c>
      <c r="E1265" s="3" t="s">
        <v>790</v>
      </c>
      <c r="F1265" s="3" t="s">
        <v>1621</v>
      </c>
      <c r="G1265" s="4">
        <f>+251946628125</f>
        <v>251946628125</v>
      </c>
      <c r="H1265" s="3" t="s">
        <v>18</v>
      </c>
      <c r="I1265" s="3" t="s">
        <v>19</v>
      </c>
      <c r="J1265" s="3" t="s">
        <v>19</v>
      </c>
      <c r="K1265" s="3" t="s">
        <v>25</v>
      </c>
      <c r="L1265" s="3">
        <v>13.77</v>
      </c>
      <c r="M1265" s="3" t="s">
        <v>1695</v>
      </c>
      <c r="N1265" s="3" t="s">
        <v>1696</v>
      </c>
      <c r="O1265" s="3">
        <v>1.38365378771E11</v>
      </c>
    </row>
    <row r="1266">
      <c r="A1266" s="3">
        <v>2504627.0</v>
      </c>
      <c r="B1266" s="3" t="s">
        <v>2877</v>
      </c>
      <c r="C1266" s="3" t="b">
        <v>1</v>
      </c>
      <c r="D1266" s="3" t="b">
        <v>1</v>
      </c>
      <c r="E1266" s="3" t="s">
        <v>2878</v>
      </c>
      <c r="F1266" s="3" t="s">
        <v>2879</v>
      </c>
      <c r="G1266" s="4">
        <f>+251926437385</f>
        <v>251926437385</v>
      </c>
      <c r="H1266" s="3" t="s">
        <v>18</v>
      </c>
      <c r="I1266" s="3" t="s">
        <v>19</v>
      </c>
      <c r="J1266" s="3" t="s">
        <v>19</v>
      </c>
      <c r="K1266" s="3" t="s">
        <v>25</v>
      </c>
      <c r="L1266" s="3">
        <v>21.38</v>
      </c>
      <c r="M1266" s="3" t="s">
        <v>1695</v>
      </c>
      <c r="N1266" s="3" t="s">
        <v>1696</v>
      </c>
    </row>
    <row r="1267">
      <c r="A1267" s="3">
        <v>2505249.0</v>
      </c>
      <c r="B1267" s="3" t="s">
        <v>2880</v>
      </c>
      <c r="C1267" s="3" t="b">
        <v>0</v>
      </c>
      <c r="D1267" s="3" t="b">
        <v>1</v>
      </c>
      <c r="E1267" s="3" t="s">
        <v>2881</v>
      </c>
      <c r="F1267" s="3" t="s">
        <v>2882</v>
      </c>
      <c r="G1267" s="4">
        <f>+251978769241</f>
        <v>251978769241</v>
      </c>
      <c r="H1267" s="3" t="s">
        <v>29</v>
      </c>
      <c r="I1267" s="3" t="s">
        <v>19</v>
      </c>
      <c r="J1267" s="3" t="s">
        <v>19</v>
      </c>
      <c r="K1267" s="3" t="s">
        <v>25</v>
      </c>
      <c r="L1267" s="3">
        <v>27.08</v>
      </c>
      <c r="M1267" s="3" t="s">
        <v>1695</v>
      </c>
      <c r="N1267" s="3" t="s">
        <v>1696</v>
      </c>
      <c r="O1267" s="3">
        <v>1.39935395014E11</v>
      </c>
    </row>
    <row r="1268">
      <c r="A1268" s="3">
        <v>2505742.0</v>
      </c>
      <c r="B1268" s="3" t="s">
        <v>2883</v>
      </c>
      <c r="C1268" s="3" t="b">
        <v>0</v>
      </c>
      <c r="D1268" s="3" t="b">
        <v>1</v>
      </c>
      <c r="E1268" s="3" t="s">
        <v>267</v>
      </c>
      <c r="F1268" s="3" t="s">
        <v>2884</v>
      </c>
      <c r="G1268" s="4">
        <f>+251949446539</f>
        <v>251949446539</v>
      </c>
      <c r="H1268" s="3" t="s">
        <v>18</v>
      </c>
      <c r="I1268" s="3" t="s">
        <v>19</v>
      </c>
      <c r="J1268" s="3" t="s">
        <v>19</v>
      </c>
      <c r="K1268" s="3" t="s">
        <v>25</v>
      </c>
      <c r="L1268" s="3">
        <v>24.19</v>
      </c>
      <c r="M1268" s="3" t="s">
        <v>1695</v>
      </c>
      <c r="N1268" s="3" t="s">
        <v>1696</v>
      </c>
      <c r="O1268" s="3">
        <v>1.40431889615E11</v>
      </c>
    </row>
    <row r="1269">
      <c r="A1269" s="3">
        <v>2505839.0</v>
      </c>
      <c r="B1269" s="3" t="s">
        <v>2885</v>
      </c>
      <c r="C1269" s="3" t="b">
        <v>1</v>
      </c>
      <c r="D1269" s="3" t="b">
        <v>1</v>
      </c>
      <c r="E1269" s="3" t="s">
        <v>2886</v>
      </c>
      <c r="F1269" s="3" t="s">
        <v>1368</v>
      </c>
      <c r="G1269" s="4">
        <f>+251966797960</f>
        <v>251966797960</v>
      </c>
      <c r="H1269" s="3" t="s">
        <v>18</v>
      </c>
      <c r="I1269" s="3" t="s">
        <v>19</v>
      </c>
      <c r="J1269" s="3" t="s">
        <v>19</v>
      </c>
      <c r="K1269" s="3" t="s">
        <v>20</v>
      </c>
      <c r="L1269" s="3">
        <v>18.86</v>
      </c>
      <c r="M1269" s="3" t="s">
        <v>1695</v>
      </c>
      <c r="N1269" s="3" t="s">
        <v>1696</v>
      </c>
      <c r="O1269" s="3">
        <v>1.40443836652E11</v>
      </c>
    </row>
    <row r="1270">
      <c r="A1270" s="3">
        <v>1856890.0</v>
      </c>
      <c r="B1270" s="3" t="s">
        <v>2887</v>
      </c>
      <c r="C1270" s="3" t="b">
        <v>1</v>
      </c>
      <c r="D1270" s="3" t="b">
        <v>1</v>
      </c>
      <c r="E1270" s="3" t="s">
        <v>468</v>
      </c>
      <c r="F1270" s="3" t="s">
        <v>2888</v>
      </c>
      <c r="G1270" s="4">
        <f>+251955200008</f>
        <v>251955200008</v>
      </c>
      <c r="H1270" s="3" t="s">
        <v>29</v>
      </c>
      <c r="I1270" s="3" t="s">
        <v>19</v>
      </c>
      <c r="J1270" s="3" t="s">
        <v>19</v>
      </c>
      <c r="K1270" s="3" t="s">
        <v>25</v>
      </c>
      <c r="L1270" s="3">
        <v>25.22</v>
      </c>
      <c r="M1270" s="3" t="s">
        <v>1695</v>
      </c>
      <c r="N1270" s="3" t="s">
        <v>1696</v>
      </c>
      <c r="O1270" s="3">
        <v>3.1156066496E10</v>
      </c>
    </row>
    <row r="1271">
      <c r="A1271" s="3">
        <v>1955485.0</v>
      </c>
      <c r="B1271" s="3" t="s">
        <v>2889</v>
      </c>
      <c r="C1271" s="3" t="b">
        <v>1</v>
      </c>
      <c r="D1271" s="3" t="b">
        <v>1</v>
      </c>
      <c r="E1271" s="3" t="s">
        <v>1215</v>
      </c>
      <c r="F1271" s="3" t="s">
        <v>2890</v>
      </c>
      <c r="G1271" s="4">
        <f>+251970981944</f>
        <v>251970981944</v>
      </c>
      <c r="H1271" s="3" t="s">
        <v>18</v>
      </c>
      <c r="I1271" s="3" t="s">
        <v>19</v>
      </c>
      <c r="J1271" s="3" t="s">
        <v>19</v>
      </c>
      <c r="K1271" s="3" t="s">
        <v>25</v>
      </c>
      <c r="L1271" s="3">
        <v>23.72</v>
      </c>
      <c r="M1271" s="3" t="s">
        <v>1695</v>
      </c>
      <c r="N1271" s="3" t="s">
        <v>1696</v>
      </c>
      <c r="O1271" s="3">
        <v>489864.0</v>
      </c>
    </row>
    <row r="1272">
      <c r="A1272" s="3">
        <v>2505935.0</v>
      </c>
      <c r="B1272" s="3" t="s">
        <v>2891</v>
      </c>
      <c r="C1272" s="3" t="b">
        <v>0</v>
      </c>
      <c r="D1272" s="3" t="b">
        <v>1</v>
      </c>
      <c r="E1272" s="3" t="s">
        <v>2892</v>
      </c>
      <c r="F1272" s="3" t="s">
        <v>2893</v>
      </c>
      <c r="G1272" s="4">
        <f>+251963755745</f>
        <v>251963755745</v>
      </c>
      <c r="H1272" s="3" t="s">
        <v>18</v>
      </c>
      <c r="I1272" s="3" t="s">
        <v>19</v>
      </c>
      <c r="J1272" s="3" t="s">
        <v>19</v>
      </c>
      <c r="K1272" s="3" t="s">
        <v>25</v>
      </c>
      <c r="L1272" s="3">
        <v>26.96</v>
      </c>
      <c r="M1272" s="3" t="s">
        <v>1695</v>
      </c>
      <c r="N1272" s="3" t="s">
        <v>1696</v>
      </c>
      <c r="O1272" s="3">
        <v>1.4047093989E11</v>
      </c>
    </row>
    <row r="1273">
      <c r="A1273" s="3">
        <v>2506255.0</v>
      </c>
      <c r="B1273" s="3" t="s">
        <v>2894</v>
      </c>
      <c r="C1273" s="3" t="b">
        <v>1</v>
      </c>
      <c r="D1273" s="3" t="b">
        <v>1</v>
      </c>
      <c r="E1273" s="3" t="s">
        <v>1417</v>
      </c>
      <c r="F1273" s="3" t="s">
        <v>2895</v>
      </c>
      <c r="G1273" s="4">
        <f>+251924386818</f>
        <v>251924386818</v>
      </c>
      <c r="H1273" s="3" t="s">
        <v>18</v>
      </c>
      <c r="I1273" s="3" t="s">
        <v>19</v>
      </c>
      <c r="J1273" s="3" t="s">
        <v>19</v>
      </c>
      <c r="K1273" s="3" t="s">
        <v>25</v>
      </c>
      <c r="L1273" s="3">
        <v>28.74</v>
      </c>
      <c r="M1273" s="3" t="s">
        <v>1695</v>
      </c>
      <c r="N1273" s="3" t="s">
        <v>1696</v>
      </c>
      <c r="O1273" s="3">
        <v>1.40585672916E11</v>
      </c>
    </row>
    <row r="1274">
      <c r="A1274" s="3">
        <v>2506440.0</v>
      </c>
      <c r="B1274" s="3" t="s">
        <v>2896</v>
      </c>
      <c r="C1274" s="3" t="b">
        <v>1</v>
      </c>
      <c r="D1274" s="3" t="b">
        <v>1</v>
      </c>
      <c r="E1274" s="3" t="s">
        <v>2897</v>
      </c>
      <c r="F1274" s="3" t="s">
        <v>2898</v>
      </c>
      <c r="G1274" s="4">
        <f>+251900872583</f>
        <v>251900872583</v>
      </c>
      <c r="H1274" s="3" t="s">
        <v>947</v>
      </c>
      <c r="I1274" s="3" t="s">
        <v>19</v>
      </c>
      <c r="J1274" s="3" t="s">
        <v>19</v>
      </c>
      <c r="K1274" s="3" t="s">
        <v>20</v>
      </c>
      <c r="L1274" s="3">
        <v>20.81</v>
      </c>
      <c r="M1274" s="3" t="s">
        <v>1695</v>
      </c>
      <c r="N1274" s="3" t="s">
        <v>1696</v>
      </c>
      <c r="O1274" s="3">
        <v>1.40854203596E11</v>
      </c>
    </row>
    <row r="1275">
      <c r="A1275" s="3">
        <v>1266472.0</v>
      </c>
      <c r="B1275" s="3" t="s">
        <v>2899</v>
      </c>
      <c r="C1275" s="3" t="b">
        <v>1</v>
      </c>
      <c r="D1275" s="3" t="b">
        <v>1</v>
      </c>
      <c r="E1275" s="3" t="s">
        <v>2900</v>
      </c>
      <c r="F1275" s="3" t="s">
        <v>540</v>
      </c>
      <c r="G1275" s="3">
        <v>9.1841323E8</v>
      </c>
      <c r="H1275" s="3" t="s">
        <v>29</v>
      </c>
      <c r="I1275" s="3" t="s">
        <v>19</v>
      </c>
      <c r="J1275" s="3" t="s">
        <v>19</v>
      </c>
      <c r="K1275" s="3" t="s">
        <v>25</v>
      </c>
      <c r="L1275" s="3">
        <v>34.79</v>
      </c>
      <c r="M1275" s="3" t="s">
        <v>1695</v>
      </c>
      <c r="N1275" s="3" t="s">
        <v>1696</v>
      </c>
      <c r="O1275" s="3">
        <v>1.0432447222E10</v>
      </c>
    </row>
    <row r="1276">
      <c r="A1276" s="3">
        <v>2507202.0</v>
      </c>
      <c r="B1276" s="3" t="s">
        <v>2901</v>
      </c>
      <c r="C1276" s="3" t="b">
        <v>1</v>
      </c>
      <c r="D1276" s="3" t="b">
        <v>1</v>
      </c>
      <c r="E1276" s="3" t="s">
        <v>2902</v>
      </c>
      <c r="F1276" s="3" t="s">
        <v>2903</v>
      </c>
      <c r="G1276" s="4">
        <f>+251924277910</f>
        <v>251924277910</v>
      </c>
      <c r="H1276" s="3" t="s">
        <v>18</v>
      </c>
      <c r="I1276" s="3" t="s">
        <v>19</v>
      </c>
      <c r="J1276" s="3" t="s">
        <v>19</v>
      </c>
      <c r="K1276" s="3" t="s">
        <v>20</v>
      </c>
      <c r="L1276" s="3">
        <v>32.1</v>
      </c>
      <c r="M1276" s="3" t="s">
        <v>1695</v>
      </c>
      <c r="N1276" s="3" t="s">
        <v>1696</v>
      </c>
      <c r="O1276" s="3">
        <v>1.41374080206E11</v>
      </c>
    </row>
    <row r="1277">
      <c r="A1277" s="3">
        <v>2507162.0</v>
      </c>
      <c r="B1277" s="3" t="s">
        <v>2904</v>
      </c>
      <c r="C1277" s="3" t="b">
        <v>0</v>
      </c>
      <c r="D1277" s="3" t="b">
        <v>1</v>
      </c>
      <c r="E1277" s="3" t="s">
        <v>2905</v>
      </c>
      <c r="F1277" s="3" t="s">
        <v>120</v>
      </c>
      <c r="G1277" s="4">
        <f>+251966742022</f>
        <v>251966742022</v>
      </c>
      <c r="H1277" s="3" t="s">
        <v>18</v>
      </c>
      <c r="I1277" s="3" t="s">
        <v>19</v>
      </c>
      <c r="J1277" s="3" t="s">
        <v>19</v>
      </c>
      <c r="K1277" s="3" t="s">
        <v>25</v>
      </c>
      <c r="L1277" s="3">
        <v>20.65</v>
      </c>
      <c r="M1277" s="3" t="s">
        <v>1695</v>
      </c>
      <c r="N1277" s="3" t="s">
        <v>1696</v>
      </c>
      <c r="O1277" s="3">
        <v>1.41377626345E11</v>
      </c>
    </row>
    <row r="1278">
      <c r="A1278" s="3">
        <v>2239482.0</v>
      </c>
      <c r="B1278" s="3" t="s">
        <v>2906</v>
      </c>
      <c r="C1278" s="3" t="b">
        <v>1</v>
      </c>
      <c r="D1278" s="3" t="b">
        <v>1</v>
      </c>
      <c r="E1278" s="3" t="s">
        <v>2907</v>
      </c>
      <c r="F1278" s="3" t="s">
        <v>2908</v>
      </c>
      <c r="G1278" s="4">
        <f>+251919761106</f>
        <v>251919761106</v>
      </c>
      <c r="H1278" s="3" t="s">
        <v>18</v>
      </c>
      <c r="I1278" s="3" t="s">
        <v>19</v>
      </c>
      <c r="J1278" s="3" t="s">
        <v>19</v>
      </c>
      <c r="K1278" s="3" t="s">
        <v>25</v>
      </c>
      <c r="L1278" s="3">
        <v>28.0</v>
      </c>
      <c r="M1278" s="3" t="s">
        <v>1695</v>
      </c>
      <c r="N1278" s="3" t="s">
        <v>1696</v>
      </c>
      <c r="O1278" s="3">
        <v>3.382516886E10</v>
      </c>
    </row>
    <row r="1279">
      <c r="A1279" s="3">
        <v>2507284.0</v>
      </c>
      <c r="B1279" s="3" t="s">
        <v>2909</v>
      </c>
      <c r="C1279" s="3" t="b">
        <v>1</v>
      </c>
      <c r="D1279" s="3" t="b">
        <v>1</v>
      </c>
      <c r="E1279" s="3" t="s">
        <v>2910</v>
      </c>
      <c r="F1279" s="3" t="s">
        <v>2911</v>
      </c>
      <c r="G1279" s="4">
        <f>+251910042070</f>
        <v>251910042070</v>
      </c>
      <c r="H1279" s="3" t="s">
        <v>18</v>
      </c>
      <c r="I1279" s="3" t="s">
        <v>19</v>
      </c>
      <c r="J1279" s="3" t="s">
        <v>19</v>
      </c>
      <c r="K1279" s="3" t="s">
        <v>25</v>
      </c>
      <c r="L1279" s="3">
        <v>27.58</v>
      </c>
      <c r="M1279" s="3" t="s">
        <v>1695</v>
      </c>
      <c r="N1279" s="3" t="s">
        <v>1696</v>
      </c>
      <c r="O1279" s="3">
        <v>1.41461458156E11</v>
      </c>
    </row>
    <row r="1280">
      <c r="A1280" s="3">
        <v>2507324.0</v>
      </c>
      <c r="B1280" s="3" t="s">
        <v>2912</v>
      </c>
      <c r="C1280" s="3" t="b">
        <v>0</v>
      </c>
      <c r="D1280" s="3" t="b">
        <v>1</v>
      </c>
      <c r="E1280" s="3" t="s">
        <v>1954</v>
      </c>
      <c r="F1280" s="3" t="s">
        <v>2913</v>
      </c>
      <c r="G1280" s="4">
        <f>+251964273026</f>
        <v>251964273026</v>
      </c>
      <c r="H1280" s="3" t="s">
        <v>18</v>
      </c>
      <c r="I1280" s="3" t="s">
        <v>19</v>
      </c>
      <c r="J1280" s="3" t="s">
        <v>19</v>
      </c>
      <c r="K1280" s="3" t="s">
        <v>25</v>
      </c>
      <c r="L1280" s="3">
        <v>29.45</v>
      </c>
      <c r="M1280" s="3" t="s">
        <v>1695</v>
      </c>
      <c r="N1280" s="3" t="s">
        <v>1696</v>
      </c>
      <c r="O1280" s="3">
        <v>1.41462422719E11</v>
      </c>
    </row>
    <row r="1281">
      <c r="A1281" s="3">
        <v>2507405.0</v>
      </c>
      <c r="B1281" s="3" t="s">
        <v>2914</v>
      </c>
      <c r="C1281" s="3" t="b">
        <v>1</v>
      </c>
      <c r="D1281" s="3" t="b">
        <v>1</v>
      </c>
      <c r="E1281" s="3" t="s">
        <v>273</v>
      </c>
      <c r="F1281" s="3" t="s">
        <v>1048</v>
      </c>
      <c r="G1281" s="4">
        <f>+251938968446</f>
        <v>251938968446</v>
      </c>
      <c r="H1281" s="3" t="s">
        <v>18</v>
      </c>
      <c r="I1281" s="3" t="s">
        <v>19</v>
      </c>
      <c r="J1281" s="3" t="s">
        <v>19</v>
      </c>
      <c r="K1281" s="3" t="s">
        <v>25</v>
      </c>
      <c r="L1281" s="3">
        <v>23.81</v>
      </c>
      <c r="M1281" s="3" t="s">
        <v>1695</v>
      </c>
      <c r="N1281" s="3" t="s">
        <v>1696</v>
      </c>
      <c r="O1281" s="3">
        <v>1.41423369457E11</v>
      </c>
    </row>
    <row r="1282">
      <c r="A1282" s="3">
        <v>2507485.0</v>
      </c>
      <c r="B1282" s="3" t="s">
        <v>2915</v>
      </c>
      <c r="C1282" s="3" t="b">
        <v>1</v>
      </c>
      <c r="D1282" s="3" t="b">
        <v>1</v>
      </c>
      <c r="E1282" s="3" t="s">
        <v>188</v>
      </c>
      <c r="F1282" s="3" t="s">
        <v>2916</v>
      </c>
      <c r="G1282" s="4">
        <f>+251982390694</f>
        <v>251982390694</v>
      </c>
      <c r="H1282" s="3" t="s">
        <v>18</v>
      </c>
      <c r="I1282" s="3" t="s">
        <v>19</v>
      </c>
      <c r="J1282" s="3" t="s">
        <v>19</v>
      </c>
      <c r="K1282" s="3" t="s">
        <v>25</v>
      </c>
      <c r="L1282" s="3">
        <v>25.22</v>
      </c>
      <c r="M1282" s="3" t="s">
        <v>1695</v>
      </c>
      <c r="N1282" s="3" t="s">
        <v>1696</v>
      </c>
      <c r="O1282" s="3">
        <v>1.4156420428E11</v>
      </c>
    </row>
    <row r="1283">
      <c r="A1283" s="3">
        <v>2507639.0</v>
      </c>
      <c r="B1283" s="3" t="s">
        <v>2917</v>
      </c>
      <c r="C1283" s="3" t="b">
        <v>1</v>
      </c>
      <c r="D1283" s="3" t="b">
        <v>1</v>
      </c>
      <c r="E1283" s="3" t="s">
        <v>612</v>
      </c>
      <c r="F1283" s="3" t="s">
        <v>2918</v>
      </c>
      <c r="G1283" s="4">
        <f>+251926729146</f>
        <v>251926729146</v>
      </c>
      <c r="H1283" s="3" t="s">
        <v>18</v>
      </c>
      <c r="I1283" s="3" t="s">
        <v>19</v>
      </c>
      <c r="J1283" s="3" t="s">
        <v>19</v>
      </c>
      <c r="K1283" s="3" t="s">
        <v>20</v>
      </c>
      <c r="L1283" s="3">
        <v>19.69</v>
      </c>
      <c r="M1283" s="3" t="s">
        <v>1695</v>
      </c>
      <c r="N1283" s="3" t="s">
        <v>1696</v>
      </c>
      <c r="O1283" s="3">
        <v>1.41785362625E11</v>
      </c>
    </row>
    <row r="1284">
      <c r="A1284" s="3">
        <v>2507647.0</v>
      </c>
      <c r="B1284" s="3" t="s">
        <v>2919</v>
      </c>
      <c r="C1284" s="3" t="b">
        <v>0</v>
      </c>
      <c r="D1284" s="3" t="b">
        <v>1</v>
      </c>
      <c r="E1284" s="3" t="s">
        <v>579</v>
      </c>
      <c r="F1284" s="3" t="s">
        <v>1905</v>
      </c>
      <c r="G1284" s="4">
        <f>+251943236949</f>
        <v>251943236949</v>
      </c>
      <c r="H1284" s="3" t="s">
        <v>18</v>
      </c>
      <c r="I1284" s="3" t="s">
        <v>19</v>
      </c>
      <c r="J1284" s="3" t="s">
        <v>19</v>
      </c>
      <c r="K1284" s="3" t="s">
        <v>25</v>
      </c>
      <c r="L1284" s="3">
        <v>26.0</v>
      </c>
      <c r="M1284" s="3" t="s">
        <v>1695</v>
      </c>
      <c r="N1284" s="3" t="s">
        <v>1696</v>
      </c>
      <c r="O1284" s="3">
        <v>1.41790106834E11</v>
      </c>
    </row>
    <row r="1285">
      <c r="A1285" s="3">
        <v>2507650.0</v>
      </c>
      <c r="B1285" s="3" t="s">
        <v>2920</v>
      </c>
      <c r="C1285" s="3" t="b">
        <v>1</v>
      </c>
      <c r="D1285" s="3" t="b">
        <v>1</v>
      </c>
      <c r="E1285" s="3" t="s">
        <v>2817</v>
      </c>
      <c r="F1285" s="3" t="s">
        <v>2921</v>
      </c>
      <c r="G1285" s="4">
        <f>+251910216325</f>
        <v>251910216325</v>
      </c>
      <c r="H1285" s="3" t="s">
        <v>18</v>
      </c>
      <c r="I1285" s="3" t="s">
        <v>19</v>
      </c>
      <c r="J1285" s="3" t="s">
        <v>19</v>
      </c>
      <c r="K1285" s="3" t="s">
        <v>25</v>
      </c>
      <c r="L1285" s="3">
        <v>23.58</v>
      </c>
      <c r="M1285" s="3" t="s">
        <v>1695</v>
      </c>
      <c r="N1285" s="3" t="s">
        <v>1696</v>
      </c>
    </row>
    <row r="1286">
      <c r="A1286" s="3">
        <v>2507845.0</v>
      </c>
      <c r="B1286" s="3" t="s">
        <v>2922</v>
      </c>
      <c r="C1286" s="3" t="b">
        <v>1</v>
      </c>
      <c r="D1286" s="3" t="b">
        <v>1</v>
      </c>
      <c r="E1286" s="3" t="s">
        <v>277</v>
      </c>
      <c r="F1286" s="3" t="s">
        <v>918</v>
      </c>
      <c r="G1286" s="4">
        <f>+251937965950</f>
        <v>251937965950</v>
      </c>
      <c r="H1286" s="3" t="s">
        <v>2923</v>
      </c>
      <c r="I1286" s="3" t="s">
        <v>19</v>
      </c>
      <c r="J1286" s="3" t="s">
        <v>19</v>
      </c>
      <c r="K1286" s="3" t="s">
        <v>25</v>
      </c>
      <c r="L1286" s="3">
        <v>23.32</v>
      </c>
      <c r="M1286" s="3" t="s">
        <v>1695</v>
      </c>
      <c r="N1286" s="3" t="s">
        <v>1696</v>
      </c>
      <c r="O1286" s="3">
        <v>1.41930738902E11</v>
      </c>
    </row>
    <row r="1287">
      <c r="A1287" s="3">
        <v>2502381.0</v>
      </c>
      <c r="B1287" s="3" t="s">
        <v>2924</v>
      </c>
      <c r="C1287" s="3" t="b">
        <v>1</v>
      </c>
      <c r="D1287" s="3" t="b">
        <v>1</v>
      </c>
      <c r="E1287" s="3" t="s">
        <v>1455</v>
      </c>
      <c r="F1287" s="3" t="s">
        <v>292</v>
      </c>
      <c r="G1287" s="4">
        <f>+251962232482</f>
        <v>251962232482</v>
      </c>
      <c r="H1287" s="3" t="s">
        <v>18</v>
      </c>
      <c r="I1287" s="3" t="s">
        <v>19</v>
      </c>
      <c r="J1287" s="3" t="s">
        <v>19</v>
      </c>
      <c r="K1287" s="3" t="s">
        <v>25</v>
      </c>
      <c r="L1287" s="3">
        <v>19.89</v>
      </c>
      <c r="M1287" s="3" t="s">
        <v>1695</v>
      </c>
      <c r="N1287" s="3" t="s">
        <v>1696</v>
      </c>
      <c r="O1287" s="3">
        <v>1.37546560722E11</v>
      </c>
    </row>
    <row r="1288">
      <c r="A1288" s="3">
        <v>2507796.0</v>
      </c>
      <c r="B1288" s="3" t="s">
        <v>2925</v>
      </c>
      <c r="C1288" s="3" t="b">
        <v>1</v>
      </c>
      <c r="D1288" s="3" t="b">
        <v>1</v>
      </c>
      <c r="E1288" s="3" t="s">
        <v>2926</v>
      </c>
      <c r="F1288" s="3" t="s">
        <v>2927</v>
      </c>
      <c r="G1288" s="4">
        <f>+251918914611</f>
        <v>251918914611</v>
      </c>
      <c r="H1288" s="3" t="s">
        <v>18</v>
      </c>
      <c r="I1288" s="3" t="s">
        <v>19</v>
      </c>
      <c r="J1288" s="3" t="s">
        <v>19</v>
      </c>
      <c r="K1288" s="3" t="s">
        <v>25</v>
      </c>
      <c r="L1288" s="3">
        <v>26.16</v>
      </c>
      <c r="M1288" s="3" t="s">
        <v>1695</v>
      </c>
      <c r="N1288" s="3" t="s">
        <v>1696</v>
      </c>
      <c r="O1288" s="3">
        <v>1.41863833805E11</v>
      </c>
    </row>
    <row r="1289">
      <c r="A1289" s="3">
        <v>96318.0</v>
      </c>
      <c r="B1289" s="3" t="s">
        <v>2928</v>
      </c>
      <c r="C1289" s="3" t="b">
        <v>1</v>
      </c>
      <c r="D1289" s="3" t="b">
        <v>1</v>
      </c>
      <c r="E1289" s="3" t="s">
        <v>2597</v>
      </c>
      <c r="F1289" s="3" t="s">
        <v>887</v>
      </c>
      <c r="G1289" s="4">
        <f>+251912704422</f>
        <v>251912704422</v>
      </c>
      <c r="H1289" s="3" t="s">
        <v>18</v>
      </c>
      <c r="I1289" s="3" t="s">
        <v>19</v>
      </c>
      <c r="J1289" s="3" t="s">
        <v>19</v>
      </c>
      <c r="K1289" s="3" t="s">
        <v>20</v>
      </c>
      <c r="L1289" s="3">
        <v>30.88</v>
      </c>
      <c r="M1289" s="3" t="s">
        <v>1695</v>
      </c>
      <c r="N1289" s="3" t="s">
        <v>1696</v>
      </c>
      <c r="O1289" s="3">
        <v>1841874.0</v>
      </c>
    </row>
    <row r="1290">
      <c r="A1290" s="3">
        <v>793803.0</v>
      </c>
      <c r="B1290" s="3" t="s">
        <v>2929</v>
      </c>
      <c r="C1290" s="3" t="b">
        <v>1</v>
      </c>
      <c r="D1290" s="3" t="b">
        <v>1</v>
      </c>
      <c r="E1290" s="3" t="s">
        <v>713</v>
      </c>
      <c r="F1290" s="3" t="s">
        <v>596</v>
      </c>
      <c r="G1290" s="4">
        <f>+251983771368</f>
        <v>251983771368</v>
      </c>
      <c r="H1290" s="3" t="s">
        <v>18</v>
      </c>
      <c r="I1290" s="3" t="s">
        <v>19</v>
      </c>
      <c r="J1290" s="3" t="s">
        <v>19</v>
      </c>
      <c r="K1290" s="3" t="s">
        <v>25</v>
      </c>
      <c r="L1290" s="3">
        <v>26.14</v>
      </c>
      <c r="M1290" s="3" t="s">
        <v>1695</v>
      </c>
      <c r="N1290" s="3" t="s">
        <v>1696</v>
      </c>
      <c r="O1290" s="3">
        <v>697704.0</v>
      </c>
    </row>
    <row r="1291">
      <c r="A1291" s="3">
        <v>2508059.0</v>
      </c>
      <c r="B1291" s="3" t="s">
        <v>2930</v>
      </c>
      <c r="C1291" s="3" t="b">
        <v>1</v>
      </c>
      <c r="D1291" s="3" t="b">
        <v>1</v>
      </c>
      <c r="E1291" s="3" t="s">
        <v>2931</v>
      </c>
      <c r="F1291" s="3" t="s">
        <v>2932</v>
      </c>
      <c r="G1291" s="4">
        <f>+251900455676</f>
        <v>251900455676</v>
      </c>
      <c r="H1291" s="3" t="s">
        <v>855</v>
      </c>
      <c r="I1291" s="3" t="s">
        <v>19</v>
      </c>
      <c r="J1291" s="3" t="s">
        <v>19</v>
      </c>
      <c r="K1291" s="3" t="s">
        <v>25</v>
      </c>
      <c r="L1291" s="3">
        <v>32.47</v>
      </c>
      <c r="M1291" s="3" t="s">
        <v>1695</v>
      </c>
      <c r="N1291" s="3" t="s">
        <v>1696</v>
      </c>
      <c r="O1291" s="3">
        <v>1.41989215425E11</v>
      </c>
    </row>
    <row r="1292">
      <c r="A1292" s="3">
        <v>182377.0</v>
      </c>
      <c r="B1292" s="3" t="s">
        <v>2933</v>
      </c>
      <c r="C1292" s="3" t="b">
        <v>1</v>
      </c>
      <c r="D1292" s="3" t="b">
        <v>1</v>
      </c>
      <c r="E1292" s="3" t="s">
        <v>2934</v>
      </c>
      <c r="F1292" s="3" t="s">
        <v>2935</v>
      </c>
      <c r="G1292" s="4">
        <f>+251969421897</f>
        <v>251969421897</v>
      </c>
      <c r="H1292" s="3" t="s">
        <v>18</v>
      </c>
      <c r="I1292" s="3" t="s">
        <v>19</v>
      </c>
      <c r="J1292" s="3" t="s">
        <v>19</v>
      </c>
      <c r="K1292" s="3" t="s">
        <v>25</v>
      </c>
      <c r="L1292" s="3">
        <v>31.31</v>
      </c>
      <c r="M1292" s="3" t="s">
        <v>1695</v>
      </c>
      <c r="N1292" s="3" t="s">
        <v>1696</v>
      </c>
      <c r="O1292" s="3">
        <v>8736211.0</v>
      </c>
    </row>
    <row r="1293">
      <c r="A1293" s="3">
        <v>2508092.0</v>
      </c>
      <c r="B1293" s="3" t="s">
        <v>2936</v>
      </c>
      <c r="C1293" s="3" t="b">
        <v>1</v>
      </c>
      <c r="D1293" s="3" t="b">
        <v>1</v>
      </c>
      <c r="E1293" s="3" t="s">
        <v>188</v>
      </c>
      <c r="F1293" s="3" t="s">
        <v>2937</v>
      </c>
      <c r="G1293" s="4">
        <f>+251970169479</f>
        <v>251970169479</v>
      </c>
      <c r="H1293" s="3" t="s">
        <v>18</v>
      </c>
      <c r="I1293" s="3" t="s">
        <v>19</v>
      </c>
      <c r="J1293" s="3" t="s">
        <v>19</v>
      </c>
      <c r="K1293" s="3" t="s">
        <v>25</v>
      </c>
      <c r="L1293" s="3">
        <v>17.68</v>
      </c>
      <c r="M1293" s="3" t="s">
        <v>1695</v>
      </c>
      <c r="N1293" s="3" t="s">
        <v>1696</v>
      </c>
      <c r="O1293" s="3">
        <v>1.42071206109E11</v>
      </c>
    </row>
    <row r="1294">
      <c r="A1294" s="3">
        <v>2507947.0</v>
      </c>
      <c r="B1294" s="3" t="s">
        <v>2938</v>
      </c>
      <c r="C1294" s="3" t="b">
        <v>1</v>
      </c>
      <c r="D1294" s="3" t="b">
        <v>1</v>
      </c>
      <c r="E1294" s="3" t="s">
        <v>1397</v>
      </c>
      <c r="F1294" s="3" t="s">
        <v>2939</v>
      </c>
      <c r="G1294" s="4">
        <f>+251915998913</f>
        <v>251915998913</v>
      </c>
      <c r="H1294" s="3" t="s">
        <v>18</v>
      </c>
      <c r="I1294" s="3" t="s">
        <v>19</v>
      </c>
      <c r="J1294" s="3" t="s">
        <v>19</v>
      </c>
      <c r="K1294" s="3" t="s">
        <v>25</v>
      </c>
      <c r="L1294" s="3">
        <v>32.67</v>
      </c>
      <c r="M1294" s="3" t="s">
        <v>1695</v>
      </c>
      <c r="N1294" s="3" t="s">
        <v>1696</v>
      </c>
      <c r="O1294" s="3">
        <v>1.41965446377E11</v>
      </c>
    </row>
    <row r="1295">
      <c r="A1295" s="3">
        <v>2508296.0</v>
      </c>
      <c r="B1295" s="3" t="s">
        <v>2940</v>
      </c>
      <c r="C1295" s="3" t="b">
        <v>1</v>
      </c>
      <c r="D1295" s="3" t="b">
        <v>1</v>
      </c>
      <c r="E1295" s="3" t="s">
        <v>920</v>
      </c>
      <c r="F1295" s="3" t="s">
        <v>2941</v>
      </c>
      <c r="G1295" s="4">
        <f>+251918277678</f>
        <v>251918277678</v>
      </c>
      <c r="H1295" s="3" t="s">
        <v>29</v>
      </c>
      <c r="I1295" s="3" t="s">
        <v>19</v>
      </c>
      <c r="J1295" s="3" t="s">
        <v>19</v>
      </c>
      <c r="K1295" s="3" t="s">
        <v>25</v>
      </c>
      <c r="L1295" s="3">
        <v>34.91</v>
      </c>
      <c r="M1295" s="3" t="s">
        <v>1695</v>
      </c>
      <c r="N1295" s="3" t="s">
        <v>1696</v>
      </c>
      <c r="O1295" s="3">
        <v>1.42187297993E11</v>
      </c>
    </row>
    <row r="1296">
      <c r="A1296" s="3">
        <v>2508304.0</v>
      </c>
      <c r="B1296" s="3" t="s">
        <v>2942</v>
      </c>
      <c r="C1296" s="3" t="b">
        <v>1</v>
      </c>
      <c r="D1296" s="3" t="b">
        <v>1</v>
      </c>
      <c r="E1296" s="3" t="s">
        <v>2943</v>
      </c>
      <c r="F1296" s="3" t="s">
        <v>2944</v>
      </c>
      <c r="G1296" s="3">
        <v>9.89857404E8</v>
      </c>
      <c r="H1296" s="3" t="s">
        <v>18</v>
      </c>
      <c r="I1296" s="3" t="s">
        <v>19</v>
      </c>
      <c r="J1296" s="3" t="s">
        <v>19</v>
      </c>
      <c r="K1296" s="3" t="s">
        <v>20</v>
      </c>
      <c r="L1296" s="3">
        <v>19.27</v>
      </c>
      <c r="M1296" s="3" t="s">
        <v>1695</v>
      </c>
      <c r="N1296" s="3" t="s">
        <v>1696</v>
      </c>
      <c r="O1296" s="3">
        <v>1.42189016279E11</v>
      </c>
    </row>
    <row r="1297">
      <c r="A1297" s="3">
        <v>2508332.0</v>
      </c>
      <c r="B1297" s="3" t="s">
        <v>2945</v>
      </c>
      <c r="C1297" s="3" t="b">
        <v>1</v>
      </c>
      <c r="D1297" s="3" t="b">
        <v>1</v>
      </c>
      <c r="E1297" s="3" t="s">
        <v>1368</v>
      </c>
      <c r="F1297" s="3" t="s">
        <v>2946</v>
      </c>
      <c r="G1297" s="4">
        <f>+251923138483</f>
        <v>251923138483</v>
      </c>
      <c r="H1297" s="3" t="s">
        <v>18</v>
      </c>
      <c r="I1297" s="3" t="s">
        <v>19</v>
      </c>
      <c r="J1297" s="3" t="s">
        <v>19</v>
      </c>
      <c r="K1297" s="3" t="s">
        <v>25</v>
      </c>
      <c r="L1297" s="3">
        <v>27.92</v>
      </c>
      <c r="M1297" s="3" t="s">
        <v>1695</v>
      </c>
      <c r="N1297" s="3" t="s">
        <v>1696</v>
      </c>
      <c r="O1297" s="3">
        <v>1.42152614091E11</v>
      </c>
    </row>
    <row r="1298">
      <c r="A1298" s="3">
        <v>2506342.0</v>
      </c>
      <c r="B1298" s="3" t="s">
        <v>2947</v>
      </c>
      <c r="C1298" s="3" t="b">
        <v>1</v>
      </c>
      <c r="D1298" s="3" t="b">
        <v>1</v>
      </c>
      <c r="E1298" s="3" t="s">
        <v>2948</v>
      </c>
      <c r="F1298" s="3" t="s">
        <v>2941</v>
      </c>
      <c r="G1298" s="4">
        <f>+251927381364</f>
        <v>251927381364</v>
      </c>
      <c r="H1298" s="3" t="s">
        <v>18</v>
      </c>
      <c r="I1298" s="3" t="s">
        <v>19</v>
      </c>
      <c r="J1298" s="3" t="s">
        <v>19</v>
      </c>
      <c r="K1298" s="3" t="s">
        <v>20</v>
      </c>
      <c r="L1298" s="3">
        <v>35.12</v>
      </c>
      <c r="M1298" s="3" t="s">
        <v>1695</v>
      </c>
      <c r="N1298" s="3" t="s">
        <v>1696</v>
      </c>
    </row>
    <row r="1299">
      <c r="A1299" s="3">
        <v>2508553.0</v>
      </c>
      <c r="B1299" s="3" t="s">
        <v>2949</v>
      </c>
      <c r="C1299" s="3" t="b">
        <v>1</v>
      </c>
      <c r="D1299" s="3" t="b">
        <v>1</v>
      </c>
      <c r="E1299" s="3" t="s">
        <v>760</v>
      </c>
      <c r="F1299" s="3" t="s">
        <v>2950</v>
      </c>
      <c r="G1299" s="4">
        <f>+251925306526</f>
        <v>251925306526</v>
      </c>
      <c r="H1299" s="3" t="s">
        <v>18</v>
      </c>
      <c r="I1299" s="3" t="s">
        <v>19</v>
      </c>
      <c r="J1299" s="3" t="s">
        <v>19</v>
      </c>
      <c r="K1299" s="3" t="s">
        <v>20</v>
      </c>
      <c r="L1299" s="3">
        <v>26.07</v>
      </c>
      <c r="M1299" s="3" t="s">
        <v>1695</v>
      </c>
      <c r="N1299" s="3" t="s">
        <v>1696</v>
      </c>
      <c r="O1299" s="3">
        <v>1.42235892953E11</v>
      </c>
    </row>
    <row r="1300">
      <c r="A1300" s="3">
        <v>2508592.0</v>
      </c>
      <c r="B1300" s="3" t="s">
        <v>2951</v>
      </c>
      <c r="C1300" s="3" t="b">
        <v>0</v>
      </c>
      <c r="D1300" s="3" t="b">
        <v>1</v>
      </c>
      <c r="E1300" s="3" t="s">
        <v>468</v>
      </c>
      <c r="F1300" s="3" t="s">
        <v>2952</v>
      </c>
      <c r="G1300" s="4">
        <f>+25197030238</f>
        <v>25197030238</v>
      </c>
      <c r="H1300" s="3" t="s">
        <v>18</v>
      </c>
      <c r="I1300" s="3" t="s">
        <v>19</v>
      </c>
      <c r="J1300" s="3" t="s">
        <v>19</v>
      </c>
      <c r="K1300" s="3" t="s">
        <v>25</v>
      </c>
      <c r="L1300" s="3">
        <v>21.21</v>
      </c>
      <c r="M1300" s="3" t="s">
        <v>1695</v>
      </c>
      <c r="N1300" s="3" t="s">
        <v>1696</v>
      </c>
      <c r="O1300" s="3">
        <v>1.42272363741E11</v>
      </c>
    </row>
    <row r="1301">
      <c r="A1301" s="3">
        <v>2508898.0</v>
      </c>
      <c r="B1301" s="3" t="s">
        <v>2953</v>
      </c>
      <c r="C1301" s="3" t="b">
        <v>1</v>
      </c>
      <c r="D1301" s="3" t="b">
        <v>1</v>
      </c>
      <c r="E1301" s="3" t="s">
        <v>2954</v>
      </c>
      <c r="F1301" s="3" t="s">
        <v>518</v>
      </c>
      <c r="G1301" s="4">
        <f>+251967150942</f>
        <v>251967150942</v>
      </c>
      <c r="H1301" s="3" t="s">
        <v>18</v>
      </c>
      <c r="I1301" s="3" t="s">
        <v>19</v>
      </c>
      <c r="J1301" s="3" t="s">
        <v>19</v>
      </c>
      <c r="K1301" s="3" t="s">
        <v>25</v>
      </c>
      <c r="L1301" s="3">
        <v>30.39</v>
      </c>
      <c r="M1301" s="3" t="s">
        <v>1695</v>
      </c>
      <c r="N1301" s="3" t="s">
        <v>1696</v>
      </c>
      <c r="O1301" s="3">
        <v>2535425.0</v>
      </c>
    </row>
    <row r="1302">
      <c r="A1302" s="3">
        <v>2508927.0</v>
      </c>
      <c r="B1302" s="3" t="s">
        <v>2955</v>
      </c>
      <c r="C1302" s="3" t="b">
        <v>1</v>
      </c>
      <c r="D1302" s="3" t="b">
        <v>1</v>
      </c>
      <c r="E1302" s="3" t="s">
        <v>2956</v>
      </c>
      <c r="F1302" s="3" t="s">
        <v>2957</v>
      </c>
      <c r="G1302" s="4">
        <f>+251932050411</f>
        <v>251932050411</v>
      </c>
      <c r="H1302" s="3" t="s">
        <v>18</v>
      </c>
      <c r="I1302" s="3" t="s">
        <v>19</v>
      </c>
      <c r="J1302" s="3" t="s">
        <v>19</v>
      </c>
      <c r="K1302" s="3" t="s">
        <v>25</v>
      </c>
      <c r="L1302" s="3">
        <v>33.88</v>
      </c>
      <c r="M1302" s="3" t="s">
        <v>1695</v>
      </c>
      <c r="N1302" s="3" t="s">
        <v>1696</v>
      </c>
      <c r="O1302" s="3">
        <v>1856845.0</v>
      </c>
    </row>
    <row r="1303">
      <c r="A1303" s="3">
        <v>2508938.0</v>
      </c>
      <c r="B1303" s="3" t="s">
        <v>2958</v>
      </c>
      <c r="C1303" s="3" t="b">
        <v>1</v>
      </c>
      <c r="D1303" s="3" t="b">
        <v>0</v>
      </c>
      <c r="E1303" s="3" t="s">
        <v>2959</v>
      </c>
      <c r="F1303" s="3" t="s">
        <v>2960</v>
      </c>
      <c r="G1303" s="4">
        <f>+251933939014</f>
        <v>251933939014</v>
      </c>
      <c r="H1303" s="3" t="s">
        <v>18</v>
      </c>
      <c r="I1303" s="3" t="s">
        <v>19</v>
      </c>
      <c r="J1303" s="3" t="s">
        <v>19</v>
      </c>
      <c r="K1303" s="3" t="s">
        <v>25</v>
      </c>
      <c r="L1303" s="3">
        <v>25.0</v>
      </c>
      <c r="M1303" s="3" t="s">
        <v>1695</v>
      </c>
      <c r="N1303" s="3" t="s">
        <v>1696</v>
      </c>
      <c r="O1303" s="3">
        <v>1.42555503864E11</v>
      </c>
    </row>
    <row r="1304">
      <c r="A1304" s="3">
        <v>2508984.0</v>
      </c>
      <c r="B1304" s="3" t="s">
        <v>2961</v>
      </c>
      <c r="C1304" s="3" t="b">
        <v>0</v>
      </c>
      <c r="D1304" s="3" t="b">
        <v>1</v>
      </c>
      <c r="E1304" s="3" t="s">
        <v>2962</v>
      </c>
      <c r="F1304" s="3" t="s">
        <v>2963</v>
      </c>
      <c r="G1304" s="4">
        <f>+251914466098</f>
        <v>251914466098</v>
      </c>
      <c r="H1304" s="3" t="s">
        <v>18</v>
      </c>
      <c r="I1304" s="3" t="s">
        <v>19</v>
      </c>
      <c r="J1304" s="3" t="s">
        <v>19</v>
      </c>
      <c r="K1304" s="3" t="s">
        <v>25</v>
      </c>
      <c r="L1304" s="3">
        <v>33.89</v>
      </c>
      <c r="M1304" s="3" t="s">
        <v>1695</v>
      </c>
      <c r="N1304" s="3" t="s">
        <v>1696</v>
      </c>
      <c r="O1304" s="3">
        <v>1.42637203642E11</v>
      </c>
    </row>
    <row r="1305">
      <c r="A1305" s="3">
        <v>32646.0</v>
      </c>
      <c r="B1305" s="3" t="s">
        <v>2964</v>
      </c>
      <c r="C1305" s="3" t="b">
        <v>1</v>
      </c>
      <c r="D1305" s="3" t="b">
        <v>1</v>
      </c>
      <c r="E1305" s="3" t="s">
        <v>1545</v>
      </c>
      <c r="F1305" s="3" t="s">
        <v>134</v>
      </c>
      <c r="G1305" s="4">
        <f>+251926727954</f>
        <v>251926727954</v>
      </c>
      <c r="H1305" s="3" t="s">
        <v>18</v>
      </c>
      <c r="I1305" s="3" t="s">
        <v>19</v>
      </c>
      <c r="J1305" s="3" t="s">
        <v>19</v>
      </c>
      <c r="K1305" s="3" t="s">
        <v>25</v>
      </c>
      <c r="L1305" s="3">
        <v>19.36</v>
      </c>
      <c r="M1305" s="3" t="s">
        <v>1695</v>
      </c>
      <c r="N1305" s="3" t="s">
        <v>1696</v>
      </c>
      <c r="O1305" s="3">
        <v>1.8213351E7</v>
      </c>
    </row>
    <row r="1306">
      <c r="A1306" s="3">
        <v>2028942.0</v>
      </c>
      <c r="B1306" s="3" t="s">
        <v>2965</v>
      </c>
      <c r="C1306" s="3" t="b">
        <v>1</v>
      </c>
      <c r="D1306" s="3" t="b">
        <v>1</v>
      </c>
      <c r="E1306" s="3" t="s">
        <v>2966</v>
      </c>
      <c r="F1306" s="3" t="s">
        <v>2967</v>
      </c>
      <c r="G1306" s="4">
        <f>+251929446632</f>
        <v>251929446632</v>
      </c>
      <c r="H1306" s="3" t="s">
        <v>18</v>
      </c>
      <c r="I1306" s="3" t="s">
        <v>19</v>
      </c>
      <c r="J1306" s="3" t="s">
        <v>19</v>
      </c>
      <c r="K1306" s="3" t="s">
        <v>25</v>
      </c>
      <c r="L1306" s="3">
        <v>21.77</v>
      </c>
      <c r="M1306" s="3" t="s">
        <v>1695</v>
      </c>
      <c r="N1306" s="3" t="s">
        <v>1696</v>
      </c>
      <c r="O1306" s="3">
        <v>1868398.0</v>
      </c>
    </row>
    <row r="1307">
      <c r="A1307" s="3">
        <v>2509200.0</v>
      </c>
      <c r="B1307" s="3" t="s">
        <v>2968</v>
      </c>
      <c r="C1307" s="3" t="b">
        <v>0</v>
      </c>
      <c r="D1307" s="3" t="b">
        <v>1</v>
      </c>
      <c r="E1307" s="3" t="s">
        <v>663</v>
      </c>
      <c r="F1307" s="3" t="s">
        <v>420</v>
      </c>
      <c r="G1307" s="4">
        <f>+251968092634</f>
        <v>251968092634</v>
      </c>
      <c r="H1307" s="3" t="s">
        <v>18</v>
      </c>
      <c r="I1307" s="3" t="s">
        <v>19</v>
      </c>
      <c r="J1307" s="3" t="s">
        <v>19</v>
      </c>
      <c r="K1307" s="3" t="s">
        <v>20</v>
      </c>
      <c r="L1307" s="3">
        <v>18.17</v>
      </c>
      <c r="M1307" s="3" t="s">
        <v>1695</v>
      </c>
      <c r="N1307" s="3" t="s">
        <v>1696</v>
      </c>
      <c r="O1307" s="3">
        <v>1.42852121797E11</v>
      </c>
    </row>
    <row r="1308">
      <c r="A1308" s="3">
        <v>2509262.0</v>
      </c>
      <c r="B1308" s="3" t="s">
        <v>2969</v>
      </c>
      <c r="C1308" s="3" t="b">
        <v>0</v>
      </c>
      <c r="D1308" s="3" t="b">
        <v>1</v>
      </c>
      <c r="E1308" s="3" t="s">
        <v>1555</v>
      </c>
      <c r="F1308" s="3" t="s">
        <v>2970</v>
      </c>
      <c r="G1308" s="4">
        <f>+251965387717</f>
        <v>251965387717</v>
      </c>
      <c r="H1308" s="3" t="s">
        <v>18</v>
      </c>
      <c r="I1308" s="3" t="s">
        <v>19</v>
      </c>
      <c r="J1308" s="3" t="s">
        <v>19</v>
      </c>
      <c r="K1308" s="3" t="s">
        <v>25</v>
      </c>
      <c r="L1308" s="3">
        <v>36.86</v>
      </c>
      <c r="M1308" s="3" t="s">
        <v>1695</v>
      </c>
      <c r="N1308" s="3" t="s">
        <v>1696</v>
      </c>
      <c r="O1308" s="3">
        <v>1.42852460737E11</v>
      </c>
    </row>
    <row r="1309">
      <c r="A1309" s="3">
        <v>2509519.0</v>
      </c>
      <c r="B1309" s="3" t="s">
        <v>2971</v>
      </c>
      <c r="C1309" s="3" t="b">
        <v>0</v>
      </c>
      <c r="D1309" s="3" t="b">
        <v>1</v>
      </c>
      <c r="E1309" s="3" t="s">
        <v>2972</v>
      </c>
      <c r="F1309" s="3" t="s">
        <v>2973</v>
      </c>
      <c r="G1309" s="4">
        <f>+251955078443</f>
        <v>251955078443</v>
      </c>
      <c r="H1309" s="3" t="s">
        <v>18</v>
      </c>
      <c r="I1309" s="3" t="s">
        <v>19</v>
      </c>
      <c r="J1309" s="3" t="s">
        <v>19</v>
      </c>
      <c r="K1309" s="3" t="s">
        <v>25</v>
      </c>
      <c r="L1309" s="3">
        <v>20.01</v>
      </c>
      <c r="M1309" s="3" t="s">
        <v>1695</v>
      </c>
      <c r="N1309" s="3" t="s">
        <v>1696</v>
      </c>
      <c r="O1309" s="3">
        <v>1.42919640311E11</v>
      </c>
    </row>
    <row r="1310">
      <c r="A1310" s="3">
        <v>2509555.0</v>
      </c>
      <c r="B1310" s="3" t="s">
        <v>2974</v>
      </c>
      <c r="C1310" s="3" t="b">
        <v>0</v>
      </c>
      <c r="D1310" s="3" t="b">
        <v>1</v>
      </c>
      <c r="E1310" s="3" t="s">
        <v>2975</v>
      </c>
      <c r="F1310" s="3" t="s">
        <v>1756</v>
      </c>
      <c r="G1310" s="4">
        <f>+251914200500</f>
        <v>251914200500</v>
      </c>
      <c r="H1310" s="3" t="s">
        <v>18</v>
      </c>
      <c r="I1310" s="3" t="s">
        <v>19</v>
      </c>
      <c r="J1310" s="3" t="s">
        <v>19</v>
      </c>
      <c r="K1310" s="3" t="s">
        <v>25</v>
      </c>
      <c r="L1310" s="3">
        <v>48.22</v>
      </c>
      <c r="M1310" s="3" t="s">
        <v>1695</v>
      </c>
      <c r="N1310" s="3" t="s">
        <v>1696</v>
      </c>
      <c r="O1310" s="3">
        <v>1.42954417359E11</v>
      </c>
    </row>
    <row r="1311">
      <c r="A1311" s="3">
        <v>2509648.0</v>
      </c>
      <c r="B1311" s="3" t="s">
        <v>2976</v>
      </c>
      <c r="C1311" s="3" t="b">
        <v>1</v>
      </c>
      <c r="D1311" s="3" t="b">
        <v>1</v>
      </c>
      <c r="E1311" s="3" t="s">
        <v>490</v>
      </c>
      <c r="F1311" s="3" t="s">
        <v>404</v>
      </c>
      <c r="G1311" s="4">
        <f>+251961098987</f>
        <v>251961098987</v>
      </c>
      <c r="H1311" s="3" t="s">
        <v>18</v>
      </c>
      <c r="I1311" s="3" t="s">
        <v>19</v>
      </c>
      <c r="J1311" s="3" t="s">
        <v>19</v>
      </c>
      <c r="K1311" s="3" t="s">
        <v>25</v>
      </c>
      <c r="L1311" s="3">
        <v>38.26</v>
      </c>
      <c r="M1311" s="3" t="s">
        <v>1695</v>
      </c>
      <c r="N1311" s="3" t="s">
        <v>1696</v>
      </c>
      <c r="O1311" s="3">
        <v>761189.0</v>
      </c>
    </row>
    <row r="1312">
      <c r="A1312" s="3">
        <v>2509732.0</v>
      </c>
      <c r="B1312" s="3" t="s">
        <v>2977</v>
      </c>
      <c r="C1312" s="3" t="b">
        <v>0</v>
      </c>
      <c r="D1312" s="3" t="b">
        <v>1</v>
      </c>
      <c r="E1312" s="3" t="s">
        <v>1943</v>
      </c>
      <c r="F1312" s="3" t="s">
        <v>2978</v>
      </c>
      <c r="G1312" s="4">
        <f>+251968894482</f>
        <v>251968894482</v>
      </c>
      <c r="H1312" s="3" t="s">
        <v>18</v>
      </c>
      <c r="I1312" s="3" t="s">
        <v>19</v>
      </c>
      <c r="J1312" s="3" t="s">
        <v>19</v>
      </c>
      <c r="K1312" s="3" t="s">
        <v>25</v>
      </c>
      <c r="L1312" s="3">
        <v>30.15</v>
      </c>
      <c r="M1312" s="3" t="s">
        <v>1695</v>
      </c>
      <c r="N1312" s="3" t="s">
        <v>1696</v>
      </c>
      <c r="O1312" s="3">
        <v>1.43032452289E11</v>
      </c>
    </row>
    <row r="1313">
      <c r="A1313" s="3">
        <v>2510211.0</v>
      </c>
      <c r="B1313" s="3" t="s">
        <v>2979</v>
      </c>
      <c r="C1313" s="3" t="b">
        <v>1</v>
      </c>
      <c r="D1313" s="3" t="b">
        <v>1</v>
      </c>
      <c r="E1313" s="3" t="s">
        <v>1968</v>
      </c>
      <c r="F1313" s="3" t="s">
        <v>1557</v>
      </c>
      <c r="G1313" s="4">
        <f>+251929535073</f>
        <v>251929535073</v>
      </c>
      <c r="H1313" s="3" t="s">
        <v>29</v>
      </c>
      <c r="I1313" s="3" t="s">
        <v>19</v>
      </c>
      <c r="J1313" s="3" t="s">
        <v>19</v>
      </c>
      <c r="K1313" s="3" t="s">
        <v>25</v>
      </c>
      <c r="L1313" s="3">
        <v>28.78</v>
      </c>
      <c r="M1313" s="3" t="s">
        <v>1695</v>
      </c>
      <c r="N1313" s="3" t="s">
        <v>1696</v>
      </c>
    </row>
    <row r="1314">
      <c r="A1314" s="3">
        <v>809071.0</v>
      </c>
      <c r="B1314" s="3" t="s">
        <v>2980</v>
      </c>
      <c r="C1314" s="3" t="b">
        <v>1</v>
      </c>
      <c r="D1314" s="3" t="b">
        <v>1</v>
      </c>
      <c r="E1314" s="3" t="s">
        <v>2981</v>
      </c>
      <c r="F1314" s="3" t="s">
        <v>2982</v>
      </c>
      <c r="G1314" s="4">
        <f>+251251919306426</f>
        <v>251251919306426</v>
      </c>
      <c r="H1314" s="3" t="s">
        <v>18</v>
      </c>
      <c r="I1314" s="3" t="s">
        <v>19</v>
      </c>
      <c r="J1314" s="3" t="s">
        <v>19</v>
      </c>
      <c r="K1314" s="3" t="s">
        <v>20</v>
      </c>
      <c r="L1314" s="3">
        <v>31.19</v>
      </c>
      <c r="M1314" s="3" t="s">
        <v>1695</v>
      </c>
      <c r="N1314" s="3" t="s">
        <v>1696</v>
      </c>
      <c r="O1314" s="3">
        <v>6490357.0</v>
      </c>
    </row>
    <row r="1315">
      <c r="A1315" s="3">
        <v>2510303.0</v>
      </c>
      <c r="B1315" s="3" t="s">
        <v>2983</v>
      </c>
      <c r="C1315" s="3" t="b">
        <v>1</v>
      </c>
      <c r="D1315" s="3" t="b">
        <v>1</v>
      </c>
      <c r="E1315" s="3" t="s">
        <v>2984</v>
      </c>
      <c r="F1315" s="3" t="s">
        <v>2985</v>
      </c>
      <c r="G1315" s="4">
        <f>+251910872523</f>
        <v>251910872523</v>
      </c>
      <c r="H1315" s="3" t="s">
        <v>18</v>
      </c>
      <c r="I1315" s="3" t="s">
        <v>19</v>
      </c>
      <c r="J1315" s="3" t="s">
        <v>19</v>
      </c>
      <c r="K1315" s="3" t="s">
        <v>25</v>
      </c>
      <c r="L1315" s="3">
        <v>27.31</v>
      </c>
      <c r="M1315" s="3" t="s">
        <v>1695</v>
      </c>
      <c r="N1315" s="3" t="s">
        <v>1696</v>
      </c>
      <c r="O1315" s="3">
        <v>1.43217156301E11</v>
      </c>
    </row>
    <row r="1316">
      <c r="A1316" s="3">
        <v>2510428.0</v>
      </c>
      <c r="B1316" s="3" t="s">
        <v>2986</v>
      </c>
      <c r="C1316" s="3" t="b">
        <v>0</v>
      </c>
      <c r="D1316" s="3" t="b">
        <v>1</v>
      </c>
      <c r="E1316" s="3" t="s">
        <v>2987</v>
      </c>
      <c r="F1316" s="3" t="s">
        <v>1028</v>
      </c>
      <c r="G1316" s="4">
        <f>+251910427690</f>
        <v>251910427690</v>
      </c>
      <c r="H1316" s="3" t="s">
        <v>18</v>
      </c>
      <c r="I1316" s="3" t="s">
        <v>19</v>
      </c>
      <c r="J1316" s="3" t="s">
        <v>19</v>
      </c>
      <c r="K1316" s="3" t="s">
        <v>25</v>
      </c>
      <c r="L1316" s="3">
        <v>38.46</v>
      </c>
      <c r="M1316" s="3" t="s">
        <v>1695</v>
      </c>
      <c r="N1316" s="3" t="s">
        <v>1696</v>
      </c>
      <c r="O1316" s="3">
        <v>1.43277091031E11</v>
      </c>
    </row>
    <row r="1317">
      <c r="A1317" s="3">
        <v>2510513.0</v>
      </c>
      <c r="B1317" s="3" t="s">
        <v>2988</v>
      </c>
      <c r="C1317" s="3" t="b">
        <v>1</v>
      </c>
      <c r="D1317" s="3" t="b">
        <v>1</v>
      </c>
      <c r="E1317" s="3" t="s">
        <v>1959</v>
      </c>
      <c r="F1317" s="3" t="s">
        <v>2989</v>
      </c>
      <c r="G1317" s="4">
        <f>+251910005255</f>
        <v>251910005255</v>
      </c>
      <c r="H1317" s="3" t="s">
        <v>18</v>
      </c>
      <c r="I1317" s="3" t="s">
        <v>19</v>
      </c>
      <c r="J1317" s="3" t="s">
        <v>19</v>
      </c>
      <c r="K1317" s="3" t="s">
        <v>25</v>
      </c>
      <c r="L1317" s="3">
        <v>37.58</v>
      </c>
      <c r="M1317" s="3" t="s">
        <v>1695</v>
      </c>
      <c r="N1317" s="3" t="s">
        <v>1696</v>
      </c>
      <c r="O1317" s="3">
        <v>1.43343063254E11</v>
      </c>
    </row>
    <row r="1318">
      <c r="A1318" s="3">
        <v>2510606.0</v>
      </c>
      <c r="B1318" s="3" t="s">
        <v>2990</v>
      </c>
      <c r="C1318" s="3" t="b">
        <v>1</v>
      </c>
      <c r="D1318" s="3" t="b">
        <v>1</v>
      </c>
      <c r="E1318" s="3" t="s">
        <v>1229</v>
      </c>
      <c r="F1318" s="3" t="s">
        <v>317</v>
      </c>
      <c r="G1318" s="4">
        <f>+251916250898</f>
        <v>251916250898</v>
      </c>
      <c r="H1318" s="3" t="s">
        <v>18</v>
      </c>
      <c r="I1318" s="3" t="s">
        <v>19</v>
      </c>
      <c r="J1318" s="3" t="s">
        <v>19</v>
      </c>
      <c r="K1318" s="3" t="s">
        <v>25</v>
      </c>
      <c r="L1318" s="3">
        <v>25.72</v>
      </c>
      <c r="M1318" s="3" t="s">
        <v>1695</v>
      </c>
      <c r="N1318" s="3" t="s">
        <v>1696</v>
      </c>
      <c r="O1318" s="3">
        <v>1.43556601059E11</v>
      </c>
    </row>
    <row r="1319">
      <c r="A1319" s="3">
        <v>2510605.0</v>
      </c>
      <c r="B1319" s="3" t="s">
        <v>2991</v>
      </c>
      <c r="C1319" s="3" t="b">
        <v>0</v>
      </c>
      <c r="D1319" s="3" t="b">
        <v>1</v>
      </c>
      <c r="E1319" s="3" t="s">
        <v>2383</v>
      </c>
      <c r="F1319" s="3" t="s">
        <v>2992</v>
      </c>
      <c r="G1319" s="4">
        <f>+251940604758</f>
        <v>251940604758</v>
      </c>
      <c r="H1319" s="3" t="s">
        <v>18</v>
      </c>
      <c r="I1319" s="3" t="s">
        <v>19</v>
      </c>
      <c r="J1319" s="3" t="s">
        <v>19</v>
      </c>
      <c r="K1319" s="3" t="s">
        <v>25</v>
      </c>
      <c r="L1319" s="3">
        <v>31.18</v>
      </c>
      <c r="M1319" s="3" t="s">
        <v>1695</v>
      </c>
      <c r="N1319" s="3" t="s">
        <v>1696</v>
      </c>
      <c r="O1319" s="3">
        <v>1.43529678042E11</v>
      </c>
    </row>
    <row r="1320">
      <c r="A1320" s="3">
        <v>2510620.0</v>
      </c>
      <c r="B1320" s="3" t="s">
        <v>2993</v>
      </c>
      <c r="C1320" s="3" t="b">
        <v>1</v>
      </c>
      <c r="D1320" s="3" t="b">
        <v>1</v>
      </c>
      <c r="E1320" s="3" t="s">
        <v>2994</v>
      </c>
      <c r="F1320" s="3" t="s">
        <v>32</v>
      </c>
      <c r="G1320" s="4">
        <f>+251924728466</f>
        <v>251924728466</v>
      </c>
      <c r="H1320" s="3" t="s">
        <v>18</v>
      </c>
      <c r="I1320" s="3" t="s">
        <v>19</v>
      </c>
      <c r="J1320" s="3" t="s">
        <v>19</v>
      </c>
      <c r="K1320" s="3" t="s">
        <v>25</v>
      </c>
      <c r="L1320" s="3">
        <v>33.0</v>
      </c>
      <c r="M1320" s="3" t="s">
        <v>1695</v>
      </c>
      <c r="N1320" s="3" t="s">
        <v>1696</v>
      </c>
      <c r="O1320" s="3">
        <v>1.43544513736E11</v>
      </c>
    </row>
    <row r="1321">
      <c r="A1321" s="3">
        <v>2510662.0</v>
      </c>
      <c r="B1321" s="3" t="s">
        <v>2995</v>
      </c>
      <c r="C1321" s="3" t="b">
        <v>1</v>
      </c>
      <c r="D1321" s="3" t="b">
        <v>1</v>
      </c>
      <c r="E1321" s="3" t="s">
        <v>2996</v>
      </c>
      <c r="F1321" s="3" t="s">
        <v>2997</v>
      </c>
      <c r="G1321" s="4">
        <f>+251901062122</f>
        <v>251901062122</v>
      </c>
      <c r="H1321" s="3" t="s">
        <v>18</v>
      </c>
      <c r="I1321" s="3" t="s">
        <v>19</v>
      </c>
      <c r="J1321" s="3" t="s">
        <v>19</v>
      </c>
      <c r="K1321" s="3" t="s">
        <v>20</v>
      </c>
      <c r="L1321" s="3">
        <v>24.76</v>
      </c>
      <c r="M1321" s="3" t="s">
        <v>1695</v>
      </c>
      <c r="N1321" s="3" t="s">
        <v>1696</v>
      </c>
      <c r="O1321" s="3">
        <v>1.43604791511E11</v>
      </c>
    </row>
    <row r="1322">
      <c r="A1322" s="3">
        <v>2510702.0</v>
      </c>
      <c r="B1322" s="3" t="s">
        <v>2998</v>
      </c>
      <c r="C1322" s="3" t="b">
        <v>1</v>
      </c>
      <c r="D1322" s="3" t="b">
        <v>1</v>
      </c>
      <c r="E1322" s="3" t="s">
        <v>2999</v>
      </c>
      <c r="F1322" s="3" t="s">
        <v>3000</v>
      </c>
      <c r="G1322" s="4">
        <f>+251921276944</f>
        <v>251921276944</v>
      </c>
      <c r="H1322" s="3" t="s">
        <v>18</v>
      </c>
      <c r="I1322" s="3" t="s">
        <v>19</v>
      </c>
      <c r="J1322" s="3" t="s">
        <v>19</v>
      </c>
      <c r="K1322" s="3" t="s">
        <v>25</v>
      </c>
      <c r="L1322" s="3">
        <v>31.44</v>
      </c>
      <c r="M1322" s="3" t="s">
        <v>1695</v>
      </c>
      <c r="N1322" s="3" t="s">
        <v>1696</v>
      </c>
      <c r="O1322" s="3">
        <v>1.43561544903E11</v>
      </c>
    </row>
    <row r="1323">
      <c r="A1323" s="3">
        <v>2317790.0</v>
      </c>
      <c r="B1323" s="3" t="s">
        <v>3001</v>
      </c>
      <c r="C1323" s="3" t="b">
        <v>1</v>
      </c>
      <c r="D1323" s="3" t="b">
        <v>1</v>
      </c>
      <c r="E1323" s="3" t="s">
        <v>92</v>
      </c>
      <c r="F1323" s="3" t="s">
        <v>649</v>
      </c>
      <c r="G1323" s="4">
        <f>+251928534531</f>
        <v>251928534531</v>
      </c>
      <c r="H1323" s="3" t="s">
        <v>249</v>
      </c>
      <c r="I1323" s="3" t="s">
        <v>19</v>
      </c>
      <c r="J1323" s="3" t="s">
        <v>19</v>
      </c>
      <c r="K1323" s="3" t="s">
        <v>25</v>
      </c>
      <c r="L1323" s="3">
        <v>28.7</v>
      </c>
      <c r="M1323" s="3" t="s">
        <v>1695</v>
      </c>
      <c r="N1323" s="3" t="s">
        <v>1696</v>
      </c>
      <c r="O1323" s="3">
        <v>3.6455294673E10</v>
      </c>
    </row>
    <row r="1324">
      <c r="A1324" s="3">
        <v>2510675.0</v>
      </c>
      <c r="B1324" s="3" t="s">
        <v>3002</v>
      </c>
      <c r="C1324" s="3" t="b">
        <v>0</v>
      </c>
      <c r="D1324" s="3" t="b">
        <v>1</v>
      </c>
      <c r="E1324" s="3" t="s">
        <v>1677</v>
      </c>
      <c r="F1324" s="3" t="s">
        <v>3003</v>
      </c>
      <c r="G1324" s="4">
        <f>+251918013776</f>
        <v>251918013776</v>
      </c>
      <c r="H1324" s="3" t="s">
        <v>29</v>
      </c>
      <c r="I1324" s="3" t="s">
        <v>19</v>
      </c>
      <c r="J1324" s="3" t="s">
        <v>19</v>
      </c>
      <c r="K1324" s="3" t="s">
        <v>25</v>
      </c>
      <c r="L1324" s="3">
        <v>50.41</v>
      </c>
      <c r="M1324" s="3" t="s">
        <v>1695</v>
      </c>
      <c r="N1324" s="3" t="s">
        <v>1696</v>
      </c>
      <c r="O1324" s="3">
        <v>1.43530413271E11</v>
      </c>
    </row>
    <row r="1325">
      <c r="A1325" s="3">
        <v>2510843.0</v>
      </c>
      <c r="B1325" s="3" t="s">
        <v>3004</v>
      </c>
      <c r="C1325" s="3" t="b">
        <v>1</v>
      </c>
      <c r="D1325" s="3" t="b">
        <v>1</v>
      </c>
      <c r="E1325" s="3" t="s">
        <v>817</v>
      </c>
      <c r="F1325" s="3" t="s">
        <v>196</v>
      </c>
      <c r="G1325" s="4">
        <f>+251951053208</f>
        <v>251951053208</v>
      </c>
      <c r="H1325" s="3" t="s">
        <v>18</v>
      </c>
      <c r="I1325" s="3" t="s">
        <v>19</v>
      </c>
      <c r="J1325" s="3" t="s">
        <v>19</v>
      </c>
      <c r="K1325" s="3" t="s">
        <v>25</v>
      </c>
      <c r="L1325" s="3">
        <v>18.49</v>
      </c>
      <c r="M1325" s="3" t="s">
        <v>1695</v>
      </c>
      <c r="N1325" s="3" t="s">
        <v>1696</v>
      </c>
      <c r="O1325" s="3">
        <v>1.4370262036E11</v>
      </c>
    </row>
    <row r="1326">
      <c r="A1326" s="3">
        <v>2510864.0</v>
      </c>
      <c r="B1326" s="3" t="s">
        <v>3005</v>
      </c>
      <c r="C1326" s="3" t="b">
        <v>1</v>
      </c>
      <c r="D1326" s="3" t="b">
        <v>1</v>
      </c>
      <c r="E1326" s="3" t="s">
        <v>3006</v>
      </c>
      <c r="F1326" s="3" t="s">
        <v>3007</v>
      </c>
      <c r="G1326" s="4">
        <f>+251918583583</f>
        <v>251918583583</v>
      </c>
      <c r="H1326" s="3" t="s">
        <v>18</v>
      </c>
      <c r="I1326" s="3" t="s">
        <v>19</v>
      </c>
      <c r="J1326" s="3" t="s">
        <v>19</v>
      </c>
      <c r="K1326" s="3" t="s">
        <v>25</v>
      </c>
      <c r="L1326" s="3">
        <v>32.87</v>
      </c>
      <c r="M1326" s="3" t="s">
        <v>1695</v>
      </c>
      <c r="N1326" s="3" t="s">
        <v>1696</v>
      </c>
      <c r="O1326" s="3">
        <v>1.43711865034E11</v>
      </c>
    </row>
    <row r="1327">
      <c r="A1327" s="3">
        <v>2510898.0</v>
      </c>
      <c r="B1327" s="3" t="s">
        <v>3008</v>
      </c>
      <c r="C1327" s="3" t="b">
        <v>1</v>
      </c>
      <c r="D1327" s="3" t="b">
        <v>1</v>
      </c>
      <c r="E1327" s="3" t="s">
        <v>3009</v>
      </c>
      <c r="F1327" s="3" t="s">
        <v>2084</v>
      </c>
      <c r="G1327" s="4">
        <f>+251955729933</f>
        <v>251955729933</v>
      </c>
      <c r="H1327" s="3" t="s">
        <v>18</v>
      </c>
      <c r="I1327" s="3" t="s">
        <v>19</v>
      </c>
      <c r="J1327" s="3" t="s">
        <v>19</v>
      </c>
      <c r="K1327" s="3" t="s">
        <v>25</v>
      </c>
      <c r="L1327" s="3">
        <v>13.21</v>
      </c>
      <c r="M1327" s="3" t="s">
        <v>1695</v>
      </c>
      <c r="N1327" s="3" t="s">
        <v>1696</v>
      </c>
      <c r="O1327" s="3">
        <v>1.43711584456E11</v>
      </c>
    </row>
    <row r="1328">
      <c r="A1328" s="3">
        <v>2073350.0</v>
      </c>
      <c r="B1328" s="3" t="s">
        <v>3010</v>
      </c>
      <c r="C1328" s="3" t="b">
        <v>1</v>
      </c>
      <c r="D1328" s="3" t="b">
        <v>1</v>
      </c>
      <c r="E1328" s="3" t="s">
        <v>798</v>
      </c>
      <c r="F1328" s="3" t="s">
        <v>1446</v>
      </c>
      <c r="G1328" s="4">
        <f>+251939098367</f>
        <v>251939098367</v>
      </c>
      <c r="H1328" s="3" t="s">
        <v>18</v>
      </c>
      <c r="I1328" s="3" t="s">
        <v>19</v>
      </c>
      <c r="J1328" s="3" t="s">
        <v>19</v>
      </c>
      <c r="K1328" s="3" t="s">
        <v>25</v>
      </c>
      <c r="L1328" s="3">
        <v>25.02</v>
      </c>
      <c r="M1328" s="3" t="s">
        <v>1695</v>
      </c>
      <c r="N1328" s="3" t="s">
        <v>1696</v>
      </c>
      <c r="O1328" s="3">
        <v>3.0156510152E10</v>
      </c>
    </row>
    <row r="1329">
      <c r="A1329" s="3">
        <v>2359042.0</v>
      </c>
      <c r="B1329" s="3" t="s">
        <v>3011</v>
      </c>
      <c r="C1329" s="3" t="b">
        <v>1</v>
      </c>
      <c r="D1329" s="3" t="b">
        <v>1</v>
      </c>
      <c r="E1329" s="3" t="s">
        <v>3012</v>
      </c>
      <c r="F1329" s="3" t="s">
        <v>3013</v>
      </c>
      <c r="G1329" s="4">
        <f>+251920275263</f>
        <v>251920275263</v>
      </c>
      <c r="H1329" s="3" t="s">
        <v>18</v>
      </c>
      <c r="I1329" s="3" t="s">
        <v>19</v>
      </c>
      <c r="J1329" s="3" t="s">
        <v>19</v>
      </c>
      <c r="K1329" s="3" t="s">
        <v>25</v>
      </c>
      <c r="L1329" s="3">
        <v>30.03</v>
      </c>
      <c r="M1329" s="3" t="s">
        <v>1695</v>
      </c>
      <c r="N1329" s="3" t="s">
        <v>1696</v>
      </c>
      <c r="O1329" s="3">
        <v>6033908.0</v>
      </c>
    </row>
    <row r="1330">
      <c r="A1330" s="3">
        <v>2511125.0</v>
      </c>
      <c r="B1330" s="3" t="s">
        <v>3014</v>
      </c>
      <c r="C1330" s="3" t="b">
        <v>1</v>
      </c>
      <c r="D1330" s="3" t="b">
        <v>1</v>
      </c>
      <c r="E1330" s="3" t="s">
        <v>945</v>
      </c>
      <c r="F1330" s="3" t="s">
        <v>3015</v>
      </c>
      <c r="G1330" s="4">
        <f>+251917382408</f>
        <v>251917382408</v>
      </c>
      <c r="H1330" s="3" t="s">
        <v>18</v>
      </c>
      <c r="I1330" s="3" t="s">
        <v>19</v>
      </c>
      <c r="J1330" s="3" t="s">
        <v>19</v>
      </c>
      <c r="K1330" s="3" t="s">
        <v>25</v>
      </c>
      <c r="L1330" s="3">
        <v>33.83</v>
      </c>
      <c r="M1330" s="3" t="s">
        <v>1695</v>
      </c>
      <c r="N1330" s="3" t="s">
        <v>1696</v>
      </c>
      <c r="O1330" s="3">
        <v>1.43820441797E11</v>
      </c>
    </row>
    <row r="1331">
      <c r="A1331" s="3">
        <v>2509800.0</v>
      </c>
      <c r="B1331" s="3" t="s">
        <v>3016</v>
      </c>
      <c r="C1331" s="3" t="b">
        <v>0</v>
      </c>
      <c r="D1331" s="3" t="b">
        <v>1</v>
      </c>
      <c r="E1331" s="3" t="s">
        <v>3017</v>
      </c>
      <c r="F1331" s="3" t="s">
        <v>3018</v>
      </c>
      <c r="G1331" s="4">
        <f>+251916882535</f>
        <v>251916882535</v>
      </c>
      <c r="H1331" s="3" t="s">
        <v>18</v>
      </c>
      <c r="I1331" s="3" t="s">
        <v>19</v>
      </c>
      <c r="J1331" s="3" t="s">
        <v>19</v>
      </c>
      <c r="K1331" s="3" t="s">
        <v>25</v>
      </c>
      <c r="L1331" s="3">
        <v>34.64</v>
      </c>
      <c r="M1331" s="3" t="s">
        <v>1695</v>
      </c>
      <c r="N1331" s="3" t="s">
        <v>1696</v>
      </c>
      <c r="O1331" s="3">
        <v>1.43074673912E11</v>
      </c>
    </row>
    <row r="1332">
      <c r="A1332" s="3">
        <v>774586.0</v>
      </c>
      <c r="B1332" s="3" t="s">
        <v>3019</v>
      </c>
      <c r="C1332" s="3" t="b">
        <v>1</v>
      </c>
      <c r="D1332" s="3" t="b">
        <v>1</v>
      </c>
      <c r="E1332" s="3" t="s">
        <v>3020</v>
      </c>
      <c r="F1332" s="3" t="s">
        <v>3021</v>
      </c>
      <c r="G1332" s="4">
        <f>+251901248075</f>
        <v>251901248075</v>
      </c>
      <c r="H1332" s="3" t="s">
        <v>18</v>
      </c>
      <c r="I1332" s="3" t="s">
        <v>19</v>
      </c>
      <c r="J1332" s="3" t="s">
        <v>19</v>
      </c>
      <c r="K1332" s="3" t="s">
        <v>20</v>
      </c>
      <c r="L1332" s="3">
        <v>19.45</v>
      </c>
      <c r="M1332" s="3" t="s">
        <v>1695</v>
      </c>
      <c r="N1332" s="3" t="s">
        <v>1696</v>
      </c>
      <c r="O1332" s="3">
        <v>1.3786014E7</v>
      </c>
    </row>
    <row r="1333">
      <c r="A1333" s="3">
        <v>246635.0</v>
      </c>
      <c r="B1333" s="3" t="s">
        <v>3022</v>
      </c>
      <c r="C1333" s="3" t="b">
        <v>1</v>
      </c>
      <c r="D1333" s="3" t="b">
        <v>1</v>
      </c>
      <c r="E1333" s="3" t="s">
        <v>3023</v>
      </c>
      <c r="F1333" s="3" t="s">
        <v>3024</v>
      </c>
      <c r="G1333" s="4">
        <f>+251935006853</f>
        <v>251935006853</v>
      </c>
      <c r="H1333" s="3" t="s">
        <v>18</v>
      </c>
      <c r="I1333" s="3" t="s">
        <v>19</v>
      </c>
      <c r="J1333" s="3" t="s">
        <v>19</v>
      </c>
      <c r="K1333" s="3" t="s">
        <v>25</v>
      </c>
      <c r="L1333" s="3">
        <v>24.8</v>
      </c>
      <c r="M1333" s="3" t="s">
        <v>1695</v>
      </c>
      <c r="N1333" s="3" t="s">
        <v>1696</v>
      </c>
      <c r="O1333" s="3">
        <v>1517429.0</v>
      </c>
    </row>
    <row r="1334">
      <c r="A1334" s="3">
        <v>2511465.0</v>
      </c>
      <c r="B1334" s="3" t="s">
        <v>3025</v>
      </c>
      <c r="C1334" s="3" t="b">
        <v>0</v>
      </c>
      <c r="D1334" s="3" t="b">
        <v>1</v>
      </c>
      <c r="E1334" s="3" t="s">
        <v>267</v>
      </c>
      <c r="F1334" s="3" t="s">
        <v>468</v>
      </c>
      <c r="G1334" s="4">
        <f>+251920765044</f>
        <v>251920765044</v>
      </c>
      <c r="H1334" s="3" t="s">
        <v>18</v>
      </c>
      <c r="I1334" s="3" t="s">
        <v>19</v>
      </c>
      <c r="J1334" s="3" t="s">
        <v>19</v>
      </c>
      <c r="K1334" s="3" t="s">
        <v>25</v>
      </c>
      <c r="L1334" s="3">
        <v>30.21</v>
      </c>
      <c r="M1334" s="3" t="s">
        <v>1695</v>
      </c>
      <c r="N1334" s="3" t="s">
        <v>1696</v>
      </c>
      <c r="O1334" s="3">
        <v>1.43915621602E11</v>
      </c>
    </row>
    <row r="1335">
      <c r="A1335" s="3">
        <v>2511567.0</v>
      </c>
      <c r="B1335" s="3" t="s">
        <v>3026</v>
      </c>
      <c r="C1335" s="3" t="b">
        <v>0</v>
      </c>
      <c r="D1335" s="3" t="b">
        <v>1</v>
      </c>
      <c r="E1335" s="3" t="s">
        <v>3027</v>
      </c>
      <c r="F1335" s="3" t="s">
        <v>3028</v>
      </c>
      <c r="G1335" s="4">
        <f>+251931352994</f>
        <v>251931352994</v>
      </c>
      <c r="H1335" s="3" t="s">
        <v>18</v>
      </c>
      <c r="I1335" s="3" t="s">
        <v>19</v>
      </c>
      <c r="J1335" s="3" t="s">
        <v>1990</v>
      </c>
      <c r="K1335" s="3" t="s">
        <v>25</v>
      </c>
      <c r="L1335" s="3">
        <v>19.28</v>
      </c>
      <c r="M1335" s="3" t="s">
        <v>1695</v>
      </c>
      <c r="N1335" s="3" t="s">
        <v>1696</v>
      </c>
      <c r="O1335" s="3">
        <v>1.43989032148E11</v>
      </c>
    </row>
    <row r="1336">
      <c r="A1336" s="3">
        <v>2511686.0</v>
      </c>
      <c r="B1336" s="3" t="s">
        <v>3029</v>
      </c>
      <c r="C1336" s="3" t="b">
        <v>1</v>
      </c>
      <c r="D1336" s="3" t="b">
        <v>0</v>
      </c>
      <c r="E1336" s="3" t="s">
        <v>3030</v>
      </c>
      <c r="F1336" s="3" t="s">
        <v>1656</v>
      </c>
      <c r="G1336" s="4">
        <f>+251978807334</f>
        <v>251978807334</v>
      </c>
      <c r="H1336" s="3" t="s">
        <v>18</v>
      </c>
      <c r="I1336" s="3" t="s">
        <v>19</v>
      </c>
      <c r="J1336" s="3" t="s">
        <v>19</v>
      </c>
      <c r="K1336" s="3" t="s">
        <v>25</v>
      </c>
      <c r="L1336" s="3">
        <v>17.67</v>
      </c>
      <c r="M1336" s="3" t="s">
        <v>1695</v>
      </c>
      <c r="N1336" s="3" t="s">
        <v>1696</v>
      </c>
    </row>
    <row r="1337">
      <c r="A1337" s="3">
        <v>2432030.0</v>
      </c>
      <c r="B1337" s="3" t="s">
        <v>3031</v>
      </c>
      <c r="C1337" s="3" t="b">
        <v>1</v>
      </c>
      <c r="D1337" s="3" t="b">
        <v>1</v>
      </c>
      <c r="E1337" s="3" t="s">
        <v>60</v>
      </c>
      <c r="F1337" s="3" t="s">
        <v>1803</v>
      </c>
      <c r="G1337" s="4">
        <f>+251944131394</f>
        <v>251944131394</v>
      </c>
      <c r="H1337" s="3" t="s">
        <v>18</v>
      </c>
      <c r="I1337" s="3" t="s">
        <v>19</v>
      </c>
      <c r="J1337" s="3" t="s">
        <v>19</v>
      </c>
      <c r="K1337" s="3" t="s">
        <v>25</v>
      </c>
      <c r="L1337" s="3">
        <v>18.29</v>
      </c>
      <c r="M1337" s="3" t="s">
        <v>1695</v>
      </c>
      <c r="N1337" s="3" t="s">
        <v>1696</v>
      </c>
    </row>
    <row r="1338">
      <c r="A1338" s="3">
        <v>2511803.0</v>
      </c>
      <c r="B1338" s="3" t="s">
        <v>3032</v>
      </c>
      <c r="C1338" s="3" t="b">
        <v>1</v>
      </c>
      <c r="D1338" s="3" t="b">
        <v>1</v>
      </c>
      <c r="E1338" s="3" t="s">
        <v>3033</v>
      </c>
      <c r="F1338" s="3" t="s">
        <v>3034</v>
      </c>
      <c r="G1338" s="4">
        <f>+251900130607</f>
        <v>251900130607</v>
      </c>
      <c r="H1338" s="3" t="s">
        <v>18</v>
      </c>
      <c r="I1338" s="3" t="s">
        <v>19</v>
      </c>
      <c r="J1338" s="3" t="s">
        <v>19</v>
      </c>
      <c r="K1338" s="3" t="s">
        <v>25</v>
      </c>
      <c r="L1338" s="3">
        <v>21.26</v>
      </c>
      <c r="M1338" s="3" t="s">
        <v>1695</v>
      </c>
      <c r="N1338" s="3" t="s">
        <v>1696</v>
      </c>
    </row>
    <row r="1339">
      <c r="A1339" s="3">
        <v>2511932.0</v>
      </c>
      <c r="B1339" s="3" t="s">
        <v>3035</v>
      </c>
      <c r="C1339" s="3" t="b">
        <v>1</v>
      </c>
      <c r="D1339" s="3" t="b">
        <v>1</v>
      </c>
      <c r="E1339" s="3" t="s">
        <v>3036</v>
      </c>
      <c r="F1339" s="3" t="s">
        <v>3037</v>
      </c>
      <c r="G1339" s="4">
        <f>+251901110046</f>
        <v>251901110046</v>
      </c>
      <c r="H1339" s="3" t="s">
        <v>18</v>
      </c>
      <c r="I1339" s="3" t="s">
        <v>19</v>
      </c>
      <c r="J1339" s="3" t="s">
        <v>19</v>
      </c>
      <c r="K1339" s="3" t="s">
        <v>20</v>
      </c>
      <c r="L1339" s="3">
        <v>22.59</v>
      </c>
      <c r="M1339" s="3" t="s">
        <v>1695</v>
      </c>
      <c r="N1339" s="3" t="s">
        <v>1696</v>
      </c>
      <c r="O1339" s="3">
        <v>1.44150147312E11</v>
      </c>
    </row>
    <row r="1340">
      <c r="A1340" s="3">
        <v>2512347.0</v>
      </c>
      <c r="B1340" s="3" t="s">
        <v>3038</v>
      </c>
      <c r="C1340" s="3" t="b">
        <v>0</v>
      </c>
      <c r="D1340" s="3" t="b">
        <v>1</v>
      </c>
      <c r="E1340" s="3" t="s">
        <v>1877</v>
      </c>
      <c r="F1340" s="3" t="s">
        <v>1060</v>
      </c>
      <c r="G1340" s="4">
        <f>+251924757622</f>
        <v>251924757622</v>
      </c>
      <c r="H1340" s="3" t="s">
        <v>18</v>
      </c>
      <c r="I1340" s="3" t="s">
        <v>19</v>
      </c>
      <c r="J1340" s="3" t="s">
        <v>19</v>
      </c>
      <c r="K1340" s="3" t="s">
        <v>25</v>
      </c>
      <c r="L1340" s="3">
        <v>27.31</v>
      </c>
      <c r="M1340" s="3" t="s">
        <v>1695</v>
      </c>
      <c r="N1340" s="3" t="s">
        <v>1696</v>
      </c>
      <c r="O1340" s="3">
        <v>2.3119857E7</v>
      </c>
    </row>
    <row r="1341">
      <c r="A1341" s="3">
        <v>2512518.0</v>
      </c>
      <c r="B1341" s="3" t="s">
        <v>3039</v>
      </c>
      <c r="C1341" s="3" t="b">
        <v>0</v>
      </c>
      <c r="D1341" s="3" t="b">
        <v>1</v>
      </c>
      <c r="E1341" s="3" t="s">
        <v>538</v>
      </c>
      <c r="F1341" s="3" t="s">
        <v>1710</v>
      </c>
      <c r="G1341" s="4">
        <f>+251923639048</f>
        <v>251923639048</v>
      </c>
      <c r="H1341" s="3" t="s">
        <v>29</v>
      </c>
      <c r="I1341" s="3" t="s">
        <v>19</v>
      </c>
      <c r="J1341" s="3" t="s">
        <v>19</v>
      </c>
      <c r="K1341" s="3" t="s">
        <v>25</v>
      </c>
      <c r="L1341" s="3">
        <v>35.14</v>
      </c>
      <c r="M1341" s="3" t="s">
        <v>1695</v>
      </c>
      <c r="N1341" s="3" t="s">
        <v>1696</v>
      </c>
      <c r="O1341" s="3">
        <v>1.44613028033E11</v>
      </c>
    </row>
    <row r="1342">
      <c r="A1342" s="3">
        <v>2512537.0</v>
      </c>
      <c r="B1342" s="3" t="s">
        <v>3040</v>
      </c>
      <c r="C1342" s="3" t="b">
        <v>1</v>
      </c>
      <c r="D1342" s="3" t="b">
        <v>0</v>
      </c>
      <c r="E1342" s="3" t="s">
        <v>3041</v>
      </c>
      <c r="F1342" s="3" t="s">
        <v>3042</v>
      </c>
      <c r="G1342" s="4">
        <f>+251986947998</f>
        <v>251986947998</v>
      </c>
      <c r="H1342" s="3" t="s">
        <v>29</v>
      </c>
      <c r="I1342" s="3" t="s">
        <v>19</v>
      </c>
      <c r="J1342" s="3" t="s">
        <v>19</v>
      </c>
      <c r="K1342" s="3" t="s">
        <v>25</v>
      </c>
      <c r="L1342" s="3">
        <v>26.8</v>
      </c>
      <c r="M1342" s="3" t="s">
        <v>1695</v>
      </c>
      <c r="N1342" s="3" t="s">
        <v>1696</v>
      </c>
      <c r="O1342" s="3">
        <v>1.44613151987E11</v>
      </c>
    </row>
    <row r="1343">
      <c r="A1343" s="3">
        <v>2512609.0</v>
      </c>
      <c r="B1343" s="3" t="s">
        <v>3043</v>
      </c>
      <c r="C1343" s="3" t="b">
        <v>0</v>
      </c>
      <c r="D1343" s="3" t="b">
        <v>1</v>
      </c>
      <c r="E1343" s="3" t="s">
        <v>3044</v>
      </c>
      <c r="F1343" s="3" t="s">
        <v>96</v>
      </c>
      <c r="G1343" s="4">
        <f>+251921829442</f>
        <v>251921829442</v>
      </c>
      <c r="H1343" s="3" t="s">
        <v>346</v>
      </c>
      <c r="I1343" s="3" t="s">
        <v>19</v>
      </c>
      <c r="J1343" s="3" t="s">
        <v>19</v>
      </c>
      <c r="K1343" s="3" t="s">
        <v>25</v>
      </c>
      <c r="L1343" s="3">
        <v>23.28</v>
      </c>
      <c r="M1343" s="3" t="s">
        <v>1695</v>
      </c>
      <c r="N1343" s="3" t="s">
        <v>1696</v>
      </c>
      <c r="O1343" s="3">
        <v>1.44754145486E11</v>
      </c>
    </row>
    <row r="1344">
      <c r="A1344" s="3">
        <v>2437201.0</v>
      </c>
      <c r="B1344" s="3" t="s">
        <v>3045</v>
      </c>
      <c r="C1344" s="3" t="b">
        <v>1</v>
      </c>
      <c r="D1344" s="3" t="b">
        <v>1</v>
      </c>
      <c r="E1344" s="3" t="s">
        <v>1112</v>
      </c>
      <c r="F1344" s="3" t="s">
        <v>1071</v>
      </c>
      <c r="G1344" s="4">
        <f>+251920302596</f>
        <v>251920302596</v>
      </c>
      <c r="H1344" s="3" t="s">
        <v>29</v>
      </c>
      <c r="I1344" s="3" t="s">
        <v>19</v>
      </c>
      <c r="J1344" s="3" t="s">
        <v>19</v>
      </c>
      <c r="K1344" s="3" t="s">
        <v>25</v>
      </c>
      <c r="L1344" s="3">
        <v>22.94</v>
      </c>
      <c r="M1344" s="3" t="s">
        <v>1695</v>
      </c>
      <c r="N1344" s="3" t="s">
        <v>1696</v>
      </c>
      <c r="O1344" s="3">
        <v>1.03416250609E11</v>
      </c>
    </row>
    <row r="1345">
      <c r="A1345" s="3">
        <v>2510445.0</v>
      </c>
      <c r="B1345" s="3" t="s">
        <v>3046</v>
      </c>
      <c r="C1345" s="3" t="b">
        <v>1</v>
      </c>
      <c r="D1345" s="3" t="b">
        <v>1</v>
      </c>
      <c r="E1345" s="3" t="s">
        <v>120</v>
      </c>
      <c r="F1345" s="3" t="s">
        <v>3047</v>
      </c>
      <c r="G1345" s="4">
        <f>+251948242477</f>
        <v>251948242477</v>
      </c>
      <c r="H1345" s="3" t="s">
        <v>985</v>
      </c>
      <c r="I1345" s="3" t="s">
        <v>19</v>
      </c>
      <c r="J1345" s="3" t="s">
        <v>19</v>
      </c>
      <c r="K1345" s="3" t="s">
        <v>25</v>
      </c>
      <c r="L1345" s="3">
        <v>33.89</v>
      </c>
      <c r="M1345" s="3" t="s">
        <v>1695</v>
      </c>
      <c r="N1345" s="3" t="s">
        <v>1696</v>
      </c>
    </row>
    <row r="1346">
      <c r="A1346" s="3">
        <v>2512984.0</v>
      </c>
      <c r="B1346" s="3" t="s">
        <v>3048</v>
      </c>
      <c r="C1346" s="3" t="b">
        <v>1</v>
      </c>
      <c r="D1346" s="3" t="b">
        <v>1</v>
      </c>
      <c r="E1346" s="3" t="s">
        <v>683</v>
      </c>
      <c r="F1346" s="3" t="s">
        <v>271</v>
      </c>
      <c r="G1346" s="4">
        <f>+251987272741</f>
        <v>251987272741</v>
      </c>
      <c r="H1346" s="3" t="s">
        <v>18</v>
      </c>
      <c r="I1346" s="3" t="s">
        <v>19</v>
      </c>
      <c r="J1346" s="3" t="s">
        <v>19</v>
      </c>
      <c r="K1346" s="3" t="s">
        <v>25</v>
      </c>
      <c r="L1346" s="3">
        <v>18.58</v>
      </c>
      <c r="M1346" s="3" t="s">
        <v>1695</v>
      </c>
      <c r="N1346" s="3" t="s">
        <v>1696</v>
      </c>
    </row>
    <row r="1347">
      <c r="A1347" s="3">
        <v>2513023.0</v>
      </c>
      <c r="B1347" s="3" t="s">
        <v>3049</v>
      </c>
      <c r="C1347" s="3" t="b">
        <v>0</v>
      </c>
      <c r="D1347" s="3" t="b">
        <v>1</v>
      </c>
      <c r="E1347" s="3" t="s">
        <v>316</v>
      </c>
      <c r="F1347" s="3" t="s">
        <v>3050</v>
      </c>
      <c r="G1347" s="4">
        <f>+251956706574</f>
        <v>251956706574</v>
      </c>
      <c r="H1347" s="3" t="s">
        <v>18</v>
      </c>
      <c r="I1347" s="3" t="s">
        <v>19</v>
      </c>
      <c r="J1347" s="3" t="s">
        <v>19</v>
      </c>
      <c r="K1347" s="3" t="s">
        <v>25</v>
      </c>
      <c r="L1347" s="3">
        <v>18.36</v>
      </c>
      <c r="M1347" s="3" t="s">
        <v>1695</v>
      </c>
      <c r="N1347" s="3" t="s">
        <v>1696</v>
      </c>
      <c r="O1347" s="3">
        <v>1.44919186642E11</v>
      </c>
    </row>
    <row r="1348">
      <c r="A1348" s="3">
        <v>2513242.0</v>
      </c>
      <c r="B1348" s="3" t="s">
        <v>3051</v>
      </c>
      <c r="C1348" s="3" t="b">
        <v>1</v>
      </c>
      <c r="D1348" s="3" t="b">
        <v>1</v>
      </c>
      <c r="E1348" s="3" t="s">
        <v>840</v>
      </c>
      <c r="F1348" s="3" t="s">
        <v>55</v>
      </c>
      <c r="G1348" s="4">
        <f>+251967080661</f>
        <v>251967080661</v>
      </c>
      <c r="H1348" s="3" t="s">
        <v>18</v>
      </c>
      <c r="I1348" s="3" t="s">
        <v>19</v>
      </c>
      <c r="J1348" s="3" t="s">
        <v>3052</v>
      </c>
      <c r="K1348" s="3" t="s">
        <v>25</v>
      </c>
      <c r="L1348" s="3">
        <v>24.27</v>
      </c>
      <c r="M1348" s="3" t="s">
        <v>1695</v>
      </c>
      <c r="N1348" s="3" t="s">
        <v>1696</v>
      </c>
      <c r="O1348" s="3">
        <v>1.45014116553E11</v>
      </c>
    </row>
    <row r="1349">
      <c r="A1349" s="3">
        <v>2513332.0</v>
      </c>
      <c r="B1349" s="3" t="s">
        <v>3053</v>
      </c>
      <c r="C1349" s="3" t="b">
        <v>1</v>
      </c>
      <c r="D1349" s="3" t="b">
        <v>1</v>
      </c>
      <c r="E1349" s="3" t="s">
        <v>327</v>
      </c>
      <c r="F1349" s="3" t="s">
        <v>196</v>
      </c>
      <c r="G1349" s="4">
        <f>+251930875216</f>
        <v>251930875216</v>
      </c>
      <c r="H1349" s="3" t="s">
        <v>18</v>
      </c>
      <c r="I1349" s="3" t="s">
        <v>19</v>
      </c>
      <c r="J1349" s="3" t="s">
        <v>19</v>
      </c>
      <c r="K1349" s="3" t="s">
        <v>25</v>
      </c>
      <c r="L1349" s="3">
        <v>28.19</v>
      </c>
      <c r="M1349" s="3" t="s">
        <v>1695</v>
      </c>
      <c r="N1349" s="3" t="s">
        <v>1696</v>
      </c>
      <c r="O1349" s="3">
        <v>1.45027334344E11</v>
      </c>
    </row>
    <row r="1350">
      <c r="A1350" s="3">
        <v>2513389.0</v>
      </c>
      <c r="B1350" s="3" t="s">
        <v>3054</v>
      </c>
      <c r="C1350" s="3" t="b">
        <v>1</v>
      </c>
      <c r="D1350" s="3" t="b">
        <v>1</v>
      </c>
      <c r="E1350" s="3" t="s">
        <v>968</v>
      </c>
      <c r="F1350" s="3" t="s">
        <v>3055</v>
      </c>
      <c r="G1350" s="4">
        <f>+251920895507</f>
        <v>251920895507</v>
      </c>
      <c r="H1350" s="3" t="s">
        <v>18</v>
      </c>
      <c r="I1350" s="3" t="s">
        <v>19</v>
      </c>
      <c r="J1350" s="3" t="s">
        <v>19</v>
      </c>
      <c r="K1350" s="3" t="s">
        <v>25</v>
      </c>
      <c r="L1350" s="3">
        <v>28.17</v>
      </c>
      <c r="M1350" s="3" t="s">
        <v>1695</v>
      </c>
      <c r="N1350" s="3" t="s">
        <v>1696</v>
      </c>
      <c r="O1350" s="3">
        <v>6224757.0</v>
      </c>
    </row>
    <row r="1351">
      <c r="A1351" s="3">
        <v>2513540.0</v>
      </c>
      <c r="B1351" s="3" t="s">
        <v>3056</v>
      </c>
      <c r="C1351" s="3" t="b">
        <v>0</v>
      </c>
      <c r="D1351" s="3" t="b">
        <v>1</v>
      </c>
      <c r="E1351" s="3" t="s">
        <v>1729</v>
      </c>
      <c r="F1351" s="3" t="s">
        <v>387</v>
      </c>
      <c r="G1351" s="4">
        <f>+251995468027</f>
        <v>251995468027</v>
      </c>
      <c r="H1351" s="3" t="s">
        <v>1175</v>
      </c>
      <c r="I1351" s="3" t="s">
        <v>19</v>
      </c>
      <c r="J1351" s="3" t="s">
        <v>19</v>
      </c>
      <c r="K1351" s="3" t="s">
        <v>25</v>
      </c>
      <c r="L1351" s="3">
        <v>23.25</v>
      </c>
      <c r="M1351" s="3" t="s">
        <v>1695</v>
      </c>
      <c r="N1351" s="3" t="s">
        <v>1696</v>
      </c>
      <c r="O1351" s="3">
        <v>1.44983236823E11</v>
      </c>
    </row>
    <row r="1352">
      <c r="A1352" s="3">
        <v>2513772.0</v>
      </c>
      <c r="B1352" s="3" t="s">
        <v>3057</v>
      </c>
      <c r="C1352" s="3" t="b">
        <v>1</v>
      </c>
      <c r="D1352" s="3" t="b">
        <v>1</v>
      </c>
      <c r="E1352" s="3" t="s">
        <v>3058</v>
      </c>
      <c r="F1352" s="3" t="s">
        <v>3059</v>
      </c>
      <c r="G1352" s="4">
        <f>+251960192962</f>
        <v>251960192962</v>
      </c>
      <c r="H1352" s="3" t="s">
        <v>18</v>
      </c>
      <c r="I1352" s="3" t="s">
        <v>19</v>
      </c>
      <c r="J1352" s="3" t="s">
        <v>19</v>
      </c>
      <c r="K1352" s="3" t="s">
        <v>25</v>
      </c>
      <c r="L1352" s="3">
        <v>22.27</v>
      </c>
      <c r="M1352" s="3" t="s">
        <v>1695</v>
      </c>
      <c r="N1352" s="3" t="s">
        <v>1696</v>
      </c>
      <c r="O1352" s="3">
        <v>1.45119205586E11</v>
      </c>
    </row>
    <row r="1353">
      <c r="A1353" s="3">
        <v>2513912.0</v>
      </c>
      <c r="B1353" s="3" t="s">
        <v>3060</v>
      </c>
      <c r="C1353" s="3" t="b">
        <v>1</v>
      </c>
      <c r="D1353" s="3" t="b">
        <v>1</v>
      </c>
      <c r="E1353" s="3" t="s">
        <v>3061</v>
      </c>
      <c r="F1353" s="3" t="s">
        <v>3062</v>
      </c>
      <c r="G1353" s="4">
        <f>+251925145207</f>
        <v>251925145207</v>
      </c>
      <c r="H1353" s="3" t="s">
        <v>18</v>
      </c>
      <c r="I1353" s="3" t="s">
        <v>19</v>
      </c>
      <c r="J1353" s="3" t="s">
        <v>19</v>
      </c>
      <c r="K1353" s="3" t="s">
        <v>25</v>
      </c>
      <c r="L1353" s="3">
        <v>34.85</v>
      </c>
      <c r="M1353" s="3" t="s">
        <v>1695</v>
      </c>
      <c r="N1353" s="3" t="s">
        <v>1696</v>
      </c>
    </row>
    <row r="1354">
      <c r="A1354" s="3">
        <v>2514097.0</v>
      </c>
      <c r="B1354" s="3" t="s">
        <v>3063</v>
      </c>
      <c r="C1354" s="3" t="b">
        <v>0</v>
      </c>
      <c r="D1354" s="3" t="b">
        <v>1</v>
      </c>
      <c r="E1354" s="3" t="s">
        <v>3064</v>
      </c>
      <c r="F1354" s="3" t="s">
        <v>46</v>
      </c>
      <c r="G1354" s="4">
        <f>+251900736484</f>
        <v>251900736484</v>
      </c>
      <c r="H1354" s="3" t="s">
        <v>1175</v>
      </c>
      <c r="I1354" s="3" t="s">
        <v>19</v>
      </c>
      <c r="J1354" s="3" t="s">
        <v>19</v>
      </c>
      <c r="K1354" s="3" t="s">
        <v>25</v>
      </c>
      <c r="L1354" s="3">
        <v>20.68</v>
      </c>
      <c r="M1354" s="3" t="s">
        <v>1695</v>
      </c>
      <c r="N1354" s="3" t="s">
        <v>1696</v>
      </c>
      <c r="O1354" s="3">
        <v>1.45352811719E11</v>
      </c>
    </row>
    <row r="1355">
      <c r="A1355" s="3">
        <v>2083987.0</v>
      </c>
      <c r="B1355" s="3" t="s">
        <v>3065</v>
      </c>
      <c r="C1355" s="3" t="b">
        <v>1</v>
      </c>
      <c r="D1355" s="3" t="b">
        <v>1</v>
      </c>
      <c r="E1355" s="3" t="s">
        <v>2758</v>
      </c>
      <c r="F1355" s="3" t="s">
        <v>3066</v>
      </c>
      <c r="G1355" s="4">
        <f>+251915330907</f>
        <v>251915330907</v>
      </c>
      <c r="H1355" s="3" t="s">
        <v>18</v>
      </c>
      <c r="I1355" s="3" t="s">
        <v>19</v>
      </c>
      <c r="J1355" s="3" t="s">
        <v>19</v>
      </c>
      <c r="K1355" s="3" t="s">
        <v>25</v>
      </c>
      <c r="L1355" s="3">
        <v>46.18</v>
      </c>
      <c r="M1355" s="3" t="s">
        <v>1695</v>
      </c>
      <c r="N1355" s="3" t="s">
        <v>1696</v>
      </c>
      <c r="O1355" s="3">
        <v>3.0431938535E10</v>
      </c>
    </row>
    <row r="1356">
      <c r="A1356" s="3">
        <v>2514593.0</v>
      </c>
      <c r="B1356" s="3" t="s">
        <v>3067</v>
      </c>
      <c r="C1356" s="3" t="b">
        <v>1</v>
      </c>
      <c r="D1356" s="3" t="b">
        <v>1</v>
      </c>
      <c r="E1356" s="3" t="s">
        <v>3068</v>
      </c>
      <c r="F1356" s="3" t="s">
        <v>2935</v>
      </c>
      <c r="G1356" s="4">
        <f>+251917711122</f>
        <v>251917711122</v>
      </c>
      <c r="H1356" s="3" t="s">
        <v>18</v>
      </c>
      <c r="I1356" s="3" t="s">
        <v>19</v>
      </c>
      <c r="J1356" s="3" t="s">
        <v>19</v>
      </c>
      <c r="K1356" s="3" t="s">
        <v>25</v>
      </c>
      <c r="L1356" s="3">
        <v>33.29</v>
      </c>
      <c r="M1356" s="3" t="s">
        <v>1695</v>
      </c>
      <c r="N1356" s="3" t="s">
        <v>1696</v>
      </c>
    </row>
    <row r="1357">
      <c r="A1357" s="3">
        <v>2514709.0</v>
      </c>
      <c r="B1357" s="3" t="s">
        <v>3069</v>
      </c>
      <c r="C1357" s="3" t="b">
        <v>0</v>
      </c>
      <c r="D1357" s="3" t="b">
        <v>1</v>
      </c>
      <c r="E1357" s="3" t="s">
        <v>1284</v>
      </c>
      <c r="F1357" s="3" t="s">
        <v>1614</v>
      </c>
      <c r="G1357" s="4">
        <f>+251920242215</f>
        <v>251920242215</v>
      </c>
      <c r="H1357" s="3" t="s">
        <v>18</v>
      </c>
      <c r="I1357" s="3" t="s">
        <v>19</v>
      </c>
      <c r="J1357" s="3" t="s">
        <v>19</v>
      </c>
      <c r="K1357" s="3" t="s">
        <v>25</v>
      </c>
      <c r="L1357" s="3">
        <v>36.15</v>
      </c>
      <c r="M1357" s="3" t="s">
        <v>1695</v>
      </c>
      <c r="N1357" s="3" t="s">
        <v>1696</v>
      </c>
      <c r="O1357" s="3">
        <v>1.45789895911E11</v>
      </c>
    </row>
    <row r="1358">
      <c r="A1358" s="3">
        <v>2514864.0</v>
      </c>
      <c r="B1358" s="3" t="s">
        <v>3070</v>
      </c>
      <c r="C1358" s="3" t="b">
        <v>1</v>
      </c>
      <c r="D1358" s="3" t="b">
        <v>0</v>
      </c>
      <c r="E1358" s="3" t="s">
        <v>3071</v>
      </c>
      <c r="F1358" s="3" t="s">
        <v>2820</v>
      </c>
      <c r="G1358" s="4">
        <f>+251929038359</f>
        <v>251929038359</v>
      </c>
      <c r="H1358" s="3" t="s">
        <v>18</v>
      </c>
      <c r="I1358" s="3" t="s">
        <v>19</v>
      </c>
      <c r="J1358" s="3" t="s">
        <v>19</v>
      </c>
      <c r="K1358" s="3" t="s">
        <v>25</v>
      </c>
      <c r="L1358" s="3">
        <v>21.59</v>
      </c>
      <c r="M1358" s="3" t="s">
        <v>1695</v>
      </c>
      <c r="N1358" s="3" t="s">
        <v>1696</v>
      </c>
      <c r="O1358" s="3">
        <v>1.45873171647E11</v>
      </c>
    </row>
    <row r="1359">
      <c r="A1359" s="3">
        <v>2510496.0</v>
      </c>
      <c r="B1359" s="3" t="s">
        <v>3072</v>
      </c>
      <c r="C1359" s="3" t="b">
        <v>1</v>
      </c>
      <c r="D1359" s="3" t="b">
        <v>1</v>
      </c>
      <c r="E1359" s="3" t="s">
        <v>3073</v>
      </c>
      <c r="F1359" s="3" t="s">
        <v>64</v>
      </c>
      <c r="G1359" s="4">
        <f>+8562055809385</f>
        <v>8562055809385</v>
      </c>
      <c r="H1359" s="3" t="s">
        <v>18</v>
      </c>
      <c r="I1359" s="3" t="s">
        <v>19</v>
      </c>
      <c r="J1359" s="3" t="s">
        <v>19</v>
      </c>
      <c r="K1359" s="3" t="s">
        <v>20</v>
      </c>
      <c r="L1359" s="3">
        <v>25.53</v>
      </c>
      <c r="M1359" s="3" t="s">
        <v>1695</v>
      </c>
      <c r="N1359" s="3" t="s">
        <v>1696</v>
      </c>
      <c r="O1359" s="3">
        <v>1.43362073808E11</v>
      </c>
    </row>
    <row r="1360">
      <c r="A1360" s="3">
        <v>2514935.0</v>
      </c>
      <c r="B1360" s="3" t="s">
        <v>3074</v>
      </c>
      <c r="C1360" s="3" t="b">
        <v>0</v>
      </c>
      <c r="D1360" s="3" t="b">
        <v>1</v>
      </c>
      <c r="E1360" s="3" t="s">
        <v>3075</v>
      </c>
      <c r="F1360" s="3" t="s">
        <v>3076</v>
      </c>
      <c r="G1360" s="4">
        <f>+251934868376</f>
        <v>251934868376</v>
      </c>
      <c r="H1360" s="3" t="s">
        <v>18</v>
      </c>
      <c r="I1360" s="3" t="s">
        <v>19</v>
      </c>
      <c r="J1360" s="3" t="s">
        <v>19</v>
      </c>
      <c r="K1360" s="3" t="s">
        <v>20</v>
      </c>
      <c r="L1360" s="3">
        <v>19.51</v>
      </c>
      <c r="M1360" s="3" t="s">
        <v>1695</v>
      </c>
      <c r="N1360" s="3" t="s">
        <v>1696</v>
      </c>
      <c r="O1360" s="3">
        <v>1.45883803876E11</v>
      </c>
    </row>
    <row r="1361">
      <c r="A1361" s="3">
        <v>2514953.0</v>
      </c>
      <c r="B1361" s="3" t="s">
        <v>3077</v>
      </c>
      <c r="C1361" s="3" t="b">
        <v>1</v>
      </c>
      <c r="D1361" s="3" t="b">
        <v>1</v>
      </c>
      <c r="E1361" s="3" t="s">
        <v>3078</v>
      </c>
      <c r="F1361" s="3" t="s">
        <v>771</v>
      </c>
      <c r="G1361" s="4">
        <f>+251920192609</f>
        <v>251920192609</v>
      </c>
      <c r="H1361" s="3" t="s">
        <v>18</v>
      </c>
      <c r="I1361" s="3" t="s">
        <v>19</v>
      </c>
      <c r="J1361" s="3" t="s">
        <v>19</v>
      </c>
      <c r="K1361" s="3" t="s">
        <v>20</v>
      </c>
      <c r="L1361" s="3">
        <v>25.4</v>
      </c>
      <c r="M1361" s="3" t="s">
        <v>1695</v>
      </c>
      <c r="N1361" s="3" t="s">
        <v>1696</v>
      </c>
    </row>
    <row r="1362">
      <c r="A1362" s="3">
        <v>2515059.0</v>
      </c>
      <c r="B1362" s="3" t="s">
        <v>3079</v>
      </c>
      <c r="C1362" s="3" t="b">
        <v>1</v>
      </c>
      <c r="D1362" s="3" t="b">
        <v>1</v>
      </c>
      <c r="E1362" s="3" t="s">
        <v>192</v>
      </c>
      <c r="F1362" s="3" t="s">
        <v>425</v>
      </c>
      <c r="G1362" s="4">
        <f>+251968785657</f>
        <v>251968785657</v>
      </c>
      <c r="H1362" s="3" t="s">
        <v>18</v>
      </c>
      <c r="I1362" s="3" t="s">
        <v>19</v>
      </c>
      <c r="J1362" s="3" t="s">
        <v>19</v>
      </c>
      <c r="K1362" s="3" t="s">
        <v>25</v>
      </c>
      <c r="L1362" s="3">
        <v>19.63</v>
      </c>
      <c r="M1362" s="3" t="s">
        <v>1695</v>
      </c>
      <c r="N1362" s="3" t="s">
        <v>1696</v>
      </c>
    </row>
    <row r="1363">
      <c r="A1363" s="3">
        <v>2515060.0</v>
      </c>
      <c r="B1363" s="3" t="s">
        <v>3080</v>
      </c>
      <c r="C1363" s="3" t="b">
        <v>1</v>
      </c>
      <c r="D1363" s="3" t="b">
        <v>1</v>
      </c>
      <c r="E1363" s="3" t="s">
        <v>3081</v>
      </c>
      <c r="F1363" s="3" t="s">
        <v>3082</v>
      </c>
      <c r="G1363" s="4">
        <f>+251989332032</f>
        <v>251989332032</v>
      </c>
      <c r="H1363" s="3" t="s">
        <v>18</v>
      </c>
      <c r="I1363" s="3" t="s">
        <v>19</v>
      </c>
      <c r="J1363" s="3" t="s">
        <v>19</v>
      </c>
      <c r="K1363" s="3" t="s">
        <v>20</v>
      </c>
      <c r="L1363" s="3">
        <v>34.45</v>
      </c>
      <c r="M1363" s="3" t="s">
        <v>1695</v>
      </c>
      <c r="N1363" s="3" t="s">
        <v>1696</v>
      </c>
      <c r="O1363" s="3">
        <v>1.45842360523E11</v>
      </c>
    </row>
    <row r="1364">
      <c r="A1364" s="3">
        <v>2515153.0</v>
      </c>
      <c r="B1364" s="3" t="s">
        <v>3083</v>
      </c>
      <c r="C1364" s="3" t="b">
        <v>0</v>
      </c>
      <c r="D1364" s="3" t="b">
        <v>1</v>
      </c>
      <c r="E1364" s="3" t="s">
        <v>2905</v>
      </c>
      <c r="F1364" s="3" t="s">
        <v>409</v>
      </c>
      <c r="G1364" s="4">
        <f>+251992573564</f>
        <v>251992573564</v>
      </c>
      <c r="H1364" s="3" t="s">
        <v>87</v>
      </c>
      <c r="I1364" s="3" t="s">
        <v>19</v>
      </c>
      <c r="J1364" s="3" t="s">
        <v>19</v>
      </c>
      <c r="K1364" s="3" t="s">
        <v>25</v>
      </c>
      <c r="L1364" s="3">
        <v>18.41</v>
      </c>
      <c r="M1364" s="3" t="s">
        <v>1695</v>
      </c>
      <c r="N1364" s="3" t="s">
        <v>1696</v>
      </c>
      <c r="O1364" s="3">
        <v>1.4590168188E11</v>
      </c>
    </row>
    <row r="1365">
      <c r="A1365" s="3">
        <v>2515199.0</v>
      </c>
      <c r="B1365" s="3" t="s">
        <v>3084</v>
      </c>
      <c r="C1365" s="3" t="b">
        <v>1</v>
      </c>
      <c r="D1365" s="3" t="b">
        <v>1</v>
      </c>
      <c r="E1365" s="3" t="s">
        <v>479</v>
      </c>
      <c r="F1365" s="3" t="s">
        <v>3085</v>
      </c>
      <c r="G1365" s="4">
        <f>+251948900599</f>
        <v>251948900599</v>
      </c>
      <c r="H1365" s="3" t="s">
        <v>18</v>
      </c>
      <c r="I1365" s="3" t="s">
        <v>19</v>
      </c>
      <c r="J1365" s="3" t="s">
        <v>19</v>
      </c>
      <c r="K1365" s="3" t="s">
        <v>25</v>
      </c>
      <c r="L1365" s="3">
        <v>22.15</v>
      </c>
      <c r="M1365" s="3" t="s">
        <v>1695</v>
      </c>
      <c r="N1365" s="3" t="s">
        <v>1696</v>
      </c>
      <c r="O1365" s="3">
        <v>1.45923724476E11</v>
      </c>
    </row>
    <row r="1366">
      <c r="A1366" s="3">
        <v>2515230.0</v>
      </c>
      <c r="B1366" s="3" t="s">
        <v>3086</v>
      </c>
      <c r="C1366" s="3" t="b">
        <v>0</v>
      </c>
      <c r="D1366" s="3" t="b">
        <v>1</v>
      </c>
      <c r="E1366" s="3" t="s">
        <v>3087</v>
      </c>
      <c r="F1366" s="3" t="s">
        <v>2178</v>
      </c>
      <c r="G1366" s="4">
        <f>+251942339216</f>
        <v>251942339216</v>
      </c>
      <c r="H1366" s="3" t="s">
        <v>29</v>
      </c>
      <c r="I1366" s="3" t="s">
        <v>19</v>
      </c>
      <c r="J1366" s="3" t="s">
        <v>19</v>
      </c>
      <c r="K1366" s="3" t="s">
        <v>20</v>
      </c>
      <c r="L1366" s="3">
        <v>28.71</v>
      </c>
      <c r="M1366" s="3" t="s">
        <v>1695</v>
      </c>
      <c r="N1366" s="3" t="s">
        <v>1696</v>
      </c>
      <c r="O1366" s="3">
        <v>2.3450421E7</v>
      </c>
    </row>
    <row r="1367">
      <c r="A1367" s="3">
        <v>2515422.0</v>
      </c>
      <c r="B1367" s="3" t="s">
        <v>3088</v>
      </c>
      <c r="C1367" s="3" t="b">
        <v>1</v>
      </c>
      <c r="D1367" s="3" t="b">
        <v>1</v>
      </c>
      <c r="E1367" s="3" t="s">
        <v>1937</v>
      </c>
      <c r="F1367" s="3" t="s">
        <v>3089</v>
      </c>
      <c r="G1367" s="4">
        <f>+251930638686</f>
        <v>251930638686</v>
      </c>
      <c r="H1367" s="3" t="s">
        <v>18</v>
      </c>
      <c r="I1367" s="3" t="s">
        <v>19</v>
      </c>
      <c r="J1367" s="3" t="s">
        <v>19</v>
      </c>
      <c r="K1367" s="3" t="s">
        <v>25</v>
      </c>
      <c r="L1367" s="3">
        <v>23.34</v>
      </c>
      <c r="M1367" s="3" t="s">
        <v>1695</v>
      </c>
      <c r="N1367" s="3" t="s">
        <v>1696</v>
      </c>
      <c r="O1367" s="3">
        <v>2.5747676E7</v>
      </c>
    </row>
    <row r="1368">
      <c r="A1368" s="3">
        <v>2515481.0</v>
      </c>
      <c r="B1368" s="3" t="s">
        <v>3090</v>
      </c>
      <c r="C1368" s="3" t="b">
        <v>1</v>
      </c>
      <c r="D1368" s="3" t="b">
        <v>1</v>
      </c>
      <c r="E1368" s="3" t="s">
        <v>3091</v>
      </c>
      <c r="F1368" s="3" t="s">
        <v>1656</v>
      </c>
      <c r="G1368" s="4">
        <f>+251919203146</f>
        <v>251919203146</v>
      </c>
      <c r="H1368" s="3" t="s">
        <v>18</v>
      </c>
      <c r="I1368" s="3" t="s">
        <v>19</v>
      </c>
      <c r="J1368" s="3" t="s">
        <v>19</v>
      </c>
      <c r="K1368" s="3" t="s">
        <v>25</v>
      </c>
      <c r="L1368" s="3">
        <v>31.11</v>
      </c>
      <c r="M1368" s="3" t="s">
        <v>1695</v>
      </c>
      <c r="N1368" s="3" t="s">
        <v>1696</v>
      </c>
      <c r="O1368" s="3">
        <v>1.46017988829E11</v>
      </c>
    </row>
    <row r="1369">
      <c r="A1369" s="3">
        <v>2515619.0</v>
      </c>
      <c r="B1369" s="3" t="s">
        <v>3092</v>
      </c>
      <c r="C1369" s="3" t="b">
        <v>1</v>
      </c>
      <c r="D1369" s="3" t="b">
        <v>1</v>
      </c>
      <c r="E1369" s="3" t="s">
        <v>327</v>
      </c>
      <c r="F1369" s="3" t="s">
        <v>724</v>
      </c>
      <c r="G1369" s="4">
        <f>+251923178580</f>
        <v>251923178580</v>
      </c>
      <c r="H1369" s="3" t="s">
        <v>346</v>
      </c>
      <c r="I1369" s="3" t="s">
        <v>19</v>
      </c>
      <c r="J1369" s="3" t="s">
        <v>19</v>
      </c>
      <c r="K1369" s="3" t="s">
        <v>25</v>
      </c>
      <c r="L1369" s="3">
        <v>37.87</v>
      </c>
      <c r="M1369" s="3" t="s">
        <v>1695</v>
      </c>
      <c r="N1369" s="3" t="s">
        <v>1696</v>
      </c>
      <c r="O1369" s="3">
        <v>1.4602515377E11</v>
      </c>
    </row>
    <row r="1370">
      <c r="A1370" s="3">
        <v>2515840.0</v>
      </c>
      <c r="B1370" s="3" t="s">
        <v>3093</v>
      </c>
      <c r="C1370" s="3" t="b">
        <v>0</v>
      </c>
      <c r="D1370" s="3" t="b">
        <v>1</v>
      </c>
      <c r="E1370" s="3" t="s">
        <v>328</v>
      </c>
      <c r="F1370" s="3" t="s">
        <v>1112</v>
      </c>
      <c r="G1370" s="4">
        <f>+251941318724</f>
        <v>251941318724</v>
      </c>
      <c r="H1370" s="3" t="s">
        <v>249</v>
      </c>
      <c r="I1370" s="3" t="s">
        <v>19</v>
      </c>
      <c r="J1370" s="3" t="s">
        <v>19</v>
      </c>
      <c r="K1370" s="3" t="s">
        <v>25</v>
      </c>
      <c r="L1370" s="3">
        <v>29.47</v>
      </c>
      <c r="M1370" s="3" t="s">
        <v>1695</v>
      </c>
      <c r="N1370" s="3" t="s">
        <v>1696</v>
      </c>
      <c r="O1370" s="3">
        <v>1.46207463661E11</v>
      </c>
    </row>
    <row r="1371">
      <c r="A1371" s="3">
        <v>2515876.0</v>
      </c>
      <c r="B1371" s="3" t="s">
        <v>3094</v>
      </c>
      <c r="C1371" s="3" t="b">
        <v>0</v>
      </c>
      <c r="D1371" s="3" t="b">
        <v>1</v>
      </c>
      <c r="E1371" s="3" t="s">
        <v>35</v>
      </c>
      <c r="F1371" s="3" t="s">
        <v>443</v>
      </c>
      <c r="G1371" s="4">
        <f>+251989889861</f>
        <v>251989889861</v>
      </c>
      <c r="H1371" s="3" t="s">
        <v>44</v>
      </c>
      <c r="I1371" s="3" t="s">
        <v>19</v>
      </c>
      <c r="J1371" s="3" t="s">
        <v>19</v>
      </c>
      <c r="K1371" s="3" t="s">
        <v>25</v>
      </c>
      <c r="L1371" s="3">
        <v>34.77</v>
      </c>
      <c r="M1371" s="3" t="s">
        <v>1695</v>
      </c>
      <c r="N1371" s="3" t="s">
        <v>1696</v>
      </c>
      <c r="O1371" s="3">
        <v>1.46316827881E11</v>
      </c>
    </row>
    <row r="1372">
      <c r="A1372" s="3">
        <v>2516019.0</v>
      </c>
      <c r="B1372" s="3" t="s">
        <v>3095</v>
      </c>
      <c r="C1372" s="3" t="b">
        <v>0</v>
      </c>
      <c r="D1372" s="3" t="b">
        <v>1</v>
      </c>
      <c r="E1372" s="3" t="s">
        <v>3096</v>
      </c>
      <c r="F1372" s="3" t="s">
        <v>55</v>
      </c>
      <c r="G1372" s="4">
        <f>+1251910111655</f>
        <v>1251910111655</v>
      </c>
      <c r="H1372" s="3" t="s">
        <v>18</v>
      </c>
      <c r="I1372" s="3" t="s">
        <v>19</v>
      </c>
      <c r="J1372" s="3" t="s">
        <v>19</v>
      </c>
      <c r="K1372" s="3" t="s">
        <v>25</v>
      </c>
      <c r="L1372" s="3">
        <v>32.58</v>
      </c>
      <c r="M1372" s="3" t="s">
        <v>1695</v>
      </c>
      <c r="N1372" s="3" t="s">
        <v>1696</v>
      </c>
      <c r="O1372" s="3">
        <v>1.46704984276E11</v>
      </c>
    </row>
    <row r="1373">
      <c r="A1373" s="3">
        <v>2510875.0</v>
      </c>
      <c r="B1373" s="3" t="s">
        <v>3097</v>
      </c>
      <c r="C1373" s="3" t="b">
        <v>1</v>
      </c>
      <c r="D1373" s="3" t="b">
        <v>1</v>
      </c>
      <c r="E1373" s="3" t="s">
        <v>58</v>
      </c>
      <c r="F1373" s="3" t="s">
        <v>815</v>
      </c>
      <c r="G1373" s="4">
        <f>+251985030032</f>
        <v>251985030032</v>
      </c>
      <c r="H1373" s="3" t="s">
        <v>18</v>
      </c>
      <c r="I1373" s="3" t="s">
        <v>19</v>
      </c>
      <c r="J1373" s="3" t="s">
        <v>19</v>
      </c>
      <c r="K1373" s="3" t="s">
        <v>25</v>
      </c>
      <c r="L1373" s="3">
        <v>21.41</v>
      </c>
      <c r="M1373" s="3" t="s">
        <v>1695</v>
      </c>
      <c r="N1373" s="3" t="s">
        <v>1696</v>
      </c>
      <c r="O1373" s="3">
        <v>1.43714239706E11</v>
      </c>
    </row>
    <row r="1374">
      <c r="A1374" s="3">
        <v>2517202.0</v>
      </c>
      <c r="B1374" s="3" t="s">
        <v>3098</v>
      </c>
      <c r="C1374" s="3" t="b">
        <v>1</v>
      </c>
      <c r="D1374" s="3" t="b">
        <v>1</v>
      </c>
      <c r="E1374" s="3" t="s">
        <v>3099</v>
      </c>
      <c r="F1374" s="3" t="s">
        <v>3100</v>
      </c>
      <c r="G1374" s="4">
        <f>+251914738237</f>
        <v>251914738237</v>
      </c>
      <c r="H1374" s="3" t="s">
        <v>18</v>
      </c>
      <c r="I1374" s="3" t="s">
        <v>19</v>
      </c>
      <c r="J1374" s="3" t="s">
        <v>19</v>
      </c>
      <c r="K1374" s="3" t="s">
        <v>25</v>
      </c>
      <c r="L1374" s="3">
        <v>32.05</v>
      </c>
      <c r="M1374" s="3" t="s">
        <v>1695</v>
      </c>
      <c r="N1374" s="3" t="s">
        <v>1696</v>
      </c>
      <c r="O1374" s="3">
        <v>1.47479827689E11</v>
      </c>
    </row>
    <row r="1375">
      <c r="A1375" s="3">
        <v>212317.0</v>
      </c>
      <c r="B1375" s="3" t="s">
        <v>3101</v>
      </c>
      <c r="C1375" s="3" t="b">
        <v>1</v>
      </c>
      <c r="D1375" s="3" t="b">
        <v>1</v>
      </c>
      <c r="E1375" s="3" t="s">
        <v>3102</v>
      </c>
      <c r="F1375" s="3" t="s">
        <v>3103</v>
      </c>
      <c r="G1375" s="4">
        <f>+251914203586</f>
        <v>251914203586</v>
      </c>
      <c r="H1375" s="3" t="s">
        <v>985</v>
      </c>
      <c r="I1375" s="3" t="s">
        <v>19</v>
      </c>
      <c r="J1375" s="3" t="s">
        <v>19</v>
      </c>
      <c r="K1375" s="3" t="s">
        <v>25</v>
      </c>
      <c r="L1375" s="3">
        <v>30.42</v>
      </c>
      <c r="M1375" s="3" t="s">
        <v>1695</v>
      </c>
      <c r="N1375" s="3" t="s">
        <v>1696</v>
      </c>
      <c r="O1375" s="3">
        <v>2.6744151E7</v>
      </c>
    </row>
    <row r="1376">
      <c r="A1376" s="3">
        <v>2517898.0</v>
      </c>
      <c r="B1376" s="3" t="s">
        <v>3104</v>
      </c>
      <c r="C1376" s="3" t="b">
        <v>1</v>
      </c>
      <c r="D1376" s="3" t="b">
        <v>1</v>
      </c>
      <c r="E1376" s="3" t="s">
        <v>3105</v>
      </c>
      <c r="F1376" s="3" t="s">
        <v>993</v>
      </c>
      <c r="G1376" s="4">
        <f>+251918265479</f>
        <v>251918265479</v>
      </c>
      <c r="H1376" s="3" t="s">
        <v>18</v>
      </c>
      <c r="I1376" s="3" t="s">
        <v>19</v>
      </c>
      <c r="J1376" s="3" t="s">
        <v>19</v>
      </c>
      <c r="K1376" s="3" t="s">
        <v>25</v>
      </c>
      <c r="L1376" s="3">
        <v>41.63</v>
      </c>
      <c r="M1376" s="3" t="s">
        <v>1695</v>
      </c>
      <c r="N1376" s="3" t="s">
        <v>1696</v>
      </c>
      <c r="O1376" s="3">
        <v>1.47871604979E11</v>
      </c>
    </row>
    <row r="1377">
      <c r="A1377" s="3">
        <v>83113.0</v>
      </c>
      <c r="B1377" s="3" t="s">
        <v>3106</v>
      </c>
      <c r="C1377" s="3" t="b">
        <v>1</v>
      </c>
      <c r="D1377" s="3" t="b">
        <v>1</v>
      </c>
      <c r="E1377" s="3" t="s">
        <v>3107</v>
      </c>
      <c r="F1377" s="3" t="s">
        <v>3108</v>
      </c>
      <c r="G1377" s="4">
        <f>+251923812775</f>
        <v>251923812775</v>
      </c>
      <c r="H1377" s="3" t="s">
        <v>18</v>
      </c>
      <c r="I1377" s="3" t="s">
        <v>19</v>
      </c>
      <c r="J1377" s="3" t="s">
        <v>19</v>
      </c>
      <c r="K1377" s="3" t="s">
        <v>25</v>
      </c>
      <c r="L1377" s="3">
        <v>31.02</v>
      </c>
      <c r="M1377" s="3" t="s">
        <v>1695</v>
      </c>
      <c r="N1377" s="3" t="s">
        <v>1696</v>
      </c>
      <c r="O1377" s="3">
        <v>1876812.0</v>
      </c>
    </row>
    <row r="1378">
      <c r="A1378" s="3">
        <v>2518203.0</v>
      </c>
      <c r="B1378" s="3" t="s">
        <v>3109</v>
      </c>
      <c r="C1378" s="3" t="b">
        <v>1</v>
      </c>
      <c r="D1378" s="3" t="b">
        <v>1</v>
      </c>
      <c r="E1378" s="3" t="s">
        <v>3110</v>
      </c>
      <c r="F1378" s="3" t="s">
        <v>795</v>
      </c>
      <c r="G1378" s="4">
        <f>+251913670301</f>
        <v>251913670301</v>
      </c>
      <c r="H1378" s="3" t="s">
        <v>18</v>
      </c>
      <c r="I1378" s="3" t="s">
        <v>19</v>
      </c>
      <c r="J1378" s="3" t="s">
        <v>19</v>
      </c>
      <c r="K1378" s="3" t="s">
        <v>25</v>
      </c>
      <c r="L1378" s="3">
        <v>41.71</v>
      </c>
      <c r="M1378" s="3" t="s">
        <v>1695</v>
      </c>
      <c r="N1378" s="3" t="s">
        <v>1696</v>
      </c>
      <c r="O1378" s="3">
        <v>2.3042568E7</v>
      </c>
    </row>
    <row r="1379">
      <c r="A1379" s="3">
        <v>2518268.0</v>
      </c>
      <c r="B1379" s="3" t="s">
        <v>3111</v>
      </c>
      <c r="C1379" s="3" t="b">
        <v>0</v>
      </c>
      <c r="D1379" s="3" t="b">
        <v>1</v>
      </c>
      <c r="E1379" s="3" t="s">
        <v>3112</v>
      </c>
      <c r="F1379" s="3" t="s">
        <v>1368</v>
      </c>
      <c r="G1379" s="4">
        <f>+251929920361</f>
        <v>251929920361</v>
      </c>
      <c r="H1379" s="3" t="s">
        <v>44</v>
      </c>
      <c r="I1379" s="3" t="s">
        <v>19</v>
      </c>
      <c r="J1379" s="3" t="s">
        <v>19</v>
      </c>
      <c r="K1379" s="3" t="s">
        <v>25</v>
      </c>
      <c r="L1379" s="3">
        <v>33.46</v>
      </c>
      <c r="M1379" s="3" t="s">
        <v>1695</v>
      </c>
      <c r="N1379" s="3" t="s">
        <v>1696</v>
      </c>
      <c r="O1379" s="3">
        <v>2.3445985E7</v>
      </c>
    </row>
    <row r="1380">
      <c r="A1380" s="3">
        <v>2510232.0</v>
      </c>
      <c r="B1380" s="3" t="s">
        <v>3113</v>
      </c>
      <c r="C1380" s="3" t="b">
        <v>1</v>
      </c>
      <c r="D1380" s="3" t="b">
        <v>1</v>
      </c>
      <c r="E1380" s="3" t="s">
        <v>3114</v>
      </c>
      <c r="F1380" s="3" t="s">
        <v>3115</v>
      </c>
      <c r="G1380" s="4">
        <f>+251910840082</f>
        <v>251910840082</v>
      </c>
      <c r="H1380" s="3" t="s">
        <v>18</v>
      </c>
      <c r="I1380" s="3" t="s">
        <v>19</v>
      </c>
      <c r="J1380" s="3" t="s">
        <v>19</v>
      </c>
      <c r="K1380" s="3" t="s">
        <v>25</v>
      </c>
      <c r="L1380" s="3">
        <v>29.44</v>
      </c>
      <c r="M1380" s="3" t="s">
        <v>1695</v>
      </c>
      <c r="N1380" s="3" t="s">
        <v>1696</v>
      </c>
      <c r="O1380" s="3">
        <v>1.43210707167E11</v>
      </c>
    </row>
    <row r="1381">
      <c r="A1381" s="3">
        <v>2507745.0</v>
      </c>
      <c r="B1381" s="3" t="s">
        <v>3116</v>
      </c>
      <c r="C1381" s="3" t="b">
        <v>1</v>
      </c>
      <c r="D1381" s="3" t="b">
        <v>1</v>
      </c>
      <c r="E1381" s="3" t="s">
        <v>2052</v>
      </c>
      <c r="F1381" s="3" t="s">
        <v>3117</v>
      </c>
      <c r="G1381" s="4">
        <f>+251904761931</f>
        <v>251904761931</v>
      </c>
      <c r="H1381" s="3" t="s">
        <v>18</v>
      </c>
      <c r="I1381" s="3" t="s">
        <v>19</v>
      </c>
      <c r="J1381" s="3" t="s">
        <v>19</v>
      </c>
      <c r="K1381" s="3" t="s">
        <v>25</v>
      </c>
      <c r="L1381" s="3">
        <v>26.68</v>
      </c>
      <c r="M1381" s="3" t="s">
        <v>1695</v>
      </c>
      <c r="N1381" s="3" t="s">
        <v>1696</v>
      </c>
    </row>
    <row r="1382">
      <c r="A1382" s="3">
        <v>2515899.0</v>
      </c>
      <c r="B1382" s="3" t="s">
        <v>3118</v>
      </c>
      <c r="C1382" s="3" t="b">
        <v>1</v>
      </c>
      <c r="D1382" s="3" t="b">
        <v>1</v>
      </c>
      <c r="E1382" s="3" t="s">
        <v>3119</v>
      </c>
      <c r="F1382" s="3" t="s">
        <v>3120</v>
      </c>
      <c r="G1382" s="4">
        <f>+251913159617</f>
        <v>251913159617</v>
      </c>
      <c r="H1382" s="3" t="s">
        <v>18</v>
      </c>
      <c r="I1382" s="3" t="s">
        <v>19</v>
      </c>
      <c r="J1382" s="3" t="s">
        <v>19</v>
      </c>
      <c r="K1382" s="3" t="s">
        <v>25</v>
      </c>
      <c r="L1382" s="3">
        <v>43.06</v>
      </c>
      <c r="M1382" s="3" t="s">
        <v>1695</v>
      </c>
      <c r="N1382" s="3" t="s">
        <v>1696</v>
      </c>
      <c r="O1382" s="3">
        <v>1.46271132893E11</v>
      </c>
    </row>
    <row r="1383">
      <c r="A1383" s="3">
        <v>2361680.0</v>
      </c>
      <c r="B1383" s="3" t="s">
        <v>3121</v>
      </c>
      <c r="C1383" s="3" t="b">
        <v>1</v>
      </c>
      <c r="D1383" s="3" t="b">
        <v>1</v>
      </c>
      <c r="E1383" s="3" t="s">
        <v>3122</v>
      </c>
      <c r="F1383" s="3" t="s">
        <v>3123</v>
      </c>
      <c r="G1383" s="4">
        <f>+251925289315</f>
        <v>251925289315</v>
      </c>
      <c r="H1383" s="3" t="s">
        <v>18</v>
      </c>
      <c r="I1383" s="3" t="s">
        <v>19</v>
      </c>
      <c r="J1383" s="3" t="s">
        <v>19</v>
      </c>
      <c r="K1383" s="3" t="s">
        <v>20</v>
      </c>
      <c r="L1383" s="3">
        <v>28.78</v>
      </c>
      <c r="M1383" s="3" t="s">
        <v>1695</v>
      </c>
      <c r="N1383" s="3" t="s">
        <v>1696</v>
      </c>
      <c r="O1383" s="3">
        <v>3.9886155719E10</v>
      </c>
    </row>
    <row r="1384">
      <c r="A1384" s="3">
        <v>2519183.0</v>
      </c>
      <c r="B1384" s="3" t="s">
        <v>3124</v>
      </c>
      <c r="C1384" s="3" t="b">
        <v>0</v>
      </c>
      <c r="D1384" s="3" t="b">
        <v>1</v>
      </c>
      <c r="E1384" s="3" t="s">
        <v>3125</v>
      </c>
      <c r="F1384" s="3" t="s">
        <v>3126</v>
      </c>
      <c r="G1384" s="4">
        <f>+251918532615</f>
        <v>251918532615</v>
      </c>
      <c r="H1384" s="3" t="s">
        <v>29</v>
      </c>
      <c r="I1384" s="3" t="s">
        <v>19</v>
      </c>
      <c r="J1384" s="3" t="s">
        <v>19</v>
      </c>
      <c r="K1384" s="3" t="s">
        <v>25</v>
      </c>
      <c r="L1384" s="3">
        <v>30.56</v>
      </c>
      <c r="M1384" s="3" t="s">
        <v>1695</v>
      </c>
      <c r="N1384" s="3" t="s">
        <v>1696</v>
      </c>
      <c r="O1384" s="3">
        <v>2.3034934E7</v>
      </c>
    </row>
    <row r="1385">
      <c r="A1385" s="3">
        <v>2519425.0</v>
      </c>
      <c r="B1385" s="3" t="s">
        <v>3127</v>
      </c>
      <c r="C1385" s="3" t="b">
        <v>1</v>
      </c>
      <c r="D1385" s="3" t="b">
        <v>1</v>
      </c>
      <c r="E1385" s="3" t="s">
        <v>3128</v>
      </c>
      <c r="F1385" s="3" t="s">
        <v>922</v>
      </c>
      <c r="G1385" s="4">
        <f>+251930803551</f>
        <v>251930803551</v>
      </c>
      <c r="H1385" s="3" t="s">
        <v>18</v>
      </c>
      <c r="I1385" s="3" t="s">
        <v>19</v>
      </c>
      <c r="J1385" s="3" t="s">
        <v>19</v>
      </c>
      <c r="K1385" s="3" t="s">
        <v>25</v>
      </c>
      <c r="L1385" s="3">
        <v>24.78</v>
      </c>
      <c r="M1385" s="3" t="s">
        <v>1695</v>
      </c>
      <c r="N1385" s="3" t="s">
        <v>1696</v>
      </c>
      <c r="O1385" s="3">
        <v>1.48759606478E11</v>
      </c>
    </row>
    <row r="1386">
      <c r="A1386" s="3">
        <v>2519704.0</v>
      </c>
      <c r="B1386" s="3" t="s">
        <v>3129</v>
      </c>
      <c r="C1386" s="3" t="b">
        <v>0</v>
      </c>
      <c r="D1386" s="3" t="b">
        <v>1</v>
      </c>
      <c r="E1386" s="3" t="s">
        <v>425</v>
      </c>
      <c r="F1386" s="3" t="s">
        <v>1955</v>
      </c>
      <c r="G1386" s="4">
        <f>+251911412292</f>
        <v>251911412292</v>
      </c>
      <c r="H1386" s="3" t="s">
        <v>18</v>
      </c>
      <c r="I1386" s="3" t="s">
        <v>19</v>
      </c>
      <c r="J1386" s="3" t="s">
        <v>19</v>
      </c>
      <c r="K1386" s="3" t="s">
        <v>25</v>
      </c>
      <c r="L1386" s="3">
        <v>33.91</v>
      </c>
      <c r="M1386" s="3" t="s">
        <v>1695</v>
      </c>
      <c r="N1386" s="3" t="s">
        <v>1696</v>
      </c>
      <c r="O1386" s="3">
        <v>1.49234453695E11</v>
      </c>
    </row>
    <row r="1387">
      <c r="A1387" s="3">
        <v>2519828.0</v>
      </c>
      <c r="B1387" s="3" t="s">
        <v>3130</v>
      </c>
      <c r="C1387" s="3" t="b">
        <v>1</v>
      </c>
      <c r="D1387" s="3" t="b">
        <v>1</v>
      </c>
      <c r="E1387" s="3" t="s">
        <v>3131</v>
      </c>
      <c r="F1387" s="3" t="s">
        <v>3132</v>
      </c>
      <c r="G1387" s="4">
        <f>+251901742468</f>
        <v>251901742468</v>
      </c>
      <c r="H1387" s="3" t="s">
        <v>18</v>
      </c>
      <c r="I1387" s="3" t="s">
        <v>19</v>
      </c>
      <c r="J1387" s="3" t="s">
        <v>3133</v>
      </c>
      <c r="K1387" s="3" t="s">
        <v>20</v>
      </c>
      <c r="L1387" s="3">
        <v>22.99</v>
      </c>
      <c r="M1387" s="3" t="s">
        <v>1695</v>
      </c>
      <c r="N1387" s="3" t="s">
        <v>1696</v>
      </c>
      <c r="O1387" s="3">
        <v>1.49465541852E11</v>
      </c>
    </row>
    <row r="1388">
      <c r="A1388" s="3">
        <v>2519950.0</v>
      </c>
      <c r="B1388" s="3" t="s">
        <v>3134</v>
      </c>
      <c r="C1388" s="3" t="b">
        <v>1</v>
      </c>
      <c r="D1388" s="3" t="b">
        <v>1</v>
      </c>
      <c r="E1388" s="3" t="s">
        <v>3007</v>
      </c>
      <c r="F1388" s="3" t="s">
        <v>3135</v>
      </c>
      <c r="G1388" s="4">
        <f>+251920247826</f>
        <v>251920247826</v>
      </c>
      <c r="H1388" s="3" t="s">
        <v>29</v>
      </c>
      <c r="I1388" s="3" t="s">
        <v>19</v>
      </c>
      <c r="J1388" s="3" t="s">
        <v>19</v>
      </c>
      <c r="K1388" s="3" t="s">
        <v>25</v>
      </c>
      <c r="L1388" s="3">
        <v>34.13</v>
      </c>
      <c r="M1388" s="3" t="s">
        <v>1695</v>
      </c>
      <c r="N1388" s="3" t="s">
        <v>1696</v>
      </c>
      <c r="O1388" s="3">
        <v>1.495856284E11</v>
      </c>
    </row>
    <row r="1389">
      <c r="A1389" s="3">
        <v>2520115.0</v>
      </c>
      <c r="B1389" s="3" t="s">
        <v>3136</v>
      </c>
      <c r="C1389" s="3" t="b">
        <v>1</v>
      </c>
      <c r="D1389" s="3" t="b">
        <v>1</v>
      </c>
      <c r="E1389" s="3" t="s">
        <v>420</v>
      </c>
      <c r="F1389" s="3" t="s">
        <v>32</v>
      </c>
      <c r="G1389" s="4">
        <f>+251910340145</f>
        <v>251910340145</v>
      </c>
      <c r="H1389" s="3" t="s">
        <v>18</v>
      </c>
      <c r="I1389" s="3" t="s">
        <v>19</v>
      </c>
      <c r="J1389" s="3" t="s">
        <v>19</v>
      </c>
      <c r="K1389" s="3" t="s">
        <v>25</v>
      </c>
      <c r="L1389" s="3">
        <v>30.8</v>
      </c>
      <c r="M1389" s="3" t="s">
        <v>1695</v>
      </c>
      <c r="N1389" s="3" t="s">
        <v>1696</v>
      </c>
    </row>
    <row r="1390">
      <c r="A1390" s="3">
        <v>2520127.0</v>
      </c>
      <c r="B1390" s="3" t="s">
        <v>3137</v>
      </c>
      <c r="C1390" s="3" t="b">
        <v>0</v>
      </c>
      <c r="D1390" s="3" t="b">
        <v>1</v>
      </c>
      <c r="E1390" s="3" t="s">
        <v>273</v>
      </c>
      <c r="F1390" s="3" t="s">
        <v>1112</v>
      </c>
      <c r="G1390" s="4">
        <f>+251912159235</f>
        <v>251912159235</v>
      </c>
      <c r="H1390" s="3" t="s">
        <v>18</v>
      </c>
      <c r="I1390" s="3" t="s">
        <v>19</v>
      </c>
      <c r="J1390" s="3" t="s">
        <v>19</v>
      </c>
      <c r="K1390" s="3" t="s">
        <v>25</v>
      </c>
      <c r="L1390" s="3">
        <v>44.96</v>
      </c>
      <c r="M1390" s="3" t="s">
        <v>1695</v>
      </c>
      <c r="N1390" s="3" t="s">
        <v>1696</v>
      </c>
      <c r="O1390" s="3">
        <v>1.4972315566E11</v>
      </c>
    </row>
    <row r="1391">
      <c r="A1391" s="3">
        <v>2520222.0</v>
      </c>
      <c r="B1391" s="3" t="s">
        <v>3138</v>
      </c>
      <c r="C1391" s="3" t="b">
        <v>0</v>
      </c>
      <c r="D1391" s="3" t="b">
        <v>1</v>
      </c>
      <c r="E1391" s="3" t="s">
        <v>261</v>
      </c>
      <c r="F1391" s="3" t="s">
        <v>2047</v>
      </c>
      <c r="G1391" s="4">
        <f>+251924711600</f>
        <v>251924711600</v>
      </c>
      <c r="H1391" s="3" t="s">
        <v>18</v>
      </c>
      <c r="I1391" s="3" t="s">
        <v>19</v>
      </c>
      <c r="J1391" s="3" t="s">
        <v>19</v>
      </c>
      <c r="K1391" s="3" t="s">
        <v>25</v>
      </c>
      <c r="L1391" s="3">
        <v>32.2</v>
      </c>
      <c r="M1391" s="3" t="s">
        <v>1695</v>
      </c>
      <c r="N1391" s="3" t="s">
        <v>1696</v>
      </c>
      <c r="O1391" s="3">
        <v>1.4977632173E11</v>
      </c>
    </row>
    <row r="1392">
      <c r="A1392" s="3">
        <v>2455892.0</v>
      </c>
      <c r="B1392" s="3" t="s">
        <v>3139</v>
      </c>
      <c r="C1392" s="3" t="b">
        <v>1</v>
      </c>
      <c r="D1392" s="3" t="b">
        <v>1</v>
      </c>
      <c r="E1392" s="3" t="s">
        <v>3140</v>
      </c>
      <c r="F1392" s="3" t="s">
        <v>2724</v>
      </c>
      <c r="G1392" s="4">
        <f>+251914953507</f>
        <v>251914953507</v>
      </c>
      <c r="H1392" s="3" t="s">
        <v>346</v>
      </c>
      <c r="I1392" s="3" t="s">
        <v>19</v>
      </c>
      <c r="J1392" s="3" t="s">
        <v>19</v>
      </c>
      <c r="K1392" s="3" t="s">
        <v>20</v>
      </c>
      <c r="L1392" s="3">
        <v>23.13</v>
      </c>
      <c r="M1392" s="3" t="s">
        <v>1695</v>
      </c>
      <c r="N1392" s="3" t="s">
        <v>1696</v>
      </c>
      <c r="O1392" s="3">
        <v>1.09846256857E11</v>
      </c>
    </row>
    <row r="1393">
      <c r="A1393" s="3">
        <v>2537.0</v>
      </c>
      <c r="B1393" s="3" t="s">
        <v>3141</v>
      </c>
      <c r="C1393" s="3" t="b">
        <v>1</v>
      </c>
      <c r="D1393" s="3" t="b">
        <v>1</v>
      </c>
      <c r="E1393" s="3" t="s">
        <v>386</v>
      </c>
      <c r="F1393" s="3" t="s">
        <v>918</v>
      </c>
      <c r="G1393" s="3">
        <v>9.23996965E8</v>
      </c>
      <c r="H1393" s="3" t="s">
        <v>18</v>
      </c>
      <c r="I1393" s="3" t="s">
        <v>19</v>
      </c>
      <c r="J1393" s="3" t="s">
        <v>19</v>
      </c>
      <c r="K1393" s="3" t="s">
        <v>25</v>
      </c>
      <c r="L1393" s="3">
        <v>27.86</v>
      </c>
      <c r="M1393" s="3" t="s">
        <v>1695</v>
      </c>
      <c r="N1393" s="3" t="s">
        <v>1696</v>
      </c>
      <c r="O1393" s="3">
        <v>1841856.0</v>
      </c>
    </row>
    <row r="1394">
      <c r="A1394" s="3">
        <v>5833.0</v>
      </c>
      <c r="B1394" s="3" t="s">
        <v>3142</v>
      </c>
      <c r="C1394" s="3" t="b">
        <v>1</v>
      </c>
      <c r="D1394" s="3" t="b">
        <v>1</v>
      </c>
      <c r="E1394" s="3" t="s">
        <v>2605</v>
      </c>
      <c r="F1394" s="3" t="s">
        <v>446</v>
      </c>
      <c r="G1394" s="4">
        <f>+251912497292</f>
        <v>251912497292</v>
      </c>
      <c r="H1394" s="3" t="s">
        <v>18</v>
      </c>
      <c r="I1394" s="3" t="s">
        <v>19</v>
      </c>
      <c r="J1394" s="3" t="s">
        <v>19</v>
      </c>
      <c r="K1394" s="3" t="s">
        <v>20</v>
      </c>
      <c r="L1394" s="3">
        <v>30.75</v>
      </c>
      <c r="M1394" s="3" t="s">
        <v>1695</v>
      </c>
      <c r="N1394" s="3" t="s">
        <v>1696</v>
      </c>
      <c r="O1394" s="3">
        <v>2.5426984E7</v>
      </c>
    </row>
    <row r="1395">
      <c r="A1395" s="3">
        <v>2519686.0</v>
      </c>
      <c r="B1395" s="3" t="s">
        <v>3143</v>
      </c>
      <c r="C1395" s="3" t="b">
        <v>0</v>
      </c>
      <c r="D1395" s="3" t="b">
        <v>1</v>
      </c>
      <c r="E1395" s="3" t="s">
        <v>328</v>
      </c>
      <c r="F1395" s="3" t="s">
        <v>3144</v>
      </c>
      <c r="G1395" s="4">
        <f>+251941318724</f>
        <v>251941318724</v>
      </c>
      <c r="H1395" s="3" t="s">
        <v>249</v>
      </c>
      <c r="I1395" s="3" t="s">
        <v>19</v>
      </c>
      <c r="J1395" s="3" t="s">
        <v>19</v>
      </c>
      <c r="K1395" s="3" t="s">
        <v>25</v>
      </c>
      <c r="L1395" s="3">
        <v>29.47</v>
      </c>
      <c r="M1395" s="3" t="s">
        <v>1695</v>
      </c>
      <c r="N1395" s="3" t="s">
        <v>1696</v>
      </c>
      <c r="O1395" s="3">
        <v>1.49313482964E11</v>
      </c>
    </row>
    <row r="1396">
      <c r="A1396" s="3">
        <v>2520592.0</v>
      </c>
      <c r="B1396" s="3" t="s">
        <v>3145</v>
      </c>
      <c r="C1396" s="3" t="b">
        <v>1</v>
      </c>
      <c r="D1396" s="3" t="b">
        <v>1</v>
      </c>
      <c r="E1396" s="3" t="s">
        <v>1197</v>
      </c>
      <c r="F1396" s="3" t="s">
        <v>1198</v>
      </c>
      <c r="G1396" s="4">
        <f>+251912282638</f>
        <v>251912282638</v>
      </c>
      <c r="H1396" s="3" t="s">
        <v>18</v>
      </c>
      <c r="I1396" s="3" t="s">
        <v>19</v>
      </c>
      <c r="J1396" s="3" t="s">
        <v>19</v>
      </c>
      <c r="K1396" s="3" t="s">
        <v>25</v>
      </c>
      <c r="L1396" s="3">
        <v>33.29</v>
      </c>
      <c r="M1396" s="3" t="s">
        <v>1695</v>
      </c>
      <c r="N1396" s="3" t="s">
        <v>1696</v>
      </c>
    </row>
    <row r="1397">
      <c r="A1397" s="3">
        <v>2520862.0</v>
      </c>
      <c r="B1397" s="3" t="s">
        <v>3146</v>
      </c>
      <c r="C1397" s="3" t="b">
        <v>1</v>
      </c>
      <c r="D1397" s="3" t="b">
        <v>1</v>
      </c>
      <c r="E1397" s="3" t="s">
        <v>3147</v>
      </c>
      <c r="F1397" s="3" t="s">
        <v>3148</v>
      </c>
      <c r="G1397" s="4">
        <f>+251996247501</f>
        <v>251996247501</v>
      </c>
      <c r="H1397" s="3" t="s">
        <v>18</v>
      </c>
      <c r="I1397" s="3" t="s">
        <v>19</v>
      </c>
      <c r="J1397" s="3" t="s">
        <v>19</v>
      </c>
      <c r="K1397" s="3" t="s">
        <v>25</v>
      </c>
      <c r="L1397" s="3">
        <v>19.06</v>
      </c>
      <c r="M1397" s="3" t="s">
        <v>1695</v>
      </c>
      <c r="N1397" s="3" t="s">
        <v>1696</v>
      </c>
      <c r="O1397" s="3">
        <v>1.49888522462E11</v>
      </c>
    </row>
    <row r="1398">
      <c r="A1398" s="3">
        <v>2521027.0</v>
      </c>
      <c r="B1398" s="3" t="s">
        <v>3149</v>
      </c>
      <c r="C1398" s="3" t="b">
        <v>0</v>
      </c>
      <c r="D1398" s="3" t="b">
        <v>1</v>
      </c>
      <c r="E1398" s="3" t="s">
        <v>3150</v>
      </c>
      <c r="F1398" s="3" t="s">
        <v>3151</v>
      </c>
      <c r="G1398" s="4">
        <f>+251964734445</f>
        <v>251964734445</v>
      </c>
      <c r="H1398" s="3" t="s">
        <v>18</v>
      </c>
      <c r="I1398" s="3" t="s">
        <v>19</v>
      </c>
      <c r="J1398" s="3" t="s">
        <v>19</v>
      </c>
      <c r="K1398" s="3" t="s">
        <v>25</v>
      </c>
      <c r="L1398" s="3">
        <v>23.09</v>
      </c>
      <c r="M1398" s="3" t="s">
        <v>1695</v>
      </c>
      <c r="N1398" s="3" t="s">
        <v>1696</v>
      </c>
      <c r="O1398" s="3">
        <v>1.50046770373E11</v>
      </c>
    </row>
    <row r="1399">
      <c r="A1399" s="3">
        <v>2521454.0</v>
      </c>
      <c r="B1399" s="3" t="s">
        <v>3152</v>
      </c>
      <c r="C1399" s="3" t="b">
        <v>1</v>
      </c>
      <c r="D1399" s="3" t="b">
        <v>1</v>
      </c>
      <c r="E1399" s="3" t="s">
        <v>1063</v>
      </c>
      <c r="F1399" s="3" t="s">
        <v>918</v>
      </c>
      <c r="G1399" s="4">
        <f>+251933451556</f>
        <v>251933451556</v>
      </c>
      <c r="H1399" s="3" t="s">
        <v>18</v>
      </c>
      <c r="I1399" s="3" t="s">
        <v>19</v>
      </c>
      <c r="J1399" s="3" t="s">
        <v>19</v>
      </c>
      <c r="K1399" s="3" t="s">
        <v>20</v>
      </c>
      <c r="L1399" s="3">
        <v>19.32</v>
      </c>
      <c r="M1399" s="3" t="s">
        <v>1695</v>
      </c>
      <c r="N1399" s="3" t="s">
        <v>1696</v>
      </c>
      <c r="O1399" s="3">
        <v>1.50418154694E11</v>
      </c>
    </row>
    <row r="1400">
      <c r="A1400" s="3">
        <v>2521667.0</v>
      </c>
      <c r="B1400" s="3" t="s">
        <v>3153</v>
      </c>
      <c r="C1400" s="3" t="b">
        <v>1</v>
      </c>
      <c r="D1400" s="3" t="b">
        <v>1</v>
      </c>
      <c r="E1400" s="3" t="s">
        <v>2084</v>
      </c>
      <c r="F1400" s="3" t="s">
        <v>596</v>
      </c>
      <c r="G1400" s="4">
        <f>+251967163303</f>
        <v>251967163303</v>
      </c>
      <c r="H1400" s="3" t="s">
        <v>18</v>
      </c>
      <c r="I1400" s="3" t="s">
        <v>19</v>
      </c>
      <c r="J1400" s="3" t="s">
        <v>19</v>
      </c>
      <c r="K1400" s="3" t="s">
        <v>25</v>
      </c>
      <c r="L1400" s="3">
        <v>28.62</v>
      </c>
      <c r="M1400" s="3" t="s">
        <v>1695</v>
      </c>
      <c r="N1400" s="3" t="s">
        <v>1696</v>
      </c>
    </row>
    <row r="1401">
      <c r="A1401" s="3">
        <v>2521335.0</v>
      </c>
      <c r="B1401" s="3" t="s">
        <v>3154</v>
      </c>
      <c r="C1401" s="3" t="b">
        <v>0</v>
      </c>
      <c r="D1401" s="3" t="b">
        <v>1</v>
      </c>
      <c r="E1401" s="3" t="s">
        <v>218</v>
      </c>
      <c r="F1401" s="3" t="s">
        <v>1000</v>
      </c>
      <c r="G1401" s="4">
        <f>+251949201436</f>
        <v>251949201436</v>
      </c>
      <c r="H1401" s="3" t="s">
        <v>18</v>
      </c>
      <c r="I1401" s="3" t="s">
        <v>19</v>
      </c>
      <c r="J1401" s="3" t="s">
        <v>19</v>
      </c>
      <c r="K1401" s="3" t="s">
        <v>25</v>
      </c>
      <c r="L1401" s="3">
        <v>13.13</v>
      </c>
      <c r="M1401" s="3" t="s">
        <v>1695</v>
      </c>
      <c r="N1401" s="3" t="s">
        <v>1696</v>
      </c>
      <c r="O1401" s="3">
        <v>1.50328873193E11</v>
      </c>
    </row>
    <row r="1402">
      <c r="A1402" s="3">
        <v>2522042.0</v>
      </c>
      <c r="B1402" s="3" t="s">
        <v>3155</v>
      </c>
      <c r="C1402" s="3" t="b">
        <v>1</v>
      </c>
      <c r="D1402" s="3" t="b">
        <v>1</v>
      </c>
      <c r="E1402" s="3" t="s">
        <v>443</v>
      </c>
      <c r="F1402" s="3" t="s">
        <v>865</v>
      </c>
      <c r="G1402" s="4">
        <f>+251910763663</f>
        <v>251910763663</v>
      </c>
      <c r="H1402" s="3" t="s">
        <v>18</v>
      </c>
      <c r="I1402" s="3" t="s">
        <v>19</v>
      </c>
      <c r="J1402" s="3" t="s">
        <v>19</v>
      </c>
      <c r="K1402" s="3" t="s">
        <v>25</v>
      </c>
      <c r="L1402" s="3">
        <v>31.65</v>
      </c>
      <c r="M1402" s="3" t="s">
        <v>1695</v>
      </c>
      <c r="N1402" s="3" t="s">
        <v>1696</v>
      </c>
      <c r="O1402" s="3">
        <v>1.50627708093E11</v>
      </c>
    </row>
    <row r="1403">
      <c r="A1403" s="3">
        <v>2522071.0</v>
      </c>
      <c r="B1403" s="3" t="s">
        <v>3156</v>
      </c>
      <c r="C1403" s="3" t="b">
        <v>1</v>
      </c>
      <c r="D1403" s="3" t="b">
        <v>1</v>
      </c>
      <c r="E1403" s="3" t="s">
        <v>3157</v>
      </c>
      <c r="F1403" s="3" t="s">
        <v>3158</v>
      </c>
      <c r="G1403" s="4">
        <f>+251915638950</f>
        <v>251915638950</v>
      </c>
      <c r="H1403" s="3" t="s">
        <v>18</v>
      </c>
      <c r="I1403" s="3" t="s">
        <v>19</v>
      </c>
      <c r="J1403" s="3" t="s">
        <v>19</v>
      </c>
      <c r="K1403" s="3" t="s">
        <v>25</v>
      </c>
      <c r="L1403" s="3">
        <v>26.19</v>
      </c>
      <c r="M1403" s="3" t="s">
        <v>1695</v>
      </c>
      <c r="N1403" s="3" t="s">
        <v>1696</v>
      </c>
      <c r="O1403" s="3">
        <v>1.50628652228E11</v>
      </c>
    </row>
    <row r="1404">
      <c r="A1404" s="3">
        <v>1971813.0</v>
      </c>
      <c r="B1404" s="3" t="s">
        <v>3159</v>
      </c>
      <c r="C1404" s="3" t="b">
        <v>1</v>
      </c>
      <c r="D1404" s="3" t="b">
        <v>1</v>
      </c>
      <c r="E1404" s="3" t="s">
        <v>3160</v>
      </c>
      <c r="F1404" s="3" t="s">
        <v>3161</v>
      </c>
      <c r="G1404" s="4">
        <f>+251710967877</f>
        <v>251710967877</v>
      </c>
      <c r="H1404" s="3" t="s">
        <v>18</v>
      </c>
      <c r="I1404" s="3" t="s">
        <v>19</v>
      </c>
      <c r="J1404" s="3" t="s">
        <v>19</v>
      </c>
      <c r="K1404" s="3" t="s">
        <v>20</v>
      </c>
      <c r="L1404" s="3">
        <v>24.83</v>
      </c>
      <c r="M1404" s="3" t="s">
        <v>1695</v>
      </c>
      <c r="N1404" s="3" t="s">
        <v>1696</v>
      </c>
    </row>
    <row r="1405">
      <c r="A1405" s="3">
        <v>2523065.0</v>
      </c>
      <c r="B1405" s="3" t="s">
        <v>3162</v>
      </c>
      <c r="C1405" s="3" t="b">
        <v>0</v>
      </c>
      <c r="D1405" s="3" t="b">
        <v>1</v>
      </c>
      <c r="E1405" s="3" t="s">
        <v>3163</v>
      </c>
      <c r="F1405" s="3" t="s">
        <v>3164</v>
      </c>
      <c r="G1405" s="4">
        <f>+251968592953</f>
        <v>251968592953</v>
      </c>
      <c r="H1405" s="3" t="s">
        <v>18</v>
      </c>
      <c r="I1405" s="3" t="s">
        <v>19</v>
      </c>
      <c r="J1405" s="3" t="s">
        <v>19</v>
      </c>
      <c r="K1405" s="3" t="s">
        <v>25</v>
      </c>
      <c r="L1405" s="3">
        <v>34.72</v>
      </c>
      <c r="M1405" s="3" t="s">
        <v>1695</v>
      </c>
      <c r="N1405" s="3" t="s">
        <v>1696</v>
      </c>
      <c r="O1405" s="3">
        <v>1.50944614642E11</v>
      </c>
    </row>
    <row r="1406">
      <c r="A1406" s="3">
        <v>1412597.0</v>
      </c>
      <c r="B1406" s="3" t="s">
        <v>3165</v>
      </c>
      <c r="C1406" s="3" t="b">
        <v>1</v>
      </c>
      <c r="D1406" s="3" t="b">
        <v>1</v>
      </c>
      <c r="E1406" s="3" t="s">
        <v>3166</v>
      </c>
      <c r="F1406" s="3" t="s">
        <v>3167</v>
      </c>
      <c r="G1406" s="3" t="s">
        <v>3168</v>
      </c>
      <c r="H1406" s="3" t="s">
        <v>18</v>
      </c>
      <c r="I1406" s="3" t="s">
        <v>19</v>
      </c>
      <c r="J1406" s="3" t="s">
        <v>19</v>
      </c>
      <c r="K1406" s="3" t="s">
        <v>20</v>
      </c>
      <c r="L1406" s="3">
        <v>32.02</v>
      </c>
      <c r="M1406" s="3" t="s">
        <v>1695</v>
      </c>
      <c r="N1406" s="3" t="s">
        <v>1696</v>
      </c>
      <c r="O1406" s="3">
        <v>1881697.0</v>
      </c>
    </row>
    <row r="1407">
      <c r="A1407" s="3">
        <v>2365435.0</v>
      </c>
      <c r="B1407" s="3" t="s">
        <v>3169</v>
      </c>
      <c r="C1407" s="3" t="b">
        <v>1</v>
      </c>
      <c r="D1407" s="3" t="b">
        <v>1</v>
      </c>
      <c r="E1407" s="3" t="s">
        <v>3170</v>
      </c>
      <c r="F1407" s="3" t="s">
        <v>649</v>
      </c>
      <c r="G1407" s="3">
        <v>9.13554337E8</v>
      </c>
      <c r="H1407" s="3" t="s">
        <v>18</v>
      </c>
      <c r="I1407" s="3" t="s">
        <v>19</v>
      </c>
      <c r="J1407" s="3" t="s">
        <v>19</v>
      </c>
      <c r="K1407" s="3" t="s">
        <v>25</v>
      </c>
      <c r="L1407" s="3">
        <v>37.49</v>
      </c>
      <c r="M1407" s="3" t="s">
        <v>1695</v>
      </c>
      <c r="N1407" s="3" t="s">
        <v>1696</v>
      </c>
      <c r="O1407" s="3">
        <v>8793052.0</v>
      </c>
    </row>
    <row r="1408">
      <c r="A1408" s="3">
        <v>2524259.0</v>
      </c>
      <c r="B1408" s="3" t="s">
        <v>3171</v>
      </c>
      <c r="C1408" s="3" t="b">
        <v>0</v>
      </c>
      <c r="D1408" s="3" t="b">
        <v>1</v>
      </c>
      <c r="E1408" s="3" t="s">
        <v>3172</v>
      </c>
      <c r="F1408" s="3" t="s">
        <v>3173</v>
      </c>
      <c r="G1408" s="4">
        <f>+251920246050</f>
        <v>251920246050</v>
      </c>
      <c r="H1408" s="3" t="s">
        <v>18</v>
      </c>
      <c r="I1408" s="3" t="s">
        <v>19</v>
      </c>
      <c r="J1408" s="3" t="s">
        <v>19</v>
      </c>
      <c r="K1408" s="3" t="s">
        <v>20</v>
      </c>
      <c r="L1408" s="3">
        <v>23.49</v>
      </c>
      <c r="M1408" s="3" t="s">
        <v>1695</v>
      </c>
      <c r="N1408" s="3" t="s">
        <v>1696</v>
      </c>
      <c r="O1408" s="3">
        <v>1.51606932693E11</v>
      </c>
    </row>
    <row r="1409">
      <c r="A1409" s="3">
        <v>2511124.0</v>
      </c>
      <c r="B1409" s="3" t="s">
        <v>3174</v>
      </c>
      <c r="C1409" s="3" t="b">
        <v>1</v>
      </c>
      <c r="D1409" s="3" t="b">
        <v>1</v>
      </c>
      <c r="E1409" s="3" t="s">
        <v>3175</v>
      </c>
      <c r="F1409" s="3" t="s">
        <v>3176</v>
      </c>
      <c r="G1409" s="4">
        <f>+251973307445</f>
        <v>251973307445</v>
      </c>
      <c r="H1409" s="3" t="s">
        <v>18</v>
      </c>
      <c r="I1409" s="3" t="s">
        <v>19</v>
      </c>
      <c r="J1409" s="3" t="s">
        <v>19</v>
      </c>
      <c r="K1409" s="3" t="s">
        <v>25</v>
      </c>
      <c r="L1409" s="3">
        <v>30.37</v>
      </c>
      <c r="M1409" s="3" t="s">
        <v>1695</v>
      </c>
      <c r="N1409" s="3" t="s">
        <v>1696</v>
      </c>
      <c r="O1409" s="3">
        <v>1.43824040158E11</v>
      </c>
    </row>
    <row r="1410">
      <c r="A1410" s="3">
        <v>2524348.0</v>
      </c>
      <c r="B1410" s="3" t="s">
        <v>3177</v>
      </c>
      <c r="C1410" s="3" t="b">
        <v>1</v>
      </c>
      <c r="D1410" s="3" t="b">
        <v>1</v>
      </c>
      <c r="E1410" s="3" t="s">
        <v>328</v>
      </c>
      <c r="F1410" s="3" t="s">
        <v>532</v>
      </c>
      <c r="G1410" s="4">
        <f>+251911088573</f>
        <v>251911088573</v>
      </c>
      <c r="H1410" s="3" t="s">
        <v>18</v>
      </c>
      <c r="I1410" s="3" t="s">
        <v>19</v>
      </c>
      <c r="J1410" s="3" t="s">
        <v>19</v>
      </c>
      <c r="K1410" s="3" t="s">
        <v>25</v>
      </c>
      <c r="L1410" s="3">
        <v>44.24</v>
      </c>
      <c r="M1410" s="3" t="s">
        <v>1695</v>
      </c>
      <c r="N1410" s="3" t="s">
        <v>1696</v>
      </c>
    </row>
    <row r="1411">
      <c r="A1411" s="3">
        <v>2471767.0</v>
      </c>
      <c r="B1411" s="3" t="s">
        <v>3178</v>
      </c>
      <c r="C1411" s="3" t="b">
        <v>1</v>
      </c>
      <c r="D1411" s="3" t="b">
        <v>1</v>
      </c>
      <c r="E1411" s="3" t="s">
        <v>3179</v>
      </c>
      <c r="F1411" s="3" t="s">
        <v>3180</v>
      </c>
      <c r="G1411" s="4">
        <f>+251924223167</f>
        <v>251924223167</v>
      </c>
      <c r="H1411" s="3" t="s">
        <v>289</v>
      </c>
      <c r="I1411" s="3" t="s">
        <v>19</v>
      </c>
      <c r="J1411" s="3" t="s">
        <v>19</v>
      </c>
      <c r="K1411" s="3" t="s">
        <v>25</v>
      </c>
      <c r="L1411" s="3">
        <v>22.27</v>
      </c>
      <c r="M1411" s="3" t="s">
        <v>1695</v>
      </c>
      <c r="N1411" s="3" t="s">
        <v>1696</v>
      </c>
      <c r="O1411" s="3">
        <v>1.10582681813E11</v>
      </c>
    </row>
    <row r="1412">
      <c r="A1412" s="3">
        <v>2524581.0</v>
      </c>
      <c r="B1412" s="3" t="s">
        <v>3181</v>
      </c>
      <c r="C1412" s="3" t="b">
        <v>0</v>
      </c>
      <c r="D1412" s="3" t="b">
        <v>1</v>
      </c>
      <c r="E1412" s="3" t="s">
        <v>1144</v>
      </c>
      <c r="F1412" s="3" t="s">
        <v>3182</v>
      </c>
      <c r="G1412" s="3">
        <v>1.25935756579E11</v>
      </c>
      <c r="H1412" s="3" t="s">
        <v>1175</v>
      </c>
      <c r="I1412" s="3" t="s">
        <v>19</v>
      </c>
      <c r="J1412" s="3" t="s">
        <v>19</v>
      </c>
      <c r="K1412" s="3" t="s">
        <v>20</v>
      </c>
      <c r="L1412" s="3">
        <v>34.31</v>
      </c>
      <c r="M1412" s="3" t="s">
        <v>1695</v>
      </c>
      <c r="N1412" s="3" t="s">
        <v>1696</v>
      </c>
      <c r="O1412" s="3">
        <v>1.51844523221E11</v>
      </c>
    </row>
    <row r="1413">
      <c r="A1413" s="3">
        <v>2524700.0</v>
      </c>
      <c r="B1413" s="3" t="s">
        <v>3183</v>
      </c>
      <c r="C1413" s="3" t="b">
        <v>1</v>
      </c>
      <c r="D1413" s="3" t="b">
        <v>1</v>
      </c>
      <c r="E1413" s="3" t="s">
        <v>3184</v>
      </c>
      <c r="F1413" s="3" t="s">
        <v>317</v>
      </c>
      <c r="G1413" s="4">
        <f>+251936569968</f>
        <v>251936569968</v>
      </c>
      <c r="H1413" s="3" t="s">
        <v>18</v>
      </c>
      <c r="I1413" s="3" t="s">
        <v>19</v>
      </c>
      <c r="J1413" s="3" t="s">
        <v>2317</v>
      </c>
      <c r="K1413" s="3" t="s">
        <v>20</v>
      </c>
      <c r="L1413" s="3">
        <v>29.65</v>
      </c>
      <c r="M1413" s="3" t="s">
        <v>1695</v>
      </c>
      <c r="N1413" s="3" t="s">
        <v>1696</v>
      </c>
      <c r="O1413" s="3">
        <v>1.51859904709E11</v>
      </c>
    </row>
    <row r="1414">
      <c r="A1414" s="3">
        <v>2525170.0</v>
      </c>
      <c r="B1414" s="3" t="s">
        <v>3185</v>
      </c>
      <c r="C1414" s="3" t="b">
        <v>1</v>
      </c>
      <c r="D1414" s="3" t="b">
        <v>1</v>
      </c>
      <c r="E1414" s="3" t="s">
        <v>204</v>
      </c>
      <c r="F1414" s="3" t="s">
        <v>111</v>
      </c>
      <c r="G1414" s="4">
        <f>+251915241136</f>
        <v>251915241136</v>
      </c>
      <c r="H1414" s="3" t="s">
        <v>346</v>
      </c>
      <c r="I1414" s="3" t="s">
        <v>19</v>
      </c>
      <c r="J1414" s="3" t="s">
        <v>19</v>
      </c>
      <c r="K1414" s="3" t="s">
        <v>25</v>
      </c>
      <c r="L1414" s="3">
        <v>25.13</v>
      </c>
      <c r="M1414" s="3" t="s">
        <v>1695</v>
      </c>
      <c r="N1414" s="3" t="s">
        <v>1696</v>
      </c>
      <c r="O1414" s="3">
        <v>1.52066673891E11</v>
      </c>
    </row>
    <row r="1415">
      <c r="A1415" s="3">
        <v>2515048.0</v>
      </c>
      <c r="B1415" s="3" t="s">
        <v>3186</v>
      </c>
      <c r="C1415" s="3" t="b">
        <v>1</v>
      </c>
      <c r="D1415" s="3" t="b">
        <v>1</v>
      </c>
      <c r="E1415" s="3" t="s">
        <v>3187</v>
      </c>
      <c r="F1415" s="3" t="s">
        <v>3188</v>
      </c>
      <c r="G1415" s="4">
        <f>+251919588752</f>
        <v>251919588752</v>
      </c>
      <c r="H1415" s="3" t="s">
        <v>18</v>
      </c>
      <c r="I1415" s="3" t="s">
        <v>19</v>
      </c>
      <c r="J1415" s="3" t="s">
        <v>19</v>
      </c>
      <c r="K1415" s="3" t="s">
        <v>25</v>
      </c>
      <c r="L1415" s="3">
        <v>28.02</v>
      </c>
      <c r="M1415" s="3" t="s">
        <v>1695</v>
      </c>
      <c r="N1415" s="3" t="s">
        <v>1696</v>
      </c>
      <c r="O1415" s="3">
        <v>1.45842727136E11</v>
      </c>
    </row>
    <row r="1416">
      <c r="A1416" s="3">
        <v>2525514.0</v>
      </c>
      <c r="B1416" s="3" t="s">
        <v>3189</v>
      </c>
      <c r="C1416" s="3" t="b">
        <v>1</v>
      </c>
      <c r="D1416" s="3" t="b">
        <v>1</v>
      </c>
      <c r="E1416" s="3" t="s">
        <v>386</v>
      </c>
      <c r="F1416" s="3" t="s">
        <v>3190</v>
      </c>
      <c r="G1416" s="4">
        <f>+251912400708</f>
        <v>251912400708</v>
      </c>
      <c r="H1416" s="3" t="s">
        <v>87</v>
      </c>
      <c r="I1416" s="3" t="s">
        <v>19</v>
      </c>
      <c r="J1416" s="3" t="s">
        <v>19</v>
      </c>
      <c r="K1416" s="3" t="s">
        <v>25</v>
      </c>
      <c r="L1416" s="3">
        <v>34.33</v>
      </c>
      <c r="M1416" s="3" t="s">
        <v>1695</v>
      </c>
      <c r="N1416" s="3" t="s">
        <v>1696</v>
      </c>
      <c r="O1416" s="3">
        <v>1.52247721189E11</v>
      </c>
    </row>
    <row r="1417">
      <c r="A1417" s="3">
        <v>2525841.0</v>
      </c>
      <c r="B1417" s="3" t="s">
        <v>3191</v>
      </c>
      <c r="C1417" s="3" t="b">
        <v>1</v>
      </c>
      <c r="D1417" s="3" t="b">
        <v>1</v>
      </c>
      <c r="E1417" s="3" t="s">
        <v>795</v>
      </c>
      <c r="F1417" s="3" t="s">
        <v>3192</v>
      </c>
      <c r="G1417" s="4">
        <f>+251919019159</f>
        <v>251919019159</v>
      </c>
      <c r="H1417" s="3" t="s">
        <v>18</v>
      </c>
      <c r="I1417" s="3" t="s">
        <v>19</v>
      </c>
      <c r="J1417" s="3" t="s">
        <v>19</v>
      </c>
      <c r="K1417" s="3" t="s">
        <v>25</v>
      </c>
      <c r="L1417" s="3">
        <v>30.13</v>
      </c>
      <c r="M1417" s="3" t="s">
        <v>1695</v>
      </c>
      <c r="N1417" s="3" t="s">
        <v>1696</v>
      </c>
      <c r="O1417" s="3">
        <v>1914501.0</v>
      </c>
    </row>
    <row r="1418">
      <c r="A1418" s="3">
        <v>2525863.0</v>
      </c>
      <c r="B1418" s="3" t="s">
        <v>3193</v>
      </c>
      <c r="C1418" s="3" t="b">
        <v>0</v>
      </c>
      <c r="D1418" s="3" t="b">
        <v>1</v>
      </c>
      <c r="E1418" s="3" t="s">
        <v>3194</v>
      </c>
      <c r="F1418" s="3" t="s">
        <v>1174</v>
      </c>
      <c r="G1418" s="4">
        <f>+251715833212</f>
        <v>251715833212</v>
      </c>
      <c r="H1418" s="3" t="s">
        <v>18</v>
      </c>
      <c r="I1418" s="3" t="s">
        <v>19</v>
      </c>
      <c r="J1418" s="3" t="s">
        <v>19</v>
      </c>
      <c r="K1418" s="3" t="s">
        <v>25</v>
      </c>
      <c r="L1418" s="3">
        <v>27.8</v>
      </c>
      <c r="M1418" s="3" t="s">
        <v>1695</v>
      </c>
      <c r="N1418" s="3" t="s">
        <v>1696</v>
      </c>
      <c r="O1418" s="3">
        <v>2.3488648E7</v>
      </c>
    </row>
    <row r="1419">
      <c r="A1419" s="3">
        <v>2514753.0</v>
      </c>
      <c r="B1419" s="3" t="s">
        <v>3195</v>
      </c>
      <c r="C1419" s="3" t="b">
        <v>1</v>
      </c>
      <c r="D1419" s="3" t="b">
        <v>1</v>
      </c>
      <c r="E1419" s="3" t="s">
        <v>3196</v>
      </c>
      <c r="F1419" s="3" t="s">
        <v>877</v>
      </c>
      <c r="G1419" s="4">
        <f>+251946323967</f>
        <v>251946323967</v>
      </c>
      <c r="H1419" s="3" t="s">
        <v>18</v>
      </c>
      <c r="I1419" s="3" t="s">
        <v>19</v>
      </c>
      <c r="J1419" s="3" t="s">
        <v>19</v>
      </c>
      <c r="K1419" s="3" t="s">
        <v>25</v>
      </c>
      <c r="L1419" s="3">
        <v>44.77</v>
      </c>
      <c r="M1419" s="3" t="s">
        <v>1695</v>
      </c>
      <c r="N1419" s="3" t="s">
        <v>1696</v>
      </c>
      <c r="O1419" s="3">
        <v>1.45740021976E11</v>
      </c>
    </row>
    <row r="1420">
      <c r="A1420" s="3">
        <v>2526428.0</v>
      </c>
      <c r="B1420" s="3" t="s">
        <v>3197</v>
      </c>
      <c r="C1420" s="3" t="b">
        <v>0</v>
      </c>
      <c r="D1420" s="3" t="b">
        <v>1</v>
      </c>
      <c r="E1420" s="3" t="s">
        <v>3198</v>
      </c>
      <c r="F1420" s="3" t="s">
        <v>35</v>
      </c>
      <c r="G1420" s="4">
        <f>+251975358055</f>
        <v>251975358055</v>
      </c>
      <c r="H1420" s="3" t="s">
        <v>18</v>
      </c>
      <c r="I1420" s="3" t="s">
        <v>19</v>
      </c>
      <c r="J1420" s="3" t="s">
        <v>19</v>
      </c>
      <c r="K1420" s="3" t="s">
        <v>25</v>
      </c>
      <c r="L1420" s="3">
        <v>26.13</v>
      </c>
      <c r="M1420" s="3" t="s">
        <v>1695</v>
      </c>
      <c r="N1420" s="3" t="s">
        <v>1696</v>
      </c>
      <c r="O1420" s="3">
        <v>1.53072940251E11</v>
      </c>
    </row>
    <row r="1421">
      <c r="A1421" s="3">
        <v>2328811.0</v>
      </c>
      <c r="B1421" s="3" t="s">
        <v>3199</v>
      </c>
      <c r="C1421" s="3" t="b">
        <v>1</v>
      </c>
      <c r="D1421" s="3" t="b">
        <v>1</v>
      </c>
      <c r="E1421" s="3" t="s">
        <v>1532</v>
      </c>
      <c r="F1421" s="3" t="s">
        <v>3200</v>
      </c>
      <c r="G1421" s="4">
        <f>+251912352151</f>
        <v>251912352151</v>
      </c>
      <c r="H1421" s="3" t="s">
        <v>18</v>
      </c>
      <c r="I1421" s="3" t="s">
        <v>19</v>
      </c>
      <c r="J1421" s="3" t="s">
        <v>19</v>
      </c>
      <c r="K1421" s="3" t="s">
        <v>25</v>
      </c>
      <c r="L1421" s="3">
        <v>32.75</v>
      </c>
      <c r="M1421" s="3" t="s">
        <v>1695</v>
      </c>
      <c r="N1421" s="3" t="s">
        <v>1696</v>
      </c>
      <c r="O1421" s="3">
        <v>3.7150048481E10</v>
      </c>
    </row>
    <row r="1422">
      <c r="A1422" s="3">
        <v>2526517.0</v>
      </c>
      <c r="B1422" s="3" t="s">
        <v>3201</v>
      </c>
      <c r="C1422" s="3" t="b">
        <v>0</v>
      </c>
      <c r="D1422" s="3" t="b">
        <v>1</v>
      </c>
      <c r="E1422" s="3" t="s">
        <v>3202</v>
      </c>
      <c r="F1422" s="3" t="s">
        <v>2388</v>
      </c>
      <c r="G1422" s="4">
        <f>+251909340944</f>
        <v>251909340944</v>
      </c>
      <c r="H1422" s="3" t="s">
        <v>18</v>
      </c>
      <c r="I1422" s="3" t="s">
        <v>19</v>
      </c>
      <c r="J1422" s="3" t="s">
        <v>19</v>
      </c>
      <c r="K1422" s="3" t="s">
        <v>25</v>
      </c>
      <c r="L1422" s="3">
        <v>30.42</v>
      </c>
      <c r="M1422" s="3" t="s">
        <v>1695</v>
      </c>
      <c r="N1422" s="3" t="s">
        <v>1696</v>
      </c>
      <c r="O1422" s="3">
        <v>1.52917555424E11</v>
      </c>
    </row>
    <row r="1423">
      <c r="A1423" s="3">
        <v>2526772.0</v>
      </c>
      <c r="B1423" s="3" t="s">
        <v>3203</v>
      </c>
      <c r="C1423" s="3" t="b">
        <v>0</v>
      </c>
      <c r="D1423" s="3" t="b">
        <v>1</v>
      </c>
      <c r="E1423" s="3" t="s">
        <v>23</v>
      </c>
      <c r="F1423" s="3" t="s">
        <v>3204</v>
      </c>
      <c r="G1423" s="4">
        <f>+251939188601</f>
        <v>251939188601</v>
      </c>
      <c r="H1423" s="3" t="s">
        <v>18</v>
      </c>
      <c r="I1423" s="3" t="s">
        <v>19</v>
      </c>
      <c r="J1423" s="3" t="s">
        <v>19</v>
      </c>
      <c r="K1423" s="3" t="s">
        <v>25</v>
      </c>
      <c r="L1423" s="3">
        <v>35.12</v>
      </c>
      <c r="M1423" s="3" t="s">
        <v>1695</v>
      </c>
      <c r="N1423" s="3" t="s">
        <v>1696</v>
      </c>
      <c r="O1423" s="3">
        <v>1.52938365154E11</v>
      </c>
    </row>
    <row r="1424">
      <c r="A1424" s="3">
        <v>2333283.0</v>
      </c>
      <c r="B1424" s="3" t="s">
        <v>3205</v>
      </c>
      <c r="C1424" s="3" t="b">
        <v>1</v>
      </c>
      <c r="D1424" s="3" t="b">
        <v>1</v>
      </c>
      <c r="E1424" s="3" t="s">
        <v>3206</v>
      </c>
      <c r="F1424" s="3" t="s">
        <v>292</v>
      </c>
      <c r="G1424" s="4">
        <f>+251911606366</f>
        <v>251911606366</v>
      </c>
      <c r="H1424" s="3" t="s">
        <v>18</v>
      </c>
      <c r="I1424" s="3" t="s">
        <v>19</v>
      </c>
      <c r="J1424" s="3" t="s">
        <v>19</v>
      </c>
      <c r="K1424" s="3" t="s">
        <v>25</v>
      </c>
      <c r="L1424" s="3">
        <v>42.47</v>
      </c>
      <c r="M1424" s="3" t="s">
        <v>1695</v>
      </c>
      <c r="N1424" s="3" t="s">
        <v>1696</v>
      </c>
      <c r="O1424" s="3">
        <v>3.7566949082E10</v>
      </c>
    </row>
    <row r="1425">
      <c r="A1425" s="3">
        <v>2527050.0</v>
      </c>
      <c r="B1425" s="3" t="s">
        <v>3207</v>
      </c>
      <c r="C1425" s="3" t="b">
        <v>1</v>
      </c>
      <c r="D1425" s="3" t="b">
        <v>1</v>
      </c>
      <c r="E1425" s="3" t="s">
        <v>3208</v>
      </c>
      <c r="F1425" s="3" t="s">
        <v>3209</v>
      </c>
      <c r="G1425" s="4">
        <f>+251911712388</f>
        <v>251911712388</v>
      </c>
      <c r="H1425" s="3" t="s">
        <v>249</v>
      </c>
      <c r="I1425" s="3" t="s">
        <v>19</v>
      </c>
      <c r="J1425" s="3" t="s">
        <v>19</v>
      </c>
      <c r="K1425" s="3" t="s">
        <v>20</v>
      </c>
      <c r="L1425" s="3">
        <v>13.13</v>
      </c>
      <c r="M1425" s="3" t="s">
        <v>1695</v>
      </c>
      <c r="N1425" s="3" t="s">
        <v>1696</v>
      </c>
    </row>
    <row r="1426">
      <c r="A1426" s="3">
        <v>2527108.0</v>
      </c>
      <c r="B1426" s="3" t="s">
        <v>3210</v>
      </c>
      <c r="C1426" s="3" t="b">
        <v>0</v>
      </c>
      <c r="D1426" s="3" t="b">
        <v>1</v>
      </c>
      <c r="E1426" s="3" t="s">
        <v>3211</v>
      </c>
      <c r="F1426" s="3" t="s">
        <v>3212</v>
      </c>
      <c r="G1426" s="4">
        <f>+251904370063</f>
        <v>251904370063</v>
      </c>
      <c r="H1426" s="3" t="s">
        <v>18</v>
      </c>
      <c r="I1426" s="3" t="s">
        <v>19</v>
      </c>
      <c r="J1426" s="3" t="s">
        <v>19</v>
      </c>
      <c r="K1426" s="3" t="s">
        <v>20</v>
      </c>
      <c r="L1426" s="3">
        <v>25.51</v>
      </c>
      <c r="M1426" s="3" t="s">
        <v>1695</v>
      </c>
      <c r="N1426" s="3" t="s">
        <v>1696</v>
      </c>
      <c r="O1426" s="3">
        <v>1.53216309439E11</v>
      </c>
    </row>
    <row r="1427">
      <c r="A1427" s="3">
        <v>2527243.0</v>
      </c>
      <c r="B1427" s="3" t="s">
        <v>3213</v>
      </c>
      <c r="C1427" s="3" t="b">
        <v>0</v>
      </c>
      <c r="D1427" s="3" t="b">
        <v>1</v>
      </c>
      <c r="E1427" s="3" t="s">
        <v>2153</v>
      </c>
      <c r="F1427" s="3" t="s">
        <v>3214</v>
      </c>
      <c r="G1427" s="4">
        <f>+251921642907</f>
        <v>251921642907</v>
      </c>
      <c r="H1427" s="3" t="s">
        <v>18</v>
      </c>
      <c r="I1427" s="3" t="s">
        <v>19</v>
      </c>
      <c r="J1427" s="3" t="s">
        <v>19</v>
      </c>
      <c r="K1427" s="3" t="s">
        <v>25</v>
      </c>
      <c r="L1427" s="3">
        <v>29.35</v>
      </c>
      <c r="M1427" s="3" t="s">
        <v>1695</v>
      </c>
      <c r="N1427" s="3" t="s">
        <v>1696</v>
      </c>
      <c r="O1427" s="3">
        <v>1.53135173856E11</v>
      </c>
    </row>
    <row r="1428">
      <c r="A1428" s="3">
        <v>2527096.0</v>
      </c>
      <c r="B1428" s="3" t="s">
        <v>3215</v>
      </c>
      <c r="C1428" s="3" t="b">
        <v>1</v>
      </c>
      <c r="D1428" s="3" t="b">
        <v>1</v>
      </c>
      <c r="E1428" s="3" t="s">
        <v>46</v>
      </c>
      <c r="F1428" s="3" t="s">
        <v>3216</v>
      </c>
      <c r="G1428" s="4">
        <f>+251927440477</f>
        <v>251927440477</v>
      </c>
      <c r="H1428" s="3" t="s">
        <v>18</v>
      </c>
      <c r="I1428" s="3" t="s">
        <v>19</v>
      </c>
      <c r="J1428" s="3" t="s">
        <v>19</v>
      </c>
      <c r="K1428" s="3" t="s">
        <v>25</v>
      </c>
      <c r="L1428" s="3">
        <v>28.2</v>
      </c>
      <c r="M1428" s="3" t="s">
        <v>1695</v>
      </c>
      <c r="N1428" s="3" t="s">
        <v>1696</v>
      </c>
      <c r="O1428" s="3">
        <v>1860774.0</v>
      </c>
    </row>
    <row r="1429">
      <c r="A1429" s="3">
        <v>1529824.0</v>
      </c>
      <c r="B1429" s="3" t="s">
        <v>3217</v>
      </c>
      <c r="C1429" s="3" t="b">
        <v>1</v>
      </c>
      <c r="D1429" s="3" t="b">
        <v>1</v>
      </c>
      <c r="E1429" s="3" t="s">
        <v>3218</v>
      </c>
      <c r="F1429" s="3" t="s">
        <v>3219</v>
      </c>
      <c r="G1429" s="4" t="str">
        <f>+1muhidinshemsu3@gmail.com</f>
        <v>#ERROR!</v>
      </c>
      <c r="H1429" s="3" t="s">
        <v>18</v>
      </c>
      <c r="I1429" s="3" t="s">
        <v>19</v>
      </c>
      <c r="J1429" s="3" t="s">
        <v>19</v>
      </c>
      <c r="K1429" s="3" t="s">
        <v>25</v>
      </c>
      <c r="L1429" s="3">
        <v>20.68</v>
      </c>
      <c r="M1429" s="3" t="s">
        <v>1695</v>
      </c>
      <c r="N1429" s="3" t="s">
        <v>1696</v>
      </c>
      <c r="O1429" s="3">
        <v>1.0089462E7</v>
      </c>
    </row>
    <row r="1430">
      <c r="A1430" s="3">
        <v>2528650.0</v>
      </c>
      <c r="B1430" s="3" t="s">
        <v>3220</v>
      </c>
      <c r="C1430" s="3" t="b">
        <v>1</v>
      </c>
      <c r="D1430" s="3" t="b">
        <v>1</v>
      </c>
      <c r="E1430" s="3" t="s">
        <v>3221</v>
      </c>
      <c r="F1430" s="3" t="s">
        <v>3222</v>
      </c>
      <c r="G1430" s="4">
        <f>+251910299887</f>
        <v>251910299887</v>
      </c>
      <c r="H1430" s="3" t="s">
        <v>18</v>
      </c>
      <c r="I1430" s="3" t="s">
        <v>19</v>
      </c>
      <c r="J1430" s="3" t="s">
        <v>19</v>
      </c>
      <c r="K1430" s="3" t="s">
        <v>25</v>
      </c>
      <c r="L1430" s="3">
        <v>45.12</v>
      </c>
      <c r="M1430" s="3" t="s">
        <v>1695</v>
      </c>
      <c r="N1430" s="3" t="s">
        <v>1696</v>
      </c>
    </row>
    <row r="1431">
      <c r="A1431" s="3">
        <v>2529058.0</v>
      </c>
      <c r="B1431" s="3" t="s">
        <v>3223</v>
      </c>
      <c r="C1431" s="3" t="b">
        <v>0</v>
      </c>
      <c r="D1431" s="3" t="b">
        <v>1</v>
      </c>
      <c r="E1431" s="3" t="s">
        <v>195</v>
      </c>
      <c r="F1431" s="3" t="s">
        <v>763</v>
      </c>
      <c r="G1431" s="4">
        <f>+251938384890</f>
        <v>251938384890</v>
      </c>
      <c r="H1431" s="3" t="s">
        <v>18</v>
      </c>
      <c r="I1431" s="3" t="s">
        <v>19</v>
      </c>
      <c r="J1431" s="3" t="s">
        <v>19</v>
      </c>
      <c r="K1431" s="3" t="s">
        <v>20</v>
      </c>
      <c r="L1431" s="3">
        <v>22.48</v>
      </c>
      <c r="M1431" s="3" t="s">
        <v>1695</v>
      </c>
      <c r="N1431" s="3" t="s">
        <v>1696</v>
      </c>
      <c r="O1431" s="3">
        <v>1.54257553645E11</v>
      </c>
    </row>
    <row r="1432">
      <c r="A1432" s="3">
        <v>2510710.0</v>
      </c>
      <c r="B1432" s="3" t="s">
        <v>3224</v>
      </c>
      <c r="C1432" s="3" t="b">
        <v>1</v>
      </c>
      <c r="D1432" s="3" t="b">
        <v>1</v>
      </c>
      <c r="E1432" s="3" t="s">
        <v>874</v>
      </c>
      <c r="F1432" s="3" t="s">
        <v>2045</v>
      </c>
      <c r="G1432" s="4">
        <f>+251923126289</f>
        <v>251923126289</v>
      </c>
      <c r="H1432" s="3" t="s">
        <v>18</v>
      </c>
      <c r="I1432" s="3" t="s">
        <v>19</v>
      </c>
      <c r="J1432" s="3" t="s">
        <v>19</v>
      </c>
      <c r="K1432" s="3" t="s">
        <v>20</v>
      </c>
      <c r="L1432" s="3">
        <v>24.51</v>
      </c>
      <c r="M1432" s="3" t="s">
        <v>1695</v>
      </c>
      <c r="N1432" s="3" t="s">
        <v>1696</v>
      </c>
      <c r="O1432" s="3">
        <v>2.4788443E7</v>
      </c>
    </row>
    <row r="1433">
      <c r="A1433" s="3">
        <v>2529486.0</v>
      </c>
      <c r="B1433" s="3" t="s">
        <v>3225</v>
      </c>
      <c r="C1433" s="3" t="b">
        <v>1</v>
      </c>
      <c r="D1433" s="3" t="b">
        <v>1</v>
      </c>
      <c r="E1433" s="3" t="s">
        <v>859</v>
      </c>
      <c r="F1433" s="3" t="s">
        <v>409</v>
      </c>
      <c r="G1433" s="4">
        <f>+251911432299</f>
        <v>251911432299</v>
      </c>
      <c r="H1433" s="3" t="s">
        <v>18</v>
      </c>
      <c r="I1433" s="3" t="s">
        <v>19</v>
      </c>
      <c r="J1433" s="3" t="s">
        <v>19</v>
      </c>
      <c r="K1433" s="3" t="s">
        <v>25</v>
      </c>
      <c r="L1433" s="3">
        <v>13.12</v>
      </c>
      <c r="M1433" s="3" t="s">
        <v>1695</v>
      </c>
      <c r="N1433" s="3" t="s">
        <v>1696</v>
      </c>
      <c r="O1433" s="3">
        <v>1.54361967863E11</v>
      </c>
    </row>
    <row r="1434">
      <c r="A1434" s="3">
        <v>2530120.0</v>
      </c>
      <c r="B1434" s="3" t="s">
        <v>3226</v>
      </c>
      <c r="C1434" s="3" t="b">
        <v>0</v>
      </c>
      <c r="D1434" s="3" t="b">
        <v>1</v>
      </c>
      <c r="E1434" s="3" t="s">
        <v>2200</v>
      </c>
      <c r="F1434" s="3" t="s">
        <v>2395</v>
      </c>
      <c r="G1434" s="4">
        <f>+251903665471</f>
        <v>251903665471</v>
      </c>
      <c r="H1434" s="3" t="s">
        <v>18</v>
      </c>
      <c r="I1434" s="3" t="s">
        <v>19</v>
      </c>
      <c r="J1434" s="3" t="s">
        <v>19</v>
      </c>
      <c r="K1434" s="3" t="s">
        <v>25</v>
      </c>
      <c r="L1434" s="3">
        <v>27.42</v>
      </c>
      <c r="M1434" s="3" t="s">
        <v>1695</v>
      </c>
      <c r="N1434" s="3" t="s">
        <v>1696</v>
      </c>
      <c r="O1434" s="3">
        <v>1.54738595054E11</v>
      </c>
    </row>
    <row r="1435">
      <c r="A1435" s="3">
        <v>2529379.0</v>
      </c>
      <c r="B1435" s="3" t="s">
        <v>3227</v>
      </c>
      <c r="C1435" s="3" t="b">
        <v>1</v>
      </c>
      <c r="D1435" s="3" t="b">
        <v>1</v>
      </c>
      <c r="E1435" s="3" t="s">
        <v>2543</v>
      </c>
      <c r="F1435" s="3" t="s">
        <v>3228</v>
      </c>
      <c r="G1435" s="4">
        <f>+251951079698</f>
        <v>251951079698</v>
      </c>
      <c r="H1435" s="3" t="s">
        <v>18</v>
      </c>
      <c r="I1435" s="3" t="s">
        <v>19</v>
      </c>
      <c r="J1435" s="3" t="s">
        <v>19</v>
      </c>
      <c r="K1435" s="3" t="s">
        <v>20</v>
      </c>
      <c r="L1435" s="3">
        <v>24.08</v>
      </c>
      <c r="M1435" s="3" t="s">
        <v>1695</v>
      </c>
      <c r="N1435" s="3" t="s">
        <v>1696</v>
      </c>
      <c r="O1435" s="3">
        <v>1.54345935094E11</v>
      </c>
    </row>
    <row r="1436">
      <c r="A1436" s="3">
        <v>1101569.0</v>
      </c>
      <c r="B1436" s="3" t="s">
        <v>3229</v>
      </c>
      <c r="C1436" s="3" t="b">
        <v>1</v>
      </c>
      <c r="D1436" s="3" t="b">
        <v>0</v>
      </c>
      <c r="E1436" s="3" t="s">
        <v>3230</v>
      </c>
      <c r="F1436" s="3" t="s">
        <v>282</v>
      </c>
      <c r="G1436" s="4">
        <f>+251941890420</f>
        <v>251941890420</v>
      </c>
      <c r="H1436" s="3" t="s">
        <v>18</v>
      </c>
      <c r="I1436" s="3" t="s">
        <v>19</v>
      </c>
      <c r="J1436" s="3" t="s">
        <v>19</v>
      </c>
      <c r="K1436" s="3" t="s">
        <v>25</v>
      </c>
      <c r="L1436" s="3">
        <v>24.2</v>
      </c>
      <c r="M1436" s="3" t="s">
        <v>1695</v>
      </c>
      <c r="N1436" s="3" t="s">
        <v>1696</v>
      </c>
      <c r="O1436" s="3">
        <v>768867.0</v>
      </c>
    </row>
    <row r="1437">
      <c r="A1437" s="3">
        <v>590310.0</v>
      </c>
      <c r="B1437" s="3" t="s">
        <v>3231</v>
      </c>
      <c r="C1437" s="3" t="b">
        <v>1</v>
      </c>
      <c r="D1437" s="3" t="b">
        <v>1</v>
      </c>
      <c r="E1437" s="3" t="s">
        <v>85</v>
      </c>
      <c r="F1437" s="3" t="s">
        <v>328</v>
      </c>
      <c r="G1437" s="4">
        <f>+251941202133</f>
        <v>251941202133</v>
      </c>
      <c r="H1437" s="3" t="s">
        <v>106</v>
      </c>
      <c r="I1437" s="3" t="s">
        <v>19</v>
      </c>
      <c r="J1437" s="3" t="s">
        <v>19</v>
      </c>
      <c r="K1437" s="3" t="s">
        <v>25</v>
      </c>
      <c r="L1437" s="3">
        <v>13.96</v>
      </c>
      <c r="M1437" s="3" t="s">
        <v>1695</v>
      </c>
      <c r="N1437" s="3" t="s">
        <v>1696</v>
      </c>
      <c r="O1437" s="3">
        <v>2.8848007E7</v>
      </c>
    </row>
    <row r="1438">
      <c r="A1438" s="3">
        <v>2285587.0</v>
      </c>
      <c r="B1438" s="3" t="s">
        <v>3232</v>
      </c>
      <c r="C1438" s="3" t="b">
        <v>1</v>
      </c>
      <c r="D1438" s="3" t="b">
        <v>1</v>
      </c>
      <c r="E1438" s="3" t="s">
        <v>3233</v>
      </c>
      <c r="F1438" s="3" t="s">
        <v>1814</v>
      </c>
      <c r="G1438" s="4">
        <f>+251901232022</f>
        <v>251901232022</v>
      </c>
      <c r="H1438" s="3" t="s">
        <v>18</v>
      </c>
      <c r="I1438" s="3" t="s">
        <v>19</v>
      </c>
      <c r="J1438" s="3" t="s">
        <v>19</v>
      </c>
      <c r="K1438" s="3" t="s">
        <v>20</v>
      </c>
      <c r="L1438" s="3">
        <v>22.07</v>
      </c>
      <c r="M1438" s="3" t="s">
        <v>1695</v>
      </c>
      <c r="N1438" s="3" t="s">
        <v>1696</v>
      </c>
      <c r="O1438" s="3">
        <v>5973679.0</v>
      </c>
    </row>
    <row r="1439">
      <c r="A1439" s="3">
        <v>2530785.0</v>
      </c>
      <c r="B1439" s="3" t="s">
        <v>3234</v>
      </c>
      <c r="C1439" s="3" t="b">
        <v>0</v>
      </c>
      <c r="D1439" s="3" t="b">
        <v>1</v>
      </c>
      <c r="E1439" s="3" t="s">
        <v>3131</v>
      </c>
      <c r="F1439" s="3" t="s">
        <v>3132</v>
      </c>
      <c r="G1439" s="4">
        <f>+251901742468</f>
        <v>251901742468</v>
      </c>
      <c r="H1439" s="3" t="s">
        <v>18</v>
      </c>
      <c r="I1439" s="3" t="s">
        <v>19</v>
      </c>
      <c r="J1439" s="3" t="s">
        <v>3133</v>
      </c>
      <c r="K1439" s="3" t="s">
        <v>20</v>
      </c>
      <c r="L1439" s="3">
        <v>22.99</v>
      </c>
      <c r="M1439" s="3" t="s">
        <v>1695</v>
      </c>
      <c r="N1439" s="3" t="s">
        <v>1696</v>
      </c>
      <c r="O1439" s="3">
        <v>1.5519155015E11</v>
      </c>
    </row>
    <row r="1440">
      <c r="A1440" s="3">
        <v>2530802.0</v>
      </c>
      <c r="B1440" s="3" t="s">
        <v>3235</v>
      </c>
      <c r="C1440" s="3" t="b">
        <v>0</v>
      </c>
      <c r="D1440" s="3" t="b">
        <v>1</v>
      </c>
      <c r="E1440" s="3" t="s">
        <v>3236</v>
      </c>
      <c r="F1440" s="3" t="s">
        <v>3237</v>
      </c>
      <c r="G1440" s="4">
        <f>+251975476639</f>
        <v>251975476639</v>
      </c>
      <c r="H1440" s="3" t="s">
        <v>18</v>
      </c>
      <c r="I1440" s="3" t="s">
        <v>19</v>
      </c>
      <c r="J1440" s="3" t="s">
        <v>19</v>
      </c>
      <c r="K1440" s="3" t="s">
        <v>25</v>
      </c>
      <c r="L1440" s="3">
        <v>28.04</v>
      </c>
      <c r="M1440" s="3" t="s">
        <v>1695</v>
      </c>
      <c r="N1440" s="3" t="s">
        <v>1696</v>
      </c>
      <c r="O1440" s="3">
        <v>1.55354347714E11</v>
      </c>
    </row>
    <row r="1441">
      <c r="A1441" s="3">
        <v>2530906.0</v>
      </c>
      <c r="B1441" s="3" t="s">
        <v>3238</v>
      </c>
      <c r="C1441" s="3" t="b">
        <v>0</v>
      </c>
      <c r="D1441" s="3" t="b">
        <v>1</v>
      </c>
      <c r="E1441" s="3" t="s">
        <v>655</v>
      </c>
      <c r="F1441" s="3" t="s">
        <v>404</v>
      </c>
      <c r="G1441" s="4">
        <f>+251067221696</f>
        <v>251067221696</v>
      </c>
      <c r="H1441" s="3" t="s">
        <v>18</v>
      </c>
      <c r="I1441" s="3" t="s">
        <v>19</v>
      </c>
      <c r="J1441" s="3" t="s">
        <v>19</v>
      </c>
      <c r="K1441" s="3" t="s">
        <v>25</v>
      </c>
      <c r="L1441" s="3">
        <v>25.68</v>
      </c>
      <c r="M1441" s="3" t="s">
        <v>1695</v>
      </c>
      <c r="N1441" s="3" t="s">
        <v>1696</v>
      </c>
      <c r="O1441" s="3">
        <v>1.55221566662E11</v>
      </c>
    </row>
    <row r="1442">
      <c r="A1442" s="3">
        <v>2531145.0</v>
      </c>
      <c r="B1442" s="3" t="s">
        <v>3239</v>
      </c>
      <c r="C1442" s="3" t="b">
        <v>0</v>
      </c>
      <c r="D1442" s="3" t="b">
        <v>1</v>
      </c>
      <c r="E1442" s="3" t="s">
        <v>3240</v>
      </c>
      <c r="F1442" s="3" t="s">
        <v>3241</v>
      </c>
      <c r="G1442" s="4">
        <f>+251953428007</f>
        <v>251953428007</v>
      </c>
      <c r="H1442" s="3" t="s">
        <v>18</v>
      </c>
      <c r="I1442" s="3" t="s">
        <v>19</v>
      </c>
      <c r="J1442" s="3" t="s">
        <v>19</v>
      </c>
      <c r="K1442" s="3" t="s">
        <v>20</v>
      </c>
      <c r="L1442" s="3">
        <v>34.64</v>
      </c>
      <c r="M1442" s="3" t="s">
        <v>1695</v>
      </c>
      <c r="N1442" s="3" t="s">
        <v>1696</v>
      </c>
      <c r="O1442" s="3">
        <v>1.55418262732E11</v>
      </c>
    </row>
    <row r="1443">
      <c r="A1443" s="3">
        <v>2531175.0</v>
      </c>
      <c r="B1443" s="3" t="s">
        <v>3242</v>
      </c>
      <c r="C1443" s="3" t="b">
        <v>1</v>
      </c>
      <c r="D1443" s="3" t="b">
        <v>1</v>
      </c>
      <c r="E1443" s="3" t="s">
        <v>189</v>
      </c>
      <c r="F1443" s="3" t="s">
        <v>3243</v>
      </c>
      <c r="G1443" s="4">
        <f>+251924137584</f>
        <v>251924137584</v>
      </c>
      <c r="H1443" s="3" t="s">
        <v>29</v>
      </c>
      <c r="I1443" s="3" t="s">
        <v>19</v>
      </c>
      <c r="J1443" s="3" t="s">
        <v>19</v>
      </c>
      <c r="K1443" s="3" t="s">
        <v>25</v>
      </c>
      <c r="L1443" s="3">
        <v>33.66</v>
      </c>
      <c r="M1443" s="3" t="s">
        <v>1695</v>
      </c>
      <c r="N1443" s="3" t="s">
        <v>1696</v>
      </c>
      <c r="O1443" s="3">
        <v>1.55450296533E11</v>
      </c>
    </row>
    <row r="1444">
      <c r="A1444" s="3">
        <v>2531311.0</v>
      </c>
      <c r="B1444" s="3" t="s">
        <v>3244</v>
      </c>
      <c r="C1444" s="3" t="b">
        <v>1</v>
      </c>
      <c r="D1444" s="3" t="b">
        <v>1</v>
      </c>
      <c r="E1444" s="3" t="s">
        <v>877</v>
      </c>
      <c r="F1444" s="3" t="s">
        <v>3245</v>
      </c>
      <c r="G1444" s="4">
        <f>+251913376918</f>
        <v>251913376918</v>
      </c>
      <c r="H1444" s="3" t="s">
        <v>18</v>
      </c>
      <c r="I1444" s="3" t="s">
        <v>19</v>
      </c>
      <c r="J1444" s="3" t="s">
        <v>19</v>
      </c>
      <c r="K1444" s="3" t="s">
        <v>25</v>
      </c>
      <c r="L1444" s="3">
        <v>45.44</v>
      </c>
      <c r="M1444" s="3" t="s">
        <v>1695</v>
      </c>
      <c r="N1444" s="3" t="s">
        <v>1696</v>
      </c>
      <c r="O1444" s="3">
        <v>1.55473981687E11</v>
      </c>
    </row>
    <row r="1445">
      <c r="A1445" s="3">
        <v>1282759.0</v>
      </c>
      <c r="B1445" s="3" t="s">
        <v>3246</v>
      </c>
      <c r="C1445" s="3" t="b">
        <v>1</v>
      </c>
      <c r="D1445" s="3" t="b">
        <v>1</v>
      </c>
      <c r="E1445" s="3" t="s">
        <v>3247</v>
      </c>
      <c r="F1445" s="3" t="s">
        <v>3248</v>
      </c>
      <c r="G1445" s="4">
        <f>+251923834208</f>
        <v>251923834208</v>
      </c>
      <c r="H1445" s="3" t="s">
        <v>18</v>
      </c>
      <c r="I1445" s="3" t="s">
        <v>19</v>
      </c>
      <c r="J1445" s="3" t="s">
        <v>19</v>
      </c>
      <c r="K1445" s="3" t="s">
        <v>25</v>
      </c>
      <c r="L1445" s="3">
        <v>20.99</v>
      </c>
      <c r="M1445" s="3" t="s">
        <v>1695</v>
      </c>
      <c r="N1445" s="3" t="s">
        <v>1696</v>
      </c>
      <c r="O1445" s="3">
        <v>1.2341692E7</v>
      </c>
    </row>
    <row r="1446">
      <c r="A1446" s="3">
        <v>2532378.0</v>
      </c>
      <c r="B1446" s="3" t="s">
        <v>3249</v>
      </c>
      <c r="C1446" s="3" t="b">
        <v>1</v>
      </c>
      <c r="D1446" s="3" t="b">
        <v>1</v>
      </c>
      <c r="E1446" s="3" t="s">
        <v>1104</v>
      </c>
      <c r="F1446" s="3" t="s">
        <v>3250</v>
      </c>
      <c r="G1446" s="4">
        <f>+251973228770</f>
        <v>251973228770</v>
      </c>
      <c r="H1446" s="3" t="s">
        <v>18</v>
      </c>
      <c r="I1446" s="3" t="s">
        <v>19</v>
      </c>
      <c r="J1446" s="3" t="s">
        <v>19</v>
      </c>
      <c r="K1446" s="3" t="s">
        <v>25</v>
      </c>
      <c r="L1446" s="3">
        <v>20.17</v>
      </c>
      <c r="M1446" s="3" t="s">
        <v>1695</v>
      </c>
      <c r="N1446" s="3" t="s">
        <v>1696</v>
      </c>
    </row>
    <row r="1447">
      <c r="A1447" s="3">
        <v>2532583.0</v>
      </c>
      <c r="B1447" s="3" t="s">
        <v>3251</v>
      </c>
      <c r="C1447" s="3" t="b">
        <v>1</v>
      </c>
      <c r="D1447" s="3" t="b">
        <v>1</v>
      </c>
      <c r="E1447" s="3" t="s">
        <v>276</v>
      </c>
      <c r="F1447" s="3" t="s">
        <v>229</v>
      </c>
      <c r="G1447" s="4">
        <f>+251955956120</f>
        <v>251955956120</v>
      </c>
      <c r="H1447" s="3" t="s">
        <v>18</v>
      </c>
      <c r="I1447" s="3" t="s">
        <v>19</v>
      </c>
      <c r="J1447" s="3" t="s">
        <v>19</v>
      </c>
      <c r="K1447" s="3" t="s">
        <v>25</v>
      </c>
      <c r="L1447" s="3">
        <v>24.36</v>
      </c>
      <c r="M1447" s="3" t="s">
        <v>1695</v>
      </c>
      <c r="N1447" s="3" t="s">
        <v>1696</v>
      </c>
      <c r="O1447" s="3">
        <v>1.55848428734E11</v>
      </c>
    </row>
    <row r="1448">
      <c r="A1448" s="3">
        <v>2534091.0</v>
      </c>
      <c r="B1448" s="3" t="s">
        <v>3252</v>
      </c>
      <c r="C1448" s="3" t="b">
        <v>0</v>
      </c>
      <c r="D1448" s="3" t="b">
        <v>1</v>
      </c>
      <c r="E1448" s="3" t="s">
        <v>3253</v>
      </c>
      <c r="F1448" s="3" t="s">
        <v>3254</v>
      </c>
      <c r="G1448" s="4">
        <f>+251947382840</f>
        <v>251947382840</v>
      </c>
      <c r="H1448" s="3" t="s">
        <v>18</v>
      </c>
      <c r="I1448" s="3" t="s">
        <v>19</v>
      </c>
      <c r="J1448" s="3" t="s">
        <v>19</v>
      </c>
      <c r="K1448" s="3" t="s">
        <v>20</v>
      </c>
      <c r="L1448" s="3">
        <v>16.8</v>
      </c>
      <c r="M1448" s="3" t="s">
        <v>1695</v>
      </c>
      <c r="N1448" s="3" t="s">
        <v>1696</v>
      </c>
      <c r="O1448" s="3">
        <v>1.56286200023E11</v>
      </c>
    </row>
    <row r="1449">
      <c r="A1449" s="3">
        <v>2534153.0</v>
      </c>
      <c r="B1449" s="3" t="s">
        <v>3255</v>
      </c>
      <c r="C1449" s="3" t="b">
        <v>1</v>
      </c>
      <c r="D1449" s="3" t="b">
        <v>0</v>
      </c>
      <c r="E1449" s="3" t="s">
        <v>3099</v>
      </c>
      <c r="F1449" s="3" t="s">
        <v>3256</v>
      </c>
      <c r="G1449" s="4">
        <f>+251907443545</f>
        <v>251907443545</v>
      </c>
      <c r="H1449" s="3" t="s">
        <v>18</v>
      </c>
      <c r="I1449" s="3" t="s">
        <v>19</v>
      </c>
      <c r="J1449" s="3" t="s">
        <v>19</v>
      </c>
      <c r="K1449" s="3" t="s">
        <v>25</v>
      </c>
      <c r="L1449" s="3">
        <v>25.5</v>
      </c>
      <c r="M1449" s="3" t="s">
        <v>1695</v>
      </c>
      <c r="N1449" s="3" t="s">
        <v>1696</v>
      </c>
      <c r="O1449" s="3">
        <v>1.56307829954E11</v>
      </c>
    </row>
    <row r="1450">
      <c r="A1450" s="3">
        <v>2534183.0</v>
      </c>
      <c r="B1450" s="3" t="s">
        <v>3257</v>
      </c>
      <c r="C1450" s="3" t="b">
        <v>1</v>
      </c>
      <c r="D1450" s="3" t="b">
        <v>1</v>
      </c>
      <c r="E1450" s="3" t="s">
        <v>3258</v>
      </c>
      <c r="F1450" s="3" t="s">
        <v>3259</v>
      </c>
      <c r="G1450" s="4">
        <f>+251994557670</f>
        <v>251994557670</v>
      </c>
      <c r="H1450" s="3" t="s">
        <v>18</v>
      </c>
      <c r="I1450" s="3" t="s">
        <v>19</v>
      </c>
      <c r="J1450" s="3" t="s">
        <v>19</v>
      </c>
      <c r="K1450" s="3" t="s">
        <v>25</v>
      </c>
      <c r="L1450" s="3">
        <v>25.19</v>
      </c>
      <c r="M1450" s="3" t="s">
        <v>1695</v>
      </c>
      <c r="N1450" s="3" t="s">
        <v>1696</v>
      </c>
      <c r="O1450" s="3">
        <v>5170233.0</v>
      </c>
    </row>
    <row r="1451">
      <c r="A1451" s="3">
        <v>2534304.0</v>
      </c>
      <c r="B1451" s="3" t="s">
        <v>3260</v>
      </c>
      <c r="C1451" s="3" t="b">
        <v>0</v>
      </c>
      <c r="D1451" s="3" t="b">
        <v>1</v>
      </c>
      <c r="E1451" s="3" t="s">
        <v>1030</v>
      </c>
      <c r="F1451" s="3" t="s">
        <v>3261</v>
      </c>
      <c r="G1451" s="4">
        <f>+251979600653</f>
        <v>251979600653</v>
      </c>
      <c r="H1451" s="3" t="s">
        <v>18</v>
      </c>
      <c r="I1451" s="3" t="s">
        <v>19</v>
      </c>
      <c r="J1451" s="3" t="s">
        <v>19</v>
      </c>
      <c r="K1451" s="3" t="s">
        <v>25</v>
      </c>
      <c r="L1451" s="3">
        <v>21.36</v>
      </c>
      <c r="M1451" s="3" t="s">
        <v>1695</v>
      </c>
      <c r="N1451" s="3" t="s">
        <v>1696</v>
      </c>
      <c r="O1451" s="3">
        <v>1.5632771708E11</v>
      </c>
    </row>
    <row r="1452">
      <c r="A1452" s="3">
        <v>2534379.0</v>
      </c>
      <c r="B1452" s="3" t="s">
        <v>3262</v>
      </c>
      <c r="C1452" s="3" t="b">
        <v>0</v>
      </c>
      <c r="D1452" s="3" t="b">
        <v>1</v>
      </c>
      <c r="E1452" s="3" t="s">
        <v>344</v>
      </c>
      <c r="F1452" s="3" t="s">
        <v>2084</v>
      </c>
      <c r="G1452" s="4">
        <f>+251968201356</f>
        <v>251968201356</v>
      </c>
      <c r="H1452" s="3" t="s">
        <v>44</v>
      </c>
      <c r="I1452" s="3" t="s">
        <v>19</v>
      </c>
      <c r="J1452" s="3" t="s">
        <v>19</v>
      </c>
      <c r="K1452" s="3" t="s">
        <v>20</v>
      </c>
      <c r="L1452" s="3">
        <v>32.69</v>
      </c>
      <c r="M1452" s="3" t="s">
        <v>1695</v>
      </c>
      <c r="N1452" s="3" t="s">
        <v>1696</v>
      </c>
      <c r="O1452" s="3">
        <v>1.56412171465E11</v>
      </c>
    </row>
    <row r="1453">
      <c r="A1453" s="3">
        <v>2534405.0</v>
      </c>
      <c r="B1453" s="3" t="s">
        <v>3263</v>
      </c>
      <c r="C1453" s="3" t="b">
        <v>1</v>
      </c>
      <c r="D1453" s="3" t="b">
        <v>1</v>
      </c>
      <c r="E1453" s="3" t="s">
        <v>386</v>
      </c>
      <c r="F1453" s="3" t="s">
        <v>3264</v>
      </c>
      <c r="G1453" s="4">
        <f>+251962797841</f>
        <v>251962797841</v>
      </c>
      <c r="H1453" s="3" t="s">
        <v>289</v>
      </c>
      <c r="I1453" s="3" t="s">
        <v>19</v>
      </c>
      <c r="J1453" s="3" t="s">
        <v>19</v>
      </c>
      <c r="K1453" s="3" t="s">
        <v>25</v>
      </c>
      <c r="L1453" s="3">
        <v>13.12</v>
      </c>
      <c r="M1453" s="3" t="s">
        <v>1695</v>
      </c>
      <c r="N1453" s="3" t="s">
        <v>1696</v>
      </c>
    </row>
    <row r="1454">
      <c r="A1454" s="3">
        <v>2534863.0</v>
      </c>
      <c r="B1454" s="3" t="s">
        <v>3265</v>
      </c>
      <c r="C1454" s="3" t="b">
        <v>1</v>
      </c>
      <c r="D1454" s="3" t="b">
        <v>1</v>
      </c>
      <c r="E1454" s="3" t="s">
        <v>1532</v>
      </c>
      <c r="F1454" s="3" t="s">
        <v>3266</v>
      </c>
      <c r="G1454" s="4">
        <f>+251928658230</f>
        <v>251928658230</v>
      </c>
      <c r="H1454" s="3" t="s">
        <v>18</v>
      </c>
      <c r="I1454" s="3" t="s">
        <v>19</v>
      </c>
      <c r="J1454" s="3" t="s">
        <v>19</v>
      </c>
      <c r="K1454" s="3" t="s">
        <v>25</v>
      </c>
      <c r="L1454" s="3">
        <v>24.12</v>
      </c>
      <c r="M1454" s="3" t="s">
        <v>1695</v>
      </c>
      <c r="N1454" s="3" t="s">
        <v>1696</v>
      </c>
    </row>
    <row r="1455">
      <c r="A1455" s="3">
        <v>2256338.0</v>
      </c>
      <c r="B1455" s="3" t="s">
        <v>3267</v>
      </c>
      <c r="C1455" s="3" t="b">
        <v>1</v>
      </c>
      <c r="D1455" s="3" t="b">
        <v>1</v>
      </c>
      <c r="E1455" s="3" t="s">
        <v>3268</v>
      </c>
      <c r="F1455" s="3" t="s">
        <v>1729</v>
      </c>
      <c r="G1455" s="4">
        <f>+251932100291</f>
        <v>251932100291</v>
      </c>
      <c r="H1455" s="3" t="s">
        <v>18</v>
      </c>
      <c r="I1455" s="3" t="s">
        <v>19</v>
      </c>
      <c r="J1455" s="3" t="s">
        <v>19</v>
      </c>
      <c r="K1455" s="3" t="s">
        <v>20</v>
      </c>
      <c r="L1455" s="3">
        <v>20.3</v>
      </c>
      <c r="M1455" s="3" t="s">
        <v>1695</v>
      </c>
      <c r="N1455" s="3" t="s">
        <v>1696</v>
      </c>
      <c r="O1455" s="3">
        <v>3.437557549E10</v>
      </c>
    </row>
    <row r="1456">
      <c r="A1456" s="3">
        <v>2536120.0</v>
      </c>
      <c r="B1456" s="3" t="s">
        <v>3269</v>
      </c>
      <c r="C1456" s="3" t="b">
        <v>1</v>
      </c>
      <c r="D1456" s="3" t="b">
        <v>1</v>
      </c>
      <c r="E1456" s="3" t="s">
        <v>3270</v>
      </c>
      <c r="F1456" s="3" t="s">
        <v>2793</v>
      </c>
      <c r="G1456" s="4">
        <f>+251940085042</f>
        <v>251940085042</v>
      </c>
      <c r="H1456" s="3" t="s">
        <v>18</v>
      </c>
      <c r="I1456" s="3" t="s">
        <v>19</v>
      </c>
      <c r="J1456" s="3" t="s">
        <v>19</v>
      </c>
      <c r="K1456" s="3" t="s">
        <v>25</v>
      </c>
      <c r="L1456" s="3">
        <v>34.85</v>
      </c>
      <c r="M1456" s="3" t="s">
        <v>1695</v>
      </c>
      <c r="N1456" s="3" t="s">
        <v>1696</v>
      </c>
      <c r="O1456" s="3">
        <v>1.57052969209E11</v>
      </c>
    </row>
    <row r="1457">
      <c r="A1457" s="3">
        <v>2536414.0</v>
      </c>
      <c r="B1457" s="3" t="s">
        <v>3271</v>
      </c>
      <c r="C1457" s="3" t="b">
        <v>0</v>
      </c>
      <c r="D1457" s="3" t="b">
        <v>1</v>
      </c>
      <c r="E1457" s="3" t="s">
        <v>1169</v>
      </c>
      <c r="F1457" s="3" t="s">
        <v>3272</v>
      </c>
      <c r="G1457" s="4">
        <f>+251920654039</f>
        <v>251920654039</v>
      </c>
      <c r="H1457" s="3" t="s">
        <v>18</v>
      </c>
      <c r="I1457" s="3" t="s">
        <v>19</v>
      </c>
      <c r="J1457" s="3" t="s">
        <v>19</v>
      </c>
      <c r="K1457" s="3" t="s">
        <v>25</v>
      </c>
      <c r="L1457" s="3">
        <v>32.93</v>
      </c>
      <c r="M1457" s="3" t="s">
        <v>1695</v>
      </c>
      <c r="N1457" s="3" t="s">
        <v>1696</v>
      </c>
      <c r="O1457" s="3">
        <v>1.57334573305E11</v>
      </c>
    </row>
    <row r="1458">
      <c r="A1458" s="3">
        <v>2536476.0</v>
      </c>
      <c r="B1458" s="3" t="s">
        <v>3273</v>
      </c>
      <c r="C1458" s="3" t="b">
        <v>0</v>
      </c>
      <c r="D1458" s="3" t="b">
        <v>1</v>
      </c>
      <c r="E1458" s="3" t="s">
        <v>3274</v>
      </c>
      <c r="F1458" s="3" t="s">
        <v>3275</v>
      </c>
      <c r="G1458" s="4">
        <f>+251907422115</f>
        <v>251907422115</v>
      </c>
      <c r="H1458" s="3" t="s">
        <v>18</v>
      </c>
      <c r="I1458" s="3" t="s">
        <v>19</v>
      </c>
      <c r="J1458" s="3" t="s">
        <v>19</v>
      </c>
      <c r="K1458" s="3" t="s">
        <v>20</v>
      </c>
      <c r="L1458" s="3">
        <v>19.14</v>
      </c>
      <c r="M1458" s="3" t="s">
        <v>1695</v>
      </c>
      <c r="N1458" s="3" t="s">
        <v>1696</v>
      </c>
      <c r="O1458" s="3">
        <v>1.57461678305E11</v>
      </c>
    </row>
    <row r="1459">
      <c r="A1459" s="3">
        <v>2536554.0</v>
      </c>
      <c r="B1459" s="3" t="s">
        <v>3276</v>
      </c>
      <c r="C1459" s="3" t="b">
        <v>1</v>
      </c>
      <c r="D1459" s="3" t="b">
        <v>1</v>
      </c>
      <c r="E1459" s="3" t="s">
        <v>3277</v>
      </c>
      <c r="F1459" s="3" t="s">
        <v>2913</v>
      </c>
      <c r="G1459" s="4">
        <f>+251918254957</f>
        <v>251918254957</v>
      </c>
      <c r="H1459" s="3" t="s">
        <v>18</v>
      </c>
      <c r="I1459" s="3" t="s">
        <v>19</v>
      </c>
      <c r="J1459" s="3" t="s">
        <v>19</v>
      </c>
      <c r="K1459" s="3" t="s">
        <v>25</v>
      </c>
      <c r="L1459" s="3">
        <v>28.91</v>
      </c>
      <c r="M1459" s="3" t="s">
        <v>1695</v>
      </c>
      <c r="N1459" s="3" t="s">
        <v>1696</v>
      </c>
      <c r="O1459" s="3">
        <v>1.5737784853E11</v>
      </c>
    </row>
    <row r="1460">
      <c r="A1460" s="3">
        <v>909851.0</v>
      </c>
      <c r="B1460" s="3" t="s">
        <v>3278</v>
      </c>
      <c r="C1460" s="3" t="b">
        <v>1</v>
      </c>
      <c r="D1460" s="3" t="b">
        <v>1</v>
      </c>
      <c r="E1460" s="3" t="s">
        <v>3279</v>
      </c>
      <c r="F1460" s="3" t="s">
        <v>3280</v>
      </c>
      <c r="G1460" s="4">
        <f>+251917849010</f>
        <v>251917849010</v>
      </c>
      <c r="H1460" s="3" t="s">
        <v>18</v>
      </c>
      <c r="I1460" s="3" t="s">
        <v>19</v>
      </c>
      <c r="J1460" s="3" t="s">
        <v>19</v>
      </c>
      <c r="K1460" s="3" t="s">
        <v>25</v>
      </c>
      <c r="L1460" s="3">
        <v>50.2</v>
      </c>
      <c r="M1460" s="3" t="s">
        <v>1695</v>
      </c>
      <c r="N1460" s="3" t="s">
        <v>1696</v>
      </c>
      <c r="O1460" s="3">
        <v>4.315921897E9</v>
      </c>
    </row>
    <row r="1461">
      <c r="A1461" s="3">
        <v>2536613.0</v>
      </c>
      <c r="B1461" s="3" t="s">
        <v>3281</v>
      </c>
      <c r="C1461" s="3" t="b">
        <v>0</v>
      </c>
      <c r="D1461" s="3" t="b">
        <v>1</v>
      </c>
      <c r="E1461" s="3" t="s">
        <v>3172</v>
      </c>
      <c r="F1461" s="3" t="s">
        <v>3173</v>
      </c>
      <c r="G1461" s="4">
        <f>+251920246050</f>
        <v>251920246050</v>
      </c>
      <c r="H1461" s="3" t="s">
        <v>18</v>
      </c>
      <c r="I1461" s="3" t="s">
        <v>19</v>
      </c>
      <c r="J1461" s="3" t="s">
        <v>19</v>
      </c>
      <c r="K1461" s="3" t="s">
        <v>20</v>
      </c>
      <c r="L1461" s="3">
        <v>32.07</v>
      </c>
      <c r="M1461" s="3" t="s">
        <v>1695</v>
      </c>
      <c r="N1461" s="3" t="s">
        <v>1696</v>
      </c>
      <c r="O1461" s="3">
        <v>1.57384404154E11</v>
      </c>
    </row>
    <row r="1462">
      <c r="A1462" s="3">
        <v>2536635.0</v>
      </c>
      <c r="B1462" s="3" t="s">
        <v>3282</v>
      </c>
      <c r="C1462" s="3" t="b">
        <v>0</v>
      </c>
      <c r="D1462" s="3" t="b">
        <v>1</v>
      </c>
      <c r="E1462" s="3" t="s">
        <v>3283</v>
      </c>
      <c r="F1462" s="3" t="s">
        <v>2879</v>
      </c>
      <c r="G1462" s="4">
        <f>+251920048443</f>
        <v>251920048443</v>
      </c>
      <c r="H1462" s="3" t="s">
        <v>18</v>
      </c>
      <c r="I1462" s="3" t="s">
        <v>19</v>
      </c>
      <c r="J1462" s="3" t="s">
        <v>19</v>
      </c>
      <c r="K1462" s="3" t="s">
        <v>20</v>
      </c>
      <c r="L1462" s="3">
        <v>22.51</v>
      </c>
      <c r="M1462" s="3" t="s">
        <v>1695</v>
      </c>
      <c r="N1462" s="3" t="s">
        <v>1696</v>
      </c>
      <c r="O1462" s="3">
        <v>1.57495799019E11</v>
      </c>
    </row>
    <row r="1463">
      <c r="A1463" s="3">
        <v>2536697.0</v>
      </c>
      <c r="B1463" s="3" t="s">
        <v>3284</v>
      </c>
      <c r="C1463" s="3" t="b">
        <v>1</v>
      </c>
      <c r="D1463" s="3" t="b">
        <v>1</v>
      </c>
      <c r="E1463" s="3" t="s">
        <v>3285</v>
      </c>
      <c r="F1463" s="3" t="s">
        <v>631</v>
      </c>
      <c r="G1463" s="4">
        <f>+251913195954</f>
        <v>251913195954</v>
      </c>
      <c r="H1463" s="3" t="s">
        <v>18</v>
      </c>
      <c r="I1463" s="3" t="s">
        <v>19</v>
      </c>
      <c r="J1463" s="3" t="s">
        <v>19</v>
      </c>
      <c r="K1463" s="3" t="s">
        <v>20</v>
      </c>
      <c r="L1463" s="3">
        <v>30.57</v>
      </c>
      <c r="M1463" s="3" t="s">
        <v>1695</v>
      </c>
      <c r="N1463" s="3" t="s">
        <v>1696</v>
      </c>
      <c r="O1463" s="3">
        <v>1.5750367666E11</v>
      </c>
    </row>
    <row r="1464">
      <c r="A1464" s="3">
        <v>2536764.0</v>
      </c>
      <c r="B1464" s="3" t="s">
        <v>3286</v>
      </c>
      <c r="C1464" s="3" t="b">
        <v>1</v>
      </c>
      <c r="D1464" s="3" t="b">
        <v>1</v>
      </c>
      <c r="E1464" s="3" t="s">
        <v>806</v>
      </c>
      <c r="F1464" s="3" t="s">
        <v>1710</v>
      </c>
      <c r="G1464" s="4">
        <f>+251941573646</f>
        <v>251941573646</v>
      </c>
      <c r="H1464" s="3" t="s">
        <v>18</v>
      </c>
      <c r="I1464" s="3" t="s">
        <v>19</v>
      </c>
      <c r="J1464" s="3" t="s">
        <v>19</v>
      </c>
      <c r="K1464" s="3" t="s">
        <v>20</v>
      </c>
      <c r="L1464" s="3">
        <v>24.51</v>
      </c>
      <c r="M1464" s="3" t="s">
        <v>1695</v>
      </c>
      <c r="N1464" s="3" t="s">
        <v>1696</v>
      </c>
      <c r="O1464" s="3">
        <v>1.57582398707E11</v>
      </c>
    </row>
    <row r="1465">
      <c r="A1465" s="3">
        <v>2536887.0</v>
      </c>
      <c r="B1465" s="3" t="s">
        <v>3287</v>
      </c>
      <c r="C1465" s="3" t="b">
        <v>1</v>
      </c>
      <c r="D1465" s="3" t="b">
        <v>1</v>
      </c>
      <c r="E1465" s="3" t="s">
        <v>3288</v>
      </c>
      <c r="F1465" s="3" t="s">
        <v>518</v>
      </c>
      <c r="G1465" s="4">
        <f>+251923482057</f>
        <v>251923482057</v>
      </c>
      <c r="H1465" s="3" t="s">
        <v>289</v>
      </c>
      <c r="I1465" s="3" t="s">
        <v>19</v>
      </c>
      <c r="J1465" s="3" t="s">
        <v>19</v>
      </c>
      <c r="K1465" s="3" t="s">
        <v>25</v>
      </c>
      <c r="L1465" s="3">
        <v>26.89</v>
      </c>
      <c r="M1465" s="3" t="s">
        <v>1695</v>
      </c>
      <c r="N1465" s="3" t="s">
        <v>1696</v>
      </c>
      <c r="O1465" s="3">
        <v>1.575891018E11</v>
      </c>
    </row>
    <row r="1466">
      <c r="A1466" s="3">
        <v>678642.0</v>
      </c>
      <c r="B1466" s="3" t="s">
        <v>3289</v>
      </c>
      <c r="C1466" s="3" t="b">
        <v>1</v>
      </c>
      <c r="D1466" s="3" t="b">
        <v>1</v>
      </c>
      <c r="E1466" s="3" t="s">
        <v>3290</v>
      </c>
      <c r="F1466" s="3" t="s">
        <v>3291</v>
      </c>
      <c r="G1466" s="3">
        <v>9.28986345E8</v>
      </c>
      <c r="H1466" s="3" t="s">
        <v>18</v>
      </c>
      <c r="I1466" s="3" t="s">
        <v>19</v>
      </c>
      <c r="J1466" s="3" t="s">
        <v>19</v>
      </c>
      <c r="K1466" s="3" t="s">
        <v>25</v>
      </c>
      <c r="L1466" s="3">
        <v>30.43</v>
      </c>
      <c r="M1466" s="3" t="s">
        <v>1695</v>
      </c>
      <c r="N1466" s="3" t="s">
        <v>1696</v>
      </c>
      <c r="O1466" s="3">
        <v>2.9341718E7</v>
      </c>
    </row>
    <row r="1467">
      <c r="A1467" s="3">
        <v>2537060.0</v>
      </c>
      <c r="B1467" s="3" t="s">
        <v>3292</v>
      </c>
      <c r="C1467" s="3" t="b">
        <v>1</v>
      </c>
      <c r="D1467" s="3" t="b">
        <v>1</v>
      </c>
      <c r="E1467" s="3" t="s">
        <v>3293</v>
      </c>
      <c r="F1467" s="3" t="s">
        <v>3294</v>
      </c>
      <c r="G1467" s="4">
        <f>+251985790300</f>
        <v>251985790300</v>
      </c>
      <c r="H1467" s="3" t="s">
        <v>18</v>
      </c>
      <c r="I1467" s="3" t="s">
        <v>19</v>
      </c>
      <c r="J1467" s="3" t="s">
        <v>19</v>
      </c>
      <c r="K1467" s="3" t="s">
        <v>20</v>
      </c>
      <c r="L1467" s="3">
        <v>17.08</v>
      </c>
      <c r="M1467" s="3" t="s">
        <v>1695</v>
      </c>
      <c r="N1467" s="3" t="s">
        <v>1696</v>
      </c>
      <c r="O1467" s="3">
        <v>1.57743471808E11</v>
      </c>
    </row>
    <row r="1468">
      <c r="A1468" s="3">
        <v>2537621.0</v>
      </c>
      <c r="B1468" s="3" t="s">
        <v>3295</v>
      </c>
      <c r="C1468" s="3" t="b">
        <v>1</v>
      </c>
      <c r="D1468" s="3" t="b">
        <v>1</v>
      </c>
      <c r="E1468" s="3" t="s">
        <v>3296</v>
      </c>
      <c r="F1468" s="3" t="s">
        <v>2758</v>
      </c>
      <c r="G1468" s="4">
        <f>+251939342928</f>
        <v>251939342928</v>
      </c>
      <c r="H1468" s="3" t="s">
        <v>18</v>
      </c>
      <c r="I1468" s="3" t="s">
        <v>19</v>
      </c>
      <c r="J1468" s="3" t="s">
        <v>19</v>
      </c>
      <c r="K1468" s="3" t="s">
        <v>25</v>
      </c>
      <c r="L1468" s="3">
        <v>25.3</v>
      </c>
      <c r="M1468" s="3" t="s">
        <v>1695</v>
      </c>
      <c r="N1468" s="3" t="s">
        <v>1696</v>
      </c>
      <c r="O1468" s="3">
        <v>1.5788831251E11</v>
      </c>
    </row>
    <row r="1469">
      <c r="A1469" s="3">
        <v>2537896.0</v>
      </c>
      <c r="B1469" s="3" t="s">
        <v>3297</v>
      </c>
      <c r="C1469" s="3" t="b">
        <v>1</v>
      </c>
      <c r="D1469" s="3" t="b">
        <v>1</v>
      </c>
      <c r="E1469" s="3" t="s">
        <v>1988</v>
      </c>
      <c r="F1469" s="3" t="s">
        <v>596</v>
      </c>
      <c r="G1469" s="4">
        <f>+251911013687</f>
        <v>251911013687</v>
      </c>
      <c r="H1469" s="3" t="s">
        <v>18</v>
      </c>
      <c r="I1469" s="3" t="s">
        <v>19</v>
      </c>
      <c r="J1469" s="3" t="s">
        <v>19</v>
      </c>
      <c r="K1469" s="3" t="s">
        <v>25</v>
      </c>
      <c r="L1469" s="3">
        <v>42.54</v>
      </c>
      <c r="M1469" s="3" t="s">
        <v>1695</v>
      </c>
      <c r="N1469" s="3" t="s">
        <v>1696</v>
      </c>
      <c r="O1469" s="3">
        <v>1.5802050583E11</v>
      </c>
    </row>
    <row r="1470">
      <c r="A1470" s="3">
        <v>2538512.0</v>
      </c>
      <c r="B1470" s="3" t="s">
        <v>3298</v>
      </c>
      <c r="C1470" s="3" t="b">
        <v>1</v>
      </c>
      <c r="D1470" s="3" t="b">
        <v>1</v>
      </c>
      <c r="E1470" s="3" t="s">
        <v>85</v>
      </c>
      <c r="F1470" s="3" t="s">
        <v>3299</v>
      </c>
      <c r="G1470" s="4">
        <f>+251922884722</f>
        <v>251922884722</v>
      </c>
      <c r="H1470" s="3" t="s">
        <v>44</v>
      </c>
      <c r="I1470" s="3" t="s">
        <v>19</v>
      </c>
      <c r="J1470" s="3" t="s">
        <v>19</v>
      </c>
      <c r="K1470" s="3" t="s">
        <v>25</v>
      </c>
      <c r="L1470" s="3">
        <v>33.83</v>
      </c>
      <c r="M1470" s="3" t="s">
        <v>1695</v>
      </c>
      <c r="N1470" s="3" t="s">
        <v>1696</v>
      </c>
      <c r="O1470" s="3">
        <v>1093563.0</v>
      </c>
    </row>
    <row r="1471">
      <c r="A1471" s="3">
        <v>2520741.0</v>
      </c>
      <c r="B1471" s="3" t="s">
        <v>3300</v>
      </c>
      <c r="C1471" s="3" t="b">
        <v>1</v>
      </c>
      <c r="D1471" s="3" t="b">
        <v>1</v>
      </c>
      <c r="E1471" s="3" t="s">
        <v>3301</v>
      </c>
      <c r="F1471" s="3" t="s">
        <v>3302</v>
      </c>
      <c r="G1471" s="4">
        <f>+251918388285</f>
        <v>251918388285</v>
      </c>
      <c r="H1471" s="3" t="s">
        <v>249</v>
      </c>
      <c r="I1471" s="3" t="s">
        <v>19</v>
      </c>
      <c r="J1471" s="3" t="s">
        <v>19</v>
      </c>
      <c r="K1471" s="3" t="s">
        <v>25</v>
      </c>
      <c r="L1471" s="3">
        <v>25.92</v>
      </c>
      <c r="M1471" s="3" t="s">
        <v>1695</v>
      </c>
      <c r="N1471" s="3" t="s">
        <v>1696</v>
      </c>
      <c r="O1471" s="3">
        <v>1.51334335693E11</v>
      </c>
    </row>
    <row r="1472">
      <c r="A1472" s="3">
        <v>2538896.0</v>
      </c>
      <c r="B1472" s="3" t="s">
        <v>3303</v>
      </c>
      <c r="C1472" s="3" t="b">
        <v>0</v>
      </c>
      <c r="D1472" s="3" t="b">
        <v>1</v>
      </c>
      <c r="E1472" s="3" t="s">
        <v>3304</v>
      </c>
      <c r="F1472" s="3" t="s">
        <v>1646</v>
      </c>
      <c r="G1472" s="4">
        <f>+251923698574</f>
        <v>251923698574</v>
      </c>
      <c r="H1472" s="3" t="s">
        <v>18</v>
      </c>
      <c r="I1472" s="3" t="s">
        <v>19</v>
      </c>
      <c r="J1472" s="3" t="s">
        <v>19</v>
      </c>
      <c r="K1472" s="3" t="s">
        <v>25</v>
      </c>
      <c r="L1472" s="3">
        <v>29.9</v>
      </c>
      <c r="M1472" s="3" t="s">
        <v>1695</v>
      </c>
      <c r="N1472" s="3" t="s">
        <v>1696</v>
      </c>
      <c r="O1472" s="3">
        <v>1.58804275428E11</v>
      </c>
    </row>
    <row r="1473">
      <c r="A1473" s="3">
        <v>2082331.0</v>
      </c>
      <c r="B1473" s="3" t="s">
        <v>3305</v>
      </c>
      <c r="C1473" s="3" t="b">
        <v>1</v>
      </c>
      <c r="D1473" s="3" t="b">
        <v>1</v>
      </c>
      <c r="E1473" s="3" t="s">
        <v>3306</v>
      </c>
      <c r="F1473" s="3" t="s">
        <v>3307</v>
      </c>
      <c r="G1473" s="4">
        <f>+251913749468</f>
        <v>251913749468</v>
      </c>
      <c r="H1473" s="3" t="s">
        <v>18</v>
      </c>
      <c r="I1473" s="3" t="s">
        <v>19</v>
      </c>
      <c r="J1473" s="3" t="s">
        <v>19</v>
      </c>
      <c r="K1473" s="3" t="s">
        <v>25</v>
      </c>
      <c r="L1473" s="3">
        <v>32.03</v>
      </c>
      <c r="M1473" s="3" t="s">
        <v>1695</v>
      </c>
      <c r="N1473" s="3" t="s">
        <v>1696</v>
      </c>
      <c r="O1473" s="3">
        <v>3.038796257E10</v>
      </c>
    </row>
    <row r="1474">
      <c r="A1474" s="3">
        <v>2538963.0</v>
      </c>
      <c r="B1474" s="3" t="s">
        <v>3308</v>
      </c>
      <c r="C1474" s="3" t="b">
        <v>1</v>
      </c>
      <c r="D1474" s="3" t="b">
        <v>1</v>
      </c>
      <c r="E1474" s="3" t="s">
        <v>3309</v>
      </c>
      <c r="F1474" s="3" t="s">
        <v>1503</v>
      </c>
      <c r="G1474" s="4">
        <f>+251901261752</f>
        <v>251901261752</v>
      </c>
      <c r="H1474" s="3" t="s">
        <v>985</v>
      </c>
      <c r="I1474" s="3" t="s">
        <v>19</v>
      </c>
      <c r="J1474" s="3" t="s">
        <v>19</v>
      </c>
      <c r="K1474" s="3" t="s">
        <v>25</v>
      </c>
      <c r="L1474" s="3">
        <v>13.11</v>
      </c>
      <c r="M1474" s="3" t="s">
        <v>1695</v>
      </c>
      <c r="N1474" s="3" t="s">
        <v>1696</v>
      </c>
      <c r="O1474" s="3">
        <v>1.58809259237E11</v>
      </c>
    </row>
    <row r="1475">
      <c r="A1475" s="3">
        <v>2528621.0</v>
      </c>
      <c r="B1475" s="3" t="s">
        <v>3310</v>
      </c>
      <c r="C1475" s="3" t="b">
        <v>1</v>
      </c>
      <c r="D1475" s="3" t="b">
        <v>1</v>
      </c>
      <c r="E1475" s="3" t="s">
        <v>3311</v>
      </c>
      <c r="F1475" s="3" t="s">
        <v>795</v>
      </c>
      <c r="G1475" s="4">
        <f>+251967109086</f>
        <v>251967109086</v>
      </c>
      <c r="H1475" s="3" t="s">
        <v>18</v>
      </c>
      <c r="I1475" s="3" t="s">
        <v>19</v>
      </c>
      <c r="J1475" s="3" t="s">
        <v>19</v>
      </c>
      <c r="K1475" s="3" t="s">
        <v>25</v>
      </c>
      <c r="L1475" s="3">
        <v>31.87</v>
      </c>
      <c r="M1475" s="3" t="s">
        <v>1695</v>
      </c>
      <c r="N1475" s="3" t="s">
        <v>1696</v>
      </c>
      <c r="O1475" s="3">
        <v>1.54057141452E11</v>
      </c>
    </row>
    <row r="1476">
      <c r="A1476" s="3">
        <v>2539133.0</v>
      </c>
      <c r="B1476" s="3" t="s">
        <v>3312</v>
      </c>
      <c r="C1476" s="3" t="b">
        <v>1</v>
      </c>
      <c r="D1476" s="3" t="b">
        <v>1</v>
      </c>
      <c r="E1476" s="3" t="s">
        <v>2431</v>
      </c>
      <c r="F1476" s="3" t="s">
        <v>3313</v>
      </c>
      <c r="G1476" s="4">
        <f>+251924704749</f>
        <v>251924704749</v>
      </c>
      <c r="H1476" s="3" t="s">
        <v>18</v>
      </c>
      <c r="I1476" s="3" t="s">
        <v>19</v>
      </c>
      <c r="J1476" s="3" t="s">
        <v>19</v>
      </c>
      <c r="K1476" s="3" t="s">
        <v>25</v>
      </c>
      <c r="L1476" s="3">
        <v>31.07</v>
      </c>
      <c r="M1476" s="3" t="s">
        <v>1695</v>
      </c>
      <c r="N1476" s="3" t="s">
        <v>1696</v>
      </c>
    </row>
    <row r="1477">
      <c r="A1477" s="3">
        <v>2539327.0</v>
      </c>
      <c r="B1477" s="3" t="s">
        <v>3314</v>
      </c>
      <c r="C1477" s="3" t="b">
        <v>0</v>
      </c>
      <c r="D1477" s="3" t="b">
        <v>1</v>
      </c>
      <c r="E1477" s="3" t="s">
        <v>3315</v>
      </c>
      <c r="F1477" s="3" t="s">
        <v>118</v>
      </c>
      <c r="G1477" s="4">
        <f>+251931558181</f>
        <v>251931558181</v>
      </c>
      <c r="H1477" s="3" t="s">
        <v>18</v>
      </c>
      <c r="I1477" s="3" t="s">
        <v>19</v>
      </c>
      <c r="J1477" s="3" t="s">
        <v>19</v>
      </c>
      <c r="K1477" s="3" t="s">
        <v>25</v>
      </c>
      <c r="L1477" s="3">
        <v>24.68</v>
      </c>
      <c r="M1477" s="3" t="s">
        <v>1695</v>
      </c>
      <c r="N1477" s="3" t="s">
        <v>1696</v>
      </c>
      <c r="O1477" s="3">
        <v>1.58950954174E11</v>
      </c>
    </row>
    <row r="1478">
      <c r="A1478" s="3">
        <v>2539550.0</v>
      </c>
      <c r="B1478" s="3" t="s">
        <v>3316</v>
      </c>
      <c r="C1478" s="3" t="b">
        <v>1</v>
      </c>
      <c r="D1478" s="3" t="b">
        <v>1</v>
      </c>
      <c r="E1478" s="3" t="s">
        <v>1778</v>
      </c>
      <c r="F1478" s="3" t="s">
        <v>3317</v>
      </c>
      <c r="G1478" s="4">
        <f>+251913052688</f>
        <v>251913052688</v>
      </c>
      <c r="H1478" s="3" t="s">
        <v>18</v>
      </c>
      <c r="I1478" s="3" t="s">
        <v>19</v>
      </c>
      <c r="J1478" s="3" t="s">
        <v>19</v>
      </c>
      <c r="K1478" s="3" t="s">
        <v>25</v>
      </c>
      <c r="L1478" s="3">
        <v>42.15</v>
      </c>
      <c r="M1478" s="3" t="s">
        <v>1695</v>
      </c>
      <c r="N1478" s="3" t="s">
        <v>1696</v>
      </c>
      <c r="O1478" s="3">
        <v>1.59123336401E11</v>
      </c>
    </row>
    <row r="1479">
      <c r="A1479" s="3">
        <v>2539880.0</v>
      </c>
      <c r="B1479" s="3" t="s">
        <v>3318</v>
      </c>
      <c r="C1479" s="3" t="b">
        <v>1</v>
      </c>
      <c r="D1479" s="3" t="b">
        <v>1</v>
      </c>
      <c r="E1479" s="3" t="s">
        <v>276</v>
      </c>
      <c r="F1479" s="3" t="s">
        <v>3319</v>
      </c>
      <c r="G1479" s="4">
        <f>+251940359480</f>
        <v>251940359480</v>
      </c>
      <c r="H1479" s="3" t="s">
        <v>87</v>
      </c>
      <c r="I1479" s="3" t="s">
        <v>19</v>
      </c>
      <c r="J1479" s="3" t="s">
        <v>19</v>
      </c>
      <c r="K1479" s="3" t="s">
        <v>25</v>
      </c>
      <c r="L1479" s="3">
        <v>17.23</v>
      </c>
      <c r="M1479" s="3" t="s">
        <v>1695</v>
      </c>
      <c r="N1479" s="3" t="s">
        <v>1696</v>
      </c>
    </row>
    <row r="1480">
      <c r="A1480" s="3">
        <v>2539959.0</v>
      </c>
      <c r="B1480" s="3" t="s">
        <v>3320</v>
      </c>
      <c r="C1480" s="3" t="b">
        <v>1</v>
      </c>
      <c r="D1480" s="3" t="b">
        <v>1</v>
      </c>
      <c r="E1480" s="3" t="s">
        <v>439</v>
      </c>
      <c r="F1480" s="3" t="s">
        <v>32</v>
      </c>
      <c r="G1480" s="4">
        <f>+251975680566</f>
        <v>251975680566</v>
      </c>
      <c r="H1480" s="3" t="s">
        <v>18</v>
      </c>
      <c r="I1480" s="3" t="s">
        <v>19</v>
      </c>
      <c r="J1480" s="3" t="s">
        <v>19</v>
      </c>
      <c r="K1480" s="3" t="s">
        <v>20</v>
      </c>
      <c r="L1480" s="3">
        <v>24.22</v>
      </c>
      <c r="M1480" s="3" t="s">
        <v>1695</v>
      </c>
      <c r="N1480" s="3" t="s">
        <v>1696</v>
      </c>
      <c r="O1480" s="3">
        <v>1.59501567174E11</v>
      </c>
    </row>
    <row r="1481">
      <c r="A1481" s="3">
        <v>2540092.0</v>
      </c>
      <c r="B1481" s="3" t="s">
        <v>3321</v>
      </c>
      <c r="C1481" s="3" t="b">
        <v>0</v>
      </c>
      <c r="D1481" s="3" t="b">
        <v>1</v>
      </c>
      <c r="E1481" s="3" t="s">
        <v>3322</v>
      </c>
      <c r="F1481" s="3" t="s">
        <v>3323</v>
      </c>
      <c r="G1481" s="4">
        <f>+251943168157</f>
        <v>251943168157</v>
      </c>
      <c r="H1481" s="3" t="s">
        <v>18</v>
      </c>
      <c r="I1481" s="3" t="s">
        <v>19</v>
      </c>
      <c r="J1481" s="3" t="s">
        <v>19</v>
      </c>
      <c r="K1481" s="3" t="s">
        <v>20</v>
      </c>
      <c r="L1481" s="3">
        <v>24.93</v>
      </c>
      <c r="M1481" s="3" t="s">
        <v>1695</v>
      </c>
      <c r="N1481" s="3" t="s">
        <v>1696</v>
      </c>
      <c r="O1481" s="3">
        <v>1.59555261675E11</v>
      </c>
    </row>
    <row r="1482">
      <c r="A1482" s="3">
        <v>2540179.0</v>
      </c>
      <c r="B1482" s="3" t="s">
        <v>3324</v>
      </c>
      <c r="C1482" s="3" t="b">
        <v>0</v>
      </c>
      <c r="D1482" s="3" t="b">
        <v>1</v>
      </c>
      <c r="E1482" s="3" t="s">
        <v>2441</v>
      </c>
      <c r="F1482" s="3" t="s">
        <v>3325</v>
      </c>
      <c r="G1482" s="4">
        <f>+251933036685</f>
        <v>251933036685</v>
      </c>
      <c r="H1482" s="3" t="s">
        <v>18</v>
      </c>
      <c r="I1482" s="3" t="s">
        <v>19</v>
      </c>
      <c r="J1482" s="3" t="s">
        <v>19</v>
      </c>
      <c r="K1482" s="3" t="s">
        <v>20</v>
      </c>
      <c r="L1482" s="3">
        <v>24.8</v>
      </c>
      <c r="M1482" s="3" t="s">
        <v>1695</v>
      </c>
      <c r="N1482" s="3" t="s">
        <v>1696</v>
      </c>
      <c r="O1482" s="3">
        <v>1.59524746488E11</v>
      </c>
    </row>
    <row r="1483">
      <c r="A1483" s="3">
        <v>2540666.0</v>
      </c>
      <c r="B1483" s="3" t="s">
        <v>3326</v>
      </c>
      <c r="C1483" s="3" t="b">
        <v>1</v>
      </c>
      <c r="D1483" s="3" t="b">
        <v>1</v>
      </c>
      <c r="E1483" s="3" t="s">
        <v>2886</v>
      </c>
      <c r="F1483" s="3" t="s">
        <v>3327</v>
      </c>
      <c r="G1483" s="4">
        <f>+251927683930</f>
        <v>251927683930</v>
      </c>
      <c r="H1483" s="3" t="s">
        <v>18</v>
      </c>
      <c r="I1483" s="3" t="s">
        <v>19</v>
      </c>
      <c r="J1483" s="3" t="s">
        <v>19</v>
      </c>
      <c r="K1483" s="3" t="s">
        <v>20</v>
      </c>
      <c r="L1483" s="3">
        <v>27.06</v>
      </c>
      <c r="M1483" s="3" t="s">
        <v>1695</v>
      </c>
      <c r="N1483" s="3" t="s">
        <v>1696</v>
      </c>
      <c r="O1483" s="3">
        <v>1.59743093969E11</v>
      </c>
    </row>
    <row r="1484">
      <c r="A1484" s="3">
        <v>2477532.0</v>
      </c>
      <c r="B1484" s="3" t="s">
        <v>3328</v>
      </c>
      <c r="C1484" s="3" t="b">
        <v>1</v>
      </c>
      <c r="D1484" s="3" t="b">
        <v>1</v>
      </c>
      <c r="E1484" s="3" t="s">
        <v>798</v>
      </c>
      <c r="F1484" s="3" t="s">
        <v>3329</v>
      </c>
      <c r="G1484" s="4">
        <f>+251939098367</f>
        <v>251939098367</v>
      </c>
      <c r="H1484" s="3" t="s">
        <v>18</v>
      </c>
      <c r="I1484" s="3" t="s">
        <v>19</v>
      </c>
      <c r="J1484" s="3" t="s">
        <v>19</v>
      </c>
      <c r="K1484" s="3" t="s">
        <v>25</v>
      </c>
      <c r="L1484" s="3">
        <v>25.01</v>
      </c>
      <c r="M1484" s="3" t="s">
        <v>1695</v>
      </c>
      <c r="N1484" s="3" t="s">
        <v>1696</v>
      </c>
      <c r="O1484" s="3">
        <v>1.17142746344E11</v>
      </c>
    </row>
    <row r="1485">
      <c r="A1485" s="3">
        <v>2541251.0</v>
      </c>
      <c r="B1485" s="3" t="s">
        <v>3330</v>
      </c>
      <c r="C1485" s="3" t="b">
        <v>0</v>
      </c>
      <c r="D1485" s="3" t="b">
        <v>1</v>
      </c>
      <c r="E1485" s="3" t="s">
        <v>27</v>
      </c>
      <c r="F1485" s="3" t="s">
        <v>3331</v>
      </c>
      <c r="G1485" s="4">
        <f>+251945645911</f>
        <v>251945645911</v>
      </c>
      <c r="H1485" s="3" t="s">
        <v>18</v>
      </c>
      <c r="I1485" s="3" t="s">
        <v>19</v>
      </c>
      <c r="J1485" s="3" t="s">
        <v>19</v>
      </c>
      <c r="K1485" s="3" t="s">
        <v>25</v>
      </c>
      <c r="L1485" s="3">
        <v>31.23</v>
      </c>
      <c r="M1485" s="3" t="s">
        <v>1695</v>
      </c>
      <c r="N1485" s="3" t="s">
        <v>1696</v>
      </c>
      <c r="O1485" s="3">
        <v>1.60012442837E11</v>
      </c>
    </row>
    <row r="1486">
      <c r="A1486" s="3">
        <v>2541572.0</v>
      </c>
      <c r="B1486" s="3" t="s">
        <v>3332</v>
      </c>
      <c r="C1486" s="3" t="b">
        <v>1</v>
      </c>
      <c r="D1486" s="3" t="b">
        <v>1</v>
      </c>
      <c r="E1486" s="3" t="s">
        <v>46</v>
      </c>
      <c r="F1486" s="3" t="s">
        <v>3333</v>
      </c>
      <c r="G1486" s="4">
        <f>+251927999972</f>
        <v>251927999972</v>
      </c>
      <c r="H1486" s="3" t="s">
        <v>18</v>
      </c>
      <c r="I1486" s="3" t="s">
        <v>19</v>
      </c>
      <c r="J1486" s="3" t="s">
        <v>3334</v>
      </c>
      <c r="K1486" s="3" t="s">
        <v>25</v>
      </c>
      <c r="L1486" s="3">
        <v>13.13</v>
      </c>
      <c r="M1486" s="3" t="s">
        <v>1695</v>
      </c>
      <c r="N1486" s="3" t="s">
        <v>1696</v>
      </c>
    </row>
    <row r="1487">
      <c r="A1487" s="3">
        <v>2286596.0</v>
      </c>
      <c r="B1487" s="3" t="s">
        <v>3335</v>
      </c>
      <c r="C1487" s="3" t="b">
        <v>1</v>
      </c>
      <c r="D1487" s="3" t="b">
        <v>1</v>
      </c>
      <c r="E1487" s="3" t="s">
        <v>3336</v>
      </c>
      <c r="F1487" s="3" t="s">
        <v>3337</v>
      </c>
      <c r="G1487" s="4">
        <f>+251965307644</f>
        <v>251965307644</v>
      </c>
      <c r="H1487" s="3" t="s">
        <v>18</v>
      </c>
      <c r="I1487" s="3" t="s">
        <v>19</v>
      </c>
      <c r="J1487" s="3" t="s">
        <v>19</v>
      </c>
      <c r="K1487" s="3" t="s">
        <v>25</v>
      </c>
      <c r="L1487" s="3">
        <v>25.3</v>
      </c>
      <c r="M1487" s="3" t="s">
        <v>1695</v>
      </c>
      <c r="N1487" s="3" t="s">
        <v>1696</v>
      </c>
      <c r="O1487" s="3">
        <v>3.5541584628E10</v>
      </c>
    </row>
    <row r="1488">
      <c r="A1488" s="3">
        <v>2530102.0</v>
      </c>
      <c r="B1488" s="3" t="s">
        <v>3338</v>
      </c>
      <c r="C1488" s="3" t="b">
        <v>1</v>
      </c>
      <c r="D1488" s="3" t="b">
        <v>1</v>
      </c>
      <c r="E1488" s="3" t="s">
        <v>3339</v>
      </c>
      <c r="F1488" s="3" t="s">
        <v>716</v>
      </c>
      <c r="G1488" s="4">
        <f>+251912802889</f>
        <v>251912802889</v>
      </c>
      <c r="H1488" s="3" t="s">
        <v>18</v>
      </c>
      <c r="I1488" s="3" t="s">
        <v>19</v>
      </c>
      <c r="J1488" s="3" t="s">
        <v>19</v>
      </c>
      <c r="K1488" s="3" t="s">
        <v>25</v>
      </c>
      <c r="L1488" s="3">
        <v>24.86</v>
      </c>
      <c r="M1488" s="3" t="s">
        <v>1695</v>
      </c>
      <c r="N1488" s="3" t="s">
        <v>1696</v>
      </c>
      <c r="O1488" s="3">
        <v>1.54618696912E11</v>
      </c>
    </row>
    <row r="1489">
      <c r="A1489" s="3">
        <v>2541960.0</v>
      </c>
      <c r="B1489" s="3" t="s">
        <v>3340</v>
      </c>
      <c r="C1489" s="3" t="b">
        <v>0</v>
      </c>
      <c r="D1489" s="3" t="b">
        <v>1</v>
      </c>
      <c r="E1489" s="3" t="s">
        <v>3341</v>
      </c>
      <c r="F1489" s="3" t="s">
        <v>3342</v>
      </c>
      <c r="G1489" s="4">
        <f>+251952533652</f>
        <v>251952533652</v>
      </c>
      <c r="H1489" s="3" t="s">
        <v>18</v>
      </c>
      <c r="I1489" s="3" t="s">
        <v>19</v>
      </c>
      <c r="J1489" s="3" t="s">
        <v>19</v>
      </c>
      <c r="K1489" s="3" t="s">
        <v>20</v>
      </c>
      <c r="L1489" s="3">
        <v>20.67</v>
      </c>
      <c r="M1489" s="3" t="s">
        <v>1695</v>
      </c>
      <c r="N1489" s="3" t="s">
        <v>1696</v>
      </c>
      <c r="O1489" s="3">
        <v>1.60315146436E11</v>
      </c>
    </row>
    <row r="1490">
      <c r="A1490" s="3">
        <v>2542044.0</v>
      </c>
      <c r="B1490" s="3" t="s">
        <v>3343</v>
      </c>
      <c r="C1490" s="3" t="b">
        <v>1</v>
      </c>
      <c r="D1490" s="3" t="b">
        <v>1</v>
      </c>
      <c r="E1490" s="3" t="s">
        <v>204</v>
      </c>
      <c r="F1490" s="3" t="s">
        <v>795</v>
      </c>
      <c r="G1490" s="4">
        <f>+251918367855</f>
        <v>251918367855</v>
      </c>
      <c r="H1490" s="3" t="s">
        <v>18</v>
      </c>
      <c r="I1490" s="3" t="s">
        <v>19</v>
      </c>
      <c r="J1490" s="3" t="s">
        <v>19</v>
      </c>
      <c r="K1490" s="3" t="s">
        <v>25</v>
      </c>
      <c r="L1490" s="3">
        <v>30.47</v>
      </c>
      <c r="M1490" s="3" t="s">
        <v>1695</v>
      </c>
      <c r="N1490" s="3" t="s">
        <v>1696</v>
      </c>
      <c r="O1490" s="3">
        <v>1.60298233078E11</v>
      </c>
    </row>
    <row r="1491">
      <c r="A1491" s="3">
        <v>2542111.0</v>
      </c>
      <c r="B1491" s="3" t="s">
        <v>3344</v>
      </c>
      <c r="C1491" s="3" t="b">
        <v>0</v>
      </c>
      <c r="D1491" s="3" t="b">
        <v>1</v>
      </c>
      <c r="E1491" s="3" t="s">
        <v>3345</v>
      </c>
      <c r="F1491" s="3" t="s">
        <v>3346</v>
      </c>
      <c r="G1491" s="4">
        <f>+251936376060</f>
        <v>251936376060</v>
      </c>
      <c r="H1491" s="3" t="s">
        <v>985</v>
      </c>
      <c r="I1491" s="3" t="s">
        <v>19</v>
      </c>
      <c r="J1491" s="3" t="s">
        <v>19</v>
      </c>
      <c r="K1491" s="3" t="s">
        <v>25</v>
      </c>
      <c r="L1491" s="3">
        <v>33.13</v>
      </c>
      <c r="M1491" s="3" t="s">
        <v>1695</v>
      </c>
      <c r="N1491" s="3" t="s">
        <v>1696</v>
      </c>
      <c r="O1491" s="3">
        <v>1.60332465392E11</v>
      </c>
    </row>
    <row r="1492">
      <c r="A1492" s="3">
        <v>2542619.0</v>
      </c>
      <c r="B1492" s="3" t="s">
        <v>3347</v>
      </c>
      <c r="C1492" s="3" t="b">
        <v>1</v>
      </c>
      <c r="D1492" s="3" t="b">
        <v>1</v>
      </c>
      <c r="E1492" s="3" t="s">
        <v>3348</v>
      </c>
      <c r="F1492" s="3" t="s">
        <v>3349</v>
      </c>
      <c r="G1492" s="4">
        <f>+251916961639</f>
        <v>251916961639</v>
      </c>
      <c r="H1492" s="3" t="s">
        <v>18</v>
      </c>
      <c r="I1492" s="3" t="s">
        <v>19</v>
      </c>
      <c r="J1492" s="3" t="s">
        <v>19</v>
      </c>
      <c r="K1492" s="3" t="s">
        <v>25</v>
      </c>
      <c r="L1492" s="3">
        <v>29.17</v>
      </c>
      <c r="M1492" s="3" t="s">
        <v>1695</v>
      </c>
      <c r="N1492" s="3" t="s">
        <v>1696</v>
      </c>
      <c r="O1492" s="3">
        <v>1.60463993068E11</v>
      </c>
    </row>
    <row r="1493">
      <c r="A1493" s="3">
        <v>1782118.0</v>
      </c>
      <c r="B1493" s="3" t="s">
        <v>3350</v>
      </c>
      <c r="C1493" s="3" t="b">
        <v>1</v>
      </c>
      <c r="D1493" s="3" t="b">
        <v>1</v>
      </c>
      <c r="E1493" s="3" t="s">
        <v>3044</v>
      </c>
      <c r="F1493" s="3" t="s">
        <v>35</v>
      </c>
      <c r="G1493" s="4">
        <f>+251917109244</f>
        <v>251917109244</v>
      </c>
      <c r="H1493" s="3" t="s">
        <v>18</v>
      </c>
      <c r="I1493" s="3" t="s">
        <v>19</v>
      </c>
      <c r="J1493" s="3" t="s">
        <v>19</v>
      </c>
      <c r="K1493" s="3" t="s">
        <v>25</v>
      </c>
      <c r="L1493" s="3">
        <v>24.28</v>
      </c>
      <c r="M1493" s="3" t="s">
        <v>1695</v>
      </c>
      <c r="N1493" s="3" t="s">
        <v>1696</v>
      </c>
      <c r="O1493" s="3">
        <v>2.4074406876E10</v>
      </c>
    </row>
    <row r="1494">
      <c r="A1494" s="3">
        <v>2542759.0</v>
      </c>
      <c r="B1494" s="3" t="s">
        <v>3351</v>
      </c>
      <c r="C1494" s="3" t="b">
        <v>1</v>
      </c>
      <c r="D1494" s="3" t="b">
        <v>1</v>
      </c>
      <c r="E1494" s="3" t="s">
        <v>3352</v>
      </c>
      <c r="F1494" s="3" t="s">
        <v>3353</v>
      </c>
      <c r="G1494" s="4">
        <f>+251910004141</f>
        <v>251910004141</v>
      </c>
      <c r="H1494" s="3" t="s">
        <v>18</v>
      </c>
      <c r="I1494" s="3" t="s">
        <v>19</v>
      </c>
      <c r="J1494" s="3" t="s">
        <v>19</v>
      </c>
      <c r="K1494" s="3" t="s">
        <v>25</v>
      </c>
      <c r="L1494" s="3">
        <v>37.11</v>
      </c>
      <c r="M1494" s="3" t="s">
        <v>1695</v>
      </c>
      <c r="N1494" s="3" t="s">
        <v>1696</v>
      </c>
      <c r="O1494" s="3">
        <v>1.60510550218E11</v>
      </c>
    </row>
    <row r="1495">
      <c r="A1495" s="3">
        <v>2543290.0</v>
      </c>
      <c r="B1495" s="3" t="s">
        <v>3354</v>
      </c>
      <c r="C1495" s="3" t="b">
        <v>1</v>
      </c>
      <c r="D1495" s="3" t="b">
        <v>1</v>
      </c>
      <c r="E1495" s="3" t="s">
        <v>16</v>
      </c>
      <c r="F1495" s="3" t="s">
        <v>1646</v>
      </c>
      <c r="G1495" s="4">
        <f>+251940196075</f>
        <v>251940196075</v>
      </c>
      <c r="H1495" s="3" t="s">
        <v>18</v>
      </c>
      <c r="I1495" s="3" t="s">
        <v>19</v>
      </c>
      <c r="J1495" s="3" t="s">
        <v>19</v>
      </c>
      <c r="K1495" s="3" t="s">
        <v>20</v>
      </c>
      <c r="L1495" s="3">
        <v>29.39</v>
      </c>
      <c r="M1495" s="3" t="s">
        <v>1695</v>
      </c>
      <c r="N1495" s="3" t="s">
        <v>1696</v>
      </c>
      <c r="O1495" s="3">
        <v>1.60619990243E11</v>
      </c>
    </row>
    <row r="1496">
      <c r="A1496" s="3">
        <v>2162437.0</v>
      </c>
      <c r="B1496" s="3" t="s">
        <v>3355</v>
      </c>
      <c r="C1496" s="3" t="b">
        <v>1</v>
      </c>
      <c r="D1496" s="3" t="b">
        <v>1</v>
      </c>
      <c r="E1496" s="3" t="s">
        <v>1076</v>
      </c>
      <c r="F1496" s="3" t="s">
        <v>126</v>
      </c>
      <c r="G1496" s="4">
        <f>+251948683093</f>
        <v>251948683093</v>
      </c>
      <c r="H1496" s="3" t="s">
        <v>289</v>
      </c>
      <c r="I1496" s="3" t="s">
        <v>19</v>
      </c>
      <c r="J1496" s="3" t="s">
        <v>19</v>
      </c>
      <c r="K1496" s="3" t="s">
        <v>25</v>
      </c>
      <c r="L1496" s="3">
        <v>25.39</v>
      </c>
      <c r="M1496" s="3" t="s">
        <v>1695</v>
      </c>
      <c r="N1496" s="3" t="s">
        <v>1696</v>
      </c>
      <c r="O1496" s="3">
        <v>3.2275668669E10</v>
      </c>
    </row>
    <row r="1497">
      <c r="A1497" s="3">
        <v>2544670.0</v>
      </c>
      <c r="B1497" s="3" t="s">
        <v>3356</v>
      </c>
      <c r="C1497" s="3" t="b">
        <v>1</v>
      </c>
      <c r="D1497" s="3" t="b">
        <v>1</v>
      </c>
      <c r="E1497" s="3" t="s">
        <v>3357</v>
      </c>
      <c r="F1497" s="3" t="s">
        <v>3358</v>
      </c>
      <c r="G1497" s="4">
        <f>+251987444813</f>
        <v>251987444813</v>
      </c>
      <c r="H1497" s="3" t="s">
        <v>18</v>
      </c>
      <c r="I1497" s="3" t="s">
        <v>19</v>
      </c>
      <c r="J1497" s="3" t="s">
        <v>19</v>
      </c>
      <c r="K1497" s="3" t="s">
        <v>25</v>
      </c>
      <c r="L1497" s="3">
        <v>24.79</v>
      </c>
      <c r="M1497" s="3" t="s">
        <v>1695</v>
      </c>
      <c r="N1497" s="3" t="s">
        <v>1696</v>
      </c>
      <c r="O1497" s="3">
        <v>1.61391367365E11</v>
      </c>
    </row>
    <row r="1498">
      <c r="A1498" s="3">
        <v>2544740.0</v>
      </c>
      <c r="B1498" s="3" t="s">
        <v>3359</v>
      </c>
      <c r="C1498" s="3" t="b">
        <v>0</v>
      </c>
      <c r="D1498" s="3" t="b">
        <v>1</v>
      </c>
      <c r="E1498" s="3" t="s">
        <v>3360</v>
      </c>
      <c r="F1498" s="3" t="s">
        <v>3361</v>
      </c>
      <c r="G1498" s="4">
        <f>+251923225683</f>
        <v>251923225683</v>
      </c>
      <c r="H1498" s="3" t="s">
        <v>29</v>
      </c>
      <c r="I1498" s="3" t="s">
        <v>19</v>
      </c>
      <c r="J1498" s="3" t="s">
        <v>19</v>
      </c>
      <c r="K1498" s="3" t="s">
        <v>25</v>
      </c>
      <c r="L1498" s="3">
        <v>30.63</v>
      </c>
      <c r="M1498" s="3" t="s">
        <v>1695</v>
      </c>
      <c r="N1498" s="3" t="s">
        <v>1696</v>
      </c>
      <c r="O1498" s="3">
        <v>1.61433412799E11</v>
      </c>
    </row>
    <row r="1499">
      <c r="A1499" s="3">
        <v>2544827.0</v>
      </c>
      <c r="B1499" s="3" t="s">
        <v>3362</v>
      </c>
      <c r="C1499" s="3" t="b">
        <v>1</v>
      </c>
      <c r="D1499" s="3" t="b">
        <v>1</v>
      </c>
      <c r="E1499" s="3" t="s">
        <v>1905</v>
      </c>
      <c r="F1499" s="3" t="s">
        <v>3363</v>
      </c>
      <c r="G1499" s="4">
        <f>+251927084023</f>
        <v>251927084023</v>
      </c>
      <c r="H1499" s="3" t="s">
        <v>18</v>
      </c>
      <c r="I1499" s="3" t="s">
        <v>19</v>
      </c>
      <c r="J1499" s="3" t="s">
        <v>19</v>
      </c>
      <c r="K1499" s="3" t="s">
        <v>25</v>
      </c>
      <c r="L1499" s="3">
        <v>22.1</v>
      </c>
      <c r="M1499" s="3" t="s">
        <v>1695</v>
      </c>
      <c r="N1499" s="3" t="s">
        <v>1696</v>
      </c>
      <c r="O1499" s="3">
        <v>1.61438775486E11</v>
      </c>
    </row>
    <row r="1500">
      <c r="A1500" s="3">
        <v>2544886.0</v>
      </c>
      <c r="B1500" s="3" t="s">
        <v>3364</v>
      </c>
      <c r="C1500" s="3" t="b">
        <v>1</v>
      </c>
      <c r="D1500" s="3" t="b">
        <v>1</v>
      </c>
      <c r="E1500" s="3" t="s">
        <v>3365</v>
      </c>
      <c r="F1500" s="3" t="s">
        <v>3366</v>
      </c>
      <c r="G1500" s="4">
        <f>+251948681344</f>
        <v>251948681344</v>
      </c>
      <c r="H1500" s="3" t="s">
        <v>18</v>
      </c>
      <c r="I1500" s="3" t="s">
        <v>19</v>
      </c>
      <c r="J1500" s="3" t="s">
        <v>19</v>
      </c>
      <c r="K1500" s="3" t="s">
        <v>25</v>
      </c>
      <c r="L1500" s="3">
        <v>19.12</v>
      </c>
      <c r="M1500" s="3" t="s">
        <v>1695</v>
      </c>
      <c r="N1500" s="3" t="s">
        <v>1696</v>
      </c>
    </row>
    <row r="1501">
      <c r="A1501" s="3">
        <v>1704224.0</v>
      </c>
      <c r="B1501" s="3" t="s">
        <v>3367</v>
      </c>
      <c r="C1501" s="3" t="b">
        <v>1</v>
      </c>
      <c r="D1501" s="3" t="b">
        <v>1</v>
      </c>
      <c r="E1501" s="3" t="s">
        <v>3368</v>
      </c>
      <c r="F1501" s="3" t="s">
        <v>3369</v>
      </c>
      <c r="G1501" s="4">
        <f>+251913547081</f>
        <v>251913547081</v>
      </c>
      <c r="H1501" s="3" t="s">
        <v>289</v>
      </c>
      <c r="I1501" s="3" t="s">
        <v>19</v>
      </c>
      <c r="J1501" s="3" t="s">
        <v>19</v>
      </c>
      <c r="K1501" s="3" t="s">
        <v>25</v>
      </c>
      <c r="L1501" s="3">
        <v>28.11</v>
      </c>
      <c r="M1501" s="3" t="s">
        <v>1695</v>
      </c>
      <c r="N1501" s="3" t="s">
        <v>1696</v>
      </c>
    </row>
    <row r="1502">
      <c r="A1502" s="3">
        <v>2545147.0</v>
      </c>
      <c r="B1502" s="3" t="s">
        <v>3370</v>
      </c>
      <c r="C1502" s="3" t="b">
        <v>0</v>
      </c>
      <c r="D1502" s="3" t="b">
        <v>1</v>
      </c>
      <c r="E1502" s="3" t="s">
        <v>208</v>
      </c>
      <c r="F1502" s="3" t="s">
        <v>3371</v>
      </c>
      <c r="G1502" s="4">
        <f>+251943234492</f>
        <v>251943234492</v>
      </c>
      <c r="H1502" s="3" t="s">
        <v>44</v>
      </c>
      <c r="I1502" s="3" t="s">
        <v>19</v>
      </c>
      <c r="J1502" s="3" t="s">
        <v>19</v>
      </c>
      <c r="K1502" s="3" t="s">
        <v>25</v>
      </c>
      <c r="L1502" s="3">
        <v>26.0</v>
      </c>
      <c r="M1502" s="3" t="s">
        <v>1695</v>
      </c>
      <c r="N1502" s="3" t="s">
        <v>1696</v>
      </c>
      <c r="O1502" s="3">
        <v>1.61747697897E11</v>
      </c>
    </row>
    <row r="1503">
      <c r="A1503" s="3">
        <v>127718.0</v>
      </c>
      <c r="B1503" s="3" t="s">
        <v>3372</v>
      </c>
      <c r="C1503" s="3" t="b">
        <v>1</v>
      </c>
      <c r="D1503" s="3" t="b">
        <v>1</v>
      </c>
      <c r="E1503" s="3" t="s">
        <v>3373</v>
      </c>
      <c r="F1503" s="3" t="s">
        <v>3373</v>
      </c>
      <c r="G1503" s="3">
        <v>9.25962096E8</v>
      </c>
      <c r="H1503" s="3" t="s">
        <v>18</v>
      </c>
      <c r="I1503" s="3" t="s">
        <v>19</v>
      </c>
      <c r="J1503" s="3" t="s">
        <v>19</v>
      </c>
      <c r="K1503" s="3" t="s">
        <v>25</v>
      </c>
      <c r="L1503" s="3">
        <v>23.67</v>
      </c>
      <c r="M1503" s="3" t="s">
        <v>1695</v>
      </c>
      <c r="N1503" s="3" t="s">
        <v>1696</v>
      </c>
      <c r="O1503" s="3">
        <v>2.5665413E7</v>
      </c>
    </row>
    <row r="1504">
      <c r="A1504" s="3">
        <v>2545217.0</v>
      </c>
      <c r="B1504" s="3" t="s">
        <v>3374</v>
      </c>
      <c r="C1504" s="3" t="b">
        <v>0</v>
      </c>
      <c r="D1504" s="3" t="b">
        <v>1</v>
      </c>
      <c r="E1504" s="3" t="s">
        <v>3375</v>
      </c>
      <c r="F1504" s="3" t="s">
        <v>3376</v>
      </c>
      <c r="G1504" s="4">
        <f>+251972097444</f>
        <v>251972097444</v>
      </c>
      <c r="H1504" s="3" t="s">
        <v>18</v>
      </c>
      <c r="I1504" s="3" t="s">
        <v>19</v>
      </c>
      <c r="J1504" s="3" t="s">
        <v>19</v>
      </c>
      <c r="K1504" s="3" t="s">
        <v>25</v>
      </c>
      <c r="L1504" s="3">
        <v>28.06</v>
      </c>
      <c r="M1504" s="3" t="s">
        <v>1695</v>
      </c>
      <c r="N1504" s="3" t="s">
        <v>1696</v>
      </c>
      <c r="O1504" s="3">
        <v>1.61873452259E11</v>
      </c>
    </row>
    <row r="1505">
      <c r="A1505" s="3">
        <v>2546697.0</v>
      </c>
      <c r="B1505" s="3" t="s">
        <v>3377</v>
      </c>
      <c r="C1505" s="3" t="b">
        <v>1</v>
      </c>
      <c r="D1505" s="3" t="b">
        <v>1</v>
      </c>
      <c r="E1505" s="3" t="s">
        <v>3378</v>
      </c>
      <c r="F1505" s="3" t="s">
        <v>3379</v>
      </c>
      <c r="G1505" s="4">
        <f>+251925297013</f>
        <v>251925297013</v>
      </c>
      <c r="H1505" s="3" t="s">
        <v>18</v>
      </c>
      <c r="I1505" s="3" t="s">
        <v>19</v>
      </c>
      <c r="J1505" s="3" t="s">
        <v>19</v>
      </c>
      <c r="K1505" s="3" t="s">
        <v>25</v>
      </c>
      <c r="L1505" s="3">
        <v>31.55</v>
      </c>
      <c r="M1505" s="3" t="s">
        <v>1695</v>
      </c>
      <c r="N1505" s="3" t="s">
        <v>1696</v>
      </c>
      <c r="O1505" s="3">
        <v>1.63077129402E11</v>
      </c>
    </row>
    <row r="1506">
      <c r="A1506" s="3">
        <v>514170.0</v>
      </c>
      <c r="B1506" s="3" t="s">
        <v>3380</v>
      </c>
      <c r="C1506" s="3" t="b">
        <v>1</v>
      </c>
      <c r="D1506" s="3" t="b">
        <v>1</v>
      </c>
      <c r="E1506" s="3" t="s">
        <v>1384</v>
      </c>
      <c r="F1506" s="3" t="s">
        <v>32</v>
      </c>
      <c r="G1506" s="4">
        <f>+251939955654</f>
        <v>251939955654</v>
      </c>
      <c r="H1506" s="3" t="s">
        <v>18</v>
      </c>
      <c r="I1506" s="3" t="s">
        <v>19</v>
      </c>
      <c r="J1506" s="3" t="s">
        <v>19</v>
      </c>
      <c r="K1506" s="3" t="s">
        <v>25</v>
      </c>
      <c r="L1506" s="3">
        <v>27.79</v>
      </c>
      <c r="M1506" s="3" t="s">
        <v>1695</v>
      </c>
      <c r="N1506" s="3" t="s">
        <v>1696</v>
      </c>
      <c r="O1506" s="3">
        <v>5933306.0</v>
      </c>
    </row>
    <row r="1507">
      <c r="A1507" s="3">
        <v>2547331.0</v>
      </c>
      <c r="B1507" s="3" t="s">
        <v>3381</v>
      </c>
      <c r="C1507" s="3" t="b">
        <v>1</v>
      </c>
      <c r="D1507" s="3" t="b">
        <v>1</v>
      </c>
      <c r="E1507" s="3" t="s">
        <v>2177</v>
      </c>
      <c r="F1507" s="3" t="s">
        <v>387</v>
      </c>
      <c r="G1507" s="4">
        <f>+251912664488</f>
        <v>251912664488</v>
      </c>
      <c r="H1507" s="3" t="s">
        <v>18</v>
      </c>
      <c r="I1507" s="3" t="s">
        <v>19</v>
      </c>
      <c r="J1507" s="3" t="s">
        <v>19</v>
      </c>
      <c r="K1507" s="3" t="s">
        <v>25</v>
      </c>
      <c r="L1507" s="3">
        <v>35.35</v>
      </c>
      <c r="M1507" s="3" t="s">
        <v>1695</v>
      </c>
      <c r="N1507" s="3" t="s">
        <v>1696</v>
      </c>
      <c r="O1507" s="3">
        <v>1.63604199645E11</v>
      </c>
    </row>
    <row r="1508">
      <c r="A1508" s="3">
        <v>2547362.0</v>
      </c>
      <c r="B1508" s="3" t="s">
        <v>3382</v>
      </c>
      <c r="C1508" s="3" t="b">
        <v>1</v>
      </c>
      <c r="D1508" s="3" t="b">
        <v>1</v>
      </c>
      <c r="E1508" s="3" t="s">
        <v>993</v>
      </c>
      <c r="F1508" s="3" t="s">
        <v>3383</v>
      </c>
      <c r="G1508" s="4">
        <f>+251938690965</f>
        <v>251938690965</v>
      </c>
      <c r="H1508" s="3" t="s">
        <v>18</v>
      </c>
      <c r="I1508" s="3" t="s">
        <v>19</v>
      </c>
      <c r="J1508" s="3" t="s">
        <v>19</v>
      </c>
      <c r="K1508" s="3" t="s">
        <v>25</v>
      </c>
      <c r="L1508" s="3">
        <v>30.16</v>
      </c>
      <c r="M1508" s="3" t="s">
        <v>1695</v>
      </c>
      <c r="N1508" s="3" t="s">
        <v>1696</v>
      </c>
      <c r="O1508" s="3">
        <v>1.63612898506E11</v>
      </c>
    </row>
    <row r="1509">
      <c r="A1509" s="3">
        <v>2547759.0</v>
      </c>
      <c r="B1509" s="3" t="s">
        <v>3384</v>
      </c>
      <c r="C1509" s="3" t="b">
        <v>1</v>
      </c>
      <c r="D1509" s="3" t="b">
        <v>1</v>
      </c>
      <c r="E1509" s="3" t="s">
        <v>386</v>
      </c>
      <c r="F1509" s="3" t="s">
        <v>3264</v>
      </c>
      <c r="G1509" s="4">
        <f>+251962797841</f>
        <v>251962797841</v>
      </c>
      <c r="H1509" s="3" t="s">
        <v>18</v>
      </c>
      <c r="I1509" s="3" t="s">
        <v>19</v>
      </c>
      <c r="J1509" s="3" t="s">
        <v>19</v>
      </c>
      <c r="K1509" s="3" t="s">
        <v>25</v>
      </c>
      <c r="L1509" s="3">
        <v>32.86</v>
      </c>
      <c r="M1509" s="3" t="s">
        <v>1695</v>
      </c>
      <c r="N1509" s="3" t="s">
        <v>1696</v>
      </c>
      <c r="O1509" s="3">
        <v>1.63880330489E11</v>
      </c>
    </row>
    <row r="1510">
      <c r="A1510" s="3">
        <v>2546102.0</v>
      </c>
      <c r="B1510" s="3" t="s">
        <v>3385</v>
      </c>
      <c r="C1510" s="3" t="b">
        <v>1</v>
      </c>
      <c r="D1510" s="3" t="b">
        <v>1</v>
      </c>
      <c r="E1510" s="3" t="s">
        <v>2431</v>
      </c>
      <c r="F1510" s="3" t="s">
        <v>3386</v>
      </c>
      <c r="G1510" s="4">
        <f>+251983708542</f>
        <v>251983708542</v>
      </c>
      <c r="H1510" s="3" t="s">
        <v>18</v>
      </c>
      <c r="I1510" s="3" t="s">
        <v>19</v>
      </c>
      <c r="J1510" s="3" t="s">
        <v>19</v>
      </c>
      <c r="K1510" s="3" t="s">
        <v>25</v>
      </c>
      <c r="L1510" s="3">
        <v>31.69</v>
      </c>
      <c r="M1510" s="3" t="s">
        <v>1695</v>
      </c>
      <c r="N1510" s="3" t="s">
        <v>1696</v>
      </c>
    </row>
    <row r="1511">
      <c r="A1511" s="3">
        <v>2547865.0</v>
      </c>
      <c r="B1511" s="3" t="s">
        <v>3387</v>
      </c>
      <c r="C1511" s="3" t="b">
        <v>1</v>
      </c>
      <c r="D1511" s="3" t="b">
        <v>1</v>
      </c>
      <c r="E1511" s="3" t="s">
        <v>220</v>
      </c>
      <c r="F1511" s="3" t="s">
        <v>1478</v>
      </c>
      <c r="G1511" s="4">
        <f>+251933128693</f>
        <v>251933128693</v>
      </c>
      <c r="H1511" s="3" t="s">
        <v>18</v>
      </c>
      <c r="I1511" s="3" t="s">
        <v>19</v>
      </c>
      <c r="J1511" s="3" t="s">
        <v>19</v>
      </c>
      <c r="K1511" s="3" t="s">
        <v>20</v>
      </c>
      <c r="L1511" s="3">
        <v>19.13</v>
      </c>
      <c r="M1511" s="3" t="s">
        <v>1695</v>
      </c>
      <c r="N1511" s="3" t="s">
        <v>1696</v>
      </c>
    </row>
    <row r="1512">
      <c r="A1512" s="3">
        <v>2548237.0</v>
      </c>
      <c r="B1512" s="3" t="s">
        <v>3388</v>
      </c>
      <c r="C1512" s="3" t="b">
        <v>1</v>
      </c>
      <c r="D1512" s="3" t="b">
        <v>1</v>
      </c>
      <c r="E1512" s="3" t="s">
        <v>3389</v>
      </c>
      <c r="F1512" s="3" t="s">
        <v>3390</v>
      </c>
      <c r="G1512" s="4">
        <f>+251996298587</f>
        <v>251996298587</v>
      </c>
      <c r="H1512" s="3" t="s">
        <v>1175</v>
      </c>
      <c r="I1512" s="3" t="s">
        <v>19</v>
      </c>
      <c r="J1512" s="3" t="s">
        <v>19</v>
      </c>
      <c r="K1512" s="3" t="s">
        <v>25</v>
      </c>
      <c r="L1512" s="3">
        <v>24.72</v>
      </c>
      <c r="M1512" s="3" t="s">
        <v>1695</v>
      </c>
      <c r="N1512" s="3" t="s">
        <v>1696</v>
      </c>
      <c r="O1512" s="3">
        <v>1.63979221201E11</v>
      </c>
    </row>
    <row r="1513">
      <c r="A1513" s="3">
        <v>2548249.0</v>
      </c>
      <c r="B1513" s="3" t="s">
        <v>3391</v>
      </c>
      <c r="C1513" s="3" t="b">
        <v>0</v>
      </c>
      <c r="D1513" s="3" t="b">
        <v>1</v>
      </c>
      <c r="E1513" s="3" t="s">
        <v>3392</v>
      </c>
      <c r="F1513" s="3" t="s">
        <v>3393</v>
      </c>
      <c r="G1513" s="4">
        <f>+251928331483</f>
        <v>251928331483</v>
      </c>
      <c r="H1513" s="3" t="s">
        <v>44</v>
      </c>
      <c r="I1513" s="3" t="s">
        <v>19</v>
      </c>
      <c r="J1513" s="3" t="s">
        <v>19</v>
      </c>
      <c r="K1513" s="3" t="s">
        <v>25</v>
      </c>
      <c r="L1513" s="3">
        <v>28.65</v>
      </c>
      <c r="M1513" s="3" t="s">
        <v>1695</v>
      </c>
      <c r="N1513" s="3" t="s">
        <v>1696</v>
      </c>
      <c r="O1513" s="3">
        <v>1.64160837862E11</v>
      </c>
    </row>
    <row r="1514">
      <c r="A1514" s="3">
        <v>2548399.0</v>
      </c>
      <c r="B1514" s="3" t="s">
        <v>3394</v>
      </c>
      <c r="C1514" s="3" t="b">
        <v>1</v>
      </c>
      <c r="D1514" s="3" t="b">
        <v>1</v>
      </c>
      <c r="E1514" s="3" t="s">
        <v>3395</v>
      </c>
      <c r="F1514" s="3" t="s">
        <v>196</v>
      </c>
      <c r="G1514" s="4">
        <f>+21910003295</f>
        <v>21910003295</v>
      </c>
      <c r="H1514" s="3" t="s">
        <v>18</v>
      </c>
      <c r="I1514" s="3" t="s">
        <v>19</v>
      </c>
      <c r="J1514" s="3" t="s">
        <v>19</v>
      </c>
      <c r="K1514" s="3" t="s">
        <v>20</v>
      </c>
      <c r="L1514" s="3">
        <v>32.38</v>
      </c>
      <c r="M1514" s="3" t="s">
        <v>1695</v>
      </c>
      <c r="N1514" s="3" t="s">
        <v>1696</v>
      </c>
      <c r="O1514" s="3">
        <v>1.64118058203E11</v>
      </c>
    </row>
    <row r="1515">
      <c r="A1515" s="3">
        <v>2548870.0</v>
      </c>
      <c r="B1515" s="3" t="s">
        <v>3396</v>
      </c>
      <c r="C1515" s="3" t="b">
        <v>0</v>
      </c>
      <c r="D1515" s="3" t="b">
        <v>1</v>
      </c>
      <c r="E1515" s="3" t="s">
        <v>3397</v>
      </c>
      <c r="F1515" s="3" t="s">
        <v>3398</v>
      </c>
      <c r="G1515" s="4">
        <f>+251982923508</f>
        <v>251982923508</v>
      </c>
      <c r="H1515" s="3" t="s">
        <v>18</v>
      </c>
      <c r="I1515" s="3" t="s">
        <v>19</v>
      </c>
      <c r="J1515" s="3" t="s">
        <v>3133</v>
      </c>
      <c r="K1515" s="3" t="s">
        <v>25</v>
      </c>
      <c r="L1515" s="3">
        <v>26.22</v>
      </c>
      <c r="M1515" s="3" t="s">
        <v>1695</v>
      </c>
      <c r="N1515" s="3" t="s">
        <v>1696</v>
      </c>
      <c r="O1515" s="3">
        <v>1.64420230379E11</v>
      </c>
    </row>
    <row r="1516">
      <c r="A1516" s="3">
        <v>2548975.0</v>
      </c>
      <c r="B1516" s="3" t="s">
        <v>3399</v>
      </c>
      <c r="C1516" s="3" t="b">
        <v>1</v>
      </c>
      <c r="D1516" s="3" t="b">
        <v>1</v>
      </c>
      <c r="E1516" s="3" t="s">
        <v>3400</v>
      </c>
      <c r="F1516" s="3" t="s">
        <v>3401</v>
      </c>
      <c r="G1516" s="4">
        <f>+251912358307</f>
        <v>251912358307</v>
      </c>
      <c r="H1516" s="3" t="s">
        <v>18</v>
      </c>
      <c r="I1516" s="3" t="s">
        <v>19</v>
      </c>
      <c r="J1516" s="3" t="s">
        <v>19</v>
      </c>
      <c r="K1516" s="3" t="s">
        <v>25</v>
      </c>
      <c r="L1516" s="3">
        <v>30.42</v>
      </c>
      <c r="M1516" s="3" t="s">
        <v>1695</v>
      </c>
      <c r="N1516" s="3" t="s">
        <v>1696</v>
      </c>
      <c r="O1516" s="3">
        <v>1.64468071649E11</v>
      </c>
    </row>
    <row r="1517">
      <c r="A1517" s="3">
        <v>359737.0</v>
      </c>
      <c r="B1517" s="3" t="s">
        <v>3402</v>
      </c>
      <c r="C1517" s="3" t="b">
        <v>1</v>
      </c>
      <c r="D1517" s="3" t="b">
        <v>1</v>
      </c>
      <c r="E1517" s="3" t="s">
        <v>691</v>
      </c>
      <c r="F1517" s="3" t="s">
        <v>1710</v>
      </c>
      <c r="G1517" s="4">
        <f>+251911795381</f>
        <v>251911795381</v>
      </c>
      <c r="H1517" s="3" t="s">
        <v>18</v>
      </c>
      <c r="I1517" s="3" t="s">
        <v>19</v>
      </c>
      <c r="J1517" s="3" t="s">
        <v>19</v>
      </c>
      <c r="K1517" s="3" t="s">
        <v>20</v>
      </c>
      <c r="L1517" s="3">
        <v>31.29</v>
      </c>
      <c r="M1517" s="3" t="s">
        <v>1695</v>
      </c>
      <c r="N1517" s="3" t="s">
        <v>1696</v>
      </c>
      <c r="O1517" s="3">
        <v>2.7631059E7</v>
      </c>
    </row>
    <row r="1518">
      <c r="A1518" s="3">
        <v>1222765.0</v>
      </c>
      <c r="B1518" s="3" t="s">
        <v>3403</v>
      </c>
      <c r="C1518" s="3" t="b">
        <v>1</v>
      </c>
      <c r="D1518" s="3" t="b">
        <v>1</v>
      </c>
      <c r="E1518" s="3" t="s">
        <v>1112</v>
      </c>
      <c r="F1518" s="3" t="s">
        <v>3404</v>
      </c>
      <c r="G1518" s="4">
        <f>+251949018085</f>
        <v>251949018085</v>
      </c>
      <c r="H1518" s="3" t="s">
        <v>18</v>
      </c>
      <c r="I1518" s="3" t="s">
        <v>19</v>
      </c>
      <c r="J1518" s="3" t="s">
        <v>19</v>
      </c>
      <c r="K1518" s="3" t="s">
        <v>25</v>
      </c>
      <c r="L1518" s="3">
        <v>35.02</v>
      </c>
      <c r="M1518" s="3" t="s">
        <v>1695</v>
      </c>
      <c r="N1518" s="3" t="s">
        <v>1696</v>
      </c>
      <c r="O1518" s="3">
        <v>6031150.0</v>
      </c>
    </row>
    <row r="1519">
      <c r="A1519" s="3">
        <v>1969692.0</v>
      </c>
      <c r="B1519" s="3" t="s">
        <v>3405</v>
      </c>
      <c r="C1519" s="3" t="b">
        <v>1</v>
      </c>
      <c r="D1519" s="3" t="b">
        <v>1</v>
      </c>
      <c r="E1519" s="3" t="s">
        <v>3406</v>
      </c>
      <c r="F1519" s="3" t="s">
        <v>196</v>
      </c>
      <c r="G1519" s="4">
        <f>+251900830452</f>
        <v>251900830452</v>
      </c>
      <c r="H1519" s="3" t="s">
        <v>18</v>
      </c>
      <c r="I1519" s="3" t="s">
        <v>19</v>
      </c>
      <c r="J1519" s="3" t="s">
        <v>19</v>
      </c>
      <c r="K1519" s="3" t="s">
        <v>25</v>
      </c>
      <c r="L1519" s="3">
        <v>21.47</v>
      </c>
      <c r="M1519" s="3" t="s">
        <v>1695</v>
      </c>
      <c r="N1519" s="3" t="s">
        <v>1696</v>
      </c>
      <c r="O1519" s="3">
        <v>764718.0</v>
      </c>
    </row>
    <row r="1520">
      <c r="A1520" s="3">
        <v>2549739.0</v>
      </c>
      <c r="B1520" s="3" t="s">
        <v>3407</v>
      </c>
      <c r="C1520" s="3" t="b">
        <v>1</v>
      </c>
      <c r="D1520" s="3" t="b">
        <v>1</v>
      </c>
      <c r="E1520" s="3" t="s">
        <v>35</v>
      </c>
      <c r="F1520" s="3" t="s">
        <v>443</v>
      </c>
      <c r="G1520" s="4">
        <f>+251910952993</f>
        <v>251910952993</v>
      </c>
      <c r="H1520" s="3" t="s">
        <v>289</v>
      </c>
      <c r="I1520" s="3" t="s">
        <v>19</v>
      </c>
      <c r="J1520" s="3" t="s">
        <v>19</v>
      </c>
      <c r="K1520" s="3" t="s">
        <v>25</v>
      </c>
      <c r="L1520" s="3">
        <v>29.38</v>
      </c>
      <c r="M1520" s="3" t="s">
        <v>1695</v>
      </c>
      <c r="N1520" s="3" t="s">
        <v>1696</v>
      </c>
      <c r="O1520" s="3">
        <v>1.64951882948E11</v>
      </c>
    </row>
    <row r="1521">
      <c r="A1521" s="3">
        <v>2088374.0</v>
      </c>
      <c r="B1521" s="3" t="s">
        <v>3408</v>
      </c>
      <c r="C1521" s="3" t="b">
        <v>1</v>
      </c>
      <c r="D1521" s="3" t="b">
        <v>1</v>
      </c>
      <c r="E1521" s="3" t="s">
        <v>3409</v>
      </c>
      <c r="F1521" s="3" t="s">
        <v>3410</v>
      </c>
      <c r="G1521" s="4">
        <f>+251965072451</f>
        <v>251965072451</v>
      </c>
      <c r="H1521" s="3" t="s">
        <v>855</v>
      </c>
      <c r="I1521" s="3" t="s">
        <v>19</v>
      </c>
      <c r="J1521" s="3" t="s">
        <v>19</v>
      </c>
      <c r="K1521" s="3" t="s">
        <v>20</v>
      </c>
      <c r="L1521" s="3">
        <v>23.46</v>
      </c>
      <c r="M1521" s="3" t="s">
        <v>1695</v>
      </c>
      <c r="N1521" s="3" t="s">
        <v>1696</v>
      </c>
      <c r="O1521" s="3">
        <v>3.0506542269E10</v>
      </c>
    </row>
    <row r="1522">
      <c r="A1522" s="3">
        <v>2550153.0</v>
      </c>
      <c r="B1522" s="3" t="s">
        <v>3411</v>
      </c>
      <c r="C1522" s="3" t="b">
        <v>1</v>
      </c>
      <c r="D1522" s="3" t="b">
        <v>1</v>
      </c>
      <c r="E1522" s="3" t="s">
        <v>3412</v>
      </c>
      <c r="F1522" s="3" t="s">
        <v>3413</v>
      </c>
      <c r="G1522" s="4">
        <f>+251938063723</f>
        <v>251938063723</v>
      </c>
      <c r="H1522" s="3" t="s">
        <v>18</v>
      </c>
      <c r="I1522" s="3" t="s">
        <v>19</v>
      </c>
      <c r="J1522" s="3" t="s">
        <v>19</v>
      </c>
      <c r="K1522" s="3" t="s">
        <v>20</v>
      </c>
      <c r="L1522" s="3">
        <v>28.77</v>
      </c>
      <c r="M1522" s="3" t="s">
        <v>1695</v>
      </c>
      <c r="N1522" s="3" t="s">
        <v>1696</v>
      </c>
      <c r="O1522" s="3">
        <v>1.65143538902E11</v>
      </c>
    </row>
    <row r="1523">
      <c r="A1523" s="3">
        <v>2550337.0</v>
      </c>
      <c r="B1523" s="3" t="s">
        <v>3414</v>
      </c>
      <c r="C1523" s="3" t="b">
        <v>1</v>
      </c>
      <c r="D1523" s="3" t="b">
        <v>1</v>
      </c>
      <c r="E1523" s="3" t="s">
        <v>1746</v>
      </c>
      <c r="F1523" s="3" t="s">
        <v>3415</v>
      </c>
      <c r="G1523" s="3">
        <v>9.23684875E8</v>
      </c>
      <c r="H1523" s="3" t="s">
        <v>18</v>
      </c>
      <c r="I1523" s="3" t="s">
        <v>19</v>
      </c>
      <c r="J1523" s="3" t="s">
        <v>19</v>
      </c>
      <c r="K1523" s="3" t="s">
        <v>20</v>
      </c>
      <c r="L1523" s="3">
        <v>29.28</v>
      </c>
      <c r="M1523" s="3" t="s">
        <v>1695</v>
      </c>
      <c r="N1523" s="3" t="s">
        <v>1696</v>
      </c>
      <c r="O1523" s="3">
        <v>4.4339193793E10</v>
      </c>
    </row>
    <row r="1524">
      <c r="A1524" s="3">
        <v>2307849.0</v>
      </c>
      <c r="B1524" s="3" t="s">
        <v>3416</v>
      </c>
      <c r="C1524" s="3" t="b">
        <v>1</v>
      </c>
      <c r="D1524" s="3" t="b">
        <v>1</v>
      </c>
      <c r="E1524" s="3" t="s">
        <v>3417</v>
      </c>
      <c r="F1524" s="3" t="s">
        <v>3418</v>
      </c>
      <c r="G1524" s="4">
        <f>+251913567916</f>
        <v>251913567916</v>
      </c>
      <c r="H1524" s="3" t="s">
        <v>18</v>
      </c>
      <c r="I1524" s="3" t="s">
        <v>19</v>
      </c>
      <c r="J1524" s="3" t="s">
        <v>19</v>
      </c>
      <c r="K1524" s="3" t="s">
        <v>25</v>
      </c>
      <c r="L1524" s="3">
        <v>32.54</v>
      </c>
      <c r="M1524" s="3" t="s">
        <v>1695</v>
      </c>
      <c r="N1524" s="3" t="s">
        <v>1696</v>
      </c>
      <c r="O1524" s="3">
        <v>2.3358916E7</v>
      </c>
    </row>
    <row r="1525">
      <c r="A1525" s="3">
        <v>2335743.0</v>
      </c>
      <c r="B1525" s="3" t="s">
        <v>3419</v>
      </c>
      <c r="C1525" s="3" t="b">
        <v>1</v>
      </c>
      <c r="D1525" s="3" t="b">
        <v>1</v>
      </c>
      <c r="E1525" s="3" t="s">
        <v>2873</v>
      </c>
      <c r="F1525" s="3" t="s">
        <v>3420</v>
      </c>
      <c r="G1525" s="4">
        <f>+251913574700</f>
        <v>251913574700</v>
      </c>
      <c r="H1525" s="3" t="s">
        <v>18</v>
      </c>
      <c r="I1525" s="3" t="s">
        <v>19</v>
      </c>
      <c r="J1525" s="3" t="s">
        <v>19</v>
      </c>
      <c r="K1525" s="3" t="s">
        <v>25</v>
      </c>
      <c r="L1525" s="3">
        <v>25.41</v>
      </c>
      <c r="M1525" s="3" t="s">
        <v>1695</v>
      </c>
      <c r="N1525" s="3" t="s">
        <v>1696</v>
      </c>
      <c r="O1525" s="3">
        <v>3.7776756443E10</v>
      </c>
    </row>
    <row r="1526">
      <c r="A1526" s="3">
        <v>2177447.0</v>
      </c>
      <c r="B1526" s="3" t="s">
        <v>3421</v>
      </c>
      <c r="C1526" s="3" t="b">
        <v>1</v>
      </c>
      <c r="D1526" s="3" t="b">
        <v>1</v>
      </c>
      <c r="E1526" s="3" t="s">
        <v>3422</v>
      </c>
      <c r="F1526" s="3" t="s">
        <v>1888</v>
      </c>
      <c r="G1526" s="4">
        <f>+10908251441</f>
        <v>10908251441</v>
      </c>
      <c r="H1526" s="3" t="s">
        <v>249</v>
      </c>
      <c r="I1526" s="3" t="s">
        <v>19</v>
      </c>
      <c r="J1526" s="3" t="s">
        <v>19</v>
      </c>
      <c r="K1526" s="3" t="s">
        <v>20</v>
      </c>
      <c r="L1526" s="3">
        <v>26.56</v>
      </c>
      <c r="M1526" s="3" t="s">
        <v>1695</v>
      </c>
      <c r="N1526" s="3" t="s">
        <v>1696</v>
      </c>
      <c r="O1526" s="3">
        <v>3.2658408676E10</v>
      </c>
    </row>
    <row r="1527">
      <c r="A1527" s="3">
        <v>1967523.0</v>
      </c>
      <c r="B1527" s="3" t="s">
        <v>3423</v>
      </c>
      <c r="C1527" s="3" t="b">
        <v>1</v>
      </c>
      <c r="D1527" s="3" t="b">
        <v>1</v>
      </c>
      <c r="E1527" s="3" t="s">
        <v>1511</v>
      </c>
      <c r="F1527" s="3" t="s">
        <v>3424</v>
      </c>
      <c r="G1527" s="4">
        <f>+251917842558</f>
        <v>251917842558</v>
      </c>
      <c r="H1527" s="3" t="s">
        <v>18</v>
      </c>
      <c r="I1527" s="3" t="s">
        <v>19</v>
      </c>
      <c r="J1527" s="3" t="s">
        <v>19</v>
      </c>
      <c r="K1527" s="3" t="s">
        <v>25</v>
      </c>
      <c r="L1527" s="3">
        <v>27.82</v>
      </c>
      <c r="M1527" s="3" t="s">
        <v>1695</v>
      </c>
      <c r="N1527" s="3" t="s">
        <v>1696</v>
      </c>
      <c r="O1527" s="3">
        <v>2.3032739E7</v>
      </c>
    </row>
    <row r="1528">
      <c r="A1528" s="3">
        <v>2551581.0</v>
      </c>
      <c r="B1528" s="3" t="s">
        <v>3425</v>
      </c>
      <c r="C1528" s="3" t="b">
        <v>1</v>
      </c>
      <c r="D1528" s="3" t="b">
        <v>1</v>
      </c>
      <c r="E1528" s="3" t="s">
        <v>273</v>
      </c>
      <c r="F1528" s="3" t="s">
        <v>3426</v>
      </c>
      <c r="G1528" s="4">
        <f>+251916555251</f>
        <v>251916555251</v>
      </c>
      <c r="H1528" s="3" t="s">
        <v>18</v>
      </c>
      <c r="I1528" s="3" t="s">
        <v>19</v>
      </c>
      <c r="J1528" s="3" t="s">
        <v>19</v>
      </c>
      <c r="K1528" s="3" t="s">
        <v>25</v>
      </c>
      <c r="L1528" s="3">
        <v>19.32</v>
      </c>
      <c r="M1528" s="3" t="s">
        <v>1695</v>
      </c>
      <c r="N1528" s="3" t="s">
        <v>1696</v>
      </c>
      <c r="O1528" s="3">
        <v>1.65699959998E11</v>
      </c>
    </row>
    <row r="1529">
      <c r="A1529" s="3">
        <v>2097384.0</v>
      </c>
      <c r="B1529" s="3" t="s">
        <v>3427</v>
      </c>
      <c r="C1529" s="3" t="b">
        <v>1</v>
      </c>
      <c r="D1529" s="3" t="b">
        <v>1</v>
      </c>
      <c r="E1529" s="3" t="s">
        <v>3428</v>
      </c>
      <c r="F1529" s="3" t="s">
        <v>3429</v>
      </c>
      <c r="G1529" s="4">
        <f>+251910845052</f>
        <v>251910845052</v>
      </c>
      <c r="H1529" s="3" t="s">
        <v>18</v>
      </c>
      <c r="I1529" s="3" t="s">
        <v>19</v>
      </c>
      <c r="J1529" s="3" t="s">
        <v>19</v>
      </c>
      <c r="K1529" s="3" t="s">
        <v>25</v>
      </c>
      <c r="L1529" s="3">
        <v>24.76</v>
      </c>
      <c r="M1529" s="3" t="s">
        <v>1695</v>
      </c>
      <c r="N1529" s="3" t="s">
        <v>1696</v>
      </c>
      <c r="O1529" s="3">
        <v>3.0672420344E10</v>
      </c>
    </row>
    <row r="1530">
      <c r="A1530" s="3">
        <v>2551708.0</v>
      </c>
      <c r="B1530" s="3" t="s">
        <v>3430</v>
      </c>
      <c r="C1530" s="3" t="b">
        <v>1</v>
      </c>
      <c r="D1530" s="3" t="b">
        <v>1</v>
      </c>
      <c r="E1530" s="3" t="s">
        <v>676</v>
      </c>
      <c r="F1530" s="3" t="s">
        <v>3431</v>
      </c>
      <c r="G1530" s="4">
        <f>+251941911124</f>
        <v>251941911124</v>
      </c>
      <c r="H1530" s="3" t="s">
        <v>18</v>
      </c>
      <c r="I1530" s="3" t="s">
        <v>19</v>
      </c>
      <c r="J1530" s="3" t="s">
        <v>19</v>
      </c>
      <c r="K1530" s="3" t="s">
        <v>25</v>
      </c>
      <c r="L1530" s="3">
        <v>18.25</v>
      </c>
      <c r="M1530" s="3" t="s">
        <v>1695</v>
      </c>
      <c r="N1530" s="3" t="s">
        <v>1696</v>
      </c>
    </row>
    <row r="1531">
      <c r="A1531" s="3">
        <v>2551936.0</v>
      </c>
      <c r="B1531" s="3" t="s">
        <v>3432</v>
      </c>
      <c r="C1531" s="3" t="b">
        <v>1</v>
      </c>
      <c r="D1531" s="3" t="b">
        <v>1</v>
      </c>
      <c r="E1531" s="3" t="s">
        <v>3433</v>
      </c>
      <c r="F1531" s="3" t="s">
        <v>32</v>
      </c>
      <c r="G1531" s="4">
        <f>+251913567160</f>
        <v>251913567160</v>
      </c>
      <c r="H1531" s="3" t="s">
        <v>18</v>
      </c>
      <c r="I1531" s="3" t="s">
        <v>19</v>
      </c>
      <c r="J1531" s="3" t="s">
        <v>19</v>
      </c>
      <c r="K1531" s="3" t="s">
        <v>20</v>
      </c>
      <c r="L1531" s="3">
        <v>24.04</v>
      </c>
      <c r="M1531" s="3" t="s">
        <v>1695</v>
      </c>
      <c r="N1531" s="3" t="s">
        <v>1696</v>
      </c>
    </row>
    <row r="1532">
      <c r="A1532" s="3">
        <v>2551946.0</v>
      </c>
      <c r="B1532" s="3" t="s">
        <v>3434</v>
      </c>
      <c r="C1532" s="3" t="b">
        <v>0</v>
      </c>
      <c r="D1532" s="3" t="b">
        <v>1</v>
      </c>
      <c r="E1532" s="3" t="s">
        <v>3435</v>
      </c>
      <c r="F1532" s="3" t="s">
        <v>3436</v>
      </c>
      <c r="G1532" s="4">
        <f>+251934475844</f>
        <v>251934475844</v>
      </c>
      <c r="H1532" s="3" t="s">
        <v>18</v>
      </c>
      <c r="I1532" s="3" t="s">
        <v>19</v>
      </c>
      <c r="J1532" s="3" t="s">
        <v>19</v>
      </c>
      <c r="K1532" s="3" t="s">
        <v>25</v>
      </c>
      <c r="L1532" s="3">
        <v>25.13</v>
      </c>
      <c r="M1532" s="3" t="s">
        <v>1695</v>
      </c>
      <c r="N1532" s="3" t="s">
        <v>1696</v>
      </c>
      <c r="O1532" s="3">
        <v>1.65763380413E11</v>
      </c>
    </row>
    <row r="1533">
      <c r="A1533" s="3">
        <v>2552132.0</v>
      </c>
      <c r="B1533" s="3" t="s">
        <v>3437</v>
      </c>
      <c r="C1533" s="3" t="b">
        <v>1</v>
      </c>
      <c r="D1533" s="3" t="b">
        <v>1</v>
      </c>
      <c r="E1533" s="3" t="s">
        <v>3438</v>
      </c>
      <c r="F1533" s="3" t="s">
        <v>3439</v>
      </c>
      <c r="G1533" s="4">
        <f>+251947752752</f>
        <v>251947752752</v>
      </c>
      <c r="H1533" s="3" t="s">
        <v>18</v>
      </c>
      <c r="I1533" s="3" t="s">
        <v>19</v>
      </c>
      <c r="J1533" s="3" t="s">
        <v>2145</v>
      </c>
      <c r="K1533" s="3" t="s">
        <v>20</v>
      </c>
      <c r="L1533" s="3">
        <v>20.15</v>
      </c>
      <c r="M1533" s="3" t="s">
        <v>1695</v>
      </c>
      <c r="N1533" s="3" t="s">
        <v>1696</v>
      </c>
      <c r="O1533" s="3">
        <v>1.65895918799E11</v>
      </c>
    </row>
    <row r="1534">
      <c r="A1534" s="3">
        <v>2552321.0</v>
      </c>
      <c r="B1534" s="3" t="s">
        <v>3440</v>
      </c>
      <c r="C1534" s="3" t="b">
        <v>0</v>
      </c>
      <c r="D1534" s="3" t="b">
        <v>1</v>
      </c>
      <c r="E1534" s="3" t="s">
        <v>3441</v>
      </c>
      <c r="F1534" s="3" t="s">
        <v>3442</v>
      </c>
      <c r="G1534" s="4">
        <f>+251916104666</f>
        <v>251916104666</v>
      </c>
      <c r="H1534" s="3" t="s">
        <v>18</v>
      </c>
      <c r="I1534" s="3" t="s">
        <v>19</v>
      </c>
      <c r="J1534" s="3" t="s">
        <v>19</v>
      </c>
      <c r="K1534" s="3" t="s">
        <v>20</v>
      </c>
      <c r="L1534" s="3">
        <v>26.98</v>
      </c>
      <c r="M1534" s="3" t="s">
        <v>1695</v>
      </c>
      <c r="N1534" s="3" t="s">
        <v>1696</v>
      </c>
      <c r="O1534" s="3">
        <v>1.65940360379E11</v>
      </c>
    </row>
    <row r="1535">
      <c r="A1535" s="3">
        <v>1470277.0</v>
      </c>
      <c r="B1535" s="3" t="s">
        <v>3443</v>
      </c>
      <c r="C1535" s="3" t="b">
        <v>1</v>
      </c>
      <c r="D1535" s="3" t="b">
        <v>1</v>
      </c>
      <c r="E1535" s="3" t="s">
        <v>3444</v>
      </c>
      <c r="F1535" s="3" t="s">
        <v>151</v>
      </c>
      <c r="G1535" s="4">
        <f>+251951616092</f>
        <v>251951616092</v>
      </c>
      <c r="H1535" s="3" t="s">
        <v>18</v>
      </c>
      <c r="I1535" s="3" t="s">
        <v>19</v>
      </c>
      <c r="J1535" s="3" t="s">
        <v>19</v>
      </c>
      <c r="K1535" s="3" t="s">
        <v>20</v>
      </c>
      <c r="L1535" s="3">
        <v>19.67</v>
      </c>
      <c r="M1535" s="3" t="s">
        <v>1695</v>
      </c>
      <c r="N1535" s="3" t="s">
        <v>1696</v>
      </c>
      <c r="O1535" s="3">
        <v>1.5495705028E10</v>
      </c>
    </row>
    <row r="1536">
      <c r="A1536" s="3">
        <v>1434884.0</v>
      </c>
      <c r="B1536" s="3" t="s">
        <v>3445</v>
      </c>
      <c r="C1536" s="3" t="b">
        <v>1</v>
      </c>
      <c r="D1536" s="3" t="b">
        <v>1</v>
      </c>
      <c r="E1536" s="3" t="s">
        <v>3446</v>
      </c>
      <c r="F1536" s="3" t="s">
        <v>55</v>
      </c>
      <c r="G1536" s="4">
        <f>+251916957018</f>
        <v>251916957018</v>
      </c>
      <c r="H1536" s="3" t="s">
        <v>18</v>
      </c>
      <c r="I1536" s="3" t="s">
        <v>19</v>
      </c>
      <c r="J1536" s="3" t="s">
        <v>19</v>
      </c>
      <c r="K1536" s="3" t="s">
        <v>25</v>
      </c>
      <c r="L1536" s="3">
        <v>28.36</v>
      </c>
      <c r="M1536" s="3" t="s">
        <v>1695</v>
      </c>
      <c r="N1536" s="3" t="s">
        <v>1696</v>
      </c>
    </row>
    <row r="1537">
      <c r="A1537" s="3">
        <v>2553435.0</v>
      </c>
      <c r="B1537" s="3" t="s">
        <v>3447</v>
      </c>
      <c r="C1537" s="3" t="b">
        <v>0</v>
      </c>
      <c r="D1537" s="3" t="b">
        <v>1</v>
      </c>
      <c r="E1537" s="3" t="s">
        <v>3448</v>
      </c>
      <c r="F1537" s="3" t="s">
        <v>404</v>
      </c>
      <c r="G1537" s="4">
        <f>+251942203552</f>
        <v>251942203552</v>
      </c>
      <c r="H1537" s="3" t="s">
        <v>18</v>
      </c>
      <c r="I1537" s="3" t="s">
        <v>19</v>
      </c>
      <c r="J1537" s="3" t="s">
        <v>19</v>
      </c>
      <c r="K1537" s="3" t="s">
        <v>25</v>
      </c>
      <c r="L1537" s="3">
        <v>13.2</v>
      </c>
      <c r="M1537" s="3" t="s">
        <v>1695</v>
      </c>
      <c r="N1537" s="3" t="s">
        <v>1696</v>
      </c>
      <c r="O1537" s="3">
        <v>1.66260927713E11</v>
      </c>
    </row>
    <row r="1538">
      <c r="A1538" s="3">
        <v>1057416.0</v>
      </c>
      <c r="B1538" s="3" t="s">
        <v>3449</v>
      </c>
      <c r="C1538" s="3" t="b">
        <v>1</v>
      </c>
      <c r="D1538" s="3" t="b">
        <v>1</v>
      </c>
      <c r="E1538" s="3" t="s">
        <v>129</v>
      </c>
      <c r="F1538" s="3" t="s">
        <v>3450</v>
      </c>
      <c r="G1538" s="3">
        <v>9.213056E8</v>
      </c>
      <c r="H1538" s="3" t="s">
        <v>18</v>
      </c>
      <c r="I1538" s="3" t="s">
        <v>19</v>
      </c>
      <c r="J1538" s="3" t="s">
        <v>19</v>
      </c>
      <c r="K1538" s="3" t="s">
        <v>20</v>
      </c>
      <c r="L1538" s="3">
        <v>23.54</v>
      </c>
      <c r="M1538" s="3" t="s">
        <v>1695</v>
      </c>
      <c r="N1538" s="3" t="s">
        <v>1696</v>
      </c>
      <c r="O1538" s="3">
        <v>6.335191485E9</v>
      </c>
    </row>
    <row r="1539">
      <c r="A1539" s="3">
        <v>1494076.0</v>
      </c>
      <c r="B1539" s="3" t="s">
        <v>3451</v>
      </c>
      <c r="C1539" s="3" t="b">
        <v>1</v>
      </c>
      <c r="D1539" s="3" t="b">
        <v>1</v>
      </c>
      <c r="E1539" s="3" t="s">
        <v>414</v>
      </c>
      <c r="F1539" s="3" t="s">
        <v>3452</v>
      </c>
      <c r="G1539" s="3">
        <v>9.19202342E8</v>
      </c>
      <c r="H1539" s="3" t="s">
        <v>18</v>
      </c>
      <c r="I1539" s="3" t="s">
        <v>19</v>
      </c>
      <c r="J1539" s="3" t="s">
        <v>19</v>
      </c>
      <c r="K1539" s="3" t="s">
        <v>25</v>
      </c>
      <c r="L1539" s="3">
        <v>25.62</v>
      </c>
      <c r="M1539" s="3" t="s">
        <v>1695</v>
      </c>
      <c r="N1539" s="3" t="s">
        <v>1696</v>
      </c>
      <c r="O1539" s="3">
        <v>1.4157689275E10</v>
      </c>
    </row>
    <row r="1540">
      <c r="A1540" s="3">
        <v>2554208.0</v>
      </c>
      <c r="B1540" s="3" t="s">
        <v>3453</v>
      </c>
      <c r="C1540" s="3" t="b">
        <v>1</v>
      </c>
      <c r="D1540" s="3" t="b">
        <v>1</v>
      </c>
      <c r="E1540" s="3" t="s">
        <v>248</v>
      </c>
      <c r="F1540" s="3" t="s">
        <v>3454</v>
      </c>
      <c r="G1540" s="4">
        <f>+251923319337</f>
        <v>251923319337</v>
      </c>
      <c r="H1540" s="3" t="s">
        <v>289</v>
      </c>
      <c r="I1540" s="3" t="s">
        <v>19</v>
      </c>
      <c r="J1540" s="3" t="s">
        <v>19</v>
      </c>
      <c r="K1540" s="3" t="s">
        <v>25</v>
      </c>
      <c r="L1540" s="3">
        <v>27.43</v>
      </c>
      <c r="M1540" s="3" t="s">
        <v>1695</v>
      </c>
      <c r="N1540" s="3" t="s">
        <v>1696</v>
      </c>
    </row>
    <row r="1541">
      <c r="A1541" s="3">
        <v>2389798.0</v>
      </c>
      <c r="B1541" s="3" t="s">
        <v>3455</v>
      </c>
      <c r="C1541" s="3" t="b">
        <v>1</v>
      </c>
      <c r="D1541" s="3" t="b">
        <v>1</v>
      </c>
      <c r="E1541" s="3" t="s">
        <v>1224</v>
      </c>
      <c r="F1541" s="3" t="s">
        <v>32</v>
      </c>
      <c r="G1541" s="4">
        <f>+251921287836</f>
        <v>251921287836</v>
      </c>
      <c r="H1541" s="3" t="s">
        <v>18</v>
      </c>
      <c r="I1541" s="3" t="s">
        <v>19</v>
      </c>
      <c r="J1541" s="3" t="s">
        <v>19</v>
      </c>
      <c r="K1541" s="3" t="s">
        <v>25</v>
      </c>
      <c r="L1541" s="3">
        <v>34.78</v>
      </c>
      <c r="M1541" s="3" t="s">
        <v>1695</v>
      </c>
      <c r="N1541" s="3" t="s">
        <v>1696</v>
      </c>
      <c r="O1541" s="3">
        <v>4.2277352182E10</v>
      </c>
    </row>
    <row r="1542">
      <c r="A1542" s="3">
        <v>922364.0</v>
      </c>
      <c r="B1542" s="3" t="s">
        <v>3456</v>
      </c>
      <c r="C1542" s="3" t="b">
        <v>1</v>
      </c>
      <c r="D1542" s="3" t="b">
        <v>1</v>
      </c>
      <c r="E1542" s="3" t="s">
        <v>46</v>
      </c>
      <c r="F1542" s="3" t="s">
        <v>818</v>
      </c>
      <c r="G1542" s="3">
        <v>9.11692432E8</v>
      </c>
      <c r="H1542" s="3" t="s">
        <v>18</v>
      </c>
      <c r="I1542" s="3" t="s">
        <v>19</v>
      </c>
      <c r="J1542" s="3" t="s">
        <v>19</v>
      </c>
      <c r="K1542" s="3" t="s">
        <v>25</v>
      </c>
      <c r="L1542" s="3">
        <v>28.74</v>
      </c>
      <c r="M1542" s="3" t="s">
        <v>1695</v>
      </c>
      <c r="N1542" s="3" t="s">
        <v>1696</v>
      </c>
      <c r="O1542" s="3">
        <v>4733381.0</v>
      </c>
    </row>
    <row r="1543">
      <c r="A1543" s="3">
        <v>2555012.0</v>
      </c>
      <c r="B1543" s="3" t="s">
        <v>3457</v>
      </c>
      <c r="C1543" s="3" t="b">
        <v>0</v>
      </c>
      <c r="D1543" s="3" t="b">
        <v>1</v>
      </c>
      <c r="E1543" s="3" t="s">
        <v>787</v>
      </c>
      <c r="F1543" s="3" t="s">
        <v>3458</v>
      </c>
      <c r="G1543" s="4">
        <f>+251909675761</f>
        <v>251909675761</v>
      </c>
      <c r="H1543" s="3" t="s">
        <v>18</v>
      </c>
      <c r="I1543" s="3" t="s">
        <v>19</v>
      </c>
      <c r="J1543" s="3" t="s">
        <v>19</v>
      </c>
      <c r="K1543" s="3" t="s">
        <v>25</v>
      </c>
      <c r="L1543" s="3">
        <v>21.1</v>
      </c>
      <c r="M1543" s="3" t="s">
        <v>1695</v>
      </c>
      <c r="N1543" s="3" t="s">
        <v>1696</v>
      </c>
      <c r="O1543" s="3">
        <v>1.66667692236E11</v>
      </c>
    </row>
    <row r="1544">
      <c r="A1544" s="3">
        <v>2542259.0</v>
      </c>
      <c r="B1544" s="3" t="s">
        <v>3459</v>
      </c>
      <c r="C1544" s="3" t="b">
        <v>1</v>
      </c>
      <c r="D1544" s="3" t="b">
        <v>1</v>
      </c>
      <c r="E1544" s="3" t="s">
        <v>3460</v>
      </c>
      <c r="F1544" s="3" t="s">
        <v>1060</v>
      </c>
      <c r="G1544" s="4">
        <f>+251938937719</f>
        <v>251938937719</v>
      </c>
      <c r="H1544" s="3" t="s">
        <v>18</v>
      </c>
      <c r="I1544" s="3" t="s">
        <v>19</v>
      </c>
      <c r="J1544" s="3" t="s">
        <v>19</v>
      </c>
      <c r="K1544" s="3" t="s">
        <v>3461</v>
      </c>
      <c r="L1544" s="3">
        <v>29.65</v>
      </c>
      <c r="M1544" s="3" t="s">
        <v>1695</v>
      </c>
      <c r="N1544" s="3" t="s">
        <v>1696</v>
      </c>
      <c r="O1544" s="3">
        <v>1.60386400468E11</v>
      </c>
    </row>
    <row r="1545">
      <c r="A1545" s="3">
        <v>2555264.0</v>
      </c>
      <c r="B1545" s="3" t="s">
        <v>3462</v>
      </c>
      <c r="C1545" s="3" t="b">
        <v>0</v>
      </c>
      <c r="D1545" s="3" t="b">
        <v>1</v>
      </c>
      <c r="E1545" s="3" t="s">
        <v>1130</v>
      </c>
      <c r="F1545" s="3" t="s">
        <v>189</v>
      </c>
      <c r="G1545" s="4">
        <f>+251943003619</f>
        <v>251943003619</v>
      </c>
      <c r="H1545" s="3" t="s">
        <v>18</v>
      </c>
      <c r="I1545" s="3" t="s">
        <v>19</v>
      </c>
      <c r="J1545" s="3" t="s">
        <v>19</v>
      </c>
      <c r="K1545" s="3" t="s">
        <v>25</v>
      </c>
      <c r="L1545" s="3">
        <v>22.16</v>
      </c>
      <c r="M1545" s="3" t="s">
        <v>1695</v>
      </c>
      <c r="N1545" s="3" t="s">
        <v>1696</v>
      </c>
      <c r="O1545" s="3">
        <v>49701.0</v>
      </c>
    </row>
    <row r="1546">
      <c r="A1546" s="3">
        <v>1689982.0</v>
      </c>
      <c r="B1546" s="3" t="s">
        <v>3463</v>
      </c>
      <c r="C1546" s="3" t="b">
        <v>1</v>
      </c>
      <c r="D1546" s="3" t="b">
        <v>1</v>
      </c>
      <c r="E1546" s="3" t="s">
        <v>3464</v>
      </c>
      <c r="F1546" s="3" t="s">
        <v>3465</v>
      </c>
      <c r="G1546" s="4">
        <f>+251938212761</f>
        <v>251938212761</v>
      </c>
      <c r="H1546" s="3" t="s">
        <v>18</v>
      </c>
      <c r="I1546" s="3" t="s">
        <v>19</v>
      </c>
      <c r="J1546" s="3" t="s">
        <v>19</v>
      </c>
      <c r="K1546" s="3" t="s">
        <v>25</v>
      </c>
      <c r="L1546" s="3">
        <v>19.56</v>
      </c>
      <c r="M1546" s="3" t="s">
        <v>1695</v>
      </c>
      <c r="N1546" s="3" t="s">
        <v>1696</v>
      </c>
      <c r="O1546" s="3">
        <v>1.6360901E7</v>
      </c>
    </row>
    <row r="1547">
      <c r="A1547" s="3">
        <v>206090.0</v>
      </c>
      <c r="B1547" s="3" t="s">
        <v>3466</v>
      </c>
      <c r="C1547" s="3" t="b">
        <v>1</v>
      </c>
      <c r="D1547" s="3" t="b">
        <v>1</v>
      </c>
      <c r="E1547" s="3" t="s">
        <v>3467</v>
      </c>
      <c r="F1547" s="3" t="s">
        <v>261</v>
      </c>
      <c r="G1547" s="4">
        <f>+251973069132</f>
        <v>251973069132</v>
      </c>
      <c r="H1547" s="3" t="s">
        <v>18</v>
      </c>
      <c r="I1547" s="3" t="s">
        <v>19</v>
      </c>
      <c r="J1547" s="3" t="s">
        <v>19</v>
      </c>
      <c r="K1547" s="3" t="s">
        <v>25</v>
      </c>
      <c r="L1547" s="3">
        <v>19.98</v>
      </c>
      <c r="M1547" s="3" t="s">
        <v>1695</v>
      </c>
      <c r="N1547" s="3" t="s">
        <v>1696</v>
      </c>
      <c r="O1547" s="3">
        <v>2.8611524E7</v>
      </c>
    </row>
    <row r="1548">
      <c r="A1548" s="3">
        <v>2558246.0</v>
      </c>
      <c r="B1548" s="3" t="s">
        <v>3468</v>
      </c>
      <c r="C1548" s="3" t="b">
        <v>1</v>
      </c>
      <c r="D1548" s="3" t="b">
        <v>1</v>
      </c>
      <c r="E1548" s="3" t="s">
        <v>1960</v>
      </c>
      <c r="F1548" s="3" t="s">
        <v>3469</v>
      </c>
      <c r="G1548" s="4">
        <f>+251987959327</f>
        <v>251987959327</v>
      </c>
      <c r="H1548" s="3" t="s">
        <v>18</v>
      </c>
      <c r="I1548" s="3" t="s">
        <v>19</v>
      </c>
      <c r="J1548" s="3" t="s">
        <v>19</v>
      </c>
      <c r="K1548" s="3" t="s">
        <v>25</v>
      </c>
      <c r="L1548" s="3">
        <v>34.16</v>
      </c>
      <c r="M1548" s="3" t="s">
        <v>1695</v>
      </c>
      <c r="N1548" s="3" t="s">
        <v>1696</v>
      </c>
      <c r="O1548" s="3">
        <v>1.67681976548E11</v>
      </c>
    </row>
    <row r="1549">
      <c r="A1549" s="3">
        <v>1360552.0</v>
      </c>
      <c r="B1549" s="3" t="s">
        <v>3470</v>
      </c>
      <c r="C1549" s="3" t="b">
        <v>1</v>
      </c>
      <c r="D1549" s="3" t="b">
        <v>1</v>
      </c>
      <c r="E1549" s="3" t="s">
        <v>1502</v>
      </c>
      <c r="F1549" s="3" t="s">
        <v>3471</v>
      </c>
      <c r="G1549" s="3">
        <v>9.77071277E8</v>
      </c>
      <c r="H1549" s="3" t="s">
        <v>18</v>
      </c>
      <c r="I1549" s="3" t="s">
        <v>19</v>
      </c>
      <c r="J1549" s="3" t="s">
        <v>19</v>
      </c>
      <c r="K1549" s="3" t="s">
        <v>20</v>
      </c>
      <c r="L1549" s="3">
        <v>24.84</v>
      </c>
      <c r="M1549" s="3" t="s">
        <v>1695</v>
      </c>
      <c r="N1549" s="3" t="s">
        <v>1696</v>
      </c>
      <c r="O1549" s="3">
        <v>1.3338031574E10</v>
      </c>
    </row>
    <row r="1550">
      <c r="A1550" s="3">
        <v>130755.0</v>
      </c>
      <c r="B1550" s="3" t="s">
        <v>3472</v>
      </c>
      <c r="C1550" s="3" t="b">
        <v>1</v>
      </c>
      <c r="D1550" s="3" t="b">
        <v>1</v>
      </c>
      <c r="E1550" s="3" t="s">
        <v>85</v>
      </c>
      <c r="F1550" s="3" t="s">
        <v>518</v>
      </c>
      <c r="G1550" s="4">
        <f>+251967825067</f>
        <v>251967825067</v>
      </c>
      <c r="H1550" s="3" t="s">
        <v>18</v>
      </c>
      <c r="I1550" s="3" t="s">
        <v>19</v>
      </c>
      <c r="J1550" s="3" t="s">
        <v>19</v>
      </c>
      <c r="K1550" s="3" t="s">
        <v>25</v>
      </c>
      <c r="L1550" s="3">
        <v>32.44</v>
      </c>
      <c r="M1550" s="3" t="s">
        <v>1695</v>
      </c>
      <c r="N1550" s="3" t="s">
        <v>1696</v>
      </c>
      <c r="O1550" s="3">
        <v>1869723.0</v>
      </c>
    </row>
    <row r="1551">
      <c r="A1551" s="3">
        <v>2560676.0</v>
      </c>
      <c r="B1551" s="3" t="s">
        <v>3473</v>
      </c>
      <c r="C1551" s="3" t="b">
        <v>1</v>
      </c>
      <c r="D1551" s="3" t="b">
        <v>1</v>
      </c>
      <c r="E1551" s="3" t="s">
        <v>553</v>
      </c>
      <c r="F1551" s="3" t="s">
        <v>118</v>
      </c>
      <c r="G1551" s="4">
        <f>+251989597003</f>
        <v>251989597003</v>
      </c>
      <c r="H1551" s="3" t="s">
        <v>18</v>
      </c>
      <c r="I1551" s="3" t="s">
        <v>19</v>
      </c>
      <c r="J1551" s="3" t="s">
        <v>19</v>
      </c>
      <c r="K1551" s="3" t="s">
        <v>20</v>
      </c>
      <c r="L1551" s="3">
        <v>22.62</v>
      </c>
      <c r="M1551" s="3" t="s">
        <v>1695</v>
      </c>
      <c r="N1551" s="3" t="s">
        <v>1696</v>
      </c>
      <c r="O1551" s="3">
        <v>1.68507844796E11</v>
      </c>
    </row>
    <row r="1552">
      <c r="A1552" s="3">
        <v>2561274.0</v>
      </c>
      <c r="B1552" s="3" t="s">
        <v>3474</v>
      </c>
      <c r="C1552" s="3" t="b">
        <v>1</v>
      </c>
      <c r="D1552" s="3" t="b">
        <v>1</v>
      </c>
      <c r="E1552" s="3" t="s">
        <v>3475</v>
      </c>
      <c r="F1552" s="3" t="s">
        <v>3476</v>
      </c>
      <c r="G1552" s="4">
        <f>+251979888501</f>
        <v>251979888501</v>
      </c>
      <c r="H1552" s="3" t="s">
        <v>18</v>
      </c>
      <c r="I1552" s="3" t="s">
        <v>19</v>
      </c>
      <c r="J1552" s="3" t="s">
        <v>19</v>
      </c>
      <c r="K1552" s="3" t="s">
        <v>25</v>
      </c>
      <c r="L1552" s="3">
        <v>22.7</v>
      </c>
      <c r="M1552" s="3" t="s">
        <v>1695</v>
      </c>
      <c r="N1552" s="3" t="s">
        <v>1696</v>
      </c>
      <c r="O1552" s="3">
        <v>1.68768184547E11</v>
      </c>
    </row>
    <row r="1553">
      <c r="A1553" s="3">
        <v>2561291.0</v>
      </c>
      <c r="B1553" s="3" t="s">
        <v>3477</v>
      </c>
      <c r="C1553" s="3" t="b">
        <v>0</v>
      </c>
      <c r="D1553" s="3" t="b">
        <v>1</v>
      </c>
      <c r="E1553" s="3" t="s">
        <v>192</v>
      </c>
      <c r="F1553" s="3" t="s">
        <v>3478</v>
      </c>
      <c r="G1553" s="4">
        <f>+251975285020</f>
        <v>251975285020</v>
      </c>
      <c r="H1553" s="3" t="s">
        <v>18</v>
      </c>
      <c r="I1553" s="3" t="s">
        <v>19</v>
      </c>
      <c r="J1553" s="3" t="s">
        <v>19</v>
      </c>
      <c r="K1553" s="3" t="s">
        <v>20</v>
      </c>
      <c r="L1553" s="3">
        <v>23.31</v>
      </c>
      <c r="M1553" s="3" t="s">
        <v>1695</v>
      </c>
      <c r="N1553" s="3" t="s">
        <v>1696</v>
      </c>
      <c r="O1553" s="3">
        <v>1.68768382157E11</v>
      </c>
    </row>
    <row r="1554">
      <c r="A1554" s="3">
        <v>1658902.0</v>
      </c>
      <c r="B1554" s="3" t="s">
        <v>3479</v>
      </c>
      <c r="C1554" s="3" t="b">
        <v>1</v>
      </c>
      <c r="D1554" s="3" t="b">
        <v>1</v>
      </c>
      <c r="E1554" s="3" t="s">
        <v>649</v>
      </c>
      <c r="F1554" s="3" t="s">
        <v>1269</v>
      </c>
      <c r="G1554" s="4">
        <f>+251920208600</f>
        <v>251920208600</v>
      </c>
      <c r="H1554" s="3" t="s">
        <v>44</v>
      </c>
      <c r="I1554" s="3" t="s">
        <v>19</v>
      </c>
      <c r="J1554" s="3" t="s">
        <v>19</v>
      </c>
      <c r="K1554" s="3" t="s">
        <v>25</v>
      </c>
      <c r="L1554" s="3">
        <v>34.2</v>
      </c>
      <c r="M1554" s="3" t="s">
        <v>1695</v>
      </c>
      <c r="N1554" s="3" t="s">
        <v>1696</v>
      </c>
      <c r="O1554" s="3">
        <v>2.3341387E7</v>
      </c>
    </row>
    <row r="1555">
      <c r="A1555" s="3">
        <v>1732952.0</v>
      </c>
      <c r="B1555" s="3" t="s">
        <v>3480</v>
      </c>
      <c r="C1555" s="3" t="b">
        <v>1</v>
      </c>
      <c r="D1555" s="3" t="b">
        <v>1</v>
      </c>
      <c r="E1555" s="3" t="s">
        <v>2622</v>
      </c>
      <c r="F1555" s="3" t="s">
        <v>3481</v>
      </c>
      <c r="G1555" s="4">
        <f>+251943828918</f>
        <v>251943828918</v>
      </c>
      <c r="H1555" s="3" t="s">
        <v>18</v>
      </c>
      <c r="I1555" s="3" t="s">
        <v>19</v>
      </c>
      <c r="J1555" s="3" t="s">
        <v>19</v>
      </c>
      <c r="K1555" s="3" t="s">
        <v>20</v>
      </c>
      <c r="L1555" s="3">
        <v>19.3</v>
      </c>
      <c r="M1555" s="3" t="s">
        <v>1695</v>
      </c>
      <c r="N1555" s="3" t="s">
        <v>1696</v>
      </c>
      <c r="O1555" s="3">
        <v>8905320.0</v>
      </c>
    </row>
    <row r="1556">
      <c r="A1556" s="3">
        <v>2562217.0</v>
      </c>
      <c r="B1556" s="3" t="s">
        <v>3482</v>
      </c>
      <c r="C1556" s="3" t="b">
        <v>0</v>
      </c>
      <c r="D1556" s="3" t="b">
        <v>1</v>
      </c>
      <c r="E1556" s="3" t="s">
        <v>3483</v>
      </c>
      <c r="F1556" s="3" t="s">
        <v>3484</v>
      </c>
      <c r="G1556" s="4">
        <f>+251091751788</f>
        <v>251091751788</v>
      </c>
      <c r="H1556" s="3" t="s">
        <v>18</v>
      </c>
      <c r="I1556" s="3" t="s">
        <v>19</v>
      </c>
      <c r="J1556" s="3" t="s">
        <v>19</v>
      </c>
      <c r="K1556" s="3" t="s">
        <v>25</v>
      </c>
      <c r="L1556" s="3">
        <v>23.29</v>
      </c>
      <c r="M1556" s="3" t="s">
        <v>1695</v>
      </c>
      <c r="N1556" s="3" t="s">
        <v>1696</v>
      </c>
      <c r="O1556" s="3">
        <v>1.69047174376E11</v>
      </c>
    </row>
    <row r="1557">
      <c r="A1557" s="3">
        <v>1969021.0</v>
      </c>
      <c r="B1557" s="3" t="s">
        <v>3485</v>
      </c>
      <c r="C1557" s="3" t="b">
        <v>1</v>
      </c>
      <c r="D1557" s="3" t="b">
        <v>1</v>
      </c>
      <c r="E1557" s="3" t="s">
        <v>188</v>
      </c>
      <c r="F1557" s="3" t="s">
        <v>3486</v>
      </c>
      <c r="G1557" s="4">
        <f>+251926902952</f>
        <v>251926902952</v>
      </c>
      <c r="H1557" s="3" t="s">
        <v>18</v>
      </c>
      <c r="I1557" s="3" t="s">
        <v>19</v>
      </c>
      <c r="J1557" s="3" t="s">
        <v>19</v>
      </c>
      <c r="K1557" s="3" t="s">
        <v>25</v>
      </c>
      <c r="L1557" s="3">
        <v>26.6</v>
      </c>
      <c r="M1557" s="3" t="s">
        <v>1695</v>
      </c>
      <c r="N1557" s="3" t="s">
        <v>1696</v>
      </c>
      <c r="O1557" s="3">
        <v>2.7880571618E10</v>
      </c>
    </row>
    <row r="1558">
      <c r="A1558" s="3">
        <v>2562245.0</v>
      </c>
      <c r="B1558" s="3" t="s">
        <v>3487</v>
      </c>
      <c r="C1558" s="3" t="b">
        <v>0</v>
      </c>
      <c r="D1558" s="3" t="b">
        <v>1</v>
      </c>
      <c r="E1558" s="3" t="s">
        <v>3488</v>
      </c>
      <c r="F1558" s="3" t="s">
        <v>970</v>
      </c>
      <c r="G1558" s="4">
        <f>+251931213963</f>
        <v>251931213963</v>
      </c>
      <c r="H1558" s="3" t="s">
        <v>18</v>
      </c>
      <c r="I1558" s="3" t="s">
        <v>19</v>
      </c>
      <c r="J1558" s="3" t="s">
        <v>19</v>
      </c>
      <c r="K1558" s="3" t="s">
        <v>20</v>
      </c>
      <c r="L1558" s="3">
        <v>23.3</v>
      </c>
      <c r="M1558" s="3" t="s">
        <v>1695</v>
      </c>
      <c r="N1558" s="3" t="s">
        <v>1696</v>
      </c>
      <c r="O1558" s="3">
        <v>1.69062335735E11</v>
      </c>
    </row>
    <row r="1559">
      <c r="A1559" s="3">
        <v>2562257.0</v>
      </c>
      <c r="B1559" s="3" t="s">
        <v>3489</v>
      </c>
      <c r="C1559" s="3" t="b">
        <v>0</v>
      </c>
      <c r="D1559" s="3" t="b">
        <v>1</v>
      </c>
      <c r="E1559" s="3" t="s">
        <v>3490</v>
      </c>
      <c r="F1559" s="3" t="s">
        <v>3484</v>
      </c>
      <c r="G1559" s="4">
        <f>+251965391099</f>
        <v>251965391099</v>
      </c>
      <c r="H1559" s="3" t="s">
        <v>18</v>
      </c>
      <c r="I1559" s="3" t="s">
        <v>19</v>
      </c>
      <c r="J1559" s="3" t="s">
        <v>19</v>
      </c>
      <c r="K1559" s="3" t="s">
        <v>25</v>
      </c>
      <c r="L1559" s="3">
        <v>24.35</v>
      </c>
      <c r="M1559" s="3" t="s">
        <v>1695</v>
      </c>
      <c r="N1559" s="3" t="s">
        <v>1696</v>
      </c>
      <c r="O1559" s="3">
        <v>1.69072062658E11</v>
      </c>
    </row>
    <row r="1560">
      <c r="A1560" s="3">
        <v>2562258.0</v>
      </c>
      <c r="B1560" s="3" t="s">
        <v>3491</v>
      </c>
      <c r="C1560" s="3" t="b">
        <v>0</v>
      </c>
      <c r="D1560" s="3" t="b">
        <v>1</v>
      </c>
      <c r="E1560" s="3" t="s">
        <v>129</v>
      </c>
      <c r="F1560" s="3" t="s">
        <v>2640</v>
      </c>
      <c r="G1560" s="4">
        <f>+251940082707</f>
        <v>251940082707</v>
      </c>
      <c r="H1560" s="3" t="s">
        <v>18</v>
      </c>
      <c r="I1560" s="3" t="s">
        <v>19</v>
      </c>
      <c r="J1560" s="3" t="s">
        <v>19</v>
      </c>
      <c r="K1560" s="3" t="s">
        <v>20</v>
      </c>
      <c r="L1560" s="3">
        <v>19.24</v>
      </c>
      <c r="M1560" s="3" t="s">
        <v>1695</v>
      </c>
      <c r="N1560" s="3" t="s">
        <v>1696</v>
      </c>
      <c r="O1560" s="3">
        <v>1.69071254714E11</v>
      </c>
    </row>
    <row r="1561">
      <c r="A1561" s="3">
        <v>1795806.0</v>
      </c>
      <c r="B1561" s="3" t="s">
        <v>3492</v>
      </c>
      <c r="C1561" s="3" t="b">
        <v>1</v>
      </c>
      <c r="D1561" s="3" t="b">
        <v>1</v>
      </c>
      <c r="E1561" s="3" t="s">
        <v>131</v>
      </c>
      <c r="F1561" s="3" t="s">
        <v>1572</v>
      </c>
      <c r="G1561" s="4">
        <f>+251940203432</f>
        <v>251940203432</v>
      </c>
      <c r="H1561" s="3" t="s">
        <v>18</v>
      </c>
      <c r="I1561" s="3" t="s">
        <v>19</v>
      </c>
      <c r="J1561" s="3" t="s">
        <v>19</v>
      </c>
      <c r="K1561" s="3" t="s">
        <v>20</v>
      </c>
      <c r="L1561" s="3">
        <v>21.37</v>
      </c>
      <c r="M1561" s="3" t="s">
        <v>1695</v>
      </c>
      <c r="N1561" s="3" t="s">
        <v>1696</v>
      </c>
      <c r="O1561" s="3">
        <v>2.431445627E10</v>
      </c>
    </row>
    <row r="1562">
      <c r="A1562" s="3">
        <v>2562315.0</v>
      </c>
      <c r="B1562" s="3" t="s">
        <v>3493</v>
      </c>
      <c r="C1562" s="3" t="b">
        <v>0</v>
      </c>
      <c r="D1562" s="3" t="b">
        <v>1</v>
      </c>
      <c r="E1562" s="3" t="s">
        <v>280</v>
      </c>
      <c r="F1562" s="3" t="s">
        <v>353</v>
      </c>
      <c r="G1562" s="4">
        <f>+251922952878</f>
        <v>251922952878</v>
      </c>
      <c r="H1562" s="3" t="s">
        <v>18</v>
      </c>
      <c r="I1562" s="3" t="s">
        <v>19</v>
      </c>
      <c r="J1562" s="3" t="s">
        <v>19</v>
      </c>
      <c r="K1562" s="3" t="s">
        <v>25</v>
      </c>
      <c r="L1562" s="3">
        <v>13.08</v>
      </c>
      <c r="M1562" s="3" t="s">
        <v>1695</v>
      </c>
      <c r="N1562" s="3" t="s">
        <v>1696</v>
      </c>
      <c r="O1562" s="3">
        <v>1.69093868755E11</v>
      </c>
    </row>
    <row r="1563">
      <c r="A1563" s="3">
        <v>400353.0</v>
      </c>
      <c r="B1563" s="3" t="s">
        <v>3494</v>
      </c>
      <c r="C1563" s="3" t="b">
        <v>1</v>
      </c>
      <c r="D1563" s="3" t="b">
        <v>1</v>
      </c>
      <c r="E1563" s="3" t="s">
        <v>1911</v>
      </c>
      <c r="F1563" s="3" t="s">
        <v>838</v>
      </c>
      <c r="G1563" s="4">
        <f>+251927362610</f>
        <v>251927362610</v>
      </c>
      <c r="H1563" s="3" t="s">
        <v>18</v>
      </c>
      <c r="I1563" s="3" t="s">
        <v>19</v>
      </c>
      <c r="J1563" s="3" t="s">
        <v>19</v>
      </c>
      <c r="K1563" s="3" t="s">
        <v>20</v>
      </c>
      <c r="L1563" s="3">
        <v>26.4</v>
      </c>
      <c r="M1563" s="3" t="s">
        <v>1695</v>
      </c>
      <c r="N1563" s="3" t="s">
        <v>1696</v>
      </c>
      <c r="O1563" s="3">
        <v>1433141.0</v>
      </c>
    </row>
    <row r="1564">
      <c r="A1564" s="3">
        <v>1578608.0</v>
      </c>
      <c r="B1564" s="3" t="s">
        <v>3495</v>
      </c>
      <c r="C1564" s="3" t="b">
        <v>1</v>
      </c>
      <c r="D1564" s="3" t="b">
        <v>1</v>
      </c>
      <c r="E1564" s="3" t="s">
        <v>626</v>
      </c>
      <c r="F1564" s="3" t="s">
        <v>631</v>
      </c>
      <c r="G1564" s="4">
        <f>+251929035255</f>
        <v>251929035255</v>
      </c>
      <c r="H1564" s="3" t="s">
        <v>18</v>
      </c>
      <c r="I1564" s="3" t="s">
        <v>19</v>
      </c>
      <c r="J1564" s="3" t="s">
        <v>19</v>
      </c>
      <c r="K1564" s="3" t="s">
        <v>25</v>
      </c>
      <c r="L1564" s="3">
        <v>24.93</v>
      </c>
      <c r="M1564" s="3" t="s">
        <v>1695</v>
      </c>
      <c r="N1564" s="3" t="s">
        <v>1696</v>
      </c>
      <c r="O1564" s="3">
        <v>1.9320638704E10</v>
      </c>
    </row>
    <row r="1565">
      <c r="A1565" s="3">
        <v>2563684.0</v>
      </c>
      <c r="B1565" s="3" t="s">
        <v>3496</v>
      </c>
      <c r="C1565" s="3" t="b">
        <v>1</v>
      </c>
      <c r="D1565" s="3" t="b">
        <v>1</v>
      </c>
      <c r="E1565" s="3" t="s">
        <v>580</v>
      </c>
      <c r="F1565" s="3" t="s">
        <v>2724</v>
      </c>
      <c r="G1565" s="4">
        <f>+251912312781</f>
        <v>251912312781</v>
      </c>
      <c r="H1565" s="3" t="s">
        <v>18</v>
      </c>
      <c r="I1565" s="3" t="s">
        <v>19</v>
      </c>
      <c r="J1565" s="3" t="s">
        <v>19</v>
      </c>
      <c r="K1565" s="3" t="s">
        <v>25</v>
      </c>
      <c r="L1565" s="3">
        <v>20.36</v>
      </c>
      <c r="M1565" s="3" t="s">
        <v>1695</v>
      </c>
      <c r="N1565" s="3" t="s">
        <v>1696</v>
      </c>
      <c r="O1565" s="3">
        <v>1.69694647535E11</v>
      </c>
    </row>
    <row r="1566">
      <c r="A1566" s="3">
        <v>733797.0</v>
      </c>
      <c r="B1566" s="3" t="s">
        <v>3497</v>
      </c>
      <c r="C1566" s="3" t="b">
        <v>1</v>
      </c>
      <c r="D1566" s="3" t="b">
        <v>1</v>
      </c>
      <c r="E1566" s="3" t="s">
        <v>2197</v>
      </c>
      <c r="F1566" s="3" t="s">
        <v>724</v>
      </c>
      <c r="G1566" s="4">
        <f>+251935763684</f>
        <v>251935763684</v>
      </c>
      <c r="H1566" s="3" t="s">
        <v>18</v>
      </c>
      <c r="I1566" s="3" t="s">
        <v>19</v>
      </c>
      <c r="J1566" s="3" t="s">
        <v>19</v>
      </c>
      <c r="K1566" s="3" t="s">
        <v>25</v>
      </c>
      <c r="L1566" s="3">
        <v>34.29</v>
      </c>
      <c r="M1566" s="3" t="s">
        <v>1695</v>
      </c>
      <c r="N1566" s="3" t="s">
        <v>1696</v>
      </c>
      <c r="O1566" s="3">
        <v>2.9632289E7</v>
      </c>
    </row>
    <row r="1567">
      <c r="A1567" s="3">
        <v>2564300.0</v>
      </c>
      <c r="B1567" s="3" t="s">
        <v>3498</v>
      </c>
      <c r="C1567" s="3" t="b">
        <v>1</v>
      </c>
      <c r="D1567" s="3" t="b">
        <v>1</v>
      </c>
      <c r="E1567" s="3" t="s">
        <v>531</v>
      </c>
      <c r="F1567" s="3" t="s">
        <v>3499</v>
      </c>
      <c r="G1567" s="4">
        <f>+251967407206</f>
        <v>251967407206</v>
      </c>
      <c r="H1567" s="3" t="s">
        <v>18</v>
      </c>
      <c r="I1567" s="3" t="s">
        <v>19</v>
      </c>
      <c r="J1567" s="3" t="s">
        <v>19</v>
      </c>
      <c r="K1567" s="3" t="s">
        <v>20</v>
      </c>
      <c r="L1567" s="3">
        <v>29.13</v>
      </c>
      <c r="M1567" s="3" t="s">
        <v>1695</v>
      </c>
      <c r="N1567" s="3" t="s">
        <v>1696</v>
      </c>
      <c r="O1567" s="3">
        <v>1.69958110424E11</v>
      </c>
    </row>
    <row r="1568">
      <c r="A1568" s="3">
        <v>2564318.0</v>
      </c>
      <c r="B1568" s="3" t="s">
        <v>3500</v>
      </c>
      <c r="C1568" s="3" t="b">
        <v>0</v>
      </c>
      <c r="D1568" s="3" t="b">
        <v>1</v>
      </c>
      <c r="E1568" s="3" t="s">
        <v>120</v>
      </c>
      <c r="F1568" s="3" t="s">
        <v>317</v>
      </c>
      <c r="G1568" s="4">
        <f>+251993949301</f>
        <v>251993949301</v>
      </c>
      <c r="H1568" s="3" t="s">
        <v>18</v>
      </c>
      <c r="I1568" s="3" t="s">
        <v>19</v>
      </c>
      <c r="J1568" s="3" t="s">
        <v>19</v>
      </c>
      <c r="K1568" s="3" t="s">
        <v>25</v>
      </c>
      <c r="L1568" s="3">
        <v>22.34</v>
      </c>
      <c r="M1568" s="3" t="s">
        <v>1695</v>
      </c>
      <c r="N1568" s="3" t="s">
        <v>1696</v>
      </c>
      <c r="O1568" s="3">
        <v>1.69940039914E11</v>
      </c>
    </row>
    <row r="1569">
      <c r="A1569" s="3">
        <v>2564412.0</v>
      </c>
      <c r="B1569" s="3" t="s">
        <v>3501</v>
      </c>
      <c r="C1569" s="3" t="b">
        <v>0</v>
      </c>
      <c r="D1569" s="3" t="b">
        <v>1</v>
      </c>
      <c r="E1569" s="3" t="s">
        <v>3502</v>
      </c>
      <c r="F1569" s="3" t="s">
        <v>32</v>
      </c>
      <c r="G1569" s="4">
        <f>+251941921944</f>
        <v>251941921944</v>
      </c>
      <c r="H1569" s="3" t="s">
        <v>18</v>
      </c>
      <c r="I1569" s="3" t="s">
        <v>19</v>
      </c>
      <c r="J1569" s="3" t="s">
        <v>19</v>
      </c>
      <c r="K1569" s="3" t="s">
        <v>20</v>
      </c>
      <c r="L1569" s="3">
        <v>30.3</v>
      </c>
      <c r="M1569" s="3" t="s">
        <v>1695</v>
      </c>
      <c r="N1569" s="3" t="s">
        <v>1696</v>
      </c>
      <c r="O1569" s="3">
        <v>1.70016185533E11</v>
      </c>
    </row>
    <row r="1570">
      <c r="A1570" s="3">
        <v>2564436.0</v>
      </c>
      <c r="B1570" s="3" t="s">
        <v>3503</v>
      </c>
      <c r="C1570" s="3" t="b">
        <v>1</v>
      </c>
      <c r="D1570" s="3" t="b">
        <v>1</v>
      </c>
      <c r="E1570" s="3" t="s">
        <v>3504</v>
      </c>
      <c r="F1570" s="3" t="s">
        <v>3505</v>
      </c>
      <c r="G1570" s="4">
        <f>+251910504531</f>
        <v>251910504531</v>
      </c>
      <c r="H1570" s="3" t="s">
        <v>18</v>
      </c>
      <c r="I1570" s="3" t="s">
        <v>19</v>
      </c>
      <c r="J1570" s="3" t="s">
        <v>19</v>
      </c>
      <c r="K1570" s="3" t="s">
        <v>20</v>
      </c>
      <c r="L1570" s="3">
        <v>28.76</v>
      </c>
      <c r="M1570" s="3" t="s">
        <v>1695</v>
      </c>
      <c r="N1570" s="3" t="s">
        <v>1696</v>
      </c>
      <c r="O1570" s="3">
        <v>1.69976169659E11</v>
      </c>
    </row>
    <row r="1571">
      <c r="A1571" s="3">
        <v>2564368.0</v>
      </c>
      <c r="B1571" s="3" t="s">
        <v>3506</v>
      </c>
      <c r="C1571" s="3" t="b">
        <v>0</v>
      </c>
      <c r="D1571" s="3" t="b">
        <v>1</v>
      </c>
      <c r="E1571" s="3" t="s">
        <v>3507</v>
      </c>
      <c r="F1571" s="3" t="s">
        <v>32</v>
      </c>
      <c r="G1571" s="4">
        <f>+25191362324</f>
        <v>25191362324</v>
      </c>
      <c r="H1571" s="3" t="s">
        <v>18</v>
      </c>
      <c r="I1571" s="3" t="s">
        <v>19</v>
      </c>
      <c r="J1571" s="3" t="s">
        <v>19</v>
      </c>
      <c r="K1571" s="3" t="s">
        <v>20</v>
      </c>
      <c r="L1571" s="3">
        <v>15.84</v>
      </c>
      <c r="M1571" s="3" t="s">
        <v>1695</v>
      </c>
      <c r="N1571" s="3" t="s">
        <v>1696</v>
      </c>
      <c r="O1571" s="3">
        <v>1.69964004583E11</v>
      </c>
    </row>
    <row r="1572">
      <c r="A1572" s="3">
        <v>2564467.0</v>
      </c>
      <c r="B1572" s="3" t="s">
        <v>3508</v>
      </c>
      <c r="C1572" s="3" t="b">
        <v>0</v>
      </c>
      <c r="D1572" s="3" t="b">
        <v>1</v>
      </c>
      <c r="E1572" s="3" t="s">
        <v>941</v>
      </c>
      <c r="F1572" s="3" t="s">
        <v>3509</v>
      </c>
      <c r="G1572" s="4">
        <f>+251941563273</f>
        <v>251941563273</v>
      </c>
      <c r="H1572" s="3" t="s">
        <v>18</v>
      </c>
      <c r="I1572" s="3" t="s">
        <v>19</v>
      </c>
      <c r="J1572" s="3" t="s">
        <v>19</v>
      </c>
      <c r="K1572" s="3" t="s">
        <v>20</v>
      </c>
      <c r="L1572" s="3">
        <v>19.47</v>
      </c>
      <c r="M1572" s="3" t="s">
        <v>1695</v>
      </c>
      <c r="N1572" s="3" t="s">
        <v>1696</v>
      </c>
      <c r="O1572" s="3">
        <v>1.69981927652E11</v>
      </c>
    </row>
    <row r="1573">
      <c r="A1573" s="3">
        <v>2564522.0</v>
      </c>
      <c r="B1573" s="3" t="s">
        <v>3510</v>
      </c>
      <c r="C1573" s="3" t="b">
        <v>0</v>
      </c>
      <c r="D1573" s="3" t="b">
        <v>1</v>
      </c>
      <c r="E1573" s="3" t="s">
        <v>353</v>
      </c>
      <c r="F1573" s="3" t="s">
        <v>1000</v>
      </c>
      <c r="G1573" s="4">
        <f>+251911643628</f>
        <v>251911643628</v>
      </c>
      <c r="H1573" s="3" t="s">
        <v>18</v>
      </c>
      <c r="I1573" s="3" t="s">
        <v>19</v>
      </c>
      <c r="J1573" s="3" t="s">
        <v>19</v>
      </c>
      <c r="K1573" s="3" t="s">
        <v>25</v>
      </c>
      <c r="L1573" s="3">
        <v>36.49</v>
      </c>
      <c r="M1573" s="3" t="s">
        <v>1695</v>
      </c>
      <c r="N1573" s="3" t="s">
        <v>1696</v>
      </c>
      <c r="O1573" s="3">
        <v>1.70012581089E11</v>
      </c>
    </row>
    <row r="1574">
      <c r="A1574" s="3">
        <v>2564554.0</v>
      </c>
      <c r="B1574" s="3" t="s">
        <v>3511</v>
      </c>
      <c r="C1574" s="3" t="b">
        <v>1</v>
      </c>
      <c r="D1574" s="3" t="b">
        <v>1</v>
      </c>
      <c r="E1574" s="3" t="s">
        <v>3512</v>
      </c>
      <c r="F1574" s="3" t="s">
        <v>3513</v>
      </c>
      <c r="G1574" s="4">
        <f>+251946637835</f>
        <v>251946637835</v>
      </c>
      <c r="H1574" s="3" t="s">
        <v>18</v>
      </c>
      <c r="I1574" s="3" t="s">
        <v>19</v>
      </c>
      <c r="J1574" s="3" t="s">
        <v>19</v>
      </c>
      <c r="K1574" s="3" t="s">
        <v>25</v>
      </c>
      <c r="L1574" s="3">
        <v>26.95</v>
      </c>
      <c r="M1574" s="3" t="s">
        <v>1695</v>
      </c>
      <c r="N1574" s="3" t="s">
        <v>1696</v>
      </c>
    </row>
    <row r="1575">
      <c r="A1575" s="3">
        <v>2564618.0</v>
      </c>
      <c r="B1575" s="3" t="s">
        <v>3514</v>
      </c>
      <c r="C1575" s="3" t="b">
        <v>1</v>
      </c>
      <c r="D1575" s="3" t="b">
        <v>1</v>
      </c>
      <c r="E1575" s="3" t="s">
        <v>3515</v>
      </c>
      <c r="F1575" s="3" t="s">
        <v>3516</v>
      </c>
      <c r="G1575" s="4">
        <f>+251929248686</f>
        <v>251929248686</v>
      </c>
      <c r="H1575" s="3" t="s">
        <v>18</v>
      </c>
      <c r="I1575" s="3" t="s">
        <v>19</v>
      </c>
      <c r="J1575" s="3" t="s">
        <v>19</v>
      </c>
      <c r="K1575" s="3" t="s">
        <v>25</v>
      </c>
      <c r="L1575" s="3">
        <v>27.78</v>
      </c>
      <c r="M1575" s="3" t="s">
        <v>1695</v>
      </c>
      <c r="N1575" s="3" t="s">
        <v>1696</v>
      </c>
      <c r="O1575" s="3">
        <v>2.5736429E7</v>
      </c>
    </row>
    <row r="1576">
      <c r="A1576" s="3">
        <v>1651710.0</v>
      </c>
      <c r="B1576" s="3" t="s">
        <v>3517</v>
      </c>
      <c r="C1576" s="3" t="b">
        <v>1</v>
      </c>
      <c r="D1576" s="3" t="b">
        <v>0</v>
      </c>
      <c r="E1576" s="3" t="s">
        <v>1232</v>
      </c>
      <c r="F1576" s="3" t="s">
        <v>518</v>
      </c>
      <c r="G1576" s="4">
        <f>+251947374961</f>
        <v>251947374961</v>
      </c>
      <c r="H1576" s="3" t="s">
        <v>18</v>
      </c>
      <c r="I1576" s="3" t="s">
        <v>19</v>
      </c>
      <c r="J1576" s="3" t="s">
        <v>19</v>
      </c>
      <c r="K1576" s="3" t="s">
        <v>20</v>
      </c>
      <c r="L1576" s="3">
        <v>26.54</v>
      </c>
      <c r="M1576" s="3" t="s">
        <v>1695</v>
      </c>
      <c r="N1576" s="3" t="s">
        <v>1696</v>
      </c>
      <c r="O1576" s="3">
        <v>2.0844692973E10</v>
      </c>
    </row>
    <row r="1577">
      <c r="A1577" s="3">
        <v>2564938.0</v>
      </c>
      <c r="B1577" s="3" t="s">
        <v>3518</v>
      </c>
      <c r="C1577" s="3" t="b">
        <v>1</v>
      </c>
      <c r="D1577" s="3" t="b">
        <v>1</v>
      </c>
      <c r="E1577" s="3" t="s">
        <v>162</v>
      </c>
      <c r="F1577" s="3" t="s">
        <v>112</v>
      </c>
      <c r="G1577" s="4">
        <f>+251986552749</f>
        <v>251986552749</v>
      </c>
      <c r="H1577" s="3" t="s">
        <v>18</v>
      </c>
      <c r="I1577" s="3" t="s">
        <v>19</v>
      </c>
      <c r="J1577" s="3" t="s">
        <v>19</v>
      </c>
      <c r="K1577" s="3" t="s">
        <v>25</v>
      </c>
      <c r="L1577" s="3">
        <v>20.47</v>
      </c>
      <c r="M1577" s="3" t="s">
        <v>1695</v>
      </c>
      <c r="N1577" s="3" t="s">
        <v>1696</v>
      </c>
      <c r="O1577" s="3">
        <v>1.70148072664E11</v>
      </c>
    </row>
    <row r="1578">
      <c r="A1578" s="3">
        <v>2565027.0</v>
      </c>
      <c r="B1578" s="3" t="s">
        <v>3519</v>
      </c>
      <c r="C1578" s="3" t="b">
        <v>0</v>
      </c>
      <c r="D1578" s="3" t="b">
        <v>1</v>
      </c>
      <c r="E1578" s="3" t="s">
        <v>2446</v>
      </c>
      <c r="F1578" s="3" t="s">
        <v>3125</v>
      </c>
      <c r="G1578" s="4">
        <f>+251914470352</f>
        <v>251914470352</v>
      </c>
      <c r="H1578" s="3" t="s">
        <v>18</v>
      </c>
      <c r="I1578" s="3" t="s">
        <v>19</v>
      </c>
      <c r="J1578" s="3" t="s">
        <v>19</v>
      </c>
      <c r="K1578" s="3" t="s">
        <v>25</v>
      </c>
      <c r="L1578" s="3">
        <v>22.34</v>
      </c>
      <c r="M1578" s="3" t="s">
        <v>1695</v>
      </c>
      <c r="N1578" s="3" t="s">
        <v>1696</v>
      </c>
      <c r="O1578" s="3">
        <v>1.70208979132E11</v>
      </c>
    </row>
    <row r="1579">
      <c r="A1579" s="3">
        <v>1849755.0</v>
      </c>
      <c r="B1579" s="3" t="s">
        <v>3520</v>
      </c>
      <c r="C1579" s="3" t="b">
        <v>1</v>
      </c>
      <c r="D1579" s="3" t="b">
        <v>1</v>
      </c>
      <c r="E1579" s="3" t="s">
        <v>760</v>
      </c>
      <c r="F1579" s="3" t="s">
        <v>613</v>
      </c>
      <c r="G1579" s="4">
        <f>+251954920859</f>
        <v>251954920859</v>
      </c>
      <c r="H1579" s="3" t="s">
        <v>18</v>
      </c>
      <c r="I1579" s="3" t="s">
        <v>19</v>
      </c>
      <c r="J1579" s="3" t="s">
        <v>19</v>
      </c>
      <c r="K1579" s="3" t="s">
        <v>20</v>
      </c>
      <c r="L1579" s="3">
        <v>25.9</v>
      </c>
      <c r="M1579" s="3" t="s">
        <v>1695</v>
      </c>
      <c r="N1579" s="3" t="s">
        <v>1696</v>
      </c>
      <c r="O1579" s="3">
        <v>2.5332170482E10</v>
      </c>
    </row>
    <row r="1580">
      <c r="A1580" s="3">
        <v>2565131.0</v>
      </c>
      <c r="B1580" s="3" t="s">
        <v>3521</v>
      </c>
      <c r="C1580" s="3" t="b">
        <v>1</v>
      </c>
      <c r="D1580" s="3" t="b">
        <v>1</v>
      </c>
      <c r="E1580" s="3" t="s">
        <v>3522</v>
      </c>
      <c r="F1580" s="3" t="s">
        <v>336</v>
      </c>
      <c r="G1580" s="4">
        <f>+251983089699</f>
        <v>251983089699</v>
      </c>
      <c r="H1580" s="3" t="s">
        <v>18</v>
      </c>
      <c r="I1580" s="3" t="s">
        <v>19</v>
      </c>
      <c r="J1580" s="3" t="s">
        <v>19</v>
      </c>
      <c r="K1580" s="3" t="s">
        <v>25</v>
      </c>
      <c r="L1580" s="3">
        <v>24.5</v>
      </c>
      <c r="M1580" s="3" t="s">
        <v>1695</v>
      </c>
      <c r="N1580" s="3" t="s">
        <v>1696</v>
      </c>
      <c r="O1580" s="3">
        <v>1.70220354773E11</v>
      </c>
    </row>
    <row r="1581">
      <c r="A1581" s="3">
        <v>2565137.0</v>
      </c>
      <c r="B1581" s="3" t="s">
        <v>3523</v>
      </c>
      <c r="C1581" s="3" t="b">
        <v>1</v>
      </c>
      <c r="D1581" s="3" t="b">
        <v>1</v>
      </c>
      <c r="E1581" s="3" t="s">
        <v>3524</v>
      </c>
      <c r="F1581" s="3" t="s">
        <v>55</v>
      </c>
      <c r="G1581" s="4">
        <f>+251905909941</f>
        <v>251905909941</v>
      </c>
      <c r="H1581" s="3" t="s">
        <v>18</v>
      </c>
      <c r="I1581" s="3" t="s">
        <v>19</v>
      </c>
      <c r="J1581" s="3" t="s">
        <v>19</v>
      </c>
      <c r="K1581" s="3" t="s">
        <v>25</v>
      </c>
      <c r="L1581" s="3">
        <v>26.02</v>
      </c>
      <c r="M1581" s="3" t="s">
        <v>1695</v>
      </c>
      <c r="N1581" s="3" t="s">
        <v>1696</v>
      </c>
      <c r="O1581" s="3">
        <v>1.70221361396E11</v>
      </c>
    </row>
    <row r="1582">
      <c r="A1582" s="3">
        <v>2565162.0</v>
      </c>
      <c r="B1582" s="3" t="s">
        <v>3525</v>
      </c>
      <c r="C1582" s="3" t="b">
        <v>1</v>
      </c>
      <c r="D1582" s="3" t="b">
        <v>1</v>
      </c>
      <c r="E1582" s="3" t="s">
        <v>2535</v>
      </c>
      <c r="F1582" s="3" t="s">
        <v>1882</v>
      </c>
      <c r="G1582" s="4">
        <f>+251953348385</f>
        <v>251953348385</v>
      </c>
      <c r="H1582" s="3" t="s">
        <v>18</v>
      </c>
      <c r="I1582" s="3" t="s">
        <v>19</v>
      </c>
      <c r="J1582" s="3" t="s">
        <v>19</v>
      </c>
      <c r="K1582" s="3" t="s">
        <v>20</v>
      </c>
      <c r="L1582" s="3">
        <v>20.28</v>
      </c>
      <c r="M1582" s="3" t="s">
        <v>1695</v>
      </c>
      <c r="N1582" s="3" t="s">
        <v>1696</v>
      </c>
    </row>
    <row r="1583">
      <c r="A1583" s="3">
        <v>2565208.0</v>
      </c>
      <c r="B1583" s="3" t="s">
        <v>3526</v>
      </c>
      <c r="C1583" s="3" t="b">
        <v>0</v>
      </c>
      <c r="D1583" s="3" t="b">
        <v>1</v>
      </c>
      <c r="E1583" s="3" t="s">
        <v>1880</v>
      </c>
      <c r="F1583" s="3" t="s">
        <v>3527</v>
      </c>
      <c r="G1583" s="4">
        <f>+251995505736</f>
        <v>251995505736</v>
      </c>
      <c r="H1583" s="3" t="s">
        <v>18</v>
      </c>
      <c r="I1583" s="3" t="s">
        <v>19</v>
      </c>
      <c r="J1583" s="3" t="s">
        <v>19</v>
      </c>
      <c r="K1583" s="3" t="s">
        <v>25</v>
      </c>
      <c r="L1583" s="3">
        <v>22.09</v>
      </c>
      <c r="M1583" s="3" t="s">
        <v>1695</v>
      </c>
      <c r="N1583" s="3" t="s">
        <v>1696</v>
      </c>
      <c r="O1583" s="3">
        <v>1.70229061818E11</v>
      </c>
    </row>
    <row r="1584">
      <c r="A1584" s="3">
        <v>2242262.0</v>
      </c>
      <c r="B1584" s="3" t="s">
        <v>3528</v>
      </c>
      <c r="C1584" s="3" t="b">
        <v>1</v>
      </c>
      <c r="D1584" s="3" t="b">
        <v>1</v>
      </c>
      <c r="E1584" s="3" t="s">
        <v>3529</v>
      </c>
      <c r="F1584" s="3" t="s">
        <v>3530</v>
      </c>
      <c r="G1584" s="4">
        <f>+251942133842</f>
        <v>251942133842</v>
      </c>
      <c r="H1584" s="3" t="s">
        <v>18</v>
      </c>
      <c r="I1584" s="3" t="s">
        <v>19</v>
      </c>
      <c r="J1584" s="3" t="s">
        <v>19</v>
      </c>
      <c r="K1584" s="3" t="s">
        <v>25</v>
      </c>
      <c r="L1584" s="3">
        <v>20.39</v>
      </c>
      <c r="M1584" s="3" t="s">
        <v>1695</v>
      </c>
      <c r="N1584" s="3" t="s">
        <v>1696</v>
      </c>
      <c r="O1584" s="3">
        <v>3.3891070199E10</v>
      </c>
    </row>
    <row r="1585">
      <c r="A1585" s="3">
        <v>2565600.0</v>
      </c>
      <c r="B1585" s="3" t="s">
        <v>3531</v>
      </c>
      <c r="C1585" s="3" t="b">
        <v>1</v>
      </c>
      <c r="D1585" s="3" t="b">
        <v>1</v>
      </c>
      <c r="E1585" s="3" t="s">
        <v>518</v>
      </c>
      <c r="F1585" s="3" t="s">
        <v>987</v>
      </c>
      <c r="G1585" s="4">
        <f>+251948774951</f>
        <v>251948774951</v>
      </c>
      <c r="H1585" s="3" t="s">
        <v>249</v>
      </c>
      <c r="I1585" s="3" t="s">
        <v>19</v>
      </c>
      <c r="J1585" s="3" t="s">
        <v>19</v>
      </c>
      <c r="K1585" s="3" t="s">
        <v>25</v>
      </c>
      <c r="L1585" s="3">
        <v>27.4</v>
      </c>
      <c r="M1585" s="3" t="s">
        <v>1695</v>
      </c>
      <c r="N1585" s="3" t="s">
        <v>1696</v>
      </c>
      <c r="O1585" s="3">
        <v>1.70355897574E11</v>
      </c>
    </row>
    <row r="1586">
      <c r="A1586" s="3">
        <v>1670865.0</v>
      </c>
      <c r="B1586" s="3" t="s">
        <v>3532</v>
      </c>
      <c r="C1586" s="3" t="b">
        <v>1</v>
      </c>
      <c r="D1586" s="3" t="b">
        <v>1</v>
      </c>
      <c r="E1586" s="3" t="s">
        <v>3533</v>
      </c>
      <c r="F1586" s="3" t="s">
        <v>3534</v>
      </c>
      <c r="G1586" s="4">
        <f>+251961732299</f>
        <v>251961732299</v>
      </c>
      <c r="H1586" s="3" t="s">
        <v>18</v>
      </c>
      <c r="I1586" s="3" t="s">
        <v>19</v>
      </c>
      <c r="J1586" s="3" t="s">
        <v>19</v>
      </c>
      <c r="K1586" s="3" t="s">
        <v>20</v>
      </c>
      <c r="L1586" s="3">
        <v>23.0</v>
      </c>
      <c r="M1586" s="3" t="s">
        <v>1695</v>
      </c>
      <c r="N1586" s="3" t="s">
        <v>1696</v>
      </c>
      <c r="O1586" s="3">
        <v>2.1298109667E10</v>
      </c>
    </row>
    <row r="1587">
      <c r="A1587" s="3">
        <v>2566106.0</v>
      </c>
      <c r="B1587" s="3" t="s">
        <v>3535</v>
      </c>
      <c r="C1587" s="3" t="b">
        <v>1</v>
      </c>
      <c r="D1587" s="3" t="b">
        <v>1</v>
      </c>
      <c r="E1587" s="3" t="s">
        <v>3536</v>
      </c>
      <c r="F1587" s="3" t="s">
        <v>3537</v>
      </c>
      <c r="G1587" s="4">
        <f>+251988285718</f>
        <v>251988285718</v>
      </c>
      <c r="H1587" s="3" t="s">
        <v>18</v>
      </c>
      <c r="I1587" s="3" t="s">
        <v>19</v>
      </c>
      <c r="J1587" s="3" t="s">
        <v>3538</v>
      </c>
      <c r="K1587" s="3" t="s">
        <v>25</v>
      </c>
      <c r="L1587" s="3">
        <v>23.56</v>
      </c>
      <c r="M1587" s="3" t="s">
        <v>1695</v>
      </c>
      <c r="N1587" s="3" t="s">
        <v>1696</v>
      </c>
      <c r="O1587" s="3">
        <v>1.70516754624E11</v>
      </c>
    </row>
    <row r="1588">
      <c r="A1588" s="3">
        <v>2566603.0</v>
      </c>
      <c r="B1588" s="3" t="s">
        <v>3539</v>
      </c>
      <c r="C1588" s="3" t="b">
        <v>0</v>
      </c>
      <c r="D1588" s="3" t="b">
        <v>1</v>
      </c>
      <c r="E1588" s="3" t="s">
        <v>3540</v>
      </c>
      <c r="F1588" s="3" t="s">
        <v>3541</v>
      </c>
      <c r="G1588" s="4">
        <f>+251967871671</f>
        <v>251967871671</v>
      </c>
      <c r="H1588" s="3" t="s">
        <v>18</v>
      </c>
      <c r="I1588" s="3" t="s">
        <v>19</v>
      </c>
      <c r="J1588" s="3" t="s">
        <v>19</v>
      </c>
      <c r="K1588" s="3" t="s">
        <v>20</v>
      </c>
      <c r="L1588" s="3">
        <v>23.64</v>
      </c>
      <c r="M1588" s="3" t="s">
        <v>1695</v>
      </c>
      <c r="N1588" s="3" t="s">
        <v>1696</v>
      </c>
      <c r="O1588" s="3">
        <v>1.70851091696E11</v>
      </c>
    </row>
    <row r="1589">
      <c r="A1589" s="3">
        <v>2566670.0</v>
      </c>
      <c r="B1589" s="3" t="s">
        <v>3542</v>
      </c>
      <c r="C1589" s="3" t="b">
        <v>0</v>
      </c>
      <c r="D1589" s="3" t="b">
        <v>1</v>
      </c>
      <c r="E1589" s="3" t="s">
        <v>273</v>
      </c>
      <c r="F1589" s="3" t="s">
        <v>826</v>
      </c>
      <c r="G1589" s="4">
        <f>+251942387813</f>
        <v>251942387813</v>
      </c>
      <c r="H1589" s="3" t="s">
        <v>18</v>
      </c>
      <c r="I1589" s="3" t="s">
        <v>19</v>
      </c>
      <c r="J1589" s="3" t="s">
        <v>19</v>
      </c>
      <c r="K1589" s="3" t="s">
        <v>25</v>
      </c>
      <c r="L1589" s="3">
        <v>25.1</v>
      </c>
      <c r="M1589" s="3" t="s">
        <v>1695</v>
      </c>
      <c r="N1589" s="3" t="s">
        <v>1696</v>
      </c>
      <c r="O1589" s="3">
        <v>1.70788295927E11</v>
      </c>
    </row>
    <row r="1590">
      <c r="A1590" s="3">
        <v>2566773.0</v>
      </c>
      <c r="B1590" s="3" t="s">
        <v>3543</v>
      </c>
      <c r="C1590" s="3" t="b">
        <v>1</v>
      </c>
      <c r="D1590" s="3" t="b">
        <v>1</v>
      </c>
      <c r="E1590" s="3" t="s">
        <v>58</v>
      </c>
      <c r="F1590" s="3" t="s">
        <v>3544</v>
      </c>
      <c r="G1590" s="4">
        <f>+251910527735</f>
        <v>251910527735</v>
      </c>
      <c r="H1590" s="3" t="s">
        <v>18</v>
      </c>
      <c r="I1590" s="3" t="s">
        <v>19</v>
      </c>
      <c r="J1590" s="3" t="s">
        <v>19</v>
      </c>
      <c r="K1590" s="3" t="s">
        <v>25</v>
      </c>
      <c r="L1590" s="3">
        <v>37.42</v>
      </c>
      <c r="M1590" s="3" t="s">
        <v>1695</v>
      </c>
      <c r="N1590" s="3" t="s">
        <v>1696</v>
      </c>
      <c r="O1590" s="3">
        <v>1.70902314205E11</v>
      </c>
    </row>
    <row r="1591">
      <c r="A1591" s="3">
        <v>2566779.0</v>
      </c>
      <c r="B1591" s="3" t="s">
        <v>3545</v>
      </c>
      <c r="C1591" s="3" t="b">
        <v>1</v>
      </c>
      <c r="D1591" s="3" t="b">
        <v>1</v>
      </c>
      <c r="E1591" s="3" t="s">
        <v>3546</v>
      </c>
      <c r="F1591" s="3" t="s">
        <v>3547</v>
      </c>
      <c r="G1591" s="4">
        <f>+251953170136</f>
        <v>251953170136</v>
      </c>
      <c r="H1591" s="3" t="s">
        <v>18</v>
      </c>
      <c r="I1591" s="3" t="s">
        <v>19</v>
      </c>
      <c r="J1591" s="3" t="s">
        <v>19</v>
      </c>
      <c r="K1591" s="3" t="s">
        <v>25</v>
      </c>
      <c r="L1591" s="3">
        <v>29.79</v>
      </c>
      <c r="M1591" s="3" t="s">
        <v>1695</v>
      </c>
      <c r="N1591" s="3" t="s">
        <v>1696</v>
      </c>
      <c r="O1591" s="3">
        <v>1.70908472508E11</v>
      </c>
    </row>
    <row r="1592">
      <c r="A1592" s="3">
        <v>2566814.0</v>
      </c>
      <c r="B1592" s="3" t="s">
        <v>3548</v>
      </c>
      <c r="C1592" s="3" t="b">
        <v>0</v>
      </c>
      <c r="D1592" s="3" t="b">
        <v>1</v>
      </c>
      <c r="E1592" s="3" t="s">
        <v>3549</v>
      </c>
      <c r="F1592" s="3" t="s">
        <v>274</v>
      </c>
      <c r="G1592" s="4">
        <f>+25191288875</f>
        <v>25191288875</v>
      </c>
      <c r="H1592" s="3" t="s">
        <v>18</v>
      </c>
      <c r="I1592" s="3" t="s">
        <v>19</v>
      </c>
      <c r="J1592" s="3" t="s">
        <v>19</v>
      </c>
      <c r="K1592" s="3" t="s">
        <v>25</v>
      </c>
      <c r="L1592" s="3">
        <v>28.29</v>
      </c>
      <c r="M1592" s="3" t="s">
        <v>1695</v>
      </c>
      <c r="N1592" s="3" t="s">
        <v>1696</v>
      </c>
      <c r="O1592" s="3">
        <v>1.70911568106E11</v>
      </c>
    </row>
    <row r="1593">
      <c r="A1593" s="3">
        <v>2566834.0</v>
      </c>
      <c r="B1593" s="3" t="s">
        <v>3550</v>
      </c>
      <c r="C1593" s="3" t="b">
        <v>0</v>
      </c>
      <c r="D1593" s="3" t="b">
        <v>1</v>
      </c>
      <c r="E1593" s="3" t="s">
        <v>3551</v>
      </c>
      <c r="F1593" s="3" t="s">
        <v>3552</v>
      </c>
      <c r="G1593" s="4">
        <f>+251974555295</f>
        <v>251974555295</v>
      </c>
      <c r="H1593" s="3" t="s">
        <v>18</v>
      </c>
      <c r="I1593" s="3" t="s">
        <v>19</v>
      </c>
      <c r="J1593" s="3" t="s">
        <v>19</v>
      </c>
      <c r="K1593" s="3" t="s">
        <v>25</v>
      </c>
      <c r="L1593" s="3">
        <v>24.43</v>
      </c>
      <c r="M1593" s="3" t="s">
        <v>1695</v>
      </c>
      <c r="N1593" s="3" t="s">
        <v>1696</v>
      </c>
      <c r="O1593" s="3">
        <v>1.70870573249E11</v>
      </c>
    </row>
    <row r="1594">
      <c r="A1594" s="3">
        <v>2566836.0</v>
      </c>
      <c r="B1594" s="3" t="s">
        <v>3553</v>
      </c>
      <c r="C1594" s="3" t="b">
        <v>0</v>
      </c>
      <c r="D1594" s="3" t="b">
        <v>1</v>
      </c>
      <c r="E1594" s="3" t="s">
        <v>3554</v>
      </c>
      <c r="F1594" s="3" t="s">
        <v>3555</v>
      </c>
      <c r="G1594" s="4">
        <f>+251911347174</f>
        <v>251911347174</v>
      </c>
      <c r="H1594" s="3" t="s">
        <v>18</v>
      </c>
      <c r="I1594" s="3" t="s">
        <v>19</v>
      </c>
      <c r="J1594" s="3" t="s">
        <v>19</v>
      </c>
      <c r="K1594" s="3" t="s">
        <v>25</v>
      </c>
      <c r="L1594" s="3">
        <v>23.13</v>
      </c>
      <c r="M1594" s="3" t="s">
        <v>1695</v>
      </c>
      <c r="N1594" s="3" t="s">
        <v>1696</v>
      </c>
      <c r="O1594" s="3">
        <v>1.70910007523E11</v>
      </c>
    </row>
    <row r="1595">
      <c r="A1595" s="3">
        <v>2566867.0</v>
      </c>
      <c r="B1595" s="3" t="s">
        <v>3556</v>
      </c>
      <c r="C1595" s="3" t="b">
        <v>0</v>
      </c>
      <c r="D1595" s="3" t="b">
        <v>1</v>
      </c>
      <c r="E1595" s="3" t="s">
        <v>817</v>
      </c>
      <c r="F1595" s="3" t="s">
        <v>3557</v>
      </c>
      <c r="G1595" s="4">
        <f>+251975370859</f>
        <v>251975370859</v>
      </c>
      <c r="H1595" s="3" t="s">
        <v>18</v>
      </c>
      <c r="I1595" s="3" t="s">
        <v>19</v>
      </c>
      <c r="J1595" s="3" t="s">
        <v>19</v>
      </c>
      <c r="K1595" s="3" t="s">
        <v>25</v>
      </c>
      <c r="L1595" s="3">
        <v>13.07</v>
      </c>
      <c r="M1595" s="3" t="s">
        <v>1695</v>
      </c>
      <c r="N1595" s="3" t="s">
        <v>1696</v>
      </c>
      <c r="O1595" s="3">
        <v>1.70881115366E11</v>
      </c>
    </row>
    <row r="1596">
      <c r="A1596" s="3">
        <v>999893.0</v>
      </c>
      <c r="B1596" s="3" t="s">
        <v>3558</v>
      </c>
      <c r="C1596" s="3" t="b">
        <v>1</v>
      </c>
      <c r="D1596" s="3" t="b">
        <v>1</v>
      </c>
      <c r="E1596" s="3" t="s">
        <v>683</v>
      </c>
      <c r="F1596" s="3" t="s">
        <v>2410</v>
      </c>
      <c r="G1596" s="4">
        <f>+251941561354</f>
        <v>251941561354</v>
      </c>
      <c r="H1596" s="3" t="s">
        <v>18</v>
      </c>
      <c r="I1596" s="3" t="s">
        <v>19</v>
      </c>
      <c r="J1596" s="3" t="s">
        <v>19</v>
      </c>
      <c r="K1596" s="3" t="s">
        <v>25</v>
      </c>
      <c r="L1596" s="3">
        <v>35.0</v>
      </c>
      <c r="M1596" s="3" t="s">
        <v>1695</v>
      </c>
      <c r="N1596" s="3" t="s">
        <v>1696</v>
      </c>
      <c r="O1596" s="3">
        <v>1.1865577E7</v>
      </c>
    </row>
    <row r="1597">
      <c r="A1597" s="3">
        <v>1699208.0</v>
      </c>
      <c r="B1597" s="3" t="s">
        <v>3559</v>
      </c>
      <c r="C1597" s="3" t="b">
        <v>1</v>
      </c>
      <c r="D1597" s="3" t="b">
        <v>1</v>
      </c>
      <c r="E1597" s="3" t="s">
        <v>3560</v>
      </c>
      <c r="F1597" s="3" t="s">
        <v>3561</v>
      </c>
      <c r="G1597" s="3">
        <v>9.74978807E8</v>
      </c>
      <c r="H1597" s="3" t="s">
        <v>18</v>
      </c>
      <c r="I1597" s="3" t="s">
        <v>19</v>
      </c>
      <c r="J1597" s="3" t="s">
        <v>19</v>
      </c>
      <c r="K1597" s="3" t="s">
        <v>20</v>
      </c>
      <c r="L1597" s="3">
        <v>19.66</v>
      </c>
      <c r="M1597" s="3" t="s">
        <v>1695</v>
      </c>
      <c r="N1597" s="3" t="s">
        <v>1696</v>
      </c>
      <c r="O1597" s="3">
        <v>1.2833178E7</v>
      </c>
    </row>
    <row r="1598">
      <c r="A1598" s="3">
        <v>2241531.0</v>
      </c>
      <c r="B1598" s="3" t="s">
        <v>3562</v>
      </c>
      <c r="C1598" s="3" t="b">
        <v>1</v>
      </c>
      <c r="D1598" s="3" t="b">
        <v>1</v>
      </c>
      <c r="E1598" s="3" t="s">
        <v>1319</v>
      </c>
      <c r="F1598" s="3" t="s">
        <v>292</v>
      </c>
      <c r="G1598" s="4">
        <f>+251975354508</f>
        <v>251975354508</v>
      </c>
      <c r="H1598" s="3" t="s">
        <v>18</v>
      </c>
      <c r="I1598" s="3" t="s">
        <v>19</v>
      </c>
      <c r="J1598" s="3" t="s">
        <v>19</v>
      </c>
      <c r="K1598" s="3" t="s">
        <v>25</v>
      </c>
      <c r="L1598" s="3">
        <v>26.22</v>
      </c>
      <c r="M1598" s="3" t="s">
        <v>1695</v>
      </c>
      <c r="N1598" s="3" t="s">
        <v>1696</v>
      </c>
      <c r="O1598" s="3">
        <v>3.3867857139E10</v>
      </c>
    </row>
    <row r="1599">
      <c r="A1599" s="3">
        <v>2363315.0</v>
      </c>
      <c r="B1599" s="3" t="s">
        <v>3563</v>
      </c>
      <c r="C1599" s="3" t="b">
        <v>1</v>
      </c>
      <c r="D1599" s="3" t="b">
        <v>0</v>
      </c>
      <c r="E1599" s="3" t="s">
        <v>3564</v>
      </c>
      <c r="F1599" s="3" t="s">
        <v>66</v>
      </c>
      <c r="G1599" s="4">
        <f>+251975291600</f>
        <v>251975291600</v>
      </c>
      <c r="H1599" s="3" t="s">
        <v>18</v>
      </c>
      <c r="I1599" s="3" t="s">
        <v>19</v>
      </c>
      <c r="J1599" s="3" t="s">
        <v>19</v>
      </c>
      <c r="K1599" s="3" t="s">
        <v>20</v>
      </c>
      <c r="L1599" s="3">
        <v>41.19</v>
      </c>
      <c r="M1599" s="3" t="s">
        <v>1695</v>
      </c>
      <c r="N1599" s="3" t="s">
        <v>1696</v>
      </c>
    </row>
    <row r="1600">
      <c r="A1600" s="3">
        <v>591.0</v>
      </c>
      <c r="B1600" s="3" t="s">
        <v>3565</v>
      </c>
      <c r="C1600" s="3" t="b">
        <v>1</v>
      </c>
      <c r="D1600" s="3" t="b">
        <v>1</v>
      </c>
      <c r="E1600" s="3" t="s">
        <v>420</v>
      </c>
      <c r="F1600" s="3" t="s">
        <v>422</v>
      </c>
      <c r="G1600" s="4">
        <f>+251967498405</f>
        <v>251967498405</v>
      </c>
      <c r="H1600" s="3" t="s">
        <v>18</v>
      </c>
      <c r="I1600" s="3" t="s">
        <v>19</v>
      </c>
      <c r="J1600" s="3" t="s">
        <v>19</v>
      </c>
      <c r="K1600" s="3" t="s">
        <v>25</v>
      </c>
      <c r="L1600" s="3">
        <v>29.04</v>
      </c>
      <c r="M1600" s="3" t="s">
        <v>1695</v>
      </c>
      <c r="N1600" s="3" t="s">
        <v>1696</v>
      </c>
      <c r="O1600" s="3">
        <v>2.5444165E7</v>
      </c>
    </row>
    <row r="1601">
      <c r="A1601" s="3">
        <v>2567272.0</v>
      </c>
      <c r="B1601" s="3" t="s">
        <v>3566</v>
      </c>
      <c r="C1601" s="3" t="b">
        <v>0</v>
      </c>
      <c r="D1601" s="3" t="b">
        <v>1</v>
      </c>
      <c r="E1601" s="3" t="s">
        <v>3567</v>
      </c>
      <c r="F1601" s="3" t="s">
        <v>2727</v>
      </c>
      <c r="G1601" s="4">
        <f>+251900046720</f>
        <v>251900046720</v>
      </c>
      <c r="H1601" s="3" t="s">
        <v>18</v>
      </c>
      <c r="I1601" s="3" t="s">
        <v>19</v>
      </c>
      <c r="J1601" s="3" t="s">
        <v>19</v>
      </c>
      <c r="K1601" s="3" t="s">
        <v>25</v>
      </c>
      <c r="L1601" s="3">
        <v>28.93</v>
      </c>
      <c r="M1601" s="3" t="s">
        <v>1695</v>
      </c>
      <c r="N1601" s="3" t="s">
        <v>1696</v>
      </c>
      <c r="O1601" s="3">
        <v>1.71084350658E11</v>
      </c>
    </row>
    <row r="1602">
      <c r="A1602" s="3">
        <v>2567363.0</v>
      </c>
      <c r="B1602" s="3" t="s">
        <v>3568</v>
      </c>
      <c r="C1602" s="3" t="b">
        <v>0</v>
      </c>
      <c r="D1602" s="3" t="b">
        <v>1</v>
      </c>
      <c r="E1602" s="3" t="s">
        <v>817</v>
      </c>
      <c r="F1602" s="3" t="s">
        <v>3569</v>
      </c>
      <c r="G1602" s="4">
        <f>+251994699064</f>
        <v>251994699064</v>
      </c>
      <c r="H1602" s="3" t="s">
        <v>18</v>
      </c>
      <c r="I1602" s="3" t="s">
        <v>19</v>
      </c>
      <c r="J1602" s="3" t="s">
        <v>19</v>
      </c>
      <c r="K1602" s="3" t="s">
        <v>25</v>
      </c>
      <c r="L1602" s="3">
        <v>21.79</v>
      </c>
      <c r="M1602" s="3" t="s">
        <v>1695</v>
      </c>
      <c r="N1602" s="3" t="s">
        <v>1696</v>
      </c>
      <c r="O1602" s="3">
        <v>1.71094997191E11</v>
      </c>
    </row>
    <row r="1603">
      <c r="A1603" s="3">
        <v>2567260.0</v>
      </c>
      <c r="B1603" s="3" t="s">
        <v>3570</v>
      </c>
      <c r="C1603" s="3" t="b">
        <v>1</v>
      </c>
      <c r="D1603" s="3" t="b">
        <v>1</v>
      </c>
      <c r="E1603" s="3" t="s">
        <v>927</v>
      </c>
      <c r="F1603" s="3" t="s">
        <v>466</v>
      </c>
      <c r="G1603" s="4">
        <f>+251911792330</f>
        <v>251911792330</v>
      </c>
      <c r="H1603" s="3" t="s">
        <v>18</v>
      </c>
      <c r="I1603" s="3" t="s">
        <v>19</v>
      </c>
      <c r="J1603" s="3" t="s">
        <v>19</v>
      </c>
      <c r="K1603" s="3" t="s">
        <v>25</v>
      </c>
      <c r="L1603" s="3">
        <v>26.86</v>
      </c>
      <c r="M1603" s="3" t="s">
        <v>1695</v>
      </c>
      <c r="N1603" s="3" t="s">
        <v>1696</v>
      </c>
      <c r="O1603" s="3">
        <v>1.71033428167E11</v>
      </c>
    </row>
    <row r="1604">
      <c r="A1604" s="3">
        <v>385074.0</v>
      </c>
      <c r="B1604" s="3" t="s">
        <v>3571</v>
      </c>
      <c r="C1604" s="3" t="b">
        <v>1</v>
      </c>
      <c r="D1604" s="3" t="b">
        <v>1</v>
      </c>
      <c r="E1604" s="3" t="s">
        <v>46</v>
      </c>
      <c r="F1604" s="3" t="s">
        <v>1112</v>
      </c>
      <c r="G1604" s="4">
        <f>+251982627164</f>
        <v>251982627164</v>
      </c>
      <c r="H1604" s="3" t="s">
        <v>18</v>
      </c>
      <c r="I1604" s="3" t="s">
        <v>19</v>
      </c>
      <c r="J1604" s="3" t="s">
        <v>19</v>
      </c>
      <c r="K1604" s="3" t="s">
        <v>25</v>
      </c>
      <c r="L1604" s="3">
        <v>22.93</v>
      </c>
      <c r="M1604" s="3" t="s">
        <v>1695</v>
      </c>
      <c r="N1604" s="3" t="s">
        <v>1696</v>
      </c>
      <c r="O1604" s="3">
        <v>2.8273852E7</v>
      </c>
    </row>
    <row r="1605">
      <c r="A1605" s="3">
        <v>2567713.0</v>
      </c>
      <c r="B1605" s="3" t="s">
        <v>3572</v>
      </c>
      <c r="C1605" s="3" t="b">
        <v>0</v>
      </c>
      <c r="D1605" s="3" t="b">
        <v>1</v>
      </c>
      <c r="E1605" s="3" t="s">
        <v>2510</v>
      </c>
      <c r="F1605" s="3" t="s">
        <v>189</v>
      </c>
      <c r="G1605" s="4">
        <f>+251967372817</f>
        <v>251967372817</v>
      </c>
      <c r="H1605" s="3" t="s">
        <v>29</v>
      </c>
      <c r="I1605" s="3" t="s">
        <v>19</v>
      </c>
      <c r="J1605" s="3" t="s">
        <v>19</v>
      </c>
      <c r="K1605" s="3" t="s">
        <v>25</v>
      </c>
      <c r="L1605" s="3">
        <v>22.58</v>
      </c>
      <c r="M1605" s="3" t="s">
        <v>1695</v>
      </c>
      <c r="N1605" s="3" t="s">
        <v>1696</v>
      </c>
      <c r="O1605" s="3">
        <v>1.71187606734E11</v>
      </c>
    </row>
    <row r="1606">
      <c r="A1606" s="3">
        <v>2567892.0</v>
      </c>
      <c r="B1606" s="3" t="s">
        <v>3573</v>
      </c>
      <c r="C1606" s="3" t="b">
        <v>0</v>
      </c>
      <c r="D1606" s="3" t="b">
        <v>1</v>
      </c>
      <c r="E1606" s="3" t="s">
        <v>356</v>
      </c>
      <c r="F1606" s="3" t="s">
        <v>2873</v>
      </c>
      <c r="G1606" s="4">
        <f>+251977498799</f>
        <v>251977498799</v>
      </c>
      <c r="H1606" s="3" t="s">
        <v>18</v>
      </c>
      <c r="I1606" s="3" t="s">
        <v>19</v>
      </c>
      <c r="J1606" s="3" t="s">
        <v>19</v>
      </c>
      <c r="K1606" s="3" t="s">
        <v>25</v>
      </c>
      <c r="L1606" s="3">
        <v>20.35</v>
      </c>
      <c r="M1606" s="3" t="s">
        <v>1695</v>
      </c>
      <c r="N1606" s="3" t="s">
        <v>1696</v>
      </c>
      <c r="O1606" s="3">
        <v>1.7123702087E11</v>
      </c>
    </row>
    <row r="1607">
      <c r="A1607" s="3">
        <v>183816.0</v>
      </c>
      <c r="B1607" s="3" t="s">
        <v>3574</v>
      </c>
      <c r="C1607" s="3" t="b">
        <v>1</v>
      </c>
      <c r="D1607" s="3" t="b">
        <v>1</v>
      </c>
      <c r="E1607" s="3" t="s">
        <v>1134</v>
      </c>
      <c r="F1607" s="3" t="s">
        <v>274</v>
      </c>
      <c r="G1607" s="4">
        <f>+251966710884</f>
        <v>251966710884</v>
      </c>
      <c r="H1607" s="3" t="s">
        <v>18</v>
      </c>
      <c r="I1607" s="3" t="s">
        <v>19</v>
      </c>
      <c r="J1607" s="3" t="s">
        <v>19</v>
      </c>
      <c r="K1607" s="3" t="s">
        <v>25</v>
      </c>
      <c r="L1607" s="3">
        <v>34.89</v>
      </c>
      <c r="M1607" s="3" t="s">
        <v>1695</v>
      </c>
      <c r="N1607" s="3" t="s">
        <v>1696</v>
      </c>
      <c r="O1607" s="3">
        <v>838206.0</v>
      </c>
    </row>
    <row r="1608">
      <c r="A1608" s="3">
        <v>846095.0</v>
      </c>
      <c r="B1608" s="3" t="s">
        <v>3575</v>
      </c>
      <c r="C1608" s="3" t="b">
        <v>1</v>
      </c>
      <c r="D1608" s="3" t="b">
        <v>1</v>
      </c>
      <c r="E1608" s="3" t="s">
        <v>3576</v>
      </c>
      <c r="F1608" s="3" t="s">
        <v>271</v>
      </c>
      <c r="G1608" s="4">
        <f>+251986539101</f>
        <v>251986539101</v>
      </c>
      <c r="H1608" s="3" t="s">
        <v>18</v>
      </c>
      <c r="I1608" s="3" t="s">
        <v>19</v>
      </c>
      <c r="J1608" s="3" t="s">
        <v>19</v>
      </c>
      <c r="K1608" s="3" t="s">
        <v>20</v>
      </c>
      <c r="L1608" s="3">
        <v>24.23</v>
      </c>
      <c r="M1608" s="3" t="s">
        <v>1695</v>
      </c>
      <c r="N1608" s="3" t="s">
        <v>1696</v>
      </c>
    </row>
    <row r="1609">
      <c r="A1609" s="3">
        <v>2544246.0</v>
      </c>
      <c r="B1609" s="3" t="s">
        <v>3577</v>
      </c>
      <c r="C1609" s="3" t="b">
        <v>1</v>
      </c>
      <c r="D1609" s="3" t="b">
        <v>1</v>
      </c>
      <c r="E1609" s="3" t="s">
        <v>2168</v>
      </c>
      <c r="F1609" s="3" t="s">
        <v>3578</v>
      </c>
      <c r="G1609" s="4">
        <f>+251980500075</f>
        <v>251980500075</v>
      </c>
      <c r="H1609" s="3" t="s">
        <v>18</v>
      </c>
      <c r="I1609" s="3" t="s">
        <v>19</v>
      </c>
      <c r="J1609" s="3" t="s">
        <v>19</v>
      </c>
      <c r="K1609" s="3" t="s">
        <v>25</v>
      </c>
      <c r="L1609" s="3">
        <v>13.13</v>
      </c>
      <c r="M1609" s="3" t="s">
        <v>1695</v>
      </c>
      <c r="N1609" s="3" t="s">
        <v>1696</v>
      </c>
      <c r="O1609" s="3">
        <v>1.71504581839E11</v>
      </c>
    </row>
    <row r="1610">
      <c r="A1610" s="3">
        <v>2569796.0</v>
      </c>
      <c r="B1610" s="3" t="s">
        <v>3579</v>
      </c>
      <c r="C1610" s="3" t="b">
        <v>1</v>
      </c>
      <c r="D1610" s="3" t="b">
        <v>1</v>
      </c>
      <c r="E1610" s="3" t="s">
        <v>220</v>
      </c>
      <c r="F1610" s="3" t="s">
        <v>3580</v>
      </c>
      <c r="G1610" s="4">
        <f>+251975350843</f>
        <v>251975350843</v>
      </c>
      <c r="H1610" s="3" t="s">
        <v>18</v>
      </c>
      <c r="I1610" s="3" t="s">
        <v>19</v>
      </c>
      <c r="J1610" s="3" t="s">
        <v>19</v>
      </c>
      <c r="K1610" s="3" t="s">
        <v>20</v>
      </c>
      <c r="L1610" s="3">
        <v>20.39</v>
      </c>
      <c r="M1610" s="3" t="s">
        <v>1695</v>
      </c>
      <c r="N1610" s="3" t="s">
        <v>1696</v>
      </c>
      <c r="O1610" s="3">
        <v>1.71899853046E11</v>
      </c>
    </row>
    <row r="1611">
      <c r="A1611" s="3">
        <v>2569822.0</v>
      </c>
      <c r="B1611" s="3" t="s">
        <v>3581</v>
      </c>
      <c r="C1611" s="3" t="b">
        <v>1</v>
      </c>
      <c r="D1611" s="3" t="b">
        <v>1</v>
      </c>
      <c r="E1611" s="3" t="s">
        <v>40</v>
      </c>
      <c r="F1611" s="3" t="s">
        <v>838</v>
      </c>
      <c r="G1611" s="4">
        <f>+251965286650</f>
        <v>251965286650</v>
      </c>
      <c r="H1611" s="3" t="s">
        <v>18</v>
      </c>
      <c r="I1611" s="3" t="s">
        <v>19</v>
      </c>
      <c r="J1611" s="3" t="s">
        <v>19</v>
      </c>
      <c r="K1611" s="3" t="s">
        <v>20</v>
      </c>
      <c r="L1611" s="3">
        <v>21.42</v>
      </c>
      <c r="M1611" s="3" t="s">
        <v>1695</v>
      </c>
      <c r="N1611" s="3" t="s">
        <v>1696</v>
      </c>
    </row>
    <row r="1612">
      <c r="A1612" s="3">
        <v>2570162.0</v>
      </c>
      <c r="B1612" s="3" t="s">
        <v>3582</v>
      </c>
      <c r="C1612" s="3" t="b">
        <v>1</v>
      </c>
      <c r="D1612" s="3" t="b">
        <v>1</v>
      </c>
      <c r="E1612" s="3" t="s">
        <v>58</v>
      </c>
      <c r="F1612" s="3" t="s">
        <v>3125</v>
      </c>
      <c r="G1612" s="4">
        <f>+251932076631</f>
        <v>251932076631</v>
      </c>
      <c r="H1612" s="3" t="s">
        <v>18</v>
      </c>
      <c r="I1612" s="3" t="s">
        <v>19</v>
      </c>
      <c r="J1612" s="3" t="s">
        <v>19</v>
      </c>
      <c r="K1612" s="3" t="s">
        <v>25</v>
      </c>
      <c r="L1612" s="3">
        <v>33.31</v>
      </c>
      <c r="M1612" s="3" t="s">
        <v>1695</v>
      </c>
      <c r="N1612" s="3" t="s">
        <v>1696</v>
      </c>
      <c r="O1612" s="3">
        <v>1.72026563799E11</v>
      </c>
    </row>
    <row r="1613">
      <c r="A1613" s="3">
        <v>2570279.0</v>
      </c>
      <c r="B1613" s="3" t="s">
        <v>3583</v>
      </c>
      <c r="C1613" s="3" t="b">
        <v>1</v>
      </c>
      <c r="D1613" s="3" t="b">
        <v>1</v>
      </c>
      <c r="E1613" s="3" t="s">
        <v>1022</v>
      </c>
      <c r="F1613" s="3" t="s">
        <v>1933</v>
      </c>
      <c r="G1613" s="4">
        <f>+251911177900</f>
        <v>251911177900</v>
      </c>
      <c r="H1613" s="3" t="s">
        <v>18</v>
      </c>
      <c r="I1613" s="3" t="s">
        <v>19</v>
      </c>
      <c r="J1613" s="3" t="s">
        <v>19</v>
      </c>
      <c r="K1613" s="3" t="s">
        <v>25</v>
      </c>
      <c r="L1613" s="3">
        <v>26.01</v>
      </c>
      <c r="M1613" s="3" t="s">
        <v>1695</v>
      </c>
      <c r="N1613" s="3" t="s">
        <v>1696</v>
      </c>
      <c r="O1613" s="3">
        <v>1.72032673007E11</v>
      </c>
    </row>
    <row r="1614">
      <c r="A1614" s="3">
        <v>2570529.0</v>
      </c>
      <c r="B1614" s="3" t="s">
        <v>3584</v>
      </c>
      <c r="C1614" s="3" t="b">
        <v>1</v>
      </c>
      <c r="D1614" s="3" t="b">
        <v>1</v>
      </c>
      <c r="E1614" s="3" t="s">
        <v>3585</v>
      </c>
      <c r="F1614" s="3" t="s">
        <v>3586</v>
      </c>
      <c r="G1614" s="4">
        <f>+251977154956</f>
        <v>251977154956</v>
      </c>
      <c r="H1614" s="3" t="s">
        <v>1175</v>
      </c>
      <c r="I1614" s="3" t="s">
        <v>19</v>
      </c>
      <c r="J1614" s="3" t="s">
        <v>19</v>
      </c>
      <c r="K1614" s="3" t="s">
        <v>20</v>
      </c>
      <c r="L1614" s="3">
        <v>24.27</v>
      </c>
      <c r="M1614" s="3" t="s">
        <v>1695</v>
      </c>
      <c r="N1614" s="3" t="s">
        <v>1696</v>
      </c>
    </row>
    <row r="1615">
      <c r="A1615" s="3">
        <v>2571511.0</v>
      </c>
      <c r="B1615" s="3" t="s">
        <v>3587</v>
      </c>
      <c r="C1615" s="3" t="b">
        <v>1</v>
      </c>
      <c r="D1615" s="3" t="b">
        <v>1</v>
      </c>
      <c r="E1615" s="3" t="s">
        <v>648</v>
      </c>
      <c r="F1615" s="3" t="s">
        <v>3588</v>
      </c>
      <c r="G1615" s="4">
        <f>+251939481362</f>
        <v>251939481362</v>
      </c>
      <c r="H1615" s="3" t="s">
        <v>87</v>
      </c>
      <c r="I1615" s="3" t="s">
        <v>19</v>
      </c>
      <c r="J1615" s="3" t="s">
        <v>19</v>
      </c>
      <c r="K1615" s="3" t="s">
        <v>20</v>
      </c>
      <c r="L1615" s="3">
        <v>20.39</v>
      </c>
      <c r="M1615" s="3" t="s">
        <v>1695</v>
      </c>
      <c r="N1615" s="3" t="s">
        <v>1696</v>
      </c>
    </row>
    <row r="1616">
      <c r="A1616" s="3">
        <v>2571814.0</v>
      </c>
      <c r="B1616" s="3" t="s">
        <v>3589</v>
      </c>
      <c r="C1616" s="3" t="b">
        <v>1</v>
      </c>
      <c r="D1616" s="3" t="b">
        <v>1</v>
      </c>
      <c r="E1616" s="3" t="s">
        <v>3590</v>
      </c>
      <c r="F1616" s="3" t="s">
        <v>387</v>
      </c>
      <c r="G1616" s="4">
        <f>+251954783514</f>
        <v>251954783514</v>
      </c>
      <c r="H1616" s="3" t="s">
        <v>18</v>
      </c>
      <c r="I1616" s="3" t="s">
        <v>19</v>
      </c>
      <c r="J1616" s="3" t="s">
        <v>19</v>
      </c>
      <c r="K1616" s="3" t="s">
        <v>25</v>
      </c>
      <c r="L1616" s="3">
        <v>18.5</v>
      </c>
      <c r="M1616" s="3" t="s">
        <v>1695</v>
      </c>
      <c r="N1616" s="3" t="s">
        <v>1696</v>
      </c>
      <c r="O1616" s="3">
        <v>4.1251871202E10</v>
      </c>
    </row>
    <row r="1617">
      <c r="A1617" s="3">
        <v>2527329.0</v>
      </c>
      <c r="B1617" s="3" t="s">
        <v>3591</v>
      </c>
      <c r="C1617" s="3" t="b">
        <v>1</v>
      </c>
      <c r="D1617" s="3" t="b">
        <v>1</v>
      </c>
      <c r="E1617" s="3" t="s">
        <v>918</v>
      </c>
      <c r="F1617" s="3" t="s">
        <v>1157</v>
      </c>
      <c r="G1617" s="4">
        <f>+251960992780</f>
        <v>251960992780</v>
      </c>
      <c r="H1617" s="3" t="s">
        <v>18</v>
      </c>
      <c r="I1617" s="3" t="s">
        <v>19</v>
      </c>
      <c r="J1617" s="3" t="s">
        <v>19</v>
      </c>
      <c r="K1617" s="3" t="s">
        <v>25</v>
      </c>
      <c r="L1617" s="3">
        <v>27.43</v>
      </c>
      <c r="M1617" s="3" t="s">
        <v>1695</v>
      </c>
      <c r="N1617" s="3" t="s">
        <v>1696</v>
      </c>
      <c r="O1617" s="3">
        <v>2646507.0</v>
      </c>
    </row>
    <row r="1618">
      <c r="A1618" s="3">
        <v>1724672.0</v>
      </c>
      <c r="B1618" s="3" t="s">
        <v>3592</v>
      </c>
      <c r="C1618" s="3" t="b">
        <v>1</v>
      </c>
      <c r="D1618" s="3" t="b">
        <v>1</v>
      </c>
      <c r="E1618" s="3" t="s">
        <v>645</v>
      </c>
      <c r="F1618" s="3" t="s">
        <v>3593</v>
      </c>
      <c r="G1618" s="4">
        <f>+251967547959</f>
        <v>251967547959</v>
      </c>
      <c r="H1618" s="3" t="s">
        <v>18</v>
      </c>
      <c r="I1618" s="3" t="s">
        <v>19</v>
      </c>
      <c r="J1618" s="3" t="s">
        <v>19</v>
      </c>
      <c r="K1618" s="3" t="s">
        <v>25</v>
      </c>
      <c r="L1618" s="3">
        <v>20.67</v>
      </c>
      <c r="M1618" s="3" t="s">
        <v>1695</v>
      </c>
      <c r="N1618" s="3" t="s">
        <v>1696</v>
      </c>
      <c r="O1618" s="3">
        <v>1387992.0</v>
      </c>
    </row>
    <row r="1619">
      <c r="A1619" s="3">
        <v>2572220.0</v>
      </c>
      <c r="B1619" s="3" t="s">
        <v>3594</v>
      </c>
      <c r="C1619" s="3" t="b">
        <v>0</v>
      </c>
      <c r="D1619" s="3" t="b">
        <v>1</v>
      </c>
      <c r="E1619" s="3" t="s">
        <v>85</v>
      </c>
      <c r="F1619" s="3" t="s">
        <v>3595</v>
      </c>
      <c r="G1619" s="4">
        <f>+251900197605</f>
        <v>251900197605</v>
      </c>
      <c r="H1619" s="3" t="s">
        <v>18</v>
      </c>
      <c r="I1619" s="3" t="s">
        <v>19</v>
      </c>
      <c r="J1619" s="3" t="s">
        <v>19</v>
      </c>
      <c r="K1619" s="3" t="s">
        <v>25</v>
      </c>
      <c r="L1619" s="3">
        <v>19.1</v>
      </c>
      <c r="M1619" s="3" t="s">
        <v>1695</v>
      </c>
      <c r="N1619" s="3" t="s">
        <v>1696</v>
      </c>
      <c r="O1619" s="3">
        <v>1.72588602614E11</v>
      </c>
    </row>
    <row r="1620">
      <c r="A1620" s="3">
        <v>2572230.0</v>
      </c>
      <c r="B1620" s="3" t="s">
        <v>3596</v>
      </c>
      <c r="C1620" s="3" t="b">
        <v>1</v>
      </c>
      <c r="D1620" s="3" t="b">
        <v>1</v>
      </c>
      <c r="E1620" s="3" t="s">
        <v>3597</v>
      </c>
      <c r="F1620" s="3" t="s">
        <v>1549</v>
      </c>
      <c r="G1620" s="4">
        <f>+251979806455</f>
        <v>251979806455</v>
      </c>
      <c r="H1620" s="3" t="s">
        <v>18</v>
      </c>
      <c r="I1620" s="3" t="s">
        <v>19</v>
      </c>
      <c r="J1620" s="3" t="s">
        <v>19</v>
      </c>
      <c r="K1620" s="3" t="s">
        <v>25</v>
      </c>
      <c r="L1620" s="3">
        <v>19.1</v>
      </c>
      <c r="M1620" s="3" t="s">
        <v>1695</v>
      </c>
      <c r="N1620" s="3" t="s">
        <v>1696</v>
      </c>
    </row>
    <row r="1621">
      <c r="A1621" s="3">
        <v>2429547.0</v>
      </c>
      <c r="B1621" s="3" t="s">
        <v>3598</v>
      </c>
      <c r="C1621" s="3" t="b">
        <v>1</v>
      </c>
      <c r="D1621" s="3" t="b">
        <v>1</v>
      </c>
      <c r="E1621" s="3" t="s">
        <v>3599</v>
      </c>
      <c r="F1621" s="3" t="s">
        <v>3600</v>
      </c>
      <c r="G1621" s="4">
        <f>+251994620972</f>
        <v>251994620972</v>
      </c>
      <c r="H1621" s="3" t="s">
        <v>18</v>
      </c>
      <c r="I1621" s="3" t="s">
        <v>19</v>
      </c>
      <c r="J1621" s="3" t="s">
        <v>19</v>
      </c>
      <c r="K1621" s="3" t="s">
        <v>25</v>
      </c>
      <c r="L1621" s="3">
        <v>33.21</v>
      </c>
      <c r="M1621" s="3" t="s">
        <v>1695</v>
      </c>
      <c r="N1621" s="3" t="s">
        <v>1696</v>
      </c>
      <c r="O1621" s="3">
        <v>1.00945558761E11</v>
      </c>
    </row>
    <row r="1622">
      <c r="A1622" s="3">
        <v>2573316.0</v>
      </c>
      <c r="B1622" s="3" t="s">
        <v>3601</v>
      </c>
      <c r="C1622" s="3" t="b">
        <v>1</v>
      </c>
      <c r="D1622" s="3" t="b">
        <v>1</v>
      </c>
      <c r="E1622" s="3" t="s">
        <v>3602</v>
      </c>
      <c r="F1622" s="3" t="s">
        <v>2032</v>
      </c>
      <c r="G1622" s="4">
        <f>+251913350361</f>
        <v>251913350361</v>
      </c>
      <c r="H1622" s="3" t="s">
        <v>18</v>
      </c>
      <c r="I1622" s="3" t="s">
        <v>19</v>
      </c>
      <c r="J1622" s="3" t="s">
        <v>19</v>
      </c>
      <c r="K1622" s="3" t="s">
        <v>25</v>
      </c>
      <c r="L1622" s="3">
        <v>18.79</v>
      </c>
      <c r="M1622" s="3" t="s">
        <v>1695</v>
      </c>
      <c r="N1622" s="3" t="s">
        <v>1696</v>
      </c>
      <c r="O1622" s="3">
        <v>1.72789463267E11</v>
      </c>
    </row>
    <row r="1623">
      <c r="A1623" s="3">
        <v>105746.0</v>
      </c>
      <c r="B1623" s="3" t="s">
        <v>3603</v>
      </c>
      <c r="C1623" s="3" t="b">
        <v>1</v>
      </c>
      <c r="D1623" s="3" t="b">
        <v>1</v>
      </c>
      <c r="E1623" s="3" t="s">
        <v>817</v>
      </c>
      <c r="F1623" s="3" t="s">
        <v>32</v>
      </c>
      <c r="G1623" s="4">
        <f>+251987345621</f>
        <v>251987345621</v>
      </c>
      <c r="H1623" s="3" t="s">
        <v>18</v>
      </c>
      <c r="I1623" s="3" t="s">
        <v>19</v>
      </c>
      <c r="J1623" s="3" t="s">
        <v>19</v>
      </c>
      <c r="K1623" s="3" t="s">
        <v>20</v>
      </c>
      <c r="L1623" s="3">
        <v>24.06</v>
      </c>
      <c r="M1623" s="3" t="s">
        <v>1695</v>
      </c>
      <c r="N1623" s="3" t="s">
        <v>1696</v>
      </c>
      <c r="O1623" s="3">
        <v>1871395.0</v>
      </c>
    </row>
    <row r="1624">
      <c r="A1624" s="3">
        <v>2576351.0</v>
      </c>
      <c r="B1624" s="3" t="s">
        <v>3604</v>
      </c>
      <c r="C1624" s="3" t="b">
        <v>1</v>
      </c>
      <c r="D1624" s="3" t="b">
        <v>1</v>
      </c>
      <c r="E1624" s="3" t="s">
        <v>2493</v>
      </c>
      <c r="F1624" s="3" t="s">
        <v>1627</v>
      </c>
      <c r="G1624" s="4">
        <f>+251978814942</f>
        <v>251978814942</v>
      </c>
      <c r="H1624" s="3" t="s">
        <v>18</v>
      </c>
      <c r="I1624" s="3" t="s">
        <v>19</v>
      </c>
      <c r="J1624" s="3" t="s">
        <v>19</v>
      </c>
      <c r="K1624" s="3" t="s">
        <v>25</v>
      </c>
      <c r="L1624" s="3">
        <v>13.06</v>
      </c>
      <c r="M1624" s="3" t="s">
        <v>1695</v>
      </c>
      <c r="N1624" s="3" t="s">
        <v>1696</v>
      </c>
      <c r="O1624" s="3">
        <v>1.73916735689E11</v>
      </c>
    </row>
    <row r="1625">
      <c r="A1625" s="3">
        <v>2576869.0</v>
      </c>
      <c r="B1625" s="3" t="s">
        <v>3605</v>
      </c>
      <c r="C1625" s="3" t="b">
        <v>1</v>
      </c>
      <c r="D1625" s="3" t="b">
        <v>1</v>
      </c>
      <c r="E1625" s="3" t="s">
        <v>3606</v>
      </c>
      <c r="F1625" s="3" t="s">
        <v>2557</v>
      </c>
      <c r="G1625" s="4">
        <f>+251921915951</f>
        <v>251921915951</v>
      </c>
      <c r="H1625" s="3" t="s">
        <v>18</v>
      </c>
      <c r="I1625" s="3" t="s">
        <v>19</v>
      </c>
      <c r="J1625" s="3" t="s">
        <v>19</v>
      </c>
      <c r="K1625" s="3" t="s">
        <v>25</v>
      </c>
      <c r="L1625" s="3">
        <v>29.02</v>
      </c>
      <c r="M1625" s="3" t="s">
        <v>1695</v>
      </c>
      <c r="N1625" s="3" t="s">
        <v>1696</v>
      </c>
    </row>
    <row r="1626">
      <c r="A1626" s="3">
        <v>2578939.0</v>
      </c>
      <c r="B1626" s="3" t="s">
        <v>3607</v>
      </c>
      <c r="C1626" s="3" t="b">
        <v>1</v>
      </c>
      <c r="D1626" s="3" t="b">
        <v>1</v>
      </c>
      <c r="E1626" s="3" t="s">
        <v>3608</v>
      </c>
      <c r="F1626" s="3" t="s">
        <v>3609</v>
      </c>
      <c r="G1626" s="4">
        <f>+251923526059</f>
        <v>251923526059</v>
      </c>
      <c r="H1626" s="3" t="s">
        <v>18</v>
      </c>
      <c r="I1626" s="3" t="s">
        <v>19</v>
      </c>
      <c r="J1626" s="3" t="s">
        <v>19</v>
      </c>
      <c r="K1626" s="3" t="s">
        <v>25</v>
      </c>
      <c r="L1626" s="3">
        <v>34.26</v>
      </c>
      <c r="M1626" s="3" t="s">
        <v>1695</v>
      </c>
      <c r="N1626" s="3" t="s">
        <v>1696</v>
      </c>
      <c r="O1626" s="3">
        <v>1.75256558817E11</v>
      </c>
    </row>
    <row r="1627">
      <c r="A1627" s="3">
        <v>2578950.0</v>
      </c>
      <c r="B1627" s="3" t="s">
        <v>3610</v>
      </c>
      <c r="C1627" s="3" t="b">
        <v>0</v>
      </c>
      <c r="D1627" s="3" t="b">
        <v>1</v>
      </c>
      <c r="E1627" s="3" t="s">
        <v>3611</v>
      </c>
      <c r="F1627" s="3" t="s">
        <v>1271</v>
      </c>
      <c r="G1627" s="4">
        <f>+251953841491</f>
        <v>251953841491</v>
      </c>
      <c r="H1627" s="3" t="s">
        <v>18</v>
      </c>
      <c r="I1627" s="3" t="s">
        <v>19</v>
      </c>
      <c r="J1627" s="3" t="s">
        <v>19</v>
      </c>
      <c r="K1627" s="3" t="s">
        <v>20</v>
      </c>
      <c r="L1627" s="3">
        <v>25.7</v>
      </c>
      <c r="M1627" s="3" t="s">
        <v>1695</v>
      </c>
      <c r="N1627" s="3" t="s">
        <v>1696</v>
      </c>
      <c r="O1627" s="3">
        <v>1895675.0</v>
      </c>
    </row>
    <row r="1628">
      <c r="A1628" s="3">
        <v>2579479.0</v>
      </c>
      <c r="B1628" s="3" t="s">
        <v>3612</v>
      </c>
      <c r="C1628" s="3" t="b">
        <v>1</v>
      </c>
      <c r="D1628" s="3" t="b">
        <v>1</v>
      </c>
      <c r="E1628" s="3" t="s">
        <v>3613</v>
      </c>
      <c r="F1628" s="3" t="s">
        <v>3614</v>
      </c>
      <c r="G1628" s="4">
        <f>+251903484350</f>
        <v>251903484350</v>
      </c>
      <c r="H1628" s="3" t="s">
        <v>18</v>
      </c>
      <c r="I1628" s="3" t="s">
        <v>19</v>
      </c>
      <c r="J1628" s="3" t="s">
        <v>19</v>
      </c>
      <c r="K1628" s="3" t="s">
        <v>20</v>
      </c>
      <c r="L1628" s="3">
        <v>27.67</v>
      </c>
      <c r="M1628" s="3" t="s">
        <v>1695</v>
      </c>
      <c r="N1628" s="3" t="s">
        <v>1696</v>
      </c>
      <c r="O1628" s="3">
        <v>1.75485890771E11</v>
      </c>
    </row>
    <row r="1629">
      <c r="A1629" s="3">
        <v>230190.0</v>
      </c>
      <c r="B1629" s="3" t="s">
        <v>3615</v>
      </c>
      <c r="C1629" s="3" t="b">
        <v>1</v>
      </c>
      <c r="D1629" s="3" t="b">
        <v>1</v>
      </c>
      <c r="E1629" s="3" t="s">
        <v>1848</v>
      </c>
      <c r="F1629" s="3" t="s">
        <v>1849</v>
      </c>
      <c r="G1629" s="4">
        <f>+251717383819</f>
        <v>251717383819</v>
      </c>
      <c r="H1629" s="3" t="s">
        <v>18</v>
      </c>
      <c r="I1629" s="3" t="s">
        <v>19</v>
      </c>
      <c r="J1629" s="3" t="s">
        <v>19</v>
      </c>
      <c r="K1629" s="3" t="s">
        <v>25</v>
      </c>
      <c r="L1629" s="3">
        <v>28.87</v>
      </c>
      <c r="M1629" s="3" t="s">
        <v>1695</v>
      </c>
      <c r="N1629" s="3" t="s">
        <v>1696</v>
      </c>
      <c r="O1629" s="3">
        <v>639298.0</v>
      </c>
    </row>
    <row r="1630">
      <c r="A1630" s="3">
        <v>2579901.0</v>
      </c>
      <c r="B1630" s="3" t="s">
        <v>3616</v>
      </c>
      <c r="C1630" s="3" t="b">
        <v>1</v>
      </c>
      <c r="D1630" s="3" t="b">
        <v>1</v>
      </c>
      <c r="E1630" s="3" t="s">
        <v>626</v>
      </c>
      <c r="F1630" s="3" t="s">
        <v>267</v>
      </c>
      <c r="G1630" s="4">
        <f>+251942290614</f>
        <v>251942290614</v>
      </c>
      <c r="H1630" s="3" t="s">
        <v>83</v>
      </c>
      <c r="I1630" s="3" t="s">
        <v>19</v>
      </c>
      <c r="J1630" s="3" t="s">
        <v>19</v>
      </c>
      <c r="K1630" s="3" t="s">
        <v>25</v>
      </c>
      <c r="L1630" s="3">
        <v>18.84</v>
      </c>
      <c r="M1630" s="3" t="s">
        <v>1695</v>
      </c>
      <c r="N1630" s="3" t="s">
        <v>1696</v>
      </c>
    </row>
    <row r="1631">
      <c r="A1631" s="3">
        <v>2580442.0</v>
      </c>
      <c r="B1631" s="3" t="s">
        <v>3617</v>
      </c>
      <c r="C1631" s="3" t="b">
        <v>1</v>
      </c>
      <c r="D1631" s="3" t="b">
        <v>1</v>
      </c>
      <c r="E1631" s="3" t="s">
        <v>874</v>
      </c>
      <c r="F1631" s="3" t="s">
        <v>3360</v>
      </c>
      <c r="G1631" s="4">
        <f>+251941480578</f>
        <v>251941480578</v>
      </c>
      <c r="H1631" s="3" t="s">
        <v>18</v>
      </c>
      <c r="I1631" s="3" t="s">
        <v>19</v>
      </c>
      <c r="J1631" s="3" t="s">
        <v>19</v>
      </c>
      <c r="K1631" s="3" t="s">
        <v>20</v>
      </c>
      <c r="L1631" s="3">
        <v>20.43</v>
      </c>
      <c r="M1631" s="3" t="s">
        <v>1695</v>
      </c>
      <c r="N1631" s="3" t="s">
        <v>1696</v>
      </c>
    </row>
    <row r="1632">
      <c r="A1632" s="3">
        <v>2528714.0</v>
      </c>
      <c r="B1632" s="3" t="s">
        <v>3618</v>
      </c>
      <c r="C1632" s="3" t="b">
        <v>1</v>
      </c>
      <c r="D1632" s="3" t="b">
        <v>1</v>
      </c>
      <c r="E1632" s="3" t="s">
        <v>2890</v>
      </c>
      <c r="F1632" s="3" t="s">
        <v>3619</v>
      </c>
      <c r="G1632" s="4">
        <f>+251934030260</f>
        <v>251934030260</v>
      </c>
      <c r="H1632" s="3" t="s">
        <v>18</v>
      </c>
      <c r="I1632" s="3" t="s">
        <v>19</v>
      </c>
      <c r="J1632" s="3" t="s">
        <v>19</v>
      </c>
      <c r="K1632" s="3" t="s">
        <v>25</v>
      </c>
      <c r="L1632" s="3">
        <v>25.5</v>
      </c>
      <c r="M1632" s="3" t="s">
        <v>1695</v>
      </c>
      <c r="N1632" s="3" t="s">
        <v>1696</v>
      </c>
      <c r="O1632" s="3">
        <v>1.54121800923E11</v>
      </c>
    </row>
    <row r="1633">
      <c r="A1633" s="3">
        <v>2580964.0</v>
      </c>
      <c r="B1633" s="3" t="s">
        <v>3620</v>
      </c>
      <c r="C1633" s="3" t="b">
        <v>1</v>
      </c>
      <c r="D1633" s="3" t="b">
        <v>1</v>
      </c>
      <c r="E1633" s="3" t="s">
        <v>273</v>
      </c>
      <c r="F1633" s="3" t="s">
        <v>2946</v>
      </c>
      <c r="G1633" s="4">
        <f>+251974437654</f>
        <v>251974437654</v>
      </c>
      <c r="H1633" s="3" t="s">
        <v>18</v>
      </c>
      <c r="I1633" s="3" t="s">
        <v>19</v>
      </c>
      <c r="J1633" s="3" t="s">
        <v>19</v>
      </c>
      <c r="K1633" s="3" t="s">
        <v>25</v>
      </c>
      <c r="L1633" s="3">
        <v>25.22</v>
      </c>
      <c r="M1633" s="3" t="s">
        <v>1695</v>
      </c>
      <c r="N1633" s="3" t="s">
        <v>1696</v>
      </c>
      <c r="O1633" s="3">
        <v>1.7591961522E11</v>
      </c>
    </row>
    <row r="1634">
      <c r="A1634" s="3">
        <v>81027.0</v>
      </c>
      <c r="B1634" s="3" t="s">
        <v>3621</v>
      </c>
      <c r="C1634" s="3" t="b">
        <v>1</v>
      </c>
      <c r="D1634" s="3" t="b">
        <v>1</v>
      </c>
      <c r="E1634" s="3" t="s">
        <v>3622</v>
      </c>
      <c r="F1634" s="3" t="s">
        <v>3623</v>
      </c>
      <c r="G1634" s="3">
        <v>9.23781113E8</v>
      </c>
      <c r="H1634" s="3" t="s">
        <v>18</v>
      </c>
      <c r="I1634" s="3" t="s">
        <v>19</v>
      </c>
      <c r="J1634" s="3" t="s">
        <v>19</v>
      </c>
      <c r="K1634" s="3" t="s">
        <v>20</v>
      </c>
      <c r="L1634" s="3">
        <v>24.24</v>
      </c>
      <c r="M1634" s="3" t="s">
        <v>1695</v>
      </c>
      <c r="N1634" s="3" t="s">
        <v>1696</v>
      </c>
      <c r="O1634" s="3">
        <v>2.6065134E7</v>
      </c>
    </row>
    <row r="1635">
      <c r="A1635" s="3">
        <v>2581798.0</v>
      </c>
      <c r="B1635" s="3" t="s">
        <v>3624</v>
      </c>
      <c r="C1635" s="3" t="b">
        <v>1</v>
      </c>
      <c r="D1635" s="3" t="b">
        <v>1</v>
      </c>
      <c r="E1635" s="3" t="s">
        <v>35</v>
      </c>
      <c r="F1635" s="3" t="s">
        <v>750</v>
      </c>
      <c r="G1635" s="4">
        <f>+251925380195</f>
        <v>251925380195</v>
      </c>
      <c r="H1635" s="3" t="s">
        <v>18</v>
      </c>
      <c r="I1635" s="3" t="s">
        <v>19</v>
      </c>
      <c r="J1635" s="3" t="s">
        <v>19</v>
      </c>
      <c r="K1635" s="3" t="s">
        <v>25</v>
      </c>
      <c r="L1635" s="3">
        <v>24.13</v>
      </c>
      <c r="M1635" s="3" t="s">
        <v>1695</v>
      </c>
      <c r="N1635" s="3" t="s">
        <v>1696</v>
      </c>
      <c r="O1635" s="3">
        <v>1.76636563683E11</v>
      </c>
    </row>
    <row r="1636">
      <c r="A1636" s="3">
        <v>1009708.0</v>
      </c>
      <c r="B1636" s="3" t="s">
        <v>3625</v>
      </c>
      <c r="C1636" s="3" t="b">
        <v>1</v>
      </c>
      <c r="D1636" s="3" t="b">
        <v>1</v>
      </c>
      <c r="E1636" s="3" t="s">
        <v>3626</v>
      </c>
      <c r="F1636" s="3" t="s">
        <v>101</v>
      </c>
      <c r="G1636" s="4">
        <f>+251977711884</f>
        <v>251977711884</v>
      </c>
      <c r="H1636" s="3" t="s">
        <v>18</v>
      </c>
      <c r="I1636" s="3" t="s">
        <v>19</v>
      </c>
      <c r="J1636" s="3" t="s">
        <v>19</v>
      </c>
      <c r="K1636" s="3" t="s">
        <v>20</v>
      </c>
      <c r="L1636" s="3">
        <v>18.55</v>
      </c>
      <c r="M1636" s="3" t="s">
        <v>1695</v>
      </c>
      <c r="N1636" s="3" t="s">
        <v>1696</v>
      </c>
      <c r="O1636" s="3">
        <v>5.676745968E9</v>
      </c>
    </row>
    <row r="1637">
      <c r="A1637" s="3">
        <v>2507044.0</v>
      </c>
      <c r="B1637" s="3" t="s">
        <v>3627</v>
      </c>
      <c r="C1637" s="3" t="b">
        <v>1</v>
      </c>
      <c r="D1637" s="3" t="b">
        <v>1</v>
      </c>
      <c r="E1637" s="3" t="s">
        <v>3628</v>
      </c>
      <c r="F1637" s="3" t="s">
        <v>3629</v>
      </c>
      <c r="G1637" s="4">
        <f>+251928038125</f>
        <v>251928038125</v>
      </c>
      <c r="H1637" s="3" t="s">
        <v>18</v>
      </c>
      <c r="I1637" s="3" t="s">
        <v>19</v>
      </c>
      <c r="J1637" s="3" t="s">
        <v>19</v>
      </c>
      <c r="K1637" s="3" t="s">
        <v>20</v>
      </c>
      <c r="L1637" s="3">
        <v>17.39</v>
      </c>
      <c r="M1637" s="3" t="s">
        <v>1695</v>
      </c>
      <c r="N1637" s="3" t="s">
        <v>1696</v>
      </c>
    </row>
    <row r="1638">
      <c r="A1638" s="3">
        <v>2582592.0</v>
      </c>
      <c r="B1638" s="3" t="s">
        <v>3630</v>
      </c>
      <c r="C1638" s="3" t="b">
        <v>0</v>
      </c>
      <c r="D1638" s="3" t="b">
        <v>1</v>
      </c>
      <c r="E1638" s="3" t="s">
        <v>3631</v>
      </c>
      <c r="F1638" s="3" t="s">
        <v>3632</v>
      </c>
      <c r="G1638" s="4">
        <f>+251962353982</f>
        <v>251962353982</v>
      </c>
      <c r="H1638" s="3" t="s">
        <v>18</v>
      </c>
      <c r="I1638" s="3" t="s">
        <v>19</v>
      </c>
      <c r="J1638" s="3" t="s">
        <v>19</v>
      </c>
      <c r="K1638" s="3" t="s">
        <v>25</v>
      </c>
      <c r="L1638" s="3">
        <v>25.13</v>
      </c>
      <c r="M1638" s="3" t="s">
        <v>1695</v>
      </c>
      <c r="N1638" s="3" t="s">
        <v>1696</v>
      </c>
      <c r="O1638" s="3">
        <v>1.76995370178E11</v>
      </c>
    </row>
    <row r="1639">
      <c r="A1639" s="3">
        <v>2583736.0</v>
      </c>
      <c r="B1639" s="3" t="s">
        <v>3633</v>
      </c>
      <c r="C1639" s="3" t="b">
        <v>0</v>
      </c>
      <c r="D1639" s="3" t="b">
        <v>1</v>
      </c>
      <c r="E1639" s="3" t="s">
        <v>3634</v>
      </c>
      <c r="F1639" s="3" t="s">
        <v>3635</v>
      </c>
      <c r="G1639" s="4">
        <f>+251980543952</f>
        <v>251980543952</v>
      </c>
      <c r="H1639" s="3" t="s">
        <v>29</v>
      </c>
      <c r="I1639" s="3" t="s">
        <v>19</v>
      </c>
      <c r="J1639" s="3" t="s">
        <v>19</v>
      </c>
      <c r="K1639" s="3" t="s">
        <v>25</v>
      </c>
      <c r="L1639" s="3">
        <v>25.01</v>
      </c>
      <c r="M1639" s="3" t="s">
        <v>1695</v>
      </c>
      <c r="N1639" s="3" t="s">
        <v>1696</v>
      </c>
      <c r="O1639" s="3">
        <v>1.77503947977E11</v>
      </c>
    </row>
    <row r="1640">
      <c r="A1640" s="3">
        <v>180905.0</v>
      </c>
      <c r="B1640" s="3" t="s">
        <v>3636</v>
      </c>
      <c r="C1640" s="3" t="b">
        <v>1</v>
      </c>
      <c r="D1640" s="3" t="b">
        <v>1</v>
      </c>
      <c r="E1640" s="3" t="s">
        <v>353</v>
      </c>
      <c r="F1640" s="3" t="s">
        <v>3637</v>
      </c>
      <c r="G1640" s="3">
        <v>9.13987688E8</v>
      </c>
      <c r="H1640" s="3" t="s">
        <v>18</v>
      </c>
      <c r="I1640" s="3" t="s">
        <v>19</v>
      </c>
      <c r="J1640" s="3" t="s">
        <v>19</v>
      </c>
      <c r="K1640" s="3" t="s">
        <v>25</v>
      </c>
      <c r="L1640" s="3">
        <v>28.03</v>
      </c>
      <c r="M1640" s="3" t="s">
        <v>1695</v>
      </c>
      <c r="N1640" s="3" t="s">
        <v>1696</v>
      </c>
      <c r="O1640" s="3">
        <v>2983566.0</v>
      </c>
    </row>
    <row r="1641">
      <c r="A1641" s="3">
        <v>156684.0</v>
      </c>
      <c r="B1641" s="3" t="s">
        <v>3638</v>
      </c>
      <c r="C1641" s="3" t="b">
        <v>1</v>
      </c>
      <c r="D1641" s="3" t="b">
        <v>1</v>
      </c>
      <c r="E1641" s="3" t="s">
        <v>3639</v>
      </c>
      <c r="F1641" s="3" t="s">
        <v>3352</v>
      </c>
      <c r="G1641" s="4">
        <f>+251904388678</f>
        <v>251904388678</v>
      </c>
      <c r="H1641" s="3" t="s">
        <v>18</v>
      </c>
      <c r="I1641" s="3" t="s">
        <v>19</v>
      </c>
      <c r="J1641" s="3" t="s">
        <v>19</v>
      </c>
      <c r="K1641" s="3" t="s">
        <v>20</v>
      </c>
      <c r="L1641" s="3">
        <v>27.16</v>
      </c>
      <c r="M1641" s="3" t="s">
        <v>1695</v>
      </c>
      <c r="N1641" s="3" t="s">
        <v>1696</v>
      </c>
      <c r="O1641" s="3">
        <v>8135501.0</v>
      </c>
    </row>
    <row r="1642">
      <c r="A1642" s="3">
        <v>2529311.0</v>
      </c>
      <c r="B1642" s="3" t="s">
        <v>3640</v>
      </c>
      <c r="C1642" s="3" t="b">
        <v>1</v>
      </c>
      <c r="D1642" s="3" t="b">
        <v>1</v>
      </c>
      <c r="E1642" s="3" t="s">
        <v>248</v>
      </c>
      <c r="F1642" s="3" t="s">
        <v>3454</v>
      </c>
      <c r="G1642" s="4">
        <f>+251923319337</f>
        <v>251923319337</v>
      </c>
      <c r="H1642" s="3" t="s">
        <v>289</v>
      </c>
      <c r="I1642" s="3" t="s">
        <v>19</v>
      </c>
      <c r="J1642" s="3" t="s">
        <v>19</v>
      </c>
      <c r="K1642" s="3" t="s">
        <v>25</v>
      </c>
      <c r="L1642" s="3">
        <v>28.52</v>
      </c>
      <c r="M1642" s="3" t="s">
        <v>1695</v>
      </c>
      <c r="N1642" s="3" t="s">
        <v>1696</v>
      </c>
      <c r="O1642" s="3">
        <v>1.5677556347E11</v>
      </c>
    </row>
    <row r="1643">
      <c r="A1643" s="3">
        <v>2421695.0</v>
      </c>
      <c r="B1643" s="3" t="s">
        <v>3641</v>
      </c>
      <c r="C1643" s="3" t="b">
        <v>1</v>
      </c>
      <c r="D1643" s="3" t="b">
        <v>1</v>
      </c>
      <c r="E1643" s="3" t="s">
        <v>3642</v>
      </c>
      <c r="F1643" s="3" t="s">
        <v>3643</v>
      </c>
      <c r="G1643" s="3">
        <v>9.14497622E8</v>
      </c>
      <c r="H1643" s="3" t="s">
        <v>18</v>
      </c>
      <c r="I1643" s="3" t="s">
        <v>19</v>
      </c>
      <c r="J1643" s="3" t="s">
        <v>19</v>
      </c>
      <c r="K1643" s="3" t="s">
        <v>25</v>
      </c>
      <c r="L1643" s="3">
        <v>33.02</v>
      </c>
      <c r="M1643" s="3" t="s">
        <v>1695</v>
      </c>
      <c r="N1643" s="3" t="s">
        <v>1696</v>
      </c>
      <c r="O1643" s="3">
        <v>9.8185497814E10</v>
      </c>
    </row>
    <row r="1644">
      <c r="A1644" s="3">
        <v>2585943.0</v>
      </c>
      <c r="B1644" s="3" t="s">
        <v>3644</v>
      </c>
      <c r="C1644" s="3" t="b">
        <v>1</v>
      </c>
      <c r="D1644" s="3" t="b">
        <v>1</v>
      </c>
      <c r="E1644" s="3" t="s">
        <v>3645</v>
      </c>
      <c r="F1644" s="3" t="s">
        <v>1173</v>
      </c>
      <c r="G1644" s="4">
        <f>+251992091350</f>
        <v>251992091350</v>
      </c>
      <c r="H1644" s="3" t="s">
        <v>18</v>
      </c>
      <c r="I1644" s="3" t="s">
        <v>19</v>
      </c>
      <c r="J1644" s="3" t="s">
        <v>19</v>
      </c>
      <c r="K1644" s="3" t="s">
        <v>25</v>
      </c>
      <c r="L1644" s="3">
        <v>22.31</v>
      </c>
      <c r="M1644" s="3" t="s">
        <v>1695</v>
      </c>
      <c r="N1644" s="3" t="s">
        <v>1696</v>
      </c>
      <c r="O1644" s="3">
        <v>1.78541745382E11</v>
      </c>
    </row>
    <row r="1645">
      <c r="A1645" s="3">
        <v>2586777.0</v>
      </c>
      <c r="B1645" s="3" t="s">
        <v>3646</v>
      </c>
      <c r="C1645" s="3" t="b">
        <v>0</v>
      </c>
      <c r="D1645" s="3" t="b">
        <v>1</v>
      </c>
      <c r="E1645" s="3" t="s">
        <v>1426</v>
      </c>
      <c r="F1645" s="3" t="s">
        <v>1074</v>
      </c>
      <c r="G1645" s="4">
        <f>+251911574725</f>
        <v>251911574725</v>
      </c>
      <c r="H1645" s="3" t="s">
        <v>18</v>
      </c>
      <c r="I1645" s="3" t="s">
        <v>19</v>
      </c>
      <c r="J1645" s="3" t="s">
        <v>19</v>
      </c>
      <c r="K1645" s="3" t="s">
        <v>25</v>
      </c>
      <c r="L1645" s="3">
        <v>34.49</v>
      </c>
      <c r="M1645" s="3" t="s">
        <v>1695</v>
      </c>
      <c r="N1645" s="3" t="s">
        <v>1696</v>
      </c>
      <c r="O1645" s="3">
        <v>1.79090767084E11</v>
      </c>
    </row>
    <row r="1646">
      <c r="A1646" s="3">
        <v>192508.0</v>
      </c>
      <c r="B1646" s="3" t="s">
        <v>3647</v>
      </c>
      <c r="C1646" s="3" t="b">
        <v>1</v>
      </c>
      <c r="D1646" s="3" t="b">
        <v>1</v>
      </c>
      <c r="E1646" s="3" t="s">
        <v>3648</v>
      </c>
      <c r="F1646" s="3" t="s">
        <v>3649</v>
      </c>
      <c r="G1646" s="3">
        <v>9.47796643E8</v>
      </c>
      <c r="H1646" s="3" t="s">
        <v>18</v>
      </c>
      <c r="I1646" s="3" t="s">
        <v>19</v>
      </c>
      <c r="J1646" s="3" t="s">
        <v>19</v>
      </c>
      <c r="K1646" s="3" t="s">
        <v>20</v>
      </c>
      <c r="L1646" s="3">
        <v>22.29</v>
      </c>
      <c r="M1646" s="3" t="s">
        <v>1695</v>
      </c>
      <c r="N1646" s="3" t="s">
        <v>1696</v>
      </c>
      <c r="O1646" s="3">
        <v>682395.0</v>
      </c>
    </row>
    <row r="1647">
      <c r="A1647" s="3">
        <v>2295111.0</v>
      </c>
      <c r="B1647" s="3" t="s">
        <v>3650</v>
      </c>
      <c r="C1647" s="3" t="b">
        <v>1</v>
      </c>
      <c r="D1647" s="3" t="b">
        <v>1</v>
      </c>
      <c r="E1647" s="3" t="s">
        <v>1736</v>
      </c>
      <c r="F1647" s="3" t="s">
        <v>3651</v>
      </c>
      <c r="G1647" s="4">
        <f>+251927706703</f>
        <v>251927706703</v>
      </c>
      <c r="H1647" s="3" t="s">
        <v>18</v>
      </c>
      <c r="I1647" s="3" t="s">
        <v>19</v>
      </c>
      <c r="J1647" s="3" t="s">
        <v>19</v>
      </c>
      <c r="K1647" s="3" t="s">
        <v>25</v>
      </c>
      <c r="L1647" s="3">
        <v>28.22</v>
      </c>
      <c r="M1647" s="3" t="s">
        <v>1695</v>
      </c>
      <c r="N1647" s="3" t="s">
        <v>1696</v>
      </c>
      <c r="O1647" s="3">
        <v>3.5813597657E10</v>
      </c>
    </row>
    <row r="1648">
      <c r="A1648" s="3">
        <v>1428016.0</v>
      </c>
      <c r="B1648" s="3" t="s">
        <v>3652</v>
      </c>
      <c r="C1648" s="3" t="b">
        <v>1</v>
      </c>
      <c r="D1648" s="3" t="b">
        <v>1</v>
      </c>
      <c r="E1648" s="3" t="s">
        <v>432</v>
      </c>
      <c r="F1648" s="3" t="s">
        <v>64</v>
      </c>
      <c r="G1648" s="4">
        <f>+251954911612</f>
        <v>251954911612</v>
      </c>
      <c r="H1648" s="3" t="s">
        <v>18</v>
      </c>
      <c r="I1648" s="3" t="s">
        <v>19</v>
      </c>
      <c r="J1648" s="3" t="s">
        <v>19</v>
      </c>
      <c r="K1648" s="3" t="s">
        <v>20</v>
      </c>
      <c r="L1648" s="3">
        <v>22.74</v>
      </c>
      <c r="M1648" s="3" t="s">
        <v>1695</v>
      </c>
      <c r="N1648" s="3" t="s">
        <v>1696</v>
      </c>
      <c r="O1648" s="3">
        <v>1.4738307548E10</v>
      </c>
    </row>
    <row r="1649">
      <c r="A1649" s="3">
        <v>1227998.0</v>
      </c>
      <c r="B1649" s="3" t="s">
        <v>3653</v>
      </c>
      <c r="C1649" s="3" t="b">
        <v>1</v>
      </c>
      <c r="D1649" s="3" t="b">
        <v>1</v>
      </c>
      <c r="E1649" s="3" t="s">
        <v>534</v>
      </c>
      <c r="F1649" s="3" t="s">
        <v>3654</v>
      </c>
      <c r="G1649" s="4">
        <f>+251903689582</f>
        <v>251903689582</v>
      </c>
      <c r="H1649" s="3" t="s">
        <v>18</v>
      </c>
      <c r="I1649" s="3" t="s">
        <v>19</v>
      </c>
      <c r="J1649" s="3" t="s">
        <v>19</v>
      </c>
      <c r="K1649" s="3" t="s">
        <v>20</v>
      </c>
      <c r="L1649" s="3">
        <v>20.26</v>
      </c>
      <c r="M1649" s="3" t="s">
        <v>1695</v>
      </c>
      <c r="N1649" s="3" t="s">
        <v>1696</v>
      </c>
      <c r="O1649" s="3">
        <v>9.440434165E9</v>
      </c>
    </row>
    <row r="1650">
      <c r="A1650" s="3">
        <v>2587898.0</v>
      </c>
      <c r="B1650" s="3" t="s">
        <v>3655</v>
      </c>
      <c r="C1650" s="3" t="b">
        <v>1</v>
      </c>
      <c r="D1650" s="3" t="b">
        <v>1</v>
      </c>
      <c r="E1650" s="3" t="s">
        <v>3656</v>
      </c>
      <c r="F1650" s="3" t="s">
        <v>3657</v>
      </c>
      <c r="G1650" s="4">
        <f>+251936376060</f>
        <v>251936376060</v>
      </c>
      <c r="H1650" s="3" t="s">
        <v>985</v>
      </c>
      <c r="I1650" s="3" t="s">
        <v>19</v>
      </c>
      <c r="J1650" s="3" t="s">
        <v>19</v>
      </c>
      <c r="K1650" s="3" t="s">
        <v>25</v>
      </c>
      <c r="L1650" s="3">
        <v>32.13</v>
      </c>
      <c r="M1650" s="3" t="s">
        <v>1695</v>
      </c>
      <c r="N1650" s="3" t="s">
        <v>1696</v>
      </c>
      <c r="O1650" s="3">
        <v>1.79712500924E11</v>
      </c>
    </row>
    <row r="1651">
      <c r="A1651" s="3">
        <v>2588301.0</v>
      </c>
      <c r="B1651" s="3" t="s">
        <v>3658</v>
      </c>
      <c r="C1651" s="3" t="b">
        <v>1</v>
      </c>
      <c r="D1651" s="3" t="b">
        <v>1</v>
      </c>
      <c r="E1651" s="3" t="s">
        <v>3659</v>
      </c>
      <c r="F1651" s="3" t="s">
        <v>3660</v>
      </c>
      <c r="G1651" s="4">
        <f>+251920029497</f>
        <v>251920029497</v>
      </c>
      <c r="H1651" s="3" t="s">
        <v>18</v>
      </c>
      <c r="I1651" s="3" t="s">
        <v>19</v>
      </c>
      <c r="J1651" s="3" t="s">
        <v>19</v>
      </c>
      <c r="K1651" s="3" t="s">
        <v>25</v>
      </c>
      <c r="L1651" s="3">
        <v>31.41</v>
      </c>
      <c r="M1651" s="3" t="s">
        <v>1695</v>
      </c>
      <c r="N1651" s="3" t="s">
        <v>1696</v>
      </c>
      <c r="O1651" s="3">
        <v>1.79860614383E11</v>
      </c>
    </row>
    <row r="1652">
      <c r="A1652" s="3">
        <v>263211.0</v>
      </c>
      <c r="B1652" s="3" t="s">
        <v>3661</v>
      </c>
      <c r="C1652" s="3" t="b">
        <v>1</v>
      </c>
      <c r="D1652" s="3" t="b">
        <v>1</v>
      </c>
      <c r="E1652" s="3" t="s">
        <v>2435</v>
      </c>
      <c r="F1652" s="3" t="s">
        <v>3662</v>
      </c>
      <c r="G1652" s="3">
        <v>2.51983662727E11</v>
      </c>
      <c r="H1652" s="3" t="s">
        <v>18</v>
      </c>
      <c r="I1652" s="3" t="s">
        <v>19</v>
      </c>
      <c r="J1652" s="3" t="s">
        <v>19</v>
      </c>
      <c r="K1652" s="3" t="s">
        <v>25</v>
      </c>
      <c r="L1652" s="3">
        <v>34.47</v>
      </c>
      <c r="M1652" s="3" t="s">
        <v>1695</v>
      </c>
      <c r="N1652" s="3" t="s">
        <v>1696</v>
      </c>
      <c r="O1652" s="3">
        <v>5698646.0</v>
      </c>
    </row>
    <row r="1653">
      <c r="A1653" s="3">
        <v>1858041.0</v>
      </c>
      <c r="B1653" s="3" t="s">
        <v>3663</v>
      </c>
      <c r="C1653" s="3" t="b">
        <v>1</v>
      </c>
      <c r="D1653" s="3" t="b">
        <v>1</v>
      </c>
      <c r="E1653" s="3" t="s">
        <v>3664</v>
      </c>
      <c r="F1653" s="3" t="s">
        <v>3665</v>
      </c>
      <c r="G1653" s="4">
        <f>+251929011851</f>
        <v>251929011851</v>
      </c>
      <c r="H1653" s="3" t="s">
        <v>18</v>
      </c>
      <c r="I1653" s="3" t="s">
        <v>19</v>
      </c>
      <c r="J1653" s="3" t="s">
        <v>19</v>
      </c>
      <c r="K1653" s="3" t="s">
        <v>25</v>
      </c>
      <c r="L1653" s="3">
        <v>19.83</v>
      </c>
      <c r="M1653" s="3" t="s">
        <v>1695</v>
      </c>
      <c r="N1653" s="3" t="s">
        <v>1696</v>
      </c>
    </row>
    <row r="1654">
      <c r="A1654" s="3">
        <v>2530622.0</v>
      </c>
      <c r="B1654" s="3" t="s">
        <v>3666</v>
      </c>
      <c r="C1654" s="3" t="b">
        <v>1</v>
      </c>
      <c r="D1654" s="3" t="b">
        <v>1</v>
      </c>
      <c r="E1654" s="3" t="s">
        <v>192</v>
      </c>
      <c r="F1654" s="3" t="s">
        <v>66</v>
      </c>
      <c r="G1654" s="4">
        <f>+251940596259</f>
        <v>251940596259</v>
      </c>
      <c r="H1654" s="3" t="s">
        <v>18</v>
      </c>
      <c r="I1654" s="3" t="s">
        <v>19</v>
      </c>
      <c r="J1654" s="3" t="s">
        <v>19</v>
      </c>
      <c r="K1654" s="3" t="s">
        <v>20</v>
      </c>
      <c r="L1654" s="3">
        <v>19.37</v>
      </c>
      <c r="M1654" s="3" t="s">
        <v>1695</v>
      </c>
      <c r="N1654" s="3" t="s">
        <v>1696</v>
      </c>
      <c r="O1654" s="3">
        <v>1858432.0</v>
      </c>
    </row>
    <row r="1655">
      <c r="A1655" s="3">
        <v>2589061.0</v>
      </c>
      <c r="B1655" s="3" t="s">
        <v>3667</v>
      </c>
      <c r="C1655" s="3" t="b">
        <v>0</v>
      </c>
      <c r="D1655" s="3" t="b">
        <v>1</v>
      </c>
      <c r="E1655" s="3" t="s">
        <v>420</v>
      </c>
      <c r="F1655" s="3" t="s">
        <v>1472</v>
      </c>
      <c r="G1655" s="4">
        <f>+251901030106</f>
        <v>251901030106</v>
      </c>
      <c r="H1655" s="3" t="s">
        <v>18</v>
      </c>
      <c r="I1655" s="3" t="s">
        <v>19</v>
      </c>
      <c r="J1655" s="3" t="s">
        <v>19</v>
      </c>
      <c r="K1655" s="3" t="s">
        <v>25</v>
      </c>
      <c r="L1655" s="3">
        <v>18.74</v>
      </c>
      <c r="M1655" s="3" t="s">
        <v>1695</v>
      </c>
      <c r="N1655" s="3" t="s">
        <v>1696</v>
      </c>
      <c r="O1655" s="3">
        <v>1.80689019111E11</v>
      </c>
    </row>
    <row r="1656">
      <c r="A1656" s="3">
        <v>481623.0</v>
      </c>
      <c r="B1656" s="3" t="s">
        <v>3668</v>
      </c>
      <c r="C1656" s="3" t="b">
        <v>1</v>
      </c>
      <c r="D1656" s="3" t="b">
        <v>1</v>
      </c>
      <c r="E1656" s="3" t="s">
        <v>3669</v>
      </c>
      <c r="F1656" s="3" t="s">
        <v>66</v>
      </c>
      <c r="G1656" s="4">
        <f>+251934514992</f>
        <v>251934514992</v>
      </c>
      <c r="H1656" s="3" t="s">
        <v>18</v>
      </c>
      <c r="I1656" s="3" t="s">
        <v>19</v>
      </c>
      <c r="J1656" s="3" t="s">
        <v>19</v>
      </c>
      <c r="K1656" s="3" t="s">
        <v>25</v>
      </c>
      <c r="L1656" s="3">
        <v>27.89</v>
      </c>
      <c r="M1656" s="3" t="s">
        <v>1695</v>
      </c>
      <c r="N1656" s="3" t="s">
        <v>1696</v>
      </c>
      <c r="O1656" s="3">
        <v>2.8343362E7</v>
      </c>
    </row>
    <row r="1657">
      <c r="A1657" s="3">
        <v>2589464.0</v>
      </c>
      <c r="B1657" s="3" t="s">
        <v>3670</v>
      </c>
      <c r="C1657" s="3" t="b">
        <v>0</v>
      </c>
      <c r="D1657" s="3" t="b">
        <v>1</v>
      </c>
      <c r="E1657" s="3" t="s">
        <v>420</v>
      </c>
      <c r="F1657" s="3" t="s">
        <v>3671</v>
      </c>
      <c r="G1657" s="4">
        <f>+251921303923</f>
        <v>251921303923</v>
      </c>
      <c r="H1657" s="3" t="s">
        <v>18</v>
      </c>
      <c r="I1657" s="3" t="s">
        <v>19</v>
      </c>
      <c r="J1657" s="3" t="s">
        <v>19</v>
      </c>
      <c r="K1657" s="3" t="s">
        <v>25</v>
      </c>
      <c r="L1657" s="3">
        <v>19.19</v>
      </c>
      <c r="M1657" s="3" t="s">
        <v>1695</v>
      </c>
      <c r="N1657" s="3" t="s">
        <v>1696</v>
      </c>
      <c r="O1657" s="3">
        <v>4.3022590201E10</v>
      </c>
    </row>
    <row r="1658">
      <c r="A1658" s="3">
        <v>2589508.0</v>
      </c>
      <c r="B1658" s="3" t="s">
        <v>3672</v>
      </c>
      <c r="C1658" s="3" t="b">
        <v>1</v>
      </c>
      <c r="D1658" s="3" t="b">
        <v>1</v>
      </c>
      <c r="E1658" s="3" t="s">
        <v>58</v>
      </c>
      <c r="F1658" s="3" t="s">
        <v>3673</v>
      </c>
      <c r="G1658" s="4">
        <f>+251926753677</f>
        <v>251926753677</v>
      </c>
      <c r="H1658" s="3" t="s">
        <v>18</v>
      </c>
      <c r="I1658" s="3" t="s">
        <v>19</v>
      </c>
      <c r="J1658" s="3" t="s">
        <v>19</v>
      </c>
      <c r="K1658" s="3" t="s">
        <v>25</v>
      </c>
      <c r="L1658" s="3">
        <v>18.36</v>
      </c>
      <c r="M1658" s="3" t="s">
        <v>1695</v>
      </c>
      <c r="N1658" s="3" t="s">
        <v>1696</v>
      </c>
    </row>
    <row r="1659">
      <c r="A1659" s="3">
        <v>2589500.0</v>
      </c>
      <c r="B1659" s="3" t="s">
        <v>3674</v>
      </c>
      <c r="C1659" s="3" t="b">
        <v>1</v>
      </c>
      <c r="D1659" s="3" t="b">
        <v>1</v>
      </c>
      <c r="E1659" s="3" t="s">
        <v>2499</v>
      </c>
      <c r="F1659" s="3" t="s">
        <v>877</v>
      </c>
      <c r="G1659" s="4">
        <f>+251963732868</f>
        <v>251963732868</v>
      </c>
      <c r="H1659" s="3" t="s">
        <v>18</v>
      </c>
      <c r="I1659" s="3" t="s">
        <v>19</v>
      </c>
      <c r="J1659" s="3" t="s">
        <v>19</v>
      </c>
      <c r="K1659" s="3" t="s">
        <v>20</v>
      </c>
      <c r="L1659" s="3">
        <v>19.94</v>
      </c>
      <c r="M1659" s="3" t="s">
        <v>1695</v>
      </c>
      <c r="N1659" s="3" t="s">
        <v>1696</v>
      </c>
    </row>
    <row r="1660">
      <c r="A1660" s="3">
        <v>870278.0</v>
      </c>
      <c r="B1660" s="3" t="s">
        <v>3675</v>
      </c>
      <c r="C1660" s="3" t="b">
        <v>1</v>
      </c>
      <c r="D1660" s="3" t="b">
        <v>1</v>
      </c>
      <c r="E1660" s="3" t="s">
        <v>3540</v>
      </c>
      <c r="F1660" s="3" t="s">
        <v>189</v>
      </c>
      <c r="G1660" s="4">
        <f>+251939232054</f>
        <v>251939232054</v>
      </c>
      <c r="H1660" s="3" t="s">
        <v>18</v>
      </c>
      <c r="I1660" s="3" t="s">
        <v>19</v>
      </c>
      <c r="J1660" s="3" t="s">
        <v>19</v>
      </c>
      <c r="K1660" s="3" t="s">
        <v>20</v>
      </c>
      <c r="L1660" s="3">
        <v>24.62</v>
      </c>
      <c r="M1660" s="3" t="s">
        <v>1695</v>
      </c>
      <c r="N1660" s="3" t="s">
        <v>1696</v>
      </c>
      <c r="O1660" s="3">
        <v>3.738358003E9</v>
      </c>
    </row>
    <row r="1661">
      <c r="A1661" s="3">
        <v>2589693.0</v>
      </c>
      <c r="B1661" s="3" t="s">
        <v>3676</v>
      </c>
      <c r="C1661" s="3" t="b">
        <v>1</v>
      </c>
      <c r="D1661" s="3" t="b">
        <v>1</v>
      </c>
      <c r="E1661" s="3" t="s">
        <v>2535</v>
      </c>
      <c r="F1661" s="3" t="s">
        <v>3677</v>
      </c>
      <c r="G1661" s="4">
        <f>+251954972518</f>
        <v>251954972518</v>
      </c>
      <c r="H1661" s="3" t="s">
        <v>18</v>
      </c>
      <c r="I1661" s="3" t="s">
        <v>19</v>
      </c>
      <c r="J1661" s="3" t="s">
        <v>19</v>
      </c>
      <c r="K1661" s="3" t="s">
        <v>20</v>
      </c>
      <c r="L1661" s="3">
        <v>23.96</v>
      </c>
      <c r="M1661" s="3" t="s">
        <v>1695</v>
      </c>
      <c r="N1661" s="3" t="s">
        <v>1696</v>
      </c>
      <c r="O1661" s="3">
        <v>4.3128370162E10</v>
      </c>
    </row>
    <row r="1662">
      <c r="A1662" s="3">
        <v>1736895.0</v>
      </c>
      <c r="B1662" s="3" t="s">
        <v>3678</v>
      </c>
      <c r="C1662" s="3" t="b">
        <v>1</v>
      </c>
      <c r="D1662" s="3" t="b">
        <v>1</v>
      </c>
      <c r="E1662" s="3" t="s">
        <v>267</v>
      </c>
      <c r="F1662" s="3" t="s">
        <v>1193</v>
      </c>
      <c r="G1662" s="4">
        <f>+251956229470</f>
        <v>251956229470</v>
      </c>
      <c r="H1662" s="3" t="s">
        <v>18</v>
      </c>
      <c r="I1662" s="3" t="s">
        <v>19</v>
      </c>
      <c r="J1662" s="3" t="s">
        <v>19</v>
      </c>
      <c r="K1662" s="3" t="s">
        <v>25</v>
      </c>
      <c r="L1662" s="3">
        <v>20.58</v>
      </c>
      <c r="M1662" s="3" t="s">
        <v>1695</v>
      </c>
      <c r="N1662" s="3" t="s">
        <v>1696</v>
      </c>
      <c r="O1662" s="3">
        <v>2.3054254069E10</v>
      </c>
    </row>
    <row r="1663">
      <c r="A1663" s="3">
        <v>1594206.0</v>
      </c>
      <c r="B1663" s="3" t="s">
        <v>3679</v>
      </c>
      <c r="C1663" s="3" t="b">
        <v>1</v>
      </c>
      <c r="D1663" s="3" t="b">
        <v>1</v>
      </c>
      <c r="E1663" s="3" t="s">
        <v>1758</v>
      </c>
      <c r="F1663" s="3" t="s">
        <v>3680</v>
      </c>
      <c r="G1663" s="4">
        <f>+251944310927</f>
        <v>251944310927</v>
      </c>
      <c r="H1663" s="3" t="s">
        <v>18</v>
      </c>
      <c r="I1663" s="3" t="s">
        <v>19</v>
      </c>
      <c r="J1663" s="3" t="s">
        <v>19</v>
      </c>
      <c r="K1663" s="3" t="s">
        <v>25</v>
      </c>
      <c r="L1663" s="3">
        <v>25.64</v>
      </c>
      <c r="M1663" s="3" t="s">
        <v>1695</v>
      </c>
      <c r="N1663" s="3" t="s">
        <v>1696</v>
      </c>
      <c r="O1663" s="3">
        <v>1.9667320516E10</v>
      </c>
    </row>
    <row r="1664">
      <c r="A1664" s="3">
        <v>275279.0</v>
      </c>
      <c r="B1664" s="3" t="s">
        <v>3681</v>
      </c>
      <c r="C1664" s="3" t="b">
        <v>1</v>
      </c>
      <c r="D1664" s="3" t="b">
        <v>1</v>
      </c>
      <c r="E1664" s="3" t="s">
        <v>3682</v>
      </c>
      <c r="F1664" s="3" t="s">
        <v>292</v>
      </c>
      <c r="G1664" s="3">
        <v>9.46407383E8</v>
      </c>
      <c r="H1664" s="3" t="s">
        <v>18</v>
      </c>
      <c r="I1664" s="3" t="s">
        <v>19</v>
      </c>
      <c r="J1664" s="3" t="s">
        <v>19</v>
      </c>
      <c r="K1664" s="3" t="s">
        <v>20</v>
      </c>
      <c r="L1664" s="3">
        <v>27.46</v>
      </c>
      <c r="M1664" s="3" t="s">
        <v>1695</v>
      </c>
      <c r="N1664" s="3" t="s">
        <v>1696</v>
      </c>
      <c r="O1664" s="3">
        <v>1418290.0</v>
      </c>
    </row>
    <row r="1665">
      <c r="A1665" s="3">
        <v>2590239.0</v>
      </c>
      <c r="B1665" s="3" t="s">
        <v>3683</v>
      </c>
      <c r="C1665" s="3" t="b">
        <v>1</v>
      </c>
      <c r="D1665" s="3" t="b">
        <v>1</v>
      </c>
      <c r="E1665" s="3" t="s">
        <v>16</v>
      </c>
      <c r="F1665" s="3" t="s">
        <v>3684</v>
      </c>
      <c r="G1665" s="4">
        <f>+251911887405</f>
        <v>251911887405</v>
      </c>
      <c r="H1665" s="3" t="s">
        <v>18</v>
      </c>
      <c r="I1665" s="3" t="s">
        <v>19</v>
      </c>
      <c r="J1665" s="3" t="s">
        <v>19</v>
      </c>
      <c r="K1665" s="3" t="s">
        <v>20</v>
      </c>
      <c r="L1665" s="3">
        <v>18.15</v>
      </c>
      <c r="M1665" s="3" t="s">
        <v>1695</v>
      </c>
      <c r="N1665" s="3" t="s">
        <v>1696</v>
      </c>
      <c r="O1665" s="3">
        <v>1.81180542156E11</v>
      </c>
    </row>
    <row r="1666">
      <c r="A1666" s="3">
        <v>99178.0</v>
      </c>
      <c r="B1666" s="3" t="s">
        <v>3685</v>
      </c>
      <c r="C1666" s="3" t="b">
        <v>1</v>
      </c>
      <c r="D1666" s="3" t="b">
        <v>1</v>
      </c>
      <c r="E1666" s="3" t="s">
        <v>3686</v>
      </c>
      <c r="F1666" s="3" t="s">
        <v>3687</v>
      </c>
      <c r="G1666" s="4">
        <f>+251943041328</f>
        <v>251943041328</v>
      </c>
      <c r="H1666" s="3" t="s">
        <v>18</v>
      </c>
      <c r="I1666" s="3" t="s">
        <v>19</v>
      </c>
      <c r="J1666" s="3" t="s">
        <v>19</v>
      </c>
      <c r="K1666" s="3" t="s">
        <v>20</v>
      </c>
      <c r="L1666" s="3">
        <v>25.6</v>
      </c>
      <c r="M1666" s="3" t="s">
        <v>1695</v>
      </c>
      <c r="N1666" s="3" t="s">
        <v>1696</v>
      </c>
      <c r="O1666" s="3">
        <v>703078.0</v>
      </c>
    </row>
    <row r="1667">
      <c r="A1667" s="3">
        <v>229738.0</v>
      </c>
      <c r="B1667" s="3" t="s">
        <v>3688</v>
      </c>
      <c r="C1667" s="3" t="b">
        <v>1</v>
      </c>
      <c r="D1667" s="3" t="b">
        <v>1</v>
      </c>
      <c r="E1667" s="3" t="s">
        <v>319</v>
      </c>
      <c r="F1667" s="3" t="s">
        <v>2410</v>
      </c>
      <c r="G1667" s="4">
        <f>+251920882880</f>
        <v>251920882880</v>
      </c>
      <c r="H1667" s="3" t="s">
        <v>18</v>
      </c>
      <c r="I1667" s="3" t="s">
        <v>19</v>
      </c>
      <c r="J1667" s="3" t="s">
        <v>19</v>
      </c>
      <c r="K1667" s="3" t="s">
        <v>25</v>
      </c>
      <c r="L1667" s="3">
        <v>31.29</v>
      </c>
      <c r="M1667" s="3" t="s">
        <v>1695</v>
      </c>
      <c r="N1667" s="3" t="s">
        <v>1696</v>
      </c>
      <c r="O1667" s="3">
        <v>547387.0</v>
      </c>
    </row>
    <row r="1668">
      <c r="A1668" s="3">
        <v>2468613.0</v>
      </c>
      <c r="B1668" s="3" t="s">
        <v>3689</v>
      </c>
      <c r="C1668" s="3" t="b">
        <v>1</v>
      </c>
      <c r="D1668" s="3" t="b">
        <v>0</v>
      </c>
      <c r="E1668" s="3" t="s">
        <v>683</v>
      </c>
      <c r="F1668" s="3" t="s">
        <v>1586</v>
      </c>
      <c r="G1668" s="3">
        <v>9.12718642E8</v>
      </c>
      <c r="H1668" s="3" t="s">
        <v>18</v>
      </c>
      <c r="I1668" s="3" t="s">
        <v>19</v>
      </c>
      <c r="J1668" s="3" t="s">
        <v>19</v>
      </c>
      <c r="K1668" s="3" t="s">
        <v>25</v>
      </c>
      <c r="L1668" s="3">
        <v>35.23</v>
      </c>
      <c r="M1668" s="3" t="s">
        <v>1695</v>
      </c>
      <c r="N1668" s="3" t="s">
        <v>1696</v>
      </c>
      <c r="O1668" s="3">
        <v>6031478.0</v>
      </c>
    </row>
    <row r="1669">
      <c r="A1669" s="3">
        <v>2591530.0</v>
      </c>
      <c r="B1669" s="3" t="s">
        <v>3690</v>
      </c>
      <c r="C1669" s="3" t="b">
        <v>1</v>
      </c>
      <c r="D1669" s="3" t="b">
        <v>1</v>
      </c>
      <c r="E1669" s="3" t="s">
        <v>3691</v>
      </c>
      <c r="F1669" s="3" t="s">
        <v>2094</v>
      </c>
      <c r="G1669" s="4">
        <f>+251900018536</f>
        <v>251900018536</v>
      </c>
      <c r="H1669" s="3" t="s">
        <v>18</v>
      </c>
      <c r="I1669" s="3" t="s">
        <v>19</v>
      </c>
      <c r="J1669" s="3" t="s">
        <v>19</v>
      </c>
      <c r="K1669" s="3" t="s">
        <v>20</v>
      </c>
      <c r="L1669" s="3">
        <v>19.8</v>
      </c>
      <c r="M1669" s="3" t="s">
        <v>1695</v>
      </c>
      <c r="N1669" s="3" t="s">
        <v>1696</v>
      </c>
    </row>
    <row r="1670">
      <c r="A1670" s="3">
        <v>2451820.0</v>
      </c>
      <c r="B1670" s="3" t="s">
        <v>3692</v>
      </c>
      <c r="C1670" s="3" t="b">
        <v>1</v>
      </c>
      <c r="D1670" s="3" t="b">
        <v>1</v>
      </c>
      <c r="E1670" s="3" t="s">
        <v>3488</v>
      </c>
      <c r="F1670" s="3" t="s">
        <v>64</v>
      </c>
      <c r="G1670" s="4">
        <f>+251965193627</f>
        <v>251965193627</v>
      </c>
      <c r="H1670" s="3" t="s">
        <v>18</v>
      </c>
      <c r="I1670" s="3" t="s">
        <v>19</v>
      </c>
      <c r="J1670" s="3" t="s">
        <v>19</v>
      </c>
      <c r="K1670" s="3" t="s">
        <v>20</v>
      </c>
      <c r="L1670" s="3">
        <v>18.5</v>
      </c>
      <c r="M1670" s="3" t="s">
        <v>1695</v>
      </c>
      <c r="N1670" s="3" t="s">
        <v>1696</v>
      </c>
      <c r="O1670" s="3">
        <v>1.08820235502E11</v>
      </c>
    </row>
    <row r="1671">
      <c r="A1671" s="3">
        <v>2592137.0</v>
      </c>
      <c r="B1671" s="3" t="s">
        <v>3693</v>
      </c>
      <c r="C1671" s="3" t="b">
        <v>1</v>
      </c>
      <c r="D1671" s="3" t="b">
        <v>1</v>
      </c>
      <c r="E1671" s="3" t="s">
        <v>3694</v>
      </c>
      <c r="F1671" s="3" t="s">
        <v>3695</v>
      </c>
      <c r="G1671" s="4">
        <f>+251935577366</f>
        <v>251935577366</v>
      </c>
      <c r="H1671" s="3" t="s">
        <v>18</v>
      </c>
      <c r="I1671" s="3" t="s">
        <v>19</v>
      </c>
      <c r="J1671" s="3" t="s">
        <v>19</v>
      </c>
      <c r="K1671" s="3" t="s">
        <v>25</v>
      </c>
      <c r="L1671" s="3">
        <v>21.08</v>
      </c>
      <c r="M1671" s="3" t="s">
        <v>1695</v>
      </c>
      <c r="N1671" s="3" t="s">
        <v>1696</v>
      </c>
      <c r="O1671" s="3">
        <v>1.81864556746E11</v>
      </c>
    </row>
    <row r="1672">
      <c r="A1672" s="3">
        <v>2592923.0</v>
      </c>
      <c r="B1672" s="3" t="s">
        <v>3696</v>
      </c>
      <c r="C1672" s="3" t="b">
        <v>1</v>
      </c>
      <c r="D1672" s="3" t="b">
        <v>1</v>
      </c>
      <c r="E1672" s="3" t="s">
        <v>188</v>
      </c>
      <c r="F1672" s="3" t="s">
        <v>3697</v>
      </c>
      <c r="G1672" s="4">
        <f>+251945347056</f>
        <v>251945347056</v>
      </c>
      <c r="H1672" s="3" t="s">
        <v>18</v>
      </c>
      <c r="I1672" s="3" t="s">
        <v>19</v>
      </c>
      <c r="J1672" s="3" t="s">
        <v>19</v>
      </c>
      <c r="K1672" s="3" t="s">
        <v>25</v>
      </c>
      <c r="L1672" s="3">
        <v>25.99</v>
      </c>
      <c r="M1672" s="3" t="s">
        <v>1695</v>
      </c>
      <c r="N1672" s="3" t="s">
        <v>1696</v>
      </c>
      <c r="O1672" s="3">
        <v>1567083.0</v>
      </c>
    </row>
    <row r="1673">
      <c r="A1673" s="3">
        <v>2593466.0</v>
      </c>
      <c r="B1673" s="3" t="s">
        <v>3698</v>
      </c>
      <c r="C1673" s="3" t="b">
        <v>0</v>
      </c>
      <c r="D1673" s="3" t="b">
        <v>1</v>
      </c>
      <c r="E1673" s="3" t="s">
        <v>2509</v>
      </c>
      <c r="F1673" s="3" t="s">
        <v>143</v>
      </c>
      <c r="G1673" s="4">
        <f>+251927890513</f>
        <v>251927890513</v>
      </c>
      <c r="H1673" s="3" t="s">
        <v>18</v>
      </c>
      <c r="I1673" s="3" t="s">
        <v>19</v>
      </c>
      <c r="J1673" s="3" t="s">
        <v>19</v>
      </c>
      <c r="K1673" s="3" t="s">
        <v>20</v>
      </c>
      <c r="L1673" s="3">
        <v>22.87</v>
      </c>
      <c r="M1673" s="3" t="s">
        <v>1695</v>
      </c>
      <c r="N1673" s="3" t="s">
        <v>1696</v>
      </c>
      <c r="O1673" s="3">
        <v>1.82241243346E11</v>
      </c>
    </row>
    <row r="1674">
      <c r="A1674" s="3">
        <v>2525253.0</v>
      </c>
      <c r="B1674" s="3" t="s">
        <v>3699</v>
      </c>
      <c r="C1674" s="3" t="b">
        <v>1</v>
      </c>
      <c r="D1674" s="3" t="b">
        <v>1</v>
      </c>
      <c r="E1674" s="3" t="s">
        <v>3700</v>
      </c>
      <c r="F1674" s="3" t="s">
        <v>3701</v>
      </c>
      <c r="G1674" s="4">
        <f>+251923463389</f>
        <v>251923463389</v>
      </c>
      <c r="H1674" s="3" t="s">
        <v>18</v>
      </c>
      <c r="I1674" s="3" t="s">
        <v>19</v>
      </c>
      <c r="J1674" s="3" t="s">
        <v>19</v>
      </c>
      <c r="K1674" s="3" t="s">
        <v>25</v>
      </c>
      <c r="L1674" s="3">
        <v>21.13</v>
      </c>
      <c r="M1674" s="3" t="s">
        <v>1695</v>
      </c>
      <c r="N1674" s="3" t="s">
        <v>1696</v>
      </c>
    </row>
    <row r="1675">
      <c r="A1675" s="3">
        <v>2164948.0</v>
      </c>
      <c r="B1675" s="3" t="s">
        <v>3702</v>
      </c>
      <c r="C1675" s="3" t="b">
        <v>1</v>
      </c>
      <c r="D1675" s="3" t="b">
        <v>1</v>
      </c>
      <c r="E1675" s="3" t="s">
        <v>880</v>
      </c>
      <c r="F1675" s="3" t="s">
        <v>168</v>
      </c>
      <c r="G1675" s="4">
        <f>+251996645429</f>
        <v>251996645429</v>
      </c>
      <c r="H1675" s="3" t="s">
        <v>249</v>
      </c>
      <c r="I1675" s="3" t="s">
        <v>19</v>
      </c>
      <c r="J1675" s="3" t="s">
        <v>19</v>
      </c>
      <c r="K1675" s="3" t="s">
        <v>25</v>
      </c>
      <c r="L1675" s="3">
        <v>21.13</v>
      </c>
      <c r="M1675" s="3" t="s">
        <v>1695</v>
      </c>
      <c r="N1675" s="3" t="s">
        <v>1696</v>
      </c>
      <c r="O1675" s="3">
        <v>3.2324335088E10</v>
      </c>
    </row>
    <row r="1676">
      <c r="A1676" s="3">
        <v>2595844.0</v>
      </c>
      <c r="B1676" s="3" t="s">
        <v>3703</v>
      </c>
      <c r="C1676" s="3" t="b">
        <v>1</v>
      </c>
      <c r="D1676" s="3" t="b">
        <v>1</v>
      </c>
      <c r="E1676" s="3" t="s">
        <v>1383</v>
      </c>
      <c r="F1676" s="3" t="s">
        <v>259</v>
      </c>
      <c r="G1676" s="4">
        <f>+251941823095</f>
        <v>251941823095</v>
      </c>
      <c r="H1676" s="3" t="s">
        <v>106</v>
      </c>
      <c r="I1676" s="3" t="s">
        <v>19</v>
      </c>
      <c r="J1676" s="3" t="s">
        <v>19</v>
      </c>
      <c r="K1676" s="3" t="s">
        <v>25</v>
      </c>
      <c r="L1676" s="3">
        <v>20.71</v>
      </c>
      <c r="M1676" s="3" t="s">
        <v>1695</v>
      </c>
      <c r="N1676" s="3" t="s">
        <v>1696</v>
      </c>
    </row>
    <row r="1677">
      <c r="A1677" s="3">
        <v>2475625.0</v>
      </c>
      <c r="B1677" s="3" t="s">
        <v>3704</v>
      </c>
      <c r="C1677" s="3" t="b">
        <v>1</v>
      </c>
      <c r="D1677" s="3" t="b">
        <v>1</v>
      </c>
      <c r="E1677" s="3" t="s">
        <v>3705</v>
      </c>
      <c r="F1677" s="3" t="s">
        <v>3705</v>
      </c>
      <c r="G1677" s="4">
        <f>+251975749023</f>
        <v>251975749023</v>
      </c>
      <c r="H1677" s="3" t="s">
        <v>947</v>
      </c>
      <c r="I1677" s="3" t="s">
        <v>19</v>
      </c>
      <c r="J1677" s="3" t="s">
        <v>2530</v>
      </c>
      <c r="K1677" s="3" t="s">
        <v>25</v>
      </c>
      <c r="L1677" s="3">
        <v>25.13</v>
      </c>
      <c r="M1677" s="3" t="s">
        <v>1695</v>
      </c>
      <c r="N1677" s="3" t="s">
        <v>1696</v>
      </c>
      <c r="O1677" s="3">
        <v>1.16142738655E11</v>
      </c>
    </row>
    <row r="1678">
      <c r="A1678" s="3">
        <v>2598015.0</v>
      </c>
      <c r="B1678" s="3" t="s">
        <v>3706</v>
      </c>
      <c r="C1678" s="3" t="b">
        <v>0</v>
      </c>
      <c r="D1678" s="3" t="b">
        <v>1</v>
      </c>
      <c r="E1678" s="3" t="s">
        <v>404</v>
      </c>
      <c r="F1678" s="3" t="s">
        <v>3707</v>
      </c>
      <c r="G1678" s="4">
        <f>+251921341268</f>
        <v>251921341268</v>
      </c>
      <c r="H1678" s="3" t="s">
        <v>18</v>
      </c>
      <c r="I1678" s="3" t="s">
        <v>19</v>
      </c>
      <c r="J1678" s="3" t="s">
        <v>19</v>
      </c>
      <c r="K1678" s="3" t="s">
        <v>25</v>
      </c>
      <c r="L1678" s="3">
        <v>25.13</v>
      </c>
      <c r="M1678" s="3" t="s">
        <v>1695</v>
      </c>
      <c r="N1678" s="3" t="s">
        <v>1696</v>
      </c>
      <c r="O1678" s="3">
        <v>1.85053391038E11</v>
      </c>
    </row>
    <row r="1679">
      <c r="A1679" s="3">
        <v>2598138.0</v>
      </c>
      <c r="B1679" s="3" t="s">
        <v>3708</v>
      </c>
      <c r="C1679" s="3" t="b">
        <v>1</v>
      </c>
      <c r="D1679" s="3" t="b">
        <v>1</v>
      </c>
      <c r="E1679" s="3" t="s">
        <v>3709</v>
      </c>
      <c r="F1679" s="3" t="s">
        <v>1614</v>
      </c>
      <c r="G1679" s="4">
        <f>+251919295612</f>
        <v>251919295612</v>
      </c>
      <c r="H1679" s="3" t="s">
        <v>18</v>
      </c>
      <c r="I1679" s="3" t="s">
        <v>19</v>
      </c>
      <c r="J1679" s="3" t="s">
        <v>19</v>
      </c>
      <c r="K1679" s="3" t="s">
        <v>25</v>
      </c>
      <c r="L1679" s="3">
        <v>25.01</v>
      </c>
      <c r="M1679" s="3" t="s">
        <v>1695</v>
      </c>
      <c r="N1679" s="3" t="s">
        <v>1696</v>
      </c>
      <c r="O1679" s="3">
        <v>1.85083060412E11</v>
      </c>
    </row>
    <row r="1680">
      <c r="A1680" s="3">
        <v>2598365.0</v>
      </c>
      <c r="B1680" s="3" t="s">
        <v>3710</v>
      </c>
      <c r="C1680" s="3" t="b">
        <v>1</v>
      </c>
      <c r="D1680" s="3" t="b">
        <v>1</v>
      </c>
      <c r="E1680" s="3" t="s">
        <v>3711</v>
      </c>
      <c r="F1680" s="3" t="s">
        <v>3712</v>
      </c>
      <c r="G1680" s="4">
        <f>+251926720820</f>
        <v>251926720820</v>
      </c>
      <c r="H1680" s="3" t="s">
        <v>18</v>
      </c>
      <c r="I1680" s="3" t="s">
        <v>19</v>
      </c>
      <c r="J1680" s="3" t="s">
        <v>19</v>
      </c>
      <c r="K1680" s="3" t="s">
        <v>25</v>
      </c>
      <c r="L1680" s="3">
        <v>31.0</v>
      </c>
      <c r="M1680" s="3" t="s">
        <v>1695</v>
      </c>
      <c r="N1680" s="3" t="s">
        <v>1696</v>
      </c>
      <c r="O1680" s="3">
        <v>1.85129879741E11</v>
      </c>
    </row>
    <row r="1681">
      <c r="A1681" s="3">
        <v>2368824.0</v>
      </c>
      <c r="B1681" s="3" t="s">
        <v>3713</v>
      </c>
      <c r="C1681" s="3" t="b">
        <v>1</v>
      </c>
      <c r="D1681" s="3" t="b">
        <v>1</v>
      </c>
      <c r="E1681" s="3" t="s">
        <v>504</v>
      </c>
      <c r="F1681" s="3" t="s">
        <v>328</v>
      </c>
      <c r="G1681" s="4">
        <f>+251966975107</f>
        <v>251966975107</v>
      </c>
      <c r="H1681" s="3" t="s">
        <v>249</v>
      </c>
      <c r="I1681" s="3" t="s">
        <v>19</v>
      </c>
      <c r="J1681" s="3" t="s">
        <v>19</v>
      </c>
      <c r="K1681" s="3" t="s">
        <v>20</v>
      </c>
      <c r="L1681" s="3">
        <v>22.04</v>
      </c>
      <c r="M1681" s="3" t="s">
        <v>1695</v>
      </c>
      <c r="N1681" s="3" t="s">
        <v>1696</v>
      </c>
      <c r="O1681" s="3">
        <v>5880582.0</v>
      </c>
    </row>
    <row r="1682">
      <c r="A1682" s="3">
        <v>2598621.0</v>
      </c>
      <c r="B1682" s="3" t="s">
        <v>3714</v>
      </c>
      <c r="C1682" s="3" t="b">
        <v>0</v>
      </c>
      <c r="D1682" s="3" t="b">
        <v>1</v>
      </c>
      <c r="E1682" s="3" t="s">
        <v>1561</v>
      </c>
      <c r="F1682" s="3" t="s">
        <v>918</v>
      </c>
      <c r="G1682" s="4">
        <f>+251908791838</f>
        <v>251908791838</v>
      </c>
      <c r="H1682" s="3" t="s">
        <v>18</v>
      </c>
      <c r="I1682" s="3" t="s">
        <v>19</v>
      </c>
      <c r="J1682" s="3" t="s">
        <v>19</v>
      </c>
      <c r="K1682" s="3" t="s">
        <v>20</v>
      </c>
      <c r="L1682" s="3">
        <v>22.02</v>
      </c>
      <c r="M1682" s="3" t="s">
        <v>1695</v>
      </c>
      <c r="N1682" s="3" t="s">
        <v>1696</v>
      </c>
      <c r="O1682" s="3">
        <v>1.85364489403E11</v>
      </c>
    </row>
    <row r="1683">
      <c r="A1683" s="3">
        <v>2599104.0</v>
      </c>
      <c r="B1683" s="3" t="s">
        <v>3715</v>
      </c>
      <c r="C1683" s="3" t="b">
        <v>1</v>
      </c>
      <c r="D1683" s="3" t="b">
        <v>1</v>
      </c>
      <c r="E1683" s="3" t="s">
        <v>218</v>
      </c>
      <c r="F1683" s="3" t="s">
        <v>1804</v>
      </c>
      <c r="G1683" s="4">
        <f>+251966756338</f>
        <v>251966756338</v>
      </c>
      <c r="H1683" s="3" t="s">
        <v>18</v>
      </c>
      <c r="I1683" s="3" t="s">
        <v>19</v>
      </c>
      <c r="J1683" s="3" t="s">
        <v>19</v>
      </c>
      <c r="K1683" s="3" t="s">
        <v>25</v>
      </c>
      <c r="L1683" s="3">
        <v>26.09</v>
      </c>
      <c r="M1683" s="3" t="s">
        <v>1695</v>
      </c>
      <c r="N1683" s="3" t="s">
        <v>1696</v>
      </c>
      <c r="O1683" s="3">
        <v>1.85437565146E11</v>
      </c>
    </row>
    <row r="1684">
      <c r="A1684" s="3">
        <v>2599147.0</v>
      </c>
      <c r="B1684" s="3" t="s">
        <v>3716</v>
      </c>
      <c r="C1684" s="3" t="b">
        <v>0</v>
      </c>
      <c r="D1684" s="3" t="b">
        <v>1</v>
      </c>
      <c r="E1684" s="3" t="s">
        <v>27</v>
      </c>
      <c r="F1684" s="3" t="s">
        <v>666</v>
      </c>
      <c r="G1684" s="4">
        <f>+251988246196</f>
        <v>251988246196</v>
      </c>
      <c r="H1684" s="3" t="s">
        <v>18</v>
      </c>
      <c r="I1684" s="3" t="s">
        <v>19</v>
      </c>
      <c r="J1684" s="3" t="s">
        <v>19</v>
      </c>
      <c r="K1684" s="3" t="s">
        <v>25</v>
      </c>
      <c r="L1684" s="3">
        <v>27.75</v>
      </c>
      <c r="M1684" s="3" t="s">
        <v>1695</v>
      </c>
      <c r="N1684" s="3" t="s">
        <v>1696</v>
      </c>
      <c r="O1684" s="3">
        <v>1.85444345029E11</v>
      </c>
    </row>
    <row r="1685">
      <c r="A1685" s="3">
        <v>2599221.0</v>
      </c>
      <c r="B1685" s="3" t="s">
        <v>3717</v>
      </c>
      <c r="C1685" s="3" t="b">
        <v>0</v>
      </c>
      <c r="D1685" s="3" t="b">
        <v>1</v>
      </c>
      <c r="E1685" s="3" t="s">
        <v>3718</v>
      </c>
      <c r="F1685" s="3" t="s">
        <v>3719</v>
      </c>
      <c r="G1685" s="4">
        <f>+251902855660</f>
        <v>251902855660</v>
      </c>
      <c r="H1685" s="3" t="s">
        <v>18</v>
      </c>
      <c r="I1685" s="3" t="s">
        <v>19</v>
      </c>
      <c r="J1685" s="3" t="s">
        <v>19</v>
      </c>
      <c r="K1685" s="3" t="s">
        <v>20</v>
      </c>
      <c r="L1685" s="3">
        <v>20.76</v>
      </c>
      <c r="M1685" s="3" t="s">
        <v>1695</v>
      </c>
      <c r="N1685" s="3" t="s">
        <v>1696</v>
      </c>
    </row>
    <row r="1686">
      <c r="A1686" s="3">
        <v>2599241.0</v>
      </c>
      <c r="B1686" s="3" t="s">
        <v>3720</v>
      </c>
      <c r="C1686" s="3" t="b">
        <v>1</v>
      </c>
      <c r="D1686" s="3" t="b">
        <v>1</v>
      </c>
      <c r="E1686" s="3" t="s">
        <v>2077</v>
      </c>
      <c r="F1686" s="3" t="s">
        <v>170</v>
      </c>
      <c r="G1686" s="4">
        <f>+251947256397</f>
        <v>251947256397</v>
      </c>
      <c r="H1686" s="3" t="s">
        <v>18</v>
      </c>
      <c r="I1686" s="3" t="s">
        <v>19</v>
      </c>
      <c r="J1686" s="3" t="s">
        <v>19</v>
      </c>
      <c r="K1686" s="3" t="s">
        <v>20</v>
      </c>
      <c r="L1686" s="3">
        <v>25.7</v>
      </c>
      <c r="M1686" s="3" t="s">
        <v>1695</v>
      </c>
      <c r="N1686" s="3" t="s">
        <v>1696</v>
      </c>
      <c r="O1686" s="3">
        <v>1.85452803314E11</v>
      </c>
    </row>
    <row r="1687">
      <c r="A1687" s="3">
        <v>2599264.0</v>
      </c>
      <c r="B1687" s="3" t="s">
        <v>3721</v>
      </c>
      <c r="C1687" s="3" t="b">
        <v>0</v>
      </c>
      <c r="D1687" s="3" t="b">
        <v>1</v>
      </c>
      <c r="E1687" s="3" t="s">
        <v>1896</v>
      </c>
      <c r="F1687" s="3" t="s">
        <v>336</v>
      </c>
      <c r="G1687" s="4">
        <f>+251941697597</f>
        <v>251941697597</v>
      </c>
      <c r="H1687" s="3" t="s">
        <v>18</v>
      </c>
      <c r="I1687" s="3" t="s">
        <v>19</v>
      </c>
      <c r="J1687" s="3" t="s">
        <v>19</v>
      </c>
      <c r="K1687" s="3" t="s">
        <v>25</v>
      </c>
      <c r="L1687" s="3">
        <v>25.04</v>
      </c>
      <c r="M1687" s="3" t="s">
        <v>1695</v>
      </c>
      <c r="N1687" s="3" t="s">
        <v>1696</v>
      </c>
      <c r="O1687" s="3">
        <v>1.85513896146E11</v>
      </c>
    </row>
    <row r="1688">
      <c r="A1688" s="3">
        <v>2599274.0</v>
      </c>
      <c r="B1688" s="3" t="s">
        <v>3722</v>
      </c>
      <c r="C1688" s="3" t="b">
        <v>0</v>
      </c>
      <c r="D1688" s="3" t="b">
        <v>1</v>
      </c>
      <c r="E1688" s="3" t="s">
        <v>3723</v>
      </c>
      <c r="F1688" s="3" t="s">
        <v>66</v>
      </c>
      <c r="G1688" s="4">
        <f>+251962513782</f>
        <v>251962513782</v>
      </c>
      <c r="H1688" s="3" t="s">
        <v>18</v>
      </c>
      <c r="I1688" s="3" t="s">
        <v>19</v>
      </c>
      <c r="J1688" s="3" t="s">
        <v>19</v>
      </c>
      <c r="K1688" s="3" t="s">
        <v>20</v>
      </c>
      <c r="L1688" s="3">
        <v>21.04</v>
      </c>
      <c r="M1688" s="3" t="s">
        <v>1695</v>
      </c>
      <c r="N1688" s="3" t="s">
        <v>1696</v>
      </c>
      <c r="O1688" s="3">
        <v>1.85511830747E11</v>
      </c>
    </row>
    <row r="1689">
      <c r="A1689" s="3">
        <v>2599351.0</v>
      </c>
      <c r="B1689" s="3" t="s">
        <v>3724</v>
      </c>
      <c r="C1689" s="3" t="b">
        <v>0</v>
      </c>
      <c r="D1689" s="3" t="b">
        <v>1</v>
      </c>
      <c r="E1689" s="3" t="s">
        <v>404</v>
      </c>
      <c r="F1689" s="3" t="s">
        <v>922</v>
      </c>
      <c r="G1689" s="4">
        <f>+251915943315</f>
        <v>251915943315</v>
      </c>
      <c r="H1689" s="3" t="s">
        <v>18</v>
      </c>
      <c r="I1689" s="3" t="s">
        <v>19</v>
      </c>
      <c r="J1689" s="3" t="s">
        <v>19</v>
      </c>
      <c r="K1689" s="3" t="s">
        <v>25</v>
      </c>
      <c r="L1689" s="3">
        <v>26.42</v>
      </c>
      <c r="M1689" s="3" t="s">
        <v>1695</v>
      </c>
      <c r="N1689" s="3" t="s">
        <v>1696</v>
      </c>
      <c r="O1689" s="3">
        <v>1.85457367241E11</v>
      </c>
    </row>
    <row r="1690">
      <c r="A1690" s="3">
        <v>2599366.0</v>
      </c>
      <c r="B1690" s="3" t="s">
        <v>3725</v>
      </c>
      <c r="C1690" s="3" t="b">
        <v>1</v>
      </c>
      <c r="D1690" s="3" t="b">
        <v>1</v>
      </c>
      <c r="E1690" s="3" t="s">
        <v>3726</v>
      </c>
      <c r="F1690" s="3" t="s">
        <v>280</v>
      </c>
      <c r="G1690" s="4">
        <f>+251910389469</f>
        <v>251910389469</v>
      </c>
      <c r="H1690" s="3" t="s">
        <v>18</v>
      </c>
      <c r="I1690" s="3" t="s">
        <v>19</v>
      </c>
      <c r="J1690" s="3" t="s">
        <v>19</v>
      </c>
      <c r="K1690" s="3" t="s">
        <v>25</v>
      </c>
      <c r="L1690" s="3">
        <v>27.26</v>
      </c>
      <c r="M1690" s="3" t="s">
        <v>1695</v>
      </c>
      <c r="N1690" s="3" t="s">
        <v>1696</v>
      </c>
      <c r="O1690" s="3">
        <v>1.8545836871E11</v>
      </c>
    </row>
    <row r="1691">
      <c r="A1691" s="3">
        <v>2599386.0</v>
      </c>
      <c r="B1691" s="3" t="s">
        <v>3727</v>
      </c>
      <c r="C1691" s="3" t="b">
        <v>0</v>
      </c>
      <c r="D1691" s="3" t="b">
        <v>1</v>
      </c>
      <c r="E1691" s="3" t="s">
        <v>158</v>
      </c>
      <c r="F1691" s="3" t="s">
        <v>328</v>
      </c>
      <c r="G1691" s="4">
        <f>+251935308636</f>
        <v>251935308636</v>
      </c>
      <c r="H1691" s="3" t="s">
        <v>18</v>
      </c>
      <c r="I1691" s="3" t="s">
        <v>19</v>
      </c>
      <c r="J1691" s="3" t="s">
        <v>19</v>
      </c>
      <c r="K1691" s="3" t="s">
        <v>25</v>
      </c>
      <c r="L1691" s="3">
        <v>24.58</v>
      </c>
      <c r="M1691" s="3" t="s">
        <v>1695</v>
      </c>
      <c r="N1691" s="3" t="s">
        <v>1696</v>
      </c>
      <c r="O1691" s="3">
        <v>1.8546976996E11</v>
      </c>
    </row>
    <row r="1692">
      <c r="A1692" s="3">
        <v>2599824.0</v>
      </c>
      <c r="B1692" s="3" t="s">
        <v>3728</v>
      </c>
      <c r="C1692" s="3" t="b">
        <v>0</v>
      </c>
      <c r="D1692" s="3" t="b">
        <v>1</v>
      </c>
      <c r="E1692" s="3" t="s">
        <v>309</v>
      </c>
      <c r="F1692" s="3" t="s">
        <v>2122</v>
      </c>
      <c r="G1692" s="4">
        <f>+251919345048</f>
        <v>251919345048</v>
      </c>
      <c r="H1692" s="3" t="s">
        <v>18</v>
      </c>
      <c r="I1692" s="3" t="s">
        <v>19</v>
      </c>
      <c r="J1692" s="3" t="s">
        <v>19</v>
      </c>
      <c r="K1692" s="3" t="s">
        <v>25</v>
      </c>
      <c r="L1692" s="3">
        <v>26.25</v>
      </c>
      <c r="M1692" s="3" t="s">
        <v>1695</v>
      </c>
      <c r="N1692" s="3" t="s">
        <v>1696</v>
      </c>
      <c r="O1692" s="3">
        <v>1.85725177054E11</v>
      </c>
    </row>
    <row r="1693">
      <c r="A1693" s="3">
        <v>2599897.0</v>
      </c>
      <c r="B1693" s="3" t="s">
        <v>3729</v>
      </c>
      <c r="C1693" s="3" t="b">
        <v>0</v>
      </c>
      <c r="D1693" s="3" t="b">
        <v>1</v>
      </c>
      <c r="E1693" s="3" t="s">
        <v>46</v>
      </c>
      <c r="F1693" s="3" t="s">
        <v>3730</v>
      </c>
      <c r="G1693" s="4">
        <f>+251921657081</f>
        <v>251921657081</v>
      </c>
      <c r="H1693" s="3" t="s">
        <v>18</v>
      </c>
      <c r="I1693" s="3" t="s">
        <v>19</v>
      </c>
      <c r="J1693" s="3" t="s">
        <v>19</v>
      </c>
      <c r="K1693" s="3" t="s">
        <v>25</v>
      </c>
      <c r="L1693" s="3">
        <v>29.78</v>
      </c>
      <c r="M1693" s="3" t="s">
        <v>1695</v>
      </c>
      <c r="N1693" s="3" t="s">
        <v>1696</v>
      </c>
      <c r="O1693" s="3">
        <v>1.85790065858E11</v>
      </c>
    </row>
    <row r="1694">
      <c r="A1694" s="3">
        <v>2599395.0</v>
      </c>
      <c r="B1694" s="3" t="s">
        <v>3731</v>
      </c>
      <c r="C1694" s="3" t="b">
        <v>0</v>
      </c>
      <c r="D1694" s="3" t="b">
        <v>1</v>
      </c>
      <c r="E1694" s="3" t="s">
        <v>1166</v>
      </c>
      <c r="F1694" s="3" t="s">
        <v>3732</v>
      </c>
      <c r="G1694" s="4">
        <f>+251924399832</f>
        <v>251924399832</v>
      </c>
      <c r="H1694" s="3" t="s">
        <v>18</v>
      </c>
      <c r="I1694" s="3" t="s">
        <v>19</v>
      </c>
      <c r="J1694" s="3" t="s">
        <v>19</v>
      </c>
      <c r="K1694" s="3" t="s">
        <v>25</v>
      </c>
      <c r="L1694" s="3">
        <v>24.04</v>
      </c>
      <c r="M1694" s="3" t="s">
        <v>1695</v>
      </c>
      <c r="N1694" s="3" t="s">
        <v>1696</v>
      </c>
      <c r="O1694" s="3">
        <v>1.85461212397E11</v>
      </c>
    </row>
    <row r="1695">
      <c r="A1695" s="3">
        <v>2599940.0</v>
      </c>
      <c r="B1695" s="3" t="s">
        <v>3733</v>
      </c>
      <c r="C1695" s="3" t="b">
        <v>0</v>
      </c>
      <c r="D1695" s="3" t="b">
        <v>1</v>
      </c>
      <c r="E1695" s="3" t="s">
        <v>259</v>
      </c>
      <c r="F1695" s="3" t="s">
        <v>284</v>
      </c>
      <c r="G1695" s="4">
        <f>+251989824449</f>
        <v>251989824449</v>
      </c>
      <c r="H1695" s="3" t="s">
        <v>18</v>
      </c>
      <c r="I1695" s="3" t="s">
        <v>19</v>
      </c>
      <c r="J1695" s="3" t="s">
        <v>19</v>
      </c>
      <c r="K1695" s="3" t="s">
        <v>25</v>
      </c>
      <c r="L1695" s="3">
        <v>31.04</v>
      </c>
      <c r="M1695" s="3" t="s">
        <v>1695</v>
      </c>
      <c r="N1695" s="3" t="s">
        <v>1696</v>
      </c>
      <c r="O1695" s="3">
        <v>1.85894162665E11</v>
      </c>
    </row>
    <row r="1696">
      <c r="A1696" s="3">
        <v>2599921.0</v>
      </c>
      <c r="B1696" s="3" t="s">
        <v>3734</v>
      </c>
      <c r="C1696" s="3" t="b">
        <v>0</v>
      </c>
      <c r="D1696" s="3" t="b">
        <v>1</v>
      </c>
      <c r="E1696" s="3" t="s">
        <v>3735</v>
      </c>
      <c r="F1696" s="3" t="s">
        <v>2758</v>
      </c>
      <c r="G1696" s="4">
        <f>+251955926500</f>
        <v>251955926500</v>
      </c>
      <c r="H1696" s="3" t="s">
        <v>18</v>
      </c>
      <c r="I1696" s="3" t="s">
        <v>19</v>
      </c>
      <c r="J1696" s="3" t="s">
        <v>19</v>
      </c>
      <c r="K1696" s="3" t="s">
        <v>20</v>
      </c>
      <c r="L1696" s="3">
        <v>35.58</v>
      </c>
      <c r="M1696" s="3" t="s">
        <v>1695</v>
      </c>
      <c r="N1696" s="3" t="s">
        <v>1696</v>
      </c>
      <c r="O1696" s="3">
        <v>1.85899988184E11</v>
      </c>
    </row>
    <row r="1697">
      <c r="A1697" s="3">
        <v>2599979.0</v>
      </c>
      <c r="B1697" s="3" t="s">
        <v>3736</v>
      </c>
      <c r="C1697" s="3" t="b">
        <v>0</v>
      </c>
      <c r="D1697" s="3" t="b">
        <v>1</v>
      </c>
      <c r="E1697" s="3" t="s">
        <v>439</v>
      </c>
      <c r="F1697" s="3" t="s">
        <v>64</v>
      </c>
      <c r="G1697" s="4">
        <f>+251913086955</f>
        <v>251913086955</v>
      </c>
      <c r="H1697" s="3" t="s">
        <v>18</v>
      </c>
      <c r="I1697" s="3" t="s">
        <v>19</v>
      </c>
      <c r="J1697" s="3" t="s">
        <v>19</v>
      </c>
      <c r="K1697" s="3" t="s">
        <v>20</v>
      </c>
      <c r="L1697" s="3">
        <v>26.15</v>
      </c>
      <c r="M1697" s="3" t="s">
        <v>1695</v>
      </c>
      <c r="N1697" s="3" t="s">
        <v>1696</v>
      </c>
      <c r="O1697" s="3">
        <v>1.85925500132E11</v>
      </c>
    </row>
    <row r="1698">
      <c r="A1698" s="3">
        <v>2599990.0</v>
      </c>
      <c r="B1698" s="3" t="s">
        <v>3737</v>
      </c>
      <c r="C1698" s="3" t="b">
        <v>0</v>
      </c>
      <c r="D1698" s="3" t="b">
        <v>1</v>
      </c>
      <c r="E1698" s="3" t="s">
        <v>1141</v>
      </c>
      <c r="F1698" s="3" t="s">
        <v>1130</v>
      </c>
      <c r="G1698" s="4">
        <f>+251939316517</f>
        <v>251939316517</v>
      </c>
      <c r="H1698" s="3" t="s">
        <v>18</v>
      </c>
      <c r="I1698" s="3" t="s">
        <v>19</v>
      </c>
      <c r="J1698" s="3" t="s">
        <v>19</v>
      </c>
      <c r="K1698" s="3" t="s">
        <v>25</v>
      </c>
      <c r="L1698" s="3">
        <v>28.59</v>
      </c>
      <c r="M1698" s="3" t="s">
        <v>1695</v>
      </c>
      <c r="N1698" s="3" t="s">
        <v>1696</v>
      </c>
      <c r="O1698" s="3">
        <v>1.85927431377E11</v>
      </c>
    </row>
    <row r="1699">
      <c r="A1699" s="3">
        <v>2600019.0</v>
      </c>
      <c r="B1699" s="3" t="s">
        <v>3738</v>
      </c>
      <c r="C1699" s="3" t="b">
        <v>0</v>
      </c>
      <c r="D1699" s="3" t="b">
        <v>1</v>
      </c>
      <c r="E1699" s="3" t="s">
        <v>3739</v>
      </c>
      <c r="F1699" s="3" t="s">
        <v>3740</v>
      </c>
      <c r="G1699" s="4">
        <f>+251913297327</f>
        <v>251913297327</v>
      </c>
      <c r="H1699" s="3" t="s">
        <v>18</v>
      </c>
      <c r="I1699" s="3" t="s">
        <v>19</v>
      </c>
      <c r="J1699" s="3" t="s">
        <v>19</v>
      </c>
      <c r="K1699" s="3" t="s">
        <v>20</v>
      </c>
      <c r="L1699" s="3">
        <v>27.51</v>
      </c>
      <c r="M1699" s="3" t="s">
        <v>1695</v>
      </c>
      <c r="N1699" s="3" t="s">
        <v>1696</v>
      </c>
      <c r="O1699" s="3">
        <v>1.85899916518E11</v>
      </c>
    </row>
    <row r="1700">
      <c r="A1700" s="3">
        <v>2600050.0</v>
      </c>
      <c r="B1700" s="3" t="s">
        <v>3741</v>
      </c>
      <c r="C1700" s="3" t="b">
        <v>0</v>
      </c>
      <c r="D1700" s="3" t="b">
        <v>1</v>
      </c>
      <c r="E1700" s="3" t="s">
        <v>683</v>
      </c>
      <c r="F1700" s="3" t="s">
        <v>336</v>
      </c>
      <c r="G1700" s="4">
        <f>+251917870785</f>
        <v>251917870785</v>
      </c>
      <c r="H1700" s="3" t="s">
        <v>18</v>
      </c>
      <c r="I1700" s="3" t="s">
        <v>19</v>
      </c>
      <c r="J1700" s="3" t="s">
        <v>19</v>
      </c>
      <c r="K1700" s="3" t="s">
        <v>25</v>
      </c>
      <c r="L1700" s="3">
        <v>23.04</v>
      </c>
      <c r="M1700" s="3" t="s">
        <v>1695</v>
      </c>
      <c r="N1700" s="3" t="s">
        <v>1696</v>
      </c>
      <c r="O1700" s="3">
        <v>1.85927173355E11</v>
      </c>
    </row>
    <row r="1701">
      <c r="A1701" s="3">
        <v>2600071.0</v>
      </c>
      <c r="B1701" s="3" t="s">
        <v>3742</v>
      </c>
      <c r="C1701" s="3" t="b">
        <v>0</v>
      </c>
      <c r="D1701" s="3" t="b">
        <v>1</v>
      </c>
      <c r="E1701" s="3" t="s">
        <v>414</v>
      </c>
      <c r="F1701" s="3" t="s">
        <v>3732</v>
      </c>
      <c r="G1701" s="4">
        <f>+251965985238</f>
        <v>251965985238</v>
      </c>
      <c r="H1701" s="3" t="s">
        <v>18</v>
      </c>
      <c r="I1701" s="3" t="s">
        <v>19</v>
      </c>
      <c r="J1701" s="3" t="s">
        <v>19</v>
      </c>
      <c r="K1701" s="3" t="s">
        <v>25</v>
      </c>
      <c r="L1701" s="3">
        <v>23.62</v>
      </c>
      <c r="M1701" s="3" t="s">
        <v>1695</v>
      </c>
      <c r="N1701" s="3" t="s">
        <v>1696</v>
      </c>
      <c r="O1701" s="3">
        <v>1.85942355143E11</v>
      </c>
    </row>
    <row r="1702">
      <c r="A1702" s="3">
        <v>2600070.0</v>
      </c>
      <c r="B1702" s="3" t="s">
        <v>3743</v>
      </c>
      <c r="C1702" s="3" t="b">
        <v>0</v>
      </c>
      <c r="D1702" s="3" t="b">
        <v>1</v>
      </c>
      <c r="E1702" s="3" t="s">
        <v>2622</v>
      </c>
      <c r="F1702" s="3" t="s">
        <v>3744</v>
      </c>
      <c r="G1702" s="4">
        <f>+251922247935</f>
        <v>251922247935</v>
      </c>
      <c r="H1702" s="3" t="s">
        <v>18</v>
      </c>
      <c r="I1702" s="3" t="s">
        <v>19</v>
      </c>
      <c r="J1702" s="3" t="s">
        <v>19</v>
      </c>
      <c r="K1702" s="3" t="s">
        <v>20</v>
      </c>
      <c r="L1702" s="3">
        <v>25.04</v>
      </c>
      <c r="M1702" s="3" t="s">
        <v>1695</v>
      </c>
      <c r="N1702" s="3" t="s">
        <v>1696</v>
      </c>
      <c r="O1702" s="3">
        <v>1.85942441201E11</v>
      </c>
    </row>
    <row r="1703">
      <c r="A1703" s="3">
        <v>2600086.0</v>
      </c>
      <c r="B1703" s="3" t="s">
        <v>3745</v>
      </c>
      <c r="C1703" s="3" t="b">
        <v>0</v>
      </c>
      <c r="D1703" s="3" t="b">
        <v>1</v>
      </c>
      <c r="E1703" s="3" t="s">
        <v>3746</v>
      </c>
      <c r="F1703" s="3" t="s">
        <v>3747</v>
      </c>
      <c r="G1703" s="4">
        <f>+251985317614</f>
        <v>251985317614</v>
      </c>
      <c r="H1703" s="3" t="s">
        <v>18</v>
      </c>
      <c r="I1703" s="3" t="s">
        <v>19</v>
      </c>
      <c r="J1703" s="3" t="s">
        <v>19</v>
      </c>
      <c r="K1703" s="3" t="s">
        <v>20</v>
      </c>
      <c r="L1703" s="3">
        <v>31.04</v>
      </c>
      <c r="M1703" s="3" t="s">
        <v>1695</v>
      </c>
      <c r="N1703" s="3" t="s">
        <v>1696</v>
      </c>
      <c r="O1703" s="3">
        <v>1.85951284436E11</v>
      </c>
    </row>
    <row r="1704">
      <c r="A1704" s="3">
        <v>2600101.0</v>
      </c>
      <c r="B1704" s="3" t="s">
        <v>3748</v>
      </c>
      <c r="C1704" s="3" t="b">
        <v>0</v>
      </c>
      <c r="D1704" s="3" t="b">
        <v>1</v>
      </c>
      <c r="E1704" s="3" t="s">
        <v>3749</v>
      </c>
      <c r="F1704" s="3" t="s">
        <v>3750</v>
      </c>
      <c r="G1704" s="4">
        <f>+251924161762</f>
        <v>251924161762</v>
      </c>
      <c r="H1704" s="3" t="s">
        <v>18</v>
      </c>
      <c r="I1704" s="3" t="s">
        <v>19</v>
      </c>
      <c r="J1704" s="3" t="s">
        <v>19</v>
      </c>
      <c r="K1704" s="3" t="s">
        <v>20</v>
      </c>
      <c r="L1704" s="3">
        <v>23.04</v>
      </c>
      <c r="M1704" s="3" t="s">
        <v>1695</v>
      </c>
      <c r="N1704" s="3" t="s">
        <v>1696</v>
      </c>
      <c r="O1704" s="3">
        <v>1.85974157505E11</v>
      </c>
    </row>
    <row r="1705">
      <c r="A1705" s="3">
        <v>2600134.0</v>
      </c>
      <c r="B1705" s="3" t="s">
        <v>3751</v>
      </c>
      <c r="C1705" s="3" t="b">
        <v>0</v>
      </c>
      <c r="D1705" s="3" t="b">
        <v>1</v>
      </c>
      <c r="E1705" s="3" t="s">
        <v>3752</v>
      </c>
      <c r="F1705" s="3" t="s">
        <v>282</v>
      </c>
      <c r="G1705" s="4">
        <f>+2519091649</f>
        <v>2519091649</v>
      </c>
      <c r="H1705" s="3" t="s">
        <v>18</v>
      </c>
      <c r="I1705" s="3" t="s">
        <v>19</v>
      </c>
      <c r="J1705" s="3" t="s">
        <v>19</v>
      </c>
      <c r="K1705" s="3" t="s">
        <v>25</v>
      </c>
      <c r="L1705" s="3">
        <v>30.03</v>
      </c>
      <c r="M1705" s="3" t="s">
        <v>1695</v>
      </c>
      <c r="N1705" s="3" t="s">
        <v>1696</v>
      </c>
      <c r="O1705" s="3">
        <v>2.3484578E7</v>
      </c>
    </row>
    <row r="1706">
      <c r="A1706" s="3">
        <v>2600129.0</v>
      </c>
      <c r="B1706" s="3" t="s">
        <v>3753</v>
      </c>
      <c r="C1706" s="3" t="b">
        <v>0</v>
      </c>
      <c r="D1706" s="3" t="b">
        <v>1</v>
      </c>
      <c r="E1706" s="3" t="s">
        <v>3754</v>
      </c>
      <c r="F1706" s="3" t="s">
        <v>3755</v>
      </c>
      <c r="G1706" s="4">
        <f>+251910348569</f>
        <v>251910348569</v>
      </c>
      <c r="H1706" s="3" t="s">
        <v>18</v>
      </c>
      <c r="I1706" s="3" t="s">
        <v>19</v>
      </c>
      <c r="J1706" s="3" t="s">
        <v>19</v>
      </c>
      <c r="K1706" s="3" t="s">
        <v>25</v>
      </c>
      <c r="L1706" s="3">
        <v>26.86</v>
      </c>
      <c r="M1706" s="3" t="s">
        <v>1695</v>
      </c>
      <c r="N1706" s="3" t="s">
        <v>1696</v>
      </c>
      <c r="O1706" s="3">
        <v>1.85946591429E11</v>
      </c>
    </row>
    <row r="1707">
      <c r="A1707" s="3">
        <v>1711363.0</v>
      </c>
      <c r="B1707" s="3" t="s">
        <v>3756</v>
      </c>
      <c r="C1707" s="3" t="b">
        <v>1</v>
      </c>
      <c r="D1707" s="3" t="b">
        <v>1</v>
      </c>
      <c r="E1707" s="3" t="s">
        <v>3021</v>
      </c>
      <c r="F1707" s="3" t="s">
        <v>1924</v>
      </c>
      <c r="G1707" s="4">
        <f>+251932346346</f>
        <v>251932346346</v>
      </c>
      <c r="H1707" s="3" t="s">
        <v>18</v>
      </c>
      <c r="I1707" s="3" t="s">
        <v>19</v>
      </c>
      <c r="J1707" s="3" t="s">
        <v>19</v>
      </c>
      <c r="K1707" s="3" t="s">
        <v>25</v>
      </c>
      <c r="L1707" s="3">
        <v>37.54</v>
      </c>
      <c r="M1707" s="3" t="s">
        <v>1695</v>
      </c>
      <c r="N1707" s="3" t="s">
        <v>1696</v>
      </c>
      <c r="O1707" s="3">
        <v>2.2328003782E10</v>
      </c>
    </row>
    <row r="1708">
      <c r="A1708" s="3">
        <v>2600146.0</v>
      </c>
      <c r="B1708" s="3" t="s">
        <v>3757</v>
      </c>
      <c r="C1708" s="3" t="b">
        <v>0</v>
      </c>
      <c r="D1708" s="3" t="b">
        <v>1</v>
      </c>
      <c r="E1708" s="3" t="s">
        <v>3758</v>
      </c>
      <c r="F1708" s="3" t="s">
        <v>918</v>
      </c>
      <c r="G1708" s="4">
        <f>+251928537608</f>
        <v>251928537608</v>
      </c>
      <c r="H1708" s="3" t="s">
        <v>18</v>
      </c>
      <c r="I1708" s="3" t="s">
        <v>19</v>
      </c>
      <c r="J1708" s="3" t="s">
        <v>19</v>
      </c>
      <c r="K1708" s="3" t="s">
        <v>20</v>
      </c>
      <c r="L1708" s="3">
        <v>21.04</v>
      </c>
      <c r="M1708" s="3" t="s">
        <v>1695</v>
      </c>
      <c r="N1708" s="3" t="s">
        <v>1696</v>
      </c>
      <c r="O1708" s="3">
        <v>1.85981638905E11</v>
      </c>
    </row>
    <row r="1709">
      <c r="A1709" s="3">
        <v>2600190.0</v>
      </c>
      <c r="B1709" s="3" t="s">
        <v>3759</v>
      </c>
      <c r="C1709" s="3" t="b">
        <v>0</v>
      </c>
      <c r="D1709" s="3" t="b">
        <v>1</v>
      </c>
      <c r="E1709" s="3" t="s">
        <v>760</v>
      </c>
      <c r="F1709" s="3" t="s">
        <v>3760</v>
      </c>
      <c r="G1709" s="4">
        <f>+251986867788</f>
        <v>251986867788</v>
      </c>
      <c r="H1709" s="3" t="s">
        <v>18</v>
      </c>
      <c r="I1709" s="3" t="s">
        <v>19</v>
      </c>
      <c r="J1709" s="3" t="s">
        <v>19</v>
      </c>
      <c r="K1709" s="3" t="s">
        <v>20</v>
      </c>
      <c r="L1709" s="3">
        <v>24.04</v>
      </c>
      <c r="M1709" s="3" t="s">
        <v>1695</v>
      </c>
      <c r="N1709" s="3" t="s">
        <v>1696</v>
      </c>
      <c r="O1709" s="3">
        <v>1.86026469568E11</v>
      </c>
    </row>
    <row r="1710">
      <c r="A1710" s="3">
        <v>2600228.0</v>
      </c>
      <c r="B1710" s="3" t="s">
        <v>3761</v>
      </c>
      <c r="C1710" s="3" t="b">
        <v>0</v>
      </c>
      <c r="D1710" s="3" t="b">
        <v>1</v>
      </c>
      <c r="E1710" s="3" t="s">
        <v>162</v>
      </c>
      <c r="F1710" s="3" t="s">
        <v>3762</v>
      </c>
      <c r="G1710" s="4">
        <f>+251091240369</f>
        <v>251091240369</v>
      </c>
      <c r="H1710" s="3" t="s">
        <v>18</v>
      </c>
      <c r="I1710" s="3" t="s">
        <v>19</v>
      </c>
      <c r="J1710" s="3" t="s">
        <v>19</v>
      </c>
      <c r="K1710" s="3" t="s">
        <v>25</v>
      </c>
      <c r="L1710" s="3">
        <v>31.04</v>
      </c>
      <c r="M1710" s="3" t="s">
        <v>1695</v>
      </c>
      <c r="N1710" s="3" t="s">
        <v>1696</v>
      </c>
      <c r="O1710" s="3">
        <v>1.85999158472E11</v>
      </c>
    </row>
    <row r="1711">
      <c r="A1711" s="3">
        <v>2600241.0</v>
      </c>
      <c r="B1711" s="3" t="s">
        <v>3763</v>
      </c>
      <c r="C1711" s="3" t="b">
        <v>0</v>
      </c>
      <c r="D1711" s="3" t="b">
        <v>1</v>
      </c>
      <c r="E1711" s="3" t="s">
        <v>3626</v>
      </c>
      <c r="F1711" s="3" t="s">
        <v>267</v>
      </c>
      <c r="G1711" s="4">
        <f>+251983909954</f>
        <v>251983909954</v>
      </c>
      <c r="H1711" s="3" t="s">
        <v>18</v>
      </c>
      <c r="I1711" s="3" t="s">
        <v>19</v>
      </c>
      <c r="J1711" s="3" t="s">
        <v>19</v>
      </c>
      <c r="K1711" s="3" t="s">
        <v>20</v>
      </c>
      <c r="L1711" s="3">
        <v>22.04</v>
      </c>
      <c r="M1711" s="3" t="s">
        <v>1695</v>
      </c>
      <c r="N1711" s="3" t="s">
        <v>1696</v>
      </c>
      <c r="O1711" s="3">
        <v>1.85997151436E11</v>
      </c>
    </row>
    <row r="1712">
      <c r="A1712" s="3">
        <v>2600268.0</v>
      </c>
      <c r="B1712" s="3" t="s">
        <v>3764</v>
      </c>
      <c r="C1712" s="3" t="b">
        <v>1</v>
      </c>
      <c r="D1712" s="3" t="b">
        <v>1</v>
      </c>
      <c r="E1712" s="3" t="s">
        <v>261</v>
      </c>
      <c r="F1712" s="3" t="s">
        <v>3765</v>
      </c>
      <c r="G1712" s="4">
        <f>+251910841790</f>
        <v>251910841790</v>
      </c>
      <c r="H1712" s="3" t="s">
        <v>18</v>
      </c>
      <c r="I1712" s="3" t="s">
        <v>19</v>
      </c>
      <c r="J1712" s="3" t="s">
        <v>19</v>
      </c>
      <c r="K1712" s="3" t="s">
        <v>25</v>
      </c>
      <c r="L1712" s="3">
        <v>28.21</v>
      </c>
      <c r="M1712" s="3" t="s">
        <v>1695</v>
      </c>
      <c r="N1712" s="3" t="s">
        <v>1696</v>
      </c>
      <c r="O1712" s="3">
        <v>1.86045170906E11</v>
      </c>
    </row>
    <row r="1713">
      <c r="A1713" s="3">
        <v>2600254.0</v>
      </c>
      <c r="B1713" s="3" t="s">
        <v>3766</v>
      </c>
      <c r="C1713" s="3" t="b">
        <v>1</v>
      </c>
      <c r="D1713" s="3" t="b">
        <v>1</v>
      </c>
      <c r="E1713" s="3" t="s">
        <v>3767</v>
      </c>
      <c r="F1713" s="3" t="s">
        <v>2562</v>
      </c>
      <c r="G1713" s="4">
        <f>+251701288956</f>
        <v>251701288956</v>
      </c>
      <c r="H1713" s="3" t="s">
        <v>18</v>
      </c>
      <c r="I1713" s="3" t="s">
        <v>19</v>
      </c>
      <c r="J1713" s="3" t="s">
        <v>19</v>
      </c>
      <c r="K1713" s="3" t="s">
        <v>25</v>
      </c>
      <c r="L1713" s="3">
        <v>24.04</v>
      </c>
      <c r="M1713" s="3" t="s">
        <v>1695</v>
      </c>
      <c r="N1713" s="3" t="s">
        <v>1696</v>
      </c>
      <c r="O1713" s="3">
        <v>1.86005863655E11</v>
      </c>
    </row>
    <row r="1714">
      <c r="A1714" s="3">
        <v>2599923.0</v>
      </c>
      <c r="B1714" s="3" t="s">
        <v>3768</v>
      </c>
      <c r="C1714" s="3" t="b">
        <v>1</v>
      </c>
      <c r="D1714" s="3" t="b">
        <v>1</v>
      </c>
      <c r="E1714" s="3" t="s">
        <v>3769</v>
      </c>
      <c r="F1714" s="3" t="s">
        <v>3770</v>
      </c>
      <c r="G1714" s="4">
        <f>+251944062967</f>
        <v>251944062967</v>
      </c>
      <c r="H1714" s="3" t="s">
        <v>18</v>
      </c>
      <c r="I1714" s="3" t="s">
        <v>19</v>
      </c>
      <c r="J1714" s="3" t="s">
        <v>19</v>
      </c>
      <c r="K1714" s="3" t="s">
        <v>25</v>
      </c>
      <c r="L1714" s="3">
        <v>45.47</v>
      </c>
      <c r="M1714" s="3" t="s">
        <v>1695</v>
      </c>
      <c r="N1714" s="3" t="s">
        <v>1696</v>
      </c>
    </row>
    <row r="1715">
      <c r="A1715" s="3">
        <v>2600286.0</v>
      </c>
      <c r="B1715" s="3" t="s">
        <v>3771</v>
      </c>
      <c r="C1715" s="3" t="b">
        <v>0</v>
      </c>
      <c r="D1715" s="3" t="b">
        <v>1</v>
      </c>
      <c r="E1715" s="3" t="s">
        <v>760</v>
      </c>
      <c r="F1715" s="3" t="s">
        <v>3772</v>
      </c>
      <c r="G1715" s="4">
        <f>+251969452772</f>
        <v>251969452772</v>
      </c>
      <c r="H1715" s="3" t="s">
        <v>18</v>
      </c>
      <c r="I1715" s="3" t="s">
        <v>19</v>
      </c>
      <c r="J1715" s="3" t="s">
        <v>19</v>
      </c>
      <c r="K1715" s="3" t="s">
        <v>20</v>
      </c>
      <c r="L1715" s="3">
        <v>27.03</v>
      </c>
      <c r="M1715" s="3" t="s">
        <v>1695</v>
      </c>
      <c r="N1715" s="3" t="s">
        <v>1696</v>
      </c>
      <c r="O1715" s="3">
        <v>1.86089217265E11</v>
      </c>
    </row>
    <row r="1716">
      <c r="A1716" s="3">
        <v>2600302.0</v>
      </c>
      <c r="B1716" s="3" t="s">
        <v>3773</v>
      </c>
      <c r="C1716" s="3" t="b">
        <v>1</v>
      </c>
      <c r="D1716" s="3" t="b">
        <v>1</v>
      </c>
      <c r="E1716" s="3" t="s">
        <v>3774</v>
      </c>
      <c r="F1716" s="3" t="s">
        <v>1955</v>
      </c>
      <c r="G1716" s="4">
        <f>+251984783271</f>
        <v>251984783271</v>
      </c>
      <c r="H1716" s="3" t="s">
        <v>18</v>
      </c>
      <c r="I1716" s="3" t="s">
        <v>19</v>
      </c>
      <c r="J1716" s="3" t="s">
        <v>19</v>
      </c>
      <c r="K1716" s="3" t="s">
        <v>25</v>
      </c>
      <c r="L1716" s="3">
        <v>20.34</v>
      </c>
      <c r="M1716" s="3" t="s">
        <v>1695</v>
      </c>
      <c r="N1716" s="3" t="s">
        <v>1696</v>
      </c>
      <c r="O1716" s="3">
        <v>1.86050933984E11</v>
      </c>
    </row>
    <row r="1717">
      <c r="A1717" s="3">
        <v>2600305.0</v>
      </c>
      <c r="B1717" s="3" t="s">
        <v>3775</v>
      </c>
      <c r="C1717" s="3" t="b">
        <v>0</v>
      </c>
      <c r="D1717" s="3" t="b">
        <v>1</v>
      </c>
      <c r="E1717" s="3" t="s">
        <v>3776</v>
      </c>
      <c r="F1717" s="3" t="s">
        <v>2057</v>
      </c>
      <c r="G1717" s="4">
        <f>+251967195664</f>
        <v>251967195664</v>
      </c>
      <c r="H1717" s="3" t="s">
        <v>18</v>
      </c>
      <c r="I1717" s="3" t="s">
        <v>19</v>
      </c>
      <c r="J1717" s="3" t="s">
        <v>19</v>
      </c>
      <c r="K1717" s="3" t="s">
        <v>25</v>
      </c>
      <c r="L1717" s="3">
        <v>32.04</v>
      </c>
      <c r="M1717" s="3" t="s">
        <v>1695</v>
      </c>
      <c r="N1717" s="3" t="s">
        <v>1696</v>
      </c>
      <c r="O1717" s="3">
        <v>1.86033889524E11</v>
      </c>
    </row>
    <row r="1718">
      <c r="A1718" s="3">
        <v>2600335.0</v>
      </c>
      <c r="B1718" s="3" t="s">
        <v>3777</v>
      </c>
      <c r="C1718" s="3" t="b">
        <v>1</v>
      </c>
      <c r="D1718" s="3" t="b">
        <v>1</v>
      </c>
      <c r="E1718" s="3" t="s">
        <v>3778</v>
      </c>
      <c r="F1718" s="3" t="s">
        <v>3779</v>
      </c>
      <c r="G1718" s="4">
        <f>+251921978221</f>
        <v>251921978221</v>
      </c>
      <c r="H1718" s="3" t="s">
        <v>18</v>
      </c>
      <c r="I1718" s="3" t="s">
        <v>19</v>
      </c>
      <c r="J1718" s="3" t="s">
        <v>19</v>
      </c>
      <c r="K1718" s="3" t="s">
        <v>25</v>
      </c>
      <c r="L1718" s="3">
        <v>32.04</v>
      </c>
      <c r="M1718" s="3" t="s">
        <v>1695</v>
      </c>
      <c r="N1718" s="3" t="s">
        <v>1696</v>
      </c>
      <c r="O1718" s="3">
        <v>1.86054955243E11</v>
      </c>
    </row>
    <row r="1719">
      <c r="A1719" s="3">
        <v>2600351.0</v>
      </c>
      <c r="B1719" s="3" t="s">
        <v>3780</v>
      </c>
      <c r="C1719" s="3" t="b">
        <v>0</v>
      </c>
      <c r="D1719" s="3" t="b">
        <v>1</v>
      </c>
      <c r="E1719" s="3" t="s">
        <v>3781</v>
      </c>
      <c r="F1719" s="3" t="s">
        <v>649</v>
      </c>
      <c r="G1719" s="4">
        <f>+251996814591</f>
        <v>251996814591</v>
      </c>
      <c r="H1719" s="3" t="s">
        <v>18</v>
      </c>
      <c r="I1719" s="3" t="s">
        <v>19</v>
      </c>
      <c r="J1719" s="3" t="s">
        <v>19</v>
      </c>
      <c r="K1719" s="3" t="s">
        <v>20</v>
      </c>
      <c r="L1719" s="3">
        <v>24.03</v>
      </c>
      <c r="M1719" s="3" t="s">
        <v>1695</v>
      </c>
      <c r="N1719" s="3" t="s">
        <v>1696</v>
      </c>
      <c r="O1719" s="3">
        <v>1.86065883345E11</v>
      </c>
    </row>
    <row r="1720">
      <c r="A1720" s="3">
        <v>2600357.0</v>
      </c>
      <c r="B1720" s="3" t="s">
        <v>3782</v>
      </c>
      <c r="C1720" s="3" t="b">
        <v>0</v>
      </c>
      <c r="D1720" s="3" t="b">
        <v>1</v>
      </c>
      <c r="E1720" s="3" t="s">
        <v>3783</v>
      </c>
      <c r="F1720" s="3" t="s">
        <v>404</v>
      </c>
      <c r="G1720" s="4">
        <f>+251941790291</f>
        <v>251941790291</v>
      </c>
      <c r="H1720" s="3" t="s">
        <v>18</v>
      </c>
      <c r="I1720" s="3" t="s">
        <v>19</v>
      </c>
      <c r="J1720" s="3" t="s">
        <v>19</v>
      </c>
      <c r="K1720" s="3" t="s">
        <v>25</v>
      </c>
      <c r="L1720" s="3">
        <v>26.69</v>
      </c>
      <c r="M1720" s="3" t="s">
        <v>1695</v>
      </c>
      <c r="N1720" s="3" t="s">
        <v>1696</v>
      </c>
      <c r="O1720" s="3">
        <v>1.86065995986E11</v>
      </c>
    </row>
    <row r="1721">
      <c r="A1721" s="3">
        <v>2600362.0</v>
      </c>
      <c r="B1721" s="3" t="s">
        <v>3784</v>
      </c>
      <c r="C1721" s="3" t="b">
        <v>0</v>
      </c>
      <c r="D1721" s="3" t="b">
        <v>1</v>
      </c>
      <c r="E1721" s="3" t="s">
        <v>3785</v>
      </c>
      <c r="F1721" s="3" t="s">
        <v>3786</v>
      </c>
      <c r="G1721" s="4">
        <f>+251919626613</f>
        <v>251919626613</v>
      </c>
      <c r="H1721" s="3" t="s">
        <v>18</v>
      </c>
      <c r="I1721" s="3" t="s">
        <v>19</v>
      </c>
      <c r="J1721" s="3" t="s">
        <v>19</v>
      </c>
      <c r="K1721" s="3" t="s">
        <v>25</v>
      </c>
      <c r="L1721" s="3">
        <v>25.04</v>
      </c>
      <c r="M1721" s="3" t="s">
        <v>1695</v>
      </c>
      <c r="N1721" s="3" t="s">
        <v>1696</v>
      </c>
      <c r="O1721" s="3">
        <v>1.86065439989E11</v>
      </c>
    </row>
    <row r="1722">
      <c r="A1722" s="3">
        <v>2600383.0</v>
      </c>
      <c r="B1722" s="3" t="s">
        <v>3787</v>
      </c>
      <c r="C1722" s="3" t="b">
        <v>0</v>
      </c>
      <c r="D1722" s="3" t="b">
        <v>1</v>
      </c>
      <c r="E1722" s="3" t="s">
        <v>261</v>
      </c>
      <c r="F1722" s="3" t="s">
        <v>221</v>
      </c>
      <c r="G1722" s="3">
        <v>9.04001964E8</v>
      </c>
      <c r="H1722" s="3" t="s">
        <v>18</v>
      </c>
      <c r="I1722" s="3" t="s">
        <v>19</v>
      </c>
      <c r="J1722" s="3" t="s">
        <v>19</v>
      </c>
      <c r="K1722" s="3" t="s">
        <v>25</v>
      </c>
      <c r="L1722" s="3">
        <v>29.03</v>
      </c>
      <c r="M1722" s="3" t="s">
        <v>1695</v>
      </c>
      <c r="N1722" s="3" t="s">
        <v>1696</v>
      </c>
      <c r="O1722" s="3">
        <v>1.86055925972E11</v>
      </c>
    </row>
    <row r="1723">
      <c r="A1723" s="3">
        <v>2600389.0</v>
      </c>
      <c r="B1723" s="3" t="s">
        <v>3788</v>
      </c>
      <c r="C1723" s="3" t="b">
        <v>0</v>
      </c>
      <c r="D1723" s="3" t="b">
        <v>1</v>
      </c>
      <c r="E1723" s="3" t="s">
        <v>3789</v>
      </c>
      <c r="F1723" s="3" t="s">
        <v>918</v>
      </c>
      <c r="G1723" s="4">
        <f>+251942922730</f>
        <v>251942922730</v>
      </c>
      <c r="H1723" s="3" t="s">
        <v>18</v>
      </c>
      <c r="I1723" s="3" t="s">
        <v>19</v>
      </c>
      <c r="J1723" s="3" t="s">
        <v>19</v>
      </c>
      <c r="K1723" s="3" t="s">
        <v>25</v>
      </c>
      <c r="L1723" s="3">
        <v>24.01</v>
      </c>
      <c r="M1723" s="3" t="s">
        <v>1695</v>
      </c>
      <c r="N1723" s="3" t="s">
        <v>1696</v>
      </c>
      <c r="O1723" s="3">
        <v>1.86073656513E11</v>
      </c>
    </row>
    <row r="1724">
      <c r="A1724" s="3">
        <v>2600402.0</v>
      </c>
      <c r="B1724" s="3" t="s">
        <v>3790</v>
      </c>
      <c r="C1724" s="3" t="b">
        <v>1</v>
      </c>
      <c r="D1724" s="3" t="b">
        <v>1</v>
      </c>
      <c r="E1724" s="3" t="s">
        <v>273</v>
      </c>
      <c r="F1724" s="3" t="s">
        <v>3791</v>
      </c>
      <c r="G1724" s="4">
        <f>+251936916925</f>
        <v>251936916925</v>
      </c>
      <c r="H1724" s="3" t="s">
        <v>18</v>
      </c>
      <c r="I1724" s="3" t="s">
        <v>19</v>
      </c>
      <c r="J1724" s="3" t="s">
        <v>19</v>
      </c>
      <c r="K1724" s="3" t="s">
        <v>25</v>
      </c>
      <c r="L1724" s="3">
        <v>22.04</v>
      </c>
      <c r="M1724" s="3" t="s">
        <v>1695</v>
      </c>
      <c r="N1724" s="3" t="s">
        <v>1696</v>
      </c>
      <c r="O1724" s="3">
        <v>1.86117887211E11</v>
      </c>
    </row>
    <row r="1725">
      <c r="A1725" s="3">
        <v>2600445.0</v>
      </c>
      <c r="B1725" s="3" t="s">
        <v>3792</v>
      </c>
      <c r="C1725" s="3" t="b">
        <v>0</v>
      </c>
      <c r="D1725" s="3" t="b">
        <v>1</v>
      </c>
      <c r="E1725" s="3" t="s">
        <v>3793</v>
      </c>
      <c r="F1725" s="3" t="s">
        <v>3794</v>
      </c>
      <c r="G1725" s="4">
        <f>+251992578908</f>
        <v>251992578908</v>
      </c>
      <c r="H1725" s="3" t="s">
        <v>18</v>
      </c>
      <c r="I1725" s="3" t="s">
        <v>19</v>
      </c>
      <c r="J1725" s="3" t="s">
        <v>19</v>
      </c>
      <c r="K1725" s="3" t="s">
        <v>25</v>
      </c>
      <c r="L1725" s="3">
        <v>48.04</v>
      </c>
      <c r="M1725" s="3" t="s">
        <v>1695</v>
      </c>
      <c r="N1725" s="3" t="s">
        <v>1696</v>
      </c>
      <c r="O1725" s="3">
        <v>1.86120559826E11</v>
      </c>
    </row>
    <row r="1726">
      <c r="A1726" s="3">
        <v>2600468.0</v>
      </c>
      <c r="B1726" s="3" t="s">
        <v>3795</v>
      </c>
      <c r="C1726" s="3" t="b">
        <v>0</v>
      </c>
      <c r="D1726" s="3" t="b">
        <v>1</v>
      </c>
      <c r="E1726" s="3" t="s">
        <v>3686</v>
      </c>
      <c r="F1726" s="3" t="s">
        <v>2093</v>
      </c>
      <c r="G1726" s="4">
        <f>+251995167404</f>
        <v>251995167404</v>
      </c>
      <c r="H1726" s="3" t="s">
        <v>18</v>
      </c>
      <c r="I1726" s="3" t="s">
        <v>19</v>
      </c>
      <c r="J1726" s="3" t="s">
        <v>19</v>
      </c>
      <c r="K1726" s="3" t="s">
        <v>20</v>
      </c>
      <c r="L1726" s="3">
        <v>25.97</v>
      </c>
      <c r="M1726" s="3" t="s">
        <v>1695</v>
      </c>
      <c r="N1726" s="3" t="s">
        <v>1696</v>
      </c>
      <c r="O1726" s="3">
        <v>1.86125493483E11</v>
      </c>
    </row>
    <row r="1727">
      <c r="A1727" s="3">
        <v>2600475.0</v>
      </c>
      <c r="B1727" s="3" t="s">
        <v>3796</v>
      </c>
      <c r="C1727" s="3" t="b">
        <v>0</v>
      </c>
      <c r="D1727" s="3" t="b">
        <v>1</v>
      </c>
      <c r="E1727" s="3" t="s">
        <v>111</v>
      </c>
      <c r="F1727" s="3" t="s">
        <v>3797</v>
      </c>
      <c r="G1727" s="4">
        <f>+251921221334</f>
        <v>251921221334</v>
      </c>
      <c r="H1727" s="3" t="s">
        <v>18</v>
      </c>
      <c r="I1727" s="3" t="s">
        <v>19</v>
      </c>
      <c r="J1727" s="3" t="s">
        <v>19</v>
      </c>
      <c r="K1727" s="3" t="s">
        <v>25</v>
      </c>
      <c r="L1727" s="3">
        <v>29.02</v>
      </c>
      <c r="M1727" s="3" t="s">
        <v>1695</v>
      </c>
      <c r="N1727" s="3" t="s">
        <v>1696</v>
      </c>
      <c r="O1727" s="3">
        <v>1.86088193216E11</v>
      </c>
    </row>
    <row r="1728">
      <c r="A1728" s="3">
        <v>2600607.0</v>
      </c>
      <c r="B1728" s="3" t="s">
        <v>3798</v>
      </c>
      <c r="C1728" s="3" t="b">
        <v>0</v>
      </c>
      <c r="D1728" s="3" t="b">
        <v>1</v>
      </c>
      <c r="E1728" s="3" t="s">
        <v>846</v>
      </c>
      <c r="F1728" s="3" t="s">
        <v>3799</v>
      </c>
      <c r="G1728" s="4">
        <f>+251946409281</f>
        <v>251946409281</v>
      </c>
      <c r="H1728" s="3" t="s">
        <v>18</v>
      </c>
      <c r="I1728" s="3" t="s">
        <v>19</v>
      </c>
      <c r="J1728" s="3" t="s">
        <v>19</v>
      </c>
      <c r="K1728" s="3" t="s">
        <v>20</v>
      </c>
      <c r="L1728" s="3">
        <v>28.04</v>
      </c>
      <c r="M1728" s="3" t="s">
        <v>1695</v>
      </c>
      <c r="N1728" s="3" t="s">
        <v>1696</v>
      </c>
      <c r="O1728" s="3">
        <v>1.86229384415E11</v>
      </c>
    </row>
    <row r="1729">
      <c r="A1729" s="3">
        <v>2600620.0</v>
      </c>
      <c r="B1729" s="3" t="s">
        <v>3800</v>
      </c>
      <c r="C1729" s="3" t="b">
        <v>0</v>
      </c>
      <c r="D1729" s="3" t="b">
        <v>1</v>
      </c>
      <c r="E1729" s="3" t="s">
        <v>195</v>
      </c>
      <c r="F1729" s="3" t="s">
        <v>267</v>
      </c>
      <c r="G1729" s="4">
        <f>+251917886843</f>
        <v>251917886843</v>
      </c>
      <c r="H1729" s="3" t="s">
        <v>18</v>
      </c>
      <c r="I1729" s="3" t="s">
        <v>19</v>
      </c>
      <c r="J1729" s="3" t="s">
        <v>19</v>
      </c>
      <c r="K1729" s="3" t="s">
        <v>20</v>
      </c>
      <c r="L1729" s="3">
        <v>18.99</v>
      </c>
      <c r="M1729" s="3" t="s">
        <v>1695</v>
      </c>
      <c r="N1729" s="3" t="s">
        <v>1696</v>
      </c>
      <c r="O1729" s="3">
        <v>1.86185168084E11</v>
      </c>
    </row>
    <row r="1730">
      <c r="A1730" s="3">
        <v>2600615.0</v>
      </c>
      <c r="B1730" s="3" t="s">
        <v>3801</v>
      </c>
      <c r="C1730" s="3" t="b">
        <v>0</v>
      </c>
      <c r="D1730" s="3" t="b">
        <v>1</v>
      </c>
      <c r="E1730" s="3" t="s">
        <v>918</v>
      </c>
      <c r="F1730" s="3" t="s">
        <v>1000</v>
      </c>
      <c r="G1730" s="4">
        <f>+251921477228</f>
        <v>251921477228</v>
      </c>
      <c r="H1730" s="3" t="s">
        <v>18</v>
      </c>
      <c r="I1730" s="3" t="s">
        <v>19</v>
      </c>
      <c r="J1730" s="3" t="s">
        <v>19</v>
      </c>
      <c r="K1730" s="3" t="s">
        <v>25</v>
      </c>
      <c r="L1730" s="3">
        <v>32.0</v>
      </c>
      <c r="M1730" s="3" t="s">
        <v>1695</v>
      </c>
      <c r="N1730" s="3" t="s">
        <v>1696</v>
      </c>
      <c r="O1730" s="3">
        <v>1880396.0</v>
      </c>
    </row>
    <row r="1731">
      <c r="A1731" s="3">
        <v>2600682.0</v>
      </c>
      <c r="B1731" s="3" t="s">
        <v>3802</v>
      </c>
      <c r="C1731" s="3" t="b">
        <v>0</v>
      </c>
      <c r="D1731" s="3" t="b">
        <v>1</v>
      </c>
      <c r="E1731" s="3" t="s">
        <v>3803</v>
      </c>
      <c r="F1731" s="3" t="s">
        <v>3804</v>
      </c>
      <c r="G1731" s="4">
        <f>+251973734949</f>
        <v>251973734949</v>
      </c>
      <c r="H1731" s="3" t="s">
        <v>18</v>
      </c>
      <c r="I1731" s="3" t="s">
        <v>19</v>
      </c>
      <c r="J1731" s="3" t="s">
        <v>19</v>
      </c>
      <c r="K1731" s="3" t="s">
        <v>25</v>
      </c>
      <c r="L1731" s="3">
        <v>26.04</v>
      </c>
      <c r="M1731" s="3" t="s">
        <v>1695</v>
      </c>
      <c r="N1731" s="3" t="s">
        <v>1696</v>
      </c>
      <c r="O1731" s="3">
        <v>1.86197725381E11</v>
      </c>
    </row>
    <row r="1732">
      <c r="A1732" s="3">
        <v>2600697.0</v>
      </c>
      <c r="B1732" s="3" t="s">
        <v>3805</v>
      </c>
      <c r="C1732" s="3" t="b">
        <v>1</v>
      </c>
      <c r="D1732" s="3" t="b">
        <v>1</v>
      </c>
      <c r="E1732" s="3" t="s">
        <v>817</v>
      </c>
      <c r="F1732" s="3" t="s">
        <v>3806</v>
      </c>
      <c r="G1732" s="4">
        <f>+251934001089</f>
        <v>251934001089</v>
      </c>
      <c r="H1732" s="3" t="s">
        <v>18</v>
      </c>
      <c r="I1732" s="3" t="s">
        <v>19</v>
      </c>
      <c r="J1732" s="3" t="s">
        <v>19</v>
      </c>
      <c r="K1732" s="3" t="s">
        <v>25</v>
      </c>
      <c r="L1732" s="3">
        <v>27.04</v>
      </c>
      <c r="M1732" s="3" t="s">
        <v>1695</v>
      </c>
      <c r="N1732" s="3" t="s">
        <v>1696</v>
      </c>
      <c r="O1732" s="3">
        <v>1.86186827996E11</v>
      </c>
    </row>
    <row r="1733">
      <c r="A1733" s="3">
        <v>2600725.0</v>
      </c>
      <c r="B1733" s="3" t="s">
        <v>3807</v>
      </c>
      <c r="C1733" s="3" t="b">
        <v>0</v>
      </c>
      <c r="D1733" s="3" t="b">
        <v>1</v>
      </c>
      <c r="E1733" s="3" t="s">
        <v>3808</v>
      </c>
      <c r="F1733" s="3" t="s">
        <v>3809</v>
      </c>
      <c r="G1733" s="4">
        <f>+251961089079</f>
        <v>251961089079</v>
      </c>
      <c r="H1733" s="3" t="s">
        <v>18</v>
      </c>
      <c r="I1733" s="3" t="s">
        <v>19</v>
      </c>
      <c r="J1733" s="3" t="s">
        <v>19</v>
      </c>
      <c r="K1733" s="3" t="s">
        <v>25</v>
      </c>
      <c r="L1733" s="3">
        <v>28.02</v>
      </c>
      <c r="M1733" s="3" t="s">
        <v>1695</v>
      </c>
      <c r="N1733" s="3" t="s">
        <v>1696</v>
      </c>
      <c r="O1733" s="3">
        <v>1.86187037915E11</v>
      </c>
    </row>
    <row r="1734">
      <c r="A1734" s="3">
        <v>2600727.0</v>
      </c>
      <c r="B1734" s="3" t="s">
        <v>3810</v>
      </c>
      <c r="C1734" s="3" t="b">
        <v>0</v>
      </c>
      <c r="D1734" s="3" t="b">
        <v>1</v>
      </c>
      <c r="E1734" s="3" t="s">
        <v>3811</v>
      </c>
      <c r="F1734" s="3" t="s">
        <v>3812</v>
      </c>
      <c r="G1734" s="4">
        <f>+251931071634</f>
        <v>251931071634</v>
      </c>
      <c r="H1734" s="3" t="s">
        <v>18</v>
      </c>
      <c r="I1734" s="3" t="s">
        <v>19</v>
      </c>
      <c r="J1734" s="3" t="s">
        <v>19</v>
      </c>
      <c r="K1734" s="3" t="s">
        <v>20</v>
      </c>
      <c r="L1734" s="3">
        <v>19.99</v>
      </c>
      <c r="M1734" s="3" t="s">
        <v>1695</v>
      </c>
      <c r="N1734" s="3" t="s">
        <v>1696</v>
      </c>
      <c r="O1734" s="3">
        <v>1.86198029543E11</v>
      </c>
    </row>
    <row r="1735">
      <c r="A1735" s="3">
        <v>2600772.0</v>
      </c>
      <c r="B1735" s="3" t="s">
        <v>3813</v>
      </c>
      <c r="C1735" s="3" t="b">
        <v>0</v>
      </c>
      <c r="D1735" s="3" t="b">
        <v>1</v>
      </c>
      <c r="E1735" s="3" t="s">
        <v>3814</v>
      </c>
      <c r="F1735" s="3" t="s">
        <v>3815</v>
      </c>
      <c r="G1735" s="4">
        <f>+251917203493</f>
        <v>251917203493</v>
      </c>
      <c r="H1735" s="3" t="s">
        <v>18</v>
      </c>
      <c r="I1735" s="3" t="s">
        <v>19</v>
      </c>
      <c r="J1735" s="3" t="s">
        <v>19</v>
      </c>
      <c r="K1735" s="3" t="s">
        <v>25</v>
      </c>
      <c r="L1735" s="3">
        <v>25.04</v>
      </c>
      <c r="M1735" s="3" t="s">
        <v>1695</v>
      </c>
      <c r="N1735" s="3" t="s">
        <v>1696</v>
      </c>
      <c r="O1735" s="3">
        <v>1.86206977267E11</v>
      </c>
    </row>
    <row r="1736">
      <c r="A1736" s="3">
        <v>2600807.0</v>
      </c>
      <c r="B1736" s="3" t="s">
        <v>3816</v>
      </c>
      <c r="C1736" s="3" t="b">
        <v>0</v>
      </c>
      <c r="D1736" s="3" t="b">
        <v>1</v>
      </c>
      <c r="E1736" s="3" t="s">
        <v>639</v>
      </c>
      <c r="F1736" s="3" t="s">
        <v>3817</v>
      </c>
      <c r="G1736" s="4">
        <f>+251918346097</f>
        <v>251918346097</v>
      </c>
      <c r="H1736" s="3" t="s">
        <v>18</v>
      </c>
      <c r="I1736" s="3" t="s">
        <v>19</v>
      </c>
      <c r="J1736" s="3" t="s">
        <v>19</v>
      </c>
      <c r="K1736" s="3" t="s">
        <v>25</v>
      </c>
      <c r="L1736" s="3">
        <v>25.05</v>
      </c>
      <c r="M1736" s="3" t="s">
        <v>1695</v>
      </c>
      <c r="N1736" s="3" t="s">
        <v>1696</v>
      </c>
      <c r="O1736" s="3">
        <v>1.8625913573E11</v>
      </c>
    </row>
    <row r="1737">
      <c r="A1737" s="3">
        <v>2600837.0</v>
      </c>
      <c r="B1737" s="3" t="s">
        <v>3818</v>
      </c>
      <c r="C1737" s="3" t="b">
        <v>0</v>
      </c>
      <c r="D1737" s="3" t="b">
        <v>1</v>
      </c>
      <c r="E1737" s="3" t="s">
        <v>3819</v>
      </c>
      <c r="F1737" s="3" t="s">
        <v>653</v>
      </c>
      <c r="G1737" s="4">
        <f>+25125826662</f>
        <v>25125826662</v>
      </c>
      <c r="H1737" s="3" t="s">
        <v>18</v>
      </c>
      <c r="I1737" s="3" t="s">
        <v>19</v>
      </c>
      <c r="J1737" s="3" t="s">
        <v>19</v>
      </c>
      <c r="K1737" s="3" t="s">
        <v>25</v>
      </c>
      <c r="L1737" s="3">
        <v>30.0</v>
      </c>
      <c r="M1737" s="3" t="s">
        <v>1695</v>
      </c>
      <c r="N1737" s="3" t="s">
        <v>1696</v>
      </c>
      <c r="O1737" s="3">
        <v>1.86261291212E11</v>
      </c>
    </row>
    <row r="1738">
      <c r="A1738" s="3">
        <v>2600887.0</v>
      </c>
      <c r="B1738" s="3" t="s">
        <v>3820</v>
      </c>
      <c r="C1738" s="3" t="b">
        <v>0</v>
      </c>
      <c r="D1738" s="3" t="b">
        <v>1</v>
      </c>
      <c r="E1738" s="3" t="s">
        <v>1142</v>
      </c>
      <c r="F1738" s="3" t="s">
        <v>3428</v>
      </c>
      <c r="G1738" s="4">
        <f>+251947275424</f>
        <v>251947275424</v>
      </c>
      <c r="H1738" s="3" t="s">
        <v>18</v>
      </c>
      <c r="I1738" s="3" t="s">
        <v>19</v>
      </c>
      <c r="J1738" s="3" t="s">
        <v>19</v>
      </c>
      <c r="K1738" s="3" t="s">
        <v>25</v>
      </c>
      <c r="L1738" s="3">
        <v>24.99</v>
      </c>
      <c r="M1738" s="3" t="s">
        <v>1695</v>
      </c>
      <c r="N1738" s="3" t="s">
        <v>1696</v>
      </c>
      <c r="O1738" s="3">
        <v>1.86271927533E11</v>
      </c>
    </row>
    <row r="1739">
      <c r="A1739" s="3">
        <v>2600914.0</v>
      </c>
      <c r="B1739" s="3" t="s">
        <v>3821</v>
      </c>
      <c r="C1739" s="3" t="b">
        <v>0</v>
      </c>
      <c r="D1739" s="3" t="b">
        <v>1</v>
      </c>
      <c r="E1739" s="3" t="s">
        <v>3540</v>
      </c>
      <c r="F1739" s="3" t="s">
        <v>422</v>
      </c>
      <c r="G1739" s="4">
        <f>+251949773797</f>
        <v>251949773797</v>
      </c>
      <c r="H1739" s="3" t="s">
        <v>18</v>
      </c>
      <c r="I1739" s="3" t="s">
        <v>19</v>
      </c>
      <c r="J1739" s="3" t="s">
        <v>19</v>
      </c>
      <c r="K1739" s="3" t="s">
        <v>20</v>
      </c>
      <c r="L1739" s="3">
        <v>28.83</v>
      </c>
      <c r="M1739" s="3" t="s">
        <v>1695</v>
      </c>
      <c r="N1739" s="3" t="s">
        <v>1696</v>
      </c>
      <c r="O1739" s="3">
        <v>1.86262002896E11</v>
      </c>
    </row>
    <row r="1740">
      <c r="A1740" s="3">
        <v>2600946.0</v>
      </c>
      <c r="B1740" s="3" t="s">
        <v>3822</v>
      </c>
      <c r="C1740" s="3" t="b">
        <v>0</v>
      </c>
      <c r="D1740" s="3" t="b">
        <v>1</v>
      </c>
      <c r="E1740" s="3" t="s">
        <v>3823</v>
      </c>
      <c r="F1740" s="3" t="s">
        <v>1370</v>
      </c>
      <c r="G1740" s="4">
        <f>+251919431414</f>
        <v>251919431414</v>
      </c>
      <c r="H1740" s="3" t="s">
        <v>18</v>
      </c>
      <c r="I1740" s="3" t="s">
        <v>19</v>
      </c>
      <c r="J1740" s="3" t="s">
        <v>19</v>
      </c>
      <c r="K1740" s="3" t="s">
        <v>25</v>
      </c>
      <c r="L1740" s="3">
        <v>35.04</v>
      </c>
      <c r="M1740" s="3" t="s">
        <v>1695</v>
      </c>
      <c r="N1740" s="3" t="s">
        <v>1696</v>
      </c>
      <c r="O1740" s="3">
        <v>1.86288923876E11</v>
      </c>
    </row>
    <row r="1741">
      <c r="A1741" s="3">
        <v>2600972.0</v>
      </c>
      <c r="B1741" s="3" t="s">
        <v>3824</v>
      </c>
      <c r="C1741" s="3" t="b">
        <v>0</v>
      </c>
      <c r="D1741" s="3" t="b">
        <v>1</v>
      </c>
      <c r="E1741" s="3" t="s">
        <v>3778</v>
      </c>
      <c r="F1741" s="3" t="s">
        <v>446</v>
      </c>
      <c r="G1741" s="4">
        <f>+251936202289</f>
        <v>251936202289</v>
      </c>
      <c r="H1741" s="3" t="s">
        <v>18</v>
      </c>
      <c r="I1741" s="3" t="s">
        <v>19</v>
      </c>
      <c r="J1741" s="3" t="s">
        <v>19</v>
      </c>
      <c r="K1741" s="3" t="s">
        <v>25</v>
      </c>
      <c r="L1741" s="3">
        <v>26.04</v>
      </c>
      <c r="M1741" s="3" t="s">
        <v>1695</v>
      </c>
      <c r="N1741" s="3" t="s">
        <v>1696</v>
      </c>
      <c r="O1741" s="3">
        <v>1.86289439971E11</v>
      </c>
    </row>
    <row r="1742">
      <c r="A1742" s="3">
        <v>2600990.0</v>
      </c>
      <c r="B1742" s="3" t="s">
        <v>3825</v>
      </c>
      <c r="C1742" s="3" t="b">
        <v>1</v>
      </c>
      <c r="D1742" s="3" t="b">
        <v>1</v>
      </c>
      <c r="E1742" s="3" t="s">
        <v>466</v>
      </c>
      <c r="F1742" s="3" t="s">
        <v>3826</v>
      </c>
      <c r="G1742" s="4">
        <f>+251922337439</f>
        <v>251922337439</v>
      </c>
      <c r="H1742" s="3" t="s">
        <v>18</v>
      </c>
      <c r="I1742" s="3" t="s">
        <v>19</v>
      </c>
      <c r="J1742" s="3" t="s">
        <v>19</v>
      </c>
      <c r="K1742" s="3" t="s">
        <v>25</v>
      </c>
      <c r="L1742" s="3">
        <v>29.45</v>
      </c>
      <c r="M1742" s="3" t="s">
        <v>1695</v>
      </c>
      <c r="N1742" s="3" t="s">
        <v>1696</v>
      </c>
      <c r="O1742" s="3">
        <v>1.86286968014E11</v>
      </c>
    </row>
    <row r="1743">
      <c r="A1743" s="3">
        <v>2600344.0</v>
      </c>
      <c r="B1743" s="3" t="s">
        <v>3827</v>
      </c>
      <c r="C1743" s="3" t="b">
        <v>1</v>
      </c>
      <c r="D1743" s="3" t="b">
        <v>1</v>
      </c>
      <c r="E1743" s="3" t="s">
        <v>3828</v>
      </c>
      <c r="F1743" s="3" t="s">
        <v>731</v>
      </c>
      <c r="G1743" s="4">
        <f>+251933628624</f>
        <v>251933628624</v>
      </c>
      <c r="H1743" s="3" t="s">
        <v>18</v>
      </c>
      <c r="I1743" s="3" t="s">
        <v>19</v>
      </c>
      <c r="J1743" s="3" t="s">
        <v>19</v>
      </c>
      <c r="K1743" s="3" t="s">
        <v>25</v>
      </c>
      <c r="L1743" s="3">
        <v>28.59</v>
      </c>
      <c r="M1743" s="3" t="s">
        <v>1695</v>
      </c>
      <c r="N1743" s="3" t="s">
        <v>1696</v>
      </c>
      <c r="O1743" s="3">
        <v>1.86065251554E11</v>
      </c>
    </row>
    <row r="1744">
      <c r="A1744" s="3">
        <v>2600816.0</v>
      </c>
      <c r="B1744" s="3" t="s">
        <v>3829</v>
      </c>
      <c r="C1744" s="3" t="b">
        <v>0</v>
      </c>
      <c r="D1744" s="3" t="b">
        <v>1</v>
      </c>
      <c r="E1744" s="3" t="s">
        <v>3830</v>
      </c>
      <c r="F1744" s="3" t="s">
        <v>649</v>
      </c>
      <c r="G1744" s="4">
        <f>+251988419723</f>
        <v>251988419723</v>
      </c>
      <c r="H1744" s="3" t="s">
        <v>18</v>
      </c>
      <c r="I1744" s="3" t="s">
        <v>19</v>
      </c>
      <c r="J1744" s="3" t="s">
        <v>19</v>
      </c>
      <c r="K1744" s="3" t="s">
        <v>20</v>
      </c>
      <c r="L1744" s="3">
        <v>26.04</v>
      </c>
      <c r="M1744" s="3" t="s">
        <v>1695</v>
      </c>
      <c r="N1744" s="3" t="s">
        <v>1696</v>
      </c>
      <c r="O1744" s="3">
        <v>1.86261076194E11</v>
      </c>
    </row>
    <row r="1745">
      <c r="A1745" s="3">
        <v>2601024.0</v>
      </c>
      <c r="B1745" s="3" t="s">
        <v>3831</v>
      </c>
      <c r="C1745" s="3" t="b">
        <v>0</v>
      </c>
      <c r="D1745" s="3" t="b">
        <v>1</v>
      </c>
      <c r="E1745" s="3" t="s">
        <v>3832</v>
      </c>
      <c r="F1745" s="3" t="s">
        <v>3833</v>
      </c>
      <c r="G1745" s="4">
        <f>+251944250044</f>
        <v>251944250044</v>
      </c>
      <c r="H1745" s="3" t="s">
        <v>18</v>
      </c>
      <c r="I1745" s="3" t="s">
        <v>19</v>
      </c>
      <c r="J1745" s="3" t="s">
        <v>19</v>
      </c>
      <c r="K1745" s="3" t="s">
        <v>25</v>
      </c>
      <c r="L1745" s="3">
        <v>36.36</v>
      </c>
      <c r="M1745" s="3" t="s">
        <v>1695</v>
      </c>
      <c r="N1745" s="3" t="s">
        <v>1696</v>
      </c>
      <c r="O1745" s="3">
        <v>1.86309551297E11</v>
      </c>
    </row>
    <row r="1746">
      <c r="A1746" s="3">
        <v>2601056.0</v>
      </c>
      <c r="B1746" s="3" t="s">
        <v>3834</v>
      </c>
      <c r="C1746" s="3" t="b">
        <v>0</v>
      </c>
      <c r="D1746" s="3" t="b">
        <v>1</v>
      </c>
      <c r="E1746" s="3" t="s">
        <v>2539</v>
      </c>
      <c r="F1746" s="3" t="s">
        <v>3835</v>
      </c>
      <c r="G1746" s="4">
        <f>+251926823746</f>
        <v>251926823746</v>
      </c>
      <c r="H1746" s="3" t="s">
        <v>18</v>
      </c>
      <c r="I1746" s="3" t="s">
        <v>19</v>
      </c>
      <c r="J1746" s="3" t="s">
        <v>19</v>
      </c>
      <c r="K1746" s="3" t="s">
        <v>20</v>
      </c>
      <c r="L1746" s="3">
        <v>27.04</v>
      </c>
      <c r="M1746" s="3" t="s">
        <v>1695</v>
      </c>
      <c r="N1746" s="3" t="s">
        <v>1696</v>
      </c>
      <c r="O1746" s="3">
        <v>1.86384245962E11</v>
      </c>
    </row>
    <row r="1747">
      <c r="A1747" s="3">
        <v>2601054.0</v>
      </c>
      <c r="B1747" s="3" t="s">
        <v>3836</v>
      </c>
      <c r="C1747" s="3" t="b">
        <v>0</v>
      </c>
      <c r="D1747" s="3" t="b">
        <v>1</v>
      </c>
      <c r="E1747" s="3" t="s">
        <v>66</v>
      </c>
      <c r="F1747" s="3" t="s">
        <v>3837</v>
      </c>
      <c r="G1747" s="4">
        <f>+251946811642</f>
        <v>251946811642</v>
      </c>
      <c r="H1747" s="3" t="s">
        <v>18</v>
      </c>
      <c r="I1747" s="3" t="s">
        <v>19</v>
      </c>
      <c r="J1747" s="3" t="s">
        <v>19</v>
      </c>
      <c r="K1747" s="3" t="s">
        <v>25</v>
      </c>
      <c r="L1747" s="3">
        <v>41.42</v>
      </c>
      <c r="M1747" s="3" t="s">
        <v>1695</v>
      </c>
      <c r="N1747" s="3" t="s">
        <v>1696</v>
      </c>
      <c r="O1747" s="3">
        <v>1.86328317168E11</v>
      </c>
    </row>
    <row r="1748">
      <c r="A1748" s="3">
        <v>2601073.0</v>
      </c>
      <c r="B1748" s="3" t="s">
        <v>3838</v>
      </c>
      <c r="C1748" s="3" t="b">
        <v>0</v>
      </c>
      <c r="D1748" s="3" t="b">
        <v>1</v>
      </c>
      <c r="E1748" s="3" t="s">
        <v>1804</v>
      </c>
      <c r="F1748" s="3" t="s">
        <v>3817</v>
      </c>
      <c r="G1748" s="4">
        <f>+251918346096</f>
        <v>251918346096</v>
      </c>
      <c r="H1748" s="3" t="s">
        <v>18</v>
      </c>
      <c r="I1748" s="3" t="s">
        <v>19</v>
      </c>
      <c r="J1748" s="3" t="s">
        <v>19</v>
      </c>
      <c r="K1748" s="3" t="s">
        <v>25</v>
      </c>
      <c r="L1748" s="3">
        <v>28.02</v>
      </c>
      <c r="M1748" s="3" t="s">
        <v>1695</v>
      </c>
      <c r="N1748" s="3" t="s">
        <v>1696</v>
      </c>
      <c r="O1748" s="3">
        <v>1.86329154758E11</v>
      </c>
    </row>
    <row r="1749">
      <c r="A1749" s="3">
        <v>2601085.0</v>
      </c>
      <c r="B1749" s="3" t="s">
        <v>3839</v>
      </c>
      <c r="C1749" s="3" t="b">
        <v>0</v>
      </c>
      <c r="D1749" s="3" t="b">
        <v>1</v>
      </c>
      <c r="E1749" s="3" t="s">
        <v>3626</v>
      </c>
      <c r="F1749" s="3" t="s">
        <v>3815</v>
      </c>
      <c r="G1749" s="4">
        <f>+251910217975</f>
        <v>251910217975</v>
      </c>
      <c r="H1749" s="3" t="s">
        <v>18</v>
      </c>
      <c r="I1749" s="3" t="s">
        <v>19</v>
      </c>
      <c r="J1749" s="3" t="s">
        <v>19</v>
      </c>
      <c r="K1749" s="3" t="s">
        <v>20</v>
      </c>
      <c r="L1749" s="3">
        <v>22.67</v>
      </c>
      <c r="M1749" s="3" t="s">
        <v>1695</v>
      </c>
      <c r="N1749" s="3" t="s">
        <v>1696</v>
      </c>
      <c r="O1749" s="3">
        <v>1.86328591598E11</v>
      </c>
    </row>
    <row r="1750">
      <c r="A1750" s="3">
        <v>2601092.0</v>
      </c>
      <c r="B1750" s="3" t="s">
        <v>3840</v>
      </c>
      <c r="C1750" s="3" t="b">
        <v>1</v>
      </c>
      <c r="D1750" s="3" t="b">
        <v>1</v>
      </c>
      <c r="E1750" s="3" t="s">
        <v>3744</v>
      </c>
      <c r="F1750" s="3" t="s">
        <v>3841</v>
      </c>
      <c r="G1750" s="4">
        <f>+251934036757</f>
        <v>251934036757</v>
      </c>
      <c r="H1750" s="3" t="s">
        <v>18</v>
      </c>
      <c r="I1750" s="3" t="s">
        <v>19</v>
      </c>
      <c r="J1750" s="3" t="s">
        <v>19</v>
      </c>
      <c r="K1750" s="3" t="s">
        <v>25</v>
      </c>
      <c r="L1750" s="3">
        <v>32.95</v>
      </c>
      <c r="M1750" s="3" t="s">
        <v>1695</v>
      </c>
      <c r="N1750" s="3" t="s">
        <v>1696</v>
      </c>
      <c r="O1750" s="3">
        <v>1.86386647233E11</v>
      </c>
    </row>
    <row r="1751">
      <c r="A1751" s="3">
        <v>2601109.0</v>
      </c>
      <c r="B1751" s="3" t="s">
        <v>3842</v>
      </c>
      <c r="C1751" s="3" t="b">
        <v>0</v>
      </c>
      <c r="D1751" s="3" t="b">
        <v>1</v>
      </c>
      <c r="E1751" s="3" t="s">
        <v>2249</v>
      </c>
      <c r="F1751" s="3" t="s">
        <v>3843</v>
      </c>
      <c r="G1751" s="4">
        <f>+251963810812</f>
        <v>251963810812</v>
      </c>
      <c r="H1751" s="3" t="s">
        <v>18</v>
      </c>
      <c r="I1751" s="3" t="s">
        <v>19</v>
      </c>
      <c r="J1751" s="3" t="s">
        <v>19</v>
      </c>
      <c r="K1751" s="3" t="s">
        <v>20</v>
      </c>
      <c r="L1751" s="3">
        <v>28.04</v>
      </c>
      <c r="M1751" s="3" t="s">
        <v>1695</v>
      </c>
      <c r="N1751" s="3" t="s">
        <v>1696</v>
      </c>
      <c r="O1751" s="3">
        <v>1.86390029532E11</v>
      </c>
    </row>
    <row r="1752">
      <c r="A1752" s="3">
        <v>2601112.0</v>
      </c>
      <c r="B1752" s="3" t="s">
        <v>3844</v>
      </c>
      <c r="C1752" s="3" t="b">
        <v>0</v>
      </c>
      <c r="D1752" s="3" t="b">
        <v>1</v>
      </c>
      <c r="E1752" s="3" t="s">
        <v>3845</v>
      </c>
      <c r="F1752" s="3" t="s">
        <v>118</v>
      </c>
      <c r="G1752" s="4">
        <f>+251910330031</f>
        <v>251910330031</v>
      </c>
      <c r="H1752" s="3" t="s">
        <v>18</v>
      </c>
      <c r="I1752" s="3" t="s">
        <v>19</v>
      </c>
      <c r="J1752" s="3" t="s">
        <v>19</v>
      </c>
      <c r="K1752" s="3" t="s">
        <v>20</v>
      </c>
      <c r="L1752" s="3">
        <v>28.04</v>
      </c>
      <c r="M1752" s="3" t="s">
        <v>1695</v>
      </c>
      <c r="N1752" s="3" t="s">
        <v>1696</v>
      </c>
      <c r="O1752" s="3">
        <v>1.86334847216E11</v>
      </c>
    </row>
    <row r="1753">
      <c r="A1753" s="3">
        <v>2601133.0</v>
      </c>
      <c r="B1753" s="3" t="s">
        <v>3846</v>
      </c>
      <c r="C1753" s="3" t="b">
        <v>0</v>
      </c>
      <c r="D1753" s="3" t="b">
        <v>1</v>
      </c>
      <c r="E1753" s="3" t="s">
        <v>2045</v>
      </c>
      <c r="F1753" s="3" t="s">
        <v>3428</v>
      </c>
      <c r="G1753" s="4">
        <f>+251928624184</f>
        <v>251928624184</v>
      </c>
      <c r="H1753" s="3" t="s">
        <v>18</v>
      </c>
      <c r="I1753" s="3" t="s">
        <v>19</v>
      </c>
      <c r="J1753" s="3" t="s">
        <v>19</v>
      </c>
      <c r="K1753" s="3" t="s">
        <v>25</v>
      </c>
      <c r="L1753" s="3">
        <v>31.34</v>
      </c>
      <c r="M1753" s="3" t="s">
        <v>1695</v>
      </c>
      <c r="N1753" s="3" t="s">
        <v>1696</v>
      </c>
      <c r="O1753" s="3">
        <v>1.86335056087E11</v>
      </c>
    </row>
    <row r="1754">
      <c r="A1754" s="3">
        <v>2601147.0</v>
      </c>
      <c r="B1754" s="3" t="s">
        <v>3847</v>
      </c>
      <c r="C1754" s="3" t="b">
        <v>0</v>
      </c>
      <c r="D1754" s="3" t="b">
        <v>1</v>
      </c>
      <c r="E1754" s="3" t="s">
        <v>297</v>
      </c>
      <c r="F1754" s="3" t="s">
        <v>3848</v>
      </c>
      <c r="G1754" s="4">
        <f>+251927015535</f>
        <v>251927015535</v>
      </c>
      <c r="H1754" s="3" t="s">
        <v>18</v>
      </c>
      <c r="I1754" s="3" t="s">
        <v>19</v>
      </c>
      <c r="J1754" s="3" t="s">
        <v>19</v>
      </c>
      <c r="K1754" s="3" t="s">
        <v>25</v>
      </c>
      <c r="L1754" s="3">
        <v>27.02</v>
      </c>
      <c r="M1754" s="3" t="s">
        <v>1695</v>
      </c>
      <c r="N1754" s="3" t="s">
        <v>1696</v>
      </c>
      <c r="O1754" s="3">
        <v>1.86379212025E11</v>
      </c>
    </row>
    <row r="1755">
      <c r="A1755" s="3">
        <v>2601155.0</v>
      </c>
      <c r="B1755" s="3" t="s">
        <v>3849</v>
      </c>
      <c r="C1755" s="3" t="b">
        <v>0</v>
      </c>
      <c r="D1755" s="3" t="b">
        <v>1</v>
      </c>
      <c r="E1755" s="3" t="s">
        <v>3850</v>
      </c>
      <c r="F1755" s="3" t="s">
        <v>880</v>
      </c>
      <c r="G1755" s="4">
        <f>+251942955091</f>
        <v>251942955091</v>
      </c>
      <c r="H1755" s="3" t="s">
        <v>18</v>
      </c>
      <c r="I1755" s="3" t="s">
        <v>19</v>
      </c>
      <c r="J1755" s="3" t="s">
        <v>19</v>
      </c>
      <c r="K1755" s="3" t="s">
        <v>20</v>
      </c>
      <c r="L1755" s="3">
        <v>29.0</v>
      </c>
      <c r="M1755" s="3" t="s">
        <v>1695</v>
      </c>
      <c r="N1755" s="3" t="s">
        <v>1696</v>
      </c>
      <c r="O1755" s="3">
        <v>1.86335304898E11</v>
      </c>
    </row>
    <row r="1756">
      <c r="A1756" s="3">
        <v>2601138.0</v>
      </c>
      <c r="B1756" s="3" t="s">
        <v>3851</v>
      </c>
      <c r="C1756" s="3" t="b">
        <v>0</v>
      </c>
      <c r="D1756" s="3" t="b">
        <v>1</v>
      </c>
      <c r="E1756" s="3" t="s">
        <v>3852</v>
      </c>
      <c r="F1756" s="3" t="s">
        <v>3853</v>
      </c>
      <c r="G1756" s="4">
        <f>+251954584031</f>
        <v>251954584031</v>
      </c>
      <c r="H1756" s="3" t="s">
        <v>18</v>
      </c>
      <c r="I1756" s="3" t="s">
        <v>19</v>
      </c>
      <c r="J1756" s="3" t="s">
        <v>19</v>
      </c>
      <c r="K1756" s="3" t="s">
        <v>20</v>
      </c>
      <c r="L1756" s="3">
        <v>23.84</v>
      </c>
      <c r="M1756" s="3" t="s">
        <v>1695</v>
      </c>
      <c r="N1756" s="3" t="s">
        <v>1696</v>
      </c>
      <c r="O1756" s="3">
        <v>1.86332596411E11</v>
      </c>
    </row>
    <row r="1757">
      <c r="A1757" s="3">
        <v>2601190.0</v>
      </c>
      <c r="B1757" s="3" t="s">
        <v>3854</v>
      </c>
      <c r="C1757" s="3" t="b">
        <v>0</v>
      </c>
      <c r="D1757" s="3" t="b">
        <v>1</v>
      </c>
      <c r="E1757" s="3" t="s">
        <v>276</v>
      </c>
      <c r="F1757" s="3" t="s">
        <v>267</v>
      </c>
      <c r="G1757" s="4">
        <f>+251983694655</f>
        <v>251983694655</v>
      </c>
      <c r="H1757" s="3" t="s">
        <v>18</v>
      </c>
      <c r="I1757" s="3" t="s">
        <v>19</v>
      </c>
      <c r="J1757" s="3" t="s">
        <v>19</v>
      </c>
      <c r="K1757" s="3" t="s">
        <v>20</v>
      </c>
      <c r="L1757" s="3">
        <v>20.24</v>
      </c>
      <c r="M1757" s="3" t="s">
        <v>1695</v>
      </c>
      <c r="N1757" s="3" t="s">
        <v>1696</v>
      </c>
      <c r="O1757" s="3">
        <v>1.86332069052E11</v>
      </c>
    </row>
    <row r="1758">
      <c r="A1758" s="3">
        <v>2601194.0</v>
      </c>
      <c r="B1758" s="3" t="s">
        <v>3855</v>
      </c>
      <c r="C1758" s="3" t="b">
        <v>1</v>
      </c>
      <c r="D1758" s="3" t="b">
        <v>1</v>
      </c>
      <c r="E1758" s="3" t="s">
        <v>760</v>
      </c>
      <c r="F1758" s="3" t="s">
        <v>395</v>
      </c>
      <c r="G1758" s="4">
        <f>+251970618471</f>
        <v>251970618471</v>
      </c>
      <c r="H1758" s="3" t="s">
        <v>18</v>
      </c>
      <c r="I1758" s="3" t="s">
        <v>19</v>
      </c>
      <c r="J1758" s="3" t="s">
        <v>19</v>
      </c>
      <c r="K1758" s="3" t="s">
        <v>20</v>
      </c>
      <c r="L1758" s="3">
        <v>23.76</v>
      </c>
      <c r="M1758" s="3" t="s">
        <v>1695</v>
      </c>
      <c r="N1758" s="3" t="s">
        <v>1696</v>
      </c>
      <c r="O1758" s="3">
        <v>1.86381620467E11</v>
      </c>
    </row>
    <row r="1759">
      <c r="A1759" s="3">
        <v>2601207.0</v>
      </c>
      <c r="B1759" s="3" t="s">
        <v>3856</v>
      </c>
      <c r="C1759" s="3" t="b">
        <v>0</v>
      </c>
      <c r="D1759" s="3" t="b">
        <v>1</v>
      </c>
      <c r="E1759" s="3" t="s">
        <v>3857</v>
      </c>
      <c r="F1759" s="3" t="s">
        <v>224</v>
      </c>
      <c r="G1759" s="4">
        <f>+251964250915</f>
        <v>251964250915</v>
      </c>
      <c r="H1759" s="3" t="s">
        <v>18</v>
      </c>
      <c r="I1759" s="3" t="s">
        <v>19</v>
      </c>
      <c r="J1759" s="3" t="s">
        <v>19</v>
      </c>
      <c r="K1759" s="3" t="s">
        <v>20</v>
      </c>
      <c r="L1759" s="3">
        <v>26.02</v>
      </c>
      <c r="M1759" s="3" t="s">
        <v>1695</v>
      </c>
      <c r="N1759" s="3" t="s">
        <v>1696</v>
      </c>
      <c r="O1759" s="3">
        <v>1.86344124603E11</v>
      </c>
    </row>
    <row r="1760">
      <c r="A1760" s="3">
        <v>2601216.0</v>
      </c>
      <c r="B1760" s="3" t="s">
        <v>3858</v>
      </c>
      <c r="C1760" s="3" t="b">
        <v>0</v>
      </c>
      <c r="D1760" s="3" t="b">
        <v>1</v>
      </c>
      <c r="E1760" s="3" t="s">
        <v>3791</v>
      </c>
      <c r="F1760" s="3" t="s">
        <v>1710</v>
      </c>
      <c r="G1760" s="4">
        <f>+251925287116</f>
        <v>251925287116</v>
      </c>
      <c r="H1760" s="3" t="s">
        <v>18</v>
      </c>
      <c r="I1760" s="3" t="s">
        <v>19</v>
      </c>
      <c r="J1760" s="3" t="s">
        <v>19</v>
      </c>
      <c r="K1760" s="3" t="s">
        <v>25</v>
      </c>
      <c r="L1760" s="3">
        <v>26.79</v>
      </c>
      <c r="M1760" s="3" t="s">
        <v>1695</v>
      </c>
      <c r="N1760" s="3" t="s">
        <v>1696</v>
      </c>
      <c r="O1760" s="3">
        <v>1.86347397369E11</v>
      </c>
    </row>
    <row r="1761">
      <c r="A1761" s="3">
        <v>2601237.0</v>
      </c>
      <c r="B1761" s="3" t="s">
        <v>3859</v>
      </c>
      <c r="C1761" s="3" t="b">
        <v>0</v>
      </c>
      <c r="D1761" s="3" t="b">
        <v>1</v>
      </c>
      <c r="E1761" s="3" t="s">
        <v>32</v>
      </c>
      <c r="F1761" s="3" t="s">
        <v>3860</v>
      </c>
      <c r="G1761" s="4">
        <f>+251928167499</f>
        <v>251928167499</v>
      </c>
      <c r="H1761" s="3" t="s">
        <v>18</v>
      </c>
      <c r="I1761" s="3" t="s">
        <v>19</v>
      </c>
      <c r="J1761" s="3" t="s">
        <v>19</v>
      </c>
      <c r="K1761" s="3" t="s">
        <v>25</v>
      </c>
      <c r="L1761" s="3">
        <v>28.02</v>
      </c>
      <c r="M1761" s="3" t="s">
        <v>1695</v>
      </c>
      <c r="N1761" s="3" t="s">
        <v>1696</v>
      </c>
      <c r="O1761" s="3">
        <v>1.86347629769E11</v>
      </c>
    </row>
    <row r="1762">
      <c r="A1762" s="3">
        <v>2601242.0</v>
      </c>
      <c r="B1762" s="3" t="s">
        <v>3861</v>
      </c>
      <c r="C1762" s="3" t="b">
        <v>1</v>
      </c>
      <c r="D1762" s="3" t="b">
        <v>1</v>
      </c>
      <c r="E1762" s="3" t="s">
        <v>3862</v>
      </c>
      <c r="F1762" s="3" t="s">
        <v>3863</v>
      </c>
      <c r="G1762" s="4">
        <f>+251936932034</f>
        <v>251936932034</v>
      </c>
      <c r="H1762" s="3" t="s">
        <v>18</v>
      </c>
      <c r="I1762" s="3" t="s">
        <v>19</v>
      </c>
      <c r="J1762" s="3" t="s">
        <v>19</v>
      </c>
      <c r="K1762" s="3" t="s">
        <v>25</v>
      </c>
      <c r="L1762" s="3">
        <v>25.04</v>
      </c>
      <c r="M1762" s="3" t="s">
        <v>1695</v>
      </c>
      <c r="N1762" s="3" t="s">
        <v>1696</v>
      </c>
      <c r="O1762" s="3">
        <v>871405.0</v>
      </c>
    </row>
    <row r="1763">
      <c r="A1763" s="3">
        <v>2601344.0</v>
      </c>
      <c r="B1763" s="3" t="s">
        <v>3864</v>
      </c>
      <c r="C1763" s="3" t="b">
        <v>1</v>
      </c>
      <c r="D1763" s="3" t="b">
        <v>1</v>
      </c>
      <c r="E1763" s="3" t="s">
        <v>945</v>
      </c>
      <c r="F1763" s="3" t="s">
        <v>1803</v>
      </c>
      <c r="G1763" s="4">
        <f>+251912023650</f>
        <v>251912023650</v>
      </c>
      <c r="H1763" s="3" t="s">
        <v>18</v>
      </c>
      <c r="I1763" s="3" t="s">
        <v>19</v>
      </c>
      <c r="J1763" s="3" t="s">
        <v>19</v>
      </c>
      <c r="K1763" s="3" t="s">
        <v>25</v>
      </c>
      <c r="L1763" s="3">
        <v>36.61</v>
      </c>
      <c r="M1763" s="3" t="s">
        <v>1695</v>
      </c>
      <c r="N1763" s="3" t="s">
        <v>1696</v>
      </c>
      <c r="O1763" s="3">
        <v>8772935.0</v>
      </c>
    </row>
    <row r="1764">
      <c r="A1764" s="3">
        <v>2601352.0</v>
      </c>
      <c r="B1764" s="3" t="s">
        <v>3865</v>
      </c>
      <c r="C1764" s="3" t="b">
        <v>0</v>
      </c>
      <c r="D1764" s="3" t="b">
        <v>1</v>
      </c>
      <c r="E1764" s="3" t="s">
        <v>1511</v>
      </c>
      <c r="F1764" s="3" t="s">
        <v>3866</v>
      </c>
      <c r="G1764" s="4">
        <f>+251927042565</f>
        <v>251927042565</v>
      </c>
      <c r="H1764" s="3" t="s">
        <v>18</v>
      </c>
      <c r="I1764" s="3" t="s">
        <v>19</v>
      </c>
      <c r="J1764" s="3" t="s">
        <v>19</v>
      </c>
      <c r="K1764" s="3" t="s">
        <v>20</v>
      </c>
      <c r="L1764" s="3">
        <v>29.84</v>
      </c>
      <c r="M1764" s="3" t="s">
        <v>1695</v>
      </c>
      <c r="N1764" s="3" t="s">
        <v>1696</v>
      </c>
      <c r="O1764" s="3">
        <v>1.8642867834E11</v>
      </c>
    </row>
    <row r="1765">
      <c r="A1765" s="3">
        <v>2601366.0</v>
      </c>
      <c r="B1765" s="3" t="s">
        <v>3867</v>
      </c>
      <c r="C1765" s="3" t="b">
        <v>0</v>
      </c>
      <c r="D1765" s="3" t="b">
        <v>1</v>
      </c>
      <c r="E1765" s="3" t="s">
        <v>2539</v>
      </c>
      <c r="F1765" s="3" t="s">
        <v>3868</v>
      </c>
      <c r="G1765" s="4">
        <f>+251932996090</f>
        <v>251932996090</v>
      </c>
      <c r="H1765" s="3" t="s">
        <v>18</v>
      </c>
      <c r="I1765" s="3" t="s">
        <v>19</v>
      </c>
      <c r="J1765" s="3" t="s">
        <v>19</v>
      </c>
      <c r="K1765" s="3" t="s">
        <v>20</v>
      </c>
      <c r="L1765" s="3">
        <v>31.31</v>
      </c>
      <c r="M1765" s="3" t="s">
        <v>1695</v>
      </c>
      <c r="N1765" s="3" t="s">
        <v>1696</v>
      </c>
      <c r="O1765" s="3">
        <v>1.86444642499E11</v>
      </c>
    </row>
    <row r="1766">
      <c r="A1766" s="3">
        <v>2601374.0</v>
      </c>
      <c r="B1766" s="3" t="s">
        <v>3869</v>
      </c>
      <c r="C1766" s="3" t="b">
        <v>0</v>
      </c>
      <c r="D1766" s="3" t="b">
        <v>1</v>
      </c>
      <c r="E1766" s="3" t="s">
        <v>1054</v>
      </c>
      <c r="F1766" s="3" t="s">
        <v>3870</v>
      </c>
      <c r="G1766" s="4">
        <f>+251943426076</f>
        <v>251943426076</v>
      </c>
      <c r="H1766" s="3" t="s">
        <v>18</v>
      </c>
      <c r="I1766" s="3" t="s">
        <v>19</v>
      </c>
      <c r="J1766" s="3" t="s">
        <v>19</v>
      </c>
      <c r="K1766" s="3" t="s">
        <v>20</v>
      </c>
      <c r="L1766" s="3">
        <v>27.41</v>
      </c>
      <c r="M1766" s="3" t="s">
        <v>1695</v>
      </c>
      <c r="N1766" s="3" t="s">
        <v>1696</v>
      </c>
      <c r="O1766" s="3">
        <v>1.86374002919E11</v>
      </c>
    </row>
    <row r="1767">
      <c r="A1767" s="3">
        <v>2601391.0</v>
      </c>
      <c r="B1767" s="3" t="s">
        <v>3871</v>
      </c>
      <c r="C1767" s="3" t="b">
        <v>0</v>
      </c>
      <c r="D1767" s="3" t="b">
        <v>1</v>
      </c>
      <c r="E1767" s="3" t="s">
        <v>3872</v>
      </c>
      <c r="F1767" s="3" t="s">
        <v>2093</v>
      </c>
      <c r="G1767" s="4">
        <f>+251910726878</f>
        <v>251910726878</v>
      </c>
      <c r="H1767" s="3" t="s">
        <v>18</v>
      </c>
      <c r="I1767" s="3" t="s">
        <v>19</v>
      </c>
      <c r="J1767" s="3" t="s">
        <v>19</v>
      </c>
      <c r="K1767" s="3" t="s">
        <v>20</v>
      </c>
      <c r="L1767" s="3">
        <v>31.81</v>
      </c>
      <c r="M1767" s="3" t="s">
        <v>1695</v>
      </c>
      <c r="N1767" s="3" t="s">
        <v>1696</v>
      </c>
      <c r="O1767" s="3">
        <v>1.86370794716E11</v>
      </c>
    </row>
    <row r="1768">
      <c r="A1768" s="3">
        <v>2601392.0</v>
      </c>
      <c r="B1768" s="3" t="s">
        <v>3873</v>
      </c>
      <c r="C1768" s="3" t="b">
        <v>0</v>
      </c>
      <c r="D1768" s="3" t="b">
        <v>1</v>
      </c>
      <c r="E1768" s="3" t="s">
        <v>3874</v>
      </c>
      <c r="F1768" s="3" t="s">
        <v>3875</v>
      </c>
      <c r="G1768" s="4">
        <f>+251909866848</f>
        <v>251909866848</v>
      </c>
      <c r="H1768" s="3" t="s">
        <v>18</v>
      </c>
      <c r="I1768" s="3" t="s">
        <v>19</v>
      </c>
      <c r="J1768" s="3" t="s">
        <v>19</v>
      </c>
      <c r="K1768" s="3" t="s">
        <v>25</v>
      </c>
      <c r="L1768" s="3">
        <v>37.0</v>
      </c>
      <c r="M1768" s="3" t="s">
        <v>1695</v>
      </c>
      <c r="N1768" s="3" t="s">
        <v>1696</v>
      </c>
      <c r="O1768" s="3">
        <v>1.86442255604E11</v>
      </c>
    </row>
    <row r="1769">
      <c r="A1769" s="3">
        <v>2601402.0</v>
      </c>
      <c r="B1769" s="3" t="s">
        <v>3876</v>
      </c>
      <c r="C1769" s="3" t="b">
        <v>1</v>
      </c>
      <c r="D1769" s="3" t="b">
        <v>1</v>
      </c>
      <c r="E1769" s="3" t="s">
        <v>3877</v>
      </c>
      <c r="F1769" s="3" t="s">
        <v>798</v>
      </c>
      <c r="G1769" s="4">
        <f>+251935084407</f>
        <v>251935084407</v>
      </c>
      <c r="H1769" s="3" t="s">
        <v>18</v>
      </c>
      <c r="I1769" s="3" t="s">
        <v>19</v>
      </c>
      <c r="J1769" s="3" t="s">
        <v>19</v>
      </c>
      <c r="K1769" s="3" t="s">
        <v>25</v>
      </c>
      <c r="L1769" s="3">
        <v>27.64</v>
      </c>
      <c r="M1769" s="3" t="s">
        <v>1695</v>
      </c>
      <c r="N1769" s="3" t="s">
        <v>1696</v>
      </c>
      <c r="O1769" s="3">
        <v>1.86446703818E11</v>
      </c>
    </row>
    <row r="1770">
      <c r="A1770" s="3">
        <v>2601410.0</v>
      </c>
      <c r="B1770" s="3" t="s">
        <v>3878</v>
      </c>
      <c r="C1770" s="3" t="b">
        <v>0</v>
      </c>
      <c r="D1770" s="3" t="b">
        <v>1</v>
      </c>
      <c r="E1770" s="3" t="s">
        <v>798</v>
      </c>
      <c r="F1770" s="3" t="s">
        <v>284</v>
      </c>
      <c r="G1770" s="4">
        <f>+251915938471</f>
        <v>251915938471</v>
      </c>
      <c r="H1770" s="3" t="s">
        <v>18</v>
      </c>
      <c r="I1770" s="3" t="s">
        <v>19</v>
      </c>
      <c r="J1770" s="3" t="s">
        <v>19</v>
      </c>
      <c r="K1770" s="3" t="s">
        <v>25</v>
      </c>
      <c r="L1770" s="3">
        <v>27.04</v>
      </c>
      <c r="M1770" s="3" t="s">
        <v>1695</v>
      </c>
      <c r="N1770" s="3" t="s">
        <v>1696</v>
      </c>
      <c r="O1770" s="3">
        <v>1.86374577398E11</v>
      </c>
    </row>
    <row r="1771">
      <c r="A1771" s="3">
        <v>2601422.0</v>
      </c>
      <c r="B1771" s="3" t="s">
        <v>3879</v>
      </c>
      <c r="C1771" s="3" t="b">
        <v>0</v>
      </c>
      <c r="D1771" s="3" t="b">
        <v>1</v>
      </c>
      <c r="E1771" s="3" t="s">
        <v>766</v>
      </c>
      <c r="F1771" s="3" t="s">
        <v>3880</v>
      </c>
      <c r="G1771" s="4">
        <f>+251939713052</f>
        <v>251939713052</v>
      </c>
      <c r="H1771" s="3" t="s">
        <v>18</v>
      </c>
      <c r="I1771" s="3" t="s">
        <v>19</v>
      </c>
      <c r="J1771" s="3" t="s">
        <v>19</v>
      </c>
      <c r="K1771" s="3" t="s">
        <v>20</v>
      </c>
      <c r="L1771" s="3">
        <v>22.84</v>
      </c>
      <c r="M1771" s="3" t="s">
        <v>1695</v>
      </c>
      <c r="N1771" s="3" t="s">
        <v>1696</v>
      </c>
      <c r="O1771" s="3">
        <v>1.86543060159E11</v>
      </c>
    </row>
    <row r="1772">
      <c r="A1772" s="3">
        <v>2601521.0</v>
      </c>
      <c r="B1772" s="3" t="s">
        <v>3881</v>
      </c>
      <c r="C1772" s="3" t="b">
        <v>0</v>
      </c>
      <c r="D1772" s="3" t="b">
        <v>1</v>
      </c>
      <c r="E1772" s="3" t="s">
        <v>111</v>
      </c>
      <c r="F1772" s="3" t="s">
        <v>3882</v>
      </c>
      <c r="G1772" s="4">
        <f>+251930356227</f>
        <v>251930356227</v>
      </c>
      <c r="H1772" s="3" t="s">
        <v>18</v>
      </c>
      <c r="I1772" s="3" t="s">
        <v>19</v>
      </c>
      <c r="J1772" s="3" t="s">
        <v>19</v>
      </c>
      <c r="K1772" s="3" t="s">
        <v>25</v>
      </c>
      <c r="L1772" s="3">
        <v>24.04</v>
      </c>
      <c r="M1772" s="3" t="s">
        <v>1695</v>
      </c>
      <c r="N1772" s="3" t="s">
        <v>1696</v>
      </c>
      <c r="O1772" s="3">
        <v>3913697.0</v>
      </c>
    </row>
    <row r="1773">
      <c r="A1773" s="3">
        <v>984671.0</v>
      </c>
      <c r="B1773" s="3" t="s">
        <v>3883</v>
      </c>
      <c r="C1773" s="3" t="b">
        <v>1</v>
      </c>
      <c r="D1773" s="3" t="b">
        <v>1</v>
      </c>
      <c r="E1773" s="3" t="s">
        <v>3884</v>
      </c>
      <c r="F1773" s="3" t="s">
        <v>3885</v>
      </c>
      <c r="G1773" s="4">
        <f>+251951525204</f>
        <v>251951525204</v>
      </c>
      <c r="H1773" s="3" t="s">
        <v>18</v>
      </c>
      <c r="I1773" s="3" t="s">
        <v>19</v>
      </c>
      <c r="J1773" s="3" t="s">
        <v>3133</v>
      </c>
      <c r="K1773" s="3" t="s">
        <v>25</v>
      </c>
      <c r="L1773" s="3">
        <v>27.11</v>
      </c>
      <c r="M1773" s="3" t="s">
        <v>1695</v>
      </c>
      <c r="N1773" s="3" t="s">
        <v>1696</v>
      </c>
      <c r="O1773" s="3">
        <v>6221590.0</v>
      </c>
    </row>
    <row r="1774">
      <c r="A1774" s="3">
        <v>2601628.0</v>
      </c>
      <c r="B1774" s="3" t="s">
        <v>3886</v>
      </c>
      <c r="C1774" s="3" t="b">
        <v>0</v>
      </c>
      <c r="D1774" s="3" t="b">
        <v>1</v>
      </c>
      <c r="E1774" s="3" t="s">
        <v>2077</v>
      </c>
      <c r="F1774" s="3" t="s">
        <v>3682</v>
      </c>
      <c r="G1774" s="4">
        <f>+251934802422</f>
        <v>251934802422</v>
      </c>
      <c r="H1774" s="3" t="s">
        <v>18</v>
      </c>
      <c r="I1774" s="3" t="s">
        <v>19</v>
      </c>
      <c r="J1774" s="3" t="s">
        <v>19</v>
      </c>
      <c r="K1774" s="3" t="s">
        <v>20</v>
      </c>
      <c r="L1774" s="3">
        <v>24.04</v>
      </c>
      <c r="M1774" s="3" t="s">
        <v>1695</v>
      </c>
      <c r="N1774" s="3" t="s">
        <v>1696</v>
      </c>
      <c r="O1774" s="3">
        <v>1.86549193943E11</v>
      </c>
    </row>
    <row r="1775">
      <c r="A1775" s="3">
        <v>2601771.0</v>
      </c>
      <c r="B1775" s="3" t="s">
        <v>3887</v>
      </c>
      <c r="C1775" s="3" t="b">
        <v>1</v>
      </c>
      <c r="D1775" s="3" t="b">
        <v>1</v>
      </c>
      <c r="E1775" s="3" t="s">
        <v>111</v>
      </c>
      <c r="F1775" s="3" t="s">
        <v>3882</v>
      </c>
      <c r="G1775" s="4">
        <f>+251913602204</f>
        <v>251913602204</v>
      </c>
      <c r="H1775" s="3" t="s">
        <v>18</v>
      </c>
      <c r="I1775" s="3" t="s">
        <v>19</v>
      </c>
      <c r="J1775" s="3" t="s">
        <v>19</v>
      </c>
      <c r="K1775" s="3" t="s">
        <v>25</v>
      </c>
      <c r="L1775" s="3">
        <v>23.81</v>
      </c>
      <c r="M1775" s="3" t="s">
        <v>1695</v>
      </c>
      <c r="N1775" s="3" t="s">
        <v>1696</v>
      </c>
      <c r="O1775" s="3">
        <v>1.86710335691E11</v>
      </c>
    </row>
    <row r="1776">
      <c r="A1776" s="3">
        <v>2601806.0</v>
      </c>
      <c r="B1776" s="3" t="s">
        <v>3888</v>
      </c>
      <c r="C1776" s="3" t="b">
        <v>0</v>
      </c>
      <c r="D1776" s="3" t="b">
        <v>1</v>
      </c>
      <c r="E1776" s="3" t="s">
        <v>3889</v>
      </c>
      <c r="F1776" s="3" t="s">
        <v>3890</v>
      </c>
      <c r="G1776" s="4">
        <f>+251945017134</f>
        <v>251945017134</v>
      </c>
      <c r="H1776" s="3" t="s">
        <v>18</v>
      </c>
      <c r="I1776" s="3" t="s">
        <v>19</v>
      </c>
      <c r="J1776" s="3" t="s">
        <v>19</v>
      </c>
      <c r="K1776" s="3" t="s">
        <v>20</v>
      </c>
      <c r="L1776" s="3">
        <v>24.41</v>
      </c>
      <c r="M1776" s="3" t="s">
        <v>1695</v>
      </c>
      <c r="N1776" s="3" t="s">
        <v>1696</v>
      </c>
      <c r="O1776" s="3">
        <v>1.86627265736E11</v>
      </c>
    </row>
    <row r="1777">
      <c r="A1777" s="3">
        <v>2601906.0</v>
      </c>
      <c r="B1777" s="3" t="s">
        <v>3891</v>
      </c>
      <c r="C1777" s="3" t="b">
        <v>0</v>
      </c>
      <c r="D1777" s="3" t="b">
        <v>1</v>
      </c>
      <c r="E1777" s="3" t="s">
        <v>300</v>
      </c>
      <c r="F1777" s="3" t="s">
        <v>649</v>
      </c>
      <c r="G1777" s="4">
        <f>+251941759530</f>
        <v>251941759530</v>
      </c>
      <c r="H1777" s="3" t="s">
        <v>18</v>
      </c>
      <c r="I1777" s="3" t="s">
        <v>19</v>
      </c>
      <c r="J1777" s="3" t="s">
        <v>19</v>
      </c>
      <c r="K1777" s="3" t="s">
        <v>25</v>
      </c>
      <c r="L1777" s="3">
        <v>26.42</v>
      </c>
      <c r="M1777" s="3" t="s">
        <v>1695</v>
      </c>
      <c r="N1777" s="3" t="s">
        <v>1696</v>
      </c>
      <c r="O1777" s="3">
        <v>1.86640164048E11</v>
      </c>
    </row>
    <row r="1778">
      <c r="A1778" s="3">
        <v>2601929.0</v>
      </c>
      <c r="B1778" s="3" t="s">
        <v>3892</v>
      </c>
      <c r="C1778" s="3" t="b">
        <v>0</v>
      </c>
      <c r="D1778" s="3" t="b">
        <v>1</v>
      </c>
      <c r="E1778" s="3" t="s">
        <v>387</v>
      </c>
      <c r="F1778" s="3" t="s">
        <v>2263</v>
      </c>
      <c r="G1778" s="4">
        <f>+251912397403</f>
        <v>251912397403</v>
      </c>
      <c r="H1778" s="3" t="s">
        <v>18</v>
      </c>
      <c r="I1778" s="3" t="s">
        <v>19</v>
      </c>
      <c r="J1778" s="3" t="s">
        <v>19</v>
      </c>
      <c r="K1778" s="3" t="s">
        <v>25</v>
      </c>
      <c r="L1778" s="3">
        <v>37.04</v>
      </c>
      <c r="M1778" s="3" t="s">
        <v>1695</v>
      </c>
      <c r="N1778" s="3" t="s">
        <v>1696</v>
      </c>
      <c r="O1778" s="3">
        <v>1.86637641956E11</v>
      </c>
    </row>
    <row r="1779">
      <c r="A1779" s="3">
        <v>2601895.0</v>
      </c>
      <c r="B1779" s="3" t="s">
        <v>3893</v>
      </c>
      <c r="C1779" s="3" t="b">
        <v>1</v>
      </c>
      <c r="D1779" s="3" t="b">
        <v>1</v>
      </c>
      <c r="E1779" s="3" t="s">
        <v>2382</v>
      </c>
      <c r="F1779" s="3" t="s">
        <v>3894</v>
      </c>
      <c r="G1779" s="3">
        <v>9.61266525E8</v>
      </c>
      <c r="H1779" s="3" t="s">
        <v>18</v>
      </c>
      <c r="I1779" s="3" t="s">
        <v>19</v>
      </c>
      <c r="J1779" s="3" t="s">
        <v>19</v>
      </c>
      <c r="K1779" s="3" t="s">
        <v>25</v>
      </c>
      <c r="L1779" s="3">
        <v>20.04</v>
      </c>
      <c r="M1779" s="3" t="s">
        <v>1695</v>
      </c>
      <c r="N1779" s="3" t="s">
        <v>1696</v>
      </c>
    </row>
    <row r="1780">
      <c r="A1780" s="3">
        <v>2602124.0</v>
      </c>
      <c r="B1780" s="3" t="s">
        <v>3895</v>
      </c>
      <c r="C1780" s="3" t="b">
        <v>0</v>
      </c>
      <c r="D1780" s="3" t="b">
        <v>1</v>
      </c>
      <c r="E1780" s="3" t="s">
        <v>3896</v>
      </c>
      <c r="F1780" s="3" t="s">
        <v>922</v>
      </c>
      <c r="G1780" s="4">
        <f>+251935073842</f>
        <v>251935073842</v>
      </c>
      <c r="H1780" s="3" t="s">
        <v>18</v>
      </c>
      <c r="I1780" s="3" t="s">
        <v>19</v>
      </c>
      <c r="J1780" s="3" t="s">
        <v>19</v>
      </c>
      <c r="K1780" s="3" t="s">
        <v>20</v>
      </c>
      <c r="L1780" s="3">
        <v>32.6</v>
      </c>
      <c r="M1780" s="3" t="s">
        <v>1695</v>
      </c>
      <c r="N1780" s="3" t="s">
        <v>1696</v>
      </c>
      <c r="O1780" s="3">
        <v>1.86718731484E11</v>
      </c>
    </row>
    <row r="1781">
      <c r="A1781" s="3">
        <v>2602135.0</v>
      </c>
      <c r="B1781" s="3" t="s">
        <v>3897</v>
      </c>
      <c r="C1781" s="3" t="b">
        <v>0</v>
      </c>
      <c r="D1781" s="3" t="b">
        <v>1</v>
      </c>
      <c r="E1781" s="3" t="s">
        <v>3791</v>
      </c>
      <c r="F1781" s="3" t="s">
        <v>3898</v>
      </c>
      <c r="G1781" s="4">
        <f>+251949088306</f>
        <v>251949088306</v>
      </c>
      <c r="H1781" s="3" t="s">
        <v>18</v>
      </c>
      <c r="I1781" s="3" t="s">
        <v>19</v>
      </c>
      <c r="J1781" s="3" t="s">
        <v>19</v>
      </c>
      <c r="K1781" s="3" t="s">
        <v>25</v>
      </c>
      <c r="L1781" s="3">
        <v>32.43</v>
      </c>
      <c r="M1781" s="3" t="s">
        <v>1695</v>
      </c>
      <c r="N1781" s="3" t="s">
        <v>1696</v>
      </c>
      <c r="O1781" s="3">
        <v>1.86745444553E11</v>
      </c>
    </row>
    <row r="1782">
      <c r="A1782" s="3">
        <v>2602145.0</v>
      </c>
      <c r="B1782" s="3" t="s">
        <v>3899</v>
      </c>
      <c r="C1782" s="3" t="b">
        <v>0</v>
      </c>
      <c r="D1782" s="3" t="b">
        <v>1</v>
      </c>
      <c r="E1782" s="3" t="s">
        <v>1710</v>
      </c>
      <c r="F1782" s="3" t="s">
        <v>3900</v>
      </c>
      <c r="G1782" s="4">
        <f>+251917707638</f>
        <v>251917707638</v>
      </c>
      <c r="H1782" s="3" t="s">
        <v>18</v>
      </c>
      <c r="I1782" s="3" t="s">
        <v>19</v>
      </c>
      <c r="J1782" s="3" t="s">
        <v>19</v>
      </c>
      <c r="K1782" s="3" t="s">
        <v>25</v>
      </c>
      <c r="L1782" s="3">
        <v>35.0</v>
      </c>
      <c r="M1782" s="3" t="s">
        <v>1695</v>
      </c>
      <c r="N1782" s="3" t="s">
        <v>1696</v>
      </c>
      <c r="O1782" s="3">
        <v>1.86737339614E11</v>
      </c>
    </row>
    <row r="1783">
      <c r="A1783" s="3">
        <v>2601292.0</v>
      </c>
      <c r="B1783" s="3" t="s">
        <v>3901</v>
      </c>
      <c r="C1783" s="3" t="b">
        <v>0</v>
      </c>
      <c r="D1783" s="3" t="b">
        <v>1</v>
      </c>
      <c r="E1783" s="3" t="s">
        <v>3902</v>
      </c>
      <c r="F1783" s="3" t="s">
        <v>3903</v>
      </c>
      <c r="G1783" s="4">
        <f>+251956406262</f>
        <v>251956406262</v>
      </c>
      <c r="H1783" s="3" t="s">
        <v>18</v>
      </c>
      <c r="I1783" s="3" t="s">
        <v>19</v>
      </c>
      <c r="J1783" s="3" t="s">
        <v>19</v>
      </c>
      <c r="K1783" s="3" t="s">
        <v>20</v>
      </c>
      <c r="L1783" s="3">
        <v>23.04</v>
      </c>
      <c r="M1783" s="3" t="s">
        <v>1695</v>
      </c>
      <c r="N1783" s="3" t="s">
        <v>1696</v>
      </c>
      <c r="O1783" s="3">
        <v>1.86425629909E11</v>
      </c>
    </row>
    <row r="1784">
      <c r="A1784" s="3">
        <v>2602819.0</v>
      </c>
      <c r="B1784" s="3" t="s">
        <v>3904</v>
      </c>
      <c r="C1784" s="3" t="b">
        <v>0</v>
      </c>
      <c r="D1784" s="3" t="b">
        <v>1</v>
      </c>
      <c r="E1784" s="3" t="s">
        <v>711</v>
      </c>
      <c r="F1784" s="3" t="s">
        <v>3015</v>
      </c>
      <c r="G1784" s="4">
        <f>+251968038056</f>
        <v>251968038056</v>
      </c>
      <c r="H1784" s="3" t="s">
        <v>18</v>
      </c>
      <c r="I1784" s="3" t="s">
        <v>19</v>
      </c>
      <c r="J1784" s="3" t="s">
        <v>19</v>
      </c>
      <c r="K1784" s="3" t="s">
        <v>20</v>
      </c>
      <c r="L1784" s="3">
        <v>22.03</v>
      </c>
      <c r="M1784" s="3" t="s">
        <v>1695</v>
      </c>
      <c r="N1784" s="3" t="s">
        <v>1696</v>
      </c>
      <c r="O1784" s="3">
        <v>1.86881594603E11</v>
      </c>
    </row>
    <row r="1785">
      <c r="A1785" s="3">
        <v>2602844.0</v>
      </c>
      <c r="B1785" s="3" t="s">
        <v>3905</v>
      </c>
      <c r="C1785" s="3" t="b">
        <v>0</v>
      </c>
      <c r="D1785" s="3" t="b">
        <v>1</v>
      </c>
      <c r="E1785" s="3" t="s">
        <v>3906</v>
      </c>
      <c r="F1785" s="3" t="s">
        <v>2263</v>
      </c>
      <c r="G1785" s="4">
        <f>+251900867105</f>
        <v>251900867105</v>
      </c>
      <c r="H1785" s="3" t="s">
        <v>18</v>
      </c>
      <c r="I1785" s="3" t="s">
        <v>19</v>
      </c>
      <c r="J1785" s="3" t="s">
        <v>19</v>
      </c>
      <c r="K1785" s="3" t="s">
        <v>20</v>
      </c>
      <c r="L1785" s="3">
        <v>20.99</v>
      </c>
      <c r="M1785" s="3" t="s">
        <v>1695</v>
      </c>
      <c r="N1785" s="3" t="s">
        <v>1696</v>
      </c>
      <c r="O1785" s="3">
        <v>1.86883580128E11</v>
      </c>
    </row>
    <row r="1786">
      <c r="A1786" s="3">
        <v>2602863.0</v>
      </c>
      <c r="B1786" s="3" t="s">
        <v>3907</v>
      </c>
      <c r="C1786" s="3" t="b">
        <v>0</v>
      </c>
      <c r="D1786" s="3" t="b">
        <v>1</v>
      </c>
      <c r="E1786" s="3" t="s">
        <v>3908</v>
      </c>
      <c r="F1786" s="3" t="s">
        <v>446</v>
      </c>
      <c r="G1786" s="4">
        <f>+251931770537</f>
        <v>251931770537</v>
      </c>
      <c r="H1786" s="3" t="s">
        <v>18</v>
      </c>
      <c r="I1786" s="3" t="s">
        <v>19</v>
      </c>
      <c r="J1786" s="3" t="s">
        <v>19</v>
      </c>
      <c r="K1786" s="3" t="s">
        <v>20</v>
      </c>
      <c r="L1786" s="3">
        <v>29.04</v>
      </c>
      <c r="M1786" s="3" t="s">
        <v>1695</v>
      </c>
      <c r="N1786" s="3" t="s">
        <v>1696</v>
      </c>
      <c r="O1786" s="3">
        <v>1.86947770598E11</v>
      </c>
    </row>
    <row r="1787">
      <c r="A1787" s="3">
        <v>2602874.0</v>
      </c>
      <c r="B1787" s="3" t="s">
        <v>3909</v>
      </c>
      <c r="C1787" s="3" t="b">
        <v>0</v>
      </c>
      <c r="D1787" s="3" t="b">
        <v>1</v>
      </c>
      <c r="E1787" s="3" t="s">
        <v>1995</v>
      </c>
      <c r="F1787" s="3" t="s">
        <v>2680</v>
      </c>
      <c r="G1787" s="4">
        <f>+251924500314</f>
        <v>251924500314</v>
      </c>
      <c r="H1787" s="3" t="s">
        <v>18</v>
      </c>
      <c r="I1787" s="3" t="s">
        <v>19</v>
      </c>
      <c r="J1787" s="3" t="s">
        <v>19</v>
      </c>
      <c r="K1787" s="3" t="s">
        <v>25</v>
      </c>
      <c r="L1787" s="3">
        <v>20.77</v>
      </c>
      <c r="M1787" s="3" t="s">
        <v>1695</v>
      </c>
      <c r="N1787" s="3" t="s">
        <v>1696</v>
      </c>
      <c r="O1787" s="3">
        <v>1.86885839093E11</v>
      </c>
    </row>
    <row r="1788">
      <c r="A1788" s="3">
        <v>2602879.0</v>
      </c>
      <c r="B1788" s="3" t="s">
        <v>3910</v>
      </c>
      <c r="C1788" s="3" t="b">
        <v>0</v>
      </c>
      <c r="D1788" s="3" t="b">
        <v>1</v>
      </c>
      <c r="E1788" s="3" t="s">
        <v>3723</v>
      </c>
      <c r="F1788" s="3" t="s">
        <v>649</v>
      </c>
      <c r="G1788" s="4">
        <f>+251940252364</f>
        <v>251940252364</v>
      </c>
      <c r="H1788" s="3" t="s">
        <v>18</v>
      </c>
      <c r="I1788" s="3" t="s">
        <v>19</v>
      </c>
      <c r="J1788" s="3" t="s">
        <v>19</v>
      </c>
      <c r="K1788" s="3" t="s">
        <v>20</v>
      </c>
      <c r="L1788" s="3">
        <v>23.03</v>
      </c>
      <c r="M1788" s="3" t="s">
        <v>1695</v>
      </c>
      <c r="N1788" s="3" t="s">
        <v>1696</v>
      </c>
      <c r="O1788" s="3">
        <v>1.86967141577E11</v>
      </c>
    </row>
    <row r="1789">
      <c r="A1789" s="3">
        <v>2602898.0</v>
      </c>
      <c r="B1789" s="3" t="s">
        <v>3911</v>
      </c>
      <c r="C1789" s="3" t="b">
        <v>1</v>
      </c>
      <c r="D1789" s="3" t="b">
        <v>1</v>
      </c>
      <c r="E1789" s="3" t="s">
        <v>3896</v>
      </c>
      <c r="F1789" s="3" t="s">
        <v>922</v>
      </c>
      <c r="G1789" s="4">
        <f>+251924995274</f>
        <v>251924995274</v>
      </c>
      <c r="H1789" s="3" t="s">
        <v>18</v>
      </c>
      <c r="I1789" s="3" t="s">
        <v>19</v>
      </c>
      <c r="J1789" s="3" t="s">
        <v>19</v>
      </c>
      <c r="K1789" s="3" t="s">
        <v>20</v>
      </c>
      <c r="L1789" s="3">
        <v>26.94</v>
      </c>
      <c r="M1789" s="3" t="s">
        <v>1695</v>
      </c>
      <c r="N1789" s="3" t="s">
        <v>1696</v>
      </c>
      <c r="O1789" s="3">
        <v>1.86922238191E11</v>
      </c>
    </row>
    <row r="1790">
      <c r="A1790" s="3">
        <v>2602930.0</v>
      </c>
      <c r="B1790" s="3" t="s">
        <v>3912</v>
      </c>
      <c r="C1790" s="3" t="b">
        <v>0</v>
      </c>
      <c r="D1790" s="3" t="b">
        <v>1</v>
      </c>
      <c r="E1790" s="3" t="s">
        <v>3913</v>
      </c>
      <c r="F1790" s="3" t="s">
        <v>64</v>
      </c>
      <c r="G1790" s="4">
        <f>+251912614917</f>
        <v>251912614917</v>
      </c>
      <c r="H1790" s="3" t="s">
        <v>18</v>
      </c>
      <c r="I1790" s="3" t="s">
        <v>19</v>
      </c>
      <c r="J1790" s="3" t="s">
        <v>19</v>
      </c>
      <c r="K1790" s="3" t="s">
        <v>25</v>
      </c>
      <c r="L1790" s="3">
        <v>24.03</v>
      </c>
      <c r="M1790" s="3" t="s">
        <v>1695</v>
      </c>
      <c r="N1790" s="3" t="s">
        <v>1696</v>
      </c>
      <c r="O1790" s="3">
        <v>1.86953882832E11</v>
      </c>
    </row>
    <row r="1791">
      <c r="A1791" s="3">
        <v>2602948.0</v>
      </c>
      <c r="B1791" s="3" t="s">
        <v>3914</v>
      </c>
      <c r="C1791" s="3" t="b">
        <v>0</v>
      </c>
      <c r="D1791" s="3" t="b">
        <v>1</v>
      </c>
      <c r="E1791" s="3" t="s">
        <v>3915</v>
      </c>
      <c r="F1791" s="3" t="s">
        <v>3916</v>
      </c>
      <c r="G1791" s="4">
        <f>+251910532419</f>
        <v>251910532419</v>
      </c>
      <c r="H1791" s="3" t="s">
        <v>18</v>
      </c>
      <c r="I1791" s="3" t="s">
        <v>19</v>
      </c>
      <c r="J1791" s="3" t="s">
        <v>19</v>
      </c>
      <c r="K1791" s="3" t="s">
        <v>25</v>
      </c>
      <c r="L1791" s="3">
        <v>32.98</v>
      </c>
      <c r="M1791" s="3" t="s">
        <v>1695</v>
      </c>
      <c r="N1791" s="3" t="s">
        <v>1696</v>
      </c>
      <c r="O1791" s="3">
        <v>1.86979474655E11</v>
      </c>
    </row>
    <row r="1792">
      <c r="A1792" s="3">
        <v>2602964.0</v>
      </c>
      <c r="B1792" s="3" t="s">
        <v>3917</v>
      </c>
      <c r="C1792" s="3" t="b">
        <v>0</v>
      </c>
      <c r="D1792" s="3" t="b">
        <v>1</v>
      </c>
      <c r="E1792" s="3" t="s">
        <v>2622</v>
      </c>
      <c r="F1792" s="3" t="s">
        <v>3799</v>
      </c>
      <c r="G1792" s="4">
        <f>+251967540687</f>
        <v>251967540687</v>
      </c>
      <c r="H1792" s="3" t="s">
        <v>18</v>
      </c>
      <c r="I1792" s="3" t="s">
        <v>19</v>
      </c>
      <c r="J1792" s="3" t="s">
        <v>19</v>
      </c>
      <c r="K1792" s="3" t="s">
        <v>20</v>
      </c>
      <c r="L1792" s="3">
        <v>27.03</v>
      </c>
      <c r="M1792" s="3" t="s">
        <v>1695</v>
      </c>
      <c r="N1792" s="3" t="s">
        <v>1696</v>
      </c>
      <c r="O1792" s="3">
        <v>1.86982147301E11</v>
      </c>
    </row>
    <row r="1793">
      <c r="A1793" s="3">
        <v>2602978.0</v>
      </c>
      <c r="B1793" s="3" t="s">
        <v>3918</v>
      </c>
      <c r="C1793" s="3" t="b">
        <v>0</v>
      </c>
      <c r="D1793" s="3" t="b">
        <v>1</v>
      </c>
      <c r="E1793" s="3" t="s">
        <v>3919</v>
      </c>
      <c r="F1793" s="3" t="s">
        <v>120</v>
      </c>
      <c r="G1793" s="4">
        <f>+251938457114</f>
        <v>251938457114</v>
      </c>
      <c r="H1793" s="3" t="s">
        <v>18</v>
      </c>
      <c r="I1793" s="3" t="s">
        <v>19</v>
      </c>
      <c r="J1793" s="3" t="s">
        <v>19</v>
      </c>
      <c r="K1793" s="3" t="s">
        <v>25</v>
      </c>
      <c r="L1793" s="3">
        <v>23.03</v>
      </c>
      <c r="M1793" s="3" t="s">
        <v>1695</v>
      </c>
      <c r="N1793" s="3" t="s">
        <v>1696</v>
      </c>
      <c r="O1793" s="3">
        <v>1.8701788798E11</v>
      </c>
    </row>
    <row r="1794">
      <c r="A1794" s="3">
        <v>2603003.0</v>
      </c>
      <c r="B1794" s="3" t="s">
        <v>3920</v>
      </c>
      <c r="C1794" s="3" t="b">
        <v>1</v>
      </c>
      <c r="D1794" s="3" t="b">
        <v>1</v>
      </c>
      <c r="E1794" s="3" t="s">
        <v>3868</v>
      </c>
      <c r="F1794" s="3" t="s">
        <v>3797</v>
      </c>
      <c r="G1794" s="4">
        <f>+251924022722</f>
        <v>251924022722</v>
      </c>
      <c r="H1794" s="3" t="s">
        <v>18</v>
      </c>
      <c r="I1794" s="3" t="s">
        <v>19</v>
      </c>
      <c r="J1794" s="3" t="s">
        <v>19</v>
      </c>
      <c r="K1794" s="3" t="s">
        <v>25</v>
      </c>
      <c r="L1794" s="3">
        <v>29.36</v>
      </c>
      <c r="M1794" s="3" t="s">
        <v>1695</v>
      </c>
      <c r="N1794" s="3" t="s">
        <v>1696</v>
      </c>
      <c r="O1794" s="3">
        <v>1.86998432954E11</v>
      </c>
    </row>
    <row r="1795">
      <c r="A1795" s="3">
        <v>2603005.0</v>
      </c>
      <c r="B1795" s="3" t="s">
        <v>3921</v>
      </c>
      <c r="C1795" s="3" t="b">
        <v>0</v>
      </c>
      <c r="D1795" s="3" t="b">
        <v>1</v>
      </c>
      <c r="E1795" s="3" t="s">
        <v>1532</v>
      </c>
      <c r="F1795" s="3" t="s">
        <v>3922</v>
      </c>
      <c r="G1795" s="4">
        <f>+251917271507</f>
        <v>251917271507</v>
      </c>
      <c r="H1795" s="3" t="s">
        <v>18</v>
      </c>
      <c r="I1795" s="3" t="s">
        <v>19</v>
      </c>
      <c r="J1795" s="3" t="s">
        <v>19</v>
      </c>
      <c r="K1795" s="3" t="s">
        <v>25</v>
      </c>
      <c r="L1795" s="3">
        <v>28.03</v>
      </c>
      <c r="M1795" s="3" t="s">
        <v>1695</v>
      </c>
      <c r="N1795" s="3" t="s">
        <v>1696</v>
      </c>
      <c r="O1795" s="3">
        <v>1.8702892056E11</v>
      </c>
    </row>
    <row r="1796">
      <c r="A1796" s="3">
        <v>2603022.0</v>
      </c>
      <c r="B1796" s="3" t="s">
        <v>3923</v>
      </c>
      <c r="C1796" s="3" t="b">
        <v>0</v>
      </c>
      <c r="D1796" s="3" t="b">
        <v>1</v>
      </c>
      <c r="E1796" s="3" t="s">
        <v>3924</v>
      </c>
      <c r="F1796" s="3" t="s">
        <v>3925</v>
      </c>
      <c r="G1796" s="4">
        <f>+251936011243</f>
        <v>251936011243</v>
      </c>
      <c r="H1796" s="3" t="s">
        <v>18</v>
      </c>
      <c r="I1796" s="3" t="s">
        <v>19</v>
      </c>
      <c r="J1796" s="3" t="s">
        <v>19</v>
      </c>
      <c r="K1796" s="3" t="s">
        <v>25</v>
      </c>
      <c r="L1796" s="3">
        <v>29.04</v>
      </c>
      <c r="M1796" s="3" t="s">
        <v>1695</v>
      </c>
      <c r="N1796" s="3" t="s">
        <v>1696</v>
      </c>
      <c r="O1796" s="3">
        <v>1.86998771944E11</v>
      </c>
    </row>
    <row r="1797">
      <c r="A1797" s="3">
        <v>2603121.0</v>
      </c>
      <c r="B1797" s="3" t="s">
        <v>3926</v>
      </c>
      <c r="C1797" s="3" t="b">
        <v>0</v>
      </c>
      <c r="D1797" s="3" t="b">
        <v>1</v>
      </c>
      <c r="E1797" s="3" t="s">
        <v>3927</v>
      </c>
      <c r="F1797" s="3" t="s">
        <v>3928</v>
      </c>
      <c r="G1797" s="4">
        <f>+251938725007</f>
        <v>251938725007</v>
      </c>
      <c r="H1797" s="3" t="s">
        <v>18</v>
      </c>
      <c r="I1797" s="3" t="s">
        <v>19</v>
      </c>
      <c r="J1797" s="3" t="s">
        <v>19</v>
      </c>
      <c r="K1797" s="3" t="s">
        <v>25</v>
      </c>
      <c r="L1797" s="3">
        <v>29.25</v>
      </c>
      <c r="M1797" s="3" t="s">
        <v>1695</v>
      </c>
      <c r="N1797" s="3" t="s">
        <v>1696</v>
      </c>
      <c r="O1797" s="3">
        <v>1.87080351935E11</v>
      </c>
    </row>
    <row r="1798">
      <c r="A1798" s="3">
        <v>2603190.0</v>
      </c>
      <c r="B1798" s="3" t="s">
        <v>3929</v>
      </c>
      <c r="C1798" s="3" t="b">
        <v>0</v>
      </c>
      <c r="D1798" s="3" t="b">
        <v>1</v>
      </c>
      <c r="E1798" s="3" t="s">
        <v>3930</v>
      </c>
      <c r="F1798" s="3" t="s">
        <v>3931</v>
      </c>
      <c r="G1798" s="4">
        <f>+251908895526</f>
        <v>251908895526</v>
      </c>
      <c r="H1798" s="3" t="s">
        <v>18</v>
      </c>
      <c r="I1798" s="3" t="s">
        <v>19</v>
      </c>
      <c r="J1798" s="3" t="s">
        <v>19</v>
      </c>
      <c r="K1798" s="3" t="s">
        <v>25</v>
      </c>
      <c r="L1798" s="3">
        <v>31.64</v>
      </c>
      <c r="M1798" s="3" t="s">
        <v>1695</v>
      </c>
      <c r="N1798" s="3" t="s">
        <v>1696</v>
      </c>
      <c r="O1798" s="3">
        <v>1.87141678312E11</v>
      </c>
    </row>
    <row r="1799">
      <c r="A1799" s="3">
        <v>2603202.0</v>
      </c>
      <c r="B1799" s="3" t="s">
        <v>3932</v>
      </c>
      <c r="C1799" s="3" t="b">
        <v>0</v>
      </c>
      <c r="D1799" s="3" t="b">
        <v>1</v>
      </c>
      <c r="E1799" s="3" t="s">
        <v>3927</v>
      </c>
      <c r="F1799" s="3" t="s">
        <v>3928</v>
      </c>
      <c r="G1799" s="4">
        <f>+251938725007</f>
        <v>251938725007</v>
      </c>
      <c r="H1799" s="3" t="s">
        <v>18</v>
      </c>
      <c r="I1799" s="3" t="s">
        <v>19</v>
      </c>
      <c r="J1799" s="3" t="s">
        <v>19</v>
      </c>
      <c r="K1799" s="3" t="s">
        <v>25</v>
      </c>
      <c r="L1799" s="3">
        <v>30.26</v>
      </c>
      <c r="M1799" s="3" t="s">
        <v>1695</v>
      </c>
      <c r="N1799" s="3" t="s">
        <v>1696</v>
      </c>
      <c r="O1799" s="3">
        <v>1.87164632311E11</v>
      </c>
    </row>
    <row r="1800">
      <c r="A1800" s="3">
        <v>2603251.0</v>
      </c>
      <c r="B1800" s="3" t="s">
        <v>3933</v>
      </c>
      <c r="C1800" s="3" t="b">
        <v>1</v>
      </c>
      <c r="D1800" s="3" t="b">
        <v>1</v>
      </c>
      <c r="E1800" s="3" t="s">
        <v>3934</v>
      </c>
      <c r="F1800" s="3" t="s">
        <v>409</v>
      </c>
      <c r="G1800" s="4">
        <f>+251938843326</f>
        <v>251938843326</v>
      </c>
      <c r="H1800" s="3" t="s">
        <v>18</v>
      </c>
      <c r="I1800" s="3" t="s">
        <v>19</v>
      </c>
      <c r="J1800" s="3" t="s">
        <v>19</v>
      </c>
      <c r="K1800" s="3" t="s">
        <v>25</v>
      </c>
      <c r="L1800" s="3">
        <v>17.99</v>
      </c>
      <c r="M1800" s="3" t="s">
        <v>1695</v>
      </c>
      <c r="N1800" s="3" t="s">
        <v>1696</v>
      </c>
    </row>
    <row r="1801">
      <c r="A1801" s="3">
        <v>2603219.0</v>
      </c>
      <c r="B1801" s="3" t="s">
        <v>3935</v>
      </c>
      <c r="C1801" s="3" t="b">
        <v>0</v>
      </c>
      <c r="D1801" s="3" t="b">
        <v>1</v>
      </c>
      <c r="E1801" s="3" t="s">
        <v>1485</v>
      </c>
      <c r="F1801" s="3" t="s">
        <v>425</v>
      </c>
      <c r="G1801" s="4">
        <f>+251975172980</f>
        <v>251975172980</v>
      </c>
      <c r="H1801" s="3" t="s">
        <v>18</v>
      </c>
      <c r="I1801" s="3" t="s">
        <v>19</v>
      </c>
      <c r="J1801" s="3" t="s">
        <v>19</v>
      </c>
      <c r="K1801" s="3" t="s">
        <v>20</v>
      </c>
      <c r="L1801" s="3">
        <v>22.03</v>
      </c>
      <c r="M1801" s="3" t="s">
        <v>1695</v>
      </c>
      <c r="N1801" s="3" t="s">
        <v>1696</v>
      </c>
      <c r="O1801" s="3">
        <v>1.87178902723E11</v>
      </c>
    </row>
    <row r="1802">
      <c r="A1802" s="3">
        <v>2603326.0</v>
      </c>
      <c r="B1802" s="3" t="s">
        <v>3936</v>
      </c>
      <c r="C1802" s="3" t="b">
        <v>0</v>
      </c>
      <c r="D1802" s="3" t="b">
        <v>1</v>
      </c>
      <c r="E1802" s="3" t="s">
        <v>151</v>
      </c>
      <c r="F1802" s="3" t="s">
        <v>596</v>
      </c>
      <c r="G1802" s="4">
        <f>+251961916141</f>
        <v>251961916141</v>
      </c>
      <c r="H1802" s="3" t="s">
        <v>18</v>
      </c>
      <c r="I1802" s="3" t="s">
        <v>19</v>
      </c>
      <c r="J1802" s="3" t="s">
        <v>19</v>
      </c>
      <c r="K1802" s="3" t="s">
        <v>25</v>
      </c>
      <c r="L1802" s="3">
        <v>28.27</v>
      </c>
      <c r="M1802" s="3" t="s">
        <v>1695</v>
      </c>
      <c r="N1802" s="3" t="s">
        <v>1696</v>
      </c>
      <c r="O1802" s="3">
        <v>1.8723207602E11</v>
      </c>
    </row>
    <row r="1803">
      <c r="A1803" s="3">
        <v>2603351.0</v>
      </c>
      <c r="B1803" s="3" t="s">
        <v>3937</v>
      </c>
      <c r="C1803" s="3" t="b">
        <v>0</v>
      </c>
      <c r="D1803" s="3" t="b">
        <v>1</v>
      </c>
      <c r="E1803" s="3" t="s">
        <v>2817</v>
      </c>
      <c r="F1803" s="3" t="s">
        <v>3938</v>
      </c>
      <c r="G1803" s="4">
        <f>+251920220714</f>
        <v>251920220714</v>
      </c>
      <c r="H1803" s="3" t="s">
        <v>18</v>
      </c>
      <c r="I1803" s="3" t="s">
        <v>19</v>
      </c>
      <c r="J1803" s="3" t="s">
        <v>19</v>
      </c>
      <c r="K1803" s="3" t="s">
        <v>25</v>
      </c>
      <c r="L1803" s="3">
        <v>45.15</v>
      </c>
      <c r="M1803" s="3" t="s">
        <v>1695</v>
      </c>
      <c r="N1803" s="3" t="s">
        <v>1696</v>
      </c>
      <c r="O1803" s="3">
        <v>1.87410093242E11</v>
      </c>
    </row>
    <row r="1804">
      <c r="A1804" s="3">
        <v>2603394.0</v>
      </c>
      <c r="B1804" s="3" t="s">
        <v>3939</v>
      </c>
      <c r="C1804" s="3" t="b">
        <v>0</v>
      </c>
      <c r="D1804" s="3" t="b">
        <v>1</v>
      </c>
      <c r="E1804" s="3" t="s">
        <v>309</v>
      </c>
      <c r="F1804" s="3" t="s">
        <v>3940</v>
      </c>
      <c r="G1804" s="4">
        <f>+251093948932</f>
        <v>251093948932</v>
      </c>
      <c r="H1804" s="3" t="s">
        <v>18</v>
      </c>
      <c r="I1804" s="3" t="s">
        <v>19</v>
      </c>
      <c r="J1804" s="3" t="s">
        <v>19</v>
      </c>
      <c r="K1804" s="3" t="s">
        <v>25</v>
      </c>
      <c r="L1804" s="3">
        <v>27.02</v>
      </c>
      <c r="M1804" s="3" t="s">
        <v>1695</v>
      </c>
      <c r="N1804" s="3" t="s">
        <v>1696</v>
      </c>
      <c r="O1804" s="3">
        <v>1.87414891751E11</v>
      </c>
    </row>
    <row r="1805">
      <c r="A1805" s="3">
        <v>2603393.0</v>
      </c>
      <c r="B1805" s="3" t="s">
        <v>3941</v>
      </c>
      <c r="C1805" s="3" t="b">
        <v>0</v>
      </c>
      <c r="D1805" s="3" t="b">
        <v>1</v>
      </c>
      <c r="E1805" s="3" t="s">
        <v>3942</v>
      </c>
      <c r="F1805" s="3" t="s">
        <v>1905</v>
      </c>
      <c r="G1805" s="4">
        <f>+251921279604</f>
        <v>251921279604</v>
      </c>
      <c r="H1805" s="3" t="s">
        <v>18</v>
      </c>
      <c r="I1805" s="3" t="s">
        <v>19</v>
      </c>
      <c r="J1805" s="3" t="s">
        <v>19</v>
      </c>
      <c r="K1805" s="3" t="s">
        <v>25</v>
      </c>
      <c r="L1805" s="3">
        <v>45.44</v>
      </c>
      <c r="M1805" s="3" t="s">
        <v>1695</v>
      </c>
      <c r="N1805" s="3" t="s">
        <v>1696</v>
      </c>
      <c r="O1805" s="3">
        <v>1.87414886587E11</v>
      </c>
    </row>
    <row r="1806">
      <c r="A1806" s="3">
        <v>2603411.0</v>
      </c>
      <c r="B1806" s="3" t="s">
        <v>3943</v>
      </c>
      <c r="C1806" s="3" t="b">
        <v>0</v>
      </c>
      <c r="D1806" s="3" t="b">
        <v>1</v>
      </c>
      <c r="E1806" s="3" t="s">
        <v>3906</v>
      </c>
      <c r="F1806" s="3" t="s">
        <v>3944</v>
      </c>
      <c r="G1806" s="4">
        <f>+251964025194</f>
        <v>251964025194</v>
      </c>
      <c r="H1806" s="3" t="s">
        <v>18</v>
      </c>
      <c r="I1806" s="3" t="s">
        <v>19</v>
      </c>
      <c r="J1806" s="3" t="s">
        <v>19</v>
      </c>
      <c r="K1806" s="3" t="s">
        <v>20</v>
      </c>
      <c r="L1806" s="3">
        <v>34.32</v>
      </c>
      <c r="M1806" s="3" t="s">
        <v>1695</v>
      </c>
      <c r="N1806" s="3" t="s">
        <v>1696</v>
      </c>
      <c r="O1806" s="3">
        <v>1.87451542746E11</v>
      </c>
    </row>
    <row r="1807">
      <c r="A1807" s="3">
        <v>2603439.0</v>
      </c>
      <c r="B1807" s="3" t="s">
        <v>3945</v>
      </c>
      <c r="C1807" s="3" t="b">
        <v>0</v>
      </c>
      <c r="D1807" s="3" t="b">
        <v>1</v>
      </c>
      <c r="E1807" s="3" t="s">
        <v>151</v>
      </c>
      <c r="F1807" s="3" t="s">
        <v>897</v>
      </c>
      <c r="G1807" s="4">
        <f>+251920053826</f>
        <v>251920053826</v>
      </c>
      <c r="H1807" s="3" t="s">
        <v>18</v>
      </c>
      <c r="I1807" s="3" t="s">
        <v>19</v>
      </c>
      <c r="J1807" s="3" t="s">
        <v>19</v>
      </c>
      <c r="K1807" s="3" t="s">
        <v>25</v>
      </c>
      <c r="L1807" s="3">
        <v>25.36</v>
      </c>
      <c r="M1807" s="3" t="s">
        <v>1695</v>
      </c>
      <c r="N1807" s="3" t="s">
        <v>1696</v>
      </c>
      <c r="O1807" s="3">
        <v>1.87282602172E11</v>
      </c>
    </row>
    <row r="1808">
      <c r="A1808" s="3">
        <v>2603481.0</v>
      </c>
      <c r="B1808" s="3" t="s">
        <v>3946</v>
      </c>
      <c r="C1808" s="3" t="b">
        <v>0</v>
      </c>
      <c r="D1808" s="3" t="b">
        <v>1</v>
      </c>
      <c r="E1808" s="3" t="s">
        <v>3947</v>
      </c>
      <c r="F1808" s="3" t="s">
        <v>3868</v>
      </c>
      <c r="G1808" s="4">
        <f>+251905350605</f>
        <v>251905350605</v>
      </c>
      <c r="H1808" s="3" t="s">
        <v>18</v>
      </c>
      <c r="I1808" s="3" t="s">
        <v>19</v>
      </c>
      <c r="J1808" s="3" t="s">
        <v>19</v>
      </c>
      <c r="K1808" s="3" t="s">
        <v>20</v>
      </c>
      <c r="L1808" s="3">
        <v>23.03</v>
      </c>
      <c r="M1808" s="3" t="s">
        <v>1695</v>
      </c>
      <c r="N1808" s="3" t="s">
        <v>1696</v>
      </c>
      <c r="O1808" s="3">
        <v>1.87464490177E11</v>
      </c>
    </row>
    <row r="1809">
      <c r="A1809" s="3">
        <v>2603503.0</v>
      </c>
      <c r="B1809" s="3" t="s">
        <v>3948</v>
      </c>
      <c r="C1809" s="3" t="b">
        <v>0</v>
      </c>
      <c r="D1809" s="3" t="b">
        <v>1</v>
      </c>
      <c r="E1809" s="3" t="s">
        <v>3949</v>
      </c>
      <c r="F1809" s="3" t="s">
        <v>3950</v>
      </c>
      <c r="G1809" s="4">
        <f>+251935738981</f>
        <v>251935738981</v>
      </c>
      <c r="H1809" s="3" t="s">
        <v>18</v>
      </c>
      <c r="I1809" s="3" t="s">
        <v>19</v>
      </c>
      <c r="J1809" s="3" t="s">
        <v>19</v>
      </c>
      <c r="K1809" s="3" t="s">
        <v>25</v>
      </c>
      <c r="L1809" s="3">
        <v>32.35</v>
      </c>
      <c r="M1809" s="3" t="s">
        <v>1695</v>
      </c>
      <c r="N1809" s="3" t="s">
        <v>1696</v>
      </c>
      <c r="O1809" s="3">
        <v>2.3395756E7</v>
      </c>
    </row>
    <row r="1810">
      <c r="A1810" s="3">
        <v>2603514.0</v>
      </c>
      <c r="B1810" s="3" t="s">
        <v>3951</v>
      </c>
      <c r="C1810" s="3" t="b">
        <v>0</v>
      </c>
      <c r="D1810" s="3" t="b">
        <v>1</v>
      </c>
      <c r="E1810" s="3" t="s">
        <v>3952</v>
      </c>
      <c r="F1810" s="3" t="s">
        <v>3150</v>
      </c>
      <c r="G1810" s="4">
        <f>+251967701094</f>
        <v>251967701094</v>
      </c>
      <c r="H1810" s="3" t="s">
        <v>18</v>
      </c>
      <c r="I1810" s="3" t="s">
        <v>19</v>
      </c>
      <c r="J1810" s="3" t="s">
        <v>19</v>
      </c>
      <c r="K1810" s="3" t="s">
        <v>25</v>
      </c>
      <c r="L1810" s="3">
        <v>39.75</v>
      </c>
      <c r="M1810" s="3" t="s">
        <v>1695</v>
      </c>
      <c r="N1810" s="3" t="s">
        <v>1696</v>
      </c>
      <c r="O1810" s="3">
        <v>1.87288966357E11</v>
      </c>
    </row>
    <row r="1811">
      <c r="A1811" s="3">
        <v>2603533.0</v>
      </c>
      <c r="B1811" s="3" t="s">
        <v>3953</v>
      </c>
      <c r="C1811" s="3" t="b">
        <v>0</v>
      </c>
      <c r="D1811" s="3" t="b">
        <v>1</v>
      </c>
      <c r="E1811" s="3" t="s">
        <v>3954</v>
      </c>
      <c r="F1811" s="3" t="s">
        <v>3955</v>
      </c>
      <c r="G1811" s="4">
        <f>+251979282344</f>
        <v>251979282344</v>
      </c>
      <c r="H1811" s="3" t="s">
        <v>18</v>
      </c>
      <c r="I1811" s="3" t="s">
        <v>19</v>
      </c>
      <c r="J1811" s="3" t="s">
        <v>19</v>
      </c>
      <c r="K1811" s="3" t="s">
        <v>20</v>
      </c>
      <c r="L1811" s="3">
        <v>25.36</v>
      </c>
      <c r="M1811" s="3" t="s">
        <v>1695</v>
      </c>
      <c r="N1811" s="3" t="s">
        <v>1696</v>
      </c>
      <c r="O1811" s="3">
        <v>1.87289884883E11</v>
      </c>
    </row>
    <row r="1812">
      <c r="A1812" s="3">
        <v>2603575.0</v>
      </c>
      <c r="B1812" s="3" t="s">
        <v>3956</v>
      </c>
      <c r="C1812" s="3" t="b">
        <v>0</v>
      </c>
      <c r="D1812" s="3" t="b">
        <v>1</v>
      </c>
      <c r="E1812" s="3" t="s">
        <v>3803</v>
      </c>
      <c r="F1812" s="3" t="s">
        <v>1803</v>
      </c>
      <c r="G1812" s="4">
        <f>+251926280474</f>
        <v>251926280474</v>
      </c>
      <c r="H1812" s="3" t="s">
        <v>18</v>
      </c>
      <c r="I1812" s="3" t="s">
        <v>19</v>
      </c>
      <c r="J1812" s="3" t="s">
        <v>19</v>
      </c>
      <c r="K1812" s="3" t="s">
        <v>25</v>
      </c>
      <c r="L1812" s="3">
        <v>26.03</v>
      </c>
      <c r="M1812" s="3" t="s">
        <v>1695</v>
      </c>
      <c r="N1812" s="3" t="s">
        <v>1696</v>
      </c>
      <c r="O1812" s="3">
        <v>1.87289639125E11</v>
      </c>
    </row>
    <row r="1813">
      <c r="A1813" s="3">
        <v>2603602.0</v>
      </c>
      <c r="B1813" s="3" t="s">
        <v>3957</v>
      </c>
      <c r="C1813" s="3" t="b">
        <v>1</v>
      </c>
      <c r="D1813" s="3" t="b">
        <v>1</v>
      </c>
      <c r="E1813" s="3" t="s">
        <v>412</v>
      </c>
      <c r="F1813" s="3" t="s">
        <v>55</v>
      </c>
      <c r="G1813" s="4">
        <f>+251930921671</f>
        <v>251930921671</v>
      </c>
      <c r="H1813" s="3" t="s">
        <v>18</v>
      </c>
      <c r="I1813" s="3" t="s">
        <v>19</v>
      </c>
      <c r="J1813" s="3" t="s">
        <v>19</v>
      </c>
      <c r="K1813" s="3" t="s">
        <v>25</v>
      </c>
      <c r="L1813" s="3">
        <v>30.03</v>
      </c>
      <c r="M1813" s="3" t="s">
        <v>1695</v>
      </c>
      <c r="N1813" s="3" t="s">
        <v>1696</v>
      </c>
      <c r="O1813" s="3">
        <v>1.87488077036E11</v>
      </c>
    </row>
    <row r="1814">
      <c r="A1814" s="3">
        <v>2603708.0</v>
      </c>
      <c r="B1814" s="3" t="s">
        <v>3958</v>
      </c>
      <c r="C1814" s="3" t="b">
        <v>1</v>
      </c>
      <c r="D1814" s="3" t="b">
        <v>1</v>
      </c>
      <c r="E1814" s="3" t="s">
        <v>404</v>
      </c>
      <c r="F1814" s="3" t="s">
        <v>3959</v>
      </c>
      <c r="G1814" s="4">
        <f>+251921341268</f>
        <v>251921341268</v>
      </c>
      <c r="H1814" s="3" t="s">
        <v>18</v>
      </c>
      <c r="I1814" s="3" t="s">
        <v>19</v>
      </c>
      <c r="J1814" s="3" t="s">
        <v>19</v>
      </c>
      <c r="K1814" s="3" t="s">
        <v>25</v>
      </c>
      <c r="L1814" s="3">
        <v>33.85</v>
      </c>
      <c r="M1814" s="3" t="s">
        <v>1695</v>
      </c>
      <c r="N1814" s="3" t="s">
        <v>1696</v>
      </c>
      <c r="O1814" s="3">
        <v>182734.0</v>
      </c>
    </row>
    <row r="1815">
      <c r="A1815" s="3">
        <v>2603779.0</v>
      </c>
      <c r="B1815" s="3" t="s">
        <v>3960</v>
      </c>
      <c r="C1815" s="3" t="b">
        <v>1</v>
      </c>
      <c r="D1815" s="3" t="b">
        <v>1</v>
      </c>
      <c r="E1815" s="3" t="s">
        <v>760</v>
      </c>
      <c r="F1815" s="3" t="s">
        <v>70</v>
      </c>
      <c r="G1815" s="4">
        <f>+10921296264</f>
        <v>10921296264</v>
      </c>
      <c r="H1815" s="3" t="s">
        <v>18</v>
      </c>
      <c r="I1815" s="3" t="s">
        <v>19</v>
      </c>
      <c r="J1815" s="3" t="s">
        <v>19</v>
      </c>
      <c r="K1815" s="3" t="s">
        <v>20</v>
      </c>
      <c r="L1815" s="3">
        <v>27.03</v>
      </c>
      <c r="M1815" s="3" t="s">
        <v>1695</v>
      </c>
      <c r="N1815" s="3" t="s">
        <v>1696</v>
      </c>
      <c r="O1815" s="3">
        <v>1.87728716993E11</v>
      </c>
    </row>
    <row r="1816">
      <c r="A1816" s="3">
        <v>2603795.0</v>
      </c>
      <c r="B1816" s="3" t="s">
        <v>3961</v>
      </c>
      <c r="C1816" s="3" t="b">
        <v>0</v>
      </c>
      <c r="D1816" s="3" t="b">
        <v>1</v>
      </c>
      <c r="E1816" s="3" t="s">
        <v>3962</v>
      </c>
      <c r="F1816" s="3" t="s">
        <v>314</v>
      </c>
      <c r="G1816" s="4">
        <f>+251919147456</f>
        <v>251919147456</v>
      </c>
      <c r="H1816" s="3" t="s">
        <v>18</v>
      </c>
      <c r="I1816" s="3" t="s">
        <v>19</v>
      </c>
      <c r="J1816" s="3" t="s">
        <v>19</v>
      </c>
      <c r="K1816" s="3" t="s">
        <v>25</v>
      </c>
      <c r="L1816" s="3">
        <v>23.03</v>
      </c>
      <c r="M1816" s="3" t="s">
        <v>1695</v>
      </c>
      <c r="N1816" s="3" t="s">
        <v>1696</v>
      </c>
      <c r="O1816" s="3">
        <v>1.87783881972E11</v>
      </c>
    </row>
    <row r="1817">
      <c r="A1817" s="3">
        <v>2603800.0</v>
      </c>
      <c r="B1817" s="3" t="s">
        <v>3963</v>
      </c>
      <c r="C1817" s="3" t="b">
        <v>1</v>
      </c>
      <c r="D1817" s="3" t="b">
        <v>1</v>
      </c>
      <c r="E1817" s="3" t="s">
        <v>3964</v>
      </c>
      <c r="F1817" s="3" t="s">
        <v>3965</v>
      </c>
      <c r="G1817" s="4">
        <f>+251933908705</f>
        <v>251933908705</v>
      </c>
      <c r="H1817" s="3" t="s">
        <v>18</v>
      </c>
      <c r="I1817" s="3" t="s">
        <v>19</v>
      </c>
      <c r="J1817" s="3" t="s">
        <v>19</v>
      </c>
      <c r="K1817" s="3" t="s">
        <v>25</v>
      </c>
      <c r="L1817" s="3">
        <v>27.02</v>
      </c>
      <c r="M1817" s="3" t="s">
        <v>1695</v>
      </c>
      <c r="N1817" s="3" t="s">
        <v>1696</v>
      </c>
      <c r="O1817" s="3">
        <v>8869447.0</v>
      </c>
    </row>
    <row r="1818">
      <c r="A1818" s="3">
        <v>2597204.0</v>
      </c>
      <c r="B1818" s="3" t="s">
        <v>3966</v>
      </c>
      <c r="C1818" s="3" t="b">
        <v>1</v>
      </c>
      <c r="D1818" s="3" t="b">
        <v>1</v>
      </c>
      <c r="E1818" s="3" t="s">
        <v>1104</v>
      </c>
      <c r="F1818" s="3" t="s">
        <v>3967</v>
      </c>
      <c r="G1818" s="4">
        <f>+251954355997</f>
        <v>251954355997</v>
      </c>
      <c r="H1818" s="3" t="s">
        <v>18</v>
      </c>
      <c r="I1818" s="3" t="s">
        <v>19</v>
      </c>
      <c r="J1818" s="3" t="s">
        <v>19</v>
      </c>
      <c r="K1818" s="3" t="s">
        <v>25</v>
      </c>
      <c r="L1818" s="3">
        <v>29.41</v>
      </c>
      <c r="M1818" s="3" t="s">
        <v>1695</v>
      </c>
      <c r="N1818" s="3" t="s">
        <v>1696</v>
      </c>
      <c r="O1818" s="3">
        <v>1857528.0</v>
      </c>
    </row>
    <row r="1819">
      <c r="A1819" s="3">
        <v>2603978.0</v>
      </c>
      <c r="B1819" s="3" t="s">
        <v>3968</v>
      </c>
      <c r="C1819" s="3" t="b">
        <v>0</v>
      </c>
      <c r="D1819" s="3" t="b">
        <v>1</v>
      </c>
      <c r="E1819" s="3" t="s">
        <v>3969</v>
      </c>
      <c r="F1819" s="3" t="s">
        <v>596</v>
      </c>
      <c r="G1819" s="4">
        <f>+25191949191993</f>
        <v>25191949191993</v>
      </c>
      <c r="H1819" s="3" t="s">
        <v>18</v>
      </c>
      <c r="I1819" s="3" t="s">
        <v>19</v>
      </c>
      <c r="J1819" s="3" t="s">
        <v>19</v>
      </c>
      <c r="K1819" s="3" t="s">
        <v>20</v>
      </c>
      <c r="L1819" s="3">
        <v>26.03</v>
      </c>
      <c r="M1819" s="3" t="s">
        <v>1695</v>
      </c>
      <c r="N1819" s="3" t="s">
        <v>1696</v>
      </c>
      <c r="O1819" s="3">
        <v>1.87815542006E11</v>
      </c>
    </row>
    <row r="1820">
      <c r="A1820" s="3">
        <v>2603135.0</v>
      </c>
      <c r="B1820" s="3" t="s">
        <v>3970</v>
      </c>
      <c r="C1820" s="3" t="b">
        <v>0</v>
      </c>
      <c r="D1820" s="3" t="b">
        <v>1</v>
      </c>
      <c r="E1820" s="3" t="s">
        <v>3971</v>
      </c>
      <c r="F1820" s="3" t="s">
        <v>3972</v>
      </c>
      <c r="G1820" s="4">
        <f>+251982014164</f>
        <v>251982014164</v>
      </c>
      <c r="H1820" s="3" t="s">
        <v>18</v>
      </c>
      <c r="I1820" s="3" t="s">
        <v>19</v>
      </c>
      <c r="J1820" s="3" t="s">
        <v>19</v>
      </c>
      <c r="K1820" s="3" t="s">
        <v>25</v>
      </c>
      <c r="L1820" s="3">
        <v>27.03</v>
      </c>
      <c r="M1820" s="3" t="s">
        <v>1695</v>
      </c>
      <c r="N1820" s="3" t="s">
        <v>1696</v>
      </c>
      <c r="O1820" s="3">
        <v>1.87081427142E11</v>
      </c>
    </row>
    <row r="1821">
      <c r="A1821" s="3">
        <v>2604196.0</v>
      </c>
      <c r="B1821" s="3" t="s">
        <v>3973</v>
      </c>
      <c r="C1821" s="3" t="b">
        <v>0</v>
      </c>
      <c r="D1821" s="3" t="b">
        <v>1</v>
      </c>
      <c r="E1821" s="3" t="s">
        <v>3974</v>
      </c>
      <c r="F1821" s="3" t="s">
        <v>422</v>
      </c>
      <c r="G1821" s="4">
        <f>+251922969673</f>
        <v>251922969673</v>
      </c>
      <c r="H1821" s="3" t="s">
        <v>18</v>
      </c>
      <c r="I1821" s="3" t="s">
        <v>19</v>
      </c>
      <c r="J1821" s="3" t="s">
        <v>19</v>
      </c>
      <c r="K1821" s="3" t="s">
        <v>20</v>
      </c>
      <c r="L1821" s="3">
        <v>24.03</v>
      </c>
      <c r="M1821" s="3" t="s">
        <v>1695</v>
      </c>
      <c r="N1821" s="3" t="s">
        <v>1696</v>
      </c>
      <c r="O1821" s="3">
        <v>1.87905447134E11</v>
      </c>
    </row>
    <row r="1822">
      <c r="A1822" s="3">
        <v>2604538.0</v>
      </c>
      <c r="B1822" s="3" t="s">
        <v>3975</v>
      </c>
      <c r="C1822" s="3" t="b">
        <v>0</v>
      </c>
      <c r="D1822" s="3" t="b">
        <v>1</v>
      </c>
      <c r="E1822" s="3" t="s">
        <v>2610</v>
      </c>
      <c r="F1822" s="3" t="s">
        <v>3976</v>
      </c>
      <c r="G1822" s="4">
        <f>+251949438187</f>
        <v>251949438187</v>
      </c>
      <c r="H1822" s="3" t="s">
        <v>18</v>
      </c>
      <c r="I1822" s="3" t="s">
        <v>19</v>
      </c>
      <c r="J1822" s="3" t="s">
        <v>19</v>
      </c>
      <c r="K1822" s="3" t="s">
        <v>20</v>
      </c>
      <c r="L1822" s="3">
        <v>19.28</v>
      </c>
      <c r="M1822" s="3" t="s">
        <v>1695</v>
      </c>
      <c r="N1822" s="3" t="s">
        <v>1696</v>
      </c>
      <c r="O1822" s="3">
        <v>1.88111164653E11</v>
      </c>
    </row>
    <row r="1823">
      <c r="A1823" s="3">
        <v>2604630.0</v>
      </c>
      <c r="B1823" s="3" t="s">
        <v>3977</v>
      </c>
      <c r="C1823" s="3" t="b">
        <v>1</v>
      </c>
      <c r="D1823" s="3" t="b">
        <v>1</v>
      </c>
      <c r="E1823" s="3" t="s">
        <v>270</v>
      </c>
      <c r="F1823" s="3" t="s">
        <v>271</v>
      </c>
      <c r="G1823" s="4">
        <f>+251949573375</f>
        <v>251949573375</v>
      </c>
      <c r="H1823" s="3" t="s">
        <v>18</v>
      </c>
      <c r="I1823" s="3" t="s">
        <v>19</v>
      </c>
      <c r="J1823" s="3" t="s">
        <v>19</v>
      </c>
      <c r="K1823" s="3" t="s">
        <v>20</v>
      </c>
      <c r="L1823" s="3">
        <v>21.85</v>
      </c>
      <c r="M1823" s="3" t="s">
        <v>1695</v>
      </c>
      <c r="N1823" s="3" t="s">
        <v>1696</v>
      </c>
      <c r="O1823" s="3">
        <v>1.88127593702E11</v>
      </c>
    </row>
    <row r="1824">
      <c r="A1824" s="3">
        <v>2604823.0</v>
      </c>
      <c r="B1824" s="3" t="s">
        <v>3978</v>
      </c>
      <c r="C1824" s="3" t="b">
        <v>1</v>
      </c>
      <c r="D1824" s="3" t="b">
        <v>1</v>
      </c>
      <c r="E1824" s="3" t="s">
        <v>3979</v>
      </c>
      <c r="F1824" s="3" t="s">
        <v>1074</v>
      </c>
      <c r="G1824" s="4">
        <f>+251943300395</f>
        <v>251943300395</v>
      </c>
      <c r="H1824" s="3" t="s">
        <v>18</v>
      </c>
      <c r="I1824" s="3" t="s">
        <v>19</v>
      </c>
      <c r="J1824" s="3" t="s">
        <v>19</v>
      </c>
      <c r="K1824" s="3" t="s">
        <v>25</v>
      </c>
      <c r="L1824" s="3">
        <v>25.98</v>
      </c>
      <c r="M1824" s="3" t="s">
        <v>1695</v>
      </c>
      <c r="N1824" s="3" t="s">
        <v>1696</v>
      </c>
      <c r="O1824" s="3">
        <v>1.88273402045E11</v>
      </c>
    </row>
    <row r="1825">
      <c r="A1825" s="3">
        <v>2604948.0</v>
      </c>
      <c r="B1825" s="3" t="s">
        <v>3980</v>
      </c>
      <c r="C1825" s="3" t="b">
        <v>1</v>
      </c>
      <c r="D1825" s="3" t="b">
        <v>1</v>
      </c>
      <c r="E1825" s="3" t="s">
        <v>3981</v>
      </c>
      <c r="F1825" s="3" t="s">
        <v>755</v>
      </c>
      <c r="G1825" s="4">
        <f>+251910823078</f>
        <v>251910823078</v>
      </c>
      <c r="H1825" s="3" t="s">
        <v>106</v>
      </c>
      <c r="I1825" s="3" t="s">
        <v>19</v>
      </c>
      <c r="J1825" s="3" t="s">
        <v>19</v>
      </c>
      <c r="K1825" s="3" t="s">
        <v>25</v>
      </c>
      <c r="L1825" s="3">
        <v>29.23</v>
      </c>
      <c r="M1825" s="3" t="s">
        <v>1695</v>
      </c>
      <c r="N1825" s="3" t="s">
        <v>1696</v>
      </c>
      <c r="O1825" s="3">
        <v>1.88277296362E11</v>
      </c>
    </row>
    <row r="1826">
      <c r="A1826" s="3">
        <v>2605353.0</v>
      </c>
      <c r="B1826" s="3" t="s">
        <v>3982</v>
      </c>
      <c r="C1826" s="3" t="b">
        <v>0</v>
      </c>
      <c r="D1826" s="3" t="b">
        <v>1</v>
      </c>
      <c r="E1826" s="3" t="s">
        <v>3983</v>
      </c>
      <c r="F1826" s="3" t="s">
        <v>513</v>
      </c>
      <c r="G1826" s="4">
        <f>+251917688098</f>
        <v>251917688098</v>
      </c>
      <c r="H1826" s="3" t="s">
        <v>18</v>
      </c>
      <c r="I1826" s="3" t="s">
        <v>19</v>
      </c>
      <c r="J1826" s="3" t="s">
        <v>19</v>
      </c>
      <c r="K1826" s="3" t="s">
        <v>20</v>
      </c>
      <c r="L1826" s="3">
        <v>23.03</v>
      </c>
      <c r="M1826" s="3" t="s">
        <v>1695</v>
      </c>
      <c r="N1826" s="3" t="s">
        <v>1696</v>
      </c>
      <c r="O1826" s="3">
        <v>1.88466967764E11</v>
      </c>
    </row>
    <row r="1827">
      <c r="A1827" s="3">
        <v>2605356.0</v>
      </c>
      <c r="B1827" s="3" t="s">
        <v>3984</v>
      </c>
      <c r="C1827" s="3" t="b">
        <v>0</v>
      </c>
      <c r="D1827" s="3" t="b">
        <v>1</v>
      </c>
      <c r="E1827" s="3" t="s">
        <v>58</v>
      </c>
      <c r="F1827" s="3" t="s">
        <v>1271</v>
      </c>
      <c r="G1827" s="4">
        <f>+251934391408</f>
        <v>251934391408</v>
      </c>
      <c r="H1827" s="3" t="s">
        <v>18</v>
      </c>
      <c r="I1827" s="3" t="s">
        <v>19</v>
      </c>
      <c r="J1827" s="3" t="s">
        <v>19</v>
      </c>
      <c r="K1827" s="3" t="s">
        <v>25</v>
      </c>
      <c r="L1827" s="3">
        <v>23.03</v>
      </c>
      <c r="M1827" s="3" t="s">
        <v>1695</v>
      </c>
      <c r="N1827" s="3" t="s">
        <v>1696</v>
      </c>
      <c r="O1827" s="3">
        <v>1.88521222373E11</v>
      </c>
    </row>
    <row r="1828">
      <c r="A1828" s="3">
        <v>2605439.0</v>
      </c>
      <c r="B1828" s="3" t="s">
        <v>3985</v>
      </c>
      <c r="C1828" s="3" t="b">
        <v>0</v>
      </c>
      <c r="D1828" s="3" t="b">
        <v>1</v>
      </c>
      <c r="E1828" s="3" t="s">
        <v>1321</v>
      </c>
      <c r="F1828" s="3" t="s">
        <v>66</v>
      </c>
      <c r="G1828" s="4">
        <f>+251978818197</f>
        <v>251978818197</v>
      </c>
      <c r="H1828" s="3" t="s">
        <v>18</v>
      </c>
      <c r="I1828" s="3" t="s">
        <v>19</v>
      </c>
      <c r="J1828" s="3" t="s">
        <v>19</v>
      </c>
      <c r="K1828" s="3" t="s">
        <v>25</v>
      </c>
      <c r="L1828" s="3">
        <v>28.03</v>
      </c>
      <c r="M1828" s="3" t="s">
        <v>1695</v>
      </c>
      <c r="N1828" s="3" t="s">
        <v>1696</v>
      </c>
      <c r="O1828" s="3">
        <v>1.88587332823E11</v>
      </c>
    </row>
    <row r="1829">
      <c r="A1829" s="3">
        <v>2605467.0</v>
      </c>
      <c r="B1829" s="3" t="s">
        <v>3986</v>
      </c>
      <c r="C1829" s="3" t="b">
        <v>0</v>
      </c>
      <c r="D1829" s="3" t="b">
        <v>1</v>
      </c>
      <c r="E1829" s="3" t="s">
        <v>522</v>
      </c>
      <c r="F1829" s="3" t="s">
        <v>1882</v>
      </c>
      <c r="G1829" s="4">
        <f>+251908061599</f>
        <v>251908061599</v>
      </c>
      <c r="H1829" s="3" t="s">
        <v>18</v>
      </c>
      <c r="I1829" s="3" t="s">
        <v>19</v>
      </c>
      <c r="J1829" s="3" t="s">
        <v>19</v>
      </c>
      <c r="K1829" s="3" t="s">
        <v>20</v>
      </c>
      <c r="L1829" s="3">
        <v>22.94</v>
      </c>
      <c r="M1829" s="3" t="s">
        <v>1695</v>
      </c>
      <c r="N1829" s="3" t="s">
        <v>1696</v>
      </c>
      <c r="O1829" s="3">
        <v>1.88588677342E11</v>
      </c>
    </row>
    <row r="1830">
      <c r="A1830" s="3">
        <v>2605500.0</v>
      </c>
      <c r="B1830" s="3" t="s">
        <v>3987</v>
      </c>
      <c r="C1830" s="3" t="b">
        <v>0</v>
      </c>
      <c r="D1830" s="3" t="b">
        <v>1</v>
      </c>
      <c r="E1830" s="3" t="s">
        <v>531</v>
      </c>
      <c r="F1830" s="3" t="s">
        <v>3988</v>
      </c>
      <c r="G1830" s="4">
        <f>+251917691769</f>
        <v>251917691769</v>
      </c>
      <c r="H1830" s="3" t="s">
        <v>18</v>
      </c>
      <c r="I1830" s="3" t="s">
        <v>19</v>
      </c>
      <c r="J1830" s="3" t="s">
        <v>19</v>
      </c>
      <c r="K1830" s="3" t="s">
        <v>20</v>
      </c>
      <c r="L1830" s="3">
        <v>37.18</v>
      </c>
      <c r="M1830" s="3" t="s">
        <v>1695</v>
      </c>
      <c r="N1830" s="3" t="s">
        <v>1696</v>
      </c>
      <c r="O1830" s="3">
        <v>1.8855225671E11</v>
      </c>
    </row>
    <row r="1831">
      <c r="A1831" s="3">
        <v>2605525.0</v>
      </c>
      <c r="B1831" s="3" t="s">
        <v>3989</v>
      </c>
      <c r="C1831" s="3" t="b">
        <v>0</v>
      </c>
      <c r="D1831" s="3" t="b">
        <v>1</v>
      </c>
      <c r="E1831" s="3" t="s">
        <v>3990</v>
      </c>
      <c r="F1831" s="3" t="s">
        <v>3991</v>
      </c>
      <c r="G1831" s="4">
        <f>+251923606033</f>
        <v>251923606033</v>
      </c>
      <c r="H1831" s="3" t="s">
        <v>18</v>
      </c>
      <c r="I1831" s="3" t="s">
        <v>19</v>
      </c>
      <c r="J1831" s="3" t="s">
        <v>19</v>
      </c>
      <c r="K1831" s="3" t="s">
        <v>20</v>
      </c>
      <c r="L1831" s="3">
        <v>25.18</v>
      </c>
      <c r="M1831" s="3" t="s">
        <v>1695</v>
      </c>
      <c r="N1831" s="3" t="s">
        <v>1696</v>
      </c>
      <c r="O1831" s="3">
        <v>1.88557944003E11</v>
      </c>
    </row>
    <row r="1832">
      <c r="A1832" s="3">
        <v>2605570.0</v>
      </c>
      <c r="B1832" s="3" t="s">
        <v>3992</v>
      </c>
      <c r="C1832" s="3" t="b">
        <v>0</v>
      </c>
      <c r="D1832" s="3" t="b">
        <v>1</v>
      </c>
      <c r="E1832" s="3" t="s">
        <v>1801</v>
      </c>
      <c r="F1832" s="3" t="s">
        <v>684</v>
      </c>
      <c r="G1832" s="4">
        <f>+251900405225</f>
        <v>251900405225</v>
      </c>
      <c r="H1832" s="3" t="s">
        <v>18</v>
      </c>
      <c r="I1832" s="3" t="s">
        <v>19</v>
      </c>
      <c r="J1832" s="3" t="s">
        <v>19</v>
      </c>
      <c r="K1832" s="3" t="s">
        <v>20</v>
      </c>
      <c r="L1832" s="3">
        <v>22.41</v>
      </c>
      <c r="M1832" s="3" t="s">
        <v>1695</v>
      </c>
      <c r="N1832" s="3" t="s">
        <v>1696</v>
      </c>
      <c r="O1832" s="3">
        <v>1.88563527873E11</v>
      </c>
    </row>
    <row r="1833">
      <c r="A1833" s="3">
        <v>2605562.0</v>
      </c>
      <c r="B1833" s="3" t="s">
        <v>3993</v>
      </c>
      <c r="C1833" s="3" t="b">
        <v>0</v>
      </c>
      <c r="D1833" s="3" t="b">
        <v>1</v>
      </c>
      <c r="E1833" s="3" t="s">
        <v>1438</v>
      </c>
      <c r="F1833" s="3" t="s">
        <v>3994</v>
      </c>
      <c r="G1833" s="4">
        <f>+251945216007</f>
        <v>251945216007</v>
      </c>
      <c r="H1833" s="3" t="s">
        <v>18</v>
      </c>
      <c r="I1833" s="3" t="s">
        <v>19</v>
      </c>
      <c r="J1833" s="3" t="s">
        <v>19</v>
      </c>
      <c r="K1833" s="3" t="s">
        <v>25</v>
      </c>
      <c r="L1833" s="3">
        <v>23.03</v>
      </c>
      <c r="M1833" s="3" t="s">
        <v>1695</v>
      </c>
      <c r="N1833" s="3" t="s">
        <v>1696</v>
      </c>
      <c r="O1833" s="3">
        <v>1.88686524602E11</v>
      </c>
    </row>
    <row r="1834">
      <c r="A1834" s="3">
        <v>2605581.0</v>
      </c>
      <c r="B1834" s="3" t="s">
        <v>3995</v>
      </c>
      <c r="C1834" s="3" t="b">
        <v>0</v>
      </c>
      <c r="D1834" s="3" t="b">
        <v>1</v>
      </c>
      <c r="E1834" s="3" t="s">
        <v>1208</v>
      </c>
      <c r="F1834" s="3" t="s">
        <v>918</v>
      </c>
      <c r="G1834" s="4">
        <f>+251968581331</f>
        <v>251968581331</v>
      </c>
      <c r="H1834" s="3" t="s">
        <v>18</v>
      </c>
      <c r="I1834" s="3" t="s">
        <v>19</v>
      </c>
      <c r="J1834" s="3" t="s">
        <v>19</v>
      </c>
      <c r="K1834" s="3" t="s">
        <v>20</v>
      </c>
      <c r="L1834" s="3">
        <v>28.01</v>
      </c>
      <c r="M1834" s="3" t="s">
        <v>1695</v>
      </c>
      <c r="N1834" s="3" t="s">
        <v>1696</v>
      </c>
      <c r="O1834" s="3">
        <v>1.8868989049E11</v>
      </c>
    </row>
    <row r="1835">
      <c r="A1835" s="3">
        <v>2605585.0</v>
      </c>
      <c r="B1835" s="3" t="s">
        <v>3996</v>
      </c>
      <c r="C1835" s="3" t="b">
        <v>0</v>
      </c>
      <c r="D1835" s="3" t="b">
        <v>1</v>
      </c>
      <c r="E1835" s="3" t="s">
        <v>3997</v>
      </c>
      <c r="F1835" s="3" t="s">
        <v>684</v>
      </c>
      <c r="G1835" s="4">
        <f>+251928738675</f>
        <v>251928738675</v>
      </c>
      <c r="H1835" s="3" t="s">
        <v>18</v>
      </c>
      <c r="I1835" s="3" t="s">
        <v>19</v>
      </c>
      <c r="J1835" s="3" t="s">
        <v>19</v>
      </c>
      <c r="K1835" s="3" t="s">
        <v>20</v>
      </c>
      <c r="L1835" s="3">
        <v>17.44</v>
      </c>
      <c r="M1835" s="3" t="s">
        <v>1695</v>
      </c>
      <c r="N1835" s="3" t="s">
        <v>1696</v>
      </c>
      <c r="O1835" s="3">
        <v>1.88567960772E11</v>
      </c>
    </row>
    <row r="1836">
      <c r="A1836" s="3">
        <v>2605601.0</v>
      </c>
      <c r="B1836" s="3" t="s">
        <v>3998</v>
      </c>
      <c r="C1836" s="3" t="b">
        <v>0</v>
      </c>
      <c r="D1836" s="3" t="b">
        <v>1</v>
      </c>
      <c r="E1836" s="3" t="s">
        <v>697</v>
      </c>
      <c r="F1836" s="3" t="s">
        <v>684</v>
      </c>
      <c r="G1836" s="4">
        <f>+251975130230</f>
        <v>251975130230</v>
      </c>
      <c r="H1836" s="3" t="s">
        <v>18</v>
      </c>
      <c r="I1836" s="3" t="s">
        <v>19</v>
      </c>
      <c r="J1836" s="3" t="s">
        <v>19</v>
      </c>
      <c r="K1836" s="3" t="s">
        <v>20</v>
      </c>
      <c r="L1836" s="3">
        <v>25.26</v>
      </c>
      <c r="M1836" s="3" t="s">
        <v>1695</v>
      </c>
      <c r="N1836" s="3" t="s">
        <v>1696</v>
      </c>
      <c r="O1836" s="3">
        <v>1.88629948602E11</v>
      </c>
    </row>
    <row r="1837">
      <c r="A1837" s="3">
        <v>2605598.0</v>
      </c>
      <c r="B1837" s="3" t="s">
        <v>3999</v>
      </c>
      <c r="C1837" s="3" t="b">
        <v>0</v>
      </c>
      <c r="D1837" s="3" t="b">
        <v>1</v>
      </c>
      <c r="E1837" s="3" t="s">
        <v>496</v>
      </c>
      <c r="F1837" s="3" t="s">
        <v>596</v>
      </c>
      <c r="G1837" s="4">
        <f>+251912845685</f>
        <v>251912845685</v>
      </c>
      <c r="H1837" s="3" t="s">
        <v>18</v>
      </c>
      <c r="I1837" s="3" t="s">
        <v>19</v>
      </c>
      <c r="J1837" s="3" t="s">
        <v>19</v>
      </c>
      <c r="K1837" s="3" t="s">
        <v>20</v>
      </c>
      <c r="L1837" s="3">
        <v>24.87</v>
      </c>
      <c r="M1837" s="3" t="s">
        <v>1695</v>
      </c>
      <c r="N1837" s="3" t="s">
        <v>1696</v>
      </c>
    </row>
    <row r="1838">
      <c r="A1838" s="3">
        <v>2605636.0</v>
      </c>
      <c r="B1838" s="3" t="s">
        <v>4000</v>
      </c>
      <c r="C1838" s="3" t="b">
        <v>0</v>
      </c>
      <c r="D1838" s="3" t="b">
        <v>1</v>
      </c>
      <c r="E1838" s="3" t="s">
        <v>4001</v>
      </c>
      <c r="F1838" s="3" t="s">
        <v>4002</v>
      </c>
      <c r="G1838" s="4">
        <f>+251994425660</f>
        <v>251994425660</v>
      </c>
      <c r="H1838" s="3" t="s">
        <v>18</v>
      </c>
      <c r="I1838" s="3" t="s">
        <v>19</v>
      </c>
      <c r="J1838" s="3" t="s">
        <v>19</v>
      </c>
      <c r="K1838" s="3" t="s">
        <v>20</v>
      </c>
      <c r="L1838" s="3">
        <v>25.03</v>
      </c>
      <c r="M1838" s="3" t="s">
        <v>1695</v>
      </c>
      <c r="N1838" s="3" t="s">
        <v>1696</v>
      </c>
      <c r="O1838" s="3">
        <v>1.88571435234E11</v>
      </c>
    </row>
    <row r="1839">
      <c r="A1839" s="3">
        <v>2605641.0</v>
      </c>
      <c r="B1839" s="3" t="s">
        <v>4003</v>
      </c>
      <c r="C1839" s="3" t="b">
        <v>0</v>
      </c>
      <c r="D1839" s="3" t="b">
        <v>1</v>
      </c>
      <c r="E1839" s="3" t="s">
        <v>4004</v>
      </c>
      <c r="F1839" s="3" t="s">
        <v>3919</v>
      </c>
      <c r="G1839" s="4">
        <f>+251955296193</f>
        <v>251955296193</v>
      </c>
      <c r="H1839" s="3" t="s">
        <v>18</v>
      </c>
      <c r="I1839" s="3" t="s">
        <v>19</v>
      </c>
      <c r="J1839" s="3" t="s">
        <v>19</v>
      </c>
      <c r="K1839" s="3" t="s">
        <v>25</v>
      </c>
      <c r="L1839" s="3">
        <v>25.42</v>
      </c>
      <c r="M1839" s="3" t="s">
        <v>1695</v>
      </c>
      <c r="N1839" s="3" t="s">
        <v>1696</v>
      </c>
      <c r="O1839" s="3">
        <v>1.88701506761E11</v>
      </c>
    </row>
    <row r="1840">
      <c r="A1840" s="3">
        <v>2605655.0</v>
      </c>
      <c r="B1840" s="3" t="s">
        <v>4005</v>
      </c>
      <c r="C1840" s="3" t="b">
        <v>0</v>
      </c>
      <c r="D1840" s="3" t="b">
        <v>1</v>
      </c>
      <c r="E1840" s="3" t="s">
        <v>496</v>
      </c>
      <c r="F1840" s="3" t="s">
        <v>3750</v>
      </c>
      <c r="G1840" s="4">
        <f>+251912845685</f>
        <v>251912845685</v>
      </c>
      <c r="H1840" s="3" t="s">
        <v>18</v>
      </c>
      <c r="I1840" s="3" t="s">
        <v>19</v>
      </c>
      <c r="J1840" s="3" t="s">
        <v>19</v>
      </c>
      <c r="K1840" s="3" t="s">
        <v>20</v>
      </c>
      <c r="L1840" s="3">
        <v>25.03</v>
      </c>
      <c r="M1840" s="3" t="s">
        <v>1695</v>
      </c>
      <c r="N1840" s="3" t="s">
        <v>1696</v>
      </c>
      <c r="O1840" s="3">
        <v>1.88676538576E11</v>
      </c>
    </row>
    <row r="1841">
      <c r="A1841" s="3">
        <v>2605656.0</v>
      </c>
      <c r="B1841" s="3" t="s">
        <v>4006</v>
      </c>
      <c r="C1841" s="3" t="b">
        <v>0</v>
      </c>
      <c r="D1841" s="3" t="b">
        <v>1</v>
      </c>
      <c r="E1841" s="3" t="s">
        <v>787</v>
      </c>
      <c r="F1841" s="3" t="s">
        <v>4007</v>
      </c>
      <c r="G1841" s="4">
        <f>+251937158067</f>
        <v>251937158067</v>
      </c>
      <c r="H1841" s="3" t="s">
        <v>18</v>
      </c>
      <c r="I1841" s="3" t="s">
        <v>19</v>
      </c>
      <c r="J1841" s="3" t="s">
        <v>19</v>
      </c>
      <c r="K1841" s="3" t="s">
        <v>25</v>
      </c>
      <c r="L1841" s="3">
        <v>21.33</v>
      </c>
      <c r="M1841" s="3" t="s">
        <v>1695</v>
      </c>
      <c r="N1841" s="3" t="s">
        <v>1696</v>
      </c>
      <c r="O1841" s="3">
        <v>1.88713268455E11</v>
      </c>
    </row>
    <row r="1842">
      <c r="A1842" s="3">
        <v>2605665.0</v>
      </c>
      <c r="B1842" s="3" t="s">
        <v>4008</v>
      </c>
      <c r="C1842" s="3" t="b">
        <v>0</v>
      </c>
      <c r="D1842" s="3" t="b">
        <v>1</v>
      </c>
      <c r="E1842" s="3" t="s">
        <v>4009</v>
      </c>
      <c r="F1842" s="3" t="s">
        <v>4010</v>
      </c>
      <c r="G1842" s="4">
        <f>+251917365175</f>
        <v>251917365175</v>
      </c>
      <c r="H1842" s="3" t="s">
        <v>18</v>
      </c>
      <c r="I1842" s="3" t="s">
        <v>19</v>
      </c>
      <c r="J1842" s="3" t="s">
        <v>19</v>
      </c>
      <c r="K1842" s="3" t="s">
        <v>25</v>
      </c>
      <c r="L1842" s="3">
        <v>17.44</v>
      </c>
      <c r="M1842" s="3" t="s">
        <v>1695</v>
      </c>
      <c r="N1842" s="3" t="s">
        <v>1696</v>
      </c>
      <c r="O1842" s="3">
        <v>1.88719811776E11</v>
      </c>
    </row>
    <row r="1843">
      <c r="A1843" s="3">
        <v>2605682.0</v>
      </c>
      <c r="B1843" s="3" t="s">
        <v>4011</v>
      </c>
      <c r="C1843" s="3" t="b">
        <v>0</v>
      </c>
      <c r="D1843" s="3" t="b">
        <v>1</v>
      </c>
      <c r="E1843" s="3" t="s">
        <v>2077</v>
      </c>
      <c r="F1843" s="3" t="s">
        <v>1614</v>
      </c>
      <c r="G1843" s="4">
        <f>+251912845685</f>
        <v>251912845685</v>
      </c>
      <c r="H1843" s="3" t="s">
        <v>18</v>
      </c>
      <c r="I1843" s="3" t="s">
        <v>19</v>
      </c>
      <c r="J1843" s="3" t="s">
        <v>19</v>
      </c>
      <c r="K1843" s="3" t="s">
        <v>20</v>
      </c>
      <c r="L1843" s="3">
        <v>25.03</v>
      </c>
      <c r="M1843" s="3" t="s">
        <v>1695</v>
      </c>
      <c r="N1843" s="3" t="s">
        <v>1696</v>
      </c>
      <c r="O1843" s="3">
        <v>1.88645352668E11</v>
      </c>
    </row>
    <row r="1844">
      <c r="A1844" s="3">
        <v>2605828.0</v>
      </c>
      <c r="B1844" s="3" t="s">
        <v>4012</v>
      </c>
      <c r="C1844" s="3" t="b">
        <v>0</v>
      </c>
      <c r="D1844" s="3" t="b">
        <v>1</v>
      </c>
      <c r="E1844" s="3" t="s">
        <v>4013</v>
      </c>
      <c r="F1844" s="3" t="s">
        <v>4014</v>
      </c>
      <c r="G1844" s="4">
        <f>+251910457605</f>
        <v>251910457605</v>
      </c>
      <c r="H1844" s="3" t="s">
        <v>18</v>
      </c>
      <c r="I1844" s="3" t="s">
        <v>19</v>
      </c>
      <c r="J1844" s="3" t="s">
        <v>19</v>
      </c>
      <c r="K1844" s="3" t="s">
        <v>20</v>
      </c>
      <c r="L1844" s="3">
        <v>25.03</v>
      </c>
      <c r="M1844" s="3" t="s">
        <v>1695</v>
      </c>
      <c r="N1844" s="3" t="s">
        <v>1696</v>
      </c>
      <c r="O1844" s="3">
        <v>1.88850236627E11</v>
      </c>
    </row>
    <row r="1845">
      <c r="A1845" s="3">
        <v>2605837.0</v>
      </c>
      <c r="B1845" s="3" t="s">
        <v>4015</v>
      </c>
      <c r="C1845" s="3" t="b">
        <v>0</v>
      </c>
      <c r="D1845" s="3" t="b">
        <v>1</v>
      </c>
      <c r="E1845" s="3" t="s">
        <v>4016</v>
      </c>
      <c r="F1845" s="3" t="s">
        <v>35</v>
      </c>
      <c r="G1845" s="4">
        <f>+251913882291</f>
        <v>251913882291</v>
      </c>
      <c r="H1845" s="3" t="s">
        <v>18</v>
      </c>
      <c r="I1845" s="3" t="s">
        <v>19</v>
      </c>
      <c r="J1845" s="3" t="s">
        <v>19</v>
      </c>
      <c r="K1845" s="3" t="s">
        <v>25</v>
      </c>
      <c r="L1845" s="3">
        <v>26.03</v>
      </c>
      <c r="M1845" s="3" t="s">
        <v>1695</v>
      </c>
      <c r="N1845" s="3" t="s">
        <v>1696</v>
      </c>
      <c r="O1845" s="3">
        <v>1.88853929195E11</v>
      </c>
    </row>
    <row r="1846">
      <c r="A1846" s="3">
        <v>2605853.0</v>
      </c>
      <c r="B1846" s="3" t="s">
        <v>4017</v>
      </c>
      <c r="C1846" s="3" t="b">
        <v>0</v>
      </c>
      <c r="D1846" s="3" t="b">
        <v>1</v>
      </c>
      <c r="E1846" s="3" t="s">
        <v>4018</v>
      </c>
      <c r="F1846" s="3" t="s">
        <v>580</v>
      </c>
      <c r="G1846" s="4">
        <f>+251944623374</f>
        <v>251944623374</v>
      </c>
      <c r="H1846" s="3" t="s">
        <v>18</v>
      </c>
      <c r="I1846" s="3" t="s">
        <v>19</v>
      </c>
      <c r="J1846" s="3" t="s">
        <v>19</v>
      </c>
      <c r="K1846" s="3" t="s">
        <v>20</v>
      </c>
      <c r="L1846" s="3">
        <v>25.11</v>
      </c>
      <c r="M1846" s="3" t="s">
        <v>1695</v>
      </c>
      <c r="N1846" s="3" t="s">
        <v>1696</v>
      </c>
      <c r="O1846" s="3">
        <v>1.88754027721E11</v>
      </c>
    </row>
    <row r="1847">
      <c r="A1847" s="3">
        <v>2605867.0</v>
      </c>
      <c r="B1847" s="3" t="s">
        <v>4019</v>
      </c>
      <c r="C1847" s="3" t="b">
        <v>0</v>
      </c>
      <c r="D1847" s="3" t="b">
        <v>1</v>
      </c>
      <c r="E1847" s="3" t="s">
        <v>4020</v>
      </c>
      <c r="F1847" s="3" t="s">
        <v>510</v>
      </c>
      <c r="G1847" s="4">
        <f>+251900349601</f>
        <v>251900349601</v>
      </c>
      <c r="H1847" s="3" t="s">
        <v>18</v>
      </c>
      <c r="I1847" s="3" t="s">
        <v>19</v>
      </c>
      <c r="J1847" s="3" t="s">
        <v>19</v>
      </c>
      <c r="K1847" s="3" t="s">
        <v>25</v>
      </c>
      <c r="L1847" s="3">
        <v>21.03</v>
      </c>
      <c r="M1847" s="3" t="s">
        <v>1695</v>
      </c>
      <c r="N1847" s="3" t="s">
        <v>1696</v>
      </c>
      <c r="O1847" s="3">
        <v>1.88764130551E11</v>
      </c>
    </row>
    <row r="1848">
      <c r="A1848" s="3">
        <v>2605873.0</v>
      </c>
      <c r="B1848" s="3" t="s">
        <v>4021</v>
      </c>
      <c r="C1848" s="3" t="b">
        <v>0</v>
      </c>
      <c r="D1848" s="3" t="b">
        <v>1</v>
      </c>
      <c r="E1848" s="3" t="s">
        <v>4002</v>
      </c>
      <c r="F1848" s="3" t="s">
        <v>1125</v>
      </c>
      <c r="G1848" s="4">
        <f>+251943155764</f>
        <v>251943155764</v>
      </c>
      <c r="H1848" s="3" t="s">
        <v>18</v>
      </c>
      <c r="I1848" s="3" t="s">
        <v>19</v>
      </c>
      <c r="J1848" s="3" t="s">
        <v>19</v>
      </c>
      <c r="K1848" s="3" t="s">
        <v>25</v>
      </c>
      <c r="L1848" s="3">
        <v>26.03</v>
      </c>
      <c r="M1848" s="3" t="s">
        <v>1695</v>
      </c>
      <c r="N1848" s="3" t="s">
        <v>1696</v>
      </c>
      <c r="O1848" s="3">
        <v>1.8884473368E11</v>
      </c>
    </row>
    <row r="1849">
      <c r="A1849" s="3">
        <v>2605875.0</v>
      </c>
      <c r="B1849" s="3" t="s">
        <v>4022</v>
      </c>
      <c r="C1849" s="3" t="b">
        <v>0</v>
      </c>
      <c r="D1849" s="3" t="b">
        <v>1</v>
      </c>
      <c r="E1849" s="3" t="s">
        <v>279</v>
      </c>
      <c r="F1849" s="3" t="s">
        <v>1321</v>
      </c>
      <c r="G1849" s="4">
        <f>+251984564193</f>
        <v>251984564193</v>
      </c>
      <c r="H1849" s="3" t="s">
        <v>18</v>
      </c>
      <c r="I1849" s="3" t="s">
        <v>19</v>
      </c>
      <c r="J1849" s="3" t="s">
        <v>19</v>
      </c>
      <c r="K1849" s="3" t="s">
        <v>25</v>
      </c>
      <c r="L1849" s="3">
        <v>17.44</v>
      </c>
      <c r="M1849" s="3" t="s">
        <v>1695</v>
      </c>
      <c r="N1849" s="3" t="s">
        <v>1696</v>
      </c>
      <c r="O1849" s="3">
        <v>1.88857441527E11</v>
      </c>
    </row>
    <row r="1850">
      <c r="A1850" s="3">
        <v>2605886.0</v>
      </c>
      <c r="B1850" s="3" t="s">
        <v>4023</v>
      </c>
      <c r="C1850" s="3" t="b">
        <v>0</v>
      </c>
      <c r="D1850" s="3" t="b">
        <v>1</v>
      </c>
      <c r="E1850" s="3" t="s">
        <v>4024</v>
      </c>
      <c r="F1850" s="3" t="s">
        <v>4025</v>
      </c>
      <c r="G1850" s="4">
        <f>+251925774381</f>
        <v>251925774381</v>
      </c>
      <c r="H1850" s="3" t="s">
        <v>18</v>
      </c>
      <c r="I1850" s="3" t="s">
        <v>19</v>
      </c>
      <c r="J1850" s="3" t="s">
        <v>19</v>
      </c>
      <c r="K1850" s="3" t="s">
        <v>25</v>
      </c>
      <c r="L1850" s="3">
        <v>20.42</v>
      </c>
      <c r="M1850" s="3" t="s">
        <v>1695</v>
      </c>
      <c r="N1850" s="3" t="s">
        <v>1696</v>
      </c>
      <c r="O1850" s="3">
        <v>1.88768515298E11</v>
      </c>
    </row>
    <row r="1851">
      <c r="A1851" s="3">
        <v>2605897.0</v>
      </c>
      <c r="B1851" s="3" t="s">
        <v>4026</v>
      </c>
      <c r="C1851" s="3" t="b">
        <v>0</v>
      </c>
      <c r="D1851" s="3" t="b">
        <v>1</v>
      </c>
      <c r="E1851" s="3" t="s">
        <v>787</v>
      </c>
      <c r="F1851" s="3" t="s">
        <v>4027</v>
      </c>
      <c r="G1851" s="4">
        <f>+251947272285</f>
        <v>251947272285</v>
      </c>
      <c r="H1851" s="3" t="s">
        <v>18</v>
      </c>
      <c r="I1851" s="3" t="s">
        <v>19</v>
      </c>
      <c r="J1851" s="3" t="s">
        <v>19</v>
      </c>
      <c r="K1851" s="3" t="s">
        <v>25</v>
      </c>
      <c r="L1851" s="3">
        <v>23.03</v>
      </c>
      <c r="M1851" s="3" t="s">
        <v>1695</v>
      </c>
      <c r="N1851" s="3" t="s">
        <v>1696</v>
      </c>
      <c r="O1851" s="3">
        <v>1.88857580785E11</v>
      </c>
    </row>
    <row r="1852">
      <c r="A1852" s="3">
        <v>2605895.0</v>
      </c>
      <c r="B1852" s="3" t="s">
        <v>4028</v>
      </c>
      <c r="C1852" s="3" t="b">
        <v>0</v>
      </c>
      <c r="D1852" s="3" t="b">
        <v>1</v>
      </c>
      <c r="E1852" s="3" t="s">
        <v>915</v>
      </c>
      <c r="F1852" s="3" t="s">
        <v>4029</v>
      </c>
      <c r="G1852" s="4">
        <f>+251918344703</f>
        <v>251918344703</v>
      </c>
      <c r="H1852" s="3" t="s">
        <v>18</v>
      </c>
      <c r="I1852" s="3" t="s">
        <v>19</v>
      </c>
      <c r="J1852" s="3" t="s">
        <v>19</v>
      </c>
      <c r="K1852" s="3" t="s">
        <v>25</v>
      </c>
      <c r="L1852" s="3">
        <v>29.03</v>
      </c>
      <c r="M1852" s="3" t="s">
        <v>1695</v>
      </c>
      <c r="N1852" s="3" t="s">
        <v>1696</v>
      </c>
      <c r="O1852" s="3">
        <v>1.8876731923E11</v>
      </c>
    </row>
    <row r="1853">
      <c r="A1853" s="3">
        <v>2605921.0</v>
      </c>
      <c r="B1853" s="3" t="s">
        <v>4030</v>
      </c>
      <c r="C1853" s="3" t="b">
        <v>0</v>
      </c>
      <c r="D1853" s="3" t="b">
        <v>1</v>
      </c>
      <c r="E1853" s="3" t="s">
        <v>4031</v>
      </c>
      <c r="F1853" s="3" t="s">
        <v>1667</v>
      </c>
      <c r="G1853" s="4">
        <f>+25126687449</f>
        <v>25126687449</v>
      </c>
      <c r="H1853" s="3" t="s">
        <v>18</v>
      </c>
      <c r="I1853" s="3" t="s">
        <v>19</v>
      </c>
      <c r="J1853" s="3" t="s">
        <v>19</v>
      </c>
      <c r="K1853" s="3" t="s">
        <v>20</v>
      </c>
      <c r="L1853" s="3">
        <v>25.11</v>
      </c>
      <c r="M1853" s="3" t="s">
        <v>1695</v>
      </c>
      <c r="N1853" s="3" t="s">
        <v>1696</v>
      </c>
      <c r="O1853" s="3">
        <v>1.88759629046E11</v>
      </c>
    </row>
    <row r="1854">
      <c r="A1854" s="3">
        <v>2605925.0</v>
      </c>
      <c r="B1854" s="3" t="s">
        <v>4032</v>
      </c>
      <c r="C1854" s="3" t="b">
        <v>0</v>
      </c>
      <c r="D1854" s="3" t="b">
        <v>1</v>
      </c>
      <c r="E1854" s="3" t="s">
        <v>4033</v>
      </c>
      <c r="F1854" s="3" t="s">
        <v>4034</v>
      </c>
      <c r="G1854" s="4">
        <f>+251931650214</f>
        <v>251931650214</v>
      </c>
      <c r="H1854" s="3" t="s">
        <v>18</v>
      </c>
      <c r="I1854" s="3" t="s">
        <v>19</v>
      </c>
      <c r="J1854" s="3" t="s">
        <v>19</v>
      </c>
      <c r="K1854" s="3" t="s">
        <v>20</v>
      </c>
      <c r="L1854" s="3">
        <v>22.03</v>
      </c>
      <c r="M1854" s="3" t="s">
        <v>1695</v>
      </c>
      <c r="N1854" s="3" t="s">
        <v>1696</v>
      </c>
      <c r="O1854" s="3">
        <v>1.88782759127E11</v>
      </c>
    </row>
    <row r="1855">
      <c r="A1855" s="3">
        <v>2605924.0</v>
      </c>
      <c r="B1855" s="3" t="s">
        <v>4035</v>
      </c>
      <c r="C1855" s="3" t="b">
        <v>1</v>
      </c>
      <c r="D1855" s="3" t="b">
        <v>1</v>
      </c>
      <c r="E1855" s="3" t="s">
        <v>404</v>
      </c>
      <c r="F1855" s="3" t="s">
        <v>4036</v>
      </c>
      <c r="G1855" s="4">
        <f>+251979671412</f>
        <v>251979671412</v>
      </c>
      <c r="H1855" s="3" t="s">
        <v>18</v>
      </c>
      <c r="I1855" s="3" t="s">
        <v>19</v>
      </c>
      <c r="J1855" s="3" t="s">
        <v>19</v>
      </c>
      <c r="K1855" s="3" t="s">
        <v>25</v>
      </c>
      <c r="L1855" s="3">
        <v>26.88</v>
      </c>
      <c r="M1855" s="3" t="s">
        <v>1695</v>
      </c>
      <c r="N1855" s="3" t="s">
        <v>1696</v>
      </c>
      <c r="O1855" s="3">
        <v>1.88773209299E11</v>
      </c>
    </row>
    <row r="1856">
      <c r="A1856" s="3">
        <v>2605939.0</v>
      </c>
      <c r="B1856" s="3" t="s">
        <v>4037</v>
      </c>
      <c r="C1856" s="3" t="b">
        <v>0</v>
      </c>
      <c r="D1856" s="3" t="b">
        <v>1</v>
      </c>
      <c r="E1856" s="3" t="s">
        <v>4038</v>
      </c>
      <c r="F1856" s="3" t="s">
        <v>4039</v>
      </c>
      <c r="G1856" s="4">
        <f>+251919393589</f>
        <v>251919393589</v>
      </c>
      <c r="H1856" s="3" t="s">
        <v>18</v>
      </c>
      <c r="I1856" s="3" t="s">
        <v>19</v>
      </c>
      <c r="J1856" s="3" t="s">
        <v>19</v>
      </c>
      <c r="K1856" s="3" t="s">
        <v>20</v>
      </c>
      <c r="L1856" s="3">
        <v>23.03</v>
      </c>
      <c r="M1856" s="3" t="s">
        <v>1695</v>
      </c>
      <c r="N1856" s="3" t="s">
        <v>1696</v>
      </c>
      <c r="O1856" s="3">
        <v>1.88791536855E11</v>
      </c>
    </row>
    <row r="1857">
      <c r="A1857" s="3">
        <v>2605950.0</v>
      </c>
      <c r="B1857" s="3" t="s">
        <v>4040</v>
      </c>
      <c r="C1857" s="3" t="b">
        <v>0</v>
      </c>
      <c r="D1857" s="3" t="b">
        <v>1</v>
      </c>
      <c r="E1857" s="3" t="s">
        <v>3478</v>
      </c>
      <c r="F1857" s="3" t="s">
        <v>4041</v>
      </c>
      <c r="G1857" s="4">
        <f>+251993955704</f>
        <v>251993955704</v>
      </c>
      <c r="H1857" s="3" t="s">
        <v>18</v>
      </c>
      <c r="I1857" s="3" t="s">
        <v>19</v>
      </c>
      <c r="J1857" s="3" t="s">
        <v>19</v>
      </c>
      <c r="K1857" s="3" t="s">
        <v>25</v>
      </c>
      <c r="L1857" s="3">
        <v>24.03</v>
      </c>
      <c r="M1857" s="3" t="s">
        <v>1695</v>
      </c>
      <c r="N1857" s="3" t="s">
        <v>1696</v>
      </c>
      <c r="O1857" s="3">
        <v>1.88785966286E11</v>
      </c>
    </row>
    <row r="1858">
      <c r="A1858" s="3">
        <v>2605963.0</v>
      </c>
      <c r="B1858" s="3" t="s">
        <v>4042</v>
      </c>
      <c r="C1858" s="3" t="b">
        <v>0</v>
      </c>
      <c r="D1858" s="3" t="b">
        <v>1</v>
      </c>
      <c r="E1858" s="3" t="s">
        <v>4043</v>
      </c>
      <c r="F1858" s="3" t="s">
        <v>4044</v>
      </c>
      <c r="G1858" s="4">
        <f>+251945414348</f>
        <v>251945414348</v>
      </c>
      <c r="H1858" s="3" t="s">
        <v>18</v>
      </c>
      <c r="I1858" s="3" t="s">
        <v>19</v>
      </c>
      <c r="J1858" s="3" t="s">
        <v>19</v>
      </c>
      <c r="K1858" s="3" t="s">
        <v>20</v>
      </c>
      <c r="L1858" s="3">
        <v>28.37</v>
      </c>
      <c r="M1858" s="3" t="s">
        <v>1695</v>
      </c>
      <c r="N1858" s="3" t="s">
        <v>1696</v>
      </c>
      <c r="O1858" s="3">
        <v>1.88854533335E11</v>
      </c>
    </row>
    <row r="1859">
      <c r="A1859" s="3">
        <v>2605956.0</v>
      </c>
      <c r="B1859" s="3" t="s">
        <v>4045</v>
      </c>
      <c r="C1859" s="3" t="b">
        <v>0</v>
      </c>
      <c r="D1859" s="3" t="b">
        <v>1</v>
      </c>
      <c r="E1859" s="3" t="s">
        <v>540</v>
      </c>
      <c r="F1859" s="3" t="s">
        <v>1261</v>
      </c>
      <c r="G1859" s="4">
        <f>+251910856686</f>
        <v>251910856686</v>
      </c>
      <c r="H1859" s="3" t="s">
        <v>18</v>
      </c>
      <c r="I1859" s="3" t="s">
        <v>19</v>
      </c>
      <c r="J1859" s="3" t="s">
        <v>19</v>
      </c>
      <c r="K1859" s="3" t="s">
        <v>25</v>
      </c>
      <c r="L1859" s="3">
        <v>29.83</v>
      </c>
      <c r="M1859" s="3" t="s">
        <v>1695</v>
      </c>
      <c r="N1859" s="3" t="s">
        <v>1696</v>
      </c>
      <c r="O1859" s="3">
        <v>1.88792030423E11</v>
      </c>
    </row>
    <row r="1860">
      <c r="A1860" s="3">
        <v>2605975.0</v>
      </c>
      <c r="B1860" s="3" t="s">
        <v>4046</v>
      </c>
      <c r="C1860" s="3" t="b">
        <v>0</v>
      </c>
      <c r="D1860" s="3" t="b">
        <v>1</v>
      </c>
      <c r="E1860" s="3" t="s">
        <v>3811</v>
      </c>
      <c r="F1860" s="3" t="s">
        <v>4047</v>
      </c>
      <c r="G1860" s="4">
        <f>+251905683691</f>
        <v>251905683691</v>
      </c>
      <c r="H1860" s="3" t="s">
        <v>18</v>
      </c>
      <c r="I1860" s="3" t="s">
        <v>19</v>
      </c>
      <c r="J1860" s="3" t="s">
        <v>19</v>
      </c>
      <c r="K1860" s="3" t="s">
        <v>20</v>
      </c>
      <c r="L1860" s="3">
        <v>16.03</v>
      </c>
      <c r="M1860" s="3" t="s">
        <v>1695</v>
      </c>
      <c r="N1860" s="3" t="s">
        <v>1696</v>
      </c>
      <c r="O1860" s="3">
        <v>1.88873548024E11</v>
      </c>
    </row>
    <row r="1861">
      <c r="A1861" s="3">
        <v>2605984.0</v>
      </c>
      <c r="B1861" s="3" t="s">
        <v>4048</v>
      </c>
      <c r="C1861" s="3" t="b">
        <v>0</v>
      </c>
      <c r="D1861" s="3" t="b">
        <v>1</v>
      </c>
      <c r="E1861" s="3" t="s">
        <v>3908</v>
      </c>
      <c r="F1861" s="3" t="s">
        <v>3750</v>
      </c>
      <c r="G1861" s="4">
        <f>+251941901217</f>
        <v>251941901217</v>
      </c>
      <c r="H1861" s="3" t="s">
        <v>18</v>
      </c>
      <c r="I1861" s="3" t="s">
        <v>19</v>
      </c>
      <c r="J1861" s="3" t="s">
        <v>19</v>
      </c>
      <c r="K1861" s="3" t="s">
        <v>20</v>
      </c>
      <c r="L1861" s="3">
        <v>23.03</v>
      </c>
      <c r="M1861" s="3" t="s">
        <v>1695</v>
      </c>
      <c r="N1861" s="3" t="s">
        <v>1696</v>
      </c>
      <c r="O1861" s="3">
        <v>1.88870361329E11</v>
      </c>
    </row>
    <row r="1862">
      <c r="A1862" s="3">
        <v>2605987.0</v>
      </c>
      <c r="B1862" s="3" t="s">
        <v>4049</v>
      </c>
      <c r="C1862" s="3" t="b">
        <v>0</v>
      </c>
      <c r="D1862" s="3" t="b">
        <v>1</v>
      </c>
      <c r="E1862" s="3" t="s">
        <v>4050</v>
      </c>
      <c r="F1862" s="3" t="s">
        <v>4051</v>
      </c>
      <c r="G1862" s="4">
        <f>+251948955409</f>
        <v>251948955409</v>
      </c>
      <c r="H1862" s="3" t="s">
        <v>18</v>
      </c>
      <c r="I1862" s="3" t="s">
        <v>19</v>
      </c>
      <c r="J1862" s="3" t="s">
        <v>19</v>
      </c>
      <c r="K1862" s="3" t="s">
        <v>20</v>
      </c>
      <c r="L1862" s="3">
        <v>18.36</v>
      </c>
      <c r="M1862" s="3" t="s">
        <v>1695</v>
      </c>
      <c r="N1862" s="3" t="s">
        <v>1696</v>
      </c>
      <c r="O1862" s="3">
        <v>1.88853536997E11</v>
      </c>
    </row>
    <row r="1863">
      <c r="A1863" s="3">
        <v>2605990.0</v>
      </c>
      <c r="B1863" s="3" t="s">
        <v>4052</v>
      </c>
      <c r="C1863" s="3" t="b">
        <v>0</v>
      </c>
      <c r="D1863" s="3" t="b">
        <v>1</v>
      </c>
      <c r="E1863" s="3" t="s">
        <v>4053</v>
      </c>
      <c r="F1863" s="3" t="s">
        <v>230</v>
      </c>
      <c r="G1863" s="4">
        <f>+251947855569</f>
        <v>251947855569</v>
      </c>
      <c r="H1863" s="3" t="s">
        <v>18</v>
      </c>
      <c r="I1863" s="3" t="s">
        <v>19</v>
      </c>
      <c r="J1863" s="3" t="s">
        <v>19</v>
      </c>
      <c r="K1863" s="3" t="s">
        <v>20</v>
      </c>
      <c r="L1863" s="3">
        <v>26.03</v>
      </c>
      <c r="M1863" s="3" t="s">
        <v>1695</v>
      </c>
      <c r="N1863" s="3" t="s">
        <v>1696</v>
      </c>
      <c r="O1863" s="3">
        <v>1.88878202094E11</v>
      </c>
    </row>
    <row r="1864">
      <c r="A1864" s="3">
        <v>2605998.0</v>
      </c>
      <c r="B1864" s="3" t="s">
        <v>4054</v>
      </c>
      <c r="C1864" s="3" t="b">
        <v>0</v>
      </c>
      <c r="D1864" s="3" t="b">
        <v>1</v>
      </c>
      <c r="E1864" s="3" t="s">
        <v>3791</v>
      </c>
      <c r="F1864" s="3" t="s">
        <v>1532</v>
      </c>
      <c r="G1864" s="4">
        <f>+251913690308</f>
        <v>251913690308</v>
      </c>
      <c r="H1864" s="3" t="s">
        <v>18</v>
      </c>
      <c r="I1864" s="3" t="s">
        <v>19</v>
      </c>
      <c r="J1864" s="3" t="s">
        <v>19</v>
      </c>
      <c r="K1864" s="3" t="s">
        <v>25</v>
      </c>
      <c r="L1864" s="3">
        <v>24.88</v>
      </c>
      <c r="M1864" s="3" t="s">
        <v>1695</v>
      </c>
      <c r="N1864" s="3" t="s">
        <v>1696</v>
      </c>
      <c r="O1864" s="3">
        <v>1.88796831988E11</v>
      </c>
    </row>
    <row r="1865">
      <c r="A1865" s="3">
        <v>2606014.0</v>
      </c>
      <c r="B1865" s="3" t="s">
        <v>4055</v>
      </c>
      <c r="C1865" s="3" t="b">
        <v>0</v>
      </c>
      <c r="D1865" s="3" t="b">
        <v>1</v>
      </c>
      <c r="E1865" s="3" t="s">
        <v>4056</v>
      </c>
      <c r="F1865" s="3" t="s">
        <v>35</v>
      </c>
      <c r="G1865" s="4">
        <f>+251912825645</f>
        <v>251912825645</v>
      </c>
      <c r="H1865" s="3" t="s">
        <v>18</v>
      </c>
      <c r="I1865" s="3" t="s">
        <v>19</v>
      </c>
      <c r="J1865" s="3" t="s">
        <v>19</v>
      </c>
      <c r="K1865" s="3" t="s">
        <v>25</v>
      </c>
      <c r="L1865" s="3">
        <v>23.03</v>
      </c>
      <c r="M1865" s="3" t="s">
        <v>1695</v>
      </c>
      <c r="N1865" s="3" t="s">
        <v>1696</v>
      </c>
      <c r="O1865" s="3">
        <v>1.88799681762E11</v>
      </c>
    </row>
    <row r="1866">
      <c r="A1866" s="3">
        <v>2606022.0</v>
      </c>
      <c r="B1866" s="3" t="s">
        <v>4057</v>
      </c>
      <c r="C1866" s="3" t="b">
        <v>0</v>
      </c>
      <c r="D1866" s="3" t="b">
        <v>1</v>
      </c>
      <c r="E1866" s="3" t="s">
        <v>4058</v>
      </c>
      <c r="F1866" s="3" t="s">
        <v>3922</v>
      </c>
      <c r="G1866" s="4">
        <f>+251920618343</f>
        <v>251920618343</v>
      </c>
      <c r="H1866" s="3" t="s">
        <v>18</v>
      </c>
      <c r="I1866" s="3" t="s">
        <v>19</v>
      </c>
      <c r="J1866" s="3" t="s">
        <v>19</v>
      </c>
      <c r="K1866" s="3" t="s">
        <v>20</v>
      </c>
      <c r="L1866" s="3">
        <v>27.03</v>
      </c>
      <c r="M1866" s="3" t="s">
        <v>1695</v>
      </c>
      <c r="N1866" s="3" t="s">
        <v>1696</v>
      </c>
      <c r="O1866" s="3">
        <v>1.88881712359E11</v>
      </c>
    </row>
    <row r="1867">
      <c r="A1867" s="3">
        <v>2606024.0</v>
      </c>
      <c r="B1867" s="3" t="s">
        <v>4059</v>
      </c>
      <c r="C1867" s="3" t="b">
        <v>0</v>
      </c>
      <c r="D1867" s="3" t="b">
        <v>1</v>
      </c>
      <c r="E1867" s="3" t="s">
        <v>4060</v>
      </c>
      <c r="F1867" s="3" t="s">
        <v>479</v>
      </c>
      <c r="G1867" s="4">
        <f>+251979523526</f>
        <v>251979523526</v>
      </c>
      <c r="H1867" s="3" t="s">
        <v>18</v>
      </c>
      <c r="I1867" s="3" t="s">
        <v>19</v>
      </c>
      <c r="J1867" s="3" t="s">
        <v>19</v>
      </c>
      <c r="K1867" s="3" t="s">
        <v>20</v>
      </c>
      <c r="L1867" s="3">
        <v>18.27</v>
      </c>
      <c r="M1867" s="3" t="s">
        <v>1695</v>
      </c>
      <c r="N1867" s="3" t="s">
        <v>1696</v>
      </c>
      <c r="O1867" s="3">
        <v>1.88873261253E11</v>
      </c>
    </row>
    <row r="1868">
      <c r="A1868" s="3">
        <v>2606036.0</v>
      </c>
      <c r="B1868" s="3" t="s">
        <v>4061</v>
      </c>
      <c r="C1868" s="3" t="b">
        <v>0</v>
      </c>
      <c r="D1868" s="3" t="b">
        <v>1</v>
      </c>
      <c r="E1868" s="3" t="s">
        <v>4062</v>
      </c>
      <c r="F1868" s="3" t="s">
        <v>1656</v>
      </c>
      <c r="G1868" s="4">
        <f>+251994900143</f>
        <v>251994900143</v>
      </c>
      <c r="H1868" s="3" t="s">
        <v>18</v>
      </c>
      <c r="I1868" s="3" t="s">
        <v>19</v>
      </c>
      <c r="J1868" s="3" t="s">
        <v>19</v>
      </c>
      <c r="K1868" s="3" t="s">
        <v>20</v>
      </c>
      <c r="L1868" s="3">
        <v>22.03</v>
      </c>
      <c r="M1868" s="3" t="s">
        <v>1695</v>
      </c>
      <c r="N1868" s="3" t="s">
        <v>1696</v>
      </c>
      <c r="O1868" s="3">
        <v>1.89051037937E11</v>
      </c>
    </row>
    <row r="1869">
      <c r="A1869" s="3">
        <v>2606110.0</v>
      </c>
      <c r="B1869" s="3" t="s">
        <v>4063</v>
      </c>
      <c r="C1869" s="3" t="b">
        <v>1</v>
      </c>
      <c r="D1869" s="3" t="b">
        <v>1</v>
      </c>
      <c r="E1869" s="3" t="s">
        <v>629</v>
      </c>
      <c r="F1869" s="3" t="s">
        <v>3900</v>
      </c>
      <c r="G1869" s="4">
        <f>+251911025887</f>
        <v>251911025887</v>
      </c>
      <c r="H1869" s="3" t="s">
        <v>18</v>
      </c>
      <c r="I1869" s="3" t="s">
        <v>19</v>
      </c>
      <c r="J1869" s="3" t="s">
        <v>19</v>
      </c>
      <c r="K1869" s="3" t="s">
        <v>25</v>
      </c>
      <c r="L1869" s="3">
        <v>25.03</v>
      </c>
      <c r="M1869" s="3" t="s">
        <v>1695</v>
      </c>
      <c r="N1869" s="3" t="s">
        <v>1696</v>
      </c>
      <c r="O1869" s="3">
        <v>1.88875684066E11</v>
      </c>
    </row>
    <row r="1870">
      <c r="A1870" s="3">
        <v>2606112.0</v>
      </c>
      <c r="B1870" s="3" t="s">
        <v>4064</v>
      </c>
      <c r="C1870" s="3" t="b">
        <v>0</v>
      </c>
      <c r="D1870" s="3" t="b">
        <v>1</v>
      </c>
      <c r="E1870" s="3" t="s">
        <v>4065</v>
      </c>
      <c r="F1870" s="3" t="s">
        <v>4066</v>
      </c>
      <c r="G1870" s="4">
        <f>+251956067486</f>
        <v>251956067486</v>
      </c>
      <c r="H1870" s="3" t="s">
        <v>18</v>
      </c>
      <c r="I1870" s="3" t="s">
        <v>19</v>
      </c>
      <c r="J1870" s="3" t="s">
        <v>19</v>
      </c>
      <c r="K1870" s="3" t="s">
        <v>20</v>
      </c>
      <c r="L1870" s="3">
        <v>23.03</v>
      </c>
      <c r="M1870" s="3" t="s">
        <v>1695</v>
      </c>
      <c r="N1870" s="3" t="s">
        <v>1696</v>
      </c>
      <c r="O1870" s="3">
        <v>1.89061950698E11</v>
      </c>
    </row>
    <row r="1871">
      <c r="A1871" s="3">
        <v>2606124.0</v>
      </c>
      <c r="B1871" s="3" t="s">
        <v>4067</v>
      </c>
      <c r="C1871" s="3" t="b">
        <v>1</v>
      </c>
      <c r="D1871" s="3" t="b">
        <v>1</v>
      </c>
      <c r="E1871" s="3" t="s">
        <v>4068</v>
      </c>
      <c r="F1871" s="3" t="s">
        <v>4069</v>
      </c>
      <c r="G1871" s="4">
        <f>+251939657919</f>
        <v>251939657919</v>
      </c>
      <c r="H1871" s="3" t="s">
        <v>18</v>
      </c>
      <c r="I1871" s="3" t="s">
        <v>19</v>
      </c>
      <c r="J1871" s="3" t="s">
        <v>19</v>
      </c>
      <c r="K1871" s="3" t="s">
        <v>20</v>
      </c>
      <c r="L1871" s="3">
        <v>26.37</v>
      </c>
      <c r="M1871" s="3" t="s">
        <v>1695</v>
      </c>
      <c r="N1871" s="3" t="s">
        <v>1696</v>
      </c>
      <c r="O1871" s="3">
        <v>1.88893954258E11</v>
      </c>
    </row>
    <row r="1872">
      <c r="A1872" s="3">
        <v>2606138.0</v>
      </c>
      <c r="B1872" s="3" t="s">
        <v>4070</v>
      </c>
      <c r="C1872" s="3" t="b">
        <v>0</v>
      </c>
      <c r="D1872" s="3" t="b">
        <v>1</v>
      </c>
      <c r="E1872" s="3" t="s">
        <v>1226</v>
      </c>
      <c r="F1872" s="3" t="s">
        <v>218</v>
      </c>
      <c r="G1872" s="4">
        <f>+251934036081</f>
        <v>251934036081</v>
      </c>
      <c r="H1872" s="3" t="s">
        <v>18</v>
      </c>
      <c r="I1872" s="3" t="s">
        <v>19</v>
      </c>
      <c r="J1872" s="3" t="s">
        <v>19</v>
      </c>
      <c r="K1872" s="3" t="s">
        <v>25</v>
      </c>
      <c r="L1872" s="3">
        <v>30.38</v>
      </c>
      <c r="M1872" s="3" t="s">
        <v>1695</v>
      </c>
      <c r="N1872" s="3" t="s">
        <v>1696</v>
      </c>
      <c r="O1872" s="3">
        <v>1.89063980234E11</v>
      </c>
    </row>
    <row r="1873">
      <c r="A1873" s="3">
        <v>2606203.0</v>
      </c>
      <c r="B1873" s="3" t="s">
        <v>4071</v>
      </c>
      <c r="C1873" s="3" t="b">
        <v>0</v>
      </c>
      <c r="D1873" s="3" t="b">
        <v>1</v>
      </c>
      <c r="E1873" s="3" t="s">
        <v>4072</v>
      </c>
      <c r="F1873" s="3" t="s">
        <v>422</v>
      </c>
      <c r="G1873" s="4">
        <f>+251917727741</f>
        <v>251917727741</v>
      </c>
      <c r="H1873" s="3" t="s">
        <v>18</v>
      </c>
      <c r="I1873" s="3" t="s">
        <v>19</v>
      </c>
      <c r="J1873" s="3" t="s">
        <v>19</v>
      </c>
      <c r="K1873" s="3" t="s">
        <v>25</v>
      </c>
      <c r="L1873" s="3">
        <v>24.03</v>
      </c>
      <c r="M1873" s="3" t="s">
        <v>1695</v>
      </c>
      <c r="N1873" s="3" t="s">
        <v>1696</v>
      </c>
      <c r="O1873" s="3">
        <v>1.88902678764E11</v>
      </c>
    </row>
    <row r="1874">
      <c r="A1874" s="3">
        <v>2606226.0</v>
      </c>
      <c r="B1874" s="3" t="s">
        <v>4073</v>
      </c>
      <c r="C1874" s="3" t="b">
        <v>0</v>
      </c>
      <c r="D1874" s="3" t="b">
        <v>1</v>
      </c>
      <c r="E1874" s="3" t="s">
        <v>353</v>
      </c>
      <c r="F1874" s="3" t="s">
        <v>4074</v>
      </c>
      <c r="G1874" s="4">
        <f>+251923600418</f>
        <v>251923600418</v>
      </c>
      <c r="H1874" s="3" t="s">
        <v>18</v>
      </c>
      <c r="I1874" s="3" t="s">
        <v>19</v>
      </c>
      <c r="J1874" s="3" t="s">
        <v>19</v>
      </c>
      <c r="K1874" s="3" t="s">
        <v>25</v>
      </c>
      <c r="L1874" s="3">
        <v>23.03</v>
      </c>
      <c r="M1874" s="3" t="s">
        <v>1695</v>
      </c>
      <c r="N1874" s="3" t="s">
        <v>1696</v>
      </c>
      <c r="O1874" s="3">
        <v>1.89071595745E11</v>
      </c>
    </row>
    <row r="1875">
      <c r="A1875" s="3">
        <v>2606247.0</v>
      </c>
      <c r="B1875" s="3" t="s">
        <v>4075</v>
      </c>
      <c r="C1875" s="3" t="b">
        <v>0</v>
      </c>
      <c r="D1875" s="3" t="b">
        <v>1</v>
      </c>
      <c r="E1875" s="3" t="s">
        <v>208</v>
      </c>
      <c r="F1875" s="3" t="s">
        <v>2264</v>
      </c>
      <c r="G1875" s="4">
        <f>+251943852952</f>
        <v>251943852952</v>
      </c>
      <c r="H1875" s="3" t="s">
        <v>18</v>
      </c>
      <c r="I1875" s="3" t="s">
        <v>19</v>
      </c>
      <c r="J1875" s="3" t="s">
        <v>19</v>
      </c>
      <c r="K1875" s="3" t="s">
        <v>25</v>
      </c>
      <c r="L1875" s="3">
        <v>23.03</v>
      </c>
      <c r="M1875" s="3" t="s">
        <v>1695</v>
      </c>
      <c r="N1875" s="3" t="s">
        <v>1696</v>
      </c>
      <c r="O1875" s="3">
        <v>1.88907052236E11</v>
      </c>
    </row>
    <row r="1876">
      <c r="A1876" s="3">
        <v>2606254.0</v>
      </c>
      <c r="B1876" s="3" t="s">
        <v>4076</v>
      </c>
      <c r="C1876" s="3" t="b">
        <v>0</v>
      </c>
      <c r="D1876" s="3" t="b">
        <v>1</v>
      </c>
      <c r="E1876" s="3" t="s">
        <v>162</v>
      </c>
      <c r="F1876" s="3" t="s">
        <v>4077</v>
      </c>
      <c r="G1876" s="4">
        <f>+251927517140</f>
        <v>251927517140</v>
      </c>
      <c r="H1876" s="3" t="s">
        <v>18</v>
      </c>
      <c r="I1876" s="3" t="s">
        <v>19</v>
      </c>
      <c r="J1876" s="3" t="s">
        <v>19</v>
      </c>
      <c r="K1876" s="3" t="s">
        <v>25</v>
      </c>
      <c r="L1876" s="3">
        <v>25.13</v>
      </c>
      <c r="M1876" s="3" t="s">
        <v>1695</v>
      </c>
      <c r="N1876" s="3" t="s">
        <v>1696</v>
      </c>
      <c r="O1876" s="3">
        <v>1.89078843581E11</v>
      </c>
    </row>
    <row r="1877">
      <c r="A1877" s="3">
        <v>2606404.0</v>
      </c>
      <c r="B1877" s="3" t="s">
        <v>4078</v>
      </c>
      <c r="C1877" s="3" t="b">
        <v>0</v>
      </c>
      <c r="D1877" s="3" t="b">
        <v>1</v>
      </c>
      <c r="E1877" s="3" t="s">
        <v>1584</v>
      </c>
      <c r="F1877" s="3" t="s">
        <v>1269</v>
      </c>
      <c r="G1877" s="4">
        <f>+251934865032</f>
        <v>251934865032</v>
      </c>
      <c r="H1877" s="3" t="s">
        <v>18</v>
      </c>
      <c r="I1877" s="3" t="s">
        <v>19</v>
      </c>
      <c r="J1877" s="3" t="s">
        <v>19</v>
      </c>
      <c r="K1877" s="3" t="s">
        <v>25</v>
      </c>
      <c r="L1877" s="3">
        <v>24.03</v>
      </c>
      <c r="M1877" s="3" t="s">
        <v>1695</v>
      </c>
      <c r="N1877" s="3" t="s">
        <v>1696</v>
      </c>
      <c r="O1877" s="3">
        <v>1.89079484635E11</v>
      </c>
    </row>
    <row r="1878">
      <c r="A1878" s="3">
        <v>2606403.0</v>
      </c>
      <c r="B1878" s="3" t="s">
        <v>4079</v>
      </c>
      <c r="C1878" s="3" t="b">
        <v>0</v>
      </c>
      <c r="D1878" s="3" t="b">
        <v>1</v>
      </c>
      <c r="E1878" s="3" t="s">
        <v>2999</v>
      </c>
      <c r="F1878" s="3" t="s">
        <v>529</v>
      </c>
      <c r="G1878" s="4">
        <f>+251965752466</f>
        <v>251965752466</v>
      </c>
      <c r="H1878" s="3" t="s">
        <v>18</v>
      </c>
      <c r="I1878" s="3" t="s">
        <v>19</v>
      </c>
      <c r="J1878" s="3" t="s">
        <v>19</v>
      </c>
      <c r="K1878" s="3" t="s">
        <v>25</v>
      </c>
      <c r="L1878" s="3">
        <v>26.03</v>
      </c>
      <c r="M1878" s="3" t="s">
        <v>1695</v>
      </c>
      <c r="N1878" s="3" t="s">
        <v>1696</v>
      </c>
      <c r="O1878" s="3">
        <v>1.89079481568E11</v>
      </c>
    </row>
    <row r="1879">
      <c r="A1879" s="3">
        <v>2606430.0</v>
      </c>
      <c r="B1879" s="3" t="s">
        <v>4080</v>
      </c>
      <c r="C1879" s="3" t="b">
        <v>0</v>
      </c>
      <c r="D1879" s="3" t="b">
        <v>1</v>
      </c>
      <c r="E1879" s="3" t="s">
        <v>3799</v>
      </c>
      <c r="F1879" s="3" t="s">
        <v>1269</v>
      </c>
      <c r="G1879" s="4">
        <f>+251945659945</f>
        <v>251945659945</v>
      </c>
      <c r="H1879" s="3" t="s">
        <v>18</v>
      </c>
      <c r="I1879" s="3" t="s">
        <v>19</v>
      </c>
      <c r="J1879" s="3" t="s">
        <v>19</v>
      </c>
      <c r="K1879" s="3" t="s">
        <v>25</v>
      </c>
      <c r="L1879" s="3">
        <v>24.03</v>
      </c>
      <c r="M1879" s="3" t="s">
        <v>1695</v>
      </c>
      <c r="N1879" s="3" t="s">
        <v>1696</v>
      </c>
      <c r="O1879" s="3">
        <v>1.88930437347E11</v>
      </c>
    </row>
    <row r="1880">
      <c r="A1880" s="3">
        <v>2606449.0</v>
      </c>
      <c r="B1880" s="3" t="s">
        <v>4081</v>
      </c>
      <c r="C1880" s="3" t="b">
        <v>0</v>
      </c>
      <c r="D1880" s="3" t="b">
        <v>1</v>
      </c>
      <c r="E1880" s="3" t="s">
        <v>4082</v>
      </c>
      <c r="F1880" s="3" t="s">
        <v>4083</v>
      </c>
      <c r="G1880" s="4">
        <f>+251925121671</f>
        <v>251925121671</v>
      </c>
      <c r="H1880" s="3" t="s">
        <v>18</v>
      </c>
      <c r="I1880" s="3" t="s">
        <v>19</v>
      </c>
      <c r="J1880" s="3" t="s">
        <v>19</v>
      </c>
      <c r="K1880" s="3" t="s">
        <v>25</v>
      </c>
      <c r="L1880" s="3">
        <v>32.03</v>
      </c>
      <c r="M1880" s="3" t="s">
        <v>1695</v>
      </c>
      <c r="N1880" s="3" t="s">
        <v>1696</v>
      </c>
      <c r="O1880" s="3">
        <v>1.88932082928E11</v>
      </c>
    </row>
    <row r="1881">
      <c r="A1881" s="3">
        <v>2606468.0</v>
      </c>
      <c r="B1881" s="3" t="s">
        <v>4084</v>
      </c>
      <c r="C1881" s="3" t="b">
        <v>0</v>
      </c>
      <c r="D1881" s="3" t="b">
        <v>1</v>
      </c>
      <c r="E1881" s="3" t="s">
        <v>4085</v>
      </c>
      <c r="F1881" s="3" t="s">
        <v>32</v>
      </c>
      <c r="G1881" s="4">
        <f>+251931311191</f>
        <v>251931311191</v>
      </c>
      <c r="H1881" s="3" t="s">
        <v>18</v>
      </c>
      <c r="I1881" s="3" t="s">
        <v>19</v>
      </c>
      <c r="J1881" s="3" t="s">
        <v>19</v>
      </c>
      <c r="K1881" s="3" t="s">
        <v>25</v>
      </c>
      <c r="L1881" s="3">
        <v>29.03</v>
      </c>
      <c r="M1881" s="3" t="s">
        <v>1695</v>
      </c>
      <c r="N1881" s="3" t="s">
        <v>1696</v>
      </c>
      <c r="O1881" s="3">
        <v>1.88934168821E11</v>
      </c>
    </row>
    <row r="1882">
      <c r="A1882" s="3">
        <v>2606472.0</v>
      </c>
      <c r="B1882" s="3" t="s">
        <v>4086</v>
      </c>
      <c r="C1882" s="3" t="b">
        <v>0</v>
      </c>
      <c r="D1882" s="3" t="b">
        <v>1</v>
      </c>
      <c r="E1882" s="3" t="s">
        <v>3288</v>
      </c>
      <c r="F1882" s="3" t="s">
        <v>4087</v>
      </c>
      <c r="G1882" s="4">
        <f>+251973305048</f>
        <v>251973305048</v>
      </c>
      <c r="H1882" s="3" t="s">
        <v>18</v>
      </c>
      <c r="I1882" s="3" t="s">
        <v>19</v>
      </c>
      <c r="J1882" s="3" t="s">
        <v>19</v>
      </c>
      <c r="K1882" s="3" t="s">
        <v>25</v>
      </c>
      <c r="L1882" s="3">
        <v>27.03</v>
      </c>
      <c r="M1882" s="3" t="s">
        <v>1695</v>
      </c>
      <c r="N1882" s="3" t="s">
        <v>1696</v>
      </c>
      <c r="O1882" s="3">
        <v>1.88934218955E11</v>
      </c>
    </row>
    <row r="1883">
      <c r="A1883" s="3">
        <v>2606486.0</v>
      </c>
      <c r="B1883" s="3" t="s">
        <v>4088</v>
      </c>
      <c r="C1883" s="3" t="b">
        <v>0</v>
      </c>
      <c r="D1883" s="3" t="b">
        <v>1</v>
      </c>
      <c r="E1883" s="3" t="s">
        <v>2724</v>
      </c>
      <c r="F1883" s="3" t="s">
        <v>4089</v>
      </c>
      <c r="G1883" s="4">
        <f>+251947444522</f>
        <v>251947444522</v>
      </c>
      <c r="H1883" s="3" t="s">
        <v>18</v>
      </c>
      <c r="I1883" s="3" t="s">
        <v>19</v>
      </c>
      <c r="J1883" s="3" t="s">
        <v>19</v>
      </c>
      <c r="K1883" s="3" t="s">
        <v>25</v>
      </c>
      <c r="L1883" s="3">
        <v>25.03</v>
      </c>
      <c r="M1883" s="3" t="s">
        <v>1695</v>
      </c>
      <c r="N1883" s="3" t="s">
        <v>1696</v>
      </c>
      <c r="O1883" s="3">
        <v>1.89221649608E11</v>
      </c>
    </row>
    <row r="1884">
      <c r="A1884" s="3">
        <v>2606493.0</v>
      </c>
      <c r="B1884" s="3" t="s">
        <v>4090</v>
      </c>
      <c r="C1884" s="3" t="b">
        <v>0</v>
      </c>
      <c r="D1884" s="3" t="b">
        <v>1</v>
      </c>
      <c r="E1884" s="3" t="s">
        <v>3554</v>
      </c>
      <c r="F1884" s="3" t="s">
        <v>2724</v>
      </c>
      <c r="G1884" s="4">
        <f>+251916559300</f>
        <v>251916559300</v>
      </c>
      <c r="H1884" s="3" t="s">
        <v>18</v>
      </c>
      <c r="I1884" s="3" t="s">
        <v>19</v>
      </c>
      <c r="J1884" s="3" t="s">
        <v>19</v>
      </c>
      <c r="K1884" s="3" t="s">
        <v>25</v>
      </c>
      <c r="L1884" s="3">
        <v>22.03</v>
      </c>
      <c r="M1884" s="3" t="s">
        <v>1695</v>
      </c>
      <c r="N1884" s="3" t="s">
        <v>1696</v>
      </c>
      <c r="O1884" s="3">
        <v>1.89184602357E11</v>
      </c>
    </row>
    <row r="1885">
      <c r="A1885" s="3">
        <v>2606497.0</v>
      </c>
      <c r="B1885" s="3" t="s">
        <v>4091</v>
      </c>
      <c r="C1885" s="3" t="b">
        <v>0</v>
      </c>
      <c r="D1885" s="3" t="b">
        <v>1</v>
      </c>
      <c r="E1885" s="3" t="s">
        <v>4092</v>
      </c>
      <c r="F1885" s="3" t="s">
        <v>4093</v>
      </c>
      <c r="G1885" s="4">
        <f>+251937431906</f>
        <v>251937431906</v>
      </c>
      <c r="H1885" s="3" t="s">
        <v>18</v>
      </c>
      <c r="I1885" s="3" t="s">
        <v>19</v>
      </c>
      <c r="J1885" s="3" t="s">
        <v>19</v>
      </c>
      <c r="K1885" s="3" t="s">
        <v>20</v>
      </c>
      <c r="L1885" s="3">
        <v>27.03</v>
      </c>
      <c r="M1885" s="3" t="s">
        <v>1695</v>
      </c>
      <c r="N1885" s="3" t="s">
        <v>1696</v>
      </c>
      <c r="O1885" s="3">
        <v>1.89219401959E11</v>
      </c>
    </row>
    <row r="1886">
      <c r="A1886" s="3">
        <v>2606501.0</v>
      </c>
      <c r="B1886" s="3" t="s">
        <v>4094</v>
      </c>
      <c r="C1886" s="3" t="b">
        <v>1</v>
      </c>
      <c r="D1886" s="3" t="b">
        <v>1</v>
      </c>
      <c r="E1886" s="3" t="s">
        <v>787</v>
      </c>
      <c r="F1886" s="3" t="s">
        <v>414</v>
      </c>
      <c r="G1886" s="4">
        <f>+251910431229</f>
        <v>251910431229</v>
      </c>
      <c r="H1886" s="3" t="s">
        <v>18</v>
      </c>
      <c r="I1886" s="3" t="s">
        <v>19</v>
      </c>
      <c r="J1886" s="3" t="s">
        <v>19</v>
      </c>
      <c r="K1886" s="3" t="s">
        <v>25</v>
      </c>
      <c r="L1886" s="3">
        <v>24.03</v>
      </c>
      <c r="M1886" s="3" t="s">
        <v>1695</v>
      </c>
      <c r="N1886" s="3" t="s">
        <v>1696</v>
      </c>
      <c r="O1886" s="3">
        <v>1.89096557774E11</v>
      </c>
    </row>
    <row r="1887">
      <c r="A1887" s="3">
        <v>2606511.0</v>
      </c>
      <c r="B1887" s="3" t="s">
        <v>4095</v>
      </c>
      <c r="C1887" s="3" t="b">
        <v>1</v>
      </c>
      <c r="D1887" s="3" t="b">
        <v>1</v>
      </c>
      <c r="E1887" s="3" t="s">
        <v>2999</v>
      </c>
      <c r="F1887" s="3" t="s">
        <v>4051</v>
      </c>
      <c r="G1887" s="4">
        <f>+251912000914</f>
        <v>251912000914</v>
      </c>
      <c r="H1887" s="3" t="s">
        <v>18</v>
      </c>
      <c r="I1887" s="3" t="s">
        <v>19</v>
      </c>
      <c r="J1887" s="3" t="s">
        <v>19</v>
      </c>
      <c r="K1887" s="3" t="s">
        <v>25</v>
      </c>
      <c r="L1887" s="3">
        <v>23.03</v>
      </c>
      <c r="M1887" s="3" t="s">
        <v>1695</v>
      </c>
      <c r="N1887" s="3" t="s">
        <v>1696</v>
      </c>
      <c r="O1887" s="3">
        <v>1.89219671274E11</v>
      </c>
    </row>
    <row r="1888">
      <c r="A1888" s="3">
        <v>2606547.0</v>
      </c>
      <c r="B1888" s="3" t="s">
        <v>4096</v>
      </c>
      <c r="C1888" s="3" t="b">
        <v>0</v>
      </c>
      <c r="D1888" s="3" t="b">
        <v>1</v>
      </c>
      <c r="E1888" s="3" t="s">
        <v>1758</v>
      </c>
      <c r="F1888" s="3" t="s">
        <v>4097</v>
      </c>
      <c r="G1888" s="4">
        <f>+251967150624</f>
        <v>251967150624</v>
      </c>
      <c r="H1888" s="3" t="s">
        <v>18</v>
      </c>
      <c r="I1888" s="3" t="s">
        <v>19</v>
      </c>
      <c r="J1888" s="3" t="s">
        <v>19</v>
      </c>
      <c r="K1888" s="3" t="s">
        <v>25</v>
      </c>
      <c r="L1888" s="3">
        <v>24.43</v>
      </c>
      <c r="M1888" s="3" t="s">
        <v>1695</v>
      </c>
      <c r="N1888" s="3" t="s">
        <v>1696</v>
      </c>
      <c r="O1888" s="3">
        <v>1.89096897738E11</v>
      </c>
    </row>
    <row r="1889">
      <c r="A1889" s="3">
        <v>2606557.0</v>
      </c>
      <c r="B1889" s="3" t="s">
        <v>4098</v>
      </c>
      <c r="C1889" s="3" t="b">
        <v>0</v>
      </c>
      <c r="D1889" s="3" t="b">
        <v>1</v>
      </c>
      <c r="E1889" s="3" t="s">
        <v>229</v>
      </c>
      <c r="F1889" s="3" t="s">
        <v>4099</v>
      </c>
      <c r="G1889" s="4">
        <f>+251925650378</f>
        <v>251925650378</v>
      </c>
      <c r="H1889" s="3" t="s">
        <v>18</v>
      </c>
      <c r="I1889" s="3" t="s">
        <v>19</v>
      </c>
      <c r="J1889" s="3" t="s">
        <v>19</v>
      </c>
      <c r="K1889" s="3" t="s">
        <v>25</v>
      </c>
      <c r="L1889" s="3">
        <v>60.18</v>
      </c>
      <c r="M1889" s="3" t="s">
        <v>1695</v>
      </c>
      <c r="N1889" s="3" t="s">
        <v>1696</v>
      </c>
      <c r="O1889" s="3">
        <v>1.89279653051E11</v>
      </c>
    </row>
    <row r="1890">
      <c r="A1890" s="3">
        <v>2606586.0</v>
      </c>
      <c r="B1890" s="3" t="s">
        <v>4100</v>
      </c>
      <c r="C1890" s="3" t="b">
        <v>0</v>
      </c>
      <c r="D1890" s="3" t="b">
        <v>1</v>
      </c>
      <c r="E1890" s="3" t="s">
        <v>3906</v>
      </c>
      <c r="F1890" s="3" t="s">
        <v>4101</v>
      </c>
      <c r="G1890" s="4">
        <f>+251906797770</f>
        <v>251906797770</v>
      </c>
      <c r="H1890" s="3" t="s">
        <v>18</v>
      </c>
      <c r="I1890" s="3" t="s">
        <v>19</v>
      </c>
      <c r="J1890" s="3" t="s">
        <v>19</v>
      </c>
      <c r="K1890" s="3" t="s">
        <v>20</v>
      </c>
      <c r="L1890" s="3">
        <v>24.03</v>
      </c>
      <c r="M1890" s="3" t="s">
        <v>1695</v>
      </c>
      <c r="N1890" s="3" t="s">
        <v>1696</v>
      </c>
      <c r="O1890" s="3">
        <v>1.8894221642E11</v>
      </c>
    </row>
    <row r="1891">
      <c r="A1891" s="3">
        <v>2606609.0</v>
      </c>
      <c r="B1891" s="3" t="s">
        <v>4102</v>
      </c>
      <c r="C1891" s="3" t="b">
        <v>0</v>
      </c>
      <c r="D1891" s="3" t="b">
        <v>1</v>
      </c>
      <c r="E1891" s="3" t="s">
        <v>1865</v>
      </c>
      <c r="F1891" s="3" t="s">
        <v>4103</v>
      </c>
      <c r="G1891" s="4">
        <f>+251910396070</f>
        <v>251910396070</v>
      </c>
      <c r="H1891" s="3" t="s">
        <v>18</v>
      </c>
      <c r="I1891" s="3" t="s">
        <v>19</v>
      </c>
      <c r="J1891" s="3" t="s">
        <v>19</v>
      </c>
      <c r="K1891" s="3" t="s">
        <v>20</v>
      </c>
      <c r="L1891" s="3">
        <v>23.03</v>
      </c>
      <c r="M1891" s="3" t="s">
        <v>1695</v>
      </c>
      <c r="N1891" s="3" t="s">
        <v>1696</v>
      </c>
      <c r="O1891" s="3">
        <v>1.88947587302E11</v>
      </c>
    </row>
    <row r="1892">
      <c r="A1892" s="3">
        <v>2606617.0</v>
      </c>
      <c r="B1892" s="3" t="s">
        <v>4104</v>
      </c>
      <c r="C1892" s="3" t="b">
        <v>0</v>
      </c>
      <c r="D1892" s="3" t="b">
        <v>1</v>
      </c>
      <c r="E1892" s="3" t="s">
        <v>4105</v>
      </c>
      <c r="F1892" s="3" t="s">
        <v>1142</v>
      </c>
      <c r="G1892" s="4">
        <f>+251938478356</f>
        <v>251938478356</v>
      </c>
      <c r="H1892" s="3" t="s">
        <v>18</v>
      </c>
      <c r="I1892" s="3" t="s">
        <v>19</v>
      </c>
      <c r="J1892" s="3" t="s">
        <v>19</v>
      </c>
      <c r="K1892" s="3" t="s">
        <v>25</v>
      </c>
      <c r="L1892" s="3">
        <v>28.03</v>
      </c>
      <c r="M1892" s="3" t="s">
        <v>1695</v>
      </c>
      <c r="N1892" s="3" t="s">
        <v>1696</v>
      </c>
      <c r="O1892" s="3">
        <v>1.88942676155E11</v>
      </c>
    </row>
    <row r="1893">
      <c r="A1893" s="3">
        <v>2606626.0</v>
      </c>
      <c r="B1893" s="3" t="s">
        <v>4106</v>
      </c>
      <c r="C1893" s="3" t="b">
        <v>0</v>
      </c>
      <c r="D1893" s="3" t="b">
        <v>1</v>
      </c>
      <c r="E1893" s="3" t="s">
        <v>4107</v>
      </c>
      <c r="F1893" s="3" t="s">
        <v>4108</v>
      </c>
      <c r="G1893" s="4">
        <f>+251912030938</f>
        <v>251912030938</v>
      </c>
      <c r="H1893" s="3" t="s">
        <v>18</v>
      </c>
      <c r="I1893" s="3" t="s">
        <v>19</v>
      </c>
      <c r="J1893" s="3" t="s">
        <v>19</v>
      </c>
      <c r="K1893" s="3" t="s">
        <v>25</v>
      </c>
      <c r="L1893" s="3">
        <v>63.36</v>
      </c>
      <c r="M1893" s="3" t="s">
        <v>1695</v>
      </c>
      <c r="N1893" s="3" t="s">
        <v>1696</v>
      </c>
      <c r="O1893" s="3">
        <v>1.89130358998E11</v>
      </c>
    </row>
    <row r="1894">
      <c r="A1894" s="3">
        <v>2606632.0</v>
      </c>
      <c r="B1894" s="3" t="s">
        <v>4109</v>
      </c>
      <c r="C1894" s="3" t="b">
        <v>0</v>
      </c>
      <c r="D1894" s="3" t="b">
        <v>1</v>
      </c>
      <c r="E1894" s="3" t="s">
        <v>3417</v>
      </c>
      <c r="F1894" s="3" t="s">
        <v>4110</v>
      </c>
      <c r="G1894" s="4">
        <f>+251930502457</f>
        <v>251930502457</v>
      </c>
      <c r="H1894" s="3" t="s">
        <v>18</v>
      </c>
      <c r="I1894" s="3" t="s">
        <v>19</v>
      </c>
      <c r="J1894" s="3" t="s">
        <v>19</v>
      </c>
      <c r="K1894" s="3" t="s">
        <v>25</v>
      </c>
      <c r="L1894" s="3">
        <v>27.03</v>
      </c>
      <c r="M1894" s="3" t="s">
        <v>1695</v>
      </c>
      <c r="N1894" s="3" t="s">
        <v>1696</v>
      </c>
      <c r="O1894" s="3">
        <v>1903700.0</v>
      </c>
    </row>
    <row r="1895">
      <c r="A1895" s="3">
        <v>2606642.0</v>
      </c>
      <c r="B1895" s="3" t="s">
        <v>4111</v>
      </c>
      <c r="C1895" s="3" t="b">
        <v>0</v>
      </c>
      <c r="D1895" s="3" t="b">
        <v>1</v>
      </c>
      <c r="E1895" s="3" t="s">
        <v>46</v>
      </c>
      <c r="F1895" s="3" t="s">
        <v>3719</v>
      </c>
      <c r="G1895" s="4">
        <f>+25109673993436</f>
        <v>25109673993436</v>
      </c>
      <c r="H1895" s="3" t="s">
        <v>18</v>
      </c>
      <c r="I1895" s="3" t="s">
        <v>19</v>
      </c>
      <c r="J1895" s="3" t="s">
        <v>19</v>
      </c>
      <c r="K1895" s="3" t="s">
        <v>25</v>
      </c>
      <c r="L1895" s="3">
        <v>18.87</v>
      </c>
      <c r="M1895" s="3" t="s">
        <v>1695</v>
      </c>
      <c r="N1895" s="3" t="s">
        <v>1696</v>
      </c>
      <c r="O1895" s="3">
        <v>1.89132880107E11</v>
      </c>
    </row>
    <row r="1896">
      <c r="A1896" s="3">
        <v>2606639.0</v>
      </c>
      <c r="B1896" s="3" t="s">
        <v>4112</v>
      </c>
      <c r="C1896" s="3" t="b">
        <v>0</v>
      </c>
      <c r="D1896" s="3" t="b">
        <v>1</v>
      </c>
      <c r="E1896" s="3" t="s">
        <v>4113</v>
      </c>
      <c r="F1896" s="3" t="s">
        <v>4114</v>
      </c>
      <c r="G1896" s="4">
        <f>+251939787856</f>
        <v>251939787856</v>
      </c>
      <c r="H1896" s="3" t="s">
        <v>18</v>
      </c>
      <c r="I1896" s="3" t="s">
        <v>19</v>
      </c>
      <c r="J1896" s="3" t="s">
        <v>19</v>
      </c>
      <c r="K1896" s="3" t="s">
        <v>25</v>
      </c>
      <c r="L1896" s="3">
        <v>25.11</v>
      </c>
      <c r="M1896" s="3" t="s">
        <v>1695</v>
      </c>
      <c r="N1896" s="3" t="s">
        <v>1696</v>
      </c>
      <c r="O1896" s="3">
        <v>1.8912815231E11</v>
      </c>
    </row>
    <row r="1897">
      <c r="A1897" s="3">
        <v>2606646.0</v>
      </c>
      <c r="B1897" s="3" t="s">
        <v>4115</v>
      </c>
      <c r="C1897" s="3" t="b">
        <v>0</v>
      </c>
      <c r="D1897" s="3" t="b">
        <v>1</v>
      </c>
      <c r="E1897" s="3" t="s">
        <v>978</v>
      </c>
      <c r="F1897" s="3" t="s">
        <v>418</v>
      </c>
      <c r="G1897" s="4">
        <f>+251926251842</f>
        <v>251926251842</v>
      </c>
      <c r="H1897" s="3" t="s">
        <v>18</v>
      </c>
      <c r="I1897" s="3" t="s">
        <v>19</v>
      </c>
      <c r="J1897" s="3" t="s">
        <v>19</v>
      </c>
      <c r="K1897" s="3" t="s">
        <v>20</v>
      </c>
      <c r="L1897" s="3">
        <v>22.03</v>
      </c>
      <c r="M1897" s="3" t="s">
        <v>1695</v>
      </c>
      <c r="N1897" s="3" t="s">
        <v>1696</v>
      </c>
      <c r="O1897" s="3">
        <v>1.89128200409E11</v>
      </c>
    </row>
    <row r="1898">
      <c r="A1898" s="3">
        <v>2606666.0</v>
      </c>
      <c r="B1898" s="3" t="s">
        <v>4116</v>
      </c>
      <c r="C1898" s="3" t="b">
        <v>0</v>
      </c>
      <c r="D1898" s="3" t="b">
        <v>1</v>
      </c>
      <c r="E1898" s="3" t="s">
        <v>4117</v>
      </c>
      <c r="F1898" s="3" t="s">
        <v>2134</v>
      </c>
      <c r="G1898" s="4">
        <f>+251962955865</f>
        <v>251962955865</v>
      </c>
      <c r="H1898" s="3" t="s">
        <v>18</v>
      </c>
      <c r="I1898" s="3" t="s">
        <v>19</v>
      </c>
      <c r="J1898" s="3" t="s">
        <v>19</v>
      </c>
      <c r="K1898" s="3" t="s">
        <v>25</v>
      </c>
      <c r="L1898" s="3">
        <v>29.34</v>
      </c>
      <c r="M1898" s="3" t="s">
        <v>1695</v>
      </c>
      <c r="N1898" s="3" t="s">
        <v>1696</v>
      </c>
      <c r="O1898" s="3">
        <v>1.89279860964E11</v>
      </c>
    </row>
    <row r="1899">
      <c r="A1899" s="3">
        <v>2606667.0</v>
      </c>
      <c r="B1899" s="3" t="s">
        <v>4118</v>
      </c>
      <c r="C1899" s="3" t="b">
        <v>0</v>
      </c>
      <c r="D1899" s="3" t="b">
        <v>1</v>
      </c>
      <c r="E1899" s="3" t="s">
        <v>4119</v>
      </c>
      <c r="F1899" s="3" t="s">
        <v>1614</v>
      </c>
      <c r="G1899" s="4">
        <f>+251919083089</f>
        <v>251919083089</v>
      </c>
      <c r="H1899" s="3" t="s">
        <v>18</v>
      </c>
      <c r="I1899" s="3" t="s">
        <v>19</v>
      </c>
      <c r="J1899" s="3" t="s">
        <v>19</v>
      </c>
      <c r="K1899" s="3" t="s">
        <v>20</v>
      </c>
      <c r="L1899" s="3">
        <v>26.03</v>
      </c>
      <c r="M1899" s="3" t="s">
        <v>1695</v>
      </c>
      <c r="N1899" s="3" t="s">
        <v>1696</v>
      </c>
      <c r="O1899" s="3">
        <v>1.89133255903E11</v>
      </c>
    </row>
    <row r="1900">
      <c r="A1900" s="3">
        <v>2606676.0</v>
      </c>
      <c r="B1900" s="3" t="s">
        <v>4120</v>
      </c>
      <c r="C1900" s="3" t="b">
        <v>0</v>
      </c>
      <c r="D1900" s="3" t="b">
        <v>1</v>
      </c>
      <c r="E1900" s="3" t="s">
        <v>468</v>
      </c>
      <c r="F1900" s="3" t="s">
        <v>4121</v>
      </c>
      <c r="G1900" s="4">
        <f>+251951080771</f>
        <v>251951080771</v>
      </c>
      <c r="H1900" s="3" t="s">
        <v>18</v>
      </c>
      <c r="I1900" s="3" t="s">
        <v>19</v>
      </c>
      <c r="J1900" s="3" t="s">
        <v>19</v>
      </c>
      <c r="K1900" s="3" t="s">
        <v>25</v>
      </c>
      <c r="L1900" s="3">
        <v>25.13</v>
      </c>
      <c r="M1900" s="3" t="s">
        <v>1695</v>
      </c>
      <c r="N1900" s="3" t="s">
        <v>1696</v>
      </c>
      <c r="O1900" s="3">
        <v>1.89295494358E11</v>
      </c>
    </row>
    <row r="1901">
      <c r="A1901" s="3">
        <v>2606689.0</v>
      </c>
      <c r="B1901" s="3" t="s">
        <v>4122</v>
      </c>
      <c r="C1901" s="3" t="b">
        <v>1</v>
      </c>
      <c r="D1901" s="3" t="b">
        <v>1</v>
      </c>
      <c r="E1901" s="3" t="s">
        <v>4123</v>
      </c>
      <c r="F1901" s="3" t="s">
        <v>4124</v>
      </c>
      <c r="G1901" s="4">
        <f>+251910845128</f>
        <v>251910845128</v>
      </c>
      <c r="H1901" s="3" t="s">
        <v>18</v>
      </c>
      <c r="I1901" s="3" t="s">
        <v>19</v>
      </c>
      <c r="J1901" s="3" t="s">
        <v>19</v>
      </c>
      <c r="K1901" s="3" t="s">
        <v>25</v>
      </c>
      <c r="L1901" s="3">
        <v>30.45</v>
      </c>
      <c r="M1901" s="3" t="s">
        <v>1695</v>
      </c>
      <c r="N1901" s="3" t="s">
        <v>1696</v>
      </c>
      <c r="O1901" s="3">
        <v>1.89135814881E11</v>
      </c>
    </row>
    <row r="1902">
      <c r="A1902" s="3">
        <v>2606695.0</v>
      </c>
      <c r="B1902" s="3" t="s">
        <v>4125</v>
      </c>
      <c r="C1902" s="3" t="b">
        <v>0</v>
      </c>
      <c r="D1902" s="3" t="b">
        <v>1</v>
      </c>
      <c r="E1902" s="3" t="s">
        <v>3767</v>
      </c>
      <c r="F1902" s="3" t="s">
        <v>261</v>
      </c>
      <c r="G1902" s="4">
        <f>+251996834310</f>
        <v>251996834310</v>
      </c>
      <c r="H1902" s="3" t="s">
        <v>18</v>
      </c>
      <c r="I1902" s="3" t="s">
        <v>19</v>
      </c>
      <c r="J1902" s="3" t="s">
        <v>19</v>
      </c>
      <c r="K1902" s="3" t="s">
        <v>25</v>
      </c>
      <c r="L1902" s="3">
        <v>24.03</v>
      </c>
      <c r="M1902" s="3" t="s">
        <v>1695</v>
      </c>
      <c r="N1902" s="3" t="s">
        <v>1696</v>
      </c>
      <c r="O1902" s="3">
        <v>1.89293813978E11</v>
      </c>
    </row>
    <row r="1903">
      <c r="A1903" s="3">
        <v>2606701.0</v>
      </c>
      <c r="B1903" s="3" t="s">
        <v>4126</v>
      </c>
      <c r="C1903" s="3" t="b">
        <v>0</v>
      </c>
      <c r="D1903" s="3" t="b">
        <v>1</v>
      </c>
      <c r="E1903" s="3" t="s">
        <v>111</v>
      </c>
      <c r="F1903" s="3" t="s">
        <v>4127</v>
      </c>
      <c r="G1903" s="4">
        <f>+251911919503</f>
        <v>251911919503</v>
      </c>
      <c r="H1903" s="3" t="s">
        <v>18</v>
      </c>
      <c r="I1903" s="3" t="s">
        <v>19</v>
      </c>
      <c r="J1903" s="3" t="s">
        <v>19</v>
      </c>
      <c r="K1903" s="3" t="s">
        <v>25</v>
      </c>
      <c r="L1903" s="3">
        <v>21.03</v>
      </c>
      <c r="M1903" s="3" t="s">
        <v>1695</v>
      </c>
      <c r="N1903" s="3" t="s">
        <v>1696</v>
      </c>
      <c r="O1903" s="3">
        <v>1.89291544797E11</v>
      </c>
    </row>
    <row r="1904">
      <c r="A1904" s="3">
        <v>2606699.0</v>
      </c>
      <c r="B1904" s="3" t="s">
        <v>4128</v>
      </c>
      <c r="C1904" s="3" t="b">
        <v>0</v>
      </c>
      <c r="D1904" s="3" t="b">
        <v>1</v>
      </c>
      <c r="E1904" s="3" t="s">
        <v>188</v>
      </c>
      <c r="F1904" s="3" t="s">
        <v>4129</v>
      </c>
      <c r="G1904" s="4">
        <f>+251955418273</f>
        <v>251955418273</v>
      </c>
      <c r="H1904" s="3" t="s">
        <v>18</v>
      </c>
      <c r="I1904" s="3" t="s">
        <v>19</v>
      </c>
      <c r="J1904" s="3" t="s">
        <v>19</v>
      </c>
      <c r="K1904" s="3" t="s">
        <v>25</v>
      </c>
      <c r="L1904" s="3">
        <v>25.1</v>
      </c>
      <c r="M1904" s="3" t="s">
        <v>1695</v>
      </c>
      <c r="N1904" s="3" t="s">
        <v>1696</v>
      </c>
      <c r="O1904" s="3">
        <v>1.89128773842E11</v>
      </c>
    </row>
    <row r="1905">
      <c r="A1905" s="3">
        <v>2606711.0</v>
      </c>
      <c r="B1905" s="3" t="s">
        <v>4130</v>
      </c>
      <c r="C1905" s="3" t="b">
        <v>0</v>
      </c>
      <c r="D1905" s="3" t="b">
        <v>1</v>
      </c>
      <c r="E1905" s="3" t="s">
        <v>4131</v>
      </c>
      <c r="F1905" s="3" t="s">
        <v>2833</v>
      </c>
      <c r="G1905" s="4">
        <f>+251947005259</f>
        <v>251947005259</v>
      </c>
      <c r="H1905" s="3" t="s">
        <v>18</v>
      </c>
      <c r="I1905" s="3" t="s">
        <v>19</v>
      </c>
      <c r="J1905" s="3" t="s">
        <v>19</v>
      </c>
      <c r="K1905" s="3" t="s">
        <v>25</v>
      </c>
      <c r="L1905" s="3">
        <v>21.37</v>
      </c>
      <c r="M1905" s="3" t="s">
        <v>1695</v>
      </c>
      <c r="N1905" s="3" t="s">
        <v>1696</v>
      </c>
      <c r="O1905" s="3">
        <v>1.89129958586E11</v>
      </c>
    </row>
    <row r="1906">
      <c r="A1906" s="3">
        <v>2606714.0</v>
      </c>
      <c r="B1906" s="3" t="s">
        <v>4132</v>
      </c>
      <c r="C1906" s="3" t="b">
        <v>0</v>
      </c>
      <c r="D1906" s="3" t="b">
        <v>1</v>
      </c>
      <c r="E1906" s="3" t="s">
        <v>4133</v>
      </c>
      <c r="F1906" s="3" t="s">
        <v>4134</v>
      </c>
      <c r="G1906" s="4">
        <f>+251910344638</f>
        <v>251910344638</v>
      </c>
      <c r="H1906" s="3" t="s">
        <v>18</v>
      </c>
      <c r="I1906" s="3" t="s">
        <v>19</v>
      </c>
      <c r="J1906" s="3" t="s">
        <v>19</v>
      </c>
      <c r="K1906" s="3" t="s">
        <v>20</v>
      </c>
      <c r="L1906" s="3">
        <v>25.11</v>
      </c>
      <c r="M1906" s="3" t="s">
        <v>1695</v>
      </c>
      <c r="N1906" s="3" t="s">
        <v>1696</v>
      </c>
      <c r="O1906" s="3">
        <v>1.89296704745E11</v>
      </c>
    </row>
    <row r="1907">
      <c r="A1907" s="3">
        <v>2606729.0</v>
      </c>
      <c r="B1907" s="3" t="s">
        <v>4135</v>
      </c>
      <c r="C1907" s="3" t="b">
        <v>0</v>
      </c>
      <c r="D1907" s="3" t="b">
        <v>1</v>
      </c>
      <c r="E1907" s="3" t="s">
        <v>4136</v>
      </c>
      <c r="F1907" s="3" t="s">
        <v>4137</v>
      </c>
      <c r="G1907" s="4">
        <f>+251954956635</f>
        <v>251954956635</v>
      </c>
      <c r="H1907" s="3" t="s">
        <v>18</v>
      </c>
      <c r="I1907" s="3" t="s">
        <v>19</v>
      </c>
      <c r="J1907" s="3" t="s">
        <v>19</v>
      </c>
      <c r="K1907" s="3" t="s">
        <v>20</v>
      </c>
      <c r="L1907" s="3">
        <v>23.03</v>
      </c>
      <c r="M1907" s="3" t="s">
        <v>1695</v>
      </c>
      <c r="N1907" s="3" t="s">
        <v>1696</v>
      </c>
      <c r="O1907" s="3">
        <v>1.89293102271E11</v>
      </c>
    </row>
    <row r="1908">
      <c r="A1908" s="3">
        <v>2606734.0</v>
      </c>
      <c r="B1908" s="3" t="s">
        <v>4138</v>
      </c>
      <c r="C1908" s="3" t="b">
        <v>0</v>
      </c>
      <c r="D1908" s="3" t="b">
        <v>1</v>
      </c>
      <c r="E1908" s="3" t="s">
        <v>101</v>
      </c>
      <c r="F1908" s="3" t="s">
        <v>2562</v>
      </c>
      <c r="G1908" s="4">
        <f>+251925681441</f>
        <v>251925681441</v>
      </c>
      <c r="H1908" s="3" t="s">
        <v>18</v>
      </c>
      <c r="I1908" s="3" t="s">
        <v>19</v>
      </c>
      <c r="J1908" s="3" t="s">
        <v>19</v>
      </c>
      <c r="K1908" s="3" t="s">
        <v>25</v>
      </c>
      <c r="L1908" s="3">
        <v>21.03</v>
      </c>
      <c r="M1908" s="3" t="s">
        <v>1695</v>
      </c>
      <c r="N1908" s="3" t="s">
        <v>1696</v>
      </c>
      <c r="O1908" s="3">
        <v>1.89144429783E11</v>
      </c>
    </row>
    <row r="1909">
      <c r="A1909" s="3">
        <v>2606767.0</v>
      </c>
      <c r="B1909" s="3" t="s">
        <v>4139</v>
      </c>
      <c r="C1909" s="3" t="b">
        <v>0</v>
      </c>
      <c r="D1909" s="3" t="b">
        <v>1</v>
      </c>
      <c r="E1909" s="3" t="s">
        <v>4140</v>
      </c>
      <c r="F1909" s="3" t="s">
        <v>2724</v>
      </c>
      <c r="G1909" s="4">
        <f>+251935675479</f>
        <v>251935675479</v>
      </c>
      <c r="H1909" s="3" t="s">
        <v>18</v>
      </c>
      <c r="I1909" s="3" t="s">
        <v>19</v>
      </c>
      <c r="J1909" s="3" t="s">
        <v>19</v>
      </c>
      <c r="K1909" s="3" t="s">
        <v>20</v>
      </c>
      <c r="L1909" s="3">
        <v>15.12</v>
      </c>
      <c r="M1909" s="3" t="s">
        <v>1695</v>
      </c>
      <c r="N1909" s="3" t="s">
        <v>1696</v>
      </c>
      <c r="O1909" s="3">
        <v>1.89297242346E11</v>
      </c>
    </row>
    <row r="1910">
      <c r="A1910" s="3">
        <v>2606789.0</v>
      </c>
      <c r="B1910" s="3" t="s">
        <v>4141</v>
      </c>
      <c r="C1910" s="3" t="b">
        <v>0</v>
      </c>
      <c r="D1910" s="3" t="b">
        <v>1</v>
      </c>
      <c r="E1910" s="3" t="s">
        <v>641</v>
      </c>
      <c r="F1910" s="3" t="s">
        <v>4142</v>
      </c>
      <c r="G1910" s="4">
        <f>+251915554805</f>
        <v>251915554805</v>
      </c>
      <c r="H1910" s="3" t="s">
        <v>18</v>
      </c>
      <c r="I1910" s="3" t="s">
        <v>19</v>
      </c>
      <c r="J1910" s="3" t="s">
        <v>19</v>
      </c>
      <c r="K1910" s="3" t="s">
        <v>25</v>
      </c>
      <c r="L1910" s="3">
        <v>28.52</v>
      </c>
      <c r="M1910" s="3" t="s">
        <v>1695</v>
      </c>
      <c r="N1910" s="3" t="s">
        <v>1696</v>
      </c>
      <c r="O1910" s="3">
        <v>1.8930940849E11</v>
      </c>
    </row>
    <row r="1911">
      <c r="A1911" s="3">
        <v>2606801.0</v>
      </c>
      <c r="B1911" s="3" t="s">
        <v>4143</v>
      </c>
      <c r="C1911" s="3" t="b">
        <v>0</v>
      </c>
      <c r="D1911" s="3" t="b">
        <v>1</v>
      </c>
      <c r="E1911" s="3" t="s">
        <v>273</v>
      </c>
      <c r="F1911" s="3" t="s">
        <v>1584</v>
      </c>
      <c r="G1911" s="4">
        <f>+251900585546</f>
        <v>251900585546</v>
      </c>
      <c r="H1911" s="3" t="s">
        <v>18</v>
      </c>
      <c r="I1911" s="3" t="s">
        <v>19</v>
      </c>
      <c r="J1911" s="3" t="s">
        <v>19</v>
      </c>
      <c r="K1911" s="3" t="s">
        <v>25</v>
      </c>
      <c r="L1911" s="3">
        <v>25.12</v>
      </c>
      <c r="M1911" s="3" t="s">
        <v>1695</v>
      </c>
      <c r="N1911" s="3" t="s">
        <v>1696</v>
      </c>
      <c r="O1911" s="3">
        <v>1.8929743282E11</v>
      </c>
    </row>
    <row r="1912">
      <c r="A1912" s="3">
        <v>2606809.0</v>
      </c>
      <c r="B1912" s="3" t="s">
        <v>4144</v>
      </c>
      <c r="C1912" s="3" t="b">
        <v>0</v>
      </c>
      <c r="D1912" s="3" t="b">
        <v>1</v>
      </c>
      <c r="E1912" s="3" t="s">
        <v>4145</v>
      </c>
      <c r="F1912" s="3" t="s">
        <v>1253</v>
      </c>
      <c r="G1912" s="4">
        <f>+251915850559</f>
        <v>251915850559</v>
      </c>
      <c r="H1912" s="3" t="s">
        <v>18</v>
      </c>
      <c r="I1912" s="3" t="s">
        <v>19</v>
      </c>
      <c r="J1912" s="3" t="s">
        <v>19</v>
      </c>
      <c r="K1912" s="3" t="s">
        <v>25</v>
      </c>
      <c r="L1912" s="3">
        <v>24.03</v>
      </c>
      <c r="M1912" s="3" t="s">
        <v>1695</v>
      </c>
      <c r="N1912" s="3" t="s">
        <v>1696</v>
      </c>
      <c r="O1912" s="3">
        <v>1.89297481922E11</v>
      </c>
    </row>
    <row r="1913">
      <c r="A1913" s="3">
        <v>2606814.0</v>
      </c>
      <c r="B1913" s="3" t="s">
        <v>4146</v>
      </c>
      <c r="C1913" s="3" t="b">
        <v>0</v>
      </c>
      <c r="D1913" s="3" t="b">
        <v>1</v>
      </c>
      <c r="E1913" s="3" t="s">
        <v>4147</v>
      </c>
      <c r="F1913" s="3" t="s">
        <v>425</v>
      </c>
      <c r="G1913" s="4">
        <f>+251919883102</f>
        <v>251919883102</v>
      </c>
      <c r="H1913" s="3" t="s">
        <v>18</v>
      </c>
      <c r="I1913" s="3" t="s">
        <v>19</v>
      </c>
      <c r="J1913" s="3" t="s">
        <v>19</v>
      </c>
      <c r="K1913" s="3" t="s">
        <v>25</v>
      </c>
      <c r="L1913" s="3">
        <v>37.33</v>
      </c>
      <c r="M1913" s="3" t="s">
        <v>1695</v>
      </c>
      <c r="N1913" s="3" t="s">
        <v>1696</v>
      </c>
      <c r="O1913" s="3">
        <v>1.89157796081E11</v>
      </c>
    </row>
    <row r="1914">
      <c r="A1914" s="3">
        <v>2606836.0</v>
      </c>
      <c r="B1914" s="3" t="s">
        <v>4148</v>
      </c>
      <c r="C1914" s="3" t="b">
        <v>0</v>
      </c>
      <c r="D1914" s="3" t="b">
        <v>1</v>
      </c>
      <c r="E1914" s="3" t="s">
        <v>304</v>
      </c>
      <c r="F1914" s="3" t="s">
        <v>538</v>
      </c>
      <c r="G1914" s="4">
        <f>+251986807345</f>
        <v>251986807345</v>
      </c>
      <c r="H1914" s="3" t="s">
        <v>18</v>
      </c>
      <c r="I1914" s="3" t="s">
        <v>19</v>
      </c>
      <c r="J1914" s="3" t="s">
        <v>19</v>
      </c>
      <c r="K1914" s="3" t="s">
        <v>25</v>
      </c>
      <c r="L1914" s="3">
        <v>24.09</v>
      </c>
      <c r="M1914" s="3" t="s">
        <v>1695</v>
      </c>
      <c r="N1914" s="3" t="s">
        <v>1696</v>
      </c>
      <c r="O1914" s="3">
        <v>1888395.0</v>
      </c>
    </row>
    <row r="1915">
      <c r="A1915" s="3">
        <v>2606876.0</v>
      </c>
      <c r="B1915" s="3" t="s">
        <v>4149</v>
      </c>
      <c r="C1915" s="3" t="b">
        <v>0</v>
      </c>
      <c r="D1915" s="3" t="b">
        <v>1</v>
      </c>
      <c r="E1915" s="3" t="s">
        <v>916</v>
      </c>
      <c r="F1915" s="3" t="s">
        <v>4150</v>
      </c>
      <c r="G1915" s="4">
        <f>+251946880727</f>
        <v>251946880727</v>
      </c>
      <c r="H1915" s="3" t="s">
        <v>18</v>
      </c>
      <c r="I1915" s="3" t="s">
        <v>19</v>
      </c>
      <c r="J1915" s="3" t="s">
        <v>19</v>
      </c>
      <c r="K1915" s="3" t="s">
        <v>25</v>
      </c>
      <c r="L1915" s="3">
        <v>25.1</v>
      </c>
      <c r="M1915" s="3" t="s">
        <v>1695</v>
      </c>
      <c r="N1915" s="3" t="s">
        <v>1696</v>
      </c>
      <c r="O1915" s="3">
        <v>1.89149267154E11</v>
      </c>
    </row>
    <row r="1916">
      <c r="A1916" s="3">
        <v>2606894.0</v>
      </c>
      <c r="B1916" s="3" t="s">
        <v>4151</v>
      </c>
      <c r="C1916" s="3" t="b">
        <v>0</v>
      </c>
      <c r="D1916" s="3" t="b">
        <v>1</v>
      </c>
      <c r="E1916" s="3" t="s">
        <v>4152</v>
      </c>
      <c r="F1916" s="3" t="s">
        <v>4153</v>
      </c>
      <c r="G1916" s="4">
        <f>+251965496462</f>
        <v>251965496462</v>
      </c>
      <c r="H1916" s="3" t="s">
        <v>18</v>
      </c>
      <c r="I1916" s="3" t="s">
        <v>19</v>
      </c>
      <c r="J1916" s="3" t="s">
        <v>19</v>
      </c>
      <c r="K1916" s="3" t="s">
        <v>25</v>
      </c>
      <c r="L1916" s="3">
        <v>25.13</v>
      </c>
      <c r="M1916" s="3" t="s">
        <v>1695</v>
      </c>
      <c r="N1916" s="3" t="s">
        <v>1696</v>
      </c>
      <c r="O1916" s="3">
        <v>1.89174165722E11</v>
      </c>
    </row>
    <row r="1917">
      <c r="A1917" s="3">
        <v>2606910.0</v>
      </c>
      <c r="B1917" s="3" t="s">
        <v>4154</v>
      </c>
      <c r="C1917" s="3" t="b">
        <v>1</v>
      </c>
      <c r="D1917" s="3" t="b">
        <v>1</v>
      </c>
      <c r="E1917" s="3" t="s">
        <v>73</v>
      </c>
      <c r="F1917" s="3" t="s">
        <v>911</v>
      </c>
      <c r="G1917" s="4">
        <f>+251979005949</f>
        <v>251979005949</v>
      </c>
      <c r="H1917" s="3" t="s">
        <v>18</v>
      </c>
      <c r="I1917" s="3" t="s">
        <v>19</v>
      </c>
      <c r="J1917" s="3" t="s">
        <v>19</v>
      </c>
      <c r="K1917" s="3" t="s">
        <v>25</v>
      </c>
      <c r="L1917" s="3">
        <v>25.11</v>
      </c>
      <c r="M1917" s="3" t="s">
        <v>1695</v>
      </c>
      <c r="N1917" s="3" t="s">
        <v>1696</v>
      </c>
      <c r="O1917" s="3">
        <v>1.89169155261E11</v>
      </c>
    </row>
    <row r="1918">
      <c r="A1918" s="3">
        <v>2606921.0</v>
      </c>
      <c r="B1918" s="3" t="s">
        <v>4155</v>
      </c>
      <c r="C1918" s="3" t="b">
        <v>0</v>
      </c>
      <c r="D1918" s="3" t="b">
        <v>1</v>
      </c>
      <c r="E1918" s="3" t="s">
        <v>4156</v>
      </c>
      <c r="F1918" s="3" t="s">
        <v>58</v>
      </c>
      <c r="G1918" s="4">
        <f>+251918814275</f>
        <v>251918814275</v>
      </c>
      <c r="H1918" s="3" t="s">
        <v>18</v>
      </c>
      <c r="I1918" s="3" t="s">
        <v>19</v>
      </c>
      <c r="J1918" s="3" t="s">
        <v>19</v>
      </c>
      <c r="K1918" s="3" t="s">
        <v>25</v>
      </c>
      <c r="L1918" s="3">
        <v>25.13</v>
      </c>
      <c r="M1918" s="3" t="s">
        <v>1695</v>
      </c>
      <c r="N1918" s="3" t="s">
        <v>1696</v>
      </c>
    </row>
    <row r="1919">
      <c r="A1919" s="3">
        <v>2606988.0</v>
      </c>
      <c r="B1919" s="3" t="s">
        <v>4157</v>
      </c>
      <c r="C1919" s="3" t="b">
        <v>0</v>
      </c>
      <c r="D1919" s="3" t="b">
        <v>1</v>
      </c>
      <c r="E1919" s="3" t="s">
        <v>304</v>
      </c>
      <c r="F1919" s="3" t="s">
        <v>356</v>
      </c>
      <c r="G1919" s="4">
        <f>+251974557767</f>
        <v>251974557767</v>
      </c>
      <c r="H1919" s="3" t="s">
        <v>18</v>
      </c>
      <c r="I1919" s="3" t="s">
        <v>19</v>
      </c>
      <c r="J1919" s="3" t="s">
        <v>19</v>
      </c>
      <c r="K1919" s="3" t="s">
        <v>25</v>
      </c>
      <c r="L1919" s="3">
        <v>25.1</v>
      </c>
      <c r="M1919" s="3" t="s">
        <v>1695</v>
      </c>
      <c r="N1919" s="3" t="s">
        <v>1696</v>
      </c>
      <c r="O1919" s="3">
        <v>1.89371202787E11</v>
      </c>
    </row>
    <row r="1920">
      <c r="A1920" s="3">
        <v>2606614.0</v>
      </c>
      <c r="B1920" s="3" t="s">
        <v>4158</v>
      </c>
      <c r="C1920" s="3" t="b">
        <v>0</v>
      </c>
      <c r="D1920" s="3" t="b">
        <v>1</v>
      </c>
      <c r="E1920" s="3" t="s">
        <v>689</v>
      </c>
      <c r="F1920" s="3" t="s">
        <v>422</v>
      </c>
      <c r="G1920" s="4">
        <f>+251929949294</f>
        <v>251929949294</v>
      </c>
      <c r="H1920" s="3" t="s">
        <v>18</v>
      </c>
      <c r="I1920" s="3" t="s">
        <v>19</v>
      </c>
      <c r="J1920" s="3" t="s">
        <v>19</v>
      </c>
      <c r="K1920" s="3" t="s">
        <v>20</v>
      </c>
      <c r="L1920" s="3">
        <v>25.08</v>
      </c>
      <c r="M1920" s="3" t="s">
        <v>1695</v>
      </c>
      <c r="N1920" s="3" t="s">
        <v>1696</v>
      </c>
      <c r="O1920" s="3">
        <v>1.8912786147E11</v>
      </c>
    </row>
    <row r="1921">
      <c r="A1921" s="3">
        <v>2607047.0</v>
      </c>
      <c r="B1921" s="3" t="s">
        <v>4159</v>
      </c>
      <c r="C1921" s="3" t="b">
        <v>0</v>
      </c>
      <c r="D1921" s="3" t="b">
        <v>1</v>
      </c>
      <c r="E1921" s="3" t="s">
        <v>4160</v>
      </c>
      <c r="F1921" s="3" t="s">
        <v>4161</v>
      </c>
      <c r="G1921" s="4">
        <f>+251919514852</f>
        <v>251919514852</v>
      </c>
      <c r="H1921" s="3" t="s">
        <v>18</v>
      </c>
      <c r="I1921" s="3" t="s">
        <v>19</v>
      </c>
      <c r="J1921" s="3" t="s">
        <v>19</v>
      </c>
      <c r="K1921" s="3" t="s">
        <v>25</v>
      </c>
      <c r="L1921" s="3">
        <v>23.03</v>
      </c>
      <c r="M1921" s="3" t="s">
        <v>1695</v>
      </c>
      <c r="N1921" s="3" t="s">
        <v>1696</v>
      </c>
      <c r="O1921" s="3">
        <v>1.89345022167E11</v>
      </c>
    </row>
    <row r="1922">
      <c r="A1922" s="3">
        <v>2607050.0</v>
      </c>
      <c r="B1922" s="3" t="s">
        <v>4162</v>
      </c>
      <c r="C1922" s="3" t="b">
        <v>0</v>
      </c>
      <c r="D1922" s="3" t="b">
        <v>1</v>
      </c>
      <c r="E1922" s="3" t="s">
        <v>4053</v>
      </c>
      <c r="F1922" s="3" t="s">
        <v>230</v>
      </c>
      <c r="G1922" s="4">
        <f>+251947855569</f>
        <v>251947855569</v>
      </c>
      <c r="H1922" s="3" t="s">
        <v>18</v>
      </c>
      <c r="I1922" s="3" t="s">
        <v>19</v>
      </c>
      <c r="J1922" s="3" t="s">
        <v>19</v>
      </c>
      <c r="K1922" s="3" t="s">
        <v>20</v>
      </c>
      <c r="L1922" s="3">
        <v>30.02</v>
      </c>
      <c r="M1922" s="3" t="s">
        <v>1695</v>
      </c>
      <c r="N1922" s="3" t="s">
        <v>1696</v>
      </c>
      <c r="O1922" s="3">
        <v>1.89341543666E11</v>
      </c>
    </row>
    <row r="1923">
      <c r="A1923" s="3">
        <v>2607092.0</v>
      </c>
      <c r="B1923" s="3" t="s">
        <v>4163</v>
      </c>
      <c r="C1923" s="3" t="b">
        <v>0</v>
      </c>
      <c r="D1923" s="3" t="b">
        <v>1</v>
      </c>
      <c r="E1923" s="3" t="s">
        <v>4164</v>
      </c>
      <c r="F1923" s="3" t="s">
        <v>4165</v>
      </c>
      <c r="G1923" s="4">
        <f>+251925689662</f>
        <v>251925689662</v>
      </c>
      <c r="H1923" s="3" t="s">
        <v>18</v>
      </c>
      <c r="I1923" s="3" t="s">
        <v>19</v>
      </c>
      <c r="J1923" s="3" t="s">
        <v>19</v>
      </c>
      <c r="K1923" s="3" t="s">
        <v>25</v>
      </c>
      <c r="L1923" s="3">
        <v>25.11</v>
      </c>
      <c r="M1923" s="3" t="s">
        <v>1695</v>
      </c>
      <c r="N1923" s="3" t="s">
        <v>1696</v>
      </c>
      <c r="O1923" s="3">
        <v>1.89344441593E11</v>
      </c>
    </row>
    <row r="1924">
      <c r="A1924" s="3">
        <v>2607143.0</v>
      </c>
      <c r="B1924" s="3" t="s">
        <v>4166</v>
      </c>
      <c r="C1924" s="3" t="b">
        <v>0</v>
      </c>
      <c r="D1924" s="3" t="b">
        <v>1</v>
      </c>
      <c r="E1924" s="3" t="s">
        <v>4167</v>
      </c>
      <c r="F1924" s="3" t="s">
        <v>3417</v>
      </c>
      <c r="G1924" s="4">
        <f>+251970999789</f>
        <v>251970999789</v>
      </c>
      <c r="H1924" s="3" t="s">
        <v>18</v>
      </c>
      <c r="I1924" s="3" t="s">
        <v>19</v>
      </c>
      <c r="J1924" s="3" t="s">
        <v>19</v>
      </c>
      <c r="K1924" s="3" t="s">
        <v>20</v>
      </c>
      <c r="L1924" s="3">
        <v>25.12</v>
      </c>
      <c r="M1924" s="3" t="s">
        <v>1695</v>
      </c>
      <c r="N1924" s="3" t="s">
        <v>1696</v>
      </c>
      <c r="O1924" s="3">
        <v>1.89398855902E11</v>
      </c>
    </row>
    <row r="1925">
      <c r="A1925" s="3">
        <v>2607172.0</v>
      </c>
      <c r="B1925" s="3" t="s">
        <v>4168</v>
      </c>
      <c r="C1925" s="3" t="b">
        <v>0</v>
      </c>
      <c r="D1925" s="3" t="b">
        <v>1</v>
      </c>
      <c r="E1925" s="3" t="s">
        <v>178</v>
      </c>
      <c r="F1925" s="3" t="s">
        <v>196</v>
      </c>
      <c r="G1925" s="4">
        <f>+251967765456</f>
        <v>251967765456</v>
      </c>
      <c r="H1925" s="3" t="s">
        <v>18</v>
      </c>
      <c r="I1925" s="3" t="s">
        <v>19</v>
      </c>
      <c r="J1925" s="3" t="s">
        <v>19</v>
      </c>
      <c r="K1925" s="3" t="s">
        <v>25</v>
      </c>
      <c r="L1925" s="3">
        <v>25.1</v>
      </c>
      <c r="M1925" s="3" t="s">
        <v>1695</v>
      </c>
      <c r="N1925" s="3" t="s">
        <v>1696</v>
      </c>
      <c r="O1925" s="3">
        <v>1.89415739585E11</v>
      </c>
    </row>
    <row r="1926">
      <c r="A1926" s="3">
        <v>2607257.0</v>
      </c>
      <c r="B1926" s="3" t="s">
        <v>4169</v>
      </c>
      <c r="C1926" s="3" t="b">
        <v>0</v>
      </c>
      <c r="D1926" s="3" t="b">
        <v>1</v>
      </c>
      <c r="E1926" s="3" t="s">
        <v>468</v>
      </c>
      <c r="F1926" s="3" t="s">
        <v>784</v>
      </c>
      <c r="G1926" s="4">
        <f>+251978697916</f>
        <v>251978697916</v>
      </c>
      <c r="H1926" s="3" t="s">
        <v>18</v>
      </c>
      <c r="I1926" s="3" t="s">
        <v>19</v>
      </c>
      <c r="J1926" s="3" t="s">
        <v>19</v>
      </c>
      <c r="K1926" s="3" t="s">
        <v>25</v>
      </c>
      <c r="L1926" s="3">
        <v>26.02</v>
      </c>
      <c r="M1926" s="3" t="s">
        <v>1695</v>
      </c>
      <c r="N1926" s="3" t="s">
        <v>1696</v>
      </c>
      <c r="O1926" s="3">
        <v>1.89413824736E11</v>
      </c>
    </row>
    <row r="1927">
      <c r="A1927" s="3">
        <v>2550358.0</v>
      </c>
      <c r="B1927" s="3" t="s">
        <v>4170</v>
      </c>
      <c r="C1927" s="3" t="b">
        <v>1</v>
      </c>
      <c r="D1927" s="3" t="b">
        <v>1</v>
      </c>
      <c r="E1927" s="3" t="s">
        <v>4171</v>
      </c>
      <c r="F1927" s="3" t="s">
        <v>4172</v>
      </c>
      <c r="G1927" s="4">
        <f>+251929532611</f>
        <v>251929532611</v>
      </c>
      <c r="H1927" s="3" t="s">
        <v>18</v>
      </c>
      <c r="I1927" s="3" t="s">
        <v>19</v>
      </c>
      <c r="J1927" s="3" t="s">
        <v>19</v>
      </c>
      <c r="K1927" s="3" t="s">
        <v>25</v>
      </c>
      <c r="L1927" s="3">
        <v>19.59</v>
      </c>
      <c r="M1927" s="3" t="s">
        <v>1695</v>
      </c>
      <c r="N1927" s="3" t="s">
        <v>1696</v>
      </c>
      <c r="O1927" s="3">
        <v>1.71499437289E11</v>
      </c>
    </row>
    <row r="1928">
      <c r="A1928" s="3">
        <v>2607563.0</v>
      </c>
      <c r="B1928" s="3" t="s">
        <v>4173</v>
      </c>
      <c r="C1928" s="3" t="b">
        <v>1</v>
      </c>
      <c r="D1928" s="3" t="b">
        <v>1</v>
      </c>
      <c r="E1928" s="3" t="s">
        <v>4174</v>
      </c>
      <c r="F1928" s="3" t="s">
        <v>4175</v>
      </c>
      <c r="G1928" s="4">
        <f>+251966770502</f>
        <v>251966770502</v>
      </c>
      <c r="H1928" s="3" t="s">
        <v>18</v>
      </c>
      <c r="I1928" s="3" t="s">
        <v>19</v>
      </c>
      <c r="J1928" s="3" t="s">
        <v>19</v>
      </c>
      <c r="K1928" s="3" t="s">
        <v>25</v>
      </c>
      <c r="L1928" s="3">
        <v>30.22</v>
      </c>
      <c r="M1928" s="3" t="s">
        <v>1695</v>
      </c>
      <c r="N1928" s="3" t="s">
        <v>1696</v>
      </c>
    </row>
    <row r="1929">
      <c r="A1929" s="3">
        <v>2607609.0</v>
      </c>
      <c r="B1929" s="3" t="s">
        <v>4176</v>
      </c>
      <c r="C1929" s="3" t="b">
        <v>1</v>
      </c>
      <c r="D1929" s="3" t="b">
        <v>1</v>
      </c>
      <c r="E1929" s="3" t="s">
        <v>4177</v>
      </c>
      <c r="F1929" s="3" t="s">
        <v>35</v>
      </c>
      <c r="G1929" s="4">
        <f>+251944584366</f>
        <v>251944584366</v>
      </c>
      <c r="H1929" s="3" t="s">
        <v>18</v>
      </c>
      <c r="I1929" s="3" t="s">
        <v>19</v>
      </c>
      <c r="J1929" s="3" t="s">
        <v>19</v>
      </c>
      <c r="K1929" s="3" t="s">
        <v>25</v>
      </c>
      <c r="L1929" s="3">
        <v>24.0</v>
      </c>
      <c r="M1929" s="3" t="s">
        <v>1695</v>
      </c>
      <c r="N1929" s="3" t="s">
        <v>1696</v>
      </c>
      <c r="O1929" s="3">
        <v>1.89534467268E11</v>
      </c>
    </row>
    <row r="1930">
      <c r="A1930" s="3">
        <v>2607989.0</v>
      </c>
      <c r="B1930" s="3" t="s">
        <v>4178</v>
      </c>
      <c r="C1930" s="3" t="b">
        <v>0</v>
      </c>
      <c r="D1930" s="3" t="b">
        <v>1</v>
      </c>
      <c r="E1930" s="3" t="s">
        <v>4179</v>
      </c>
      <c r="F1930" s="3" t="s">
        <v>4180</v>
      </c>
      <c r="G1930" s="4">
        <f>+251938750406</f>
        <v>251938750406</v>
      </c>
      <c r="H1930" s="3" t="s">
        <v>18</v>
      </c>
      <c r="I1930" s="3" t="s">
        <v>19</v>
      </c>
      <c r="J1930" s="3" t="s">
        <v>19</v>
      </c>
      <c r="K1930" s="3" t="s">
        <v>25</v>
      </c>
      <c r="L1930" s="3">
        <v>27.27</v>
      </c>
      <c r="M1930" s="3" t="s">
        <v>1695</v>
      </c>
      <c r="N1930" s="3" t="s">
        <v>1696</v>
      </c>
      <c r="O1930" s="3">
        <v>1.89919056121E11</v>
      </c>
    </row>
    <row r="1931">
      <c r="A1931" s="3">
        <v>2608030.0</v>
      </c>
      <c r="B1931" s="3" t="s">
        <v>4181</v>
      </c>
      <c r="C1931" s="3" t="b">
        <v>0</v>
      </c>
      <c r="D1931" s="3" t="b">
        <v>1</v>
      </c>
      <c r="E1931" s="3" t="s">
        <v>4182</v>
      </c>
      <c r="F1931" s="3" t="s">
        <v>3786</v>
      </c>
      <c r="G1931" s="4">
        <f>+251930521544</f>
        <v>251930521544</v>
      </c>
      <c r="H1931" s="3" t="s">
        <v>18</v>
      </c>
      <c r="I1931" s="3" t="s">
        <v>19</v>
      </c>
      <c r="J1931" s="3" t="s">
        <v>19</v>
      </c>
      <c r="K1931" s="3" t="s">
        <v>25</v>
      </c>
      <c r="L1931" s="3">
        <v>24.03</v>
      </c>
      <c r="M1931" s="3" t="s">
        <v>1695</v>
      </c>
      <c r="N1931" s="3" t="s">
        <v>1696</v>
      </c>
      <c r="O1931" s="3">
        <v>1.89925507315E11</v>
      </c>
    </row>
    <row r="1932">
      <c r="A1932" s="3">
        <v>2608042.0</v>
      </c>
      <c r="B1932" s="3" t="s">
        <v>4183</v>
      </c>
      <c r="C1932" s="3" t="b">
        <v>0</v>
      </c>
      <c r="D1932" s="3" t="b">
        <v>1</v>
      </c>
      <c r="E1932" s="3" t="s">
        <v>4184</v>
      </c>
      <c r="F1932" s="3" t="s">
        <v>189</v>
      </c>
      <c r="G1932" s="4">
        <f>+251919395006</f>
        <v>251919395006</v>
      </c>
      <c r="H1932" s="3" t="s">
        <v>18</v>
      </c>
      <c r="I1932" s="3" t="s">
        <v>19</v>
      </c>
      <c r="J1932" s="3" t="s">
        <v>19</v>
      </c>
      <c r="K1932" s="3" t="s">
        <v>25</v>
      </c>
      <c r="L1932" s="3">
        <v>25.08</v>
      </c>
      <c r="M1932" s="3" t="s">
        <v>1695</v>
      </c>
      <c r="N1932" s="3" t="s">
        <v>1696</v>
      </c>
      <c r="O1932" s="3">
        <v>1.89912124622E11</v>
      </c>
    </row>
    <row r="1933">
      <c r="A1933" s="3">
        <v>2608086.0</v>
      </c>
      <c r="B1933" s="3" t="s">
        <v>4185</v>
      </c>
      <c r="C1933" s="3" t="b">
        <v>1</v>
      </c>
      <c r="D1933" s="3" t="b">
        <v>1</v>
      </c>
      <c r="E1933" s="3" t="s">
        <v>4186</v>
      </c>
      <c r="F1933" s="3" t="s">
        <v>4187</v>
      </c>
      <c r="G1933" s="4">
        <f>+251968431521</f>
        <v>251968431521</v>
      </c>
      <c r="H1933" s="3" t="s">
        <v>18</v>
      </c>
      <c r="I1933" s="3" t="s">
        <v>19</v>
      </c>
      <c r="J1933" s="3" t="s">
        <v>19</v>
      </c>
      <c r="K1933" s="3" t="s">
        <v>25</v>
      </c>
      <c r="L1933" s="3">
        <v>20.66</v>
      </c>
      <c r="M1933" s="3" t="s">
        <v>1695</v>
      </c>
      <c r="N1933" s="3" t="s">
        <v>1696</v>
      </c>
      <c r="O1933" s="3">
        <v>1.90020878571E11</v>
      </c>
    </row>
    <row r="1934">
      <c r="A1934" s="3">
        <v>2608106.0</v>
      </c>
      <c r="B1934" s="3" t="s">
        <v>4188</v>
      </c>
      <c r="C1934" s="3" t="b">
        <v>0</v>
      </c>
      <c r="D1934" s="3" t="b">
        <v>1</v>
      </c>
      <c r="E1934" s="3" t="s">
        <v>4150</v>
      </c>
      <c r="F1934" s="3" t="s">
        <v>4189</v>
      </c>
      <c r="G1934" s="4">
        <f>+251919405984</f>
        <v>251919405984</v>
      </c>
      <c r="H1934" s="3" t="s">
        <v>18</v>
      </c>
      <c r="I1934" s="3" t="s">
        <v>19</v>
      </c>
      <c r="J1934" s="3" t="s">
        <v>19</v>
      </c>
      <c r="K1934" s="3" t="s">
        <v>25</v>
      </c>
      <c r="L1934" s="3">
        <v>24.03</v>
      </c>
      <c r="M1934" s="3" t="s">
        <v>1695</v>
      </c>
      <c r="N1934" s="3" t="s">
        <v>1696</v>
      </c>
      <c r="O1934" s="3">
        <v>1.90034309331E11</v>
      </c>
    </row>
    <row r="1935">
      <c r="A1935" s="3">
        <v>2608136.0</v>
      </c>
      <c r="B1935" s="3" t="s">
        <v>4190</v>
      </c>
      <c r="C1935" s="3" t="b">
        <v>0</v>
      </c>
      <c r="D1935" s="3" t="b">
        <v>1</v>
      </c>
      <c r="E1935" s="3" t="s">
        <v>4191</v>
      </c>
      <c r="F1935" s="3" t="s">
        <v>4192</v>
      </c>
      <c r="G1935" s="4">
        <f>+251931075767</f>
        <v>251931075767</v>
      </c>
      <c r="H1935" s="3" t="s">
        <v>29</v>
      </c>
      <c r="I1935" s="3" t="s">
        <v>19</v>
      </c>
      <c r="J1935" s="3" t="s">
        <v>19</v>
      </c>
      <c r="K1935" s="3" t="s">
        <v>20</v>
      </c>
      <c r="L1935" s="3">
        <v>22.92</v>
      </c>
      <c r="M1935" s="3" t="s">
        <v>1695</v>
      </c>
      <c r="N1935" s="3" t="s">
        <v>1696</v>
      </c>
      <c r="O1935" s="3">
        <v>1.90033679595E11</v>
      </c>
    </row>
    <row r="1936">
      <c r="A1936" s="3">
        <v>2608159.0</v>
      </c>
      <c r="B1936" s="3" t="s">
        <v>4193</v>
      </c>
      <c r="C1936" s="3" t="b">
        <v>1</v>
      </c>
      <c r="D1936" s="3" t="b">
        <v>1</v>
      </c>
      <c r="E1936" s="3" t="s">
        <v>1549</v>
      </c>
      <c r="F1936" s="3" t="s">
        <v>4194</v>
      </c>
      <c r="G1936" s="4">
        <f>+251943032343</f>
        <v>251943032343</v>
      </c>
      <c r="H1936" s="3" t="s">
        <v>18</v>
      </c>
      <c r="I1936" s="3" t="s">
        <v>19</v>
      </c>
      <c r="J1936" s="3" t="s">
        <v>19</v>
      </c>
      <c r="K1936" s="3" t="s">
        <v>25</v>
      </c>
      <c r="L1936" s="3">
        <v>30.68</v>
      </c>
      <c r="M1936" s="3" t="s">
        <v>1695</v>
      </c>
      <c r="N1936" s="3" t="s">
        <v>1696</v>
      </c>
      <c r="O1936" s="3">
        <v>1849018.0</v>
      </c>
    </row>
    <row r="1937">
      <c r="A1937" s="3">
        <v>2608180.0</v>
      </c>
      <c r="B1937" s="3" t="s">
        <v>4195</v>
      </c>
      <c r="C1937" s="3" t="b">
        <v>0</v>
      </c>
      <c r="D1937" s="3" t="b">
        <v>1</v>
      </c>
      <c r="E1937" s="3" t="s">
        <v>1000</v>
      </c>
      <c r="F1937" s="3" t="s">
        <v>629</v>
      </c>
      <c r="G1937" s="4">
        <f>+2512970999789</f>
        <v>2512970999789</v>
      </c>
      <c r="H1937" s="3" t="s">
        <v>18</v>
      </c>
      <c r="I1937" s="3" t="s">
        <v>19</v>
      </c>
      <c r="J1937" s="3" t="s">
        <v>19</v>
      </c>
      <c r="K1937" s="3" t="s">
        <v>25</v>
      </c>
      <c r="L1937" s="3">
        <v>25.08</v>
      </c>
      <c r="M1937" s="3" t="s">
        <v>1695</v>
      </c>
      <c r="N1937" s="3" t="s">
        <v>1696</v>
      </c>
      <c r="O1937" s="3">
        <v>1.89930383588E11</v>
      </c>
    </row>
    <row r="1938">
      <c r="A1938" s="3">
        <v>2608195.0</v>
      </c>
      <c r="B1938" s="3" t="s">
        <v>4196</v>
      </c>
      <c r="C1938" s="3" t="b">
        <v>1</v>
      </c>
      <c r="D1938" s="3" t="b">
        <v>1</v>
      </c>
      <c r="E1938" s="3" t="s">
        <v>4053</v>
      </c>
      <c r="F1938" s="3" t="s">
        <v>3417</v>
      </c>
      <c r="G1938" s="4">
        <f>+251938595975</f>
        <v>251938595975</v>
      </c>
      <c r="H1938" s="3" t="s">
        <v>18</v>
      </c>
      <c r="I1938" s="3" t="s">
        <v>19</v>
      </c>
      <c r="J1938" s="3" t="s">
        <v>19</v>
      </c>
      <c r="K1938" s="3" t="s">
        <v>20</v>
      </c>
      <c r="L1938" s="3">
        <v>25.09</v>
      </c>
      <c r="M1938" s="3" t="s">
        <v>1695</v>
      </c>
      <c r="N1938" s="3" t="s">
        <v>1696</v>
      </c>
      <c r="O1938" s="3">
        <v>1.90051988685E11</v>
      </c>
    </row>
    <row r="1939">
      <c r="A1939" s="3">
        <v>2518351.0</v>
      </c>
      <c r="B1939" s="3" t="s">
        <v>4197</v>
      </c>
      <c r="C1939" s="3" t="b">
        <v>1</v>
      </c>
      <c r="D1939" s="3" t="b">
        <v>1</v>
      </c>
      <c r="E1939" s="3" t="s">
        <v>4198</v>
      </c>
      <c r="F1939" s="3" t="s">
        <v>4199</v>
      </c>
      <c r="G1939" s="4">
        <f>+251912120971</f>
        <v>251912120971</v>
      </c>
      <c r="H1939" s="3" t="s">
        <v>18</v>
      </c>
      <c r="I1939" s="3" t="s">
        <v>19</v>
      </c>
      <c r="J1939" s="3" t="s">
        <v>19</v>
      </c>
      <c r="K1939" s="3" t="s">
        <v>25</v>
      </c>
      <c r="L1939" s="3">
        <v>26.39</v>
      </c>
      <c r="M1939" s="3" t="s">
        <v>1695</v>
      </c>
      <c r="N1939" s="3" t="s">
        <v>1696</v>
      </c>
    </row>
    <row r="1940">
      <c r="A1940" s="3">
        <v>2608226.0</v>
      </c>
      <c r="B1940" s="3" t="s">
        <v>4200</v>
      </c>
      <c r="C1940" s="3" t="b">
        <v>0</v>
      </c>
      <c r="D1940" s="3" t="b">
        <v>1</v>
      </c>
      <c r="E1940" s="3" t="s">
        <v>1034</v>
      </c>
      <c r="F1940" s="3" t="s">
        <v>4201</v>
      </c>
      <c r="G1940" s="4">
        <f>+251924664270</f>
        <v>251924664270</v>
      </c>
      <c r="H1940" s="3" t="s">
        <v>18</v>
      </c>
      <c r="I1940" s="3" t="s">
        <v>19</v>
      </c>
      <c r="J1940" s="3" t="s">
        <v>19</v>
      </c>
      <c r="K1940" s="3" t="s">
        <v>20</v>
      </c>
      <c r="L1940" s="3">
        <v>25.11</v>
      </c>
      <c r="M1940" s="3" t="s">
        <v>1695</v>
      </c>
      <c r="N1940" s="3" t="s">
        <v>1696</v>
      </c>
      <c r="O1940" s="3">
        <v>1.90054362344E11</v>
      </c>
    </row>
    <row r="1941">
      <c r="A1941" s="3">
        <v>2608305.0</v>
      </c>
      <c r="B1941" s="3" t="s">
        <v>4202</v>
      </c>
      <c r="C1941" s="3" t="b">
        <v>0</v>
      </c>
      <c r="D1941" s="3" t="b">
        <v>1</v>
      </c>
      <c r="E1941" s="3" t="s">
        <v>4203</v>
      </c>
      <c r="F1941" s="3" t="s">
        <v>1532</v>
      </c>
      <c r="G1941" s="4">
        <f>+251911587608</f>
        <v>251911587608</v>
      </c>
      <c r="H1941" s="3" t="s">
        <v>18</v>
      </c>
      <c r="I1941" s="3" t="s">
        <v>19</v>
      </c>
      <c r="J1941" s="3" t="s">
        <v>19</v>
      </c>
      <c r="K1941" s="3" t="s">
        <v>25</v>
      </c>
      <c r="L1941" s="3">
        <v>32.44</v>
      </c>
      <c r="M1941" s="3" t="s">
        <v>1695</v>
      </c>
      <c r="N1941" s="3" t="s">
        <v>1696</v>
      </c>
      <c r="O1941" s="3">
        <v>1.90058619122E11</v>
      </c>
    </row>
    <row r="1942">
      <c r="A1942" s="3">
        <v>2608330.0</v>
      </c>
      <c r="B1942" s="3" t="s">
        <v>4204</v>
      </c>
      <c r="C1942" s="3" t="b">
        <v>0</v>
      </c>
      <c r="D1942" s="3" t="b">
        <v>1</v>
      </c>
      <c r="E1942" s="3" t="s">
        <v>16</v>
      </c>
      <c r="F1942" s="3" t="s">
        <v>993</v>
      </c>
      <c r="G1942" s="4">
        <f>+251985343579</f>
        <v>251985343579</v>
      </c>
      <c r="H1942" s="3" t="s">
        <v>18</v>
      </c>
      <c r="I1942" s="3" t="s">
        <v>19</v>
      </c>
      <c r="J1942" s="3" t="s">
        <v>19</v>
      </c>
      <c r="K1942" s="3" t="s">
        <v>20</v>
      </c>
      <c r="L1942" s="3">
        <v>23.03</v>
      </c>
      <c r="M1942" s="3" t="s">
        <v>1695</v>
      </c>
      <c r="N1942" s="3" t="s">
        <v>1696</v>
      </c>
      <c r="O1942" s="3">
        <v>1.90060602592E11</v>
      </c>
    </row>
    <row r="1943">
      <c r="A1943" s="3">
        <v>2608359.0</v>
      </c>
      <c r="B1943" s="3" t="s">
        <v>4205</v>
      </c>
      <c r="C1943" s="3" t="b">
        <v>0</v>
      </c>
      <c r="D1943" s="3" t="b">
        <v>1</v>
      </c>
      <c r="E1943" s="3" t="s">
        <v>4206</v>
      </c>
      <c r="F1943" s="3" t="s">
        <v>4207</v>
      </c>
      <c r="G1943" s="3">
        <v>9.53892386E8</v>
      </c>
      <c r="H1943" s="3" t="s">
        <v>18</v>
      </c>
      <c r="I1943" s="3" t="s">
        <v>19</v>
      </c>
      <c r="J1943" s="3" t="s">
        <v>19</v>
      </c>
      <c r="K1943" s="3" t="s">
        <v>20</v>
      </c>
      <c r="L1943" s="3">
        <v>25.37</v>
      </c>
      <c r="M1943" s="3" t="s">
        <v>1695</v>
      </c>
      <c r="N1943" s="3" t="s">
        <v>1696</v>
      </c>
      <c r="O1943" s="3">
        <v>1.90063568072E11</v>
      </c>
    </row>
    <row r="1944">
      <c r="A1944" s="3">
        <v>2608367.0</v>
      </c>
      <c r="B1944" s="3" t="s">
        <v>4208</v>
      </c>
      <c r="C1944" s="3" t="b">
        <v>0</v>
      </c>
      <c r="D1944" s="3" t="b">
        <v>1</v>
      </c>
      <c r="E1944" s="3" t="s">
        <v>2537</v>
      </c>
      <c r="F1944" s="3" t="s">
        <v>4209</v>
      </c>
      <c r="G1944" s="4">
        <f>+251910964265</f>
        <v>251910964265</v>
      </c>
      <c r="H1944" s="3" t="s">
        <v>18</v>
      </c>
      <c r="I1944" s="3" t="s">
        <v>19</v>
      </c>
      <c r="J1944" s="3" t="s">
        <v>19</v>
      </c>
      <c r="K1944" s="3" t="s">
        <v>20</v>
      </c>
      <c r="L1944" s="3">
        <v>22.37</v>
      </c>
      <c r="M1944" s="3" t="s">
        <v>1695</v>
      </c>
      <c r="N1944" s="3" t="s">
        <v>1696</v>
      </c>
      <c r="O1944" s="3">
        <v>1.90065354959E11</v>
      </c>
    </row>
    <row r="1945">
      <c r="A1945" s="3">
        <v>2608382.0</v>
      </c>
      <c r="B1945" s="3" t="s">
        <v>4210</v>
      </c>
      <c r="C1945" s="3" t="b">
        <v>0</v>
      </c>
      <c r="D1945" s="3" t="b">
        <v>1</v>
      </c>
      <c r="E1945" s="3" t="s">
        <v>4211</v>
      </c>
      <c r="F1945" s="3" t="s">
        <v>649</v>
      </c>
      <c r="G1945" s="4">
        <f>+10938956400</f>
        <v>10938956400</v>
      </c>
      <c r="H1945" s="3" t="s">
        <v>18</v>
      </c>
      <c r="I1945" s="3" t="s">
        <v>19</v>
      </c>
      <c r="J1945" s="3" t="s">
        <v>19</v>
      </c>
      <c r="K1945" s="3" t="s">
        <v>20</v>
      </c>
      <c r="L1945" s="3">
        <v>22.44</v>
      </c>
      <c r="M1945" s="3" t="s">
        <v>1695</v>
      </c>
      <c r="N1945" s="3" t="s">
        <v>1696</v>
      </c>
      <c r="O1945" s="3">
        <v>1.8994697033E11</v>
      </c>
    </row>
    <row r="1946">
      <c r="A1946" s="3">
        <v>2608415.0</v>
      </c>
      <c r="B1946" s="3" t="s">
        <v>4212</v>
      </c>
      <c r="C1946" s="3" t="b">
        <v>0</v>
      </c>
      <c r="D1946" s="3" t="b">
        <v>1</v>
      </c>
      <c r="E1946" s="3" t="s">
        <v>4213</v>
      </c>
      <c r="F1946" s="3" t="s">
        <v>3894</v>
      </c>
      <c r="G1946" s="4">
        <f>+251942412500</f>
        <v>251942412500</v>
      </c>
      <c r="H1946" s="3" t="s">
        <v>18</v>
      </c>
      <c r="I1946" s="3" t="s">
        <v>19</v>
      </c>
      <c r="J1946" s="3" t="s">
        <v>19</v>
      </c>
      <c r="K1946" s="3" t="s">
        <v>25</v>
      </c>
      <c r="L1946" s="3">
        <v>21.27</v>
      </c>
      <c r="M1946" s="3" t="s">
        <v>1695</v>
      </c>
      <c r="N1946" s="3" t="s">
        <v>1696</v>
      </c>
      <c r="O1946" s="3">
        <v>1.90068299971E11</v>
      </c>
    </row>
    <row r="1947">
      <c r="A1947" s="3">
        <v>2608426.0</v>
      </c>
      <c r="B1947" s="3" t="s">
        <v>4214</v>
      </c>
      <c r="C1947" s="3" t="b">
        <v>0</v>
      </c>
      <c r="D1947" s="3" t="b">
        <v>1</v>
      </c>
      <c r="E1947" s="3" t="s">
        <v>1815</v>
      </c>
      <c r="F1947" s="3" t="s">
        <v>4215</v>
      </c>
      <c r="G1947" s="4">
        <f>+251921332410</f>
        <v>251921332410</v>
      </c>
      <c r="H1947" s="3" t="s">
        <v>18</v>
      </c>
      <c r="I1947" s="3" t="s">
        <v>19</v>
      </c>
      <c r="J1947" s="3" t="s">
        <v>19</v>
      </c>
      <c r="K1947" s="3" t="s">
        <v>25</v>
      </c>
      <c r="L1947" s="3">
        <v>29.46</v>
      </c>
      <c r="M1947" s="3" t="s">
        <v>1695</v>
      </c>
      <c r="N1947" s="3" t="s">
        <v>1696</v>
      </c>
      <c r="O1947" s="3">
        <v>1.89953098978E11</v>
      </c>
    </row>
    <row r="1948">
      <c r="A1948" s="3">
        <v>2608447.0</v>
      </c>
      <c r="B1948" s="3" t="s">
        <v>4216</v>
      </c>
      <c r="C1948" s="3" t="b">
        <v>0</v>
      </c>
      <c r="D1948" s="3" t="b">
        <v>1</v>
      </c>
      <c r="E1948" s="3" t="s">
        <v>4217</v>
      </c>
      <c r="F1948" s="3" t="s">
        <v>3815</v>
      </c>
      <c r="G1948" s="4">
        <f>+251917569415</f>
        <v>251917569415</v>
      </c>
      <c r="H1948" s="3" t="s">
        <v>18</v>
      </c>
      <c r="I1948" s="3" t="s">
        <v>19</v>
      </c>
      <c r="J1948" s="3" t="s">
        <v>19</v>
      </c>
      <c r="K1948" s="3" t="s">
        <v>25</v>
      </c>
      <c r="L1948" s="3">
        <v>27.03</v>
      </c>
      <c r="M1948" s="3" t="s">
        <v>1695</v>
      </c>
      <c r="N1948" s="3" t="s">
        <v>1696</v>
      </c>
      <c r="O1948" s="3">
        <v>1.8995166948E11</v>
      </c>
    </row>
    <row r="1949">
      <c r="A1949" s="3">
        <v>2608476.0</v>
      </c>
      <c r="B1949" s="3" t="s">
        <v>4218</v>
      </c>
      <c r="C1949" s="3" t="b">
        <v>0</v>
      </c>
      <c r="D1949" s="3" t="b">
        <v>1</v>
      </c>
      <c r="E1949" s="3" t="s">
        <v>4219</v>
      </c>
      <c r="F1949" s="3" t="s">
        <v>3458</v>
      </c>
      <c r="G1949" s="4">
        <f>+251921458895</f>
        <v>251921458895</v>
      </c>
      <c r="H1949" s="3" t="s">
        <v>18</v>
      </c>
      <c r="I1949" s="3" t="s">
        <v>19</v>
      </c>
      <c r="J1949" s="3" t="s">
        <v>19</v>
      </c>
      <c r="K1949" s="3" t="s">
        <v>25</v>
      </c>
      <c r="L1949" s="3">
        <v>26.03</v>
      </c>
      <c r="M1949" s="3" t="s">
        <v>1695</v>
      </c>
      <c r="N1949" s="3" t="s">
        <v>1696</v>
      </c>
      <c r="O1949" s="3">
        <v>1.89954915557E11</v>
      </c>
    </row>
    <row r="1950">
      <c r="A1950" s="3">
        <v>2608533.0</v>
      </c>
      <c r="B1950" s="3" t="s">
        <v>4220</v>
      </c>
      <c r="C1950" s="3" t="b">
        <v>0</v>
      </c>
      <c r="D1950" s="3" t="b">
        <v>1</v>
      </c>
      <c r="E1950" s="3" t="s">
        <v>4221</v>
      </c>
      <c r="F1950" s="3" t="s">
        <v>143</v>
      </c>
      <c r="G1950" s="4">
        <f>+251947102411</f>
        <v>251947102411</v>
      </c>
      <c r="H1950" s="3" t="s">
        <v>18</v>
      </c>
      <c r="I1950" s="3" t="s">
        <v>19</v>
      </c>
      <c r="J1950" s="3" t="s">
        <v>19</v>
      </c>
      <c r="K1950" s="3" t="s">
        <v>25</v>
      </c>
      <c r="L1950" s="3">
        <v>23.03</v>
      </c>
      <c r="M1950" s="3" t="s">
        <v>1695</v>
      </c>
      <c r="N1950" s="3" t="s">
        <v>1696</v>
      </c>
      <c r="O1950" s="3">
        <v>1.89960130782E11</v>
      </c>
    </row>
    <row r="1951">
      <c r="A1951" s="3">
        <v>2608536.0</v>
      </c>
      <c r="B1951" s="3" t="s">
        <v>4222</v>
      </c>
      <c r="C1951" s="3" t="b">
        <v>0</v>
      </c>
      <c r="D1951" s="3" t="b">
        <v>1</v>
      </c>
      <c r="E1951" s="3" t="s">
        <v>2622</v>
      </c>
      <c r="F1951" s="3" t="s">
        <v>468</v>
      </c>
      <c r="G1951" s="4">
        <f>+251934165857</f>
        <v>251934165857</v>
      </c>
      <c r="H1951" s="3" t="s">
        <v>18</v>
      </c>
      <c r="I1951" s="3" t="s">
        <v>19</v>
      </c>
      <c r="J1951" s="3" t="s">
        <v>19</v>
      </c>
      <c r="K1951" s="3" t="s">
        <v>20</v>
      </c>
      <c r="L1951" s="3">
        <v>25.08</v>
      </c>
      <c r="M1951" s="3" t="s">
        <v>1695</v>
      </c>
      <c r="N1951" s="3" t="s">
        <v>1696</v>
      </c>
      <c r="O1951" s="3">
        <v>1.89959055597E11</v>
      </c>
    </row>
    <row r="1952">
      <c r="A1952" s="3">
        <v>2608558.0</v>
      </c>
      <c r="B1952" s="3" t="s">
        <v>4223</v>
      </c>
      <c r="C1952" s="3" t="b">
        <v>0</v>
      </c>
      <c r="D1952" s="3" t="b">
        <v>1</v>
      </c>
      <c r="E1952" s="3" t="s">
        <v>1034</v>
      </c>
      <c r="F1952" s="3" t="s">
        <v>221</v>
      </c>
      <c r="G1952" s="4">
        <f>+251969352596</f>
        <v>251969352596</v>
      </c>
      <c r="H1952" s="3" t="s">
        <v>18</v>
      </c>
      <c r="I1952" s="3" t="s">
        <v>19</v>
      </c>
      <c r="J1952" s="3" t="s">
        <v>19</v>
      </c>
      <c r="K1952" s="3" t="s">
        <v>20</v>
      </c>
      <c r="L1952" s="3">
        <v>25.13</v>
      </c>
      <c r="M1952" s="3" t="s">
        <v>1695</v>
      </c>
      <c r="N1952" s="3" t="s">
        <v>1696</v>
      </c>
      <c r="O1952" s="3">
        <v>1.90079799493E11</v>
      </c>
    </row>
    <row r="1953">
      <c r="A1953" s="3">
        <v>2608567.0</v>
      </c>
      <c r="B1953" s="3" t="s">
        <v>4224</v>
      </c>
      <c r="C1953" s="3" t="b">
        <v>0</v>
      </c>
      <c r="D1953" s="3" t="b">
        <v>1</v>
      </c>
      <c r="E1953" s="3" t="s">
        <v>4225</v>
      </c>
      <c r="F1953" s="3" t="s">
        <v>1000</v>
      </c>
      <c r="G1953" s="4">
        <f>+251934416494</f>
        <v>251934416494</v>
      </c>
      <c r="H1953" s="3" t="s">
        <v>18</v>
      </c>
      <c r="I1953" s="3" t="s">
        <v>19</v>
      </c>
      <c r="J1953" s="3" t="s">
        <v>19</v>
      </c>
      <c r="K1953" s="3" t="s">
        <v>25</v>
      </c>
      <c r="L1953" s="3">
        <v>34.36</v>
      </c>
      <c r="M1953" s="3" t="s">
        <v>1695</v>
      </c>
      <c r="N1953" s="3" t="s">
        <v>1696</v>
      </c>
      <c r="O1953" s="3">
        <v>1.90073573572E11</v>
      </c>
    </row>
    <row r="1954">
      <c r="A1954" s="3">
        <v>2608576.0</v>
      </c>
      <c r="B1954" s="3" t="s">
        <v>4226</v>
      </c>
      <c r="C1954" s="3" t="b">
        <v>0</v>
      </c>
      <c r="D1954" s="3" t="b">
        <v>1</v>
      </c>
      <c r="E1954" s="3" t="s">
        <v>1862</v>
      </c>
      <c r="F1954" s="3" t="s">
        <v>179</v>
      </c>
      <c r="G1954" s="4">
        <f>+251965356022</f>
        <v>251965356022</v>
      </c>
      <c r="H1954" s="3" t="s">
        <v>18</v>
      </c>
      <c r="I1954" s="3" t="s">
        <v>19</v>
      </c>
      <c r="J1954" s="3" t="s">
        <v>19</v>
      </c>
      <c r="K1954" s="3" t="s">
        <v>25</v>
      </c>
      <c r="L1954" s="3">
        <v>25.03</v>
      </c>
      <c r="M1954" s="3" t="s">
        <v>1695</v>
      </c>
      <c r="N1954" s="3" t="s">
        <v>1696</v>
      </c>
      <c r="O1954" s="3">
        <v>1.89961832672E11</v>
      </c>
    </row>
    <row r="1955">
      <c r="A1955" s="3">
        <v>2608580.0</v>
      </c>
      <c r="B1955" s="3" t="s">
        <v>4227</v>
      </c>
      <c r="C1955" s="3" t="b">
        <v>1</v>
      </c>
      <c r="D1955" s="3" t="b">
        <v>1</v>
      </c>
      <c r="E1955" s="3" t="s">
        <v>4228</v>
      </c>
      <c r="F1955" s="3" t="s">
        <v>2724</v>
      </c>
      <c r="G1955" s="4">
        <f>+251989255580</f>
        <v>251989255580</v>
      </c>
      <c r="H1955" s="3" t="s">
        <v>18</v>
      </c>
      <c r="I1955" s="3" t="s">
        <v>19</v>
      </c>
      <c r="J1955" s="3" t="s">
        <v>19</v>
      </c>
      <c r="K1955" s="3" t="s">
        <v>20</v>
      </c>
      <c r="L1955" s="3">
        <v>24.09</v>
      </c>
      <c r="M1955" s="3" t="s">
        <v>1695</v>
      </c>
      <c r="N1955" s="3" t="s">
        <v>1696</v>
      </c>
      <c r="O1955" s="3">
        <v>1.89962760416E11</v>
      </c>
    </row>
    <row r="1956">
      <c r="A1956" s="3">
        <v>2608603.0</v>
      </c>
      <c r="B1956" s="3" t="s">
        <v>4229</v>
      </c>
      <c r="C1956" s="3" t="b">
        <v>0</v>
      </c>
      <c r="D1956" s="3" t="b">
        <v>1</v>
      </c>
      <c r="E1956" s="3" t="s">
        <v>4053</v>
      </c>
      <c r="F1956" s="3" t="s">
        <v>4230</v>
      </c>
      <c r="G1956" s="4">
        <f>+251703643435</f>
        <v>251703643435</v>
      </c>
      <c r="H1956" s="3" t="s">
        <v>18</v>
      </c>
      <c r="I1956" s="3" t="s">
        <v>19</v>
      </c>
      <c r="J1956" s="3" t="s">
        <v>19</v>
      </c>
      <c r="K1956" s="3" t="s">
        <v>20</v>
      </c>
      <c r="L1956" s="3">
        <v>17.44</v>
      </c>
      <c r="M1956" s="3" t="s">
        <v>1695</v>
      </c>
      <c r="N1956" s="3" t="s">
        <v>1696</v>
      </c>
      <c r="O1956" s="3">
        <v>1.89964607725E11</v>
      </c>
    </row>
    <row r="1957">
      <c r="A1957" s="3">
        <v>2608602.0</v>
      </c>
      <c r="B1957" s="3" t="s">
        <v>4231</v>
      </c>
      <c r="C1957" s="3" t="b">
        <v>0</v>
      </c>
      <c r="D1957" s="3" t="b">
        <v>1</v>
      </c>
      <c r="E1957" s="3" t="s">
        <v>4232</v>
      </c>
      <c r="F1957" s="3" t="s">
        <v>261</v>
      </c>
      <c r="G1957" s="4">
        <f>+251987686545</f>
        <v>251987686545</v>
      </c>
      <c r="H1957" s="3" t="s">
        <v>18</v>
      </c>
      <c r="I1957" s="3" t="s">
        <v>19</v>
      </c>
      <c r="J1957" s="3" t="s">
        <v>19</v>
      </c>
      <c r="K1957" s="3" t="s">
        <v>25</v>
      </c>
      <c r="L1957" s="3">
        <v>25.03</v>
      </c>
      <c r="M1957" s="3" t="s">
        <v>1695</v>
      </c>
      <c r="N1957" s="3" t="s">
        <v>1696</v>
      </c>
      <c r="O1957" s="3">
        <v>3830542.0</v>
      </c>
    </row>
    <row r="1958">
      <c r="A1958" s="3">
        <v>2608599.0</v>
      </c>
      <c r="B1958" s="3" t="s">
        <v>4233</v>
      </c>
      <c r="C1958" s="3" t="b">
        <v>1</v>
      </c>
      <c r="D1958" s="3" t="b">
        <v>1</v>
      </c>
      <c r="E1958" s="3" t="s">
        <v>540</v>
      </c>
      <c r="F1958" s="3" t="s">
        <v>4234</v>
      </c>
      <c r="G1958" s="4">
        <f>+251908787665</f>
        <v>251908787665</v>
      </c>
      <c r="H1958" s="3" t="s">
        <v>18</v>
      </c>
      <c r="I1958" s="3" t="s">
        <v>19</v>
      </c>
      <c r="J1958" s="3" t="s">
        <v>19</v>
      </c>
      <c r="K1958" s="3" t="s">
        <v>20</v>
      </c>
      <c r="L1958" s="3">
        <v>23.03</v>
      </c>
      <c r="M1958" s="3" t="s">
        <v>1695</v>
      </c>
      <c r="N1958" s="3" t="s">
        <v>1696</v>
      </c>
      <c r="O1958" s="3">
        <v>1.90077961416E11</v>
      </c>
    </row>
    <row r="1959">
      <c r="A1959" s="3">
        <v>2608617.0</v>
      </c>
      <c r="B1959" s="3" t="s">
        <v>4235</v>
      </c>
      <c r="C1959" s="3" t="b">
        <v>0</v>
      </c>
      <c r="D1959" s="3" t="b">
        <v>1</v>
      </c>
      <c r="E1959" s="3" t="s">
        <v>4236</v>
      </c>
      <c r="F1959" s="3" t="s">
        <v>4237</v>
      </c>
      <c r="G1959" s="4">
        <f>+251977767810</f>
        <v>251977767810</v>
      </c>
      <c r="H1959" s="3" t="s">
        <v>18</v>
      </c>
      <c r="I1959" s="3" t="s">
        <v>19</v>
      </c>
      <c r="J1959" s="3" t="s">
        <v>19</v>
      </c>
      <c r="K1959" s="3" t="s">
        <v>20</v>
      </c>
      <c r="L1959" s="3">
        <v>26.35</v>
      </c>
      <c r="M1959" s="3" t="s">
        <v>1695</v>
      </c>
      <c r="N1959" s="3" t="s">
        <v>1696</v>
      </c>
      <c r="O1959" s="3">
        <v>1.89965238478E11</v>
      </c>
    </row>
    <row r="1960">
      <c r="A1960" s="3">
        <v>2608622.0</v>
      </c>
      <c r="B1960" s="3" t="s">
        <v>4238</v>
      </c>
      <c r="C1960" s="3" t="b">
        <v>0</v>
      </c>
      <c r="D1960" s="3" t="b">
        <v>1</v>
      </c>
      <c r="E1960" s="3" t="s">
        <v>4239</v>
      </c>
      <c r="F1960" s="3" t="s">
        <v>2410</v>
      </c>
      <c r="G1960" s="4">
        <f>+251931664623</f>
        <v>251931664623</v>
      </c>
      <c r="H1960" s="3" t="s">
        <v>18</v>
      </c>
      <c r="I1960" s="3" t="s">
        <v>19</v>
      </c>
      <c r="J1960" s="3" t="s">
        <v>19</v>
      </c>
      <c r="K1960" s="3" t="s">
        <v>25</v>
      </c>
      <c r="L1960" s="3">
        <v>25.03</v>
      </c>
      <c r="M1960" s="3" t="s">
        <v>1695</v>
      </c>
      <c r="N1960" s="3" t="s">
        <v>1696</v>
      </c>
      <c r="O1960" s="3">
        <v>1.89965929713E11</v>
      </c>
    </row>
    <row r="1961">
      <c r="A1961" s="3">
        <v>2608624.0</v>
      </c>
      <c r="B1961" s="3" t="s">
        <v>4240</v>
      </c>
      <c r="C1961" s="3" t="b">
        <v>0</v>
      </c>
      <c r="D1961" s="3" t="b">
        <v>1</v>
      </c>
      <c r="E1961" s="3" t="s">
        <v>273</v>
      </c>
      <c r="F1961" s="3" t="s">
        <v>4241</v>
      </c>
      <c r="G1961" s="4">
        <f>+251907076154</f>
        <v>251907076154</v>
      </c>
      <c r="H1961" s="3" t="s">
        <v>18</v>
      </c>
      <c r="I1961" s="3" t="s">
        <v>19</v>
      </c>
      <c r="J1961" s="3" t="s">
        <v>19</v>
      </c>
      <c r="K1961" s="3" t="s">
        <v>25</v>
      </c>
      <c r="L1961" s="3">
        <v>23.03</v>
      </c>
      <c r="M1961" s="3" t="s">
        <v>1695</v>
      </c>
      <c r="N1961" s="3" t="s">
        <v>1696</v>
      </c>
      <c r="O1961" s="3">
        <v>1.89965987015E11</v>
      </c>
    </row>
    <row r="1962">
      <c r="A1962" s="3">
        <v>2608647.0</v>
      </c>
      <c r="B1962" s="3" t="s">
        <v>4242</v>
      </c>
      <c r="C1962" s="3" t="b">
        <v>0</v>
      </c>
      <c r="D1962" s="3" t="b">
        <v>1</v>
      </c>
      <c r="E1962" s="3" t="s">
        <v>4243</v>
      </c>
      <c r="F1962" s="3" t="s">
        <v>1656</v>
      </c>
      <c r="G1962" s="4">
        <f>+251978490038</f>
        <v>251978490038</v>
      </c>
      <c r="H1962" s="3" t="s">
        <v>18</v>
      </c>
      <c r="I1962" s="3" t="s">
        <v>19</v>
      </c>
      <c r="J1962" s="3" t="s">
        <v>19</v>
      </c>
      <c r="K1962" s="3" t="s">
        <v>20</v>
      </c>
      <c r="L1962" s="3">
        <v>25.03</v>
      </c>
      <c r="M1962" s="3" t="s">
        <v>1695</v>
      </c>
      <c r="N1962" s="3" t="s">
        <v>1696</v>
      </c>
      <c r="O1962" s="3">
        <v>1.9008503111E11</v>
      </c>
    </row>
    <row r="1963">
      <c r="A1963" s="3">
        <v>2608672.0</v>
      </c>
      <c r="B1963" s="3" t="s">
        <v>4244</v>
      </c>
      <c r="C1963" s="3" t="b">
        <v>0</v>
      </c>
      <c r="D1963" s="3" t="b">
        <v>1</v>
      </c>
      <c r="E1963" s="3" t="s">
        <v>46</v>
      </c>
      <c r="F1963" s="3" t="s">
        <v>4245</v>
      </c>
      <c r="G1963" s="4">
        <f>+251991217617</f>
        <v>251991217617</v>
      </c>
      <c r="H1963" s="3" t="s">
        <v>18</v>
      </c>
      <c r="I1963" s="3" t="s">
        <v>19</v>
      </c>
      <c r="J1963" s="3" t="s">
        <v>19</v>
      </c>
      <c r="K1963" s="3" t="s">
        <v>25</v>
      </c>
      <c r="L1963" s="3">
        <v>25.03</v>
      </c>
      <c r="M1963" s="3" t="s">
        <v>1695</v>
      </c>
      <c r="N1963" s="3" t="s">
        <v>1696</v>
      </c>
      <c r="O1963" s="3">
        <v>1.89968510161E11</v>
      </c>
    </row>
    <row r="1964">
      <c r="A1964" s="3">
        <v>2608673.0</v>
      </c>
      <c r="B1964" s="3" t="s">
        <v>4246</v>
      </c>
      <c r="C1964" s="3" t="b">
        <v>0</v>
      </c>
      <c r="D1964" s="3" t="b">
        <v>1</v>
      </c>
      <c r="E1964" s="3" t="s">
        <v>1187</v>
      </c>
      <c r="F1964" s="3" t="s">
        <v>297</v>
      </c>
      <c r="G1964" s="4">
        <f>+251985180121</f>
        <v>251985180121</v>
      </c>
      <c r="H1964" s="3" t="s">
        <v>18</v>
      </c>
      <c r="I1964" s="3" t="s">
        <v>19</v>
      </c>
      <c r="J1964" s="3" t="s">
        <v>19</v>
      </c>
      <c r="K1964" s="3" t="s">
        <v>20</v>
      </c>
      <c r="L1964" s="3">
        <v>25.08</v>
      </c>
      <c r="M1964" s="3" t="s">
        <v>1695</v>
      </c>
      <c r="N1964" s="3" t="s">
        <v>1696</v>
      </c>
      <c r="O1964" s="3">
        <v>1.90087825654E11</v>
      </c>
    </row>
    <row r="1965">
      <c r="A1965" s="3">
        <v>2608684.0</v>
      </c>
      <c r="B1965" s="3" t="s">
        <v>4247</v>
      </c>
      <c r="C1965" s="3" t="b">
        <v>0</v>
      </c>
      <c r="D1965" s="3" t="b">
        <v>1</v>
      </c>
      <c r="E1965" s="3" t="s">
        <v>4248</v>
      </c>
      <c r="F1965" s="3" t="s">
        <v>2410</v>
      </c>
      <c r="G1965" s="4">
        <f>+251988052927</f>
        <v>251988052927</v>
      </c>
      <c r="H1965" s="3" t="s">
        <v>18</v>
      </c>
      <c r="I1965" s="3" t="s">
        <v>19</v>
      </c>
      <c r="J1965" s="3" t="s">
        <v>19</v>
      </c>
      <c r="K1965" s="3" t="s">
        <v>20</v>
      </c>
      <c r="L1965" s="3">
        <v>24.03</v>
      </c>
      <c r="M1965" s="3" t="s">
        <v>1695</v>
      </c>
      <c r="N1965" s="3" t="s">
        <v>1696</v>
      </c>
      <c r="O1965" s="3">
        <v>1.89969309937E11</v>
      </c>
    </row>
    <row r="1966">
      <c r="A1966" s="3">
        <v>2608719.0</v>
      </c>
      <c r="B1966" s="3" t="s">
        <v>4249</v>
      </c>
      <c r="C1966" s="3" t="b">
        <v>0</v>
      </c>
      <c r="D1966" s="3" t="b">
        <v>1</v>
      </c>
      <c r="E1966" s="3" t="s">
        <v>4250</v>
      </c>
      <c r="F1966" s="3" t="s">
        <v>2339</v>
      </c>
      <c r="G1966" s="4">
        <f>+251962988464</f>
        <v>251962988464</v>
      </c>
      <c r="H1966" s="3" t="s">
        <v>18</v>
      </c>
      <c r="I1966" s="3" t="s">
        <v>19</v>
      </c>
      <c r="J1966" s="3" t="s">
        <v>19</v>
      </c>
      <c r="K1966" s="3" t="s">
        <v>20</v>
      </c>
      <c r="L1966" s="3">
        <v>23.03</v>
      </c>
      <c r="M1966" s="3" t="s">
        <v>1695</v>
      </c>
      <c r="N1966" s="3" t="s">
        <v>1696</v>
      </c>
      <c r="O1966" s="3">
        <v>1.90093129951E11</v>
      </c>
    </row>
    <row r="1967">
      <c r="A1967" s="3">
        <v>2608735.0</v>
      </c>
      <c r="B1967" s="3" t="s">
        <v>4251</v>
      </c>
      <c r="C1967" s="3" t="b">
        <v>0</v>
      </c>
      <c r="D1967" s="3" t="b">
        <v>1</v>
      </c>
      <c r="E1967" s="3" t="s">
        <v>1896</v>
      </c>
      <c r="F1967" s="3" t="s">
        <v>468</v>
      </c>
      <c r="G1967" s="4">
        <f>+251930078051</f>
        <v>251930078051</v>
      </c>
      <c r="H1967" s="3" t="s">
        <v>18</v>
      </c>
      <c r="I1967" s="3" t="s">
        <v>19</v>
      </c>
      <c r="J1967" s="3" t="s">
        <v>19</v>
      </c>
      <c r="K1967" s="3" t="s">
        <v>25</v>
      </c>
      <c r="L1967" s="3">
        <v>22.03</v>
      </c>
      <c r="M1967" s="3" t="s">
        <v>1695</v>
      </c>
      <c r="N1967" s="3" t="s">
        <v>1696</v>
      </c>
      <c r="O1967" s="3">
        <v>1.89975749844E11</v>
      </c>
    </row>
    <row r="1968">
      <c r="A1968" s="3">
        <v>2608736.0</v>
      </c>
      <c r="B1968" s="3" t="s">
        <v>4252</v>
      </c>
      <c r="C1968" s="3" t="b">
        <v>0</v>
      </c>
      <c r="D1968" s="3" t="b">
        <v>1</v>
      </c>
      <c r="E1968" s="3" t="s">
        <v>4253</v>
      </c>
      <c r="F1968" s="3" t="s">
        <v>4041</v>
      </c>
      <c r="G1968" s="4">
        <f>+251913922999</f>
        <v>251913922999</v>
      </c>
      <c r="H1968" s="3" t="s">
        <v>18</v>
      </c>
      <c r="I1968" s="3" t="s">
        <v>19</v>
      </c>
      <c r="J1968" s="3" t="s">
        <v>19</v>
      </c>
      <c r="K1968" s="3" t="s">
        <v>20</v>
      </c>
      <c r="L1968" s="3">
        <v>25.03</v>
      </c>
      <c r="M1968" s="3" t="s">
        <v>1695</v>
      </c>
      <c r="N1968" s="3" t="s">
        <v>1696</v>
      </c>
      <c r="O1968" s="3">
        <v>1.89975757048E11</v>
      </c>
    </row>
    <row r="1969">
      <c r="A1969" s="3">
        <v>2280793.0</v>
      </c>
      <c r="B1969" s="3" t="s">
        <v>4254</v>
      </c>
      <c r="C1969" s="3" t="b">
        <v>1</v>
      </c>
      <c r="D1969" s="3" t="b">
        <v>1</v>
      </c>
      <c r="E1969" s="3" t="s">
        <v>760</v>
      </c>
      <c r="F1969" s="3" t="s">
        <v>66</v>
      </c>
      <c r="G1969" s="4">
        <f>+251986498963</f>
        <v>251986498963</v>
      </c>
      <c r="H1969" s="3" t="s">
        <v>18</v>
      </c>
      <c r="I1969" s="3" t="s">
        <v>19</v>
      </c>
      <c r="J1969" s="3" t="s">
        <v>19</v>
      </c>
      <c r="K1969" s="3" t="s">
        <v>20</v>
      </c>
      <c r="L1969" s="3">
        <v>22.63</v>
      </c>
      <c r="M1969" s="3" t="s">
        <v>1695</v>
      </c>
      <c r="N1969" s="3" t="s">
        <v>1696</v>
      </c>
      <c r="O1969" s="3">
        <v>3.5379511281E10</v>
      </c>
    </row>
    <row r="1970">
      <c r="A1970" s="3">
        <v>2608751.0</v>
      </c>
      <c r="B1970" s="3" t="s">
        <v>4255</v>
      </c>
      <c r="C1970" s="3" t="b">
        <v>1</v>
      </c>
      <c r="D1970" s="3" t="b">
        <v>1</v>
      </c>
      <c r="E1970" s="3" t="s">
        <v>2873</v>
      </c>
      <c r="F1970" s="3" t="s">
        <v>446</v>
      </c>
      <c r="G1970" s="4">
        <f>+251987786556</f>
        <v>251987786556</v>
      </c>
      <c r="H1970" s="3" t="s">
        <v>18</v>
      </c>
      <c r="I1970" s="3" t="s">
        <v>19</v>
      </c>
      <c r="J1970" s="3" t="s">
        <v>19</v>
      </c>
      <c r="K1970" s="3" t="s">
        <v>25</v>
      </c>
      <c r="L1970" s="3">
        <v>25.03</v>
      </c>
      <c r="M1970" s="3" t="s">
        <v>1695</v>
      </c>
      <c r="N1970" s="3" t="s">
        <v>1696</v>
      </c>
      <c r="O1970" s="3">
        <v>1.90094034154E11</v>
      </c>
    </row>
    <row r="1971">
      <c r="A1971" s="3">
        <v>2608759.0</v>
      </c>
      <c r="B1971" s="3" t="s">
        <v>4256</v>
      </c>
      <c r="C1971" s="3" t="b">
        <v>1</v>
      </c>
      <c r="D1971" s="3" t="b">
        <v>1</v>
      </c>
      <c r="E1971" s="3" t="s">
        <v>468</v>
      </c>
      <c r="F1971" s="3" t="s">
        <v>4257</v>
      </c>
      <c r="G1971" s="4">
        <f>+251911514336</f>
        <v>251911514336</v>
      </c>
      <c r="H1971" s="3" t="s">
        <v>18</v>
      </c>
      <c r="I1971" s="3" t="s">
        <v>19</v>
      </c>
      <c r="J1971" s="3" t="s">
        <v>19</v>
      </c>
      <c r="K1971" s="3" t="s">
        <v>25</v>
      </c>
      <c r="L1971" s="3">
        <v>28.03</v>
      </c>
      <c r="M1971" s="3" t="s">
        <v>1695</v>
      </c>
      <c r="N1971" s="3" t="s">
        <v>1696</v>
      </c>
      <c r="O1971" s="3">
        <v>1881114.0</v>
      </c>
    </row>
    <row r="1972">
      <c r="A1972" s="3">
        <v>2608766.0</v>
      </c>
      <c r="B1972" s="3" t="s">
        <v>4258</v>
      </c>
      <c r="C1972" s="3" t="b">
        <v>0</v>
      </c>
      <c r="D1972" s="3" t="b">
        <v>1</v>
      </c>
      <c r="E1972" s="3" t="s">
        <v>2781</v>
      </c>
      <c r="F1972" s="3" t="s">
        <v>2410</v>
      </c>
      <c r="G1972" s="4">
        <f>+251941759128</f>
        <v>251941759128</v>
      </c>
      <c r="H1972" s="3" t="s">
        <v>18</v>
      </c>
      <c r="I1972" s="3" t="s">
        <v>19</v>
      </c>
      <c r="J1972" s="3" t="s">
        <v>19</v>
      </c>
      <c r="K1972" s="3" t="s">
        <v>25</v>
      </c>
      <c r="L1972" s="3">
        <v>25.03</v>
      </c>
      <c r="M1972" s="3" t="s">
        <v>1695</v>
      </c>
      <c r="N1972" s="3" t="s">
        <v>1696</v>
      </c>
      <c r="O1972" s="3">
        <v>1.90094689499E11</v>
      </c>
    </row>
    <row r="1973">
      <c r="A1973" s="3">
        <v>2608796.0</v>
      </c>
      <c r="B1973" s="3" t="s">
        <v>4259</v>
      </c>
      <c r="C1973" s="3" t="b">
        <v>0</v>
      </c>
      <c r="D1973" s="3" t="b">
        <v>1</v>
      </c>
      <c r="E1973" s="3" t="s">
        <v>4260</v>
      </c>
      <c r="F1973" s="3" t="s">
        <v>280</v>
      </c>
      <c r="G1973" s="4">
        <f>+251931375325</f>
        <v>251931375325</v>
      </c>
      <c r="H1973" s="3" t="s">
        <v>18</v>
      </c>
      <c r="I1973" s="3" t="s">
        <v>19</v>
      </c>
      <c r="J1973" s="3" t="s">
        <v>19</v>
      </c>
      <c r="K1973" s="3" t="s">
        <v>25</v>
      </c>
      <c r="L1973" s="3">
        <v>23.03</v>
      </c>
      <c r="M1973" s="3" t="s">
        <v>1695</v>
      </c>
      <c r="N1973" s="3" t="s">
        <v>1696</v>
      </c>
      <c r="O1973" s="3">
        <v>1872493.0</v>
      </c>
    </row>
    <row r="1974">
      <c r="A1974" s="3">
        <v>2608799.0</v>
      </c>
      <c r="B1974" s="3" t="s">
        <v>4261</v>
      </c>
      <c r="C1974" s="3" t="b">
        <v>0</v>
      </c>
      <c r="D1974" s="3" t="b">
        <v>1</v>
      </c>
      <c r="E1974" s="3" t="s">
        <v>143</v>
      </c>
      <c r="F1974" s="3" t="s">
        <v>4051</v>
      </c>
      <c r="G1974" s="4">
        <f>+251917028772</f>
        <v>251917028772</v>
      </c>
      <c r="H1974" s="3" t="s">
        <v>18</v>
      </c>
      <c r="I1974" s="3" t="s">
        <v>19</v>
      </c>
      <c r="J1974" s="3" t="s">
        <v>19</v>
      </c>
      <c r="K1974" s="3" t="s">
        <v>25</v>
      </c>
      <c r="L1974" s="3">
        <v>25.1</v>
      </c>
      <c r="M1974" s="3" t="s">
        <v>1695</v>
      </c>
      <c r="N1974" s="3" t="s">
        <v>1696</v>
      </c>
      <c r="O1974" s="3">
        <v>1.90091306193E11</v>
      </c>
    </row>
    <row r="1975">
      <c r="A1975" s="3">
        <v>2608807.0</v>
      </c>
      <c r="B1975" s="3" t="s">
        <v>4262</v>
      </c>
      <c r="C1975" s="3" t="b">
        <v>1</v>
      </c>
      <c r="D1975" s="3" t="b">
        <v>1</v>
      </c>
      <c r="E1975" s="3" t="s">
        <v>4263</v>
      </c>
      <c r="F1975" s="3" t="s">
        <v>1814</v>
      </c>
      <c r="G1975" s="4">
        <f>+251986360055</f>
        <v>251986360055</v>
      </c>
      <c r="H1975" s="3" t="s">
        <v>18</v>
      </c>
      <c r="I1975" s="3" t="s">
        <v>19</v>
      </c>
      <c r="J1975" s="3" t="s">
        <v>19</v>
      </c>
      <c r="K1975" s="3" t="s">
        <v>20</v>
      </c>
      <c r="L1975" s="3">
        <v>28.03</v>
      </c>
      <c r="M1975" s="3" t="s">
        <v>1695</v>
      </c>
      <c r="N1975" s="3" t="s">
        <v>1696</v>
      </c>
      <c r="O1975" s="3">
        <v>1.89980329159E11</v>
      </c>
    </row>
    <row r="1976">
      <c r="A1976" s="3">
        <v>2608959.0</v>
      </c>
      <c r="B1976" s="3" t="s">
        <v>4264</v>
      </c>
      <c r="C1976" s="3" t="b">
        <v>0</v>
      </c>
      <c r="D1976" s="3" t="b">
        <v>1</v>
      </c>
      <c r="E1976" s="3" t="s">
        <v>414</v>
      </c>
      <c r="F1976" s="3" t="s">
        <v>1756</v>
      </c>
      <c r="G1976" s="4">
        <f>+251913687484</f>
        <v>251913687484</v>
      </c>
      <c r="H1976" s="3" t="s">
        <v>18</v>
      </c>
      <c r="I1976" s="3" t="s">
        <v>19</v>
      </c>
      <c r="J1976" s="3" t="s">
        <v>19</v>
      </c>
      <c r="K1976" s="3" t="s">
        <v>25</v>
      </c>
      <c r="L1976" s="3">
        <v>35.01</v>
      </c>
      <c r="M1976" s="3" t="s">
        <v>1695</v>
      </c>
      <c r="N1976" s="3" t="s">
        <v>1696</v>
      </c>
      <c r="O1976" s="3">
        <v>1.9000088292E11</v>
      </c>
    </row>
    <row r="1977">
      <c r="A1977" s="3">
        <v>2609043.0</v>
      </c>
      <c r="B1977" s="3" t="s">
        <v>4265</v>
      </c>
      <c r="C1977" s="3" t="b">
        <v>0</v>
      </c>
      <c r="D1977" s="3" t="b">
        <v>1</v>
      </c>
      <c r="E1977" s="3" t="s">
        <v>4266</v>
      </c>
      <c r="F1977" s="3" t="s">
        <v>4267</v>
      </c>
      <c r="G1977" s="4">
        <f>+251910851364</f>
        <v>251910851364</v>
      </c>
      <c r="H1977" s="3" t="s">
        <v>18</v>
      </c>
      <c r="I1977" s="3" t="s">
        <v>19</v>
      </c>
      <c r="J1977" s="3" t="s">
        <v>19</v>
      </c>
      <c r="K1977" s="3" t="s">
        <v>20</v>
      </c>
      <c r="L1977" s="3">
        <v>29.01</v>
      </c>
      <c r="M1977" s="3" t="s">
        <v>1695</v>
      </c>
      <c r="N1977" s="3" t="s">
        <v>1696</v>
      </c>
      <c r="O1977" s="3">
        <v>1.90144751859E11</v>
      </c>
    </row>
    <row r="1978">
      <c r="A1978" s="3">
        <v>2609202.0</v>
      </c>
      <c r="B1978" s="3" t="s">
        <v>4268</v>
      </c>
      <c r="C1978" s="3" t="b">
        <v>0</v>
      </c>
      <c r="D1978" s="3" t="b">
        <v>1</v>
      </c>
      <c r="E1978" s="3" t="s">
        <v>1739</v>
      </c>
      <c r="F1978" s="3" t="s">
        <v>649</v>
      </c>
      <c r="G1978" s="4">
        <f>+251926550529</f>
        <v>251926550529</v>
      </c>
      <c r="H1978" s="3" t="s">
        <v>18</v>
      </c>
      <c r="I1978" s="3" t="s">
        <v>19</v>
      </c>
      <c r="J1978" s="3" t="s">
        <v>19</v>
      </c>
      <c r="K1978" s="3" t="s">
        <v>25</v>
      </c>
      <c r="L1978" s="3">
        <v>25.08</v>
      </c>
      <c r="M1978" s="3" t="s">
        <v>1695</v>
      </c>
      <c r="N1978" s="3" t="s">
        <v>1696</v>
      </c>
      <c r="O1978" s="3">
        <v>1.90151762147E11</v>
      </c>
    </row>
    <row r="1979">
      <c r="A1979" s="3">
        <v>2609222.0</v>
      </c>
      <c r="B1979" s="3" t="s">
        <v>4269</v>
      </c>
      <c r="C1979" s="3" t="b">
        <v>0</v>
      </c>
      <c r="D1979" s="3" t="b">
        <v>1</v>
      </c>
      <c r="E1979" s="3" t="s">
        <v>1034</v>
      </c>
      <c r="F1979" s="3" t="s">
        <v>4270</v>
      </c>
      <c r="G1979" s="4">
        <f>+251923839819</f>
        <v>251923839819</v>
      </c>
      <c r="H1979" s="3" t="s">
        <v>18</v>
      </c>
      <c r="I1979" s="3" t="s">
        <v>19</v>
      </c>
      <c r="J1979" s="3" t="s">
        <v>19</v>
      </c>
      <c r="K1979" s="3" t="s">
        <v>20</v>
      </c>
      <c r="L1979" s="3">
        <v>24.03</v>
      </c>
      <c r="M1979" s="3" t="s">
        <v>1695</v>
      </c>
      <c r="N1979" s="3" t="s">
        <v>1696</v>
      </c>
      <c r="O1979" s="3">
        <v>1.90139099377E11</v>
      </c>
    </row>
    <row r="1980">
      <c r="A1980" s="3">
        <v>2609236.0</v>
      </c>
      <c r="B1980" s="3" t="s">
        <v>4271</v>
      </c>
      <c r="C1980" s="3" t="b">
        <v>0</v>
      </c>
      <c r="D1980" s="3" t="b">
        <v>1</v>
      </c>
      <c r="E1980" s="3" t="s">
        <v>1040</v>
      </c>
      <c r="F1980" s="3" t="s">
        <v>4114</v>
      </c>
      <c r="G1980" s="4">
        <f>+251991119527</f>
        <v>251991119527</v>
      </c>
      <c r="H1980" s="3" t="s">
        <v>18</v>
      </c>
      <c r="I1980" s="3" t="s">
        <v>19</v>
      </c>
      <c r="J1980" s="3" t="s">
        <v>19</v>
      </c>
      <c r="K1980" s="3" t="s">
        <v>25</v>
      </c>
      <c r="L1980" s="3">
        <v>25.1</v>
      </c>
      <c r="M1980" s="3" t="s">
        <v>1695</v>
      </c>
      <c r="N1980" s="3" t="s">
        <v>1696</v>
      </c>
      <c r="O1980" s="3">
        <v>1.90156491969E11</v>
      </c>
    </row>
    <row r="1981">
      <c r="A1981" s="3">
        <v>2609261.0</v>
      </c>
      <c r="B1981" s="3" t="s">
        <v>4272</v>
      </c>
      <c r="C1981" s="3" t="b">
        <v>0</v>
      </c>
      <c r="D1981" s="3" t="b">
        <v>1</v>
      </c>
      <c r="E1981" s="3" t="s">
        <v>4273</v>
      </c>
      <c r="F1981" s="3" t="s">
        <v>4274</v>
      </c>
      <c r="G1981" s="4">
        <f>+251954454334</f>
        <v>251954454334</v>
      </c>
      <c r="H1981" s="3" t="s">
        <v>18</v>
      </c>
      <c r="I1981" s="3" t="s">
        <v>19</v>
      </c>
      <c r="J1981" s="3" t="s">
        <v>19</v>
      </c>
      <c r="K1981" s="3" t="s">
        <v>25</v>
      </c>
      <c r="L1981" s="3">
        <v>24.03</v>
      </c>
      <c r="M1981" s="3" t="s">
        <v>1695</v>
      </c>
      <c r="N1981" s="3" t="s">
        <v>1696</v>
      </c>
      <c r="O1981" s="3">
        <v>1.90158136563E11</v>
      </c>
    </row>
    <row r="1982">
      <c r="A1982" s="3">
        <v>2603047.0</v>
      </c>
      <c r="B1982" s="3" t="s">
        <v>4275</v>
      </c>
      <c r="C1982" s="3" t="b">
        <v>1</v>
      </c>
      <c r="D1982" s="3" t="b">
        <v>1</v>
      </c>
      <c r="E1982" s="3" t="s">
        <v>945</v>
      </c>
      <c r="F1982" s="3" t="s">
        <v>64</v>
      </c>
      <c r="G1982" s="4">
        <f>+251917701611</f>
        <v>251917701611</v>
      </c>
      <c r="H1982" s="3" t="s">
        <v>18</v>
      </c>
      <c r="I1982" s="3" t="s">
        <v>19</v>
      </c>
      <c r="J1982" s="3" t="s">
        <v>19</v>
      </c>
      <c r="K1982" s="3" t="s">
        <v>25</v>
      </c>
      <c r="L1982" s="3">
        <v>29.69</v>
      </c>
      <c r="M1982" s="3" t="s">
        <v>1695</v>
      </c>
      <c r="N1982" s="3" t="s">
        <v>1696</v>
      </c>
      <c r="O1982" s="3">
        <v>1.87038274755E11</v>
      </c>
    </row>
    <row r="1983">
      <c r="A1983" s="3">
        <v>2609262.0</v>
      </c>
      <c r="B1983" s="3" t="s">
        <v>4276</v>
      </c>
      <c r="C1983" s="3" t="b">
        <v>0</v>
      </c>
      <c r="D1983" s="3" t="b">
        <v>1</v>
      </c>
      <c r="E1983" s="3" t="s">
        <v>70</v>
      </c>
      <c r="F1983" s="3" t="s">
        <v>4277</v>
      </c>
      <c r="G1983" s="4">
        <f>+251924940484</f>
        <v>251924940484</v>
      </c>
      <c r="H1983" s="3" t="s">
        <v>18</v>
      </c>
      <c r="I1983" s="3" t="s">
        <v>19</v>
      </c>
      <c r="J1983" s="3" t="s">
        <v>19</v>
      </c>
      <c r="K1983" s="3" t="s">
        <v>25</v>
      </c>
      <c r="L1983" s="3">
        <v>29.36</v>
      </c>
      <c r="M1983" s="3" t="s">
        <v>1695</v>
      </c>
      <c r="N1983" s="3" t="s">
        <v>1696</v>
      </c>
      <c r="O1983" s="3">
        <v>1.90158184641E11</v>
      </c>
    </row>
    <row r="1984">
      <c r="A1984" s="3">
        <v>2609275.0</v>
      </c>
      <c r="B1984" s="3" t="s">
        <v>4278</v>
      </c>
      <c r="C1984" s="3" t="b">
        <v>0</v>
      </c>
      <c r="D1984" s="3" t="b">
        <v>1</v>
      </c>
      <c r="E1984" s="3" t="s">
        <v>2172</v>
      </c>
      <c r="F1984" s="3" t="s">
        <v>4279</v>
      </c>
      <c r="G1984" s="4">
        <f>+251988930075</f>
        <v>251988930075</v>
      </c>
      <c r="H1984" s="3" t="s">
        <v>18</v>
      </c>
      <c r="I1984" s="3" t="s">
        <v>19</v>
      </c>
      <c r="J1984" s="3" t="s">
        <v>19</v>
      </c>
      <c r="K1984" s="3" t="s">
        <v>25</v>
      </c>
      <c r="L1984" s="3">
        <v>25.11</v>
      </c>
      <c r="M1984" s="3" t="s">
        <v>1695</v>
      </c>
      <c r="N1984" s="3" t="s">
        <v>1696</v>
      </c>
      <c r="O1984" s="3">
        <v>1.90164633788E11</v>
      </c>
    </row>
    <row r="1985">
      <c r="A1985" s="3">
        <v>2609279.0</v>
      </c>
      <c r="B1985" s="3" t="s">
        <v>4280</v>
      </c>
      <c r="C1985" s="3" t="b">
        <v>0</v>
      </c>
      <c r="D1985" s="3" t="b">
        <v>1</v>
      </c>
      <c r="E1985" s="3" t="s">
        <v>4281</v>
      </c>
      <c r="F1985" s="3" t="s">
        <v>4282</v>
      </c>
      <c r="G1985" s="4">
        <f>+251911909335</f>
        <v>251911909335</v>
      </c>
      <c r="H1985" s="3" t="s">
        <v>18</v>
      </c>
      <c r="I1985" s="3" t="s">
        <v>19</v>
      </c>
      <c r="J1985" s="3" t="s">
        <v>19</v>
      </c>
      <c r="K1985" s="3" t="s">
        <v>20</v>
      </c>
      <c r="L1985" s="3">
        <v>44.2</v>
      </c>
      <c r="M1985" s="3" t="s">
        <v>1695</v>
      </c>
      <c r="N1985" s="3" t="s">
        <v>1696</v>
      </c>
      <c r="O1985" s="3">
        <v>1.9016918039E11</v>
      </c>
    </row>
    <row r="1986">
      <c r="A1986" s="3">
        <v>2609290.0</v>
      </c>
      <c r="B1986" s="3" t="s">
        <v>4283</v>
      </c>
      <c r="C1986" s="3" t="b">
        <v>0</v>
      </c>
      <c r="D1986" s="3" t="b">
        <v>1</v>
      </c>
      <c r="E1986" s="3" t="s">
        <v>178</v>
      </c>
      <c r="F1986" s="3" t="s">
        <v>196</v>
      </c>
      <c r="G1986" s="4">
        <f>+251921836000</f>
        <v>251921836000</v>
      </c>
      <c r="H1986" s="3" t="s">
        <v>18</v>
      </c>
      <c r="I1986" s="3" t="s">
        <v>19</v>
      </c>
      <c r="J1986" s="3" t="s">
        <v>19</v>
      </c>
      <c r="K1986" s="3" t="s">
        <v>25</v>
      </c>
      <c r="L1986" s="3">
        <v>25.08</v>
      </c>
      <c r="M1986" s="3" t="s">
        <v>1695</v>
      </c>
      <c r="N1986" s="3" t="s">
        <v>1696</v>
      </c>
      <c r="O1986" s="3">
        <v>1.90191910075E11</v>
      </c>
    </row>
    <row r="1987">
      <c r="A1987" s="3">
        <v>2609365.0</v>
      </c>
      <c r="B1987" s="3" t="s">
        <v>4284</v>
      </c>
      <c r="C1987" s="3" t="b">
        <v>0</v>
      </c>
      <c r="D1987" s="3" t="b">
        <v>1</v>
      </c>
      <c r="E1987" s="3" t="s">
        <v>4285</v>
      </c>
      <c r="F1987" s="3" t="s">
        <v>196</v>
      </c>
      <c r="G1987" s="4">
        <f>+251947265863</f>
        <v>251947265863</v>
      </c>
      <c r="H1987" s="3" t="s">
        <v>18</v>
      </c>
      <c r="I1987" s="3" t="s">
        <v>19</v>
      </c>
      <c r="J1987" s="3" t="s">
        <v>19</v>
      </c>
      <c r="K1987" s="3" t="s">
        <v>20</v>
      </c>
      <c r="L1987" s="3">
        <v>25.03</v>
      </c>
      <c r="M1987" s="3" t="s">
        <v>1695</v>
      </c>
      <c r="N1987" s="3" t="s">
        <v>1696</v>
      </c>
      <c r="O1987" s="3">
        <v>1.90198755519E11</v>
      </c>
    </row>
    <row r="1988">
      <c r="A1988" s="3">
        <v>2609379.0</v>
      </c>
      <c r="B1988" s="3" t="s">
        <v>4286</v>
      </c>
      <c r="C1988" s="3" t="b">
        <v>0</v>
      </c>
      <c r="D1988" s="3" t="b">
        <v>1</v>
      </c>
      <c r="E1988" s="3" t="s">
        <v>3723</v>
      </c>
      <c r="F1988" s="3" t="s">
        <v>1348</v>
      </c>
      <c r="G1988" s="4">
        <f>+251928900131</f>
        <v>251928900131</v>
      </c>
      <c r="H1988" s="3" t="s">
        <v>18</v>
      </c>
      <c r="I1988" s="3" t="s">
        <v>19</v>
      </c>
      <c r="J1988" s="3" t="s">
        <v>19</v>
      </c>
      <c r="K1988" s="3" t="s">
        <v>20</v>
      </c>
      <c r="L1988" s="3">
        <v>26.03</v>
      </c>
      <c r="M1988" s="3" t="s">
        <v>1695</v>
      </c>
      <c r="N1988" s="3" t="s">
        <v>1696</v>
      </c>
      <c r="O1988" s="3">
        <v>1.90184797404E11</v>
      </c>
    </row>
    <row r="1989">
      <c r="A1989" s="3">
        <v>2609398.0</v>
      </c>
      <c r="B1989" s="3" t="s">
        <v>4287</v>
      </c>
      <c r="C1989" s="3" t="b">
        <v>1</v>
      </c>
      <c r="D1989" s="3" t="b">
        <v>1</v>
      </c>
      <c r="E1989" s="3" t="s">
        <v>1197</v>
      </c>
      <c r="F1989" s="3" t="s">
        <v>3021</v>
      </c>
      <c r="G1989" s="4">
        <f>+251911675377</f>
        <v>251911675377</v>
      </c>
      <c r="H1989" s="3" t="s">
        <v>18</v>
      </c>
      <c r="I1989" s="3" t="s">
        <v>19</v>
      </c>
      <c r="J1989" s="3" t="s">
        <v>19</v>
      </c>
      <c r="K1989" s="3" t="s">
        <v>25</v>
      </c>
      <c r="L1989" s="3">
        <v>26.03</v>
      </c>
      <c r="M1989" s="3" t="s">
        <v>1695</v>
      </c>
      <c r="N1989" s="3" t="s">
        <v>1696</v>
      </c>
      <c r="O1989" s="3">
        <v>1.90200040634E11</v>
      </c>
    </row>
    <row r="1990">
      <c r="A1990" s="3">
        <v>2609412.0</v>
      </c>
      <c r="B1990" s="3" t="s">
        <v>4288</v>
      </c>
      <c r="C1990" s="3" t="b">
        <v>1</v>
      </c>
      <c r="D1990" s="3" t="b">
        <v>1</v>
      </c>
      <c r="E1990" s="3" t="s">
        <v>4289</v>
      </c>
      <c r="F1990" s="3" t="s">
        <v>4290</v>
      </c>
      <c r="G1990" s="4">
        <f>+251954381566</f>
        <v>251954381566</v>
      </c>
      <c r="H1990" s="3" t="s">
        <v>18</v>
      </c>
      <c r="I1990" s="3" t="s">
        <v>19</v>
      </c>
      <c r="J1990" s="3" t="s">
        <v>19</v>
      </c>
      <c r="K1990" s="3" t="s">
        <v>25</v>
      </c>
      <c r="L1990" s="3">
        <v>29.03</v>
      </c>
      <c r="M1990" s="3" t="s">
        <v>1695</v>
      </c>
      <c r="N1990" s="3" t="s">
        <v>1696</v>
      </c>
      <c r="O1990" s="3">
        <v>1.90186930389E11</v>
      </c>
    </row>
    <row r="1991">
      <c r="A1991" s="3">
        <v>2609419.0</v>
      </c>
      <c r="B1991" s="3" t="s">
        <v>4291</v>
      </c>
      <c r="C1991" s="3" t="b">
        <v>0</v>
      </c>
      <c r="D1991" s="3" t="b">
        <v>0</v>
      </c>
      <c r="E1991" s="3" t="s">
        <v>983</v>
      </c>
      <c r="F1991" s="3" t="s">
        <v>466</v>
      </c>
      <c r="G1991" s="4">
        <f>+251966346187</f>
        <v>251966346187</v>
      </c>
      <c r="H1991" s="3" t="s">
        <v>18</v>
      </c>
      <c r="I1991" s="3" t="s">
        <v>19</v>
      </c>
      <c r="J1991" s="3" t="s">
        <v>19</v>
      </c>
      <c r="K1991" s="3" t="s">
        <v>20</v>
      </c>
      <c r="L1991" s="3">
        <v>22.03</v>
      </c>
      <c r="M1991" s="3" t="s">
        <v>1695</v>
      </c>
      <c r="N1991" s="3" t="s">
        <v>1696</v>
      </c>
      <c r="O1991" s="3">
        <v>1.90185903351E11</v>
      </c>
    </row>
    <row r="1992">
      <c r="A1992" s="3">
        <v>2609446.0</v>
      </c>
      <c r="B1992" s="3" t="s">
        <v>4292</v>
      </c>
      <c r="C1992" s="3" t="b">
        <v>0</v>
      </c>
      <c r="D1992" s="3" t="b">
        <v>1</v>
      </c>
      <c r="E1992" s="3" t="s">
        <v>1363</v>
      </c>
      <c r="F1992" s="3" t="s">
        <v>970</v>
      </c>
      <c r="G1992" s="4">
        <f>+251921162374</f>
        <v>251921162374</v>
      </c>
      <c r="H1992" s="3" t="s">
        <v>18</v>
      </c>
      <c r="I1992" s="3" t="s">
        <v>19</v>
      </c>
      <c r="J1992" s="3" t="s">
        <v>19</v>
      </c>
      <c r="K1992" s="3" t="s">
        <v>25</v>
      </c>
      <c r="L1992" s="3">
        <v>26.03</v>
      </c>
      <c r="M1992" s="3" t="s">
        <v>1695</v>
      </c>
      <c r="N1992" s="3" t="s">
        <v>1696</v>
      </c>
      <c r="O1992" s="3">
        <v>1.90187426006E11</v>
      </c>
    </row>
    <row r="1993">
      <c r="A1993" s="3">
        <v>2609471.0</v>
      </c>
      <c r="B1993" s="3" t="s">
        <v>4293</v>
      </c>
      <c r="C1993" s="3" t="b">
        <v>0</v>
      </c>
      <c r="D1993" s="3" t="b">
        <v>1</v>
      </c>
      <c r="E1993" s="3" t="s">
        <v>273</v>
      </c>
      <c r="F1993" s="3" t="s">
        <v>218</v>
      </c>
      <c r="G1993" s="4">
        <f>+251936600113</f>
        <v>251936600113</v>
      </c>
      <c r="H1993" s="3" t="s">
        <v>18</v>
      </c>
      <c r="I1993" s="3" t="s">
        <v>19</v>
      </c>
      <c r="J1993" s="3" t="s">
        <v>19</v>
      </c>
      <c r="K1993" s="3" t="s">
        <v>25</v>
      </c>
      <c r="L1993" s="3">
        <v>25.09</v>
      </c>
      <c r="M1993" s="3" t="s">
        <v>1695</v>
      </c>
      <c r="N1993" s="3" t="s">
        <v>1696</v>
      </c>
      <c r="O1993" s="3">
        <v>1.90205446362E11</v>
      </c>
    </row>
    <row r="1994">
      <c r="A1994" s="3">
        <v>2609468.0</v>
      </c>
      <c r="B1994" s="3" t="s">
        <v>4294</v>
      </c>
      <c r="C1994" s="3" t="b">
        <v>0</v>
      </c>
      <c r="D1994" s="3" t="b">
        <v>1</v>
      </c>
      <c r="E1994" s="3" t="s">
        <v>4295</v>
      </c>
      <c r="F1994" s="3" t="s">
        <v>4296</v>
      </c>
      <c r="G1994" s="4">
        <f>+251988064400</f>
        <v>251988064400</v>
      </c>
      <c r="H1994" s="3" t="s">
        <v>18</v>
      </c>
      <c r="I1994" s="3" t="s">
        <v>19</v>
      </c>
      <c r="J1994" s="3" t="s">
        <v>19</v>
      </c>
      <c r="K1994" s="3" t="s">
        <v>25</v>
      </c>
      <c r="L1994" s="3">
        <v>28.03</v>
      </c>
      <c r="M1994" s="3" t="s">
        <v>1695</v>
      </c>
      <c r="N1994" s="3" t="s">
        <v>1696</v>
      </c>
      <c r="O1994" s="3">
        <v>1.90215202E11</v>
      </c>
    </row>
    <row r="1995">
      <c r="A1995" s="3">
        <v>2609499.0</v>
      </c>
      <c r="B1995" s="3" t="s">
        <v>4297</v>
      </c>
      <c r="C1995" s="3" t="b">
        <v>0</v>
      </c>
      <c r="D1995" s="3" t="b">
        <v>1</v>
      </c>
      <c r="E1995" s="3" t="s">
        <v>1208</v>
      </c>
      <c r="F1995" s="3" t="s">
        <v>109</v>
      </c>
      <c r="G1995" s="4">
        <f>+251906600756</f>
        <v>251906600756</v>
      </c>
      <c r="H1995" s="3" t="s">
        <v>18</v>
      </c>
      <c r="I1995" s="3" t="s">
        <v>19</v>
      </c>
      <c r="J1995" s="3" t="s">
        <v>19</v>
      </c>
      <c r="K1995" s="3" t="s">
        <v>20</v>
      </c>
      <c r="L1995" s="3">
        <v>25.13</v>
      </c>
      <c r="M1995" s="3" t="s">
        <v>1695</v>
      </c>
      <c r="N1995" s="3" t="s">
        <v>1696</v>
      </c>
      <c r="O1995" s="3">
        <v>1.90205688041E11</v>
      </c>
    </row>
    <row r="1996">
      <c r="A1996" s="3">
        <v>2609504.0</v>
      </c>
      <c r="B1996" s="3" t="s">
        <v>4298</v>
      </c>
      <c r="C1996" s="3" t="b">
        <v>0</v>
      </c>
      <c r="D1996" s="3" t="b">
        <v>1</v>
      </c>
      <c r="E1996" s="3" t="s">
        <v>4299</v>
      </c>
      <c r="F1996" s="3" t="s">
        <v>826</v>
      </c>
      <c r="G1996" s="4">
        <f>+251937795341</f>
        <v>251937795341</v>
      </c>
      <c r="H1996" s="3" t="s">
        <v>18</v>
      </c>
      <c r="I1996" s="3" t="s">
        <v>19</v>
      </c>
      <c r="J1996" s="3" t="s">
        <v>19</v>
      </c>
      <c r="K1996" s="3" t="s">
        <v>20</v>
      </c>
      <c r="L1996" s="3">
        <v>23.03</v>
      </c>
      <c r="M1996" s="3" t="s">
        <v>1695</v>
      </c>
      <c r="N1996" s="3" t="s">
        <v>1696</v>
      </c>
      <c r="O1996" s="3">
        <v>1.90199159028E11</v>
      </c>
    </row>
    <row r="1997">
      <c r="A1997" s="3">
        <v>2609521.0</v>
      </c>
      <c r="B1997" s="3" t="s">
        <v>4300</v>
      </c>
      <c r="C1997" s="3" t="b">
        <v>0</v>
      </c>
      <c r="D1997" s="3" t="b">
        <v>1</v>
      </c>
      <c r="E1997" s="3" t="s">
        <v>4301</v>
      </c>
      <c r="F1997" s="3" t="s">
        <v>3150</v>
      </c>
      <c r="G1997" s="4">
        <f>+10995400731</f>
        <v>10995400731</v>
      </c>
      <c r="H1997" s="3" t="s">
        <v>18</v>
      </c>
      <c r="I1997" s="3" t="s">
        <v>19</v>
      </c>
      <c r="J1997" s="3" t="s">
        <v>19</v>
      </c>
      <c r="K1997" s="3" t="s">
        <v>20</v>
      </c>
      <c r="L1997" s="3">
        <v>23.03</v>
      </c>
      <c r="M1997" s="3" t="s">
        <v>1695</v>
      </c>
      <c r="N1997" s="3" t="s">
        <v>1696</v>
      </c>
      <c r="O1997" s="3">
        <v>1.90208129224E11</v>
      </c>
    </row>
    <row r="1998">
      <c r="A1998" s="3">
        <v>2609639.0</v>
      </c>
      <c r="B1998" s="3" t="s">
        <v>4302</v>
      </c>
      <c r="C1998" s="3" t="b">
        <v>0</v>
      </c>
      <c r="D1998" s="3" t="b">
        <v>1</v>
      </c>
      <c r="E1998" s="3" t="s">
        <v>2050</v>
      </c>
      <c r="F1998" s="3" t="s">
        <v>4303</v>
      </c>
      <c r="G1998" s="4">
        <f>+251923481619</f>
        <v>251923481619</v>
      </c>
      <c r="H1998" s="3" t="s">
        <v>18</v>
      </c>
      <c r="I1998" s="3" t="s">
        <v>19</v>
      </c>
      <c r="J1998" s="3" t="s">
        <v>19</v>
      </c>
      <c r="K1998" s="3" t="s">
        <v>20</v>
      </c>
      <c r="L1998" s="3">
        <v>24.85</v>
      </c>
      <c r="M1998" s="3" t="s">
        <v>1695</v>
      </c>
      <c r="N1998" s="3" t="s">
        <v>1696</v>
      </c>
      <c r="O1998" s="3">
        <v>1.9022746853E11</v>
      </c>
    </row>
    <row r="1999">
      <c r="A1999" s="3">
        <v>2609648.0</v>
      </c>
      <c r="B1999" s="3" t="s">
        <v>4304</v>
      </c>
      <c r="C1999" s="3" t="b">
        <v>0</v>
      </c>
      <c r="D1999" s="3" t="b">
        <v>1</v>
      </c>
      <c r="E1999" s="3" t="s">
        <v>3803</v>
      </c>
      <c r="F1999" s="3" t="s">
        <v>4305</v>
      </c>
      <c r="G1999" s="4">
        <f>+251954286790</f>
        <v>251954286790</v>
      </c>
      <c r="H1999" s="3" t="s">
        <v>18</v>
      </c>
      <c r="I1999" s="3" t="s">
        <v>19</v>
      </c>
      <c r="J1999" s="3" t="s">
        <v>19</v>
      </c>
      <c r="K1999" s="3" t="s">
        <v>25</v>
      </c>
      <c r="L1999" s="3">
        <v>28.27</v>
      </c>
      <c r="M1999" s="3" t="s">
        <v>1695</v>
      </c>
      <c r="N1999" s="3" t="s">
        <v>1696</v>
      </c>
      <c r="O1999" s="3">
        <v>1.90247474417E11</v>
      </c>
    </row>
    <row r="2000">
      <c r="A2000" s="3">
        <v>2610067.0</v>
      </c>
      <c r="B2000" s="3" t="s">
        <v>4306</v>
      </c>
      <c r="C2000" s="3" t="b">
        <v>0</v>
      </c>
      <c r="D2000" s="3" t="b">
        <v>1</v>
      </c>
      <c r="E2000" s="3" t="s">
        <v>4307</v>
      </c>
      <c r="F2000" s="3" t="s">
        <v>4308</v>
      </c>
      <c r="G2000" s="4">
        <f>+251985019458</f>
        <v>251985019458</v>
      </c>
      <c r="H2000" s="3" t="s">
        <v>18</v>
      </c>
      <c r="I2000" s="3" t="s">
        <v>19</v>
      </c>
      <c r="J2000" s="3" t="s">
        <v>19</v>
      </c>
      <c r="K2000" s="3" t="s">
        <v>25</v>
      </c>
      <c r="L2000" s="3">
        <v>26.2</v>
      </c>
      <c r="M2000" s="3" t="s">
        <v>1695</v>
      </c>
      <c r="N2000" s="3" t="s">
        <v>1696</v>
      </c>
      <c r="O2000" s="3">
        <v>1.9045566073E11</v>
      </c>
    </row>
    <row r="2001">
      <c r="A2001" s="3">
        <v>2610116.0</v>
      </c>
      <c r="B2001" s="3" t="s">
        <v>4309</v>
      </c>
      <c r="C2001" s="3" t="b">
        <v>0</v>
      </c>
      <c r="D2001" s="3" t="b">
        <v>1</v>
      </c>
      <c r="E2001" s="3" t="s">
        <v>4310</v>
      </c>
      <c r="F2001" s="3" t="s">
        <v>4311</v>
      </c>
      <c r="G2001" s="4">
        <f>+251916697648</f>
        <v>251916697648</v>
      </c>
      <c r="H2001" s="3" t="s">
        <v>18</v>
      </c>
      <c r="I2001" s="3" t="s">
        <v>19</v>
      </c>
      <c r="J2001" s="3" t="s">
        <v>19</v>
      </c>
      <c r="K2001" s="3" t="s">
        <v>25</v>
      </c>
      <c r="L2001" s="3">
        <v>25.54</v>
      </c>
      <c r="M2001" s="3" t="s">
        <v>1695</v>
      </c>
      <c r="N2001" s="3" t="s">
        <v>1696</v>
      </c>
      <c r="O2001" s="3">
        <v>1.90494983357E11</v>
      </c>
    </row>
    <row r="2002">
      <c r="A2002" s="3">
        <v>2610144.0</v>
      </c>
      <c r="B2002" s="3" t="s">
        <v>4312</v>
      </c>
      <c r="C2002" s="3" t="b">
        <v>1</v>
      </c>
      <c r="D2002" s="3" t="b">
        <v>1</v>
      </c>
      <c r="E2002" s="3" t="s">
        <v>409</v>
      </c>
      <c r="F2002" s="3" t="s">
        <v>4313</v>
      </c>
      <c r="G2002" s="4">
        <f>+251917883737</f>
        <v>251917883737</v>
      </c>
      <c r="H2002" s="3" t="s">
        <v>18</v>
      </c>
      <c r="I2002" s="3" t="s">
        <v>19</v>
      </c>
      <c r="J2002" s="3" t="s">
        <v>19</v>
      </c>
      <c r="K2002" s="3" t="s">
        <v>25</v>
      </c>
      <c r="L2002" s="3">
        <v>30.66</v>
      </c>
      <c r="M2002" s="3" t="s">
        <v>1695</v>
      </c>
      <c r="N2002" s="3" t="s">
        <v>1696</v>
      </c>
      <c r="O2002" s="3">
        <v>2106358.0</v>
      </c>
    </row>
    <row r="2003">
      <c r="A2003" s="3">
        <v>2610169.0</v>
      </c>
      <c r="B2003" s="3" t="s">
        <v>4314</v>
      </c>
      <c r="C2003" s="3" t="b">
        <v>0</v>
      </c>
      <c r="D2003" s="3" t="b">
        <v>1</v>
      </c>
      <c r="E2003" s="3" t="s">
        <v>261</v>
      </c>
      <c r="F2003" s="3" t="s">
        <v>4315</v>
      </c>
      <c r="G2003" s="4">
        <f>+251934701616</f>
        <v>251934701616</v>
      </c>
      <c r="H2003" s="3" t="s">
        <v>18</v>
      </c>
      <c r="I2003" s="3" t="s">
        <v>19</v>
      </c>
      <c r="J2003" s="3" t="s">
        <v>19</v>
      </c>
      <c r="K2003" s="3" t="s">
        <v>25</v>
      </c>
      <c r="L2003" s="3">
        <v>37.63</v>
      </c>
      <c r="M2003" s="3" t="s">
        <v>1695</v>
      </c>
      <c r="N2003" s="3" t="s">
        <v>1696</v>
      </c>
      <c r="O2003" s="3">
        <v>1.9050367406E11</v>
      </c>
    </row>
    <row r="2004">
      <c r="A2004" s="3">
        <v>2610268.0</v>
      </c>
      <c r="B2004" s="3" t="s">
        <v>4316</v>
      </c>
      <c r="C2004" s="3" t="b">
        <v>0</v>
      </c>
      <c r="D2004" s="3" t="b">
        <v>1</v>
      </c>
      <c r="E2004" s="3" t="s">
        <v>4317</v>
      </c>
      <c r="F2004" s="3" t="s">
        <v>4318</v>
      </c>
      <c r="G2004" s="4">
        <f>+251954456787</f>
        <v>251954456787</v>
      </c>
      <c r="H2004" s="3" t="s">
        <v>18</v>
      </c>
      <c r="I2004" s="3" t="s">
        <v>19</v>
      </c>
      <c r="J2004" s="3" t="s">
        <v>19</v>
      </c>
      <c r="K2004" s="3" t="s">
        <v>25</v>
      </c>
      <c r="L2004" s="3">
        <v>25.09</v>
      </c>
      <c r="M2004" s="3" t="s">
        <v>1695</v>
      </c>
      <c r="N2004" s="3" t="s">
        <v>1696</v>
      </c>
      <c r="O2004" s="3">
        <v>1.90537014508E11</v>
      </c>
    </row>
    <row r="2005">
      <c r="A2005" s="3">
        <v>2610275.0</v>
      </c>
      <c r="B2005" s="3" t="s">
        <v>4319</v>
      </c>
      <c r="C2005" s="3" t="b">
        <v>0</v>
      </c>
      <c r="D2005" s="3" t="b">
        <v>1</v>
      </c>
      <c r="E2005" s="3" t="s">
        <v>1954</v>
      </c>
      <c r="F2005" s="3" t="s">
        <v>566</v>
      </c>
      <c r="G2005" s="4">
        <f>+251937497463</f>
        <v>251937497463</v>
      </c>
      <c r="H2005" s="3" t="s">
        <v>18</v>
      </c>
      <c r="I2005" s="3" t="s">
        <v>19</v>
      </c>
      <c r="J2005" s="3" t="s">
        <v>19</v>
      </c>
      <c r="K2005" s="3" t="s">
        <v>25</v>
      </c>
      <c r="L2005" s="3">
        <v>25.03</v>
      </c>
      <c r="M2005" s="3" t="s">
        <v>1695</v>
      </c>
      <c r="N2005" s="3" t="s">
        <v>1696</v>
      </c>
      <c r="O2005" s="3">
        <v>1.90537917649E11</v>
      </c>
    </row>
    <row r="2006">
      <c r="A2006" s="3">
        <v>2610294.0</v>
      </c>
      <c r="B2006" s="3" t="s">
        <v>4320</v>
      </c>
      <c r="C2006" s="3" t="b">
        <v>0</v>
      </c>
      <c r="D2006" s="3" t="b">
        <v>1</v>
      </c>
      <c r="E2006" s="3" t="s">
        <v>724</v>
      </c>
      <c r="F2006" s="3" t="s">
        <v>4321</v>
      </c>
      <c r="G2006" s="4">
        <f>+251987654323</f>
        <v>251987654323</v>
      </c>
      <c r="H2006" s="3" t="s">
        <v>18</v>
      </c>
      <c r="I2006" s="3" t="s">
        <v>19</v>
      </c>
      <c r="J2006" s="3" t="s">
        <v>19</v>
      </c>
      <c r="K2006" s="3" t="s">
        <v>25</v>
      </c>
      <c r="L2006" s="3">
        <v>25.08</v>
      </c>
      <c r="M2006" s="3" t="s">
        <v>1695</v>
      </c>
      <c r="N2006" s="3" t="s">
        <v>1696</v>
      </c>
      <c r="O2006" s="3">
        <v>1.90538356924E11</v>
      </c>
    </row>
    <row r="2007">
      <c r="A2007" s="3">
        <v>2610298.0</v>
      </c>
      <c r="B2007" s="3" t="s">
        <v>4322</v>
      </c>
      <c r="C2007" s="3" t="b">
        <v>0</v>
      </c>
      <c r="D2007" s="3" t="b">
        <v>1</v>
      </c>
      <c r="E2007" s="3" t="s">
        <v>4127</v>
      </c>
      <c r="F2007" s="3" t="s">
        <v>314</v>
      </c>
      <c r="G2007" s="4">
        <f>+251995413123</f>
        <v>251995413123</v>
      </c>
      <c r="H2007" s="3" t="s">
        <v>18</v>
      </c>
      <c r="I2007" s="3" t="s">
        <v>19</v>
      </c>
      <c r="J2007" s="3" t="s">
        <v>19</v>
      </c>
      <c r="K2007" s="3" t="s">
        <v>25</v>
      </c>
      <c r="L2007" s="3">
        <v>25.03</v>
      </c>
      <c r="M2007" s="3" t="s">
        <v>1695</v>
      </c>
      <c r="N2007" s="3" t="s">
        <v>1696</v>
      </c>
      <c r="O2007" s="3">
        <v>1.90538478804E11</v>
      </c>
    </row>
    <row r="2008">
      <c r="A2008" s="3">
        <v>2610296.0</v>
      </c>
      <c r="B2008" s="3" t="s">
        <v>4323</v>
      </c>
      <c r="C2008" s="3" t="b">
        <v>0</v>
      </c>
      <c r="D2008" s="3" t="b">
        <v>1</v>
      </c>
      <c r="E2008" s="3" t="s">
        <v>1314</v>
      </c>
      <c r="F2008" s="3" t="s">
        <v>4324</v>
      </c>
      <c r="G2008" s="4">
        <f>+251948154489</f>
        <v>251948154489</v>
      </c>
      <c r="H2008" s="3" t="s">
        <v>18</v>
      </c>
      <c r="I2008" s="3" t="s">
        <v>19</v>
      </c>
      <c r="J2008" s="3" t="s">
        <v>19</v>
      </c>
      <c r="K2008" s="3" t="s">
        <v>25</v>
      </c>
      <c r="L2008" s="3">
        <v>20.86</v>
      </c>
      <c r="M2008" s="3" t="s">
        <v>1695</v>
      </c>
      <c r="N2008" s="3" t="s">
        <v>1696</v>
      </c>
      <c r="O2008" s="3">
        <v>1.90538395854E11</v>
      </c>
    </row>
    <row r="2009">
      <c r="A2009" s="3">
        <v>2610304.0</v>
      </c>
      <c r="B2009" s="3" t="s">
        <v>4325</v>
      </c>
      <c r="C2009" s="3" t="b">
        <v>0</v>
      </c>
      <c r="D2009" s="3" t="b">
        <v>1</v>
      </c>
      <c r="E2009" s="3" t="s">
        <v>4326</v>
      </c>
      <c r="F2009" s="3" t="s">
        <v>446</v>
      </c>
      <c r="G2009" s="4">
        <f>+251987678789</f>
        <v>251987678789</v>
      </c>
      <c r="H2009" s="3" t="s">
        <v>18</v>
      </c>
      <c r="I2009" s="3" t="s">
        <v>19</v>
      </c>
      <c r="J2009" s="3" t="s">
        <v>19</v>
      </c>
      <c r="K2009" s="3" t="s">
        <v>25</v>
      </c>
      <c r="L2009" s="3">
        <v>25.09</v>
      </c>
      <c r="M2009" s="3" t="s">
        <v>1695</v>
      </c>
      <c r="N2009" s="3" t="s">
        <v>1696</v>
      </c>
      <c r="O2009" s="3">
        <v>1.90542681315E11</v>
      </c>
    </row>
    <row r="2010">
      <c r="A2010" s="3">
        <v>2610310.0</v>
      </c>
      <c r="B2010" s="3" t="s">
        <v>4327</v>
      </c>
      <c r="C2010" s="3" t="b">
        <v>0</v>
      </c>
      <c r="D2010" s="3" t="b">
        <v>1</v>
      </c>
      <c r="E2010" s="3" t="s">
        <v>2045</v>
      </c>
      <c r="F2010" s="3" t="s">
        <v>2654</v>
      </c>
      <c r="G2010" s="4">
        <f>+251989987667</f>
        <v>251989987667</v>
      </c>
      <c r="H2010" s="3" t="s">
        <v>18</v>
      </c>
      <c r="I2010" s="3" t="s">
        <v>19</v>
      </c>
      <c r="J2010" s="3" t="s">
        <v>19</v>
      </c>
      <c r="K2010" s="3" t="s">
        <v>25</v>
      </c>
      <c r="L2010" s="3">
        <v>25.08</v>
      </c>
      <c r="M2010" s="3" t="s">
        <v>1695</v>
      </c>
      <c r="N2010" s="3" t="s">
        <v>1696</v>
      </c>
      <c r="O2010" s="3">
        <v>1.90579931346E11</v>
      </c>
    </row>
    <row r="2011">
      <c r="A2011" s="3">
        <v>2610315.0</v>
      </c>
      <c r="B2011" s="3" t="s">
        <v>4328</v>
      </c>
      <c r="C2011" s="3" t="b">
        <v>0</v>
      </c>
      <c r="D2011" s="3" t="b">
        <v>1</v>
      </c>
      <c r="E2011" s="3" t="s">
        <v>4329</v>
      </c>
      <c r="F2011" s="3" t="s">
        <v>4330</v>
      </c>
      <c r="G2011" s="4">
        <f>+251932235445</f>
        <v>251932235445</v>
      </c>
      <c r="H2011" s="3" t="s">
        <v>18</v>
      </c>
      <c r="I2011" s="3" t="s">
        <v>19</v>
      </c>
      <c r="J2011" s="3" t="s">
        <v>19</v>
      </c>
      <c r="K2011" s="3" t="s">
        <v>20</v>
      </c>
      <c r="L2011" s="3">
        <v>25.09</v>
      </c>
      <c r="M2011" s="3" t="s">
        <v>1695</v>
      </c>
      <c r="N2011" s="3" t="s">
        <v>1696</v>
      </c>
      <c r="O2011" s="3">
        <v>1.90544795885E11</v>
      </c>
    </row>
    <row r="2012">
      <c r="A2012" s="3">
        <v>2610327.0</v>
      </c>
      <c r="B2012" s="3" t="s">
        <v>4331</v>
      </c>
      <c r="C2012" s="3" t="b">
        <v>0</v>
      </c>
      <c r="D2012" s="3" t="b">
        <v>1</v>
      </c>
      <c r="E2012" s="3" t="s">
        <v>2724</v>
      </c>
      <c r="F2012" s="3" t="s">
        <v>4332</v>
      </c>
      <c r="G2012" s="4">
        <f>+251989766765</f>
        <v>251989766765</v>
      </c>
      <c r="H2012" s="3" t="s">
        <v>18</v>
      </c>
      <c r="I2012" s="3" t="s">
        <v>19</v>
      </c>
      <c r="J2012" s="3" t="s">
        <v>19</v>
      </c>
      <c r="K2012" s="3" t="s">
        <v>25</v>
      </c>
      <c r="L2012" s="3">
        <v>25.09</v>
      </c>
      <c r="M2012" s="3" t="s">
        <v>1695</v>
      </c>
      <c r="N2012" s="3" t="s">
        <v>1696</v>
      </c>
      <c r="O2012" s="3">
        <v>1.90585128155E11</v>
      </c>
    </row>
    <row r="2013">
      <c r="A2013" s="3">
        <v>2610333.0</v>
      </c>
      <c r="B2013" s="3" t="s">
        <v>4333</v>
      </c>
      <c r="C2013" s="3" t="b">
        <v>0</v>
      </c>
      <c r="D2013" s="3" t="b">
        <v>1</v>
      </c>
      <c r="E2013" s="3" t="s">
        <v>4334</v>
      </c>
      <c r="F2013" s="3" t="s">
        <v>4335</v>
      </c>
      <c r="G2013" s="4">
        <f>+251987654321</f>
        <v>251987654321</v>
      </c>
      <c r="H2013" s="3" t="s">
        <v>18</v>
      </c>
      <c r="I2013" s="3" t="s">
        <v>19</v>
      </c>
      <c r="J2013" s="3" t="s">
        <v>19</v>
      </c>
      <c r="K2013" s="3" t="s">
        <v>20</v>
      </c>
      <c r="L2013" s="3">
        <v>25.11</v>
      </c>
      <c r="M2013" s="3" t="s">
        <v>1695</v>
      </c>
      <c r="N2013" s="3" t="s">
        <v>1696</v>
      </c>
      <c r="O2013" s="3">
        <v>1.90542289084E11</v>
      </c>
    </row>
    <row r="2014">
      <c r="A2014" s="3">
        <v>2610341.0</v>
      </c>
      <c r="B2014" s="3" t="s">
        <v>4336</v>
      </c>
      <c r="C2014" s="3" t="b">
        <v>0</v>
      </c>
      <c r="D2014" s="3" t="b">
        <v>1</v>
      </c>
      <c r="E2014" s="3" t="s">
        <v>4337</v>
      </c>
      <c r="F2014" s="3" t="s">
        <v>158</v>
      </c>
      <c r="G2014" s="4">
        <f>+251965564334</f>
        <v>251965564334</v>
      </c>
      <c r="H2014" s="3" t="s">
        <v>18</v>
      </c>
      <c r="I2014" s="3" t="s">
        <v>19</v>
      </c>
      <c r="J2014" s="3" t="s">
        <v>19</v>
      </c>
      <c r="K2014" s="3" t="s">
        <v>20</v>
      </c>
      <c r="L2014" s="3">
        <v>25.03</v>
      </c>
      <c r="M2014" s="3" t="s">
        <v>1695</v>
      </c>
      <c r="N2014" s="3" t="s">
        <v>1696</v>
      </c>
      <c r="O2014" s="3">
        <v>1.90584614078E11</v>
      </c>
    </row>
    <row r="2015">
      <c r="A2015" s="3">
        <v>2610358.0</v>
      </c>
      <c r="B2015" s="3" t="s">
        <v>4338</v>
      </c>
      <c r="C2015" s="3" t="b">
        <v>0</v>
      </c>
      <c r="D2015" s="3" t="b">
        <v>1</v>
      </c>
      <c r="E2015" s="3" t="s">
        <v>120</v>
      </c>
      <c r="F2015" s="3" t="s">
        <v>4339</v>
      </c>
      <c r="G2015" s="4">
        <f>+251956765679</f>
        <v>251956765679</v>
      </c>
      <c r="H2015" s="3" t="s">
        <v>18</v>
      </c>
      <c r="I2015" s="3" t="s">
        <v>19</v>
      </c>
      <c r="J2015" s="3" t="s">
        <v>19</v>
      </c>
      <c r="K2015" s="3" t="s">
        <v>25</v>
      </c>
      <c r="L2015" s="3">
        <v>25.03</v>
      </c>
      <c r="M2015" s="3" t="s">
        <v>1695</v>
      </c>
      <c r="N2015" s="3" t="s">
        <v>1696</v>
      </c>
      <c r="O2015" s="3">
        <v>1.90547424464E11</v>
      </c>
    </row>
    <row r="2016">
      <c r="A2016" s="3">
        <v>2610360.0</v>
      </c>
      <c r="B2016" s="3" t="s">
        <v>4340</v>
      </c>
      <c r="C2016" s="3" t="b">
        <v>0</v>
      </c>
      <c r="D2016" s="3" t="b">
        <v>1</v>
      </c>
      <c r="E2016" s="3" t="s">
        <v>479</v>
      </c>
      <c r="F2016" s="3" t="s">
        <v>4029</v>
      </c>
      <c r="G2016" s="4">
        <f>+251926687034</f>
        <v>251926687034</v>
      </c>
      <c r="H2016" s="3" t="s">
        <v>18</v>
      </c>
      <c r="I2016" s="3" t="s">
        <v>19</v>
      </c>
      <c r="J2016" s="3" t="s">
        <v>19</v>
      </c>
      <c r="K2016" s="3" t="s">
        <v>25</v>
      </c>
      <c r="L2016" s="3">
        <v>26.03</v>
      </c>
      <c r="M2016" s="3" t="s">
        <v>1695</v>
      </c>
      <c r="N2016" s="3" t="s">
        <v>1696</v>
      </c>
      <c r="O2016" s="3">
        <v>1.90552342726E11</v>
      </c>
    </row>
    <row r="2017">
      <c r="A2017" s="3">
        <v>2610370.0</v>
      </c>
      <c r="B2017" s="3" t="s">
        <v>4341</v>
      </c>
      <c r="C2017" s="3" t="b">
        <v>0</v>
      </c>
      <c r="D2017" s="3" t="b">
        <v>1</v>
      </c>
      <c r="E2017" s="3" t="s">
        <v>4342</v>
      </c>
      <c r="F2017" s="3" t="s">
        <v>218</v>
      </c>
      <c r="G2017" s="4">
        <f>+251932234654</f>
        <v>251932234654</v>
      </c>
      <c r="H2017" s="3" t="s">
        <v>18</v>
      </c>
      <c r="I2017" s="3" t="s">
        <v>19</v>
      </c>
      <c r="J2017" s="3" t="s">
        <v>19</v>
      </c>
      <c r="K2017" s="3" t="s">
        <v>20</v>
      </c>
      <c r="L2017" s="3">
        <v>25.08</v>
      </c>
      <c r="M2017" s="3" t="s">
        <v>1695</v>
      </c>
      <c r="N2017" s="3" t="s">
        <v>1696</v>
      </c>
      <c r="O2017" s="3">
        <v>1.90555552968E11</v>
      </c>
    </row>
    <row r="2018">
      <c r="A2018" s="3">
        <v>2610383.0</v>
      </c>
      <c r="B2018" s="3" t="s">
        <v>4343</v>
      </c>
      <c r="C2018" s="3" t="b">
        <v>0</v>
      </c>
      <c r="D2018" s="3" t="b">
        <v>1</v>
      </c>
      <c r="E2018" s="3" t="s">
        <v>1995</v>
      </c>
      <c r="F2018" s="3" t="s">
        <v>4344</v>
      </c>
      <c r="G2018" s="4">
        <f>+251931463417</f>
        <v>251931463417</v>
      </c>
      <c r="H2018" s="3" t="s">
        <v>18</v>
      </c>
      <c r="I2018" s="3" t="s">
        <v>19</v>
      </c>
      <c r="J2018" s="3" t="s">
        <v>19</v>
      </c>
      <c r="K2018" s="3" t="s">
        <v>25</v>
      </c>
      <c r="L2018" s="3">
        <v>28.03</v>
      </c>
      <c r="M2018" s="3" t="s">
        <v>1695</v>
      </c>
      <c r="N2018" s="3" t="s">
        <v>1696</v>
      </c>
      <c r="O2018" s="3">
        <v>1.90553324786E11</v>
      </c>
    </row>
    <row r="2019">
      <c r="A2019" s="3">
        <v>2610382.0</v>
      </c>
      <c r="B2019" s="3" t="s">
        <v>4345</v>
      </c>
      <c r="C2019" s="3" t="b">
        <v>0</v>
      </c>
      <c r="D2019" s="3" t="b">
        <v>1</v>
      </c>
      <c r="E2019" s="3" t="s">
        <v>3974</v>
      </c>
      <c r="F2019" s="3" t="s">
        <v>3778</v>
      </c>
      <c r="G2019" s="4">
        <f>+251987786554</f>
        <v>251987786554</v>
      </c>
      <c r="H2019" s="3" t="s">
        <v>18</v>
      </c>
      <c r="I2019" s="3" t="s">
        <v>19</v>
      </c>
      <c r="J2019" s="3" t="s">
        <v>19</v>
      </c>
      <c r="K2019" s="3" t="s">
        <v>20</v>
      </c>
      <c r="L2019" s="3">
        <v>25.08</v>
      </c>
      <c r="M2019" s="3" t="s">
        <v>1695</v>
      </c>
      <c r="N2019" s="3" t="s">
        <v>1696</v>
      </c>
      <c r="O2019" s="3">
        <v>1.90594643156E11</v>
      </c>
    </row>
    <row r="2020">
      <c r="A2020" s="3">
        <v>2610404.0</v>
      </c>
      <c r="B2020" s="3" t="s">
        <v>4346</v>
      </c>
      <c r="C2020" s="3" t="b">
        <v>0</v>
      </c>
      <c r="D2020" s="3" t="b">
        <v>1</v>
      </c>
      <c r="E2020" s="3" t="s">
        <v>72</v>
      </c>
      <c r="F2020" s="3" t="s">
        <v>328</v>
      </c>
      <c r="G2020" s="4">
        <f>+25109876677654</f>
        <v>25109876677654</v>
      </c>
      <c r="H2020" s="3" t="s">
        <v>18</v>
      </c>
      <c r="I2020" s="3" t="s">
        <v>19</v>
      </c>
      <c r="J2020" s="3" t="s">
        <v>19</v>
      </c>
      <c r="K2020" s="3" t="s">
        <v>20</v>
      </c>
      <c r="L2020" s="3">
        <v>25.08</v>
      </c>
      <c r="M2020" s="3" t="s">
        <v>1695</v>
      </c>
      <c r="N2020" s="3" t="s">
        <v>1696</v>
      </c>
      <c r="O2020" s="3">
        <v>1.9055778429E11</v>
      </c>
    </row>
    <row r="2021">
      <c r="A2021" s="3">
        <v>2610416.0</v>
      </c>
      <c r="B2021" s="3" t="s">
        <v>4347</v>
      </c>
      <c r="C2021" s="3" t="b">
        <v>0</v>
      </c>
      <c r="D2021" s="3" t="b">
        <v>1</v>
      </c>
      <c r="E2021" s="3" t="s">
        <v>178</v>
      </c>
      <c r="F2021" s="3" t="s">
        <v>4348</v>
      </c>
      <c r="G2021" s="4">
        <f>+251922849147</f>
        <v>251922849147</v>
      </c>
      <c r="H2021" s="3" t="s">
        <v>18</v>
      </c>
      <c r="I2021" s="3" t="s">
        <v>19</v>
      </c>
      <c r="J2021" s="3" t="s">
        <v>19</v>
      </c>
      <c r="K2021" s="3" t="s">
        <v>25</v>
      </c>
      <c r="L2021" s="3">
        <v>24.03</v>
      </c>
      <c r="M2021" s="3" t="s">
        <v>1695</v>
      </c>
      <c r="N2021" s="3" t="s">
        <v>1696</v>
      </c>
      <c r="O2021" s="3">
        <v>1.90561363166E11</v>
      </c>
    </row>
    <row r="2022">
      <c r="A2022" s="3">
        <v>2610422.0</v>
      </c>
      <c r="B2022" s="3" t="s">
        <v>4349</v>
      </c>
      <c r="C2022" s="3" t="b">
        <v>0</v>
      </c>
      <c r="D2022" s="3" t="b">
        <v>1</v>
      </c>
      <c r="E2022" s="3" t="s">
        <v>282</v>
      </c>
      <c r="F2022" s="3" t="s">
        <v>1584</v>
      </c>
      <c r="G2022" s="4">
        <f>+10943322123</f>
        <v>10943322123</v>
      </c>
      <c r="H2022" s="3" t="s">
        <v>18</v>
      </c>
      <c r="I2022" s="3" t="s">
        <v>19</v>
      </c>
      <c r="J2022" s="3" t="s">
        <v>19</v>
      </c>
      <c r="K2022" s="3" t="s">
        <v>25</v>
      </c>
      <c r="L2022" s="3">
        <v>25.03</v>
      </c>
      <c r="M2022" s="3" t="s">
        <v>1695</v>
      </c>
      <c r="N2022" s="3" t="s">
        <v>1696</v>
      </c>
      <c r="O2022" s="3">
        <v>1.90595933401E11</v>
      </c>
    </row>
    <row r="2023">
      <c r="A2023" s="3">
        <v>2610432.0</v>
      </c>
      <c r="B2023" s="3" t="s">
        <v>4350</v>
      </c>
      <c r="C2023" s="3" t="b">
        <v>0</v>
      </c>
      <c r="D2023" s="3" t="b">
        <v>1</v>
      </c>
      <c r="E2023" s="3" t="s">
        <v>4351</v>
      </c>
      <c r="F2023" s="3" t="s">
        <v>968</v>
      </c>
      <c r="G2023" s="4">
        <f>+251910901534</f>
        <v>251910901534</v>
      </c>
      <c r="H2023" s="3" t="s">
        <v>18</v>
      </c>
      <c r="I2023" s="3" t="s">
        <v>19</v>
      </c>
      <c r="J2023" s="3" t="s">
        <v>19</v>
      </c>
      <c r="K2023" s="3" t="s">
        <v>25</v>
      </c>
      <c r="L2023" s="3">
        <v>25.03</v>
      </c>
      <c r="M2023" s="3" t="s">
        <v>1695</v>
      </c>
      <c r="N2023" s="3" t="s">
        <v>1696</v>
      </c>
      <c r="O2023" s="3">
        <v>1.90596052177E11</v>
      </c>
    </row>
    <row r="2024">
      <c r="A2024" s="3">
        <v>2610435.0</v>
      </c>
      <c r="B2024" s="3" t="s">
        <v>4352</v>
      </c>
      <c r="C2024" s="3" t="b">
        <v>0</v>
      </c>
      <c r="D2024" s="3" t="b">
        <v>1</v>
      </c>
      <c r="E2024" s="3" t="s">
        <v>4353</v>
      </c>
      <c r="F2024" s="3" t="s">
        <v>2724</v>
      </c>
      <c r="G2024" s="4">
        <f>+251956654325</f>
        <v>251956654325</v>
      </c>
      <c r="H2024" s="3" t="s">
        <v>18</v>
      </c>
      <c r="I2024" s="3" t="s">
        <v>19</v>
      </c>
      <c r="J2024" s="3" t="s">
        <v>19</v>
      </c>
      <c r="K2024" s="3" t="s">
        <v>25</v>
      </c>
      <c r="L2024" s="3">
        <v>25.08</v>
      </c>
      <c r="M2024" s="3" t="s">
        <v>1695</v>
      </c>
      <c r="N2024" s="3" t="s">
        <v>1696</v>
      </c>
      <c r="O2024" s="3">
        <v>1.90561003746E11</v>
      </c>
    </row>
    <row r="2025">
      <c r="A2025" s="3">
        <v>2610447.0</v>
      </c>
      <c r="B2025" s="3" t="s">
        <v>4354</v>
      </c>
      <c r="C2025" s="3" t="b">
        <v>0</v>
      </c>
      <c r="D2025" s="3" t="b">
        <v>1</v>
      </c>
      <c r="E2025" s="3" t="s">
        <v>3682</v>
      </c>
      <c r="F2025" s="3" t="s">
        <v>443</v>
      </c>
      <c r="G2025" s="4">
        <f>+251967765445</f>
        <v>251967765445</v>
      </c>
      <c r="H2025" s="3" t="s">
        <v>18</v>
      </c>
      <c r="I2025" s="3" t="s">
        <v>19</v>
      </c>
      <c r="J2025" s="3" t="s">
        <v>19</v>
      </c>
      <c r="K2025" s="3" t="s">
        <v>20</v>
      </c>
      <c r="L2025" s="3">
        <v>25.09</v>
      </c>
      <c r="M2025" s="3" t="s">
        <v>1695</v>
      </c>
      <c r="N2025" s="3" t="s">
        <v>1696</v>
      </c>
      <c r="O2025" s="3">
        <v>1.90563652811E11</v>
      </c>
    </row>
    <row r="2026">
      <c r="A2026" s="3">
        <v>2610454.0</v>
      </c>
      <c r="B2026" s="3" t="s">
        <v>4355</v>
      </c>
      <c r="C2026" s="3" t="b">
        <v>0</v>
      </c>
      <c r="D2026" s="3" t="b">
        <v>1</v>
      </c>
      <c r="E2026" s="3" t="s">
        <v>4356</v>
      </c>
      <c r="F2026" s="3" t="s">
        <v>4215</v>
      </c>
      <c r="G2026" s="4">
        <f>+251911633559</f>
        <v>251911633559</v>
      </c>
      <c r="H2026" s="3" t="s">
        <v>18</v>
      </c>
      <c r="I2026" s="3" t="s">
        <v>19</v>
      </c>
      <c r="J2026" s="3" t="s">
        <v>19</v>
      </c>
      <c r="K2026" s="3" t="s">
        <v>25</v>
      </c>
      <c r="L2026" s="3">
        <v>25.03</v>
      </c>
      <c r="M2026" s="3" t="s">
        <v>1695</v>
      </c>
      <c r="N2026" s="3" t="s">
        <v>1696</v>
      </c>
      <c r="O2026" s="3">
        <v>1.90601223393E11</v>
      </c>
    </row>
    <row r="2027">
      <c r="A2027" s="3">
        <v>2610458.0</v>
      </c>
      <c r="B2027" s="3" t="s">
        <v>4357</v>
      </c>
      <c r="C2027" s="3" t="b">
        <v>0</v>
      </c>
      <c r="D2027" s="3" t="b">
        <v>1</v>
      </c>
      <c r="E2027" s="3" t="s">
        <v>504</v>
      </c>
      <c r="F2027" s="3" t="s">
        <v>4358</v>
      </c>
      <c r="G2027" s="4">
        <f>+251967765445</f>
        <v>251967765445</v>
      </c>
      <c r="H2027" s="3" t="s">
        <v>18</v>
      </c>
      <c r="I2027" s="3" t="s">
        <v>19</v>
      </c>
      <c r="J2027" s="3" t="s">
        <v>19</v>
      </c>
      <c r="K2027" s="3" t="s">
        <v>25</v>
      </c>
      <c r="L2027" s="3">
        <v>25.03</v>
      </c>
      <c r="M2027" s="3" t="s">
        <v>1695</v>
      </c>
      <c r="N2027" s="3" t="s">
        <v>1696</v>
      </c>
      <c r="O2027" s="3">
        <v>1.90566498503E11</v>
      </c>
    </row>
    <row r="2028">
      <c r="A2028" s="3">
        <v>2610466.0</v>
      </c>
      <c r="B2028" s="3" t="s">
        <v>4359</v>
      </c>
      <c r="C2028" s="3" t="b">
        <v>0</v>
      </c>
      <c r="D2028" s="3" t="b">
        <v>1</v>
      </c>
      <c r="E2028" s="3" t="s">
        <v>656</v>
      </c>
      <c r="F2028" s="3" t="s">
        <v>529</v>
      </c>
      <c r="G2028" s="4">
        <f>+251911232124</f>
        <v>251911232124</v>
      </c>
      <c r="H2028" s="3" t="s">
        <v>18</v>
      </c>
      <c r="I2028" s="3" t="s">
        <v>19</v>
      </c>
      <c r="J2028" s="3" t="s">
        <v>19</v>
      </c>
      <c r="K2028" s="3" t="s">
        <v>25</v>
      </c>
      <c r="L2028" s="3">
        <v>25.11</v>
      </c>
      <c r="M2028" s="3" t="s">
        <v>1695</v>
      </c>
      <c r="N2028" s="3" t="s">
        <v>1696</v>
      </c>
      <c r="O2028" s="3">
        <v>1.90567605439E11</v>
      </c>
    </row>
    <row r="2029">
      <c r="A2029" s="3">
        <v>2610469.0</v>
      </c>
      <c r="B2029" s="3" t="s">
        <v>4360</v>
      </c>
      <c r="C2029" s="3" t="b">
        <v>0</v>
      </c>
      <c r="D2029" s="3" t="b">
        <v>1</v>
      </c>
      <c r="E2029" s="3" t="s">
        <v>4361</v>
      </c>
      <c r="F2029" s="3" t="s">
        <v>1814</v>
      </c>
      <c r="G2029" s="4">
        <f>+251910090872</f>
        <v>251910090872</v>
      </c>
      <c r="H2029" s="3" t="s">
        <v>18</v>
      </c>
      <c r="I2029" s="3" t="s">
        <v>19</v>
      </c>
      <c r="J2029" s="3" t="s">
        <v>19</v>
      </c>
      <c r="K2029" s="3" t="s">
        <v>20</v>
      </c>
      <c r="L2029" s="3">
        <v>25.03</v>
      </c>
      <c r="M2029" s="3" t="s">
        <v>1695</v>
      </c>
      <c r="N2029" s="3" t="s">
        <v>1696</v>
      </c>
      <c r="O2029" s="3">
        <v>1.90569074877E11</v>
      </c>
    </row>
    <row r="2030">
      <c r="A2030" s="3">
        <v>2610476.0</v>
      </c>
      <c r="B2030" s="3" t="s">
        <v>4362</v>
      </c>
      <c r="C2030" s="3" t="b">
        <v>0</v>
      </c>
      <c r="D2030" s="3" t="b">
        <v>1</v>
      </c>
      <c r="E2030" s="3" t="s">
        <v>760</v>
      </c>
      <c r="F2030" s="3" t="s">
        <v>4215</v>
      </c>
      <c r="G2030" s="4">
        <f>+251946535627</f>
        <v>251946535627</v>
      </c>
      <c r="H2030" s="3" t="s">
        <v>18</v>
      </c>
      <c r="I2030" s="3" t="s">
        <v>19</v>
      </c>
      <c r="J2030" s="3" t="s">
        <v>4363</v>
      </c>
      <c r="K2030" s="3" t="s">
        <v>20</v>
      </c>
      <c r="L2030" s="3">
        <v>21.03</v>
      </c>
      <c r="M2030" s="3" t="s">
        <v>1695</v>
      </c>
      <c r="N2030" s="3" t="s">
        <v>1696</v>
      </c>
      <c r="O2030" s="3">
        <v>1.90568740047E11</v>
      </c>
    </row>
    <row r="2031">
      <c r="A2031" s="3">
        <v>2610477.0</v>
      </c>
      <c r="B2031" s="3" t="s">
        <v>4364</v>
      </c>
      <c r="C2031" s="3" t="b">
        <v>0</v>
      </c>
      <c r="D2031" s="3" t="b">
        <v>1</v>
      </c>
      <c r="E2031" s="3" t="s">
        <v>4365</v>
      </c>
      <c r="F2031" s="3" t="s">
        <v>838</v>
      </c>
      <c r="G2031" s="4">
        <f>+25109454323765</f>
        <v>25109454323765</v>
      </c>
      <c r="H2031" s="3" t="s">
        <v>18</v>
      </c>
      <c r="I2031" s="3" t="s">
        <v>19</v>
      </c>
      <c r="J2031" s="3" t="s">
        <v>19</v>
      </c>
      <c r="K2031" s="3" t="s">
        <v>25</v>
      </c>
      <c r="L2031" s="3">
        <v>25.08</v>
      </c>
      <c r="M2031" s="3" t="s">
        <v>1695</v>
      </c>
      <c r="N2031" s="3" t="s">
        <v>1696</v>
      </c>
      <c r="O2031" s="3">
        <v>1.90566679791E11</v>
      </c>
    </row>
    <row r="2032">
      <c r="A2032" s="3">
        <v>2610486.0</v>
      </c>
      <c r="B2032" s="3" t="s">
        <v>4366</v>
      </c>
      <c r="C2032" s="3" t="b">
        <v>0</v>
      </c>
      <c r="D2032" s="3" t="b">
        <v>1</v>
      </c>
      <c r="E2032" s="3" t="s">
        <v>4351</v>
      </c>
      <c r="F2032" s="3" t="s">
        <v>1905</v>
      </c>
      <c r="G2032" s="4">
        <f>+251919491642</f>
        <v>251919491642</v>
      </c>
      <c r="H2032" s="3" t="s">
        <v>18</v>
      </c>
      <c r="I2032" s="3" t="s">
        <v>19</v>
      </c>
      <c r="J2032" s="3" t="s">
        <v>19</v>
      </c>
      <c r="K2032" s="3" t="s">
        <v>25</v>
      </c>
      <c r="L2032" s="3">
        <v>27.03</v>
      </c>
      <c r="M2032" s="3" t="s">
        <v>1695</v>
      </c>
      <c r="N2032" s="3" t="s">
        <v>1696</v>
      </c>
      <c r="O2032" s="3">
        <v>1.90569612488E11</v>
      </c>
    </row>
    <row r="2033">
      <c r="A2033" s="3">
        <v>2610490.0</v>
      </c>
      <c r="B2033" s="3" t="s">
        <v>4367</v>
      </c>
      <c r="C2033" s="3" t="b">
        <v>0</v>
      </c>
      <c r="D2033" s="3" t="b">
        <v>1</v>
      </c>
      <c r="E2033" s="3" t="s">
        <v>425</v>
      </c>
      <c r="F2033" s="3" t="s">
        <v>4368</v>
      </c>
      <c r="G2033" s="4">
        <f>+251921123456</f>
        <v>251921123456</v>
      </c>
      <c r="H2033" s="3" t="s">
        <v>18</v>
      </c>
      <c r="I2033" s="3" t="s">
        <v>19</v>
      </c>
      <c r="J2033" s="3" t="s">
        <v>19</v>
      </c>
      <c r="K2033" s="3" t="s">
        <v>25</v>
      </c>
      <c r="L2033" s="3">
        <v>25.03</v>
      </c>
      <c r="M2033" s="3" t="s">
        <v>1695</v>
      </c>
      <c r="N2033" s="3" t="s">
        <v>1696</v>
      </c>
      <c r="O2033" s="3">
        <v>1.90596838589E11</v>
      </c>
    </row>
    <row r="2034">
      <c r="A2034" s="3">
        <v>2610497.0</v>
      </c>
      <c r="B2034" s="3" t="s">
        <v>4369</v>
      </c>
      <c r="C2034" s="3" t="b">
        <v>1</v>
      </c>
      <c r="D2034" s="3" t="b">
        <v>1</v>
      </c>
      <c r="E2034" s="3" t="s">
        <v>1141</v>
      </c>
      <c r="F2034" s="3" t="s">
        <v>4370</v>
      </c>
      <c r="G2034" s="4">
        <f>+251938466730</f>
        <v>251938466730</v>
      </c>
      <c r="H2034" s="3" t="s">
        <v>18</v>
      </c>
      <c r="I2034" s="3" t="s">
        <v>19</v>
      </c>
      <c r="J2034" s="3" t="s">
        <v>19</v>
      </c>
      <c r="K2034" s="3" t="s">
        <v>25</v>
      </c>
      <c r="L2034" s="3">
        <v>26.88</v>
      </c>
      <c r="M2034" s="3" t="s">
        <v>1695</v>
      </c>
      <c r="N2034" s="3" t="s">
        <v>1696</v>
      </c>
      <c r="O2034" s="3">
        <v>1.9060238665E11</v>
      </c>
    </row>
    <row r="2035">
      <c r="A2035" s="3">
        <v>2610496.0</v>
      </c>
      <c r="B2035" s="3" t="s">
        <v>4371</v>
      </c>
      <c r="C2035" s="3" t="b">
        <v>0</v>
      </c>
      <c r="D2035" s="3" t="b">
        <v>1</v>
      </c>
      <c r="E2035" s="3" t="s">
        <v>1954</v>
      </c>
      <c r="F2035" s="3" t="s">
        <v>3750</v>
      </c>
      <c r="G2035" s="4">
        <f>+251935735853</f>
        <v>251935735853</v>
      </c>
      <c r="H2035" s="3" t="s">
        <v>18</v>
      </c>
      <c r="I2035" s="3" t="s">
        <v>19</v>
      </c>
      <c r="J2035" s="3" t="s">
        <v>19</v>
      </c>
      <c r="K2035" s="3" t="s">
        <v>25</v>
      </c>
      <c r="L2035" s="3">
        <v>25.03</v>
      </c>
      <c r="M2035" s="3" t="s">
        <v>1695</v>
      </c>
      <c r="N2035" s="3" t="s">
        <v>1696</v>
      </c>
      <c r="O2035" s="3">
        <v>1.90569785573E11</v>
      </c>
    </row>
    <row r="2036">
      <c r="A2036" s="3">
        <v>2610507.0</v>
      </c>
      <c r="B2036" s="3" t="s">
        <v>4372</v>
      </c>
      <c r="C2036" s="3" t="b">
        <v>0</v>
      </c>
      <c r="D2036" s="3" t="b">
        <v>1</v>
      </c>
      <c r="E2036" s="3" t="s">
        <v>4373</v>
      </c>
      <c r="F2036" s="3" t="s">
        <v>4374</v>
      </c>
      <c r="G2036" s="4">
        <f>+251966759047</f>
        <v>251966759047</v>
      </c>
      <c r="H2036" s="3" t="s">
        <v>18</v>
      </c>
      <c r="I2036" s="3" t="s">
        <v>19</v>
      </c>
      <c r="J2036" s="3" t="s">
        <v>19</v>
      </c>
      <c r="K2036" s="3" t="s">
        <v>25</v>
      </c>
      <c r="L2036" s="3">
        <v>28.03</v>
      </c>
      <c r="M2036" s="3" t="s">
        <v>1695</v>
      </c>
      <c r="N2036" s="3" t="s">
        <v>1696</v>
      </c>
      <c r="O2036" s="3">
        <v>1.90602619093E11</v>
      </c>
    </row>
    <row r="2037">
      <c r="A2037" s="3">
        <v>2610513.0</v>
      </c>
      <c r="B2037" s="3" t="s">
        <v>4375</v>
      </c>
      <c r="C2037" s="3" t="b">
        <v>0</v>
      </c>
      <c r="D2037" s="3" t="b">
        <v>1</v>
      </c>
      <c r="E2037" s="3" t="s">
        <v>4376</v>
      </c>
      <c r="F2037" s="3" t="s">
        <v>2972</v>
      </c>
      <c r="G2037" s="4">
        <f>+251930769302</f>
        <v>251930769302</v>
      </c>
      <c r="H2037" s="3" t="s">
        <v>18</v>
      </c>
      <c r="I2037" s="3" t="s">
        <v>19</v>
      </c>
      <c r="J2037" s="3" t="s">
        <v>19</v>
      </c>
      <c r="K2037" s="3" t="s">
        <v>25</v>
      </c>
      <c r="L2037" s="3">
        <v>29.03</v>
      </c>
      <c r="M2037" s="3" t="s">
        <v>1695</v>
      </c>
      <c r="N2037" s="3" t="s">
        <v>1696</v>
      </c>
      <c r="O2037" s="3">
        <v>1.90655789301E11</v>
      </c>
    </row>
    <row r="2038">
      <c r="A2038" s="3">
        <v>2610516.0</v>
      </c>
      <c r="B2038" s="3" t="s">
        <v>4377</v>
      </c>
      <c r="C2038" s="3" t="b">
        <v>0</v>
      </c>
      <c r="D2038" s="3" t="b">
        <v>1</v>
      </c>
      <c r="E2038" s="3" t="s">
        <v>1532</v>
      </c>
      <c r="F2038" s="3" t="s">
        <v>52</v>
      </c>
      <c r="G2038" s="4">
        <f>+251965457629</f>
        <v>251965457629</v>
      </c>
      <c r="H2038" s="3" t="s">
        <v>18</v>
      </c>
      <c r="I2038" s="3" t="s">
        <v>19</v>
      </c>
      <c r="J2038" s="3" t="s">
        <v>19</v>
      </c>
      <c r="K2038" s="3" t="s">
        <v>25</v>
      </c>
      <c r="L2038" s="3">
        <v>25.03</v>
      </c>
      <c r="M2038" s="3" t="s">
        <v>1695</v>
      </c>
      <c r="N2038" s="3" t="s">
        <v>1696</v>
      </c>
      <c r="O2038" s="3">
        <v>778945.0</v>
      </c>
    </row>
    <row r="2039">
      <c r="A2039" s="3">
        <v>2610527.0</v>
      </c>
      <c r="B2039" s="3" t="s">
        <v>4378</v>
      </c>
      <c r="C2039" s="3" t="b">
        <v>0</v>
      </c>
      <c r="D2039" s="3" t="b">
        <v>1</v>
      </c>
      <c r="E2039" s="3" t="s">
        <v>877</v>
      </c>
      <c r="F2039" s="3" t="s">
        <v>4379</v>
      </c>
      <c r="G2039" s="4">
        <f>+251935067831</f>
        <v>251935067831</v>
      </c>
      <c r="H2039" s="3" t="s">
        <v>18</v>
      </c>
      <c r="I2039" s="3" t="s">
        <v>19</v>
      </c>
      <c r="J2039" s="3" t="s">
        <v>19</v>
      </c>
      <c r="K2039" s="3" t="s">
        <v>25</v>
      </c>
      <c r="L2039" s="3">
        <v>29.03</v>
      </c>
      <c r="M2039" s="3" t="s">
        <v>1695</v>
      </c>
      <c r="N2039" s="3" t="s">
        <v>1696</v>
      </c>
      <c r="O2039" s="3">
        <v>1.90571135162E11</v>
      </c>
    </row>
    <row r="2040">
      <c r="A2040" s="3">
        <v>2610531.0</v>
      </c>
      <c r="B2040" s="3" t="s">
        <v>4380</v>
      </c>
      <c r="C2040" s="3" t="b">
        <v>0</v>
      </c>
      <c r="D2040" s="3" t="b">
        <v>1</v>
      </c>
      <c r="E2040" s="3" t="s">
        <v>787</v>
      </c>
      <c r="F2040" s="3" t="s">
        <v>2562</v>
      </c>
      <c r="G2040" s="4">
        <f>+251927513004</f>
        <v>251927513004</v>
      </c>
      <c r="H2040" s="3" t="s">
        <v>18</v>
      </c>
      <c r="I2040" s="3" t="s">
        <v>19</v>
      </c>
      <c r="J2040" s="3" t="s">
        <v>19</v>
      </c>
      <c r="K2040" s="3" t="s">
        <v>25</v>
      </c>
      <c r="L2040" s="3">
        <v>21.78</v>
      </c>
      <c r="M2040" s="3" t="s">
        <v>1695</v>
      </c>
      <c r="N2040" s="3" t="s">
        <v>1696</v>
      </c>
      <c r="O2040" s="3">
        <v>1.90605515993E11</v>
      </c>
    </row>
    <row r="2041">
      <c r="A2041" s="3">
        <v>2610536.0</v>
      </c>
      <c r="B2041" s="3" t="s">
        <v>4381</v>
      </c>
      <c r="C2041" s="3" t="b">
        <v>0</v>
      </c>
      <c r="D2041" s="3" t="b">
        <v>1</v>
      </c>
      <c r="E2041" s="3" t="s">
        <v>1736</v>
      </c>
      <c r="F2041" s="3" t="s">
        <v>342</v>
      </c>
      <c r="G2041" s="4">
        <f>+251947529371</f>
        <v>251947529371</v>
      </c>
      <c r="H2041" s="3" t="s">
        <v>18</v>
      </c>
      <c r="I2041" s="3" t="s">
        <v>19</v>
      </c>
      <c r="J2041" s="3" t="s">
        <v>19</v>
      </c>
      <c r="K2041" s="3" t="s">
        <v>25</v>
      </c>
      <c r="L2041" s="3">
        <v>24.86</v>
      </c>
      <c r="M2041" s="3" t="s">
        <v>1695</v>
      </c>
      <c r="N2041" s="3" t="s">
        <v>1696</v>
      </c>
      <c r="O2041" s="3">
        <v>1.90607653082E11</v>
      </c>
    </row>
    <row r="2042">
      <c r="A2042" s="3">
        <v>2610542.0</v>
      </c>
      <c r="B2042" s="3" t="s">
        <v>4382</v>
      </c>
      <c r="C2042" s="3" t="b">
        <v>1</v>
      </c>
      <c r="D2042" s="3" t="b">
        <v>1</v>
      </c>
      <c r="E2042" s="3" t="s">
        <v>4383</v>
      </c>
      <c r="F2042" s="3" t="s">
        <v>4384</v>
      </c>
      <c r="G2042" s="4">
        <f>+251965466694</f>
        <v>251965466694</v>
      </c>
      <c r="H2042" s="3" t="s">
        <v>18</v>
      </c>
      <c r="I2042" s="3" t="s">
        <v>19</v>
      </c>
      <c r="J2042" s="3" t="s">
        <v>19</v>
      </c>
      <c r="K2042" s="3" t="s">
        <v>25</v>
      </c>
      <c r="L2042" s="3">
        <v>33.03</v>
      </c>
      <c r="M2042" s="3" t="s">
        <v>1695</v>
      </c>
      <c r="N2042" s="3" t="s">
        <v>1696</v>
      </c>
      <c r="O2042" s="3">
        <v>1.90605207787E11</v>
      </c>
    </row>
    <row r="2043">
      <c r="A2043" s="3">
        <v>2610555.0</v>
      </c>
      <c r="B2043" s="3" t="s">
        <v>4385</v>
      </c>
      <c r="C2043" s="3" t="b">
        <v>1</v>
      </c>
      <c r="D2043" s="3" t="b">
        <v>1</v>
      </c>
      <c r="E2043" s="3" t="s">
        <v>3874</v>
      </c>
      <c r="F2043" s="3" t="s">
        <v>529</v>
      </c>
      <c r="G2043" s="4">
        <f>+251910623013</f>
        <v>251910623013</v>
      </c>
      <c r="H2043" s="3" t="s">
        <v>18</v>
      </c>
      <c r="I2043" s="3" t="s">
        <v>19</v>
      </c>
      <c r="J2043" s="3" t="s">
        <v>19</v>
      </c>
      <c r="K2043" s="3" t="s">
        <v>25</v>
      </c>
      <c r="L2043" s="3">
        <v>25.86</v>
      </c>
      <c r="M2043" s="3" t="s">
        <v>1695</v>
      </c>
      <c r="N2043" s="3" t="s">
        <v>1696</v>
      </c>
      <c r="O2043" s="3">
        <v>1.90572722363E11</v>
      </c>
    </row>
    <row r="2044">
      <c r="A2044" s="3">
        <v>2610563.0</v>
      </c>
      <c r="B2044" s="3" t="s">
        <v>4386</v>
      </c>
      <c r="C2044" s="3" t="b">
        <v>1</v>
      </c>
      <c r="D2044" s="3" t="b">
        <v>1</v>
      </c>
      <c r="E2044" s="3" t="s">
        <v>666</v>
      </c>
      <c r="F2044" s="3" t="s">
        <v>2695</v>
      </c>
      <c r="G2044" s="4">
        <f>+251920002138</f>
        <v>251920002138</v>
      </c>
      <c r="H2044" s="3" t="s">
        <v>18</v>
      </c>
      <c r="I2044" s="3" t="s">
        <v>19</v>
      </c>
      <c r="J2044" s="3" t="s">
        <v>19</v>
      </c>
      <c r="K2044" s="3" t="s">
        <v>25</v>
      </c>
      <c r="L2044" s="3">
        <v>26.84</v>
      </c>
      <c r="M2044" s="3" t="s">
        <v>1695</v>
      </c>
      <c r="N2044" s="3" t="s">
        <v>1696</v>
      </c>
      <c r="O2044" s="3">
        <v>1.90610641143E11</v>
      </c>
    </row>
    <row r="2045">
      <c r="A2045" s="3">
        <v>2610574.0</v>
      </c>
      <c r="B2045" s="3" t="s">
        <v>4387</v>
      </c>
      <c r="C2045" s="3" t="b">
        <v>0</v>
      </c>
      <c r="D2045" s="3" t="b">
        <v>1</v>
      </c>
      <c r="E2045" s="3" t="s">
        <v>4388</v>
      </c>
      <c r="F2045" s="3" t="s">
        <v>649</v>
      </c>
      <c r="G2045" s="4">
        <f>+251925695839</f>
        <v>251925695839</v>
      </c>
      <c r="H2045" s="3" t="s">
        <v>18</v>
      </c>
      <c r="I2045" s="3" t="s">
        <v>19</v>
      </c>
      <c r="J2045" s="3" t="s">
        <v>19</v>
      </c>
      <c r="K2045" s="3" t="s">
        <v>20</v>
      </c>
      <c r="L2045" s="3">
        <v>22.03</v>
      </c>
      <c r="M2045" s="3" t="s">
        <v>1695</v>
      </c>
      <c r="N2045" s="3" t="s">
        <v>1696</v>
      </c>
      <c r="O2045" s="3">
        <v>1.9060413157E11</v>
      </c>
    </row>
    <row r="2046">
      <c r="A2046" s="3">
        <v>2610593.0</v>
      </c>
      <c r="B2046" s="3" t="s">
        <v>4389</v>
      </c>
      <c r="C2046" s="3" t="b">
        <v>0</v>
      </c>
      <c r="D2046" s="3" t="b">
        <v>1</v>
      </c>
      <c r="E2046" s="3" t="s">
        <v>273</v>
      </c>
      <c r="F2046" s="3" t="s">
        <v>4390</v>
      </c>
      <c r="G2046" s="4">
        <f>+251946589950</f>
        <v>251946589950</v>
      </c>
      <c r="H2046" s="3" t="s">
        <v>18</v>
      </c>
      <c r="I2046" s="3" t="s">
        <v>19</v>
      </c>
      <c r="J2046" s="3" t="s">
        <v>19</v>
      </c>
      <c r="K2046" s="3" t="s">
        <v>25</v>
      </c>
      <c r="L2046" s="3">
        <v>22.95</v>
      </c>
      <c r="M2046" s="3" t="s">
        <v>1695</v>
      </c>
      <c r="N2046" s="3" t="s">
        <v>1696</v>
      </c>
      <c r="O2046" s="3">
        <v>1.90613582054E11</v>
      </c>
    </row>
    <row r="2047">
      <c r="A2047" s="3">
        <v>2610600.0</v>
      </c>
      <c r="B2047" s="3" t="s">
        <v>4391</v>
      </c>
      <c r="C2047" s="3" t="b">
        <v>0</v>
      </c>
      <c r="D2047" s="3" t="b">
        <v>1</v>
      </c>
      <c r="E2047" s="3" t="s">
        <v>4392</v>
      </c>
      <c r="F2047" s="3" t="s">
        <v>3919</v>
      </c>
      <c r="G2047" s="4">
        <f>+251946756567</f>
        <v>251946756567</v>
      </c>
      <c r="H2047" s="3" t="s">
        <v>18</v>
      </c>
      <c r="I2047" s="3" t="s">
        <v>19</v>
      </c>
      <c r="J2047" s="3" t="s">
        <v>19</v>
      </c>
      <c r="K2047" s="3" t="s">
        <v>25</v>
      </c>
      <c r="L2047" s="3">
        <v>30.25</v>
      </c>
      <c r="M2047" s="3" t="s">
        <v>1695</v>
      </c>
      <c r="N2047" s="3" t="s">
        <v>1696</v>
      </c>
      <c r="O2047" s="3">
        <v>1.90613733621E11</v>
      </c>
    </row>
    <row r="2048">
      <c r="A2048" s="3">
        <v>2610608.0</v>
      </c>
      <c r="B2048" s="3" t="s">
        <v>4393</v>
      </c>
      <c r="C2048" s="3" t="b">
        <v>1</v>
      </c>
      <c r="D2048" s="3" t="b">
        <v>1</v>
      </c>
      <c r="E2048" s="3" t="s">
        <v>220</v>
      </c>
      <c r="F2048" s="3" t="s">
        <v>196</v>
      </c>
      <c r="G2048" s="4">
        <f>+251982660383</f>
        <v>251982660383</v>
      </c>
      <c r="H2048" s="3" t="s">
        <v>18</v>
      </c>
      <c r="I2048" s="3" t="s">
        <v>19</v>
      </c>
      <c r="J2048" s="3" t="s">
        <v>19</v>
      </c>
      <c r="K2048" s="3" t="s">
        <v>20</v>
      </c>
      <c r="L2048" s="3">
        <v>18.63</v>
      </c>
      <c r="M2048" s="3" t="s">
        <v>1695</v>
      </c>
      <c r="N2048" s="3" t="s">
        <v>1696</v>
      </c>
      <c r="O2048" s="3">
        <v>1.90611409082E11</v>
      </c>
    </row>
    <row r="2049">
      <c r="A2049" s="3">
        <v>2610605.0</v>
      </c>
      <c r="B2049" s="3" t="s">
        <v>4394</v>
      </c>
      <c r="C2049" s="3" t="b">
        <v>0</v>
      </c>
      <c r="D2049" s="3" t="b">
        <v>1</v>
      </c>
      <c r="E2049" s="3" t="s">
        <v>1000</v>
      </c>
      <c r="F2049" s="3" t="s">
        <v>922</v>
      </c>
      <c r="G2049" s="4">
        <f>+251927188793</f>
        <v>251927188793</v>
      </c>
      <c r="H2049" s="3" t="s">
        <v>18</v>
      </c>
      <c r="I2049" s="3" t="s">
        <v>19</v>
      </c>
      <c r="J2049" s="3" t="s">
        <v>19</v>
      </c>
      <c r="K2049" s="3" t="s">
        <v>25</v>
      </c>
      <c r="L2049" s="3">
        <v>21.85</v>
      </c>
      <c r="M2049" s="3" t="s">
        <v>1695</v>
      </c>
      <c r="N2049" s="3" t="s">
        <v>1696</v>
      </c>
      <c r="O2049" s="3">
        <v>1.90661849304E11</v>
      </c>
    </row>
    <row r="2050">
      <c r="A2050" s="3">
        <v>2610630.0</v>
      </c>
      <c r="B2050" s="3" t="s">
        <v>4395</v>
      </c>
      <c r="C2050" s="3" t="b">
        <v>0</v>
      </c>
      <c r="D2050" s="3" t="b">
        <v>1</v>
      </c>
      <c r="E2050" s="3" t="s">
        <v>504</v>
      </c>
      <c r="F2050" s="3" t="s">
        <v>4396</v>
      </c>
      <c r="G2050" s="4">
        <f>+251921101932</f>
        <v>251921101932</v>
      </c>
      <c r="H2050" s="3" t="s">
        <v>18</v>
      </c>
      <c r="I2050" s="3" t="s">
        <v>19</v>
      </c>
      <c r="J2050" s="3" t="s">
        <v>19</v>
      </c>
      <c r="K2050" s="3" t="s">
        <v>25</v>
      </c>
      <c r="L2050" s="3">
        <v>26.03</v>
      </c>
      <c r="M2050" s="3" t="s">
        <v>1695</v>
      </c>
      <c r="N2050" s="3" t="s">
        <v>1696</v>
      </c>
      <c r="O2050" s="3">
        <v>1.90663963891E11</v>
      </c>
    </row>
    <row r="2051">
      <c r="A2051" s="3">
        <v>2610656.0</v>
      </c>
      <c r="B2051" s="3" t="s">
        <v>4397</v>
      </c>
      <c r="C2051" s="3" t="b">
        <v>0</v>
      </c>
      <c r="D2051" s="3" t="b">
        <v>1</v>
      </c>
      <c r="E2051" s="3" t="s">
        <v>2247</v>
      </c>
      <c r="F2051" s="3" t="s">
        <v>280</v>
      </c>
      <c r="G2051" s="4">
        <f>+251982094546</f>
        <v>251982094546</v>
      </c>
      <c r="H2051" s="3" t="s">
        <v>18</v>
      </c>
      <c r="I2051" s="3" t="s">
        <v>19</v>
      </c>
      <c r="J2051" s="3" t="s">
        <v>19</v>
      </c>
      <c r="K2051" s="3" t="s">
        <v>25</v>
      </c>
      <c r="L2051" s="3">
        <v>21.97</v>
      </c>
      <c r="M2051" s="3" t="s">
        <v>1695</v>
      </c>
      <c r="N2051" s="3" t="s">
        <v>1696</v>
      </c>
      <c r="O2051" s="3">
        <v>1.90620924105E11</v>
      </c>
    </row>
    <row r="2052">
      <c r="A2052" s="3">
        <v>2610661.0</v>
      </c>
      <c r="B2052" s="3" t="s">
        <v>4398</v>
      </c>
      <c r="C2052" s="3" t="b">
        <v>0</v>
      </c>
      <c r="D2052" s="3" t="b">
        <v>1</v>
      </c>
      <c r="E2052" s="3" t="s">
        <v>1269</v>
      </c>
      <c r="F2052" s="3" t="s">
        <v>4396</v>
      </c>
      <c r="G2052" s="4">
        <f>+251941431215</f>
        <v>251941431215</v>
      </c>
      <c r="H2052" s="3" t="s">
        <v>18</v>
      </c>
      <c r="I2052" s="3" t="s">
        <v>19</v>
      </c>
      <c r="J2052" s="3" t="s">
        <v>19</v>
      </c>
      <c r="K2052" s="3" t="s">
        <v>25</v>
      </c>
      <c r="L2052" s="3">
        <v>23.03</v>
      </c>
      <c r="M2052" s="3" t="s">
        <v>1695</v>
      </c>
      <c r="N2052" s="3" t="s">
        <v>1696</v>
      </c>
      <c r="O2052" s="3">
        <v>1.90668233968E11</v>
      </c>
    </row>
    <row r="2053">
      <c r="A2053" s="3">
        <v>2610675.0</v>
      </c>
      <c r="B2053" s="3" t="s">
        <v>4399</v>
      </c>
      <c r="C2053" s="3" t="b">
        <v>0</v>
      </c>
      <c r="D2053" s="3" t="b">
        <v>1</v>
      </c>
      <c r="E2053" s="3" t="s">
        <v>760</v>
      </c>
      <c r="F2053" s="3" t="s">
        <v>526</v>
      </c>
      <c r="G2053" s="4">
        <f>+251907608667</f>
        <v>251907608667</v>
      </c>
      <c r="H2053" s="3" t="s">
        <v>18</v>
      </c>
      <c r="I2053" s="3" t="s">
        <v>19</v>
      </c>
      <c r="J2053" s="3" t="s">
        <v>19</v>
      </c>
      <c r="K2053" s="3" t="s">
        <v>20</v>
      </c>
      <c r="L2053" s="3">
        <v>24.87</v>
      </c>
      <c r="M2053" s="3" t="s">
        <v>1695</v>
      </c>
      <c r="N2053" s="3" t="s">
        <v>1696</v>
      </c>
      <c r="O2053" s="3">
        <v>1.90620254427E11</v>
      </c>
    </row>
    <row r="2054">
      <c r="A2054" s="3">
        <v>2610684.0</v>
      </c>
      <c r="B2054" s="3" t="s">
        <v>4400</v>
      </c>
      <c r="C2054" s="3" t="b">
        <v>0</v>
      </c>
      <c r="D2054" s="3" t="b">
        <v>1</v>
      </c>
      <c r="E2054" s="3" t="s">
        <v>4401</v>
      </c>
      <c r="F2054" s="3" t="s">
        <v>280</v>
      </c>
      <c r="G2054" s="4">
        <f>+251930814660</f>
        <v>251930814660</v>
      </c>
      <c r="H2054" s="3" t="s">
        <v>18</v>
      </c>
      <c r="I2054" s="3" t="s">
        <v>19</v>
      </c>
      <c r="J2054" s="3" t="s">
        <v>19</v>
      </c>
      <c r="K2054" s="3" t="s">
        <v>25</v>
      </c>
      <c r="L2054" s="3">
        <v>27.87</v>
      </c>
      <c r="M2054" s="3" t="s">
        <v>1695</v>
      </c>
      <c r="N2054" s="3" t="s">
        <v>1696</v>
      </c>
      <c r="O2054" s="3">
        <v>1.90668446944E11</v>
      </c>
    </row>
    <row r="2055">
      <c r="A2055" s="3">
        <v>2610699.0</v>
      </c>
      <c r="B2055" s="3" t="s">
        <v>4402</v>
      </c>
      <c r="C2055" s="3" t="b">
        <v>0</v>
      </c>
      <c r="D2055" s="3" t="b">
        <v>1</v>
      </c>
      <c r="E2055" s="3" t="s">
        <v>1208</v>
      </c>
      <c r="F2055" s="3" t="s">
        <v>280</v>
      </c>
      <c r="G2055" s="4">
        <f>+251965011164</f>
        <v>251965011164</v>
      </c>
      <c r="H2055" s="3" t="s">
        <v>18</v>
      </c>
      <c r="I2055" s="3" t="s">
        <v>19</v>
      </c>
      <c r="J2055" s="3" t="s">
        <v>19</v>
      </c>
      <c r="K2055" s="3" t="s">
        <v>25</v>
      </c>
      <c r="L2055" s="3">
        <v>28.79</v>
      </c>
      <c r="M2055" s="3" t="s">
        <v>1695</v>
      </c>
      <c r="N2055" s="3" t="s">
        <v>1696</v>
      </c>
      <c r="O2055" s="3">
        <v>1.90660151519E11</v>
      </c>
    </row>
    <row r="2056">
      <c r="A2056" s="3">
        <v>2610701.0</v>
      </c>
      <c r="B2056" s="3" t="s">
        <v>4403</v>
      </c>
      <c r="C2056" s="3" t="b">
        <v>0</v>
      </c>
      <c r="D2056" s="3" t="b">
        <v>1</v>
      </c>
      <c r="E2056" s="3" t="s">
        <v>404</v>
      </c>
      <c r="F2056" s="3" t="s">
        <v>274</v>
      </c>
      <c r="G2056" s="4">
        <f>+251929364761</f>
        <v>251929364761</v>
      </c>
      <c r="H2056" s="3" t="s">
        <v>18</v>
      </c>
      <c r="I2056" s="3" t="s">
        <v>19</v>
      </c>
      <c r="J2056" s="3" t="s">
        <v>19</v>
      </c>
      <c r="K2056" s="3" t="s">
        <v>25</v>
      </c>
      <c r="L2056" s="3">
        <v>26.03</v>
      </c>
      <c r="M2056" s="3" t="s">
        <v>1695</v>
      </c>
      <c r="N2056" s="3" t="s">
        <v>1696</v>
      </c>
      <c r="O2056" s="3">
        <v>1.90664166638E11</v>
      </c>
    </row>
    <row r="2057">
      <c r="A2057" s="3">
        <v>2610710.0</v>
      </c>
      <c r="B2057" s="3" t="s">
        <v>4404</v>
      </c>
      <c r="C2057" s="3" t="b">
        <v>0</v>
      </c>
      <c r="D2057" s="3" t="b">
        <v>1</v>
      </c>
      <c r="E2057" s="3" t="s">
        <v>4405</v>
      </c>
      <c r="F2057" s="3" t="s">
        <v>324</v>
      </c>
      <c r="G2057" s="4">
        <f>+251914216524</f>
        <v>251914216524</v>
      </c>
      <c r="H2057" s="3" t="s">
        <v>18</v>
      </c>
      <c r="I2057" s="3" t="s">
        <v>19</v>
      </c>
      <c r="J2057" s="3" t="s">
        <v>19</v>
      </c>
      <c r="K2057" s="3" t="s">
        <v>20</v>
      </c>
      <c r="L2057" s="3">
        <v>20.84</v>
      </c>
      <c r="M2057" s="3" t="s">
        <v>1695</v>
      </c>
      <c r="N2057" s="3" t="s">
        <v>1696</v>
      </c>
      <c r="O2057" s="3">
        <v>1.90625200359E11</v>
      </c>
    </row>
    <row r="2058">
      <c r="A2058" s="3">
        <v>2610715.0</v>
      </c>
      <c r="B2058" s="3" t="s">
        <v>4406</v>
      </c>
      <c r="C2058" s="3" t="b">
        <v>0</v>
      </c>
      <c r="D2058" s="3" t="b">
        <v>1</v>
      </c>
      <c r="E2058" s="3" t="s">
        <v>4407</v>
      </c>
      <c r="F2058" s="3" t="s">
        <v>918</v>
      </c>
      <c r="G2058" s="4">
        <f>+251925094377</f>
        <v>251925094377</v>
      </c>
      <c r="H2058" s="3" t="s">
        <v>18</v>
      </c>
      <c r="I2058" s="3" t="s">
        <v>19</v>
      </c>
      <c r="J2058" s="3" t="s">
        <v>19</v>
      </c>
      <c r="K2058" s="3" t="s">
        <v>25</v>
      </c>
      <c r="L2058" s="3">
        <v>25.03</v>
      </c>
      <c r="M2058" s="3" t="s">
        <v>1695</v>
      </c>
      <c r="N2058" s="3" t="s">
        <v>1696</v>
      </c>
      <c r="O2058" s="3">
        <v>1.90625414385E11</v>
      </c>
    </row>
    <row r="2059">
      <c r="A2059" s="3">
        <v>2610720.0</v>
      </c>
      <c r="B2059" s="3" t="s">
        <v>4408</v>
      </c>
      <c r="C2059" s="3" t="b">
        <v>0</v>
      </c>
      <c r="D2059" s="3" t="b">
        <v>1</v>
      </c>
      <c r="E2059" s="3" t="s">
        <v>4409</v>
      </c>
      <c r="F2059" s="3" t="s">
        <v>404</v>
      </c>
      <c r="G2059" s="4">
        <f>+251922421711</f>
        <v>251922421711</v>
      </c>
      <c r="H2059" s="3" t="s">
        <v>18</v>
      </c>
      <c r="I2059" s="3" t="s">
        <v>19</v>
      </c>
      <c r="J2059" s="3" t="s">
        <v>19</v>
      </c>
      <c r="K2059" s="3" t="s">
        <v>25</v>
      </c>
      <c r="L2059" s="3">
        <v>24.03</v>
      </c>
      <c r="M2059" s="3" t="s">
        <v>1695</v>
      </c>
      <c r="N2059" s="3" t="s">
        <v>1696</v>
      </c>
      <c r="O2059" s="3">
        <v>1.90673279221E11</v>
      </c>
    </row>
    <row r="2060">
      <c r="A2060" s="3">
        <v>2610726.0</v>
      </c>
      <c r="B2060" s="3" t="s">
        <v>4410</v>
      </c>
      <c r="C2060" s="3" t="b">
        <v>0</v>
      </c>
      <c r="D2060" s="3" t="b">
        <v>1</v>
      </c>
      <c r="E2060" s="3" t="s">
        <v>2566</v>
      </c>
      <c r="F2060" s="3" t="s">
        <v>3919</v>
      </c>
      <c r="G2060" s="4">
        <f>+251901158298</f>
        <v>251901158298</v>
      </c>
      <c r="H2060" s="3" t="s">
        <v>18</v>
      </c>
      <c r="I2060" s="3" t="s">
        <v>19</v>
      </c>
      <c r="J2060" s="3" t="s">
        <v>19</v>
      </c>
      <c r="K2060" s="3" t="s">
        <v>20</v>
      </c>
      <c r="L2060" s="3">
        <v>31.03</v>
      </c>
      <c r="M2060" s="3" t="s">
        <v>1695</v>
      </c>
      <c r="N2060" s="3" t="s">
        <v>1696</v>
      </c>
      <c r="O2060" s="3">
        <v>1.90673345738E11</v>
      </c>
    </row>
    <row r="2061">
      <c r="A2061" s="3">
        <v>2610728.0</v>
      </c>
      <c r="B2061" s="3" t="s">
        <v>4411</v>
      </c>
      <c r="C2061" s="3" t="b">
        <v>1</v>
      </c>
      <c r="D2061" s="3" t="b">
        <v>1</v>
      </c>
      <c r="E2061" s="3" t="s">
        <v>3778</v>
      </c>
      <c r="F2061" s="3" t="s">
        <v>1259</v>
      </c>
      <c r="G2061" s="4">
        <f>+251919350671</f>
        <v>251919350671</v>
      </c>
      <c r="H2061" s="3" t="s">
        <v>18</v>
      </c>
      <c r="I2061" s="3" t="s">
        <v>19</v>
      </c>
      <c r="J2061" s="3" t="s">
        <v>19</v>
      </c>
      <c r="K2061" s="3" t="s">
        <v>25</v>
      </c>
      <c r="L2061" s="3">
        <v>25.03</v>
      </c>
      <c r="M2061" s="3" t="s">
        <v>1695</v>
      </c>
      <c r="N2061" s="3" t="s">
        <v>1696</v>
      </c>
      <c r="O2061" s="3">
        <v>4.3541054663E10</v>
      </c>
    </row>
    <row r="2062">
      <c r="A2062" s="3">
        <v>2610727.0</v>
      </c>
      <c r="B2062" s="3" t="s">
        <v>4412</v>
      </c>
      <c r="C2062" s="3" t="b">
        <v>0</v>
      </c>
      <c r="D2062" s="3" t="b">
        <v>1</v>
      </c>
      <c r="E2062" s="3" t="s">
        <v>4413</v>
      </c>
      <c r="F2062" s="3" t="s">
        <v>4414</v>
      </c>
      <c r="G2062" s="4">
        <f>+251996326251</f>
        <v>251996326251</v>
      </c>
      <c r="H2062" s="3" t="s">
        <v>18</v>
      </c>
      <c r="I2062" s="3" t="s">
        <v>19</v>
      </c>
      <c r="J2062" s="3" t="s">
        <v>19</v>
      </c>
      <c r="K2062" s="3" t="s">
        <v>20</v>
      </c>
      <c r="L2062" s="3">
        <v>18.49</v>
      </c>
      <c r="M2062" s="3" t="s">
        <v>1695</v>
      </c>
      <c r="N2062" s="3" t="s">
        <v>1696</v>
      </c>
      <c r="O2062" s="3">
        <v>1.90671059137E11</v>
      </c>
    </row>
    <row r="2063">
      <c r="A2063" s="3">
        <v>2610736.0</v>
      </c>
      <c r="B2063" s="3" t="s">
        <v>4415</v>
      </c>
      <c r="C2063" s="3" t="b">
        <v>0</v>
      </c>
      <c r="D2063" s="3" t="b">
        <v>1</v>
      </c>
      <c r="E2063" s="3" t="s">
        <v>4392</v>
      </c>
      <c r="F2063" s="3" t="s">
        <v>2817</v>
      </c>
      <c r="G2063" s="4">
        <f>+251977152950</f>
        <v>251977152950</v>
      </c>
      <c r="H2063" s="3" t="s">
        <v>18</v>
      </c>
      <c r="I2063" s="3" t="s">
        <v>19</v>
      </c>
      <c r="J2063" s="3" t="s">
        <v>19</v>
      </c>
      <c r="K2063" s="3" t="s">
        <v>20</v>
      </c>
      <c r="L2063" s="3">
        <v>24.88</v>
      </c>
      <c r="M2063" s="3" t="s">
        <v>1695</v>
      </c>
      <c r="N2063" s="3" t="s">
        <v>1696</v>
      </c>
      <c r="O2063" s="3">
        <v>1.90676635857E11</v>
      </c>
    </row>
    <row r="2064">
      <c r="A2064" s="3">
        <v>2610737.0</v>
      </c>
      <c r="B2064" s="3" t="s">
        <v>4416</v>
      </c>
      <c r="C2064" s="3" t="b">
        <v>0</v>
      </c>
      <c r="D2064" s="3" t="b">
        <v>1</v>
      </c>
      <c r="E2064" s="3" t="s">
        <v>4417</v>
      </c>
      <c r="F2064" s="3" t="s">
        <v>4418</v>
      </c>
      <c r="G2064" s="4">
        <f>+251967271644</f>
        <v>251967271644</v>
      </c>
      <c r="H2064" s="3" t="s">
        <v>18</v>
      </c>
      <c r="I2064" s="3" t="s">
        <v>19</v>
      </c>
      <c r="J2064" s="3" t="s">
        <v>19</v>
      </c>
      <c r="K2064" s="3" t="s">
        <v>20</v>
      </c>
      <c r="L2064" s="3">
        <v>25.03</v>
      </c>
      <c r="M2064" s="3" t="s">
        <v>1695</v>
      </c>
      <c r="N2064" s="3" t="s">
        <v>1696</v>
      </c>
      <c r="O2064" s="3">
        <v>1.90676637918E11</v>
      </c>
    </row>
    <row r="2065">
      <c r="A2065" s="3">
        <v>2610748.0</v>
      </c>
      <c r="B2065" s="3" t="s">
        <v>4419</v>
      </c>
      <c r="C2065" s="3" t="b">
        <v>1</v>
      </c>
      <c r="D2065" s="3" t="b">
        <v>1</v>
      </c>
      <c r="E2065" s="3" t="s">
        <v>4420</v>
      </c>
      <c r="F2065" s="3" t="s">
        <v>32</v>
      </c>
      <c r="G2065" s="4">
        <f>+251931057672</f>
        <v>251931057672</v>
      </c>
      <c r="H2065" s="3" t="s">
        <v>18</v>
      </c>
      <c r="I2065" s="3" t="s">
        <v>19</v>
      </c>
      <c r="J2065" s="3" t="s">
        <v>19</v>
      </c>
      <c r="K2065" s="3" t="s">
        <v>25</v>
      </c>
      <c r="L2065" s="3">
        <v>31.86</v>
      </c>
      <c r="M2065" s="3" t="s">
        <v>1695</v>
      </c>
      <c r="N2065" s="3" t="s">
        <v>1696</v>
      </c>
      <c r="O2065" s="3">
        <v>1.9062999267E11</v>
      </c>
    </row>
    <row r="2066">
      <c r="A2066" s="3">
        <v>2610756.0</v>
      </c>
      <c r="B2066" s="3" t="s">
        <v>4421</v>
      </c>
      <c r="C2066" s="3" t="b">
        <v>0</v>
      </c>
      <c r="D2066" s="3" t="b">
        <v>1</v>
      </c>
      <c r="E2066" s="3" t="s">
        <v>4422</v>
      </c>
      <c r="F2066" s="3" t="s">
        <v>4423</v>
      </c>
      <c r="G2066" s="4">
        <f>+251929438785</f>
        <v>251929438785</v>
      </c>
      <c r="H2066" s="3" t="s">
        <v>18</v>
      </c>
      <c r="I2066" s="3" t="s">
        <v>19</v>
      </c>
      <c r="J2066" s="3" t="s">
        <v>19</v>
      </c>
      <c r="K2066" s="3" t="s">
        <v>25</v>
      </c>
      <c r="L2066" s="3">
        <v>23.03</v>
      </c>
      <c r="M2066" s="3" t="s">
        <v>1695</v>
      </c>
      <c r="N2066" s="3" t="s">
        <v>1696</v>
      </c>
      <c r="O2066" s="3">
        <v>1.90630099166E11</v>
      </c>
    </row>
    <row r="2067">
      <c r="A2067" s="3">
        <v>2610846.0</v>
      </c>
      <c r="B2067" s="3" t="s">
        <v>4424</v>
      </c>
      <c r="C2067" s="3" t="b">
        <v>0</v>
      </c>
      <c r="D2067" s="3" t="b">
        <v>1</v>
      </c>
      <c r="E2067" s="3" t="s">
        <v>655</v>
      </c>
      <c r="F2067" s="3" t="s">
        <v>3808</v>
      </c>
      <c r="G2067" s="4">
        <f>+251940037702</f>
        <v>251940037702</v>
      </c>
      <c r="H2067" s="3" t="s">
        <v>18</v>
      </c>
      <c r="I2067" s="3" t="s">
        <v>19</v>
      </c>
      <c r="J2067" s="3" t="s">
        <v>19</v>
      </c>
      <c r="K2067" s="3" t="s">
        <v>25</v>
      </c>
      <c r="L2067" s="3">
        <v>26.03</v>
      </c>
      <c r="M2067" s="3" t="s">
        <v>1695</v>
      </c>
      <c r="N2067" s="3" t="s">
        <v>1696</v>
      </c>
      <c r="O2067" s="3">
        <v>1.90687014079E11</v>
      </c>
    </row>
    <row r="2068">
      <c r="A2068" s="3">
        <v>2610872.0</v>
      </c>
      <c r="B2068" s="3" t="s">
        <v>4425</v>
      </c>
      <c r="C2068" s="3" t="b">
        <v>0</v>
      </c>
      <c r="D2068" s="3" t="b">
        <v>1</v>
      </c>
      <c r="E2068" s="3" t="s">
        <v>280</v>
      </c>
      <c r="F2068" s="3" t="s">
        <v>4215</v>
      </c>
      <c r="G2068" s="4">
        <f>+251921200724</f>
        <v>251921200724</v>
      </c>
      <c r="H2068" s="3" t="s">
        <v>18</v>
      </c>
      <c r="I2068" s="3" t="s">
        <v>19</v>
      </c>
      <c r="J2068" s="3" t="s">
        <v>19</v>
      </c>
      <c r="K2068" s="3" t="s">
        <v>25</v>
      </c>
      <c r="L2068" s="3">
        <v>27.87</v>
      </c>
      <c r="M2068" s="3" t="s">
        <v>1695</v>
      </c>
      <c r="N2068" s="3" t="s">
        <v>1696</v>
      </c>
      <c r="O2068" s="3">
        <v>1.90641145031E11</v>
      </c>
    </row>
    <row r="2069">
      <c r="A2069" s="3">
        <v>2610885.0</v>
      </c>
      <c r="B2069" s="3" t="s">
        <v>4426</v>
      </c>
      <c r="C2069" s="3" t="b">
        <v>0</v>
      </c>
      <c r="D2069" s="3" t="b">
        <v>1</v>
      </c>
      <c r="E2069" s="3" t="s">
        <v>668</v>
      </c>
      <c r="F2069" s="3" t="s">
        <v>1370</v>
      </c>
      <c r="G2069" s="4">
        <f>+251940132114</f>
        <v>251940132114</v>
      </c>
      <c r="H2069" s="3" t="s">
        <v>18</v>
      </c>
      <c r="I2069" s="3" t="s">
        <v>19</v>
      </c>
      <c r="J2069" s="3" t="s">
        <v>19</v>
      </c>
      <c r="K2069" s="3" t="s">
        <v>25</v>
      </c>
      <c r="L2069" s="3">
        <v>23.87</v>
      </c>
      <c r="M2069" s="3" t="s">
        <v>1695</v>
      </c>
      <c r="N2069" s="3" t="s">
        <v>1696</v>
      </c>
      <c r="O2069" s="3">
        <v>1.90681898196E11</v>
      </c>
    </row>
    <row r="2070">
      <c r="A2070" s="3">
        <v>2610891.0</v>
      </c>
      <c r="B2070" s="3" t="s">
        <v>4427</v>
      </c>
      <c r="C2070" s="3" t="b">
        <v>0</v>
      </c>
      <c r="D2070" s="3" t="b">
        <v>1</v>
      </c>
      <c r="E2070" s="3" t="s">
        <v>2045</v>
      </c>
      <c r="F2070" s="3" t="s">
        <v>4396</v>
      </c>
      <c r="G2070" s="4">
        <f>+251933180105</f>
        <v>251933180105</v>
      </c>
      <c r="H2070" s="3" t="s">
        <v>18</v>
      </c>
      <c r="I2070" s="3" t="s">
        <v>19</v>
      </c>
      <c r="J2070" s="3" t="s">
        <v>19</v>
      </c>
      <c r="K2070" s="3" t="s">
        <v>25</v>
      </c>
      <c r="L2070" s="3">
        <v>25.96</v>
      </c>
      <c r="M2070" s="3" t="s">
        <v>1695</v>
      </c>
      <c r="N2070" s="3" t="s">
        <v>1696</v>
      </c>
      <c r="O2070" s="3">
        <v>1.90691055825E11</v>
      </c>
    </row>
    <row r="2071">
      <c r="A2071" s="3">
        <v>2610934.0</v>
      </c>
      <c r="B2071" s="3" t="s">
        <v>4428</v>
      </c>
      <c r="C2071" s="3" t="b">
        <v>0</v>
      </c>
      <c r="D2071" s="3" t="b">
        <v>1</v>
      </c>
      <c r="E2071" s="3" t="s">
        <v>279</v>
      </c>
      <c r="F2071" s="3" t="s">
        <v>218</v>
      </c>
      <c r="G2071" s="4">
        <f>+251922260033</f>
        <v>251922260033</v>
      </c>
      <c r="H2071" s="3" t="s">
        <v>18</v>
      </c>
      <c r="I2071" s="3" t="s">
        <v>19</v>
      </c>
      <c r="J2071" s="3" t="s">
        <v>19</v>
      </c>
      <c r="K2071" s="3" t="s">
        <v>25</v>
      </c>
      <c r="L2071" s="3">
        <v>23.79</v>
      </c>
      <c r="M2071" s="3" t="s">
        <v>1695</v>
      </c>
      <c r="N2071" s="3" t="s">
        <v>1696</v>
      </c>
      <c r="O2071" s="3">
        <v>1.90646444273E11</v>
      </c>
    </row>
    <row r="2072">
      <c r="A2072" s="3">
        <v>2610947.0</v>
      </c>
      <c r="B2072" s="3" t="s">
        <v>4429</v>
      </c>
      <c r="C2072" s="3" t="b">
        <v>0</v>
      </c>
      <c r="D2072" s="3" t="b">
        <v>1</v>
      </c>
      <c r="E2072" s="3" t="s">
        <v>4430</v>
      </c>
      <c r="F2072" s="3" t="s">
        <v>3774</v>
      </c>
      <c r="G2072" s="4">
        <f>+251940305885</f>
        <v>251940305885</v>
      </c>
      <c r="H2072" s="3" t="s">
        <v>18</v>
      </c>
      <c r="I2072" s="3" t="s">
        <v>19</v>
      </c>
      <c r="J2072" s="3" t="s">
        <v>19</v>
      </c>
      <c r="K2072" s="3" t="s">
        <v>25</v>
      </c>
      <c r="L2072" s="3">
        <v>25.94</v>
      </c>
      <c r="M2072" s="3" t="s">
        <v>1695</v>
      </c>
      <c r="N2072" s="3" t="s">
        <v>1696</v>
      </c>
      <c r="O2072" s="3">
        <v>1.90694529266E11</v>
      </c>
    </row>
    <row r="2073">
      <c r="A2073" s="3">
        <v>2610959.0</v>
      </c>
      <c r="B2073" s="3" t="s">
        <v>4431</v>
      </c>
      <c r="C2073" s="3" t="b">
        <v>0</v>
      </c>
      <c r="D2073" s="3" t="b">
        <v>1</v>
      </c>
      <c r="E2073" s="3" t="s">
        <v>1356</v>
      </c>
      <c r="F2073" s="3" t="s">
        <v>4432</v>
      </c>
      <c r="G2073" s="4">
        <f>+251978813033</f>
        <v>251978813033</v>
      </c>
      <c r="H2073" s="3" t="s">
        <v>249</v>
      </c>
      <c r="I2073" s="3" t="s">
        <v>19</v>
      </c>
      <c r="J2073" s="3" t="s">
        <v>19</v>
      </c>
      <c r="K2073" s="3" t="s">
        <v>20</v>
      </c>
      <c r="L2073" s="3">
        <v>20.86</v>
      </c>
      <c r="M2073" s="3" t="s">
        <v>1695</v>
      </c>
      <c r="N2073" s="3" t="s">
        <v>1696</v>
      </c>
      <c r="O2073" s="3">
        <v>1.90648297665E11</v>
      </c>
    </row>
    <row r="2074">
      <c r="A2074" s="3">
        <v>2611036.0</v>
      </c>
      <c r="B2074" s="3" t="s">
        <v>4433</v>
      </c>
      <c r="C2074" s="3" t="b">
        <v>1</v>
      </c>
      <c r="D2074" s="3" t="b">
        <v>1</v>
      </c>
      <c r="E2074" s="3" t="s">
        <v>817</v>
      </c>
      <c r="F2074" s="3" t="s">
        <v>32</v>
      </c>
      <c r="G2074" s="4">
        <f>+251938165145</f>
        <v>251938165145</v>
      </c>
      <c r="H2074" s="3" t="s">
        <v>18</v>
      </c>
      <c r="I2074" s="3" t="s">
        <v>19</v>
      </c>
      <c r="J2074" s="3" t="s">
        <v>19</v>
      </c>
      <c r="K2074" s="3" t="s">
        <v>25</v>
      </c>
      <c r="L2074" s="3">
        <v>30.0</v>
      </c>
      <c r="M2074" s="3" t="s">
        <v>1695</v>
      </c>
      <c r="N2074" s="3" t="s">
        <v>1696</v>
      </c>
      <c r="O2074" s="3">
        <v>6540634.0</v>
      </c>
    </row>
    <row r="2075">
      <c r="A2075" s="3">
        <v>2611058.0</v>
      </c>
      <c r="B2075" s="3" t="s">
        <v>4434</v>
      </c>
      <c r="C2075" s="3" t="b">
        <v>1</v>
      </c>
      <c r="D2075" s="3" t="b">
        <v>1</v>
      </c>
      <c r="E2075" s="3" t="s">
        <v>4310</v>
      </c>
      <c r="F2075" s="3" t="s">
        <v>4311</v>
      </c>
      <c r="G2075" s="4">
        <f>+251916697648</f>
        <v>251916697648</v>
      </c>
      <c r="H2075" s="3" t="s">
        <v>18</v>
      </c>
      <c r="I2075" s="3" t="s">
        <v>19</v>
      </c>
      <c r="J2075" s="3" t="s">
        <v>19</v>
      </c>
      <c r="K2075" s="3" t="s">
        <v>25</v>
      </c>
      <c r="L2075" s="3">
        <v>25.45</v>
      </c>
      <c r="M2075" s="3" t="s">
        <v>1695</v>
      </c>
      <c r="N2075" s="3" t="s">
        <v>1696</v>
      </c>
    </row>
    <row r="2076">
      <c r="A2076" s="3">
        <v>2611156.0</v>
      </c>
      <c r="B2076" s="3" t="s">
        <v>4435</v>
      </c>
      <c r="C2076" s="3" t="b">
        <v>0</v>
      </c>
      <c r="D2076" s="3" t="b">
        <v>1</v>
      </c>
      <c r="E2076" s="3" t="s">
        <v>2952</v>
      </c>
      <c r="F2076" s="3" t="s">
        <v>280</v>
      </c>
      <c r="G2076" s="4">
        <f>+251925419826</f>
        <v>251925419826</v>
      </c>
      <c r="H2076" s="3" t="s">
        <v>18</v>
      </c>
      <c r="I2076" s="3" t="s">
        <v>19</v>
      </c>
      <c r="J2076" s="3" t="s">
        <v>19</v>
      </c>
      <c r="K2076" s="3" t="s">
        <v>25</v>
      </c>
      <c r="L2076" s="3">
        <v>25.08</v>
      </c>
      <c r="M2076" s="3" t="s">
        <v>1695</v>
      </c>
      <c r="N2076" s="3" t="s">
        <v>1696</v>
      </c>
      <c r="O2076" s="3">
        <v>1.90744607984E11</v>
      </c>
    </row>
    <row r="2077">
      <c r="A2077" s="3">
        <v>2611167.0</v>
      </c>
      <c r="B2077" s="3" t="s">
        <v>4436</v>
      </c>
      <c r="C2077" s="3" t="b">
        <v>1</v>
      </c>
      <c r="D2077" s="3" t="b">
        <v>1</v>
      </c>
      <c r="E2077" s="3" t="s">
        <v>4437</v>
      </c>
      <c r="F2077" s="3" t="s">
        <v>4438</v>
      </c>
      <c r="G2077" s="4">
        <f>+251979644360</f>
        <v>251979644360</v>
      </c>
      <c r="H2077" s="3" t="s">
        <v>18</v>
      </c>
      <c r="I2077" s="3" t="s">
        <v>19</v>
      </c>
      <c r="J2077" s="3" t="s">
        <v>19</v>
      </c>
      <c r="K2077" s="3" t="s">
        <v>20</v>
      </c>
      <c r="L2077" s="3">
        <v>25.12</v>
      </c>
      <c r="M2077" s="3" t="s">
        <v>1695</v>
      </c>
      <c r="N2077" s="3" t="s">
        <v>1696</v>
      </c>
      <c r="O2077" s="3">
        <v>1.90760298732E11</v>
      </c>
    </row>
    <row r="2078">
      <c r="A2078" s="3">
        <v>2611189.0</v>
      </c>
      <c r="B2078" s="3" t="s">
        <v>4439</v>
      </c>
      <c r="C2078" s="3" t="b">
        <v>0</v>
      </c>
      <c r="D2078" s="3" t="b">
        <v>1</v>
      </c>
      <c r="E2078" s="3" t="s">
        <v>2247</v>
      </c>
      <c r="F2078" s="3" t="s">
        <v>4440</v>
      </c>
      <c r="G2078" s="4">
        <f>+251944441789</f>
        <v>251944441789</v>
      </c>
      <c r="H2078" s="3" t="s">
        <v>18</v>
      </c>
      <c r="I2078" s="3" t="s">
        <v>19</v>
      </c>
      <c r="J2078" s="3" t="s">
        <v>19</v>
      </c>
      <c r="K2078" s="3" t="s">
        <v>25</v>
      </c>
      <c r="L2078" s="3">
        <v>25.03</v>
      </c>
      <c r="M2078" s="3" t="s">
        <v>1695</v>
      </c>
      <c r="N2078" s="3" t="s">
        <v>1696</v>
      </c>
      <c r="O2078" s="3">
        <v>1.90748198086E11</v>
      </c>
    </row>
    <row r="2079">
      <c r="A2079" s="3">
        <v>2611210.0</v>
      </c>
      <c r="B2079" s="3" t="s">
        <v>4441</v>
      </c>
      <c r="C2079" s="3" t="b">
        <v>0</v>
      </c>
      <c r="D2079" s="3" t="b">
        <v>1</v>
      </c>
      <c r="E2079" s="3" t="s">
        <v>1034</v>
      </c>
      <c r="F2079" s="3" t="s">
        <v>4295</v>
      </c>
      <c r="G2079" s="4">
        <f>+251984500911</f>
        <v>251984500911</v>
      </c>
      <c r="H2079" s="3" t="s">
        <v>18</v>
      </c>
      <c r="I2079" s="3" t="s">
        <v>19</v>
      </c>
      <c r="J2079" s="3" t="s">
        <v>19</v>
      </c>
      <c r="K2079" s="3" t="s">
        <v>20</v>
      </c>
      <c r="L2079" s="3">
        <v>25.1</v>
      </c>
      <c r="M2079" s="3" t="s">
        <v>1695</v>
      </c>
      <c r="N2079" s="3" t="s">
        <v>1696</v>
      </c>
      <c r="O2079" s="3">
        <v>1.90750532831E11</v>
      </c>
    </row>
    <row r="2080">
      <c r="A2080" s="3">
        <v>2611224.0</v>
      </c>
      <c r="B2080" s="3" t="s">
        <v>4442</v>
      </c>
      <c r="C2080" s="3" t="b">
        <v>1</v>
      </c>
      <c r="D2080" s="3" t="b">
        <v>1</v>
      </c>
      <c r="E2080" s="3" t="s">
        <v>4443</v>
      </c>
      <c r="F2080" s="3" t="s">
        <v>1736</v>
      </c>
      <c r="G2080" s="4">
        <f>+251951933310</f>
        <v>251951933310</v>
      </c>
      <c r="H2080" s="3" t="s">
        <v>18</v>
      </c>
      <c r="I2080" s="3" t="s">
        <v>19</v>
      </c>
      <c r="J2080" s="3" t="s">
        <v>19</v>
      </c>
      <c r="K2080" s="3" t="s">
        <v>25</v>
      </c>
      <c r="L2080" s="3">
        <v>25.03</v>
      </c>
      <c r="M2080" s="3" t="s">
        <v>1695</v>
      </c>
      <c r="N2080" s="3" t="s">
        <v>1696</v>
      </c>
      <c r="O2080" s="3">
        <v>1.90766512365E11</v>
      </c>
    </row>
    <row r="2081">
      <c r="A2081" s="3">
        <v>2611239.0</v>
      </c>
      <c r="B2081" s="3" t="s">
        <v>4444</v>
      </c>
      <c r="C2081" s="3" t="b">
        <v>0</v>
      </c>
      <c r="D2081" s="3" t="b">
        <v>1</v>
      </c>
      <c r="E2081" s="3" t="s">
        <v>4445</v>
      </c>
      <c r="F2081" s="3" t="s">
        <v>274</v>
      </c>
      <c r="G2081" s="4">
        <f>+251900340746</f>
        <v>251900340746</v>
      </c>
      <c r="H2081" s="3" t="s">
        <v>18</v>
      </c>
      <c r="I2081" s="3" t="s">
        <v>19</v>
      </c>
      <c r="J2081" s="3" t="s">
        <v>19</v>
      </c>
      <c r="K2081" s="3" t="s">
        <v>20</v>
      </c>
      <c r="L2081" s="3">
        <v>25.03</v>
      </c>
      <c r="M2081" s="3" t="s">
        <v>1695</v>
      </c>
      <c r="N2081" s="3" t="s">
        <v>1696</v>
      </c>
      <c r="O2081" s="3">
        <v>1.90767210717E11</v>
      </c>
    </row>
    <row r="2082">
      <c r="A2082" s="3">
        <v>2611240.0</v>
      </c>
      <c r="B2082" s="3" t="s">
        <v>4446</v>
      </c>
      <c r="C2082" s="3" t="b">
        <v>0</v>
      </c>
      <c r="D2082" s="3" t="b">
        <v>1</v>
      </c>
      <c r="E2082" s="3" t="s">
        <v>2935</v>
      </c>
      <c r="F2082" s="3" t="s">
        <v>403</v>
      </c>
      <c r="G2082" s="4">
        <f>+251930934535</f>
        <v>251930934535</v>
      </c>
      <c r="H2082" s="3" t="s">
        <v>18</v>
      </c>
      <c r="I2082" s="3" t="s">
        <v>19</v>
      </c>
      <c r="J2082" s="3" t="s">
        <v>19</v>
      </c>
      <c r="K2082" s="3" t="s">
        <v>25</v>
      </c>
      <c r="L2082" s="3">
        <v>25.11</v>
      </c>
      <c r="M2082" s="3" t="s">
        <v>1695</v>
      </c>
      <c r="N2082" s="3" t="s">
        <v>1696</v>
      </c>
      <c r="O2082" s="3">
        <v>1.90761261254E11</v>
      </c>
    </row>
    <row r="2083">
      <c r="A2083" s="3">
        <v>2611247.0</v>
      </c>
      <c r="B2083" s="3" t="s">
        <v>4447</v>
      </c>
      <c r="C2083" s="3" t="b">
        <v>0</v>
      </c>
      <c r="D2083" s="3" t="b">
        <v>1</v>
      </c>
      <c r="E2083" s="3" t="s">
        <v>4448</v>
      </c>
      <c r="F2083" s="3" t="s">
        <v>4449</v>
      </c>
      <c r="G2083" s="4">
        <f>+251917764512</f>
        <v>251917764512</v>
      </c>
      <c r="H2083" s="3" t="s">
        <v>18</v>
      </c>
      <c r="I2083" s="3" t="s">
        <v>19</v>
      </c>
      <c r="J2083" s="3" t="s">
        <v>19</v>
      </c>
      <c r="K2083" s="3" t="s">
        <v>20</v>
      </c>
      <c r="L2083" s="3">
        <v>24.03</v>
      </c>
      <c r="M2083" s="3" t="s">
        <v>1695</v>
      </c>
      <c r="N2083" s="3" t="s">
        <v>1696</v>
      </c>
      <c r="O2083" s="3">
        <v>1.90769461494E11</v>
      </c>
    </row>
    <row r="2084">
      <c r="A2084" s="3">
        <v>2611261.0</v>
      </c>
      <c r="B2084" s="3" t="s">
        <v>4450</v>
      </c>
      <c r="C2084" s="3" t="b">
        <v>0</v>
      </c>
      <c r="D2084" s="3" t="b">
        <v>1</v>
      </c>
      <c r="E2084" s="3" t="s">
        <v>773</v>
      </c>
      <c r="F2084" s="3" t="s">
        <v>3755</v>
      </c>
      <c r="G2084" s="4">
        <f>+251938880979</f>
        <v>251938880979</v>
      </c>
      <c r="H2084" s="3" t="s">
        <v>18</v>
      </c>
      <c r="I2084" s="3" t="s">
        <v>19</v>
      </c>
      <c r="J2084" s="3" t="s">
        <v>19</v>
      </c>
      <c r="K2084" s="3" t="s">
        <v>20</v>
      </c>
      <c r="L2084" s="3">
        <v>26.03</v>
      </c>
      <c r="M2084" s="3" t="s">
        <v>1695</v>
      </c>
      <c r="N2084" s="3" t="s">
        <v>1696</v>
      </c>
      <c r="O2084" s="3">
        <v>1.90776028349E11</v>
      </c>
    </row>
    <row r="2085">
      <c r="A2085" s="3">
        <v>2611263.0</v>
      </c>
      <c r="B2085" s="3" t="s">
        <v>4451</v>
      </c>
      <c r="C2085" s="3" t="b">
        <v>0</v>
      </c>
      <c r="D2085" s="3" t="b">
        <v>1</v>
      </c>
      <c r="E2085" s="3" t="s">
        <v>3613</v>
      </c>
      <c r="F2085" s="3" t="s">
        <v>1769</v>
      </c>
      <c r="G2085" s="4">
        <f>+251989874141</f>
        <v>251989874141</v>
      </c>
      <c r="H2085" s="3" t="s">
        <v>18</v>
      </c>
      <c r="I2085" s="3" t="s">
        <v>19</v>
      </c>
      <c r="J2085" s="3" t="s">
        <v>19</v>
      </c>
      <c r="K2085" s="3" t="s">
        <v>20</v>
      </c>
      <c r="L2085" s="3">
        <v>25.03</v>
      </c>
      <c r="M2085" s="3" t="s">
        <v>1695</v>
      </c>
      <c r="N2085" s="3" t="s">
        <v>1696</v>
      </c>
      <c r="O2085" s="3">
        <v>1.90771929279E11</v>
      </c>
    </row>
    <row r="2086">
      <c r="A2086" s="3">
        <v>2611266.0</v>
      </c>
      <c r="B2086" s="3" t="s">
        <v>4452</v>
      </c>
      <c r="C2086" s="3" t="b">
        <v>0</v>
      </c>
      <c r="D2086" s="3" t="b">
        <v>1</v>
      </c>
      <c r="E2086" s="3" t="s">
        <v>3947</v>
      </c>
      <c r="F2086" s="3" t="s">
        <v>4453</v>
      </c>
      <c r="G2086" s="4">
        <f>+251961133223</f>
        <v>251961133223</v>
      </c>
      <c r="H2086" s="3" t="s">
        <v>18</v>
      </c>
      <c r="I2086" s="3" t="s">
        <v>19</v>
      </c>
      <c r="J2086" s="3" t="s">
        <v>19</v>
      </c>
      <c r="K2086" s="3" t="s">
        <v>20</v>
      </c>
      <c r="L2086" s="3">
        <v>25.03</v>
      </c>
      <c r="M2086" s="3" t="s">
        <v>1695</v>
      </c>
      <c r="N2086" s="3" t="s">
        <v>1696</v>
      </c>
      <c r="O2086" s="3">
        <v>1.90772010182E11</v>
      </c>
    </row>
    <row r="2087">
      <c r="A2087" s="3">
        <v>2611276.0</v>
      </c>
      <c r="B2087" s="3" t="s">
        <v>4454</v>
      </c>
      <c r="C2087" s="3" t="b">
        <v>0</v>
      </c>
      <c r="D2087" s="3" t="b">
        <v>1</v>
      </c>
      <c r="E2087" s="3" t="s">
        <v>2045</v>
      </c>
      <c r="F2087" s="3" t="s">
        <v>273</v>
      </c>
      <c r="G2087" s="4">
        <f>+251917316878</f>
        <v>251917316878</v>
      </c>
      <c r="H2087" s="3" t="s">
        <v>18</v>
      </c>
      <c r="I2087" s="3" t="s">
        <v>19</v>
      </c>
      <c r="J2087" s="3" t="s">
        <v>19</v>
      </c>
      <c r="K2087" s="3" t="s">
        <v>25</v>
      </c>
      <c r="L2087" s="3">
        <v>25.08</v>
      </c>
      <c r="M2087" s="3" t="s">
        <v>1695</v>
      </c>
      <c r="N2087" s="3" t="s">
        <v>1696</v>
      </c>
      <c r="O2087" s="3">
        <v>1.90752609486E11</v>
      </c>
    </row>
    <row r="2088">
      <c r="A2088" s="3">
        <v>2611285.0</v>
      </c>
      <c r="B2088" s="3" t="s">
        <v>4455</v>
      </c>
      <c r="C2088" s="3" t="b">
        <v>0</v>
      </c>
      <c r="D2088" s="3" t="b">
        <v>1</v>
      </c>
      <c r="E2088" s="3" t="s">
        <v>4456</v>
      </c>
      <c r="F2088" s="3" t="s">
        <v>297</v>
      </c>
      <c r="G2088" s="4">
        <f>+251949478426</f>
        <v>251949478426</v>
      </c>
      <c r="H2088" s="3" t="s">
        <v>18</v>
      </c>
      <c r="I2088" s="3" t="s">
        <v>19</v>
      </c>
      <c r="J2088" s="3" t="s">
        <v>19</v>
      </c>
      <c r="K2088" s="3" t="s">
        <v>25</v>
      </c>
      <c r="L2088" s="3">
        <v>25.03</v>
      </c>
      <c r="M2088" s="3" t="s">
        <v>1695</v>
      </c>
      <c r="N2088" s="3" t="s">
        <v>1696</v>
      </c>
      <c r="O2088" s="3">
        <v>1.90757637346E11</v>
      </c>
    </row>
    <row r="2089">
      <c r="A2089" s="3">
        <v>2611290.0</v>
      </c>
      <c r="B2089" s="3" t="s">
        <v>4457</v>
      </c>
      <c r="C2089" s="3" t="b">
        <v>0</v>
      </c>
      <c r="D2089" s="3" t="b">
        <v>1</v>
      </c>
      <c r="E2089" s="3" t="s">
        <v>4458</v>
      </c>
      <c r="F2089" s="3" t="s">
        <v>918</v>
      </c>
      <c r="G2089" s="4">
        <f>+251942719245</f>
        <v>251942719245</v>
      </c>
      <c r="H2089" s="3" t="s">
        <v>18</v>
      </c>
      <c r="I2089" s="3" t="s">
        <v>19</v>
      </c>
      <c r="J2089" s="3" t="s">
        <v>19</v>
      </c>
      <c r="K2089" s="3" t="s">
        <v>20</v>
      </c>
      <c r="L2089" s="3">
        <v>23.03</v>
      </c>
      <c r="M2089" s="3" t="s">
        <v>1695</v>
      </c>
      <c r="N2089" s="3" t="s">
        <v>1696</v>
      </c>
      <c r="O2089" s="3">
        <v>1.90757188841E11</v>
      </c>
    </row>
    <row r="2090">
      <c r="A2090" s="3">
        <v>1184429.0</v>
      </c>
      <c r="B2090" s="3" t="s">
        <v>4459</v>
      </c>
      <c r="C2090" s="3" t="b">
        <v>1</v>
      </c>
      <c r="D2090" s="3" t="b">
        <v>1</v>
      </c>
      <c r="E2090" s="3" t="s">
        <v>46</v>
      </c>
      <c r="F2090" s="3" t="s">
        <v>224</v>
      </c>
      <c r="G2090" s="4">
        <f>+251916118178</f>
        <v>251916118178</v>
      </c>
      <c r="H2090" s="3" t="s">
        <v>29</v>
      </c>
      <c r="I2090" s="3" t="s">
        <v>19</v>
      </c>
      <c r="J2090" s="3" t="s">
        <v>19</v>
      </c>
      <c r="K2090" s="3" t="s">
        <v>25</v>
      </c>
      <c r="L2090" s="3">
        <v>28.35</v>
      </c>
      <c r="M2090" s="3" t="s">
        <v>1695</v>
      </c>
      <c r="N2090" s="3" t="s">
        <v>1696</v>
      </c>
      <c r="O2090" s="3">
        <v>8.512279543E9</v>
      </c>
    </row>
    <row r="2091">
      <c r="A2091" s="3">
        <v>2611458.0</v>
      </c>
      <c r="B2091" s="3" t="s">
        <v>4460</v>
      </c>
      <c r="C2091" s="3" t="b">
        <v>1</v>
      </c>
      <c r="D2091" s="3" t="b">
        <v>1</v>
      </c>
      <c r="E2091" s="3" t="s">
        <v>409</v>
      </c>
      <c r="F2091" s="3" t="s">
        <v>4461</v>
      </c>
      <c r="G2091" s="4">
        <f>+251929141441</f>
        <v>251929141441</v>
      </c>
      <c r="H2091" s="3" t="s">
        <v>18</v>
      </c>
      <c r="I2091" s="3" t="s">
        <v>19</v>
      </c>
      <c r="J2091" s="3" t="s">
        <v>19</v>
      </c>
      <c r="K2091" s="3" t="s">
        <v>25</v>
      </c>
      <c r="L2091" s="3">
        <v>25.38</v>
      </c>
      <c r="M2091" s="3" t="s">
        <v>1695</v>
      </c>
      <c r="N2091" s="3" t="s">
        <v>1696</v>
      </c>
    </row>
    <row r="2092">
      <c r="A2092" s="3">
        <v>2611567.0</v>
      </c>
      <c r="B2092" s="3" t="s">
        <v>4462</v>
      </c>
      <c r="C2092" s="3" t="b">
        <v>0</v>
      </c>
      <c r="D2092" s="3" t="b">
        <v>1</v>
      </c>
      <c r="E2092" s="3" t="s">
        <v>178</v>
      </c>
      <c r="F2092" s="3" t="s">
        <v>529</v>
      </c>
      <c r="G2092" s="4">
        <f>+251929033491</f>
        <v>251929033491</v>
      </c>
      <c r="H2092" s="3" t="s">
        <v>18</v>
      </c>
      <c r="I2092" s="3" t="s">
        <v>19</v>
      </c>
      <c r="J2092" s="3" t="s">
        <v>19</v>
      </c>
      <c r="K2092" s="3" t="s">
        <v>25</v>
      </c>
      <c r="L2092" s="3">
        <v>25.03</v>
      </c>
      <c r="M2092" s="3" t="s">
        <v>1695</v>
      </c>
      <c r="N2092" s="3" t="s">
        <v>1696</v>
      </c>
      <c r="O2092" s="3">
        <v>1.90858992826E11</v>
      </c>
    </row>
    <row r="2093">
      <c r="A2093" s="3">
        <v>2611578.0</v>
      </c>
      <c r="B2093" s="3" t="s">
        <v>4463</v>
      </c>
      <c r="C2093" s="3" t="b">
        <v>0</v>
      </c>
      <c r="D2093" s="3" t="b">
        <v>1</v>
      </c>
      <c r="E2093" s="3" t="s">
        <v>403</v>
      </c>
      <c r="F2093" s="3" t="s">
        <v>3778</v>
      </c>
      <c r="G2093" s="4">
        <f>+251915943947</f>
        <v>251915943947</v>
      </c>
      <c r="H2093" s="3" t="s">
        <v>18</v>
      </c>
      <c r="I2093" s="3" t="s">
        <v>19</v>
      </c>
      <c r="J2093" s="3" t="s">
        <v>19</v>
      </c>
      <c r="K2093" s="3" t="s">
        <v>25</v>
      </c>
      <c r="L2093" s="3">
        <v>25.0</v>
      </c>
      <c r="M2093" s="3" t="s">
        <v>1695</v>
      </c>
      <c r="N2093" s="3" t="s">
        <v>1696</v>
      </c>
      <c r="O2093" s="3">
        <v>1.90825465054E11</v>
      </c>
    </row>
    <row r="2094">
      <c r="A2094" s="3">
        <v>2611590.0</v>
      </c>
      <c r="B2094" s="3" t="s">
        <v>4464</v>
      </c>
      <c r="C2094" s="3" t="b">
        <v>0</v>
      </c>
      <c r="D2094" s="3" t="b">
        <v>1</v>
      </c>
      <c r="E2094" s="3" t="s">
        <v>4465</v>
      </c>
      <c r="F2094" s="3" t="s">
        <v>412</v>
      </c>
      <c r="G2094" s="4">
        <f>+251967765443</f>
        <v>251967765443</v>
      </c>
      <c r="H2094" s="3" t="s">
        <v>18</v>
      </c>
      <c r="I2094" s="3" t="s">
        <v>19</v>
      </c>
      <c r="J2094" s="3" t="s">
        <v>19</v>
      </c>
      <c r="K2094" s="3" t="s">
        <v>25</v>
      </c>
      <c r="L2094" s="3">
        <v>25.09</v>
      </c>
      <c r="M2094" s="3" t="s">
        <v>1695</v>
      </c>
      <c r="N2094" s="3" t="s">
        <v>1696</v>
      </c>
      <c r="O2094" s="3">
        <v>1.9085935331E11</v>
      </c>
    </row>
    <row r="2095">
      <c r="A2095" s="3">
        <v>2611599.0</v>
      </c>
      <c r="B2095" s="3" t="s">
        <v>4466</v>
      </c>
      <c r="C2095" s="3" t="b">
        <v>0</v>
      </c>
      <c r="D2095" s="3" t="b">
        <v>1</v>
      </c>
      <c r="E2095" s="3" t="s">
        <v>4467</v>
      </c>
      <c r="F2095" s="3" t="s">
        <v>4468</v>
      </c>
      <c r="G2095" s="4">
        <f>+251947108240</f>
        <v>251947108240</v>
      </c>
      <c r="H2095" s="3" t="s">
        <v>18</v>
      </c>
      <c r="I2095" s="3" t="s">
        <v>19</v>
      </c>
      <c r="J2095" s="3" t="s">
        <v>19</v>
      </c>
      <c r="K2095" s="3" t="s">
        <v>25</v>
      </c>
      <c r="L2095" s="3">
        <v>25.09</v>
      </c>
      <c r="M2095" s="3" t="s">
        <v>1695</v>
      </c>
      <c r="N2095" s="3" t="s">
        <v>1696</v>
      </c>
      <c r="O2095" s="3">
        <v>1.90839216362E11</v>
      </c>
    </row>
    <row r="2096">
      <c r="A2096" s="3">
        <v>2611615.0</v>
      </c>
      <c r="B2096" s="3" t="s">
        <v>4469</v>
      </c>
      <c r="C2096" s="3" t="b">
        <v>0</v>
      </c>
      <c r="D2096" s="3" t="b">
        <v>1</v>
      </c>
      <c r="E2096" s="3" t="s">
        <v>218</v>
      </c>
      <c r="F2096" s="3" t="s">
        <v>4470</v>
      </c>
      <c r="G2096" s="4">
        <f>+251945478031</f>
        <v>251945478031</v>
      </c>
      <c r="H2096" s="3" t="s">
        <v>18</v>
      </c>
      <c r="I2096" s="3" t="s">
        <v>19</v>
      </c>
      <c r="J2096" s="3" t="s">
        <v>19</v>
      </c>
      <c r="K2096" s="3" t="s">
        <v>25</v>
      </c>
      <c r="L2096" s="3">
        <v>25.03</v>
      </c>
      <c r="M2096" s="3" t="s">
        <v>1695</v>
      </c>
      <c r="N2096" s="3" t="s">
        <v>1696</v>
      </c>
      <c r="O2096" s="3">
        <v>1.90847460601E11</v>
      </c>
    </row>
    <row r="2097">
      <c r="A2097" s="3">
        <v>2611627.0</v>
      </c>
      <c r="B2097" s="3" t="s">
        <v>4471</v>
      </c>
      <c r="C2097" s="3" t="b">
        <v>0</v>
      </c>
      <c r="D2097" s="3" t="b">
        <v>1</v>
      </c>
      <c r="E2097" s="3" t="s">
        <v>3723</v>
      </c>
      <c r="F2097" s="3" t="s">
        <v>196</v>
      </c>
      <c r="G2097" s="4">
        <f>+251938719023</f>
        <v>251938719023</v>
      </c>
      <c r="H2097" s="3" t="s">
        <v>18</v>
      </c>
      <c r="I2097" s="3" t="s">
        <v>19</v>
      </c>
      <c r="J2097" s="3" t="s">
        <v>19</v>
      </c>
      <c r="K2097" s="3" t="s">
        <v>20</v>
      </c>
      <c r="L2097" s="3">
        <v>25.1</v>
      </c>
      <c r="M2097" s="3" t="s">
        <v>1695</v>
      </c>
      <c r="N2097" s="3" t="s">
        <v>1696</v>
      </c>
      <c r="O2097" s="3">
        <v>1.90854797512E11</v>
      </c>
    </row>
    <row r="2098">
      <c r="A2098" s="3">
        <v>2611637.0</v>
      </c>
      <c r="B2098" s="3" t="s">
        <v>4472</v>
      </c>
      <c r="C2098" s="3" t="b">
        <v>0</v>
      </c>
      <c r="D2098" s="3" t="b">
        <v>1</v>
      </c>
      <c r="E2098" s="3" t="s">
        <v>3417</v>
      </c>
      <c r="F2098" s="3" t="s">
        <v>4473</v>
      </c>
      <c r="G2098" s="4">
        <f>+251951418988</f>
        <v>251951418988</v>
      </c>
      <c r="H2098" s="3" t="s">
        <v>18</v>
      </c>
      <c r="I2098" s="3" t="s">
        <v>19</v>
      </c>
      <c r="J2098" s="3" t="s">
        <v>19</v>
      </c>
      <c r="K2098" s="3" t="s">
        <v>25</v>
      </c>
      <c r="L2098" s="3">
        <v>25.09</v>
      </c>
      <c r="M2098" s="3" t="s">
        <v>1695</v>
      </c>
      <c r="N2098" s="3" t="s">
        <v>1696</v>
      </c>
      <c r="O2098" s="3">
        <v>1.90867772633E11</v>
      </c>
    </row>
    <row r="2099">
      <c r="A2099" s="3">
        <v>2611652.0</v>
      </c>
      <c r="B2099" s="3" t="s">
        <v>4474</v>
      </c>
      <c r="C2099" s="3" t="b">
        <v>0</v>
      </c>
      <c r="D2099" s="3" t="b">
        <v>1</v>
      </c>
      <c r="E2099" s="3" t="s">
        <v>4475</v>
      </c>
      <c r="F2099" s="3" t="s">
        <v>4476</v>
      </c>
      <c r="G2099" s="4">
        <f>+251940750918</f>
        <v>251940750918</v>
      </c>
      <c r="H2099" s="3" t="s">
        <v>18</v>
      </c>
      <c r="I2099" s="3" t="s">
        <v>19</v>
      </c>
      <c r="J2099" s="3" t="s">
        <v>19</v>
      </c>
      <c r="K2099" s="3" t="s">
        <v>25</v>
      </c>
      <c r="L2099" s="3">
        <v>25.08</v>
      </c>
      <c r="M2099" s="3" t="s">
        <v>1695</v>
      </c>
      <c r="N2099" s="3" t="s">
        <v>1696</v>
      </c>
      <c r="O2099" s="3">
        <v>1.90853571825E11</v>
      </c>
    </row>
    <row r="2100">
      <c r="A2100" s="3">
        <v>2611665.0</v>
      </c>
      <c r="B2100" s="3" t="s">
        <v>4477</v>
      </c>
      <c r="C2100" s="3" t="b">
        <v>0</v>
      </c>
      <c r="D2100" s="3" t="b">
        <v>1</v>
      </c>
      <c r="E2100" s="3" t="s">
        <v>2537</v>
      </c>
      <c r="F2100" s="3" t="s">
        <v>4093</v>
      </c>
      <c r="G2100" s="4">
        <f>+251906128359</f>
        <v>251906128359</v>
      </c>
      <c r="H2100" s="3" t="s">
        <v>18</v>
      </c>
      <c r="I2100" s="3" t="s">
        <v>19</v>
      </c>
      <c r="J2100" s="3" t="s">
        <v>19</v>
      </c>
      <c r="K2100" s="3" t="s">
        <v>20</v>
      </c>
      <c r="L2100" s="3">
        <v>25.03</v>
      </c>
      <c r="M2100" s="3" t="s">
        <v>1695</v>
      </c>
      <c r="N2100" s="3" t="s">
        <v>1696</v>
      </c>
      <c r="O2100" s="3">
        <v>1.90897729772E11</v>
      </c>
    </row>
    <row r="2101">
      <c r="A2101" s="3">
        <v>2611673.0</v>
      </c>
      <c r="B2101" s="3" t="s">
        <v>4478</v>
      </c>
      <c r="C2101" s="3" t="b">
        <v>0</v>
      </c>
      <c r="D2101" s="3" t="b">
        <v>1</v>
      </c>
      <c r="E2101" s="3" t="s">
        <v>4479</v>
      </c>
      <c r="F2101" s="3" t="s">
        <v>4480</v>
      </c>
      <c r="G2101" s="4">
        <f>+251947248413</f>
        <v>251947248413</v>
      </c>
      <c r="H2101" s="3" t="s">
        <v>18</v>
      </c>
      <c r="I2101" s="3" t="s">
        <v>19</v>
      </c>
      <c r="J2101" s="3" t="s">
        <v>19</v>
      </c>
      <c r="K2101" s="3" t="s">
        <v>25</v>
      </c>
      <c r="L2101" s="3">
        <v>25.03</v>
      </c>
      <c r="M2101" s="3" t="s">
        <v>1695</v>
      </c>
      <c r="N2101" s="3" t="s">
        <v>1696</v>
      </c>
      <c r="O2101" s="3">
        <v>1.90897939671E11</v>
      </c>
    </row>
    <row r="2102">
      <c r="A2102" s="3">
        <v>2611689.0</v>
      </c>
      <c r="B2102" s="3" t="s">
        <v>4481</v>
      </c>
      <c r="C2102" s="3" t="b">
        <v>0</v>
      </c>
      <c r="D2102" s="3" t="b">
        <v>1</v>
      </c>
      <c r="E2102" s="3" t="s">
        <v>4482</v>
      </c>
      <c r="F2102" s="3" t="s">
        <v>446</v>
      </c>
      <c r="G2102" s="4">
        <f>+251939415872</f>
        <v>251939415872</v>
      </c>
      <c r="H2102" s="3" t="s">
        <v>18</v>
      </c>
      <c r="I2102" s="3" t="s">
        <v>19</v>
      </c>
      <c r="J2102" s="3" t="s">
        <v>19</v>
      </c>
      <c r="K2102" s="3" t="s">
        <v>20</v>
      </c>
      <c r="L2102" s="3">
        <v>25.1</v>
      </c>
      <c r="M2102" s="3" t="s">
        <v>1695</v>
      </c>
      <c r="N2102" s="3" t="s">
        <v>1696</v>
      </c>
      <c r="O2102" s="3">
        <v>1.90879944919E11</v>
      </c>
    </row>
    <row r="2103">
      <c r="A2103" s="3">
        <v>2611690.0</v>
      </c>
      <c r="B2103" s="3" t="s">
        <v>4483</v>
      </c>
      <c r="C2103" s="3" t="b">
        <v>0</v>
      </c>
      <c r="D2103" s="3" t="b">
        <v>1</v>
      </c>
      <c r="E2103" s="3" t="s">
        <v>140</v>
      </c>
      <c r="F2103" s="3" t="s">
        <v>2758</v>
      </c>
      <c r="G2103" s="4">
        <f>+251912663546</f>
        <v>251912663546</v>
      </c>
      <c r="H2103" s="3" t="s">
        <v>18</v>
      </c>
      <c r="I2103" s="3" t="s">
        <v>19</v>
      </c>
      <c r="J2103" s="3" t="s">
        <v>19</v>
      </c>
      <c r="K2103" s="3" t="s">
        <v>25</v>
      </c>
      <c r="L2103" s="3">
        <v>13.03</v>
      </c>
      <c r="M2103" s="3" t="s">
        <v>1695</v>
      </c>
      <c r="N2103" s="3" t="s">
        <v>1696</v>
      </c>
      <c r="O2103" s="3">
        <v>1.90872101104E11</v>
      </c>
    </row>
    <row r="2104">
      <c r="A2104" s="3">
        <v>2611712.0</v>
      </c>
      <c r="B2104" s="3" t="s">
        <v>4484</v>
      </c>
      <c r="C2104" s="3" t="b">
        <v>0</v>
      </c>
      <c r="D2104" s="3" t="b">
        <v>1</v>
      </c>
      <c r="E2104" s="3" t="s">
        <v>2537</v>
      </c>
      <c r="F2104" s="3" t="s">
        <v>2467</v>
      </c>
      <c r="G2104" s="4">
        <f>+251910964265</f>
        <v>251910964265</v>
      </c>
      <c r="H2104" s="3" t="s">
        <v>18</v>
      </c>
      <c r="I2104" s="3" t="s">
        <v>19</v>
      </c>
      <c r="J2104" s="3" t="s">
        <v>19</v>
      </c>
      <c r="K2104" s="3" t="s">
        <v>20</v>
      </c>
      <c r="L2104" s="3">
        <v>24.03</v>
      </c>
      <c r="M2104" s="3" t="s">
        <v>1695</v>
      </c>
      <c r="N2104" s="3" t="s">
        <v>1696</v>
      </c>
      <c r="O2104" s="3">
        <v>1.90887128287E11</v>
      </c>
    </row>
    <row r="2105">
      <c r="A2105" s="3">
        <v>2611723.0</v>
      </c>
      <c r="B2105" s="3" t="s">
        <v>4485</v>
      </c>
      <c r="C2105" s="3" t="b">
        <v>0</v>
      </c>
      <c r="D2105" s="3" t="b">
        <v>1</v>
      </c>
      <c r="E2105" s="3" t="s">
        <v>178</v>
      </c>
      <c r="F2105" s="3" t="s">
        <v>4486</v>
      </c>
      <c r="G2105" s="4">
        <f>+251934933168</f>
        <v>251934933168</v>
      </c>
      <c r="H2105" s="3" t="s">
        <v>18</v>
      </c>
      <c r="I2105" s="3" t="s">
        <v>19</v>
      </c>
      <c r="J2105" s="3" t="s">
        <v>19</v>
      </c>
      <c r="K2105" s="3" t="s">
        <v>25</v>
      </c>
      <c r="L2105" s="3">
        <v>25.09</v>
      </c>
      <c r="M2105" s="3" t="s">
        <v>1695</v>
      </c>
      <c r="N2105" s="3" t="s">
        <v>1696</v>
      </c>
      <c r="O2105" s="3">
        <v>1.90902486253E11</v>
      </c>
    </row>
    <row r="2106">
      <c r="A2106" s="3">
        <v>2611742.0</v>
      </c>
      <c r="B2106" s="3" t="s">
        <v>4487</v>
      </c>
      <c r="C2106" s="3" t="b">
        <v>0</v>
      </c>
      <c r="D2106" s="3" t="b">
        <v>1</v>
      </c>
      <c r="E2106" s="3" t="s">
        <v>4488</v>
      </c>
      <c r="F2106" s="3" t="s">
        <v>4489</v>
      </c>
      <c r="G2106" s="4">
        <f>+251977417400</f>
        <v>251977417400</v>
      </c>
      <c r="H2106" s="3" t="s">
        <v>18</v>
      </c>
      <c r="I2106" s="3" t="s">
        <v>19</v>
      </c>
      <c r="J2106" s="3" t="s">
        <v>19</v>
      </c>
      <c r="K2106" s="3" t="s">
        <v>20</v>
      </c>
      <c r="L2106" s="3">
        <v>25.0</v>
      </c>
      <c r="M2106" s="3" t="s">
        <v>1695</v>
      </c>
      <c r="N2106" s="3" t="s">
        <v>1696</v>
      </c>
      <c r="O2106" s="3">
        <v>1.90888569072E11</v>
      </c>
    </row>
    <row r="2107">
      <c r="A2107" s="3">
        <v>2611771.0</v>
      </c>
      <c r="B2107" s="3" t="s">
        <v>4490</v>
      </c>
      <c r="C2107" s="3" t="b">
        <v>0</v>
      </c>
      <c r="D2107" s="3" t="b">
        <v>1</v>
      </c>
      <c r="E2107" s="3" t="s">
        <v>4491</v>
      </c>
      <c r="F2107" s="3" t="s">
        <v>70</v>
      </c>
      <c r="G2107" s="4">
        <f>+251913397240</f>
        <v>251913397240</v>
      </c>
      <c r="H2107" s="3" t="s">
        <v>18</v>
      </c>
      <c r="I2107" s="3" t="s">
        <v>19</v>
      </c>
      <c r="J2107" s="3" t="s">
        <v>19</v>
      </c>
      <c r="K2107" s="3" t="s">
        <v>25</v>
      </c>
      <c r="L2107" s="3">
        <v>25.1</v>
      </c>
      <c r="M2107" s="3" t="s">
        <v>1695</v>
      </c>
      <c r="N2107" s="3" t="s">
        <v>1696</v>
      </c>
      <c r="O2107" s="3">
        <v>1.90891510986E11</v>
      </c>
    </row>
    <row r="2108">
      <c r="A2108" s="3">
        <v>2611810.0</v>
      </c>
      <c r="B2108" s="3" t="s">
        <v>4492</v>
      </c>
      <c r="C2108" s="3" t="b">
        <v>0</v>
      </c>
      <c r="D2108" s="3" t="b">
        <v>1</v>
      </c>
      <c r="E2108" s="3" t="s">
        <v>563</v>
      </c>
      <c r="F2108" s="3" t="s">
        <v>109</v>
      </c>
      <c r="G2108" s="4">
        <f>+251945600025</f>
        <v>251945600025</v>
      </c>
      <c r="H2108" s="3" t="s">
        <v>18</v>
      </c>
      <c r="I2108" s="3" t="s">
        <v>19</v>
      </c>
      <c r="J2108" s="3" t="s">
        <v>19</v>
      </c>
      <c r="K2108" s="3" t="s">
        <v>25</v>
      </c>
      <c r="L2108" s="3">
        <v>25.1</v>
      </c>
      <c r="M2108" s="3" t="s">
        <v>1695</v>
      </c>
      <c r="N2108" s="3" t="s">
        <v>1696</v>
      </c>
      <c r="O2108" s="3">
        <v>1.90901759222E11</v>
      </c>
    </row>
    <row r="2109">
      <c r="A2109" s="3">
        <v>2611821.0</v>
      </c>
      <c r="B2109" s="3" t="s">
        <v>4493</v>
      </c>
      <c r="C2109" s="3" t="b">
        <v>0</v>
      </c>
      <c r="D2109" s="3" t="b">
        <v>1</v>
      </c>
      <c r="E2109" s="3" t="s">
        <v>4494</v>
      </c>
      <c r="F2109" s="3" t="s">
        <v>4495</v>
      </c>
      <c r="G2109" s="4">
        <f>+251988425218</f>
        <v>251988425218</v>
      </c>
      <c r="H2109" s="3" t="s">
        <v>18</v>
      </c>
      <c r="I2109" s="3" t="s">
        <v>19</v>
      </c>
      <c r="J2109" s="3" t="s">
        <v>19</v>
      </c>
      <c r="K2109" s="3" t="s">
        <v>20</v>
      </c>
      <c r="L2109" s="3">
        <v>25.11</v>
      </c>
      <c r="M2109" s="3" t="s">
        <v>1695</v>
      </c>
      <c r="N2109" s="3" t="s">
        <v>1696</v>
      </c>
      <c r="O2109" s="3">
        <v>1.90902767806E11</v>
      </c>
    </row>
    <row r="2110">
      <c r="A2110" s="3">
        <v>2612251.0</v>
      </c>
      <c r="B2110" s="3" t="s">
        <v>4496</v>
      </c>
      <c r="C2110" s="3" t="b">
        <v>1</v>
      </c>
      <c r="D2110" s="3" t="b">
        <v>1</v>
      </c>
      <c r="E2110" s="3" t="s">
        <v>4497</v>
      </c>
      <c r="F2110" s="3" t="s">
        <v>4498</v>
      </c>
      <c r="G2110" s="4">
        <f>+251912948014</f>
        <v>251912948014</v>
      </c>
      <c r="H2110" s="3" t="s">
        <v>289</v>
      </c>
      <c r="I2110" s="3" t="s">
        <v>19</v>
      </c>
      <c r="J2110" s="3" t="s">
        <v>19</v>
      </c>
      <c r="K2110" s="3" t="s">
        <v>20</v>
      </c>
      <c r="L2110" s="3">
        <v>27.57</v>
      </c>
      <c r="M2110" s="3" t="s">
        <v>1695</v>
      </c>
      <c r="N2110" s="3" t="s">
        <v>1696</v>
      </c>
      <c r="O2110" s="3">
        <v>1.91089484003E11</v>
      </c>
    </row>
    <row r="2111">
      <c r="A2111" s="3">
        <v>2612314.0</v>
      </c>
      <c r="B2111" s="3" t="s">
        <v>4499</v>
      </c>
      <c r="C2111" s="3" t="b">
        <v>0</v>
      </c>
      <c r="D2111" s="3" t="b">
        <v>1</v>
      </c>
      <c r="E2111" s="3" t="s">
        <v>853</v>
      </c>
      <c r="F2111" s="3" t="s">
        <v>120</v>
      </c>
      <c r="G2111" s="4">
        <f>+251911274802</f>
        <v>251911274802</v>
      </c>
      <c r="H2111" s="3" t="s">
        <v>18</v>
      </c>
      <c r="I2111" s="3" t="s">
        <v>19</v>
      </c>
      <c r="J2111" s="3" t="s">
        <v>19</v>
      </c>
      <c r="K2111" s="3" t="s">
        <v>25</v>
      </c>
      <c r="L2111" s="3">
        <v>25.1</v>
      </c>
      <c r="M2111" s="3" t="s">
        <v>1695</v>
      </c>
      <c r="N2111" s="3" t="s">
        <v>1696</v>
      </c>
      <c r="O2111" s="3">
        <v>1.91173452021E11</v>
      </c>
    </row>
    <row r="2112">
      <c r="A2112" s="3">
        <v>2612319.0</v>
      </c>
      <c r="B2112" s="3" t="s">
        <v>4500</v>
      </c>
      <c r="C2112" s="3" t="b">
        <v>0</v>
      </c>
      <c r="D2112" s="3" t="b">
        <v>1</v>
      </c>
      <c r="E2112" s="3" t="s">
        <v>111</v>
      </c>
      <c r="F2112" s="3" t="s">
        <v>468</v>
      </c>
      <c r="G2112" s="4">
        <f>+251928658580</f>
        <v>251928658580</v>
      </c>
      <c r="H2112" s="3" t="s">
        <v>18</v>
      </c>
      <c r="I2112" s="3" t="s">
        <v>19</v>
      </c>
      <c r="J2112" s="3" t="s">
        <v>19</v>
      </c>
      <c r="K2112" s="3" t="s">
        <v>25</v>
      </c>
      <c r="L2112" s="3">
        <v>25.1</v>
      </c>
      <c r="M2112" s="3" t="s">
        <v>1695</v>
      </c>
      <c r="N2112" s="3" t="s">
        <v>1696</v>
      </c>
      <c r="O2112" s="3">
        <v>1.91100966109E11</v>
      </c>
    </row>
    <row r="2113">
      <c r="A2113" s="3">
        <v>2612327.0</v>
      </c>
      <c r="B2113" s="3" t="s">
        <v>4501</v>
      </c>
      <c r="C2113" s="3" t="b">
        <v>0</v>
      </c>
      <c r="D2113" s="3" t="b">
        <v>1</v>
      </c>
      <c r="E2113" s="3" t="s">
        <v>297</v>
      </c>
      <c r="F2113" s="3" t="s">
        <v>4502</v>
      </c>
      <c r="G2113" s="4">
        <f>+251930605943</f>
        <v>251930605943</v>
      </c>
      <c r="H2113" s="3" t="s">
        <v>18</v>
      </c>
      <c r="I2113" s="3" t="s">
        <v>19</v>
      </c>
      <c r="J2113" s="3" t="s">
        <v>19</v>
      </c>
      <c r="K2113" s="3" t="s">
        <v>25</v>
      </c>
      <c r="L2113" s="3">
        <v>25.08</v>
      </c>
      <c r="M2113" s="3" t="s">
        <v>1695</v>
      </c>
      <c r="N2113" s="3" t="s">
        <v>1696</v>
      </c>
      <c r="O2113" s="3">
        <v>1.91101050058E11</v>
      </c>
    </row>
    <row r="2114">
      <c r="A2114" s="3">
        <v>820328.0</v>
      </c>
      <c r="B2114" s="3" t="s">
        <v>4503</v>
      </c>
      <c r="C2114" s="3" t="b">
        <v>1</v>
      </c>
      <c r="D2114" s="3" t="b">
        <v>1</v>
      </c>
      <c r="E2114" s="3" t="s">
        <v>188</v>
      </c>
      <c r="F2114" s="3" t="s">
        <v>4504</v>
      </c>
      <c r="G2114" s="4">
        <f>+251912304228</f>
        <v>251912304228</v>
      </c>
      <c r="H2114" s="3" t="s">
        <v>18</v>
      </c>
      <c r="I2114" s="3" t="s">
        <v>19</v>
      </c>
      <c r="J2114" s="3" t="s">
        <v>19</v>
      </c>
      <c r="K2114" s="3" t="s">
        <v>25</v>
      </c>
      <c r="L2114" s="3">
        <v>25.84</v>
      </c>
      <c r="M2114" s="3" t="s">
        <v>1695</v>
      </c>
      <c r="N2114" s="3" t="s">
        <v>1696</v>
      </c>
      <c r="O2114" s="3">
        <v>835552.0</v>
      </c>
    </row>
    <row r="2115">
      <c r="A2115" s="3">
        <v>2612336.0</v>
      </c>
      <c r="B2115" s="3" t="s">
        <v>4505</v>
      </c>
      <c r="C2115" s="3" t="b">
        <v>1</v>
      </c>
      <c r="D2115" s="3" t="b">
        <v>1</v>
      </c>
      <c r="E2115" s="3" t="s">
        <v>2781</v>
      </c>
      <c r="F2115" s="3" t="s">
        <v>404</v>
      </c>
      <c r="G2115" s="4">
        <f>+251931994408</f>
        <v>251931994408</v>
      </c>
      <c r="H2115" s="3" t="s">
        <v>18</v>
      </c>
      <c r="I2115" s="3" t="s">
        <v>19</v>
      </c>
      <c r="J2115" s="3" t="s">
        <v>19</v>
      </c>
      <c r="K2115" s="3" t="s">
        <v>25</v>
      </c>
      <c r="L2115" s="3">
        <v>21.02</v>
      </c>
      <c r="M2115" s="3" t="s">
        <v>1695</v>
      </c>
      <c r="N2115" s="3" t="s">
        <v>1696</v>
      </c>
      <c r="O2115" s="3">
        <v>1.91214368976E11</v>
      </c>
    </row>
    <row r="2116">
      <c r="A2116" s="3">
        <v>2612342.0</v>
      </c>
      <c r="B2116" s="3" t="s">
        <v>4506</v>
      </c>
      <c r="C2116" s="3" t="b">
        <v>0</v>
      </c>
      <c r="D2116" s="3" t="b">
        <v>1</v>
      </c>
      <c r="E2116" s="3" t="s">
        <v>798</v>
      </c>
      <c r="F2116" s="3" t="s">
        <v>3606</v>
      </c>
      <c r="G2116" s="4">
        <f>+251910418100</f>
        <v>251910418100</v>
      </c>
      <c r="H2116" s="3" t="s">
        <v>18</v>
      </c>
      <c r="I2116" s="3" t="s">
        <v>19</v>
      </c>
      <c r="J2116" s="3" t="s">
        <v>19</v>
      </c>
      <c r="K2116" s="3" t="s">
        <v>25</v>
      </c>
      <c r="L2116" s="3">
        <v>22.02</v>
      </c>
      <c r="M2116" s="3" t="s">
        <v>1695</v>
      </c>
      <c r="N2116" s="3" t="s">
        <v>1696</v>
      </c>
      <c r="O2116" s="3">
        <v>1.91183515848E11</v>
      </c>
    </row>
    <row r="2117">
      <c r="A2117" s="3">
        <v>2612340.0</v>
      </c>
      <c r="B2117" s="3" t="s">
        <v>4507</v>
      </c>
      <c r="C2117" s="3" t="b">
        <v>0</v>
      </c>
      <c r="D2117" s="3" t="b">
        <v>1</v>
      </c>
      <c r="E2117" s="3" t="s">
        <v>328</v>
      </c>
      <c r="F2117" s="3" t="s">
        <v>4508</v>
      </c>
      <c r="G2117" s="4">
        <f>+251940045868</f>
        <v>251940045868</v>
      </c>
      <c r="H2117" s="3" t="s">
        <v>18</v>
      </c>
      <c r="I2117" s="3" t="s">
        <v>19</v>
      </c>
      <c r="J2117" s="3" t="s">
        <v>19</v>
      </c>
      <c r="K2117" s="3" t="s">
        <v>25</v>
      </c>
      <c r="L2117" s="3">
        <v>25.1</v>
      </c>
      <c r="M2117" s="3" t="s">
        <v>1695</v>
      </c>
      <c r="N2117" s="3" t="s">
        <v>1696</v>
      </c>
      <c r="O2117" s="3">
        <v>1.91219603682E11</v>
      </c>
    </row>
    <row r="2118">
      <c r="A2118" s="3">
        <v>2612344.0</v>
      </c>
      <c r="B2118" s="3" t="s">
        <v>4509</v>
      </c>
      <c r="C2118" s="3" t="b">
        <v>0</v>
      </c>
      <c r="D2118" s="3" t="b">
        <v>1</v>
      </c>
      <c r="E2118" s="3" t="s">
        <v>4510</v>
      </c>
      <c r="F2118" s="3" t="s">
        <v>422</v>
      </c>
      <c r="G2118" s="4">
        <f>+251924335422</f>
        <v>251924335422</v>
      </c>
      <c r="H2118" s="3" t="s">
        <v>18</v>
      </c>
      <c r="I2118" s="3" t="s">
        <v>19</v>
      </c>
      <c r="J2118" s="3" t="s">
        <v>19</v>
      </c>
      <c r="K2118" s="3" t="s">
        <v>25</v>
      </c>
      <c r="L2118" s="3">
        <v>26.02</v>
      </c>
      <c r="M2118" s="3" t="s">
        <v>1695</v>
      </c>
      <c r="N2118" s="3" t="s">
        <v>1696</v>
      </c>
      <c r="O2118" s="3">
        <v>1.91174406392E11</v>
      </c>
    </row>
    <row r="2119">
      <c r="A2119" s="3">
        <v>2612349.0</v>
      </c>
      <c r="B2119" s="3" t="s">
        <v>4511</v>
      </c>
      <c r="C2119" s="3" t="b">
        <v>0</v>
      </c>
      <c r="D2119" s="3" t="b">
        <v>1</v>
      </c>
      <c r="E2119" s="3" t="s">
        <v>4512</v>
      </c>
      <c r="F2119" s="3" t="s">
        <v>468</v>
      </c>
      <c r="G2119" s="4">
        <f>+251917033555</f>
        <v>251917033555</v>
      </c>
      <c r="H2119" s="3" t="s">
        <v>18</v>
      </c>
      <c r="I2119" s="3" t="s">
        <v>19</v>
      </c>
      <c r="J2119" s="3" t="s">
        <v>19</v>
      </c>
      <c r="K2119" s="3" t="s">
        <v>25</v>
      </c>
      <c r="L2119" s="3">
        <v>25.88</v>
      </c>
      <c r="M2119" s="3" t="s">
        <v>1695</v>
      </c>
      <c r="N2119" s="3" t="s">
        <v>1696</v>
      </c>
      <c r="O2119" s="3">
        <v>1.91188876528E11</v>
      </c>
    </row>
    <row r="2120">
      <c r="A2120" s="3">
        <v>2612354.0</v>
      </c>
      <c r="B2120" s="3" t="s">
        <v>4513</v>
      </c>
      <c r="C2120" s="3" t="b">
        <v>0</v>
      </c>
      <c r="D2120" s="3" t="b">
        <v>1</v>
      </c>
      <c r="E2120" s="3" t="s">
        <v>504</v>
      </c>
      <c r="F2120" s="3" t="s">
        <v>479</v>
      </c>
      <c r="G2120" s="4">
        <f>+251965109010</f>
        <v>251965109010</v>
      </c>
      <c r="H2120" s="3" t="s">
        <v>18</v>
      </c>
      <c r="I2120" s="3" t="s">
        <v>19</v>
      </c>
      <c r="J2120" s="3" t="s">
        <v>19</v>
      </c>
      <c r="K2120" s="3" t="s">
        <v>25</v>
      </c>
      <c r="L2120" s="3">
        <v>26.76</v>
      </c>
      <c r="M2120" s="3" t="s">
        <v>1695</v>
      </c>
      <c r="N2120" s="3" t="s">
        <v>1696</v>
      </c>
      <c r="O2120" s="3">
        <v>1.91166170361E11</v>
      </c>
    </row>
    <row r="2121">
      <c r="A2121" s="3">
        <v>2612355.0</v>
      </c>
      <c r="B2121" s="3" t="s">
        <v>4514</v>
      </c>
      <c r="C2121" s="3" t="b">
        <v>0</v>
      </c>
      <c r="D2121" s="3" t="b">
        <v>1</v>
      </c>
      <c r="E2121" s="3" t="s">
        <v>4515</v>
      </c>
      <c r="F2121" s="3" t="s">
        <v>1924</v>
      </c>
      <c r="G2121" s="4">
        <f>+251988192763</f>
        <v>251988192763</v>
      </c>
      <c r="H2121" s="3" t="s">
        <v>18</v>
      </c>
      <c r="I2121" s="3" t="s">
        <v>19</v>
      </c>
      <c r="J2121" s="3" t="s">
        <v>19</v>
      </c>
      <c r="K2121" s="3" t="s">
        <v>20</v>
      </c>
      <c r="L2121" s="3">
        <v>25.1</v>
      </c>
      <c r="M2121" s="3" t="s">
        <v>1695</v>
      </c>
      <c r="N2121" s="3" t="s">
        <v>1696</v>
      </c>
      <c r="O2121" s="3">
        <v>1.91184713945E11</v>
      </c>
    </row>
    <row r="2122">
      <c r="A2122" s="3">
        <v>2612356.0</v>
      </c>
      <c r="B2122" s="3" t="s">
        <v>4516</v>
      </c>
      <c r="C2122" s="3" t="b">
        <v>0</v>
      </c>
      <c r="D2122" s="3" t="b">
        <v>1</v>
      </c>
      <c r="E2122" s="3" t="s">
        <v>2654</v>
      </c>
      <c r="F2122" s="3" t="s">
        <v>1130</v>
      </c>
      <c r="G2122" s="4">
        <f>+251920518682</f>
        <v>251920518682</v>
      </c>
      <c r="H2122" s="3" t="s">
        <v>18</v>
      </c>
      <c r="I2122" s="3" t="s">
        <v>19</v>
      </c>
      <c r="J2122" s="3" t="s">
        <v>19</v>
      </c>
      <c r="K2122" s="3" t="s">
        <v>25</v>
      </c>
      <c r="L2122" s="3">
        <v>25.02</v>
      </c>
      <c r="M2122" s="3" t="s">
        <v>1695</v>
      </c>
      <c r="N2122" s="3" t="s">
        <v>1696</v>
      </c>
      <c r="O2122" s="3">
        <v>1.91183745246E11</v>
      </c>
    </row>
    <row r="2123">
      <c r="A2123" s="3">
        <v>2612359.0</v>
      </c>
      <c r="B2123" s="3" t="s">
        <v>4517</v>
      </c>
      <c r="C2123" s="3" t="b">
        <v>0</v>
      </c>
      <c r="D2123" s="3" t="b">
        <v>1</v>
      </c>
      <c r="E2123" s="3" t="s">
        <v>4518</v>
      </c>
      <c r="F2123" s="3" t="s">
        <v>4519</v>
      </c>
      <c r="G2123" s="4">
        <f>+251913312342</f>
        <v>251913312342</v>
      </c>
      <c r="H2123" s="3" t="s">
        <v>18</v>
      </c>
      <c r="I2123" s="3" t="s">
        <v>19</v>
      </c>
      <c r="J2123" s="3" t="s">
        <v>19</v>
      </c>
      <c r="K2123" s="3" t="s">
        <v>25</v>
      </c>
      <c r="L2123" s="3">
        <v>24.96</v>
      </c>
      <c r="M2123" s="3" t="s">
        <v>1695</v>
      </c>
      <c r="N2123" s="3" t="s">
        <v>1696</v>
      </c>
      <c r="O2123" s="3">
        <v>1.91174557911E11</v>
      </c>
    </row>
    <row r="2124">
      <c r="A2124" s="3">
        <v>2612357.0</v>
      </c>
      <c r="B2124" s="3" t="s">
        <v>4520</v>
      </c>
      <c r="C2124" s="3" t="b">
        <v>1</v>
      </c>
      <c r="D2124" s="3" t="b">
        <v>1</v>
      </c>
      <c r="E2124" s="3" t="s">
        <v>4521</v>
      </c>
      <c r="F2124" s="3" t="s">
        <v>230</v>
      </c>
      <c r="G2124" s="4">
        <f>+251918757763</f>
        <v>251918757763</v>
      </c>
      <c r="H2124" s="3" t="s">
        <v>18</v>
      </c>
      <c r="I2124" s="3" t="s">
        <v>19</v>
      </c>
      <c r="J2124" s="3" t="s">
        <v>19</v>
      </c>
      <c r="K2124" s="3" t="s">
        <v>25</v>
      </c>
      <c r="L2124" s="3">
        <v>26.27</v>
      </c>
      <c r="M2124" s="3" t="s">
        <v>1695</v>
      </c>
      <c r="N2124" s="3" t="s">
        <v>1696</v>
      </c>
      <c r="O2124" s="3">
        <v>1.91174546636E11</v>
      </c>
    </row>
    <row r="2125">
      <c r="A2125" s="3">
        <v>2612365.0</v>
      </c>
      <c r="B2125" s="3" t="s">
        <v>4522</v>
      </c>
      <c r="C2125" s="3" t="b">
        <v>0</v>
      </c>
      <c r="D2125" s="3" t="b">
        <v>1</v>
      </c>
      <c r="E2125" s="3" t="s">
        <v>621</v>
      </c>
      <c r="F2125" s="3" t="s">
        <v>4523</v>
      </c>
      <c r="G2125" s="4">
        <f>+251912627173</f>
        <v>251912627173</v>
      </c>
      <c r="H2125" s="3" t="s">
        <v>18</v>
      </c>
      <c r="I2125" s="3" t="s">
        <v>19</v>
      </c>
      <c r="J2125" s="3" t="s">
        <v>19</v>
      </c>
      <c r="K2125" s="3" t="s">
        <v>25</v>
      </c>
      <c r="L2125" s="3">
        <v>26.95</v>
      </c>
      <c r="M2125" s="3" t="s">
        <v>1695</v>
      </c>
      <c r="N2125" s="3" t="s">
        <v>1696</v>
      </c>
      <c r="O2125" s="3">
        <v>1.91189174521E11</v>
      </c>
    </row>
    <row r="2126">
      <c r="A2126" s="3">
        <v>2612372.0</v>
      </c>
      <c r="B2126" s="3" t="s">
        <v>4524</v>
      </c>
      <c r="C2126" s="3" t="b">
        <v>1</v>
      </c>
      <c r="D2126" s="3" t="b">
        <v>1</v>
      </c>
      <c r="E2126" s="3" t="s">
        <v>4525</v>
      </c>
      <c r="F2126" s="3" t="s">
        <v>4526</v>
      </c>
      <c r="G2126" s="4">
        <f>+251939299401</f>
        <v>251939299401</v>
      </c>
      <c r="H2126" s="3" t="s">
        <v>18</v>
      </c>
      <c r="I2126" s="3" t="s">
        <v>19</v>
      </c>
      <c r="J2126" s="3" t="s">
        <v>19</v>
      </c>
      <c r="K2126" s="3" t="s">
        <v>4527</v>
      </c>
      <c r="L2126" s="3">
        <v>29.02</v>
      </c>
      <c r="M2126" s="3" t="s">
        <v>1695</v>
      </c>
      <c r="N2126" s="3" t="s">
        <v>1696</v>
      </c>
      <c r="O2126" s="3">
        <v>1.9118388962E11</v>
      </c>
    </row>
    <row r="2127">
      <c r="A2127" s="3">
        <v>2612374.0</v>
      </c>
      <c r="B2127" s="3" t="s">
        <v>4528</v>
      </c>
      <c r="C2127" s="3" t="b">
        <v>0</v>
      </c>
      <c r="D2127" s="3" t="b">
        <v>1</v>
      </c>
      <c r="E2127" s="3" t="s">
        <v>301</v>
      </c>
      <c r="F2127" s="3" t="s">
        <v>4529</v>
      </c>
      <c r="G2127" s="4">
        <f>+251948273011</f>
        <v>251948273011</v>
      </c>
      <c r="H2127" s="3" t="s">
        <v>18</v>
      </c>
      <c r="I2127" s="3" t="s">
        <v>19</v>
      </c>
      <c r="J2127" s="3" t="s">
        <v>19</v>
      </c>
      <c r="K2127" s="3" t="s">
        <v>25</v>
      </c>
      <c r="L2127" s="3">
        <v>25.02</v>
      </c>
      <c r="M2127" s="3" t="s">
        <v>1695</v>
      </c>
      <c r="N2127" s="3" t="s">
        <v>1696</v>
      </c>
      <c r="O2127" s="3">
        <v>1.91176538312E11</v>
      </c>
    </row>
    <row r="2128">
      <c r="A2128" s="3">
        <v>2612375.0</v>
      </c>
      <c r="B2128" s="3" t="s">
        <v>4530</v>
      </c>
      <c r="C2128" s="3" t="b">
        <v>0</v>
      </c>
      <c r="D2128" s="3" t="b">
        <v>1</v>
      </c>
      <c r="E2128" s="3" t="s">
        <v>4531</v>
      </c>
      <c r="F2128" s="3" t="s">
        <v>4532</v>
      </c>
      <c r="G2128" s="4">
        <f>+251713267982</f>
        <v>251713267982</v>
      </c>
      <c r="H2128" s="3" t="s">
        <v>18</v>
      </c>
      <c r="I2128" s="3" t="s">
        <v>19</v>
      </c>
      <c r="J2128" s="3" t="s">
        <v>19</v>
      </c>
      <c r="K2128" s="3" t="s">
        <v>25</v>
      </c>
      <c r="L2128" s="3">
        <v>20.15</v>
      </c>
      <c r="M2128" s="3" t="s">
        <v>1695</v>
      </c>
      <c r="N2128" s="3" t="s">
        <v>1696</v>
      </c>
      <c r="O2128" s="3">
        <v>1.91223475434E11</v>
      </c>
    </row>
    <row r="2129">
      <c r="A2129" s="3">
        <v>2612379.0</v>
      </c>
      <c r="B2129" s="3" t="s">
        <v>4533</v>
      </c>
      <c r="C2129" s="3" t="b">
        <v>0</v>
      </c>
      <c r="D2129" s="3" t="b">
        <v>1</v>
      </c>
      <c r="E2129" s="3" t="s">
        <v>846</v>
      </c>
      <c r="F2129" s="3" t="s">
        <v>4534</v>
      </c>
      <c r="G2129" s="4">
        <f>+251985080272</f>
        <v>251985080272</v>
      </c>
      <c r="H2129" s="3" t="s">
        <v>18</v>
      </c>
      <c r="I2129" s="3" t="s">
        <v>19</v>
      </c>
      <c r="J2129" s="3" t="s">
        <v>19</v>
      </c>
      <c r="K2129" s="3" t="s">
        <v>20</v>
      </c>
      <c r="L2129" s="3">
        <v>28.02</v>
      </c>
      <c r="M2129" s="3" t="s">
        <v>1695</v>
      </c>
      <c r="N2129" s="3" t="s">
        <v>1696</v>
      </c>
      <c r="O2129" s="3">
        <v>1.91223543025E11</v>
      </c>
    </row>
    <row r="2130">
      <c r="A2130" s="3">
        <v>2612383.0</v>
      </c>
      <c r="B2130" s="3" t="s">
        <v>4535</v>
      </c>
      <c r="C2130" s="3" t="b">
        <v>0</v>
      </c>
      <c r="D2130" s="3" t="b">
        <v>1</v>
      </c>
      <c r="E2130" s="3" t="s">
        <v>2045</v>
      </c>
      <c r="F2130" s="3" t="s">
        <v>4536</v>
      </c>
      <c r="G2130" s="4">
        <f>+251965973095</f>
        <v>251965973095</v>
      </c>
      <c r="H2130" s="3" t="s">
        <v>18</v>
      </c>
      <c r="I2130" s="3" t="s">
        <v>19</v>
      </c>
      <c r="J2130" s="3" t="s">
        <v>19</v>
      </c>
      <c r="K2130" s="3" t="s">
        <v>25</v>
      </c>
      <c r="L2130" s="3">
        <v>25.02</v>
      </c>
      <c r="M2130" s="3" t="s">
        <v>1695</v>
      </c>
      <c r="N2130" s="3" t="s">
        <v>1696</v>
      </c>
      <c r="O2130" s="3">
        <v>1.91222919375E11</v>
      </c>
    </row>
    <row r="2131">
      <c r="A2131" s="3">
        <v>2612385.0</v>
      </c>
      <c r="B2131" s="3" t="s">
        <v>4537</v>
      </c>
      <c r="C2131" s="3" t="b">
        <v>0</v>
      </c>
      <c r="D2131" s="3" t="b">
        <v>1</v>
      </c>
      <c r="E2131" s="3" t="s">
        <v>58</v>
      </c>
      <c r="F2131" s="3" t="s">
        <v>404</v>
      </c>
      <c r="G2131" s="4">
        <f>+25109353204941</f>
        <v>25109353204941</v>
      </c>
      <c r="H2131" s="3" t="s">
        <v>18</v>
      </c>
      <c r="I2131" s="3" t="s">
        <v>19</v>
      </c>
      <c r="J2131" s="3" t="s">
        <v>19</v>
      </c>
      <c r="K2131" s="3" t="s">
        <v>25</v>
      </c>
      <c r="L2131" s="3">
        <v>26.97</v>
      </c>
      <c r="M2131" s="3" t="s">
        <v>1695</v>
      </c>
      <c r="N2131" s="3" t="s">
        <v>1696</v>
      </c>
      <c r="O2131" s="3">
        <v>1.91222949072E11</v>
      </c>
    </row>
    <row r="2132">
      <c r="A2132" s="3">
        <v>2612386.0</v>
      </c>
      <c r="B2132" s="3" t="s">
        <v>4538</v>
      </c>
      <c r="C2132" s="3" t="b">
        <v>0</v>
      </c>
      <c r="D2132" s="3" t="b">
        <v>1</v>
      </c>
      <c r="E2132" s="3" t="s">
        <v>3954</v>
      </c>
      <c r="F2132" s="3" t="s">
        <v>1125</v>
      </c>
      <c r="G2132" s="4">
        <f>+251930892494</f>
        <v>251930892494</v>
      </c>
      <c r="H2132" s="3" t="s">
        <v>18</v>
      </c>
      <c r="I2132" s="3" t="s">
        <v>19</v>
      </c>
      <c r="J2132" s="3" t="s">
        <v>19</v>
      </c>
      <c r="K2132" s="3" t="s">
        <v>20</v>
      </c>
      <c r="L2132" s="3">
        <v>22.85</v>
      </c>
      <c r="M2132" s="3" t="s">
        <v>1695</v>
      </c>
      <c r="N2132" s="3" t="s">
        <v>1696</v>
      </c>
      <c r="O2132" s="3">
        <v>1.91193781444E11</v>
      </c>
    </row>
    <row r="2133">
      <c r="A2133" s="3">
        <v>2612391.0</v>
      </c>
      <c r="B2133" s="3" t="s">
        <v>4539</v>
      </c>
      <c r="C2133" s="3" t="b">
        <v>1</v>
      </c>
      <c r="D2133" s="3" t="b">
        <v>1</v>
      </c>
      <c r="E2133" s="3" t="s">
        <v>414</v>
      </c>
      <c r="F2133" s="3" t="s">
        <v>4540</v>
      </c>
      <c r="G2133" s="4">
        <f>+251948671412</f>
        <v>251948671412</v>
      </c>
      <c r="H2133" s="3" t="s">
        <v>18</v>
      </c>
      <c r="I2133" s="3" t="s">
        <v>19</v>
      </c>
      <c r="J2133" s="3" t="s">
        <v>19</v>
      </c>
      <c r="K2133" s="3" t="s">
        <v>25</v>
      </c>
      <c r="L2133" s="3">
        <v>25.02</v>
      </c>
      <c r="M2133" s="3" t="s">
        <v>1695</v>
      </c>
      <c r="N2133" s="3" t="s">
        <v>1696</v>
      </c>
      <c r="O2133" s="3">
        <v>1.91184171214E11</v>
      </c>
    </row>
    <row r="2134">
      <c r="A2134" s="3">
        <v>2612392.0</v>
      </c>
      <c r="B2134" s="3" t="s">
        <v>4541</v>
      </c>
      <c r="C2134" s="3" t="b">
        <v>0</v>
      </c>
      <c r="D2134" s="3" t="b">
        <v>1</v>
      </c>
      <c r="E2134" s="3" t="s">
        <v>4542</v>
      </c>
      <c r="F2134" s="3" t="s">
        <v>4543</v>
      </c>
      <c r="G2134" s="4">
        <f>+251703289876</f>
        <v>251703289876</v>
      </c>
      <c r="H2134" s="3" t="s">
        <v>18</v>
      </c>
      <c r="I2134" s="3" t="s">
        <v>19</v>
      </c>
      <c r="J2134" s="3" t="s">
        <v>19</v>
      </c>
      <c r="K2134" s="3" t="s">
        <v>25</v>
      </c>
      <c r="L2134" s="3">
        <v>26.95</v>
      </c>
      <c r="M2134" s="3" t="s">
        <v>1695</v>
      </c>
      <c r="N2134" s="3" t="s">
        <v>1696</v>
      </c>
      <c r="O2134" s="3">
        <v>1.91214631138E11</v>
      </c>
    </row>
    <row r="2135">
      <c r="A2135" s="3">
        <v>2612395.0</v>
      </c>
      <c r="B2135" s="3" t="s">
        <v>4544</v>
      </c>
      <c r="C2135" s="3" t="b">
        <v>0</v>
      </c>
      <c r="D2135" s="3" t="b">
        <v>1</v>
      </c>
      <c r="E2135" s="3" t="s">
        <v>4545</v>
      </c>
      <c r="F2135" s="3" t="s">
        <v>1856</v>
      </c>
      <c r="G2135" s="4">
        <f>+251917797567</f>
        <v>251917797567</v>
      </c>
      <c r="H2135" s="3" t="s">
        <v>18</v>
      </c>
      <c r="I2135" s="3" t="s">
        <v>19</v>
      </c>
      <c r="J2135" s="3" t="s">
        <v>19</v>
      </c>
      <c r="K2135" s="3" t="s">
        <v>25</v>
      </c>
      <c r="L2135" s="3">
        <v>32.02</v>
      </c>
      <c r="M2135" s="3" t="s">
        <v>1695</v>
      </c>
      <c r="N2135" s="3" t="s">
        <v>1696</v>
      </c>
      <c r="O2135" s="3">
        <v>1.911768701E11</v>
      </c>
    </row>
    <row r="2136">
      <c r="A2136" s="3">
        <v>2612393.0</v>
      </c>
      <c r="B2136" s="3" t="s">
        <v>4546</v>
      </c>
      <c r="C2136" s="3" t="b">
        <v>1</v>
      </c>
      <c r="D2136" s="3" t="b">
        <v>1</v>
      </c>
      <c r="E2136" s="3" t="s">
        <v>3974</v>
      </c>
      <c r="F2136" s="3" t="s">
        <v>4547</v>
      </c>
      <c r="G2136" s="4">
        <f>+251902564383</f>
        <v>251902564383</v>
      </c>
      <c r="H2136" s="3" t="s">
        <v>18</v>
      </c>
      <c r="I2136" s="3" t="s">
        <v>19</v>
      </c>
      <c r="J2136" s="3" t="s">
        <v>19</v>
      </c>
      <c r="K2136" s="3" t="s">
        <v>20</v>
      </c>
      <c r="L2136" s="3">
        <v>26.85</v>
      </c>
      <c r="M2136" s="3" t="s">
        <v>1695</v>
      </c>
      <c r="N2136" s="3" t="s">
        <v>1696</v>
      </c>
      <c r="O2136" s="3">
        <v>1.91184181474E11</v>
      </c>
    </row>
    <row r="2137">
      <c r="A2137" s="3">
        <v>2337863.0</v>
      </c>
      <c r="B2137" s="3" t="s">
        <v>4548</v>
      </c>
      <c r="C2137" s="3" t="b">
        <v>1</v>
      </c>
      <c r="D2137" s="3" t="b">
        <v>1</v>
      </c>
      <c r="E2137" s="3" t="s">
        <v>4549</v>
      </c>
      <c r="F2137" s="3" t="s">
        <v>3327</v>
      </c>
      <c r="G2137" s="4">
        <f>+251926525330</f>
        <v>251926525330</v>
      </c>
      <c r="H2137" s="3" t="s">
        <v>18</v>
      </c>
      <c r="I2137" s="3" t="s">
        <v>19</v>
      </c>
      <c r="J2137" s="3" t="s">
        <v>19</v>
      </c>
      <c r="K2137" s="3" t="s">
        <v>25</v>
      </c>
      <c r="L2137" s="3">
        <v>24.96</v>
      </c>
      <c r="M2137" s="3" t="s">
        <v>1695</v>
      </c>
      <c r="N2137" s="3" t="s">
        <v>1696</v>
      </c>
      <c r="O2137" s="3">
        <v>3.7974316022E10</v>
      </c>
    </row>
    <row r="2138">
      <c r="A2138" s="3">
        <v>2612406.0</v>
      </c>
      <c r="B2138" s="3" t="s">
        <v>4550</v>
      </c>
      <c r="C2138" s="3" t="b">
        <v>0</v>
      </c>
      <c r="D2138" s="3" t="b">
        <v>1</v>
      </c>
      <c r="E2138" s="3" t="s">
        <v>4213</v>
      </c>
      <c r="F2138" s="3" t="s">
        <v>1112</v>
      </c>
      <c r="G2138" s="4">
        <f>+251930680292</f>
        <v>251930680292</v>
      </c>
      <c r="H2138" s="3" t="s">
        <v>18</v>
      </c>
      <c r="I2138" s="3" t="s">
        <v>19</v>
      </c>
      <c r="J2138" s="3" t="s">
        <v>19</v>
      </c>
      <c r="K2138" s="3" t="s">
        <v>25</v>
      </c>
      <c r="L2138" s="3">
        <v>25.02</v>
      </c>
      <c r="M2138" s="3" t="s">
        <v>1695</v>
      </c>
      <c r="N2138" s="3" t="s">
        <v>1696</v>
      </c>
      <c r="O2138" s="3">
        <v>1.91224999143E11</v>
      </c>
    </row>
    <row r="2139">
      <c r="A2139" s="3">
        <v>2612407.0</v>
      </c>
      <c r="B2139" s="3" t="s">
        <v>4551</v>
      </c>
      <c r="C2139" s="3" t="b">
        <v>1</v>
      </c>
      <c r="D2139" s="3" t="b">
        <v>1</v>
      </c>
      <c r="E2139" s="3" t="s">
        <v>645</v>
      </c>
      <c r="F2139" s="3" t="s">
        <v>1206</v>
      </c>
      <c r="G2139" s="4">
        <f>+251919535987</f>
        <v>251919535987</v>
      </c>
      <c r="H2139" s="3" t="s">
        <v>18</v>
      </c>
      <c r="I2139" s="3" t="s">
        <v>19</v>
      </c>
      <c r="J2139" s="3" t="s">
        <v>19</v>
      </c>
      <c r="K2139" s="3" t="s">
        <v>25</v>
      </c>
      <c r="L2139" s="3">
        <v>26.02</v>
      </c>
      <c r="M2139" s="3" t="s">
        <v>1695</v>
      </c>
      <c r="N2139" s="3" t="s">
        <v>1696</v>
      </c>
      <c r="O2139" s="3">
        <v>1.91225001178E11</v>
      </c>
    </row>
    <row r="2140">
      <c r="A2140" s="3">
        <v>2612416.0</v>
      </c>
      <c r="B2140" s="3" t="s">
        <v>4552</v>
      </c>
      <c r="C2140" s="3" t="b">
        <v>0</v>
      </c>
      <c r="D2140" s="3" t="b">
        <v>1</v>
      </c>
      <c r="E2140" s="3" t="s">
        <v>4553</v>
      </c>
      <c r="F2140" s="3" t="s">
        <v>267</v>
      </c>
      <c r="G2140" s="4">
        <f>+251913758612</f>
        <v>251913758612</v>
      </c>
      <c r="H2140" s="3" t="s">
        <v>18</v>
      </c>
      <c r="I2140" s="3" t="s">
        <v>19</v>
      </c>
      <c r="J2140" s="3" t="s">
        <v>19</v>
      </c>
      <c r="K2140" s="3" t="s">
        <v>20</v>
      </c>
      <c r="L2140" s="3">
        <v>27.02</v>
      </c>
      <c r="M2140" s="3" t="s">
        <v>1695</v>
      </c>
      <c r="N2140" s="3" t="s">
        <v>1696</v>
      </c>
      <c r="O2140" s="3">
        <v>1.91226950871E11</v>
      </c>
    </row>
    <row r="2141">
      <c r="A2141" s="3">
        <v>2612422.0</v>
      </c>
      <c r="B2141" s="3" t="s">
        <v>4554</v>
      </c>
      <c r="C2141" s="3" t="b">
        <v>0</v>
      </c>
      <c r="D2141" s="3" t="b">
        <v>1</v>
      </c>
      <c r="E2141" s="3" t="s">
        <v>4555</v>
      </c>
      <c r="F2141" s="3" t="s">
        <v>4556</v>
      </c>
      <c r="G2141" s="4">
        <f>+251966098887</f>
        <v>251966098887</v>
      </c>
      <c r="H2141" s="3" t="s">
        <v>18</v>
      </c>
      <c r="I2141" s="3" t="s">
        <v>19</v>
      </c>
      <c r="J2141" s="3" t="s">
        <v>19</v>
      </c>
      <c r="K2141" s="3" t="s">
        <v>20</v>
      </c>
      <c r="L2141" s="3">
        <v>23.02</v>
      </c>
      <c r="M2141" s="3" t="s">
        <v>1695</v>
      </c>
      <c r="N2141" s="3" t="s">
        <v>1696</v>
      </c>
      <c r="O2141" s="3">
        <v>1.9119968791E11</v>
      </c>
    </row>
    <row r="2142">
      <c r="A2142" s="3">
        <v>2612431.0</v>
      </c>
      <c r="B2142" s="3" t="s">
        <v>4557</v>
      </c>
      <c r="C2142" s="3" t="b">
        <v>0</v>
      </c>
      <c r="D2142" s="3" t="b">
        <v>1</v>
      </c>
      <c r="E2142" s="3" t="s">
        <v>1208</v>
      </c>
      <c r="F2142" s="3" t="s">
        <v>1271</v>
      </c>
      <c r="G2142" s="4">
        <f>+251924821023</f>
        <v>251924821023</v>
      </c>
      <c r="H2142" s="3" t="s">
        <v>18</v>
      </c>
      <c r="I2142" s="3" t="s">
        <v>19</v>
      </c>
      <c r="J2142" s="3" t="s">
        <v>19</v>
      </c>
      <c r="K2142" s="3" t="s">
        <v>20</v>
      </c>
      <c r="L2142" s="3">
        <v>25.02</v>
      </c>
      <c r="M2142" s="3" t="s">
        <v>1695</v>
      </c>
      <c r="N2142" s="3" t="s">
        <v>1696</v>
      </c>
      <c r="O2142" s="3">
        <v>1.91199802556E11</v>
      </c>
    </row>
    <row r="2143">
      <c r="A2143" s="3">
        <v>2612433.0</v>
      </c>
      <c r="B2143" s="3" t="s">
        <v>4558</v>
      </c>
      <c r="C2143" s="3" t="b">
        <v>0</v>
      </c>
      <c r="D2143" s="3" t="b">
        <v>1</v>
      </c>
      <c r="E2143" s="3" t="s">
        <v>4559</v>
      </c>
      <c r="F2143" s="3" t="s">
        <v>4560</v>
      </c>
      <c r="G2143" s="4">
        <f>+251935086660</f>
        <v>251935086660</v>
      </c>
      <c r="H2143" s="3" t="s">
        <v>18</v>
      </c>
      <c r="I2143" s="3" t="s">
        <v>19</v>
      </c>
      <c r="J2143" s="3" t="s">
        <v>19</v>
      </c>
      <c r="K2143" s="3" t="s">
        <v>25</v>
      </c>
      <c r="L2143" s="3">
        <v>25.02</v>
      </c>
      <c r="M2143" s="3" t="s">
        <v>1695</v>
      </c>
      <c r="N2143" s="3" t="s">
        <v>1696</v>
      </c>
      <c r="O2143" s="3">
        <v>1.91225524448E11</v>
      </c>
    </row>
    <row r="2144">
      <c r="A2144" s="3">
        <v>2612444.0</v>
      </c>
      <c r="B2144" s="3" t="s">
        <v>4561</v>
      </c>
      <c r="C2144" s="3" t="b">
        <v>0</v>
      </c>
      <c r="D2144" s="3" t="b">
        <v>1</v>
      </c>
      <c r="E2144" s="3" t="s">
        <v>479</v>
      </c>
      <c r="F2144" s="3" t="s">
        <v>4562</v>
      </c>
      <c r="G2144" s="4">
        <f>+251939994167</f>
        <v>251939994167</v>
      </c>
      <c r="H2144" s="3" t="s">
        <v>18</v>
      </c>
      <c r="I2144" s="3" t="s">
        <v>19</v>
      </c>
      <c r="J2144" s="3" t="s">
        <v>19</v>
      </c>
      <c r="K2144" s="3" t="s">
        <v>25</v>
      </c>
      <c r="L2144" s="3">
        <v>25.02</v>
      </c>
      <c r="M2144" s="3" t="s">
        <v>1695</v>
      </c>
      <c r="N2144" s="3" t="s">
        <v>1696</v>
      </c>
      <c r="O2144" s="3">
        <v>1.91225685182E11</v>
      </c>
    </row>
    <row r="2145">
      <c r="A2145" s="3">
        <v>2612460.0</v>
      </c>
      <c r="B2145" s="3" t="s">
        <v>4563</v>
      </c>
      <c r="C2145" s="3" t="b">
        <v>1</v>
      </c>
      <c r="D2145" s="3" t="b">
        <v>1</v>
      </c>
      <c r="E2145" s="3" t="s">
        <v>1814</v>
      </c>
      <c r="F2145" s="3" t="s">
        <v>1130</v>
      </c>
      <c r="G2145" s="4">
        <f>+251917836413</f>
        <v>251917836413</v>
      </c>
      <c r="H2145" s="3" t="s">
        <v>18</v>
      </c>
      <c r="I2145" s="3" t="s">
        <v>19</v>
      </c>
      <c r="J2145" s="3" t="s">
        <v>19</v>
      </c>
      <c r="K2145" s="3" t="s">
        <v>25</v>
      </c>
      <c r="L2145" s="3">
        <v>25.02</v>
      </c>
      <c r="M2145" s="3" t="s">
        <v>1695</v>
      </c>
      <c r="N2145" s="3" t="s">
        <v>1696</v>
      </c>
      <c r="O2145" s="3">
        <v>1.91203340482E11</v>
      </c>
    </row>
    <row r="2146">
      <c r="A2146" s="3">
        <v>2612467.0</v>
      </c>
      <c r="B2146" s="3" t="s">
        <v>4564</v>
      </c>
      <c r="C2146" s="3" t="b">
        <v>0</v>
      </c>
      <c r="D2146" s="3" t="b">
        <v>1</v>
      </c>
      <c r="E2146" s="3" t="s">
        <v>4565</v>
      </c>
      <c r="F2146" s="3" t="s">
        <v>4566</v>
      </c>
      <c r="G2146" s="4">
        <f>+251900867105</f>
        <v>251900867105</v>
      </c>
      <c r="H2146" s="3" t="s">
        <v>18</v>
      </c>
      <c r="I2146" s="3" t="s">
        <v>19</v>
      </c>
      <c r="J2146" s="3" t="s">
        <v>19</v>
      </c>
      <c r="K2146" s="3" t="s">
        <v>20</v>
      </c>
      <c r="L2146" s="3">
        <v>25.02</v>
      </c>
      <c r="M2146" s="3" t="s">
        <v>1695</v>
      </c>
      <c r="N2146" s="3" t="s">
        <v>1696</v>
      </c>
      <c r="O2146" s="3">
        <v>1.91234631878E11</v>
      </c>
    </row>
    <row r="2147">
      <c r="A2147" s="3">
        <v>2612477.0</v>
      </c>
      <c r="B2147" s="3" t="s">
        <v>4567</v>
      </c>
      <c r="C2147" s="3" t="b">
        <v>0</v>
      </c>
      <c r="D2147" s="3" t="b">
        <v>1</v>
      </c>
      <c r="E2147" s="3" t="s">
        <v>4568</v>
      </c>
      <c r="F2147" s="3" t="s">
        <v>4569</v>
      </c>
      <c r="G2147" s="4">
        <f>+251933897197</f>
        <v>251933897197</v>
      </c>
      <c r="H2147" s="3" t="s">
        <v>18</v>
      </c>
      <c r="I2147" s="3" t="s">
        <v>19</v>
      </c>
      <c r="J2147" s="3" t="s">
        <v>19</v>
      </c>
      <c r="K2147" s="3" t="s">
        <v>25</v>
      </c>
      <c r="L2147" s="3">
        <v>31.36</v>
      </c>
      <c r="M2147" s="3" t="s">
        <v>1695</v>
      </c>
      <c r="N2147" s="3" t="s">
        <v>1696</v>
      </c>
      <c r="O2147" s="3">
        <v>1.91205243115E11</v>
      </c>
    </row>
    <row r="2148">
      <c r="A2148" s="3">
        <v>2612488.0</v>
      </c>
      <c r="B2148" s="3" t="s">
        <v>4570</v>
      </c>
      <c r="C2148" s="3" t="b">
        <v>0</v>
      </c>
      <c r="D2148" s="3" t="b">
        <v>1</v>
      </c>
      <c r="E2148" s="3" t="s">
        <v>1383</v>
      </c>
      <c r="F2148" s="3" t="s">
        <v>4571</v>
      </c>
      <c r="G2148" s="4">
        <f>+251923201000</f>
        <v>251923201000</v>
      </c>
      <c r="H2148" s="3" t="s">
        <v>18</v>
      </c>
      <c r="I2148" s="3" t="s">
        <v>19</v>
      </c>
      <c r="J2148" s="3" t="s">
        <v>19</v>
      </c>
      <c r="K2148" s="3" t="s">
        <v>25</v>
      </c>
      <c r="L2148" s="3">
        <v>25.02</v>
      </c>
      <c r="M2148" s="3" t="s">
        <v>1695</v>
      </c>
      <c r="N2148" s="3" t="s">
        <v>1696</v>
      </c>
      <c r="O2148" s="3">
        <v>1.91204672708E11</v>
      </c>
    </row>
    <row r="2149">
      <c r="A2149" s="3">
        <v>2612499.0</v>
      </c>
      <c r="B2149" s="3" t="s">
        <v>4572</v>
      </c>
      <c r="C2149" s="3" t="b">
        <v>1</v>
      </c>
      <c r="D2149" s="3" t="b">
        <v>1</v>
      </c>
      <c r="E2149" s="3" t="s">
        <v>178</v>
      </c>
      <c r="F2149" s="3" t="s">
        <v>64</v>
      </c>
      <c r="G2149" s="4">
        <f>+251910359965</f>
        <v>251910359965</v>
      </c>
      <c r="H2149" s="3" t="s">
        <v>18</v>
      </c>
      <c r="I2149" s="3" t="s">
        <v>19</v>
      </c>
      <c r="J2149" s="3" t="s">
        <v>19</v>
      </c>
      <c r="K2149" s="3" t="s">
        <v>25</v>
      </c>
      <c r="L2149" s="3">
        <v>28.35</v>
      </c>
      <c r="M2149" s="3" t="s">
        <v>1695</v>
      </c>
      <c r="N2149" s="3" t="s">
        <v>1696</v>
      </c>
      <c r="O2149" s="3">
        <v>1.91227559135E11</v>
      </c>
    </row>
    <row r="2150">
      <c r="A2150" s="3">
        <v>52621.0</v>
      </c>
      <c r="B2150" s="3" t="s">
        <v>4573</v>
      </c>
      <c r="C2150" s="3" t="b">
        <v>1</v>
      </c>
      <c r="D2150" s="3" t="b">
        <v>1</v>
      </c>
      <c r="E2150" s="3" t="s">
        <v>518</v>
      </c>
      <c r="F2150" s="3" t="s">
        <v>165</v>
      </c>
      <c r="G2150" s="4">
        <f>+251979888290</f>
        <v>251979888290</v>
      </c>
      <c r="H2150" s="3" t="s">
        <v>18</v>
      </c>
      <c r="I2150" s="3" t="s">
        <v>19</v>
      </c>
      <c r="J2150" s="3" t="s">
        <v>19</v>
      </c>
      <c r="K2150" s="3" t="s">
        <v>25</v>
      </c>
      <c r="L2150" s="3">
        <v>26.83</v>
      </c>
      <c r="M2150" s="3" t="s">
        <v>1695</v>
      </c>
      <c r="N2150" s="3" t="s">
        <v>1696</v>
      </c>
      <c r="O2150" s="3">
        <v>5798400.0</v>
      </c>
    </row>
    <row r="2151">
      <c r="A2151" s="3">
        <v>2612531.0</v>
      </c>
      <c r="B2151" s="3" t="s">
        <v>4574</v>
      </c>
      <c r="C2151" s="3" t="b">
        <v>1</v>
      </c>
      <c r="D2151" s="3" t="b">
        <v>1</v>
      </c>
      <c r="E2151" s="3" t="s">
        <v>4575</v>
      </c>
      <c r="F2151" s="3" t="s">
        <v>4576</v>
      </c>
      <c r="G2151" s="4">
        <f>+251920544117</f>
        <v>251920544117</v>
      </c>
      <c r="H2151" s="3" t="s">
        <v>18</v>
      </c>
      <c r="I2151" s="3" t="s">
        <v>19</v>
      </c>
      <c r="J2151" s="3" t="s">
        <v>19</v>
      </c>
      <c r="K2151" s="3" t="s">
        <v>25</v>
      </c>
      <c r="L2151" s="3">
        <v>30.26</v>
      </c>
      <c r="M2151" s="3" t="s">
        <v>1695</v>
      </c>
      <c r="N2151" s="3" t="s">
        <v>1696</v>
      </c>
      <c r="O2151" s="3">
        <v>1.91260538059E11</v>
      </c>
    </row>
    <row r="2152">
      <c r="A2152" s="3">
        <v>2612532.0</v>
      </c>
      <c r="B2152" s="3" t="s">
        <v>4577</v>
      </c>
      <c r="C2152" s="3" t="b">
        <v>0</v>
      </c>
      <c r="D2152" s="3" t="b">
        <v>1</v>
      </c>
      <c r="E2152" s="3" t="s">
        <v>4578</v>
      </c>
      <c r="F2152" s="3" t="s">
        <v>4579</v>
      </c>
      <c r="G2152" s="4">
        <f>+251093130061</f>
        <v>251093130061</v>
      </c>
      <c r="H2152" s="3" t="s">
        <v>18</v>
      </c>
      <c r="I2152" s="3" t="s">
        <v>19</v>
      </c>
      <c r="J2152" s="3" t="s">
        <v>19</v>
      </c>
      <c r="K2152" s="3" t="s">
        <v>20</v>
      </c>
      <c r="L2152" s="3">
        <v>28.02</v>
      </c>
      <c r="M2152" s="3" t="s">
        <v>1695</v>
      </c>
      <c r="N2152" s="3" t="s">
        <v>1696</v>
      </c>
      <c r="O2152" s="3">
        <v>1.91245205701E11</v>
      </c>
    </row>
    <row r="2153">
      <c r="A2153" s="3">
        <v>2612540.0</v>
      </c>
      <c r="B2153" s="3" t="s">
        <v>4580</v>
      </c>
      <c r="C2153" s="3" t="b">
        <v>0</v>
      </c>
      <c r="D2153" s="3" t="b">
        <v>1</v>
      </c>
      <c r="E2153" s="3" t="s">
        <v>642</v>
      </c>
      <c r="F2153" s="3" t="s">
        <v>111</v>
      </c>
      <c r="G2153" s="4">
        <f>+251915051750</f>
        <v>251915051750</v>
      </c>
      <c r="H2153" s="3" t="s">
        <v>18</v>
      </c>
      <c r="I2153" s="3" t="s">
        <v>19</v>
      </c>
      <c r="J2153" s="3" t="s">
        <v>19</v>
      </c>
      <c r="K2153" s="3" t="s">
        <v>25</v>
      </c>
      <c r="L2153" s="3">
        <v>25.02</v>
      </c>
      <c r="M2153" s="3" t="s">
        <v>1695</v>
      </c>
      <c r="N2153" s="3" t="s">
        <v>1696</v>
      </c>
    </row>
    <row r="2154">
      <c r="A2154" s="3">
        <v>2612561.0</v>
      </c>
      <c r="B2154" s="3" t="s">
        <v>4581</v>
      </c>
      <c r="C2154" s="3" t="b">
        <v>0</v>
      </c>
      <c r="D2154" s="3" t="b">
        <v>1</v>
      </c>
      <c r="E2154" s="3" t="s">
        <v>3089</v>
      </c>
      <c r="F2154" s="3" t="s">
        <v>4582</v>
      </c>
      <c r="G2154" s="4">
        <f>+251935077310</f>
        <v>251935077310</v>
      </c>
      <c r="H2154" s="3" t="s">
        <v>18</v>
      </c>
      <c r="I2154" s="3" t="s">
        <v>19</v>
      </c>
      <c r="J2154" s="3" t="s">
        <v>19</v>
      </c>
      <c r="K2154" s="3" t="s">
        <v>25</v>
      </c>
      <c r="L2154" s="3">
        <v>20.95</v>
      </c>
      <c r="M2154" s="3" t="s">
        <v>1695</v>
      </c>
      <c r="N2154" s="3" t="s">
        <v>1696</v>
      </c>
      <c r="O2154" s="3">
        <v>1.91268893909E11</v>
      </c>
    </row>
    <row r="2155">
      <c r="A2155" s="3">
        <v>2612557.0</v>
      </c>
      <c r="B2155" s="3" t="s">
        <v>4583</v>
      </c>
      <c r="C2155" s="3" t="b">
        <v>0</v>
      </c>
      <c r="D2155" s="3" t="b">
        <v>1</v>
      </c>
      <c r="E2155" s="3" t="s">
        <v>2537</v>
      </c>
      <c r="F2155" s="3" t="s">
        <v>4584</v>
      </c>
      <c r="G2155" s="4">
        <f>+251988999669</f>
        <v>251988999669</v>
      </c>
      <c r="H2155" s="3" t="s">
        <v>18</v>
      </c>
      <c r="I2155" s="3" t="s">
        <v>19</v>
      </c>
      <c r="J2155" s="3" t="s">
        <v>19</v>
      </c>
      <c r="K2155" s="3" t="s">
        <v>20</v>
      </c>
      <c r="L2155" s="3">
        <v>23.02</v>
      </c>
      <c r="M2155" s="3" t="s">
        <v>1695</v>
      </c>
      <c r="N2155" s="3" t="s">
        <v>1696</v>
      </c>
      <c r="O2155" s="3">
        <v>1.9127123788E11</v>
      </c>
    </row>
    <row r="2156">
      <c r="A2156" s="3">
        <v>2612569.0</v>
      </c>
      <c r="B2156" s="3" t="s">
        <v>4585</v>
      </c>
      <c r="C2156" s="3" t="b">
        <v>0</v>
      </c>
      <c r="D2156" s="3" t="b">
        <v>1</v>
      </c>
      <c r="E2156" s="3" t="s">
        <v>3406</v>
      </c>
      <c r="F2156" s="3" t="s">
        <v>4586</v>
      </c>
      <c r="G2156" s="4">
        <f>+251925696554</f>
        <v>251925696554</v>
      </c>
      <c r="H2156" s="3" t="s">
        <v>18</v>
      </c>
      <c r="I2156" s="3" t="s">
        <v>19</v>
      </c>
      <c r="J2156" s="3" t="s">
        <v>19</v>
      </c>
      <c r="K2156" s="3" t="s">
        <v>25</v>
      </c>
      <c r="L2156" s="3">
        <v>23.96</v>
      </c>
      <c r="M2156" s="3" t="s">
        <v>1695</v>
      </c>
      <c r="N2156" s="3" t="s">
        <v>1696</v>
      </c>
      <c r="O2156" s="3">
        <v>1.9126846078E11</v>
      </c>
    </row>
    <row r="2157">
      <c r="A2157" s="3">
        <v>2612572.0</v>
      </c>
      <c r="B2157" s="3" t="s">
        <v>4587</v>
      </c>
      <c r="C2157" s="3" t="b">
        <v>0</v>
      </c>
      <c r="D2157" s="3" t="b">
        <v>1</v>
      </c>
      <c r="E2157" s="3" t="s">
        <v>689</v>
      </c>
      <c r="F2157" s="3" t="s">
        <v>4588</v>
      </c>
      <c r="G2157" s="4">
        <f>+25194730502</f>
        <v>25194730502</v>
      </c>
      <c r="H2157" s="3" t="s">
        <v>18</v>
      </c>
      <c r="I2157" s="3" t="s">
        <v>19</v>
      </c>
      <c r="J2157" s="3" t="s">
        <v>19</v>
      </c>
      <c r="K2157" s="3" t="s">
        <v>20</v>
      </c>
      <c r="L2157" s="3">
        <v>25.02</v>
      </c>
      <c r="M2157" s="3" t="s">
        <v>1695</v>
      </c>
      <c r="N2157" s="3" t="s">
        <v>1696</v>
      </c>
      <c r="O2157" s="3">
        <v>1.91276783858E11</v>
      </c>
    </row>
    <row r="2158">
      <c r="A2158" s="3">
        <v>2612585.0</v>
      </c>
      <c r="B2158" s="3" t="s">
        <v>4589</v>
      </c>
      <c r="C2158" s="3" t="b">
        <v>1</v>
      </c>
      <c r="D2158" s="3" t="b">
        <v>1</v>
      </c>
      <c r="E2158" s="3" t="s">
        <v>3089</v>
      </c>
      <c r="F2158" s="3" t="s">
        <v>4153</v>
      </c>
      <c r="G2158" s="4">
        <f>+251944577317</f>
        <v>251944577317</v>
      </c>
      <c r="H2158" s="3" t="s">
        <v>18</v>
      </c>
      <c r="I2158" s="3" t="s">
        <v>19</v>
      </c>
      <c r="J2158" s="3" t="s">
        <v>19</v>
      </c>
      <c r="K2158" s="3" t="s">
        <v>25</v>
      </c>
      <c r="L2158" s="3">
        <v>24.02</v>
      </c>
      <c r="M2158" s="3" t="s">
        <v>1695</v>
      </c>
      <c r="N2158" s="3" t="s">
        <v>1696</v>
      </c>
      <c r="O2158" s="3">
        <v>1.91277475064E11</v>
      </c>
    </row>
    <row r="2159">
      <c r="A2159" s="3">
        <v>2612594.0</v>
      </c>
      <c r="B2159" s="3" t="s">
        <v>4590</v>
      </c>
      <c r="C2159" s="3" t="b">
        <v>0</v>
      </c>
      <c r="D2159" s="3" t="b">
        <v>1</v>
      </c>
      <c r="E2159" s="3" t="s">
        <v>3089</v>
      </c>
      <c r="F2159" s="3" t="s">
        <v>922</v>
      </c>
      <c r="G2159" s="4">
        <f>+251913951965</f>
        <v>251913951965</v>
      </c>
      <c r="H2159" s="3" t="s">
        <v>18</v>
      </c>
      <c r="I2159" s="3" t="s">
        <v>19</v>
      </c>
      <c r="J2159" s="3" t="s">
        <v>19</v>
      </c>
      <c r="K2159" s="3" t="s">
        <v>25</v>
      </c>
      <c r="L2159" s="3">
        <v>26.95</v>
      </c>
      <c r="M2159" s="3" t="s">
        <v>1695</v>
      </c>
      <c r="N2159" s="3" t="s">
        <v>1696</v>
      </c>
      <c r="O2159" s="3">
        <v>1.91322289344E11</v>
      </c>
    </row>
    <row r="2160">
      <c r="A2160" s="3">
        <v>2612586.0</v>
      </c>
      <c r="B2160" s="3" t="s">
        <v>4591</v>
      </c>
      <c r="C2160" s="3" t="b">
        <v>0</v>
      </c>
      <c r="D2160" s="3" t="b">
        <v>1</v>
      </c>
      <c r="E2160" s="3" t="s">
        <v>3812</v>
      </c>
      <c r="F2160" s="3" t="s">
        <v>4592</v>
      </c>
      <c r="G2160" s="4">
        <f>+251961602711</f>
        <v>251961602711</v>
      </c>
      <c r="H2160" s="3" t="s">
        <v>18</v>
      </c>
      <c r="I2160" s="3" t="s">
        <v>19</v>
      </c>
      <c r="J2160" s="3" t="s">
        <v>19</v>
      </c>
      <c r="K2160" s="3" t="s">
        <v>25</v>
      </c>
      <c r="L2160" s="3">
        <v>25.02</v>
      </c>
      <c r="M2160" s="3" t="s">
        <v>1695</v>
      </c>
      <c r="N2160" s="3" t="s">
        <v>1696</v>
      </c>
      <c r="O2160" s="3">
        <v>1.9127637426E11</v>
      </c>
    </row>
    <row r="2161">
      <c r="A2161" s="3">
        <v>2612605.0</v>
      </c>
      <c r="B2161" s="3" t="s">
        <v>4593</v>
      </c>
      <c r="C2161" s="3" t="b">
        <v>0</v>
      </c>
      <c r="D2161" s="3" t="b">
        <v>1</v>
      </c>
      <c r="E2161" s="3" t="s">
        <v>826</v>
      </c>
      <c r="F2161" s="3" t="s">
        <v>4594</v>
      </c>
      <c r="G2161" s="4">
        <f>+251986106752</f>
        <v>251986106752</v>
      </c>
      <c r="H2161" s="3" t="s">
        <v>18</v>
      </c>
      <c r="I2161" s="3" t="s">
        <v>19</v>
      </c>
      <c r="J2161" s="3" t="s">
        <v>19</v>
      </c>
      <c r="K2161" s="3" t="s">
        <v>25</v>
      </c>
      <c r="L2161" s="3">
        <v>26.88</v>
      </c>
      <c r="M2161" s="3" t="s">
        <v>1695</v>
      </c>
      <c r="N2161" s="3" t="s">
        <v>1696</v>
      </c>
      <c r="O2161" s="3">
        <v>1.91324003546E11</v>
      </c>
    </row>
    <row r="2162">
      <c r="A2162" s="3">
        <v>2612607.0</v>
      </c>
      <c r="B2162" s="3" t="s">
        <v>4595</v>
      </c>
      <c r="C2162" s="3" t="b">
        <v>0</v>
      </c>
      <c r="D2162" s="3" t="b">
        <v>1</v>
      </c>
      <c r="E2162" s="3" t="s">
        <v>1141</v>
      </c>
      <c r="F2162" s="3" t="s">
        <v>1177</v>
      </c>
      <c r="G2162" s="4">
        <f>+251927173007</f>
        <v>251927173007</v>
      </c>
      <c r="H2162" s="3" t="s">
        <v>18</v>
      </c>
      <c r="I2162" s="3" t="s">
        <v>19</v>
      </c>
      <c r="J2162" s="3" t="s">
        <v>19</v>
      </c>
      <c r="K2162" s="3" t="s">
        <v>25</v>
      </c>
      <c r="L2162" s="3">
        <v>28.02</v>
      </c>
      <c r="M2162" s="3" t="s">
        <v>1695</v>
      </c>
      <c r="N2162" s="3" t="s">
        <v>1696</v>
      </c>
      <c r="O2162" s="3">
        <v>1.91285029077E11</v>
      </c>
    </row>
    <row r="2163">
      <c r="A2163" s="3">
        <v>2612608.0</v>
      </c>
      <c r="B2163" s="3" t="s">
        <v>4596</v>
      </c>
      <c r="C2163" s="3" t="b">
        <v>0</v>
      </c>
      <c r="D2163" s="3" t="b">
        <v>1</v>
      </c>
      <c r="E2163" s="3" t="s">
        <v>3877</v>
      </c>
      <c r="F2163" s="3" t="s">
        <v>4597</v>
      </c>
      <c r="G2163" s="4">
        <f>+10930646614</f>
        <v>10930646614</v>
      </c>
      <c r="H2163" s="3" t="s">
        <v>18</v>
      </c>
      <c r="I2163" s="3" t="s">
        <v>19</v>
      </c>
      <c r="J2163" s="3" t="s">
        <v>19</v>
      </c>
      <c r="K2163" s="3" t="s">
        <v>25</v>
      </c>
      <c r="L2163" s="3">
        <v>27.37</v>
      </c>
      <c r="M2163" s="3" t="s">
        <v>1695</v>
      </c>
      <c r="N2163" s="3" t="s">
        <v>1696</v>
      </c>
      <c r="O2163" s="3">
        <v>1.91296079037E11</v>
      </c>
    </row>
    <row r="2164">
      <c r="A2164" s="3">
        <v>2612614.0</v>
      </c>
      <c r="B2164" s="3" t="s">
        <v>4598</v>
      </c>
      <c r="C2164" s="3" t="b">
        <v>0</v>
      </c>
      <c r="D2164" s="3" t="b">
        <v>1</v>
      </c>
      <c r="E2164" s="3" t="s">
        <v>747</v>
      </c>
      <c r="F2164" s="3" t="s">
        <v>4599</v>
      </c>
      <c r="G2164" s="4">
        <f>+251988998268</f>
        <v>251988998268</v>
      </c>
      <c r="H2164" s="3" t="s">
        <v>18</v>
      </c>
      <c r="I2164" s="3" t="s">
        <v>19</v>
      </c>
      <c r="J2164" s="3" t="s">
        <v>19</v>
      </c>
      <c r="K2164" s="3" t="s">
        <v>25</v>
      </c>
      <c r="L2164" s="3">
        <v>25.26</v>
      </c>
      <c r="M2164" s="3" t="s">
        <v>1695</v>
      </c>
      <c r="N2164" s="3" t="s">
        <v>1696</v>
      </c>
      <c r="O2164" s="3">
        <v>1.91298036975E11</v>
      </c>
    </row>
    <row r="2165">
      <c r="A2165" s="3">
        <v>2612622.0</v>
      </c>
      <c r="B2165" s="3" t="s">
        <v>4600</v>
      </c>
      <c r="C2165" s="3" t="b">
        <v>0</v>
      </c>
      <c r="D2165" s="3" t="b">
        <v>1</v>
      </c>
      <c r="E2165" s="3" t="s">
        <v>4601</v>
      </c>
      <c r="F2165" s="3" t="s">
        <v>970</v>
      </c>
      <c r="G2165" s="4">
        <f>+251921080114</f>
        <v>251921080114</v>
      </c>
      <c r="H2165" s="3" t="s">
        <v>18</v>
      </c>
      <c r="I2165" s="3" t="s">
        <v>19</v>
      </c>
      <c r="J2165" s="3" t="s">
        <v>19</v>
      </c>
      <c r="K2165" s="3" t="s">
        <v>25</v>
      </c>
      <c r="L2165" s="3">
        <v>36.35</v>
      </c>
      <c r="M2165" s="3" t="s">
        <v>1695</v>
      </c>
      <c r="N2165" s="3" t="s">
        <v>1696</v>
      </c>
      <c r="O2165" s="3">
        <v>1.91324259526E11</v>
      </c>
    </row>
    <row r="2166">
      <c r="A2166" s="3">
        <v>2612631.0</v>
      </c>
      <c r="B2166" s="3" t="s">
        <v>4602</v>
      </c>
      <c r="C2166" s="3" t="b">
        <v>0</v>
      </c>
      <c r="D2166" s="3" t="b">
        <v>1</v>
      </c>
      <c r="E2166" s="3" t="s">
        <v>409</v>
      </c>
      <c r="F2166" s="3" t="s">
        <v>4603</v>
      </c>
      <c r="G2166" s="4">
        <f>+251919341746</f>
        <v>251919341746</v>
      </c>
      <c r="H2166" s="3" t="s">
        <v>18</v>
      </c>
      <c r="I2166" s="3" t="s">
        <v>19</v>
      </c>
      <c r="J2166" s="3" t="s">
        <v>19</v>
      </c>
      <c r="K2166" s="3" t="s">
        <v>25</v>
      </c>
      <c r="L2166" s="3">
        <v>23.87</v>
      </c>
      <c r="M2166" s="3" t="s">
        <v>1695</v>
      </c>
      <c r="N2166" s="3" t="s">
        <v>1696</v>
      </c>
      <c r="O2166" s="3">
        <v>1.91299431642E11</v>
      </c>
    </row>
    <row r="2167">
      <c r="A2167" s="3">
        <v>2612634.0</v>
      </c>
      <c r="B2167" s="3" t="s">
        <v>4604</v>
      </c>
      <c r="C2167" s="3" t="b">
        <v>0</v>
      </c>
      <c r="D2167" s="3" t="b">
        <v>1</v>
      </c>
      <c r="E2167" s="3" t="s">
        <v>4092</v>
      </c>
      <c r="F2167" s="3" t="s">
        <v>4093</v>
      </c>
      <c r="G2167" s="4">
        <f>+251937431906</f>
        <v>251937431906</v>
      </c>
      <c r="H2167" s="3" t="s">
        <v>18</v>
      </c>
      <c r="I2167" s="3" t="s">
        <v>19</v>
      </c>
      <c r="J2167" s="3" t="s">
        <v>19</v>
      </c>
      <c r="K2167" s="3" t="s">
        <v>20</v>
      </c>
      <c r="L2167" s="3">
        <v>25.07</v>
      </c>
      <c r="M2167" s="3" t="s">
        <v>1695</v>
      </c>
      <c r="N2167" s="3" t="s">
        <v>1696</v>
      </c>
      <c r="O2167" s="3">
        <v>1.91310422211E11</v>
      </c>
    </row>
    <row r="2168">
      <c r="A2168" s="3">
        <v>2612647.0</v>
      </c>
      <c r="B2168" s="3" t="s">
        <v>4605</v>
      </c>
      <c r="C2168" s="3" t="b">
        <v>0</v>
      </c>
      <c r="D2168" s="3" t="b">
        <v>1</v>
      </c>
      <c r="E2168" s="3" t="s">
        <v>4606</v>
      </c>
      <c r="F2168" s="3" t="s">
        <v>750</v>
      </c>
      <c r="G2168" s="4">
        <f>+251932954964</f>
        <v>251932954964</v>
      </c>
      <c r="H2168" s="3" t="s">
        <v>18</v>
      </c>
      <c r="I2168" s="3" t="s">
        <v>19</v>
      </c>
      <c r="J2168" s="3" t="s">
        <v>19</v>
      </c>
      <c r="K2168" s="3" t="s">
        <v>25</v>
      </c>
      <c r="L2168" s="3">
        <v>23.94</v>
      </c>
      <c r="M2168" s="3" t="s">
        <v>1695</v>
      </c>
      <c r="N2168" s="3" t="s">
        <v>1696</v>
      </c>
      <c r="O2168" s="3">
        <v>1.91311454424E11</v>
      </c>
    </row>
    <row r="2169">
      <c r="A2169" s="3">
        <v>2612660.0</v>
      </c>
      <c r="B2169" s="3" t="s">
        <v>4607</v>
      </c>
      <c r="C2169" s="3" t="b">
        <v>0</v>
      </c>
      <c r="D2169" s="3" t="b">
        <v>1</v>
      </c>
      <c r="E2169" s="3" t="s">
        <v>4510</v>
      </c>
      <c r="F2169" s="3" t="s">
        <v>4113</v>
      </c>
      <c r="G2169" s="4">
        <f>+251922207990</f>
        <v>251922207990</v>
      </c>
      <c r="H2169" s="3" t="s">
        <v>18</v>
      </c>
      <c r="I2169" s="3" t="s">
        <v>19</v>
      </c>
      <c r="J2169" s="3" t="s">
        <v>19</v>
      </c>
      <c r="K2169" s="3" t="s">
        <v>25</v>
      </c>
      <c r="L2169" s="3">
        <v>25.08</v>
      </c>
      <c r="M2169" s="3" t="s">
        <v>1695</v>
      </c>
      <c r="N2169" s="3" t="s">
        <v>1696</v>
      </c>
      <c r="O2169" s="3">
        <v>1.91313486046E11</v>
      </c>
    </row>
    <row r="2170">
      <c r="A2170" s="3">
        <v>2612658.0</v>
      </c>
      <c r="B2170" s="3" t="s">
        <v>4608</v>
      </c>
      <c r="C2170" s="3" t="b">
        <v>0</v>
      </c>
      <c r="D2170" s="3" t="b">
        <v>1</v>
      </c>
      <c r="E2170" s="3" t="s">
        <v>4609</v>
      </c>
      <c r="F2170" s="3" t="s">
        <v>4610</v>
      </c>
      <c r="G2170" s="4">
        <f>+251929684179</f>
        <v>251929684179</v>
      </c>
      <c r="H2170" s="3" t="s">
        <v>18</v>
      </c>
      <c r="I2170" s="3" t="s">
        <v>19</v>
      </c>
      <c r="J2170" s="3" t="s">
        <v>19</v>
      </c>
      <c r="K2170" s="3" t="s">
        <v>25</v>
      </c>
      <c r="L2170" s="3">
        <v>25.96</v>
      </c>
      <c r="M2170" s="3" t="s">
        <v>1695</v>
      </c>
      <c r="N2170" s="3" t="s">
        <v>1696</v>
      </c>
      <c r="O2170" s="3">
        <v>1.91336633575E11</v>
      </c>
    </row>
    <row r="2171">
      <c r="A2171" s="3">
        <v>2612676.0</v>
      </c>
      <c r="B2171" s="3" t="s">
        <v>4611</v>
      </c>
      <c r="C2171" s="3" t="b">
        <v>0</v>
      </c>
      <c r="D2171" s="3" t="b">
        <v>1</v>
      </c>
      <c r="E2171" s="3" t="s">
        <v>3877</v>
      </c>
      <c r="F2171" s="3" t="s">
        <v>32</v>
      </c>
      <c r="G2171" s="4">
        <f>+251917361282</f>
        <v>251917361282</v>
      </c>
      <c r="H2171" s="3" t="s">
        <v>18</v>
      </c>
      <c r="I2171" s="3" t="s">
        <v>19</v>
      </c>
      <c r="J2171" s="3" t="s">
        <v>19</v>
      </c>
      <c r="K2171" s="3" t="s">
        <v>25</v>
      </c>
      <c r="L2171" s="3">
        <v>25.02</v>
      </c>
      <c r="M2171" s="3" t="s">
        <v>1695</v>
      </c>
      <c r="N2171" s="3" t="s">
        <v>1696</v>
      </c>
      <c r="O2171" s="3">
        <v>1.91316677839E11</v>
      </c>
    </row>
    <row r="2172">
      <c r="A2172" s="3">
        <v>2612673.0</v>
      </c>
      <c r="B2172" s="3" t="s">
        <v>4612</v>
      </c>
      <c r="C2172" s="3" t="b">
        <v>0</v>
      </c>
      <c r="D2172" s="3" t="b">
        <v>0</v>
      </c>
      <c r="E2172" s="3" t="s">
        <v>1208</v>
      </c>
      <c r="F2172" s="3" t="s">
        <v>4613</v>
      </c>
      <c r="G2172" s="4">
        <f>+251906600756</f>
        <v>251906600756</v>
      </c>
      <c r="H2172" s="3" t="s">
        <v>18</v>
      </c>
      <c r="I2172" s="3" t="s">
        <v>19</v>
      </c>
      <c r="J2172" s="3" t="s">
        <v>19</v>
      </c>
      <c r="K2172" s="3" t="s">
        <v>20</v>
      </c>
      <c r="L2172" s="3">
        <v>24.02</v>
      </c>
      <c r="M2172" s="3" t="s">
        <v>1695</v>
      </c>
      <c r="N2172" s="3" t="s">
        <v>1696</v>
      </c>
      <c r="O2172" s="3">
        <v>1.91336763627E11</v>
      </c>
    </row>
    <row r="2173">
      <c r="A2173" s="3">
        <v>2612686.0</v>
      </c>
      <c r="B2173" s="3" t="s">
        <v>4614</v>
      </c>
      <c r="C2173" s="3" t="b">
        <v>0</v>
      </c>
      <c r="D2173" s="3" t="b">
        <v>1</v>
      </c>
      <c r="E2173" s="3" t="s">
        <v>3835</v>
      </c>
      <c r="F2173" s="3" t="s">
        <v>2355</v>
      </c>
      <c r="G2173" s="4">
        <f>+251955995568</f>
        <v>251955995568</v>
      </c>
      <c r="H2173" s="3" t="s">
        <v>18</v>
      </c>
      <c r="I2173" s="3" t="s">
        <v>19</v>
      </c>
      <c r="J2173" s="3" t="s">
        <v>19</v>
      </c>
      <c r="K2173" s="3" t="s">
        <v>20</v>
      </c>
      <c r="L2173" s="3">
        <v>26.02</v>
      </c>
      <c r="M2173" s="3" t="s">
        <v>1695</v>
      </c>
      <c r="N2173" s="3" t="s">
        <v>1696</v>
      </c>
      <c r="O2173" s="3">
        <v>1.91314355428E11</v>
      </c>
    </row>
    <row r="2174">
      <c r="A2174" s="3">
        <v>2612690.0</v>
      </c>
      <c r="B2174" s="3" t="s">
        <v>4615</v>
      </c>
      <c r="C2174" s="3" t="b">
        <v>1</v>
      </c>
      <c r="D2174" s="3" t="b">
        <v>1</v>
      </c>
      <c r="E2174" s="3" t="s">
        <v>3947</v>
      </c>
      <c r="F2174" s="3" t="s">
        <v>1849</v>
      </c>
      <c r="G2174" s="4">
        <f>+251925796380</f>
        <v>251925796380</v>
      </c>
      <c r="H2174" s="3" t="s">
        <v>18</v>
      </c>
      <c r="I2174" s="3" t="s">
        <v>19</v>
      </c>
      <c r="J2174" s="3" t="s">
        <v>19</v>
      </c>
      <c r="K2174" s="3" t="s">
        <v>20</v>
      </c>
      <c r="L2174" s="3">
        <v>30.02</v>
      </c>
      <c r="M2174" s="3" t="s">
        <v>1695</v>
      </c>
      <c r="N2174" s="3" t="s">
        <v>1696</v>
      </c>
      <c r="O2174" s="3">
        <v>1.91324460225E11</v>
      </c>
    </row>
    <row r="2175">
      <c r="A2175" s="3">
        <v>2612701.0</v>
      </c>
      <c r="B2175" s="3" t="s">
        <v>4616</v>
      </c>
      <c r="C2175" s="3" t="b">
        <v>0</v>
      </c>
      <c r="D2175" s="3" t="b">
        <v>1</v>
      </c>
      <c r="E2175" s="3" t="s">
        <v>967</v>
      </c>
      <c r="F2175" s="3" t="s">
        <v>529</v>
      </c>
      <c r="G2175" s="4">
        <f>+251940037744</f>
        <v>251940037744</v>
      </c>
      <c r="H2175" s="3" t="s">
        <v>18</v>
      </c>
      <c r="I2175" s="3" t="s">
        <v>19</v>
      </c>
      <c r="J2175" s="3" t="s">
        <v>19</v>
      </c>
      <c r="K2175" s="3" t="s">
        <v>20</v>
      </c>
      <c r="L2175" s="3">
        <v>25.11</v>
      </c>
      <c r="M2175" s="3" t="s">
        <v>1695</v>
      </c>
      <c r="N2175" s="3" t="s">
        <v>1696</v>
      </c>
      <c r="O2175" s="3">
        <v>1.91337654488E11</v>
      </c>
    </row>
    <row r="2176">
      <c r="A2176" s="3">
        <v>2612712.0</v>
      </c>
      <c r="B2176" s="3" t="s">
        <v>4617</v>
      </c>
      <c r="C2176" s="3" t="b">
        <v>1</v>
      </c>
      <c r="D2176" s="3" t="b">
        <v>1</v>
      </c>
      <c r="E2176" s="3" t="s">
        <v>4618</v>
      </c>
      <c r="F2176" s="3" t="s">
        <v>4619</v>
      </c>
      <c r="G2176" s="4">
        <f>+251976063213</f>
        <v>251976063213</v>
      </c>
      <c r="H2176" s="3" t="s">
        <v>18</v>
      </c>
      <c r="I2176" s="3" t="s">
        <v>19</v>
      </c>
      <c r="J2176" s="3" t="s">
        <v>19</v>
      </c>
      <c r="K2176" s="3" t="s">
        <v>25</v>
      </c>
      <c r="L2176" s="3">
        <v>25.4</v>
      </c>
      <c r="M2176" s="3" t="s">
        <v>1695</v>
      </c>
      <c r="N2176" s="3" t="s">
        <v>1696</v>
      </c>
      <c r="O2176" s="3">
        <v>1.91344580801E11</v>
      </c>
    </row>
    <row r="2177">
      <c r="A2177" s="3">
        <v>1483725.0</v>
      </c>
      <c r="B2177" s="3" t="s">
        <v>4620</v>
      </c>
      <c r="C2177" s="3" t="b">
        <v>1</v>
      </c>
      <c r="D2177" s="3" t="b">
        <v>1</v>
      </c>
      <c r="E2177" s="3" t="s">
        <v>4621</v>
      </c>
      <c r="F2177" s="3" t="s">
        <v>4622</v>
      </c>
      <c r="G2177" s="4">
        <f>+251924038036</f>
        <v>251924038036</v>
      </c>
      <c r="H2177" s="3" t="s">
        <v>18</v>
      </c>
      <c r="I2177" s="3" t="s">
        <v>19</v>
      </c>
      <c r="J2177" s="3" t="s">
        <v>19</v>
      </c>
      <c r="K2177" s="3" t="s">
        <v>25</v>
      </c>
      <c r="L2177" s="3">
        <v>26.04</v>
      </c>
      <c r="M2177" s="3" t="s">
        <v>1695</v>
      </c>
      <c r="N2177" s="3" t="s">
        <v>1696</v>
      </c>
      <c r="O2177" s="3">
        <v>5938572.0</v>
      </c>
    </row>
    <row r="2178">
      <c r="A2178" s="3">
        <v>2612714.0</v>
      </c>
      <c r="B2178" s="3" t="s">
        <v>4623</v>
      </c>
      <c r="C2178" s="3" t="b">
        <v>0</v>
      </c>
      <c r="D2178" s="3" t="b">
        <v>1</v>
      </c>
      <c r="E2178" s="3" t="s">
        <v>2972</v>
      </c>
      <c r="F2178" s="3" t="s">
        <v>4624</v>
      </c>
      <c r="G2178" s="4">
        <f>+251913410620</f>
        <v>251913410620</v>
      </c>
      <c r="H2178" s="3" t="s">
        <v>18</v>
      </c>
      <c r="I2178" s="3" t="s">
        <v>19</v>
      </c>
      <c r="J2178" s="3" t="s">
        <v>19</v>
      </c>
      <c r="K2178" s="3" t="s">
        <v>25</v>
      </c>
      <c r="L2178" s="3">
        <v>25.02</v>
      </c>
      <c r="M2178" s="3" t="s">
        <v>1695</v>
      </c>
      <c r="N2178" s="3" t="s">
        <v>1696</v>
      </c>
      <c r="O2178" s="3">
        <v>1.91337891036E11</v>
      </c>
    </row>
    <row r="2179">
      <c r="A2179" s="3">
        <v>2612699.0</v>
      </c>
      <c r="B2179" s="3" t="s">
        <v>4625</v>
      </c>
      <c r="C2179" s="3" t="b">
        <v>0</v>
      </c>
      <c r="D2179" s="3" t="b">
        <v>1</v>
      </c>
      <c r="E2179" s="3" t="s">
        <v>4626</v>
      </c>
      <c r="F2179" s="3" t="s">
        <v>4627</v>
      </c>
      <c r="G2179" s="4">
        <f>+251968605870</f>
        <v>251968605870</v>
      </c>
      <c r="H2179" s="3" t="s">
        <v>18</v>
      </c>
      <c r="I2179" s="3" t="s">
        <v>19</v>
      </c>
      <c r="J2179" s="3" t="s">
        <v>19</v>
      </c>
      <c r="K2179" s="3" t="s">
        <v>25</v>
      </c>
      <c r="L2179" s="3">
        <v>25.02</v>
      </c>
      <c r="M2179" s="3" t="s">
        <v>1695</v>
      </c>
      <c r="N2179" s="3" t="s">
        <v>1696</v>
      </c>
      <c r="O2179" s="3">
        <v>1.91337068785E11</v>
      </c>
    </row>
    <row r="2180">
      <c r="A2180" s="3">
        <v>2612775.0</v>
      </c>
      <c r="B2180" s="3" t="s">
        <v>4628</v>
      </c>
      <c r="C2180" s="3" t="b">
        <v>0</v>
      </c>
      <c r="D2180" s="3" t="b">
        <v>1</v>
      </c>
      <c r="E2180" s="3" t="s">
        <v>468</v>
      </c>
      <c r="F2180" s="3" t="s">
        <v>4629</v>
      </c>
      <c r="G2180" s="4">
        <f>+251983740465</f>
        <v>251983740465</v>
      </c>
      <c r="H2180" s="3" t="s">
        <v>18</v>
      </c>
      <c r="I2180" s="3" t="s">
        <v>19</v>
      </c>
      <c r="J2180" s="3" t="s">
        <v>19</v>
      </c>
      <c r="K2180" s="3" t="s">
        <v>25</v>
      </c>
      <c r="L2180" s="3">
        <v>25.02</v>
      </c>
      <c r="M2180" s="3" t="s">
        <v>1695</v>
      </c>
      <c r="N2180" s="3" t="s">
        <v>1696</v>
      </c>
      <c r="O2180" s="3">
        <v>1.91366218938E11</v>
      </c>
    </row>
    <row r="2181">
      <c r="A2181" s="3">
        <v>2612787.0</v>
      </c>
      <c r="B2181" s="3" t="s">
        <v>4630</v>
      </c>
      <c r="C2181" s="3" t="b">
        <v>1</v>
      </c>
      <c r="D2181" s="3" t="b">
        <v>1</v>
      </c>
      <c r="E2181" s="3" t="s">
        <v>4631</v>
      </c>
      <c r="F2181" s="3" t="s">
        <v>4632</v>
      </c>
      <c r="G2181" s="4">
        <f>+251925162927</f>
        <v>251925162927</v>
      </c>
      <c r="H2181" s="3" t="s">
        <v>18</v>
      </c>
      <c r="I2181" s="3" t="s">
        <v>19</v>
      </c>
      <c r="J2181" s="3" t="s">
        <v>19</v>
      </c>
      <c r="K2181" s="3" t="s">
        <v>25</v>
      </c>
      <c r="L2181" s="3">
        <v>25.02</v>
      </c>
      <c r="M2181" s="3" t="s">
        <v>1695</v>
      </c>
      <c r="N2181" s="3" t="s">
        <v>1696</v>
      </c>
      <c r="O2181" s="3">
        <v>1.91368914157E11</v>
      </c>
    </row>
    <row r="2182">
      <c r="A2182" s="3">
        <v>2612778.0</v>
      </c>
      <c r="B2182" s="3" t="s">
        <v>4633</v>
      </c>
      <c r="C2182" s="3" t="b">
        <v>1</v>
      </c>
      <c r="D2182" s="3" t="b">
        <v>1</v>
      </c>
      <c r="E2182" s="3" t="s">
        <v>336</v>
      </c>
      <c r="F2182" s="3" t="s">
        <v>2724</v>
      </c>
      <c r="G2182" s="4">
        <f>+251979472734</f>
        <v>251979472734</v>
      </c>
      <c r="H2182" s="3" t="s">
        <v>18</v>
      </c>
      <c r="I2182" s="3" t="s">
        <v>19</v>
      </c>
      <c r="J2182" s="3" t="s">
        <v>19</v>
      </c>
      <c r="K2182" s="3" t="s">
        <v>25</v>
      </c>
      <c r="L2182" s="3">
        <v>28.3</v>
      </c>
      <c r="M2182" s="3" t="s">
        <v>1695</v>
      </c>
      <c r="N2182" s="3" t="s">
        <v>1696</v>
      </c>
      <c r="O2182" s="3">
        <v>1.03097709789E11</v>
      </c>
    </row>
    <row r="2183">
      <c r="A2183" s="3">
        <v>2612797.0</v>
      </c>
      <c r="B2183" s="3" t="s">
        <v>4634</v>
      </c>
      <c r="C2183" s="3" t="b">
        <v>0</v>
      </c>
      <c r="D2183" s="3" t="b">
        <v>1</v>
      </c>
      <c r="E2183" s="3" t="s">
        <v>2537</v>
      </c>
      <c r="F2183" s="3" t="s">
        <v>2431</v>
      </c>
      <c r="G2183" s="4">
        <f>+251989952079</f>
        <v>251989952079</v>
      </c>
      <c r="H2183" s="3" t="s">
        <v>18</v>
      </c>
      <c r="I2183" s="3" t="s">
        <v>19</v>
      </c>
      <c r="J2183" s="3" t="s">
        <v>19</v>
      </c>
      <c r="K2183" s="3" t="s">
        <v>20</v>
      </c>
      <c r="L2183" s="3">
        <v>25.11</v>
      </c>
      <c r="M2183" s="3" t="s">
        <v>1695</v>
      </c>
      <c r="N2183" s="3" t="s">
        <v>1696</v>
      </c>
      <c r="O2183" s="3">
        <v>1.91352356072E11</v>
      </c>
    </row>
    <row r="2184">
      <c r="A2184" s="3">
        <v>2612805.0</v>
      </c>
      <c r="B2184" s="3" t="s">
        <v>4635</v>
      </c>
      <c r="C2184" s="3" t="b">
        <v>0</v>
      </c>
      <c r="D2184" s="3" t="b">
        <v>1</v>
      </c>
      <c r="E2184" s="3" t="s">
        <v>4636</v>
      </c>
      <c r="F2184" s="3" t="s">
        <v>1000</v>
      </c>
      <c r="G2184" s="4">
        <f>+251922871892</f>
        <v>251922871892</v>
      </c>
      <c r="H2184" s="3" t="s">
        <v>18</v>
      </c>
      <c r="I2184" s="3" t="s">
        <v>19</v>
      </c>
      <c r="J2184" s="3" t="s">
        <v>19</v>
      </c>
      <c r="K2184" s="3" t="s">
        <v>20</v>
      </c>
      <c r="L2184" s="3">
        <v>25.02</v>
      </c>
      <c r="M2184" s="3" t="s">
        <v>1695</v>
      </c>
      <c r="N2184" s="3" t="s">
        <v>1696</v>
      </c>
      <c r="O2184" s="3">
        <v>1.91371475166E11</v>
      </c>
    </row>
    <row r="2185">
      <c r="A2185" s="3">
        <v>2612822.0</v>
      </c>
      <c r="B2185" s="3" t="s">
        <v>4637</v>
      </c>
      <c r="C2185" s="3" t="b">
        <v>0</v>
      </c>
      <c r="D2185" s="3" t="b">
        <v>1</v>
      </c>
      <c r="E2185" s="3" t="s">
        <v>4638</v>
      </c>
      <c r="F2185" s="3" t="s">
        <v>4639</v>
      </c>
      <c r="G2185" s="4">
        <f>+251945742665</f>
        <v>251945742665</v>
      </c>
      <c r="H2185" s="3" t="s">
        <v>18</v>
      </c>
      <c r="I2185" s="3" t="s">
        <v>19</v>
      </c>
      <c r="J2185" s="3" t="s">
        <v>19</v>
      </c>
      <c r="K2185" s="3" t="s">
        <v>25</v>
      </c>
      <c r="L2185" s="3">
        <v>25.02</v>
      </c>
      <c r="M2185" s="3" t="s">
        <v>1695</v>
      </c>
      <c r="N2185" s="3" t="s">
        <v>1696</v>
      </c>
      <c r="O2185" s="3">
        <v>1.91381374167E11</v>
      </c>
    </row>
    <row r="2186">
      <c r="A2186" s="3">
        <v>2612833.0</v>
      </c>
      <c r="B2186" s="3" t="s">
        <v>4640</v>
      </c>
      <c r="C2186" s="3" t="b">
        <v>1</v>
      </c>
      <c r="D2186" s="3" t="b">
        <v>1</v>
      </c>
      <c r="E2186" s="3" t="s">
        <v>414</v>
      </c>
      <c r="F2186" s="3" t="s">
        <v>2724</v>
      </c>
      <c r="G2186" s="3">
        <v>9.30589405E8</v>
      </c>
      <c r="H2186" s="3" t="s">
        <v>18</v>
      </c>
      <c r="I2186" s="3" t="s">
        <v>19</v>
      </c>
      <c r="J2186" s="3" t="s">
        <v>19</v>
      </c>
      <c r="K2186" s="3" t="s">
        <v>25</v>
      </c>
      <c r="L2186" s="3">
        <v>25.06</v>
      </c>
      <c r="M2186" s="3" t="s">
        <v>1695</v>
      </c>
      <c r="N2186" s="3" t="s">
        <v>1696</v>
      </c>
      <c r="O2186" s="3">
        <v>1.91418822851E11</v>
      </c>
    </row>
    <row r="2187">
      <c r="A2187" s="3">
        <v>2612840.0</v>
      </c>
      <c r="B2187" s="3" t="s">
        <v>4641</v>
      </c>
      <c r="C2187" s="3" t="b">
        <v>0</v>
      </c>
      <c r="D2187" s="3" t="b">
        <v>1</v>
      </c>
      <c r="E2187" s="3" t="s">
        <v>4361</v>
      </c>
      <c r="F2187" s="3" t="s">
        <v>4642</v>
      </c>
      <c r="G2187" s="4">
        <f>+251929454394</f>
        <v>251929454394</v>
      </c>
      <c r="H2187" s="3" t="s">
        <v>18</v>
      </c>
      <c r="I2187" s="3" t="s">
        <v>19</v>
      </c>
      <c r="J2187" s="3" t="s">
        <v>19</v>
      </c>
      <c r="K2187" s="3" t="s">
        <v>20</v>
      </c>
      <c r="L2187" s="3">
        <v>25.02</v>
      </c>
      <c r="M2187" s="3" t="s">
        <v>1695</v>
      </c>
      <c r="N2187" s="3" t="s">
        <v>1696</v>
      </c>
      <c r="O2187" s="3">
        <v>1.91376768213E11</v>
      </c>
    </row>
    <row r="2188">
      <c r="A2188" s="3">
        <v>2612850.0</v>
      </c>
      <c r="B2188" s="3" t="s">
        <v>4643</v>
      </c>
      <c r="C2188" s="3" t="b">
        <v>0</v>
      </c>
      <c r="D2188" s="3" t="b">
        <v>1</v>
      </c>
      <c r="E2188" s="3" t="s">
        <v>649</v>
      </c>
      <c r="F2188" s="3" t="s">
        <v>4396</v>
      </c>
      <c r="G2188" s="4">
        <f>+251921245143</f>
        <v>251921245143</v>
      </c>
      <c r="H2188" s="3" t="s">
        <v>18</v>
      </c>
      <c r="I2188" s="3" t="s">
        <v>19</v>
      </c>
      <c r="J2188" s="3" t="s">
        <v>19</v>
      </c>
      <c r="K2188" s="3" t="s">
        <v>25</v>
      </c>
      <c r="L2188" s="3">
        <v>25.02</v>
      </c>
      <c r="M2188" s="3" t="s">
        <v>1695</v>
      </c>
      <c r="N2188" s="3" t="s">
        <v>1696</v>
      </c>
      <c r="O2188" s="3">
        <v>1.91425020097E11</v>
      </c>
    </row>
    <row r="2189">
      <c r="A2189" s="3">
        <v>2612865.0</v>
      </c>
      <c r="B2189" s="3" t="s">
        <v>4644</v>
      </c>
      <c r="C2189" s="3" t="b">
        <v>0</v>
      </c>
      <c r="D2189" s="3" t="b">
        <v>1</v>
      </c>
      <c r="E2189" s="3" t="s">
        <v>4645</v>
      </c>
      <c r="F2189" s="3" t="s">
        <v>4396</v>
      </c>
      <c r="G2189" s="4">
        <f>+251919580503</f>
        <v>251919580503</v>
      </c>
      <c r="H2189" s="3" t="s">
        <v>18</v>
      </c>
      <c r="I2189" s="3" t="s">
        <v>19</v>
      </c>
      <c r="J2189" s="3" t="s">
        <v>19</v>
      </c>
      <c r="K2189" s="3" t="s">
        <v>25</v>
      </c>
      <c r="L2189" s="3">
        <v>24.02</v>
      </c>
      <c r="M2189" s="3" t="s">
        <v>1695</v>
      </c>
      <c r="N2189" s="3" t="s">
        <v>1696</v>
      </c>
      <c r="O2189" s="3">
        <v>1.91424397544E11</v>
      </c>
    </row>
    <row r="2190">
      <c r="A2190" s="3">
        <v>2612868.0</v>
      </c>
      <c r="B2190" s="3" t="s">
        <v>4646</v>
      </c>
      <c r="C2190" s="3" t="b">
        <v>0</v>
      </c>
      <c r="D2190" s="3" t="b">
        <v>1</v>
      </c>
      <c r="E2190" s="3" t="s">
        <v>1893</v>
      </c>
      <c r="F2190" s="3" t="s">
        <v>4647</v>
      </c>
      <c r="G2190" s="4">
        <f>+251903414233</f>
        <v>251903414233</v>
      </c>
      <c r="H2190" s="3" t="s">
        <v>18</v>
      </c>
      <c r="I2190" s="3" t="s">
        <v>19</v>
      </c>
      <c r="J2190" s="3" t="s">
        <v>19</v>
      </c>
      <c r="K2190" s="3" t="s">
        <v>20</v>
      </c>
      <c r="L2190" s="3">
        <v>24.02</v>
      </c>
      <c r="M2190" s="3" t="s">
        <v>1695</v>
      </c>
      <c r="N2190" s="3" t="s">
        <v>1696</v>
      </c>
      <c r="O2190" s="3">
        <v>1.91425241317E11</v>
      </c>
    </row>
    <row r="2191">
      <c r="A2191" s="3">
        <v>2612892.0</v>
      </c>
      <c r="B2191" s="3" t="s">
        <v>4648</v>
      </c>
      <c r="C2191" s="3" t="b">
        <v>0</v>
      </c>
      <c r="D2191" s="3" t="b">
        <v>1</v>
      </c>
      <c r="E2191" s="3" t="s">
        <v>4649</v>
      </c>
      <c r="F2191" s="3" t="s">
        <v>4650</v>
      </c>
      <c r="G2191" s="4">
        <f>+251919267210</f>
        <v>251919267210</v>
      </c>
      <c r="H2191" s="3" t="s">
        <v>18</v>
      </c>
      <c r="I2191" s="3" t="s">
        <v>19</v>
      </c>
      <c r="J2191" s="3" t="s">
        <v>19</v>
      </c>
      <c r="K2191" s="3" t="s">
        <v>25</v>
      </c>
      <c r="L2191" s="3">
        <v>25.0</v>
      </c>
      <c r="M2191" s="3" t="s">
        <v>1695</v>
      </c>
      <c r="N2191" s="3" t="s">
        <v>1696</v>
      </c>
    </row>
    <row r="2192">
      <c r="A2192" s="3">
        <v>2612862.0</v>
      </c>
      <c r="B2192" s="3" t="s">
        <v>4651</v>
      </c>
      <c r="C2192" s="3" t="b">
        <v>1</v>
      </c>
      <c r="D2192" s="3" t="b">
        <v>1</v>
      </c>
      <c r="E2192" s="3" t="s">
        <v>3512</v>
      </c>
      <c r="F2192" s="3" t="s">
        <v>4652</v>
      </c>
      <c r="G2192" s="4">
        <f>+251914577709</f>
        <v>251914577709</v>
      </c>
      <c r="H2192" s="3" t="s">
        <v>18</v>
      </c>
      <c r="I2192" s="3" t="s">
        <v>19</v>
      </c>
      <c r="J2192" s="3" t="s">
        <v>19</v>
      </c>
      <c r="K2192" s="3" t="s">
        <v>25</v>
      </c>
      <c r="L2192" s="3">
        <v>20.44</v>
      </c>
      <c r="M2192" s="3" t="s">
        <v>1695</v>
      </c>
      <c r="N2192" s="3" t="s">
        <v>1696</v>
      </c>
      <c r="O2192" s="3">
        <v>1.91425157349E11</v>
      </c>
    </row>
    <row r="2193">
      <c r="A2193" s="3">
        <v>2612918.0</v>
      </c>
      <c r="B2193" s="3" t="s">
        <v>4653</v>
      </c>
      <c r="C2193" s="3" t="b">
        <v>0</v>
      </c>
      <c r="D2193" s="3" t="b">
        <v>1</v>
      </c>
      <c r="E2193" s="3" t="s">
        <v>46</v>
      </c>
      <c r="F2193" s="3" t="s">
        <v>4654</v>
      </c>
      <c r="G2193" s="4">
        <f>+251910331071</f>
        <v>251910331071</v>
      </c>
      <c r="H2193" s="3" t="s">
        <v>18</v>
      </c>
      <c r="I2193" s="3" t="s">
        <v>19</v>
      </c>
      <c r="J2193" s="3" t="s">
        <v>19</v>
      </c>
      <c r="K2193" s="3" t="s">
        <v>25</v>
      </c>
      <c r="L2193" s="3">
        <v>25.02</v>
      </c>
      <c r="M2193" s="3" t="s">
        <v>1695</v>
      </c>
      <c r="N2193" s="3" t="s">
        <v>1696</v>
      </c>
      <c r="O2193" s="3">
        <v>1.91397951711E11</v>
      </c>
    </row>
    <row r="2194">
      <c r="A2194" s="3">
        <v>2612920.0</v>
      </c>
      <c r="B2194" s="3" t="s">
        <v>4655</v>
      </c>
      <c r="C2194" s="3" t="b">
        <v>0</v>
      </c>
      <c r="D2194" s="3" t="b">
        <v>1</v>
      </c>
      <c r="E2194" s="3" t="s">
        <v>4656</v>
      </c>
      <c r="F2194" s="3" t="s">
        <v>4626</v>
      </c>
      <c r="G2194" s="4">
        <f>+251972285889</f>
        <v>251972285889</v>
      </c>
      <c r="H2194" s="3" t="s">
        <v>18</v>
      </c>
      <c r="I2194" s="3" t="s">
        <v>19</v>
      </c>
      <c r="J2194" s="3" t="s">
        <v>19</v>
      </c>
      <c r="K2194" s="3" t="s">
        <v>20</v>
      </c>
      <c r="L2194" s="3">
        <v>24.87</v>
      </c>
      <c r="M2194" s="3" t="s">
        <v>1695</v>
      </c>
      <c r="N2194" s="3" t="s">
        <v>1696</v>
      </c>
      <c r="O2194" s="3">
        <v>1.91427512531E11</v>
      </c>
    </row>
    <row r="2195">
      <c r="A2195" s="3">
        <v>2612938.0</v>
      </c>
      <c r="B2195" s="3" t="s">
        <v>4657</v>
      </c>
      <c r="C2195" s="3" t="b">
        <v>0</v>
      </c>
      <c r="D2195" s="3" t="b">
        <v>1</v>
      </c>
      <c r="E2195" s="3" t="s">
        <v>58</v>
      </c>
      <c r="F2195" s="3" t="s">
        <v>3746</v>
      </c>
      <c r="G2195" s="4">
        <f>+25193234476</f>
        <v>25193234476</v>
      </c>
      <c r="H2195" s="3" t="s">
        <v>18</v>
      </c>
      <c r="I2195" s="3" t="s">
        <v>19</v>
      </c>
      <c r="J2195" s="3" t="s">
        <v>19</v>
      </c>
      <c r="K2195" s="3" t="s">
        <v>25</v>
      </c>
      <c r="L2195" s="3">
        <v>23.02</v>
      </c>
      <c r="M2195" s="3" t="s">
        <v>1695</v>
      </c>
      <c r="N2195" s="3" t="s">
        <v>1696</v>
      </c>
      <c r="O2195" s="3">
        <v>1.91441191105E11</v>
      </c>
    </row>
    <row r="2196">
      <c r="A2196" s="3">
        <v>2612959.0</v>
      </c>
      <c r="B2196" s="3" t="s">
        <v>4658</v>
      </c>
      <c r="C2196" s="3" t="b">
        <v>0</v>
      </c>
      <c r="D2196" s="3" t="b">
        <v>1</v>
      </c>
      <c r="E2196" s="3" t="s">
        <v>479</v>
      </c>
      <c r="F2196" s="3" t="s">
        <v>3785</v>
      </c>
      <c r="G2196" s="4">
        <f>+251919321756</f>
        <v>251919321756</v>
      </c>
      <c r="H2196" s="3" t="s">
        <v>18</v>
      </c>
      <c r="I2196" s="3" t="s">
        <v>19</v>
      </c>
      <c r="J2196" s="3" t="s">
        <v>19</v>
      </c>
      <c r="K2196" s="3" t="s">
        <v>25</v>
      </c>
      <c r="L2196" s="3">
        <v>27.02</v>
      </c>
      <c r="M2196" s="3" t="s">
        <v>1695</v>
      </c>
      <c r="N2196" s="3" t="s">
        <v>1696</v>
      </c>
      <c r="O2196" s="3">
        <v>1.91397782725E11</v>
      </c>
    </row>
    <row r="2197">
      <c r="A2197" s="3">
        <v>2612952.0</v>
      </c>
      <c r="B2197" s="3" t="s">
        <v>4659</v>
      </c>
      <c r="C2197" s="3" t="b">
        <v>0</v>
      </c>
      <c r="D2197" s="3" t="b">
        <v>1</v>
      </c>
      <c r="E2197" s="3" t="s">
        <v>479</v>
      </c>
      <c r="F2197" s="3" t="s">
        <v>258</v>
      </c>
      <c r="G2197" s="4">
        <f>+251915558990</f>
        <v>251915558990</v>
      </c>
      <c r="H2197" s="3" t="s">
        <v>18</v>
      </c>
      <c r="I2197" s="3" t="s">
        <v>19</v>
      </c>
      <c r="J2197" s="3" t="s">
        <v>19</v>
      </c>
      <c r="K2197" s="3" t="s">
        <v>25</v>
      </c>
      <c r="L2197" s="3">
        <v>24.27</v>
      </c>
      <c r="M2197" s="3" t="s">
        <v>1695</v>
      </c>
      <c r="N2197" s="3" t="s">
        <v>1696</v>
      </c>
      <c r="O2197" s="3">
        <v>1.914248645E11</v>
      </c>
    </row>
    <row r="2198">
      <c r="A2198" s="3">
        <v>2612968.0</v>
      </c>
      <c r="B2198" s="3" t="s">
        <v>4660</v>
      </c>
      <c r="C2198" s="3" t="b">
        <v>0</v>
      </c>
      <c r="D2198" s="3" t="b">
        <v>1</v>
      </c>
      <c r="E2198" s="3" t="s">
        <v>267</v>
      </c>
      <c r="F2198" s="3" t="s">
        <v>4661</v>
      </c>
      <c r="G2198" s="4">
        <f>+251984974355</f>
        <v>251984974355</v>
      </c>
      <c r="H2198" s="3" t="s">
        <v>18</v>
      </c>
      <c r="I2198" s="3" t="s">
        <v>19</v>
      </c>
      <c r="J2198" s="3" t="s">
        <v>19</v>
      </c>
      <c r="K2198" s="3" t="s">
        <v>25</v>
      </c>
      <c r="L2198" s="3">
        <v>23.02</v>
      </c>
      <c r="M2198" s="3" t="s">
        <v>1695</v>
      </c>
      <c r="N2198" s="3" t="s">
        <v>1696</v>
      </c>
      <c r="O2198" s="3">
        <v>1.9140152034E11</v>
      </c>
    </row>
    <row r="2199">
      <c r="A2199" s="3">
        <v>2612993.0</v>
      </c>
      <c r="B2199" s="3" t="s">
        <v>4662</v>
      </c>
      <c r="C2199" s="3" t="b">
        <v>0</v>
      </c>
      <c r="D2199" s="3" t="b">
        <v>1</v>
      </c>
      <c r="E2199" s="3" t="s">
        <v>3947</v>
      </c>
      <c r="F2199" s="3" t="s">
        <v>418</v>
      </c>
      <c r="G2199" s="4">
        <f>+251923816352</f>
        <v>251923816352</v>
      </c>
      <c r="H2199" s="3" t="s">
        <v>18</v>
      </c>
      <c r="I2199" s="3" t="s">
        <v>19</v>
      </c>
      <c r="J2199" s="3" t="s">
        <v>19</v>
      </c>
      <c r="K2199" s="3" t="s">
        <v>20</v>
      </c>
      <c r="L2199" s="3">
        <v>23.02</v>
      </c>
      <c r="M2199" s="3" t="s">
        <v>1695</v>
      </c>
      <c r="N2199" s="3" t="s">
        <v>1696</v>
      </c>
      <c r="O2199" s="3">
        <v>1.91410556101E11</v>
      </c>
    </row>
    <row r="2200">
      <c r="A2200" s="3">
        <v>2613042.0</v>
      </c>
      <c r="B2200" s="3" t="s">
        <v>4663</v>
      </c>
      <c r="C2200" s="3" t="b">
        <v>0</v>
      </c>
      <c r="D2200" s="3" t="b">
        <v>1</v>
      </c>
      <c r="E2200" s="3" t="s">
        <v>4664</v>
      </c>
      <c r="F2200" s="3" t="s">
        <v>4665</v>
      </c>
      <c r="G2200" s="4">
        <f>+251946939585</f>
        <v>251946939585</v>
      </c>
      <c r="H2200" s="3" t="s">
        <v>18</v>
      </c>
      <c r="I2200" s="3" t="s">
        <v>19</v>
      </c>
      <c r="J2200" s="3" t="s">
        <v>19</v>
      </c>
      <c r="K2200" s="3" t="s">
        <v>20</v>
      </c>
      <c r="L2200" s="3">
        <v>24.02</v>
      </c>
      <c r="M2200" s="3" t="s">
        <v>1695</v>
      </c>
      <c r="N2200" s="3" t="s">
        <v>1696</v>
      </c>
      <c r="O2200" s="3">
        <v>1.91456906485E11</v>
      </c>
    </row>
    <row r="2201">
      <c r="A2201" s="3">
        <v>2613050.0</v>
      </c>
      <c r="B2201" s="3" t="s">
        <v>4666</v>
      </c>
      <c r="C2201" s="3" t="b">
        <v>0</v>
      </c>
      <c r="D2201" s="3" t="b">
        <v>1</v>
      </c>
      <c r="E2201" s="3" t="s">
        <v>3478</v>
      </c>
      <c r="F2201" s="3" t="s">
        <v>4667</v>
      </c>
      <c r="G2201" s="4">
        <f>+251965066091</f>
        <v>251965066091</v>
      </c>
      <c r="H2201" s="3" t="s">
        <v>18</v>
      </c>
      <c r="I2201" s="3" t="s">
        <v>19</v>
      </c>
      <c r="J2201" s="3" t="s">
        <v>19</v>
      </c>
      <c r="K2201" s="3" t="s">
        <v>25</v>
      </c>
      <c r="L2201" s="3">
        <v>23.27</v>
      </c>
      <c r="M2201" s="3" t="s">
        <v>1695</v>
      </c>
      <c r="N2201" s="3" t="s">
        <v>1696</v>
      </c>
      <c r="O2201" s="3">
        <v>1.91410314431E11</v>
      </c>
    </row>
    <row r="2202">
      <c r="A2202" s="3">
        <v>2613073.0</v>
      </c>
      <c r="B2202" s="3" t="s">
        <v>4668</v>
      </c>
      <c r="C2202" s="3" t="b">
        <v>0</v>
      </c>
      <c r="D2202" s="3" t="b">
        <v>1</v>
      </c>
      <c r="E2202" s="3" t="s">
        <v>4669</v>
      </c>
      <c r="F2202" s="3" t="s">
        <v>945</v>
      </c>
      <c r="G2202" s="4">
        <f>+251989114886</f>
        <v>251989114886</v>
      </c>
      <c r="H2202" s="3" t="s">
        <v>18</v>
      </c>
      <c r="I2202" s="3" t="s">
        <v>19</v>
      </c>
      <c r="J2202" s="3" t="s">
        <v>19</v>
      </c>
      <c r="K2202" s="3" t="s">
        <v>25</v>
      </c>
      <c r="L2202" s="3">
        <v>25.02</v>
      </c>
      <c r="M2202" s="3" t="s">
        <v>1695</v>
      </c>
      <c r="N2202" s="3" t="s">
        <v>1696</v>
      </c>
      <c r="O2202" s="3">
        <v>1.91444918508E11</v>
      </c>
    </row>
    <row r="2203">
      <c r="A2203" s="3">
        <v>2613102.0</v>
      </c>
      <c r="B2203" s="3" t="s">
        <v>4670</v>
      </c>
      <c r="C2203" s="3" t="b">
        <v>0</v>
      </c>
      <c r="D2203" s="3" t="b">
        <v>1</v>
      </c>
      <c r="E2203" s="3" t="s">
        <v>261</v>
      </c>
      <c r="F2203" s="3" t="s">
        <v>649</v>
      </c>
      <c r="G2203" s="4">
        <f>+251935327768</f>
        <v>251935327768</v>
      </c>
      <c r="H2203" s="3" t="s">
        <v>18</v>
      </c>
      <c r="I2203" s="3" t="s">
        <v>19</v>
      </c>
      <c r="J2203" s="3" t="s">
        <v>19</v>
      </c>
      <c r="K2203" s="3" t="s">
        <v>25</v>
      </c>
      <c r="L2203" s="3">
        <v>24.02</v>
      </c>
      <c r="M2203" s="3" t="s">
        <v>1695</v>
      </c>
      <c r="N2203" s="3" t="s">
        <v>1696</v>
      </c>
      <c r="O2203" s="3">
        <v>1.91465730236E11</v>
      </c>
    </row>
    <row r="2204">
      <c r="A2204" s="3">
        <v>2613105.0</v>
      </c>
      <c r="B2204" s="3" t="s">
        <v>4671</v>
      </c>
      <c r="C2204" s="3" t="b">
        <v>0</v>
      </c>
      <c r="D2204" s="3" t="b">
        <v>1</v>
      </c>
      <c r="E2204" s="3" t="s">
        <v>4672</v>
      </c>
      <c r="F2204" s="3" t="s">
        <v>4673</v>
      </c>
      <c r="G2204" s="4">
        <f>+251988351412</f>
        <v>251988351412</v>
      </c>
      <c r="H2204" s="3" t="s">
        <v>18</v>
      </c>
      <c r="I2204" s="3" t="s">
        <v>19</v>
      </c>
      <c r="J2204" s="3" t="s">
        <v>19</v>
      </c>
      <c r="K2204" s="3" t="s">
        <v>20</v>
      </c>
      <c r="L2204" s="3">
        <v>30.34</v>
      </c>
      <c r="M2204" s="3" t="s">
        <v>1695</v>
      </c>
      <c r="N2204" s="3" t="s">
        <v>1696</v>
      </c>
      <c r="O2204" s="3">
        <v>1.91455155439E11</v>
      </c>
    </row>
    <row r="2205">
      <c r="A2205" s="3">
        <v>2613113.0</v>
      </c>
      <c r="B2205" s="3" t="s">
        <v>4674</v>
      </c>
      <c r="C2205" s="3" t="b">
        <v>1</v>
      </c>
      <c r="D2205" s="3" t="b">
        <v>1</v>
      </c>
      <c r="E2205" s="3" t="s">
        <v>4675</v>
      </c>
      <c r="F2205" s="3" t="s">
        <v>479</v>
      </c>
      <c r="G2205" s="4">
        <f>+251938456344</f>
        <v>251938456344</v>
      </c>
      <c r="H2205" s="3" t="s">
        <v>18</v>
      </c>
      <c r="I2205" s="3" t="s">
        <v>19</v>
      </c>
      <c r="J2205" s="3" t="s">
        <v>19</v>
      </c>
      <c r="K2205" s="3" t="s">
        <v>20</v>
      </c>
      <c r="L2205" s="3">
        <v>25.02</v>
      </c>
      <c r="M2205" s="3" t="s">
        <v>1695</v>
      </c>
      <c r="N2205" s="3" t="s">
        <v>1696</v>
      </c>
      <c r="O2205" s="3">
        <v>1.91459371235E11</v>
      </c>
    </row>
    <row r="2206">
      <c r="A2206" s="3">
        <v>2613121.0</v>
      </c>
      <c r="B2206" s="3" t="s">
        <v>4676</v>
      </c>
      <c r="C2206" s="3" t="b">
        <v>0</v>
      </c>
      <c r="D2206" s="3" t="b">
        <v>1</v>
      </c>
      <c r="E2206" s="3" t="s">
        <v>40</v>
      </c>
      <c r="F2206" s="3" t="s">
        <v>3125</v>
      </c>
      <c r="G2206" s="4">
        <f>+25109624239770</f>
        <v>25109624239770</v>
      </c>
      <c r="H2206" s="3" t="s">
        <v>18</v>
      </c>
      <c r="I2206" s="3" t="s">
        <v>19</v>
      </c>
      <c r="J2206" s="3" t="s">
        <v>19</v>
      </c>
      <c r="K2206" s="3" t="s">
        <v>20</v>
      </c>
      <c r="L2206" s="3">
        <v>24.95</v>
      </c>
      <c r="M2206" s="3" t="s">
        <v>1695</v>
      </c>
      <c r="N2206" s="3" t="s">
        <v>1696</v>
      </c>
      <c r="O2206" s="3">
        <v>1.9153143423E11</v>
      </c>
    </row>
    <row r="2207">
      <c r="A2207" s="3">
        <v>2613155.0</v>
      </c>
      <c r="B2207" s="3" t="s">
        <v>4677</v>
      </c>
      <c r="C2207" s="3" t="b">
        <v>0</v>
      </c>
      <c r="D2207" s="3" t="b">
        <v>1</v>
      </c>
      <c r="E2207" s="3" t="s">
        <v>2553</v>
      </c>
      <c r="F2207" s="3" t="s">
        <v>4678</v>
      </c>
      <c r="G2207" s="4">
        <f>+251923379756</f>
        <v>251923379756</v>
      </c>
      <c r="H2207" s="3" t="s">
        <v>18</v>
      </c>
      <c r="I2207" s="3" t="s">
        <v>19</v>
      </c>
      <c r="J2207" s="3" t="s">
        <v>19</v>
      </c>
      <c r="K2207" s="3" t="s">
        <v>25</v>
      </c>
      <c r="L2207" s="3">
        <v>23.02</v>
      </c>
      <c r="M2207" s="3" t="s">
        <v>1695</v>
      </c>
      <c r="N2207" s="3" t="s">
        <v>1696</v>
      </c>
      <c r="O2207" s="3">
        <v>1.91539997891E11</v>
      </c>
    </row>
    <row r="2208">
      <c r="A2208" s="3">
        <v>2613178.0</v>
      </c>
      <c r="B2208" s="3" t="s">
        <v>4679</v>
      </c>
      <c r="C2208" s="3" t="b">
        <v>0</v>
      </c>
      <c r="D2208" s="3" t="b">
        <v>1</v>
      </c>
      <c r="E2208" s="3" t="s">
        <v>4680</v>
      </c>
      <c r="F2208" s="3" t="s">
        <v>4681</v>
      </c>
      <c r="G2208" s="4">
        <f>+251913778833</f>
        <v>251913778833</v>
      </c>
      <c r="H2208" s="3" t="s">
        <v>18</v>
      </c>
      <c r="I2208" s="3" t="s">
        <v>19</v>
      </c>
      <c r="J2208" s="3" t="s">
        <v>19</v>
      </c>
      <c r="K2208" s="3" t="s">
        <v>25</v>
      </c>
      <c r="L2208" s="3">
        <v>29.02</v>
      </c>
      <c r="M2208" s="3" t="s">
        <v>1695</v>
      </c>
      <c r="N2208" s="3" t="s">
        <v>1696</v>
      </c>
      <c r="O2208" s="3">
        <v>1.91479417068E11</v>
      </c>
    </row>
    <row r="2209">
      <c r="A2209" s="3">
        <v>2613182.0</v>
      </c>
      <c r="B2209" s="3" t="s">
        <v>4682</v>
      </c>
      <c r="C2209" s="3" t="b">
        <v>0</v>
      </c>
      <c r="D2209" s="3" t="b">
        <v>1</v>
      </c>
      <c r="E2209" s="3" t="s">
        <v>653</v>
      </c>
      <c r="F2209" s="3" t="s">
        <v>1676</v>
      </c>
      <c r="G2209" s="4">
        <f>+251963065081</f>
        <v>251963065081</v>
      </c>
      <c r="H2209" s="3" t="s">
        <v>18</v>
      </c>
      <c r="I2209" s="3" t="s">
        <v>19</v>
      </c>
      <c r="J2209" s="3" t="s">
        <v>19</v>
      </c>
      <c r="K2209" s="3" t="s">
        <v>25</v>
      </c>
      <c r="L2209" s="3">
        <v>24.19</v>
      </c>
      <c r="M2209" s="3" t="s">
        <v>1695</v>
      </c>
      <c r="N2209" s="3" t="s">
        <v>1696</v>
      </c>
      <c r="O2209" s="3">
        <v>1.91479520478E11</v>
      </c>
    </row>
    <row r="2210">
      <c r="A2210" s="3">
        <v>2613199.0</v>
      </c>
      <c r="B2210" s="3" t="s">
        <v>4683</v>
      </c>
      <c r="C2210" s="3" t="b">
        <v>0</v>
      </c>
      <c r="D2210" s="3" t="b">
        <v>1</v>
      </c>
      <c r="E2210" s="3" t="s">
        <v>3626</v>
      </c>
      <c r="F2210" s="3" t="s">
        <v>918</v>
      </c>
      <c r="G2210" s="4">
        <f>+251978464590</f>
        <v>251978464590</v>
      </c>
      <c r="H2210" s="3" t="s">
        <v>18</v>
      </c>
      <c r="I2210" s="3" t="s">
        <v>19</v>
      </c>
      <c r="J2210" s="3" t="s">
        <v>19</v>
      </c>
      <c r="K2210" s="3" t="s">
        <v>20</v>
      </c>
      <c r="L2210" s="3">
        <v>25.02</v>
      </c>
      <c r="M2210" s="3" t="s">
        <v>1695</v>
      </c>
      <c r="N2210" s="3" t="s">
        <v>1696</v>
      </c>
      <c r="O2210" s="3">
        <v>1.91476281558E11</v>
      </c>
    </row>
    <row r="2211">
      <c r="A2211" s="3">
        <v>2613200.0</v>
      </c>
      <c r="B2211" s="3" t="s">
        <v>4684</v>
      </c>
      <c r="C2211" s="3" t="b">
        <v>0</v>
      </c>
      <c r="D2211" s="3" t="b">
        <v>1</v>
      </c>
      <c r="E2211" s="3" t="s">
        <v>4685</v>
      </c>
      <c r="F2211" s="3" t="s">
        <v>178</v>
      </c>
      <c r="G2211" s="4">
        <f>+251952518424</f>
        <v>251952518424</v>
      </c>
      <c r="H2211" s="3" t="s">
        <v>18</v>
      </c>
      <c r="I2211" s="3" t="s">
        <v>19</v>
      </c>
      <c r="J2211" s="3" t="s">
        <v>19</v>
      </c>
      <c r="K2211" s="3" t="s">
        <v>20</v>
      </c>
      <c r="L2211" s="3">
        <v>25.02</v>
      </c>
      <c r="M2211" s="3" t="s">
        <v>1695</v>
      </c>
      <c r="N2211" s="3" t="s">
        <v>1696</v>
      </c>
      <c r="O2211" s="3">
        <v>1.91484377274E11</v>
      </c>
    </row>
    <row r="2212">
      <c r="A2212" s="3">
        <v>2613216.0</v>
      </c>
      <c r="B2212" s="3" t="s">
        <v>4686</v>
      </c>
      <c r="C2212" s="3" t="b">
        <v>0</v>
      </c>
      <c r="D2212" s="3" t="b">
        <v>1</v>
      </c>
      <c r="E2212" s="3" t="s">
        <v>826</v>
      </c>
      <c r="F2212" s="3" t="s">
        <v>3841</v>
      </c>
      <c r="G2212" s="4">
        <f>+251910586498</f>
        <v>251910586498</v>
      </c>
      <c r="H2212" s="3" t="s">
        <v>18</v>
      </c>
      <c r="I2212" s="3" t="s">
        <v>19</v>
      </c>
      <c r="J2212" s="3" t="s">
        <v>19</v>
      </c>
      <c r="K2212" s="3" t="s">
        <v>25</v>
      </c>
      <c r="L2212" s="3">
        <v>28.02</v>
      </c>
      <c r="M2212" s="3" t="s">
        <v>1695</v>
      </c>
      <c r="N2212" s="3" t="s">
        <v>1696</v>
      </c>
      <c r="O2212" s="3">
        <v>1.9154540978E11</v>
      </c>
    </row>
    <row r="2213">
      <c r="A2213" s="3">
        <v>2613215.0</v>
      </c>
      <c r="B2213" s="3" t="s">
        <v>4687</v>
      </c>
      <c r="C2213" s="3" t="b">
        <v>1</v>
      </c>
      <c r="D2213" s="3" t="b">
        <v>1</v>
      </c>
      <c r="E2213" s="3" t="s">
        <v>4688</v>
      </c>
      <c r="F2213" s="3" t="s">
        <v>2680</v>
      </c>
      <c r="G2213" s="4">
        <f>+251913772358</f>
        <v>251913772358</v>
      </c>
      <c r="H2213" s="3" t="s">
        <v>18</v>
      </c>
      <c r="I2213" s="3" t="s">
        <v>19</v>
      </c>
      <c r="J2213" s="3" t="s">
        <v>19</v>
      </c>
      <c r="K2213" s="3" t="s">
        <v>25</v>
      </c>
      <c r="L2213" s="3">
        <v>25.02</v>
      </c>
      <c r="M2213" s="3" t="s">
        <v>1695</v>
      </c>
      <c r="N2213" s="3" t="s">
        <v>1696</v>
      </c>
      <c r="O2213" s="3">
        <v>1.91549483256E11</v>
      </c>
    </row>
    <row r="2214">
      <c r="A2214" s="3">
        <v>2613238.0</v>
      </c>
      <c r="B2214" s="3" t="s">
        <v>4689</v>
      </c>
      <c r="C2214" s="3" t="b">
        <v>0</v>
      </c>
      <c r="D2214" s="3" t="b">
        <v>1</v>
      </c>
      <c r="E2214" s="3" t="s">
        <v>3059</v>
      </c>
      <c r="F2214" s="3" t="s">
        <v>4690</v>
      </c>
      <c r="G2214" s="4">
        <f>+251919360567</f>
        <v>251919360567</v>
      </c>
      <c r="H2214" s="3" t="s">
        <v>18</v>
      </c>
      <c r="I2214" s="3" t="s">
        <v>19</v>
      </c>
      <c r="J2214" s="3" t="s">
        <v>19</v>
      </c>
      <c r="K2214" s="3" t="s">
        <v>25</v>
      </c>
      <c r="L2214" s="3">
        <v>25.02</v>
      </c>
      <c r="M2214" s="3" t="s">
        <v>1695</v>
      </c>
      <c r="N2214" s="3" t="s">
        <v>1696</v>
      </c>
      <c r="O2214" s="3">
        <v>1.91485595839E11</v>
      </c>
    </row>
    <row r="2215">
      <c r="A2215" s="3">
        <v>2613239.0</v>
      </c>
      <c r="B2215" s="3" t="s">
        <v>4691</v>
      </c>
      <c r="C2215" s="3" t="b">
        <v>0</v>
      </c>
      <c r="D2215" s="3" t="b">
        <v>1</v>
      </c>
      <c r="E2215" s="3" t="s">
        <v>4110</v>
      </c>
      <c r="F2215" s="3" t="s">
        <v>4150</v>
      </c>
      <c r="G2215" s="4">
        <f>+251974370092</f>
        <v>251974370092</v>
      </c>
      <c r="H2215" s="3" t="s">
        <v>18</v>
      </c>
      <c r="I2215" s="3" t="s">
        <v>19</v>
      </c>
      <c r="J2215" s="3" t="s">
        <v>19</v>
      </c>
      <c r="K2215" s="3" t="s">
        <v>25</v>
      </c>
      <c r="L2215" s="3">
        <v>25.02</v>
      </c>
      <c r="M2215" s="3" t="s">
        <v>1695</v>
      </c>
      <c r="N2215" s="3" t="s">
        <v>1696</v>
      </c>
      <c r="O2215" s="3">
        <v>1.91531767003E11</v>
      </c>
    </row>
    <row r="2216">
      <c r="A2216" s="3">
        <v>2613269.0</v>
      </c>
      <c r="B2216" s="3" t="s">
        <v>4692</v>
      </c>
      <c r="C2216" s="3" t="b">
        <v>0</v>
      </c>
      <c r="D2216" s="3" t="b">
        <v>1</v>
      </c>
      <c r="E2216" s="3" t="s">
        <v>4693</v>
      </c>
      <c r="F2216" s="3" t="s">
        <v>4129</v>
      </c>
      <c r="G2216" s="4">
        <f>+251935022504</f>
        <v>251935022504</v>
      </c>
      <c r="H2216" s="3" t="s">
        <v>18</v>
      </c>
      <c r="I2216" s="3" t="s">
        <v>19</v>
      </c>
      <c r="J2216" s="3" t="s">
        <v>19</v>
      </c>
      <c r="K2216" s="3" t="s">
        <v>25</v>
      </c>
      <c r="L2216" s="3">
        <v>25.02</v>
      </c>
      <c r="M2216" s="3" t="s">
        <v>1695</v>
      </c>
      <c r="N2216" s="3" t="s">
        <v>1696</v>
      </c>
      <c r="O2216" s="3">
        <v>2.322323E7</v>
      </c>
    </row>
    <row r="2217">
      <c r="A2217" s="3">
        <v>2613257.0</v>
      </c>
      <c r="B2217" s="3" t="s">
        <v>4694</v>
      </c>
      <c r="C2217" s="3" t="b">
        <v>0</v>
      </c>
      <c r="D2217" s="3" t="b">
        <v>1</v>
      </c>
      <c r="E2217" s="3" t="s">
        <v>2539</v>
      </c>
      <c r="F2217" s="3" t="s">
        <v>2611</v>
      </c>
      <c r="G2217" s="4">
        <f>+251947442717</f>
        <v>251947442717</v>
      </c>
      <c r="H2217" s="3" t="s">
        <v>18</v>
      </c>
      <c r="I2217" s="3" t="s">
        <v>19</v>
      </c>
      <c r="J2217" s="3" t="s">
        <v>19</v>
      </c>
      <c r="K2217" s="3" t="s">
        <v>20</v>
      </c>
      <c r="L2217" s="3">
        <v>25.02</v>
      </c>
      <c r="M2217" s="3" t="s">
        <v>1695</v>
      </c>
      <c r="N2217" s="3" t="s">
        <v>1696</v>
      </c>
      <c r="O2217" s="3">
        <v>1.91485092069E11</v>
      </c>
    </row>
    <row r="2218">
      <c r="A2218" s="3">
        <v>2613274.0</v>
      </c>
      <c r="B2218" s="3" t="s">
        <v>4695</v>
      </c>
      <c r="C2218" s="3" t="b">
        <v>0</v>
      </c>
      <c r="D2218" s="3" t="b">
        <v>1</v>
      </c>
      <c r="E2218" s="3" t="s">
        <v>3919</v>
      </c>
      <c r="F2218" s="3" t="s">
        <v>1000</v>
      </c>
      <c r="G2218" s="4">
        <f>+251925813693</f>
        <v>251925813693</v>
      </c>
      <c r="H2218" s="3" t="s">
        <v>18</v>
      </c>
      <c r="I2218" s="3" t="s">
        <v>19</v>
      </c>
      <c r="J2218" s="3" t="s">
        <v>19</v>
      </c>
      <c r="K2218" s="3" t="s">
        <v>25</v>
      </c>
      <c r="L2218" s="3">
        <v>24.02</v>
      </c>
      <c r="M2218" s="3" t="s">
        <v>1695</v>
      </c>
      <c r="N2218" s="3" t="s">
        <v>1696</v>
      </c>
      <c r="O2218" s="3">
        <v>1.91557618923E11</v>
      </c>
    </row>
    <row r="2219">
      <c r="A2219" s="3">
        <v>2613291.0</v>
      </c>
      <c r="B2219" s="3" t="s">
        <v>4696</v>
      </c>
      <c r="C2219" s="3" t="b">
        <v>0</v>
      </c>
      <c r="D2219" s="3" t="b">
        <v>1</v>
      </c>
      <c r="E2219" s="3" t="s">
        <v>3662</v>
      </c>
      <c r="F2219" s="3" t="s">
        <v>1849</v>
      </c>
      <c r="G2219" s="4">
        <f>+251923012856</f>
        <v>251923012856</v>
      </c>
      <c r="H2219" s="3" t="s">
        <v>18</v>
      </c>
      <c r="I2219" s="3" t="s">
        <v>19</v>
      </c>
      <c r="J2219" s="3" t="s">
        <v>19</v>
      </c>
      <c r="K2219" s="3" t="s">
        <v>25</v>
      </c>
      <c r="L2219" s="3">
        <v>25.02</v>
      </c>
      <c r="M2219" s="3" t="s">
        <v>1695</v>
      </c>
      <c r="N2219" s="3" t="s">
        <v>1696</v>
      </c>
      <c r="O2219" s="3">
        <v>1.91503299813E11</v>
      </c>
    </row>
    <row r="2220">
      <c r="A2220" s="3">
        <v>2613305.0</v>
      </c>
      <c r="B2220" s="3" t="s">
        <v>4697</v>
      </c>
      <c r="C2220" s="3" t="b">
        <v>0</v>
      </c>
      <c r="D2220" s="3" t="b">
        <v>1</v>
      </c>
      <c r="E2220" s="3" t="s">
        <v>2637</v>
      </c>
      <c r="F2220" s="3" t="s">
        <v>4698</v>
      </c>
      <c r="G2220" s="4">
        <f>+251928122458</f>
        <v>251928122458</v>
      </c>
      <c r="H2220" s="3" t="s">
        <v>18</v>
      </c>
      <c r="I2220" s="3" t="s">
        <v>19</v>
      </c>
      <c r="J2220" s="3" t="s">
        <v>19</v>
      </c>
      <c r="K2220" s="3" t="s">
        <v>25</v>
      </c>
      <c r="L2220" s="3">
        <v>25.02</v>
      </c>
      <c r="M2220" s="3" t="s">
        <v>1695</v>
      </c>
      <c r="N2220" s="3" t="s">
        <v>1696</v>
      </c>
      <c r="O2220" s="3">
        <v>1.91491803362E11</v>
      </c>
    </row>
    <row r="2221">
      <c r="A2221" s="3">
        <v>2613296.0</v>
      </c>
      <c r="B2221" s="3" t="s">
        <v>4699</v>
      </c>
      <c r="C2221" s="3" t="b">
        <v>0</v>
      </c>
      <c r="D2221" s="3" t="b">
        <v>1</v>
      </c>
      <c r="E2221" s="3" t="s">
        <v>3990</v>
      </c>
      <c r="F2221" s="3" t="s">
        <v>4700</v>
      </c>
      <c r="G2221" s="4">
        <f>+251962503756</f>
        <v>251962503756</v>
      </c>
      <c r="H2221" s="3" t="s">
        <v>29</v>
      </c>
      <c r="I2221" s="3" t="s">
        <v>19</v>
      </c>
      <c r="J2221" s="3" t="s">
        <v>19</v>
      </c>
      <c r="K2221" s="3" t="s">
        <v>20</v>
      </c>
      <c r="L2221" s="3">
        <v>24.7</v>
      </c>
      <c r="M2221" s="3" t="s">
        <v>1695</v>
      </c>
      <c r="N2221" s="3" t="s">
        <v>1696</v>
      </c>
      <c r="O2221" s="3">
        <v>1.91553967318E11</v>
      </c>
    </row>
    <row r="2222">
      <c r="A2222" s="3">
        <v>2613310.0</v>
      </c>
      <c r="B2222" s="3" t="s">
        <v>4701</v>
      </c>
      <c r="C2222" s="3" t="b">
        <v>0</v>
      </c>
      <c r="D2222" s="3" t="b">
        <v>1</v>
      </c>
      <c r="E2222" s="3" t="s">
        <v>3811</v>
      </c>
      <c r="F2222" s="3" t="s">
        <v>3651</v>
      </c>
      <c r="G2222" s="4">
        <f>+251949511253</f>
        <v>251949511253</v>
      </c>
      <c r="H2222" s="3" t="s">
        <v>18</v>
      </c>
      <c r="I2222" s="3" t="s">
        <v>19</v>
      </c>
      <c r="J2222" s="3" t="s">
        <v>19</v>
      </c>
      <c r="K2222" s="3" t="s">
        <v>20</v>
      </c>
      <c r="L2222" s="3">
        <v>24.02</v>
      </c>
      <c r="M2222" s="3" t="s">
        <v>1695</v>
      </c>
      <c r="N2222" s="3" t="s">
        <v>1696</v>
      </c>
      <c r="O2222" s="3">
        <v>1.91491896508E11</v>
      </c>
    </row>
    <row r="2223">
      <c r="A2223" s="3">
        <v>2613332.0</v>
      </c>
      <c r="B2223" s="3" t="s">
        <v>4702</v>
      </c>
      <c r="C2223" s="3" t="b">
        <v>0</v>
      </c>
      <c r="D2223" s="3" t="b">
        <v>1</v>
      </c>
      <c r="E2223" s="3" t="s">
        <v>691</v>
      </c>
      <c r="F2223" s="3" t="s">
        <v>4703</v>
      </c>
      <c r="G2223" s="4">
        <f>+251940351542</f>
        <v>251940351542</v>
      </c>
      <c r="H2223" s="3" t="s">
        <v>18</v>
      </c>
      <c r="I2223" s="3" t="s">
        <v>19</v>
      </c>
      <c r="J2223" s="3" t="s">
        <v>19</v>
      </c>
      <c r="K2223" s="3" t="s">
        <v>20</v>
      </c>
      <c r="L2223" s="3">
        <v>25.02</v>
      </c>
      <c r="M2223" s="3" t="s">
        <v>1695</v>
      </c>
      <c r="N2223" s="3" t="s">
        <v>1696</v>
      </c>
      <c r="O2223" s="3">
        <v>1.91548365027E11</v>
      </c>
    </row>
    <row r="2224">
      <c r="A2224" s="3">
        <v>2613348.0</v>
      </c>
      <c r="B2224" s="3" t="s">
        <v>4704</v>
      </c>
      <c r="C2224" s="3" t="b">
        <v>0</v>
      </c>
      <c r="D2224" s="3" t="b">
        <v>1</v>
      </c>
      <c r="E2224" s="3" t="s">
        <v>273</v>
      </c>
      <c r="F2224" s="3" t="s">
        <v>596</v>
      </c>
      <c r="G2224" s="4">
        <f>+251923019608</f>
        <v>251923019608</v>
      </c>
      <c r="H2224" s="3" t="s">
        <v>18</v>
      </c>
      <c r="I2224" s="3" t="s">
        <v>19</v>
      </c>
      <c r="J2224" s="3" t="s">
        <v>19</v>
      </c>
      <c r="K2224" s="3" t="s">
        <v>25</v>
      </c>
      <c r="L2224" s="3">
        <v>25.02</v>
      </c>
      <c r="M2224" s="3" t="s">
        <v>1695</v>
      </c>
      <c r="N2224" s="3" t="s">
        <v>1696</v>
      </c>
      <c r="O2224" s="3">
        <v>1.91504559309E11</v>
      </c>
    </row>
    <row r="2225">
      <c r="A2225" s="3">
        <v>2613362.0</v>
      </c>
      <c r="B2225" s="3" t="s">
        <v>4705</v>
      </c>
      <c r="C2225" s="3" t="b">
        <v>0</v>
      </c>
      <c r="D2225" s="3" t="b">
        <v>1</v>
      </c>
      <c r="E2225" s="3" t="s">
        <v>4113</v>
      </c>
      <c r="F2225" s="3" t="s">
        <v>4706</v>
      </c>
      <c r="G2225" s="4">
        <f>+251940174780</f>
        <v>251940174780</v>
      </c>
      <c r="H2225" s="3" t="s">
        <v>18</v>
      </c>
      <c r="I2225" s="3" t="s">
        <v>19</v>
      </c>
      <c r="J2225" s="3" t="s">
        <v>19</v>
      </c>
      <c r="K2225" s="3" t="s">
        <v>25</v>
      </c>
      <c r="L2225" s="3">
        <v>25.08</v>
      </c>
      <c r="M2225" s="3" t="s">
        <v>1695</v>
      </c>
      <c r="N2225" s="3" t="s">
        <v>1696</v>
      </c>
      <c r="O2225" s="3">
        <v>1.91553221831E11</v>
      </c>
    </row>
    <row r="2226">
      <c r="A2226" s="3">
        <v>2613381.0</v>
      </c>
      <c r="B2226" s="3" t="s">
        <v>4707</v>
      </c>
      <c r="C2226" s="3" t="b">
        <v>0</v>
      </c>
      <c r="D2226" s="3" t="b">
        <v>1</v>
      </c>
      <c r="E2226" s="3" t="s">
        <v>1321</v>
      </c>
      <c r="F2226" s="3" t="s">
        <v>4708</v>
      </c>
      <c r="G2226" s="4">
        <f>+251910820088</f>
        <v>251910820088</v>
      </c>
      <c r="H2226" s="3" t="s">
        <v>18</v>
      </c>
      <c r="I2226" s="3" t="s">
        <v>19</v>
      </c>
      <c r="J2226" s="3" t="s">
        <v>19</v>
      </c>
      <c r="K2226" s="3" t="s">
        <v>25</v>
      </c>
      <c r="L2226" s="3">
        <v>15.11</v>
      </c>
      <c r="M2226" s="3" t="s">
        <v>1695</v>
      </c>
      <c r="N2226" s="3" t="s">
        <v>1696</v>
      </c>
      <c r="O2226" s="3">
        <v>1.91504966903E11</v>
      </c>
    </row>
    <row r="2227">
      <c r="A2227" s="3">
        <v>2613394.0</v>
      </c>
      <c r="B2227" s="3" t="s">
        <v>4709</v>
      </c>
      <c r="C2227" s="3" t="b">
        <v>0</v>
      </c>
      <c r="D2227" s="3" t="b">
        <v>1</v>
      </c>
      <c r="E2227" s="3" t="s">
        <v>4710</v>
      </c>
      <c r="F2227" s="3" t="s">
        <v>3323</v>
      </c>
      <c r="G2227" s="4">
        <f>+251935291622</f>
        <v>251935291622</v>
      </c>
      <c r="H2227" s="3" t="s">
        <v>18</v>
      </c>
      <c r="I2227" s="3" t="s">
        <v>19</v>
      </c>
      <c r="J2227" s="3" t="s">
        <v>19</v>
      </c>
      <c r="K2227" s="3" t="s">
        <v>25</v>
      </c>
      <c r="L2227" s="3">
        <v>15.02</v>
      </c>
      <c r="M2227" s="3" t="s">
        <v>1695</v>
      </c>
      <c r="N2227" s="3" t="s">
        <v>1696</v>
      </c>
      <c r="O2227" s="3">
        <v>1860955.0</v>
      </c>
    </row>
    <row r="2228">
      <c r="A2228" s="3">
        <v>2613407.0</v>
      </c>
      <c r="B2228" s="3" t="s">
        <v>4711</v>
      </c>
      <c r="C2228" s="3" t="b">
        <v>0</v>
      </c>
      <c r="D2228" s="3" t="b">
        <v>1</v>
      </c>
      <c r="E2228" s="3" t="s">
        <v>1898</v>
      </c>
      <c r="F2228" s="3" t="s">
        <v>649</v>
      </c>
      <c r="G2228" s="4">
        <f>+251969162899</f>
        <v>251969162899</v>
      </c>
      <c r="H2228" s="3" t="s">
        <v>18</v>
      </c>
      <c r="I2228" s="3" t="s">
        <v>19</v>
      </c>
      <c r="J2228" s="3" t="s">
        <v>19</v>
      </c>
      <c r="K2228" s="3" t="s">
        <v>25</v>
      </c>
      <c r="L2228" s="3">
        <v>24.02</v>
      </c>
      <c r="M2228" s="3" t="s">
        <v>1695</v>
      </c>
      <c r="N2228" s="3" t="s">
        <v>1696</v>
      </c>
      <c r="O2228" s="3">
        <v>1.91519002857E11</v>
      </c>
    </row>
    <row r="2229">
      <c r="A2229" s="3">
        <v>2613289.0</v>
      </c>
      <c r="B2229" s="3" t="s">
        <v>4712</v>
      </c>
      <c r="C2229" s="3" t="b">
        <v>1</v>
      </c>
      <c r="D2229" s="3" t="b">
        <v>1</v>
      </c>
      <c r="E2229" s="3" t="s">
        <v>4713</v>
      </c>
      <c r="F2229" s="3" t="s">
        <v>1177</v>
      </c>
      <c r="G2229" s="4">
        <f>+251946642299</f>
        <v>251946642299</v>
      </c>
      <c r="H2229" s="3" t="s">
        <v>18</v>
      </c>
      <c r="I2229" s="3" t="s">
        <v>19</v>
      </c>
      <c r="J2229" s="3" t="s">
        <v>19</v>
      </c>
      <c r="K2229" s="3" t="s">
        <v>25</v>
      </c>
      <c r="L2229" s="3">
        <v>26.19</v>
      </c>
      <c r="M2229" s="3" t="s">
        <v>1695</v>
      </c>
      <c r="N2229" s="3" t="s">
        <v>1696</v>
      </c>
      <c r="O2229" s="3">
        <v>1029965.0</v>
      </c>
    </row>
    <row r="2230">
      <c r="A2230" s="3">
        <v>2613455.0</v>
      </c>
      <c r="B2230" s="3" t="s">
        <v>4714</v>
      </c>
      <c r="C2230" s="3" t="b">
        <v>0</v>
      </c>
      <c r="D2230" s="3" t="b">
        <v>1</v>
      </c>
      <c r="E2230" s="3" t="s">
        <v>4715</v>
      </c>
      <c r="F2230" s="3" t="s">
        <v>4716</v>
      </c>
      <c r="G2230" s="4">
        <f>+251973402050</f>
        <v>251973402050</v>
      </c>
      <c r="H2230" s="3" t="s">
        <v>18</v>
      </c>
      <c r="I2230" s="3" t="s">
        <v>19</v>
      </c>
      <c r="J2230" s="3" t="s">
        <v>19</v>
      </c>
      <c r="K2230" s="3" t="s">
        <v>20</v>
      </c>
      <c r="L2230" s="3">
        <v>24.02</v>
      </c>
      <c r="M2230" s="3" t="s">
        <v>1695</v>
      </c>
      <c r="N2230" s="3" t="s">
        <v>1696</v>
      </c>
      <c r="O2230" s="3">
        <v>1.91578195179E11</v>
      </c>
    </row>
    <row r="2231">
      <c r="A2231" s="3">
        <v>2613471.0</v>
      </c>
      <c r="B2231" s="3" t="s">
        <v>4717</v>
      </c>
      <c r="C2231" s="3" t="b">
        <v>0</v>
      </c>
      <c r="D2231" s="3" t="b">
        <v>1</v>
      </c>
      <c r="E2231" s="3" t="s">
        <v>1422</v>
      </c>
      <c r="F2231" s="3" t="s">
        <v>274</v>
      </c>
      <c r="G2231" s="4">
        <f>+251921214659</f>
        <v>251921214659</v>
      </c>
      <c r="H2231" s="3" t="s">
        <v>18</v>
      </c>
      <c r="I2231" s="3" t="s">
        <v>19</v>
      </c>
      <c r="J2231" s="3" t="s">
        <v>19</v>
      </c>
      <c r="K2231" s="3" t="s">
        <v>20</v>
      </c>
      <c r="L2231" s="3">
        <v>24.02</v>
      </c>
      <c r="M2231" s="3" t="s">
        <v>1695</v>
      </c>
      <c r="N2231" s="3" t="s">
        <v>1696</v>
      </c>
      <c r="O2231" s="3">
        <v>1.91520282816E11</v>
      </c>
    </row>
    <row r="2232">
      <c r="A2232" s="3">
        <v>2613519.0</v>
      </c>
      <c r="B2232" s="3" t="s">
        <v>4718</v>
      </c>
      <c r="C2232" s="3" t="b">
        <v>0</v>
      </c>
      <c r="D2232" s="3" t="b">
        <v>1</v>
      </c>
      <c r="E2232" s="3" t="s">
        <v>760</v>
      </c>
      <c r="F2232" s="3" t="s">
        <v>3599</v>
      </c>
      <c r="G2232" s="4">
        <f>+251949079825</f>
        <v>251949079825</v>
      </c>
      <c r="H2232" s="3" t="s">
        <v>18</v>
      </c>
      <c r="I2232" s="3" t="s">
        <v>19</v>
      </c>
      <c r="J2232" s="3" t="s">
        <v>19</v>
      </c>
      <c r="K2232" s="3" t="s">
        <v>20</v>
      </c>
      <c r="L2232" s="3">
        <v>25.02</v>
      </c>
      <c r="M2232" s="3" t="s">
        <v>1695</v>
      </c>
      <c r="N2232" s="3" t="s">
        <v>1696</v>
      </c>
      <c r="O2232" s="3">
        <v>1.91624729806E11</v>
      </c>
    </row>
    <row r="2233">
      <c r="A2233" s="3">
        <v>1345048.0</v>
      </c>
      <c r="B2233" s="3" t="s">
        <v>4719</v>
      </c>
      <c r="C2233" s="3" t="b">
        <v>1</v>
      </c>
      <c r="D2233" s="3" t="b">
        <v>1</v>
      </c>
      <c r="E2233" s="3" t="s">
        <v>4720</v>
      </c>
      <c r="F2233" s="3" t="s">
        <v>4721</v>
      </c>
      <c r="G2233" s="4">
        <f>+251914969642</f>
        <v>251914969642</v>
      </c>
      <c r="H2233" s="3" t="s">
        <v>289</v>
      </c>
      <c r="I2233" s="3" t="s">
        <v>19</v>
      </c>
      <c r="J2233" s="3" t="s">
        <v>19</v>
      </c>
      <c r="K2233" s="3" t="s">
        <v>25</v>
      </c>
      <c r="L2233" s="3">
        <v>27.03</v>
      </c>
      <c r="M2233" s="3" t="s">
        <v>1695</v>
      </c>
      <c r="N2233" s="3" t="s">
        <v>1696</v>
      </c>
      <c r="O2233" s="3">
        <v>1.420214524E10</v>
      </c>
    </row>
    <row r="2234">
      <c r="A2234" s="3">
        <v>2613684.0</v>
      </c>
      <c r="B2234" s="3" t="s">
        <v>4722</v>
      </c>
      <c r="C2234" s="3" t="b">
        <v>0</v>
      </c>
      <c r="D2234" s="3" t="b">
        <v>1</v>
      </c>
      <c r="E2234" s="3" t="s">
        <v>4723</v>
      </c>
      <c r="F2234" s="3" t="s">
        <v>4724</v>
      </c>
      <c r="G2234" s="4">
        <f>+251941013933</f>
        <v>251941013933</v>
      </c>
      <c r="H2234" s="3" t="s">
        <v>18</v>
      </c>
      <c r="I2234" s="3" t="s">
        <v>19</v>
      </c>
      <c r="J2234" s="3" t="s">
        <v>19</v>
      </c>
      <c r="K2234" s="3" t="s">
        <v>20</v>
      </c>
      <c r="L2234" s="3">
        <v>25.1</v>
      </c>
      <c r="M2234" s="3" t="s">
        <v>1695</v>
      </c>
      <c r="N2234" s="3" t="s">
        <v>1696</v>
      </c>
      <c r="O2234" s="3">
        <v>1.9181280992E11</v>
      </c>
    </row>
    <row r="2235">
      <c r="A2235" s="3">
        <v>2613697.0</v>
      </c>
      <c r="B2235" s="3" t="s">
        <v>4725</v>
      </c>
      <c r="C2235" s="3" t="b">
        <v>0</v>
      </c>
      <c r="D2235" s="3" t="b">
        <v>1</v>
      </c>
      <c r="E2235" s="3" t="s">
        <v>760</v>
      </c>
      <c r="F2235" s="3" t="s">
        <v>325</v>
      </c>
      <c r="G2235" s="4">
        <f>+251938819698</f>
        <v>251938819698</v>
      </c>
      <c r="H2235" s="3" t="s">
        <v>18</v>
      </c>
      <c r="I2235" s="3" t="s">
        <v>19</v>
      </c>
      <c r="J2235" s="3" t="s">
        <v>19</v>
      </c>
      <c r="K2235" s="3" t="s">
        <v>20</v>
      </c>
      <c r="L2235" s="3">
        <v>25.1</v>
      </c>
      <c r="M2235" s="3" t="s">
        <v>1695</v>
      </c>
      <c r="N2235" s="3" t="s">
        <v>1696</v>
      </c>
      <c r="O2235" s="3">
        <v>1.91814039774E11</v>
      </c>
    </row>
    <row r="2236">
      <c r="A2236" s="3">
        <v>2613713.0</v>
      </c>
      <c r="B2236" s="3" t="s">
        <v>4726</v>
      </c>
      <c r="C2236" s="3" t="b">
        <v>0</v>
      </c>
      <c r="D2236" s="3" t="b">
        <v>1</v>
      </c>
      <c r="E2236" s="3" t="s">
        <v>4727</v>
      </c>
      <c r="F2236" s="3" t="s">
        <v>109</v>
      </c>
      <c r="G2236" s="4">
        <f>+251966073002</f>
        <v>251966073002</v>
      </c>
      <c r="H2236" s="3" t="s">
        <v>18</v>
      </c>
      <c r="I2236" s="3" t="s">
        <v>19</v>
      </c>
      <c r="J2236" s="3" t="s">
        <v>19</v>
      </c>
      <c r="K2236" s="3" t="s">
        <v>25</v>
      </c>
      <c r="L2236" s="3">
        <v>25.02</v>
      </c>
      <c r="M2236" s="3" t="s">
        <v>1695</v>
      </c>
      <c r="N2236" s="3" t="s">
        <v>1696</v>
      </c>
      <c r="O2236" s="3">
        <v>1.91815490756E11</v>
      </c>
    </row>
    <row r="2237">
      <c r="A2237" s="3">
        <v>2613733.0</v>
      </c>
      <c r="B2237" s="3" t="s">
        <v>4728</v>
      </c>
      <c r="C2237" s="3" t="b">
        <v>0</v>
      </c>
      <c r="D2237" s="3" t="b">
        <v>1</v>
      </c>
      <c r="E2237" s="3" t="s">
        <v>701</v>
      </c>
      <c r="F2237" s="3" t="s">
        <v>1028</v>
      </c>
      <c r="G2237" s="4">
        <f>+251909229876</f>
        <v>251909229876</v>
      </c>
      <c r="H2237" s="3" t="s">
        <v>18</v>
      </c>
      <c r="I2237" s="3" t="s">
        <v>19</v>
      </c>
      <c r="J2237" s="3" t="s">
        <v>19</v>
      </c>
      <c r="K2237" s="3" t="s">
        <v>25</v>
      </c>
      <c r="L2237" s="3">
        <v>25.08</v>
      </c>
      <c r="M2237" s="3" t="s">
        <v>1695</v>
      </c>
      <c r="N2237" s="3" t="s">
        <v>1696</v>
      </c>
      <c r="O2237" s="3">
        <v>1.91818798321E11</v>
      </c>
    </row>
    <row r="2238">
      <c r="A2238" s="3">
        <v>2613749.0</v>
      </c>
      <c r="B2238" s="3" t="s">
        <v>4729</v>
      </c>
      <c r="C2238" s="3" t="b">
        <v>0</v>
      </c>
      <c r="D2238" s="3" t="b">
        <v>1</v>
      </c>
      <c r="E2238" s="3" t="s">
        <v>4730</v>
      </c>
      <c r="F2238" s="3" t="s">
        <v>4731</v>
      </c>
      <c r="G2238" s="4">
        <f>+251977002566</f>
        <v>251977002566</v>
      </c>
      <c r="H2238" s="3" t="s">
        <v>18</v>
      </c>
      <c r="I2238" s="3" t="s">
        <v>19</v>
      </c>
      <c r="J2238" s="3" t="s">
        <v>19</v>
      </c>
      <c r="K2238" s="3" t="s">
        <v>25</v>
      </c>
      <c r="L2238" s="3">
        <v>25.02</v>
      </c>
      <c r="M2238" s="3" t="s">
        <v>1695</v>
      </c>
      <c r="N2238" s="3" t="s">
        <v>1696</v>
      </c>
      <c r="O2238" s="3">
        <v>1.91815979202E11</v>
      </c>
    </row>
    <row r="2239">
      <c r="A2239" s="3">
        <v>2613763.0</v>
      </c>
      <c r="B2239" s="3" t="s">
        <v>4732</v>
      </c>
      <c r="C2239" s="3" t="b">
        <v>0</v>
      </c>
      <c r="D2239" s="3" t="b">
        <v>1</v>
      </c>
      <c r="E2239" s="3" t="s">
        <v>4243</v>
      </c>
      <c r="F2239" s="3" t="s">
        <v>4461</v>
      </c>
      <c r="G2239" s="4">
        <f>+251915636460</f>
        <v>251915636460</v>
      </c>
      <c r="H2239" s="3" t="s">
        <v>18</v>
      </c>
      <c r="I2239" s="3" t="s">
        <v>19</v>
      </c>
      <c r="J2239" s="3" t="s">
        <v>19</v>
      </c>
      <c r="K2239" s="3" t="s">
        <v>20</v>
      </c>
      <c r="L2239" s="3">
        <v>25.02</v>
      </c>
      <c r="M2239" s="3" t="s">
        <v>1695</v>
      </c>
      <c r="N2239" s="3" t="s">
        <v>1696</v>
      </c>
      <c r="O2239" s="3">
        <v>1.91890539753E11</v>
      </c>
    </row>
    <row r="2240">
      <c r="A2240" s="3">
        <v>2613771.0</v>
      </c>
      <c r="B2240" s="3" t="s">
        <v>4733</v>
      </c>
      <c r="C2240" s="3" t="b">
        <v>0</v>
      </c>
      <c r="D2240" s="3" t="b">
        <v>1</v>
      </c>
      <c r="E2240" s="3" t="s">
        <v>4734</v>
      </c>
      <c r="F2240" s="3" t="s">
        <v>4735</v>
      </c>
      <c r="G2240" s="4">
        <f>+251911637969</f>
        <v>251911637969</v>
      </c>
      <c r="H2240" s="3" t="s">
        <v>18</v>
      </c>
      <c r="I2240" s="3" t="s">
        <v>19</v>
      </c>
      <c r="J2240" s="3" t="s">
        <v>19</v>
      </c>
      <c r="K2240" s="3" t="s">
        <v>20</v>
      </c>
      <c r="L2240" s="3">
        <v>25.02</v>
      </c>
      <c r="M2240" s="3" t="s">
        <v>1695</v>
      </c>
      <c r="N2240" s="3" t="s">
        <v>1696</v>
      </c>
      <c r="O2240" s="3">
        <v>1.91829113059E11</v>
      </c>
    </row>
    <row r="2241">
      <c r="A2241" s="3">
        <v>2614059.0</v>
      </c>
      <c r="B2241" s="3" t="s">
        <v>4736</v>
      </c>
      <c r="C2241" s="3" t="b">
        <v>0</v>
      </c>
      <c r="D2241" s="3" t="b">
        <v>1</v>
      </c>
      <c r="E2241" s="3" t="s">
        <v>4317</v>
      </c>
      <c r="F2241" s="3" t="s">
        <v>170</v>
      </c>
      <c r="G2241" s="4">
        <f>+251919829533</f>
        <v>251919829533</v>
      </c>
      <c r="H2241" s="3" t="s">
        <v>18</v>
      </c>
      <c r="I2241" s="3" t="s">
        <v>19</v>
      </c>
      <c r="J2241" s="3" t="s">
        <v>19</v>
      </c>
      <c r="K2241" s="3" t="s">
        <v>25</v>
      </c>
      <c r="L2241" s="3">
        <v>30.93</v>
      </c>
      <c r="M2241" s="3" t="s">
        <v>1695</v>
      </c>
      <c r="N2241" s="3" t="s">
        <v>1696</v>
      </c>
      <c r="O2241" s="3">
        <v>1.92054253778E11</v>
      </c>
    </row>
    <row r="2242">
      <c r="A2242" s="3">
        <v>2614106.0</v>
      </c>
      <c r="B2242" s="3" t="s">
        <v>4737</v>
      </c>
      <c r="C2242" s="3" t="b">
        <v>0</v>
      </c>
      <c r="D2242" s="3" t="b">
        <v>1</v>
      </c>
      <c r="E2242" s="3" t="s">
        <v>4738</v>
      </c>
      <c r="F2242" s="3" t="s">
        <v>4739</v>
      </c>
      <c r="G2242" s="4">
        <f>+251915972062</f>
        <v>251915972062</v>
      </c>
      <c r="H2242" s="3" t="s">
        <v>18</v>
      </c>
      <c r="I2242" s="3" t="s">
        <v>19</v>
      </c>
      <c r="J2242" s="3" t="s">
        <v>19</v>
      </c>
      <c r="K2242" s="3" t="s">
        <v>20</v>
      </c>
      <c r="L2242" s="3">
        <v>32.35</v>
      </c>
      <c r="M2242" s="3" t="s">
        <v>1695</v>
      </c>
      <c r="N2242" s="3" t="s">
        <v>1696</v>
      </c>
      <c r="O2242" s="3">
        <v>1.92048847087E11</v>
      </c>
    </row>
    <row r="2243">
      <c r="A2243" s="3">
        <v>2614119.0</v>
      </c>
      <c r="B2243" s="3" t="s">
        <v>4740</v>
      </c>
      <c r="C2243" s="3" t="b">
        <v>0</v>
      </c>
      <c r="D2243" s="3" t="b">
        <v>1</v>
      </c>
      <c r="E2243" s="3" t="s">
        <v>16</v>
      </c>
      <c r="F2243" s="3" t="s">
        <v>4741</v>
      </c>
      <c r="G2243" s="4">
        <f>+251911687655</f>
        <v>251911687655</v>
      </c>
      <c r="H2243" s="3" t="s">
        <v>18</v>
      </c>
      <c r="I2243" s="3" t="s">
        <v>19</v>
      </c>
      <c r="J2243" s="3" t="s">
        <v>19</v>
      </c>
      <c r="K2243" s="3" t="s">
        <v>20</v>
      </c>
      <c r="L2243" s="3">
        <v>37.28</v>
      </c>
      <c r="M2243" s="3" t="s">
        <v>1695</v>
      </c>
      <c r="N2243" s="3" t="s">
        <v>1696</v>
      </c>
      <c r="O2243" s="3">
        <v>1.91993090297E11</v>
      </c>
    </row>
    <row r="2244">
      <c r="A2244" s="3">
        <v>2614157.0</v>
      </c>
      <c r="B2244" s="3" t="s">
        <v>4742</v>
      </c>
      <c r="C2244" s="3" t="b">
        <v>1</v>
      </c>
      <c r="D2244" s="3" t="b">
        <v>1</v>
      </c>
      <c r="E2244" s="3" t="s">
        <v>474</v>
      </c>
      <c r="F2244" s="3" t="s">
        <v>4743</v>
      </c>
      <c r="G2244" s="3">
        <v>9.1204659E8</v>
      </c>
      <c r="H2244" s="3" t="s">
        <v>18</v>
      </c>
      <c r="I2244" s="3" t="s">
        <v>19</v>
      </c>
      <c r="J2244" s="3" t="s">
        <v>19</v>
      </c>
      <c r="K2244" s="3" t="s">
        <v>25</v>
      </c>
      <c r="L2244" s="3">
        <v>32.26</v>
      </c>
      <c r="M2244" s="3" t="s">
        <v>1695</v>
      </c>
      <c r="N2244" s="3" t="s">
        <v>1696</v>
      </c>
      <c r="O2244" s="3">
        <v>1.91875897578E11</v>
      </c>
    </row>
    <row r="2245">
      <c r="A2245" s="3">
        <v>2614197.0</v>
      </c>
      <c r="B2245" s="3" t="s">
        <v>4744</v>
      </c>
      <c r="C2245" s="3" t="b">
        <v>0</v>
      </c>
      <c r="D2245" s="3" t="b">
        <v>1</v>
      </c>
      <c r="E2245" s="3" t="s">
        <v>1801</v>
      </c>
      <c r="F2245" s="3" t="s">
        <v>4745</v>
      </c>
      <c r="G2245" s="4">
        <f>+251707164020</f>
        <v>251707164020</v>
      </c>
      <c r="H2245" s="3" t="s">
        <v>18</v>
      </c>
      <c r="I2245" s="3" t="s">
        <v>19</v>
      </c>
      <c r="J2245" s="3" t="s">
        <v>19</v>
      </c>
      <c r="K2245" s="3" t="s">
        <v>20</v>
      </c>
      <c r="L2245" s="3">
        <v>19.8</v>
      </c>
      <c r="M2245" s="3" t="s">
        <v>1695</v>
      </c>
      <c r="N2245" s="3" t="s">
        <v>1696</v>
      </c>
      <c r="O2245" s="3">
        <v>1.92000326899E11</v>
      </c>
    </row>
    <row r="2246">
      <c r="A2246" s="3">
        <v>2508503.0</v>
      </c>
      <c r="B2246" s="3" t="s">
        <v>4746</v>
      </c>
      <c r="C2246" s="3" t="b">
        <v>1</v>
      </c>
      <c r="D2246" s="3" t="b">
        <v>1</v>
      </c>
      <c r="E2246" s="3" t="s">
        <v>773</v>
      </c>
      <c r="F2246" s="3" t="s">
        <v>109</v>
      </c>
      <c r="G2246" s="4">
        <f>+251942909760</f>
        <v>251942909760</v>
      </c>
      <c r="H2246" s="3" t="s">
        <v>18</v>
      </c>
      <c r="I2246" s="3" t="s">
        <v>19</v>
      </c>
      <c r="J2246" s="3" t="s">
        <v>19</v>
      </c>
      <c r="K2246" s="3" t="s">
        <v>20</v>
      </c>
      <c r="L2246" s="3">
        <v>23.14</v>
      </c>
      <c r="M2246" s="3" t="s">
        <v>1695</v>
      </c>
      <c r="N2246" s="3" t="s">
        <v>1696</v>
      </c>
    </row>
    <row r="2247">
      <c r="A2247" s="3">
        <v>2614935.0</v>
      </c>
      <c r="B2247" s="3" t="s">
        <v>4747</v>
      </c>
      <c r="C2247" s="3" t="b">
        <v>0</v>
      </c>
      <c r="D2247" s="3" t="b">
        <v>1</v>
      </c>
      <c r="E2247" s="3" t="s">
        <v>196</v>
      </c>
      <c r="F2247" s="3" t="s">
        <v>4748</v>
      </c>
      <c r="G2247" s="4">
        <f>+251991322572</f>
        <v>251991322572</v>
      </c>
      <c r="H2247" s="3" t="s">
        <v>18</v>
      </c>
      <c r="I2247" s="3" t="s">
        <v>19</v>
      </c>
      <c r="J2247" s="3" t="s">
        <v>19</v>
      </c>
      <c r="K2247" s="3" t="s">
        <v>25</v>
      </c>
      <c r="L2247" s="3">
        <v>24.02</v>
      </c>
      <c r="M2247" s="3" t="s">
        <v>1695</v>
      </c>
      <c r="N2247" s="3" t="s">
        <v>1696</v>
      </c>
      <c r="O2247" s="3">
        <v>1.92684105922E11</v>
      </c>
    </row>
    <row r="2248">
      <c r="A2248" s="3">
        <v>2614939.0</v>
      </c>
      <c r="B2248" s="3" t="s">
        <v>4749</v>
      </c>
      <c r="C2248" s="3" t="b">
        <v>0</v>
      </c>
      <c r="D2248" s="3" t="b">
        <v>1</v>
      </c>
      <c r="E2248" s="3" t="s">
        <v>4750</v>
      </c>
      <c r="F2248" s="3" t="s">
        <v>3940</v>
      </c>
      <c r="G2248" s="4">
        <f>+251910172358</f>
        <v>251910172358</v>
      </c>
      <c r="H2248" s="3" t="s">
        <v>18</v>
      </c>
      <c r="I2248" s="3" t="s">
        <v>19</v>
      </c>
      <c r="J2248" s="3" t="s">
        <v>19</v>
      </c>
      <c r="K2248" s="3" t="s">
        <v>20</v>
      </c>
      <c r="L2248" s="3">
        <v>24.02</v>
      </c>
      <c r="M2248" s="3" t="s">
        <v>1695</v>
      </c>
      <c r="N2248" s="3" t="s">
        <v>1696</v>
      </c>
      <c r="O2248" s="3">
        <v>1.92963132647E11</v>
      </c>
    </row>
    <row r="2249">
      <c r="A2249" s="3">
        <v>2614942.0</v>
      </c>
      <c r="B2249" s="3" t="s">
        <v>4751</v>
      </c>
      <c r="C2249" s="3" t="b">
        <v>0</v>
      </c>
      <c r="D2249" s="3" t="b">
        <v>1</v>
      </c>
      <c r="E2249" s="3" t="s">
        <v>4752</v>
      </c>
      <c r="F2249" s="3" t="s">
        <v>1386</v>
      </c>
      <c r="G2249" s="4">
        <f>+251938664216</f>
        <v>251938664216</v>
      </c>
      <c r="H2249" s="3" t="s">
        <v>18</v>
      </c>
      <c r="I2249" s="3" t="s">
        <v>19</v>
      </c>
      <c r="J2249" s="3" t="s">
        <v>19</v>
      </c>
      <c r="K2249" s="3" t="s">
        <v>20</v>
      </c>
      <c r="L2249" s="3">
        <v>24.02</v>
      </c>
      <c r="M2249" s="3" t="s">
        <v>1695</v>
      </c>
      <c r="N2249" s="3" t="s">
        <v>1696</v>
      </c>
      <c r="O2249" s="3">
        <v>1.92920755446E11</v>
      </c>
    </row>
    <row r="2250">
      <c r="A2250" s="3">
        <v>2614952.0</v>
      </c>
      <c r="B2250" s="3" t="s">
        <v>4753</v>
      </c>
      <c r="C2250" s="3" t="b">
        <v>0</v>
      </c>
      <c r="D2250" s="3" t="b">
        <v>1</v>
      </c>
      <c r="E2250" s="3" t="s">
        <v>4754</v>
      </c>
      <c r="F2250" s="3" t="s">
        <v>4755</v>
      </c>
      <c r="G2250" s="4">
        <f>+251964912007</f>
        <v>251964912007</v>
      </c>
      <c r="H2250" s="3" t="s">
        <v>18</v>
      </c>
      <c r="I2250" s="3" t="s">
        <v>19</v>
      </c>
      <c r="J2250" s="3" t="s">
        <v>19</v>
      </c>
      <c r="K2250" s="3" t="s">
        <v>25</v>
      </c>
      <c r="L2250" s="3">
        <v>27.02</v>
      </c>
      <c r="M2250" s="3" t="s">
        <v>1695</v>
      </c>
      <c r="N2250" s="3" t="s">
        <v>1696</v>
      </c>
    </row>
    <row r="2251">
      <c r="A2251" s="3">
        <v>2614957.0</v>
      </c>
      <c r="B2251" s="3" t="s">
        <v>4756</v>
      </c>
      <c r="C2251" s="3" t="b">
        <v>0</v>
      </c>
      <c r="D2251" s="3" t="b">
        <v>1</v>
      </c>
      <c r="E2251" s="3" t="s">
        <v>922</v>
      </c>
      <c r="F2251" s="3" t="s">
        <v>3417</v>
      </c>
      <c r="G2251" s="4">
        <f>+251915924694</f>
        <v>251915924694</v>
      </c>
      <c r="H2251" s="3" t="s">
        <v>18</v>
      </c>
      <c r="I2251" s="3" t="s">
        <v>19</v>
      </c>
      <c r="J2251" s="3" t="s">
        <v>19</v>
      </c>
      <c r="K2251" s="3" t="s">
        <v>25</v>
      </c>
      <c r="L2251" s="3">
        <v>25.02</v>
      </c>
      <c r="M2251" s="3" t="s">
        <v>1695</v>
      </c>
      <c r="N2251" s="3" t="s">
        <v>1696</v>
      </c>
      <c r="O2251" s="3">
        <v>1.92749313248E11</v>
      </c>
    </row>
    <row r="2252">
      <c r="A2252" s="3">
        <v>2614977.0</v>
      </c>
      <c r="B2252" s="3" t="s">
        <v>4757</v>
      </c>
      <c r="C2252" s="3" t="b">
        <v>0</v>
      </c>
      <c r="D2252" s="3" t="b">
        <v>1</v>
      </c>
      <c r="E2252" s="3" t="s">
        <v>4758</v>
      </c>
      <c r="F2252" s="3" t="s">
        <v>3413</v>
      </c>
      <c r="G2252" s="4">
        <f>+251946372732</f>
        <v>251946372732</v>
      </c>
      <c r="H2252" s="3" t="s">
        <v>18</v>
      </c>
      <c r="I2252" s="3" t="s">
        <v>19</v>
      </c>
      <c r="J2252" s="3" t="s">
        <v>19</v>
      </c>
      <c r="K2252" s="3" t="s">
        <v>20</v>
      </c>
      <c r="L2252" s="3">
        <v>26.43</v>
      </c>
      <c r="M2252" s="3" t="s">
        <v>1695</v>
      </c>
      <c r="N2252" s="3" t="s">
        <v>1696</v>
      </c>
      <c r="O2252" s="3">
        <v>1.92921210081E11</v>
      </c>
    </row>
    <row r="2253">
      <c r="A2253" s="3">
        <v>2614982.0</v>
      </c>
      <c r="B2253" s="3" t="s">
        <v>4759</v>
      </c>
      <c r="C2253" s="3" t="b">
        <v>0</v>
      </c>
      <c r="D2253" s="3" t="b">
        <v>1</v>
      </c>
      <c r="E2253" s="3" t="s">
        <v>3811</v>
      </c>
      <c r="F2253" s="3" t="s">
        <v>918</v>
      </c>
      <c r="G2253" s="4">
        <f>+251969351198</f>
        <v>251969351198</v>
      </c>
      <c r="H2253" s="3" t="s">
        <v>18</v>
      </c>
      <c r="I2253" s="3" t="s">
        <v>19</v>
      </c>
      <c r="J2253" s="3" t="s">
        <v>19</v>
      </c>
      <c r="K2253" s="3" t="s">
        <v>20</v>
      </c>
      <c r="L2253" s="3">
        <v>27.27</v>
      </c>
      <c r="M2253" s="3" t="s">
        <v>1695</v>
      </c>
      <c r="N2253" s="3" t="s">
        <v>1696</v>
      </c>
      <c r="O2253" s="3">
        <v>1.92751503604E11</v>
      </c>
    </row>
    <row r="2254">
      <c r="A2254" s="3">
        <v>2614987.0</v>
      </c>
      <c r="B2254" s="3" t="s">
        <v>4760</v>
      </c>
      <c r="C2254" s="3" t="b">
        <v>1</v>
      </c>
      <c r="D2254" s="3" t="b">
        <v>1</v>
      </c>
      <c r="E2254" s="3" t="s">
        <v>4761</v>
      </c>
      <c r="F2254" s="3" t="s">
        <v>946</v>
      </c>
      <c r="G2254" s="4">
        <f>+251919479768</f>
        <v>251919479768</v>
      </c>
      <c r="H2254" s="3" t="s">
        <v>18</v>
      </c>
      <c r="I2254" s="3" t="s">
        <v>19</v>
      </c>
      <c r="J2254" s="3" t="s">
        <v>19</v>
      </c>
      <c r="K2254" s="3" t="s">
        <v>25</v>
      </c>
      <c r="L2254" s="3">
        <v>28.27</v>
      </c>
      <c r="M2254" s="3" t="s">
        <v>1695</v>
      </c>
      <c r="N2254" s="3" t="s">
        <v>1696</v>
      </c>
      <c r="O2254" s="3">
        <v>1.92851834071E11</v>
      </c>
    </row>
    <row r="2255">
      <c r="A2255" s="3">
        <v>2614991.0</v>
      </c>
      <c r="B2255" s="3" t="s">
        <v>4762</v>
      </c>
      <c r="C2255" s="3" t="b">
        <v>0</v>
      </c>
      <c r="D2255" s="3" t="b">
        <v>1</v>
      </c>
      <c r="E2255" s="3" t="s">
        <v>4763</v>
      </c>
      <c r="F2255" s="3" t="s">
        <v>4764</v>
      </c>
      <c r="G2255" s="4">
        <f>+251917626875</f>
        <v>251917626875</v>
      </c>
      <c r="H2255" s="3" t="s">
        <v>18</v>
      </c>
      <c r="I2255" s="3" t="s">
        <v>19</v>
      </c>
      <c r="J2255" s="3" t="s">
        <v>19</v>
      </c>
      <c r="K2255" s="3" t="s">
        <v>25</v>
      </c>
      <c r="L2255" s="3">
        <v>28.33</v>
      </c>
      <c r="M2255" s="3" t="s">
        <v>1695</v>
      </c>
      <c r="N2255" s="3" t="s">
        <v>1696</v>
      </c>
      <c r="O2255" s="3">
        <v>1.92974287077E11</v>
      </c>
    </row>
    <row r="2256">
      <c r="A2256" s="3">
        <v>2614998.0</v>
      </c>
      <c r="B2256" s="3" t="s">
        <v>4765</v>
      </c>
      <c r="C2256" s="3" t="b">
        <v>0</v>
      </c>
      <c r="D2256" s="3" t="b">
        <v>1</v>
      </c>
      <c r="E2256" s="3" t="s">
        <v>1386</v>
      </c>
      <c r="F2256" s="3" t="s">
        <v>4766</v>
      </c>
      <c r="G2256" s="4">
        <f>+251925979490</f>
        <v>251925979490</v>
      </c>
      <c r="H2256" s="3" t="s">
        <v>18</v>
      </c>
      <c r="I2256" s="3" t="s">
        <v>19</v>
      </c>
      <c r="J2256" s="3" t="s">
        <v>19</v>
      </c>
      <c r="K2256" s="3" t="s">
        <v>25</v>
      </c>
      <c r="L2256" s="3">
        <v>28.17</v>
      </c>
      <c r="M2256" s="3" t="s">
        <v>1695</v>
      </c>
      <c r="N2256" s="3" t="s">
        <v>1696</v>
      </c>
      <c r="O2256" s="3">
        <v>1.92855937233E11</v>
      </c>
    </row>
    <row r="2257">
      <c r="A2257" s="3">
        <v>2615000.0</v>
      </c>
      <c r="B2257" s="3" t="s">
        <v>4767</v>
      </c>
      <c r="C2257" s="3" t="b">
        <v>0</v>
      </c>
      <c r="D2257" s="3" t="b">
        <v>1</v>
      </c>
      <c r="E2257" s="3" t="s">
        <v>3974</v>
      </c>
      <c r="F2257" s="3" t="s">
        <v>4768</v>
      </c>
      <c r="G2257" s="4">
        <f>+251934141015</f>
        <v>251934141015</v>
      </c>
      <c r="H2257" s="3" t="s">
        <v>18</v>
      </c>
      <c r="I2257" s="3" t="s">
        <v>19</v>
      </c>
      <c r="J2257" s="3" t="s">
        <v>19</v>
      </c>
      <c r="K2257" s="3" t="s">
        <v>20</v>
      </c>
      <c r="L2257" s="3">
        <v>25.02</v>
      </c>
      <c r="M2257" s="3" t="s">
        <v>1695</v>
      </c>
      <c r="N2257" s="3" t="s">
        <v>1696</v>
      </c>
      <c r="O2257" s="3">
        <v>1.92977718485E11</v>
      </c>
    </row>
    <row r="2258">
      <c r="A2258" s="3">
        <v>2615003.0</v>
      </c>
      <c r="B2258" s="3" t="s">
        <v>4769</v>
      </c>
      <c r="C2258" s="3" t="b">
        <v>0</v>
      </c>
      <c r="D2258" s="3" t="b">
        <v>1</v>
      </c>
      <c r="E2258" s="3" t="s">
        <v>178</v>
      </c>
      <c r="F2258" s="3" t="s">
        <v>4339</v>
      </c>
      <c r="G2258" s="4">
        <f>+251972529295</f>
        <v>251972529295</v>
      </c>
      <c r="H2258" s="3" t="s">
        <v>18</v>
      </c>
      <c r="I2258" s="3" t="s">
        <v>19</v>
      </c>
      <c r="J2258" s="3" t="s">
        <v>19</v>
      </c>
      <c r="K2258" s="3" t="s">
        <v>25</v>
      </c>
      <c r="L2258" s="3">
        <v>22.25</v>
      </c>
      <c r="M2258" s="3" t="s">
        <v>1695</v>
      </c>
      <c r="N2258" s="3" t="s">
        <v>1696</v>
      </c>
      <c r="O2258" s="3">
        <v>1.92977773786E11</v>
      </c>
    </row>
    <row r="2259">
      <c r="A2259" s="3">
        <v>2615011.0</v>
      </c>
      <c r="B2259" s="3" t="s">
        <v>4770</v>
      </c>
      <c r="C2259" s="3" t="b">
        <v>0</v>
      </c>
      <c r="D2259" s="3" t="b">
        <v>1</v>
      </c>
      <c r="E2259" s="3" t="s">
        <v>131</v>
      </c>
      <c r="F2259" s="3" t="s">
        <v>4771</v>
      </c>
      <c r="G2259" s="4">
        <f>+251946209664</f>
        <v>251946209664</v>
      </c>
      <c r="H2259" s="3" t="s">
        <v>18</v>
      </c>
      <c r="I2259" s="3" t="s">
        <v>19</v>
      </c>
      <c r="J2259" s="3" t="s">
        <v>19</v>
      </c>
      <c r="K2259" s="3" t="s">
        <v>20</v>
      </c>
      <c r="L2259" s="3">
        <v>21.35</v>
      </c>
      <c r="M2259" s="3" t="s">
        <v>1695</v>
      </c>
      <c r="N2259" s="3" t="s">
        <v>1696</v>
      </c>
      <c r="O2259" s="3">
        <v>1.92852101311E11</v>
      </c>
    </row>
    <row r="2260">
      <c r="A2260" s="3">
        <v>2615009.0</v>
      </c>
      <c r="B2260" s="3" t="s">
        <v>4772</v>
      </c>
      <c r="C2260" s="3" t="b">
        <v>0</v>
      </c>
      <c r="D2260" s="3" t="b">
        <v>1</v>
      </c>
      <c r="E2260" s="3" t="s">
        <v>3288</v>
      </c>
      <c r="F2260" s="3" t="s">
        <v>1321</v>
      </c>
      <c r="G2260" s="4">
        <f>+251917195945</f>
        <v>251917195945</v>
      </c>
      <c r="H2260" s="3" t="s">
        <v>18</v>
      </c>
      <c r="I2260" s="3" t="s">
        <v>19</v>
      </c>
      <c r="J2260" s="3" t="s">
        <v>19</v>
      </c>
      <c r="K2260" s="3" t="s">
        <v>25</v>
      </c>
      <c r="L2260" s="3">
        <v>26.02</v>
      </c>
      <c r="M2260" s="3" t="s">
        <v>1695</v>
      </c>
      <c r="N2260" s="3" t="s">
        <v>1696</v>
      </c>
      <c r="O2260" s="3">
        <v>1.92977836247E11</v>
      </c>
    </row>
    <row r="2261">
      <c r="A2261" s="3">
        <v>2615027.0</v>
      </c>
      <c r="B2261" s="3" t="s">
        <v>4773</v>
      </c>
      <c r="C2261" s="3" t="b">
        <v>1</v>
      </c>
      <c r="D2261" s="3" t="b">
        <v>1</v>
      </c>
      <c r="E2261" s="3" t="s">
        <v>4774</v>
      </c>
      <c r="F2261" s="3" t="s">
        <v>4562</v>
      </c>
      <c r="G2261" s="4">
        <f>+251985068483</f>
        <v>251985068483</v>
      </c>
      <c r="H2261" s="3" t="s">
        <v>18</v>
      </c>
      <c r="I2261" s="3" t="s">
        <v>19</v>
      </c>
      <c r="J2261" s="3" t="s">
        <v>19</v>
      </c>
      <c r="K2261" s="3" t="s">
        <v>25</v>
      </c>
      <c r="L2261" s="3">
        <v>23.44</v>
      </c>
      <c r="M2261" s="3" t="s">
        <v>1695</v>
      </c>
      <c r="N2261" s="3" t="s">
        <v>1696</v>
      </c>
      <c r="O2261" s="3">
        <v>1.92869363949E11</v>
      </c>
    </row>
    <row r="2262">
      <c r="A2262" s="3">
        <v>2615033.0</v>
      </c>
      <c r="B2262" s="3" t="s">
        <v>4775</v>
      </c>
      <c r="C2262" s="3" t="b">
        <v>0</v>
      </c>
      <c r="D2262" s="3" t="b">
        <v>1</v>
      </c>
      <c r="E2262" s="3" t="s">
        <v>267</v>
      </c>
      <c r="F2262" s="3" t="s">
        <v>4776</v>
      </c>
      <c r="G2262" s="4">
        <f>+251973731549</f>
        <v>251973731549</v>
      </c>
      <c r="H2262" s="3" t="s">
        <v>18</v>
      </c>
      <c r="I2262" s="3" t="s">
        <v>19</v>
      </c>
      <c r="J2262" s="3" t="s">
        <v>19</v>
      </c>
      <c r="K2262" s="3" t="s">
        <v>25</v>
      </c>
      <c r="L2262" s="3">
        <v>24.02</v>
      </c>
      <c r="M2262" s="3" t="s">
        <v>1695</v>
      </c>
      <c r="N2262" s="3" t="s">
        <v>1696</v>
      </c>
      <c r="O2262" s="3">
        <v>1.92869461215E11</v>
      </c>
    </row>
    <row r="2263">
      <c r="A2263" s="3">
        <v>2615037.0</v>
      </c>
      <c r="B2263" s="3" t="s">
        <v>4777</v>
      </c>
      <c r="C2263" s="3" t="b">
        <v>1</v>
      </c>
      <c r="D2263" s="3" t="b">
        <v>1</v>
      </c>
      <c r="E2263" s="3" t="s">
        <v>4778</v>
      </c>
      <c r="F2263" s="3" t="s">
        <v>3150</v>
      </c>
      <c r="G2263" s="4">
        <f>+251995400731</f>
        <v>251995400731</v>
      </c>
      <c r="H2263" s="3" t="s">
        <v>18</v>
      </c>
      <c r="I2263" s="3" t="s">
        <v>19</v>
      </c>
      <c r="J2263" s="3" t="s">
        <v>19</v>
      </c>
      <c r="K2263" s="3" t="s">
        <v>20</v>
      </c>
      <c r="L2263" s="3">
        <v>25.38</v>
      </c>
      <c r="M2263" s="3" t="s">
        <v>1695</v>
      </c>
      <c r="N2263" s="3" t="s">
        <v>1696</v>
      </c>
      <c r="O2263" s="3">
        <v>1.92857411813E11</v>
      </c>
    </row>
    <row r="2264">
      <c r="A2264" s="3">
        <v>2615078.0</v>
      </c>
      <c r="B2264" s="3" t="s">
        <v>4779</v>
      </c>
      <c r="C2264" s="3" t="b">
        <v>1</v>
      </c>
      <c r="D2264" s="3" t="b">
        <v>1</v>
      </c>
      <c r="E2264" s="3" t="s">
        <v>1101</v>
      </c>
      <c r="F2264" s="3" t="s">
        <v>4780</v>
      </c>
      <c r="G2264" s="4">
        <f>+251946335120</f>
        <v>251946335120</v>
      </c>
      <c r="H2264" s="3" t="s">
        <v>18</v>
      </c>
      <c r="I2264" s="3" t="s">
        <v>19</v>
      </c>
      <c r="J2264" s="3" t="s">
        <v>19</v>
      </c>
      <c r="K2264" s="3" t="s">
        <v>20</v>
      </c>
      <c r="L2264" s="3">
        <v>28.39</v>
      </c>
      <c r="M2264" s="3" t="s">
        <v>1695</v>
      </c>
      <c r="N2264" s="3" t="s">
        <v>1696</v>
      </c>
    </row>
    <row r="2265">
      <c r="A2265" s="3">
        <v>2615089.0</v>
      </c>
      <c r="B2265" s="3" t="s">
        <v>4781</v>
      </c>
      <c r="C2265" s="3" t="b">
        <v>0</v>
      </c>
      <c r="D2265" s="3" t="b">
        <v>1</v>
      </c>
      <c r="E2265" s="3" t="s">
        <v>4782</v>
      </c>
      <c r="F2265" s="3" t="s">
        <v>3772</v>
      </c>
      <c r="G2265" s="4">
        <f>+251955095339</f>
        <v>251955095339</v>
      </c>
      <c r="H2265" s="3" t="s">
        <v>18</v>
      </c>
      <c r="I2265" s="3" t="s">
        <v>19</v>
      </c>
      <c r="J2265" s="3" t="s">
        <v>19</v>
      </c>
      <c r="K2265" s="3" t="s">
        <v>25</v>
      </c>
      <c r="L2265" s="3">
        <v>24.44</v>
      </c>
      <c r="M2265" s="3" t="s">
        <v>1695</v>
      </c>
      <c r="N2265" s="3" t="s">
        <v>1696</v>
      </c>
      <c r="O2265" s="3">
        <v>1.92998029555E11</v>
      </c>
    </row>
    <row r="2266">
      <c r="A2266" s="3">
        <v>2615096.0</v>
      </c>
      <c r="B2266" s="3" t="s">
        <v>4783</v>
      </c>
      <c r="C2266" s="3" t="b">
        <v>0</v>
      </c>
      <c r="D2266" s="3" t="b">
        <v>1</v>
      </c>
      <c r="E2266" s="3" t="s">
        <v>4784</v>
      </c>
      <c r="F2266" s="3" t="s">
        <v>1862</v>
      </c>
      <c r="G2266" s="4">
        <f>+251924492499</f>
        <v>251924492499</v>
      </c>
      <c r="H2266" s="3" t="s">
        <v>18</v>
      </c>
      <c r="I2266" s="3" t="s">
        <v>19</v>
      </c>
      <c r="J2266" s="3" t="s">
        <v>19</v>
      </c>
      <c r="K2266" s="3" t="s">
        <v>25</v>
      </c>
      <c r="L2266" s="3">
        <v>21.28</v>
      </c>
      <c r="M2266" s="3" t="s">
        <v>1695</v>
      </c>
      <c r="N2266" s="3" t="s">
        <v>1696</v>
      </c>
      <c r="O2266" s="3">
        <v>1.93001550019E11</v>
      </c>
    </row>
    <row r="2267">
      <c r="A2267" s="3">
        <v>2615042.0</v>
      </c>
      <c r="B2267" s="3" t="s">
        <v>4785</v>
      </c>
      <c r="C2267" s="3" t="b">
        <v>0</v>
      </c>
      <c r="D2267" s="3" t="b">
        <v>1</v>
      </c>
      <c r="E2267" s="3" t="s">
        <v>4786</v>
      </c>
      <c r="F2267" s="3" t="s">
        <v>196</v>
      </c>
      <c r="G2267" s="4">
        <f>+251991322572</f>
        <v>251991322572</v>
      </c>
      <c r="H2267" s="3" t="s">
        <v>18</v>
      </c>
      <c r="I2267" s="3" t="s">
        <v>19</v>
      </c>
      <c r="J2267" s="3" t="s">
        <v>19</v>
      </c>
      <c r="K2267" s="3" t="s">
        <v>25</v>
      </c>
      <c r="L2267" s="3">
        <v>24.02</v>
      </c>
      <c r="M2267" s="3" t="s">
        <v>1695</v>
      </c>
      <c r="N2267" s="3" t="s">
        <v>1696</v>
      </c>
      <c r="O2267" s="3">
        <v>1.92869626095E11</v>
      </c>
    </row>
    <row r="2268">
      <c r="A2268" s="3">
        <v>2615114.0</v>
      </c>
      <c r="B2268" s="3" t="s">
        <v>4787</v>
      </c>
      <c r="C2268" s="3" t="b">
        <v>1</v>
      </c>
      <c r="D2268" s="3" t="b">
        <v>1</v>
      </c>
      <c r="E2268" s="3" t="s">
        <v>4788</v>
      </c>
      <c r="F2268" s="3" t="s">
        <v>284</v>
      </c>
      <c r="G2268" s="4">
        <f>+251983575532</f>
        <v>251983575532</v>
      </c>
      <c r="H2268" s="3" t="s">
        <v>18</v>
      </c>
      <c r="I2268" s="3" t="s">
        <v>19</v>
      </c>
      <c r="J2268" s="3" t="s">
        <v>19</v>
      </c>
      <c r="K2268" s="3" t="s">
        <v>25</v>
      </c>
      <c r="L2268" s="3">
        <v>20.0</v>
      </c>
      <c r="M2268" s="3" t="s">
        <v>1695</v>
      </c>
      <c r="N2268" s="3" t="s">
        <v>1696</v>
      </c>
      <c r="O2268" s="3">
        <v>1.93001827572E11</v>
      </c>
    </row>
    <row r="2269">
      <c r="A2269" s="3">
        <v>2615128.0</v>
      </c>
      <c r="B2269" s="3" t="s">
        <v>4789</v>
      </c>
      <c r="C2269" s="3" t="b">
        <v>0</v>
      </c>
      <c r="D2269" s="3" t="b">
        <v>1</v>
      </c>
      <c r="E2269" s="3" t="s">
        <v>4790</v>
      </c>
      <c r="F2269" s="3" t="s">
        <v>703</v>
      </c>
      <c r="G2269" s="4">
        <f>+251945595388</f>
        <v>251945595388</v>
      </c>
      <c r="H2269" s="3" t="s">
        <v>18</v>
      </c>
      <c r="I2269" s="3" t="s">
        <v>19</v>
      </c>
      <c r="J2269" s="3" t="s">
        <v>19</v>
      </c>
      <c r="K2269" s="3" t="s">
        <v>20</v>
      </c>
      <c r="L2269" s="3">
        <v>25.02</v>
      </c>
      <c r="M2269" s="3" t="s">
        <v>1695</v>
      </c>
      <c r="N2269" s="3" t="s">
        <v>1696</v>
      </c>
      <c r="O2269" s="3">
        <v>1.92881326306E11</v>
      </c>
    </row>
    <row r="2270">
      <c r="A2270" s="3">
        <v>2615188.0</v>
      </c>
      <c r="B2270" s="3" t="s">
        <v>4791</v>
      </c>
      <c r="C2270" s="3" t="b">
        <v>0</v>
      </c>
      <c r="D2270" s="3" t="b">
        <v>1</v>
      </c>
      <c r="E2270" s="3" t="s">
        <v>1054</v>
      </c>
      <c r="F2270" s="3" t="s">
        <v>404</v>
      </c>
      <c r="G2270" s="4">
        <f>+251952982997</f>
        <v>251952982997</v>
      </c>
      <c r="H2270" s="3" t="s">
        <v>18</v>
      </c>
      <c r="I2270" s="3" t="s">
        <v>19</v>
      </c>
      <c r="J2270" s="3" t="s">
        <v>19</v>
      </c>
      <c r="K2270" s="3" t="s">
        <v>20</v>
      </c>
      <c r="L2270" s="3">
        <v>37.43</v>
      </c>
      <c r="M2270" s="3" t="s">
        <v>1695</v>
      </c>
      <c r="N2270" s="3" t="s">
        <v>1696</v>
      </c>
      <c r="O2270" s="3">
        <v>1.93016244457E11</v>
      </c>
    </row>
    <row r="2271">
      <c r="A2271" s="3">
        <v>2615197.0</v>
      </c>
      <c r="B2271" s="3" t="s">
        <v>4792</v>
      </c>
      <c r="C2271" s="3" t="b">
        <v>0</v>
      </c>
      <c r="D2271" s="3" t="b">
        <v>1</v>
      </c>
      <c r="E2271" s="3" t="s">
        <v>490</v>
      </c>
      <c r="F2271" s="3" t="s">
        <v>422</v>
      </c>
      <c r="G2271" s="4">
        <f>+251911705794</f>
        <v>251911705794</v>
      </c>
      <c r="H2271" s="3" t="s">
        <v>18</v>
      </c>
      <c r="I2271" s="3" t="s">
        <v>19</v>
      </c>
      <c r="J2271" s="3" t="s">
        <v>19</v>
      </c>
      <c r="K2271" s="3" t="s">
        <v>25</v>
      </c>
      <c r="L2271" s="3">
        <v>61.27</v>
      </c>
      <c r="M2271" s="3" t="s">
        <v>1695</v>
      </c>
      <c r="N2271" s="3" t="s">
        <v>1696</v>
      </c>
      <c r="O2271" s="3">
        <v>1.93019550949E11</v>
      </c>
    </row>
    <row r="2272">
      <c r="A2272" s="3">
        <v>2615437.0</v>
      </c>
      <c r="B2272" s="3" t="s">
        <v>4793</v>
      </c>
      <c r="C2272" s="3" t="b">
        <v>1</v>
      </c>
      <c r="D2272" s="3" t="b">
        <v>1</v>
      </c>
      <c r="E2272" s="3" t="s">
        <v>304</v>
      </c>
      <c r="F2272" s="3" t="s">
        <v>4794</v>
      </c>
      <c r="G2272" s="4">
        <f>+251968614358</f>
        <v>251968614358</v>
      </c>
      <c r="H2272" s="3" t="s">
        <v>18</v>
      </c>
      <c r="I2272" s="3" t="s">
        <v>19</v>
      </c>
      <c r="J2272" s="3" t="s">
        <v>19</v>
      </c>
      <c r="K2272" s="3" t="s">
        <v>25</v>
      </c>
      <c r="L2272" s="3">
        <v>20.24</v>
      </c>
      <c r="M2272" s="3" t="s">
        <v>1695</v>
      </c>
      <c r="N2272" s="3" t="s">
        <v>1696</v>
      </c>
      <c r="O2272" s="3">
        <v>1.93114596588E11</v>
      </c>
    </row>
    <row r="2273">
      <c r="A2273" s="3">
        <v>2615472.0</v>
      </c>
      <c r="B2273" s="3" t="s">
        <v>4795</v>
      </c>
      <c r="C2273" s="3" t="b">
        <v>0</v>
      </c>
      <c r="D2273" s="3" t="b">
        <v>1</v>
      </c>
      <c r="E2273" s="3" t="s">
        <v>336</v>
      </c>
      <c r="F2273" s="3" t="s">
        <v>4796</v>
      </c>
      <c r="G2273" s="4">
        <f>+251930551276</f>
        <v>251930551276</v>
      </c>
      <c r="H2273" s="3" t="s">
        <v>18</v>
      </c>
      <c r="I2273" s="3" t="s">
        <v>19</v>
      </c>
      <c r="J2273" s="3" t="s">
        <v>19</v>
      </c>
      <c r="K2273" s="3" t="s">
        <v>25</v>
      </c>
      <c r="L2273" s="3">
        <v>34.25</v>
      </c>
      <c r="M2273" s="3" t="s">
        <v>1695</v>
      </c>
      <c r="N2273" s="3" t="s">
        <v>1696</v>
      </c>
      <c r="O2273" s="3">
        <v>1.93173547241E11</v>
      </c>
    </row>
    <row r="2274">
      <c r="A2274" s="3">
        <v>2615537.0</v>
      </c>
      <c r="B2274" s="3" t="s">
        <v>4797</v>
      </c>
      <c r="C2274" s="3" t="b">
        <v>0</v>
      </c>
      <c r="D2274" s="3" t="b">
        <v>1</v>
      </c>
      <c r="E2274" s="3" t="s">
        <v>4798</v>
      </c>
      <c r="F2274" s="3" t="s">
        <v>4799</v>
      </c>
      <c r="G2274" s="4">
        <f>+251922799337</f>
        <v>251922799337</v>
      </c>
      <c r="H2274" s="3" t="s">
        <v>18</v>
      </c>
      <c r="I2274" s="3" t="s">
        <v>19</v>
      </c>
      <c r="J2274" s="3" t="s">
        <v>19</v>
      </c>
      <c r="K2274" s="3" t="s">
        <v>20</v>
      </c>
      <c r="L2274" s="3">
        <v>29.5</v>
      </c>
      <c r="M2274" s="3" t="s">
        <v>1695</v>
      </c>
      <c r="N2274" s="3" t="s">
        <v>1696</v>
      </c>
      <c r="O2274" s="3">
        <v>1.9319016264E11</v>
      </c>
    </row>
    <row r="2275">
      <c r="A2275" s="3">
        <v>2615549.0</v>
      </c>
      <c r="B2275" s="3" t="s">
        <v>4800</v>
      </c>
      <c r="C2275" s="3" t="b">
        <v>0</v>
      </c>
      <c r="D2275" s="3" t="b">
        <v>1</v>
      </c>
      <c r="E2275" s="3" t="s">
        <v>16</v>
      </c>
      <c r="F2275" s="3" t="s">
        <v>4339</v>
      </c>
      <c r="G2275" s="4">
        <f>+251983511112</f>
        <v>251983511112</v>
      </c>
      <c r="H2275" s="3" t="s">
        <v>18</v>
      </c>
      <c r="I2275" s="3" t="s">
        <v>19</v>
      </c>
      <c r="J2275" s="3" t="s">
        <v>19</v>
      </c>
      <c r="K2275" s="3" t="s">
        <v>20</v>
      </c>
      <c r="L2275" s="3">
        <v>25.02</v>
      </c>
      <c r="M2275" s="3" t="s">
        <v>1695</v>
      </c>
      <c r="N2275" s="3" t="s">
        <v>1696</v>
      </c>
      <c r="O2275" s="3">
        <v>1.93190324436E11</v>
      </c>
    </row>
    <row r="2276">
      <c r="A2276" s="3">
        <v>2615561.0</v>
      </c>
      <c r="B2276" s="3" t="s">
        <v>4801</v>
      </c>
      <c r="C2276" s="3" t="b">
        <v>1</v>
      </c>
      <c r="D2276" s="3" t="b">
        <v>1</v>
      </c>
      <c r="E2276" s="3" t="s">
        <v>4802</v>
      </c>
      <c r="F2276" s="3" t="s">
        <v>4803</v>
      </c>
      <c r="G2276" s="4">
        <f>+251938153549</f>
        <v>251938153549</v>
      </c>
      <c r="H2276" s="3" t="s">
        <v>18</v>
      </c>
      <c r="I2276" s="3" t="s">
        <v>19</v>
      </c>
      <c r="J2276" s="3" t="s">
        <v>19</v>
      </c>
      <c r="K2276" s="3" t="s">
        <v>25</v>
      </c>
      <c r="L2276" s="3">
        <v>27.49</v>
      </c>
      <c r="M2276" s="3" t="s">
        <v>1695</v>
      </c>
      <c r="N2276" s="3" t="s">
        <v>1696</v>
      </c>
      <c r="O2276" s="3">
        <v>8868240.0</v>
      </c>
    </row>
    <row r="2277">
      <c r="A2277" s="3">
        <v>2615568.0</v>
      </c>
      <c r="B2277" s="3" t="s">
        <v>4804</v>
      </c>
      <c r="C2277" s="3" t="b">
        <v>0</v>
      </c>
      <c r="D2277" s="3" t="b">
        <v>1</v>
      </c>
      <c r="E2277" s="3" t="s">
        <v>64</v>
      </c>
      <c r="F2277" s="3" t="s">
        <v>4805</v>
      </c>
      <c r="G2277" s="4">
        <f>+251910324293</f>
        <v>251910324293</v>
      </c>
      <c r="H2277" s="3" t="s">
        <v>18</v>
      </c>
      <c r="I2277" s="3" t="s">
        <v>19</v>
      </c>
      <c r="J2277" s="3" t="s">
        <v>19</v>
      </c>
      <c r="K2277" s="3" t="s">
        <v>25</v>
      </c>
      <c r="L2277" s="3">
        <v>23.02</v>
      </c>
      <c r="M2277" s="3" t="s">
        <v>1695</v>
      </c>
      <c r="N2277" s="3" t="s">
        <v>1696</v>
      </c>
      <c r="O2277" s="3">
        <v>1.93254104286E11</v>
      </c>
    </row>
    <row r="2278">
      <c r="A2278" s="3">
        <v>2615594.0</v>
      </c>
      <c r="B2278" s="3" t="s">
        <v>4806</v>
      </c>
      <c r="C2278" s="3" t="b">
        <v>0</v>
      </c>
      <c r="D2278" s="3" t="b">
        <v>1</v>
      </c>
      <c r="E2278" s="3" t="s">
        <v>4807</v>
      </c>
      <c r="F2278" s="3" t="s">
        <v>1525</v>
      </c>
      <c r="G2278" s="4">
        <f>+251988327295</f>
        <v>251988327295</v>
      </c>
      <c r="H2278" s="3" t="s">
        <v>18</v>
      </c>
      <c r="I2278" s="3" t="s">
        <v>19</v>
      </c>
      <c r="J2278" s="3" t="s">
        <v>19</v>
      </c>
      <c r="K2278" s="3" t="s">
        <v>20</v>
      </c>
      <c r="L2278" s="3">
        <v>28.93</v>
      </c>
      <c r="M2278" s="3" t="s">
        <v>1695</v>
      </c>
      <c r="N2278" s="3" t="s">
        <v>1696</v>
      </c>
      <c r="O2278" s="3">
        <v>1.93210988759E11</v>
      </c>
    </row>
    <row r="2279">
      <c r="A2279" s="3">
        <v>2615608.0</v>
      </c>
      <c r="B2279" s="3" t="s">
        <v>4808</v>
      </c>
      <c r="C2279" s="3" t="b">
        <v>1</v>
      </c>
      <c r="D2279" s="3" t="b">
        <v>1</v>
      </c>
      <c r="E2279" s="3" t="s">
        <v>4809</v>
      </c>
      <c r="F2279" s="3" t="s">
        <v>4810</v>
      </c>
      <c r="G2279" s="4">
        <f>+251975262477</f>
        <v>251975262477</v>
      </c>
      <c r="H2279" s="3" t="s">
        <v>18</v>
      </c>
      <c r="I2279" s="3" t="s">
        <v>19</v>
      </c>
      <c r="J2279" s="3" t="s">
        <v>19</v>
      </c>
      <c r="K2279" s="3" t="s">
        <v>20</v>
      </c>
      <c r="L2279" s="3">
        <v>28.93</v>
      </c>
      <c r="M2279" s="3" t="s">
        <v>1695</v>
      </c>
      <c r="N2279" s="3" t="s">
        <v>1696</v>
      </c>
      <c r="O2279" s="3">
        <v>1.93218573544E11</v>
      </c>
    </row>
    <row r="2280">
      <c r="A2280" s="3">
        <v>2615616.0</v>
      </c>
      <c r="B2280" s="3" t="s">
        <v>4811</v>
      </c>
      <c r="C2280" s="3" t="b">
        <v>0</v>
      </c>
      <c r="D2280" s="3" t="b">
        <v>1</v>
      </c>
      <c r="E2280" s="3" t="s">
        <v>4812</v>
      </c>
      <c r="F2280" s="3" t="s">
        <v>4813</v>
      </c>
      <c r="G2280" s="4">
        <f>+251942490210</f>
        <v>251942490210</v>
      </c>
      <c r="H2280" s="3" t="s">
        <v>18</v>
      </c>
      <c r="I2280" s="3" t="s">
        <v>19</v>
      </c>
      <c r="J2280" s="3" t="s">
        <v>19</v>
      </c>
      <c r="K2280" s="3" t="s">
        <v>25</v>
      </c>
      <c r="L2280" s="3">
        <v>26.97</v>
      </c>
      <c r="M2280" s="3" t="s">
        <v>1695</v>
      </c>
      <c r="N2280" s="3" t="s">
        <v>1696</v>
      </c>
      <c r="O2280" s="3">
        <v>1.93216699604E11</v>
      </c>
    </row>
    <row r="2281">
      <c r="A2281" s="3">
        <v>2615624.0</v>
      </c>
      <c r="B2281" s="3" t="s">
        <v>4814</v>
      </c>
      <c r="C2281" s="3" t="b">
        <v>1</v>
      </c>
      <c r="D2281" s="3" t="b">
        <v>1</v>
      </c>
      <c r="E2281" s="3" t="s">
        <v>1823</v>
      </c>
      <c r="F2281" s="3" t="s">
        <v>4815</v>
      </c>
      <c r="G2281" s="4">
        <f>+251939603712</f>
        <v>251939603712</v>
      </c>
      <c r="H2281" s="3" t="s">
        <v>18</v>
      </c>
      <c r="I2281" s="3" t="s">
        <v>19</v>
      </c>
      <c r="J2281" s="3" t="s">
        <v>19</v>
      </c>
      <c r="K2281" s="3" t="s">
        <v>20</v>
      </c>
      <c r="L2281" s="3">
        <v>28.72</v>
      </c>
      <c r="M2281" s="3" t="s">
        <v>1695</v>
      </c>
      <c r="N2281" s="3" t="s">
        <v>1696</v>
      </c>
      <c r="O2281" s="3">
        <v>1.93210548433E11</v>
      </c>
    </row>
    <row r="2282">
      <c r="A2282" s="3">
        <v>2615630.0</v>
      </c>
      <c r="B2282" s="3" t="s">
        <v>4816</v>
      </c>
      <c r="C2282" s="3" t="b">
        <v>0</v>
      </c>
      <c r="D2282" s="3" t="b">
        <v>1</v>
      </c>
      <c r="E2282" s="3" t="s">
        <v>2326</v>
      </c>
      <c r="F2282" s="3" t="s">
        <v>4817</v>
      </c>
      <c r="G2282" s="4">
        <f>+251913287938</f>
        <v>251913287938</v>
      </c>
      <c r="H2282" s="3" t="s">
        <v>18</v>
      </c>
      <c r="I2282" s="3" t="s">
        <v>19</v>
      </c>
      <c r="J2282" s="3" t="s">
        <v>19</v>
      </c>
      <c r="K2282" s="3" t="s">
        <v>20</v>
      </c>
      <c r="L2282" s="3">
        <v>29.77</v>
      </c>
      <c r="M2282" s="3" t="s">
        <v>1695</v>
      </c>
      <c r="N2282" s="3" t="s">
        <v>1696</v>
      </c>
      <c r="O2282" s="3">
        <v>1.93217196246E11</v>
      </c>
    </row>
    <row r="2283">
      <c r="A2283" s="3">
        <v>2615668.0</v>
      </c>
      <c r="B2283" s="3" t="s">
        <v>4818</v>
      </c>
      <c r="C2283" s="3" t="b">
        <v>0</v>
      </c>
      <c r="D2283" s="3" t="b">
        <v>1</v>
      </c>
      <c r="E2283" s="3" t="s">
        <v>3947</v>
      </c>
      <c r="F2283" s="3" t="s">
        <v>1348</v>
      </c>
      <c r="G2283" s="4">
        <f>+251977941953</f>
        <v>251977941953</v>
      </c>
      <c r="H2283" s="3" t="s">
        <v>18</v>
      </c>
      <c r="I2283" s="3" t="s">
        <v>19</v>
      </c>
      <c r="J2283" s="3" t="s">
        <v>19</v>
      </c>
      <c r="K2283" s="3" t="s">
        <v>20</v>
      </c>
      <c r="L2283" s="3">
        <v>25.02</v>
      </c>
      <c r="M2283" s="3" t="s">
        <v>1695</v>
      </c>
      <c r="N2283" s="3" t="s">
        <v>1696</v>
      </c>
      <c r="O2283" s="3">
        <v>1.93254468794E11</v>
      </c>
    </row>
    <row r="2284">
      <c r="A2284" s="3">
        <v>2615784.0</v>
      </c>
      <c r="B2284" s="3" t="s">
        <v>4819</v>
      </c>
      <c r="C2284" s="3" t="b">
        <v>0</v>
      </c>
      <c r="D2284" s="3" t="b">
        <v>1</v>
      </c>
      <c r="E2284" s="3" t="s">
        <v>4820</v>
      </c>
      <c r="F2284" s="3" t="s">
        <v>4821</v>
      </c>
      <c r="G2284" s="4">
        <f>+251921587353</f>
        <v>251921587353</v>
      </c>
      <c r="H2284" s="3" t="s">
        <v>18</v>
      </c>
      <c r="I2284" s="3" t="s">
        <v>19</v>
      </c>
      <c r="J2284" s="3" t="s">
        <v>19</v>
      </c>
      <c r="K2284" s="3" t="s">
        <v>25</v>
      </c>
      <c r="L2284" s="3">
        <v>30.53</v>
      </c>
      <c r="M2284" s="3" t="s">
        <v>1695</v>
      </c>
      <c r="N2284" s="3" t="s">
        <v>1696</v>
      </c>
      <c r="O2284" s="3">
        <v>1.93283751104E11</v>
      </c>
    </row>
    <row r="2285">
      <c r="A2285" s="3">
        <v>2615793.0</v>
      </c>
      <c r="B2285" s="3" t="s">
        <v>4822</v>
      </c>
      <c r="C2285" s="3" t="b">
        <v>0</v>
      </c>
      <c r="D2285" s="3" t="b">
        <v>1</v>
      </c>
      <c r="E2285" s="3" t="s">
        <v>1918</v>
      </c>
      <c r="F2285" s="3" t="s">
        <v>4810</v>
      </c>
      <c r="G2285" s="4">
        <f>+251912393364</f>
        <v>251912393364</v>
      </c>
      <c r="H2285" s="3" t="s">
        <v>18</v>
      </c>
      <c r="I2285" s="3" t="s">
        <v>19</v>
      </c>
      <c r="J2285" s="3" t="s">
        <v>19</v>
      </c>
      <c r="K2285" s="3" t="s">
        <v>20</v>
      </c>
      <c r="L2285" s="3">
        <v>31.11</v>
      </c>
      <c r="M2285" s="3" t="s">
        <v>1695</v>
      </c>
      <c r="N2285" s="3" t="s">
        <v>1696</v>
      </c>
      <c r="O2285" s="3">
        <v>1.93240575222E11</v>
      </c>
    </row>
    <row r="2286">
      <c r="A2286" s="3">
        <v>2615801.0</v>
      </c>
      <c r="B2286" s="3" t="s">
        <v>4823</v>
      </c>
      <c r="C2286" s="3" t="b">
        <v>0</v>
      </c>
      <c r="D2286" s="3" t="b">
        <v>1</v>
      </c>
      <c r="E2286" s="3" t="s">
        <v>4824</v>
      </c>
      <c r="F2286" s="3" t="s">
        <v>4825</v>
      </c>
      <c r="G2286" s="4">
        <f>+251935894710</f>
        <v>251935894710</v>
      </c>
      <c r="H2286" s="3" t="s">
        <v>18</v>
      </c>
      <c r="I2286" s="3" t="s">
        <v>19</v>
      </c>
      <c r="J2286" s="3" t="s">
        <v>19</v>
      </c>
      <c r="K2286" s="3" t="s">
        <v>25</v>
      </c>
      <c r="L2286" s="3">
        <v>31.03</v>
      </c>
      <c r="M2286" s="3" t="s">
        <v>1695</v>
      </c>
      <c r="N2286" s="3" t="s">
        <v>1696</v>
      </c>
      <c r="O2286" s="3">
        <v>1.93287264442E11</v>
      </c>
    </row>
    <row r="2287">
      <c r="A2287" s="3">
        <v>2615810.0</v>
      </c>
      <c r="B2287" s="3" t="s">
        <v>4826</v>
      </c>
      <c r="C2287" s="3" t="b">
        <v>0</v>
      </c>
      <c r="D2287" s="3" t="b">
        <v>1</v>
      </c>
      <c r="E2287" s="3" t="s">
        <v>4827</v>
      </c>
      <c r="F2287" s="3" t="s">
        <v>2410</v>
      </c>
      <c r="G2287" s="4">
        <f>+251924438955</f>
        <v>251924438955</v>
      </c>
      <c r="H2287" s="3" t="s">
        <v>18</v>
      </c>
      <c r="I2287" s="3" t="s">
        <v>19</v>
      </c>
      <c r="J2287" s="3" t="s">
        <v>19</v>
      </c>
      <c r="K2287" s="3" t="s">
        <v>25</v>
      </c>
      <c r="L2287" s="3">
        <v>26.18</v>
      </c>
      <c r="M2287" s="3" t="s">
        <v>1695</v>
      </c>
      <c r="N2287" s="3" t="s">
        <v>1696</v>
      </c>
      <c r="O2287" s="3">
        <v>1.93240918248E11</v>
      </c>
    </row>
    <row r="2288">
      <c r="A2288" s="3">
        <v>2615863.0</v>
      </c>
      <c r="B2288" s="3" t="s">
        <v>4828</v>
      </c>
      <c r="C2288" s="3" t="b">
        <v>0</v>
      </c>
      <c r="D2288" s="3" t="b">
        <v>1</v>
      </c>
      <c r="E2288" s="3" t="s">
        <v>504</v>
      </c>
      <c r="F2288" s="3" t="s">
        <v>479</v>
      </c>
      <c r="G2288" s="4">
        <f>+251965109010</f>
        <v>251965109010</v>
      </c>
      <c r="H2288" s="3" t="s">
        <v>18</v>
      </c>
      <c r="I2288" s="3" t="s">
        <v>19</v>
      </c>
      <c r="J2288" s="3" t="s">
        <v>19</v>
      </c>
      <c r="K2288" s="3" t="s">
        <v>25</v>
      </c>
      <c r="L2288" s="3">
        <v>24.24</v>
      </c>
      <c r="M2288" s="3" t="s">
        <v>1695</v>
      </c>
      <c r="N2288" s="3" t="s">
        <v>1696</v>
      </c>
      <c r="O2288" s="3">
        <v>1.93241877727E11</v>
      </c>
    </row>
    <row r="2289">
      <c r="A2289" s="3">
        <v>2615926.0</v>
      </c>
      <c r="B2289" s="3" t="s">
        <v>4829</v>
      </c>
      <c r="C2289" s="3" t="b">
        <v>0</v>
      </c>
      <c r="D2289" s="3" t="b">
        <v>1</v>
      </c>
      <c r="E2289" s="3" t="s">
        <v>1954</v>
      </c>
      <c r="F2289" s="3" t="s">
        <v>566</v>
      </c>
      <c r="G2289" s="4">
        <f>+251928052147</f>
        <v>251928052147</v>
      </c>
      <c r="H2289" s="3" t="s">
        <v>18</v>
      </c>
      <c r="I2289" s="3" t="s">
        <v>19</v>
      </c>
      <c r="J2289" s="3" t="s">
        <v>19</v>
      </c>
      <c r="K2289" s="3" t="s">
        <v>25</v>
      </c>
      <c r="L2289" s="3">
        <v>24.02</v>
      </c>
      <c r="M2289" s="3" t="s">
        <v>1695</v>
      </c>
      <c r="N2289" s="3" t="s">
        <v>1696</v>
      </c>
      <c r="O2289" s="3">
        <v>1.9331098033E11</v>
      </c>
    </row>
    <row r="2290">
      <c r="A2290" s="3">
        <v>2615946.0</v>
      </c>
      <c r="B2290" s="3" t="s">
        <v>4830</v>
      </c>
      <c r="C2290" s="3" t="b">
        <v>0</v>
      </c>
      <c r="D2290" s="3" t="b">
        <v>1</v>
      </c>
      <c r="E2290" s="3" t="s">
        <v>2813</v>
      </c>
      <c r="F2290" s="3" t="s">
        <v>721</v>
      </c>
      <c r="G2290" s="4">
        <f>+251949050471</f>
        <v>251949050471</v>
      </c>
      <c r="H2290" s="3" t="s">
        <v>18</v>
      </c>
      <c r="I2290" s="3" t="s">
        <v>19</v>
      </c>
      <c r="J2290" s="3" t="s">
        <v>19</v>
      </c>
      <c r="K2290" s="3" t="s">
        <v>25</v>
      </c>
      <c r="L2290" s="3">
        <v>28.17</v>
      </c>
      <c r="M2290" s="3" t="s">
        <v>1695</v>
      </c>
      <c r="N2290" s="3" t="s">
        <v>1696</v>
      </c>
      <c r="O2290" s="3">
        <v>1.93317016817E11</v>
      </c>
    </row>
    <row r="2291">
      <c r="A2291" s="3">
        <v>2615958.0</v>
      </c>
      <c r="B2291" s="3" t="s">
        <v>4831</v>
      </c>
      <c r="C2291" s="3" t="b">
        <v>0</v>
      </c>
      <c r="D2291" s="3" t="b">
        <v>1</v>
      </c>
      <c r="E2291" s="3" t="s">
        <v>3902</v>
      </c>
      <c r="F2291" s="3" t="s">
        <v>1000</v>
      </c>
      <c r="G2291" s="4">
        <f>+251936223990</f>
        <v>251936223990</v>
      </c>
      <c r="H2291" s="3" t="s">
        <v>18</v>
      </c>
      <c r="I2291" s="3" t="s">
        <v>19</v>
      </c>
      <c r="J2291" s="3" t="s">
        <v>19</v>
      </c>
      <c r="K2291" s="3" t="s">
        <v>20</v>
      </c>
      <c r="L2291" s="3">
        <v>21.77</v>
      </c>
      <c r="M2291" s="3" t="s">
        <v>1695</v>
      </c>
      <c r="N2291" s="3" t="s">
        <v>1696</v>
      </c>
      <c r="O2291" s="3">
        <v>1.933402862E11</v>
      </c>
    </row>
    <row r="2292">
      <c r="A2292" s="3">
        <v>2615969.0</v>
      </c>
      <c r="B2292" s="3" t="s">
        <v>4832</v>
      </c>
      <c r="C2292" s="3" t="b">
        <v>0</v>
      </c>
      <c r="D2292" s="3" t="b">
        <v>1</v>
      </c>
      <c r="E2292" s="3" t="s">
        <v>4833</v>
      </c>
      <c r="F2292" s="3" t="s">
        <v>4834</v>
      </c>
      <c r="G2292" s="4">
        <f>+251919253171</f>
        <v>251919253171</v>
      </c>
      <c r="H2292" s="3" t="s">
        <v>18</v>
      </c>
      <c r="I2292" s="3" t="s">
        <v>19</v>
      </c>
      <c r="J2292" s="3" t="s">
        <v>19</v>
      </c>
      <c r="K2292" s="3" t="s">
        <v>25</v>
      </c>
      <c r="L2292" s="3">
        <v>25.11</v>
      </c>
      <c r="M2292" s="3" t="s">
        <v>1695</v>
      </c>
      <c r="N2292" s="3" t="s">
        <v>1696</v>
      </c>
      <c r="O2292" s="3">
        <v>1.93338803429E11</v>
      </c>
    </row>
    <row r="2293">
      <c r="A2293" s="3">
        <v>2615973.0</v>
      </c>
      <c r="B2293" s="3" t="s">
        <v>4835</v>
      </c>
      <c r="C2293" s="3" t="b">
        <v>0</v>
      </c>
      <c r="D2293" s="3" t="b">
        <v>1</v>
      </c>
      <c r="E2293" s="3" t="s">
        <v>4836</v>
      </c>
      <c r="F2293" s="3" t="s">
        <v>1000</v>
      </c>
      <c r="G2293" s="4">
        <f>+251917382021</f>
        <v>251917382021</v>
      </c>
      <c r="H2293" s="3" t="s">
        <v>18</v>
      </c>
      <c r="I2293" s="3" t="s">
        <v>19</v>
      </c>
      <c r="J2293" s="3" t="s">
        <v>19</v>
      </c>
      <c r="K2293" s="3" t="s">
        <v>20</v>
      </c>
      <c r="L2293" s="3">
        <v>22.43</v>
      </c>
      <c r="M2293" s="3" t="s">
        <v>1695</v>
      </c>
      <c r="N2293" s="3" t="s">
        <v>1696</v>
      </c>
      <c r="O2293" s="3">
        <v>1.93312119013E11</v>
      </c>
    </row>
    <row r="2294">
      <c r="A2294" s="3">
        <v>2615985.0</v>
      </c>
      <c r="B2294" s="3" t="s">
        <v>4837</v>
      </c>
      <c r="C2294" s="3" t="b">
        <v>0</v>
      </c>
      <c r="D2294" s="3" t="b">
        <v>1</v>
      </c>
      <c r="E2294" s="3" t="s">
        <v>3373</v>
      </c>
      <c r="F2294" s="3" t="s">
        <v>750</v>
      </c>
      <c r="G2294" s="4">
        <f>+251937437647</f>
        <v>251937437647</v>
      </c>
      <c r="H2294" s="3" t="s">
        <v>18</v>
      </c>
      <c r="I2294" s="3" t="s">
        <v>19</v>
      </c>
      <c r="J2294" s="3" t="s">
        <v>19</v>
      </c>
      <c r="K2294" s="3" t="s">
        <v>25</v>
      </c>
      <c r="L2294" s="3">
        <v>25.02</v>
      </c>
      <c r="M2294" s="3" t="s">
        <v>1695</v>
      </c>
      <c r="N2294" s="3" t="s">
        <v>1696</v>
      </c>
      <c r="O2294" s="3">
        <v>1.93342320878E11</v>
      </c>
    </row>
    <row r="2295">
      <c r="A2295" s="3">
        <v>2616001.0</v>
      </c>
      <c r="B2295" s="3" t="s">
        <v>4838</v>
      </c>
      <c r="C2295" s="3" t="b">
        <v>0</v>
      </c>
      <c r="D2295" s="3" t="b">
        <v>1</v>
      </c>
      <c r="E2295" s="3" t="s">
        <v>4839</v>
      </c>
      <c r="F2295" s="3" t="s">
        <v>4840</v>
      </c>
      <c r="G2295" s="4">
        <f>+251945292429</f>
        <v>251945292429</v>
      </c>
      <c r="H2295" s="3" t="s">
        <v>18</v>
      </c>
      <c r="I2295" s="3" t="s">
        <v>19</v>
      </c>
      <c r="J2295" s="3" t="s">
        <v>19</v>
      </c>
      <c r="K2295" s="3" t="s">
        <v>20</v>
      </c>
      <c r="L2295" s="3">
        <v>23.35</v>
      </c>
      <c r="M2295" s="3" t="s">
        <v>1695</v>
      </c>
      <c r="N2295" s="3" t="s">
        <v>1696</v>
      </c>
      <c r="O2295" s="3">
        <v>1.93343415523E11</v>
      </c>
    </row>
    <row r="2296">
      <c r="A2296" s="3">
        <v>2615999.0</v>
      </c>
      <c r="B2296" s="3" t="s">
        <v>4841</v>
      </c>
      <c r="C2296" s="3" t="b">
        <v>0</v>
      </c>
      <c r="D2296" s="3" t="b">
        <v>1</v>
      </c>
      <c r="E2296" s="3" t="s">
        <v>4842</v>
      </c>
      <c r="F2296" s="3" t="s">
        <v>1416</v>
      </c>
      <c r="G2296" s="4">
        <f>+251987676712</f>
        <v>251987676712</v>
      </c>
      <c r="H2296" s="3" t="s">
        <v>18</v>
      </c>
      <c r="I2296" s="3" t="s">
        <v>19</v>
      </c>
      <c r="J2296" s="3" t="s">
        <v>19</v>
      </c>
      <c r="K2296" s="3" t="s">
        <v>25</v>
      </c>
      <c r="L2296" s="3">
        <v>24.02</v>
      </c>
      <c r="M2296" s="3" t="s">
        <v>1695</v>
      </c>
      <c r="N2296" s="3" t="s">
        <v>1696</v>
      </c>
      <c r="O2296" s="3">
        <v>1.93404994804E11</v>
      </c>
    </row>
    <row r="2297">
      <c r="A2297" s="3">
        <v>2616017.0</v>
      </c>
      <c r="B2297" s="3" t="s">
        <v>4843</v>
      </c>
      <c r="C2297" s="3" t="b">
        <v>0</v>
      </c>
      <c r="D2297" s="3" t="b">
        <v>1</v>
      </c>
      <c r="E2297" s="3" t="s">
        <v>304</v>
      </c>
      <c r="F2297" s="3" t="s">
        <v>1066</v>
      </c>
      <c r="G2297" s="4">
        <f>+251953134432</f>
        <v>251953134432</v>
      </c>
      <c r="H2297" s="3" t="s">
        <v>18</v>
      </c>
      <c r="I2297" s="3" t="s">
        <v>19</v>
      </c>
      <c r="J2297" s="3" t="s">
        <v>19</v>
      </c>
      <c r="K2297" s="3" t="s">
        <v>25</v>
      </c>
      <c r="L2297" s="3">
        <v>25.02</v>
      </c>
      <c r="M2297" s="3" t="s">
        <v>1695</v>
      </c>
      <c r="N2297" s="3" t="s">
        <v>1696</v>
      </c>
      <c r="O2297" s="3">
        <v>1.93335897335E11</v>
      </c>
    </row>
    <row r="2298">
      <c r="A2298" s="3">
        <v>2616077.0</v>
      </c>
      <c r="B2298" s="3" t="s">
        <v>4844</v>
      </c>
      <c r="C2298" s="3" t="b">
        <v>0</v>
      </c>
      <c r="D2298" s="3" t="b">
        <v>1</v>
      </c>
      <c r="E2298" s="3" t="s">
        <v>823</v>
      </c>
      <c r="F2298" s="3" t="s">
        <v>4845</v>
      </c>
      <c r="G2298" s="4">
        <f>+251910948675</f>
        <v>251910948675</v>
      </c>
      <c r="H2298" s="3" t="s">
        <v>18</v>
      </c>
      <c r="I2298" s="3" t="s">
        <v>19</v>
      </c>
      <c r="J2298" s="3" t="s">
        <v>19</v>
      </c>
      <c r="K2298" s="3" t="s">
        <v>25</v>
      </c>
      <c r="L2298" s="3">
        <v>26.02</v>
      </c>
      <c r="M2298" s="3" t="s">
        <v>1695</v>
      </c>
      <c r="N2298" s="3" t="s">
        <v>1696</v>
      </c>
      <c r="O2298" s="3">
        <v>1.93357283546E11</v>
      </c>
    </row>
    <row r="2299">
      <c r="A2299" s="3">
        <v>2616040.0</v>
      </c>
      <c r="B2299" s="3" t="s">
        <v>4846</v>
      </c>
      <c r="C2299" s="3" t="b">
        <v>0</v>
      </c>
      <c r="D2299" s="3" t="b">
        <v>1</v>
      </c>
      <c r="E2299" s="3" t="s">
        <v>4847</v>
      </c>
      <c r="F2299" s="3" t="s">
        <v>4848</v>
      </c>
      <c r="G2299" s="4">
        <f>+251922522584</f>
        <v>251922522584</v>
      </c>
      <c r="H2299" s="3" t="s">
        <v>18</v>
      </c>
      <c r="I2299" s="3" t="s">
        <v>19</v>
      </c>
      <c r="J2299" s="3" t="s">
        <v>19</v>
      </c>
      <c r="K2299" s="3" t="s">
        <v>20</v>
      </c>
      <c r="L2299" s="3">
        <v>21.3</v>
      </c>
      <c r="M2299" s="3" t="s">
        <v>1695</v>
      </c>
      <c r="N2299" s="3" t="s">
        <v>1696</v>
      </c>
      <c r="O2299" s="3">
        <v>1.93349056707E11</v>
      </c>
    </row>
    <row r="2300">
      <c r="A2300" s="3">
        <v>2616081.0</v>
      </c>
      <c r="B2300" s="3" t="s">
        <v>4849</v>
      </c>
      <c r="C2300" s="3" t="b">
        <v>0</v>
      </c>
      <c r="D2300" s="3" t="b">
        <v>1</v>
      </c>
      <c r="E2300" s="3" t="s">
        <v>4850</v>
      </c>
      <c r="F2300" s="3" t="s">
        <v>474</v>
      </c>
      <c r="G2300" s="4">
        <f>+251919245109</f>
        <v>251919245109</v>
      </c>
      <c r="H2300" s="3" t="s">
        <v>18</v>
      </c>
      <c r="I2300" s="3" t="s">
        <v>19</v>
      </c>
      <c r="J2300" s="3" t="s">
        <v>19</v>
      </c>
      <c r="K2300" s="3" t="s">
        <v>25</v>
      </c>
      <c r="L2300" s="3">
        <v>24.07</v>
      </c>
      <c r="M2300" s="3" t="s">
        <v>1695</v>
      </c>
      <c r="N2300" s="3" t="s">
        <v>1696</v>
      </c>
      <c r="O2300" s="3">
        <v>1.93353719004E11</v>
      </c>
    </row>
    <row r="2301">
      <c r="A2301" s="3">
        <v>2616097.0</v>
      </c>
      <c r="B2301" s="3" t="s">
        <v>4851</v>
      </c>
      <c r="C2301" s="3" t="b">
        <v>0</v>
      </c>
      <c r="D2301" s="3" t="b">
        <v>1</v>
      </c>
      <c r="E2301" s="3" t="s">
        <v>729</v>
      </c>
      <c r="F2301" s="3" t="s">
        <v>4852</v>
      </c>
      <c r="G2301" s="4">
        <f>+251913105978</f>
        <v>251913105978</v>
      </c>
      <c r="H2301" s="3" t="s">
        <v>18</v>
      </c>
      <c r="I2301" s="3" t="s">
        <v>19</v>
      </c>
      <c r="J2301" s="3" t="s">
        <v>19</v>
      </c>
      <c r="K2301" s="3" t="s">
        <v>20</v>
      </c>
      <c r="L2301" s="3">
        <v>22.35</v>
      </c>
      <c r="M2301" s="3" t="s">
        <v>1695</v>
      </c>
      <c r="N2301" s="3" t="s">
        <v>1696</v>
      </c>
      <c r="O2301" s="3">
        <v>1.93351657675E11</v>
      </c>
    </row>
    <row r="2302">
      <c r="A2302" s="3">
        <v>2616099.0</v>
      </c>
      <c r="B2302" s="3" t="s">
        <v>4853</v>
      </c>
      <c r="C2302" s="3" t="b">
        <v>0</v>
      </c>
      <c r="D2302" s="3" t="b">
        <v>1</v>
      </c>
      <c r="E2302" s="3" t="s">
        <v>4854</v>
      </c>
      <c r="F2302" s="3" t="s">
        <v>4855</v>
      </c>
      <c r="G2302" s="4">
        <f>+251941860558</f>
        <v>251941860558</v>
      </c>
      <c r="H2302" s="3" t="s">
        <v>18</v>
      </c>
      <c r="I2302" s="3" t="s">
        <v>19</v>
      </c>
      <c r="J2302" s="3" t="s">
        <v>19</v>
      </c>
      <c r="K2302" s="3" t="s">
        <v>25</v>
      </c>
      <c r="L2302" s="3">
        <v>25.02</v>
      </c>
      <c r="M2302" s="3" t="s">
        <v>1695</v>
      </c>
      <c r="N2302" s="3" t="s">
        <v>1696</v>
      </c>
      <c r="O2302" s="3">
        <v>1.9335751188E11</v>
      </c>
    </row>
    <row r="2303">
      <c r="A2303" s="3">
        <v>2616104.0</v>
      </c>
      <c r="B2303" s="3" t="s">
        <v>4856</v>
      </c>
      <c r="C2303" s="3" t="b">
        <v>0</v>
      </c>
      <c r="D2303" s="3" t="b">
        <v>1</v>
      </c>
      <c r="E2303" s="3" t="s">
        <v>85</v>
      </c>
      <c r="F2303" s="3" t="s">
        <v>134</v>
      </c>
      <c r="G2303" s="4">
        <f>+251904736378</f>
        <v>251904736378</v>
      </c>
      <c r="H2303" s="3" t="s">
        <v>18</v>
      </c>
      <c r="I2303" s="3" t="s">
        <v>19</v>
      </c>
      <c r="J2303" s="3" t="s">
        <v>19</v>
      </c>
      <c r="K2303" s="3" t="s">
        <v>25</v>
      </c>
      <c r="L2303" s="3">
        <v>24.02</v>
      </c>
      <c r="M2303" s="3" t="s">
        <v>1695</v>
      </c>
      <c r="N2303" s="3" t="s">
        <v>1696</v>
      </c>
      <c r="O2303" s="3">
        <v>1.93364014329E11</v>
      </c>
    </row>
    <row r="2304">
      <c r="A2304" s="3">
        <v>2616113.0</v>
      </c>
      <c r="B2304" s="3" t="s">
        <v>4857</v>
      </c>
      <c r="C2304" s="3" t="b">
        <v>0</v>
      </c>
      <c r="D2304" s="3" t="b">
        <v>1</v>
      </c>
      <c r="E2304" s="3" t="s">
        <v>4858</v>
      </c>
      <c r="F2304" s="3" t="s">
        <v>1572</v>
      </c>
      <c r="G2304" s="4">
        <f>+251918543482</f>
        <v>251918543482</v>
      </c>
      <c r="H2304" s="3" t="s">
        <v>18</v>
      </c>
      <c r="I2304" s="3" t="s">
        <v>19</v>
      </c>
      <c r="J2304" s="3" t="s">
        <v>19</v>
      </c>
      <c r="K2304" s="3" t="s">
        <v>20</v>
      </c>
      <c r="L2304" s="3">
        <v>23.27</v>
      </c>
      <c r="M2304" s="3" t="s">
        <v>1695</v>
      </c>
      <c r="N2304" s="3" t="s">
        <v>1696</v>
      </c>
      <c r="O2304" s="3">
        <v>1.93359176945E11</v>
      </c>
    </row>
    <row r="2305">
      <c r="A2305" s="3">
        <v>2616120.0</v>
      </c>
      <c r="B2305" s="3" t="s">
        <v>4859</v>
      </c>
      <c r="C2305" s="3" t="b">
        <v>0</v>
      </c>
      <c r="D2305" s="3" t="b">
        <v>1</v>
      </c>
      <c r="E2305" s="3" t="s">
        <v>378</v>
      </c>
      <c r="F2305" s="3" t="s">
        <v>162</v>
      </c>
      <c r="G2305" s="4">
        <f>+251911546843</f>
        <v>251911546843</v>
      </c>
      <c r="H2305" s="3" t="s">
        <v>18</v>
      </c>
      <c r="I2305" s="3" t="s">
        <v>19</v>
      </c>
      <c r="J2305" s="3" t="s">
        <v>19</v>
      </c>
      <c r="K2305" s="3" t="s">
        <v>25</v>
      </c>
      <c r="L2305" s="3">
        <v>25.02</v>
      </c>
      <c r="M2305" s="3" t="s">
        <v>1695</v>
      </c>
      <c r="N2305" s="3" t="s">
        <v>1696</v>
      </c>
      <c r="O2305" s="3">
        <v>1.9340841394E11</v>
      </c>
    </row>
    <row r="2306">
      <c r="A2306" s="3">
        <v>2616124.0</v>
      </c>
      <c r="B2306" s="3" t="s">
        <v>4860</v>
      </c>
      <c r="C2306" s="3" t="b">
        <v>0</v>
      </c>
      <c r="D2306" s="3" t="b">
        <v>1</v>
      </c>
      <c r="E2306" s="3" t="s">
        <v>729</v>
      </c>
      <c r="F2306" s="3" t="s">
        <v>4861</v>
      </c>
      <c r="G2306" s="4">
        <f>+251980600743</f>
        <v>251980600743</v>
      </c>
      <c r="H2306" s="3" t="s">
        <v>18</v>
      </c>
      <c r="I2306" s="3" t="s">
        <v>19</v>
      </c>
      <c r="J2306" s="3" t="s">
        <v>19</v>
      </c>
      <c r="K2306" s="3" t="s">
        <v>20</v>
      </c>
      <c r="L2306" s="3">
        <v>36.67</v>
      </c>
      <c r="M2306" s="3" t="s">
        <v>1695</v>
      </c>
      <c r="N2306" s="3" t="s">
        <v>1696</v>
      </c>
      <c r="O2306" s="3">
        <v>1.93438083274E11</v>
      </c>
    </row>
    <row r="2307">
      <c r="A2307" s="3">
        <v>2616126.0</v>
      </c>
      <c r="B2307" s="3" t="s">
        <v>4862</v>
      </c>
      <c r="C2307" s="3" t="b">
        <v>0</v>
      </c>
      <c r="D2307" s="3" t="b">
        <v>1</v>
      </c>
      <c r="E2307" s="3" t="s">
        <v>846</v>
      </c>
      <c r="F2307" s="3" t="s">
        <v>297</v>
      </c>
      <c r="G2307" s="4">
        <f>+251938603293</f>
        <v>251938603293</v>
      </c>
      <c r="H2307" s="3" t="s">
        <v>18</v>
      </c>
      <c r="I2307" s="3" t="s">
        <v>19</v>
      </c>
      <c r="J2307" s="3" t="s">
        <v>19</v>
      </c>
      <c r="K2307" s="3" t="s">
        <v>20</v>
      </c>
      <c r="L2307" s="3">
        <v>33.95</v>
      </c>
      <c r="M2307" s="3" t="s">
        <v>1695</v>
      </c>
      <c r="N2307" s="3" t="s">
        <v>1696</v>
      </c>
      <c r="O2307" s="3">
        <v>1.93364271301E11</v>
      </c>
    </row>
    <row r="2308">
      <c r="A2308" s="3">
        <v>2616133.0</v>
      </c>
      <c r="B2308" s="3" t="s">
        <v>4863</v>
      </c>
      <c r="C2308" s="3" t="b">
        <v>0</v>
      </c>
      <c r="D2308" s="3" t="b">
        <v>1</v>
      </c>
      <c r="E2308" s="3" t="s">
        <v>4864</v>
      </c>
      <c r="F2308" s="3" t="s">
        <v>4865</v>
      </c>
      <c r="G2308" s="4">
        <f>+251965412646</f>
        <v>251965412646</v>
      </c>
      <c r="H2308" s="3" t="s">
        <v>18</v>
      </c>
      <c r="I2308" s="3" t="s">
        <v>19</v>
      </c>
      <c r="J2308" s="3" t="s">
        <v>19</v>
      </c>
      <c r="K2308" s="3" t="s">
        <v>25</v>
      </c>
      <c r="L2308" s="3">
        <v>28.85</v>
      </c>
      <c r="M2308" s="3" t="s">
        <v>1695</v>
      </c>
      <c r="N2308" s="3" t="s">
        <v>1696</v>
      </c>
      <c r="O2308" s="3">
        <v>1.93364388035E11</v>
      </c>
    </row>
    <row r="2309">
      <c r="A2309" s="3">
        <v>2616136.0</v>
      </c>
      <c r="B2309" s="3" t="s">
        <v>4866</v>
      </c>
      <c r="C2309" s="3" t="b">
        <v>0</v>
      </c>
      <c r="D2309" s="3" t="b">
        <v>1</v>
      </c>
      <c r="E2309" s="3" t="s">
        <v>4723</v>
      </c>
      <c r="F2309" s="3" t="s">
        <v>1862</v>
      </c>
      <c r="G2309" s="4">
        <f>+251918653685</f>
        <v>251918653685</v>
      </c>
      <c r="H2309" s="3" t="s">
        <v>18</v>
      </c>
      <c r="I2309" s="3" t="s">
        <v>19</v>
      </c>
      <c r="J2309" s="3" t="s">
        <v>19</v>
      </c>
      <c r="K2309" s="3" t="s">
        <v>20</v>
      </c>
      <c r="L2309" s="3">
        <v>25.02</v>
      </c>
      <c r="M2309" s="3" t="s">
        <v>1695</v>
      </c>
      <c r="N2309" s="3" t="s">
        <v>1696</v>
      </c>
      <c r="O2309" s="3">
        <v>1.93361609928E11</v>
      </c>
    </row>
    <row r="2310">
      <c r="A2310" s="3">
        <v>2616137.0</v>
      </c>
      <c r="B2310" s="3" t="s">
        <v>4867</v>
      </c>
      <c r="C2310" s="3" t="b">
        <v>0</v>
      </c>
      <c r="D2310" s="3" t="b">
        <v>1</v>
      </c>
      <c r="E2310" s="3" t="s">
        <v>46</v>
      </c>
      <c r="F2310" s="3" t="s">
        <v>4868</v>
      </c>
      <c r="G2310" s="4">
        <f>+251911102915</f>
        <v>251911102915</v>
      </c>
      <c r="H2310" s="3" t="s">
        <v>18</v>
      </c>
      <c r="I2310" s="3" t="s">
        <v>19</v>
      </c>
      <c r="J2310" s="3" t="s">
        <v>19</v>
      </c>
      <c r="K2310" s="3" t="s">
        <v>25</v>
      </c>
      <c r="L2310" s="3">
        <v>30.32</v>
      </c>
      <c r="M2310" s="3" t="s">
        <v>1695</v>
      </c>
      <c r="N2310" s="3" t="s">
        <v>1696</v>
      </c>
      <c r="O2310" s="3">
        <v>1.9336871241E11</v>
      </c>
    </row>
    <row r="2311">
      <c r="A2311" s="3">
        <v>2616145.0</v>
      </c>
      <c r="B2311" s="3" t="s">
        <v>4869</v>
      </c>
      <c r="C2311" s="3" t="b">
        <v>1</v>
      </c>
      <c r="D2311" s="3" t="b">
        <v>1</v>
      </c>
      <c r="E2311" s="3" t="s">
        <v>3417</v>
      </c>
      <c r="F2311" s="3" t="s">
        <v>1130</v>
      </c>
      <c r="G2311" s="4">
        <f>+251091721104</f>
        <v>251091721104</v>
      </c>
      <c r="H2311" s="3" t="s">
        <v>18</v>
      </c>
      <c r="I2311" s="3" t="s">
        <v>19</v>
      </c>
      <c r="J2311" s="3" t="s">
        <v>19</v>
      </c>
      <c r="K2311" s="3" t="s">
        <v>25</v>
      </c>
      <c r="L2311" s="3">
        <v>26.93</v>
      </c>
      <c r="M2311" s="3" t="s">
        <v>1695</v>
      </c>
      <c r="N2311" s="3" t="s">
        <v>1696</v>
      </c>
      <c r="O2311" s="3">
        <v>1.93438300387E11</v>
      </c>
    </row>
    <row r="2312">
      <c r="A2312" s="3">
        <v>2616152.0</v>
      </c>
      <c r="B2312" s="3" t="s">
        <v>4870</v>
      </c>
      <c r="C2312" s="3" t="b">
        <v>0</v>
      </c>
      <c r="D2312" s="3" t="b">
        <v>1</v>
      </c>
      <c r="E2312" s="3" t="s">
        <v>208</v>
      </c>
      <c r="F2312" s="3" t="s">
        <v>4871</v>
      </c>
      <c r="G2312" s="4">
        <f>+251929309494</f>
        <v>251929309494</v>
      </c>
      <c r="H2312" s="3" t="s">
        <v>18</v>
      </c>
      <c r="I2312" s="3" t="s">
        <v>19</v>
      </c>
      <c r="J2312" s="3" t="s">
        <v>19</v>
      </c>
      <c r="K2312" s="3" t="s">
        <v>25</v>
      </c>
      <c r="L2312" s="3">
        <v>25.02</v>
      </c>
      <c r="M2312" s="3" t="s">
        <v>1695</v>
      </c>
      <c r="N2312" s="3" t="s">
        <v>1696</v>
      </c>
      <c r="O2312" s="3">
        <v>1.93445603526E11</v>
      </c>
    </row>
    <row r="2313">
      <c r="A2313" s="3">
        <v>2616155.0</v>
      </c>
      <c r="B2313" s="3" t="s">
        <v>4872</v>
      </c>
      <c r="C2313" s="3" t="b">
        <v>0</v>
      </c>
      <c r="D2313" s="3" t="b">
        <v>1</v>
      </c>
      <c r="E2313" s="3" t="s">
        <v>209</v>
      </c>
      <c r="F2313" s="3" t="s">
        <v>4873</v>
      </c>
      <c r="G2313" s="4">
        <f>+251963113838</f>
        <v>251963113838</v>
      </c>
      <c r="H2313" s="3" t="s">
        <v>18</v>
      </c>
      <c r="I2313" s="3" t="s">
        <v>19</v>
      </c>
      <c r="J2313" s="3" t="s">
        <v>19</v>
      </c>
      <c r="K2313" s="3" t="s">
        <v>25</v>
      </c>
      <c r="L2313" s="3">
        <v>30.36</v>
      </c>
      <c r="M2313" s="3" t="s">
        <v>1695</v>
      </c>
      <c r="N2313" s="3" t="s">
        <v>1696</v>
      </c>
      <c r="O2313" s="3">
        <v>1.93414923486E11</v>
      </c>
    </row>
    <row r="2314">
      <c r="A2314" s="3">
        <v>2616154.0</v>
      </c>
      <c r="B2314" s="3" t="s">
        <v>4874</v>
      </c>
      <c r="C2314" s="3" t="b">
        <v>1</v>
      </c>
      <c r="D2314" s="3" t="b">
        <v>1</v>
      </c>
      <c r="E2314" s="3" t="s">
        <v>4875</v>
      </c>
      <c r="F2314" s="3" t="s">
        <v>4876</v>
      </c>
      <c r="G2314" s="4">
        <f>+251970711804</f>
        <v>251970711804</v>
      </c>
      <c r="H2314" s="3" t="s">
        <v>18</v>
      </c>
      <c r="I2314" s="3" t="s">
        <v>19</v>
      </c>
      <c r="J2314" s="3" t="s">
        <v>19</v>
      </c>
      <c r="K2314" s="3" t="s">
        <v>20</v>
      </c>
      <c r="L2314" s="3">
        <v>25.94</v>
      </c>
      <c r="M2314" s="3" t="s">
        <v>1695</v>
      </c>
      <c r="N2314" s="3" t="s">
        <v>1696</v>
      </c>
      <c r="O2314" s="3">
        <v>1.93420500173E11</v>
      </c>
    </row>
    <row r="2315">
      <c r="A2315" s="3">
        <v>2616164.0</v>
      </c>
      <c r="B2315" s="3" t="s">
        <v>4877</v>
      </c>
      <c r="C2315" s="3" t="b">
        <v>0</v>
      </c>
      <c r="D2315" s="3" t="b">
        <v>1</v>
      </c>
      <c r="E2315" s="3" t="s">
        <v>1532</v>
      </c>
      <c r="F2315" s="3" t="s">
        <v>4878</v>
      </c>
      <c r="G2315" s="4">
        <f>+251919514680</f>
        <v>251919514680</v>
      </c>
      <c r="H2315" s="3" t="s">
        <v>18</v>
      </c>
      <c r="I2315" s="3" t="s">
        <v>19</v>
      </c>
      <c r="J2315" s="3" t="s">
        <v>19</v>
      </c>
      <c r="K2315" s="3" t="s">
        <v>25</v>
      </c>
      <c r="L2315" s="3">
        <v>28.02</v>
      </c>
      <c r="M2315" s="3" t="s">
        <v>1695</v>
      </c>
      <c r="N2315" s="3" t="s">
        <v>1696</v>
      </c>
      <c r="O2315" s="3">
        <v>8892550.0</v>
      </c>
    </row>
    <row r="2316">
      <c r="A2316" s="3">
        <v>2616175.0</v>
      </c>
      <c r="B2316" s="3" t="s">
        <v>4879</v>
      </c>
      <c r="C2316" s="3" t="b">
        <v>0</v>
      </c>
      <c r="D2316" s="3" t="b">
        <v>1</v>
      </c>
      <c r="E2316" s="3" t="s">
        <v>4880</v>
      </c>
      <c r="F2316" s="3" t="s">
        <v>4881</v>
      </c>
      <c r="G2316" s="4">
        <f>+251937453520</f>
        <v>251937453520</v>
      </c>
      <c r="H2316" s="3" t="s">
        <v>18</v>
      </c>
      <c r="I2316" s="3" t="s">
        <v>19</v>
      </c>
      <c r="J2316" s="3" t="s">
        <v>19</v>
      </c>
      <c r="K2316" s="3" t="s">
        <v>25</v>
      </c>
      <c r="L2316" s="3">
        <v>24.94</v>
      </c>
      <c r="M2316" s="3" t="s">
        <v>1695</v>
      </c>
      <c r="N2316" s="3" t="s">
        <v>1696</v>
      </c>
      <c r="O2316" s="3">
        <v>1.93450565879E11</v>
      </c>
    </row>
    <row r="2317">
      <c r="A2317" s="3">
        <v>2616186.0</v>
      </c>
      <c r="B2317" s="3" t="s">
        <v>4882</v>
      </c>
      <c r="C2317" s="3" t="b">
        <v>0</v>
      </c>
      <c r="D2317" s="3" t="b">
        <v>1</v>
      </c>
      <c r="E2317" s="3" t="s">
        <v>4883</v>
      </c>
      <c r="F2317" s="3" t="s">
        <v>4884</v>
      </c>
      <c r="G2317" s="4">
        <f>+251927213027</f>
        <v>251927213027</v>
      </c>
      <c r="H2317" s="3" t="s">
        <v>18</v>
      </c>
      <c r="I2317" s="3" t="s">
        <v>19</v>
      </c>
      <c r="J2317" s="3" t="s">
        <v>19</v>
      </c>
      <c r="K2317" s="3" t="s">
        <v>25</v>
      </c>
      <c r="L2317" s="3">
        <v>25.88</v>
      </c>
      <c r="M2317" s="3" t="s">
        <v>1695</v>
      </c>
      <c r="N2317" s="3" t="s">
        <v>1696</v>
      </c>
      <c r="O2317" s="3">
        <v>1.93371230427E11</v>
      </c>
    </row>
    <row r="2318">
      <c r="A2318" s="3">
        <v>2616206.0</v>
      </c>
      <c r="B2318" s="3" t="s">
        <v>4885</v>
      </c>
      <c r="C2318" s="3" t="b">
        <v>0</v>
      </c>
      <c r="D2318" s="3" t="b">
        <v>1</v>
      </c>
      <c r="E2318" s="3" t="s">
        <v>4886</v>
      </c>
      <c r="F2318" s="3" t="s">
        <v>158</v>
      </c>
      <c r="G2318" s="4">
        <f>+251963832854</f>
        <v>251963832854</v>
      </c>
      <c r="H2318" s="3" t="s">
        <v>18</v>
      </c>
      <c r="I2318" s="3" t="s">
        <v>19</v>
      </c>
      <c r="J2318" s="3" t="s">
        <v>19</v>
      </c>
      <c r="K2318" s="3" t="s">
        <v>25</v>
      </c>
      <c r="L2318" s="3">
        <v>25.02</v>
      </c>
      <c r="M2318" s="3" t="s">
        <v>1695</v>
      </c>
      <c r="N2318" s="3" t="s">
        <v>1696</v>
      </c>
      <c r="O2318" s="3">
        <v>1.93451936981E11</v>
      </c>
    </row>
    <row r="2319">
      <c r="A2319" s="3">
        <v>2616220.0</v>
      </c>
      <c r="B2319" s="3" t="s">
        <v>4887</v>
      </c>
      <c r="C2319" s="3" t="b">
        <v>0</v>
      </c>
      <c r="D2319" s="3" t="b">
        <v>1</v>
      </c>
      <c r="E2319" s="3" t="s">
        <v>4888</v>
      </c>
      <c r="F2319" s="3" t="s">
        <v>559</v>
      </c>
      <c r="G2319" s="4">
        <f>+251925242052</f>
        <v>251925242052</v>
      </c>
      <c r="H2319" s="3" t="s">
        <v>18</v>
      </c>
      <c r="I2319" s="3" t="s">
        <v>19</v>
      </c>
      <c r="J2319" s="3" t="s">
        <v>19</v>
      </c>
      <c r="K2319" s="3" t="s">
        <v>25</v>
      </c>
      <c r="L2319" s="3">
        <v>31.96</v>
      </c>
      <c r="M2319" s="3" t="s">
        <v>1695</v>
      </c>
      <c r="N2319" s="3" t="s">
        <v>1696</v>
      </c>
      <c r="O2319" s="3">
        <v>1.93451050201E11</v>
      </c>
    </row>
    <row r="2320">
      <c r="A2320" s="3">
        <v>2616230.0</v>
      </c>
      <c r="B2320" s="3" t="s">
        <v>4889</v>
      </c>
      <c r="C2320" s="3" t="b">
        <v>0</v>
      </c>
      <c r="D2320" s="3" t="b">
        <v>1</v>
      </c>
      <c r="E2320" s="3" t="s">
        <v>1301</v>
      </c>
      <c r="F2320" s="3" t="s">
        <v>4890</v>
      </c>
      <c r="G2320" s="4">
        <f>+251924835597</f>
        <v>251924835597</v>
      </c>
      <c r="H2320" s="3" t="s">
        <v>18</v>
      </c>
      <c r="I2320" s="3" t="s">
        <v>19</v>
      </c>
      <c r="J2320" s="3" t="s">
        <v>19</v>
      </c>
      <c r="K2320" s="3" t="s">
        <v>25</v>
      </c>
      <c r="L2320" s="3">
        <v>27.95</v>
      </c>
      <c r="M2320" s="3" t="s">
        <v>1695</v>
      </c>
      <c r="N2320" s="3" t="s">
        <v>1696</v>
      </c>
      <c r="O2320" s="3">
        <v>1.93380301008E11</v>
      </c>
    </row>
    <row r="2321">
      <c r="A2321" s="3">
        <v>2616240.0</v>
      </c>
      <c r="B2321" s="3" t="s">
        <v>4891</v>
      </c>
      <c r="C2321" s="3" t="b">
        <v>0</v>
      </c>
      <c r="D2321" s="3" t="b">
        <v>1</v>
      </c>
      <c r="E2321" s="3" t="s">
        <v>196</v>
      </c>
      <c r="F2321" s="3" t="s">
        <v>4892</v>
      </c>
      <c r="G2321" s="4">
        <f>+251923633433</f>
        <v>251923633433</v>
      </c>
      <c r="H2321" s="3" t="s">
        <v>18</v>
      </c>
      <c r="I2321" s="3" t="s">
        <v>19</v>
      </c>
      <c r="J2321" s="3" t="s">
        <v>19</v>
      </c>
      <c r="K2321" s="3" t="s">
        <v>25</v>
      </c>
      <c r="L2321" s="3">
        <v>25.94</v>
      </c>
      <c r="M2321" s="3" t="s">
        <v>1695</v>
      </c>
      <c r="N2321" s="3" t="s">
        <v>1696</v>
      </c>
      <c r="O2321" s="3">
        <v>1.93376688346E11</v>
      </c>
    </row>
    <row r="2322">
      <c r="A2322" s="3">
        <v>2616252.0</v>
      </c>
      <c r="B2322" s="3" t="s">
        <v>4893</v>
      </c>
      <c r="C2322" s="3" t="b">
        <v>0</v>
      </c>
      <c r="D2322" s="3" t="b">
        <v>1</v>
      </c>
      <c r="E2322" s="3" t="s">
        <v>98</v>
      </c>
      <c r="F2322" s="3" t="s">
        <v>4894</v>
      </c>
      <c r="G2322" s="4">
        <f>+251953999508</f>
        <v>251953999508</v>
      </c>
      <c r="H2322" s="3" t="s">
        <v>18</v>
      </c>
      <c r="I2322" s="3" t="s">
        <v>19</v>
      </c>
      <c r="J2322" s="3" t="s">
        <v>19</v>
      </c>
      <c r="K2322" s="3" t="s">
        <v>25</v>
      </c>
      <c r="L2322" s="3">
        <v>26.02</v>
      </c>
      <c r="M2322" s="3" t="s">
        <v>1695</v>
      </c>
      <c r="N2322" s="3" t="s">
        <v>1696</v>
      </c>
      <c r="O2322" s="3">
        <v>1.93381695716E11</v>
      </c>
    </row>
    <row r="2323">
      <c r="A2323" s="3">
        <v>2616255.0</v>
      </c>
      <c r="B2323" s="3" t="s">
        <v>4895</v>
      </c>
      <c r="C2323" s="3" t="b">
        <v>0</v>
      </c>
      <c r="D2323" s="3" t="b">
        <v>1</v>
      </c>
      <c r="E2323" s="3" t="s">
        <v>4896</v>
      </c>
      <c r="F2323" s="3" t="s">
        <v>446</v>
      </c>
      <c r="G2323" s="4">
        <f>+251912370425</f>
        <v>251912370425</v>
      </c>
      <c r="H2323" s="3" t="s">
        <v>18</v>
      </c>
      <c r="I2323" s="3" t="s">
        <v>19</v>
      </c>
      <c r="J2323" s="3" t="s">
        <v>19</v>
      </c>
      <c r="K2323" s="3" t="s">
        <v>25</v>
      </c>
      <c r="L2323" s="3">
        <v>22.27</v>
      </c>
      <c r="M2323" s="3" t="s">
        <v>1695</v>
      </c>
      <c r="N2323" s="3" t="s">
        <v>1696</v>
      </c>
      <c r="O2323" s="3">
        <v>1.93372473555E11</v>
      </c>
    </row>
    <row r="2324">
      <c r="A2324" s="3">
        <v>2616266.0</v>
      </c>
      <c r="B2324" s="3" t="s">
        <v>4897</v>
      </c>
      <c r="C2324" s="3" t="b">
        <v>0</v>
      </c>
      <c r="D2324" s="3" t="b">
        <v>1</v>
      </c>
      <c r="E2324" s="3" t="s">
        <v>188</v>
      </c>
      <c r="F2324" s="3" t="s">
        <v>4898</v>
      </c>
      <c r="G2324" s="4">
        <f>+251984798828</f>
        <v>251984798828</v>
      </c>
      <c r="H2324" s="3" t="s">
        <v>18</v>
      </c>
      <c r="I2324" s="3" t="s">
        <v>19</v>
      </c>
      <c r="J2324" s="3" t="s">
        <v>19</v>
      </c>
      <c r="K2324" s="3" t="s">
        <v>25</v>
      </c>
      <c r="L2324" s="3">
        <v>24.61</v>
      </c>
      <c r="M2324" s="3" t="s">
        <v>1695</v>
      </c>
      <c r="N2324" s="3" t="s">
        <v>1696</v>
      </c>
      <c r="O2324" s="3">
        <v>1.9338295626E11</v>
      </c>
    </row>
    <row r="2325">
      <c r="A2325" s="3">
        <v>2616267.0</v>
      </c>
      <c r="B2325" s="3" t="s">
        <v>4899</v>
      </c>
      <c r="C2325" s="3" t="b">
        <v>0</v>
      </c>
      <c r="D2325" s="3" t="b">
        <v>1</v>
      </c>
      <c r="E2325" s="3" t="s">
        <v>328</v>
      </c>
      <c r="F2325" s="3" t="s">
        <v>422</v>
      </c>
      <c r="G2325" s="4">
        <f>+251925472542</f>
        <v>251925472542</v>
      </c>
      <c r="H2325" s="3" t="s">
        <v>18</v>
      </c>
      <c r="I2325" s="3" t="s">
        <v>19</v>
      </c>
      <c r="J2325" s="3" t="s">
        <v>19</v>
      </c>
      <c r="K2325" s="3" t="s">
        <v>25</v>
      </c>
      <c r="L2325" s="3">
        <v>32.95</v>
      </c>
      <c r="M2325" s="3" t="s">
        <v>1695</v>
      </c>
      <c r="N2325" s="3" t="s">
        <v>1696</v>
      </c>
      <c r="O2325" s="3">
        <v>1.9337594899E11</v>
      </c>
    </row>
    <row r="2326">
      <c r="A2326" s="3">
        <v>2616277.0</v>
      </c>
      <c r="B2326" s="3" t="s">
        <v>4900</v>
      </c>
      <c r="C2326" s="3" t="b">
        <v>0</v>
      </c>
      <c r="D2326" s="3" t="b">
        <v>1</v>
      </c>
      <c r="E2326" s="3" t="s">
        <v>4603</v>
      </c>
      <c r="F2326" s="3" t="s">
        <v>4901</v>
      </c>
      <c r="G2326" s="4">
        <f>+251934001087</f>
        <v>251934001087</v>
      </c>
      <c r="H2326" s="3" t="s">
        <v>18</v>
      </c>
      <c r="I2326" s="3" t="s">
        <v>19</v>
      </c>
      <c r="J2326" s="3" t="s">
        <v>19</v>
      </c>
      <c r="K2326" s="3" t="s">
        <v>25</v>
      </c>
      <c r="L2326" s="3">
        <v>27.97</v>
      </c>
      <c r="M2326" s="3" t="s">
        <v>1695</v>
      </c>
      <c r="N2326" s="3" t="s">
        <v>1696</v>
      </c>
      <c r="O2326" s="3">
        <v>1.93376073952E11</v>
      </c>
    </row>
    <row r="2327">
      <c r="A2327" s="3">
        <v>2616287.0</v>
      </c>
      <c r="B2327" s="3" t="s">
        <v>4902</v>
      </c>
      <c r="C2327" s="3" t="b">
        <v>0</v>
      </c>
      <c r="D2327" s="3" t="b">
        <v>1</v>
      </c>
      <c r="E2327" s="3" t="s">
        <v>4903</v>
      </c>
      <c r="F2327" s="3" t="s">
        <v>1792</v>
      </c>
      <c r="G2327" s="4">
        <f>+251911341543</f>
        <v>251911341543</v>
      </c>
      <c r="H2327" s="3" t="s">
        <v>18</v>
      </c>
      <c r="I2327" s="3" t="s">
        <v>19</v>
      </c>
      <c r="J2327" s="3" t="s">
        <v>19</v>
      </c>
      <c r="K2327" s="3" t="s">
        <v>25</v>
      </c>
      <c r="L2327" s="3">
        <v>33.88</v>
      </c>
      <c r="M2327" s="3" t="s">
        <v>1695</v>
      </c>
      <c r="N2327" s="3" t="s">
        <v>1696</v>
      </c>
      <c r="O2327" s="3">
        <v>1.93381039296E11</v>
      </c>
    </row>
    <row r="2328">
      <c r="A2328" s="3">
        <v>2616293.0</v>
      </c>
      <c r="B2328" s="3" t="s">
        <v>4904</v>
      </c>
      <c r="C2328" s="3" t="b">
        <v>0</v>
      </c>
      <c r="D2328" s="3" t="b">
        <v>1</v>
      </c>
      <c r="E2328" s="3" t="s">
        <v>4905</v>
      </c>
      <c r="F2328" s="3" t="s">
        <v>4906</v>
      </c>
      <c r="G2328" s="4">
        <f>+251955334004</f>
        <v>251955334004</v>
      </c>
      <c r="H2328" s="3" t="s">
        <v>18</v>
      </c>
      <c r="I2328" s="3" t="s">
        <v>19</v>
      </c>
      <c r="J2328" s="3" t="s">
        <v>19</v>
      </c>
      <c r="K2328" s="3" t="s">
        <v>25</v>
      </c>
      <c r="L2328" s="3">
        <v>26.2</v>
      </c>
      <c r="M2328" s="3" t="s">
        <v>1695</v>
      </c>
      <c r="N2328" s="3" t="s">
        <v>1696</v>
      </c>
      <c r="O2328" s="3">
        <v>1.93443500276E11</v>
      </c>
    </row>
    <row r="2329">
      <c r="A2329" s="3">
        <v>2616297.0</v>
      </c>
      <c r="B2329" s="3" t="s">
        <v>4907</v>
      </c>
      <c r="C2329" s="3" t="b">
        <v>0</v>
      </c>
      <c r="D2329" s="3" t="b">
        <v>1</v>
      </c>
      <c r="E2329" s="3" t="s">
        <v>3947</v>
      </c>
      <c r="F2329" s="3" t="s">
        <v>2705</v>
      </c>
      <c r="G2329" s="4">
        <f>+251922968542</f>
        <v>251922968542</v>
      </c>
      <c r="H2329" s="3" t="s">
        <v>18</v>
      </c>
      <c r="I2329" s="3" t="s">
        <v>19</v>
      </c>
      <c r="J2329" s="3" t="s">
        <v>19</v>
      </c>
      <c r="K2329" s="3" t="s">
        <v>20</v>
      </c>
      <c r="L2329" s="3">
        <v>24.96</v>
      </c>
      <c r="M2329" s="3" t="s">
        <v>1695</v>
      </c>
      <c r="N2329" s="3" t="s">
        <v>1696</v>
      </c>
      <c r="O2329" s="3">
        <v>1.93380109559E11</v>
      </c>
    </row>
    <row r="2330">
      <c r="A2330" s="3">
        <v>2616306.0</v>
      </c>
      <c r="B2330" s="3" t="s">
        <v>4908</v>
      </c>
      <c r="C2330" s="3" t="b">
        <v>0</v>
      </c>
      <c r="D2330" s="3" t="b">
        <v>1</v>
      </c>
      <c r="E2330" s="3" t="s">
        <v>267</v>
      </c>
      <c r="F2330" s="3" t="s">
        <v>4909</v>
      </c>
      <c r="G2330" s="4">
        <f>+251913036069</f>
        <v>251913036069</v>
      </c>
      <c r="H2330" s="3" t="s">
        <v>18</v>
      </c>
      <c r="I2330" s="3" t="s">
        <v>19</v>
      </c>
      <c r="J2330" s="3" t="s">
        <v>19</v>
      </c>
      <c r="K2330" s="3" t="s">
        <v>25</v>
      </c>
      <c r="L2330" s="3">
        <v>26.97</v>
      </c>
      <c r="M2330" s="3" t="s">
        <v>1695</v>
      </c>
      <c r="N2330" s="3" t="s">
        <v>1696</v>
      </c>
      <c r="O2330" s="3">
        <v>1.93380233445E11</v>
      </c>
    </row>
    <row r="2331">
      <c r="A2331" s="3">
        <v>852584.0</v>
      </c>
      <c r="B2331" s="3" t="s">
        <v>4910</v>
      </c>
      <c r="C2331" s="3" t="b">
        <v>1</v>
      </c>
      <c r="D2331" s="3" t="b">
        <v>1</v>
      </c>
      <c r="E2331" s="3" t="s">
        <v>131</v>
      </c>
      <c r="F2331" s="3" t="s">
        <v>2724</v>
      </c>
      <c r="G2331" s="4">
        <f>+251912922430</f>
        <v>251912922430</v>
      </c>
      <c r="H2331" s="3" t="s">
        <v>18</v>
      </c>
      <c r="I2331" s="3" t="s">
        <v>19</v>
      </c>
      <c r="J2331" s="3" t="s">
        <v>19</v>
      </c>
      <c r="K2331" s="3" t="s">
        <v>20</v>
      </c>
      <c r="L2331" s="3">
        <v>26.92</v>
      </c>
      <c r="M2331" s="3" t="s">
        <v>1695</v>
      </c>
      <c r="N2331" s="3" t="s">
        <v>1696</v>
      </c>
      <c r="O2331" s="3">
        <v>3.536185025E9</v>
      </c>
    </row>
    <row r="2332">
      <c r="A2332" s="3">
        <v>2616312.0</v>
      </c>
      <c r="B2332" s="3" t="s">
        <v>4911</v>
      </c>
      <c r="C2332" s="3" t="b">
        <v>0</v>
      </c>
      <c r="D2332" s="3" t="b">
        <v>1</v>
      </c>
      <c r="E2332" s="3" t="s">
        <v>4764</v>
      </c>
      <c r="F2332" s="3" t="s">
        <v>1446</v>
      </c>
      <c r="G2332" s="4">
        <f>+251960147841</f>
        <v>251960147841</v>
      </c>
      <c r="H2332" s="3" t="s">
        <v>18</v>
      </c>
      <c r="I2332" s="3" t="s">
        <v>19</v>
      </c>
      <c r="J2332" s="3" t="s">
        <v>19</v>
      </c>
      <c r="K2332" s="3" t="s">
        <v>25</v>
      </c>
      <c r="L2332" s="3">
        <v>23.02</v>
      </c>
      <c r="M2332" s="3" t="s">
        <v>1695</v>
      </c>
      <c r="N2332" s="3" t="s">
        <v>1696</v>
      </c>
      <c r="O2332" s="3">
        <v>1.93452268735E11</v>
      </c>
    </row>
    <row r="2333">
      <c r="A2333" s="3">
        <v>2616316.0</v>
      </c>
      <c r="B2333" s="3" t="s">
        <v>4912</v>
      </c>
      <c r="C2333" s="3" t="b">
        <v>0</v>
      </c>
      <c r="D2333" s="3" t="b">
        <v>1</v>
      </c>
      <c r="E2333" s="3" t="s">
        <v>721</v>
      </c>
      <c r="F2333" s="3" t="s">
        <v>1000</v>
      </c>
      <c r="G2333" s="4">
        <f>+251917048401</f>
        <v>251917048401</v>
      </c>
      <c r="H2333" s="3" t="s">
        <v>18</v>
      </c>
      <c r="I2333" s="3" t="s">
        <v>19</v>
      </c>
      <c r="J2333" s="3" t="s">
        <v>19</v>
      </c>
      <c r="K2333" s="3" t="s">
        <v>25</v>
      </c>
      <c r="L2333" s="3">
        <v>24.92</v>
      </c>
      <c r="M2333" s="3" t="s">
        <v>1695</v>
      </c>
      <c r="N2333" s="3" t="s">
        <v>1696</v>
      </c>
      <c r="O2333" s="3">
        <v>1.93391003881E11</v>
      </c>
    </row>
    <row r="2334">
      <c r="A2334" s="3">
        <v>2616321.0</v>
      </c>
      <c r="B2334" s="3" t="s">
        <v>4913</v>
      </c>
      <c r="C2334" s="3" t="b">
        <v>0</v>
      </c>
      <c r="D2334" s="3" t="b">
        <v>1</v>
      </c>
      <c r="E2334" s="3" t="s">
        <v>4914</v>
      </c>
      <c r="F2334" s="3" t="s">
        <v>168</v>
      </c>
      <c r="G2334" s="4">
        <f>+251937586430</f>
        <v>251937586430</v>
      </c>
      <c r="H2334" s="3" t="s">
        <v>18</v>
      </c>
      <c r="I2334" s="3" t="s">
        <v>19</v>
      </c>
      <c r="J2334" s="3" t="s">
        <v>19</v>
      </c>
      <c r="K2334" s="3" t="s">
        <v>25</v>
      </c>
      <c r="L2334" s="3">
        <v>25.02</v>
      </c>
      <c r="M2334" s="3" t="s">
        <v>1695</v>
      </c>
      <c r="N2334" s="3" t="s">
        <v>1696</v>
      </c>
      <c r="O2334" s="3">
        <v>1847005.0</v>
      </c>
    </row>
    <row r="2335">
      <c r="A2335" s="3">
        <v>2616341.0</v>
      </c>
      <c r="B2335" s="3" t="s">
        <v>4915</v>
      </c>
      <c r="C2335" s="3" t="b">
        <v>0</v>
      </c>
      <c r="D2335" s="3" t="b">
        <v>1</v>
      </c>
      <c r="E2335" s="3" t="s">
        <v>3890</v>
      </c>
      <c r="F2335" s="3" t="s">
        <v>3418</v>
      </c>
      <c r="G2335" s="4">
        <f>+25109056558025</f>
        <v>25109056558025</v>
      </c>
      <c r="H2335" s="3" t="s">
        <v>18</v>
      </c>
      <c r="I2335" s="3" t="s">
        <v>19</v>
      </c>
      <c r="J2335" s="3" t="s">
        <v>19</v>
      </c>
      <c r="K2335" s="3" t="s">
        <v>25</v>
      </c>
      <c r="L2335" s="3">
        <v>32.95</v>
      </c>
      <c r="M2335" s="3" t="s">
        <v>1695</v>
      </c>
      <c r="N2335" s="3" t="s">
        <v>1696</v>
      </c>
      <c r="O2335" s="3">
        <v>1.93454685421E11</v>
      </c>
    </row>
    <row r="2336">
      <c r="A2336" s="3">
        <v>2616345.0</v>
      </c>
      <c r="B2336" s="3" t="s">
        <v>4916</v>
      </c>
      <c r="C2336" s="3" t="b">
        <v>0</v>
      </c>
      <c r="D2336" s="3" t="b">
        <v>1</v>
      </c>
      <c r="E2336" s="3" t="s">
        <v>4917</v>
      </c>
      <c r="F2336" s="3" t="s">
        <v>4918</v>
      </c>
      <c r="G2336" s="4">
        <f>+251916007135</f>
        <v>251916007135</v>
      </c>
      <c r="H2336" s="3" t="s">
        <v>18</v>
      </c>
      <c r="I2336" s="3" t="s">
        <v>19</v>
      </c>
      <c r="J2336" s="3" t="s">
        <v>19</v>
      </c>
      <c r="K2336" s="3" t="s">
        <v>25</v>
      </c>
      <c r="L2336" s="3">
        <v>23.95</v>
      </c>
      <c r="M2336" s="3" t="s">
        <v>1695</v>
      </c>
      <c r="N2336" s="3" t="s">
        <v>1696</v>
      </c>
      <c r="O2336" s="3">
        <v>1.93476226294E11</v>
      </c>
    </row>
    <row r="2337">
      <c r="A2337" s="3">
        <v>2616352.0</v>
      </c>
      <c r="B2337" s="3" t="s">
        <v>4919</v>
      </c>
      <c r="C2337" s="3" t="b">
        <v>0</v>
      </c>
      <c r="D2337" s="3" t="b">
        <v>1</v>
      </c>
      <c r="E2337" s="3" t="s">
        <v>4920</v>
      </c>
      <c r="F2337" s="3" t="s">
        <v>4921</v>
      </c>
      <c r="G2337" s="4">
        <f>+251925001026</f>
        <v>251925001026</v>
      </c>
      <c r="H2337" s="3" t="s">
        <v>18</v>
      </c>
      <c r="I2337" s="3" t="s">
        <v>19</v>
      </c>
      <c r="J2337" s="3" t="s">
        <v>19</v>
      </c>
      <c r="K2337" s="3" t="s">
        <v>20</v>
      </c>
      <c r="L2337" s="3">
        <v>26.12</v>
      </c>
      <c r="M2337" s="3" t="s">
        <v>1695</v>
      </c>
      <c r="N2337" s="3" t="s">
        <v>1696</v>
      </c>
      <c r="O2337" s="3">
        <v>1.93478876409E11</v>
      </c>
    </row>
    <row r="2338">
      <c r="A2338" s="3">
        <v>2616356.0</v>
      </c>
      <c r="B2338" s="3" t="s">
        <v>4922</v>
      </c>
      <c r="C2338" s="3" t="b">
        <v>0</v>
      </c>
      <c r="D2338" s="3" t="b">
        <v>1</v>
      </c>
      <c r="E2338" s="3" t="s">
        <v>4923</v>
      </c>
      <c r="F2338" s="3" t="s">
        <v>4924</v>
      </c>
      <c r="G2338" s="4">
        <f>+251919125615</f>
        <v>251919125615</v>
      </c>
      <c r="H2338" s="3" t="s">
        <v>18</v>
      </c>
      <c r="I2338" s="3" t="s">
        <v>19</v>
      </c>
      <c r="J2338" s="3" t="s">
        <v>19</v>
      </c>
      <c r="K2338" s="3" t="s">
        <v>25</v>
      </c>
      <c r="L2338" s="3">
        <v>23.92</v>
      </c>
      <c r="M2338" s="3" t="s">
        <v>1695</v>
      </c>
      <c r="N2338" s="3" t="s">
        <v>1696</v>
      </c>
      <c r="O2338" s="3">
        <v>1.93469289666E11</v>
      </c>
    </row>
    <row r="2339">
      <c r="A2339" s="3">
        <v>2616368.0</v>
      </c>
      <c r="B2339" s="3" t="s">
        <v>4925</v>
      </c>
      <c r="C2339" s="3" t="b">
        <v>0</v>
      </c>
      <c r="D2339" s="3" t="b">
        <v>1</v>
      </c>
      <c r="E2339" s="3" t="s">
        <v>4926</v>
      </c>
      <c r="F2339" s="3" t="s">
        <v>446</v>
      </c>
      <c r="G2339" s="4">
        <f>+251946508707</f>
        <v>251946508707</v>
      </c>
      <c r="H2339" s="3" t="s">
        <v>18</v>
      </c>
      <c r="I2339" s="3" t="s">
        <v>19</v>
      </c>
      <c r="J2339" s="3" t="s">
        <v>19</v>
      </c>
      <c r="K2339" s="3" t="s">
        <v>20</v>
      </c>
      <c r="L2339" s="3">
        <v>26.93</v>
      </c>
      <c r="M2339" s="3" t="s">
        <v>1695</v>
      </c>
      <c r="N2339" s="3" t="s">
        <v>1696</v>
      </c>
      <c r="O2339" s="3">
        <v>1.93477950676E11</v>
      </c>
    </row>
    <row r="2340">
      <c r="A2340" s="3">
        <v>2616376.0</v>
      </c>
      <c r="B2340" s="3" t="s">
        <v>4927</v>
      </c>
      <c r="C2340" s="3" t="b">
        <v>0</v>
      </c>
      <c r="D2340" s="3" t="b">
        <v>1</v>
      </c>
      <c r="E2340" s="3" t="s">
        <v>4321</v>
      </c>
      <c r="F2340" s="3" t="s">
        <v>4928</v>
      </c>
      <c r="G2340" s="4">
        <f>+251935965732</f>
        <v>251935965732</v>
      </c>
      <c r="H2340" s="3" t="s">
        <v>18</v>
      </c>
      <c r="I2340" s="3" t="s">
        <v>19</v>
      </c>
      <c r="J2340" s="3" t="s">
        <v>19</v>
      </c>
      <c r="K2340" s="3" t="s">
        <v>25</v>
      </c>
      <c r="L2340" s="3">
        <v>23.95</v>
      </c>
      <c r="M2340" s="3" t="s">
        <v>1695</v>
      </c>
      <c r="N2340" s="3" t="s">
        <v>1696</v>
      </c>
      <c r="O2340" s="3">
        <v>1.93469647096E11</v>
      </c>
    </row>
    <row r="2341">
      <c r="A2341" s="3">
        <v>2616383.0</v>
      </c>
      <c r="B2341" s="3" t="s">
        <v>4929</v>
      </c>
      <c r="C2341" s="3" t="b">
        <v>1</v>
      </c>
      <c r="D2341" s="3" t="b">
        <v>1</v>
      </c>
      <c r="E2341" s="3" t="s">
        <v>2535</v>
      </c>
      <c r="F2341" s="3" t="s">
        <v>292</v>
      </c>
      <c r="G2341" s="4">
        <f>+251967823603</f>
        <v>251967823603</v>
      </c>
      <c r="H2341" s="3" t="s">
        <v>18</v>
      </c>
      <c r="I2341" s="3" t="s">
        <v>19</v>
      </c>
      <c r="J2341" s="3" t="s">
        <v>19</v>
      </c>
      <c r="K2341" s="3" t="s">
        <v>20</v>
      </c>
      <c r="L2341" s="3">
        <v>26.13</v>
      </c>
      <c r="M2341" s="3" t="s">
        <v>1695</v>
      </c>
      <c r="N2341" s="3" t="s">
        <v>1696</v>
      </c>
    </row>
    <row r="2342">
      <c r="A2342" s="3">
        <v>2616279.0</v>
      </c>
      <c r="B2342" s="3" t="s">
        <v>4930</v>
      </c>
      <c r="C2342" s="3" t="b">
        <v>0</v>
      </c>
      <c r="D2342" s="3" t="b">
        <v>1</v>
      </c>
      <c r="E2342" s="3" t="s">
        <v>4931</v>
      </c>
      <c r="F2342" s="3" t="s">
        <v>4932</v>
      </c>
      <c r="G2342" s="4">
        <f>+251909245639</f>
        <v>251909245639</v>
      </c>
      <c r="H2342" s="3" t="s">
        <v>18</v>
      </c>
      <c r="I2342" s="3" t="s">
        <v>19</v>
      </c>
      <c r="J2342" s="3" t="s">
        <v>19</v>
      </c>
      <c r="K2342" s="3" t="s">
        <v>25</v>
      </c>
      <c r="L2342" s="3">
        <v>24.34</v>
      </c>
      <c r="M2342" s="3" t="s">
        <v>1695</v>
      </c>
      <c r="N2342" s="3" t="s">
        <v>1696</v>
      </c>
      <c r="O2342" s="3">
        <v>1.93383107793E11</v>
      </c>
    </row>
    <row r="2343">
      <c r="A2343" s="3">
        <v>2616411.0</v>
      </c>
      <c r="B2343" s="3" t="s">
        <v>4933</v>
      </c>
      <c r="C2343" s="3" t="b">
        <v>0</v>
      </c>
      <c r="D2343" s="3" t="b">
        <v>1</v>
      </c>
      <c r="E2343" s="3" t="s">
        <v>676</v>
      </c>
      <c r="F2343" s="3" t="s">
        <v>4934</v>
      </c>
      <c r="G2343" s="4">
        <f>+251945648383</f>
        <v>251945648383</v>
      </c>
      <c r="H2343" s="3" t="s">
        <v>18</v>
      </c>
      <c r="I2343" s="3" t="s">
        <v>19</v>
      </c>
      <c r="J2343" s="3" t="s">
        <v>19</v>
      </c>
      <c r="K2343" s="3" t="s">
        <v>25</v>
      </c>
      <c r="L2343" s="3">
        <v>13.19</v>
      </c>
      <c r="M2343" s="3" t="s">
        <v>1695</v>
      </c>
      <c r="N2343" s="3" t="s">
        <v>1696</v>
      </c>
      <c r="O2343" s="3">
        <v>1.935764462E11</v>
      </c>
    </row>
    <row r="2344">
      <c r="A2344" s="3">
        <v>2211769.0</v>
      </c>
      <c r="B2344" s="3" t="s">
        <v>4935</v>
      </c>
      <c r="C2344" s="3" t="b">
        <v>1</v>
      </c>
      <c r="D2344" s="3" t="b">
        <v>1</v>
      </c>
      <c r="E2344" s="3" t="s">
        <v>4936</v>
      </c>
      <c r="F2344" s="3" t="s">
        <v>4937</v>
      </c>
      <c r="G2344" s="4">
        <f>+25143979787</f>
        <v>25143979787</v>
      </c>
      <c r="H2344" s="3" t="s">
        <v>18</v>
      </c>
      <c r="I2344" s="3" t="s">
        <v>19</v>
      </c>
      <c r="J2344" s="3" t="s">
        <v>19</v>
      </c>
      <c r="K2344" s="3" t="s">
        <v>25</v>
      </c>
      <c r="L2344" s="3">
        <v>31.43</v>
      </c>
      <c r="M2344" s="3" t="s">
        <v>1695</v>
      </c>
      <c r="N2344" s="3" t="s">
        <v>1696</v>
      </c>
      <c r="O2344" s="3">
        <v>3.3299334128E10</v>
      </c>
    </row>
    <row r="2345">
      <c r="A2345" s="3">
        <v>2616300.0</v>
      </c>
      <c r="B2345" s="3" t="s">
        <v>4938</v>
      </c>
      <c r="C2345" s="3" t="b">
        <v>0</v>
      </c>
      <c r="D2345" s="3" t="b">
        <v>1</v>
      </c>
      <c r="E2345" s="3" t="s">
        <v>291</v>
      </c>
      <c r="F2345" s="3" t="s">
        <v>4939</v>
      </c>
      <c r="G2345" s="4">
        <f>+251972560409</f>
        <v>251972560409</v>
      </c>
      <c r="H2345" s="3" t="s">
        <v>18</v>
      </c>
      <c r="I2345" s="3" t="s">
        <v>19</v>
      </c>
      <c r="J2345" s="3" t="s">
        <v>19</v>
      </c>
      <c r="K2345" s="3" t="s">
        <v>20</v>
      </c>
      <c r="L2345" s="3">
        <v>23.02</v>
      </c>
      <c r="M2345" s="3" t="s">
        <v>1695</v>
      </c>
      <c r="N2345" s="3" t="s">
        <v>1696</v>
      </c>
      <c r="O2345" s="3">
        <v>1.93382400247E11</v>
      </c>
    </row>
    <row r="2346">
      <c r="A2346" s="3">
        <v>2616520.0</v>
      </c>
      <c r="B2346" s="3" t="s">
        <v>4940</v>
      </c>
      <c r="C2346" s="3" t="b">
        <v>0</v>
      </c>
      <c r="D2346" s="3" t="b">
        <v>1</v>
      </c>
      <c r="E2346" s="3" t="s">
        <v>101</v>
      </c>
      <c r="F2346" s="3" t="s">
        <v>4941</v>
      </c>
      <c r="G2346" s="4">
        <f>+251919527674</f>
        <v>251919527674</v>
      </c>
      <c r="H2346" s="3" t="s">
        <v>18</v>
      </c>
      <c r="I2346" s="3" t="s">
        <v>19</v>
      </c>
      <c r="J2346" s="3" t="s">
        <v>19</v>
      </c>
      <c r="K2346" s="3" t="s">
        <v>25</v>
      </c>
      <c r="L2346" s="3">
        <v>23.01</v>
      </c>
      <c r="M2346" s="3" t="s">
        <v>1695</v>
      </c>
      <c r="N2346" s="3" t="s">
        <v>1696</v>
      </c>
      <c r="O2346" s="3">
        <v>1.93534115043E11</v>
      </c>
    </row>
    <row r="2347">
      <c r="A2347" s="3">
        <v>2616534.0</v>
      </c>
      <c r="B2347" s="3" t="s">
        <v>4942</v>
      </c>
      <c r="C2347" s="3" t="b">
        <v>0</v>
      </c>
      <c r="D2347" s="3" t="b">
        <v>1</v>
      </c>
      <c r="E2347" s="3" t="s">
        <v>4531</v>
      </c>
      <c r="F2347" s="3" t="s">
        <v>468</v>
      </c>
      <c r="G2347" s="4">
        <f>+251986885763</f>
        <v>251986885763</v>
      </c>
      <c r="H2347" s="3" t="s">
        <v>18</v>
      </c>
      <c r="I2347" s="3" t="s">
        <v>19</v>
      </c>
      <c r="J2347" s="3" t="s">
        <v>19</v>
      </c>
      <c r="K2347" s="3" t="s">
        <v>25</v>
      </c>
      <c r="L2347" s="3">
        <v>24.03</v>
      </c>
      <c r="M2347" s="3" t="s">
        <v>1695</v>
      </c>
      <c r="N2347" s="3" t="s">
        <v>1696</v>
      </c>
      <c r="O2347" s="3">
        <v>1.93608364248E11</v>
      </c>
    </row>
    <row r="2348">
      <c r="A2348" s="3">
        <v>2616540.0</v>
      </c>
      <c r="B2348" s="3" t="s">
        <v>4943</v>
      </c>
      <c r="C2348" s="3" t="b">
        <v>0</v>
      </c>
      <c r="D2348" s="3" t="b">
        <v>1</v>
      </c>
      <c r="E2348" s="3" t="s">
        <v>4944</v>
      </c>
      <c r="F2348" s="3" t="s">
        <v>918</v>
      </c>
      <c r="G2348" s="4">
        <f>+251946634480</f>
        <v>251946634480</v>
      </c>
      <c r="H2348" s="3" t="s">
        <v>18</v>
      </c>
      <c r="I2348" s="3" t="s">
        <v>19</v>
      </c>
      <c r="J2348" s="3" t="s">
        <v>19</v>
      </c>
      <c r="K2348" s="3" t="s">
        <v>25</v>
      </c>
      <c r="L2348" s="3">
        <v>24.2</v>
      </c>
      <c r="M2348" s="3" t="s">
        <v>1695</v>
      </c>
      <c r="N2348" s="3" t="s">
        <v>1696</v>
      </c>
      <c r="O2348" s="3">
        <v>1.93542122731E11</v>
      </c>
    </row>
    <row r="2349">
      <c r="A2349" s="3">
        <v>2616571.0</v>
      </c>
      <c r="B2349" s="3" t="s">
        <v>4945</v>
      </c>
      <c r="C2349" s="3" t="b">
        <v>0</v>
      </c>
      <c r="D2349" s="3" t="b">
        <v>1</v>
      </c>
      <c r="E2349" s="3" t="s">
        <v>2781</v>
      </c>
      <c r="F2349" s="3" t="s">
        <v>2875</v>
      </c>
      <c r="G2349" s="4">
        <f>+251919386043</f>
        <v>251919386043</v>
      </c>
      <c r="H2349" s="3" t="s">
        <v>18</v>
      </c>
      <c r="I2349" s="3" t="s">
        <v>19</v>
      </c>
      <c r="J2349" s="3" t="s">
        <v>19</v>
      </c>
      <c r="K2349" s="3" t="s">
        <v>25</v>
      </c>
      <c r="L2349" s="3">
        <v>23.01</v>
      </c>
      <c r="M2349" s="3" t="s">
        <v>1695</v>
      </c>
      <c r="N2349" s="3" t="s">
        <v>1696</v>
      </c>
      <c r="O2349" s="3">
        <v>1.9360896535E11</v>
      </c>
    </row>
    <row r="2350">
      <c r="A2350" s="3">
        <v>2616579.0</v>
      </c>
      <c r="B2350" s="3" t="s">
        <v>4946</v>
      </c>
      <c r="C2350" s="3" t="b">
        <v>0</v>
      </c>
      <c r="D2350" s="3" t="b">
        <v>1</v>
      </c>
      <c r="E2350" s="3" t="s">
        <v>3916</v>
      </c>
      <c r="F2350" s="3" t="s">
        <v>1656</v>
      </c>
      <c r="G2350" s="4">
        <f>+251949775509</f>
        <v>251949775509</v>
      </c>
      <c r="H2350" s="3" t="s">
        <v>18</v>
      </c>
      <c r="I2350" s="3" t="s">
        <v>19</v>
      </c>
      <c r="J2350" s="3" t="s">
        <v>19</v>
      </c>
      <c r="K2350" s="3" t="s">
        <v>25</v>
      </c>
      <c r="L2350" s="3">
        <v>22.94</v>
      </c>
      <c r="M2350" s="3" t="s">
        <v>1695</v>
      </c>
      <c r="N2350" s="3" t="s">
        <v>1696</v>
      </c>
      <c r="O2350" s="3">
        <v>1.93611370714E11</v>
      </c>
    </row>
    <row r="2351">
      <c r="A2351" s="3">
        <v>2616582.0</v>
      </c>
      <c r="B2351" s="3" t="s">
        <v>4947</v>
      </c>
      <c r="C2351" s="3" t="b">
        <v>1</v>
      </c>
      <c r="D2351" s="3" t="b">
        <v>1</v>
      </c>
      <c r="E2351" s="3" t="s">
        <v>2781</v>
      </c>
      <c r="F2351" s="3" t="s">
        <v>4948</v>
      </c>
      <c r="G2351" s="4">
        <f>+251972843988</f>
        <v>251972843988</v>
      </c>
      <c r="H2351" s="3" t="s">
        <v>18</v>
      </c>
      <c r="I2351" s="3" t="s">
        <v>19</v>
      </c>
      <c r="J2351" s="3" t="s">
        <v>19</v>
      </c>
      <c r="K2351" s="3" t="s">
        <v>25</v>
      </c>
      <c r="L2351" s="3">
        <v>24.36</v>
      </c>
      <c r="M2351" s="3" t="s">
        <v>1695</v>
      </c>
      <c r="N2351" s="3" t="s">
        <v>1696</v>
      </c>
      <c r="O2351" s="3">
        <v>1.93620207838E11</v>
      </c>
    </row>
    <row r="2352">
      <c r="A2352" s="3">
        <v>2616586.0</v>
      </c>
      <c r="B2352" s="3" t="s">
        <v>4949</v>
      </c>
      <c r="C2352" s="3" t="b">
        <v>0</v>
      </c>
      <c r="D2352" s="3" t="b">
        <v>1</v>
      </c>
      <c r="E2352" s="3" t="s">
        <v>1177</v>
      </c>
      <c r="F2352" s="3" t="s">
        <v>2680</v>
      </c>
      <c r="G2352" s="4">
        <f>+251914830839</f>
        <v>251914830839</v>
      </c>
      <c r="H2352" s="3" t="s">
        <v>18</v>
      </c>
      <c r="I2352" s="3" t="s">
        <v>19</v>
      </c>
      <c r="J2352" s="3" t="s">
        <v>19</v>
      </c>
      <c r="K2352" s="3" t="s">
        <v>25</v>
      </c>
      <c r="L2352" s="3">
        <v>13.05</v>
      </c>
      <c r="M2352" s="3" t="s">
        <v>1695</v>
      </c>
      <c r="N2352" s="3" t="s">
        <v>1696</v>
      </c>
      <c r="O2352" s="3">
        <v>1.93620293834E11</v>
      </c>
    </row>
    <row r="2353">
      <c r="A2353" s="3">
        <v>2616595.0</v>
      </c>
      <c r="B2353" s="3" t="s">
        <v>4950</v>
      </c>
      <c r="C2353" s="3" t="b">
        <v>1</v>
      </c>
      <c r="D2353" s="3" t="b">
        <v>1</v>
      </c>
      <c r="E2353" s="3" t="s">
        <v>4951</v>
      </c>
      <c r="F2353" s="3" t="s">
        <v>4952</v>
      </c>
      <c r="G2353" s="4">
        <f>+251904486227</f>
        <v>251904486227</v>
      </c>
      <c r="H2353" s="3" t="s">
        <v>18</v>
      </c>
      <c r="I2353" s="3" t="s">
        <v>19</v>
      </c>
      <c r="J2353" s="3" t="s">
        <v>19</v>
      </c>
      <c r="K2353" s="3" t="s">
        <v>20</v>
      </c>
      <c r="L2353" s="3">
        <v>22.43</v>
      </c>
      <c r="M2353" s="3" t="s">
        <v>1695</v>
      </c>
      <c r="N2353" s="3" t="s">
        <v>1696</v>
      </c>
      <c r="O2353" s="3">
        <v>1.9361317195E11</v>
      </c>
    </row>
    <row r="2354">
      <c r="A2354" s="3">
        <v>2616599.0</v>
      </c>
      <c r="B2354" s="3" t="s">
        <v>4953</v>
      </c>
      <c r="C2354" s="3" t="b">
        <v>0</v>
      </c>
      <c r="D2354" s="3" t="b">
        <v>1</v>
      </c>
      <c r="E2354" s="3" t="s">
        <v>188</v>
      </c>
      <c r="F2354" s="3" t="s">
        <v>2197</v>
      </c>
      <c r="G2354" s="4">
        <f>+251991385151</f>
        <v>251991385151</v>
      </c>
      <c r="H2354" s="3" t="s">
        <v>18</v>
      </c>
      <c r="I2354" s="3" t="s">
        <v>19</v>
      </c>
      <c r="J2354" s="3" t="s">
        <v>19</v>
      </c>
      <c r="K2354" s="3" t="s">
        <v>25</v>
      </c>
      <c r="L2354" s="3">
        <v>24.01</v>
      </c>
      <c r="M2354" s="3" t="s">
        <v>1695</v>
      </c>
      <c r="N2354" s="3" t="s">
        <v>1696</v>
      </c>
      <c r="O2354" s="3">
        <v>1.93614416095E11</v>
      </c>
    </row>
    <row r="2355">
      <c r="A2355" s="3">
        <v>2616604.0</v>
      </c>
      <c r="B2355" s="3" t="s">
        <v>4954</v>
      </c>
      <c r="C2355" s="3" t="b">
        <v>0</v>
      </c>
      <c r="D2355" s="3" t="b">
        <v>1</v>
      </c>
      <c r="E2355" s="3" t="s">
        <v>2566</v>
      </c>
      <c r="F2355" s="3" t="s">
        <v>4955</v>
      </c>
      <c r="G2355" s="4">
        <f>+251098169676</f>
        <v>251098169676</v>
      </c>
      <c r="H2355" s="3" t="s">
        <v>18</v>
      </c>
      <c r="I2355" s="3" t="s">
        <v>19</v>
      </c>
      <c r="J2355" s="3" t="s">
        <v>19</v>
      </c>
      <c r="K2355" s="3" t="s">
        <v>20</v>
      </c>
      <c r="L2355" s="3">
        <v>25.36</v>
      </c>
      <c r="M2355" s="3" t="s">
        <v>1695</v>
      </c>
      <c r="N2355" s="3" t="s">
        <v>1696</v>
      </c>
      <c r="O2355" s="3">
        <v>1.93617548498E11</v>
      </c>
    </row>
    <row r="2356">
      <c r="A2356" s="3">
        <v>2616614.0</v>
      </c>
      <c r="B2356" s="3" t="s">
        <v>4956</v>
      </c>
      <c r="C2356" s="3" t="b">
        <v>0</v>
      </c>
      <c r="D2356" s="3" t="b">
        <v>1</v>
      </c>
      <c r="E2356" s="3" t="s">
        <v>1532</v>
      </c>
      <c r="F2356" s="3" t="s">
        <v>4957</v>
      </c>
      <c r="G2356" s="4">
        <f>+251982083775</f>
        <v>251982083775</v>
      </c>
      <c r="H2356" s="3" t="s">
        <v>18</v>
      </c>
      <c r="I2356" s="3" t="s">
        <v>19</v>
      </c>
      <c r="J2356" s="3" t="s">
        <v>19</v>
      </c>
      <c r="K2356" s="3" t="s">
        <v>25</v>
      </c>
      <c r="L2356" s="3">
        <v>23.02</v>
      </c>
      <c r="M2356" s="3" t="s">
        <v>1695</v>
      </c>
      <c r="N2356" s="3" t="s">
        <v>1696</v>
      </c>
      <c r="O2356" s="3">
        <v>1.93614553318E11</v>
      </c>
    </row>
    <row r="2357">
      <c r="A2357" s="3">
        <v>2616616.0</v>
      </c>
      <c r="B2357" s="3" t="s">
        <v>4958</v>
      </c>
      <c r="C2357" s="3" t="b">
        <v>0</v>
      </c>
      <c r="D2357" s="3" t="b">
        <v>1</v>
      </c>
      <c r="E2357" s="3" t="s">
        <v>4959</v>
      </c>
      <c r="F2357" s="3" t="s">
        <v>4960</v>
      </c>
      <c r="G2357" s="4">
        <f>+251961024710</f>
        <v>251961024710</v>
      </c>
      <c r="H2357" s="3" t="s">
        <v>18</v>
      </c>
      <c r="I2357" s="3" t="s">
        <v>19</v>
      </c>
      <c r="J2357" s="3" t="s">
        <v>19</v>
      </c>
      <c r="K2357" s="3" t="s">
        <v>25</v>
      </c>
      <c r="L2357" s="3">
        <v>23.27</v>
      </c>
      <c r="M2357" s="3" t="s">
        <v>1695</v>
      </c>
      <c r="N2357" s="3" t="s">
        <v>1696</v>
      </c>
      <c r="O2357" s="3">
        <v>1.93546879181E11</v>
      </c>
    </row>
    <row r="2358">
      <c r="A2358" s="3">
        <v>2616623.0</v>
      </c>
      <c r="B2358" s="3" t="s">
        <v>4961</v>
      </c>
      <c r="C2358" s="3" t="b">
        <v>0</v>
      </c>
      <c r="D2358" s="3" t="b">
        <v>1</v>
      </c>
      <c r="E2358" s="3" t="s">
        <v>3919</v>
      </c>
      <c r="F2358" s="3" t="s">
        <v>178</v>
      </c>
      <c r="G2358" s="4">
        <f>+251949264145</f>
        <v>251949264145</v>
      </c>
      <c r="H2358" s="3" t="s">
        <v>18</v>
      </c>
      <c r="I2358" s="3" t="s">
        <v>19</v>
      </c>
      <c r="J2358" s="3" t="s">
        <v>19</v>
      </c>
      <c r="K2358" s="3" t="s">
        <v>25</v>
      </c>
      <c r="L2358" s="3">
        <v>22.86</v>
      </c>
      <c r="M2358" s="3" t="s">
        <v>1695</v>
      </c>
      <c r="N2358" s="3" t="s">
        <v>1696</v>
      </c>
      <c r="O2358" s="3">
        <v>1.93544453338E11</v>
      </c>
    </row>
    <row r="2359">
      <c r="A2359" s="3">
        <v>2616632.0</v>
      </c>
      <c r="B2359" s="3" t="s">
        <v>4962</v>
      </c>
      <c r="C2359" s="3" t="b">
        <v>1</v>
      </c>
      <c r="D2359" s="3" t="b">
        <v>1</v>
      </c>
      <c r="E2359" s="3" t="s">
        <v>188</v>
      </c>
      <c r="F2359" s="3" t="s">
        <v>4963</v>
      </c>
      <c r="G2359" s="4">
        <f>+251938231953</f>
        <v>251938231953</v>
      </c>
      <c r="H2359" s="3" t="s">
        <v>18</v>
      </c>
      <c r="I2359" s="3" t="s">
        <v>19</v>
      </c>
      <c r="J2359" s="3" t="s">
        <v>19</v>
      </c>
      <c r="K2359" s="3" t="s">
        <v>25</v>
      </c>
      <c r="L2359" s="3">
        <v>22.77</v>
      </c>
      <c r="M2359" s="3" t="s">
        <v>1695</v>
      </c>
      <c r="N2359" s="3" t="s">
        <v>1696</v>
      </c>
      <c r="O2359" s="3">
        <v>1.93551007971E11</v>
      </c>
    </row>
    <row r="2360">
      <c r="A2360" s="3">
        <v>2616634.0</v>
      </c>
      <c r="B2360" s="3" t="s">
        <v>4964</v>
      </c>
      <c r="C2360" s="3" t="b">
        <v>0</v>
      </c>
      <c r="D2360" s="3" t="b">
        <v>1</v>
      </c>
      <c r="E2360" s="3" t="s">
        <v>4965</v>
      </c>
      <c r="F2360" s="3" t="s">
        <v>404</v>
      </c>
      <c r="G2360" s="4">
        <f>+251979727936</f>
        <v>251979727936</v>
      </c>
      <c r="H2360" s="3" t="s">
        <v>18</v>
      </c>
      <c r="I2360" s="3" t="s">
        <v>19</v>
      </c>
      <c r="J2360" s="3" t="s">
        <v>19</v>
      </c>
      <c r="K2360" s="3" t="s">
        <v>20</v>
      </c>
      <c r="L2360" s="3">
        <v>22.3</v>
      </c>
      <c r="M2360" s="3" t="s">
        <v>1695</v>
      </c>
      <c r="N2360" s="3" t="s">
        <v>1696</v>
      </c>
      <c r="O2360" s="3">
        <v>1.93544560848E11</v>
      </c>
    </row>
    <row r="2361">
      <c r="A2361" s="3">
        <v>2616648.0</v>
      </c>
      <c r="B2361" s="3" t="s">
        <v>4966</v>
      </c>
      <c r="C2361" s="3" t="b">
        <v>1</v>
      </c>
      <c r="D2361" s="3" t="b">
        <v>1</v>
      </c>
      <c r="E2361" s="3" t="s">
        <v>2141</v>
      </c>
      <c r="F2361" s="3" t="s">
        <v>4967</v>
      </c>
      <c r="G2361" s="4">
        <f>+251931458130</f>
        <v>251931458130</v>
      </c>
      <c r="H2361" s="3" t="s">
        <v>18</v>
      </c>
      <c r="I2361" s="3" t="s">
        <v>19</v>
      </c>
      <c r="J2361" s="3" t="s">
        <v>19</v>
      </c>
      <c r="K2361" s="3" t="s">
        <v>25</v>
      </c>
      <c r="L2361" s="3">
        <v>23.02</v>
      </c>
      <c r="M2361" s="3" t="s">
        <v>1695</v>
      </c>
      <c r="N2361" s="3" t="s">
        <v>1696</v>
      </c>
      <c r="O2361" s="3">
        <v>1.93544685812E11</v>
      </c>
    </row>
    <row r="2362">
      <c r="A2362" s="3">
        <v>2616652.0</v>
      </c>
      <c r="B2362" s="3" t="s">
        <v>4968</v>
      </c>
      <c r="C2362" s="3" t="b">
        <v>0</v>
      </c>
      <c r="D2362" s="3" t="b">
        <v>1</v>
      </c>
      <c r="E2362" s="3" t="s">
        <v>4969</v>
      </c>
      <c r="F2362" s="3" t="s">
        <v>1769</v>
      </c>
      <c r="G2362" s="4">
        <f>+251979851579</f>
        <v>251979851579</v>
      </c>
      <c r="H2362" s="3" t="s">
        <v>18</v>
      </c>
      <c r="I2362" s="3" t="s">
        <v>19</v>
      </c>
      <c r="J2362" s="3" t="s">
        <v>19</v>
      </c>
      <c r="K2362" s="3" t="s">
        <v>25</v>
      </c>
      <c r="L2362" s="3">
        <v>24.44</v>
      </c>
      <c r="M2362" s="3" t="s">
        <v>1695</v>
      </c>
      <c r="N2362" s="3" t="s">
        <v>1696</v>
      </c>
      <c r="O2362" s="3">
        <v>1.93624021221E11</v>
      </c>
    </row>
    <row r="2363">
      <c r="A2363" s="3">
        <v>2616656.0</v>
      </c>
      <c r="B2363" s="3" t="s">
        <v>4970</v>
      </c>
      <c r="C2363" s="3" t="b">
        <v>0</v>
      </c>
      <c r="D2363" s="3" t="b">
        <v>1</v>
      </c>
      <c r="E2363" s="3" t="s">
        <v>46</v>
      </c>
      <c r="F2363" s="3" t="s">
        <v>2820</v>
      </c>
      <c r="G2363" s="4">
        <f>+251966924278</f>
        <v>251966924278</v>
      </c>
      <c r="H2363" s="3" t="s">
        <v>18</v>
      </c>
      <c r="I2363" s="3" t="s">
        <v>19</v>
      </c>
      <c r="J2363" s="3" t="s">
        <v>19</v>
      </c>
      <c r="K2363" s="3" t="s">
        <v>25</v>
      </c>
      <c r="L2363" s="3">
        <v>25.36</v>
      </c>
      <c r="M2363" s="3" t="s">
        <v>1695</v>
      </c>
      <c r="N2363" s="3" t="s">
        <v>1696</v>
      </c>
      <c r="O2363" s="3">
        <v>1.93548746955E11</v>
      </c>
    </row>
    <row r="2364">
      <c r="A2364" s="3">
        <v>2616661.0</v>
      </c>
      <c r="B2364" s="3" t="s">
        <v>4971</v>
      </c>
      <c r="C2364" s="3" t="b">
        <v>0</v>
      </c>
      <c r="D2364" s="3" t="b">
        <v>1</v>
      </c>
      <c r="E2364" s="3" t="s">
        <v>4972</v>
      </c>
      <c r="F2364" s="3" t="s">
        <v>4973</v>
      </c>
      <c r="G2364" s="4">
        <f>+251922416951</f>
        <v>251922416951</v>
      </c>
      <c r="H2364" s="3" t="s">
        <v>18</v>
      </c>
      <c r="I2364" s="3" t="s">
        <v>19</v>
      </c>
      <c r="J2364" s="3" t="s">
        <v>19</v>
      </c>
      <c r="K2364" s="3" t="s">
        <v>25</v>
      </c>
      <c r="L2364" s="3">
        <v>25.83</v>
      </c>
      <c r="M2364" s="3" t="s">
        <v>1695</v>
      </c>
      <c r="N2364" s="3" t="s">
        <v>1696</v>
      </c>
      <c r="O2364" s="3">
        <v>1.93592497377E11</v>
      </c>
    </row>
    <row r="2365">
      <c r="A2365" s="3">
        <v>2616671.0</v>
      </c>
      <c r="B2365" s="3" t="s">
        <v>4974</v>
      </c>
      <c r="C2365" s="3" t="b">
        <v>0</v>
      </c>
      <c r="D2365" s="3" t="b">
        <v>1</v>
      </c>
      <c r="E2365" s="3" t="s">
        <v>4975</v>
      </c>
      <c r="F2365" s="3" t="s">
        <v>2724</v>
      </c>
      <c r="G2365" s="4">
        <f>+251952744756</f>
        <v>251952744756</v>
      </c>
      <c r="H2365" s="3" t="s">
        <v>18</v>
      </c>
      <c r="I2365" s="3" t="s">
        <v>19</v>
      </c>
      <c r="J2365" s="3" t="s">
        <v>19</v>
      </c>
      <c r="K2365" s="3" t="s">
        <v>25</v>
      </c>
      <c r="L2365" s="3">
        <v>23.01</v>
      </c>
      <c r="M2365" s="3" t="s">
        <v>1695</v>
      </c>
      <c r="N2365" s="3" t="s">
        <v>1696</v>
      </c>
      <c r="O2365" s="3">
        <v>1.93624298743E11</v>
      </c>
    </row>
    <row r="2366">
      <c r="A2366" s="3">
        <v>2616675.0</v>
      </c>
      <c r="B2366" s="3" t="s">
        <v>4976</v>
      </c>
      <c r="C2366" s="3" t="b">
        <v>0</v>
      </c>
      <c r="D2366" s="3" t="b">
        <v>1</v>
      </c>
      <c r="E2366" s="3" t="s">
        <v>676</v>
      </c>
      <c r="F2366" s="3" t="s">
        <v>1185</v>
      </c>
      <c r="G2366" s="4">
        <f>+251985543618</f>
        <v>251985543618</v>
      </c>
      <c r="H2366" s="3" t="s">
        <v>18</v>
      </c>
      <c r="I2366" s="3" t="s">
        <v>19</v>
      </c>
      <c r="J2366" s="3" t="s">
        <v>19</v>
      </c>
      <c r="K2366" s="3" t="s">
        <v>25</v>
      </c>
      <c r="L2366" s="3">
        <v>26.85</v>
      </c>
      <c r="M2366" s="3" t="s">
        <v>1695</v>
      </c>
      <c r="N2366" s="3" t="s">
        <v>1696</v>
      </c>
      <c r="O2366" s="3">
        <v>1.93546533074E11</v>
      </c>
    </row>
    <row r="2367">
      <c r="A2367" s="3">
        <v>2616688.0</v>
      </c>
      <c r="B2367" s="3" t="s">
        <v>4977</v>
      </c>
      <c r="C2367" s="3" t="b">
        <v>0</v>
      </c>
      <c r="D2367" s="3" t="b">
        <v>1</v>
      </c>
      <c r="E2367" s="3" t="s">
        <v>1034</v>
      </c>
      <c r="F2367" s="3" t="s">
        <v>4978</v>
      </c>
      <c r="G2367" s="4">
        <f>+251094092802</f>
        <v>251094092802</v>
      </c>
      <c r="H2367" s="3" t="s">
        <v>18</v>
      </c>
      <c r="I2367" s="3" t="s">
        <v>19</v>
      </c>
      <c r="J2367" s="3" t="s">
        <v>19</v>
      </c>
      <c r="K2367" s="3" t="s">
        <v>20</v>
      </c>
      <c r="L2367" s="3">
        <v>22.77</v>
      </c>
      <c r="M2367" s="3" t="s">
        <v>1695</v>
      </c>
      <c r="N2367" s="3" t="s">
        <v>1696</v>
      </c>
      <c r="O2367" s="3">
        <v>1.93552893128E11</v>
      </c>
    </row>
    <row r="2368">
      <c r="A2368" s="3">
        <v>2616703.0</v>
      </c>
      <c r="B2368" s="3" t="s">
        <v>4979</v>
      </c>
      <c r="C2368" s="3" t="b">
        <v>0</v>
      </c>
      <c r="D2368" s="3" t="b">
        <v>1</v>
      </c>
      <c r="E2368" s="3" t="s">
        <v>3947</v>
      </c>
      <c r="F2368" s="3" t="s">
        <v>4980</v>
      </c>
      <c r="G2368" s="4">
        <f>+251964362216</f>
        <v>251964362216</v>
      </c>
      <c r="H2368" s="3" t="s">
        <v>18</v>
      </c>
      <c r="I2368" s="3" t="s">
        <v>19</v>
      </c>
      <c r="J2368" s="3" t="s">
        <v>19</v>
      </c>
      <c r="K2368" s="3" t="s">
        <v>20</v>
      </c>
      <c r="L2368" s="3">
        <v>21.43</v>
      </c>
      <c r="M2368" s="3" t="s">
        <v>1695</v>
      </c>
      <c r="N2368" s="3" t="s">
        <v>1696</v>
      </c>
      <c r="O2368" s="3">
        <v>1.93555740865E11</v>
      </c>
    </row>
    <row r="2369">
      <c r="A2369" s="3">
        <v>2616715.0</v>
      </c>
      <c r="B2369" s="3" t="s">
        <v>4981</v>
      </c>
      <c r="C2369" s="3" t="b">
        <v>0</v>
      </c>
      <c r="D2369" s="3" t="b">
        <v>1</v>
      </c>
      <c r="E2369" s="3" t="s">
        <v>3140</v>
      </c>
      <c r="F2369" s="3" t="s">
        <v>4982</v>
      </c>
      <c r="G2369" s="4">
        <f>+251979065289</f>
        <v>251979065289</v>
      </c>
      <c r="H2369" s="3" t="s">
        <v>18</v>
      </c>
      <c r="I2369" s="3" t="s">
        <v>19</v>
      </c>
      <c r="J2369" s="3" t="s">
        <v>19</v>
      </c>
      <c r="K2369" s="3" t="s">
        <v>20</v>
      </c>
      <c r="L2369" s="3">
        <v>23.71</v>
      </c>
      <c r="M2369" s="3" t="s">
        <v>1695</v>
      </c>
      <c r="N2369" s="3" t="s">
        <v>1696</v>
      </c>
      <c r="O2369" s="3">
        <v>1.93555867878E11</v>
      </c>
    </row>
    <row r="2370">
      <c r="A2370" s="3">
        <v>2616723.0</v>
      </c>
      <c r="B2370" s="3" t="s">
        <v>4983</v>
      </c>
      <c r="C2370" s="3" t="b">
        <v>0</v>
      </c>
      <c r="D2370" s="3" t="b">
        <v>1</v>
      </c>
      <c r="E2370" s="3" t="s">
        <v>553</v>
      </c>
      <c r="F2370" s="3" t="s">
        <v>4984</v>
      </c>
      <c r="G2370" s="4">
        <f>+251928456984</f>
        <v>251928456984</v>
      </c>
      <c r="H2370" s="3" t="s">
        <v>18</v>
      </c>
      <c r="I2370" s="3" t="s">
        <v>19</v>
      </c>
      <c r="J2370" s="3" t="s">
        <v>19</v>
      </c>
      <c r="K2370" s="3" t="s">
        <v>20</v>
      </c>
      <c r="L2370" s="3">
        <v>24.94</v>
      </c>
      <c r="M2370" s="3" t="s">
        <v>1695</v>
      </c>
      <c r="N2370" s="3" t="s">
        <v>1696</v>
      </c>
      <c r="O2370" s="3">
        <v>1.93631693006E11</v>
      </c>
    </row>
    <row r="2371">
      <c r="A2371" s="3">
        <v>2616730.0</v>
      </c>
      <c r="B2371" s="3" t="s">
        <v>4985</v>
      </c>
      <c r="C2371" s="3" t="b">
        <v>0</v>
      </c>
      <c r="D2371" s="3" t="b">
        <v>1</v>
      </c>
      <c r="E2371" s="3" t="s">
        <v>439</v>
      </c>
      <c r="F2371" s="3" t="s">
        <v>425</v>
      </c>
      <c r="G2371" s="4">
        <f>+251903505870</f>
        <v>251903505870</v>
      </c>
      <c r="H2371" s="3" t="s">
        <v>18</v>
      </c>
      <c r="I2371" s="3" t="s">
        <v>19</v>
      </c>
      <c r="J2371" s="3" t="s">
        <v>19</v>
      </c>
      <c r="K2371" s="3" t="s">
        <v>20</v>
      </c>
      <c r="L2371" s="3">
        <v>28.44</v>
      </c>
      <c r="M2371" s="3" t="s">
        <v>1695</v>
      </c>
      <c r="N2371" s="3" t="s">
        <v>1696</v>
      </c>
      <c r="O2371" s="3">
        <v>1.93630565614E11</v>
      </c>
    </row>
    <row r="2372">
      <c r="A2372" s="3">
        <v>2616738.0</v>
      </c>
      <c r="B2372" s="3" t="s">
        <v>4986</v>
      </c>
      <c r="C2372" s="3" t="b">
        <v>0</v>
      </c>
      <c r="D2372" s="3" t="b">
        <v>1</v>
      </c>
      <c r="E2372" s="3" t="s">
        <v>3013</v>
      </c>
      <c r="F2372" s="3" t="s">
        <v>4987</v>
      </c>
      <c r="G2372" s="4">
        <f>+251902491670</f>
        <v>251902491670</v>
      </c>
      <c r="H2372" s="3" t="s">
        <v>18</v>
      </c>
      <c r="I2372" s="3" t="s">
        <v>19</v>
      </c>
      <c r="J2372" s="3" t="s">
        <v>19</v>
      </c>
      <c r="K2372" s="3" t="s">
        <v>20</v>
      </c>
      <c r="L2372" s="3">
        <v>31.53</v>
      </c>
      <c r="M2372" s="3" t="s">
        <v>1695</v>
      </c>
      <c r="N2372" s="3" t="s">
        <v>1696</v>
      </c>
      <c r="O2372" s="3">
        <v>1.9355352697E11</v>
      </c>
    </row>
    <row r="2373">
      <c r="A2373" s="3">
        <v>2616755.0</v>
      </c>
      <c r="B2373" s="3" t="s">
        <v>4988</v>
      </c>
      <c r="C2373" s="3" t="b">
        <v>0</v>
      </c>
      <c r="D2373" s="3" t="b">
        <v>1</v>
      </c>
      <c r="E2373" s="3" t="s">
        <v>4989</v>
      </c>
      <c r="F2373" s="3" t="s">
        <v>4990</v>
      </c>
      <c r="G2373" s="4">
        <f>+251962640173</f>
        <v>251962640173</v>
      </c>
      <c r="H2373" s="3" t="s">
        <v>18</v>
      </c>
      <c r="I2373" s="3" t="s">
        <v>19</v>
      </c>
      <c r="J2373" s="3" t="s">
        <v>19</v>
      </c>
      <c r="K2373" s="3" t="s">
        <v>25</v>
      </c>
      <c r="L2373" s="3">
        <v>29.34</v>
      </c>
      <c r="M2373" s="3" t="s">
        <v>1695</v>
      </c>
      <c r="N2373" s="3" t="s">
        <v>1696</v>
      </c>
      <c r="O2373" s="3">
        <v>1.9363716836E11</v>
      </c>
    </row>
    <row r="2374">
      <c r="A2374" s="3">
        <v>2616774.0</v>
      </c>
      <c r="B2374" s="3" t="s">
        <v>4991</v>
      </c>
      <c r="C2374" s="3" t="b">
        <v>0</v>
      </c>
      <c r="D2374" s="3" t="b">
        <v>1</v>
      </c>
      <c r="E2374" s="3" t="s">
        <v>4992</v>
      </c>
      <c r="F2374" s="3" t="s">
        <v>4743</v>
      </c>
      <c r="G2374" s="4">
        <f>+251988183778</f>
        <v>251988183778</v>
      </c>
      <c r="H2374" s="3" t="s">
        <v>18</v>
      </c>
      <c r="I2374" s="3" t="s">
        <v>19</v>
      </c>
      <c r="J2374" s="3" t="s">
        <v>19</v>
      </c>
      <c r="K2374" s="3" t="s">
        <v>25</v>
      </c>
      <c r="L2374" s="3">
        <v>29.46</v>
      </c>
      <c r="M2374" s="3" t="s">
        <v>1695</v>
      </c>
      <c r="N2374" s="3" t="s">
        <v>1696</v>
      </c>
      <c r="O2374" s="3">
        <v>1.93640183003E11</v>
      </c>
    </row>
    <row r="2375">
      <c r="A2375" s="3">
        <v>2616784.0</v>
      </c>
      <c r="B2375" s="3" t="s">
        <v>4993</v>
      </c>
      <c r="C2375" s="3" t="b">
        <v>0</v>
      </c>
      <c r="D2375" s="3" t="b">
        <v>1</v>
      </c>
      <c r="E2375" s="3" t="s">
        <v>4994</v>
      </c>
      <c r="F2375" s="3" t="s">
        <v>4995</v>
      </c>
      <c r="G2375" s="4">
        <f>+251911061990</f>
        <v>251911061990</v>
      </c>
      <c r="H2375" s="3" t="s">
        <v>18</v>
      </c>
      <c r="I2375" s="3" t="s">
        <v>19</v>
      </c>
      <c r="J2375" s="3" t="s">
        <v>19</v>
      </c>
      <c r="K2375" s="3" t="s">
        <v>25</v>
      </c>
      <c r="L2375" s="3">
        <v>32.45</v>
      </c>
      <c r="M2375" s="3" t="s">
        <v>1695</v>
      </c>
      <c r="N2375" s="3" t="s">
        <v>1696</v>
      </c>
      <c r="O2375" s="3">
        <v>1.9364238872E11</v>
      </c>
    </row>
    <row r="2376">
      <c r="A2376" s="3">
        <v>2616798.0</v>
      </c>
      <c r="B2376" s="3" t="s">
        <v>4996</v>
      </c>
      <c r="C2376" s="3" t="b">
        <v>0</v>
      </c>
      <c r="D2376" s="3" t="b">
        <v>1</v>
      </c>
      <c r="E2376" s="3" t="s">
        <v>327</v>
      </c>
      <c r="F2376" s="3" t="s">
        <v>2257</v>
      </c>
      <c r="G2376" s="4">
        <f>+251947152583</f>
        <v>251947152583</v>
      </c>
      <c r="H2376" s="3" t="s">
        <v>18</v>
      </c>
      <c r="I2376" s="3" t="s">
        <v>19</v>
      </c>
      <c r="J2376" s="3" t="s">
        <v>19</v>
      </c>
      <c r="K2376" s="3" t="s">
        <v>25</v>
      </c>
      <c r="L2376" s="3">
        <v>32.43</v>
      </c>
      <c r="M2376" s="3" t="s">
        <v>1695</v>
      </c>
      <c r="N2376" s="3" t="s">
        <v>1696</v>
      </c>
      <c r="O2376" s="3">
        <v>1.93640467695E11</v>
      </c>
    </row>
    <row r="2377">
      <c r="A2377" s="3">
        <v>2616802.0</v>
      </c>
      <c r="B2377" s="3" t="s">
        <v>4997</v>
      </c>
      <c r="C2377" s="3" t="b">
        <v>0</v>
      </c>
      <c r="D2377" s="3" t="b">
        <v>1</v>
      </c>
      <c r="E2377" s="3" t="s">
        <v>267</v>
      </c>
      <c r="F2377" s="3" t="s">
        <v>3988</v>
      </c>
      <c r="G2377" s="4">
        <f>+251974321316</f>
        <v>251974321316</v>
      </c>
      <c r="H2377" s="3" t="s">
        <v>18</v>
      </c>
      <c r="I2377" s="3" t="s">
        <v>19</v>
      </c>
      <c r="J2377" s="3" t="s">
        <v>19</v>
      </c>
      <c r="K2377" s="3" t="s">
        <v>25</v>
      </c>
      <c r="L2377" s="3">
        <v>38.56</v>
      </c>
      <c r="M2377" s="3" t="s">
        <v>1695</v>
      </c>
      <c r="N2377" s="3" t="s">
        <v>1696</v>
      </c>
      <c r="O2377" s="3">
        <v>1.93561353464E11</v>
      </c>
    </row>
    <row r="2378">
      <c r="A2378" s="3">
        <v>2616821.0</v>
      </c>
      <c r="B2378" s="3" t="s">
        <v>4998</v>
      </c>
      <c r="C2378" s="3" t="b">
        <v>0</v>
      </c>
      <c r="D2378" s="3" t="b">
        <v>1</v>
      </c>
      <c r="E2378" s="3" t="s">
        <v>1867</v>
      </c>
      <c r="F2378" s="3" t="s">
        <v>4999</v>
      </c>
      <c r="G2378" s="4">
        <f>+251938968747</f>
        <v>251938968747</v>
      </c>
      <c r="H2378" s="3" t="s">
        <v>18</v>
      </c>
      <c r="I2378" s="3" t="s">
        <v>19</v>
      </c>
      <c r="J2378" s="3" t="s">
        <v>19</v>
      </c>
      <c r="K2378" s="3" t="s">
        <v>25</v>
      </c>
      <c r="L2378" s="3">
        <v>32.28</v>
      </c>
      <c r="M2378" s="3" t="s">
        <v>1695</v>
      </c>
      <c r="N2378" s="3" t="s">
        <v>1696</v>
      </c>
      <c r="O2378" s="3">
        <v>2.3262886E7</v>
      </c>
    </row>
    <row r="2379">
      <c r="A2379" s="3">
        <v>2616874.0</v>
      </c>
      <c r="B2379" s="3" t="s">
        <v>5000</v>
      </c>
      <c r="C2379" s="3" t="b">
        <v>0</v>
      </c>
      <c r="D2379" s="3" t="b">
        <v>1</v>
      </c>
      <c r="E2379" s="3" t="s">
        <v>422</v>
      </c>
      <c r="F2379" s="3" t="s">
        <v>5001</v>
      </c>
      <c r="G2379" s="4">
        <f>+251910069726</f>
        <v>251910069726</v>
      </c>
      <c r="H2379" s="3" t="s">
        <v>18</v>
      </c>
      <c r="I2379" s="3" t="s">
        <v>19</v>
      </c>
      <c r="J2379" s="3" t="s">
        <v>19</v>
      </c>
      <c r="K2379" s="3" t="s">
        <v>25</v>
      </c>
      <c r="L2379" s="3">
        <v>27.85</v>
      </c>
      <c r="M2379" s="3" t="s">
        <v>1695</v>
      </c>
      <c r="N2379" s="3" t="s">
        <v>1696</v>
      </c>
      <c r="O2379" s="3">
        <v>1.93652230388E11</v>
      </c>
    </row>
    <row r="2380">
      <c r="A2380" s="3">
        <v>2616881.0</v>
      </c>
      <c r="B2380" s="3" t="s">
        <v>5002</v>
      </c>
      <c r="C2380" s="3" t="b">
        <v>0</v>
      </c>
      <c r="D2380" s="3" t="b">
        <v>1</v>
      </c>
      <c r="E2380" s="3" t="s">
        <v>1156</v>
      </c>
      <c r="F2380" s="3" t="s">
        <v>993</v>
      </c>
      <c r="G2380" s="4">
        <f>+251935830129</f>
        <v>251935830129</v>
      </c>
      <c r="H2380" s="3" t="s">
        <v>18</v>
      </c>
      <c r="I2380" s="3" t="s">
        <v>19</v>
      </c>
      <c r="J2380" s="3" t="s">
        <v>19</v>
      </c>
      <c r="K2380" s="3" t="s">
        <v>20</v>
      </c>
      <c r="L2380" s="3">
        <v>26.91</v>
      </c>
      <c r="M2380" s="3" t="s">
        <v>1695</v>
      </c>
      <c r="N2380" s="3" t="s">
        <v>1696</v>
      </c>
      <c r="O2380" s="3">
        <v>1.93719286988E11</v>
      </c>
    </row>
    <row r="2381">
      <c r="A2381" s="3">
        <v>2616887.0</v>
      </c>
      <c r="B2381" s="3" t="s">
        <v>5003</v>
      </c>
      <c r="C2381" s="3" t="b">
        <v>1</v>
      </c>
      <c r="D2381" s="3" t="b">
        <v>1</v>
      </c>
      <c r="E2381" s="3" t="s">
        <v>178</v>
      </c>
      <c r="F2381" s="3" t="s">
        <v>55</v>
      </c>
      <c r="G2381" s="4">
        <f>+251920370675</f>
        <v>251920370675</v>
      </c>
      <c r="H2381" s="3" t="s">
        <v>18</v>
      </c>
      <c r="I2381" s="3" t="s">
        <v>19</v>
      </c>
      <c r="J2381" s="3" t="s">
        <v>19</v>
      </c>
      <c r="K2381" s="3" t="s">
        <v>25</v>
      </c>
      <c r="L2381" s="3">
        <v>25.1</v>
      </c>
      <c r="M2381" s="3" t="s">
        <v>1695</v>
      </c>
      <c r="N2381" s="3" t="s">
        <v>1696</v>
      </c>
      <c r="O2381" s="3">
        <v>1.93652502745E11</v>
      </c>
    </row>
    <row r="2382">
      <c r="A2382" s="3">
        <v>2616894.0</v>
      </c>
      <c r="B2382" s="3" t="s">
        <v>5004</v>
      </c>
      <c r="C2382" s="3" t="b">
        <v>0</v>
      </c>
      <c r="D2382" s="3" t="b">
        <v>1</v>
      </c>
      <c r="E2382" s="3" t="s">
        <v>5005</v>
      </c>
      <c r="F2382" s="3" t="s">
        <v>5006</v>
      </c>
      <c r="G2382" s="4">
        <f>+251946373174</f>
        <v>251946373174</v>
      </c>
      <c r="H2382" s="3" t="s">
        <v>18</v>
      </c>
      <c r="I2382" s="3" t="s">
        <v>19</v>
      </c>
      <c r="J2382" s="3" t="s">
        <v>19</v>
      </c>
      <c r="K2382" s="3" t="s">
        <v>25</v>
      </c>
      <c r="L2382" s="3">
        <v>21.88</v>
      </c>
      <c r="M2382" s="3" t="s">
        <v>1695</v>
      </c>
      <c r="N2382" s="3" t="s">
        <v>1696</v>
      </c>
      <c r="O2382" s="3">
        <v>1.93651786954E11</v>
      </c>
    </row>
    <row r="2383">
      <c r="A2383" s="3">
        <v>2616901.0</v>
      </c>
      <c r="B2383" s="3" t="s">
        <v>5007</v>
      </c>
      <c r="C2383" s="3" t="b">
        <v>0</v>
      </c>
      <c r="D2383" s="3" t="b">
        <v>1</v>
      </c>
      <c r="E2383" s="3" t="s">
        <v>5008</v>
      </c>
      <c r="F2383" s="3" t="s">
        <v>112</v>
      </c>
      <c r="G2383" s="4">
        <f>+251937260352</f>
        <v>251937260352</v>
      </c>
      <c r="H2383" s="3" t="s">
        <v>18</v>
      </c>
      <c r="I2383" s="3" t="s">
        <v>19</v>
      </c>
      <c r="J2383" s="3" t="s">
        <v>19</v>
      </c>
      <c r="K2383" s="3" t="s">
        <v>25</v>
      </c>
      <c r="L2383" s="3">
        <v>21.95</v>
      </c>
      <c r="M2383" s="3" t="s">
        <v>1695</v>
      </c>
      <c r="N2383" s="3" t="s">
        <v>1696</v>
      </c>
      <c r="O2383" s="3">
        <v>1.93714354386E11</v>
      </c>
    </row>
    <row r="2384">
      <c r="A2384" s="3">
        <v>2616904.0</v>
      </c>
      <c r="B2384" s="3" t="s">
        <v>5009</v>
      </c>
      <c r="C2384" s="3" t="b">
        <v>0</v>
      </c>
      <c r="D2384" s="3" t="b">
        <v>1</v>
      </c>
      <c r="E2384" s="3" t="s">
        <v>5010</v>
      </c>
      <c r="F2384" s="3" t="s">
        <v>1112</v>
      </c>
      <c r="G2384" s="4">
        <f>+251961757258</f>
        <v>251961757258</v>
      </c>
      <c r="H2384" s="3" t="s">
        <v>18</v>
      </c>
      <c r="I2384" s="3" t="s">
        <v>19</v>
      </c>
      <c r="J2384" s="3" t="s">
        <v>19</v>
      </c>
      <c r="K2384" s="3" t="s">
        <v>25</v>
      </c>
      <c r="L2384" s="3">
        <v>31.94</v>
      </c>
      <c r="M2384" s="3" t="s">
        <v>1695</v>
      </c>
      <c r="N2384" s="3" t="s">
        <v>1696</v>
      </c>
      <c r="O2384" s="3">
        <v>1.93632835821E11</v>
      </c>
    </row>
    <row r="2385">
      <c r="A2385" s="3">
        <v>2616911.0</v>
      </c>
      <c r="B2385" s="3" t="s">
        <v>5011</v>
      </c>
      <c r="C2385" s="3" t="b">
        <v>0</v>
      </c>
      <c r="D2385" s="3" t="b">
        <v>1</v>
      </c>
      <c r="E2385" s="3" t="s">
        <v>5012</v>
      </c>
      <c r="F2385" s="3" t="s">
        <v>5013</v>
      </c>
      <c r="G2385" s="4">
        <f>+251932956826</f>
        <v>251932956826</v>
      </c>
      <c r="H2385" s="3" t="s">
        <v>18</v>
      </c>
      <c r="I2385" s="3" t="s">
        <v>19</v>
      </c>
      <c r="J2385" s="3" t="s">
        <v>19</v>
      </c>
      <c r="K2385" s="3" t="s">
        <v>25</v>
      </c>
      <c r="L2385" s="3">
        <v>24.88</v>
      </c>
      <c r="M2385" s="3" t="s">
        <v>1695</v>
      </c>
      <c r="N2385" s="3" t="s">
        <v>1696</v>
      </c>
      <c r="O2385" s="3">
        <v>1.93633021156E11</v>
      </c>
    </row>
    <row r="2386">
      <c r="A2386" s="3">
        <v>2616916.0</v>
      </c>
      <c r="B2386" s="3" t="s">
        <v>5014</v>
      </c>
      <c r="C2386" s="3" t="b">
        <v>0</v>
      </c>
      <c r="D2386" s="3" t="b">
        <v>1</v>
      </c>
      <c r="E2386" s="3" t="s">
        <v>356</v>
      </c>
      <c r="F2386" s="3" t="s">
        <v>162</v>
      </c>
      <c r="G2386" s="4">
        <f>+251925735491</f>
        <v>251925735491</v>
      </c>
      <c r="H2386" s="3" t="s">
        <v>18</v>
      </c>
      <c r="I2386" s="3" t="s">
        <v>19</v>
      </c>
      <c r="J2386" s="3" t="s">
        <v>19</v>
      </c>
      <c r="K2386" s="3" t="s">
        <v>25</v>
      </c>
      <c r="L2386" s="3">
        <v>23.96</v>
      </c>
      <c r="M2386" s="3" t="s">
        <v>1695</v>
      </c>
      <c r="N2386" s="3" t="s">
        <v>1696</v>
      </c>
      <c r="O2386" s="3">
        <v>3676135.0</v>
      </c>
    </row>
    <row r="2387">
      <c r="A2387" s="3">
        <v>2616924.0</v>
      </c>
      <c r="B2387" s="3" t="s">
        <v>5015</v>
      </c>
      <c r="C2387" s="3" t="b">
        <v>0</v>
      </c>
      <c r="D2387" s="3" t="b">
        <v>1</v>
      </c>
      <c r="E2387" s="3" t="s">
        <v>3150</v>
      </c>
      <c r="F2387" s="3" t="s">
        <v>1008</v>
      </c>
      <c r="G2387" s="4">
        <f>+251966975440</f>
        <v>251966975440</v>
      </c>
      <c r="H2387" s="3" t="s">
        <v>18</v>
      </c>
      <c r="I2387" s="3" t="s">
        <v>19</v>
      </c>
      <c r="J2387" s="3" t="s">
        <v>19</v>
      </c>
      <c r="K2387" s="3" t="s">
        <v>25</v>
      </c>
      <c r="L2387" s="3">
        <v>24.2</v>
      </c>
      <c r="M2387" s="3" t="s">
        <v>1695</v>
      </c>
      <c r="N2387" s="3" t="s">
        <v>1696</v>
      </c>
      <c r="O2387" s="3">
        <v>1.93660369102E11</v>
      </c>
    </row>
    <row r="2388">
      <c r="A2388" s="3">
        <v>2617025.0</v>
      </c>
      <c r="B2388" s="3" t="s">
        <v>5016</v>
      </c>
      <c r="C2388" s="3" t="b">
        <v>1</v>
      </c>
      <c r="D2388" s="3" t="b">
        <v>1</v>
      </c>
      <c r="E2388" s="3" t="s">
        <v>35</v>
      </c>
      <c r="F2388" s="3" t="s">
        <v>1674</v>
      </c>
      <c r="G2388" s="4">
        <f>+251917156186</f>
        <v>251917156186</v>
      </c>
      <c r="H2388" s="3" t="s">
        <v>18</v>
      </c>
      <c r="I2388" s="3" t="s">
        <v>19</v>
      </c>
      <c r="J2388" s="3" t="s">
        <v>19</v>
      </c>
      <c r="K2388" s="3" t="s">
        <v>25</v>
      </c>
      <c r="L2388" s="3">
        <v>13.03</v>
      </c>
      <c r="M2388" s="3" t="s">
        <v>1695</v>
      </c>
      <c r="N2388" s="3" t="s">
        <v>1696</v>
      </c>
      <c r="O2388" s="3">
        <v>1.93679717594E11</v>
      </c>
    </row>
    <row r="2389">
      <c r="A2389" s="3">
        <v>2617363.0</v>
      </c>
      <c r="B2389" s="3" t="s">
        <v>5017</v>
      </c>
      <c r="C2389" s="3" t="b">
        <v>0</v>
      </c>
      <c r="D2389" s="3" t="b">
        <v>1</v>
      </c>
      <c r="E2389" s="3" t="s">
        <v>5018</v>
      </c>
      <c r="F2389" s="3" t="s">
        <v>5019</v>
      </c>
      <c r="G2389" s="4">
        <f>+251913188064</f>
        <v>251913188064</v>
      </c>
      <c r="H2389" s="3" t="s">
        <v>18</v>
      </c>
      <c r="I2389" s="3" t="s">
        <v>19</v>
      </c>
      <c r="J2389" s="3" t="s">
        <v>19</v>
      </c>
      <c r="K2389" s="3" t="s">
        <v>20</v>
      </c>
      <c r="L2389" s="3">
        <v>23.02</v>
      </c>
      <c r="M2389" s="3" t="s">
        <v>1695</v>
      </c>
      <c r="N2389" s="3" t="s">
        <v>1696</v>
      </c>
      <c r="O2389" s="3">
        <v>1.94023619782E11</v>
      </c>
    </row>
    <row r="2390">
      <c r="A2390" s="3">
        <v>2617397.0</v>
      </c>
      <c r="B2390" s="3" t="s">
        <v>5020</v>
      </c>
      <c r="C2390" s="3" t="b">
        <v>0</v>
      </c>
      <c r="D2390" s="3" t="b">
        <v>1</v>
      </c>
      <c r="E2390" s="3" t="s">
        <v>4656</v>
      </c>
      <c r="F2390" s="3" t="s">
        <v>1125</v>
      </c>
      <c r="G2390" s="4">
        <f>+251972251152</f>
        <v>251972251152</v>
      </c>
      <c r="H2390" s="3" t="s">
        <v>18</v>
      </c>
      <c r="I2390" s="3" t="s">
        <v>19</v>
      </c>
      <c r="J2390" s="3" t="s">
        <v>19</v>
      </c>
      <c r="K2390" s="3" t="s">
        <v>20</v>
      </c>
      <c r="L2390" s="3">
        <v>25.02</v>
      </c>
      <c r="M2390" s="3" t="s">
        <v>1695</v>
      </c>
      <c r="N2390" s="3" t="s">
        <v>1696</v>
      </c>
      <c r="O2390" s="3">
        <v>1.94026156259E11</v>
      </c>
    </row>
    <row r="2391">
      <c r="A2391" s="3">
        <v>2617405.0</v>
      </c>
      <c r="B2391" s="3" t="s">
        <v>5021</v>
      </c>
      <c r="C2391" s="3" t="b">
        <v>0</v>
      </c>
      <c r="D2391" s="3" t="b">
        <v>1</v>
      </c>
      <c r="E2391" s="3" t="s">
        <v>89</v>
      </c>
      <c r="F2391" s="3" t="s">
        <v>666</v>
      </c>
      <c r="G2391" s="4">
        <f>+251921420338</f>
        <v>251921420338</v>
      </c>
      <c r="H2391" s="3" t="s">
        <v>18</v>
      </c>
      <c r="I2391" s="3" t="s">
        <v>19</v>
      </c>
      <c r="J2391" s="3" t="s">
        <v>19</v>
      </c>
      <c r="K2391" s="3" t="s">
        <v>25</v>
      </c>
      <c r="L2391" s="3">
        <v>25.45</v>
      </c>
      <c r="M2391" s="3" t="s">
        <v>1695</v>
      </c>
      <c r="N2391" s="3" t="s">
        <v>1696</v>
      </c>
      <c r="O2391" s="3">
        <v>1.94025085127E11</v>
      </c>
    </row>
    <row r="2392">
      <c r="A2392" s="3">
        <v>2617404.0</v>
      </c>
      <c r="B2392" s="3" t="s">
        <v>5022</v>
      </c>
      <c r="C2392" s="3" t="b">
        <v>0</v>
      </c>
      <c r="D2392" s="3" t="b">
        <v>1</v>
      </c>
      <c r="E2392" s="3" t="s">
        <v>120</v>
      </c>
      <c r="F2392" s="3" t="s">
        <v>3478</v>
      </c>
      <c r="G2392" s="4">
        <f>+251919510899</f>
        <v>251919510899</v>
      </c>
      <c r="H2392" s="3" t="s">
        <v>18</v>
      </c>
      <c r="I2392" s="3" t="s">
        <v>19</v>
      </c>
      <c r="J2392" s="3" t="s">
        <v>19</v>
      </c>
      <c r="K2392" s="3" t="s">
        <v>25</v>
      </c>
      <c r="L2392" s="3">
        <v>23.02</v>
      </c>
      <c r="M2392" s="3" t="s">
        <v>1695</v>
      </c>
      <c r="N2392" s="3" t="s">
        <v>1696</v>
      </c>
      <c r="O2392" s="3">
        <v>1.94027721923E11</v>
      </c>
    </row>
    <row r="2393">
      <c r="A2393" s="3">
        <v>2617408.0</v>
      </c>
      <c r="B2393" s="3" t="s">
        <v>5023</v>
      </c>
      <c r="C2393" s="3" t="b">
        <v>0</v>
      </c>
      <c r="D2393" s="3" t="b">
        <v>1</v>
      </c>
      <c r="E2393" s="3" t="s">
        <v>204</v>
      </c>
      <c r="F2393" s="3" t="s">
        <v>1856</v>
      </c>
      <c r="G2393" s="4">
        <f>+251935904435</f>
        <v>251935904435</v>
      </c>
      <c r="H2393" s="3" t="s">
        <v>18</v>
      </c>
      <c r="I2393" s="3" t="s">
        <v>19</v>
      </c>
      <c r="J2393" s="3" t="s">
        <v>19</v>
      </c>
      <c r="K2393" s="3" t="s">
        <v>25</v>
      </c>
      <c r="L2393" s="3">
        <v>22.04</v>
      </c>
      <c r="M2393" s="3" t="s">
        <v>1695</v>
      </c>
      <c r="N2393" s="3" t="s">
        <v>1696</v>
      </c>
      <c r="O2393" s="3">
        <v>1.93834629314E11</v>
      </c>
    </row>
    <row r="2394">
      <c r="A2394" s="3">
        <v>2617415.0</v>
      </c>
      <c r="B2394" s="3" t="s">
        <v>5024</v>
      </c>
      <c r="C2394" s="3" t="b">
        <v>0</v>
      </c>
      <c r="D2394" s="3" t="b">
        <v>1</v>
      </c>
      <c r="E2394" s="3" t="s">
        <v>280</v>
      </c>
      <c r="F2394" s="3" t="s">
        <v>795</v>
      </c>
      <c r="G2394" s="4">
        <f>+251996811295</f>
        <v>251996811295</v>
      </c>
      <c r="H2394" s="3" t="s">
        <v>18</v>
      </c>
      <c r="I2394" s="3" t="s">
        <v>19</v>
      </c>
      <c r="J2394" s="3" t="s">
        <v>19</v>
      </c>
      <c r="K2394" s="3" t="s">
        <v>25</v>
      </c>
      <c r="L2394" s="3">
        <v>23.85</v>
      </c>
      <c r="M2394" s="3" t="s">
        <v>1695</v>
      </c>
      <c r="N2394" s="3" t="s">
        <v>1696</v>
      </c>
      <c r="O2394" s="3">
        <v>6734923.0</v>
      </c>
    </row>
    <row r="2395">
      <c r="A2395" s="3">
        <v>2617416.0</v>
      </c>
      <c r="B2395" s="3" t="s">
        <v>5025</v>
      </c>
      <c r="C2395" s="3" t="b">
        <v>0</v>
      </c>
      <c r="D2395" s="3" t="b">
        <v>1</v>
      </c>
      <c r="E2395" s="3" t="s">
        <v>2077</v>
      </c>
      <c r="F2395" s="3" t="s">
        <v>1736</v>
      </c>
      <c r="G2395" s="4">
        <f>+251987105674</f>
        <v>251987105674</v>
      </c>
      <c r="H2395" s="3" t="s">
        <v>18</v>
      </c>
      <c r="I2395" s="3" t="s">
        <v>19</v>
      </c>
      <c r="J2395" s="3" t="s">
        <v>19</v>
      </c>
      <c r="K2395" s="3" t="s">
        <v>20</v>
      </c>
      <c r="L2395" s="3">
        <v>25.26</v>
      </c>
      <c r="M2395" s="3" t="s">
        <v>1695</v>
      </c>
      <c r="N2395" s="3" t="s">
        <v>1696</v>
      </c>
      <c r="O2395" s="3">
        <v>1.93834696895E11</v>
      </c>
    </row>
    <row r="2396">
      <c r="A2396" s="3">
        <v>2617419.0</v>
      </c>
      <c r="B2396" s="3" t="s">
        <v>5026</v>
      </c>
      <c r="C2396" s="3" t="b">
        <v>0</v>
      </c>
      <c r="D2396" s="3" t="b">
        <v>1</v>
      </c>
      <c r="E2396" s="3" t="s">
        <v>5027</v>
      </c>
      <c r="F2396" s="3" t="s">
        <v>3009</v>
      </c>
      <c r="G2396" s="4">
        <f>+251925793322</f>
        <v>251925793322</v>
      </c>
      <c r="H2396" s="3" t="s">
        <v>18</v>
      </c>
      <c r="I2396" s="3" t="s">
        <v>19</v>
      </c>
      <c r="J2396" s="3" t="s">
        <v>19</v>
      </c>
      <c r="K2396" s="3" t="s">
        <v>25</v>
      </c>
      <c r="L2396" s="3">
        <v>24.85</v>
      </c>
      <c r="M2396" s="3" t="s">
        <v>1695</v>
      </c>
      <c r="N2396" s="3" t="s">
        <v>1696</v>
      </c>
      <c r="O2396" s="3">
        <v>1.94027843816E11</v>
      </c>
    </row>
    <row r="2397">
      <c r="A2397" s="3">
        <v>2617425.0</v>
      </c>
      <c r="B2397" s="3" t="s">
        <v>5028</v>
      </c>
      <c r="C2397" s="3" t="b">
        <v>1</v>
      </c>
      <c r="D2397" s="3" t="b">
        <v>1</v>
      </c>
      <c r="E2397" s="3" t="s">
        <v>5029</v>
      </c>
      <c r="F2397" s="3" t="s">
        <v>838</v>
      </c>
      <c r="G2397" s="4">
        <f>+251979674916</f>
        <v>251979674916</v>
      </c>
      <c r="H2397" s="3" t="s">
        <v>18</v>
      </c>
      <c r="I2397" s="3" t="s">
        <v>19</v>
      </c>
      <c r="J2397" s="3" t="s">
        <v>19</v>
      </c>
      <c r="K2397" s="3" t="s">
        <v>20</v>
      </c>
      <c r="L2397" s="3">
        <v>24.21</v>
      </c>
      <c r="M2397" s="3" t="s">
        <v>1695</v>
      </c>
      <c r="N2397" s="3" t="s">
        <v>1696</v>
      </c>
      <c r="O2397" s="3">
        <v>1.93834822847E11</v>
      </c>
    </row>
    <row r="2398">
      <c r="A2398" s="3">
        <v>2617429.0</v>
      </c>
      <c r="B2398" s="3" t="s">
        <v>5030</v>
      </c>
      <c r="C2398" s="3" t="b">
        <v>0</v>
      </c>
      <c r="D2398" s="3" t="b">
        <v>1</v>
      </c>
      <c r="E2398" s="3" t="s">
        <v>5031</v>
      </c>
      <c r="F2398" s="3" t="s">
        <v>1000</v>
      </c>
      <c r="G2398" s="4">
        <f>+251905079800</f>
        <v>251905079800</v>
      </c>
      <c r="H2398" s="3" t="s">
        <v>18</v>
      </c>
      <c r="I2398" s="3" t="s">
        <v>19</v>
      </c>
      <c r="J2398" s="3" t="s">
        <v>19</v>
      </c>
      <c r="K2398" s="3" t="s">
        <v>25</v>
      </c>
      <c r="L2398" s="3">
        <v>25.51</v>
      </c>
      <c r="M2398" s="3" t="s">
        <v>1695</v>
      </c>
      <c r="N2398" s="3" t="s">
        <v>1696</v>
      </c>
      <c r="O2398" s="3">
        <v>1.940351521E11</v>
      </c>
    </row>
    <row r="2399">
      <c r="A2399" s="3">
        <v>2617434.0</v>
      </c>
      <c r="B2399" s="3" t="s">
        <v>5032</v>
      </c>
      <c r="C2399" s="3" t="b">
        <v>0</v>
      </c>
      <c r="D2399" s="3" t="b">
        <v>1</v>
      </c>
      <c r="E2399" s="3" t="s">
        <v>292</v>
      </c>
      <c r="F2399" s="3" t="s">
        <v>4645</v>
      </c>
      <c r="G2399" s="4">
        <f>+251948163337</f>
        <v>251948163337</v>
      </c>
      <c r="H2399" s="3" t="s">
        <v>18</v>
      </c>
      <c r="I2399" s="3" t="s">
        <v>19</v>
      </c>
      <c r="J2399" s="3" t="s">
        <v>19</v>
      </c>
      <c r="K2399" s="3" t="s">
        <v>25</v>
      </c>
      <c r="L2399" s="3">
        <v>27.43</v>
      </c>
      <c r="M2399" s="3" t="s">
        <v>1695</v>
      </c>
      <c r="N2399" s="3" t="s">
        <v>1696</v>
      </c>
      <c r="O2399" s="3">
        <v>1.93833901294E11</v>
      </c>
    </row>
    <row r="2400">
      <c r="A2400" s="3">
        <v>2617447.0</v>
      </c>
      <c r="B2400" s="3" t="s">
        <v>5033</v>
      </c>
      <c r="C2400" s="3" t="b">
        <v>0</v>
      </c>
      <c r="D2400" s="3" t="b">
        <v>1</v>
      </c>
      <c r="E2400" s="3" t="s">
        <v>5034</v>
      </c>
      <c r="F2400" s="3" t="s">
        <v>5035</v>
      </c>
      <c r="G2400" s="4">
        <f>+251919583425</f>
        <v>251919583425</v>
      </c>
      <c r="H2400" s="3" t="s">
        <v>18</v>
      </c>
      <c r="I2400" s="3" t="s">
        <v>19</v>
      </c>
      <c r="J2400" s="3" t="s">
        <v>19</v>
      </c>
      <c r="K2400" s="3" t="s">
        <v>25</v>
      </c>
      <c r="L2400" s="3">
        <v>30.44</v>
      </c>
      <c r="M2400" s="3" t="s">
        <v>1695</v>
      </c>
      <c r="N2400" s="3" t="s">
        <v>1696</v>
      </c>
      <c r="O2400" s="3">
        <v>1.93833131256E11</v>
      </c>
    </row>
    <row r="2401">
      <c r="A2401" s="3">
        <v>2617453.0</v>
      </c>
      <c r="B2401" s="3" t="s">
        <v>5036</v>
      </c>
      <c r="C2401" s="3" t="b">
        <v>0</v>
      </c>
      <c r="D2401" s="3" t="b">
        <v>1</v>
      </c>
      <c r="E2401" s="3" t="s">
        <v>273</v>
      </c>
      <c r="F2401" s="3" t="s">
        <v>1269</v>
      </c>
      <c r="G2401" s="4">
        <f>+251967277388</f>
        <v>251967277388</v>
      </c>
      <c r="H2401" s="3" t="s">
        <v>18</v>
      </c>
      <c r="I2401" s="3" t="s">
        <v>19</v>
      </c>
      <c r="J2401" s="3" t="s">
        <v>19</v>
      </c>
      <c r="K2401" s="3" t="s">
        <v>25</v>
      </c>
      <c r="L2401" s="3">
        <v>23.35</v>
      </c>
      <c r="M2401" s="3" t="s">
        <v>1695</v>
      </c>
      <c r="N2401" s="3" t="s">
        <v>1696</v>
      </c>
      <c r="O2401" s="3">
        <v>820564.0</v>
      </c>
    </row>
    <row r="2402">
      <c r="A2402" s="3">
        <v>2617457.0</v>
      </c>
      <c r="B2402" s="3" t="s">
        <v>5037</v>
      </c>
      <c r="C2402" s="3" t="b">
        <v>0</v>
      </c>
      <c r="D2402" s="3" t="b">
        <v>1</v>
      </c>
      <c r="E2402" s="3" t="s">
        <v>1598</v>
      </c>
      <c r="F2402" s="3" t="s">
        <v>5038</v>
      </c>
      <c r="G2402" s="4">
        <f>+251967166869</f>
        <v>251967166869</v>
      </c>
      <c r="H2402" s="3" t="s">
        <v>18</v>
      </c>
      <c r="I2402" s="3" t="s">
        <v>19</v>
      </c>
      <c r="J2402" s="3" t="s">
        <v>19</v>
      </c>
      <c r="K2402" s="3" t="s">
        <v>25</v>
      </c>
      <c r="L2402" s="3">
        <v>28.44</v>
      </c>
      <c r="M2402" s="3" t="s">
        <v>1695</v>
      </c>
      <c r="N2402" s="3" t="s">
        <v>1696</v>
      </c>
      <c r="O2402" s="3">
        <v>1.93841068228E11</v>
      </c>
    </row>
    <row r="2403">
      <c r="A2403" s="3">
        <v>2617462.0</v>
      </c>
      <c r="B2403" s="3" t="s">
        <v>5039</v>
      </c>
      <c r="C2403" s="3" t="b">
        <v>0</v>
      </c>
      <c r="D2403" s="3" t="b">
        <v>1</v>
      </c>
      <c r="E2403" s="3" t="s">
        <v>5040</v>
      </c>
      <c r="F2403" s="3" t="s">
        <v>2084</v>
      </c>
      <c r="G2403" s="4">
        <f>+251927874272</f>
        <v>251927874272</v>
      </c>
      <c r="H2403" s="3" t="s">
        <v>18</v>
      </c>
      <c r="I2403" s="3" t="s">
        <v>19</v>
      </c>
      <c r="J2403" s="3" t="s">
        <v>19</v>
      </c>
      <c r="K2403" s="3" t="s">
        <v>20</v>
      </c>
      <c r="L2403" s="3">
        <v>29.62</v>
      </c>
      <c r="M2403" s="3" t="s">
        <v>1695</v>
      </c>
      <c r="N2403" s="3" t="s">
        <v>1696</v>
      </c>
      <c r="O2403" s="3">
        <v>1.93841620175E11</v>
      </c>
    </row>
    <row r="2404">
      <c r="A2404" s="3">
        <v>2617470.0</v>
      </c>
      <c r="B2404" s="3" t="s">
        <v>5041</v>
      </c>
      <c r="C2404" s="3" t="b">
        <v>0</v>
      </c>
      <c r="D2404" s="3" t="b">
        <v>1</v>
      </c>
      <c r="E2404" s="3" t="s">
        <v>518</v>
      </c>
      <c r="F2404" s="3" t="s">
        <v>5042</v>
      </c>
      <c r="G2404" s="4">
        <f>+251946649389</f>
        <v>251946649389</v>
      </c>
      <c r="H2404" s="3" t="s">
        <v>18</v>
      </c>
      <c r="I2404" s="3" t="s">
        <v>19</v>
      </c>
      <c r="J2404" s="3" t="s">
        <v>19</v>
      </c>
      <c r="K2404" s="3" t="s">
        <v>25</v>
      </c>
      <c r="L2404" s="3">
        <v>25.37</v>
      </c>
      <c r="M2404" s="3" t="s">
        <v>1695</v>
      </c>
      <c r="N2404" s="3" t="s">
        <v>1696</v>
      </c>
      <c r="O2404" s="3">
        <v>1.94022946022E11</v>
      </c>
    </row>
    <row r="2405">
      <c r="A2405" s="3">
        <v>2617478.0</v>
      </c>
      <c r="B2405" s="3" t="s">
        <v>5043</v>
      </c>
      <c r="C2405" s="3" t="b">
        <v>0</v>
      </c>
      <c r="D2405" s="3" t="b">
        <v>1</v>
      </c>
      <c r="E2405" s="3" t="s">
        <v>5044</v>
      </c>
      <c r="F2405" s="3" t="s">
        <v>4626</v>
      </c>
      <c r="G2405" s="4">
        <f>+251900068555</f>
        <v>251900068555</v>
      </c>
      <c r="H2405" s="3" t="s">
        <v>18</v>
      </c>
      <c r="I2405" s="3" t="s">
        <v>19</v>
      </c>
      <c r="J2405" s="3" t="s">
        <v>19</v>
      </c>
      <c r="K2405" s="3" t="s">
        <v>20</v>
      </c>
      <c r="L2405" s="3">
        <v>25.02</v>
      </c>
      <c r="M2405" s="3" t="s">
        <v>1695</v>
      </c>
      <c r="N2405" s="3" t="s">
        <v>1696</v>
      </c>
      <c r="O2405" s="3">
        <v>1.94023075019E11</v>
      </c>
    </row>
    <row r="2406">
      <c r="A2406" s="3">
        <v>2617484.0</v>
      </c>
      <c r="B2406" s="3" t="s">
        <v>5045</v>
      </c>
      <c r="C2406" s="3" t="b">
        <v>0</v>
      </c>
      <c r="D2406" s="3" t="b">
        <v>1</v>
      </c>
      <c r="E2406" s="3" t="s">
        <v>5046</v>
      </c>
      <c r="F2406" s="3" t="s">
        <v>5047</v>
      </c>
      <c r="G2406" s="4">
        <f>+251909277078</f>
        <v>251909277078</v>
      </c>
      <c r="H2406" s="3" t="s">
        <v>18</v>
      </c>
      <c r="I2406" s="3" t="s">
        <v>19</v>
      </c>
      <c r="J2406" s="3" t="s">
        <v>19</v>
      </c>
      <c r="K2406" s="3" t="s">
        <v>25</v>
      </c>
      <c r="L2406" s="3">
        <v>20.02</v>
      </c>
      <c r="M2406" s="3" t="s">
        <v>1695</v>
      </c>
      <c r="N2406" s="3" t="s">
        <v>1696</v>
      </c>
      <c r="O2406" s="3">
        <v>1.93841932534E11</v>
      </c>
    </row>
    <row r="2407">
      <c r="A2407" s="3">
        <v>2617486.0</v>
      </c>
      <c r="B2407" s="3" t="s">
        <v>5048</v>
      </c>
      <c r="C2407" s="3" t="b">
        <v>0</v>
      </c>
      <c r="D2407" s="3" t="b">
        <v>1</v>
      </c>
      <c r="E2407" s="3" t="s">
        <v>1208</v>
      </c>
      <c r="F2407" s="3" t="s">
        <v>2817</v>
      </c>
      <c r="G2407" s="4">
        <f>+251921877572</f>
        <v>251921877572</v>
      </c>
      <c r="H2407" s="3" t="s">
        <v>18</v>
      </c>
      <c r="I2407" s="3" t="s">
        <v>19</v>
      </c>
      <c r="J2407" s="3" t="s">
        <v>19</v>
      </c>
      <c r="K2407" s="3" t="s">
        <v>20</v>
      </c>
      <c r="L2407" s="3">
        <v>25.02</v>
      </c>
      <c r="M2407" s="3" t="s">
        <v>1695</v>
      </c>
      <c r="N2407" s="3" t="s">
        <v>1696</v>
      </c>
      <c r="O2407" s="3">
        <v>1.94026334402E11</v>
      </c>
    </row>
    <row r="2408">
      <c r="A2408" s="3">
        <v>2617489.0</v>
      </c>
      <c r="B2408" s="3" t="s">
        <v>5049</v>
      </c>
      <c r="C2408" s="3" t="b">
        <v>0</v>
      </c>
      <c r="D2408" s="3" t="b">
        <v>1</v>
      </c>
      <c r="E2408" s="3" t="s">
        <v>66</v>
      </c>
      <c r="F2408" s="3" t="s">
        <v>1803</v>
      </c>
      <c r="G2408" s="4">
        <f>+251991150971</f>
        <v>251991150971</v>
      </c>
      <c r="H2408" s="3" t="s">
        <v>18</v>
      </c>
      <c r="I2408" s="3" t="s">
        <v>19</v>
      </c>
      <c r="J2408" s="3" t="s">
        <v>19</v>
      </c>
      <c r="K2408" s="3" t="s">
        <v>25</v>
      </c>
      <c r="L2408" s="3">
        <v>14.02</v>
      </c>
      <c r="M2408" s="3" t="s">
        <v>1695</v>
      </c>
      <c r="N2408" s="3" t="s">
        <v>1696</v>
      </c>
      <c r="O2408" s="3">
        <v>1.93842041068E11</v>
      </c>
    </row>
    <row r="2409">
      <c r="A2409" s="3">
        <v>2617491.0</v>
      </c>
      <c r="B2409" s="3" t="s">
        <v>5050</v>
      </c>
      <c r="C2409" s="3" t="b">
        <v>0</v>
      </c>
      <c r="D2409" s="3" t="b">
        <v>1</v>
      </c>
      <c r="E2409" s="3" t="s">
        <v>131</v>
      </c>
      <c r="F2409" s="3" t="s">
        <v>649</v>
      </c>
      <c r="G2409" s="4">
        <f>+251927788117</f>
        <v>251927788117</v>
      </c>
      <c r="H2409" s="3" t="s">
        <v>18</v>
      </c>
      <c r="I2409" s="3" t="s">
        <v>19</v>
      </c>
      <c r="J2409" s="3" t="s">
        <v>19</v>
      </c>
      <c r="K2409" s="3" t="s">
        <v>20</v>
      </c>
      <c r="L2409" s="3">
        <v>24.02</v>
      </c>
      <c r="M2409" s="3" t="s">
        <v>1695</v>
      </c>
      <c r="N2409" s="3" t="s">
        <v>1696</v>
      </c>
      <c r="O2409" s="3">
        <v>1.94029691129E11</v>
      </c>
    </row>
    <row r="2410">
      <c r="A2410" s="3">
        <v>2617503.0</v>
      </c>
      <c r="B2410" s="3" t="s">
        <v>5051</v>
      </c>
      <c r="C2410" s="3" t="b">
        <v>0</v>
      </c>
      <c r="D2410" s="3" t="b">
        <v>1</v>
      </c>
      <c r="E2410" s="3" t="s">
        <v>5052</v>
      </c>
      <c r="F2410" s="3" t="s">
        <v>5053</v>
      </c>
      <c r="G2410" s="4">
        <f>+251923253029</f>
        <v>251923253029</v>
      </c>
      <c r="H2410" s="3" t="s">
        <v>18</v>
      </c>
      <c r="I2410" s="3" t="s">
        <v>19</v>
      </c>
      <c r="J2410" s="3" t="s">
        <v>19</v>
      </c>
      <c r="K2410" s="3" t="s">
        <v>25</v>
      </c>
      <c r="L2410" s="3">
        <v>25.02</v>
      </c>
      <c r="M2410" s="3" t="s">
        <v>1695</v>
      </c>
      <c r="N2410" s="3" t="s">
        <v>1696</v>
      </c>
      <c r="O2410" s="3">
        <v>1.94029823224E11</v>
      </c>
    </row>
    <row r="2411">
      <c r="A2411" s="3">
        <v>2617504.0</v>
      </c>
      <c r="B2411" s="3" t="s">
        <v>5054</v>
      </c>
      <c r="C2411" s="3" t="b">
        <v>0</v>
      </c>
      <c r="D2411" s="3" t="b">
        <v>1</v>
      </c>
      <c r="E2411" s="3" t="s">
        <v>504</v>
      </c>
      <c r="F2411" s="3" t="s">
        <v>5055</v>
      </c>
      <c r="G2411" s="4">
        <f>+251943685221</f>
        <v>251943685221</v>
      </c>
      <c r="H2411" s="3" t="s">
        <v>18</v>
      </c>
      <c r="I2411" s="3" t="s">
        <v>19</v>
      </c>
      <c r="J2411" s="3" t="s">
        <v>19</v>
      </c>
      <c r="K2411" s="3" t="s">
        <v>25</v>
      </c>
      <c r="L2411" s="3">
        <v>25.02</v>
      </c>
      <c r="M2411" s="3" t="s">
        <v>1695</v>
      </c>
      <c r="N2411" s="3" t="s">
        <v>1696</v>
      </c>
      <c r="O2411" s="3">
        <v>1.94059323582E11</v>
      </c>
    </row>
    <row r="2412">
      <c r="A2412" s="3">
        <v>2617512.0</v>
      </c>
      <c r="B2412" s="3" t="s">
        <v>5056</v>
      </c>
      <c r="C2412" s="3" t="b">
        <v>1</v>
      </c>
      <c r="D2412" s="3" t="b">
        <v>1</v>
      </c>
      <c r="E2412" s="3" t="s">
        <v>188</v>
      </c>
      <c r="F2412" s="3" t="s">
        <v>4239</v>
      </c>
      <c r="G2412" s="4">
        <f>+251929042056</f>
        <v>251929042056</v>
      </c>
      <c r="H2412" s="3" t="s">
        <v>18</v>
      </c>
      <c r="I2412" s="3" t="s">
        <v>19</v>
      </c>
      <c r="J2412" s="3" t="s">
        <v>19</v>
      </c>
      <c r="K2412" s="3" t="s">
        <v>25</v>
      </c>
      <c r="L2412" s="3">
        <v>25.02</v>
      </c>
      <c r="M2412" s="3" t="s">
        <v>1695</v>
      </c>
      <c r="N2412" s="3" t="s">
        <v>1696</v>
      </c>
      <c r="O2412" s="3">
        <v>1.94042178796E11</v>
      </c>
    </row>
    <row r="2413">
      <c r="A2413" s="3">
        <v>2617518.0</v>
      </c>
      <c r="B2413" s="3" t="s">
        <v>5057</v>
      </c>
      <c r="C2413" s="3" t="b">
        <v>0</v>
      </c>
      <c r="D2413" s="3" t="b">
        <v>1</v>
      </c>
      <c r="E2413" s="3" t="s">
        <v>504</v>
      </c>
      <c r="F2413" s="3" t="s">
        <v>404</v>
      </c>
      <c r="G2413" s="4">
        <f>+251911234880</f>
        <v>251911234880</v>
      </c>
      <c r="H2413" s="3" t="s">
        <v>18</v>
      </c>
      <c r="I2413" s="3" t="s">
        <v>19</v>
      </c>
      <c r="J2413" s="3" t="s">
        <v>19</v>
      </c>
      <c r="K2413" s="3" t="s">
        <v>25</v>
      </c>
      <c r="L2413" s="3">
        <v>23.02</v>
      </c>
      <c r="M2413" s="3" t="s">
        <v>1695</v>
      </c>
      <c r="N2413" s="3" t="s">
        <v>1696</v>
      </c>
      <c r="O2413" s="3">
        <v>1.94053840083E11</v>
      </c>
    </row>
    <row r="2414">
      <c r="A2414" s="3">
        <v>2617526.0</v>
      </c>
      <c r="B2414" s="3" t="s">
        <v>5058</v>
      </c>
      <c r="C2414" s="3" t="b">
        <v>0</v>
      </c>
      <c r="D2414" s="3" t="b">
        <v>1</v>
      </c>
      <c r="E2414" s="3" t="s">
        <v>409</v>
      </c>
      <c r="F2414" s="3" t="s">
        <v>4703</v>
      </c>
      <c r="G2414" s="4">
        <f>+251954999989</f>
        <v>251954999989</v>
      </c>
      <c r="H2414" s="3" t="s">
        <v>18</v>
      </c>
      <c r="I2414" s="3" t="s">
        <v>19</v>
      </c>
      <c r="J2414" s="3" t="s">
        <v>19</v>
      </c>
      <c r="K2414" s="3" t="s">
        <v>25</v>
      </c>
      <c r="L2414" s="3">
        <v>25.02</v>
      </c>
      <c r="M2414" s="3" t="s">
        <v>1695</v>
      </c>
      <c r="N2414" s="3" t="s">
        <v>1696</v>
      </c>
      <c r="O2414" s="3">
        <v>1.94062700775E11</v>
      </c>
    </row>
    <row r="2415">
      <c r="A2415" s="3">
        <v>2617535.0</v>
      </c>
      <c r="B2415" s="3" t="s">
        <v>5059</v>
      </c>
      <c r="C2415" s="3" t="b">
        <v>0</v>
      </c>
      <c r="D2415" s="3" t="b">
        <v>1</v>
      </c>
      <c r="E2415" s="3" t="s">
        <v>220</v>
      </c>
      <c r="F2415" s="3" t="s">
        <v>4114</v>
      </c>
      <c r="G2415" s="4">
        <f>+251904271786</f>
        <v>251904271786</v>
      </c>
      <c r="H2415" s="3" t="s">
        <v>18</v>
      </c>
      <c r="I2415" s="3" t="s">
        <v>19</v>
      </c>
      <c r="J2415" s="3" t="s">
        <v>19</v>
      </c>
      <c r="K2415" s="3" t="s">
        <v>20</v>
      </c>
      <c r="L2415" s="3">
        <v>25.02</v>
      </c>
      <c r="M2415" s="3" t="s">
        <v>1695</v>
      </c>
      <c r="N2415" s="3" t="s">
        <v>1696</v>
      </c>
      <c r="O2415" s="3">
        <v>1.93851042007E11</v>
      </c>
    </row>
    <row r="2416">
      <c r="A2416" s="3">
        <v>2617546.0</v>
      </c>
      <c r="B2416" s="3" t="s">
        <v>5060</v>
      </c>
      <c r="C2416" s="3" t="b">
        <v>0</v>
      </c>
      <c r="D2416" s="3" t="b">
        <v>1</v>
      </c>
      <c r="E2416" s="3" t="s">
        <v>5061</v>
      </c>
      <c r="F2416" s="3" t="s">
        <v>409</v>
      </c>
      <c r="G2416" s="4">
        <f>+251938590901</f>
        <v>251938590901</v>
      </c>
      <c r="H2416" s="3" t="s">
        <v>18</v>
      </c>
      <c r="I2416" s="3" t="s">
        <v>19</v>
      </c>
      <c r="J2416" s="3" t="s">
        <v>19</v>
      </c>
      <c r="K2416" s="3" t="s">
        <v>20</v>
      </c>
      <c r="L2416" s="3">
        <v>25.02</v>
      </c>
      <c r="M2416" s="3" t="s">
        <v>1695</v>
      </c>
      <c r="N2416" s="3" t="s">
        <v>1696</v>
      </c>
      <c r="O2416" s="3">
        <v>1.93854911737E11</v>
      </c>
    </row>
    <row r="2417">
      <c r="A2417" s="3">
        <v>2617552.0</v>
      </c>
      <c r="B2417" s="3" t="s">
        <v>5062</v>
      </c>
      <c r="C2417" s="3" t="b">
        <v>0</v>
      </c>
      <c r="D2417" s="3" t="b">
        <v>1</v>
      </c>
      <c r="E2417" s="3" t="s">
        <v>414</v>
      </c>
      <c r="F2417" s="3" t="s">
        <v>2724</v>
      </c>
      <c r="G2417" s="4">
        <f>+251911966451</f>
        <v>251911966451</v>
      </c>
      <c r="H2417" s="3" t="s">
        <v>18</v>
      </c>
      <c r="I2417" s="3" t="s">
        <v>19</v>
      </c>
      <c r="J2417" s="3" t="s">
        <v>19</v>
      </c>
      <c r="K2417" s="3" t="s">
        <v>25</v>
      </c>
      <c r="L2417" s="3">
        <v>24.02</v>
      </c>
      <c r="M2417" s="3" t="s">
        <v>1695</v>
      </c>
      <c r="N2417" s="3" t="s">
        <v>1696</v>
      </c>
      <c r="O2417" s="3">
        <v>1.93858221278E11</v>
      </c>
    </row>
    <row r="2418">
      <c r="A2418" s="3">
        <v>2617559.0</v>
      </c>
      <c r="B2418" s="3" t="s">
        <v>5063</v>
      </c>
      <c r="C2418" s="3" t="b">
        <v>0</v>
      </c>
      <c r="D2418" s="3" t="b">
        <v>1</v>
      </c>
      <c r="E2418" s="3" t="s">
        <v>5064</v>
      </c>
      <c r="F2418" s="3" t="s">
        <v>446</v>
      </c>
      <c r="G2418" s="4">
        <f>+251911509830</f>
        <v>251911509830</v>
      </c>
      <c r="H2418" s="3" t="s">
        <v>18</v>
      </c>
      <c r="I2418" s="3" t="s">
        <v>19</v>
      </c>
      <c r="J2418" s="3" t="s">
        <v>19</v>
      </c>
      <c r="K2418" s="3" t="s">
        <v>25</v>
      </c>
      <c r="L2418" s="3">
        <v>25.02</v>
      </c>
      <c r="M2418" s="3" t="s">
        <v>1695</v>
      </c>
      <c r="N2418" s="3" t="s">
        <v>1696</v>
      </c>
      <c r="O2418" s="3">
        <v>1.9385514519E11</v>
      </c>
    </row>
    <row r="2419">
      <c r="A2419" s="3">
        <v>2617568.0</v>
      </c>
      <c r="B2419" s="3" t="s">
        <v>5065</v>
      </c>
      <c r="C2419" s="3" t="b">
        <v>0</v>
      </c>
      <c r="D2419" s="3" t="b">
        <v>1</v>
      </c>
      <c r="E2419" s="3" t="s">
        <v>5066</v>
      </c>
      <c r="F2419" s="3" t="s">
        <v>596</v>
      </c>
      <c r="G2419" s="4">
        <f>+251919588874</f>
        <v>251919588874</v>
      </c>
      <c r="H2419" s="3" t="s">
        <v>18</v>
      </c>
      <c r="I2419" s="3" t="s">
        <v>19</v>
      </c>
      <c r="J2419" s="3" t="s">
        <v>19</v>
      </c>
      <c r="K2419" s="3" t="s">
        <v>25</v>
      </c>
      <c r="L2419" s="3">
        <v>25.02</v>
      </c>
      <c r="M2419" s="3" t="s">
        <v>1695</v>
      </c>
      <c r="N2419" s="3" t="s">
        <v>1696</v>
      </c>
      <c r="O2419" s="3">
        <v>1.93857799369E11</v>
      </c>
    </row>
    <row r="2420">
      <c r="A2420" s="3">
        <v>2617584.0</v>
      </c>
      <c r="B2420" s="3" t="s">
        <v>5067</v>
      </c>
      <c r="C2420" s="3" t="b">
        <v>0</v>
      </c>
      <c r="D2420" s="3" t="b">
        <v>1</v>
      </c>
      <c r="E2420" s="3" t="s">
        <v>276</v>
      </c>
      <c r="F2420" s="3" t="s">
        <v>356</v>
      </c>
      <c r="G2420" s="4">
        <f>+251979838554</f>
        <v>251979838554</v>
      </c>
      <c r="H2420" s="3" t="s">
        <v>18</v>
      </c>
      <c r="I2420" s="3" t="s">
        <v>19</v>
      </c>
      <c r="J2420" s="3" t="s">
        <v>19</v>
      </c>
      <c r="K2420" s="3" t="s">
        <v>25</v>
      </c>
      <c r="L2420" s="3">
        <v>25.02</v>
      </c>
      <c r="M2420" s="3" t="s">
        <v>1695</v>
      </c>
      <c r="N2420" s="3" t="s">
        <v>1696</v>
      </c>
      <c r="O2420" s="3">
        <v>1.93863217377E11</v>
      </c>
    </row>
    <row r="2421">
      <c r="A2421" s="3">
        <v>2617551.0</v>
      </c>
      <c r="B2421" s="3" t="s">
        <v>5068</v>
      </c>
      <c r="C2421" s="3" t="b">
        <v>0</v>
      </c>
      <c r="D2421" s="3" t="b">
        <v>1</v>
      </c>
      <c r="E2421" s="3" t="s">
        <v>1054</v>
      </c>
      <c r="F2421" s="3" t="s">
        <v>5069</v>
      </c>
      <c r="G2421" s="4">
        <f>+10954656796</f>
        <v>10954656796</v>
      </c>
      <c r="H2421" s="3" t="s">
        <v>18</v>
      </c>
      <c r="I2421" s="3" t="s">
        <v>19</v>
      </c>
      <c r="J2421" s="3" t="s">
        <v>19</v>
      </c>
      <c r="K2421" s="3" t="s">
        <v>20</v>
      </c>
      <c r="L2421" s="3">
        <v>25.02</v>
      </c>
      <c r="M2421" s="3" t="s">
        <v>1695</v>
      </c>
      <c r="N2421" s="3" t="s">
        <v>1696</v>
      </c>
      <c r="O2421" s="3">
        <v>1.94062963961E11</v>
      </c>
    </row>
    <row r="2422">
      <c r="A2422" s="3">
        <v>2617589.0</v>
      </c>
      <c r="B2422" s="3" t="s">
        <v>5070</v>
      </c>
      <c r="C2422" s="3" t="b">
        <v>0</v>
      </c>
      <c r="D2422" s="3" t="b">
        <v>1</v>
      </c>
      <c r="E2422" s="3" t="s">
        <v>3428</v>
      </c>
      <c r="F2422" s="3" t="s">
        <v>5071</v>
      </c>
      <c r="G2422" s="4">
        <f>+251925500954</f>
        <v>251925500954</v>
      </c>
      <c r="H2422" s="3" t="s">
        <v>18</v>
      </c>
      <c r="I2422" s="3" t="s">
        <v>19</v>
      </c>
      <c r="J2422" s="3" t="s">
        <v>19</v>
      </c>
      <c r="K2422" s="3" t="s">
        <v>20</v>
      </c>
      <c r="L2422" s="3">
        <v>23.02</v>
      </c>
      <c r="M2422" s="3" t="s">
        <v>1695</v>
      </c>
      <c r="N2422" s="3" t="s">
        <v>1696</v>
      </c>
      <c r="O2422" s="3">
        <v>1.9386113558E11</v>
      </c>
    </row>
    <row r="2423">
      <c r="A2423" s="3">
        <v>2617600.0</v>
      </c>
      <c r="B2423" s="3" t="s">
        <v>5072</v>
      </c>
      <c r="C2423" s="3" t="b">
        <v>0</v>
      </c>
      <c r="D2423" s="3" t="b">
        <v>1</v>
      </c>
      <c r="E2423" s="3" t="s">
        <v>5073</v>
      </c>
      <c r="F2423" s="3" t="s">
        <v>5074</v>
      </c>
      <c r="G2423" s="4">
        <f>+251930958961</f>
        <v>251930958961</v>
      </c>
      <c r="H2423" s="3" t="s">
        <v>18</v>
      </c>
      <c r="I2423" s="3" t="s">
        <v>19</v>
      </c>
      <c r="J2423" s="3" t="s">
        <v>19</v>
      </c>
      <c r="K2423" s="3" t="s">
        <v>25</v>
      </c>
      <c r="L2423" s="3">
        <v>25.94</v>
      </c>
      <c r="M2423" s="3" t="s">
        <v>1695</v>
      </c>
      <c r="N2423" s="3" t="s">
        <v>1696</v>
      </c>
      <c r="O2423" s="3">
        <v>1.94055748829E11</v>
      </c>
    </row>
    <row r="2424">
      <c r="A2424" s="3">
        <v>2617617.0</v>
      </c>
      <c r="B2424" s="3" t="s">
        <v>5075</v>
      </c>
      <c r="C2424" s="3" t="b">
        <v>0</v>
      </c>
      <c r="D2424" s="3" t="b">
        <v>1</v>
      </c>
      <c r="E2424" s="3" t="s">
        <v>32</v>
      </c>
      <c r="F2424" s="3" t="s">
        <v>5076</v>
      </c>
      <c r="G2424" s="4">
        <f>+251969201896</f>
        <v>251969201896</v>
      </c>
      <c r="H2424" s="3" t="s">
        <v>18</v>
      </c>
      <c r="I2424" s="3" t="s">
        <v>19</v>
      </c>
      <c r="J2424" s="3" t="s">
        <v>19</v>
      </c>
      <c r="K2424" s="3" t="s">
        <v>25</v>
      </c>
      <c r="L2424" s="3">
        <v>23.89</v>
      </c>
      <c r="M2424" s="3" t="s">
        <v>1695</v>
      </c>
      <c r="N2424" s="3" t="s">
        <v>1696</v>
      </c>
      <c r="O2424" s="3">
        <v>1.94080011493E11</v>
      </c>
    </row>
    <row r="2425">
      <c r="A2425" s="3">
        <v>2617625.0</v>
      </c>
      <c r="B2425" s="3" t="s">
        <v>5077</v>
      </c>
      <c r="C2425" s="3" t="b">
        <v>1</v>
      </c>
      <c r="D2425" s="3" t="b">
        <v>1</v>
      </c>
      <c r="E2425" s="3" t="s">
        <v>261</v>
      </c>
      <c r="F2425" s="3" t="s">
        <v>5078</v>
      </c>
      <c r="G2425" s="4">
        <f>+251911799454</f>
        <v>251911799454</v>
      </c>
      <c r="H2425" s="3" t="s">
        <v>18</v>
      </c>
      <c r="I2425" s="3" t="s">
        <v>19</v>
      </c>
      <c r="J2425" s="3" t="s">
        <v>19</v>
      </c>
      <c r="K2425" s="3" t="s">
        <v>25</v>
      </c>
      <c r="L2425" s="3">
        <v>34.76</v>
      </c>
      <c r="M2425" s="3" t="s">
        <v>1695</v>
      </c>
      <c r="N2425" s="3" t="s">
        <v>1696</v>
      </c>
    </row>
    <row r="2426">
      <c r="A2426" s="3">
        <v>2617606.0</v>
      </c>
      <c r="B2426" s="3" t="s">
        <v>5079</v>
      </c>
      <c r="C2426" s="3" t="b">
        <v>0</v>
      </c>
      <c r="D2426" s="3" t="b">
        <v>1</v>
      </c>
      <c r="E2426" s="3" t="s">
        <v>430</v>
      </c>
      <c r="F2426" s="3" t="s">
        <v>916</v>
      </c>
      <c r="G2426" s="4">
        <f>+251934221568</f>
        <v>251934221568</v>
      </c>
      <c r="H2426" s="3" t="s">
        <v>18</v>
      </c>
      <c r="I2426" s="3" t="s">
        <v>19</v>
      </c>
      <c r="J2426" s="3" t="s">
        <v>19</v>
      </c>
      <c r="K2426" s="3" t="s">
        <v>20</v>
      </c>
      <c r="L2426" s="3">
        <v>24.02</v>
      </c>
      <c r="M2426" s="3" t="s">
        <v>1695</v>
      </c>
      <c r="N2426" s="3" t="s">
        <v>1696</v>
      </c>
      <c r="O2426" s="3">
        <v>1.9404249727E11</v>
      </c>
    </row>
    <row r="2427">
      <c r="A2427" s="3">
        <v>2617644.0</v>
      </c>
      <c r="B2427" s="3" t="s">
        <v>5080</v>
      </c>
      <c r="C2427" s="3" t="b">
        <v>1</v>
      </c>
      <c r="D2427" s="3" t="b">
        <v>1</v>
      </c>
      <c r="E2427" s="3" t="s">
        <v>484</v>
      </c>
      <c r="F2427" s="3" t="s">
        <v>783</v>
      </c>
      <c r="G2427" s="4">
        <f>+251956083471</f>
        <v>251956083471</v>
      </c>
      <c r="H2427" s="3" t="s">
        <v>18</v>
      </c>
      <c r="I2427" s="3" t="s">
        <v>19</v>
      </c>
      <c r="J2427" s="3" t="s">
        <v>19</v>
      </c>
      <c r="K2427" s="3" t="s">
        <v>20</v>
      </c>
      <c r="L2427" s="3">
        <v>19.23</v>
      </c>
      <c r="M2427" s="3" t="s">
        <v>1695</v>
      </c>
      <c r="N2427" s="3" t="s">
        <v>1696</v>
      </c>
      <c r="O2427" s="3">
        <v>1.93872808166E11</v>
      </c>
    </row>
    <row r="2428">
      <c r="A2428" s="3">
        <v>2617661.0</v>
      </c>
      <c r="B2428" s="3" t="s">
        <v>5081</v>
      </c>
      <c r="C2428" s="3" t="b">
        <v>0</v>
      </c>
      <c r="D2428" s="3" t="b">
        <v>1</v>
      </c>
      <c r="E2428" s="3" t="s">
        <v>196</v>
      </c>
      <c r="F2428" s="3" t="s">
        <v>3762</v>
      </c>
      <c r="G2428" s="4">
        <f>+251916588052</f>
        <v>251916588052</v>
      </c>
      <c r="H2428" s="3" t="s">
        <v>18</v>
      </c>
      <c r="I2428" s="3" t="s">
        <v>19</v>
      </c>
      <c r="J2428" s="3" t="s">
        <v>19</v>
      </c>
      <c r="K2428" s="3" t="s">
        <v>25</v>
      </c>
      <c r="L2428" s="3">
        <v>29.02</v>
      </c>
      <c r="M2428" s="3" t="s">
        <v>1695</v>
      </c>
      <c r="N2428" s="3" t="s">
        <v>1696</v>
      </c>
      <c r="O2428" s="3">
        <v>1.9408606744E11</v>
      </c>
    </row>
    <row r="2429">
      <c r="A2429" s="3">
        <v>88599.0</v>
      </c>
      <c r="B2429" s="3" t="s">
        <v>5082</v>
      </c>
      <c r="C2429" s="3" t="b">
        <v>1</v>
      </c>
      <c r="D2429" s="3" t="b">
        <v>1</v>
      </c>
      <c r="E2429" s="3" t="s">
        <v>773</v>
      </c>
      <c r="F2429" s="3" t="s">
        <v>221</v>
      </c>
      <c r="G2429" s="4">
        <f>+251966113162</f>
        <v>251966113162</v>
      </c>
      <c r="H2429" s="3" t="s">
        <v>18</v>
      </c>
      <c r="I2429" s="3" t="s">
        <v>19</v>
      </c>
      <c r="J2429" s="3" t="s">
        <v>19</v>
      </c>
      <c r="K2429" s="3" t="s">
        <v>20</v>
      </c>
      <c r="L2429" s="3">
        <v>23.43</v>
      </c>
      <c r="M2429" s="3" t="s">
        <v>1695</v>
      </c>
      <c r="N2429" s="3" t="s">
        <v>1696</v>
      </c>
      <c r="O2429" s="3">
        <v>28856.0</v>
      </c>
    </row>
    <row r="2430">
      <c r="A2430" s="3">
        <v>2617681.0</v>
      </c>
      <c r="B2430" s="3" t="s">
        <v>5083</v>
      </c>
      <c r="C2430" s="3" t="b">
        <v>0</v>
      </c>
      <c r="D2430" s="3" t="b">
        <v>1</v>
      </c>
      <c r="E2430" s="3" t="s">
        <v>5084</v>
      </c>
      <c r="F2430" s="3" t="s">
        <v>5085</v>
      </c>
      <c r="G2430" s="4">
        <f>+251904951511</f>
        <v>251904951511</v>
      </c>
      <c r="H2430" s="3" t="s">
        <v>18</v>
      </c>
      <c r="I2430" s="3" t="s">
        <v>19</v>
      </c>
      <c r="J2430" s="3" t="s">
        <v>19</v>
      </c>
      <c r="K2430" s="3" t="s">
        <v>25</v>
      </c>
      <c r="L2430" s="3">
        <v>23.97</v>
      </c>
      <c r="M2430" s="3" t="s">
        <v>1695</v>
      </c>
      <c r="N2430" s="3" t="s">
        <v>1696</v>
      </c>
      <c r="O2430" s="3">
        <v>1.94134477003E11</v>
      </c>
    </row>
    <row r="2431">
      <c r="A2431" s="3">
        <v>2617684.0</v>
      </c>
      <c r="B2431" s="3" t="s">
        <v>5086</v>
      </c>
      <c r="C2431" s="3" t="b">
        <v>0</v>
      </c>
      <c r="D2431" s="3" t="b">
        <v>1</v>
      </c>
      <c r="E2431" s="3" t="s">
        <v>5087</v>
      </c>
      <c r="F2431" s="3" t="s">
        <v>5088</v>
      </c>
      <c r="G2431" s="4">
        <f>+251914216992</f>
        <v>251914216992</v>
      </c>
      <c r="H2431" s="3" t="s">
        <v>18</v>
      </c>
      <c r="I2431" s="3" t="s">
        <v>19</v>
      </c>
      <c r="J2431" s="3" t="s">
        <v>19</v>
      </c>
      <c r="K2431" s="3" t="s">
        <v>25</v>
      </c>
      <c r="L2431" s="3">
        <v>24.96</v>
      </c>
      <c r="M2431" s="3" t="s">
        <v>1695</v>
      </c>
      <c r="N2431" s="3" t="s">
        <v>1696</v>
      </c>
      <c r="O2431" s="3">
        <v>1.9410016993E11</v>
      </c>
    </row>
    <row r="2432">
      <c r="A2432" s="3">
        <v>2617696.0</v>
      </c>
      <c r="B2432" s="3" t="s">
        <v>5089</v>
      </c>
      <c r="C2432" s="3" t="b">
        <v>0</v>
      </c>
      <c r="D2432" s="3" t="b">
        <v>1</v>
      </c>
      <c r="E2432" s="3" t="s">
        <v>1867</v>
      </c>
      <c r="F2432" s="3" t="s">
        <v>5090</v>
      </c>
      <c r="G2432" s="4">
        <f>+251902634714</f>
        <v>251902634714</v>
      </c>
      <c r="H2432" s="3" t="s">
        <v>18</v>
      </c>
      <c r="I2432" s="3" t="s">
        <v>19</v>
      </c>
      <c r="J2432" s="3" t="s">
        <v>19</v>
      </c>
      <c r="K2432" s="3" t="s">
        <v>25</v>
      </c>
      <c r="L2432" s="3">
        <v>20.93</v>
      </c>
      <c r="M2432" s="3" t="s">
        <v>1695</v>
      </c>
      <c r="N2432" s="3" t="s">
        <v>1696</v>
      </c>
      <c r="O2432" s="3">
        <v>1.94108476609E11</v>
      </c>
    </row>
    <row r="2433">
      <c r="A2433" s="3">
        <v>2617706.0</v>
      </c>
      <c r="B2433" s="3" t="s">
        <v>5091</v>
      </c>
      <c r="C2433" s="3" t="b">
        <v>0</v>
      </c>
      <c r="D2433" s="3" t="b">
        <v>1</v>
      </c>
      <c r="E2433" s="3" t="s">
        <v>5092</v>
      </c>
      <c r="F2433" s="3" t="s">
        <v>5093</v>
      </c>
      <c r="G2433" s="4">
        <f>+251904565356</f>
        <v>251904565356</v>
      </c>
      <c r="H2433" s="3" t="s">
        <v>18</v>
      </c>
      <c r="I2433" s="3" t="s">
        <v>19</v>
      </c>
      <c r="J2433" s="3" t="s">
        <v>19</v>
      </c>
      <c r="K2433" s="3" t="s">
        <v>25</v>
      </c>
      <c r="L2433" s="3">
        <v>20.91</v>
      </c>
      <c r="M2433" s="3" t="s">
        <v>1695</v>
      </c>
      <c r="N2433" s="3" t="s">
        <v>1696</v>
      </c>
      <c r="O2433" s="3">
        <v>1.94103545021E11</v>
      </c>
    </row>
    <row r="2434">
      <c r="A2434" s="3">
        <v>2617726.0</v>
      </c>
      <c r="B2434" s="3" t="s">
        <v>5094</v>
      </c>
      <c r="C2434" s="3" t="b">
        <v>0</v>
      </c>
      <c r="D2434" s="3" t="b">
        <v>1</v>
      </c>
      <c r="E2434" s="3" t="s">
        <v>111</v>
      </c>
      <c r="F2434" s="3" t="s">
        <v>5095</v>
      </c>
      <c r="G2434" s="4">
        <f>+251935047925</f>
        <v>251935047925</v>
      </c>
      <c r="H2434" s="3" t="s">
        <v>18</v>
      </c>
      <c r="I2434" s="3" t="s">
        <v>19</v>
      </c>
      <c r="J2434" s="3" t="s">
        <v>19</v>
      </c>
      <c r="K2434" s="3" t="s">
        <v>25</v>
      </c>
      <c r="L2434" s="3">
        <v>25.01</v>
      </c>
      <c r="M2434" s="3" t="s">
        <v>1695</v>
      </c>
      <c r="N2434" s="3" t="s">
        <v>1696</v>
      </c>
      <c r="O2434" s="3">
        <v>1.94136752337E11</v>
      </c>
    </row>
    <row r="2435">
      <c r="A2435" s="3">
        <v>2617740.0</v>
      </c>
      <c r="B2435" s="3" t="s">
        <v>5096</v>
      </c>
      <c r="C2435" s="3" t="b">
        <v>0</v>
      </c>
      <c r="D2435" s="3" t="b">
        <v>1</v>
      </c>
      <c r="E2435" s="3" t="s">
        <v>5097</v>
      </c>
      <c r="F2435" s="3" t="s">
        <v>5098</v>
      </c>
      <c r="G2435" s="4">
        <f>+251954158531</f>
        <v>251954158531</v>
      </c>
      <c r="H2435" s="3" t="s">
        <v>18</v>
      </c>
      <c r="I2435" s="3" t="s">
        <v>19</v>
      </c>
      <c r="J2435" s="3" t="s">
        <v>19</v>
      </c>
      <c r="K2435" s="3" t="s">
        <v>25</v>
      </c>
      <c r="L2435" s="3">
        <v>22.93</v>
      </c>
      <c r="M2435" s="3" t="s">
        <v>1695</v>
      </c>
      <c r="N2435" s="3" t="s">
        <v>1696</v>
      </c>
      <c r="O2435" s="3">
        <v>1.94144899316E11</v>
      </c>
    </row>
    <row r="2436">
      <c r="A2436" s="3">
        <v>2617743.0</v>
      </c>
      <c r="B2436" s="3" t="s">
        <v>5099</v>
      </c>
      <c r="C2436" s="3" t="b">
        <v>0</v>
      </c>
      <c r="D2436" s="3" t="b">
        <v>1</v>
      </c>
      <c r="E2436" s="3" t="s">
        <v>386</v>
      </c>
      <c r="F2436" s="3" t="s">
        <v>5100</v>
      </c>
      <c r="G2436" s="4">
        <f>+251963175015</f>
        <v>251963175015</v>
      </c>
      <c r="H2436" s="3" t="s">
        <v>18</v>
      </c>
      <c r="I2436" s="3" t="s">
        <v>19</v>
      </c>
      <c r="J2436" s="3" t="s">
        <v>19</v>
      </c>
      <c r="K2436" s="3" t="s">
        <v>25</v>
      </c>
      <c r="L2436" s="3">
        <v>23.03</v>
      </c>
      <c r="M2436" s="3" t="s">
        <v>1695</v>
      </c>
      <c r="N2436" s="3" t="s">
        <v>1696</v>
      </c>
      <c r="O2436" s="3">
        <v>1.94115412157E11</v>
      </c>
    </row>
    <row r="2437">
      <c r="A2437" s="3">
        <v>2617747.0</v>
      </c>
      <c r="B2437" s="3" t="s">
        <v>5101</v>
      </c>
      <c r="C2437" s="3" t="b">
        <v>0</v>
      </c>
      <c r="D2437" s="3" t="b">
        <v>1</v>
      </c>
      <c r="E2437" s="3" t="s">
        <v>5102</v>
      </c>
      <c r="F2437" s="3" t="s">
        <v>1833</v>
      </c>
      <c r="G2437" s="4">
        <f>+251976054251</f>
        <v>251976054251</v>
      </c>
      <c r="H2437" s="3" t="s">
        <v>18</v>
      </c>
      <c r="I2437" s="3" t="s">
        <v>19</v>
      </c>
      <c r="J2437" s="3" t="s">
        <v>19</v>
      </c>
      <c r="K2437" s="3" t="s">
        <v>20</v>
      </c>
      <c r="L2437" s="3">
        <v>22.85</v>
      </c>
      <c r="M2437" s="3" t="s">
        <v>1695</v>
      </c>
      <c r="N2437" s="3" t="s">
        <v>1696</v>
      </c>
      <c r="O2437" s="3">
        <v>1.9411547672E11</v>
      </c>
    </row>
    <row r="2438">
      <c r="A2438" s="3">
        <v>2617751.0</v>
      </c>
      <c r="B2438" s="3" t="s">
        <v>5103</v>
      </c>
      <c r="C2438" s="3" t="b">
        <v>0</v>
      </c>
      <c r="D2438" s="3" t="b">
        <v>1</v>
      </c>
      <c r="E2438" s="3" t="s">
        <v>280</v>
      </c>
      <c r="F2438" s="3" t="s">
        <v>5104</v>
      </c>
      <c r="G2438" s="4">
        <f>+251923202013</f>
        <v>251923202013</v>
      </c>
      <c r="H2438" s="3" t="s">
        <v>18</v>
      </c>
      <c r="I2438" s="3" t="s">
        <v>19</v>
      </c>
      <c r="J2438" s="3" t="s">
        <v>19</v>
      </c>
      <c r="K2438" s="3" t="s">
        <v>25</v>
      </c>
      <c r="L2438" s="3">
        <v>23.01</v>
      </c>
      <c r="M2438" s="3" t="s">
        <v>1695</v>
      </c>
      <c r="N2438" s="3" t="s">
        <v>1696</v>
      </c>
      <c r="O2438" s="3">
        <v>1.94118080716E11</v>
      </c>
    </row>
    <row r="2439">
      <c r="A2439" s="3">
        <v>2617760.0</v>
      </c>
      <c r="B2439" s="3" t="s">
        <v>5105</v>
      </c>
      <c r="C2439" s="3" t="b">
        <v>0</v>
      </c>
      <c r="D2439" s="3" t="b">
        <v>1</v>
      </c>
      <c r="E2439" s="3" t="s">
        <v>5106</v>
      </c>
      <c r="F2439" s="3" t="s">
        <v>5107</v>
      </c>
      <c r="G2439" s="4">
        <f>+251949419796</f>
        <v>251949419796</v>
      </c>
      <c r="H2439" s="3" t="s">
        <v>18</v>
      </c>
      <c r="I2439" s="3" t="s">
        <v>19</v>
      </c>
      <c r="J2439" s="3" t="s">
        <v>19</v>
      </c>
      <c r="K2439" s="3" t="s">
        <v>25</v>
      </c>
      <c r="L2439" s="3">
        <v>23.02</v>
      </c>
      <c r="M2439" s="3" t="s">
        <v>1695</v>
      </c>
      <c r="N2439" s="3" t="s">
        <v>1696</v>
      </c>
      <c r="O2439" s="3">
        <v>1.94140018883E11</v>
      </c>
    </row>
    <row r="2440">
      <c r="A2440" s="3">
        <v>2617766.0</v>
      </c>
      <c r="B2440" s="3" t="s">
        <v>5108</v>
      </c>
      <c r="C2440" s="3" t="b">
        <v>0</v>
      </c>
      <c r="D2440" s="3" t="b">
        <v>1</v>
      </c>
      <c r="E2440" s="3" t="s">
        <v>5109</v>
      </c>
      <c r="F2440" s="3" t="s">
        <v>342</v>
      </c>
      <c r="G2440" s="4">
        <f>+251901072062</f>
        <v>251901072062</v>
      </c>
      <c r="H2440" s="3" t="s">
        <v>18</v>
      </c>
      <c r="I2440" s="3" t="s">
        <v>19</v>
      </c>
      <c r="J2440" s="3" t="s">
        <v>19</v>
      </c>
      <c r="K2440" s="3" t="s">
        <v>25</v>
      </c>
      <c r="L2440" s="3">
        <v>26.03</v>
      </c>
      <c r="M2440" s="3" t="s">
        <v>1695</v>
      </c>
      <c r="N2440" s="3" t="s">
        <v>1696</v>
      </c>
      <c r="O2440" s="3">
        <v>1.94158459089E11</v>
      </c>
    </row>
    <row r="2441">
      <c r="A2441" s="3">
        <v>2617772.0</v>
      </c>
      <c r="B2441" s="3" t="s">
        <v>5110</v>
      </c>
      <c r="C2441" s="3" t="b">
        <v>0</v>
      </c>
      <c r="D2441" s="3" t="b">
        <v>1</v>
      </c>
      <c r="E2441" s="3" t="s">
        <v>5111</v>
      </c>
      <c r="F2441" s="3" t="s">
        <v>5112</v>
      </c>
      <c r="G2441" s="4">
        <f>+251916746027</f>
        <v>251916746027</v>
      </c>
      <c r="H2441" s="3" t="s">
        <v>18</v>
      </c>
      <c r="I2441" s="3" t="s">
        <v>19</v>
      </c>
      <c r="J2441" s="3" t="s">
        <v>19</v>
      </c>
      <c r="K2441" s="3" t="s">
        <v>25</v>
      </c>
      <c r="L2441" s="3">
        <v>25.04</v>
      </c>
      <c r="M2441" s="3" t="s">
        <v>1695</v>
      </c>
      <c r="N2441" s="3" t="s">
        <v>1696</v>
      </c>
      <c r="O2441" s="3">
        <v>1.94125981906E11</v>
      </c>
    </row>
    <row r="2442">
      <c r="A2442" s="3">
        <v>2617801.0</v>
      </c>
      <c r="B2442" s="3" t="s">
        <v>5113</v>
      </c>
      <c r="C2442" s="3" t="b">
        <v>0</v>
      </c>
      <c r="D2442" s="3" t="b">
        <v>1</v>
      </c>
      <c r="E2442" s="3" t="s">
        <v>5114</v>
      </c>
      <c r="F2442" s="3" t="s">
        <v>5115</v>
      </c>
      <c r="G2442" s="4">
        <f>+251991552058</f>
        <v>251991552058</v>
      </c>
      <c r="H2442" s="3" t="s">
        <v>18</v>
      </c>
      <c r="I2442" s="3" t="s">
        <v>19</v>
      </c>
      <c r="J2442" s="3" t="s">
        <v>19</v>
      </c>
      <c r="K2442" s="3" t="s">
        <v>25</v>
      </c>
      <c r="L2442" s="3">
        <v>22.96</v>
      </c>
      <c r="M2442" s="3" t="s">
        <v>1695</v>
      </c>
      <c r="N2442" s="3" t="s">
        <v>1696</v>
      </c>
      <c r="O2442" s="3">
        <v>1.94136242379E11</v>
      </c>
    </row>
    <row r="2443">
      <c r="A2443" s="3">
        <v>2617807.0</v>
      </c>
      <c r="B2443" s="3" t="s">
        <v>5116</v>
      </c>
      <c r="C2443" s="3" t="b">
        <v>0</v>
      </c>
      <c r="D2443" s="3" t="b">
        <v>1</v>
      </c>
      <c r="E2443" s="3" t="s">
        <v>3811</v>
      </c>
      <c r="F2443" s="3" t="s">
        <v>5117</v>
      </c>
      <c r="G2443" s="4">
        <f>+251972914773</f>
        <v>251972914773</v>
      </c>
      <c r="H2443" s="3" t="s">
        <v>18</v>
      </c>
      <c r="I2443" s="3" t="s">
        <v>19</v>
      </c>
      <c r="J2443" s="3" t="s">
        <v>19</v>
      </c>
      <c r="K2443" s="3" t="s">
        <v>20</v>
      </c>
      <c r="L2443" s="3">
        <v>25.02</v>
      </c>
      <c r="M2443" s="3" t="s">
        <v>1695</v>
      </c>
      <c r="N2443" s="3" t="s">
        <v>1696</v>
      </c>
      <c r="O2443" s="3">
        <v>1.94165002451E11</v>
      </c>
    </row>
    <row r="2444">
      <c r="A2444" s="3">
        <v>2617816.0</v>
      </c>
      <c r="B2444" s="3" t="s">
        <v>5118</v>
      </c>
      <c r="C2444" s="3" t="b">
        <v>0</v>
      </c>
      <c r="D2444" s="3" t="b">
        <v>1</v>
      </c>
      <c r="E2444" s="3" t="s">
        <v>404</v>
      </c>
      <c r="F2444" s="3" t="s">
        <v>915</v>
      </c>
      <c r="G2444" s="4">
        <f>+251983262634</f>
        <v>251983262634</v>
      </c>
      <c r="H2444" s="3" t="s">
        <v>18</v>
      </c>
      <c r="I2444" s="3" t="s">
        <v>19</v>
      </c>
      <c r="J2444" s="3" t="s">
        <v>19</v>
      </c>
      <c r="K2444" s="3" t="s">
        <v>25</v>
      </c>
      <c r="L2444" s="3">
        <v>22.95</v>
      </c>
      <c r="M2444" s="3" t="s">
        <v>1695</v>
      </c>
      <c r="N2444" s="3" t="s">
        <v>1696</v>
      </c>
      <c r="O2444" s="3">
        <v>1.94141676758E11</v>
      </c>
    </row>
    <row r="2445">
      <c r="A2445" s="3">
        <v>2617827.0</v>
      </c>
      <c r="B2445" s="3" t="s">
        <v>5119</v>
      </c>
      <c r="C2445" s="3" t="b">
        <v>0</v>
      </c>
      <c r="D2445" s="3" t="b">
        <v>1</v>
      </c>
      <c r="E2445" s="3" t="s">
        <v>1177</v>
      </c>
      <c r="F2445" s="3" t="s">
        <v>2177</v>
      </c>
      <c r="G2445" s="4">
        <f>+251927273535</f>
        <v>251927273535</v>
      </c>
      <c r="H2445" s="3" t="s">
        <v>18</v>
      </c>
      <c r="I2445" s="3" t="s">
        <v>19</v>
      </c>
      <c r="J2445" s="3" t="s">
        <v>19</v>
      </c>
      <c r="K2445" s="3" t="s">
        <v>25</v>
      </c>
      <c r="L2445" s="3">
        <v>24.02</v>
      </c>
      <c r="M2445" s="3" t="s">
        <v>1695</v>
      </c>
      <c r="N2445" s="3" t="s">
        <v>1696</v>
      </c>
      <c r="O2445" s="3">
        <v>1.94178449636E11</v>
      </c>
    </row>
    <row r="2446">
      <c r="A2446" s="3">
        <v>2617835.0</v>
      </c>
      <c r="B2446" s="3" t="s">
        <v>5120</v>
      </c>
      <c r="C2446" s="3" t="b">
        <v>0</v>
      </c>
      <c r="D2446" s="3" t="b">
        <v>1</v>
      </c>
      <c r="E2446" s="3" t="s">
        <v>4383</v>
      </c>
      <c r="F2446" s="3" t="s">
        <v>196</v>
      </c>
      <c r="G2446" s="4">
        <f>+251968787535</f>
        <v>251968787535</v>
      </c>
      <c r="H2446" s="3" t="s">
        <v>18</v>
      </c>
      <c r="I2446" s="3" t="s">
        <v>19</v>
      </c>
      <c r="J2446" s="3" t="s">
        <v>19</v>
      </c>
      <c r="K2446" s="3" t="s">
        <v>25</v>
      </c>
      <c r="L2446" s="3">
        <v>27.02</v>
      </c>
      <c r="M2446" s="3" t="s">
        <v>1695</v>
      </c>
      <c r="N2446" s="3" t="s">
        <v>1696</v>
      </c>
      <c r="O2446" s="3">
        <v>1.94171274443E11</v>
      </c>
    </row>
    <row r="2447">
      <c r="A2447" s="3">
        <v>2617847.0</v>
      </c>
      <c r="B2447" s="3" t="s">
        <v>5121</v>
      </c>
      <c r="C2447" s="3" t="b">
        <v>0</v>
      </c>
      <c r="D2447" s="3" t="b">
        <v>1</v>
      </c>
      <c r="E2447" s="3" t="s">
        <v>3100</v>
      </c>
      <c r="F2447" s="3" t="s">
        <v>5122</v>
      </c>
      <c r="G2447" s="4">
        <f>+251943284936</f>
        <v>251943284936</v>
      </c>
      <c r="H2447" s="3" t="s">
        <v>18</v>
      </c>
      <c r="I2447" s="3" t="s">
        <v>19</v>
      </c>
      <c r="J2447" s="3" t="s">
        <v>19</v>
      </c>
      <c r="K2447" s="3" t="s">
        <v>25</v>
      </c>
      <c r="L2447" s="3">
        <v>28.02</v>
      </c>
      <c r="M2447" s="3" t="s">
        <v>1695</v>
      </c>
      <c r="N2447" s="3" t="s">
        <v>1696</v>
      </c>
      <c r="O2447" s="3">
        <v>1.9417472329E11</v>
      </c>
    </row>
    <row r="2448">
      <c r="A2448" s="3">
        <v>2617848.0</v>
      </c>
      <c r="B2448" s="3" t="s">
        <v>5123</v>
      </c>
      <c r="C2448" s="3" t="b">
        <v>0</v>
      </c>
      <c r="D2448" s="3" t="b">
        <v>1</v>
      </c>
      <c r="E2448" s="3" t="s">
        <v>2045</v>
      </c>
      <c r="F2448" s="3" t="s">
        <v>109</v>
      </c>
      <c r="G2448" s="4">
        <f>+251921191190</f>
        <v>251921191190</v>
      </c>
      <c r="H2448" s="3" t="s">
        <v>18</v>
      </c>
      <c r="I2448" s="3" t="s">
        <v>19</v>
      </c>
      <c r="J2448" s="3" t="s">
        <v>19</v>
      </c>
      <c r="K2448" s="3" t="s">
        <v>25</v>
      </c>
      <c r="L2448" s="3">
        <v>25.02</v>
      </c>
      <c r="M2448" s="3" t="s">
        <v>1695</v>
      </c>
      <c r="N2448" s="3" t="s">
        <v>1696</v>
      </c>
      <c r="O2448" s="3">
        <v>2.3396255E7</v>
      </c>
    </row>
    <row r="2449">
      <c r="A2449" s="3">
        <v>2617868.0</v>
      </c>
      <c r="B2449" s="3" t="s">
        <v>5124</v>
      </c>
      <c r="C2449" s="3" t="b">
        <v>0</v>
      </c>
      <c r="D2449" s="3" t="b">
        <v>1</v>
      </c>
      <c r="E2449" s="3" t="s">
        <v>5125</v>
      </c>
      <c r="F2449" s="3" t="s">
        <v>35</v>
      </c>
      <c r="G2449" s="4">
        <f>+251922126662</f>
        <v>251922126662</v>
      </c>
      <c r="H2449" s="3" t="s">
        <v>18</v>
      </c>
      <c r="I2449" s="3" t="s">
        <v>19</v>
      </c>
      <c r="J2449" s="3" t="s">
        <v>19</v>
      </c>
      <c r="K2449" s="3" t="s">
        <v>25</v>
      </c>
      <c r="L2449" s="3">
        <v>24.02</v>
      </c>
      <c r="M2449" s="3" t="s">
        <v>1695</v>
      </c>
      <c r="N2449" s="3" t="s">
        <v>1696</v>
      </c>
      <c r="O2449" s="3">
        <v>1.94174161116E11</v>
      </c>
    </row>
    <row r="2450">
      <c r="A2450" s="3">
        <v>2617898.0</v>
      </c>
      <c r="B2450" s="3" t="s">
        <v>5126</v>
      </c>
      <c r="C2450" s="3" t="b">
        <v>0</v>
      </c>
      <c r="D2450" s="3" t="b">
        <v>1</v>
      </c>
      <c r="E2450" s="3" t="s">
        <v>5127</v>
      </c>
      <c r="F2450" s="3" t="s">
        <v>5128</v>
      </c>
      <c r="G2450" s="4">
        <f>+251977050993</f>
        <v>251977050993</v>
      </c>
      <c r="H2450" s="3" t="s">
        <v>18</v>
      </c>
      <c r="I2450" s="3" t="s">
        <v>19</v>
      </c>
      <c r="J2450" s="3" t="s">
        <v>19</v>
      </c>
      <c r="K2450" s="3" t="s">
        <v>25</v>
      </c>
      <c r="L2450" s="3">
        <v>24.9</v>
      </c>
      <c r="M2450" s="3" t="s">
        <v>1695</v>
      </c>
      <c r="N2450" s="3" t="s">
        <v>1696</v>
      </c>
      <c r="O2450" s="3">
        <v>1.94224667843E11</v>
      </c>
    </row>
    <row r="2451">
      <c r="A2451" s="3">
        <v>2617908.0</v>
      </c>
      <c r="B2451" s="3" t="s">
        <v>5129</v>
      </c>
      <c r="C2451" s="3" t="b">
        <v>0</v>
      </c>
      <c r="D2451" s="3" t="b">
        <v>1</v>
      </c>
      <c r="E2451" s="3" t="s">
        <v>5130</v>
      </c>
      <c r="F2451" s="3" t="s">
        <v>5131</v>
      </c>
      <c r="G2451" s="4">
        <f>+251928305695</f>
        <v>251928305695</v>
      </c>
      <c r="H2451" s="3" t="s">
        <v>18</v>
      </c>
      <c r="I2451" s="3" t="s">
        <v>19</v>
      </c>
      <c r="J2451" s="3" t="s">
        <v>19</v>
      </c>
      <c r="K2451" s="3" t="s">
        <v>25</v>
      </c>
      <c r="L2451" s="3">
        <v>24.81</v>
      </c>
      <c r="M2451" s="3" t="s">
        <v>1695</v>
      </c>
      <c r="N2451" s="3" t="s">
        <v>1696</v>
      </c>
      <c r="O2451" s="3">
        <v>1.94222996678E11</v>
      </c>
    </row>
    <row r="2452">
      <c r="A2452" s="3">
        <v>2617902.0</v>
      </c>
      <c r="B2452" s="3" t="s">
        <v>5132</v>
      </c>
      <c r="C2452" s="3" t="b">
        <v>0</v>
      </c>
      <c r="D2452" s="3" t="b">
        <v>1</v>
      </c>
      <c r="E2452" s="3" t="s">
        <v>559</v>
      </c>
      <c r="F2452" s="3" t="s">
        <v>838</v>
      </c>
      <c r="G2452" s="4">
        <f>+251944445494</f>
        <v>251944445494</v>
      </c>
      <c r="H2452" s="3" t="s">
        <v>18</v>
      </c>
      <c r="I2452" s="3" t="s">
        <v>19</v>
      </c>
      <c r="J2452" s="3" t="s">
        <v>19</v>
      </c>
      <c r="K2452" s="3" t="s">
        <v>25</v>
      </c>
      <c r="L2452" s="3">
        <v>25.02</v>
      </c>
      <c r="M2452" s="3" t="s">
        <v>1695</v>
      </c>
      <c r="N2452" s="3" t="s">
        <v>1696</v>
      </c>
      <c r="O2452" s="3">
        <v>1.94222130402E11</v>
      </c>
    </row>
    <row r="2453">
      <c r="A2453" s="3">
        <v>2617912.0</v>
      </c>
      <c r="B2453" s="3" t="s">
        <v>5133</v>
      </c>
      <c r="C2453" s="3" t="b">
        <v>0</v>
      </c>
      <c r="D2453" s="3" t="b">
        <v>1</v>
      </c>
      <c r="E2453" s="3" t="s">
        <v>5134</v>
      </c>
      <c r="F2453" s="3" t="s">
        <v>5135</v>
      </c>
      <c r="G2453" s="4">
        <f t="shared" ref="G2453:G2454" si="2">+251920132846</f>
        <v>251920132846</v>
      </c>
      <c r="H2453" s="3" t="s">
        <v>18</v>
      </c>
      <c r="I2453" s="3" t="s">
        <v>19</v>
      </c>
      <c r="J2453" s="3" t="s">
        <v>19</v>
      </c>
      <c r="K2453" s="3" t="s">
        <v>25</v>
      </c>
      <c r="L2453" s="3">
        <v>20.92</v>
      </c>
      <c r="M2453" s="3" t="s">
        <v>1695</v>
      </c>
      <c r="N2453" s="3" t="s">
        <v>1696</v>
      </c>
      <c r="O2453" s="3">
        <v>1.94223787202E11</v>
      </c>
    </row>
    <row r="2454">
      <c r="A2454" s="3">
        <v>2617919.0</v>
      </c>
      <c r="B2454" s="3" t="s">
        <v>5136</v>
      </c>
      <c r="C2454" s="3" t="b">
        <v>0</v>
      </c>
      <c r="D2454" s="3" t="b">
        <v>1</v>
      </c>
      <c r="E2454" s="3" t="s">
        <v>5137</v>
      </c>
      <c r="F2454" s="3" t="s">
        <v>5138</v>
      </c>
      <c r="G2454" s="4">
        <f t="shared" si="2"/>
        <v>251920132846</v>
      </c>
      <c r="H2454" s="3" t="s">
        <v>18</v>
      </c>
      <c r="I2454" s="3" t="s">
        <v>19</v>
      </c>
      <c r="J2454" s="3" t="s">
        <v>19</v>
      </c>
      <c r="K2454" s="3" t="s">
        <v>25</v>
      </c>
      <c r="L2454" s="3">
        <v>23.92</v>
      </c>
      <c r="M2454" s="3" t="s">
        <v>1695</v>
      </c>
      <c r="N2454" s="3" t="s">
        <v>1696</v>
      </c>
      <c r="O2454" s="3">
        <v>1.94226582772E11</v>
      </c>
    </row>
    <row r="2455">
      <c r="A2455" s="3">
        <v>2617936.0</v>
      </c>
      <c r="B2455" s="3" t="s">
        <v>5139</v>
      </c>
      <c r="C2455" s="3" t="b">
        <v>0</v>
      </c>
      <c r="D2455" s="3" t="b">
        <v>1</v>
      </c>
      <c r="E2455" s="3" t="s">
        <v>5130</v>
      </c>
      <c r="F2455" s="3" t="s">
        <v>5131</v>
      </c>
      <c r="G2455" s="4">
        <f>+251928305695</f>
        <v>251928305695</v>
      </c>
      <c r="H2455" s="3" t="s">
        <v>18</v>
      </c>
      <c r="I2455" s="3" t="s">
        <v>19</v>
      </c>
      <c r="J2455" s="3" t="s">
        <v>19</v>
      </c>
      <c r="K2455" s="3" t="s">
        <v>25</v>
      </c>
      <c r="L2455" s="3">
        <v>27.95</v>
      </c>
      <c r="M2455" s="3" t="s">
        <v>1695</v>
      </c>
      <c r="N2455" s="3" t="s">
        <v>1696</v>
      </c>
      <c r="O2455" s="3">
        <v>1.94200377566E11</v>
      </c>
    </row>
    <row r="2456">
      <c r="A2456" s="3">
        <v>2617948.0</v>
      </c>
      <c r="B2456" s="3" t="s">
        <v>5140</v>
      </c>
      <c r="C2456" s="3" t="b">
        <v>0</v>
      </c>
      <c r="D2456" s="3" t="b">
        <v>1</v>
      </c>
      <c r="E2456" s="3" t="s">
        <v>5141</v>
      </c>
      <c r="F2456" s="3" t="s">
        <v>5142</v>
      </c>
      <c r="G2456" s="4">
        <f>+251954168288</f>
        <v>251954168288</v>
      </c>
      <c r="H2456" s="3" t="s">
        <v>18</v>
      </c>
      <c r="I2456" s="3" t="s">
        <v>19</v>
      </c>
      <c r="J2456" s="3" t="s">
        <v>19</v>
      </c>
      <c r="K2456" s="3" t="s">
        <v>25</v>
      </c>
      <c r="L2456" s="3">
        <v>23.02</v>
      </c>
      <c r="M2456" s="3" t="s">
        <v>1695</v>
      </c>
      <c r="N2456" s="3" t="s">
        <v>1696</v>
      </c>
      <c r="O2456" s="3">
        <v>1.94227453149E11</v>
      </c>
    </row>
    <row r="2457">
      <c r="A2457" s="3">
        <v>2617955.0</v>
      </c>
      <c r="B2457" s="3" t="s">
        <v>5143</v>
      </c>
      <c r="C2457" s="3" t="b">
        <v>0</v>
      </c>
      <c r="D2457" s="3" t="b">
        <v>1</v>
      </c>
      <c r="E2457" s="3" t="s">
        <v>3250</v>
      </c>
      <c r="F2457" s="3" t="s">
        <v>5144</v>
      </c>
      <c r="G2457" s="4">
        <f>+251996394184</f>
        <v>251996394184</v>
      </c>
      <c r="H2457" s="3" t="s">
        <v>18</v>
      </c>
      <c r="I2457" s="3" t="s">
        <v>19</v>
      </c>
      <c r="J2457" s="3" t="s">
        <v>19</v>
      </c>
      <c r="K2457" s="3" t="s">
        <v>25</v>
      </c>
      <c r="L2457" s="3">
        <v>22.99</v>
      </c>
      <c r="M2457" s="3" t="s">
        <v>1695</v>
      </c>
      <c r="N2457" s="3" t="s">
        <v>1696</v>
      </c>
      <c r="O2457" s="3">
        <v>1.94239672559E11</v>
      </c>
    </row>
    <row r="2458">
      <c r="A2458" s="3">
        <v>2617966.0</v>
      </c>
      <c r="B2458" s="3" t="s">
        <v>5145</v>
      </c>
      <c r="C2458" s="3" t="b">
        <v>0</v>
      </c>
      <c r="D2458" s="3" t="b">
        <v>1</v>
      </c>
      <c r="E2458" s="3" t="s">
        <v>5146</v>
      </c>
      <c r="F2458" s="3" t="s">
        <v>5147</v>
      </c>
      <c r="G2458" s="4">
        <f>+251967792840</f>
        <v>251967792840</v>
      </c>
      <c r="H2458" s="3" t="s">
        <v>18</v>
      </c>
      <c r="I2458" s="3" t="s">
        <v>19</v>
      </c>
      <c r="J2458" s="3" t="s">
        <v>19</v>
      </c>
      <c r="K2458" s="3" t="s">
        <v>20</v>
      </c>
      <c r="L2458" s="3">
        <v>32.02</v>
      </c>
      <c r="M2458" s="3" t="s">
        <v>1695</v>
      </c>
      <c r="N2458" s="3" t="s">
        <v>1696</v>
      </c>
      <c r="O2458" s="3">
        <v>1.94206324939E11</v>
      </c>
    </row>
    <row r="2459">
      <c r="A2459" s="3">
        <v>2617972.0</v>
      </c>
      <c r="B2459" s="3" t="s">
        <v>5148</v>
      </c>
      <c r="C2459" s="3" t="b">
        <v>0</v>
      </c>
      <c r="D2459" s="3" t="b">
        <v>1</v>
      </c>
      <c r="E2459" s="3" t="s">
        <v>5149</v>
      </c>
      <c r="F2459" s="3" t="s">
        <v>5150</v>
      </c>
      <c r="G2459" s="4">
        <f>+251912910173</f>
        <v>251912910173</v>
      </c>
      <c r="H2459" s="3" t="s">
        <v>18</v>
      </c>
      <c r="I2459" s="3" t="s">
        <v>19</v>
      </c>
      <c r="J2459" s="3" t="s">
        <v>19</v>
      </c>
      <c r="K2459" s="3" t="s">
        <v>25</v>
      </c>
      <c r="L2459" s="3">
        <v>22.58</v>
      </c>
      <c r="M2459" s="3" t="s">
        <v>1695</v>
      </c>
      <c r="N2459" s="3" t="s">
        <v>1696</v>
      </c>
      <c r="O2459" s="3">
        <v>1.94207829179E11</v>
      </c>
    </row>
    <row r="2460">
      <c r="A2460" s="3">
        <v>2617982.0</v>
      </c>
      <c r="B2460" s="3" t="s">
        <v>5151</v>
      </c>
      <c r="C2460" s="3" t="b">
        <v>0</v>
      </c>
      <c r="D2460" s="3" t="b">
        <v>1</v>
      </c>
      <c r="E2460" s="3" t="s">
        <v>2225</v>
      </c>
      <c r="F2460" s="3" t="s">
        <v>5152</v>
      </c>
      <c r="G2460" s="4">
        <f>+251932566000</f>
        <v>251932566000</v>
      </c>
      <c r="H2460" s="3" t="s">
        <v>18</v>
      </c>
      <c r="I2460" s="3" t="s">
        <v>19</v>
      </c>
      <c r="J2460" s="3" t="s">
        <v>19</v>
      </c>
      <c r="K2460" s="3" t="s">
        <v>20</v>
      </c>
      <c r="L2460" s="3">
        <v>24.75</v>
      </c>
      <c r="M2460" s="3" t="s">
        <v>1695</v>
      </c>
      <c r="N2460" s="3" t="s">
        <v>1696</v>
      </c>
      <c r="O2460" s="3">
        <v>1.94205085892E11</v>
      </c>
    </row>
    <row r="2461">
      <c r="A2461" s="3">
        <v>2617987.0</v>
      </c>
      <c r="B2461" s="3" t="s">
        <v>5153</v>
      </c>
      <c r="C2461" s="3" t="b">
        <v>0</v>
      </c>
      <c r="D2461" s="3" t="b">
        <v>1</v>
      </c>
      <c r="E2461" s="3" t="s">
        <v>5154</v>
      </c>
      <c r="F2461" s="3" t="s">
        <v>5155</v>
      </c>
      <c r="G2461" s="4">
        <f>+251973256976</f>
        <v>251973256976</v>
      </c>
      <c r="H2461" s="3" t="s">
        <v>18</v>
      </c>
      <c r="I2461" s="3" t="s">
        <v>19</v>
      </c>
      <c r="J2461" s="3" t="s">
        <v>19</v>
      </c>
      <c r="K2461" s="3" t="s">
        <v>25</v>
      </c>
      <c r="L2461" s="3">
        <v>38.02</v>
      </c>
      <c r="M2461" s="3" t="s">
        <v>1695</v>
      </c>
      <c r="N2461" s="3" t="s">
        <v>1696</v>
      </c>
      <c r="O2461" s="3">
        <v>1.94240031962E11</v>
      </c>
    </row>
    <row r="2462">
      <c r="A2462" s="3">
        <v>2617992.0</v>
      </c>
      <c r="B2462" s="3" t="s">
        <v>5156</v>
      </c>
      <c r="C2462" s="3" t="b">
        <v>0</v>
      </c>
      <c r="D2462" s="3" t="b">
        <v>1</v>
      </c>
      <c r="E2462" s="3" t="s">
        <v>4813</v>
      </c>
      <c r="F2462" s="3" t="s">
        <v>5157</v>
      </c>
      <c r="G2462" s="4">
        <f>+251923234812</f>
        <v>251923234812</v>
      </c>
      <c r="H2462" s="3" t="s">
        <v>18</v>
      </c>
      <c r="I2462" s="3" t="s">
        <v>19</v>
      </c>
      <c r="J2462" s="3" t="s">
        <v>19</v>
      </c>
      <c r="K2462" s="3" t="s">
        <v>25</v>
      </c>
      <c r="L2462" s="3">
        <v>31.28</v>
      </c>
      <c r="M2462" s="3" t="s">
        <v>1695</v>
      </c>
      <c r="N2462" s="3" t="s">
        <v>1696</v>
      </c>
      <c r="O2462" s="3">
        <v>1.9422187848E11</v>
      </c>
    </row>
    <row r="2463">
      <c r="A2463" s="3">
        <v>2617979.0</v>
      </c>
      <c r="B2463" s="3" t="s">
        <v>5158</v>
      </c>
      <c r="C2463" s="3" t="b">
        <v>0</v>
      </c>
      <c r="D2463" s="3" t="b">
        <v>1</v>
      </c>
      <c r="E2463" s="3" t="s">
        <v>5159</v>
      </c>
      <c r="F2463" s="3" t="s">
        <v>5160</v>
      </c>
      <c r="G2463" s="4">
        <f>+251920618</f>
        <v>251920618</v>
      </c>
      <c r="H2463" s="3" t="s">
        <v>18</v>
      </c>
      <c r="I2463" s="3" t="s">
        <v>19</v>
      </c>
      <c r="J2463" s="3" t="s">
        <v>19</v>
      </c>
      <c r="K2463" s="3" t="s">
        <v>20</v>
      </c>
      <c r="L2463" s="3">
        <v>24.02</v>
      </c>
      <c r="M2463" s="3" t="s">
        <v>1695</v>
      </c>
      <c r="N2463" s="3" t="s">
        <v>1696</v>
      </c>
      <c r="O2463" s="3">
        <v>1.94207888591E11</v>
      </c>
    </row>
    <row r="2464">
      <c r="A2464" s="3">
        <v>2618004.0</v>
      </c>
      <c r="B2464" s="3" t="s">
        <v>5161</v>
      </c>
      <c r="C2464" s="3" t="b">
        <v>0</v>
      </c>
      <c r="D2464" s="3" t="b">
        <v>1</v>
      </c>
      <c r="E2464" s="3" t="s">
        <v>5162</v>
      </c>
      <c r="F2464" s="3" t="s">
        <v>5163</v>
      </c>
      <c r="G2464" s="4">
        <f>+251960912767</f>
        <v>251960912767</v>
      </c>
      <c r="H2464" s="3" t="s">
        <v>18</v>
      </c>
      <c r="I2464" s="3" t="s">
        <v>19</v>
      </c>
      <c r="J2464" s="3" t="s">
        <v>19</v>
      </c>
      <c r="K2464" s="3" t="s">
        <v>20</v>
      </c>
      <c r="L2464" s="3">
        <v>20.8</v>
      </c>
      <c r="M2464" s="3" t="s">
        <v>1695</v>
      </c>
      <c r="N2464" s="3" t="s">
        <v>1696</v>
      </c>
      <c r="O2464" s="3">
        <v>1.94225262834E11</v>
      </c>
    </row>
    <row r="2465">
      <c r="A2465" s="3">
        <v>2618001.0</v>
      </c>
      <c r="B2465" s="3" t="s">
        <v>5164</v>
      </c>
      <c r="C2465" s="3" t="b">
        <v>0</v>
      </c>
      <c r="D2465" s="3" t="b">
        <v>1</v>
      </c>
      <c r="E2465" s="3" t="s">
        <v>129</v>
      </c>
      <c r="F2465" s="3" t="s">
        <v>2355</v>
      </c>
      <c r="G2465" s="4">
        <f>+251941776868</f>
        <v>251941776868</v>
      </c>
      <c r="H2465" s="3" t="s">
        <v>18</v>
      </c>
      <c r="I2465" s="3" t="s">
        <v>19</v>
      </c>
      <c r="J2465" s="3" t="s">
        <v>19</v>
      </c>
      <c r="K2465" s="3" t="s">
        <v>20</v>
      </c>
      <c r="L2465" s="3">
        <v>23.02</v>
      </c>
      <c r="M2465" s="3" t="s">
        <v>1695</v>
      </c>
      <c r="N2465" s="3" t="s">
        <v>1696</v>
      </c>
      <c r="O2465" s="3">
        <v>1.9424319409E11</v>
      </c>
    </row>
    <row r="2466">
      <c r="A2466" s="3">
        <v>2618010.0</v>
      </c>
      <c r="B2466" s="3" t="s">
        <v>5165</v>
      </c>
      <c r="C2466" s="3" t="b">
        <v>0</v>
      </c>
      <c r="D2466" s="3" t="b">
        <v>1</v>
      </c>
      <c r="E2466" s="3" t="s">
        <v>5166</v>
      </c>
      <c r="F2466" s="3" t="s">
        <v>5167</v>
      </c>
      <c r="G2466" s="4">
        <f>+251952533468</f>
        <v>251952533468</v>
      </c>
      <c r="H2466" s="3" t="s">
        <v>18</v>
      </c>
      <c r="I2466" s="3" t="s">
        <v>19</v>
      </c>
      <c r="J2466" s="3" t="s">
        <v>19</v>
      </c>
      <c r="K2466" s="3" t="s">
        <v>25</v>
      </c>
      <c r="L2466" s="3">
        <v>25.92</v>
      </c>
      <c r="M2466" s="3" t="s">
        <v>1695</v>
      </c>
      <c r="N2466" s="3" t="s">
        <v>1696</v>
      </c>
      <c r="O2466" s="3">
        <v>1.9430321381E11</v>
      </c>
    </row>
    <row r="2467">
      <c r="A2467" s="3">
        <v>2618017.0</v>
      </c>
      <c r="B2467" s="3" t="s">
        <v>5168</v>
      </c>
      <c r="C2467" s="3" t="b">
        <v>0</v>
      </c>
      <c r="D2467" s="3" t="b">
        <v>1</v>
      </c>
      <c r="E2467" s="3" t="s">
        <v>5169</v>
      </c>
      <c r="F2467" s="3" t="s">
        <v>5170</v>
      </c>
      <c r="G2467" s="4">
        <f>+251960233322</f>
        <v>251960233322</v>
      </c>
      <c r="H2467" s="3" t="s">
        <v>18</v>
      </c>
      <c r="I2467" s="3" t="s">
        <v>19</v>
      </c>
      <c r="J2467" s="3" t="s">
        <v>19</v>
      </c>
      <c r="K2467" s="3" t="s">
        <v>25</v>
      </c>
      <c r="L2467" s="3">
        <v>23.94</v>
      </c>
      <c r="M2467" s="3" t="s">
        <v>1695</v>
      </c>
      <c r="N2467" s="3" t="s">
        <v>1696</v>
      </c>
      <c r="O2467" s="3">
        <v>1.94304066748E11</v>
      </c>
    </row>
    <row r="2468">
      <c r="A2468" s="3">
        <v>2618040.0</v>
      </c>
      <c r="B2468" s="3" t="s">
        <v>5171</v>
      </c>
      <c r="C2468" s="3" t="b">
        <v>0</v>
      </c>
      <c r="D2468" s="3" t="b">
        <v>1</v>
      </c>
      <c r="E2468" s="3" t="s">
        <v>5172</v>
      </c>
      <c r="F2468" s="3" t="s">
        <v>5135</v>
      </c>
      <c r="G2468" s="4">
        <f>+251940425262</f>
        <v>251940425262</v>
      </c>
      <c r="H2468" s="3" t="s">
        <v>18</v>
      </c>
      <c r="I2468" s="3" t="s">
        <v>19</v>
      </c>
      <c r="J2468" s="3" t="s">
        <v>19</v>
      </c>
      <c r="K2468" s="3" t="s">
        <v>25</v>
      </c>
      <c r="L2468" s="3">
        <v>25.88</v>
      </c>
      <c r="M2468" s="3" t="s">
        <v>1695</v>
      </c>
      <c r="N2468" s="3" t="s">
        <v>1696</v>
      </c>
      <c r="O2468" s="3">
        <v>1.94254998769E11</v>
      </c>
    </row>
    <row r="2469">
      <c r="A2469" s="3">
        <v>2618090.0</v>
      </c>
      <c r="B2469" s="3" t="s">
        <v>5173</v>
      </c>
      <c r="C2469" s="3" t="b">
        <v>0</v>
      </c>
      <c r="D2469" s="3" t="b">
        <v>1</v>
      </c>
      <c r="E2469" s="3" t="s">
        <v>5174</v>
      </c>
      <c r="F2469" s="3" t="s">
        <v>5175</v>
      </c>
      <c r="G2469" s="4">
        <f>+251944969349</f>
        <v>251944969349</v>
      </c>
      <c r="H2469" s="3" t="s">
        <v>18</v>
      </c>
      <c r="I2469" s="3" t="s">
        <v>19</v>
      </c>
      <c r="J2469" s="3" t="s">
        <v>19</v>
      </c>
      <c r="K2469" s="3" t="s">
        <v>25</v>
      </c>
      <c r="L2469" s="3">
        <v>23.01</v>
      </c>
      <c r="M2469" s="3" t="s">
        <v>1695</v>
      </c>
      <c r="N2469" s="3" t="s">
        <v>1696</v>
      </c>
      <c r="O2469" s="3">
        <v>1.94256095458E11</v>
      </c>
    </row>
    <row r="2470">
      <c r="A2470" s="3">
        <v>2618101.0</v>
      </c>
      <c r="B2470" s="3" t="s">
        <v>5176</v>
      </c>
      <c r="C2470" s="3" t="b">
        <v>0</v>
      </c>
      <c r="D2470" s="3" t="b">
        <v>1</v>
      </c>
      <c r="E2470" s="3" t="s">
        <v>5177</v>
      </c>
      <c r="F2470" s="3" t="s">
        <v>5178</v>
      </c>
      <c r="G2470" s="4">
        <f>+251929390666</f>
        <v>251929390666</v>
      </c>
      <c r="H2470" s="3" t="s">
        <v>18</v>
      </c>
      <c r="I2470" s="3" t="s">
        <v>19</v>
      </c>
      <c r="J2470" s="3" t="s">
        <v>19</v>
      </c>
      <c r="K2470" s="3" t="s">
        <v>25</v>
      </c>
      <c r="L2470" s="3">
        <v>29.87</v>
      </c>
      <c r="M2470" s="3" t="s">
        <v>1695</v>
      </c>
      <c r="N2470" s="3" t="s">
        <v>1696</v>
      </c>
      <c r="O2470" s="3">
        <v>1.94300466411E11</v>
      </c>
    </row>
    <row r="2471">
      <c r="A2471" s="3">
        <v>2618103.0</v>
      </c>
      <c r="B2471" s="3" t="s">
        <v>5179</v>
      </c>
      <c r="C2471" s="3" t="b">
        <v>0</v>
      </c>
      <c r="D2471" s="3" t="b">
        <v>1</v>
      </c>
      <c r="E2471" s="3" t="s">
        <v>3150</v>
      </c>
      <c r="F2471" s="3" t="s">
        <v>572</v>
      </c>
      <c r="G2471" s="4">
        <f>+251920210515</f>
        <v>251920210515</v>
      </c>
      <c r="H2471" s="3" t="s">
        <v>18</v>
      </c>
      <c r="I2471" s="3" t="s">
        <v>19</v>
      </c>
      <c r="J2471" s="3" t="s">
        <v>19</v>
      </c>
      <c r="K2471" s="3" t="s">
        <v>25</v>
      </c>
      <c r="L2471" s="3">
        <v>30.02</v>
      </c>
      <c r="M2471" s="3" t="s">
        <v>1695</v>
      </c>
      <c r="N2471" s="3" t="s">
        <v>1696</v>
      </c>
      <c r="O2471" s="3">
        <v>1.94261223638E11</v>
      </c>
    </row>
    <row r="2472">
      <c r="A2472" s="3">
        <v>2618104.0</v>
      </c>
      <c r="B2472" s="3" t="s">
        <v>5180</v>
      </c>
      <c r="C2472" s="3" t="b">
        <v>0</v>
      </c>
      <c r="D2472" s="3" t="b">
        <v>1</v>
      </c>
      <c r="E2472" s="3" t="s">
        <v>5181</v>
      </c>
      <c r="F2472" s="3" t="s">
        <v>1905</v>
      </c>
      <c r="G2472" s="4">
        <f>+251900560424</f>
        <v>251900560424</v>
      </c>
      <c r="H2472" s="3" t="s">
        <v>18</v>
      </c>
      <c r="I2472" s="3" t="s">
        <v>19</v>
      </c>
      <c r="J2472" s="3" t="s">
        <v>19</v>
      </c>
      <c r="K2472" s="3" t="s">
        <v>25</v>
      </c>
      <c r="L2472" s="3">
        <v>24.01</v>
      </c>
      <c r="M2472" s="3" t="s">
        <v>1695</v>
      </c>
      <c r="N2472" s="3" t="s">
        <v>1696</v>
      </c>
      <c r="O2472" s="3">
        <v>1.94313337081E11</v>
      </c>
    </row>
    <row r="2473">
      <c r="A2473" s="3">
        <v>2618112.0</v>
      </c>
      <c r="B2473" s="3" t="s">
        <v>5182</v>
      </c>
      <c r="C2473" s="3" t="b">
        <v>0</v>
      </c>
      <c r="D2473" s="3" t="b">
        <v>1</v>
      </c>
      <c r="E2473" s="3" t="s">
        <v>5183</v>
      </c>
      <c r="F2473" s="3" t="s">
        <v>5184</v>
      </c>
      <c r="G2473" s="4">
        <f>+251900316510</f>
        <v>251900316510</v>
      </c>
      <c r="H2473" s="3" t="s">
        <v>18</v>
      </c>
      <c r="I2473" s="3" t="s">
        <v>19</v>
      </c>
      <c r="J2473" s="3" t="s">
        <v>19</v>
      </c>
      <c r="K2473" s="3" t="s">
        <v>20</v>
      </c>
      <c r="L2473" s="3">
        <v>22.95</v>
      </c>
      <c r="M2473" s="3" t="s">
        <v>1695</v>
      </c>
      <c r="N2473" s="3" t="s">
        <v>1696</v>
      </c>
      <c r="O2473" s="3">
        <v>1.94314077428E11</v>
      </c>
    </row>
    <row r="2474">
      <c r="A2474" s="3">
        <v>2618116.0</v>
      </c>
      <c r="B2474" s="3" t="s">
        <v>5185</v>
      </c>
      <c r="C2474" s="3" t="b">
        <v>0</v>
      </c>
      <c r="D2474" s="3" t="b">
        <v>1</v>
      </c>
      <c r="E2474" s="3" t="s">
        <v>3163</v>
      </c>
      <c r="F2474" s="3" t="s">
        <v>649</v>
      </c>
      <c r="G2474" s="4">
        <f>+251927346143</f>
        <v>251927346143</v>
      </c>
      <c r="H2474" s="3" t="s">
        <v>18</v>
      </c>
      <c r="I2474" s="3" t="s">
        <v>19</v>
      </c>
      <c r="J2474" s="3" t="s">
        <v>19</v>
      </c>
      <c r="K2474" s="3" t="s">
        <v>25</v>
      </c>
      <c r="L2474" s="3">
        <v>23.01</v>
      </c>
      <c r="M2474" s="3" t="s">
        <v>1695</v>
      </c>
      <c r="N2474" s="3" t="s">
        <v>1696</v>
      </c>
      <c r="O2474" s="3">
        <v>1.94303019232E11</v>
      </c>
    </row>
    <row r="2475">
      <c r="A2475" s="3">
        <v>2618117.0</v>
      </c>
      <c r="B2475" s="3" t="s">
        <v>5186</v>
      </c>
      <c r="C2475" s="3" t="b">
        <v>0</v>
      </c>
      <c r="D2475" s="3" t="b">
        <v>1</v>
      </c>
      <c r="E2475" s="3" t="s">
        <v>4982</v>
      </c>
      <c r="F2475" s="3" t="s">
        <v>642</v>
      </c>
      <c r="G2475" s="4">
        <f>+251972574979</f>
        <v>251972574979</v>
      </c>
      <c r="H2475" s="3" t="s">
        <v>18</v>
      </c>
      <c r="I2475" s="3" t="s">
        <v>19</v>
      </c>
      <c r="J2475" s="3" t="s">
        <v>19</v>
      </c>
      <c r="K2475" s="3" t="s">
        <v>25</v>
      </c>
      <c r="L2475" s="3">
        <v>25.02</v>
      </c>
      <c r="M2475" s="3" t="s">
        <v>1695</v>
      </c>
      <c r="N2475" s="3" t="s">
        <v>1696</v>
      </c>
      <c r="O2475" s="3">
        <v>1.94314165442E11</v>
      </c>
    </row>
    <row r="2476">
      <c r="A2476" s="3">
        <v>2618120.0</v>
      </c>
      <c r="B2476" s="3" t="s">
        <v>5187</v>
      </c>
      <c r="C2476" s="3" t="b">
        <v>0</v>
      </c>
      <c r="D2476" s="3" t="b">
        <v>1</v>
      </c>
      <c r="E2476" s="3" t="s">
        <v>5188</v>
      </c>
      <c r="F2476" s="3" t="s">
        <v>5189</v>
      </c>
      <c r="G2476" s="4">
        <f>+251966116505</f>
        <v>251966116505</v>
      </c>
      <c r="H2476" s="3" t="s">
        <v>18</v>
      </c>
      <c r="I2476" s="3" t="s">
        <v>19</v>
      </c>
      <c r="J2476" s="3" t="s">
        <v>19</v>
      </c>
      <c r="K2476" s="3" t="s">
        <v>25</v>
      </c>
      <c r="L2476" s="3">
        <v>25.79</v>
      </c>
      <c r="M2476" s="3" t="s">
        <v>1695</v>
      </c>
      <c r="N2476" s="3" t="s">
        <v>1696</v>
      </c>
      <c r="O2476" s="3">
        <v>1.9430593353E11</v>
      </c>
    </row>
    <row r="2477">
      <c r="A2477" s="3">
        <v>2618131.0</v>
      </c>
      <c r="B2477" s="3" t="s">
        <v>5190</v>
      </c>
      <c r="C2477" s="3" t="b">
        <v>0</v>
      </c>
      <c r="D2477" s="3" t="b">
        <v>1</v>
      </c>
      <c r="E2477" s="3" t="s">
        <v>645</v>
      </c>
      <c r="F2477" s="3" t="s">
        <v>5191</v>
      </c>
      <c r="G2477" s="4">
        <f>+251920576559</f>
        <v>251920576559</v>
      </c>
      <c r="H2477" s="3" t="s">
        <v>18</v>
      </c>
      <c r="I2477" s="3" t="s">
        <v>19</v>
      </c>
      <c r="J2477" s="3" t="s">
        <v>19</v>
      </c>
      <c r="K2477" s="3" t="s">
        <v>25</v>
      </c>
      <c r="L2477" s="3">
        <v>22.81</v>
      </c>
      <c r="M2477" s="3" t="s">
        <v>1695</v>
      </c>
      <c r="N2477" s="3" t="s">
        <v>1696</v>
      </c>
      <c r="O2477" s="3">
        <v>1.94272249023E11</v>
      </c>
    </row>
    <row r="2478">
      <c r="A2478" s="3">
        <v>2618141.0</v>
      </c>
      <c r="B2478" s="3" t="s">
        <v>5192</v>
      </c>
      <c r="C2478" s="3" t="b">
        <v>0</v>
      </c>
      <c r="D2478" s="3" t="b">
        <v>1</v>
      </c>
      <c r="E2478" s="3" t="s">
        <v>5193</v>
      </c>
      <c r="F2478" s="3" t="s">
        <v>5146</v>
      </c>
      <c r="G2478" s="4">
        <f>+251966003554</f>
        <v>251966003554</v>
      </c>
      <c r="H2478" s="3" t="s">
        <v>18</v>
      </c>
      <c r="I2478" s="3" t="s">
        <v>19</v>
      </c>
      <c r="J2478" s="3" t="s">
        <v>19</v>
      </c>
      <c r="K2478" s="3" t="s">
        <v>25</v>
      </c>
      <c r="L2478" s="3">
        <v>25.94</v>
      </c>
      <c r="M2478" s="3" t="s">
        <v>1695</v>
      </c>
      <c r="N2478" s="3" t="s">
        <v>1696</v>
      </c>
      <c r="O2478" s="3">
        <v>1.94316524775E11</v>
      </c>
    </row>
    <row r="2479">
      <c r="A2479" s="3">
        <v>2618144.0</v>
      </c>
      <c r="B2479" s="3" t="s">
        <v>5194</v>
      </c>
      <c r="C2479" s="3" t="b">
        <v>0</v>
      </c>
      <c r="D2479" s="3" t="b">
        <v>1</v>
      </c>
      <c r="E2479" s="3" t="s">
        <v>1532</v>
      </c>
      <c r="F2479" s="3" t="s">
        <v>5195</v>
      </c>
      <c r="G2479" s="4">
        <f>+251929965242</f>
        <v>251929965242</v>
      </c>
      <c r="H2479" s="3" t="s">
        <v>18</v>
      </c>
      <c r="I2479" s="3" t="s">
        <v>19</v>
      </c>
      <c r="J2479" s="3" t="s">
        <v>19</v>
      </c>
      <c r="K2479" s="3" t="s">
        <v>25</v>
      </c>
      <c r="L2479" s="3">
        <v>23.28</v>
      </c>
      <c r="M2479" s="3" t="s">
        <v>1695</v>
      </c>
      <c r="N2479" s="3" t="s">
        <v>1696</v>
      </c>
      <c r="O2479" s="3">
        <v>1.94314734841E11</v>
      </c>
    </row>
    <row r="2480">
      <c r="A2480" s="3">
        <v>2618150.0</v>
      </c>
      <c r="B2480" s="3" t="s">
        <v>5196</v>
      </c>
      <c r="C2480" s="3" t="b">
        <v>0</v>
      </c>
      <c r="D2480" s="3" t="b">
        <v>1</v>
      </c>
      <c r="E2480" s="3" t="s">
        <v>5073</v>
      </c>
      <c r="F2480" s="3" t="s">
        <v>5197</v>
      </c>
      <c r="G2480" s="4">
        <f>+251943465699</f>
        <v>251943465699</v>
      </c>
      <c r="H2480" s="3" t="s">
        <v>18</v>
      </c>
      <c r="I2480" s="3" t="s">
        <v>19</v>
      </c>
      <c r="J2480" s="3" t="s">
        <v>19</v>
      </c>
      <c r="K2480" s="3" t="s">
        <v>25</v>
      </c>
      <c r="L2480" s="3">
        <v>25.88</v>
      </c>
      <c r="M2480" s="3" t="s">
        <v>1695</v>
      </c>
      <c r="N2480" s="3" t="s">
        <v>1696</v>
      </c>
      <c r="O2480" s="3">
        <v>1.94320034014E11</v>
      </c>
    </row>
    <row r="2481">
      <c r="A2481" s="3">
        <v>2618156.0</v>
      </c>
      <c r="B2481" s="3" t="s">
        <v>5198</v>
      </c>
      <c r="C2481" s="3" t="b">
        <v>0</v>
      </c>
      <c r="D2481" s="3" t="b">
        <v>1</v>
      </c>
      <c r="E2481" s="3" t="s">
        <v>2023</v>
      </c>
      <c r="F2481" s="3" t="s">
        <v>1673</v>
      </c>
      <c r="G2481" s="4">
        <f>+251939791890</f>
        <v>251939791890</v>
      </c>
      <c r="H2481" s="3" t="s">
        <v>18</v>
      </c>
      <c r="I2481" s="3" t="s">
        <v>19</v>
      </c>
      <c r="J2481" s="3" t="s">
        <v>19</v>
      </c>
      <c r="K2481" s="3" t="s">
        <v>25</v>
      </c>
      <c r="L2481" s="3">
        <v>23.01</v>
      </c>
      <c r="M2481" s="3" t="s">
        <v>1695</v>
      </c>
      <c r="N2481" s="3" t="s">
        <v>1696</v>
      </c>
      <c r="O2481" s="3">
        <v>1.94319287492E11</v>
      </c>
    </row>
    <row r="2482">
      <c r="A2482" s="3">
        <v>2618168.0</v>
      </c>
      <c r="B2482" s="3" t="s">
        <v>5199</v>
      </c>
      <c r="C2482" s="3" t="b">
        <v>0</v>
      </c>
      <c r="D2482" s="3" t="b">
        <v>1</v>
      </c>
      <c r="E2482" s="3" t="s">
        <v>5073</v>
      </c>
      <c r="F2482" s="3" t="s">
        <v>371</v>
      </c>
      <c r="G2482" s="4">
        <f>+251937418496</f>
        <v>251937418496</v>
      </c>
      <c r="H2482" s="3" t="s">
        <v>18</v>
      </c>
      <c r="I2482" s="3" t="s">
        <v>19</v>
      </c>
      <c r="J2482" s="3" t="s">
        <v>19</v>
      </c>
      <c r="K2482" s="3" t="s">
        <v>25</v>
      </c>
      <c r="L2482" s="3">
        <v>24.87</v>
      </c>
      <c r="M2482" s="3" t="s">
        <v>1695</v>
      </c>
      <c r="N2482" s="3" t="s">
        <v>1696</v>
      </c>
      <c r="O2482" s="3">
        <v>1.9432247417E11</v>
      </c>
    </row>
    <row r="2483">
      <c r="A2483" s="3">
        <v>2618183.0</v>
      </c>
      <c r="B2483" s="3" t="s">
        <v>5200</v>
      </c>
      <c r="C2483" s="3" t="b">
        <v>0</v>
      </c>
      <c r="D2483" s="3" t="b">
        <v>1</v>
      </c>
      <c r="E2483" s="3" t="s">
        <v>4982</v>
      </c>
      <c r="F2483" s="3" t="s">
        <v>5201</v>
      </c>
      <c r="G2483" s="4">
        <f>+251979552238</f>
        <v>251979552238</v>
      </c>
      <c r="H2483" s="3" t="s">
        <v>18</v>
      </c>
      <c r="I2483" s="3" t="s">
        <v>19</v>
      </c>
      <c r="J2483" s="3" t="s">
        <v>19</v>
      </c>
      <c r="K2483" s="3" t="s">
        <v>25</v>
      </c>
      <c r="L2483" s="3">
        <v>25.09</v>
      </c>
      <c r="M2483" s="3" t="s">
        <v>1695</v>
      </c>
      <c r="N2483" s="3" t="s">
        <v>1696</v>
      </c>
      <c r="O2483" s="3">
        <v>1.94288185539E11</v>
      </c>
    </row>
    <row r="2484">
      <c r="A2484" s="3">
        <v>2618190.0</v>
      </c>
      <c r="B2484" s="3" t="s">
        <v>5202</v>
      </c>
      <c r="C2484" s="3" t="b">
        <v>0</v>
      </c>
      <c r="D2484" s="3" t="b">
        <v>1</v>
      </c>
      <c r="E2484" s="3" t="s">
        <v>5203</v>
      </c>
      <c r="F2484" s="3" t="s">
        <v>5204</v>
      </c>
      <c r="G2484" s="4">
        <f>+251902005220</f>
        <v>251902005220</v>
      </c>
      <c r="H2484" s="3" t="s">
        <v>18</v>
      </c>
      <c r="I2484" s="3" t="s">
        <v>19</v>
      </c>
      <c r="J2484" s="3" t="s">
        <v>19</v>
      </c>
      <c r="K2484" s="3" t="s">
        <v>25</v>
      </c>
      <c r="L2484" s="3">
        <v>25.94</v>
      </c>
      <c r="M2484" s="3" t="s">
        <v>1695</v>
      </c>
      <c r="N2484" s="3" t="s">
        <v>1696</v>
      </c>
      <c r="O2484" s="3">
        <v>1.94322725074E11</v>
      </c>
    </row>
    <row r="2485">
      <c r="A2485" s="3">
        <v>2270246.0</v>
      </c>
      <c r="B2485" s="3" t="s">
        <v>5205</v>
      </c>
      <c r="C2485" s="3" t="b">
        <v>1</v>
      </c>
      <c r="D2485" s="3" t="b">
        <v>1</v>
      </c>
      <c r="E2485" s="3" t="s">
        <v>3401</v>
      </c>
      <c r="F2485" s="3" t="s">
        <v>613</v>
      </c>
      <c r="G2485" s="4">
        <f>+251919365853</f>
        <v>251919365853</v>
      </c>
      <c r="H2485" s="3" t="s">
        <v>18</v>
      </c>
      <c r="I2485" s="3" t="s">
        <v>19</v>
      </c>
      <c r="J2485" s="3" t="s">
        <v>19</v>
      </c>
      <c r="K2485" s="3" t="s">
        <v>25</v>
      </c>
      <c r="L2485" s="3">
        <v>31.87</v>
      </c>
      <c r="M2485" s="3" t="s">
        <v>1695</v>
      </c>
      <c r="N2485" s="3" t="s">
        <v>1696</v>
      </c>
      <c r="O2485" s="3">
        <v>3.5069161662E10</v>
      </c>
    </row>
    <row r="2486">
      <c r="A2486" s="3">
        <v>2618206.0</v>
      </c>
      <c r="B2486" s="3" t="s">
        <v>5206</v>
      </c>
      <c r="C2486" s="3" t="b">
        <v>0</v>
      </c>
      <c r="D2486" s="3" t="b">
        <v>1</v>
      </c>
      <c r="E2486" s="3" t="s">
        <v>5207</v>
      </c>
      <c r="F2486" s="3" t="s">
        <v>5208</v>
      </c>
      <c r="G2486" s="4">
        <f>+251965324150</f>
        <v>251965324150</v>
      </c>
      <c r="H2486" s="3" t="s">
        <v>18</v>
      </c>
      <c r="I2486" s="3" t="s">
        <v>19</v>
      </c>
      <c r="J2486" s="3" t="s">
        <v>19</v>
      </c>
      <c r="K2486" s="3" t="s">
        <v>25</v>
      </c>
      <c r="L2486" s="3">
        <v>26.88</v>
      </c>
      <c r="M2486" s="3" t="s">
        <v>1695</v>
      </c>
      <c r="N2486" s="3" t="s">
        <v>1696</v>
      </c>
      <c r="O2486" s="3">
        <v>1.94284308691E11</v>
      </c>
    </row>
    <row r="2487">
      <c r="A2487" s="3">
        <v>2618211.0</v>
      </c>
      <c r="B2487" s="3" t="s">
        <v>5209</v>
      </c>
      <c r="C2487" s="3" t="b">
        <v>0</v>
      </c>
      <c r="D2487" s="3" t="b">
        <v>1</v>
      </c>
      <c r="E2487" s="3" t="s">
        <v>5210</v>
      </c>
      <c r="F2487" s="3" t="s">
        <v>5211</v>
      </c>
      <c r="G2487" s="4">
        <f>+251943752387</f>
        <v>251943752387</v>
      </c>
      <c r="H2487" s="3" t="s">
        <v>18</v>
      </c>
      <c r="I2487" s="3" t="s">
        <v>19</v>
      </c>
      <c r="J2487" s="3" t="s">
        <v>19</v>
      </c>
      <c r="K2487" s="3" t="s">
        <v>25</v>
      </c>
      <c r="L2487" s="3">
        <v>25.94</v>
      </c>
      <c r="M2487" s="3" t="s">
        <v>1695</v>
      </c>
      <c r="N2487" s="3" t="s">
        <v>1696</v>
      </c>
      <c r="O2487" s="3">
        <v>1.94291881171E11</v>
      </c>
    </row>
    <row r="2488">
      <c r="A2488" s="3">
        <v>2618220.0</v>
      </c>
      <c r="B2488" s="3" t="s">
        <v>5212</v>
      </c>
      <c r="C2488" s="3" t="b">
        <v>0</v>
      </c>
      <c r="D2488" s="3" t="b">
        <v>1</v>
      </c>
      <c r="E2488" s="3" t="s">
        <v>5213</v>
      </c>
      <c r="F2488" s="3" t="s">
        <v>5214</v>
      </c>
      <c r="G2488" s="4">
        <f>+251961538150</f>
        <v>251961538150</v>
      </c>
      <c r="H2488" s="3" t="s">
        <v>18</v>
      </c>
      <c r="I2488" s="3" t="s">
        <v>19</v>
      </c>
      <c r="J2488" s="3" t="s">
        <v>19</v>
      </c>
      <c r="K2488" s="3" t="s">
        <v>20</v>
      </c>
      <c r="L2488" s="3">
        <v>24.96</v>
      </c>
      <c r="M2488" s="3" t="s">
        <v>1695</v>
      </c>
      <c r="N2488" s="3" t="s">
        <v>1696</v>
      </c>
      <c r="O2488" s="3">
        <v>1.94292089035E11</v>
      </c>
    </row>
    <row r="2489">
      <c r="A2489" s="3">
        <v>2618229.0</v>
      </c>
      <c r="B2489" s="3" t="s">
        <v>5215</v>
      </c>
      <c r="C2489" s="3" t="b">
        <v>0</v>
      </c>
      <c r="D2489" s="3" t="b">
        <v>1</v>
      </c>
      <c r="E2489" s="3" t="s">
        <v>538</v>
      </c>
      <c r="F2489" s="3" t="s">
        <v>5216</v>
      </c>
      <c r="G2489" s="4">
        <f>+251909869070</f>
        <v>251909869070</v>
      </c>
      <c r="H2489" s="3" t="s">
        <v>18</v>
      </c>
      <c r="I2489" s="3" t="s">
        <v>19</v>
      </c>
      <c r="J2489" s="3" t="s">
        <v>19</v>
      </c>
      <c r="K2489" s="3" t="s">
        <v>25</v>
      </c>
      <c r="L2489" s="3">
        <v>24.02</v>
      </c>
      <c r="M2489" s="3" t="s">
        <v>1695</v>
      </c>
      <c r="N2489" s="3" t="s">
        <v>1696</v>
      </c>
      <c r="O2489" s="3">
        <v>1.94287989973E11</v>
      </c>
    </row>
    <row r="2490">
      <c r="A2490" s="3">
        <v>2618232.0</v>
      </c>
      <c r="B2490" s="3" t="s">
        <v>5217</v>
      </c>
      <c r="C2490" s="3" t="b">
        <v>0</v>
      </c>
      <c r="D2490" s="3" t="b">
        <v>1</v>
      </c>
      <c r="E2490" s="3" t="s">
        <v>2181</v>
      </c>
      <c r="F2490" s="3" t="s">
        <v>5131</v>
      </c>
      <c r="G2490" s="4">
        <f>+251952619976</f>
        <v>251952619976</v>
      </c>
      <c r="H2490" s="3" t="s">
        <v>18</v>
      </c>
      <c r="I2490" s="3" t="s">
        <v>19</v>
      </c>
      <c r="J2490" s="3" t="s">
        <v>19</v>
      </c>
      <c r="K2490" s="3" t="s">
        <v>25</v>
      </c>
      <c r="L2490" s="3">
        <v>25.12</v>
      </c>
      <c r="M2490" s="3" t="s">
        <v>1695</v>
      </c>
      <c r="N2490" s="3" t="s">
        <v>1696</v>
      </c>
      <c r="O2490" s="3">
        <v>1.94331955417E11</v>
      </c>
    </row>
    <row r="2491">
      <c r="A2491" s="3">
        <v>2618238.0</v>
      </c>
      <c r="B2491" s="3" t="s">
        <v>5218</v>
      </c>
      <c r="C2491" s="3" t="b">
        <v>0</v>
      </c>
      <c r="D2491" s="3" t="b">
        <v>1</v>
      </c>
      <c r="E2491" s="3" t="s">
        <v>823</v>
      </c>
      <c r="F2491" s="3" t="s">
        <v>5219</v>
      </c>
      <c r="G2491" s="4">
        <f>+251965324150</f>
        <v>251965324150</v>
      </c>
      <c r="H2491" s="3" t="s">
        <v>18</v>
      </c>
      <c r="I2491" s="3" t="s">
        <v>19</v>
      </c>
      <c r="J2491" s="3" t="s">
        <v>19</v>
      </c>
      <c r="K2491" s="3" t="s">
        <v>25</v>
      </c>
      <c r="L2491" s="3">
        <v>27.02</v>
      </c>
      <c r="M2491" s="3" t="s">
        <v>1695</v>
      </c>
      <c r="N2491" s="3" t="s">
        <v>1696</v>
      </c>
      <c r="O2491" s="3">
        <v>1.94321953002E11</v>
      </c>
    </row>
    <row r="2492">
      <c r="A2492" s="3">
        <v>2618217.0</v>
      </c>
      <c r="B2492" s="3" t="s">
        <v>5220</v>
      </c>
      <c r="C2492" s="3" t="b">
        <v>0</v>
      </c>
      <c r="D2492" s="3" t="b">
        <v>1</v>
      </c>
      <c r="E2492" s="3" t="s">
        <v>1084</v>
      </c>
      <c r="F2492" s="3" t="s">
        <v>1085</v>
      </c>
      <c r="G2492" s="4">
        <f>+251991158394</f>
        <v>251991158394</v>
      </c>
      <c r="H2492" s="3" t="s">
        <v>18</v>
      </c>
      <c r="I2492" s="3" t="s">
        <v>19</v>
      </c>
      <c r="J2492" s="3" t="s">
        <v>19</v>
      </c>
      <c r="K2492" s="3" t="s">
        <v>20</v>
      </c>
      <c r="L2492" s="3">
        <v>20.64</v>
      </c>
      <c r="M2492" s="3" t="s">
        <v>1695</v>
      </c>
      <c r="N2492" s="3" t="s">
        <v>1696</v>
      </c>
      <c r="O2492" s="3">
        <v>1.94332699873E11</v>
      </c>
    </row>
    <row r="2493">
      <c r="A2493" s="3">
        <v>2618255.0</v>
      </c>
      <c r="B2493" s="3" t="s">
        <v>5221</v>
      </c>
      <c r="C2493" s="3" t="b">
        <v>0</v>
      </c>
      <c r="D2493" s="3" t="b">
        <v>1</v>
      </c>
      <c r="E2493" s="3" t="s">
        <v>5222</v>
      </c>
      <c r="F2493" s="3" t="s">
        <v>4708</v>
      </c>
      <c r="G2493" s="4">
        <f>+251938422985</f>
        <v>251938422985</v>
      </c>
      <c r="H2493" s="3" t="s">
        <v>18</v>
      </c>
      <c r="I2493" s="3" t="s">
        <v>19</v>
      </c>
      <c r="J2493" s="3" t="s">
        <v>19</v>
      </c>
      <c r="K2493" s="3" t="s">
        <v>25</v>
      </c>
      <c r="L2493" s="3">
        <v>25.02</v>
      </c>
      <c r="M2493" s="3" t="s">
        <v>1695</v>
      </c>
      <c r="N2493" s="3" t="s">
        <v>1696</v>
      </c>
      <c r="O2493" s="3">
        <v>1.94332223712E11</v>
      </c>
    </row>
    <row r="2494">
      <c r="A2494" s="3">
        <v>2618307.0</v>
      </c>
      <c r="B2494" s="3" t="s">
        <v>5223</v>
      </c>
      <c r="C2494" s="3" t="b">
        <v>0</v>
      </c>
      <c r="D2494" s="3" t="b">
        <v>1</v>
      </c>
      <c r="E2494" s="3" t="s">
        <v>1269</v>
      </c>
      <c r="F2494" s="3" t="s">
        <v>2128</v>
      </c>
      <c r="G2494" s="4">
        <f>+251960455606</f>
        <v>251960455606</v>
      </c>
      <c r="H2494" s="3" t="s">
        <v>18</v>
      </c>
      <c r="I2494" s="3" t="s">
        <v>19</v>
      </c>
      <c r="J2494" s="3" t="s">
        <v>19</v>
      </c>
      <c r="K2494" s="3" t="s">
        <v>25</v>
      </c>
      <c r="L2494" s="3">
        <v>25.02</v>
      </c>
      <c r="M2494" s="3" t="s">
        <v>1695</v>
      </c>
      <c r="N2494" s="3" t="s">
        <v>1696</v>
      </c>
      <c r="O2494" s="3">
        <v>1.94338528472E11</v>
      </c>
    </row>
    <row r="2495">
      <c r="A2495" s="3">
        <v>2618311.0</v>
      </c>
      <c r="B2495" s="3" t="s">
        <v>5224</v>
      </c>
      <c r="C2495" s="3" t="b">
        <v>0</v>
      </c>
      <c r="D2495" s="3" t="b">
        <v>1</v>
      </c>
      <c r="E2495" s="3" t="s">
        <v>5225</v>
      </c>
      <c r="F2495" s="3" t="s">
        <v>5226</v>
      </c>
      <c r="G2495" s="4">
        <f>+251941740653</f>
        <v>251941740653</v>
      </c>
      <c r="H2495" s="3" t="s">
        <v>18</v>
      </c>
      <c r="I2495" s="3" t="s">
        <v>19</v>
      </c>
      <c r="J2495" s="3" t="s">
        <v>19</v>
      </c>
      <c r="K2495" s="3" t="s">
        <v>20</v>
      </c>
      <c r="L2495" s="3">
        <v>25.86</v>
      </c>
      <c r="M2495" s="3" t="s">
        <v>1695</v>
      </c>
      <c r="N2495" s="3" t="s">
        <v>1696</v>
      </c>
      <c r="O2495" s="3">
        <v>1.94340808936E11</v>
      </c>
    </row>
    <row r="2496">
      <c r="A2496" s="3">
        <v>2618322.0</v>
      </c>
      <c r="B2496" s="3" t="s">
        <v>5227</v>
      </c>
      <c r="C2496" s="3" t="b">
        <v>0</v>
      </c>
      <c r="D2496" s="3" t="b">
        <v>1</v>
      </c>
      <c r="E2496" s="3" t="s">
        <v>386</v>
      </c>
      <c r="F2496" s="3" t="s">
        <v>2177</v>
      </c>
      <c r="G2496" s="4">
        <f>+251920881595</f>
        <v>251920881595</v>
      </c>
      <c r="H2496" s="3" t="s">
        <v>18</v>
      </c>
      <c r="I2496" s="3" t="s">
        <v>19</v>
      </c>
      <c r="J2496" s="3" t="s">
        <v>19</v>
      </c>
      <c r="K2496" s="3" t="s">
        <v>25</v>
      </c>
      <c r="L2496" s="3">
        <v>24.02</v>
      </c>
      <c r="M2496" s="3" t="s">
        <v>1695</v>
      </c>
      <c r="N2496" s="3" t="s">
        <v>1696</v>
      </c>
      <c r="O2496" s="3">
        <v>1.94339469538E11</v>
      </c>
    </row>
    <row r="2497">
      <c r="A2497" s="3">
        <v>2618324.0</v>
      </c>
      <c r="B2497" s="3" t="s">
        <v>5228</v>
      </c>
      <c r="C2497" s="3" t="b">
        <v>0</v>
      </c>
      <c r="D2497" s="3" t="b">
        <v>1</v>
      </c>
      <c r="E2497" s="3" t="s">
        <v>5229</v>
      </c>
      <c r="F2497" s="3" t="s">
        <v>5230</v>
      </c>
      <c r="G2497" s="4">
        <f>+251917365843</f>
        <v>251917365843</v>
      </c>
      <c r="H2497" s="3" t="s">
        <v>18</v>
      </c>
      <c r="I2497" s="3" t="s">
        <v>19</v>
      </c>
      <c r="J2497" s="3" t="s">
        <v>19</v>
      </c>
      <c r="K2497" s="3" t="s">
        <v>25</v>
      </c>
      <c r="L2497" s="3">
        <v>27.84</v>
      </c>
      <c r="M2497" s="3" t="s">
        <v>1695</v>
      </c>
      <c r="N2497" s="3" t="s">
        <v>1696</v>
      </c>
      <c r="O2497" s="3">
        <v>1.94375549157E11</v>
      </c>
    </row>
    <row r="2498">
      <c r="A2498" s="3">
        <v>2618330.0</v>
      </c>
      <c r="B2498" s="3" t="s">
        <v>5231</v>
      </c>
      <c r="C2498" s="3" t="b">
        <v>0</v>
      </c>
      <c r="D2498" s="3" t="b">
        <v>1</v>
      </c>
      <c r="E2498" s="3" t="s">
        <v>328</v>
      </c>
      <c r="F2498" s="3" t="s">
        <v>559</v>
      </c>
      <c r="G2498" s="4">
        <f>+251953908203</f>
        <v>251953908203</v>
      </c>
      <c r="H2498" s="3" t="s">
        <v>18</v>
      </c>
      <c r="I2498" s="3" t="s">
        <v>19</v>
      </c>
      <c r="J2498" s="3" t="s">
        <v>19</v>
      </c>
      <c r="K2498" s="3" t="s">
        <v>25</v>
      </c>
      <c r="L2498" s="3">
        <v>22.02</v>
      </c>
      <c r="M2498" s="3" t="s">
        <v>1695</v>
      </c>
      <c r="N2498" s="3" t="s">
        <v>1696</v>
      </c>
      <c r="O2498" s="3">
        <v>1.9434188205E11</v>
      </c>
    </row>
    <row r="2499">
      <c r="A2499" s="3">
        <v>2618169.0</v>
      </c>
      <c r="B2499" s="3" t="s">
        <v>5232</v>
      </c>
      <c r="C2499" s="3" t="b">
        <v>0</v>
      </c>
      <c r="D2499" s="3" t="b">
        <v>1</v>
      </c>
      <c r="E2499" s="3" t="s">
        <v>5233</v>
      </c>
      <c r="F2499" s="3" t="s">
        <v>1356</v>
      </c>
      <c r="G2499" s="4">
        <f>+251960796425</f>
        <v>251960796425</v>
      </c>
      <c r="H2499" s="3" t="s">
        <v>18</v>
      </c>
      <c r="I2499" s="3" t="s">
        <v>19</v>
      </c>
      <c r="J2499" s="3" t="s">
        <v>19</v>
      </c>
      <c r="K2499" s="3" t="s">
        <v>20</v>
      </c>
      <c r="L2499" s="3">
        <v>26.02</v>
      </c>
      <c r="M2499" s="3" t="s">
        <v>1695</v>
      </c>
      <c r="N2499" s="3" t="s">
        <v>1696</v>
      </c>
      <c r="O2499" s="3">
        <v>1.94321819879E11</v>
      </c>
    </row>
    <row r="2500">
      <c r="A2500" s="3">
        <v>2618331.0</v>
      </c>
      <c r="B2500" s="3" t="s">
        <v>5234</v>
      </c>
      <c r="C2500" s="3" t="b">
        <v>0</v>
      </c>
      <c r="D2500" s="3" t="b">
        <v>1</v>
      </c>
      <c r="E2500" s="3" t="s">
        <v>5235</v>
      </c>
      <c r="F2500" s="3" t="s">
        <v>649</v>
      </c>
      <c r="G2500" s="4">
        <f>+251920881595</f>
        <v>251920881595</v>
      </c>
      <c r="H2500" s="3" t="s">
        <v>18</v>
      </c>
      <c r="I2500" s="3" t="s">
        <v>19</v>
      </c>
      <c r="J2500" s="3" t="s">
        <v>19</v>
      </c>
      <c r="K2500" s="3" t="s">
        <v>20</v>
      </c>
      <c r="L2500" s="3">
        <v>26.02</v>
      </c>
      <c r="M2500" s="3" t="s">
        <v>1695</v>
      </c>
      <c r="N2500" s="3" t="s">
        <v>1696</v>
      </c>
      <c r="O2500" s="3">
        <v>1.94349982957E11</v>
      </c>
    </row>
    <row r="2501">
      <c r="A2501" s="3">
        <v>2618340.0</v>
      </c>
      <c r="B2501" s="3" t="s">
        <v>5236</v>
      </c>
      <c r="C2501" s="3" t="b">
        <v>0</v>
      </c>
      <c r="D2501" s="3" t="b">
        <v>1</v>
      </c>
      <c r="E2501" s="3" t="s">
        <v>1954</v>
      </c>
      <c r="F2501" s="3" t="s">
        <v>5237</v>
      </c>
      <c r="G2501" s="4">
        <f>+251922505845</f>
        <v>251922505845</v>
      </c>
      <c r="H2501" s="3" t="s">
        <v>18</v>
      </c>
      <c r="I2501" s="3" t="s">
        <v>19</v>
      </c>
      <c r="J2501" s="3" t="s">
        <v>19</v>
      </c>
      <c r="K2501" s="3" t="s">
        <v>25</v>
      </c>
      <c r="L2501" s="3">
        <v>25.02</v>
      </c>
      <c r="M2501" s="3" t="s">
        <v>1695</v>
      </c>
      <c r="N2501" s="3" t="s">
        <v>1696</v>
      </c>
      <c r="O2501" s="3">
        <v>1.94341189826E11</v>
      </c>
    </row>
    <row r="2502">
      <c r="A2502" s="3">
        <v>2618350.0</v>
      </c>
      <c r="B2502" s="3" t="s">
        <v>5238</v>
      </c>
      <c r="C2502" s="3" t="b">
        <v>0</v>
      </c>
      <c r="D2502" s="3" t="b">
        <v>1</v>
      </c>
      <c r="E2502" s="3" t="s">
        <v>3140</v>
      </c>
      <c r="F2502" s="3" t="s">
        <v>5239</v>
      </c>
      <c r="G2502" s="4">
        <f>+251975811798</f>
        <v>251975811798</v>
      </c>
      <c r="H2502" s="3" t="s">
        <v>18</v>
      </c>
      <c r="I2502" s="3" t="s">
        <v>19</v>
      </c>
      <c r="J2502" s="3" t="s">
        <v>19</v>
      </c>
      <c r="K2502" s="3" t="s">
        <v>20</v>
      </c>
      <c r="L2502" s="3">
        <v>24.02</v>
      </c>
      <c r="M2502" s="3" t="s">
        <v>1695</v>
      </c>
      <c r="N2502" s="3" t="s">
        <v>1696</v>
      </c>
      <c r="O2502" s="3">
        <v>1.94350199033E11</v>
      </c>
    </row>
    <row r="2503">
      <c r="A2503" s="3">
        <v>2618365.0</v>
      </c>
      <c r="B2503" s="3" t="s">
        <v>5240</v>
      </c>
      <c r="C2503" s="3" t="b">
        <v>0</v>
      </c>
      <c r="D2503" s="3" t="b">
        <v>1</v>
      </c>
      <c r="E2503" s="3" t="s">
        <v>85</v>
      </c>
      <c r="F2503" s="3" t="s">
        <v>1882</v>
      </c>
      <c r="G2503" s="4">
        <f>+251967250896</f>
        <v>251967250896</v>
      </c>
      <c r="H2503" s="3" t="s">
        <v>18</v>
      </c>
      <c r="I2503" s="3" t="s">
        <v>19</v>
      </c>
      <c r="J2503" s="3" t="s">
        <v>19</v>
      </c>
      <c r="K2503" s="3" t="s">
        <v>25</v>
      </c>
      <c r="L2503" s="3">
        <v>27.02</v>
      </c>
      <c r="M2503" s="3" t="s">
        <v>1695</v>
      </c>
      <c r="N2503" s="3" t="s">
        <v>1696</v>
      </c>
      <c r="O2503" s="3">
        <v>1.94342403283E11</v>
      </c>
    </row>
    <row r="2504">
      <c r="A2504" s="3">
        <v>2618342.0</v>
      </c>
      <c r="B2504" s="3" t="s">
        <v>5241</v>
      </c>
      <c r="C2504" s="3" t="b">
        <v>0</v>
      </c>
      <c r="D2504" s="3" t="b">
        <v>1</v>
      </c>
      <c r="E2504" s="3" t="s">
        <v>35</v>
      </c>
      <c r="F2504" s="3" t="s">
        <v>5242</v>
      </c>
      <c r="G2504" s="4">
        <f>+251925846338</f>
        <v>251925846338</v>
      </c>
      <c r="H2504" s="3" t="s">
        <v>18</v>
      </c>
      <c r="I2504" s="3" t="s">
        <v>19</v>
      </c>
      <c r="J2504" s="3" t="s">
        <v>19</v>
      </c>
      <c r="K2504" s="3" t="s">
        <v>25</v>
      </c>
      <c r="L2504" s="3">
        <v>23.93</v>
      </c>
      <c r="M2504" s="3" t="s">
        <v>1695</v>
      </c>
      <c r="N2504" s="3" t="s">
        <v>1696</v>
      </c>
      <c r="O2504" s="3">
        <v>1.94347034814E11</v>
      </c>
    </row>
    <row r="2505">
      <c r="A2505" s="3">
        <v>2618374.0</v>
      </c>
      <c r="B2505" s="3" t="s">
        <v>5243</v>
      </c>
      <c r="C2505" s="3" t="b">
        <v>0</v>
      </c>
      <c r="D2505" s="3" t="b">
        <v>1</v>
      </c>
      <c r="E2505" s="3" t="s">
        <v>2535</v>
      </c>
      <c r="F2505" s="3" t="s">
        <v>168</v>
      </c>
      <c r="G2505" s="4">
        <f>+251904642844</f>
        <v>251904642844</v>
      </c>
      <c r="H2505" s="3" t="s">
        <v>18</v>
      </c>
      <c r="I2505" s="3" t="s">
        <v>19</v>
      </c>
      <c r="J2505" s="3" t="s">
        <v>19</v>
      </c>
      <c r="K2505" s="3" t="s">
        <v>20</v>
      </c>
      <c r="L2505" s="3">
        <v>27.02</v>
      </c>
      <c r="M2505" s="3" t="s">
        <v>1695</v>
      </c>
      <c r="N2505" s="3" t="s">
        <v>1696</v>
      </c>
      <c r="O2505" s="3">
        <v>1.94382174441E11</v>
      </c>
    </row>
    <row r="2506">
      <c r="A2506" s="3">
        <v>2618382.0</v>
      </c>
      <c r="B2506" s="3" t="s">
        <v>5244</v>
      </c>
      <c r="C2506" s="3" t="b">
        <v>0</v>
      </c>
      <c r="D2506" s="3" t="b">
        <v>1</v>
      </c>
      <c r="E2506" s="3" t="s">
        <v>5245</v>
      </c>
      <c r="F2506" s="3" t="s">
        <v>425</v>
      </c>
      <c r="G2506" s="4">
        <f>+251967203156</f>
        <v>251967203156</v>
      </c>
      <c r="H2506" s="3" t="s">
        <v>18</v>
      </c>
      <c r="I2506" s="3" t="s">
        <v>19</v>
      </c>
      <c r="J2506" s="3" t="s">
        <v>19</v>
      </c>
      <c r="K2506" s="3" t="s">
        <v>25</v>
      </c>
      <c r="L2506" s="3">
        <v>30.02</v>
      </c>
      <c r="M2506" s="3" t="s">
        <v>1695</v>
      </c>
      <c r="N2506" s="3" t="s">
        <v>1696</v>
      </c>
      <c r="O2506" s="3">
        <v>1.94350475485E11</v>
      </c>
    </row>
    <row r="2507">
      <c r="A2507" s="3">
        <v>2618383.0</v>
      </c>
      <c r="B2507" s="3" t="s">
        <v>5246</v>
      </c>
      <c r="C2507" s="3" t="b">
        <v>0</v>
      </c>
      <c r="D2507" s="3" t="b">
        <v>1</v>
      </c>
      <c r="E2507" s="3" t="s">
        <v>1532</v>
      </c>
      <c r="F2507" s="3" t="s">
        <v>4296</v>
      </c>
      <c r="G2507" s="4">
        <f>+251917892356</f>
        <v>251917892356</v>
      </c>
      <c r="H2507" s="3" t="s">
        <v>18</v>
      </c>
      <c r="I2507" s="3" t="s">
        <v>19</v>
      </c>
      <c r="J2507" s="3" t="s">
        <v>19</v>
      </c>
      <c r="K2507" s="3" t="s">
        <v>25</v>
      </c>
      <c r="L2507" s="3">
        <v>25.96</v>
      </c>
      <c r="M2507" s="3" t="s">
        <v>1695</v>
      </c>
      <c r="N2507" s="3" t="s">
        <v>1696</v>
      </c>
      <c r="O2507" s="3">
        <v>1.94347707612E11</v>
      </c>
    </row>
    <row r="2508">
      <c r="A2508" s="3">
        <v>2618392.0</v>
      </c>
      <c r="B2508" s="3" t="s">
        <v>5247</v>
      </c>
      <c r="C2508" s="3" t="b">
        <v>0</v>
      </c>
      <c r="D2508" s="3" t="b">
        <v>1</v>
      </c>
      <c r="E2508" s="3" t="s">
        <v>58</v>
      </c>
      <c r="F2508" s="3" t="s">
        <v>404</v>
      </c>
      <c r="G2508" s="4">
        <f>+251909432998</f>
        <v>251909432998</v>
      </c>
      <c r="H2508" s="3" t="s">
        <v>18</v>
      </c>
      <c r="I2508" s="3" t="s">
        <v>19</v>
      </c>
      <c r="J2508" s="3" t="s">
        <v>19</v>
      </c>
      <c r="K2508" s="3" t="s">
        <v>25</v>
      </c>
      <c r="L2508" s="3">
        <v>26.02</v>
      </c>
      <c r="M2508" s="3" t="s">
        <v>1695</v>
      </c>
      <c r="N2508" s="3" t="s">
        <v>1696</v>
      </c>
      <c r="O2508" s="3">
        <v>1.94361161955E11</v>
      </c>
    </row>
    <row r="2509">
      <c r="A2509" s="3">
        <v>2618403.0</v>
      </c>
      <c r="B2509" s="3" t="s">
        <v>5248</v>
      </c>
      <c r="C2509" s="3" t="b">
        <v>0</v>
      </c>
      <c r="D2509" s="3" t="b">
        <v>1</v>
      </c>
      <c r="E2509" s="3" t="s">
        <v>1522</v>
      </c>
      <c r="F2509" s="3" t="s">
        <v>532</v>
      </c>
      <c r="G2509" s="4">
        <f>+251904593301</f>
        <v>251904593301</v>
      </c>
      <c r="H2509" s="3" t="s">
        <v>18</v>
      </c>
      <c r="I2509" s="3" t="s">
        <v>19</v>
      </c>
      <c r="J2509" s="3" t="s">
        <v>19</v>
      </c>
      <c r="K2509" s="3" t="s">
        <v>25</v>
      </c>
      <c r="L2509" s="3">
        <v>29.02</v>
      </c>
      <c r="M2509" s="3" t="s">
        <v>1695</v>
      </c>
      <c r="N2509" s="3" t="s">
        <v>1696</v>
      </c>
      <c r="O2509" s="3">
        <v>1.94360341695E11</v>
      </c>
    </row>
    <row r="2510">
      <c r="A2510" s="3">
        <v>2618404.0</v>
      </c>
      <c r="B2510" s="3" t="s">
        <v>5249</v>
      </c>
      <c r="C2510" s="3" t="b">
        <v>0</v>
      </c>
      <c r="D2510" s="3" t="b">
        <v>1</v>
      </c>
      <c r="E2510" s="3" t="s">
        <v>5250</v>
      </c>
      <c r="F2510" s="3" t="s">
        <v>115</v>
      </c>
      <c r="G2510" s="4">
        <f>+251912967383</f>
        <v>251912967383</v>
      </c>
      <c r="H2510" s="3" t="s">
        <v>18</v>
      </c>
      <c r="I2510" s="3" t="s">
        <v>19</v>
      </c>
      <c r="J2510" s="3" t="s">
        <v>19</v>
      </c>
      <c r="K2510" s="3" t="s">
        <v>25</v>
      </c>
      <c r="L2510" s="3">
        <v>27.44</v>
      </c>
      <c r="M2510" s="3" t="s">
        <v>1695</v>
      </c>
      <c r="N2510" s="3" t="s">
        <v>1696</v>
      </c>
      <c r="O2510" s="3">
        <v>1.94395359478E11</v>
      </c>
    </row>
    <row r="2511">
      <c r="A2511" s="3">
        <v>2618409.0</v>
      </c>
      <c r="B2511" s="3" t="s">
        <v>5251</v>
      </c>
      <c r="C2511" s="3" t="b">
        <v>0</v>
      </c>
      <c r="D2511" s="3" t="b">
        <v>1</v>
      </c>
      <c r="E2511" s="3" t="s">
        <v>911</v>
      </c>
      <c r="F2511" s="3" t="s">
        <v>3922</v>
      </c>
      <c r="G2511" s="4">
        <f>+251922770965</f>
        <v>251922770965</v>
      </c>
      <c r="H2511" s="3" t="s">
        <v>18</v>
      </c>
      <c r="I2511" s="3" t="s">
        <v>19</v>
      </c>
      <c r="J2511" s="3" t="s">
        <v>19</v>
      </c>
      <c r="K2511" s="3" t="s">
        <v>25</v>
      </c>
      <c r="L2511" s="3">
        <v>25.88</v>
      </c>
      <c r="M2511" s="3" t="s">
        <v>1695</v>
      </c>
      <c r="N2511" s="3" t="s">
        <v>1696</v>
      </c>
      <c r="O2511" s="3">
        <v>1.94392049896E11</v>
      </c>
    </row>
    <row r="2512">
      <c r="A2512" s="3">
        <v>2618413.0</v>
      </c>
      <c r="B2512" s="3" t="s">
        <v>5252</v>
      </c>
      <c r="C2512" s="3" t="b">
        <v>1</v>
      </c>
      <c r="D2512" s="3" t="b">
        <v>1</v>
      </c>
      <c r="E2512" s="3" t="s">
        <v>5253</v>
      </c>
      <c r="F2512" s="3" t="s">
        <v>5254</v>
      </c>
      <c r="G2512" s="4">
        <f>+251092698286</f>
        <v>251092698286</v>
      </c>
      <c r="H2512" s="3" t="s">
        <v>18</v>
      </c>
      <c r="I2512" s="3" t="s">
        <v>19</v>
      </c>
      <c r="J2512" s="3" t="s">
        <v>19</v>
      </c>
      <c r="K2512" s="3" t="s">
        <v>25</v>
      </c>
      <c r="L2512" s="3">
        <v>25.77</v>
      </c>
      <c r="M2512" s="3" t="s">
        <v>1695</v>
      </c>
      <c r="N2512" s="3" t="s">
        <v>1696</v>
      </c>
      <c r="O2512" s="3">
        <v>2.3468554E7</v>
      </c>
    </row>
    <row r="2513">
      <c r="A2513" s="3">
        <v>2618414.0</v>
      </c>
      <c r="B2513" s="3" t="s">
        <v>5255</v>
      </c>
      <c r="C2513" s="3" t="b">
        <v>0</v>
      </c>
      <c r="D2513" s="3" t="b">
        <v>1</v>
      </c>
      <c r="E2513" s="3" t="s">
        <v>3059</v>
      </c>
      <c r="F2513" s="3" t="s">
        <v>5256</v>
      </c>
      <c r="G2513" s="4">
        <f>+251946114468</f>
        <v>251946114468</v>
      </c>
      <c r="H2513" s="3" t="s">
        <v>18</v>
      </c>
      <c r="I2513" s="3" t="s">
        <v>19</v>
      </c>
      <c r="J2513" s="3" t="s">
        <v>19</v>
      </c>
      <c r="K2513" s="3" t="s">
        <v>25</v>
      </c>
      <c r="L2513" s="3">
        <v>26.02</v>
      </c>
      <c r="M2513" s="3" t="s">
        <v>1695</v>
      </c>
      <c r="N2513" s="3" t="s">
        <v>1696</v>
      </c>
      <c r="O2513" s="3">
        <v>1.94392158401E11</v>
      </c>
    </row>
    <row r="2514">
      <c r="A2514" s="3">
        <v>2416997.0</v>
      </c>
      <c r="B2514" s="3" t="s">
        <v>5257</v>
      </c>
      <c r="C2514" s="3" t="b">
        <v>1</v>
      </c>
      <c r="D2514" s="3" t="b">
        <v>1</v>
      </c>
      <c r="E2514" s="3" t="s">
        <v>795</v>
      </c>
      <c r="F2514" s="3" t="s">
        <v>2931</v>
      </c>
      <c r="G2514" s="3">
        <v>9.46561459E8</v>
      </c>
      <c r="H2514" s="3" t="s">
        <v>18</v>
      </c>
      <c r="I2514" s="3" t="s">
        <v>19</v>
      </c>
      <c r="J2514" s="3" t="s">
        <v>19</v>
      </c>
      <c r="K2514" s="3" t="s">
        <v>25</v>
      </c>
      <c r="L2514" s="3">
        <v>23.16</v>
      </c>
      <c r="M2514" s="3" t="s">
        <v>1695</v>
      </c>
      <c r="N2514" s="3" t="s">
        <v>1696</v>
      </c>
      <c r="O2514" s="3">
        <v>1301200.0</v>
      </c>
    </row>
    <row r="2515">
      <c r="A2515" s="3">
        <v>2618420.0</v>
      </c>
      <c r="B2515" s="3" t="s">
        <v>5258</v>
      </c>
      <c r="C2515" s="3" t="b">
        <v>0</v>
      </c>
      <c r="D2515" s="3" t="b">
        <v>1</v>
      </c>
      <c r="E2515" s="3" t="s">
        <v>316</v>
      </c>
      <c r="F2515" s="3" t="s">
        <v>446</v>
      </c>
      <c r="G2515" s="4">
        <f>+251996967075</f>
        <v>251996967075</v>
      </c>
      <c r="H2515" s="3" t="s">
        <v>18</v>
      </c>
      <c r="I2515" s="3" t="s">
        <v>19</v>
      </c>
      <c r="J2515" s="3" t="s">
        <v>19</v>
      </c>
      <c r="K2515" s="3" t="s">
        <v>25</v>
      </c>
      <c r="L2515" s="3">
        <v>32.02</v>
      </c>
      <c r="M2515" s="3" t="s">
        <v>1695</v>
      </c>
      <c r="N2515" s="3" t="s">
        <v>1696</v>
      </c>
      <c r="O2515" s="3">
        <v>1.94359528651E11</v>
      </c>
    </row>
    <row r="2516">
      <c r="A2516" s="3">
        <v>2618421.0</v>
      </c>
      <c r="B2516" s="3" t="s">
        <v>5259</v>
      </c>
      <c r="C2516" s="3" t="b">
        <v>0</v>
      </c>
      <c r="D2516" s="3" t="b">
        <v>1</v>
      </c>
      <c r="E2516" s="3" t="s">
        <v>5260</v>
      </c>
      <c r="F2516" s="3" t="s">
        <v>3868</v>
      </c>
      <c r="G2516" s="4">
        <f>+251901016470</f>
        <v>251901016470</v>
      </c>
      <c r="H2516" s="3" t="s">
        <v>18</v>
      </c>
      <c r="I2516" s="3" t="s">
        <v>19</v>
      </c>
      <c r="J2516" s="3" t="s">
        <v>19</v>
      </c>
      <c r="K2516" s="3" t="s">
        <v>20</v>
      </c>
      <c r="L2516" s="3">
        <v>26.95</v>
      </c>
      <c r="M2516" s="3" t="s">
        <v>1695</v>
      </c>
      <c r="N2516" s="3" t="s">
        <v>1696</v>
      </c>
      <c r="O2516" s="3">
        <v>1.94360484046E11</v>
      </c>
    </row>
    <row r="2517">
      <c r="A2517" s="3">
        <v>2618416.0</v>
      </c>
      <c r="B2517" s="3" t="s">
        <v>5261</v>
      </c>
      <c r="C2517" s="3" t="b">
        <v>0</v>
      </c>
      <c r="D2517" s="3" t="b">
        <v>1</v>
      </c>
      <c r="E2517" s="3" t="s">
        <v>5262</v>
      </c>
      <c r="F2517" s="3" t="s">
        <v>795</v>
      </c>
      <c r="G2517" s="4">
        <f>+10931412984</f>
        <v>10931412984</v>
      </c>
      <c r="H2517" s="3" t="s">
        <v>18</v>
      </c>
      <c r="I2517" s="3" t="s">
        <v>19</v>
      </c>
      <c r="J2517" s="3" t="s">
        <v>19</v>
      </c>
      <c r="K2517" s="3" t="s">
        <v>25</v>
      </c>
      <c r="L2517" s="3">
        <v>23.02</v>
      </c>
      <c r="M2517" s="3" t="s">
        <v>1695</v>
      </c>
      <c r="N2517" s="3" t="s">
        <v>1696</v>
      </c>
      <c r="O2517" s="3">
        <v>1.94392242411E11</v>
      </c>
    </row>
    <row r="2518">
      <c r="A2518" s="3">
        <v>2618422.0</v>
      </c>
      <c r="B2518" s="3" t="s">
        <v>5263</v>
      </c>
      <c r="C2518" s="3" t="b">
        <v>0</v>
      </c>
      <c r="D2518" s="3" t="b">
        <v>1</v>
      </c>
      <c r="E2518" s="3" t="s">
        <v>5264</v>
      </c>
      <c r="F2518" s="3" t="s">
        <v>5265</v>
      </c>
      <c r="G2518" s="4">
        <f>+251930973935</f>
        <v>251930973935</v>
      </c>
      <c r="H2518" s="3" t="s">
        <v>18</v>
      </c>
      <c r="I2518" s="3" t="s">
        <v>19</v>
      </c>
      <c r="J2518" s="3" t="s">
        <v>19</v>
      </c>
      <c r="K2518" s="3" t="s">
        <v>25</v>
      </c>
      <c r="L2518" s="3">
        <v>21.35</v>
      </c>
      <c r="M2518" s="3" t="s">
        <v>1695</v>
      </c>
      <c r="N2518" s="3" t="s">
        <v>1696</v>
      </c>
      <c r="O2518" s="3">
        <v>1.94365173952E11</v>
      </c>
    </row>
    <row r="2519">
      <c r="A2519" s="3">
        <v>2618428.0</v>
      </c>
      <c r="B2519" s="3" t="s">
        <v>5266</v>
      </c>
      <c r="C2519" s="3" t="b">
        <v>0</v>
      </c>
      <c r="D2519" s="3" t="b">
        <v>1</v>
      </c>
      <c r="E2519" s="3" t="s">
        <v>3880</v>
      </c>
      <c r="F2519" s="3" t="s">
        <v>271</v>
      </c>
      <c r="G2519" s="4">
        <f>+251963814870</f>
        <v>251963814870</v>
      </c>
      <c r="H2519" s="3" t="s">
        <v>18</v>
      </c>
      <c r="I2519" s="3" t="s">
        <v>19</v>
      </c>
      <c r="J2519" s="3" t="s">
        <v>19</v>
      </c>
      <c r="K2519" s="3" t="s">
        <v>25</v>
      </c>
      <c r="L2519" s="3">
        <v>27.02</v>
      </c>
      <c r="M2519" s="3" t="s">
        <v>1695</v>
      </c>
      <c r="N2519" s="3" t="s">
        <v>1696</v>
      </c>
      <c r="O2519" s="3">
        <v>1.94361486533E11</v>
      </c>
    </row>
    <row r="2520">
      <c r="A2520" s="3">
        <v>2618432.0</v>
      </c>
      <c r="B2520" s="3" t="s">
        <v>5267</v>
      </c>
      <c r="C2520" s="3" t="b">
        <v>0</v>
      </c>
      <c r="D2520" s="3" t="b">
        <v>1</v>
      </c>
      <c r="E2520" s="3" t="s">
        <v>3353</v>
      </c>
      <c r="F2520" s="3" t="s">
        <v>795</v>
      </c>
      <c r="G2520" s="4">
        <f>+251937837274</f>
        <v>251937837274</v>
      </c>
      <c r="H2520" s="3" t="s">
        <v>18</v>
      </c>
      <c r="I2520" s="3" t="s">
        <v>19</v>
      </c>
      <c r="J2520" s="3" t="s">
        <v>19</v>
      </c>
      <c r="K2520" s="3" t="s">
        <v>25</v>
      </c>
      <c r="L2520" s="3">
        <v>28.95</v>
      </c>
      <c r="M2520" s="3" t="s">
        <v>1695</v>
      </c>
      <c r="N2520" s="3" t="s">
        <v>1696</v>
      </c>
      <c r="O2520" s="3">
        <v>1.94390437113E11</v>
      </c>
    </row>
    <row r="2521">
      <c r="A2521" s="3">
        <v>2618435.0</v>
      </c>
      <c r="B2521" s="3" t="s">
        <v>5268</v>
      </c>
      <c r="C2521" s="3" t="b">
        <v>0</v>
      </c>
      <c r="D2521" s="3" t="b">
        <v>1</v>
      </c>
      <c r="E2521" s="3" t="s">
        <v>5084</v>
      </c>
      <c r="F2521" s="3" t="s">
        <v>5269</v>
      </c>
      <c r="G2521" s="4">
        <f>+251995959283</f>
        <v>251995959283</v>
      </c>
      <c r="H2521" s="3" t="s">
        <v>18</v>
      </c>
      <c r="I2521" s="3" t="s">
        <v>19</v>
      </c>
      <c r="J2521" s="3" t="s">
        <v>19</v>
      </c>
      <c r="K2521" s="3" t="s">
        <v>25</v>
      </c>
      <c r="L2521" s="3">
        <v>35.44</v>
      </c>
      <c r="M2521" s="3" t="s">
        <v>1695</v>
      </c>
      <c r="N2521" s="3" t="s">
        <v>1696</v>
      </c>
      <c r="O2521" s="3">
        <v>1.94358771947E11</v>
      </c>
    </row>
    <row r="2522">
      <c r="A2522" s="3">
        <v>2618438.0</v>
      </c>
      <c r="B2522" s="3" t="s">
        <v>5270</v>
      </c>
      <c r="C2522" s="3" t="b">
        <v>0</v>
      </c>
      <c r="D2522" s="3" t="b">
        <v>1</v>
      </c>
      <c r="E2522" s="3" t="s">
        <v>96</v>
      </c>
      <c r="F2522" s="3" t="s">
        <v>1152</v>
      </c>
      <c r="G2522" s="4">
        <f>+251919741516</f>
        <v>251919741516</v>
      </c>
      <c r="H2522" s="3" t="s">
        <v>18</v>
      </c>
      <c r="I2522" s="3" t="s">
        <v>19</v>
      </c>
      <c r="J2522" s="3" t="s">
        <v>19</v>
      </c>
      <c r="K2522" s="3" t="s">
        <v>25</v>
      </c>
      <c r="L2522" s="3">
        <v>28.02</v>
      </c>
      <c r="M2522" s="3" t="s">
        <v>1695</v>
      </c>
      <c r="N2522" s="3" t="s">
        <v>1696</v>
      </c>
      <c r="O2522" s="3">
        <v>1.94358799566E11</v>
      </c>
    </row>
    <row r="2523">
      <c r="A2523" s="3">
        <v>2618443.0</v>
      </c>
      <c r="B2523" s="3" t="s">
        <v>5271</v>
      </c>
      <c r="C2523" s="3" t="b">
        <v>0</v>
      </c>
      <c r="D2523" s="3" t="b">
        <v>1</v>
      </c>
      <c r="E2523" s="3" t="s">
        <v>2875</v>
      </c>
      <c r="F2523" s="3" t="s">
        <v>5272</v>
      </c>
      <c r="G2523" s="4">
        <f>+251922606130</f>
        <v>251922606130</v>
      </c>
      <c r="H2523" s="3" t="s">
        <v>18</v>
      </c>
      <c r="I2523" s="3" t="s">
        <v>19</v>
      </c>
      <c r="J2523" s="3" t="s">
        <v>19</v>
      </c>
      <c r="K2523" s="3" t="s">
        <v>25</v>
      </c>
      <c r="L2523" s="3">
        <v>22.02</v>
      </c>
      <c r="M2523" s="3" t="s">
        <v>1695</v>
      </c>
      <c r="N2523" s="3" t="s">
        <v>1696</v>
      </c>
      <c r="O2523" s="3">
        <v>1.94365740232E11</v>
      </c>
    </row>
    <row r="2524">
      <c r="A2524" s="3">
        <v>2618447.0</v>
      </c>
      <c r="B2524" s="3" t="s">
        <v>5273</v>
      </c>
      <c r="C2524" s="3" t="b">
        <v>0</v>
      </c>
      <c r="D2524" s="3" t="b">
        <v>1</v>
      </c>
      <c r="E2524" s="3" t="s">
        <v>1114</v>
      </c>
      <c r="F2524" s="3" t="s">
        <v>27</v>
      </c>
      <c r="G2524" s="4">
        <f>+251974786894</f>
        <v>251974786894</v>
      </c>
      <c r="H2524" s="3" t="s">
        <v>18</v>
      </c>
      <c r="I2524" s="3" t="s">
        <v>19</v>
      </c>
      <c r="J2524" s="3" t="s">
        <v>19</v>
      </c>
      <c r="K2524" s="3" t="s">
        <v>25</v>
      </c>
      <c r="L2524" s="3">
        <v>26.28</v>
      </c>
      <c r="M2524" s="3" t="s">
        <v>1695</v>
      </c>
      <c r="N2524" s="3" t="s">
        <v>1696</v>
      </c>
      <c r="O2524" s="3">
        <v>1.94355749077E11</v>
      </c>
    </row>
    <row r="2525">
      <c r="A2525" s="3">
        <v>2618445.0</v>
      </c>
      <c r="B2525" s="3" t="s">
        <v>5274</v>
      </c>
      <c r="C2525" s="3" t="b">
        <v>0</v>
      </c>
      <c r="D2525" s="3" t="b">
        <v>1</v>
      </c>
      <c r="E2525" s="3" t="s">
        <v>5275</v>
      </c>
      <c r="F2525" s="3" t="s">
        <v>5276</v>
      </c>
      <c r="G2525" s="4">
        <f>+251986475562</f>
        <v>251986475562</v>
      </c>
      <c r="H2525" s="3" t="s">
        <v>18</v>
      </c>
      <c r="I2525" s="3" t="s">
        <v>19</v>
      </c>
      <c r="J2525" s="3" t="s">
        <v>19</v>
      </c>
      <c r="K2525" s="3" t="s">
        <v>20</v>
      </c>
      <c r="L2525" s="3">
        <v>28.02</v>
      </c>
      <c r="M2525" s="3" t="s">
        <v>1695</v>
      </c>
      <c r="N2525" s="3" t="s">
        <v>1696</v>
      </c>
      <c r="O2525" s="3">
        <v>1.94390720714E11</v>
      </c>
    </row>
    <row r="2526">
      <c r="A2526" s="3">
        <v>2618346.0</v>
      </c>
      <c r="B2526" s="3" t="s">
        <v>5277</v>
      </c>
      <c r="C2526" s="3" t="b">
        <v>0</v>
      </c>
      <c r="D2526" s="3" t="b">
        <v>1</v>
      </c>
      <c r="E2526" s="3" t="s">
        <v>4243</v>
      </c>
      <c r="F2526" s="3" t="s">
        <v>5278</v>
      </c>
      <c r="G2526" s="4">
        <f>+251967331352</f>
        <v>251967331352</v>
      </c>
      <c r="H2526" s="3" t="s">
        <v>18</v>
      </c>
      <c r="I2526" s="3" t="s">
        <v>19</v>
      </c>
      <c r="J2526" s="3" t="s">
        <v>19</v>
      </c>
      <c r="K2526" s="3" t="s">
        <v>20</v>
      </c>
      <c r="L2526" s="3">
        <v>25.02</v>
      </c>
      <c r="M2526" s="3" t="s">
        <v>1695</v>
      </c>
      <c r="N2526" s="3" t="s">
        <v>1696</v>
      </c>
      <c r="O2526" s="3">
        <v>1.94350154977E11</v>
      </c>
    </row>
    <row r="2527">
      <c r="A2527" s="3">
        <v>2618456.0</v>
      </c>
      <c r="B2527" s="3" t="s">
        <v>5279</v>
      </c>
      <c r="C2527" s="3" t="b">
        <v>0</v>
      </c>
      <c r="D2527" s="3" t="b">
        <v>1</v>
      </c>
      <c r="E2527" s="3" t="s">
        <v>5280</v>
      </c>
      <c r="F2527" s="3" t="s">
        <v>5281</v>
      </c>
      <c r="G2527" s="4">
        <f>+251962881590</f>
        <v>251962881590</v>
      </c>
      <c r="H2527" s="3" t="s">
        <v>18</v>
      </c>
      <c r="I2527" s="3" t="s">
        <v>19</v>
      </c>
      <c r="J2527" s="3" t="s">
        <v>19</v>
      </c>
      <c r="K2527" s="3" t="s">
        <v>25</v>
      </c>
      <c r="L2527" s="3">
        <v>30.02</v>
      </c>
      <c r="M2527" s="3" t="s">
        <v>1695</v>
      </c>
      <c r="N2527" s="3" t="s">
        <v>1696</v>
      </c>
      <c r="O2527" s="3">
        <v>1.94376015054E11</v>
      </c>
    </row>
    <row r="2528">
      <c r="A2528" s="3">
        <v>2618458.0</v>
      </c>
      <c r="B2528" s="3" t="s">
        <v>5282</v>
      </c>
      <c r="C2528" s="3" t="b">
        <v>0</v>
      </c>
      <c r="D2528" s="3" t="b">
        <v>1</v>
      </c>
      <c r="E2528" s="3" t="s">
        <v>75</v>
      </c>
      <c r="F2528" s="3" t="s">
        <v>5283</v>
      </c>
      <c r="G2528" s="4">
        <f>+251909041390</f>
        <v>251909041390</v>
      </c>
      <c r="H2528" s="3" t="s">
        <v>18</v>
      </c>
      <c r="I2528" s="3" t="s">
        <v>19</v>
      </c>
      <c r="J2528" s="3" t="s">
        <v>19</v>
      </c>
      <c r="K2528" s="3" t="s">
        <v>20</v>
      </c>
      <c r="L2528" s="3">
        <v>27.35</v>
      </c>
      <c r="M2528" s="3" t="s">
        <v>1695</v>
      </c>
      <c r="N2528" s="3" t="s">
        <v>1696</v>
      </c>
      <c r="O2528" s="3">
        <v>1.94368526562E11</v>
      </c>
    </row>
    <row r="2529">
      <c r="A2529" s="3">
        <v>2618462.0</v>
      </c>
      <c r="B2529" s="3" t="s">
        <v>5284</v>
      </c>
      <c r="C2529" s="3" t="b">
        <v>0</v>
      </c>
      <c r="D2529" s="3" t="b">
        <v>1</v>
      </c>
      <c r="E2529" s="3" t="s">
        <v>1156</v>
      </c>
      <c r="F2529" s="3" t="s">
        <v>336</v>
      </c>
      <c r="G2529" s="4">
        <f>+251978696632</f>
        <v>251978696632</v>
      </c>
      <c r="H2529" s="3" t="s">
        <v>18</v>
      </c>
      <c r="I2529" s="3" t="s">
        <v>19</v>
      </c>
      <c r="J2529" s="3" t="s">
        <v>19</v>
      </c>
      <c r="K2529" s="3" t="s">
        <v>20</v>
      </c>
      <c r="L2529" s="3">
        <v>28.02</v>
      </c>
      <c r="M2529" s="3" t="s">
        <v>1695</v>
      </c>
      <c r="N2529" s="3" t="s">
        <v>1696</v>
      </c>
      <c r="O2529" s="3">
        <v>1.94369964265E11</v>
      </c>
    </row>
    <row r="2530">
      <c r="A2530" s="3">
        <v>2618466.0</v>
      </c>
      <c r="B2530" s="3" t="s">
        <v>5285</v>
      </c>
      <c r="C2530" s="3" t="b">
        <v>0</v>
      </c>
      <c r="D2530" s="3" t="b">
        <v>1</v>
      </c>
      <c r="E2530" s="3" t="s">
        <v>817</v>
      </c>
      <c r="F2530" s="3" t="s">
        <v>3843</v>
      </c>
      <c r="G2530" s="4">
        <f>+251967433297</f>
        <v>251967433297</v>
      </c>
      <c r="H2530" s="3" t="s">
        <v>18</v>
      </c>
      <c r="I2530" s="3" t="s">
        <v>19</v>
      </c>
      <c r="J2530" s="3" t="s">
        <v>19</v>
      </c>
      <c r="K2530" s="3" t="s">
        <v>25</v>
      </c>
      <c r="L2530" s="3">
        <v>13.02</v>
      </c>
      <c r="M2530" s="3" t="s">
        <v>1695</v>
      </c>
      <c r="N2530" s="3" t="s">
        <v>1696</v>
      </c>
      <c r="O2530" s="3">
        <v>8792257.0</v>
      </c>
    </row>
    <row r="2531">
      <c r="A2531" s="3">
        <v>2618477.0</v>
      </c>
      <c r="B2531" s="3" t="s">
        <v>5286</v>
      </c>
      <c r="C2531" s="3" t="b">
        <v>0</v>
      </c>
      <c r="D2531" s="3" t="b">
        <v>1</v>
      </c>
      <c r="E2531" s="3" t="s">
        <v>5287</v>
      </c>
      <c r="F2531" s="3" t="s">
        <v>5288</v>
      </c>
      <c r="G2531" s="4">
        <f>+251921711240</f>
        <v>251921711240</v>
      </c>
      <c r="H2531" s="3" t="s">
        <v>18</v>
      </c>
      <c r="I2531" s="3" t="s">
        <v>19</v>
      </c>
      <c r="J2531" s="3" t="s">
        <v>19</v>
      </c>
      <c r="K2531" s="3" t="s">
        <v>20</v>
      </c>
      <c r="L2531" s="3">
        <v>24.87</v>
      </c>
      <c r="M2531" s="3" t="s">
        <v>1695</v>
      </c>
      <c r="N2531" s="3" t="s">
        <v>1696</v>
      </c>
      <c r="O2531" s="3">
        <v>1.94397384927E11</v>
      </c>
    </row>
    <row r="2532">
      <c r="A2532" s="3">
        <v>2618484.0</v>
      </c>
      <c r="B2532" s="3" t="s">
        <v>5289</v>
      </c>
      <c r="C2532" s="3" t="b">
        <v>0</v>
      </c>
      <c r="D2532" s="3" t="b">
        <v>1</v>
      </c>
      <c r="E2532" s="3" t="s">
        <v>5290</v>
      </c>
      <c r="F2532" s="3" t="s">
        <v>518</v>
      </c>
      <c r="G2532" s="4">
        <f>+251940893631</f>
        <v>251940893631</v>
      </c>
      <c r="H2532" s="3" t="s">
        <v>18</v>
      </c>
      <c r="I2532" s="3" t="s">
        <v>19</v>
      </c>
      <c r="J2532" s="3" t="s">
        <v>19</v>
      </c>
      <c r="K2532" s="3" t="s">
        <v>20</v>
      </c>
      <c r="L2532" s="3">
        <v>28.35</v>
      </c>
      <c r="M2532" s="3" t="s">
        <v>1695</v>
      </c>
      <c r="N2532" s="3" t="s">
        <v>1696</v>
      </c>
      <c r="O2532" s="3">
        <v>1.94378632399E11</v>
      </c>
    </row>
    <row r="2533">
      <c r="A2533" s="3">
        <v>2618488.0</v>
      </c>
      <c r="B2533" s="3" t="s">
        <v>5291</v>
      </c>
      <c r="C2533" s="3" t="b">
        <v>0</v>
      </c>
      <c r="D2533" s="3" t="b">
        <v>1</v>
      </c>
      <c r="E2533" s="3" t="s">
        <v>5292</v>
      </c>
      <c r="F2533" s="3" t="s">
        <v>649</v>
      </c>
      <c r="G2533" s="4">
        <f>+251924640298</f>
        <v>251924640298</v>
      </c>
      <c r="H2533" s="3" t="s">
        <v>18</v>
      </c>
      <c r="I2533" s="3" t="s">
        <v>19</v>
      </c>
      <c r="J2533" s="3" t="s">
        <v>19</v>
      </c>
      <c r="K2533" s="3" t="s">
        <v>20</v>
      </c>
      <c r="L2533" s="3">
        <v>29.02</v>
      </c>
      <c r="M2533" s="3" t="s">
        <v>1695</v>
      </c>
      <c r="N2533" s="3" t="s">
        <v>1696</v>
      </c>
      <c r="O2533" s="3">
        <v>1.94397555949E11</v>
      </c>
    </row>
    <row r="2534">
      <c r="A2534" s="3">
        <v>2618495.0</v>
      </c>
      <c r="B2534" s="3" t="s">
        <v>5293</v>
      </c>
      <c r="C2534" s="3" t="b">
        <v>0</v>
      </c>
      <c r="D2534" s="3" t="b">
        <v>1</v>
      </c>
      <c r="E2534" s="3" t="s">
        <v>98</v>
      </c>
      <c r="F2534" s="3" t="s">
        <v>1177</v>
      </c>
      <c r="G2534" s="4">
        <f>+251913813169</f>
        <v>251913813169</v>
      </c>
      <c r="H2534" s="3" t="s">
        <v>18</v>
      </c>
      <c r="I2534" s="3" t="s">
        <v>19</v>
      </c>
      <c r="J2534" s="3" t="s">
        <v>19</v>
      </c>
      <c r="K2534" s="3" t="s">
        <v>25</v>
      </c>
      <c r="L2534" s="3">
        <v>30.02</v>
      </c>
      <c r="M2534" s="3" t="s">
        <v>1695</v>
      </c>
      <c r="N2534" s="3" t="s">
        <v>1696</v>
      </c>
      <c r="O2534" s="3">
        <v>1.94369193172E11</v>
      </c>
    </row>
    <row r="2535">
      <c r="A2535" s="3">
        <v>2618500.0</v>
      </c>
      <c r="B2535" s="3" t="s">
        <v>5294</v>
      </c>
      <c r="C2535" s="3" t="b">
        <v>0</v>
      </c>
      <c r="D2535" s="3" t="b">
        <v>1</v>
      </c>
      <c r="E2535" s="3" t="s">
        <v>3505</v>
      </c>
      <c r="F2535" s="3" t="s">
        <v>649</v>
      </c>
      <c r="G2535" s="4">
        <f>+251904813837</f>
        <v>251904813837</v>
      </c>
      <c r="H2535" s="3" t="s">
        <v>18</v>
      </c>
      <c r="I2535" s="3" t="s">
        <v>19</v>
      </c>
      <c r="J2535" s="3" t="s">
        <v>19</v>
      </c>
      <c r="K2535" s="3" t="s">
        <v>25</v>
      </c>
      <c r="L2535" s="3">
        <v>26.02</v>
      </c>
      <c r="M2535" s="3" t="s">
        <v>1695</v>
      </c>
      <c r="N2535" s="3" t="s">
        <v>1696</v>
      </c>
      <c r="O2535" s="3">
        <v>1.9436929658E11</v>
      </c>
    </row>
    <row r="2536">
      <c r="A2536" s="3">
        <v>2618506.0</v>
      </c>
      <c r="B2536" s="3" t="s">
        <v>5295</v>
      </c>
      <c r="C2536" s="3" t="b">
        <v>0</v>
      </c>
      <c r="D2536" s="3" t="b">
        <v>1</v>
      </c>
      <c r="E2536" s="3" t="s">
        <v>911</v>
      </c>
      <c r="F2536" s="3" t="s">
        <v>1584</v>
      </c>
      <c r="G2536" s="4">
        <f>+251921525810</f>
        <v>251921525810</v>
      </c>
      <c r="H2536" s="3" t="s">
        <v>18</v>
      </c>
      <c r="I2536" s="3" t="s">
        <v>19</v>
      </c>
      <c r="J2536" s="3" t="s">
        <v>19</v>
      </c>
      <c r="K2536" s="3" t="s">
        <v>25</v>
      </c>
      <c r="L2536" s="3">
        <v>24.77</v>
      </c>
      <c r="M2536" s="3" t="s">
        <v>1695</v>
      </c>
      <c r="N2536" s="3" t="s">
        <v>1696</v>
      </c>
      <c r="O2536" s="3">
        <v>1.94377052369E11</v>
      </c>
    </row>
    <row r="2537">
      <c r="A2537" s="3">
        <v>2618510.0</v>
      </c>
      <c r="B2537" s="3" t="s">
        <v>5296</v>
      </c>
      <c r="C2537" s="3" t="b">
        <v>0</v>
      </c>
      <c r="D2537" s="3" t="b">
        <v>1</v>
      </c>
      <c r="E2537" s="3" t="s">
        <v>1485</v>
      </c>
      <c r="F2537" s="3" t="s">
        <v>2057</v>
      </c>
      <c r="G2537" s="4">
        <f>+251973690381</f>
        <v>251973690381</v>
      </c>
      <c r="H2537" s="3" t="s">
        <v>18</v>
      </c>
      <c r="I2537" s="3" t="s">
        <v>19</v>
      </c>
      <c r="J2537" s="3" t="s">
        <v>19</v>
      </c>
      <c r="K2537" s="3" t="s">
        <v>20</v>
      </c>
      <c r="L2537" s="3">
        <v>25.02</v>
      </c>
      <c r="M2537" s="3" t="s">
        <v>1695</v>
      </c>
      <c r="N2537" s="3" t="s">
        <v>1696</v>
      </c>
      <c r="O2537" s="3">
        <v>1.94398036164E11</v>
      </c>
    </row>
    <row r="2538">
      <c r="A2538" s="3">
        <v>2618490.0</v>
      </c>
      <c r="B2538" s="3" t="s">
        <v>5297</v>
      </c>
      <c r="C2538" s="3" t="b">
        <v>0</v>
      </c>
      <c r="D2538" s="3" t="b">
        <v>1</v>
      </c>
      <c r="E2538" s="3" t="s">
        <v>1449</v>
      </c>
      <c r="F2538" s="3" t="s">
        <v>3401</v>
      </c>
      <c r="G2538" s="4">
        <f>+251974854591</f>
        <v>251974854591</v>
      </c>
      <c r="H2538" s="3" t="s">
        <v>18</v>
      </c>
      <c r="I2538" s="3" t="s">
        <v>19</v>
      </c>
      <c r="J2538" s="3" t="s">
        <v>19</v>
      </c>
      <c r="K2538" s="3" t="s">
        <v>20</v>
      </c>
      <c r="L2538" s="3">
        <v>24.02</v>
      </c>
      <c r="M2538" s="3" t="s">
        <v>1695</v>
      </c>
      <c r="N2538" s="3" t="s">
        <v>1696</v>
      </c>
      <c r="O2538" s="3">
        <v>1.94397582524E11</v>
      </c>
    </row>
    <row r="2539">
      <c r="A2539" s="3">
        <v>2618523.0</v>
      </c>
      <c r="B2539" s="3" t="s">
        <v>5298</v>
      </c>
      <c r="C2539" s="3" t="b">
        <v>0</v>
      </c>
      <c r="D2539" s="3" t="b">
        <v>1</v>
      </c>
      <c r="E2539" s="3" t="s">
        <v>1485</v>
      </c>
      <c r="F2539" s="3" t="s">
        <v>532</v>
      </c>
      <c r="G2539" s="4">
        <f>+251970417017</f>
        <v>251970417017</v>
      </c>
      <c r="H2539" s="3" t="s">
        <v>18</v>
      </c>
      <c r="I2539" s="3" t="s">
        <v>19</v>
      </c>
      <c r="J2539" s="3" t="s">
        <v>19</v>
      </c>
      <c r="K2539" s="3" t="s">
        <v>20</v>
      </c>
      <c r="L2539" s="3">
        <v>25.02</v>
      </c>
      <c r="M2539" s="3" t="s">
        <v>1695</v>
      </c>
      <c r="N2539" s="3" t="s">
        <v>1696</v>
      </c>
      <c r="O2539" s="3">
        <v>1.94370967762E11</v>
      </c>
    </row>
    <row r="2540">
      <c r="A2540" s="3">
        <v>2618528.0</v>
      </c>
      <c r="B2540" s="3" t="s">
        <v>5299</v>
      </c>
      <c r="C2540" s="3" t="b">
        <v>0</v>
      </c>
      <c r="D2540" s="3" t="b">
        <v>1</v>
      </c>
      <c r="E2540" s="3" t="s">
        <v>4896</v>
      </c>
      <c r="F2540" s="3" t="s">
        <v>946</v>
      </c>
      <c r="G2540" s="4">
        <f>+251988320177</f>
        <v>251988320177</v>
      </c>
      <c r="H2540" s="3" t="s">
        <v>18</v>
      </c>
      <c r="I2540" s="3" t="s">
        <v>19</v>
      </c>
      <c r="J2540" s="3" t="s">
        <v>19</v>
      </c>
      <c r="K2540" s="3" t="s">
        <v>25</v>
      </c>
      <c r="L2540" s="3">
        <v>27.43</v>
      </c>
      <c r="M2540" s="3" t="s">
        <v>1695</v>
      </c>
      <c r="N2540" s="3" t="s">
        <v>1696</v>
      </c>
      <c r="O2540" s="3">
        <v>1.94371085555E11</v>
      </c>
    </row>
    <row r="2541">
      <c r="A2541" s="3">
        <v>2618533.0</v>
      </c>
      <c r="B2541" s="3" t="s">
        <v>5300</v>
      </c>
      <c r="C2541" s="3" t="b">
        <v>0</v>
      </c>
      <c r="D2541" s="3" t="b">
        <v>1</v>
      </c>
      <c r="E2541" s="3" t="s">
        <v>5301</v>
      </c>
      <c r="F2541" s="3" t="s">
        <v>3034</v>
      </c>
      <c r="G2541" s="4">
        <f>+251930860860</f>
        <v>251930860860</v>
      </c>
      <c r="H2541" s="3" t="s">
        <v>18</v>
      </c>
      <c r="I2541" s="3" t="s">
        <v>19</v>
      </c>
      <c r="J2541" s="3" t="s">
        <v>19</v>
      </c>
      <c r="K2541" s="3" t="s">
        <v>25</v>
      </c>
      <c r="L2541" s="3">
        <v>29.02</v>
      </c>
      <c r="M2541" s="3" t="s">
        <v>1695</v>
      </c>
      <c r="N2541" s="3" t="s">
        <v>1696</v>
      </c>
      <c r="O2541" s="3">
        <v>1.94371225821E11</v>
      </c>
    </row>
    <row r="2542">
      <c r="A2542" s="3">
        <v>2618552.0</v>
      </c>
      <c r="B2542" s="3" t="s">
        <v>5302</v>
      </c>
      <c r="C2542" s="3" t="b">
        <v>0</v>
      </c>
      <c r="D2542" s="3" t="b">
        <v>1</v>
      </c>
      <c r="E2542" s="3" t="s">
        <v>5303</v>
      </c>
      <c r="F2542" s="3" t="s">
        <v>5304</v>
      </c>
      <c r="G2542" s="4">
        <f>+251911013807</f>
        <v>251911013807</v>
      </c>
      <c r="H2542" s="3" t="s">
        <v>18</v>
      </c>
      <c r="I2542" s="3" t="s">
        <v>19</v>
      </c>
      <c r="J2542" s="3" t="s">
        <v>19</v>
      </c>
      <c r="K2542" s="3" t="s">
        <v>25</v>
      </c>
      <c r="L2542" s="3">
        <v>31.43</v>
      </c>
      <c r="M2542" s="3" t="s">
        <v>1695</v>
      </c>
      <c r="N2542" s="3" t="s">
        <v>1696</v>
      </c>
      <c r="O2542" s="3">
        <v>1.94399382772E11</v>
      </c>
    </row>
    <row r="2543">
      <c r="A2543" s="3">
        <v>2618565.0</v>
      </c>
      <c r="B2543" s="3" t="s">
        <v>5305</v>
      </c>
      <c r="C2543" s="3" t="b">
        <v>0</v>
      </c>
      <c r="D2543" s="3" t="b">
        <v>1</v>
      </c>
      <c r="E2543" s="3" t="s">
        <v>292</v>
      </c>
      <c r="F2543" s="3" t="s">
        <v>404</v>
      </c>
      <c r="G2543" s="4">
        <f>+251923794963</f>
        <v>251923794963</v>
      </c>
      <c r="H2543" s="3" t="s">
        <v>18</v>
      </c>
      <c r="I2543" s="3" t="s">
        <v>19</v>
      </c>
      <c r="J2543" s="3" t="s">
        <v>19</v>
      </c>
      <c r="K2543" s="3" t="s">
        <v>25</v>
      </c>
      <c r="L2543" s="3">
        <v>30.36</v>
      </c>
      <c r="M2543" s="3" t="s">
        <v>1695</v>
      </c>
      <c r="N2543" s="3" t="s">
        <v>1696</v>
      </c>
      <c r="O2543" s="3">
        <v>1.94402430192E11</v>
      </c>
    </row>
    <row r="2544">
      <c r="A2544" s="3">
        <v>2618603.0</v>
      </c>
      <c r="B2544" s="3" t="s">
        <v>5306</v>
      </c>
      <c r="C2544" s="3" t="b">
        <v>0</v>
      </c>
      <c r="D2544" s="3" t="b">
        <v>1</v>
      </c>
      <c r="E2544" s="3" t="s">
        <v>760</v>
      </c>
      <c r="F2544" s="3" t="s">
        <v>365</v>
      </c>
      <c r="G2544" s="4">
        <f>+251932080673</f>
        <v>251932080673</v>
      </c>
      <c r="H2544" s="3" t="s">
        <v>18</v>
      </c>
      <c r="I2544" s="3" t="s">
        <v>19</v>
      </c>
      <c r="J2544" s="3" t="s">
        <v>19</v>
      </c>
      <c r="K2544" s="3" t="s">
        <v>20</v>
      </c>
      <c r="L2544" s="3">
        <v>27.35</v>
      </c>
      <c r="M2544" s="3" t="s">
        <v>1695</v>
      </c>
      <c r="N2544" s="3" t="s">
        <v>1696</v>
      </c>
      <c r="O2544" s="3">
        <v>1.94443598058E11</v>
      </c>
    </row>
    <row r="2545">
      <c r="A2545" s="3">
        <v>2618620.0</v>
      </c>
      <c r="B2545" s="3" t="s">
        <v>5307</v>
      </c>
      <c r="C2545" s="3" t="b">
        <v>0</v>
      </c>
      <c r="D2545" s="3" t="b">
        <v>1</v>
      </c>
      <c r="E2545" s="3" t="s">
        <v>3990</v>
      </c>
      <c r="F2545" s="3" t="s">
        <v>5308</v>
      </c>
      <c r="G2545" s="4">
        <f>+251986151317</f>
        <v>251986151317</v>
      </c>
      <c r="H2545" s="3" t="s">
        <v>18</v>
      </c>
      <c r="I2545" s="3" t="s">
        <v>19</v>
      </c>
      <c r="J2545" s="3" t="s">
        <v>19</v>
      </c>
      <c r="K2545" s="3" t="s">
        <v>20</v>
      </c>
      <c r="L2545" s="3">
        <v>29.34</v>
      </c>
      <c r="M2545" s="3" t="s">
        <v>1695</v>
      </c>
      <c r="N2545" s="3" t="s">
        <v>1696</v>
      </c>
      <c r="O2545" s="3">
        <v>1.94461957343E11</v>
      </c>
    </row>
    <row r="2546">
      <c r="A2546" s="3">
        <v>2618630.0</v>
      </c>
      <c r="B2546" s="3" t="s">
        <v>5309</v>
      </c>
      <c r="C2546" s="3" t="b">
        <v>0</v>
      </c>
      <c r="D2546" s="3" t="b">
        <v>1</v>
      </c>
      <c r="E2546" s="3" t="s">
        <v>273</v>
      </c>
      <c r="F2546" s="3" t="s">
        <v>4626</v>
      </c>
      <c r="G2546" s="4">
        <f t="shared" ref="G2546:G2547" si="3">+251985972466</f>
        <v>251985972466</v>
      </c>
      <c r="H2546" s="3" t="s">
        <v>18</v>
      </c>
      <c r="I2546" s="3" t="s">
        <v>19</v>
      </c>
      <c r="J2546" s="3" t="s">
        <v>19</v>
      </c>
      <c r="K2546" s="3" t="s">
        <v>25</v>
      </c>
      <c r="L2546" s="3">
        <v>31.43</v>
      </c>
      <c r="M2546" s="3" t="s">
        <v>1695</v>
      </c>
      <c r="N2546" s="3" t="s">
        <v>1696</v>
      </c>
      <c r="O2546" s="3">
        <v>1.94450704601E11</v>
      </c>
    </row>
    <row r="2547">
      <c r="A2547" s="3">
        <v>2618640.0</v>
      </c>
      <c r="B2547" s="3" t="s">
        <v>5310</v>
      </c>
      <c r="C2547" s="3" t="b">
        <v>0</v>
      </c>
      <c r="D2547" s="3" t="b">
        <v>1</v>
      </c>
      <c r="E2547" s="3" t="s">
        <v>5311</v>
      </c>
      <c r="F2547" s="3" t="s">
        <v>353</v>
      </c>
      <c r="G2547" s="4">
        <f t="shared" si="3"/>
        <v>251985972466</v>
      </c>
      <c r="H2547" s="3" t="s">
        <v>18</v>
      </c>
      <c r="I2547" s="3" t="s">
        <v>19</v>
      </c>
      <c r="J2547" s="3" t="s">
        <v>19</v>
      </c>
      <c r="K2547" s="3" t="s">
        <v>25</v>
      </c>
      <c r="L2547" s="3">
        <v>31.43</v>
      </c>
      <c r="M2547" s="3" t="s">
        <v>1695</v>
      </c>
      <c r="N2547" s="3" t="s">
        <v>1696</v>
      </c>
      <c r="O2547" s="3">
        <v>1.94456281277E11</v>
      </c>
    </row>
    <row r="2548">
      <c r="A2548" s="3">
        <v>2618652.0</v>
      </c>
      <c r="B2548" s="3" t="s">
        <v>5312</v>
      </c>
      <c r="C2548" s="3" t="b">
        <v>0</v>
      </c>
      <c r="D2548" s="3" t="b">
        <v>1</v>
      </c>
      <c r="E2548" s="3" t="s">
        <v>1215</v>
      </c>
      <c r="F2548" s="3" t="s">
        <v>96</v>
      </c>
      <c r="G2548" s="4">
        <f>+251918298875</f>
        <v>251918298875</v>
      </c>
      <c r="H2548" s="3" t="s">
        <v>18</v>
      </c>
      <c r="I2548" s="3" t="s">
        <v>19</v>
      </c>
      <c r="J2548" s="3" t="s">
        <v>19</v>
      </c>
      <c r="K2548" s="3" t="s">
        <v>25</v>
      </c>
      <c r="L2548" s="3">
        <v>27.35</v>
      </c>
      <c r="M2548" s="3" t="s">
        <v>1695</v>
      </c>
      <c r="N2548" s="3" t="s">
        <v>1696</v>
      </c>
      <c r="O2548" s="3">
        <v>1.94414018762E11</v>
      </c>
    </row>
    <row r="2549">
      <c r="A2549" s="3">
        <v>2618656.0</v>
      </c>
      <c r="B2549" s="3" t="s">
        <v>5313</v>
      </c>
      <c r="C2549" s="3" t="b">
        <v>0</v>
      </c>
      <c r="D2549" s="3" t="b">
        <v>1</v>
      </c>
      <c r="E2549" s="3" t="s">
        <v>5314</v>
      </c>
      <c r="F2549" s="3" t="s">
        <v>5315</v>
      </c>
      <c r="G2549" s="4">
        <f>+251994647129</f>
        <v>251994647129</v>
      </c>
      <c r="H2549" s="3" t="s">
        <v>18</v>
      </c>
      <c r="I2549" s="3" t="s">
        <v>19</v>
      </c>
      <c r="J2549" s="3" t="s">
        <v>19</v>
      </c>
      <c r="K2549" s="3" t="s">
        <v>25</v>
      </c>
      <c r="L2549" s="3">
        <v>28.42</v>
      </c>
      <c r="M2549" s="3" t="s">
        <v>1695</v>
      </c>
      <c r="N2549" s="3" t="s">
        <v>1696</v>
      </c>
      <c r="O2549" s="3">
        <v>1.94428182754E11</v>
      </c>
    </row>
    <row r="2550">
      <c r="A2550" s="3">
        <v>2618665.0</v>
      </c>
      <c r="B2550" s="3" t="s">
        <v>5316</v>
      </c>
      <c r="C2550" s="3" t="b">
        <v>0</v>
      </c>
      <c r="D2550" s="3" t="b">
        <v>1</v>
      </c>
      <c r="E2550" s="3" t="s">
        <v>3686</v>
      </c>
      <c r="F2550" s="3" t="s">
        <v>85</v>
      </c>
      <c r="G2550" s="4">
        <f>+251909690905</f>
        <v>251909690905</v>
      </c>
      <c r="H2550" s="3" t="s">
        <v>18</v>
      </c>
      <c r="I2550" s="3" t="s">
        <v>19</v>
      </c>
      <c r="J2550" s="3" t="s">
        <v>19</v>
      </c>
      <c r="K2550" s="3" t="s">
        <v>20</v>
      </c>
      <c r="L2550" s="3">
        <v>29.27</v>
      </c>
      <c r="M2550" s="3" t="s">
        <v>1695</v>
      </c>
      <c r="N2550" s="3" t="s">
        <v>1696</v>
      </c>
      <c r="O2550" s="3">
        <v>1.94428300521E11</v>
      </c>
    </row>
    <row r="2551">
      <c r="A2551" s="3">
        <v>2618686.0</v>
      </c>
      <c r="B2551" s="3" t="s">
        <v>5317</v>
      </c>
      <c r="C2551" s="3" t="b">
        <v>0</v>
      </c>
      <c r="D2551" s="3" t="b">
        <v>1</v>
      </c>
      <c r="E2551" s="3" t="s">
        <v>5318</v>
      </c>
      <c r="F2551" s="3" t="s">
        <v>5319</v>
      </c>
      <c r="G2551" s="4">
        <f>+251949228159</f>
        <v>251949228159</v>
      </c>
      <c r="H2551" s="3" t="s">
        <v>18</v>
      </c>
      <c r="I2551" s="3" t="s">
        <v>19</v>
      </c>
      <c r="J2551" s="3" t="s">
        <v>19</v>
      </c>
      <c r="K2551" s="3" t="s">
        <v>20</v>
      </c>
      <c r="L2551" s="3">
        <v>24.87</v>
      </c>
      <c r="M2551" s="3" t="s">
        <v>1695</v>
      </c>
      <c r="N2551" s="3" t="s">
        <v>1696</v>
      </c>
      <c r="O2551" s="3">
        <v>1.94440114364E11</v>
      </c>
    </row>
    <row r="2552">
      <c r="A2552" s="3">
        <v>2618695.0</v>
      </c>
      <c r="B2552" s="3" t="s">
        <v>5320</v>
      </c>
      <c r="C2552" s="3" t="b">
        <v>0</v>
      </c>
      <c r="D2552" s="3" t="b">
        <v>1</v>
      </c>
      <c r="E2552" s="3" t="s">
        <v>5321</v>
      </c>
      <c r="F2552" s="3" t="s">
        <v>5322</v>
      </c>
      <c r="G2552" s="4">
        <f>+251919521087</f>
        <v>251919521087</v>
      </c>
      <c r="H2552" s="3" t="s">
        <v>18</v>
      </c>
      <c r="I2552" s="3" t="s">
        <v>19</v>
      </c>
      <c r="J2552" s="3" t="s">
        <v>19</v>
      </c>
      <c r="K2552" s="3" t="s">
        <v>25</v>
      </c>
      <c r="L2552" s="3">
        <v>25.91</v>
      </c>
      <c r="M2552" s="3" t="s">
        <v>1695</v>
      </c>
      <c r="N2552" s="3" t="s">
        <v>1696</v>
      </c>
      <c r="O2552" s="3">
        <v>1.94469973235E11</v>
      </c>
    </row>
    <row r="2553">
      <c r="A2553" s="3">
        <v>2618519.0</v>
      </c>
      <c r="B2553" s="3" t="s">
        <v>5323</v>
      </c>
      <c r="C2553" s="3" t="b">
        <v>0</v>
      </c>
      <c r="D2553" s="3" t="b">
        <v>1</v>
      </c>
      <c r="E2553" s="3" t="s">
        <v>5324</v>
      </c>
      <c r="F2553" s="3" t="s">
        <v>892</v>
      </c>
      <c r="G2553" s="4">
        <f>+251901244776</f>
        <v>251901244776</v>
      </c>
      <c r="H2553" s="3" t="s">
        <v>18</v>
      </c>
      <c r="I2553" s="3" t="s">
        <v>19</v>
      </c>
      <c r="J2553" s="3" t="s">
        <v>19</v>
      </c>
      <c r="K2553" s="3" t="s">
        <v>20</v>
      </c>
      <c r="L2553" s="3">
        <v>24.02</v>
      </c>
      <c r="M2553" s="3" t="s">
        <v>1695</v>
      </c>
      <c r="N2553" s="3" t="s">
        <v>1696</v>
      </c>
      <c r="O2553" s="3">
        <v>1.94370936035E11</v>
      </c>
    </row>
    <row r="2554">
      <c r="A2554" s="3">
        <v>2618704.0</v>
      </c>
      <c r="B2554" s="3" t="s">
        <v>5325</v>
      </c>
      <c r="C2554" s="3" t="b">
        <v>0</v>
      </c>
      <c r="D2554" s="3" t="b">
        <v>1</v>
      </c>
      <c r="E2554" s="3" t="s">
        <v>5326</v>
      </c>
      <c r="F2554" s="3" t="s">
        <v>5327</v>
      </c>
      <c r="G2554" s="4">
        <f>+251947539705</f>
        <v>251947539705</v>
      </c>
      <c r="H2554" s="3" t="s">
        <v>18</v>
      </c>
      <c r="I2554" s="3" t="s">
        <v>19</v>
      </c>
      <c r="J2554" s="3" t="s">
        <v>19</v>
      </c>
      <c r="K2554" s="3" t="s">
        <v>25</v>
      </c>
      <c r="L2554" s="3">
        <v>25.91</v>
      </c>
      <c r="M2554" s="3" t="s">
        <v>1695</v>
      </c>
      <c r="N2554" s="3" t="s">
        <v>1696</v>
      </c>
      <c r="O2554" s="3">
        <v>1.94475959485E11</v>
      </c>
    </row>
    <row r="2555">
      <c r="A2555" s="3">
        <v>2618720.0</v>
      </c>
      <c r="B2555" s="3" t="s">
        <v>5328</v>
      </c>
      <c r="C2555" s="3" t="b">
        <v>0</v>
      </c>
      <c r="D2555" s="3" t="b">
        <v>1</v>
      </c>
      <c r="E2555" s="3" t="s">
        <v>85</v>
      </c>
      <c r="F2555" s="3" t="s">
        <v>5329</v>
      </c>
      <c r="G2555" s="4">
        <f>+251968110261</f>
        <v>251968110261</v>
      </c>
      <c r="H2555" s="3" t="s">
        <v>18</v>
      </c>
      <c r="I2555" s="3" t="s">
        <v>19</v>
      </c>
      <c r="J2555" s="3" t="s">
        <v>19</v>
      </c>
      <c r="K2555" s="3" t="s">
        <v>25</v>
      </c>
      <c r="L2555" s="3">
        <v>24.92</v>
      </c>
      <c r="M2555" s="3" t="s">
        <v>1695</v>
      </c>
      <c r="N2555" s="3" t="s">
        <v>1696</v>
      </c>
      <c r="O2555" s="3">
        <v>1.94481617083E11</v>
      </c>
    </row>
    <row r="2556">
      <c r="A2556" s="3">
        <v>2618757.0</v>
      </c>
      <c r="B2556" s="3" t="s">
        <v>5330</v>
      </c>
      <c r="C2556" s="3" t="b">
        <v>0</v>
      </c>
      <c r="D2556" s="3" t="b">
        <v>1</v>
      </c>
      <c r="E2556" s="3" t="s">
        <v>5331</v>
      </c>
      <c r="F2556" s="3" t="s">
        <v>724</v>
      </c>
      <c r="G2556" s="4">
        <f>+251964554060</f>
        <v>251964554060</v>
      </c>
      <c r="H2556" s="3" t="s">
        <v>18</v>
      </c>
      <c r="I2556" s="3" t="s">
        <v>19</v>
      </c>
      <c r="J2556" s="3" t="s">
        <v>19</v>
      </c>
      <c r="K2556" s="3" t="s">
        <v>25</v>
      </c>
      <c r="L2556" s="3">
        <v>26.02</v>
      </c>
      <c r="M2556" s="3" t="s">
        <v>1695</v>
      </c>
      <c r="N2556" s="3" t="s">
        <v>1696</v>
      </c>
      <c r="O2556" s="3">
        <v>1.9455345585E11</v>
      </c>
    </row>
    <row r="2557">
      <c r="A2557" s="3">
        <v>2618877.0</v>
      </c>
      <c r="B2557" s="3" t="s">
        <v>5332</v>
      </c>
      <c r="C2557" s="3" t="b">
        <v>0</v>
      </c>
      <c r="D2557" s="3" t="b">
        <v>1</v>
      </c>
      <c r="E2557" s="3" t="s">
        <v>5333</v>
      </c>
      <c r="F2557" s="3" t="s">
        <v>5334</v>
      </c>
      <c r="G2557" s="4">
        <f>+251949477258</f>
        <v>251949477258</v>
      </c>
      <c r="H2557" s="3" t="s">
        <v>18</v>
      </c>
      <c r="I2557" s="3" t="s">
        <v>19</v>
      </c>
      <c r="J2557" s="3" t="s">
        <v>19</v>
      </c>
      <c r="K2557" s="3" t="s">
        <v>20</v>
      </c>
      <c r="L2557" s="3">
        <v>21.91</v>
      </c>
      <c r="M2557" s="3" t="s">
        <v>1695</v>
      </c>
      <c r="N2557" s="3" t="s">
        <v>1696</v>
      </c>
      <c r="O2557" s="3">
        <v>1.94550207686E11</v>
      </c>
    </row>
    <row r="2558">
      <c r="A2558" s="3">
        <v>2618882.0</v>
      </c>
      <c r="B2558" s="3" t="s">
        <v>5335</v>
      </c>
      <c r="C2558" s="3" t="b">
        <v>0</v>
      </c>
      <c r="D2558" s="3" t="b">
        <v>1</v>
      </c>
      <c r="E2558" s="3" t="s">
        <v>1532</v>
      </c>
      <c r="F2558" s="3" t="s">
        <v>1177</v>
      </c>
      <c r="G2558" s="4">
        <f>+251910462772</f>
        <v>251910462772</v>
      </c>
      <c r="H2558" s="3" t="s">
        <v>18</v>
      </c>
      <c r="I2558" s="3" t="s">
        <v>19</v>
      </c>
      <c r="J2558" s="3" t="s">
        <v>19</v>
      </c>
      <c r="K2558" s="3" t="s">
        <v>25</v>
      </c>
      <c r="L2558" s="3">
        <v>23.02</v>
      </c>
      <c r="M2558" s="3" t="s">
        <v>1695</v>
      </c>
      <c r="N2558" s="3" t="s">
        <v>1696</v>
      </c>
      <c r="O2558" s="3">
        <v>1.94549226735E11</v>
      </c>
    </row>
    <row r="2559">
      <c r="A2559" s="3">
        <v>2618889.0</v>
      </c>
      <c r="B2559" s="3" t="s">
        <v>5336</v>
      </c>
      <c r="C2559" s="3" t="b">
        <v>0</v>
      </c>
      <c r="D2559" s="3" t="b">
        <v>1</v>
      </c>
      <c r="E2559" s="3" t="s">
        <v>120</v>
      </c>
      <c r="F2559" s="3" t="s">
        <v>5337</v>
      </c>
      <c r="G2559" s="4">
        <f>+251920710705</f>
        <v>251920710705</v>
      </c>
      <c r="H2559" s="3" t="s">
        <v>18</v>
      </c>
      <c r="I2559" s="3" t="s">
        <v>19</v>
      </c>
      <c r="J2559" s="3" t="s">
        <v>19</v>
      </c>
      <c r="K2559" s="3" t="s">
        <v>25</v>
      </c>
      <c r="L2559" s="3">
        <v>36.61</v>
      </c>
      <c r="M2559" s="3" t="s">
        <v>1695</v>
      </c>
      <c r="N2559" s="3" t="s">
        <v>1696</v>
      </c>
      <c r="O2559" s="3">
        <v>1.94537878766E11</v>
      </c>
    </row>
    <row r="2560">
      <c r="A2560" s="3">
        <v>2618903.0</v>
      </c>
      <c r="B2560" s="3" t="s">
        <v>5338</v>
      </c>
      <c r="C2560" s="3" t="b">
        <v>0</v>
      </c>
      <c r="D2560" s="3" t="b">
        <v>1</v>
      </c>
      <c r="E2560" s="3" t="s">
        <v>5339</v>
      </c>
      <c r="F2560" s="3" t="s">
        <v>5340</v>
      </c>
      <c r="G2560" s="4">
        <f>+251989742718</f>
        <v>251989742718</v>
      </c>
      <c r="H2560" s="3" t="s">
        <v>18</v>
      </c>
      <c r="I2560" s="3" t="s">
        <v>19</v>
      </c>
      <c r="J2560" s="3" t="s">
        <v>19</v>
      </c>
      <c r="K2560" s="3" t="s">
        <v>25</v>
      </c>
      <c r="L2560" s="3">
        <v>25.53</v>
      </c>
      <c r="M2560" s="3" t="s">
        <v>1695</v>
      </c>
      <c r="N2560" s="3" t="s">
        <v>1696</v>
      </c>
      <c r="O2560" s="3">
        <v>1.94528030928E11</v>
      </c>
    </row>
    <row r="2561">
      <c r="A2561" s="3">
        <v>2618908.0</v>
      </c>
      <c r="B2561" s="3" t="s">
        <v>5341</v>
      </c>
      <c r="C2561" s="3" t="b">
        <v>1</v>
      </c>
      <c r="D2561" s="3" t="b">
        <v>1</v>
      </c>
      <c r="E2561" s="3" t="s">
        <v>3368</v>
      </c>
      <c r="F2561" s="3" t="s">
        <v>3339</v>
      </c>
      <c r="G2561" s="4">
        <f>+251913189017</f>
        <v>251913189017</v>
      </c>
      <c r="H2561" s="3" t="s">
        <v>18</v>
      </c>
      <c r="I2561" s="3" t="s">
        <v>19</v>
      </c>
      <c r="J2561" s="3" t="s">
        <v>19</v>
      </c>
      <c r="K2561" s="3" t="s">
        <v>20</v>
      </c>
      <c r="L2561" s="3">
        <v>35.34</v>
      </c>
      <c r="M2561" s="3" t="s">
        <v>1695</v>
      </c>
      <c r="N2561" s="3" t="s">
        <v>1696</v>
      </c>
      <c r="O2561" s="3">
        <v>1.94528211131E11</v>
      </c>
    </row>
    <row r="2562">
      <c r="A2562" s="3">
        <v>2618912.0</v>
      </c>
      <c r="B2562" s="3" t="s">
        <v>5342</v>
      </c>
      <c r="C2562" s="3" t="b">
        <v>0</v>
      </c>
      <c r="D2562" s="3" t="b">
        <v>1</v>
      </c>
      <c r="E2562" s="3" t="s">
        <v>5343</v>
      </c>
      <c r="F2562" s="3" t="s">
        <v>1532</v>
      </c>
      <c r="G2562" s="4">
        <f>+251941060830</f>
        <v>251941060830</v>
      </c>
      <c r="H2562" s="3" t="s">
        <v>18</v>
      </c>
      <c r="I2562" s="3" t="s">
        <v>19</v>
      </c>
      <c r="J2562" s="3" t="s">
        <v>19</v>
      </c>
      <c r="K2562" s="3" t="s">
        <v>20</v>
      </c>
      <c r="L2562" s="3">
        <v>28.93</v>
      </c>
      <c r="M2562" s="3" t="s">
        <v>1695</v>
      </c>
      <c r="N2562" s="3" t="s">
        <v>1696</v>
      </c>
      <c r="O2562" s="3">
        <v>1.94577066229E11</v>
      </c>
    </row>
    <row r="2563">
      <c r="A2563" s="3">
        <v>2618916.0</v>
      </c>
      <c r="B2563" s="3" t="s">
        <v>5344</v>
      </c>
      <c r="C2563" s="3" t="b">
        <v>0</v>
      </c>
      <c r="D2563" s="3" t="b">
        <v>1</v>
      </c>
      <c r="E2563" s="3" t="s">
        <v>5345</v>
      </c>
      <c r="F2563" s="3" t="s">
        <v>5346</v>
      </c>
      <c r="G2563" s="4">
        <f>+251936207954</f>
        <v>251936207954</v>
      </c>
      <c r="H2563" s="3" t="s">
        <v>18</v>
      </c>
      <c r="I2563" s="3" t="s">
        <v>19</v>
      </c>
      <c r="J2563" s="3" t="s">
        <v>19</v>
      </c>
      <c r="K2563" s="3" t="s">
        <v>20</v>
      </c>
      <c r="L2563" s="3">
        <v>30.46</v>
      </c>
      <c r="M2563" s="3" t="s">
        <v>1695</v>
      </c>
      <c r="N2563" s="3" t="s">
        <v>1696</v>
      </c>
      <c r="O2563" s="3">
        <v>1.9453846654E11</v>
      </c>
    </row>
    <row r="2564">
      <c r="A2564" s="3">
        <v>2618918.0</v>
      </c>
      <c r="B2564" s="3" t="s">
        <v>5347</v>
      </c>
      <c r="C2564" s="3" t="b">
        <v>0</v>
      </c>
      <c r="D2564" s="3" t="b">
        <v>1</v>
      </c>
      <c r="E2564" s="3" t="s">
        <v>3651</v>
      </c>
      <c r="F2564" s="3" t="s">
        <v>4114</v>
      </c>
      <c r="G2564" s="4">
        <f>+251904619522</f>
        <v>251904619522</v>
      </c>
      <c r="H2564" s="3" t="s">
        <v>18</v>
      </c>
      <c r="I2564" s="3" t="s">
        <v>19</v>
      </c>
      <c r="J2564" s="3" t="s">
        <v>19</v>
      </c>
      <c r="K2564" s="3" t="s">
        <v>25</v>
      </c>
      <c r="L2564" s="3">
        <v>22.21</v>
      </c>
      <c r="M2564" s="3" t="s">
        <v>1695</v>
      </c>
      <c r="N2564" s="3" t="s">
        <v>1696</v>
      </c>
      <c r="O2564" s="3">
        <v>1.945771307E11</v>
      </c>
    </row>
    <row r="2565">
      <c r="A2565" s="3">
        <v>2618921.0</v>
      </c>
      <c r="B2565" s="3" t="s">
        <v>5348</v>
      </c>
      <c r="C2565" s="3" t="b">
        <v>0</v>
      </c>
      <c r="D2565" s="3" t="b">
        <v>1</v>
      </c>
      <c r="E2565" s="3" t="s">
        <v>2781</v>
      </c>
      <c r="F2565" s="3" t="s">
        <v>5349</v>
      </c>
      <c r="G2565" s="4">
        <f>+251936202455</f>
        <v>251936202455</v>
      </c>
      <c r="H2565" s="3" t="s">
        <v>18</v>
      </c>
      <c r="I2565" s="3" t="s">
        <v>19</v>
      </c>
      <c r="J2565" s="3" t="s">
        <v>19</v>
      </c>
      <c r="K2565" s="3" t="s">
        <v>25</v>
      </c>
      <c r="L2565" s="3">
        <v>31.28</v>
      </c>
      <c r="M2565" s="3" t="s">
        <v>1695</v>
      </c>
      <c r="N2565" s="3" t="s">
        <v>1696</v>
      </c>
      <c r="O2565" s="3">
        <v>1.94538589424E11</v>
      </c>
    </row>
    <row r="2566">
      <c r="A2566" s="3">
        <v>2618973.0</v>
      </c>
      <c r="B2566" s="3" t="s">
        <v>5350</v>
      </c>
      <c r="C2566" s="3" t="b">
        <v>0</v>
      </c>
      <c r="D2566" s="3" t="b">
        <v>1</v>
      </c>
      <c r="E2566" s="3" t="s">
        <v>4488</v>
      </c>
      <c r="F2566" s="3" t="s">
        <v>409</v>
      </c>
      <c r="G2566" s="4">
        <f>+251967540687</f>
        <v>251967540687</v>
      </c>
      <c r="H2566" s="3" t="s">
        <v>18</v>
      </c>
      <c r="I2566" s="3" t="s">
        <v>19</v>
      </c>
      <c r="J2566" s="3" t="s">
        <v>19</v>
      </c>
      <c r="K2566" s="3" t="s">
        <v>20</v>
      </c>
      <c r="L2566" s="3">
        <v>26.19</v>
      </c>
      <c r="M2566" s="3" t="s">
        <v>1695</v>
      </c>
      <c r="N2566" s="3" t="s">
        <v>1696</v>
      </c>
      <c r="O2566" s="3">
        <v>1.94577828078E11</v>
      </c>
    </row>
    <row r="2567">
      <c r="A2567" s="3">
        <v>2619153.0</v>
      </c>
      <c r="B2567" s="3" t="s">
        <v>5351</v>
      </c>
      <c r="C2567" s="3" t="b">
        <v>0</v>
      </c>
      <c r="D2567" s="3" t="b">
        <v>1</v>
      </c>
      <c r="E2567" s="3" t="s">
        <v>5352</v>
      </c>
      <c r="F2567" s="3" t="s">
        <v>5353</v>
      </c>
      <c r="G2567" s="4">
        <f>+251919948206</f>
        <v>251919948206</v>
      </c>
      <c r="H2567" s="3" t="s">
        <v>18</v>
      </c>
      <c r="I2567" s="3" t="s">
        <v>19</v>
      </c>
      <c r="J2567" s="3" t="s">
        <v>19</v>
      </c>
      <c r="K2567" s="3" t="s">
        <v>25</v>
      </c>
      <c r="L2567" s="3">
        <v>25.92</v>
      </c>
      <c r="M2567" s="3" t="s">
        <v>1695</v>
      </c>
      <c r="N2567" s="3" t="s">
        <v>1696</v>
      </c>
      <c r="O2567" s="3">
        <v>1.94686697716E11</v>
      </c>
    </row>
    <row r="2568">
      <c r="A2568" s="3">
        <v>2618926.0</v>
      </c>
      <c r="B2568" s="3" t="s">
        <v>5354</v>
      </c>
      <c r="C2568" s="3" t="b">
        <v>0</v>
      </c>
      <c r="D2568" s="3" t="b">
        <v>1</v>
      </c>
      <c r="E2568" s="3" t="s">
        <v>5355</v>
      </c>
      <c r="F2568" s="3" t="s">
        <v>196</v>
      </c>
      <c r="G2568" s="4">
        <f>+251922191581</f>
        <v>251922191581</v>
      </c>
      <c r="H2568" s="3" t="s">
        <v>18</v>
      </c>
      <c r="I2568" s="3" t="s">
        <v>19</v>
      </c>
      <c r="J2568" s="3" t="s">
        <v>19</v>
      </c>
      <c r="K2568" s="3" t="s">
        <v>25</v>
      </c>
      <c r="L2568" s="3">
        <v>28.35</v>
      </c>
      <c r="M2568" s="3" t="s">
        <v>1695</v>
      </c>
      <c r="N2568" s="3" t="s">
        <v>1696</v>
      </c>
      <c r="O2568" s="3">
        <v>1.94562282686E11</v>
      </c>
    </row>
    <row r="2569">
      <c r="A2569" s="3">
        <v>2619169.0</v>
      </c>
      <c r="B2569" s="3" t="s">
        <v>5356</v>
      </c>
      <c r="C2569" s="3" t="b">
        <v>0</v>
      </c>
      <c r="D2569" s="3" t="b">
        <v>1</v>
      </c>
      <c r="E2569" s="3" t="s">
        <v>5357</v>
      </c>
      <c r="F2569" s="3" t="s">
        <v>2371</v>
      </c>
      <c r="G2569" s="4">
        <f>+251949685531</f>
        <v>251949685531</v>
      </c>
      <c r="H2569" s="3" t="s">
        <v>18</v>
      </c>
      <c r="I2569" s="3" t="s">
        <v>19</v>
      </c>
      <c r="J2569" s="3" t="s">
        <v>19</v>
      </c>
      <c r="K2569" s="3" t="s">
        <v>25</v>
      </c>
      <c r="L2569" s="3">
        <v>24.11</v>
      </c>
      <c r="M2569" s="3" t="s">
        <v>1695</v>
      </c>
      <c r="N2569" s="3" t="s">
        <v>1696</v>
      </c>
      <c r="O2569" s="3">
        <v>1.94623999174E11</v>
      </c>
    </row>
    <row r="2570">
      <c r="A2570" s="3">
        <v>2619179.0</v>
      </c>
      <c r="B2570" s="3" t="s">
        <v>5358</v>
      </c>
      <c r="C2570" s="3" t="b">
        <v>1</v>
      </c>
      <c r="D2570" s="3" t="b">
        <v>1</v>
      </c>
      <c r="E2570" s="3" t="s">
        <v>4203</v>
      </c>
      <c r="F2570" s="3" t="s">
        <v>559</v>
      </c>
      <c r="G2570" s="4">
        <f>+251917171610</f>
        <v>251917171610</v>
      </c>
      <c r="H2570" s="3" t="s">
        <v>18</v>
      </c>
      <c r="I2570" s="3" t="s">
        <v>19</v>
      </c>
      <c r="J2570" s="3" t="s">
        <v>19</v>
      </c>
      <c r="K2570" s="3" t="s">
        <v>25</v>
      </c>
      <c r="L2570" s="3">
        <v>32.43</v>
      </c>
      <c r="M2570" s="3" t="s">
        <v>1695</v>
      </c>
      <c r="N2570" s="3" t="s">
        <v>1696</v>
      </c>
      <c r="O2570" s="3">
        <v>8834293.0</v>
      </c>
    </row>
    <row r="2571">
      <c r="A2571" s="3">
        <v>2619183.0</v>
      </c>
      <c r="B2571" s="3" t="s">
        <v>5359</v>
      </c>
      <c r="C2571" s="3" t="b">
        <v>0</v>
      </c>
      <c r="D2571" s="3" t="b">
        <v>1</v>
      </c>
      <c r="E2571" s="3" t="s">
        <v>4821</v>
      </c>
      <c r="F2571" s="3" t="s">
        <v>5360</v>
      </c>
      <c r="G2571" s="4">
        <f>+251919546973</f>
        <v>251919546973</v>
      </c>
      <c r="H2571" s="3" t="s">
        <v>18</v>
      </c>
      <c r="I2571" s="3" t="s">
        <v>19</v>
      </c>
      <c r="J2571" s="3" t="s">
        <v>19</v>
      </c>
      <c r="K2571" s="3" t="s">
        <v>25</v>
      </c>
      <c r="L2571" s="3">
        <v>26.2</v>
      </c>
      <c r="M2571" s="3" t="s">
        <v>1695</v>
      </c>
      <c r="N2571" s="3" t="s">
        <v>1696</v>
      </c>
      <c r="O2571" s="3">
        <v>1.94625884374E11</v>
      </c>
    </row>
    <row r="2572">
      <c r="A2572" s="3">
        <v>2619186.0</v>
      </c>
      <c r="B2572" s="3" t="s">
        <v>5361</v>
      </c>
      <c r="C2572" s="3" t="b">
        <v>0</v>
      </c>
      <c r="D2572" s="3" t="b">
        <v>1</v>
      </c>
      <c r="E2572" s="3" t="s">
        <v>2407</v>
      </c>
      <c r="F2572" s="3" t="s">
        <v>5362</v>
      </c>
      <c r="G2572" s="4">
        <f>+251922906255</f>
        <v>251922906255</v>
      </c>
      <c r="H2572" s="3" t="s">
        <v>18</v>
      </c>
      <c r="I2572" s="3" t="s">
        <v>19</v>
      </c>
      <c r="J2572" s="3" t="s">
        <v>19</v>
      </c>
      <c r="K2572" s="3" t="s">
        <v>20</v>
      </c>
      <c r="L2572" s="3">
        <v>27.27</v>
      </c>
      <c r="M2572" s="3" t="s">
        <v>1695</v>
      </c>
      <c r="N2572" s="3" t="s">
        <v>1696</v>
      </c>
      <c r="O2572" s="3">
        <v>1.94634154226E11</v>
      </c>
    </row>
    <row r="2573">
      <c r="A2573" s="3">
        <v>2619209.0</v>
      </c>
      <c r="B2573" s="3" t="s">
        <v>5363</v>
      </c>
      <c r="C2573" s="3" t="b">
        <v>1</v>
      </c>
      <c r="D2573" s="3" t="b">
        <v>1</v>
      </c>
      <c r="E2573" s="3" t="s">
        <v>3803</v>
      </c>
      <c r="F2573" s="3" t="s">
        <v>5364</v>
      </c>
      <c r="G2573" s="4">
        <f>+251917723939</f>
        <v>251917723939</v>
      </c>
      <c r="H2573" s="3" t="s">
        <v>18</v>
      </c>
      <c r="I2573" s="3" t="s">
        <v>19</v>
      </c>
      <c r="J2573" s="3" t="s">
        <v>19</v>
      </c>
      <c r="K2573" s="3" t="s">
        <v>25</v>
      </c>
      <c r="L2573" s="3">
        <v>33.42</v>
      </c>
      <c r="M2573" s="3" t="s">
        <v>1695</v>
      </c>
      <c r="N2573" s="3" t="s">
        <v>1696</v>
      </c>
      <c r="O2573" s="3">
        <v>1.94673614038E11</v>
      </c>
    </row>
    <row r="2574">
      <c r="A2574" s="3">
        <v>2619217.0</v>
      </c>
      <c r="B2574" s="3" t="s">
        <v>5365</v>
      </c>
      <c r="C2574" s="3" t="b">
        <v>0</v>
      </c>
      <c r="D2574" s="3" t="b">
        <v>1</v>
      </c>
      <c r="E2574" s="3" t="s">
        <v>5366</v>
      </c>
      <c r="F2574" s="3" t="s">
        <v>5367</v>
      </c>
      <c r="G2574" s="4">
        <f>+251917890456</f>
        <v>251917890456</v>
      </c>
      <c r="H2574" s="3" t="s">
        <v>18</v>
      </c>
      <c r="I2574" s="3" t="s">
        <v>19</v>
      </c>
      <c r="J2574" s="3" t="s">
        <v>19</v>
      </c>
      <c r="K2574" s="3" t="s">
        <v>25</v>
      </c>
      <c r="L2574" s="3">
        <v>31.1</v>
      </c>
      <c r="M2574" s="3" t="s">
        <v>1695</v>
      </c>
      <c r="N2574" s="3" t="s">
        <v>1696</v>
      </c>
      <c r="O2574" s="3">
        <v>1.94818385108E11</v>
      </c>
    </row>
    <row r="2575">
      <c r="A2575" s="3">
        <v>2619229.0</v>
      </c>
      <c r="B2575" s="3" t="s">
        <v>5368</v>
      </c>
      <c r="C2575" s="3" t="b">
        <v>0</v>
      </c>
      <c r="D2575" s="3" t="b">
        <v>1</v>
      </c>
      <c r="E2575" s="3" t="s">
        <v>1525</v>
      </c>
      <c r="F2575" s="3" t="s">
        <v>5369</v>
      </c>
      <c r="G2575" s="4">
        <f>+251973985020</f>
        <v>251973985020</v>
      </c>
      <c r="H2575" s="3" t="s">
        <v>18</v>
      </c>
      <c r="I2575" s="3" t="s">
        <v>19</v>
      </c>
      <c r="J2575" s="3" t="s">
        <v>19</v>
      </c>
      <c r="K2575" s="3" t="s">
        <v>25</v>
      </c>
      <c r="L2575" s="3">
        <v>23.96</v>
      </c>
      <c r="M2575" s="3" t="s">
        <v>1695</v>
      </c>
      <c r="N2575" s="3" t="s">
        <v>1696</v>
      </c>
      <c r="O2575" s="3">
        <v>1.94639067373E11</v>
      </c>
    </row>
    <row r="2576">
      <c r="A2576" s="3">
        <v>2619227.0</v>
      </c>
      <c r="B2576" s="3" t="s">
        <v>5370</v>
      </c>
      <c r="C2576" s="3" t="b">
        <v>0</v>
      </c>
      <c r="D2576" s="3" t="b">
        <v>1</v>
      </c>
      <c r="E2576" s="3" t="s">
        <v>5235</v>
      </c>
      <c r="F2576" s="3" t="s">
        <v>32</v>
      </c>
      <c r="G2576" s="4">
        <f>+251932757573</f>
        <v>251932757573</v>
      </c>
      <c r="H2576" s="3" t="s">
        <v>18</v>
      </c>
      <c r="I2576" s="3" t="s">
        <v>19</v>
      </c>
      <c r="J2576" s="3" t="s">
        <v>19</v>
      </c>
      <c r="K2576" s="3" t="s">
        <v>20</v>
      </c>
      <c r="L2576" s="3">
        <v>31.18</v>
      </c>
      <c r="M2576" s="3" t="s">
        <v>1695</v>
      </c>
      <c r="N2576" s="3" t="s">
        <v>1696</v>
      </c>
      <c r="O2576" s="3">
        <v>1.94818695363E11</v>
      </c>
    </row>
    <row r="2577">
      <c r="A2577" s="3">
        <v>2619240.0</v>
      </c>
      <c r="B2577" s="3" t="s">
        <v>5371</v>
      </c>
      <c r="C2577" s="3" t="b">
        <v>0</v>
      </c>
      <c r="D2577" s="3" t="b">
        <v>1</v>
      </c>
      <c r="E2577" s="3" t="s">
        <v>5073</v>
      </c>
      <c r="F2577" s="3" t="s">
        <v>5372</v>
      </c>
      <c r="G2577" s="4">
        <f>+251977218028</f>
        <v>251977218028</v>
      </c>
      <c r="H2577" s="3" t="s">
        <v>18</v>
      </c>
      <c r="I2577" s="3" t="s">
        <v>19</v>
      </c>
      <c r="J2577" s="3" t="s">
        <v>19</v>
      </c>
      <c r="K2577" s="3" t="s">
        <v>25</v>
      </c>
      <c r="L2577" s="3">
        <v>24.87</v>
      </c>
      <c r="M2577" s="3" t="s">
        <v>1695</v>
      </c>
      <c r="N2577" s="3" t="s">
        <v>1696</v>
      </c>
      <c r="O2577" s="3">
        <v>1.94681239753E11</v>
      </c>
    </row>
    <row r="2578">
      <c r="A2578" s="3">
        <v>2619243.0</v>
      </c>
      <c r="B2578" s="3" t="s">
        <v>5373</v>
      </c>
      <c r="C2578" s="3" t="b">
        <v>0</v>
      </c>
      <c r="D2578" s="3" t="b">
        <v>1</v>
      </c>
      <c r="E2578" s="3" t="s">
        <v>5374</v>
      </c>
      <c r="F2578" s="3" t="s">
        <v>5375</v>
      </c>
      <c r="G2578" s="4">
        <f>+251904802041</f>
        <v>251904802041</v>
      </c>
      <c r="H2578" s="3" t="s">
        <v>18</v>
      </c>
      <c r="I2578" s="3" t="s">
        <v>19</v>
      </c>
      <c r="J2578" s="3" t="s">
        <v>19</v>
      </c>
      <c r="K2578" s="3" t="s">
        <v>20</v>
      </c>
      <c r="L2578" s="3">
        <v>26.2</v>
      </c>
      <c r="M2578" s="3" t="s">
        <v>1695</v>
      </c>
      <c r="N2578" s="3" t="s">
        <v>1696</v>
      </c>
      <c r="O2578" s="3">
        <v>1.94823726271E11</v>
      </c>
    </row>
    <row r="2579">
      <c r="A2579" s="3">
        <v>2619252.0</v>
      </c>
      <c r="B2579" s="3" t="s">
        <v>5376</v>
      </c>
      <c r="C2579" s="3" t="b">
        <v>0</v>
      </c>
      <c r="D2579" s="3" t="b">
        <v>1</v>
      </c>
      <c r="E2579" s="3" t="s">
        <v>5377</v>
      </c>
      <c r="F2579" s="3" t="s">
        <v>4519</v>
      </c>
      <c r="G2579" s="4">
        <f>+251925964675</f>
        <v>251925964675</v>
      </c>
      <c r="H2579" s="3" t="s">
        <v>18</v>
      </c>
      <c r="I2579" s="3" t="s">
        <v>19</v>
      </c>
      <c r="J2579" s="3" t="s">
        <v>19</v>
      </c>
      <c r="K2579" s="3" t="s">
        <v>20</v>
      </c>
      <c r="L2579" s="3">
        <v>26.26</v>
      </c>
      <c r="M2579" s="3" t="s">
        <v>1695</v>
      </c>
      <c r="N2579" s="3" t="s">
        <v>1696</v>
      </c>
      <c r="O2579" s="3">
        <v>1.94834007226E11</v>
      </c>
    </row>
    <row r="2580">
      <c r="A2580" s="3">
        <v>2619254.0</v>
      </c>
      <c r="B2580" s="3" t="s">
        <v>5378</v>
      </c>
      <c r="C2580" s="3" t="b">
        <v>0</v>
      </c>
      <c r="D2580" s="3" t="b">
        <v>1</v>
      </c>
      <c r="E2580" s="3" t="s">
        <v>5379</v>
      </c>
      <c r="F2580" s="3" t="s">
        <v>5380</v>
      </c>
      <c r="G2580" s="4">
        <f>+251957053821</f>
        <v>251957053821</v>
      </c>
      <c r="H2580" s="3" t="s">
        <v>18</v>
      </c>
      <c r="I2580" s="3" t="s">
        <v>19</v>
      </c>
      <c r="J2580" s="3" t="s">
        <v>19</v>
      </c>
      <c r="K2580" s="3" t="s">
        <v>25</v>
      </c>
      <c r="L2580" s="3">
        <v>26.2</v>
      </c>
      <c r="M2580" s="3" t="s">
        <v>1695</v>
      </c>
      <c r="N2580" s="3" t="s">
        <v>1696</v>
      </c>
      <c r="O2580" s="3">
        <v>1.94704948469E11</v>
      </c>
    </row>
    <row r="2581">
      <c r="A2581" s="3">
        <v>2619262.0</v>
      </c>
      <c r="B2581" s="3" t="s">
        <v>5381</v>
      </c>
      <c r="C2581" s="3" t="b">
        <v>0</v>
      </c>
      <c r="D2581" s="3" t="b">
        <v>1</v>
      </c>
      <c r="E2581" s="3" t="s">
        <v>5382</v>
      </c>
      <c r="F2581" s="3" t="s">
        <v>5383</v>
      </c>
      <c r="G2581" s="4">
        <f>+251944397601</f>
        <v>251944397601</v>
      </c>
      <c r="H2581" s="3" t="s">
        <v>18</v>
      </c>
      <c r="I2581" s="3" t="s">
        <v>19</v>
      </c>
      <c r="J2581" s="3" t="s">
        <v>19</v>
      </c>
      <c r="K2581" s="3" t="s">
        <v>25</v>
      </c>
      <c r="L2581" s="3">
        <v>26.18</v>
      </c>
      <c r="M2581" s="3" t="s">
        <v>1695</v>
      </c>
      <c r="N2581" s="3" t="s">
        <v>1696</v>
      </c>
      <c r="O2581" s="3">
        <v>1.94681508088E11</v>
      </c>
    </row>
    <row r="2582">
      <c r="A2582" s="3">
        <v>2619265.0</v>
      </c>
      <c r="B2582" s="3" t="s">
        <v>5384</v>
      </c>
      <c r="C2582" s="3" t="b">
        <v>0</v>
      </c>
      <c r="D2582" s="3" t="b">
        <v>1</v>
      </c>
      <c r="E2582" s="3" t="s">
        <v>2225</v>
      </c>
      <c r="F2582" s="3" t="s">
        <v>5385</v>
      </c>
      <c r="G2582" s="4">
        <f>+251983511305</f>
        <v>251983511305</v>
      </c>
      <c r="H2582" s="3" t="s">
        <v>18</v>
      </c>
      <c r="I2582" s="3" t="s">
        <v>19</v>
      </c>
      <c r="J2582" s="3" t="s">
        <v>19</v>
      </c>
      <c r="K2582" s="3" t="s">
        <v>20</v>
      </c>
      <c r="L2582" s="3">
        <v>25.13</v>
      </c>
      <c r="M2582" s="3" t="s">
        <v>1695</v>
      </c>
      <c r="N2582" s="3" t="s">
        <v>1696</v>
      </c>
      <c r="O2582" s="3">
        <v>1.94684054723E11</v>
      </c>
    </row>
    <row r="2583">
      <c r="A2583" s="3">
        <v>2619270.0</v>
      </c>
      <c r="B2583" s="3" t="s">
        <v>5386</v>
      </c>
      <c r="C2583" s="3" t="b">
        <v>0</v>
      </c>
      <c r="D2583" s="3" t="b">
        <v>1</v>
      </c>
      <c r="E2583" s="3" t="s">
        <v>5387</v>
      </c>
      <c r="F2583" s="3" t="s">
        <v>5131</v>
      </c>
      <c r="G2583" s="4">
        <f>+251930550355</f>
        <v>251930550355</v>
      </c>
      <c r="H2583" s="3" t="s">
        <v>18</v>
      </c>
      <c r="I2583" s="3" t="s">
        <v>19</v>
      </c>
      <c r="J2583" s="3" t="s">
        <v>19</v>
      </c>
      <c r="K2583" s="3" t="s">
        <v>25</v>
      </c>
      <c r="L2583" s="3">
        <v>26.93</v>
      </c>
      <c r="M2583" s="3" t="s">
        <v>1695</v>
      </c>
      <c r="N2583" s="3" t="s">
        <v>1696</v>
      </c>
      <c r="O2583" s="3">
        <v>1.94831288568E11</v>
      </c>
    </row>
    <row r="2584">
      <c r="A2584" s="3">
        <v>2619293.0</v>
      </c>
      <c r="B2584" s="3" t="s">
        <v>5388</v>
      </c>
      <c r="C2584" s="3" t="b">
        <v>0</v>
      </c>
      <c r="D2584" s="3" t="b">
        <v>1</v>
      </c>
      <c r="E2584" s="3" t="s">
        <v>4215</v>
      </c>
      <c r="F2584" s="3" t="s">
        <v>224</v>
      </c>
      <c r="G2584" s="4">
        <f>+251925051628</f>
        <v>251925051628</v>
      </c>
      <c r="H2584" s="3" t="s">
        <v>18</v>
      </c>
      <c r="I2584" s="3" t="s">
        <v>19</v>
      </c>
      <c r="J2584" s="3" t="s">
        <v>19</v>
      </c>
      <c r="K2584" s="3" t="s">
        <v>25</v>
      </c>
      <c r="L2584" s="3">
        <v>28.85</v>
      </c>
      <c r="M2584" s="3" t="s">
        <v>1695</v>
      </c>
      <c r="N2584" s="3" t="s">
        <v>1696</v>
      </c>
      <c r="O2584" s="3">
        <v>1.94706026734E11</v>
      </c>
    </row>
    <row r="2585">
      <c r="A2585" s="3">
        <v>2619317.0</v>
      </c>
      <c r="B2585" s="3" t="s">
        <v>5389</v>
      </c>
      <c r="C2585" s="3" t="b">
        <v>0</v>
      </c>
      <c r="D2585" s="3" t="b">
        <v>1</v>
      </c>
      <c r="E2585" s="3" t="s">
        <v>540</v>
      </c>
      <c r="F2585" s="3" t="s">
        <v>5390</v>
      </c>
      <c r="G2585" s="4">
        <f>+251935083496</f>
        <v>251935083496</v>
      </c>
      <c r="H2585" s="3" t="s">
        <v>18</v>
      </c>
      <c r="I2585" s="3" t="s">
        <v>19</v>
      </c>
      <c r="J2585" s="3" t="s">
        <v>19</v>
      </c>
      <c r="K2585" s="3" t="s">
        <v>20</v>
      </c>
      <c r="L2585" s="3">
        <v>25.13</v>
      </c>
      <c r="M2585" s="3" t="s">
        <v>1695</v>
      </c>
      <c r="N2585" s="3" t="s">
        <v>1696</v>
      </c>
      <c r="O2585" s="3">
        <v>1.94819526892E11</v>
      </c>
    </row>
    <row r="2586">
      <c r="A2586" s="3">
        <v>2619328.0</v>
      </c>
      <c r="B2586" s="3" t="s">
        <v>5391</v>
      </c>
      <c r="C2586" s="3" t="b">
        <v>0</v>
      </c>
      <c r="D2586" s="3" t="b">
        <v>1</v>
      </c>
      <c r="E2586" s="3" t="s">
        <v>378</v>
      </c>
      <c r="F2586" s="3" t="s">
        <v>1237</v>
      </c>
      <c r="G2586" s="4">
        <f>+251975164150</f>
        <v>251975164150</v>
      </c>
      <c r="H2586" s="3" t="s">
        <v>18</v>
      </c>
      <c r="I2586" s="3" t="s">
        <v>19</v>
      </c>
      <c r="J2586" s="3" t="s">
        <v>19</v>
      </c>
      <c r="K2586" s="3" t="s">
        <v>25</v>
      </c>
      <c r="L2586" s="3">
        <v>20.07</v>
      </c>
      <c r="M2586" s="3" t="s">
        <v>1695</v>
      </c>
      <c r="N2586" s="3" t="s">
        <v>1696</v>
      </c>
      <c r="O2586" s="3">
        <v>1.94711471327E11</v>
      </c>
    </row>
    <row r="2587">
      <c r="A2587" s="3">
        <v>2619346.0</v>
      </c>
      <c r="B2587" s="3" t="s">
        <v>5392</v>
      </c>
      <c r="C2587" s="3" t="b">
        <v>1</v>
      </c>
      <c r="D2587" s="3" t="b">
        <v>1</v>
      </c>
      <c r="E2587" s="3" t="s">
        <v>5393</v>
      </c>
      <c r="F2587" s="3" t="s">
        <v>1271</v>
      </c>
      <c r="G2587" s="4">
        <f>+251953115822</f>
        <v>251953115822</v>
      </c>
      <c r="H2587" s="3" t="s">
        <v>18</v>
      </c>
      <c r="I2587" s="3" t="s">
        <v>19</v>
      </c>
      <c r="J2587" s="3" t="s">
        <v>19</v>
      </c>
      <c r="K2587" s="3" t="s">
        <v>20</v>
      </c>
      <c r="L2587" s="3">
        <v>26.52</v>
      </c>
      <c r="M2587" s="3" t="s">
        <v>1695</v>
      </c>
      <c r="N2587" s="3" t="s">
        <v>1696</v>
      </c>
    </row>
    <row r="2588">
      <c r="A2588" s="3">
        <v>2619396.0</v>
      </c>
      <c r="B2588" s="3" t="s">
        <v>5394</v>
      </c>
      <c r="C2588" s="3" t="b">
        <v>0</v>
      </c>
      <c r="D2588" s="3" t="b">
        <v>1</v>
      </c>
      <c r="E2588" s="3" t="s">
        <v>3626</v>
      </c>
      <c r="F2588" s="3" t="s">
        <v>5395</v>
      </c>
      <c r="G2588" s="4">
        <f>+251983909954</f>
        <v>251983909954</v>
      </c>
      <c r="H2588" s="3" t="s">
        <v>18</v>
      </c>
      <c r="I2588" s="3" t="s">
        <v>19</v>
      </c>
      <c r="J2588" s="3" t="s">
        <v>19</v>
      </c>
      <c r="K2588" s="3" t="s">
        <v>20</v>
      </c>
      <c r="L2588" s="3">
        <v>23.92</v>
      </c>
      <c r="M2588" s="3" t="s">
        <v>1695</v>
      </c>
      <c r="N2588" s="3" t="s">
        <v>1696</v>
      </c>
      <c r="O2588" s="3">
        <v>1.94720435447E11</v>
      </c>
    </row>
    <row r="2589">
      <c r="A2589" s="3">
        <v>2619403.0</v>
      </c>
      <c r="B2589" s="3" t="s">
        <v>5396</v>
      </c>
      <c r="C2589" s="3" t="b">
        <v>0</v>
      </c>
      <c r="D2589" s="3" t="b">
        <v>1</v>
      </c>
      <c r="E2589" s="3" t="s">
        <v>3791</v>
      </c>
      <c r="F2589" s="3" t="s">
        <v>1710</v>
      </c>
      <c r="G2589" s="4">
        <f>+251925287116</f>
        <v>251925287116</v>
      </c>
      <c r="H2589" s="3" t="s">
        <v>18</v>
      </c>
      <c r="I2589" s="3" t="s">
        <v>19</v>
      </c>
      <c r="J2589" s="3" t="s">
        <v>19</v>
      </c>
      <c r="K2589" s="3" t="s">
        <v>25</v>
      </c>
      <c r="L2589" s="3">
        <v>25.02</v>
      </c>
      <c r="M2589" s="3" t="s">
        <v>1695</v>
      </c>
      <c r="N2589" s="3" t="s">
        <v>1696</v>
      </c>
      <c r="O2589" s="3">
        <v>1.94824551612E11</v>
      </c>
    </row>
    <row r="2590">
      <c r="A2590" s="3">
        <v>2619415.0</v>
      </c>
      <c r="B2590" s="3" t="s">
        <v>5397</v>
      </c>
      <c r="C2590" s="3" t="b">
        <v>0</v>
      </c>
      <c r="D2590" s="3" t="b">
        <v>1</v>
      </c>
      <c r="E2590" s="3" t="s">
        <v>111</v>
      </c>
      <c r="F2590" s="3" t="s">
        <v>5398</v>
      </c>
      <c r="G2590" s="4">
        <f>+251923605493</f>
        <v>251923605493</v>
      </c>
      <c r="H2590" s="3" t="s">
        <v>18</v>
      </c>
      <c r="I2590" s="3" t="s">
        <v>19</v>
      </c>
      <c r="J2590" s="3" t="s">
        <v>19</v>
      </c>
      <c r="K2590" s="3" t="s">
        <v>25</v>
      </c>
      <c r="L2590" s="3">
        <v>25.1</v>
      </c>
      <c r="M2590" s="3" t="s">
        <v>1695</v>
      </c>
      <c r="N2590" s="3" t="s">
        <v>1696</v>
      </c>
      <c r="O2590" s="3">
        <v>1.94718742752E11</v>
      </c>
    </row>
    <row r="2591">
      <c r="A2591" s="3">
        <v>2619419.0</v>
      </c>
      <c r="B2591" s="3" t="s">
        <v>5399</v>
      </c>
      <c r="C2591" s="3" t="b">
        <v>0</v>
      </c>
      <c r="D2591" s="3" t="b">
        <v>1</v>
      </c>
      <c r="E2591" s="3" t="s">
        <v>5400</v>
      </c>
      <c r="F2591" s="3" t="s">
        <v>4152</v>
      </c>
      <c r="G2591" s="4">
        <f>+251701288956</f>
        <v>251701288956</v>
      </c>
      <c r="H2591" s="3" t="s">
        <v>18</v>
      </c>
      <c r="I2591" s="3" t="s">
        <v>19</v>
      </c>
      <c r="J2591" s="3" t="s">
        <v>19</v>
      </c>
      <c r="K2591" s="3" t="s">
        <v>25</v>
      </c>
      <c r="L2591" s="3">
        <v>25.9</v>
      </c>
      <c r="M2591" s="3" t="s">
        <v>1695</v>
      </c>
      <c r="N2591" s="3" t="s">
        <v>1696</v>
      </c>
      <c r="O2591" s="3">
        <v>1.94717386987E11</v>
      </c>
    </row>
    <row r="2592">
      <c r="A2592" s="3">
        <v>2619386.0</v>
      </c>
      <c r="B2592" s="3" t="s">
        <v>5401</v>
      </c>
      <c r="C2592" s="3" t="b">
        <v>1</v>
      </c>
      <c r="D2592" s="3" t="b">
        <v>1</v>
      </c>
      <c r="E2592" s="3" t="s">
        <v>2987</v>
      </c>
      <c r="F2592" s="3" t="s">
        <v>35</v>
      </c>
      <c r="G2592" s="4">
        <f>+251973491358</f>
        <v>251973491358</v>
      </c>
      <c r="H2592" s="3" t="s">
        <v>18</v>
      </c>
      <c r="I2592" s="3" t="s">
        <v>19</v>
      </c>
      <c r="J2592" s="3" t="s">
        <v>19</v>
      </c>
      <c r="K2592" s="3" t="s">
        <v>25</v>
      </c>
      <c r="L2592" s="3">
        <v>21.05</v>
      </c>
      <c r="M2592" s="3" t="s">
        <v>1695</v>
      </c>
      <c r="N2592" s="3" t="s">
        <v>1696</v>
      </c>
    </row>
    <row r="2593">
      <c r="A2593" s="3">
        <v>2619496.0</v>
      </c>
      <c r="B2593" s="3" t="s">
        <v>5402</v>
      </c>
      <c r="C2593" s="3" t="b">
        <v>0</v>
      </c>
      <c r="D2593" s="3" t="b">
        <v>1</v>
      </c>
      <c r="E2593" s="3" t="s">
        <v>5403</v>
      </c>
      <c r="F2593" s="3" t="s">
        <v>38</v>
      </c>
      <c r="G2593" s="4">
        <f>+251962893915</f>
        <v>251962893915</v>
      </c>
      <c r="H2593" s="3" t="s">
        <v>29</v>
      </c>
      <c r="I2593" s="3" t="s">
        <v>19</v>
      </c>
      <c r="J2593" s="3" t="s">
        <v>19</v>
      </c>
      <c r="K2593" s="3" t="s">
        <v>25</v>
      </c>
      <c r="L2593" s="3">
        <v>24.79</v>
      </c>
      <c r="M2593" s="3" t="s">
        <v>1695</v>
      </c>
      <c r="N2593" s="3" t="s">
        <v>1696</v>
      </c>
      <c r="O2593" s="3">
        <v>1.94856497378E11</v>
      </c>
    </row>
    <row r="2594">
      <c r="A2594" s="3">
        <v>2619727.0</v>
      </c>
      <c r="B2594" s="3" t="s">
        <v>5404</v>
      </c>
      <c r="C2594" s="3" t="b">
        <v>1</v>
      </c>
      <c r="D2594" s="3" t="b">
        <v>1</v>
      </c>
      <c r="E2594" s="3" t="s">
        <v>2272</v>
      </c>
      <c r="F2594" s="3" t="s">
        <v>333</v>
      </c>
      <c r="G2594" s="4">
        <f>+251974220108</f>
        <v>251974220108</v>
      </c>
      <c r="H2594" s="3" t="s">
        <v>18</v>
      </c>
      <c r="I2594" s="3" t="s">
        <v>19</v>
      </c>
      <c r="J2594" s="3" t="s">
        <v>19</v>
      </c>
      <c r="K2594" s="3" t="s">
        <v>20</v>
      </c>
      <c r="L2594" s="3">
        <v>18.79</v>
      </c>
      <c r="M2594" s="3" t="s">
        <v>1695</v>
      </c>
      <c r="N2594" s="3" t="s">
        <v>1696</v>
      </c>
      <c r="O2594" s="3">
        <v>1.95052362943E11</v>
      </c>
    </row>
    <row r="2595">
      <c r="A2595" s="3">
        <v>2619743.0</v>
      </c>
      <c r="B2595" s="3" t="s">
        <v>5405</v>
      </c>
      <c r="C2595" s="3" t="b">
        <v>1</v>
      </c>
      <c r="D2595" s="3" t="b">
        <v>1</v>
      </c>
      <c r="E2595" s="3" t="s">
        <v>5406</v>
      </c>
      <c r="F2595" s="3" t="s">
        <v>5407</v>
      </c>
      <c r="G2595" s="4">
        <f>+251932338231</f>
        <v>251932338231</v>
      </c>
      <c r="H2595" s="3" t="s">
        <v>18</v>
      </c>
      <c r="I2595" s="3" t="s">
        <v>19</v>
      </c>
      <c r="J2595" s="3" t="s">
        <v>19</v>
      </c>
      <c r="K2595" s="3" t="s">
        <v>25</v>
      </c>
      <c r="L2595" s="3">
        <v>27.66</v>
      </c>
      <c r="M2595" s="3" t="s">
        <v>1695</v>
      </c>
      <c r="N2595" s="3" t="s">
        <v>1696</v>
      </c>
    </row>
    <row r="2596">
      <c r="A2596" s="3">
        <v>2448692.0</v>
      </c>
      <c r="B2596" s="3" t="s">
        <v>5408</v>
      </c>
      <c r="C2596" s="3" t="b">
        <v>1</v>
      </c>
      <c r="D2596" s="3" t="b">
        <v>1</v>
      </c>
      <c r="E2596" s="3" t="s">
        <v>1246</v>
      </c>
      <c r="F2596" s="3" t="s">
        <v>196</v>
      </c>
      <c r="G2596" s="4">
        <f>+251923807681</f>
        <v>251923807681</v>
      </c>
      <c r="H2596" s="3" t="s">
        <v>18</v>
      </c>
      <c r="I2596" s="3" t="s">
        <v>19</v>
      </c>
      <c r="J2596" s="3" t="s">
        <v>19</v>
      </c>
      <c r="K2596" s="3" t="s">
        <v>25</v>
      </c>
      <c r="L2596" s="3">
        <v>25.13</v>
      </c>
      <c r="M2596" s="3" t="s">
        <v>1695</v>
      </c>
      <c r="N2596" s="3" t="s">
        <v>1696</v>
      </c>
    </row>
    <row r="2597">
      <c r="A2597" s="3">
        <v>2619881.0</v>
      </c>
      <c r="B2597" s="3" t="s">
        <v>5409</v>
      </c>
      <c r="C2597" s="3" t="b">
        <v>0</v>
      </c>
      <c r="D2597" s="3" t="b">
        <v>1</v>
      </c>
      <c r="E2597" s="3" t="s">
        <v>5410</v>
      </c>
      <c r="F2597" s="3" t="s">
        <v>446</v>
      </c>
      <c r="G2597" s="4">
        <f>+251909297080</f>
        <v>251909297080</v>
      </c>
      <c r="H2597" s="3" t="s">
        <v>18</v>
      </c>
      <c r="I2597" s="3" t="s">
        <v>19</v>
      </c>
      <c r="J2597" s="3" t="s">
        <v>19</v>
      </c>
      <c r="K2597" s="3" t="s">
        <v>25</v>
      </c>
      <c r="L2597" s="3">
        <v>25.02</v>
      </c>
      <c r="M2597" s="3" t="s">
        <v>1695</v>
      </c>
      <c r="N2597" s="3" t="s">
        <v>1696</v>
      </c>
      <c r="O2597" s="3">
        <v>1.95236765926E11</v>
      </c>
    </row>
    <row r="2598">
      <c r="A2598" s="3">
        <v>2619922.0</v>
      </c>
      <c r="B2598" s="3" t="s">
        <v>5411</v>
      </c>
      <c r="C2598" s="3" t="b">
        <v>1</v>
      </c>
      <c r="D2598" s="3" t="b">
        <v>1</v>
      </c>
      <c r="E2598" s="3" t="s">
        <v>5412</v>
      </c>
      <c r="F2598" s="3" t="s">
        <v>32</v>
      </c>
      <c r="G2598" s="4">
        <f>+251900622785</f>
        <v>251900622785</v>
      </c>
      <c r="H2598" s="3" t="s">
        <v>18</v>
      </c>
      <c r="I2598" s="3" t="s">
        <v>19</v>
      </c>
      <c r="J2598" s="3" t="s">
        <v>19</v>
      </c>
      <c r="K2598" s="3" t="s">
        <v>20</v>
      </c>
      <c r="L2598" s="3">
        <v>21.27</v>
      </c>
      <c r="M2598" s="3" t="s">
        <v>1695</v>
      </c>
      <c r="N2598" s="3" t="s">
        <v>1696</v>
      </c>
    </row>
    <row r="2599">
      <c r="A2599" s="3">
        <v>2620152.0</v>
      </c>
      <c r="B2599" s="3" t="s">
        <v>5413</v>
      </c>
      <c r="C2599" s="3" t="b">
        <v>1</v>
      </c>
      <c r="D2599" s="3" t="b">
        <v>1</v>
      </c>
      <c r="E2599" s="3" t="s">
        <v>5414</v>
      </c>
      <c r="F2599" s="3" t="s">
        <v>5415</v>
      </c>
      <c r="G2599" s="4">
        <f>+251916938495</f>
        <v>251916938495</v>
      </c>
      <c r="H2599" s="3" t="s">
        <v>18</v>
      </c>
      <c r="I2599" s="3" t="s">
        <v>19</v>
      </c>
      <c r="J2599" s="3" t="s">
        <v>19</v>
      </c>
      <c r="K2599" s="3" t="s">
        <v>25</v>
      </c>
      <c r="L2599" s="3">
        <v>18.8</v>
      </c>
      <c r="M2599" s="3" t="s">
        <v>1695</v>
      </c>
      <c r="N2599" s="3" t="s">
        <v>1696</v>
      </c>
    </row>
    <row r="2600">
      <c r="A2600" s="3">
        <v>2620346.0</v>
      </c>
      <c r="B2600" s="3" t="s">
        <v>5416</v>
      </c>
      <c r="C2600" s="3" t="b">
        <v>0</v>
      </c>
      <c r="D2600" s="3" t="b">
        <v>1</v>
      </c>
      <c r="E2600" s="3" t="s">
        <v>5417</v>
      </c>
      <c r="F2600" s="3" t="s">
        <v>5418</v>
      </c>
      <c r="G2600" s="4">
        <f>+251967292353</f>
        <v>251967292353</v>
      </c>
      <c r="H2600" s="3" t="s">
        <v>18</v>
      </c>
      <c r="I2600" s="3" t="s">
        <v>19</v>
      </c>
      <c r="J2600" s="3" t="s">
        <v>19</v>
      </c>
      <c r="K2600" s="3" t="s">
        <v>20</v>
      </c>
      <c r="L2600" s="3">
        <v>22.92</v>
      </c>
      <c r="M2600" s="3" t="s">
        <v>1695</v>
      </c>
      <c r="N2600" s="3" t="s">
        <v>1696</v>
      </c>
      <c r="O2600" s="3">
        <v>1.95562864875E11</v>
      </c>
    </row>
    <row r="2601">
      <c r="A2601" s="3">
        <v>2620359.0</v>
      </c>
      <c r="B2601" s="3" t="s">
        <v>5419</v>
      </c>
      <c r="C2601" s="3" t="b">
        <v>0</v>
      </c>
      <c r="D2601" s="3" t="b">
        <v>1</v>
      </c>
      <c r="E2601" s="3" t="s">
        <v>5420</v>
      </c>
      <c r="F2601" s="3" t="s">
        <v>5421</v>
      </c>
      <c r="G2601" s="4">
        <f>+251911483416</f>
        <v>251911483416</v>
      </c>
      <c r="H2601" s="3" t="s">
        <v>18</v>
      </c>
      <c r="I2601" s="3" t="s">
        <v>19</v>
      </c>
      <c r="J2601" s="3" t="s">
        <v>19</v>
      </c>
      <c r="K2601" s="3" t="s">
        <v>20</v>
      </c>
      <c r="L2601" s="3">
        <v>22.94</v>
      </c>
      <c r="M2601" s="3" t="s">
        <v>1695</v>
      </c>
      <c r="N2601" s="3" t="s">
        <v>1696</v>
      </c>
      <c r="O2601" s="3">
        <v>1.95565214936E11</v>
      </c>
    </row>
    <row r="2602">
      <c r="A2602" s="3">
        <v>2620366.0</v>
      </c>
      <c r="B2602" s="3" t="s">
        <v>5422</v>
      </c>
      <c r="C2602" s="3" t="b">
        <v>0</v>
      </c>
      <c r="D2602" s="3" t="b">
        <v>1</v>
      </c>
      <c r="E2602" s="3" t="s">
        <v>5423</v>
      </c>
      <c r="F2602" s="3" t="s">
        <v>5424</v>
      </c>
      <c r="G2602" s="4">
        <f>+251938829971</f>
        <v>251938829971</v>
      </c>
      <c r="H2602" s="3" t="s">
        <v>18</v>
      </c>
      <c r="I2602" s="3" t="s">
        <v>19</v>
      </c>
      <c r="J2602" s="3" t="s">
        <v>19</v>
      </c>
      <c r="K2602" s="3" t="s">
        <v>25</v>
      </c>
      <c r="L2602" s="3">
        <v>20.42</v>
      </c>
      <c r="M2602" s="3" t="s">
        <v>1695</v>
      </c>
      <c r="N2602" s="3" t="s">
        <v>1696</v>
      </c>
      <c r="O2602" s="3">
        <v>1.9556581503E11</v>
      </c>
    </row>
    <row r="2603">
      <c r="A2603" s="3">
        <v>2620373.0</v>
      </c>
      <c r="B2603" s="3" t="s">
        <v>5425</v>
      </c>
      <c r="C2603" s="3" t="b">
        <v>0</v>
      </c>
      <c r="D2603" s="3" t="b">
        <v>1</v>
      </c>
      <c r="E2603" s="3" t="s">
        <v>5426</v>
      </c>
      <c r="F2603" s="3" t="s">
        <v>5152</v>
      </c>
      <c r="G2603" s="4">
        <f>+251944687234</f>
        <v>251944687234</v>
      </c>
      <c r="H2603" s="3" t="s">
        <v>18</v>
      </c>
      <c r="I2603" s="3" t="s">
        <v>19</v>
      </c>
      <c r="J2603" s="3" t="s">
        <v>19</v>
      </c>
      <c r="K2603" s="3" t="s">
        <v>25</v>
      </c>
      <c r="L2603" s="3">
        <v>23.97</v>
      </c>
      <c r="M2603" s="3" t="s">
        <v>1695</v>
      </c>
      <c r="N2603" s="3" t="s">
        <v>1696</v>
      </c>
      <c r="O2603" s="3">
        <v>1.95558890729E11</v>
      </c>
    </row>
    <row r="2604">
      <c r="A2604" s="3">
        <v>2620379.0</v>
      </c>
      <c r="B2604" s="3" t="s">
        <v>5427</v>
      </c>
      <c r="C2604" s="3" t="b">
        <v>0</v>
      </c>
      <c r="D2604" s="3" t="b">
        <v>1</v>
      </c>
      <c r="E2604" s="3" t="s">
        <v>5428</v>
      </c>
      <c r="F2604" s="3" t="s">
        <v>5169</v>
      </c>
      <c r="G2604" s="4">
        <f>+251960184365</f>
        <v>251960184365</v>
      </c>
      <c r="H2604" s="3" t="s">
        <v>18</v>
      </c>
      <c r="I2604" s="3" t="s">
        <v>19</v>
      </c>
      <c r="J2604" s="3" t="s">
        <v>19</v>
      </c>
      <c r="K2604" s="3" t="s">
        <v>25</v>
      </c>
      <c r="L2604" s="3">
        <v>27.13</v>
      </c>
      <c r="M2604" s="3" t="s">
        <v>1695</v>
      </c>
      <c r="N2604" s="3" t="s">
        <v>1696</v>
      </c>
      <c r="O2604" s="3">
        <v>8889324.0</v>
      </c>
    </row>
    <row r="2605">
      <c r="A2605" s="3">
        <v>2620559.0</v>
      </c>
      <c r="B2605" s="3" t="s">
        <v>5429</v>
      </c>
      <c r="C2605" s="3" t="b">
        <v>0</v>
      </c>
      <c r="D2605" s="3" t="b">
        <v>1</v>
      </c>
      <c r="E2605" s="3" t="s">
        <v>5430</v>
      </c>
      <c r="F2605" s="3" t="s">
        <v>5254</v>
      </c>
      <c r="G2605" s="4">
        <f>+251904209092</f>
        <v>251904209092</v>
      </c>
      <c r="H2605" s="3" t="s">
        <v>18</v>
      </c>
      <c r="I2605" s="3" t="s">
        <v>19</v>
      </c>
      <c r="J2605" s="3" t="s">
        <v>19</v>
      </c>
      <c r="K2605" s="3" t="s">
        <v>20</v>
      </c>
      <c r="L2605" s="3">
        <v>26.36</v>
      </c>
      <c r="M2605" s="3" t="s">
        <v>1695</v>
      </c>
      <c r="N2605" s="3" t="s">
        <v>1696</v>
      </c>
      <c r="O2605" s="3">
        <v>1.95630948567E11</v>
      </c>
    </row>
    <row r="2606">
      <c r="A2606" s="3">
        <v>2620522.0</v>
      </c>
      <c r="B2606" s="3" t="s">
        <v>5431</v>
      </c>
      <c r="C2606" s="3" t="b">
        <v>0</v>
      </c>
      <c r="D2606" s="3" t="b">
        <v>1</v>
      </c>
      <c r="E2606" s="3" t="s">
        <v>4407</v>
      </c>
      <c r="F2606" s="3" t="s">
        <v>5432</v>
      </c>
      <c r="G2606" s="3">
        <v>9.25094377E8</v>
      </c>
      <c r="H2606" s="3" t="s">
        <v>18</v>
      </c>
      <c r="I2606" s="3" t="s">
        <v>19</v>
      </c>
      <c r="J2606" s="3" t="s">
        <v>19</v>
      </c>
      <c r="K2606" s="3" t="s">
        <v>25</v>
      </c>
      <c r="L2606" s="3">
        <v>29.02</v>
      </c>
      <c r="M2606" s="3" t="s">
        <v>1695</v>
      </c>
      <c r="N2606" s="3" t="s">
        <v>1696</v>
      </c>
      <c r="O2606" s="3">
        <v>1.95680166076E11</v>
      </c>
    </row>
    <row r="2607">
      <c r="A2607" s="3">
        <v>2620804.0</v>
      </c>
      <c r="B2607" s="3" t="s">
        <v>5433</v>
      </c>
      <c r="C2607" s="3" t="b">
        <v>1</v>
      </c>
      <c r="D2607" s="3" t="b">
        <v>1</v>
      </c>
      <c r="E2607" s="3" t="s">
        <v>713</v>
      </c>
      <c r="F2607" s="3" t="s">
        <v>1232</v>
      </c>
      <c r="G2607" s="4">
        <f>+251913004422</f>
        <v>251913004422</v>
      </c>
      <c r="H2607" s="3" t="s">
        <v>18</v>
      </c>
      <c r="I2607" s="3" t="s">
        <v>19</v>
      </c>
      <c r="J2607" s="3" t="s">
        <v>19</v>
      </c>
      <c r="K2607" s="3" t="s">
        <v>25</v>
      </c>
      <c r="L2607" s="3">
        <v>32.11</v>
      </c>
      <c r="M2607" s="3" t="s">
        <v>1695</v>
      </c>
      <c r="N2607" s="3" t="s">
        <v>1696</v>
      </c>
      <c r="O2607" s="3">
        <v>1.95774963913E11</v>
      </c>
    </row>
    <row r="2608">
      <c r="A2608" s="3">
        <v>2621900.0</v>
      </c>
      <c r="B2608" s="3" t="s">
        <v>5434</v>
      </c>
      <c r="C2608" s="3" t="b">
        <v>0</v>
      </c>
      <c r="D2608" s="3" t="b">
        <v>1</v>
      </c>
      <c r="E2608" s="3" t="s">
        <v>468</v>
      </c>
      <c r="F2608" s="3" t="s">
        <v>370</v>
      </c>
      <c r="G2608" s="4">
        <f>+251920813321</f>
        <v>251920813321</v>
      </c>
      <c r="H2608" s="3" t="s">
        <v>18</v>
      </c>
      <c r="I2608" s="3" t="s">
        <v>19</v>
      </c>
      <c r="J2608" s="3" t="s">
        <v>19</v>
      </c>
      <c r="K2608" s="3" t="s">
        <v>25</v>
      </c>
      <c r="L2608" s="3">
        <v>25.01</v>
      </c>
      <c r="M2608" s="3" t="s">
        <v>1695</v>
      </c>
      <c r="N2608" s="3" t="s">
        <v>1696</v>
      </c>
      <c r="O2608" s="3">
        <v>1.96258716902E11</v>
      </c>
    </row>
    <row r="2609">
      <c r="A2609" s="3">
        <v>2621955.0</v>
      </c>
      <c r="B2609" s="3" t="s">
        <v>5435</v>
      </c>
      <c r="C2609" s="3" t="b">
        <v>0</v>
      </c>
      <c r="D2609" s="3" t="b">
        <v>1</v>
      </c>
      <c r="E2609" s="3" t="s">
        <v>5436</v>
      </c>
      <c r="F2609" s="3" t="s">
        <v>1069</v>
      </c>
      <c r="G2609" s="4">
        <f>+251964652771</f>
        <v>251964652771</v>
      </c>
      <c r="H2609" s="3" t="s">
        <v>18</v>
      </c>
      <c r="I2609" s="3" t="s">
        <v>19</v>
      </c>
      <c r="J2609" s="3" t="s">
        <v>19</v>
      </c>
      <c r="K2609" s="3" t="s">
        <v>25</v>
      </c>
      <c r="L2609" s="3">
        <v>26.01</v>
      </c>
      <c r="M2609" s="3" t="s">
        <v>1695</v>
      </c>
      <c r="N2609" s="3" t="s">
        <v>1696</v>
      </c>
      <c r="O2609" s="3">
        <v>1.96234828988E11</v>
      </c>
    </row>
    <row r="2610">
      <c r="A2610" s="3">
        <v>2621966.0</v>
      </c>
      <c r="B2610" s="3" t="s">
        <v>5437</v>
      </c>
      <c r="C2610" s="3" t="b">
        <v>0</v>
      </c>
      <c r="D2610" s="3" t="b">
        <v>1</v>
      </c>
      <c r="E2610" s="3" t="s">
        <v>5438</v>
      </c>
      <c r="F2610" s="3" t="s">
        <v>5439</v>
      </c>
      <c r="G2610" s="4">
        <f>+251949496068</f>
        <v>251949496068</v>
      </c>
      <c r="H2610" s="3" t="s">
        <v>18</v>
      </c>
      <c r="I2610" s="3" t="s">
        <v>19</v>
      </c>
      <c r="J2610" s="3" t="s">
        <v>19</v>
      </c>
      <c r="K2610" s="3" t="s">
        <v>25</v>
      </c>
      <c r="L2610" s="3">
        <v>26.01</v>
      </c>
      <c r="M2610" s="3" t="s">
        <v>1695</v>
      </c>
      <c r="N2610" s="3" t="s">
        <v>1696</v>
      </c>
      <c r="O2610" s="3">
        <v>1.9626296341E11</v>
      </c>
    </row>
    <row r="2611">
      <c r="A2611" s="3">
        <v>2621980.0</v>
      </c>
      <c r="B2611" s="3" t="s">
        <v>5440</v>
      </c>
      <c r="C2611" s="3" t="b">
        <v>1</v>
      </c>
      <c r="D2611" s="3" t="b">
        <v>1</v>
      </c>
      <c r="E2611" s="3" t="s">
        <v>5441</v>
      </c>
      <c r="F2611" s="3" t="s">
        <v>4383</v>
      </c>
      <c r="G2611" s="4">
        <f>+251927497754</f>
        <v>251927497754</v>
      </c>
      <c r="H2611" s="3" t="s">
        <v>18</v>
      </c>
      <c r="I2611" s="3" t="s">
        <v>19</v>
      </c>
      <c r="J2611" s="3" t="s">
        <v>19</v>
      </c>
      <c r="K2611" s="3" t="s">
        <v>25</v>
      </c>
      <c r="L2611" s="3">
        <v>29.04</v>
      </c>
      <c r="M2611" s="3" t="s">
        <v>1695</v>
      </c>
      <c r="N2611" s="3" t="s">
        <v>1696</v>
      </c>
    </row>
    <row r="2612">
      <c r="A2612" s="3">
        <v>2621983.0</v>
      </c>
      <c r="B2612" s="3" t="s">
        <v>5442</v>
      </c>
      <c r="C2612" s="3" t="b">
        <v>0</v>
      </c>
      <c r="D2612" s="3" t="b">
        <v>1</v>
      </c>
      <c r="E2612" s="3" t="s">
        <v>5443</v>
      </c>
      <c r="F2612" s="3" t="s">
        <v>70</v>
      </c>
      <c r="G2612" s="4">
        <f>+251946888112</f>
        <v>251946888112</v>
      </c>
      <c r="H2612" s="3" t="s">
        <v>18</v>
      </c>
      <c r="I2612" s="3" t="s">
        <v>19</v>
      </c>
      <c r="J2612" s="3" t="s">
        <v>19</v>
      </c>
      <c r="K2612" s="3" t="s">
        <v>25</v>
      </c>
      <c r="L2612" s="3">
        <v>25.01</v>
      </c>
      <c r="M2612" s="3" t="s">
        <v>1695</v>
      </c>
      <c r="N2612" s="3" t="s">
        <v>1696</v>
      </c>
      <c r="O2612" s="3">
        <v>1.9626932245E11</v>
      </c>
    </row>
    <row r="2613">
      <c r="A2613" s="3">
        <v>2621993.0</v>
      </c>
      <c r="B2613" s="3" t="s">
        <v>5444</v>
      </c>
      <c r="C2613" s="3" t="b">
        <v>0</v>
      </c>
      <c r="D2613" s="3" t="b">
        <v>1</v>
      </c>
      <c r="E2613" s="3" t="s">
        <v>5445</v>
      </c>
      <c r="F2613" s="3" t="s">
        <v>4339</v>
      </c>
      <c r="G2613" s="4">
        <f>+251910110270</f>
        <v>251910110270</v>
      </c>
      <c r="H2613" s="3" t="s">
        <v>18</v>
      </c>
      <c r="I2613" s="3" t="s">
        <v>19</v>
      </c>
      <c r="J2613" s="3" t="s">
        <v>19</v>
      </c>
      <c r="K2613" s="3" t="s">
        <v>25</v>
      </c>
      <c r="L2613" s="3">
        <v>36.26</v>
      </c>
      <c r="M2613" s="3" t="s">
        <v>1695</v>
      </c>
      <c r="N2613" s="3" t="s">
        <v>1696</v>
      </c>
      <c r="O2613" s="3">
        <v>1.96241666258E11</v>
      </c>
    </row>
    <row r="2614">
      <c r="A2614" s="3">
        <v>2621998.0</v>
      </c>
      <c r="B2614" s="3" t="s">
        <v>5446</v>
      </c>
      <c r="C2614" s="3" t="b">
        <v>0</v>
      </c>
      <c r="D2614" s="3" t="b">
        <v>1</v>
      </c>
      <c r="E2614" s="3" t="s">
        <v>4850</v>
      </c>
      <c r="F2614" s="3" t="s">
        <v>196</v>
      </c>
      <c r="G2614" s="4">
        <f>+251967725450</f>
        <v>251967725450</v>
      </c>
      <c r="H2614" s="3" t="s">
        <v>18</v>
      </c>
      <c r="I2614" s="3" t="s">
        <v>19</v>
      </c>
      <c r="J2614" s="3" t="s">
        <v>19</v>
      </c>
      <c r="K2614" s="3" t="s">
        <v>20</v>
      </c>
      <c r="L2614" s="3">
        <v>25.01</v>
      </c>
      <c r="M2614" s="3" t="s">
        <v>1695</v>
      </c>
      <c r="N2614" s="3" t="s">
        <v>1696</v>
      </c>
      <c r="O2614" s="3">
        <v>1.96269935823E11</v>
      </c>
    </row>
    <row r="2615">
      <c r="A2615" s="3">
        <v>2622012.0</v>
      </c>
      <c r="B2615" s="3" t="s">
        <v>5447</v>
      </c>
      <c r="C2615" s="3" t="b">
        <v>0</v>
      </c>
      <c r="D2615" s="3" t="b">
        <v>1</v>
      </c>
      <c r="E2615" s="3" t="s">
        <v>3208</v>
      </c>
      <c r="F2615" s="3" t="s">
        <v>1804</v>
      </c>
      <c r="G2615" s="4">
        <f>+251940047520</f>
        <v>251940047520</v>
      </c>
      <c r="H2615" s="3" t="s">
        <v>18</v>
      </c>
      <c r="I2615" s="3" t="s">
        <v>19</v>
      </c>
      <c r="J2615" s="3" t="s">
        <v>19</v>
      </c>
      <c r="K2615" s="3" t="s">
        <v>20</v>
      </c>
      <c r="L2615" s="3">
        <v>24.01</v>
      </c>
      <c r="M2615" s="3" t="s">
        <v>1695</v>
      </c>
      <c r="N2615" s="3" t="s">
        <v>1696</v>
      </c>
      <c r="O2615" s="3">
        <v>1.96249140443E11</v>
      </c>
    </row>
    <row r="2616">
      <c r="A2616" s="3">
        <v>2622017.0</v>
      </c>
      <c r="B2616" s="3" t="s">
        <v>5448</v>
      </c>
      <c r="C2616" s="3" t="b">
        <v>0</v>
      </c>
      <c r="D2616" s="3" t="b">
        <v>1</v>
      </c>
      <c r="E2616" s="3" t="s">
        <v>5449</v>
      </c>
      <c r="F2616" s="3" t="s">
        <v>105</v>
      </c>
      <c r="G2616" s="4">
        <f>+10949402822</f>
        <v>10949402822</v>
      </c>
      <c r="H2616" s="3" t="s">
        <v>18</v>
      </c>
      <c r="I2616" s="3" t="s">
        <v>19</v>
      </c>
      <c r="J2616" s="3" t="s">
        <v>19</v>
      </c>
      <c r="K2616" s="3" t="s">
        <v>25</v>
      </c>
      <c r="L2616" s="3">
        <v>23.03</v>
      </c>
      <c r="M2616" s="3" t="s">
        <v>1695</v>
      </c>
      <c r="N2616" s="3" t="s">
        <v>1696</v>
      </c>
      <c r="O2616" s="3">
        <v>1.96263833808E11</v>
      </c>
    </row>
    <row r="2617">
      <c r="A2617" s="3">
        <v>2622021.0</v>
      </c>
      <c r="B2617" s="3" t="s">
        <v>5450</v>
      </c>
      <c r="C2617" s="3" t="b">
        <v>0</v>
      </c>
      <c r="D2617" s="3" t="b">
        <v>1</v>
      </c>
      <c r="E2617" s="3" t="s">
        <v>2477</v>
      </c>
      <c r="F2617" s="3" t="s">
        <v>1011</v>
      </c>
      <c r="G2617" s="4">
        <f>+251939578170</f>
        <v>251939578170</v>
      </c>
      <c r="H2617" s="3" t="s">
        <v>18</v>
      </c>
      <c r="I2617" s="3" t="s">
        <v>19</v>
      </c>
      <c r="J2617" s="3" t="s">
        <v>19</v>
      </c>
      <c r="K2617" s="3" t="s">
        <v>25</v>
      </c>
      <c r="L2617" s="3">
        <v>23.96</v>
      </c>
      <c r="M2617" s="3" t="s">
        <v>1695</v>
      </c>
      <c r="N2617" s="3" t="s">
        <v>1696</v>
      </c>
      <c r="O2617" s="3">
        <v>1.96246424792E11</v>
      </c>
    </row>
    <row r="2618">
      <c r="A2618" s="3">
        <v>2622019.0</v>
      </c>
      <c r="B2618" s="3" t="s">
        <v>5451</v>
      </c>
      <c r="C2618" s="3" t="b">
        <v>0</v>
      </c>
      <c r="D2618" s="3" t="b">
        <v>1</v>
      </c>
      <c r="E2618" s="3" t="s">
        <v>5452</v>
      </c>
      <c r="F2618" s="3" t="s">
        <v>3383</v>
      </c>
      <c r="G2618" s="4">
        <f>+251913043374</f>
        <v>251913043374</v>
      </c>
      <c r="H2618" s="3" t="s">
        <v>18</v>
      </c>
      <c r="I2618" s="3" t="s">
        <v>19</v>
      </c>
      <c r="J2618" s="3" t="s">
        <v>19</v>
      </c>
      <c r="K2618" s="3" t="s">
        <v>25</v>
      </c>
      <c r="L2618" s="3">
        <v>30.01</v>
      </c>
      <c r="M2618" s="3" t="s">
        <v>1695</v>
      </c>
      <c r="N2618" s="3" t="s">
        <v>1696</v>
      </c>
      <c r="O2618" s="3">
        <v>1.96250903754E11</v>
      </c>
    </row>
    <row r="2619">
      <c r="A2619" s="3">
        <v>2622032.0</v>
      </c>
      <c r="B2619" s="3" t="s">
        <v>5453</v>
      </c>
      <c r="C2619" s="3" t="b">
        <v>0</v>
      </c>
      <c r="D2619" s="3" t="b">
        <v>1</v>
      </c>
      <c r="E2619" s="3" t="s">
        <v>5454</v>
      </c>
      <c r="F2619" s="3" t="s">
        <v>5455</v>
      </c>
      <c r="G2619" s="4">
        <f>+251934428298</f>
        <v>251934428298</v>
      </c>
      <c r="H2619" s="3" t="s">
        <v>18</v>
      </c>
      <c r="I2619" s="3" t="s">
        <v>19</v>
      </c>
      <c r="J2619" s="3" t="s">
        <v>19</v>
      </c>
      <c r="K2619" s="3" t="s">
        <v>25</v>
      </c>
      <c r="L2619" s="3">
        <v>24.01</v>
      </c>
      <c r="M2619" s="3" t="s">
        <v>1695</v>
      </c>
      <c r="N2619" s="3" t="s">
        <v>1696</v>
      </c>
      <c r="O2619" s="3">
        <v>1.96275833039E11</v>
      </c>
    </row>
    <row r="2620">
      <c r="A2620" s="3">
        <v>2622038.0</v>
      </c>
      <c r="B2620" s="3" t="s">
        <v>5456</v>
      </c>
      <c r="C2620" s="3" t="b">
        <v>0</v>
      </c>
      <c r="D2620" s="3" t="b">
        <v>1</v>
      </c>
      <c r="E2620" s="3" t="s">
        <v>5457</v>
      </c>
      <c r="F2620" s="3" t="s">
        <v>2640</v>
      </c>
      <c r="G2620" s="4">
        <f>+251985790602</f>
        <v>251985790602</v>
      </c>
      <c r="H2620" s="3" t="s">
        <v>18</v>
      </c>
      <c r="I2620" s="3" t="s">
        <v>19</v>
      </c>
      <c r="J2620" s="3" t="s">
        <v>19</v>
      </c>
      <c r="K2620" s="3" t="s">
        <v>25</v>
      </c>
      <c r="L2620" s="3">
        <v>22.96</v>
      </c>
      <c r="M2620" s="3" t="s">
        <v>1695</v>
      </c>
      <c r="N2620" s="3" t="s">
        <v>1696</v>
      </c>
      <c r="O2620" s="3">
        <v>1.96251410627E11</v>
      </c>
    </row>
    <row r="2621">
      <c r="A2621" s="3">
        <v>2622049.0</v>
      </c>
      <c r="B2621" s="3" t="s">
        <v>5458</v>
      </c>
      <c r="C2621" s="3" t="b">
        <v>0</v>
      </c>
      <c r="D2621" s="3" t="b">
        <v>1</v>
      </c>
      <c r="E2621" s="3" t="s">
        <v>968</v>
      </c>
      <c r="F2621" s="3" t="s">
        <v>3778</v>
      </c>
      <c r="G2621" s="4">
        <f>+251919777595</f>
        <v>251919777595</v>
      </c>
      <c r="H2621" s="3" t="s">
        <v>18</v>
      </c>
      <c r="I2621" s="3" t="s">
        <v>19</v>
      </c>
      <c r="J2621" s="3" t="s">
        <v>19</v>
      </c>
      <c r="K2621" s="3" t="s">
        <v>25</v>
      </c>
      <c r="L2621" s="3">
        <v>25.01</v>
      </c>
      <c r="M2621" s="3" t="s">
        <v>1695</v>
      </c>
      <c r="N2621" s="3" t="s">
        <v>1696</v>
      </c>
      <c r="O2621" s="3">
        <v>1.96251565263E11</v>
      </c>
    </row>
    <row r="2622">
      <c r="A2622" s="3">
        <v>2622074.0</v>
      </c>
      <c r="B2622" s="3" t="s">
        <v>5459</v>
      </c>
      <c r="C2622" s="3" t="b">
        <v>0</v>
      </c>
      <c r="D2622" s="3" t="b">
        <v>1</v>
      </c>
      <c r="E2622" s="3" t="s">
        <v>58</v>
      </c>
      <c r="F2622" s="3" t="s">
        <v>1792</v>
      </c>
      <c r="G2622" s="4">
        <f>+251919368815</f>
        <v>251919368815</v>
      </c>
      <c r="H2622" s="3" t="s">
        <v>18</v>
      </c>
      <c r="I2622" s="3" t="s">
        <v>19</v>
      </c>
      <c r="J2622" s="3" t="s">
        <v>19</v>
      </c>
      <c r="K2622" s="3" t="s">
        <v>25</v>
      </c>
      <c r="L2622" s="3">
        <v>29.01</v>
      </c>
      <c r="M2622" s="3" t="s">
        <v>1695</v>
      </c>
      <c r="N2622" s="3" t="s">
        <v>1696</v>
      </c>
      <c r="O2622" s="3">
        <v>1.9628704484E11</v>
      </c>
    </row>
    <row r="2623">
      <c r="A2623" s="3">
        <v>2622068.0</v>
      </c>
      <c r="B2623" s="3" t="s">
        <v>5460</v>
      </c>
      <c r="C2623" s="3" t="b">
        <v>0</v>
      </c>
      <c r="D2623" s="3" t="b">
        <v>1</v>
      </c>
      <c r="E2623" s="3" t="s">
        <v>4896</v>
      </c>
      <c r="F2623" s="3" t="s">
        <v>5461</v>
      </c>
      <c r="G2623" s="4">
        <f>+251905396574</f>
        <v>251905396574</v>
      </c>
      <c r="H2623" s="3" t="s">
        <v>18</v>
      </c>
      <c r="I2623" s="3" t="s">
        <v>19</v>
      </c>
      <c r="J2623" s="3" t="s">
        <v>19</v>
      </c>
      <c r="K2623" s="3" t="s">
        <v>25</v>
      </c>
      <c r="L2623" s="3">
        <v>30.64</v>
      </c>
      <c r="M2623" s="3" t="s">
        <v>1695</v>
      </c>
      <c r="N2623" s="3" t="s">
        <v>1696</v>
      </c>
      <c r="O2623" s="3">
        <v>1.96271164615E11</v>
      </c>
    </row>
    <row r="2624">
      <c r="A2624" s="3">
        <v>2622087.0</v>
      </c>
      <c r="B2624" s="3" t="s">
        <v>5462</v>
      </c>
      <c r="C2624" s="3" t="b">
        <v>0</v>
      </c>
      <c r="D2624" s="3" t="b">
        <v>1</v>
      </c>
      <c r="E2624" s="3" t="s">
        <v>4383</v>
      </c>
      <c r="F2624" s="3" t="s">
        <v>196</v>
      </c>
      <c r="G2624" s="4">
        <f>+251968787535</f>
        <v>251968787535</v>
      </c>
      <c r="H2624" s="3" t="s">
        <v>18</v>
      </c>
      <c r="I2624" s="3" t="s">
        <v>19</v>
      </c>
      <c r="J2624" s="3" t="s">
        <v>19</v>
      </c>
      <c r="K2624" s="3" t="s">
        <v>25</v>
      </c>
      <c r="L2624" s="3">
        <v>26.01</v>
      </c>
      <c r="M2624" s="3" t="s">
        <v>1695</v>
      </c>
      <c r="N2624" s="3" t="s">
        <v>1696</v>
      </c>
      <c r="O2624" s="3">
        <v>1.96287705324E11</v>
      </c>
    </row>
    <row r="2625">
      <c r="A2625" s="3">
        <v>2622094.0</v>
      </c>
      <c r="B2625" s="3" t="s">
        <v>5463</v>
      </c>
      <c r="C2625" s="3" t="b">
        <v>0</v>
      </c>
      <c r="D2625" s="3" t="b">
        <v>1</v>
      </c>
      <c r="E2625" s="3" t="s">
        <v>4555</v>
      </c>
      <c r="F2625" s="3" t="s">
        <v>196</v>
      </c>
      <c r="G2625" s="4">
        <f>+251969161168</f>
        <v>251969161168</v>
      </c>
      <c r="H2625" s="3" t="s">
        <v>18</v>
      </c>
      <c r="I2625" s="3" t="s">
        <v>19</v>
      </c>
      <c r="J2625" s="3" t="s">
        <v>19</v>
      </c>
      <c r="K2625" s="3" t="s">
        <v>20</v>
      </c>
      <c r="L2625" s="3">
        <v>32.01</v>
      </c>
      <c r="M2625" s="3" t="s">
        <v>1695</v>
      </c>
      <c r="N2625" s="3" t="s">
        <v>1696</v>
      </c>
      <c r="O2625" s="3">
        <v>1.96335644887E11</v>
      </c>
    </row>
    <row r="2626">
      <c r="A2626" s="3">
        <v>1579299.0</v>
      </c>
      <c r="B2626" s="3" t="s">
        <v>5464</v>
      </c>
      <c r="C2626" s="3" t="b">
        <v>1</v>
      </c>
      <c r="D2626" s="3" t="b">
        <v>1</v>
      </c>
      <c r="E2626" s="3" t="s">
        <v>208</v>
      </c>
      <c r="F2626" s="3" t="s">
        <v>849</v>
      </c>
      <c r="G2626" s="4">
        <f>+251941227985</f>
        <v>251941227985</v>
      </c>
      <c r="H2626" s="3" t="s">
        <v>18</v>
      </c>
      <c r="I2626" s="3" t="s">
        <v>19</v>
      </c>
      <c r="J2626" s="3" t="s">
        <v>19</v>
      </c>
      <c r="K2626" s="3" t="s">
        <v>25</v>
      </c>
      <c r="L2626" s="3">
        <v>21.6</v>
      </c>
      <c r="M2626" s="3" t="s">
        <v>1695</v>
      </c>
      <c r="N2626" s="3" t="s">
        <v>1696</v>
      </c>
    </row>
    <row r="2627">
      <c r="A2627" s="3">
        <v>2622105.0</v>
      </c>
      <c r="B2627" s="3" t="s">
        <v>5465</v>
      </c>
      <c r="C2627" s="3" t="b">
        <v>0</v>
      </c>
      <c r="D2627" s="3" t="b">
        <v>1</v>
      </c>
      <c r="E2627" s="3" t="s">
        <v>4113</v>
      </c>
      <c r="F2627" s="3" t="s">
        <v>5466</v>
      </c>
      <c r="G2627" s="4">
        <f>+251920130898</f>
        <v>251920130898</v>
      </c>
      <c r="H2627" s="3" t="s">
        <v>18</v>
      </c>
      <c r="I2627" s="3" t="s">
        <v>19</v>
      </c>
      <c r="J2627" s="3" t="s">
        <v>19</v>
      </c>
      <c r="K2627" s="3" t="s">
        <v>25</v>
      </c>
      <c r="L2627" s="3">
        <v>28.01</v>
      </c>
      <c r="M2627" s="3" t="s">
        <v>1695</v>
      </c>
      <c r="N2627" s="3" t="s">
        <v>1696</v>
      </c>
      <c r="O2627" s="3">
        <v>1.96290718925E11</v>
      </c>
    </row>
    <row r="2628">
      <c r="A2628" s="3">
        <v>2622112.0</v>
      </c>
      <c r="B2628" s="3" t="s">
        <v>5467</v>
      </c>
      <c r="C2628" s="3" t="b">
        <v>0</v>
      </c>
      <c r="D2628" s="3" t="b">
        <v>1</v>
      </c>
      <c r="E2628" s="3" t="s">
        <v>5468</v>
      </c>
      <c r="F2628" s="3" t="s">
        <v>5469</v>
      </c>
      <c r="G2628" s="4">
        <f>+251988070360</f>
        <v>251988070360</v>
      </c>
      <c r="H2628" s="3" t="s">
        <v>18</v>
      </c>
      <c r="I2628" s="3" t="s">
        <v>19</v>
      </c>
      <c r="J2628" s="3" t="s">
        <v>19</v>
      </c>
      <c r="K2628" s="3" t="s">
        <v>25</v>
      </c>
      <c r="L2628" s="3">
        <v>24.44</v>
      </c>
      <c r="M2628" s="3" t="s">
        <v>1695</v>
      </c>
      <c r="N2628" s="3" t="s">
        <v>1696</v>
      </c>
      <c r="O2628" s="3">
        <v>332801.0</v>
      </c>
    </row>
    <row r="2629">
      <c r="A2629" s="3">
        <v>2622131.0</v>
      </c>
      <c r="B2629" s="3" t="s">
        <v>5470</v>
      </c>
      <c r="C2629" s="3" t="b">
        <v>0</v>
      </c>
      <c r="D2629" s="3" t="b">
        <v>1</v>
      </c>
      <c r="E2629" s="3" t="s">
        <v>5471</v>
      </c>
      <c r="F2629" s="3" t="s">
        <v>196</v>
      </c>
      <c r="G2629" s="4">
        <f>+251925155578</f>
        <v>251925155578</v>
      </c>
      <c r="H2629" s="3" t="s">
        <v>18</v>
      </c>
      <c r="I2629" s="3" t="s">
        <v>19</v>
      </c>
      <c r="J2629" s="3" t="s">
        <v>19</v>
      </c>
      <c r="K2629" s="3" t="s">
        <v>20</v>
      </c>
      <c r="L2629" s="3">
        <v>25.01</v>
      </c>
      <c r="M2629" s="3" t="s">
        <v>1695</v>
      </c>
      <c r="N2629" s="3" t="s">
        <v>1696</v>
      </c>
      <c r="O2629" s="3">
        <v>1.96299565295E11</v>
      </c>
    </row>
    <row r="2630">
      <c r="A2630" s="3">
        <v>2622138.0</v>
      </c>
      <c r="B2630" s="3" t="s">
        <v>5472</v>
      </c>
      <c r="C2630" s="3" t="b">
        <v>0</v>
      </c>
      <c r="D2630" s="3" t="b">
        <v>1</v>
      </c>
      <c r="E2630" s="3" t="s">
        <v>5473</v>
      </c>
      <c r="F2630" s="3" t="s">
        <v>596</v>
      </c>
      <c r="G2630" s="4">
        <f>+251966071584</f>
        <v>251966071584</v>
      </c>
      <c r="H2630" s="3" t="s">
        <v>18</v>
      </c>
      <c r="I2630" s="3" t="s">
        <v>19</v>
      </c>
      <c r="J2630" s="3" t="s">
        <v>19</v>
      </c>
      <c r="K2630" s="3" t="s">
        <v>20</v>
      </c>
      <c r="L2630" s="3">
        <v>25.01</v>
      </c>
      <c r="M2630" s="3" t="s">
        <v>1695</v>
      </c>
      <c r="N2630" s="3" t="s">
        <v>1696</v>
      </c>
      <c r="O2630" s="3">
        <v>1.96342132967E11</v>
      </c>
    </row>
    <row r="2631">
      <c r="A2631" s="3">
        <v>2622147.0</v>
      </c>
      <c r="B2631" s="3" t="s">
        <v>5474</v>
      </c>
      <c r="C2631" s="3" t="b">
        <v>1</v>
      </c>
      <c r="D2631" s="3" t="b">
        <v>1</v>
      </c>
      <c r="E2631" s="3" t="s">
        <v>5475</v>
      </c>
      <c r="F2631" s="3" t="s">
        <v>5476</v>
      </c>
      <c r="G2631" s="4">
        <f>+251941234241</f>
        <v>251941234241</v>
      </c>
      <c r="H2631" s="3" t="s">
        <v>18</v>
      </c>
      <c r="I2631" s="3" t="s">
        <v>19</v>
      </c>
      <c r="J2631" s="3" t="s">
        <v>19</v>
      </c>
      <c r="K2631" s="3" t="s">
        <v>25</v>
      </c>
      <c r="L2631" s="3">
        <v>24.01</v>
      </c>
      <c r="M2631" s="3" t="s">
        <v>1695</v>
      </c>
      <c r="N2631" s="3" t="s">
        <v>1696</v>
      </c>
      <c r="O2631" s="3">
        <v>1.96339410128E11</v>
      </c>
    </row>
    <row r="2632">
      <c r="A2632" s="3">
        <v>1954127.0</v>
      </c>
      <c r="B2632" s="3" t="s">
        <v>5477</v>
      </c>
      <c r="C2632" s="3" t="b">
        <v>1</v>
      </c>
      <c r="D2632" s="3" t="b">
        <v>1</v>
      </c>
      <c r="E2632" s="3" t="s">
        <v>1798</v>
      </c>
      <c r="F2632" s="3" t="s">
        <v>422</v>
      </c>
      <c r="G2632" s="4">
        <f>+251942220113</f>
        <v>251942220113</v>
      </c>
      <c r="H2632" s="3" t="s">
        <v>18</v>
      </c>
      <c r="I2632" s="3" t="s">
        <v>19</v>
      </c>
      <c r="J2632" s="3" t="s">
        <v>19</v>
      </c>
      <c r="K2632" s="3" t="s">
        <v>25</v>
      </c>
      <c r="L2632" s="3">
        <v>24.73</v>
      </c>
      <c r="M2632" s="3" t="s">
        <v>1695</v>
      </c>
      <c r="N2632" s="3" t="s">
        <v>1696</v>
      </c>
      <c r="O2632" s="3">
        <v>2.7572357852E10</v>
      </c>
    </row>
    <row r="2633">
      <c r="A2633" s="3">
        <v>2545373.0</v>
      </c>
      <c r="B2633" s="3" t="s">
        <v>5478</v>
      </c>
      <c r="C2633" s="3" t="b">
        <v>1</v>
      </c>
      <c r="D2633" s="3" t="b">
        <v>1</v>
      </c>
      <c r="E2633" s="3" t="s">
        <v>5479</v>
      </c>
      <c r="F2633" s="3" t="s">
        <v>4315</v>
      </c>
      <c r="G2633" s="4">
        <f>+251955032363</f>
        <v>251955032363</v>
      </c>
      <c r="H2633" s="3" t="s">
        <v>29</v>
      </c>
      <c r="I2633" s="3" t="s">
        <v>19</v>
      </c>
      <c r="J2633" s="3" t="s">
        <v>19</v>
      </c>
      <c r="K2633" s="3" t="s">
        <v>25</v>
      </c>
      <c r="L2633" s="3">
        <v>25.21</v>
      </c>
      <c r="M2633" s="3" t="s">
        <v>1695</v>
      </c>
      <c r="N2633" s="3" t="s">
        <v>1696</v>
      </c>
      <c r="O2633" s="3">
        <v>1.61944792268E11</v>
      </c>
    </row>
    <row r="2634">
      <c r="A2634" s="3">
        <v>2622432.0</v>
      </c>
      <c r="B2634" s="3" t="s">
        <v>5480</v>
      </c>
      <c r="C2634" s="3" t="b">
        <v>0</v>
      </c>
      <c r="D2634" s="3" t="b">
        <v>1</v>
      </c>
      <c r="E2634" s="3" t="s">
        <v>5481</v>
      </c>
      <c r="F2634" s="3" t="s">
        <v>3750</v>
      </c>
      <c r="G2634" s="4">
        <f>+251976634555</f>
        <v>251976634555</v>
      </c>
      <c r="H2634" s="3" t="s">
        <v>18</v>
      </c>
      <c r="I2634" s="3" t="s">
        <v>19</v>
      </c>
      <c r="J2634" s="3" t="s">
        <v>19</v>
      </c>
      <c r="K2634" s="3" t="s">
        <v>25</v>
      </c>
      <c r="L2634" s="3">
        <v>23.19</v>
      </c>
      <c r="M2634" s="3" t="s">
        <v>1695</v>
      </c>
      <c r="N2634" s="3" t="s">
        <v>1696</v>
      </c>
      <c r="O2634" s="3">
        <v>1.96490916072E11</v>
      </c>
    </row>
    <row r="2635">
      <c r="A2635" s="3">
        <v>2622436.0</v>
      </c>
      <c r="B2635" s="3" t="s">
        <v>5482</v>
      </c>
      <c r="C2635" s="3" t="b">
        <v>0</v>
      </c>
      <c r="D2635" s="3" t="b">
        <v>1</v>
      </c>
      <c r="E2635" s="3" t="s">
        <v>420</v>
      </c>
      <c r="F2635" s="3" t="s">
        <v>1898</v>
      </c>
      <c r="G2635" s="4">
        <f>+251964746440</f>
        <v>251964746440</v>
      </c>
      <c r="H2635" s="3" t="s">
        <v>18</v>
      </c>
      <c r="I2635" s="3" t="s">
        <v>19</v>
      </c>
      <c r="J2635" s="3" t="s">
        <v>19</v>
      </c>
      <c r="K2635" s="3" t="s">
        <v>25</v>
      </c>
      <c r="L2635" s="3">
        <v>25.01</v>
      </c>
      <c r="M2635" s="3" t="s">
        <v>1695</v>
      </c>
      <c r="N2635" s="3" t="s">
        <v>1696</v>
      </c>
      <c r="O2635" s="3">
        <v>1.96492146882E11</v>
      </c>
    </row>
    <row r="2636">
      <c r="A2636" s="3">
        <v>2622439.0</v>
      </c>
      <c r="B2636" s="3" t="s">
        <v>5483</v>
      </c>
      <c r="C2636" s="3" t="b">
        <v>0</v>
      </c>
      <c r="D2636" s="3" t="b">
        <v>1</v>
      </c>
      <c r="E2636" s="3" t="s">
        <v>2781</v>
      </c>
      <c r="F2636" s="3" t="s">
        <v>3505</v>
      </c>
      <c r="G2636" s="4">
        <f>+251931661991</f>
        <v>251931661991</v>
      </c>
      <c r="H2636" s="3" t="s">
        <v>18</v>
      </c>
      <c r="I2636" s="3" t="s">
        <v>19</v>
      </c>
      <c r="J2636" s="3" t="s">
        <v>19</v>
      </c>
      <c r="K2636" s="3" t="s">
        <v>25</v>
      </c>
      <c r="L2636" s="3">
        <v>27.87</v>
      </c>
      <c r="M2636" s="3" t="s">
        <v>1695</v>
      </c>
      <c r="N2636" s="3" t="s">
        <v>1696</v>
      </c>
      <c r="O2636" s="3">
        <v>1.96489645282E11</v>
      </c>
    </row>
    <row r="2637">
      <c r="A2637" s="3">
        <v>2622445.0</v>
      </c>
      <c r="B2637" s="3" t="s">
        <v>5484</v>
      </c>
      <c r="C2637" s="3" t="b">
        <v>0</v>
      </c>
      <c r="D2637" s="3" t="b">
        <v>1</v>
      </c>
      <c r="E2637" s="3" t="s">
        <v>5485</v>
      </c>
      <c r="F2637" s="3" t="s">
        <v>189</v>
      </c>
      <c r="G2637" s="4">
        <f>+251940302408</f>
        <v>251940302408</v>
      </c>
      <c r="H2637" s="3" t="s">
        <v>18</v>
      </c>
      <c r="I2637" s="3" t="s">
        <v>19</v>
      </c>
      <c r="J2637" s="3" t="s">
        <v>19</v>
      </c>
      <c r="K2637" s="3" t="s">
        <v>20</v>
      </c>
      <c r="L2637" s="3">
        <v>25.96</v>
      </c>
      <c r="M2637" s="3" t="s">
        <v>1695</v>
      </c>
      <c r="N2637" s="3" t="s">
        <v>1696</v>
      </c>
      <c r="O2637" s="3">
        <v>1.9645497262E11</v>
      </c>
    </row>
    <row r="2638">
      <c r="A2638" s="3">
        <v>2622453.0</v>
      </c>
      <c r="B2638" s="3" t="s">
        <v>5486</v>
      </c>
      <c r="C2638" s="3" t="b">
        <v>0</v>
      </c>
      <c r="D2638" s="3" t="b">
        <v>1</v>
      </c>
      <c r="E2638" s="3" t="s">
        <v>4110</v>
      </c>
      <c r="F2638" s="3" t="s">
        <v>5487</v>
      </c>
      <c r="G2638" s="4">
        <f>+251917699206</f>
        <v>251917699206</v>
      </c>
      <c r="H2638" s="3" t="s">
        <v>18</v>
      </c>
      <c r="I2638" s="3" t="s">
        <v>19</v>
      </c>
      <c r="J2638" s="3" t="s">
        <v>19</v>
      </c>
      <c r="K2638" s="3" t="s">
        <v>25</v>
      </c>
      <c r="L2638" s="3">
        <v>22.12</v>
      </c>
      <c r="M2638" s="3" t="s">
        <v>1695</v>
      </c>
      <c r="N2638" s="3" t="s">
        <v>1696</v>
      </c>
      <c r="O2638" s="3">
        <v>5472401.0</v>
      </c>
    </row>
    <row r="2639">
      <c r="A2639" s="3">
        <v>2622454.0</v>
      </c>
      <c r="B2639" s="3" t="s">
        <v>5488</v>
      </c>
      <c r="C2639" s="3" t="b">
        <v>0</v>
      </c>
      <c r="D2639" s="3" t="b">
        <v>1</v>
      </c>
      <c r="E2639" s="3" t="s">
        <v>1798</v>
      </c>
      <c r="F2639" s="3" t="s">
        <v>5489</v>
      </c>
      <c r="G2639" s="4">
        <f>+251988100004</f>
        <v>251988100004</v>
      </c>
      <c r="H2639" s="3" t="s">
        <v>18</v>
      </c>
      <c r="I2639" s="3" t="s">
        <v>19</v>
      </c>
      <c r="J2639" s="3" t="s">
        <v>19</v>
      </c>
      <c r="K2639" s="3" t="s">
        <v>25</v>
      </c>
      <c r="L2639" s="3">
        <v>27.01</v>
      </c>
      <c r="M2639" s="3" t="s">
        <v>1695</v>
      </c>
      <c r="N2639" s="3" t="s">
        <v>1696</v>
      </c>
      <c r="O2639" s="3">
        <v>1.96455090402E11</v>
      </c>
    </row>
    <row r="2640">
      <c r="A2640" s="3">
        <v>2622363.0</v>
      </c>
      <c r="B2640" s="3" t="s">
        <v>5490</v>
      </c>
      <c r="C2640" s="3" t="b">
        <v>1</v>
      </c>
      <c r="D2640" s="3" t="b">
        <v>0</v>
      </c>
      <c r="E2640" s="3" t="s">
        <v>5491</v>
      </c>
      <c r="F2640" s="3" t="s">
        <v>282</v>
      </c>
      <c r="G2640" s="4">
        <f>+251909146949</f>
        <v>251909146949</v>
      </c>
      <c r="H2640" s="3" t="s">
        <v>1175</v>
      </c>
      <c r="I2640" s="3" t="s">
        <v>19</v>
      </c>
      <c r="J2640" s="3" t="s">
        <v>19</v>
      </c>
      <c r="K2640" s="3" t="s">
        <v>25</v>
      </c>
      <c r="L2640" s="3">
        <v>36.33</v>
      </c>
      <c r="M2640" s="3" t="s">
        <v>1695</v>
      </c>
      <c r="N2640" s="3" t="s">
        <v>1696</v>
      </c>
      <c r="O2640" s="3">
        <v>1.96401629422E11</v>
      </c>
    </row>
    <row r="2641">
      <c r="A2641" s="3">
        <v>2622509.0</v>
      </c>
      <c r="B2641" s="3" t="s">
        <v>5492</v>
      </c>
      <c r="C2641" s="3" t="b">
        <v>0</v>
      </c>
      <c r="D2641" s="3" t="b">
        <v>1</v>
      </c>
      <c r="E2641" s="3" t="s">
        <v>353</v>
      </c>
      <c r="F2641" s="3" t="s">
        <v>5493</v>
      </c>
      <c r="G2641" s="4">
        <f>+251975356659</f>
        <v>251975356659</v>
      </c>
      <c r="H2641" s="3" t="s">
        <v>18</v>
      </c>
      <c r="I2641" s="3" t="s">
        <v>19</v>
      </c>
      <c r="J2641" s="3" t="s">
        <v>19</v>
      </c>
      <c r="K2641" s="3" t="s">
        <v>25</v>
      </c>
      <c r="L2641" s="3">
        <v>25.01</v>
      </c>
      <c r="M2641" s="3" t="s">
        <v>1695</v>
      </c>
      <c r="N2641" s="3" t="s">
        <v>1696</v>
      </c>
      <c r="O2641" s="3">
        <v>1.96461570286E11</v>
      </c>
    </row>
    <row r="2642">
      <c r="A2642" s="3">
        <v>2622520.0</v>
      </c>
      <c r="B2642" s="3" t="s">
        <v>5494</v>
      </c>
      <c r="C2642" s="3" t="b">
        <v>0</v>
      </c>
      <c r="D2642" s="3" t="b">
        <v>1</v>
      </c>
      <c r="E2642" s="3" t="s">
        <v>922</v>
      </c>
      <c r="F2642" s="3" t="s">
        <v>918</v>
      </c>
      <c r="G2642" s="4">
        <f>+251920632513</f>
        <v>251920632513</v>
      </c>
      <c r="H2642" s="3" t="s">
        <v>18</v>
      </c>
      <c r="I2642" s="3" t="s">
        <v>19</v>
      </c>
      <c r="J2642" s="3" t="s">
        <v>19</v>
      </c>
      <c r="K2642" s="3" t="s">
        <v>25</v>
      </c>
      <c r="L2642" s="3">
        <v>29.34</v>
      </c>
      <c r="M2642" s="3" t="s">
        <v>1695</v>
      </c>
      <c r="N2642" s="3" t="s">
        <v>1696</v>
      </c>
      <c r="O2642" s="3">
        <v>1.96502730984E11</v>
      </c>
    </row>
    <row r="2643">
      <c r="A2643" s="3">
        <v>2622521.0</v>
      </c>
      <c r="B2643" s="3" t="s">
        <v>5495</v>
      </c>
      <c r="C2643" s="3" t="b">
        <v>0</v>
      </c>
      <c r="D2643" s="3" t="b">
        <v>1</v>
      </c>
      <c r="E2643" s="3" t="s">
        <v>5496</v>
      </c>
      <c r="F2643" s="3" t="s">
        <v>3398</v>
      </c>
      <c r="G2643" s="4">
        <f>+251993927402</f>
        <v>251993927402</v>
      </c>
      <c r="H2643" s="3" t="s">
        <v>18</v>
      </c>
      <c r="I2643" s="3" t="s">
        <v>19</v>
      </c>
      <c r="J2643" s="3" t="s">
        <v>19</v>
      </c>
      <c r="K2643" s="3" t="s">
        <v>25</v>
      </c>
      <c r="L2643" s="3">
        <v>25.01</v>
      </c>
      <c r="M2643" s="3" t="s">
        <v>1695</v>
      </c>
      <c r="N2643" s="3" t="s">
        <v>1696</v>
      </c>
      <c r="O2643" s="3">
        <v>1.96509118674E11</v>
      </c>
    </row>
    <row r="2644">
      <c r="A2644" s="3">
        <v>2622533.0</v>
      </c>
      <c r="B2644" s="3" t="s">
        <v>5497</v>
      </c>
      <c r="C2644" s="3" t="b">
        <v>0</v>
      </c>
      <c r="D2644" s="3" t="b">
        <v>1</v>
      </c>
      <c r="E2644" s="3" t="s">
        <v>5498</v>
      </c>
      <c r="F2644" s="3" t="s">
        <v>5499</v>
      </c>
      <c r="G2644" s="4">
        <f>+251902040013</f>
        <v>251902040013</v>
      </c>
      <c r="H2644" s="3" t="s">
        <v>18</v>
      </c>
      <c r="I2644" s="3" t="s">
        <v>19</v>
      </c>
      <c r="J2644" s="3" t="s">
        <v>19</v>
      </c>
      <c r="K2644" s="3" t="s">
        <v>25</v>
      </c>
      <c r="L2644" s="3">
        <v>25.01</v>
      </c>
      <c r="M2644" s="3" t="s">
        <v>1695</v>
      </c>
      <c r="N2644" s="3" t="s">
        <v>1696</v>
      </c>
      <c r="O2644" s="3">
        <v>1.96502904024E11</v>
      </c>
    </row>
    <row r="2645">
      <c r="A2645" s="3">
        <v>2622536.0</v>
      </c>
      <c r="B2645" s="3" t="s">
        <v>5500</v>
      </c>
      <c r="C2645" s="3" t="b">
        <v>0</v>
      </c>
      <c r="D2645" s="3" t="b">
        <v>1</v>
      </c>
      <c r="E2645" s="3" t="s">
        <v>5501</v>
      </c>
      <c r="F2645" s="3" t="s">
        <v>5502</v>
      </c>
      <c r="G2645" s="4">
        <f>+251944061050</f>
        <v>251944061050</v>
      </c>
      <c r="H2645" s="3" t="s">
        <v>18</v>
      </c>
      <c r="I2645" s="3" t="s">
        <v>19</v>
      </c>
      <c r="J2645" s="3" t="s">
        <v>19</v>
      </c>
      <c r="K2645" s="3" t="s">
        <v>20</v>
      </c>
      <c r="L2645" s="3">
        <v>23.04</v>
      </c>
      <c r="M2645" s="3" t="s">
        <v>1695</v>
      </c>
      <c r="N2645" s="3" t="s">
        <v>1696</v>
      </c>
      <c r="O2645" s="3">
        <v>1.96466729191E11</v>
      </c>
    </row>
    <row r="2646">
      <c r="A2646" s="3">
        <v>2622558.0</v>
      </c>
      <c r="B2646" s="3" t="s">
        <v>5503</v>
      </c>
      <c r="C2646" s="3" t="b">
        <v>0</v>
      </c>
      <c r="D2646" s="3" t="b">
        <v>1</v>
      </c>
      <c r="E2646" s="3" t="s">
        <v>5504</v>
      </c>
      <c r="F2646" s="3" t="s">
        <v>479</v>
      </c>
      <c r="G2646" s="4">
        <f>+251947460213</f>
        <v>251947460213</v>
      </c>
      <c r="H2646" s="3" t="s">
        <v>18</v>
      </c>
      <c r="I2646" s="3" t="s">
        <v>19</v>
      </c>
      <c r="J2646" s="3" t="s">
        <v>19</v>
      </c>
      <c r="K2646" s="3" t="s">
        <v>25</v>
      </c>
      <c r="L2646" s="3">
        <v>23.02</v>
      </c>
      <c r="M2646" s="3" t="s">
        <v>1695</v>
      </c>
      <c r="N2646" s="3" t="s">
        <v>1696</v>
      </c>
      <c r="O2646" s="3">
        <v>1.96466927813E11</v>
      </c>
    </row>
    <row r="2647">
      <c r="A2647" s="3">
        <v>2622561.0</v>
      </c>
      <c r="B2647" s="3" t="s">
        <v>5505</v>
      </c>
      <c r="C2647" s="3" t="b">
        <v>0</v>
      </c>
      <c r="D2647" s="3" t="b">
        <v>1</v>
      </c>
      <c r="E2647" s="3" t="s">
        <v>5506</v>
      </c>
      <c r="F2647" s="3" t="s">
        <v>1769</v>
      </c>
      <c r="G2647" s="4">
        <f>+251904602220</f>
        <v>251904602220</v>
      </c>
      <c r="H2647" s="3" t="s">
        <v>18</v>
      </c>
      <c r="I2647" s="3" t="s">
        <v>19</v>
      </c>
      <c r="J2647" s="3" t="s">
        <v>19</v>
      </c>
      <c r="K2647" s="3" t="s">
        <v>25</v>
      </c>
      <c r="L2647" s="3">
        <v>25.01</v>
      </c>
      <c r="M2647" s="3" t="s">
        <v>1695</v>
      </c>
      <c r="N2647" s="3" t="s">
        <v>1696</v>
      </c>
      <c r="O2647" s="3">
        <v>1.96497897705E11</v>
      </c>
    </row>
    <row r="2648">
      <c r="A2648" s="3">
        <v>2622567.0</v>
      </c>
      <c r="B2648" s="3" t="s">
        <v>5507</v>
      </c>
      <c r="C2648" s="3" t="b">
        <v>0</v>
      </c>
      <c r="D2648" s="3" t="b">
        <v>1</v>
      </c>
      <c r="E2648" s="3" t="s">
        <v>85</v>
      </c>
      <c r="F2648" s="3" t="s">
        <v>1512</v>
      </c>
      <c r="G2648" s="4">
        <f>+251903615256</f>
        <v>251903615256</v>
      </c>
      <c r="H2648" s="3" t="s">
        <v>18</v>
      </c>
      <c r="I2648" s="3" t="s">
        <v>19</v>
      </c>
      <c r="J2648" s="3" t="s">
        <v>19</v>
      </c>
      <c r="K2648" s="3" t="s">
        <v>25</v>
      </c>
      <c r="L2648" s="3">
        <v>22.96</v>
      </c>
      <c r="M2648" s="3" t="s">
        <v>1695</v>
      </c>
      <c r="N2648" s="3" t="s">
        <v>1696</v>
      </c>
      <c r="O2648" s="3">
        <v>1.96493856975E11</v>
      </c>
    </row>
    <row r="2649">
      <c r="A2649" s="3">
        <v>2622578.0</v>
      </c>
      <c r="B2649" s="3" t="s">
        <v>5508</v>
      </c>
      <c r="C2649" s="3" t="b">
        <v>0</v>
      </c>
      <c r="D2649" s="3" t="b">
        <v>1</v>
      </c>
      <c r="E2649" s="3" t="s">
        <v>291</v>
      </c>
      <c r="F2649" s="3" t="s">
        <v>5509</v>
      </c>
      <c r="G2649" s="4">
        <f>+251912915254</f>
        <v>251912915254</v>
      </c>
      <c r="H2649" s="3" t="s">
        <v>18</v>
      </c>
      <c r="I2649" s="3" t="s">
        <v>19</v>
      </c>
      <c r="J2649" s="3" t="s">
        <v>19</v>
      </c>
      <c r="K2649" s="3" t="s">
        <v>20</v>
      </c>
      <c r="L2649" s="3">
        <v>25.18</v>
      </c>
      <c r="M2649" s="3" t="s">
        <v>1695</v>
      </c>
      <c r="N2649" s="3" t="s">
        <v>1696</v>
      </c>
      <c r="O2649" s="3">
        <v>1.96515155181E11</v>
      </c>
    </row>
    <row r="2650">
      <c r="A2650" s="3">
        <v>2622582.0</v>
      </c>
      <c r="B2650" s="3" t="s">
        <v>5510</v>
      </c>
      <c r="C2650" s="3" t="b">
        <v>0</v>
      </c>
      <c r="D2650" s="3" t="b">
        <v>1</v>
      </c>
      <c r="E2650" s="3" t="s">
        <v>1955</v>
      </c>
      <c r="F2650" s="3" t="s">
        <v>5511</v>
      </c>
      <c r="G2650" s="4">
        <f>+251975709921</f>
        <v>251975709921</v>
      </c>
      <c r="H2650" s="3" t="s">
        <v>18</v>
      </c>
      <c r="I2650" s="3" t="s">
        <v>19</v>
      </c>
      <c r="J2650" s="3" t="s">
        <v>19</v>
      </c>
      <c r="K2650" s="3" t="s">
        <v>25</v>
      </c>
      <c r="L2650" s="3">
        <v>24.01</v>
      </c>
      <c r="M2650" s="3" t="s">
        <v>1695</v>
      </c>
      <c r="N2650" s="3" t="s">
        <v>1696</v>
      </c>
      <c r="O2650" s="3">
        <v>1.96517116107E11</v>
      </c>
    </row>
    <row r="2651">
      <c r="A2651" s="3">
        <v>2622589.0</v>
      </c>
      <c r="B2651" s="3" t="s">
        <v>5512</v>
      </c>
      <c r="C2651" s="3" t="b">
        <v>0</v>
      </c>
      <c r="D2651" s="3" t="b">
        <v>1</v>
      </c>
      <c r="E2651" s="3" t="s">
        <v>4114</v>
      </c>
      <c r="F2651" s="3" t="s">
        <v>1522</v>
      </c>
      <c r="G2651" s="4">
        <f>+251928579157</f>
        <v>251928579157</v>
      </c>
      <c r="H2651" s="3" t="s">
        <v>18</v>
      </c>
      <c r="I2651" s="3" t="s">
        <v>19</v>
      </c>
      <c r="J2651" s="3" t="s">
        <v>19</v>
      </c>
      <c r="K2651" s="3" t="s">
        <v>25</v>
      </c>
      <c r="L2651" s="3">
        <v>29.36</v>
      </c>
      <c r="M2651" s="3" t="s">
        <v>1695</v>
      </c>
      <c r="N2651" s="3" t="s">
        <v>1696</v>
      </c>
      <c r="O2651" s="3">
        <v>1880934.0</v>
      </c>
    </row>
    <row r="2652">
      <c r="A2652" s="3">
        <v>2622591.0</v>
      </c>
      <c r="B2652" s="3" t="s">
        <v>5513</v>
      </c>
      <c r="C2652" s="3" t="b">
        <v>0</v>
      </c>
      <c r="D2652" s="3" t="b">
        <v>1</v>
      </c>
      <c r="E2652" s="3" t="s">
        <v>653</v>
      </c>
      <c r="F2652" s="3" t="s">
        <v>2724</v>
      </c>
      <c r="G2652" s="4">
        <f>+251954243672</f>
        <v>251954243672</v>
      </c>
      <c r="H2652" s="3" t="s">
        <v>18</v>
      </c>
      <c r="I2652" s="3" t="s">
        <v>19</v>
      </c>
      <c r="J2652" s="3" t="s">
        <v>19</v>
      </c>
      <c r="K2652" s="3" t="s">
        <v>25</v>
      </c>
      <c r="L2652" s="3">
        <v>23.01</v>
      </c>
      <c r="M2652" s="3" t="s">
        <v>1695</v>
      </c>
      <c r="N2652" s="3" t="s">
        <v>1696</v>
      </c>
      <c r="O2652" s="3">
        <v>1.96518614264E11</v>
      </c>
    </row>
    <row r="2653">
      <c r="A2653" s="3">
        <v>2622590.0</v>
      </c>
      <c r="B2653" s="3" t="s">
        <v>5514</v>
      </c>
      <c r="C2653" s="3" t="b">
        <v>0</v>
      </c>
      <c r="D2653" s="3" t="b">
        <v>1</v>
      </c>
      <c r="E2653" s="3" t="s">
        <v>2452</v>
      </c>
      <c r="F2653" s="3" t="s">
        <v>1000</v>
      </c>
      <c r="G2653" s="4">
        <f>+251938887510</f>
        <v>251938887510</v>
      </c>
      <c r="H2653" s="3" t="s">
        <v>18</v>
      </c>
      <c r="I2653" s="3" t="s">
        <v>19</v>
      </c>
      <c r="J2653" s="3" t="s">
        <v>19</v>
      </c>
      <c r="K2653" s="3" t="s">
        <v>25</v>
      </c>
      <c r="L2653" s="3">
        <v>25.01</v>
      </c>
      <c r="M2653" s="3" t="s">
        <v>1695</v>
      </c>
      <c r="N2653" s="3" t="s">
        <v>1696</v>
      </c>
      <c r="O2653" s="3">
        <v>1.96516630754E11</v>
      </c>
    </row>
    <row r="2654">
      <c r="A2654" s="3">
        <v>2622599.0</v>
      </c>
      <c r="B2654" s="3" t="s">
        <v>5515</v>
      </c>
      <c r="C2654" s="3" t="b">
        <v>0</v>
      </c>
      <c r="D2654" s="3" t="b">
        <v>1</v>
      </c>
      <c r="E2654" s="3" t="s">
        <v>1875</v>
      </c>
      <c r="F2654" s="3" t="s">
        <v>1924</v>
      </c>
      <c r="G2654" s="4">
        <f>+251967537033</f>
        <v>251967537033</v>
      </c>
      <c r="H2654" s="3" t="s">
        <v>18</v>
      </c>
      <c r="I2654" s="3" t="s">
        <v>19</v>
      </c>
      <c r="J2654" s="3" t="s">
        <v>19</v>
      </c>
      <c r="K2654" s="3" t="s">
        <v>25</v>
      </c>
      <c r="L2654" s="3">
        <v>30.43</v>
      </c>
      <c r="M2654" s="3" t="s">
        <v>1695</v>
      </c>
      <c r="N2654" s="3" t="s">
        <v>1696</v>
      </c>
      <c r="O2654" s="3">
        <v>1.96521638085E11</v>
      </c>
    </row>
    <row r="2655">
      <c r="A2655" s="3">
        <v>2622603.0</v>
      </c>
      <c r="B2655" s="3" t="s">
        <v>5516</v>
      </c>
      <c r="C2655" s="3" t="b">
        <v>0</v>
      </c>
      <c r="D2655" s="3" t="b">
        <v>1</v>
      </c>
      <c r="E2655" s="3" t="s">
        <v>1792</v>
      </c>
      <c r="F2655" s="3" t="s">
        <v>5517</v>
      </c>
      <c r="G2655" s="4">
        <f>+251916562302</f>
        <v>251916562302</v>
      </c>
      <c r="H2655" s="3" t="s">
        <v>18</v>
      </c>
      <c r="I2655" s="3" t="s">
        <v>19</v>
      </c>
      <c r="J2655" s="3" t="s">
        <v>19</v>
      </c>
      <c r="K2655" s="3" t="s">
        <v>25</v>
      </c>
      <c r="L2655" s="3">
        <v>23.95</v>
      </c>
      <c r="M2655" s="3" t="s">
        <v>1695</v>
      </c>
      <c r="N2655" s="3" t="s">
        <v>1696</v>
      </c>
      <c r="O2655" s="3">
        <v>1.96472767705E11</v>
      </c>
    </row>
    <row r="2656">
      <c r="A2656" s="3">
        <v>2622612.0</v>
      </c>
      <c r="B2656" s="3" t="s">
        <v>5518</v>
      </c>
      <c r="C2656" s="3" t="b">
        <v>0</v>
      </c>
      <c r="D2656" s="3" t="b">
        <v>1</v>
      </c>
      <c r="E2656" s="3" t="s">
        <v>5519</v>
      </c>
      <c r="F2656" s="3" t="s">
        <v>5520</v>
      </c>
      <c r="G2656" s="4">
        <f>+251900686896</f>
        <v>251900686896</v>
      </c>
      <c r="H2656" s="3" t="s">
        <v>18</v>
      </c>
      <c r="I2656" s="3" t="s">
        <v>19</v>
      </c>
      <c r="J2656" s="3" t="s">
        <v>19</v>
      </c>
      <c r="K2656" s="3" t="s">
        <v>25</v>
      </c>
      <c r="L2656" s="3">
        <v>29.01</v>
      </c>
      <c r="M2656" s="3" t="s">
        <v>1695</v>
      </c>
      <c r="N2656" s="3" t="s">
        <v>1696</v>
      </c>
      <c r="O2656" s="3">
        <v>1.96521804991E11</v>
      </c>
    </row>
    <row r="2657">
      <c r="A2657" s="3">
        <v>2622616.0</v>
      </c>
      <c r="B2657" s="3" t="s">
        <v>5521</v>
      </c>
      <c r="C2657" s="3" t="b">
        <v>0</v>
      </c>
      <c r="D2657" s="3" t="b">
        <v>1</v>
      </c>
      <c r="E2657" s="3" t="s">
        <v>5522</v>
      </c>
      <c r="F2657" s="3" t="s">
        <v>414</v>
      </c>
      <c r="G2657" s="4">
        <f>+251925814318</f>
        <v>251925814318</v>
      </c>
      <c r="H2657" s="3" t="s">
        <v>18</v>
      </c>
      <c r="I2657" s="3" t="s">
        <v>19</v>
      </c>
      <c r="J2657" s="3" t="s">
        <v>19</v>
      </c>
      <c r="K2657" s="3" t="s">
        <v>25</v>
      </c>
      <c r="L2657" s="3">
        <v>24.11</v>
      </c>
      <c r="M2657" s="3" t="s">
        <v>1695</v>
      </c>
      <c r="N2657" s="3" t="s">
        <v>1696</v>
      </c>
      <c r="O2657" s="3">
        <v>1.96478450874E11</v>
      </c>
    </row>
    <row r="2658">
      <c r="A2658" s="3">
        <v>2622634.0</v>
      </c>
      <c r="B2658" s="3" t="s">
        <v>5523</v>
      </c>
      <c r="C2658" s="3" t="b">
        <v>0</v>
      </c>
      <c r="D2658" s="3" t="b">
        <v>1</v>
      </c>
      <c r="E2658" s="3" t="s">
        <v>5524</v>
      </c>
      <c r="F2658" s="3" t="s">
        <v>4569</v>
      </c>
      <c r="G2658" s="4">
        <f>+251965427848</f>
        <v>251965427848</v>
      </c>
      <c r="H2658" s="3" t="s">
        <v>18</v>
      </c>
      <c r="I2658" s="3" t="s">
        <v>19</v>
      </c>
      <c r="J2658" s="3" t="s">
        <v>19</v>
      </c>
      <c r="K2658" s="3" t="s">
        <v>25</v>
      </c>
      <c r="L2658" s="3">
        <v>22.01</v>
      </c>
      <c r="M2658" s="3" t="s">
        <v>1695</v>
      </c>
      <c r="N2658" s="3" t="s">
        <v>1696</v>
      </c>
      <c r="O2658" s="3">
        <v>1.96481798341E11</v>
      </c>
    </row>
    <row r="2659">
      <c r="A2659" s="3">
        <v>2622639.0</v>
      </c>
      <c r="B2659" s="3" t="s">
        <v>5525</v>
      </c>
      <c r="C2659" s="3" t="b">
        <v>0</v>
      </c>
      <c r="D2659" s="3" t="b">
        <v>1</v>
      </c>
      <c r="E2659" s="3" t="s">
        <v>2999</v>
      </c>
      <c r="F2659" s="3" t="s">
        <v>916</v>
      </c>
      <c r="G2659" s="4">
        <f>+251911304328</f>
        <v>251911304328</v>
      </c>
      <c r="H2659" s="3" t="s">
        <v>18</v>
      </c>
      <c r="I2659" s="3" t="s">
        <v>19</v>
      </c>
      <c r="J2659" s="3" t="s">
        <v>19</v>
      </c>
      <c r="K2659" s="3" t="s">
        <v>25</v>
      </c>
      <c r="L2659" s="3">
        <v>24.01</v>
      </c>
      <c r="M2659" s="3" t="s">
        <v>1695</v>
      </c>
      <c r="N2659" s="3" t="s">
        <v>1696</v>
      </c>
      <c r="O2659" s="3">
        <v>1.96529412343E11</v>
      </c>
    </row>
    <row r="2660">
      <c r="A2660" s="3">
        <v>2622637.0</v>
      </c>
      <c r="B2660" s="3" t="s">
        <v>5526</v>
      </c>
      <c r="C2660" s="3" t="b">
        <v>0</v>
      </c>
      <c r="D2660" s="3" t="b">
        <v>1</v>
      </c>
      <c r="E2660" s="3" t="s">
        <v>129</v>
      </c>
      <c r="F2660" s="3" t="s">
        <v>5527</v>
      </c>
      <c r="G2660" s="4">
        <f>+251962865121</f>
        <v>251962865121</v>
      </c>
      <c r="H2660" s="3" t="s">
        <v>18</v>
      </c>
      <c r="I2660" s="3" t="s">
        <v>19</v>
      </c>
      <c r="J2660" s="3" t="s">
        <v>19</v>
      </c>
      <c r="K2660" s="3" t="s">
        <v>20</v>
      </c>
      <c r="L2660" s="3">
        <v>25.01</v>
      </c>
      <c r="M2660" s="3" t="s">
        <v>1695</v>
      </c>
      <c r="N2660" s="3" t="s">
        <v>1696</v>
      </c>
      <c r="O2660" s="3">
        <v>1.96478837982E11</v>
      </c>
    </row>
    <row r="2661">
      <c r="A2661" s="3">
        <v>2622645.0</v>
      </c>
      <c r="B2661" s="3" t="s">
        <v>5528</v>
      </c>
      <c r="C2661" s="3" t="b">
        <v>0</v>
      </c>
      <c r="D2661" s="3" t="b">
        <v>1</v>
      </c>
      <c r="E2661" s="3" t="s">
        <v>35</v>
      </c>
      <c r="F2661" s="3" t="s">
        <v>1769</v>
      </c>
      <c r="G2661" s="4">
        <f>+251964199474</f>
        <v>251964199474</v>
      </c>
      <c r="H2661" s="3" t="s">
        <v>18</v>
      </c>
      <c r="I2661" s="3" t="s">
        <v>19</v>
      </c>
      <c r="J2661" s="3" t="s">
        <v>19</v>
      </c>
      <c r="K2661" s="3" t="s">
        <v>25</v>
      </c>
      <c r="L2661" s="3">
        <v>23.09</v>
      </c>
      <c r="M2661" s="3" t="s">
        <v>1695</v>
      </c>
      <c r="N2661" s="3" t="s">
        <v>1696</v>
      </c>
      <c r="O2661" s="3">
        <v>1.96524584153E11</v>
      </c>
    </row>
    <row r="2662">
      <c r="A2662" s="3">
        <v>2531915.0</v>
      </c>
      <c r="B2662" s="3" t="s">
        <v>5529</v>
      </c>
      <c r="C2662" s="3" t="b">
        <v>1</v>
      </c>
      <c r="D2662" s="3" t="b">
        <v>1</v>
      </c>
      <c r="E2662" s="3" t="s">
        <v>4955</v>
      </c>
      <c r="F2662" s="3" t="s">
        <v>5530</v>
      </c>
      <c r="G2662" s="4">
        <f>+251954312686</f>
        <v>251954312686</v>
      </c>
      <c r="H2662" s="3" t="s">
        <v>18</v>
      </c>
      <c r="I2662" s="3" t="s">
        <v>19</v>
      </c>
      <c r="J2662" s="3" t="s">
        <v>19</v>
      </c>
      <c r="K2662" s="3" t="s">
        <v>25</v>
      </c>
      <c r="L2662" s="3">
        <v>21.84</v>
      </c>
      <c r="M2662" s="3" t="s">
        <v>1695</v>
      </c>
      <c r="N2662" s="3" t="s">
        <v>1696</v>
      </c>
      <c r="O2662" s="3">
        <v>1.55719475406E11</v>
      </c>
    </row>
    <row r="2663">
      <c r="A2663" s="3">
        <v>2622651.0</v>
      </c>
      <c r="B2663" s="3" t="s">
        <v>5531</v>
      </c>
      <c r="C2663" s="3" t="b">
        <v>0</v>
      </c>
      <c r="D2663" s="3" t="b">
        <v>1</v>
      </c>
      <c r="E2663" s="3" t="s">
        <v>2525</v>
      </c>
      <c r="F2663" s="3" t="s">
        <v>5532</v>
      </c>
      <c r="G2663" s="4">
        <f>+251923968146</f>
        <v>251923968146</v>
      </c>
      <c r="H2663" s="3" t="s">
        <v>18</v>
      </c>
      <c r="I2663" s="3" t="s">
        <v>19</v>
      </c>
      <c r="J2663" s="3" t="s">
        <v>19</v>
      </c>
      <c r="K2663" s="3" t="s">
        <v>25</v>
      </c>
      <c r="L2663" s="3">
        <v>23.88</v>
      </c>
      <c r="M2663" s="3" t="s">
        <v>1695</v>
      </c>
      <c r="N2663" s="3" t="s">
        <v>1696</v>
      </c>
      <c r="O2663" s="3">
        <v>1.96529663221E11</v>
      </c>
    </row>
    <row r="2664">
      <c r="A2664" s="3">
        <v>2622653.0</v>
      </c>
      <c r="B2664" s="3" t="s">
        <v>5533</v>
      </c>
      <c r="C2664" s="3" t="b">
        <v>0</v>
      </c>
      <c r="D2664" s="3" t="b">
        <v>1</v>
      </c>
      <c r="E2664" s="3" t="s">
        <v>5534</v>
      </c>
      <c r="F2664" s="3" t="s">
        <v>3645</v>
      </c>
      <c r="G2664" s="4">
        <f>+251901212416</f>
        <v>251901212416</v>
      </c>
      <c r="H2664" s="3" t="s">
        <v>18</v>
      </c>
      <c r="I2664" s="3" t="s">
        <v>19</v>
      </c>
      <c r="J2664" s="3" t="s">
        <v>19</v>
      </c>
      <c r="K2664" s="3" t="s">
        <v>25</v>
      </c>
      <c r="L2664" s="3">
        <v>37.35</v>
      </c>
      <c r="M2664" s="3" t="s">
        <v>1695</v>
      </c>
      <c r="N2664" s="3" t="s">
        <v>1696</v>
      </c>
      <c r="O2664" s="3">
        <v>1.96522198212E11</v>
      </c>
    </row>
    <row r="2665">
      <c r="A2665" s="3">
        <v>2622654.0</v>
      </c>
      <c r="B2665" s="3" t="s">
        <v>5535</v>
      </c>
      <c r="C2665" s="3" t="b">
        <v>0</v>
      </c>
      <c r="D2665" s="3" t="b">
        <v>1</v>
      </c>
      <c r="E2665" s="3" t="s">
        <v>259</v>
      </c>
      <c r="F2665" s="3" t="s">
        <v>178</v>
      </c>
      <c r="G2665" s="4">
        <f>+251946251270</f>
        <v>251946251270</v>
      </c>
      <c r="H2665" s="3" t="s">
        <v>18</v>
      </c>
      <c r="I2665" s="3" t="s">
        <v>19</v>
      </c>
      <c r="J2665" s="3" t="s">
        <v>19</v>
      </c>
      <c r="K2665" s="3" t="s">
        <v>25</v>
      </c>
      <c r="L2665" s="3">
        <v>28.01</v>
      </c>
      <c r="M2665" s="3" t="s">
        <v>1695</v>
      </c>
      <c r="N2665" s="3" t="s">
        <v>1696</v>
      </c>
      <c r="O2665" s="3">
        <v>1.96519389379E11</v>
      </c>
    </row>
    <row r="2666">
      <c r="A2666" s="3">
        <v>2622661.0</v>
      </c>
      <c r="B2666" s="3" t="s">
        <v>5536</v>
      </c>
      <c r="C2666" s="3" t="b">
        <v>0</v>
      </c>
      <c r="D2666" s="3" t="b">
        <v>1</v>
      </c>
      <c r="E2666" s="3" t="s">
        <v>5537</v>
      </c>
      <c r="F2666" s="3" t="s">
        <v>3875</v>
      </c>
      <c r="G2666" s="4">
        <f>+251927481918</f>
        <v>251927481918</v>
      </c>
      <c r="H2666" s="3" t="s">
        <v>18</v>
      </c>
      <c r="I2666" s="3" t="s">
        <v>19</v>
      </c>
      <c r="J2666" s="3" t="s">
        <v>19</v>
      </c>
      <c r="K2666" s="3" t="s">
        <v>25</v>
      </c>
      <c r="L2666" s="3">
        <v>27.85</v>
      </c>
      <c r="M2666" s="3" t="s">
        <v>1695</v>
      </c>
      <c r="N2666" s="3" t="s">
        <v>1696</v>
      </c>
      <c r="O2666" s="3">
        <v>1.96525977822E11</v>
      </c>
    </row>
    <row r="2667">
      <c r="A2667" s="3">
        <v>2622663.0</v>
      </c>
      <c r="B2667" s="3" t="s">
        <v>5538</v>
      </c>
      <c r="C2667" s="3" t="b">
        <v>0</v>
      </c>
      <c r="D2667" s="3" t="b">
        <v>1</v>
      </c>
      <c r="E2667" s="3" t="s">
        <v>3754</v>
      </c>
      <c r="F2667" s="3" t="s">
        <v>422</v>
      </c>
      <c r="G2667" s="4">
        <f>+251938124376</f>
        <v>251938124376</v>
      </c>
      <c r="H2667" s="3" t="s">
        <v>18</v>
      </c>
      <c r="I2667" s="3" t="s">
        <v>19</v>
      </c>
      <c r="J2667" s="3" t="s">
        <v>19</v>
      </c>
      <c r="K2667" s="3" t="s">
        <v>25</v>
      </c>
      <c r="L2667" s="3">
        <v>25.01</v>
      </c>
      <c r="M2667" s="3" t="s">
        <v>1695</v>
      </c>
      <c r="N2667" s="3" t="s">
        <v>1696</v>
      </c>
      <c r="O2667" s="3">
        <v>1.96479183052E11</v>
      </c>
    </row>
    <row r="2668">
      <c r="A2668" s="3">
        <v>2622665.0</v>
      </c>
      <c r="B2668" s="3" t="s">
        <v>5539</v>
      </c>
      <c r="C2668" s="3" t="b">
        <v>0</v>
      </c>
      <c r="D2668" s="3" t="b">
        <v>1</v>
      </c>
      <c r="E2668" s="3" t="s">
        <v>98</v>
      </c>
      <c r="F2668" s="3" t="s">
        <v>218</v>
      </c>
      <c r="G2668" s="4">
        <f>+251934043767</f>
        <v>251934043767</v>
      </c>
      <c r="H2668" s="3" t="s">
        <v>18</v>
      </c>
      <c r="I2668" s="3" t="s">
        <v>19</v>
      </c>
      <c r="J2668" s="3" t="s">
        <v>19</v>
      </c>
      <c r="K2668" s="3" t="s">
        <v>25</v>
      </c>
      <c r="L2668" s="3">
        <v>31.37</v>
      </c>
      <c r="M2668" s="3" t="s">
        <v>1695</v>
      </c>
      <c r="N2668" s="3" t="s">
        <v>1696</v>
      </c>
      <c r="O2668" s="3">
        <v>1.9647757026E11</v>
      </c>
    </row>
    <row r="2669">
      <c r="A2669" s="3">
        <v>2622667.0</v>
      </c>
      <c r="B2669" s="3" t="s">
        <v>5540</v>
      </c>
      <c r="C2669" s="3" t="b">
        <v>0</v>
      </c>
      <c r="D2669" s="3" t="b">
        <v>1</v>
      </c>
      <c r="E2669" s="3" t="s">
        <v>261</v>
      </c>
      <c r="F2669" s="3" t="s">
        <v>5541</v>
      </c>
      <c r="G2669" s="4">
        <f>+251912320130</f>
        <v>251912320130</v>
      </c>
      <c r="H2669" s="3" t="s">
        <v>18</v>
      </c>
      <c r="I2669" s="3" t="s">
        <v>19</v>
      </c>
      <c r="J2669" s="3" t="s">
        <v>19</v>
      </c>
      <c r="K2669" s="3" t="s">
        <v>25</v>
      </c>
      <c r="L2669" s="3">
        <v>27.02</v>
      </c>
      <c r="M2669" s="3" t="s">
        <v>1695</v>
      </c>
      <c r="N2669" s="3" t="s">
        <v>1696</v>
      </c>
      <c r="O2669" s="3">
        <v>1.96529894629E11</v>
      </c>
    </row>
    <row r="2670">
      <c r="A2670" s="3">
        <v>2622671.0</v>
      </c>
      <c r="B2670" s="3" t="s">
        <v>5542</v>
      </c>
      <c r="C2670" s="3" t="b">
        <v>0</v>
      </c>
      <c r="D2670" s="3" t="b">
        <v>1</v>
      </c>
      <c r="E2670" s="3" t="s">
        <v>5012</v>
      </c>
      <c r="F2670" s="3" t="s">
        <v>646</v>
      </c>
      <c r="G2670" s="4">
        <f>+251907272266</f>
        <v>251907272266</v>
      </c>
      <c r="H2670" s="3" t="s">
        <v>18</v>
      </c>
      <c r="I2670" s="3" t="s">
        <v>19</v>
      </c>
      <c r="J2670" s="3" t="s">
        <v>19</v>
      </c>
      <c r="K2670" s="3" t="s">
        <v>25</v>
      </c>
      <c r="L2670" s="3">
        <v>26.22</v>
      </c>
      <c r="M2670" s="3" t="s">
        <v>1695</v>
      </c>
      <c r="N2670" s="3" t="s">
        <v>1696</v>
      </c>
      <c r="O2670" s="3">
        <v>1.96516223198E11</v>
      </c>
    </row>
    <row r="2671">
      <c r="A2671" s="3">
        <v>2622680.0</v>
      </c>
      <c r="B2671" s="3" t="s">
        <v>5543</v>
      </c>
      <c r="C2671" s="3" t="b">
        <v>0</v>
      </c>
      <c r="D2671" s="3" t="b">
        <v>1</v>
      </c>
      <c r="E2671" s="3" t="s">
        <v>714</v>
      </c>
      <c r="F2671" s="3" t="s">
        <v>422</v>
      </c>
      <c r="G2671" s="4">
        <f>+251777922318</f>
        <v>251777922318</v>
      </c>
      <c r="H2671" s="3" t="s">
        <v>18</v>
      </c>
      <c r="I2671" s="3" t="s">
        <v>19</v>
      </c>
      <c r="J2671" s="3" t="s">
        <v>19</v>
      </c>
      <c r="K2671" s="3" t="s">
        <v>25</v>
      </c>
      <c r="L2671" s="3">
        <v>25.01</v>
      </c>
      <c r="M2671" s="3" t="s">
        <v>1695</v>
      </c>
      <c r="N2671" s="3" t="s">
        <v>1696</v>
      </c>
      <c r="O2671" s="3">
        <v>1.96479416522E11</v>
      </c>
    </row>
    <row r="2672">
      <c r="A2672" s="3">
        <v>2622682.0</v>
      </c>
      <c r="B2672" s="3" t="s">
        <v>5544</v>
      </c>
      <c r="C2672" s="3" t="b">
        <v>0</v>
      </c>
      <c r="D2672" s="3" t="b">
        <v>1</v>
      </c>
      <c r="E2672" s="3" t="s">
        <v>4534</v>
      </c>
      <c r="F2672" s="3" t="s">
        <v>387</v>
      </c>
      <c r="G2672" s="4">
        <f>+251913619898</f>
        <v>251913619898</v>
      </c>
      <c r="H2672" s="3" t="s">
        <v>18</v>
      </c>
      <c r="I2672" s="3" t="s">
        <v>19</v>
      </c>
      <c r="J2672" s="3" t="s">
        <v>19</v>
      </c>
      <c r="K2672" s="3" t="s">
        <v>25</v>
      </c>
      <c r="L2672" s="3">
        <v>31.12</v>
      </c>
      <c r="M2672" s="3" t="s">
        <v>1695</v>
      </c>
      <c r="N2672" s="3" t="s">
        <v>1696</v>
      </c>
      <c r="O2672" s="3">
        <v>1.96524865754E11</v>
      </c>
    </row>
    <row r="2673">
      <c r="A2673" s="3">
        <v>2622696.0</v>
      </c>
      <c r="B2673" s="3" t="s">
        <v>5545</v>
      </c>
      <c r="C2673" s="3" t="b">
        <v>0</v>
      </c>
      <c r="D2673" s="3" t="b">
        <v>1</v>
      </c>
      <c r="E2673" s="3" t="s">
        <v>5546</v>
      </c>
      <c r="F2673" s="3" t="s">
        <v>170</v>
      </c>
      <c r="G2673" s="4">
        <f>+251912765553</f>
        <v>251912765553</v>
      </c>
      <c r="H2673" s="3" t="s">
        <v>18</v>
      </c>
      <c r="I2673" s="3" t="s">
        <v>19</v>
      </c>
      <c r="J2673" s="3" t="s">
        <v>19</v>
      </c>
      <c r="K2673" s="3" t="s">
        <v>25</v>
      </c>
      <c r="L2673" s="3">
        <v>27.1</v>
      </c>
      <c r="M2673" s="3" t="s">
        <v>1695</v>
      </c>
      <c r="N2673" s="3" t="s">
        <v>1696</v>
      </c>
      <c r="O2673" s="3">
        <v>1.9652629935E11</v>
      </c>
    </row>
    <row r="2674">
      <c r="A2674" s="3">
        <v>2622687.0</v>
      </c>
      <c r="B2674" s="3" t="s">
        <v>5547</v>
      </c>
      <c r="C2674" s="3" t="b">
        <v>1</v>
      </c>
      <c r="D2674" s="3" t="b">
        <v>0</v>
      </c>
      <c r="E2674" s="3" t="s">
        <v>1545</v>
      </c>
      <c r="F2674" s="3" t="s">
        <v>849</v>
      </c>
      <c r="G2674" s="4">
        <f>+251988345424</f>
        <v>251988345424</v>
      </c>
      <c r="H2674" s="3" t="s">
        <v>18</v>
      </c>
      <c r="I2674" s="3" t="s">
        <v>19</v>
      </c>
      <c r="J2674" s="3" t="s">
        <v>19</v>
      </c>
      <c r="K2674" s="3" t="s">
        <v>25</v>
      </c>
      <c r="L2674" s="3">
        <v>18.67</v>
      </c>
      <c r="M2674" s="3" t="s">
        <v>1695</v>
      </c>
      <c r="N2674" s="3" t="s">
        <v>1696</v>
      </c>
    </row>
    <row r="2675">
      <c r="A2675" s="3">
        <v>2622705.0</v>
      </c>
      <c r="B2675" s="3" t="s">
        <v>5548</v>
      </c>
      <c r="C2675" s="3" t="b">
        <v>0</v>
      </c>
      <c r="D2675" s="3" t="b">
        <v>1</v>
      </c>
      <c r="E2675" s="3" t="s">
        <v>40</v>
      </c>
      <c r="F2675" s="3" t="s">
        <v>1271</v>
      </c>
      <c r="G2675" s="4">
        <f>+251991395185</f>
        <v>251991395185</v>
      </c>
      <c r="H2675" s="3" t="s">
        <v>18</v>
      </c>
      <c r="I2675" s="3" t="s">
        <v>19</v>
      </c>
      <c r="J2675" s="3" t="s">
        <v>19</v>
      </c>
      <c r="K2675" s="3" t="s">
        <v>20</v>
      </c>
      <c r="L2675" s="3">
        <v>31.35</v>
      </c>
      <c r="M2675" s="3" t="s">
        <v>1695</v>
      </c>
      <c r="N2675" s="3" t="s">
        <v>1696</v>
      </c>
      <c r="O2675" s="3">
        <v>1.96526357707E11</v>
      </c>
    </row>
    <row r="2676">
      <c r="A2676" s="3">
        <v>2622693.0</v>
      </c>
      <c r="B2676" s="3" t="s">
        <v>5549</v>
      </c>
      <c r="C2676" s="3" t="b">
        <v>1</v>
      </c>
      <c r="D2676" s="3" t="b">
        <v>0</v>
      </c>
      <c r="E2676" s="3" t="s">
        <v>5550</v>
      </c>
      <c r="F2676" s="3" t="s">
        <v>559</v>
      </c>
      <c r="G2676" s="4">
        <f>+251934983593</f>
        <v>251934983593</v>
      </c>
      <c r="H2676" s="3" t="s">
        <v>18</v>
      </c>
      <c r="I2676" s="3" t="s">
        <v>19</v>
      </c>
      <c r="J2676" s="3" t="s">
        <v>19</v>
      </c>
      <c r="K2676" s="3" t="s">
        <v>25</v>
      </c>
      <c r="L2676" s="3">
        <v>18.02</v>
      </c>
      <c r="M2676" s="3" t="s">
        <v>1695</v>
      </c>
      <c r="N2676" s="3" t="s">
        <v>1696</v>
      </c>
    </row>
    <row r="2677">
      <c r="A2677" s="3">
        <v>2622710.0</v>
      </c>
      <c r="B2677" s="3" t="s">
        <v>5551</v>
      </c>
      <c r="C2677" s="3" t="b">
        <v>0</v>
      </c>
      <c r="D2677" s="3" t="b">
        <v>1</v>
      </c>
      <c r="E2677" s="3" t="s">
        <v>3428</v>
      </c>
      <c r="F2677" s="3" t="s">
        <v>4568</v>
      </c>
      <c r="G2677" s="4">
        <f>+251949674697</f>
        <v>251949674697</v>
      </c>
      <c r="H2677" s="3" t="s">
        <v>18</v>
      </c>
      <c r="I2677" s="3" t="s">
        <v>19</v>
      </c>
      <c r="J2677" s="3" t="s">
        <v>19</v>
      </c>
      <c r="K2677" s="3" t="s">
        <v>20</v>
      </c>
      <c r="L2677" s="3">
        <v>23.18</v>
      </c>
      <c r="M2677" s="3" t="s">
        <v>1695</v>
      </c>
      <c r="N2677" s="3" t="s">
        <v>1696</v>
      </c>
      <c r="O2677" s="3">
        <v>1.9652866482E11</v>
      </c>
    </row>
    <row r="2678">
      <c r="A2678" s="3">
        <v>2622712.0</v>
      </c>
      <c r="B2678" s="3" t="s">
        <v>5552</v>
      </c>
      <c r="C2678" s="3" t="b">
        <v>0</v>
      </c>
      <c r="D2678" s="3" t="b">
        <v>1</v>
      </c>
      <c r="E2678" s="3" t="s">
        <v>5553</v>
      </c>
      <c r="F2678" s="3" t="s">
        <v>5554</v>
      </c>
      <c r="G2678" s="4">
        <f>+251962578218</f>
        <v>251962578218</v>
      </c>
      <c r="H2678" s="3" t="s">
        <v>18</v>
      </c>
      <c r="I2678" s="3" t="s">
        <v>19</v>
      </c>
      <c r="J2678" s="3" t="s">
        <v>19</v>
      </c>
      <c r="K2678" s="3" t="s">
        <v>20</v>
      </c>
      <c r="L2678" s="3">
        <v>23.94</v>
      </c>
      <c r="M2678" s="3" t="s">
        <v>1695</v>
      </c>
      <c r="N2678" s="3" t="s">
        <v>1696</v>
      </c>
      <c r="O2678" s="3">
        <v>1.96536129737E11</v>
      </c>
    </row>
    <row r="2679">
      <c r="A2679" s="3">
        <v>2622721.0</v>
      </c>
      <c r="B2679" s="3" t="s">
        <v>5555</v>
      </c>
      <c r="C2679" s="3" t="b">
        <v>0</v>
      </c>
      <c r="D2679" s="3" t="b">
        <v>1</v>
      </c>
      <c r="E2679" s="3" t="s">
        <v>5556</v>
      </c>
      <c r="F2679" s="3" t="s">
        <v>336</v>
      </c>
      <c r="G2679" s="4">
        <f>+251943308886</f>
        <v>251943308886</v>
      </c>
      <c r="H2679" s="3" t="s">
        <v>18</v>
      </c>
      <c r="I2679" s="3" t="s">
        <v>19</v>
      </c>
      <c r="J2679" s="3" t="s">
        <v>19</v>
      </c>
      <c r="K2679" s="3" t="s">
        <v>25</v>
      </c>
      <c r="L2679" s="3">
        <v>27.01</v>
      </c>
      <c r="M2679" s="3" t="s">
        <v>1695</v>
      </c>
      <c r="N2679" s="3" t="s">
        <v>1696</v>
      </c>
      <c r="O2679" s="3">
        <v>1.96526507256E11</v>
      </c>
    </row>
    <row r="2680">
      <c r="A2680" s="3">
        <v>2622722.0</v>
      </c>
      <c r="B2680" s="3" t="s">
        <v>5557</v>
      </c>
      <c r="C2680" s="3" t="b">
        <v>0</v>
      </c>
      <c r="D2680" s="3" t="b">
        <v>1</v>
      </c>
      <c r="E2680" s="3" t="s">
        <v>803</v>
      </c>
      <c r="F2680" s="3" t="s">
        <v>1933</v>
      </c>
      <c r="G2680" s="4">
        <f>+251966070388</f>
        <v>251966070388</v>
      </c>
      <c r="H2680" s="3" t="s">
        <v>18</v>
      </c>
      <c r="I2680" s="3" t="s">
        <v>19</v>
      </c>
      <c r="J2680" s="3" t="s">
        <v>19</v>
      </c>
      <c r="K2680" s="3" t="s">
        <v>20</v>
      </c>
      <c r="L2680" s="3">
        <v>25.37</v>
      </c>
      <c r="M2680" s="3" t="s">
        <v>1695</v>
      </c>
      <c r="N2680" s="3" t="s">
        <v>1696</v>
      </c>
      <c r="O2680" s="3">
        <v>1.96527428849E11</v>
      </c>
    </row>
    <row r="2681">
      <c r="A2681" s="3">
        <v>2622726.0</v>
      </c>
      <c r="B2681" s="3" t="s">
        <v>5558</v>
      </c>
      <c r="C2681" s="3" t="b">
        <v>0</v>
      </c>
      <c r="D2681" s="3" t="b">
        <v>1</v>
      </c>
      <c r="E2681" s="3" t="s">
        <v>5556</v>
      </c>
      <c r="F2681" s="3" t="s">
        <v>336</v>
      </c>
      <c r="G2681" s="4">
        <f>+251943308886</f>
        <v>251943308886</v>
      </c>
      <c r="H2681" s="3" t="s">
        <v>18</v>
      </c>
      <c r="I2681" s="3" t="s">
        <v>19</v>
      </c>
      <c r="J2681" s="3" t="s">
        <v>19</v>
      </c>
      <c r="K2681" s="3" t="s">
        <v>25</v>
      </c>
      <c r="L2681" s="3">
        <v>25.01</v>
      </c>
      <c r="M2681" s="3" t="s">
        <v>1695</v>
      </c>
      <c r="N2681" s="3" t="s">
        <v>1696</v>
      </c>
      <c r="O2681" s="3">
        <v>1.9651766906E11</v>
      </c>
    </row>
    <row r="2682">
      <c r="A2682" s="3">
        <v>2622728.0</v>
      </c>
      <c r="B2682" s="3" t="s">
        <v>5559</v>
      </c>
      <c r="C2682" s="3" t="b">
        <v>1</v>
      </c>
      <c r="D2682" s="3" t="b">
        <v>1</v>
      </c>
      <c r="E2682" s="3" t="s">
        <v>676</v>
      </c>
      <c r="F2682" s="3" t="s">
        <v>309</v>
      </c>
      <c r="G2682" s="4">
        <f>+251912634485</f>
        <v>251912634485</v>
      </c>
      <c r="H2682" s="3" t="s">
        <v>18</v>
      </c>
      <c r="I2682" s="3" t="s">
        <v>19</v>
      </c>
      <c r="J2682" s="3" t="s">
        <v>19</v>
      </c>
      <c r="K2682" s="3" t="s">
        <v>25</v>
      </c>
      <c r="L2682" s="3">
        <v>21.35</v>
      </c>
      <c r="M2682" s="3" t="s">
        <v>1695</v>
      </c>
      <c r="N2682" s="3" t="s">
        <v>1696</v>
      </c>
      <c r="O2682" s="3">
        <v>1.96539824338E11</v>
      </c>
    </row>
    <row r="2683">
      <c r="A2683" s="3">
        <v>2622729.0</v>
      </c>
      <c r="B2683" s="3" t="s">
        <v>5560</v>
      </c>
      <c r="C2683" s="3" t="b">
        <v>0</v>
      </c>
      <c r="D2683" s="3" t="b">
        <v>1</v>
      </c>
      <c r="E2683" s="3" t="s">
        <v>5561</v>
      </c>
      <c r="F2683" s="3" t="s">
        <v>1000</v>
      </c>
      <c r="G2683" s="4">
        <f>+251927281705</f>
        <v>251927281705</v>
      </c>
      <c r="H2683" s="3" t="s">
        <v>18</v>
      </c>
      <c r="I2683" s="3" t="s">
        <v>19</v>
      </c>
      <c r="J2683" s="3" t="s">
        <v>19</v>
      </c>
      <c r="K2683" s="3" t="s">
        <v>20</v>
      </c>
      <c r="L2683" s="3">
        <v>28.95</v>
      </c>
      <c r="M2683" s="3" t="s">
        <v>1695</v>
      </c>
      <c r="N2683" s="3" t="s">
        <v>1696</v>
      </c>
      <c r="O2683" s="3">
        <v>1.96515031285E11</v>
      </c>
    </row>
    <row r="2684">
      <c r="A2684" s="3">
        <v>2622732.0</v>
      </c>
      <c r="B2684" s="3" t="s">
        <v>5562</v>
      </c>
      <c r="C2684" s="3" t="b">
        <v>0</v>
      </c>
      <c r="D2684" s="3" t="b">
        <v>1</v>
      </c>
      <c r="E2684" s="3" t="s">
        <v>945</v>
      </c>
      <c r="F2684" s="3" t="s">
        <v>3406</v>
      </c>
      <c r="G2684" s="4">
        <f>+251976492574</f>
        <v>251976492574</v>
      </c>
      <c r="H2684" s="3" t="s">
        <v>18</v>
      </c>
      <c r="I2684" s="3" t="s">
        <v>19</v>
      </c>
      <c r="J2684" s="3" t="s">
        <v>19</v>
      </c>
      <c r="K2684" s="3" t="s">
        <v>25</v>
      </c>
      <c r="L2684" s="3">
        <v>25.01</v>
      </c>
      <c r="M2684" s="3" t="s">
        <v>1695</v>
      </c>
      <c r="N2684" s="3" t="s">
        <v>1696</v>
      </c>
      <c r="O2684" s="3">
        <v>1.9653640113E11</v>
      </c>
    </row>
    <row r="2685">
      <c r="A2685" s="3">
        <v>2622735.0</v>
      </c>
      <c r="B2685" s="3" t="s">
        <v>5563</v>
      </c>
      <c r="C2685" s="3" t="b">
        <v>0</v>
      </c>
      <c r="D2685" s="3" t="b">
        <v>1</v>
      </c>
      <c r="E2685" s="3" t="s">
        <v>322</v>
      </c>
      <c r="F2685" s="3" t="s">
        <v>4396</v>
      </c>
      <c r="G2685" s="4">
        <f>+251996257006</f>
        <v>251996257006</v>
      </c>
      <c r="H2685" s="3" t="s">
        <v>18</v>
      </c>
      <c r="I2685" s="3" t="s">
        <v>19</v>
      </c>
      <c r="J2685" s="3" t="s">
        <v>19</v>
      </c>
      <c r="K2685" s="3" t="s">
        <v>20</v>
      </c>
      <c r="L2685" s="3">
        <v>23.34</v>
      </c>
      <c r="M2685" s="3" t="s">
        <v>1695</v>
      </c>
      <c r="N2685" s="3" t="s">
        <v>1696</v>
      </c>
      <c r="O2685" s="3">
        <v>1.96527721711E11</v>
      </c>
    </row>
    <row r="2686">
      <c r="A2686" s="3">
        <v>2622737.0</v>
      </c>
      <c r="B2686" s="3" t="s">
        <v>5564</v>
      </c>
      <c r="C2686" s="3" t="b">
        <v>1</v>
      </c>
      <c r="D2686" s="3" t="b">
        <v>1</v>
      </c>
      <c r="E2686" s="3" t="s">
        <v>626</v>
      </c>
      <c r="F2686" s="3" t="s">
        <v>58</v>
      </c>
      <c r="G2686" s="4">
        <f>+251946465863</f>
        <v>251946465863</v>
      </c>
      <c r="H2686" s="3" t="s">
        <v>18</v>
      </c>
      <c r="I2686" s="3" t="s">
        <v>19</v>
      </c>
      <c r="J2686" s="3" t="s">
        <v>19</v>
      </c>
      <c r="K2686" s="3" t="s">
        <v>25</v>
      </c>
      <c r="L2686" s="3">
        <v>18.95</v>
      </c>
      <c r="M2686" s="3" t="s">
        <v>1695</v>
      </c>
      <c r="N2686" s="3" t="s">
        <v>1696</v>
      </c>
      <c r="O2686" s="3">
        <v>4.1626844896E10</v>
      </c>
    </row>
    <row r="2687">
      <c r="A2687" s="3">
        <v>2622745.0</v>
      </c>
      <c r="B2687" s="3" t="s">
        <v>5565</v>
      </c>
      <c r="C2687" s="3" t="b">
        <v>0</v>
      </c>
      <c r="D2687" s="3" t="b">
        <v>1</v>
      </c>
      <c r="E2687" s="3" t="s">
        <v>5566</v>
      </c>
      <c r="F2687" s="3" t="s">
        <v>44</v>
      </c>
      <c r="G2687" s="4">
        <f>+251911400858</f>
        <v>251911400858</v>
      </c>
      <c r="H2687" s="3" t="s">
        <v>18</v>
      </c>
      <c r="I2687" s="3" t="s">
        <v>19</v>
      </c>
      <c r="J2687" s="3" t="s">
        <v>19</v>
      </c>
      <c r="K2687" s="3" t="s">
        <v>25</v>
      </c>
      <c r="L2687" s="3">
        <v>25.35</v>
      </c>
      <c r="M2687" s="3" t="s">
        <v>1695</v>
      </c>
      <c r="N2687" s="3" t="s">
        <v>1696</v>
      </c>
      <c r="O2687" s="3">
        <v>1.96568131794E11</v>
      </c>
    </row>
    <row r="2688">
      <c r="A2688" s="3">
        <v>2622750.0</v>
      </c>
      <c r="B2688" s="3" t="s">
        <v>5567</v>
      </c>
      <c r="C2688" s="3" t="b">
        <v>0</v>
      </c>
      <c r="D2688" s="3" t="b">
        <v>1</v>
      </c>
      <c r="E2688" s="3" t="s">
        <v>490</v>
      </c>
      <c r="F2688" s="3" t="s">
        <v>58</v>
      </c>
      <c r="G2688" s="4">
        <f>+251961384173</f>
        <v>251961384173</v>
      </c>
      <c r="H2688" s="3" t="s">
        <v>18</v>
      </c>
      <c r="I2688" s="3" t="s">
        <v>19</v>
      </c>
      <c r="J2688" s="3" t="s">
        <v>19</v>
      </c>
      <c r="K2688" s="3" t="s">
        <v>25</v>
      </c>
      <c r="L2688" s="3">
        <v>25.01</v>
      </c>
      <c r="M2688" s="3" t="s">
        <v>1695</v>
      </c>
      <c r="N2688" s="3" t="s">
        <v>1696</v>
      </c>
      <c r="O2688" s="3">
        <v>1.96570685649E11</v>
      </c>
    </row>
    <row r="2689">
      <c r="A2689" s="3">
        <v>2622757.0</v>
      </c>
      <c r="B2689" s="3" t="s">
        <v>5568</v>
      </c>
      <c r="C2689" s="3" t="b">
        <v>0</v>
      </c>
      <c r="D2689" s="3" t="b">
        <v>1</v>
      </c>
      <c r="E2689" s="3" t="s">
        <v>5569</v>
      </c>
      <c r="F2689" s="3" t="s">
        <v>5570</v>
      </c>
      <c r="G2689" s="4">
        <f>+251900780874</f>
        <v>251900780874</v>
      </c>
      <c r="H2689" s="3" t="s">
        <v>18</v>
      </c>
      <c r="I2689" s="3" t="s">
        <v>19</v>
      </c>
      <c r="J2689" s="3" t="s">
        <v>19</v>
      </c>
      <c r="K2689" s="3" t="s">
        <v>25</v>
      </c>
      <c r="L2689" s="3">
        <v>24.26</v>
      </c>
      <c r="M2689" s="3" t="s">
        <v>1695</v>
      </c>
      <c r="N2689" s="3" t="s">
        <v>1696</v>
      </c>
      <c r="O2689" s="3">
        <v>1.96542357694E11</v>
      </c>
    </row>
    <row r="2690">
      <c r="A2690" s="3">
        <v>2622763.0</v>
      </c>
      <c r="B2690" s="3" t="s">
        <v>5571</v>
      </c>
      <c r="C2690" s="3" t="b">
        <v>0</v>
      </c>
      <c r="D2690" s="3" t="b">
        <v>1</v>
      </c>
      <c r="E2690" s="3" t="s">
        <v>5572</v>
      </c>
      <c r="F2690" s="3" t="s">
        <v>1954</v>
      </c>
      <c r="G2690" s="4">
        <f>+10901112183</f>
        <v>10901112183</v>
      </c>
      <c r="H2690" s="3" t="s">
        <v>18</v>
      </c>
      <c r="I2690" s="3" t="s">
        <v>19</v>
      </c>
      <c r="J2690" s="3" t="s">
        <v>19</v>
      </c>
      <c r="K2690" s="3" t="s">
        <v>20</v>
      </c>
      <c r="L2690" s="3">
        <v>23.27</v>
      </c>
      <c r="M2690" s="3" t="s">
        <v>1695</v>
      </c>
      <c r="N2690" s="3" t="s">
        <v>1696</v>
      </c>
      <c r="O2690" s="3">
        <v>1.96536848604E11</v>
      </c>
    </row>
    <row r="2691">
      <c r="A2691" s="3">
        <v>2622767.0</v>
      </c>
      <c r="B2691" s="3" t="s">
        <v>5573</v>
      </c>
      <c r="C2691" s="3" t="b">
        <v>1</v>
      </c>
      <c r="D2691" s="3" t="b">
        <v>1</v>
      </c>
      <c r="E2691" s="3" t="s">
        <v>5574</v>
      </c>
      <c r="F2691" s="3" t="s">
        <v>5575</v>
      </c>
      <c r="G2691" s="4">
        <f>+251982517439</f>
        <v>251982517439</v>
      </c>
      <c r="H2691" s="3" t="s">
        <v>18</v>
      </c>
      <c r="I2691" s="3" t="s">
        <v>19</v>
      </c>
      <c r="J2691" s="3" t="s">
        <v>19</v>
      </c>
      <c r="K2691" s="3" t="s">
        <v>25</v>
      </c>
      <c r="L2691" s="3">
        <v>25.36</v>
      </c>
      <c r="M2691" s="3" t="s">
        <v>1695</v>
      </c>
      <c r="N2691" s="3" t="s">
        <v>1696</v>
      </c>
      <c r="O2691" s="3">
        <v>1.96548902083E11</v>
      </c>
    </row>
    <row r="2692">
      <c r="A2692" s="3">
        <v>2622771.0</v>
      </c>
      <c r="B2692" s="3" t="s">
        <v>5576</v>
      </c>
      <c r="C2692" s="3" t="b">
        <v>0</v>
      </c>
      <c r="D2692" s="3" t="b">
        <v>1</v>
      </c>
      <c r="E2692" s="3" t="s">
        <v>64</v>
      </c>
      <c r="F2692" s="3" t="s">
        <v>5577</v>
      </c>
      <c r="G2692" s="4">
        <f>+251994124305</f>
        <v>251994124305</v>
      </c>
      <c r="H2692" s="3" t="s">
        <v>18</v>
      </c>
      <c r="I2692" s="3" t="s">
        <v>19</v>
      </c>
      <c r="J2692" s="3" t="s">
        <v>19</v>
      </c>
      <c r="K2692" s="3" t="s">
        <v>25</v>
      </c>
      <c r="L2692" s="3">
        <v>24.01</v>
      </c>
      <c r="M2692" s="3" t="s">
        <v>1695</v>
      </c>
      <c r="N2692" s="3" t="s">
        <v>1696</v>
      </c>
      <c r="O2692" s="3">
        <v>1.96578163949E11</v>
      </c>
    </row>
    <row r="2693">
      <c r="A2693" s="3">
        <v>2622776.0</v>
      </c>
      <c r="B2693" s="3" t="s">
        <v>5578</v>
      </c>
      <c r="C2693" s="3" t="b">
        <v>0</v>
      </c>
      <c r="D2693" s="3" t="b">
        <v>1</v>
      </c>
      <c r="E2693" s="3" t="s">
        <v>5579</v>
      </c>
      <c r="F2693" s="3" t="s">
        <v>5580</v>
      </c>
      <c r="G2693" s="4">
        <f>+251936625251</f>
        <v>251936625251</v>
      </c>
      <c r="H2693" s="3" t="s">
        <v>18</v>
      </c>
      <c r="I2693" s="3" t="s">
        <v>19</v>
      </c>
      <c r="J2693" s="3" t="s">
        <v>19</v>
      </c>
      <c r="K2693" s="3" t="s">
        <v>25</v>
      </c>
      <c r="L2693" s="3">
        <v>24.34</v>
      </c>
      <c r="M2693" s="3" t="s">
        <v>1695</v>
      </c>
      <c r="N2693" s="3" t="s">
        <v>1696</v>
      </c>
      <c r="O2693" s="3">
        <v>1.96581977289E11</v>
      </c>
    </row>
    <row r="2694">
      <c r="A2694" s="3">
        <v>2622782.0</v>
      </c>
      <c r="B2694" s="3" t="s">
        <v>5581</v>
      </c>
      <c r="C2694" s="3" t="b">
        <v>0</v>
      </c>
      <c r="D2694" s="3" t="b">
        <v>1</v>
      </c>
      <c r="E2694" s="3" t="s">
        <v>5582</v>
      </c>
      <c r="F2694" s="3" t="s">
        <v>2691</v>
      </c>
      <c r="G2694" s="4">
        <f>+251994147444</f>
        <v>251994147444</v>
      </c>
      <c r="H2694" s="3" t="s">
        <v>18</v>
      </c>
      <c r="I2694" s="3" t="s">
        <v>19</v>
      </c>
      <c r="J2694" s="3" t="s">
        <v>19</v>
      </c>
      <c r="K2694" s="3" t="s">
        <v>20</v>
      </c>
      <c r="L2694" s="3">
        <v>23.34</v>
      </c>
      <c r="M2694" s="3" t="s">
        <v>1695</v>
      </c>
      <c r="N2694" s="3" t="s">
        <v>1696</v>
      </c>
      <c r="O2694" s="3">
        <v>8738441.0</v>
      </c>
    </row>
    <row r="2695">
      <c r="A2695" s="3">
        <v>2622784.0</v>
      </c>
      <c r="B2695" s="3" t="s">
        <v>5583</v>
      </c>
      <c r="C2695" s="3" t="b">
        <v>0</v>
      </c>
      <c r="D2695" s="3" t="b">
        <v>1</v>
      </c>
      <c r="E2695" s="3" t="s">
        <v>663</v>
      </c>
      <c r="F2695" s="3" t="s">
        <v>1157</v>
      </c>
      <c r="G2695" s="4">
        <f>+251947033090</f>
        <v>251947033090</v>
      </c>
      <c r="H2695" s="3" t="s">
        <v>18</v>
      </c>
      <c r="I2695" s="3" t="s">
        <v>19</v>
      </c>
      <c r="J2695" s="3" t="s">
        <v>19</v>
      </c>
      <c r="K2695" s="3" t="s">
        <v>20</v>
      </c>
      <c r="L2695" s="3">
        <v>25.01</v>
      </c>
      <c r="M2695" s="3" t="s">
        <v>1695</v>
      </c>
      <c r="N2695" s="3" t="s">
        <v>1696</v>
      </c>
      <c r="O2695" s="3">
        <v>1.96549229769E11</v>
      </c>
    </row>
    <row r="2696">
      <c r="A2696" s="3">
        <v>2622792.0</v>
      </c>
      <c r="B2696" s="3" t="s">
        <v>5584</v>
      </c>
      <c r="C2696" s="3" t="b">
        <v>0</v>
      </c>
      <c r="D2696" s="3" t="b">
        <v>1</v>
      </c>
      <c r="E2696" s="3" t="s">
        <v>5585</v>
      </c>
      <c r="F2696" s="3" t="s">
        <v>193</v>
      </c>
      <c r="G2696" s="4">
        <f>+251923355283</f>
        <v>251923355283</v>
      </c>
      <c r="H2696" s="3" t="s">
        <v>18</v>
      </c>
      <c r="I2696" s="3" t="s">
        <v>19</v>
      </c>
      <c r="J2696" s="3" t="s">
        <v>19</v>
      </c>
      <c r="K2696" s="3" t="s">
        <v>20</v>
      </c>
      <c r="L2696" s="3">
        <v>21.27</v>
      </c>
      <c r="M2696" s="3" t="s">
        <v>1695</v>
      </c>
      <c r="N2696" s="3" t="s">
        <v>1696</v>
      </c>
      <c r="O2696" s="3">
        <v>1.9655123685E11</v>
      </c>
    </row>
    <row r="2697">
      <c r="A2697" s="3">
        <v>2622795.0</v>
      </c>
      <c r="B2697" s="3" t="s">
        <v>5586</v>
      </c>
      <c r="C2697" s="3" t="b">
        <v>0</v>
      </c>
      <c r="D2697" s="3" t="b">
        <v>1</v>
      </c>
      <c r="E2697" s="3" t="s">
        <v>5587</v>
      </c>
      <c r="F2697" s="3" t="s">
        <v>52</v>
      </c>
      <c r="G2697" s="4">
        <f>+251921436117</f>
        <v>251921436117</v>
      </c>
      <c r="H2697" s="3" t="s">
        <v>18</v>
      </c>
      <c r="I2697" s="3" t="s">
        <v>19</v>
      </c>
      <c r="J2697" s="3" t="s">
        <v>19</v>
      </c>
      <c r="K2697" s="3" t="s">
        <v>20</v>
      </c>
      <c r="L2697" s="3">
        <v>24.01</v>
      </c>
      <c r="M2697" s="3" t="s">
        <v>1695</v>
      </c>
      <c r="N2697" s="3" t="s">
        <v>1696</v>
      </c>
      <c r="O2697" s="3">
        <v>2.3149466E7</v>
      </c>
    </row>
    <row r="2698">
      <c r="A2698" s="3">
        <v>2622799.0</v>
      </c>
      <c r="B2698" s="3" t="s">
        <v>5588</v>
      </c>
      <c r="C2698" s="3" t="b">
        <v>0</v>
      </c>
      <c r="D2698" s="3" t="b">
        <v>1</v>
      </c>
      <c r="E2698" s="3" t="s">
        <v>1485</v>
      </c>
      <c r="F2698" s="3" t="s">
        <v>5589</v>
      </c>
      <c r="G2698" s="4">
        <f>+251946610370</f>
        <v>251946610370</v>
      </c>
      <c r="H2698" s="3" t="s">
        <v>18</v>
      </c>
      <c r="I2698" s="3" t="s">
        <v>19</v>
      </c>
      <c r="J2698" s="3" t="s">
        <v>19</v>
      </c>
      <c r="K2698" s="3" t="s">
        <v>20</v>
      </c>
      <c r="L2698" s="3">
        <v>23.27</v>
      </c>
      <c r="M2698" s="3" t="s">
        <v>1695</v>
      </c>
      <c r="N2698" s="3" t="s">
        <v>1696</v>
      </c>
      <c r="O2698" s="3">
        <v>7404006.0</v>
      </c>
    </row>
    <row r="2699">
      <c r="A2699" s="3">
        <v>2622809.0</v>
      </c>
      <c r="B2699" s="3" t="s">
        <v>5590</v>
      </c>
      <c r="C2699" s="3" t="b">
        <v>0</v>
      </c>
      <c r="D2699" s="3" t="b">
        <v>1</v>
      </c>
      <c r="E2699" s="3" t="s">
        <v>5591</v>
      </c>
      <c r="F2699" s="3" t="s">
        <v>5592</v>
      </c>
      <c r="G2699" s="4">
        <f>+251965255546</f>
        <v>251965255546</v>
      </c>
      <c r="H2699" s="3" t="s">
        <v>18</v>
      </c>
      <c r="I2699" s="3" t="s">
        <v>19</v>
      </c>
      <c r="J2699" s="3" t="s">
        <v>19</v>
      </c>
      <c r="K2699" s="3" t="s">
        <v>20</v>
      </c>
      <c r="L2699" s="3">
        <v>26.01</v>
      </c>
      <c r="M2699" s="3" t="s">
        <v>1695</v>
      </c>
      <c r="N2699" s="3" t="s">
        <v>1696</v>
      </c>
      <c r="O2699" s="3">
        <v>1880202.0</v>
      </c>
    </row>
    <row r="2700">
      <c r="A2700" s="3">
        <v>2622818.0</v>
      </c>
      <c r="B2700" s="3" t="s">
        <v>5593</v>
      </c>
      <c r="C2700" s="3" t="b">
        <v>0</v>
      </c>
      <c r="D2700" s="3" t="b">
        <v>1</v>
      </c>
      <c r="E2700" s="3" t="s">
        <v>5594</v>
      </c>
      <c r="F2700" s="3" t="s">
        <v>5595</v>
      </c>
      <c r="G2700" s="4">
        <f>+251973221890</f>
        <v>251973221890</v>
      </c>
      <c r="H2700" s="3" t="s">
        <v>18</v>
      </c>
      <c r="I2700" s="3" t="s">
        <v>19</v>
      </c>
      <c r="J2700" s="3" t="s">
        <v>19</v>
      </c>
      <c r="K2700" s="3" t="s">
        <v>20</v>
      </c>
      <c r="L2700" s="3">
        <v>22.27</v>
      </c>
      <c r="M2700" s="3" t="s">
        <v>1695</v>
      </c>
      <c r="N2700" s="3" t="s">
        <v>1696</v>
      </c>
      <c r="O2700" s="3">
        <v>5695149.0</v>
      </c>
    </row>
    <row r="2701">
      <c r="A2701" s="3">
        <v>2622825.0</v>
      </c>
      <c r="B2701" s="3" t="s">
        <v>5596</v>
      </c>
      <c r="C2701" s="3" t="b">
        <v>1</v>
      </c>
      <c r="D2701" s="3" t="b">
        <v>1</v>
      </c>
      <c r="E2701" s="3" t="s">
        <v>5597</v>
      </c>
      <c r="F2701" s="3" t="s">
        <v>5598</v>
      </c>
      <c r="G2701" s="4">
        <f>+251912659952</f>
        <v>251912659952</v>
      </c>
      <c r="H2701" s="3" t="s">
        <v>18</v>
      </c>
      <c r="I2701" s="3" t="s">
        <v>19</v>
      </c>
      <c r="J2701" s="3" t="s">
        <v>19</v>
      </c>
      <c r="K2701" s="3" t="s">
        <v>20</v>
      </c>
      <c r="L2701" s="3">
        <v>24.01</v>
      </c>
      <c r="M2701" s="3" t="s">
        <v>1695</v>
      </c>
      <c r="N2701" s="3" t="s">
        <v>1696</v>
      </c>
      <c r="O2701" s="3">
        <v>1.96555946229E11</v>
      </c>
    </row>
    <row r="2702">
      <c r="A2702" s="3">
        <v>2622826.0</v>
      </c>
      <c r="B2702" s="3" t="s">
        <v>5599</v>
      </c>
      <c r="C2702" s="3" t="b">
        <v>0</v>
      </c>
      <c r="D2702" s="3" t="b">
        <v>1</v>
      </c>
      <c r="E2702" s="3" t="s">
        <v>709</v>
      </c>
      <c r="F2702" s="3" t="s">
        <v>404</v>
      </c>
      <c r="G2702" s="4">
        <f>+251988029253</f>
        <v>251988029253</v>
      </c>
      <c r="H2702" s="3" t="s">
        <v>18</v>
      </c>
      <c r="I2702" s="3" t="s">
        <v>19</v>
      </c>
      <c r="J2702" s="3" t="s">
        <v>19</v>
      </c>
      <c r="K2702" s="3" t="s">
        <v>20</v>
      </c>
      <c r="L2702" s="3">
        <v>22.29</v>
      </c>
      <c r="M2702" s="3" t="s">
        <v>1695</v>
      </c>
      <c r="N2702" s="3" t="s">
        <v>1696</v>
      </c>
      <c r="O2702" s="3">
        <v>1.96587496658E11</v>
      </c>
    </row>
    <row r="2703">
      <c r="A2703" s="3">
        <v>2622820.0</v>
      </c>
      <c r="B2703" s="3" t="s">
        <v>5600</v>
      </c>
      <c r="C2703" s="3" t="b">
        <v>0</v>
      </c>
      <c r="D2703" s="3" t="b">
        <v>1</v>
      </c>
      <c r="E2703" s="3" t="s">
        <v>5601</v>
      </c>
      <c r="F2703" s="3" t="s">
        <v>1814</v>
      </c>
      <c r="G2703" s="4">
        <f>+251910361361</f>
        <v>251910361361</v>
      </c>
      <c r="H2703" s="3" t="s">
        <v>18</v>
      </c>
      <c r="I2703" s="3" t="s">
        <v>19</v>
      </c>
      <c r="J2703" s="3" t="s">
        <v>19</v>
      </c>
      <c r="K2703" s="3" t="s">
        <v>25</v>
      </c>
      <c r="L2703" s="3">
        <v>24.21</v>
      </c>
      <c r="M2703" s="3" t="s">
        <v>1695</v>
      </c>
      <c r="N2703" s="3" t="s">
        <v>1696</v>
      </c>
      <c r="O2703" s="3">
        <v>1.96555847919E11</v>
      </c>
    </row>
    <row r="2704">
      <c r="A2704" s="3">
        <v>123842.0</v>
      </c>
      <c r="B2704" s="3" t="s">
        <v>5602</v>
      </c>
      <c r="C2704" s="3" t="b">
        <v>1</v>
      </c>
      <c r="D2704" s="3" t="b">
        <v>1</v>
      </c>
      <c r="E2704" s="3" t="s">
        <v>101</v>
      </c>
      <c r="F2704" s="3" t="s">
        <v>70</v>
      </c>
      <c r="G2704" s="4">
        <f>+251921363846</f>
        <v>251921363846</v>
      </c>
      <c r="H2704" s="3" t="s">
        <v>18</v>
      </c>
      <c r="I2704" s="3" t="s">
        <v>19</v>
      </c>
      <c r="J2704" s="3" t="s">
        <v>19</v>
      </c>
      <c r="K2704" s="3" t="s">
        <v>25</v>
      </c>
      <c r="L2704" s="3">
        <v>29.59</v>
      </c>
      <c r="M2704" s="3" t="s">
        <v>1695</v>
      </c>
      <c r="N2704" s="3" t="s">
        <v>1696</v>
      </c>
      <c r="O2704" s="3">
        <v>727434.0</v>
      </c>
    </row>
    <row r="2705">
      <c r="A2705" s="3">
        <v>2622834.0</v>
      </c>
      <c r="B2705" s="3" t="s">
        <v>5603</v>
      </c>
      <c r="C2705" s="3" t="b">
        <v>0</v>
      </c>
      <c r="D2705" s="3" t="b">
        <v>1</v>
      </c>
      <c r="E2705" s="3" t="s">
        <v>5604</v>
      </c>
      <c r="F2705" s="3" t="s">
        <v>5605</v>
      </c>
      <c r="G2705" s="4">
        <f>+251955381811</f>
        <v>251955381811</v>
      </c>
      <c r="H2705" s="3" t="s">
        <v>18</v>
      </c>
      <c r="I2705" s="3" t="s">
        <v>19</v>
      </c>
      <c r="J2705" s="3" t="s">
        <v>19</v>
      </c>
      <c r="K2705" s="3" t="s">
        <v>20</v>
      </c>
      <c r="L2705" s="3">
        <v>22.35</v>
      </c>
      <c r="M2705" s="3" t="s">
        <v>1695</v>
      </c>
      <c r="N2705" s="3" t="s">
        <v>1696</v>
      </c>
      <c r="O2705" s="3">
        <v>1.96555212006E11</v>
      </c>
    </row>
    <row r="2706">
      <c r="A2706" s="3">
        <v>986029.0</v>
      </c>
      <c r="B2706" s="3" t="s">
        <v>5606</v>
      </c>
      <c r="C2706" s="3" t="b">
        <v>1</v>
      </c>
      <c r="D2706" s="3" t="b">
        <v>1</v>
      </c>
      <c r="E2706" s="3" t="s">
        <v>4445</v>
      </c>
      <c r="F2706" s="3" t="s">
        <v>5607</v>
      </c>
      <c r="G2706" s="4">
        <f>+251900340746</f>
        <v>251900340746</v>
      </c>
      <c r="H2706" s="3" t="s">
        <v>18</v>
      </c>
      <c r="I2706" s="3" t="s">
        <v>19</v>
      </c>
      <c r="J2706" s="3" t="s">
        <v>19</v>
      </c>
      <c r="K2706" s="3" t="s">
        <v>20</v>
      </c>
      <c r="L2706" s="3">
        <v>25.94</v>
      </c>
      <c r="M2706" s="3" t="s">
        <v>1695</v>
      </c>
      <c r="N2706" s="3" t="s">
        <v>1696</v>
      </c>
      <c r="O2706" s="3">
        <v>5.288532201E9</v>
      </c>
    </row>
    <row r="2707">
      <c r="A2707" s="3">
        <v>2622845.0</v>
      </c>
      <c r="B2707" s="3" t="s">
        <v>5608</v>
      </c>
      <c r="C2707" s="3" t="b">
        <v>0</v>
      </c>
      <c r="D2707" s="3" t="b">
        <v>1</v>
      </c>
      <c r="E2707" s="3" t="s">
        <v>378</v>
      </c>
      <c r="F2707" s="3" t="s">
        <v>1736</v>
      </c>
      <c r="G2707" s="4">
        <f>+251943012333</f>
        <v>251943012333</v>
      </c>
      <c r="H2707" s="3" t="s">
        <v>18</v>
      </c>
      <c r="I2707" s="3" t="s">
        <v>19</v>
      </c>
      <c r="J2707" s="3" t="s">
        <v>19</v>
      </c>
      <c r="K2707" s="3" t="s">
        <v>25</v>
      </c>
      <c r="L2707" s="3">
        <v>20.26</v>
      </c>
      <c r="M2707" s="3" t="s">
        <v>1695</v>
      </c>
      <c r="N2707" s="3" t="s">
        <v>1696</v>
      </c>
      <c r="O2707" s="3">
        <v>1.96598343893E11</v>
      </c>
    </row>
    <row r="2708">
      <c r="A2708" s="3">
        <v>2622844.0</v>
      </c>
      <c r="B2708" s="3" t="s">
        <v>5609</v>
      </c>
      <c r="C2708" s="3" t="b">
        <v>0</v>
      </c>
      <c r="D2708" s="3" t="b">
        <v>1</v>
      </c>
      <c r="E2708" s="3" t="s">
        <v>414</v>
      </c>
      <c r="F2708" s="3" t="s">
        <v>5610</v>
      </c>
      <c r="G2708" s="4">
        <f>+251948545530</f>
        <v>251948545530</v>
      </c>
      <c r="H2708" s="3" t="s">
        <v>18</v>
      </c>
      <c r="I2708" s="3" t="s">
        <v>19</v>
      </c>
      <c r="J2708" s="3" t="s">
        <v>19</v>
      </c>
      <c r="K2708" s="3" t="s">
        <v>25</v>
      </c>
      <c r="L2708" s="3">
        <v>24.01</v>
      </c>
      <c r="M2708" s="3" t="s">
        <v>1695</v>
      </c>
      <c r="N2708" s="3" t="s">
        <v>1696</v>
      </c>
      <c r="O2708" s="3">
        <v>1.96568368336E11</v>
      </c>
    </row>
    <row r="2709">
      <c r="A2709" s="3">
        <v>2622856.0</v>
      </c>
      <c r="B2709" s="3" t="s">
        <v>5611</v>
      </c>
      <c r="C2709" s="3" t="b">
        <v>0</v>
      </c>
      <c r="D2709" s="3" t="b">
        <v>1</v>
      </c>
      <c r="E2709" s="3" t="s">
        <v>46</v>
      </c>
      <c r="F2709" s="3" t="s">
        <v>5612</v>
      </c>
      <c r="G2709" s="4">
        <f>+251915897464</f>
        <v>251915897464</v>
      </c>
      <c r="H2709" s="3" t="s">
        <v>18</v>
      </c>
      <c r="I2709" s="3" t="s">
        <v>19</v>
      </c>
      <c r="J2709" s="3" t="s">
        <v>19</v>
      </c>
      <c r="K2709" s="3" t="s">
        <v>25</v>
      </c>
      <c r="L2709" s="3">
        <v>26.01</v>
      </c>
      <c r="M2709" s="3" t="s">
        <v>1695</v>
      </c>
      <c r="N2709" s="3" t="s">
        <v>1696</v>
      </c>
      <c r="O2709" s="3">
        <v>1.96555454685E11</v>
      </c>
    </row>
    <row r="2710">
      <c r="A2710" s="3">
        <v>2622863.0</v>
      </c>
      <c r="B2710" s="3" t="s">
        <v>5613</v>
      </c>
      <c r="C2710" s="3" t="b">
        <v>0</v>
      </c>
      <c r="D2710" s="3" t="b">
        <v>1</v>
      </c>
      <c r="E2710" s="3" t="s">
        <v>5614</v>
      </c>
      <c r="F2710" s="3" t="s">
        <v>795</v>
      </c>
      <c r="G2710" s="4">
        <f>+251942422401</f>
        <v>251942422401</v>
      </c>
      <c r="H2710" s="3" t="s">
        <v>18</v>
      </c>
      <c r="I2710" s="3" t="s">
        <v>19</v>
      </c>
      <c r="J2710" s="3" t="s">
        <v>19</v>
      </c>
      <c r="K2710" s="3" t="s">
        <v>25</v>
      </c>
      <c r="L2710" s="3">
        <v>24.26</v>
      </c>
      <c r="M2710" s="3" t="s">
        <v>1695</v>
      </c>
      <c r="N2710" s="3" t="s">
        <v>1696</v>
      </c>
      <c r="O2710" s="3">
        <v>1.96562657521E11</v>
      </c>
    </row>
    <row r="2711">
      <c r="A2711" s="3">
        <v>2622871.0</v>
      </c>
      <c r="B2711" s="3" t="s">
        <v>5615</v>
      </c>
      <c r="C2711" s="3" t="b">
        <v>0</v>
      </c>
      <c r="D2711" s="3" t="b">
        <v>1</v>
      </c>
      <c r="E2711" s="3" t="s">
        <v>5616</v>
      </c>
      <c r="F2711" s="3" t="s">
        <v>1368</v>
      </c>
      <c r="G2711" s="4">
        <f>+251923100939</f>
        <v>251923100939</v>
      </c>
      <c r="H2711" s="3" t="s">
        <v>18</v>
      </c>
      <c r="I2711" s="3" t="s">
        <v>19</v>
      </c>
      <c r="J2711" s="3" t="s">
        <v>19</v>
      </c>
      <c r="K2711" s="3" t="s">
        <v>20</v>
      </c>
      <c r="L2711" s="3">
        <v>29.88</v>
      </c>
      <c r="M2711" s="3" t="s">
        <v>1695</v>
      </c>
      <c r="N2711" s="3" t="s">
        <v>1696</v>
      </c>
      <c r="O2711" s="3">
        <v>1.96562814165E11</v>
      </c>
    </row>
    <row r="2712">
      <c r="A2712" s="3">
        <v>2622872.0</v>
      </c>
      <c r="B2712" s="3" t="s">
        <v>5617</v>
      </c>
      <c r="C2712" s="3" t="b">
        <v>0</v>
      </c>
      <c r="D2712" s="3" t="b">
        <v>1</v>
      </c>
      <c r="E2712" s="3" t="s">
        <v>5618</v>
      </c>
      <c r="F2712" s="3" t="s">
        <v>5619</v>
      </c>
      <c r="G2712" s="4">
        <f>+251936534585</f>
        <v>251936534585</v>
      </c>
      <c r="H2712" s="3" t="s">
        <v>18</v>
      </c>
      <c r="I2712" s="3" t="s">
        <v>19</v>
      </c>
      <c r="J2712" s="3" t="s">
        <v>19</v>
      </c>
      <c r="K2712" s="3" t="s">
        <v>25</v>
      </c>
      <c r="L2712" s="3">
        <v>25.01</v>
      </c>
      <c r="M2712" s="3" t="s">
        <v>1695</v>
      </c>
      <c r="N2712" s="3" t="s">
        <v>1696</v>
      </c>
      <c r="O2712" s="3">
        <v>1.96600206529E11</v>
      </c>
    </row>
    <row r="2713">
      <c r="A2713" s="3">
        <v>2622879.0</v>
      </c>
      <c r="B2713" s="3" t="s">
        <v>5620</v>
      </c>
      <c r="C2713" s="3" t="b">
        <v>0</v>
      </c>
      <c r="D2713" s="3" t="b">
        <v>1</v>
      </c>
      <c r="E2713" s="3" t="s">
        <v>5621</v>
      </c>
      <c r="F2713" s="3" t="s">
        <v>5622</v>
      </c>
      <c r="G2713" s="4">
        <f>+251983332375</f>
        <v>251983332375</v>
      </c>
      <c r="H2713" s="3" t="s">
        <v>18</v>
      </c>
      <c r="I2713" s="3" t="s">
        <v>19</v>
      </c>
      <c r="J2713" s="3" t="s">
        <v>19</v>
      </c>
      <c r="K2713" s="3" t="s">
        <v>25</v>
      </c>
      <c r="L2713" s="3">
        <v>25.92</v>
      </c>
      <c r="M2713" s="3" t="s">
        <v>1695</v>
      </c>
      <c r="N2713" s="3" t="s">
        <v>1696</v>
      </c>
      <c r="O2713" s="3">
        <v>1.96600492274E11</v>
      </c>
    </row>
    <row r="2714">
      <c r="A2714" s="3">
        <v>2582331.0</v>
      </c>
      <c r="B2714" s="3" t="s">
        <v>5623</v>
      </c>
      <c r="C2714" s="3" t="b">
        <v>1</v>
      </c>
      <c r="D2714" s="3" t="b">
        <v>1</v>
      </c>
      <c r="E2714" s="3" t="s">
        <v>2023</v>
      </c>
      <c r="F2714" s="3" t="s">
        <v>2845</v>
      </c>
      <c r="G2714" s="4">
        <f>+251974088245</f>
        <v>251974088245</v>
      </c>
      <c r="H2714" s="3" t="s">
        <v>18</v>
      </c>
      <c r="I2714" s="3" t="s">
        <v>19</v>
      </c>
      <c r="J2714" s="3" t="s">
        <v>19</v>
      </c>
      <c r="K2714" s="3" t="s">
        <v>25</v>
      </c>
      <c r="L2714" s="3">
        <v>20.06</v>
      </c>
      <c r="M2714" s="3" t="s">
        <v>1695</v>
      </c>
      <c r="N2714" s="3" t="s">
        <v>1696</v>
      </c>
      <c r="O2714" s="3">
        <v>1.76907788508E11</v>
      </c>
    </row>
    <row r="2715">
      <c r="A2715" s="3">
        <v>2622886.0</v>
      </c>
      <c r="B2715" s="3" t="s">
        <v>5624</v>
      </c>
      <c r="C2715" s="3" t="b">
        <v>0</v>
      </c>
      <c r="D2715" s="3" t="b">
        <v>1</v>
      </c>
      <c r="E2715" s="3" t="s">
        <v>2441</v>
      </c>
      <c r="F2715" s="3" t="s">
        <v>3357</v>
      </c>
      <c r="G2715" s="4">
        <f>+251989306067</f>
        <v>251989306067</v>
      </c>
      <c r="H2715" s="3" t="s">
        <v>18</v>
      </c>
      <c r="I2715" s="3" t="s">
        <v>19</v>
      </c>
      <c r="J2715" s="3" t="s">
        <v>19</v>
      </c>
      <c r="K2715" s="3" t="s">
        <v>20</v>
      </c>
      <c r="L2715" s="3">
        <v>25.26</v>
      </c>
      <c r="M2715" s="3" t="s">
        <v>1695</v>
      </c>
      <c r="N2715" s="3" t="s">
        <v>1696</v>
      </c>
      <c r="O2715" s="3">
        <v>1.96553486553E11</v>
      </c>
    </row>
    <row r="2716">
      <c r="A2716" s="3">
        <v>2622891.0</v>
      </c>
      <c r="B2716" s="3" t="s">
        <v>5625</v>
      </c>
      <c r="C2716" s="3" t="b">
        <v>0</v>
      </c>
      <c r="D2716" s="3" t="b">
        <v>1</v>
      </c>
      <c r="E2716" s="3" t="s">
        <v>3811</v>
      </c>
      <c r="F2716" s="3" t="s">
        <v>5626</v>
      </c>
      <c r="G2716" s="4">
        <f>+2519864585</f>
        <v>2519864585</v>
      </c>
      <c r="H2716" s="3" t="s">
        <v>18</v>
      </c>
      <c r="I2716" s="3" t="s">
        <v>19</v>
      </c>
      <c r="J2716" s="3" t="s">
        <v>19</v>
      </c>
      <c r="K2716" s="3" t="s">
        <v>20</v>
      </c>
      <c r="L2716" s="3">
        <v>25.01</v>
      </c>
      <c r="M2716" s="3" t="s">
        <v>1695</v>
      </c>
      <c r="N2716" s="3" t="s">
        <v>1696</v>
      </c>
      <c r="O2716" s="3">
        <v>818101.0</v>
      </c>
    </row>
    <row r="2717">
      <c r="A2717" s="3">
        <v>2622895.0</v>
      </c>
      <c r="B2717" s="3" t="s">
        <v>5627</v>
      </c>
      <c r="C2717" s="3" t="b">
        <v>0</v>
      </c>
      <c r="D2717" s="3" t="b">
        <v>1</v>
      </c>
      <c r="E2717" s="3" t="s">
        <v>5628</v>
      </c>
      <c r="F2717" s="3" t="s">
        <v>3163</v>
      </c>
      <c r="G2717" s="4">
        <f>+251921794078</f>
        <v>251921794078</v>
      </c>
      <c r="H2717" s="3" t="s">
        <v>18</v>
      </c>
      <c r="I2717" s="3" t="s">
        <v>19</v>
      </c>
      <c r="J2717" s="3" t="s">
        <v>19</v>
      </c>
      <c r="K2717" s="3" t="s">
        <v>25</v>
      </c>
      <c r="L2717" s="3">
        <v>24.1</v>
      </c>
      <c r="M2717" s="3" t="s">
        <v>1695</v>
      </c>
      <c r="N2717" s="3" t="s">
        <v>1696</v>
      </c>
      <c r="O2717" s="3">
        <v>1.96597064908E11</v>
      </c>
    </row>
    <row r="2718">
      <c r="A2718" s="3">
        <v>2622903.0</v>
      </c>
      <c r="B2718" s="3" t="s">
        <v>5629</v>
      </c>
      <c r="C2718" s="3" t="b">
        <v>0</v>
      </c>
      <c r="D2718" s="3" t="b">
        <v>1</v>
      </c>
      <c r="E2718" s="3" t="s">
        <v>760</v>
      </c>
      <c r="F2718" s="3" t="s">
        <v>5630</v>
      </c>
      <c r="G2718" s="4">
        <f>+251978161664</f>
        <v>251978161664</v>
      </c>
      <c r="H2718" s="3" t="s">
        <v>18</v>
      </c>
      <c r="I2718" s="3" t="s">
        <v>19</v>
      </c>
      <c r="J2718" s="3" t="s">
        <v>19</v>
      </c>
      <c r="K2718" s="3" t="s">
        <v>20</v>
      </c>
      <c r="L2718" s="3">
        <v>24.26</v>
      </c>
      <c r="M2718" s="3" t="s">
        <v>1695</v>
      </c>
      <c r="N2718" s="3" t="s">
        <v>1696</v>
      </c>
      <c r="O2718" s="3">
        <v>1.96575799511E11</v>
      </c>
    </row>
    <row r="2719">
      <c r="A2719" s="3">
        <v>2622906.0</v>
      </c>
      <c r="B2719" s="3" t="s">
        <v>5631</v>
      </c>
      <c r="C2719" s="3" t="b">
        <v>0</v>
      </c>
      <c r="D2719" s="3" t="b">
        <v>1</v>
      </c>
      <c r="E2719" s="3" t="s">
        <v>5632</v>
      </c>
      <c r="F2719" s="3" t="s">
        <v>446</v>
      </c>
      <c r="G2719" s="4">
        <f>+251944531494</f>
        <v>251944531494</v>
      </c>
      <c r="H2719" s="3" t="s">
        <v>18</v>
      </c>
      <c r="I2719" s="3" t="s">
        <v>19</v>
      </c>
      <c r="J2719" s="3" t="s">
        <v>19</v>
      </c>
      <c r="K2719" s="3" t="s">
        <v>25</v>
      </c>
      <c r="L2719" s="3">
        <v>23.95</v>
      </c>
      <c r="M2719" s="3" t="s">
        <v>1695</v>
      </c>
      <c r="N2719" s="3" t="s">
        <v>1696</v>
      </c>
      <c r="O2719" s="3">
        <v>6368031.0</v>
      </c>
    </row>
    <row r="2720">
      <c r="A2720" s="3">
        <v>2622909.0</v>
      </c>
      <c r="B2720" s="3" t="s">
        <v>5633</v>
      </c>
      <c r="C2720" s="3" t="b">
        <v>0</v>
      </c>
      <c r="D2720" s="3" t="b">
        <v>1</v>
      </c>
      <c r="E2720" s="3" t="s">
        <v>3835</v>
      </c>
      <c r="F2720" s="3" t="s">
        <v>4215</v>
      </c>
      <c r="G2720" s="4">
        <f>+251946262762</f>
        <v>251946262762</v>
      </c>
      <c r="H2720" s="3" t="s">
        <v>18</v>
      </c>
      <c r="I2720" s="3" t="s">
        <v>19</v>
      </c>
      <c r="J2720" s="3" t="s">
        <v>19</v>
      </c>
      <c r="K2720" s="3" t="s">
        <v>20</v>
      </c>
      <c r="L2720" s="3">
        <v>24.01</v>
      </c>
      <c r="M2720" s="3" t="s">
        <v>1695</v>
      </c>
      <c r="N2720" s="3" t="s">
        <v>1696</v>
      </c>
      <c r="O2720" s="3">
        <v>1.96575864011E11</v>
      </c>
    </row>
    <row r="2721">
      <c r="A2721" s="3">
        <v>2622917.0</v>
      </c>
      <c r="B2721" s="3" t="s">
        <v>5634</v>
      </c>
      <c r="C2721" s="3" t="b">
        <v>0</v>
      </c>
      <c r="D2721" s="3" t="b">
        <v>1</v>
      </c>
      <c r="E2721" s="3" t="s">
        <v>1284</v>
      </c>
      <c r="F2721" s="3" t="s">
        <v>5635</v>
      </c>
      <c r="G2721" s="4">
        <f>+251903202426</f>
        <v>251903202426</v>
      </c>
      <c r="H2721" s="3" t="s">
        <v>18</v>
      </c>
      <c r="I2721" s="3" t="s">
        <v>19</v>
      </c>
      <c r="J2721" s="3" t="s">
        <v>19</v>
      </c>
      <c r="K2721" s="3" t="s">
        <v>25</v>
      </c>
      <c r="L2721" s="3">
        <v>23.26</v>
      </c>
      <c r="M2721" s="3" t="s">
        <v>1695</v>
      </c>
      <c r="N2721" s="3" t="s">
        <v>1696</v>
      </c>
      <c r="O2721" s="3">
        <v>1.96609875139E11</v>
      </c>
    </row>
    <row r="2722">
      <c r="A2722" s="3">
        <v>2622924.0</v>
      </c>
      <c r="B2722" s="3" t="s">
        <v>5636</v>
      </c>
      <c r="C2722" s="3" t="b">
        <v>0</v>
      </c>
      <c r="D2722" s="3" t="b">
        <v>1</v>
      </c>
      <c r="E2722" s="3" t="s">
        <v>5637</v>
      </c>
      <c r="F2722" s="3" t="s">
        <v>404</v>
      </c>
      <c r="G2722" s="4">
        <f>+251930904756</f>
        <v>251930904756</v>
      </c>
      <c r="H2722" s="3" t="s">
        <v>18</v>
      </c>
      <c r="I2722" s="3" t="s">
        <v>19</v>
      </c>
      <c r="J2722" s="3" t="s">
        <v>19</v>
      </c>
      <c r="K2722" s="3" t="s">
        <v>20</v>
      </c>
      <c r="L2722" s="3">
        <v>21.27</v>
      </c>
      <c r="M2722" s="3" t="s">
        <v>1695</v>
      </c>
      <c r="N2722" s="3" t="s">
        <v>1696</v>
      </c>
      <c r="O2722" s="3">
        <v>1.96604426451E11</v>
      </c>
    </row>
    <row r="2723">
      <c r="A2723" s="3">
        <v>2622928.0</v>
      </c>
      <c r="B2723" s="3" t="s">
        <v>5638</v>
      </c>
      <c r="C2723" s="3" t="b">
        <v>0</v>
      </c>
      <c r="D2723" s="3" t="b">
        <v>1</v>
      </c>
      <c r="E2723" s="3" t="s">
        <v>5639</v>
      </c>
      <c r="F2723" s="3" t="s">
        <v>46</v>
      </c>
      <c r="G2723" s="4">
        <f>+251968504370</f>
        <v>251968504370</v>
      </c>
      <c r="H2723" s="3" t="s">
        <v>18</v>
      </c>
      <c r="I2723" s="3" t="s">
        <v>19</v>
      </c>
      <c r="J2723" s="3" t="s">
        <v>19</v>
      </c>
      <c r="K2723" s="3" t="s">
        <v>25</v>
      </c>
      <c r="L2723" s="3">
        <v>26.01</v>
      </c>
      <c r="M2723" s="3" t="s">
        <v>1695</v>
      </c>
      <c r="N2723" s="3" t="s">
        <v>1696</v>
      </c>
      <c r="O2723" s="3">
        <v>1.96607921343E11</v>
      </c>
    </row>
    <row r="2724">
      <c r="A2724" s="3">
        <v>2622930.0</v>
      </c>
      <c r="B2724" s="3" t="s">
        <v>5640</v>
      </c>
      <c r="C2724" s="3" t="b">
        <v>0</v>
      </c>
      <c r="D2724" s="3" t="b">
        <v>1</v>
      </c>
      <c r="E2724" s="3" t="s">
        <v>111</v>
      </c>
      <c r="F2724" s="3" t="s">
        <v>5628</v>
      </c>
      <c r="G2724" s="4">
        <f>+251929477525</f>
        <v>251929477525</v>
      </c>
      <c r="H2724" s="3" t="s">
        <v>18</v>
      </c>
      <c r="I2724" s="3" t="s">
        <v>19</v>
      </c>
      <c r="J2724" s="3" t="s">
        <v>19</v>
      </c>
      <c r="K2724" s="3" t="s">
        <v>25</v>
      </c>
      <c r="L2724" s="3">
        <v>23.01</v>
      </c>
      <c r="M2724" s="3" t="s">
        <v>1695</v>
      </c>
      <c r="N2724" s="3" t="s">
        <v>1696</v>
      </c>
      <c r="O2724" s="3">
        <v>1.96564339939E11</v>
      </c>
    </row>
    <row r="2725">
      <c r="A2725" s="3">
        <v>2622935.0</v>
      </c>
      <c r="B2725" s="3" t="s">
        <v>5641</v>
      </c>
      <c r="C2725" s="3" t="b">
        <v>0</v>
      </c>
      <c r="D2725" s="3" t="b">
        <v>1</v>
      </c>
      <c r="E2725" s="3" t="s">
        <v>1356</v>
      </c>
      <c r="F2725" s="3" t="s">
        <v>5642</v>
      </c>
      <c r="G2725" s="4">
        <f>+251940801735</f>
        <v>251940801735</v>
      </c>
      <c r="H2725" s="3" t="s">
        <v>18</v>
      </c>
      <c r="I2725" s="3" t="s">
        <v>19</v>
      </c>
      <c r="J2725" s="3" t="s">
        <v>19</v>
      </c>
      <c r="K2725" s="3" t="s">
        <v>20</v>
      </c>
      <c r="L2725" s="3">
        <v>24.34</v>
      </c>
      <c r="M2725" s="3" t="s">
        <v>1695</v>
      </c>
      <c r="N2725" s="3" t="s">
        <v>1696</v>
      </c>
      <c r="O2725" s="3">
        <v>1.96608105681E11</v>
      </c>
    </row>
    <row r="2726">
      <c r="A2726" s="3">
        <v>2622938.0</v>
      </c>
      <c r="B2726" s="3" t="s">
        <v>5643</v>
      </c>
      <c r="C2726" s="3" t="b">
        <v>0</v>
      </c>
      <c r="D2726" s="3" t="b">
        <v>1</v>
      </c>
      <c r="E2726" s="3" t="s">
        <v>479</v>
      </c>
      <c r="F2726" s="3" t="s">
        <v>5644</v>
      </c>
      <c r="G2726" s="4">
        <f>+251945408417</f>
        <v>251945408417</v>
      </c>
      <c r="H2726" s="3" t="s">
        <v>18</v>
      </c>
      <c r="I2726" s="3" t="s">
        <v>19</v>
      </c>
      <c r="J2726" s="3" t="s">
        <v>19</v>
      </c>
      <c r="K2726" s="3" t="s">
        <v>25</v>
      </c>
      <c r="L2726" s="3">
        <v>25.2</v>
      </c>
      <c r="M2726" s="3" t="s">
        <v>1695</v>
      </c>
      <c r="N2726" s="3" t="s">
        <v>1696</v>
      </c>
      <c r="O2726" s="3">
        <v>1.96608161997E11</v>
      </c>
    </row>
    <row r="2727">
      <c r="A2727" s="3">
        <v>2622945.0</v>
      </c>
      <c r="B2727" s="3" t="s">
        <v>5645</v>
      </c>
      <c r="C2727" s="3" t="b">
        <v>0</v>
      </c>
      <c r="D2727" s="3" t="b">
        <v>1</v>
      </c>
      <c r="E2727" s="3" t="s">
        <v>58</v>
      </c>
      <c r="F2727" s="3" t="s">
        <v>274</v>
      </c>
      <c r="G2727" s="4">
        <f>+251960570504</f>
        <v>251960570504</v>
      </c>
      <c r="H2727" s="3" t="s">
        <v>18</v>
      </c>
      <c r="I2727" s="3" t="s">
        <v>19</v>
      </c>
      <c r="J2727" s="3" t="s">
        <v>19</v>
      </c>
      <c r="K2727" s="3" t="s">
        <v>25</v>
      </c>
      <c r="L2727" s="3">
        <v>25.01</v>
      </c>
      <c r="M2727" s="3" t="s">
        <v>1695</v>
      </c>
      <c r="N2727" s="3" t="s">
        <v>1696</v>
      </c>
      <c r="O2727" s="3">
        <v>1.96608308428E11</v>
      </c>
    </row>
    <row r="2728">
      <c r="A2728" s="3">
        <v>2622947.0</v>
      </c>
      <c r="B2728" s="3" t="s">
        <v>5646</v>
      </c>
      <c r="C2728" s="3" t="b">
        <v>0</v>
      </c>
      <c r="D2728" s="3" t="b">
        <v>1</v>
      </c>
      <c r="E2728" s="3" t="s">
        <v>4656</v>
      </c>
      <c r="F2728" s="3" t="s">
        <v>2788</v>
      </c>
      <c r="G2728" s="4">
        <f>+251943376850</f>
        <v>251943376850</v>
      </c>
      <c r="H2728" s="3" t="s">
        <v>18</v>
      </c>
      <c r="I2728" s="3" t="s">
        <v>19</v>
      </c>
      <c r="J2728" s="3" t="s">
        <v>19</v>
      </c>
      <c r="K2728" s="3" t="s">
        <v>20</v>
      </c>
      <c r="L2728" s="3">
        <v>25.95</v>
      </c>
      <c r="M2728" s="3" t="s">
        <v>1695</v>
      </c>
      <c r="N2728" s="3" t="s">
        <v>1696</v>
      </c>
      <c r="O2728" s="3">
        <v>1.9659785855E11</v>
      </c>
    </row>
    <row r="2729">
      <c r="A2729" s="3">
        <v>2622954.0</v>
      </c>
      <c r="B2729" s="3" t="s">
        <v>5647</v>
      </c>
      <c r="C2729" s="3" t="b">
        <v>0</v>
      </c>
      <c r="D2729" s="3" t="b">
        <v>1</v>
      </c>
      <c r="E2729" s="3" t="s">
        <v>2175</v>
      </c>
      <c r="F2729" s="3" t="s">
        <v>5648</v>
      </c>
      <c r="G2729" s="4">
        <f>+251991174288</f>
        <v>251991174288</v>
      </c>
      <c r="H2729" s="3" t="s">
        <v>18</v>
      </c>
      <c r="I2729" s="3" t="s">
        <v>19</v>
      </c>
      <c r="J2729" s="3" t="s">
        <v>19</v>
      </c>
      <c r="K2729" s="3" t="s">
        <v>20</v>
      </c>
      <c r="L2729" s="3">
        <v>22.19</v>
      </c>
      <c r="M2729" s="3" t="s">
        <v>1695</v>
      </c>
      <c r="N2729" s="3" t="s">
        <v>1696</v>
      </c>
      <c r="O2729" s="3">
        <v>1.9660884708E11</v>
      </c>
    </row>
    <row r="2730">
      <c r="A2730" s="3">
        <v>2622966.0</v>
      </c>
      <c r="B2730" s="3" t="s">
        <v>5649</v>
      </c>
      <c r="C2730" s="3" t="b">
        <v>0</v>
      </c>
      <c r="D2730" s="3" t="b">
        <v>1</v>
      </c>
      <c r="E2730" s="3" t="s">
        <v>3433</v>
      </c>
      <c r="F2730" s="3" t="s">
        <v>3406</v>
      </c>
      <c r="G2730" s="4">
        <f>+251965647572</f>
        <v>251965647572</v>
      </c>
      <c r="H2730" s="3" t="s">
        <v>18</v>
      </c>
      <c r="I2730" s="3" t="s">
        <v>19</v>
      </c>
      <c r="J2730" s="3" t="s">
        <v>19</v>
      </c>
      <c r="K2730" s="3" t="s">
        <v>25</v>
      </c>
      <c r="L2730" s="3">
        <v>25.01</v>
      </c>
      <c r="M2730" s="3" t="s">
        <v>1695</v>
      </c>
      <c r="N2730" s="3" t="s">
        <v>1696</v>
      </c>
      <c r="O2730" s="3">
        <v>1.96608982218E11</v>
      </c>
    </row>
    <row r="2731">
      <c r="A2731" s="3">
        <v>2622969.0</v>
      </c>
      <c r="B2731" s="3" t="s">
        <v>5650</v>
      </c>
      <c r="C2731" s="3" t="b">
        <v>0</v>
      </c>
      <c r="D2731" s="3" t="b">
        <v>1</v>
      </c>
      <c r="E2731" s="3" t="s">
        <v>522</v>
      </c>
      <c r="F2731" s="3" t="s">
        <v>1304</v>
      </c>
      <c r="G2731" s="4">
        <f>+251904621922</f>
        <v>251904621922</v>
      </c>
      <c r="H2731" s="3" t="s">
        <v>18</v>
      </c>
      <c r="I2731" s="3" t="s">
        <v>19</v>
      </c>
      <c r="J2731" s="3" t="s">
        <v>19</v>
      </c>
      <c r="K2731" s="3" t="s">
        <v>20</v>
      </c>
      <c r="L2731" s="3">
        <v>20.28</v>
      </c>
      <c r="M2731" s="3" t="s">
        <v>1695</v>
      </c>
      <c r="N2731" s="3" t="s">
        <v>1696</v>
      </c>
      <c r="O2731" s="3">
        <v>1.96602387654E11</v>
      </c>
    </row>
    <row r="2732">
      <c r="A2732" s="3">
        <v>2622976.0</v>
      </c>
      <c r="B2732" s="3" t="s">
        <v>5651</v>
      </c>
      <c r="C2732" s="3" t="b">
        <v>0</v>
      </c>
      <c r="D2732" s="3" t="b">
        <v>1</v>
      </c>
      <c r="E2732" s="3" t="s">
        <v>1752</v>
      </c>
      <c r="F2732" s="3" t="s">
        <v>5652</v>
      </c>
      <c r="G2732" s="4">
        <f>+251941234241</f>
        <v>251941234241</v>
      </c>
      <c r="H2732" s="3" t="s">
        <v>18</v>
      </c>
      <c r="I2732" s="3" t="s">
        <v>19</v>
      </c>
      <c r="J2732" s="3" t="s">
        <v>19</v>
      </c>
      <c r="K2732" s="3" t="s">
        <v>20</v>
      </c>
      <c r="L2732" s="3">
        <v>39.01</v>
      </c>
      <c r="M2732" s="3" t="s">
        <v>1695</v>
      </c>
      <c r="N2732" s="3" t="s">
        <v>1696</v>
      </c>
      <c r="O2732" s="3">
        <v>1.96606096609E11</v>
      </c>
    </row>
    <row r="2733">
      <c r="A2733" s="3">
        <v>2622979.0</v>
      </c>
      <c r="B2733" s="3" t="s">
        <v>5653</v>
      </c>
      <c r="C2733" s="3" t="b">
        <v>0</v>
      </c>
      <c r="D2733" s="3" t="b">
        <v>1</v>
      </c>
      <c r="E2733" s="3" t="s">
        <v>949</v>
      </c>
      <c r="F2733" s="3" t="s">
        <v>1060</v>
      </c>
      <c r="G2733" s="4">
        <f>+251979079997</f>
        <v>251979079997</v>
      </c>
      <c r="H2733" s="3" t="s">
        <v>18</v>
      </c>
      <c r="I2733" s="3" t="s">
        <v>19</v>
      </c>
      <c r="J2733" s="3" t="s">
        <v>19</v>
      </c>
      <c r="K2733" s="3" t="s">
        <v>25</v>
      </c>
      <c r="L2733" s="3">
        <v>24.26</v>
      </c>
      <c r="M2733" s="3" t="s">
        <v>1695</v>
      </c>
      <c r="N2733" s="3" t="s">
        <v>1696</v>
      </c>
      <c r="O2733" s="3">
        <v>8732060.0</v>
      </c>
    </row>
    <row r="2734">
      <c r="A2734" s="3">
        <v>2622982.0</v>
      </c>
      <c r="B2734" s="3" t="s">
        <v>5654</v>
      </c>
      <c r="C2734" s="3" t="b">
        <v>0</v>
      </c>
      <c r="D2734" s="3" t="b">
        <v>1</v>
      </c>
      <c r="E2734" s="3" t="s">
        <v>1552</v>
      </c>
      <c r="F2734" s="3" t="s">
        <v>5242</v>
      </c>
      <c r="G2734" s="4">
        <f>+251994052325</f>
        <v>251994052325</v>
      </c>
      <c r="H2734" s="3" t="s">
        <v>18</v>
      </c>
      <c r="I2734" s="3" t="s">
        <v>19</v>
      </c>
      <c r="J2734" s="3" t="s">
        <v>19</v>
      </c>
      <c r="K2734" s="3" t="s">
        <v>25</v>
      </c>
      <c r="L2734" s="3">
        <v>28.01</v>
      </c>
      <c r="M2734" s="3" t="s">
        <v>1695</v>
      </c>
      <c r="N2734" s="3" t="s">
        <v>1696</v>
      </c>
      <c r="O2734" s="3">
        <v>1.96606236867E11</v>
      </c>
    </row>
    <row r="2735">
      <c r="A2735" s="3">
        <v>2622988.0</v>
      </c>
      <c r="B2735" s="3" t="s">
        <v>5655</v>
      </c>
      <c r="C2735" s="3" t="b">
        <v>0</v>
      </c>
      <c r="D2735" s="3" t="b">
        <v>1</v>
      </c>
      <c r="E2735" s="3" t="s">
        <v>5656</v>
      </c>
      <c r="F2735" s="3" t="s">
        <v>3175</v>
      </c>
      <c r="G2735" s="4">
        <f>+251948075150</f>
        <v>251948075150</v>
      </c>
      <c r="H2735" s="3" t="s">
        <v>18</v>
      </c>
      <c r="I2735" s="3" t="s">
        <v>19</v>
      </c>
      <c r="J2735" s="3" t="s">
        <v>19</v>
      </c>
      <c r="K2735" s="3" t="s">
        <v>20</v>
      </c>
      <c r="L2735" s="3">
        <v>23.27</v>
      </c>
      <c r="M2735" s="3" t="s">
        <v>1695</v>
      </c>
      <c r="N2735" s="3" t="s">
        <v>1696</v>
      </c>
      <c r="O2735" s="3">
        <v>1.96605446338E11</v>
      </c>
    </row>
    <row r="2736">
      <c r="A2736" s="3">
        <v>2623000.0</v>
      </c>
      <c r="B2736" s="3" t="s">
        <v>5657</v>
      </c>
      <c r="C2736" s="3" t="b">
        <v>0</v>
      </c>
      <c r="D2736" s="3" t="b">
        <v>1</v>
      </c>
      <c r="E2736" s="3" t="s">
        <v>1232</v>
      </c>
      <c r="F2736" s="3" t="s">
        <v>490</v>
      </c>
      <c r="G2736" s="4">
        <f>+251932235705</f>
        <v>251932235705</v>
      </c>
      <c r="H2736" s="3" t="s">
        <v>18</v>
      </c>
      <c r="I2736" s="3" t="s">
        <v>19</v>
      </c>
      <c r="J2736" s="3" t="s">
        <v>19</v>
      </c>
      <c r="K2736" s="3" t="s">
        <v>20</v>
      </c>
      <c r="L2736" s="3">
        <v>26.01</v>
      </c>
      <c r="M2736" s="3" t="s">
        <v>1695</v>
      </c>
      <c r="N2736" s="3" t="s">
        <v>1696</v>
      </c>
      <c r="O2736" s="3">
        <v>1.96605585647E11</v>
      </c>
    </row>
    <row r="2737">
      <c r="A2737" s="3">
        <v>2622980.0</v>
      </c>
      <c r="B2737" s="3" t="s">
        <v>5658</v>
      </c>
      <c r="C2737" s="3" t="b">
        <v>0</v>
      </c>
      <c r="D2737" s="3" t="b">
        <v>1</v>
      </c>
      <c r="E2737" s="3" t="s">
        <v>3799</v>
      </c>
      <c r="F2737" s="3" t="s">
        <v>4540</v>
      </c>
      <c r="G2737" s="4">
        <f>+251924572415</f>
        <v>251924572415</v>
      </c>
      <c r="H2737" s="3" t="s">
        <v>18</v>
      </c>
      <c r="I2737" s="3" t="s">
        <v>19</v>
      </c>
      <c r="J2737" s="3" t="s">
        <v>19</v>
      </c>
      <c r="K2737" s="3" t="s">
        <v>25</v>
      </c>
      <c r="L2737" s="3">
        <v>25.01</v>
      </c>
      <c r="M2737" s="3" t="s">
        <v>1695</v>
      </c>
      <c r="N2737" s="3" t="s">
        <v>1696</v>
      </c>
      <c r="O2737" s="3">
        <v>1.9660621229E11</v>
      </c>
    </row>
    <row r="2738">
      <c r="A2738" s="3">
        <v>2623004.0</v>
      </c>
      <c r="B2738" s="3" t="s">
        <v>5659</v>
      </c>
      <c r="C2738" s="3" t="b">
        <v>0</v>
      </c>
      <c r="D2738" s="3" t="b">
        <v>1</v>
      </c>
      <c r="E2738" s="3" t="s">
        <v>1368</v>
      </c>
      <c r="F2738" s="3" t="s">
        <v>5660</v>
      </c>
      <c r="G2738" s="4">
        <f>+251911320568</f>
        <v>251911320568</v>
      </c>
      <c r="H2738" s="3" t="s">
        <v>18</v>
      </c>
      <c r="I2738" s="3" t="s">
        <v>19</v>
      </c>
      <c r="J2738" s="3" t="s">
        <v>19</v>
      </c>
      <c r="K2738" s="3" t="s">
        <v>25</v>
      </c>
      <c r="L2738" s="3">
        <v>24.01</v>
      </c>
      <c r="M2738" s="3" t="s">
        <v>1695</v>
      </c>
      <c r="N2738" s="3" t="s">
        <v>1696</v>
      </c>
      <c r="O2738" s="3">
        <v>1.96618925255E11</v>
      </c>
    </row>
    <row r="2739">
      <c r="A2739" s="3">
        <v>2623006.0</v>
      </c>
      <c r="B2739" s="3" t="s">
        <v>5661</v>
      </c>
      <c r="C2739" s="3" t="b">
        <v>0</v>
      </c>
      <c r="D2739" s="3" t="b">
        <v>1</v>
      </c>
      <c r="E2739" s="3" t="s">
        <v>522</v>
      </c>
      <c r="F2739" s="3" t="s">
        <v>1321</v>
      </c>
      <c r="G2739" s="4">
        <f>+251904735133</f>
        <v>251904735133</v>
      </c>
      <c r="H2739" s="3" t="s">
        <v>18</v>
      </c>
      <c r="I2739" s="3" t="s">
        <v>19</v>
      </c>
      <c r="J2739" s="3" t="s">
        <v>19</v>
      </c>
      <c r="K2739" s="3" t="s">
        <v>20</v>
      </c>
      <c r="L2739" s="3">
        <v>21.27</v>
      </c>
      <c r="M2739" s="3" t="s">
        <v>1695</v>
      </c>
      <c r="N2739" s="3" t="s">
        <v>1696</v>
      </c>
      <c r="O2739" s="3">
        <v>1.96651379901E11</v>
      </c>
    </row>
    <row r="2740">
      <c r="A2740" s="3">
        <v>2623009.0</v>
      </c>
      <c r="B2740" s="3" t="s">
        <v>5662</v>
      </c>
      <c r="C2740" s="3" t="b">
        <v>0</v>
      </c>
      <c r="D2740" s="3" t="b">
        <v>1</v>
      </c>
      <c r="E2740" s="3" t="s">
        <v>397</v>
      </c>
      <c r="F2740" s="3" t="s">
        <v>4743</v>
      </c>
      <c r="G2740" s="4">
        <f>+251913835317</f>
        <v>251913835317</v>
      </c>
      <c r="H2740" s="3" t="s">
        <v>18</v>
      </c>
      <c r="I2740" s="3" t="s">
        <v>19</v>
      </c>
      <c r="J2740" s="3" t="s">
        <v>19</v>
      </c>
      <c r="K2740" s="3" t="s">
        <v>20</v>
      </c>
      <c r="L2740" s="3">
        <v>23.17</v>
      </c>
      <c r="M2740" s="3" t="s">
        <v>1695</v>
      </c>
      <c r="N2740" s="3" t="s">
        <v>1696</v>
      </c>
      <c r="O2740" s="3">
        <v>1.96617589998E11</v>
      </c>
    </row>
    <row r="2741">
      <c r="A2741" s="3">
        <v>2623043.0</v>
      </c>
      <c r="B2741" s="3" t="s">
        <v>5663</v>
      </c>
      <c r="C2741" s="3" t="b">
        <v>0</v>
      </c>
      <c r="D2741" s="3" t="b">
        <v>1</v>
      </c>
      <c r="E2741" s="3" t="s">
        <v>5664</v>
      </c>
      <c r="F2741" s="3" t="s">
        <v>5621</v>
      </c>
      <c r="G2741" s="4">
        <f>+251983223230</f>
        <v>251983223230</v>
      </c>
      <c r="H2741" s="3" t="s">
        <v>18</v>
      </c>
      <c r="I2741" s="3" t="s">
        <v>19</v>
      </c>
      <c r="J2741" s="3" t="s">
        <v>19</v>
      </c>
      <c r="K2741" s="3" t="s">
        <v>20</v>
      </c>
      <c r="L2741" s="3">
        <v>25.01</v>
      </c>
      <c r="M2741" s="3" t="s">
        <v>1695</v>
      </c>
      <c r="N2741" s="3" t="s">
        <v>1696</v>
      </c>
      <c r="O2741" s="3">
        <v>1.96661754077E11</v>
      </c>
    </row>
    <row r="2742">
      <c r="A2742" s="3">
        <v>2623306.0</v>
      </c>
      <c r="B2742" s="3" t="s">
        <v>5665</v>
      </c>
      <c r="C2742" s="3" t="b">
        <v>0</v>
      </c>
      <c r="D2742" s="3" t="b">
        <v>1</v>
      </c>
      <c r="E2742" s="3" t="s">
        <v>466</v>
      </c>
      <c r="F2742" s="3" t="s">
        <v>5666</v>
      </c>
      <c r="G2742" s="4">
        <f>+251953229284</f>
        <v>251953229284</v>
      </c>
      <c r="H2742" s="3" t="s">
        <v>18</v>
      </c>
      <c r="I2742" s="3" t="s">
        <v>19</v>
      </c>
      <c r="J2742" s="3" t="s">
        <v>19</v>
      </c>
      <c r="K2742" s="3" t="s">
        <v>25</v>
      </c>
      <c r="L2742" s="3">
        <v>25.01</v>
      </c>
      <c r="M2742" s="3" t="s">
        <v>1695</v>
      </c>
      <c r="N2742" s="3" t="s">
        <v>1696</v>
      </c>
      <c r="O2742" s="3">
        <v>1.96693333205E11</v>
      </c>
    </row>
    <row r="2743">
      <c r="A2743" s="3">
        <v>2623318.0</v>
      </c>
      <c r="B2743" s="3" t="s">
        <v>5667</v>
      </c>
      <c r="C2743" s="3" t="b">
        <v>0</v>
      </c>
      <c r="D2743" s="3" t="b">
        <v>1</v>
      </c>
      <c r="E2743" s="3" t="s">
        <v>645</v>
      </c>
      <c r="F2743" s="3" t="s">
        <v>1060</v>
      </c>
      <c r="G2743" s="4">
        <f>+251975725723</f>
        <v>251975725723</v>
      </c>
      <c r="H2743" s="3" t="s">
        <v>18</v>
      </c>
      <c r="I2743" s="3" t="s">
        <v>19</v>
      </c>
      <c r="J2743" s="3" t="s">
        <v>19</v>
      </c>
      <c r="K2743" s="3" t="s">
        <v>25</v>
      </c>
      <c r="L2743" s="3">
        <v>16.01</v>
      </c>
      <c r="M2743" s="3" t="s">
        <v>1695</v>
      </c>
      <c r="N2743" s="3" t="s">
        <v>1696</v>
      </c>
      <c r="O2743" s="3">
        <v>1.96693558497E11</v>
      </c>
    </row>
    <row r="2744">
      <c r="A2744" s="3">
        <v>2623359.0</v>
      </c>
      <c r="B2744" s="3" t="s">
        <v>5668</v>
      </c>
      <c r="C2744" s="3" t="b">
        <v>0</v>
      </c>
      <c r="D2744" s="3" t="b">
        <v>1</v>
      </c>
      <c r="E2744" s="3" t="s">
        <v>4153</v>
      </c>
      <c r="F2744" s="3" t="s">
        <v>664</v>
      </c>
      <c r="G2744" s="4">
        <f>+251938287132</f>
        <v>251938287132</v>
      </c>
      <c r="H2744" s="3" t="s">
        <v>18</v>
      </c>
      <c r="I2744" s="3" t="s">
        <v>19</v>
      </c>
      <c r="J2744" s="3" t="s">
        <v>19</v>
      </c>
      <c r="K2744" s="3" t="s">
        <v>25</v>
      </c>
      <c r="L2744" s="3">
        <v>26.01</v>
      </c>
      <c r="M2744" s="3" t="s">
        <v>1695</v>
      </c>
      <c r="N2744" s="3" t="s">
        <v>1696</v>
      </c>
      <c r="O2744" s="3">
        <v>1.9670156516E11</v>
      </c>
    </row>
    <row r="2745">
      <c r="A2745" s="3">
        <v>2623366.0</v>
      </c>
      <c r="B2745" s="3" t="s">
        <v>5669</v>
      </c>
      <c r="C2745" s="3" t="b">
        <v>0</v>
      </c>
      <c r="D2745" s="3" t="b">
        <v>1</v>
      </c>
      <c r="E2745" s="3" t="s">
        <v>5670</v>
      </c>
      <c r="F2745" s="3" t="s">
        <v>838</v>
      </c>
      <c r="G2745" s="4">
        <f>+251989282149</f>
        <v>251989282149</v>
      </c>
      <c r="H2745" s="3" t="s">
        <v>18</v>
      </c>
      <c r="I2745" s="3" t="s">
        <v>19</v>
      </c>
      <c r="J2745" s="3" t="s">
        <v>19</v>
      </c>
      <c r="K2745" s="3" t="s">
        <v>25</v>
      </c>
      <c r="L2745" s="3">
        <v>34.01</v>
      </c>
      <c r="M2745" s="3" t="s">
        <v>1695</v>
      </c>
      <c r="N2745" s="3" t="s">
        <v>1696</v>
      </c>
      <c r="O2745" s="3">
        <v>1.96701729989E11</v>
      </c>
    </row>
    <row r="2746">
      <c r="A2746" s="3">
        <v>2623376.0</v>
      </c>
      <c r="B2746" s="3" t="s">
        <v>5671</v>
      </c>
      <c r="C2746" s="3" t="b">
        <v>0</v>
      </c>
      <c r="D2746" s="3" t="b">
        <v>1</v>
      </c>
      <c r="E2746" s="3" t="s">
        <v>490</v>
      </c>
      <c r="F2746" s="3" t="s">
        <v>2724</v>
      </c>
      <c r="G2746" s="4">
        <f>+251909482323</f>
        <v>251909482323</v>
      </c>
      <c r="H2746" s="3" t="s">
        <v>18</v>
      </c>
      <c r="I2746" s="3" t="s">
        <v>19</v>
      </c>
      <c r="J2746" s="3" t="s">
        <v>19</v>
      </c>
      <c r="K2746" s="3" t="s">
        <v>25</v>
      </c>
      <c r="L2746" s="3">
        <v>35.01</v>
      </c>
      <c r="M2746" s="3" t="s">
        <v>1695</v>
      </c>
      <c r="N2746" s="3" t="s">
        <v>1696</v>
      </c>
      <c r="O2746" s="3">
        <v>1.96748215544E11</v>
      </c>
    </row>
    <row r="2747">
      <c r="A2747" s="3">
        <v>2623384.0</v>
      </c>
      <c r="B2747" s="3" t="s">
        <v>5672</v>
      </c>
      <c r="C2747" s="3" t="b">
        <v>0</v>
      </c>
      <c r="D2747" s="3" t="b">
        <v>1</v>
      </c>
      <c r="E2747" s="3" t="s">
        <v>58</v>
      </c>
      <c r="F2747" s="3" t="s">
        <v>384</v>
      </c>
      <c r="G2747" s="4">
        <f>+251918741062</f>
        <v>251918741062</v>
      </c>
      <c r="H2747" s="3" t="s">
        <v>18</v>
      </c>
      <c r="I2747" s="3" t="s">
        <v>19</v>
      </c>
      <c r="J2747" s="3" t="s">
        <v>19</v>
      </c>
      <c r="K2747" s="3" t="s">
        <v>25</v>
      </c>
      <c r="L2747" s="3">
        <v>26.01</v>
      </c>
      <c r="M2747" s="3" t="s">
        <v>1695</v>
      </c>
      <c r="N2747" s="3" t="s">
        <v>1696</v>
      </c>
      <c r="O2747" s="3">
        <v>1.96750424274E11</v>
      </c>
    </row>
    <row r="2748">
      <c r="A2748" s="3">
        <v>2623401.0</v>
      </c>
      <c r="B2748" s="3" t="s">
        <v>5673</v>
      </c>
      <c r="C2748" s="3" t="b">
        <v>0</v>
      </c>
      <c r="D2748" s="3" t="b">
        <v>1</v>
      </c>
      <c r="E2748" s="3" t="s">
        <v>5674</v>
      </c>
      <c r="F2748" s="3" t="s">
        <v>5675</v>
      </c>
      <c r="G2748" s="4">
        <f>+251966386266</f>
        <v>251966386266</v>
      </c>
      <c r="H2748" s="3" t="s">
        <v>18</v>
      </c>
      <c r="I2748" s="3" t="s">
        <v>19</v>
      </c>
      <c r="J2748" s="3" t="s">
        <v>19</v>
      </c>
      <c r="K2748" s="3" t="s">
        <v>20</v>
      </c>
      <c r="L2748" s="3">
        <v>26.01</v>
      </c>
      <c r="M2748" s="3" t="s">
        <v>1695</v>
      </c>
      <c r="N2748" s="3" t="s">
        <v>1696</v>
      </c>
      <c r="O2748" s="3">
        <v>1.96710613185E11</v>
      </c>
    </row>
    <row r="2749">
      <c r="A2749" s="3">
        <v>2623408.0</v>
      </c>
      <c r="B2749" s="3" t="s">
        <v>5676</v>
      </c>
      <c r="C2749" s="3" t="b">
        <v>0</v>
      </c>
      <c r="D2749" s="3" t="b">
        <v>1</v>
      </c>
      <c r="E2749" s="3" t="s">
        <v>4864</v>
      </c>
      <c r="F2749" s="3" t="s">
        <v>4502</v>
      </c>
      <c r="G2749" s="4">
        <f>+251960532390</f>
        <v>251960532390</v>
      </c>
      <c r="H2749" s="3" t="s">
        <v>18</v>
      </c>
      <c r="I2749" s="3" t="s">
        <v>19</v>
      </c>
      <c r="J2749" s="3" t="s">
        <v>19</v>
      </c>
      <c r="K2749" s="3" t="s">
        <v>25</v>
      </c>
      <c r="L2749" s="3">
        <v>25.01</v>
      </c>
      <c r="M2749" s="3" t="s">
        <v>1695</v>
      </c>
      <c r="N2749" s="3" t="s">
        <v>1696</v>
      </c>
      <c r="O2749" s="3">
        <v>1.96706440378E11</v>
      </c>
    </row>
    <row r="2750">
      <c r="A2750" s="3">
        <v>2623412.0</v>
      </c>
      <c r="B2750" s="3" t="s">
        <v>5677</v>
      </c>
      <c r="C2750" s="3" t="b">
        <v>0</v>
      </c>
      <c r="D2750" s="3" t="b">
        <v>1</v>
      </c>
      <c r="E2750" s="3" t="s">
        <v>3947</v>
      </c>
      <c r="F2750" s="3" t="s">
        <v>468</v>
      </c>
      <c r="G2750" s="4">
        <f>+251917675546</f>
        <v>251917675546</v>
      </c>
      <c r="H2750" s="3" t="s">
        <v>18</v>
      </c>
      <c r="I2750" s="3" t="s">
        <v>19</v>
      </c>
      <c r="J2750" s="3" t="s">
        <v>19</v>
      </c>
      <c r="K2750" s="3" t="s">
        <v>20</v>
      </c>
      <c r="L2750" s="3">
        <v>25.94</v>
      </c>
      <c r="M2750" s="3" t="s">
        <v>1695</v>
      </c>
      <c r="N2750" s="3" t="s">
        <v>1696</v>
      </c>
      <c r="O2750" s="3">
        <v>1.96699115762E11</v>
      </c>
    </row>
    <row r="2751">
      <c r="A2751" s="3">
        <v>2623431.0</v>
      </c>
      <c r="B2751" s="3" t="s">
        <v>5678</v>
      </c>
      <c r="C2751" s="3" t="b">
        <v>0</v>
      </c>
      <c r="D2751" s="3" t="b">
        <v>1</v>
      </c>
      <c r="E2751" s="3" t="s">
        <v>534</v>
      </c>
      <c r="F2751" s="3" t="s">
        <v>2431</v>
      </c>
      <c r="G2751" s="4">
        <f>+251930523918</f>
        <v>251930523918</v>
      </c>
      <c r="H2751" s="3" t="s">
        <v>18</v>
      </c>
      <c r="I2751" s="3" t="s">
        <v>19</v>
      </c>
      <c r="J2751" s="3" t="s">
        <v>19</v>
      </c>
      <c r="K2751" s="3" t="s">
        <v>20</v>
      </c>
      <c r="L2751" s="3">
        <v>25.01</v>
      </c>
      <c r="M2751" s="3" t="s">
        <v>1695</v>
      </c>
      <c r="N2751" s="3" t="s">
        <v>1696</v>
      </c>
      <c r="O2751" s="3">
        <v>1.96709637308E11</v>
      </c>
    </row>
    <row r="2752">
      <c r="A2752" s="3">
        <v>2623443.0</v>
      </c>
      <c r="B2752" s="3" t="s">
        <v>5679</v>
      </c>
      <c r="C2752" s="3" t="b">
        <v>0</v>
      </c>
      <c r="D2752" s="3" t="b">
        <v>1</v>
      </c>
      <c r="E2752" s="3" t="s">
        <v>5577</v>
      </c>
      <c r="F2752" s="3" t="s">
        <v>3119</v>
      </c>
      <c r="G2752" s="4">
        <f>+251946244690</f>
        <v>251946244690</v>
      </c>
      <c r="H2752" s="3" t="s">
        <v>18</v>
      </c>
      <c r="I2752" s="3" t="s">
        <v>19</v>
      </c>
      <c r="J2752" s="3" t="s">
        <v>19</v>
      </c>
      <c r="K2752" s="3" t="s">
        <v>25</v>
      </c>
      <c r="L2752" s="3">
        <v>23.95</v>
      </c>
      <c r="M2752" s="3" t="s">
        <v>1695</v>
      </c>
      <c r="N2752" s="3" t="s">
        <v>1696</v>
      </c>
      <c r="O2752" s="3">
        <v>1.96750983384E11</v>
      </c>
    </row>
    <row r="2753">
      <c r="A2753" s="3">
        <v>2623479.0</v>
      </c>
      <c r="B2753" s="3" t="s">
        <v>5680</v>
      </c>
      <c r="C2753" s="3" t="b">
        <v>0</v>
      </c>
      <c r="D2753" s="3" t="b">
        <v>1</v>
      </c>
      <c r="E2753" s="3" t="s">
        <v>1561</v>
      </c>
      <c r="F2753" s="3" t="s">
        <v>5681</v>
      </c>
      <c r="G2753" s="4">
        <f>+251969758010</f>
        <v>251969758010</v>
      </c>
      <c r="H2753" s="3" t="s">
        <v>18</v>
      </c>
      <c r="I2753" s="3" t="s">
        <v>19</v>
      </c>
      <c r="J2753" s="3" t="s">
        <v>19</v>
      </c>
      <c r="K2753" s="3" t="s">
        <v>20</v>
      </c>
      <c r="L2753" s="3">
        <v>13.13</v>
      </c>
      <c r="M2753" s="3" t="s">
        <v>1695</v>
      </c>
      <c r="N2753" s="3" t="s">
        <v>1696</v>
      </c>
      <c r="O2753" s="3">
        <v>1.96758750401E11</v>
      </c>
    </row>
    <row r="2754">
      <c r="A2754" s="3">
        <v>2623492.0</v>
      </c>
      <c r="B2754" s="3" t="s">
        <v>5682</v>
      </c>
      <c r="C2754" s="3" t="b">
        <v>0</v>
      </c>
      <c r="D2754" s="3" t="b">
        <v>1</v>
      </c>
      <c r="E2754" s="3" t="s">
        <v>5683</v>
      </c>
      <c r="F2754" s="3" t="s">
        <v>5684</v>
      </c>
      <c r="G2754" s="4">
        <f>+251911822176</f>
        <v>251911822176</v>
      </c>
      <c r="H2754" s="3" t="s">
        <v>18</v>
      </c>
      <c r="I2754" s="3" t="s">
        <v>19</v>
      </c>
      <c r="J2754" s="3" t="s">
        <v>19</v>
      </c>
      <c r="K2754" s="3" t="s">
        <v>20</v>
      </c>
      <c r="L2754" s="3">
        <v>23.9</v>
      </c>
      <c r="M2754" s="3" t="s">
        <v>1695</v>
      </c>
      <c r="N2754" s="3" t="s">
        <v>1696</v>
      </c>
      <c r="O2754" s="3">
        <v>1.96716994746E11</v>
      </c>
    </row>
    <row r="2755">
      <c r="A2755" s="3">
        <v>2623498.0</v>
      </c>
      <c r="B2755" s="3" t="s">
        <v>5685</v>
      </c>
      <c r="C2755" s="3" t="b">
        <v>0</v>
      </c>
      <c r="D2755" s="3" t="b">
        <v>1</v>
      </c>
      <c r="E2755" s="3" t="s">
        <v>5666</v>
      </c>
      <c r="F2755" s="3" t="s">
        <v>2177</v>
      </c>
      <c r="G2755" s="4">
        <f>+251912832370</f>
        <v>251912832370</v>
      </c>
      <c r="H2755" s="3" t="s">
        <v>18</v>
      </c>
      <c r="I2755" s="3" t="s">
        <v>19</v>
      </c>
      <c r="J2755" s="3" t="s">
        <v>19</v>
      </c>
      <c r="K2755" s="3" t="s">
        <v>25</v>
      </c>
      <c r="L2755" s="3">
        <v>25.01</v>
      </c>
      <c r="M2755" s="3" t="s">
        <v>1695</v>
      </c>
      <c r="N2755" s="3" t="s">
        <v>1696</v>
      </c>
      <c r="O2755" s="3">
        <v>1.96755844287E11</v>
      </c>
    </row>
    <row r="2756">
      <c r="A2756" s="3">
        <v>2623500.0</v>
      </c>
      <c r="B2756" s="3" t="s">
        <v>5686</v>
      </c>
      <c r="C2756" s="3" t="b">
        <v>0</v>
      </c>
      <c r="D2756" s="3" t="b">
        <v>1</v>
      </c>
      <c r="E2756" s="3" t="s">
        <v>5687</v>
      </c>
      <c r="F2756" s="3" t="s">
        <v>5688</v>
      </c>
      <c r="G2756" s="4">
        <f>+251909900179</f>
        <v>251909900179</v>
      </c>
      <c r="H2756" s="3" t="s">
        <v>18</v>
      </c>
      <c r="I2756" s="3" t="s">
        <v>19</v>
      </c>
      <c r="J2756" s="3" t="s">
        <v>19</v>
      </c>
      <c r="K2756" s="3" t="s">
        <v>20</v>
      </c>
      <c r="L2756" s="3">
        <v>25.28</v>
      </c>
      <c r="M2756" s="3" t="s">
        <v>1695</v>
      </c>
      <c r="N2756" s="3" t="s">
        <v>1696</v>
      </c>
      <c r="O2756" s="3">
        <v>1.96715467977E11</v>
      </c>
    </row>
    <row r="2757">
      <c r="A2757" s="3">
        <v>2623506.0</v>
      </c>
      <c r="B2757" s="3" t="s">
        <v>5689</v>
      </c>
      <c r="C2757" s="3" t="b">
        <v>0</v>
      </c>
      <c r="D2757" s="3" t="b">
        <v>1</v>
      </c>
      <c r="E2757" s="3" t="s">
        <v>4409</v>
      </c>
      <c r="F2757" s="3" t="s">
        <v>1055</v>
      </c>
      <c r="G2757" s="4">
        <f>+251931338097</f>
        <v>251931338097</v>
      </c>
      <c r="H2757" s="3" t="s">
        <v>18</v>
      </c>
      <c r="I2757" s="3" t="s">
        <v>19</v>
      </c>
      <c r="J2757" s="3" t="s">
        <v>19</v>
      </c>
      <c r="K2757" s="3" t="s">
        <v>25</v>
      </c>
      <c r="L2757" s="3">
        <v>25.01</v>
      </c>
      <c r="M2757" s="3" t="s">
        <v>1695</v>
      </c>
      <c r="N2757" s="3" t="s">
        <v>1696</v>
      </c>
      <c r="O2757" s="3">
        <v>1.96754701524E11</v>
      </c>
    </row>
    <row r="2758">
      <c r="A2758" s="3">
        <v>2623512.0</v>
      </c>
      <c r="B2758" s="3" t="s">
        <v>5690</v>
      </c>
      <c r="C2758" s="3" t="b">
        <v>0</v>
      </c>
      <c r="D2758" s="3" t="b">
        <v>1</v>
      </c>
      <c r="E2758" s="3" t="s">
        <v>58</v>
      </c>
      <c r="F2758" s="3" t="s">
        <v>2007</v>
      </c>
      <c r="G2758" s="4">
        <f>+251915508985</f>
        <v>251915508985</v>
      </c>
      <c r="H2758" s="3" t="s">
        <v>18</v>
      </c>
      <c r="I2758" s="3" t="s">
        <v>19</v>
      </c>
      <c r="J2758" s="3" t="s">
        <v>19</v>
      </c>
      <c r="K2758" s="3" t="s">
        <v>25</v>
      </c>
      <c r="L2758" s="3">
        <v>28.01</v>
      </c>
      <c r="M2758" s="3" t="s">
        <v>1695</v>
      </c>
      <c r="N2758" s="3" t="s">
        <v>1696</v>
      </c>
      <c r="O2758" s="3">
        <v>1.96763491563E11</v>
      </c>
    </row>
    <row r="2759">
      <c r="A2759" s="3">
        <v>2623522.0</v>
      </c>
      <c r="B2759" s="3" t="s">
        <v>5691</v>
      </c>
      <c r="C2759" s="3" t="b">
        <v>0</v>
      </c>
      <c r="D2759" s="3" t="b">
        <v>1</v>
      </c>
      <c r="E2759" s="3" t="s">
        <v>58</v>
      </c>
      <c r="F2759" s="3" t="s">
        <v>4114</v>
      </c>
      <c r="G2759" s="4">
        <f>+251928533670</f>
        <v>251928533670</v>
      </c>
      <c r="H2759" s="3" t="s">
        <v>18</v>
      </c>
      <c r="I2759" s="3" t="s">
        <v>19</v>
      </c>
      <c r="J2759" s="3" t="s">
        <v>19</v>
      </c>
      <c r="K2759" s="3" t="s">
        <v>25</v>
      </c>
      <c r="L2759" s="3">
        <v>25.01</v>
      </c>
      <c r="M2759" s="3" t="s">
        <v>1695</v>
      </c>
      <c r="N2759" s="3" t="s">
        <v>1696</v>
      </c>
      <c r="O2759" s="3">
        <v>1.9674702972E11</v>
      </c>
    </row>
    <row r="2760">
      <c r="A2760" s="3">
        <v>2623528.0</v>
      </c>
      <c r="B2760" s="3" t="s">
        <v>5692</v>
      </c>
      <c r="C2760" s="3" t="b">
        <v>0</v>
      </c>
      <c r="D2760" s="3" t="b">
        <v>1</v>
      </c>
      <c r="E2760" s="3" t="s">
        <v>58</v>
      </c>
      <c r="F2760" s="3" t="s">
        <v>2875</v>
      </c>
      <c r="G2760" s="4">
        <f>+251941709510</f>
        <v>251941709510</v>
      </c>
      <c r="H2760" s="3" t="s">
        <v>18</v>
      </c>
      <c r="I2760" s="3" t="s">
        <v>19</v>
      </c>
      <c r="J2760" s="3" t="s">
        <v>19</v>
      </c>
      <c r="K2760" s="3" t="s">
        <v>25</v>
      </c>
      <c r="L2760" s="3">
        <v>27.01</v>
      </c>
      <c r="M2760" s="3" t="s">
        <v>1695</v>
      </c>
      <c r="N2760" s="3" t="s">
        <v>1696</v>
      </c>
      <c r="O2760" s="3">
        <v>1.96747116781E11</v>
      </c>
    </row>
    <row r="2761">
      <c r="A2761" s="3">
        <v>2623540.0</v>
      </c>
      <c r="B2761" s="3" t="s">
        <v>5693</v>
      </c>
      <c r="C2761" s="3" t="b">
        <v>0</v>
      </c>
      <c r="D2761" s="3" t="b">
        <v>1</v>
      </c>
      <c r="E2761" s="3" t="s">
        <v>5694</v>
      </c>
      <c r="F2761" s="3" t="s">
        <v>5695</v>
      </c>
      <c r="G2761" s="4">
        <f>+251936346420</f>
        <v>251936346420</v>
      </c>
      <c r="H2761" s="3" t="s">
        <v>18</v>
      </c>
      <c r="I2761" s="3" t="s">
        <v>19</v>
      </c>
      <c r="J2761" s="3" t="s">
        <v>19</v>
      </c>
      <c r="K2761" s="3" t="s">
        <v>25</v>
      </c>
      <c r="L2761" s="3">
        <v>24.01</v>
      </c>
      <c r="M2761" s="3" t="s">
        <v>1695</v>
      </c>
      <c r="N2761" s="3" t="s">
        <v>1696</v>
      </c>
      <c r="O2761" s="3">
        <v>1.96803188956E11</v>
      </c>
    </row>
    <row r="2762">
      <c r="A2762" s="3">
        <v>2623548.0</v>
      </c>
      <c r="B2762" s="3" t="s">
        <v>5696</v>
      </c>
      <c r="C2762" s="3" t="b">
        <v>0</v>
      </c>
      <c r="D2762" s="3" t="b">
        <v>1</v>
      </c>
      <c r="E2762" s="3" t="s">
        <v>5697</v>
      </c>
      <c r="F2762" s="3" t="s">
        <v>701</v>
      </c>
      <c r="G2762" s="4">
        <f>+251919681188</f>
        <v>251919681188</v>
      </c>
      <c r="H2762" s="3" t="s">
        <v>18</v>
      </c>
      <c r="I2762" s="3" t="s">
        <v>19</v>
      </c>
      <c r="J2762" s="3" t="s">
        <v>19</v>
      </c>
      <c r="K2762" s="3" t="s">
        <v>25</v>
      </c>
      <c r="L2762" s="3">
        <v>26.01</v>
      </c>
      <c r="M2762" s="3" t="s">
        <v>1695</v>
      </c>
      <c r="N2762" s="3" t="s">
        <v>1696</v>
      </c>
      <c r="O2762" s="3">
        <v>1.96714512571E11</v>
      </c>
    </row>
    <row r="2763">
      <c r="A2763" s="3">
        <v>2623567.0</v>
      </c>
      <c r="B2763" s="3" t="s">
        <v>5698</v>
      </c>
      <c r="C2763" s="3" t="b">
        <v>0</v>
      </c>
      <c r="D2763" s="3" t="b">
        <v>1</v>
      </c>
      <c r="E2763" s="3" t="s">
        <v>1246</v>
      </c>
      <c r="F2763" s="3" t="s">
        <v>5699</v>
      </c>
      <c r="G2763" s="4">
        <f>+251960770852</f>
        <v>251960770852</v>
      </c>
      <c r="H2763" s="3" t="s">
        <v>18</v>
      </c>
      <c r="I2763" s="3" t="s">
        <v>19</v>
      </c>
      <c r="J2763" s="3" t="s">
        <v>19</v>
      </c>
      <c r="K2763" s="3" t="s">
        <v>25</v>
      </c>
      <c r="L2763" s="3">
        <v>25.01</v>
      </c>
      <c r="M2763" s="3" t="s">
        <v>1695</v>
      </c>
      <c r="N2763" s="3" t="s">
        <v>1696</v>
      </c>
      <c r="O2763" s="3">
        <v>1.96718682337E11</v>
      </c>
    </row>
    <row r="2764">
      <c r="A2764" s="3">
        <v>2623552.0</v>
      </c>
      <c r="B2764" s="3" t="s">
        <v>5700</v>
      </c>
      <c r="C2764" s="3" t="b">
        <v>0</v>
      </c>
      <c r="D2764" s="3" t="b">
        <v>1</v>
      </c>
      <c r="E2764" s="3" t="s">
        <v>422</v>
      </c>
      <c r="F2764" s="3" t="s">
        <v>1669</v>
      </c>
      <c r="G2764" s="4">
        <f>+251925643700</f>
        <v>251925643700</v>
      </c>
      <c r="H2764" s="3" t="s">
        <v>18</v>
      </c>
      <c r="I2764" s="3" t="s">
        <v>19</v>
      </c>
      <c r="J2764" s="3" t="s">
        <v>19</v>
      </c>
      <c r="K2764" s="3" t="s">
        <v>25</v>
      </c>
      <c r="L2764" s="3">
        <v>13.8</v>
      </c>
      <c r="M2764" s="3" t="s">
        <v>1695</v>
      </c>
      <c r="N2764" s="3" t="s">
        <v>1696</v>
      </c>
      <c r="O2764" s="3">
        <v>1.96801704161E11</v>
      </c>
    </row>
    <row r="2765">
      <c r="A2765" s="3">
        <v>2623572.0</v>
      </c>
      <c r="B2765" s="3" t="s">
        <v>5701</v>
      </c>
      <c r="C2765" s="3" t="b">
        <v>0</v>
      </c>
      <c r="D2765" s="3" t="b">
        <v>1</v>
      </c>
      <c r="E2765" s="3" t="s">
        <v>766</v>
      </c>
      <c r="F2765" s="3" t="s">
        <v>2654</v>
      </c>
      <c r="G2765" s="4">
        <f>+251944205231</f>
        <v>251944205231</v>
      </c>
      <c r="H2765" s="3" t="s">
        <v>18</v>
      </c>
      <c r="I2765" s="3" t="s">
        <v>19</v>
      </c>
      <c r="J2765" s="3" t="s">
        <v>19</v>
      </c>
      <c r="K2765" s="3" t="s">
        <v>20</v>
      </c>
      <c r="L2765" s="3">
        <v>27.01</v>
      </c>
      <c r="M2765" s="3" t="s">
        <v>1695</v>
      </c>
      <c r="N2765" s="3" t="s">
        <v>1696</v>
      </c>
      <c r="O2765" s="3">
        <v>1.96762732755E11</v>
      </c>
    </row>
    <row r="2766">
      <c r="A2766" s="3">
        <v>2623577.0</v>
      </c>
      <c r="B2766" s="3" t="s">
        <v>5702</v>
      </c>
      <c r="C2766" s="3" t="b">
        <v>0</v>
      </c>
      <c r="D2766" s="3" t="b">
        <v>1</v>
      </c>
      <c r="E2766" s="3" t="s">
        <v>4723</v>
      </c>
      <c r="F2766" s="3" t="s">
        <v>4420</v>
      </c>
      <c r="G2766" s="4">
        <f>+251977590772</f>
        <v>251977590772</v>
      </c>
      <c r="H2766" s="3" t="s">
        <v>18</v>
      </c>
      <c r="I2766" s="3" t="s">
        <v>19</v>
      </c>
      <c r="J2766" s="3" t="s">
        <v>19</v>
      </c>
      <c r="K2766" s="3" t="s">
        <v>20</v>
      </c>
      <c r="L2766" s="3">
        <v>26.01</v>
      </c>
      <c r="M2766" s="3" t="s">
        <v>1695</v>
      </c>
      <c r="N2766" s="3" t="s">
        <v>1696</v>
      </c>
      <c r="O2766" s="3">
        <v>1.96728325364E11</v>
      </c>
    </row>
    <row r="2767">
      <c r="A2767" s="3">
        <v>2623585.0</v>
      </c>
      <c r="B2767" s="3" t="s">
        <v>5703</v>
      </c>
      <c r="C2767" s="3" t="b">
        <v>0</v>
      </c>
      <c r="D2767" s="3" t="b">
        <v>1</v>
      </c>
      <c r="E2767" s="3" t="s">
        <v>5704</v>
      </c>
      <c r="F2767" s="3" t="s">
        <v>1898</v>
      </c>
      <c r="G2767" s="4">
        <f>+251901455380</f>
        <v>251901455380</v>
      </c>
      <c r="H2767" s="3" t="s">
        <v>18</v>
      </c>
      <c r="I2767" s="3" t="s">
        <v>19</v>
      </c>
      <c r="J2767" s="3" t="s">
        <v>19</v>
      </c>
      <c r="K2767" s="3" t="s">
        <v>20</v>
      </c>
      <c r="L2767" s="3">
        <v>26.01</v>
      </c>
      <c r="M2767" s="3" t="s">
        <v>1695</v>
      </c>
      <c r="N2767" s="3" t="s">
        <v>1696</v>
      </c>
      <c r="O2767" s="3">
        <v>1.9671893425E11</v>
      </c>
    </row>
    <row r="2768">
      <c r="A2768" s="3">
        <v>2623559.0</v>
      </c>
      <c r="B2768" s="3" t="s">
        <v>5705</v>
      </c>
      <c r="C2768" s="3" t="b">
        <v>1</v>
      </c>
      <c r="D2768" s="3" t="b">
        <v>1</v>
      </c>
      <c r="E2768" s="3" t="s">
        <v>1104</v>
      </c>
      <c r="F2768" s="3" t="s">
        <v>572</v>
      </c>
      <c r="G2768" s="4">
        <f>+251935093831</f>
        <v>251935093831</v>
      </c>
      <c r="H2768" s="3" t="s">
        <v>18</v>
      </c>
      <c r="I2768" s="3" t="s">
        <v>19</v>
      </c>
      <c r="J2768" s="3" t="s">
        <v>19</v>
      </c>
      <c r="K2768" s="3" t="s">
        <v>25</v>
      </c>
      <c r="L2768" s="3">
        <v>29.11</v>
      </c>
      <c r="M2768" s="3" t="s">
        <v>1695</v>
      </c>
      <c r="N2768" s="3" t="s">
        <v>1696</v>
      </c>
    </row>
    <row r="2769">
      <c r="A2769" s="3">
        <v>2623591.0</v>
      </c>
      <c r="B2769" s="3" t="s">
        <v>5706</v>
      </c>
      <c r="C2769" s="3" t="b">
        <v>0</v>
      </c>
      <c r="D2769" s="3" t="b">
        <v>1</v>
      </c>
      <c r="E2769" s="3" t="s">
        <v>4330</v>
      </c>
      <c r="F2769" s="3" t="s">
        <v>4470</v>
      </c>
      <c r="G2769" s="4">
        <f>+251939960597</f>
        <v>251939960597</v>
      </c>
      <c r="H2769" s="3" t="s">
        <v>18</v>
      </c>
      <c r="I2769" s="3" t="s">
        <v>19</v>
      </c>
      <c r="J2769" s="3" t="s">
        <v>19</v>
      </c>
      <c r="K2769" s="3" t="s">
        <v>25</v>
      </c>
      <c r="L2769" s="3">
        <v>27.01</v>
      </c>
      <c r="M2769" s="3" t="s">
        <v>1695</v>
      </c>
      <c r="N2769" s="3" t="s">
        <v>1696</v>
      </c>
      <c r="O2769" s="3">
        <v>1.96764988627E11</v>
      </c>
    </row>
    <row r="2770">
      <c r="A2770" s="3">
        <v>2623596.0</v>
      </c>
      <c r="B2770" s="3" t="s">
        <v>5707</v>
      </c>
      <c r="C2770" s="3" t="b">
        <v>0</v>
      </c>
      <c r="D2770" s="3" t="b">
        <v>1</v>
      </c>
      <c r="E2770" s="3" t="s">
        <v>5708</v>
      </c>
      <c r="F2770" s="3" t="s">
        <v>5709</v>
      </c>
      <c r="G2770" s="4">
        <f>+251973472246</f>
        <v>251973472246</v>
      </c>
      <c r="H2770" s="3" t="s">
        <v>18</v>
      </c>
      <c r="I2770" s="3" t="s">
        <v>19</v>
      </c>
      <c r="J2770" s="3" t="s">
        <v>19</v>
      </c>
      <c r="K2770" s="3" t="s">
        <v>25</v>
      </c>
      <c r="L2770" s="3">
        <v>30.01</v>
      </c>
      <c r="M2770" s="3" t="s">
        <v>1695</v>
      </c>
      <c r="N2770" s="3" t="s">
        <v>1696</v>
      </c>
      <c r="O2770" s="3">
        <v>1.96799452384E11</v>
      </c>
    </row>
    <row r="2771">
      <c r="A2771" s="3">
        <v>2623621.0</v>
      </c>
      <c r="B2771" s="3" t="s">
        <v>5710</v>
      </c>
      <c r="C2771" s="3" t="b">
        <v>0</v>
      </c>
      <c r="D2771" s="3" t="b">
        <v>1</v>
      </c>
      <c r="E2771" s="3" t="s">
        <v>291</v>
      </c>
      <c r="F2771" s="3" t="s">
        <v>5711</v>
      </c>
      <c r="G2771" s="4">
        <f>+251992721165</f>
        <v>251992721165</v>
      </c>
      <c r="H2771" s="3" t="s">
        <v>18</v>
      </c>
      <c r="I2771" s="3" t="s">
        <v>19</v>
      </c>
      <c r="J2771" s="3" t="s">
        <v>19</v>
      </c>
      <c r="K2771" s="3" t="s">
        <v>20</v>
      </c>
      <c r="L2771" s="3">
        <v>26.1</v>
      </c>
      <c r="M2771" s="3" t="s">
        <v>1695</v>
      </c>
      <c r="N2771" s="3" t="s">
        <v>1696</v>
      </c>
      <c r="O2771" s="3">
        <v>1.96801183956E11</v>
      </c>
    </row>
    <row r="2772">
      <c r="A2772" s="3">
        <v>2623634.0</v>
      </c>
      <c r="B2772" s="3" t="s">
        <v>5712</v>
      </c>
      <c r="C2772" s="3" t="b">
        <v>0</v>
      </c>
      <c r="D2772" s="3" t="b">
        <v>1</v>
      </c>
      <c r="E2772" s="3" t="s">
        <v>16</v>
      </c>
      <c r="F2772" s="3" t="s">
        <v>404</v>
      </c>
      <c r="G2772" s="4">
        <f>+251901332020</f>
        <v>251901332020</v>
      </c>
      <c r="H2772" s="3" t="s">
        <v>18</v>
      </c>
      <c r="I2772" s="3" t="s">
        <v>19</v>
      </c>
      <c r="J2772" s="3" t="s">
        <v>19</v>
      </c>
      <c r="K2772" s="3" t="s">
        <v>20</v>
      </c>
      <c r="L2772" s="3">
        <v>26.01</v>
      </c>
      <c r="M2772" s="3" t="s">
        <v>1695</v>
      </c>
      <c r="N2772" s="3" t="s">
        <v>1696</v>
      </c>
      <c r="O2772" s="3">
        <v>1.96808378591E11</v>
      </c>
    </row>
    <row r="2773">
      <c r="A2773" s="3">
        <v>2623641.0</v>
      </c>
      <c r="B2773" s="3" t="s">
        <v>5713</v>
      </c>
      <c r="C2773" s="3" t="b">
        <v>0</v>
      </c>
      <c r="D2773" s="3" t="b">
        <v>1</v>
      </c>
      <c r="E2773" s="3" t="s">
        <v>5714</v>
      </c>
      <c r="F2773" s="3" t="s">
        <v>1000</v>
      </c>
      <c r="G2773" s="4">
        <f>+251939488551</f>
        <v>251939488551</v>
      </c>
      <c r="H2773" s="3" t="s">
        <v>18</v>
      </c>
      <c r="I2773" s="3" t="s">
        <v>19</v>
      </c>
      <c r="J2773" s="3" t="s">
        <v>19</v>
      </c>
      <c r="K2773" s="3" t="s">
        <v>20</v>
      </c>
      <c r="L2773" s="3">
        <v>27.01</v>
      </c>
      <c r="M2773" s="3" t="s">
        <v>1695</v>
      </c>
      <c r="N2773" s="3" t="s">
        <v>1696</v>
      </c>
      <c r="O2773" s="3">
        <v>1.96855701733E11</v>
      </c>
    </row>
    <row r="2774">
      <c r="A2774" s="3">
        <v>2623729.0</v>
      </c>
      <c r="B2774" s="3" t="s">
        <v>5715</v>
      </c>
      <c r="C2774" s="3" t="b">
        <v>1</v>
      </c>
      <c r="D2774" s="3" t="b">
        <v>1</v>
      </c>
      <c r="E2774" s="3" t="s">
        <v>676</v>
      </c>
      <c r="F2774" s="3" t="s">
        <v>3144</v>
      </c>
      <c r="G2774" s="4">
        <f>+251979832330</f>
        <v>251979832330</v>
      </c>
      <c r="H2774" s="3" t="s">
        <v>18</v>
      </c>
      <c r="I2774" s="3" t="s">
        <v>19</v>
      </c>
      <c r="J2774" s="3" t="s">
        <v>19</v>
      </c>
      <c r="K2774" s="3" t="s">
        <v>20</v>
      </c>
      <c r="L2774" s="3">
        <v>22.05</v>
      </c>
      <c r="M2774" s="3" t="s">
        <v>1695</v>
      </c>
      <c r="N2774" s="3" t="s">
        <v>1696</v>
      </c>
      <c r="O2774" s="3">
        <v>1.96739751109E11</v>
      </c>
    </row>
    <row r="2775">
      <c r="A2775" s="3">
        <v>2624002.0</v>
      </c>
      <c r="B2775" s="3" t="s">
        <v>5716</v>
      </c>
      <c r="C2775" s="3" t="b">
        <v>0</v>
      </c>
      <c r="D2775" s="3" t="b">
        <v>1</v>
      </c>
      <c r="E2775" s="3" t="s">
        <v>5717</v>
      </c>
      <c r="F2775" s="3" t="s">
        <v>1804</v>
      </c>
      <c r="G2775" s="4">
        <f>+251915952095</f>
        <v>251915952095</v>
      </c>
      <c r="H2775" s="3" t="s">
        <v>18</v>
      </c>
      <c r="I2775" s="3" t="s">
        <v>19</v>
      </c>
      <c r="J2775" s="3" t="s">
        <v>19</v>
      </c>
      <c r="K2775" s="3" t="s">
        <v>20</v>
      </c>
      <c r="L2775" s="3">
        <v>19.1</v>
      </c>
      <c r="M2775" s="3" t="s">
        <v>1695</v>
      </c>
      <c r="N2775" s="3" t="s">
        <v>1696</v>
      </c>
      <c r="O2775" s="3">
        <v>1.96885178567E11</v>
      </c>
    </row>
    <row r="2776">
      <c r="A2776" s="3">
        <v>2624006.0</v>
      </c>
      <c r="B2776" s="3" t="s">
        <v>5718</v>
      </c>
      <c r="C2776" s="3" t="b">
        <v>0</v>
      </c>
      <c r="D2776" s="3" t="b">
        <v>1</v>
      </c>
      <c r="E2776" s="3" t="s">
        <v>3990</v>
      </c>
      <c r="F2776" s="3" t="s">
        <v>5688</v>
      </c>
      <c r="G2776" s="4">
        <f>+251951102221</f>
        <v>251951102221</v>
      </c>
      <c r="H2776" s="3" t="s">
        <v>18</v>
      </c>
      <c r="I2776" s="3" t="s">
        <v>19</v>
      </c>
      <c r="J2776" s="3" t="s">
        <v>19</v>
      </c>
      <c r="K2776" s="3" t="s">
        <v>25</v>
      </c>
      <c r="L2776" s="3">
        <v>22.08</v>
      </c>
      <c r="M2776" s="3" t="s">
        <v>1695</v>
      </c>
      <c r="N2776" s="3" t="s">
        <v>1696</v>
      </c>
      <c r="O2776" s="3">
        <v>1.96957979883E11</v>
      </c>
    </row>
    <row r="2777">
      <c r="A2777" s="3">
        <v>2624009.0</v>
      </c>
      <c r="B2777" s="3" t="s">
        <v>5719</v>
      </c>
      <c r="C2777" s="3" t="b">
        <v>0</v>
      </c>
      <c r="D2777" s="3" t="b">
        <v>1</v>
      </c>
      <c r="E2777" s="3" t="s">
        <v>5720</v>
      </c>
      <c r="F2777" s="3" t="s">
        <v>787</v>
      </c>
      <c r="G2777" s="4">
        <f>+251913076208</f>
        <v>251913076208</v>
      </c>
      <c r="H2777" s="3" t="s">
        <v>18</v>
      </c>
      <c r="I2777" s="3" t="s">
        <v>19</v>
      </c>
      <c r="J2777" s="3" t="s">
        <v>19</v>
      </c>
      <c r="K2777" s="3" t="s">
        <v>20</v>
      </c>
      <c r="L2777" s="3">
        <v>21.12</v>
      </c>
      <c r="M2777" s="3" t="s">
        <v>1695</v>
      </c>
      <c r="N2777" s="3" t="s">
        <v>1696</v>
      </c>
      <c r="O2777" s="3">
        <v>1.96952516855E11</v>
      </c>
    </row>
    <row r="2778">
      <c r="A2778" s="3">
        <v>2624013.0</v>
      </c>
      <c r="B2778" s="3" t="s">
        <v>5721</v>
      </c>
      <c r="C2778" s="3" t="b">
        <v>0</v>
      </c>
      <c r="D2778" s="3" t="b">
        <v>1</v>
      </c>
      <c r="E2778" s="3" t="s">
        <v>5722</v>
      </c>
      <c r="F2778" s="3" t="s">
        <v>5723</v>
      </c>
      <c r="G2778" s="4">
        <f>+251989181808</f>
        <v>251989181808</v>
      </c>
      <c r="H2778" s="3" t="s">
        <v>18</v>
      </c>
      <c r="I2778" s="3" t="s">
        <v>19</v>
      </c>
      <c r="J2778" s="3" t="s">
        <v>19</v>
      </c>
      <c r="K2778" s="3" t="s">
        <v>20</v>
      </c>
      <c r="L2778" s="3">
        <v>25.07</v>
      </c>
      <c r="M2778" s="3" t="s">
        <v>1695</v>
      </c>
      <c r="N2778" s="3" t="s">
        <v>1696</v>
      </c>
      <c r="O2778" s="3">
        <v>1.96855222489E11</v>
      </c>
    </row>
    <row r="2779">
      <c r="A2779" s="3">
        <v>2624015.0</v>
      </c>
      <c r="B2779" s="3" t="s">
        <v>5724</v>
      </c>
      <c r="C2779" s="3" t="b">
        <v>0</v>
      </c>
      <c r="D2779" s="3" t="b">
        <v>1</v>
      </c>
      <c r="E2779" s="3" t="s">
        <v>2611</v>
      </c>
      <c r="F2779" s="3" t="s">
        <v>387</v>
      </c>
      <c r="G2779" s="4">
        <f>+251922759651</f>
        <v>251922759651</v>
      </c>
      <c r="H2779" s="3" t="s">
        <v>18</v>
      </c>
      <c r="I2779" s="3" t="s">
        <v>19</v>
      </c>
      <c r="J2779" s="3" t="s">
        <v>5725</v>
      </c>
      <c r="K2779" s="3" t="s">
        <v>25</v>
      </c>
      <c r="L2779" s="3">
        <v>26.01</v>
      </c>
      <c r="M2779" s="3" t="s">
        <v>1695</v>
      </c>
      <c r="N2779" s="3" t="s">
        <v>1696</v>
      </c>
      <c r="O2779" s="3">
        <v>1.96889543914E11</v>
      </c>
    </row>
    <row r="2780">
      <c r="A2780" s="3">
        <v>2624018.0</v>
      </c>
      <c r="B2780" s="3" t="s">
        <v>5726</v>
      </c>
      <c r="C2780" s="3" t="b">
        <v>0</v>
      </c>
      <c r="D2780" s="3" t="b">
        <v>1</v>
      </c>
      <c r="E2780" s="3" t="s">
        <v>5727</v>
      </c>
      <c r="F2780" s="3" t="s">
        <v>5728</v>
      </c>
      <c r="G2780" s="4">
        <f>+251911612854</f>
        <v>251911612854</v>
      </c>
      <c r="H2780" s="3" t="s">
        <v>18</v>
      </c>
      <c r="I2780" s="3" t="s">
        <v>19</v>
      </c>
      <c r="J2780" s="3" t="s">
        <v>19</v>
      </c>
      <c r="K2780" s="3" t="s">
        <v>25</v>
      </c>
      <c r="L2780" s="3">
        <v>31.2</v>
      </c>
      <c r="M2780" s="3" t="s">
        <v>1695</v>
      </c>
      <c r="N2780" s="3" t="s">
        <v>1696</v>
      </c>
      <c r="O2780" s="3">
        <v>1.96887804105E11</v>
      </c>
    </row>
    <row r="2781">
      <c r="A2781" s="3">
        <v>2624022.0</v>
      </c>
      <c r="B2781" s="3" t="s">
        <v>5729</v>
      </c>
      <c r="C2781" s="3" t="b">
        <v>0</v>
      </c>
      <c r="D2781" s="3" t="b">
        <v>1</v>
      </c>
      <c r="E2781" s="3" t="s">
        <v>5730</v>
      </c>
      <c r="F2781" s="3" t="s">
        <v>3401</v>
      </c>
      <c r="G2781" s="4">
        <f>+251911448610</f>
        <v>251911448610</v>
      </c>
      <c r="H2781" s="3" t="s">
        <v>18</v>
      </c>
      <c r="I2781" s="3" t="s">
        <v>19</v>
      </c>
      <c r="J2781" s="3" t="s">
        <v>19</v>
      </c>
      <c r="K2781" s="3" t="s">
        <v>20</v>
      </c>
      <c r="L2781" s="3">
        <v>24.11</v>
      </c>
      <c r="M2781" s="3" t="s">
        <v>1695</v>
      </c>
      <c r="N2781" s="3" t="s">
        <v>1696</v>
      </c>
      <c r="O2781" s="3">
        <v>1.96951133403E11</v>
      </c>
    </row>
    <row r="2782">
      <c r="A2782" s="3">
        <v>2624027.0</v>
      </c>
      <c r="B2782" s="3" t="s">
        <v>5731</v>
      </c>
      <c r="C2782" s="3" t="b">
        <v>0</v>
      </c>
      <c r="D2782" s="3" t="b">
        <v>1</v>
      </c>
      <c r="E2782" s="3" t="s">
        <v>1446</v>
      </c>
      <c r="F2782" s="3" t="s">
        <v>5732</v>
      </c>
      <c r="G2782" s="4">
        <f>+251934890963</f>
        <v>251934890963</v>
      </c>
      <c r="H2782" s="3" t="s">
        <v>18</v>
      </c>
      <c r="I2782" s="3" t="s">
        <v>19</v>
      </c>
      <c r="J2782" s="3" t="s">
        <v>19</v>
      </c>
      <c r="K2782" s="3" t="s">
        <v>25</v>
      </c>
      <c r="L2782" s="3">
        <v>21.24</v>
      </c>
      <c r="M2782" s="3" t="s">
        <v>1695</v>
      </c>
      <c r="N2782" s="3" t="s">
        <v>1696</v>
      </c>
      <c r="O2782" s="3">
        <v>1.96926101752E11</v>
      </c>
    </row>
    <row r="2783">
      <c r="A2783" s="3">
        <v>2624031.0</v>
      </c>
      <c r="B2783" s="3" t="s">
        <v>5733</v>
      </c>
      <c r="C2783" s="3" t="b">
        <v>0</v>
      </c>
      <c r="D2783" s="3" t="b">
        <v>1</v>
      </c>
      <c r="E2783" s="3" t="s">
        <v>5734</v>
      </c>
      <c r="F2783" s="3" t="s">
        <v>5688</v>
      </c>
      <c r="G2783" s="4">
        <f>+251910329354</f>
        <v>251910329354</v>
      </c>
      <c r="H2783" s="3" t="s">
        <v>18</v>
      </c>
      <c r="I2783" s="3" t="s">
        <v>19</v>
      </c>
      <c r="J2783" s="3" t="s">
        <v>19</v>
      </c>
      <c r="K2783" s="3" t="s">
        <v>20</v>
      </c>
      <c r="L2783" s="3">
        <v>21.28</v>
      </c>
      <c r="M2783" s="3" t="s">
        <v>1695</v>
      </c>
      <c r="N2783" s="3" t="s">
        <v>1696</v>
      </c>
      <c r="O2783" s="3">
        <v>1885591.0</v>
      </c>
    </row>
    <row r="2784">
      <c r="A2784" s="3">
        <v>2624037.0</v>
      </c>
      <c r="B2784" s="3" t="s">
        <v>5735</v>
      </c>
      <c r="C2784" s="3" t="b">
        <v>0</v>
      </c>
      <c r="D2784" s="3" t="b">
        <v>1</v>
      </c>
      <c r="E2784" s="3" t="s">
        <v>4482</v>
      </c>
      <c r="F2784" s="3" t="s">
        <v>5688</v>
      </c>
      <c r="G2784" s="4">
        <f>+251956164280</f>
        <v>251956164280</v>
      </c>
      <c r="H2784" s="3" t="s">
        <v>18</v>
      </c>
      <c r="I2784" s="3" t="s">
        <v>19</v>
      </c>
      <c r="J2784" s="3" t="s">
        <v>19</v>
      </c>
      <c r="K2784" s="3" t="s">
        <v>20</v>
      </c>
      <c r="L2784" s="3">
        <v>26.12</v>
      </c>
      <c r="M2784" s="3" t="s">
        <v>1695</v>
      </c>
      <c r="N2784" s="3" t="s">
        <v>1696</v>
      </c>
      <c r="O2784" s="3">
        <v>1.96959127801E11</v>
      </c>
    </row>
    <row r="2785">
      <c r="A2785" s="3">
        <v>2624089.0</v>
      </c>
      <c r="B2785" s="3" t="s">
        <v>5736</v>
      </c>
      <c r="C2785" s="3" t="b">
        <v>0</v>
      </c>
      <c r="D2785" s="3" t="b">
        <v>1</v>
      </c>
      <c r="E2785" s="3" t="s">
        <v>3150</v>
      </c>
      <c r="F2785" s="3" t="s">
        <v>227</v>
      </c>
      <c r="G2785" s="4">
        <f>+251968102925</f>
        <v>251968102925</v>
      </c>
      <c r="H2785" s="3" t="s">
        <v>18</v>
      </c>
      <c r="I2785" s="3" t="s">
        <v>19</v>
      </c>
      <c r="J2785" s="3" t="s">
        <v>19</v>
      </c>
      <c r="K2785" s="3" t="s">
        <v>25</v>
      </c>
      <c r="L2785" s="3">
        <v>25.01</v>
      </c>
      <c r="M2785" s="3" t="s">
        <v>1695</v>
      </c>
      <c r="N2785" s="3" t="s">
        <v>1696</v>
      </c>
      <c r="O2785" s="3">
        <v>1.96932573413E11</v>
      </c>
    </row>
    <row r="2786">
      <c r="A2786" s="3">
        <v>2624097.0</v>
      </c>
      <c r="B2786" s="3" t="s">
        <v>5737</v>
      </c>
      <c r="C2786" s="3" t="b">
        <v>0</v>
      </c>
      <c r="D2786" s="3" t="b">
        <v>1</v>
      </c>
      <c r="E2786" s="3" t="s">
        <v>5738</v>
      </c>
      <c r="F2786" s="3" t="s">
        <v>404</v>
      </c>
      <c r="G2786" s="4">
        <f t="shared" ref="G2786:G2787" si="4">+251917080987</f>
        <v>251917080987</v>
      </c>
      <c r="H2786" s="3" t="s">
        <v>18</v>
      </c>
      <c r="I2786" s="3" t="s">
        <v>19</v>
      </c>
      <c r="J2786" s="3" t="s">
        <v>19</v>
      </c>
      <c r="K2786" s="3" t="s">
        <v>25</v>
      </c>
      <c r="L2786" s="3">
        <v>25.01</v>
      </c>
      <c r="M2786" s="3" t="s">
        <v>1695</v>
      </c>
      <c r="N2786" s="3" t="s">
        <v>1696</v>
      </c>
      <c r="O2786" s="3">
        <v>1.96961380572E11</v>
      </c>
    </row>
    <row r="2787">
      <c r="A2787" s="3">
        <v>2624110.0</v>
      </c>
      <c r="B2787" s="3" t="s">
        <v>5739</v>
      </c>
      <c r="C2787" s="3" t="b">
        <v>0</v>
      </c>
      <c r="D2787" s="3" t="b">
        <v>1</v>
      </c>
      <c r="E2787" s="3" t="s">
        <v>3803</v>
      </c>
      <c r="F2787" s="3" t="s">
        <v>218</v>
      </c>
      <c r="G2787" s="4">
        <f t="shared" si="4"/>
        <v>251917080987</v>
      </c>
      <c r="H2787" s="3" t="s">
        <v>18</v>
      </c>
      <c r="I2787" s="3" t="s">
        <v>19</v>
      </c>
      <c r="J2787" s="3" t="s">
        <v>19</v>
      </c>
      <c r="K2787" s="3" t="s">
        <v>25</v>
      </c>
      <c r="L2787" s="3">
        <v>25.01</v>
      </c>
      <c r="M2787" s="3" t="s">
        <v>1695</v>
      </c>
      <c r="N2787" s="3" t="s">
        <v>1696</v>
      </c>
      <c r="O2787" s="3">
        <v>1.96933711062E11</v>
      </c>
    </row>
    <row r="2788">
      <c r="A2788" s="3">
        <v>2624149.0</v>
      </c>
      <c r="B2788" s="3" t="s">
        <v>5740</v>
      </c>
      <c r="C2788" s="3" t="b">
        <v>0</v>
      </c>
      <c r="D2788" s="3" t="b">
        <v>1</v>
      </c>
      <c r="E2788" s="3" t="s">
        <v>5741</v>
      </c>
      <c r="F2788" s="3" t="s">
        <v>5742</v>
      </c>
      <c r="G2788" s="4">
        <f>+251928922454</f>
        <v>251928922454</v>
      </c>
      <c r="H2788" s="3" t="s">
        <v>18</v>
      </c>
      <c r="I2788" s="3" t="s">
        <v>19</v>
      </c>
      <c r="J2788" s="3" t="s">
        <v>19</v>
      </c>
      <c r="K2788" s="3" t="s">
        <v>25</v>
      </c>
      <c r="L2788" s="3">
        <v>26.01</v>
      </c>
      <c r="M2788" s="3" t="s">
        <v>1695</v>
      </c>
      <c r="N2788" s="3" t="s">
        <v>1696</v>
      </c>
      <c r="O2788" s="3">
        <v>1.96949371073E11</v>
      </c>
    </row>
    <row r="2789">
      <c r="A2789" s="3">
        <v>2624160.0</v>
      </c>
      <c r="B2789" s="3" t="s">
        <v>5743</v>
      </c>
      <c r="C2789" s="3" t="b">
        <v>0</v>
      </c>
      <c r="D2789" s="3" t="b">
        <v>1</v>
      </c>
      <c r="E2789" s="3" t="s">
        <v>2539</v>
      </c>
      <c r="F2789" s="3" t="s">
        <v>5744</v>
      </c>
      <c r="G2789" s="4">
        <f>+251917302655</f>
        <v>251917302655</v>
      </c>
      <c r="H2789" s="3" t="s">
        <v>18</v>
      </c>
      <c r="I2789" s="3" t="s">
        <v>19</v>
      </c>
      <c r="J2789" s="3" t="s">
        <v>19</v>
      </c>
      <c r="K2789" s="3" t="s">
        <v>20</v>
      </c>
      <c r="L2789" s="3">
        <v>24.01</v>
      </c>
      <c r="M2789" s="3" t="s">
        <v>1695</v>
      </c>
      <c r="N2789" s="3" t="s">
        <v>1696</v>
      </c>
      <c r="O2789" s="3">
        <v>1.96965870837E11</v>
      </c>
    </row>
    <row r="2790">
      <c r="A2790" s="3">
        <v>2624162.0</v>
      </c>
      <c r="B2790" s="3" t="s">
        <v>5745</v>
      </c>
      <c r="C2790" s="3" t="b">
        <v>0</v>
      </c>
      <c r="D2790" s="3" t="b">
        <v>1</v>
      </c>
      <c r="E2790" s="3" t="s">
        <v>5746</v>
      </c>
      <c r="F2790" s="3" t="s">
        <v>271</v>
      </c>
      <c r="G2790" s="4">
        <f>+251930986341</f>
        <v>251930986341</v>
      </c>
      <c r="H2790" s="3" t="s">
        <v>18</v>
      </c>
      <c r="I2790" s="3" t="s">
        <v>19</v>
      </c>
      <c r="J2790" s="3" t="s">
        <v>19</v>
      </c>
      <c r="K2790" s="3" t="s">
        <v>25</v>
      </c>
      <c r="L2790" s="3">
        <v>25.94</v>
      </c>
      <c r="M2790" s="3" t="s">
        <v>1695</v>
      </c>
      <c r="N2790" s="3" t="s">
        <v>1696</v>
      </c>
      <c r="O2790" s="3">
        <v>1.96949453021E11</v>
      </c>
    </row>
    <row r="2791">
      <c r="A2791" s="3">
        <v>2624168.0</v>
      </c>
      <c r="B2791" s="3" t="s">
        <v>5747</v>
      </c>
      <c r="C2791" s="3" t="b">
        <v>0</v>
      </c>
      <c r="D2791" s="3" t="b">
        <v>1</v>
      </c>
      <c r="E2791" s="3" t="s">
        <v>5748</v>
      </c>
      <c r="F2791" s="3" t="s">
        <v>4134</v>
      </c>
      <c r="G2791" s="4">
        <f>+251967608560</f>
        <v>251967608560</v>
      </c>
      <c r="H2791" s="3" t="s">
        <v>18</v>
      </c>
      <c r="I2791" s="3" t="s">
        <v>19</v>
      </c>
      <c r="J2791" s="3" t="s">
        <v>19</v>
      </c>
      <c r="K2791" s="3" t="s">
        <v>25</v>
      </c>
      <c r="L2791" s="3">
        <v>24.11</v>
      </c>
      <c r="M2791" s="3" t="s">
        <v>1695</v>
      </c>
      <c r="N2791" s="3" t="s">
        <v>1696</v>
      </c>
      <c r="O2791" s="3">
        <v>1.96952926436E11</v>
      </c>
    </row>
    <row r="2792">
      <c r="A2792" s="3">
        <v>2624175.0</v>
      </c>
      <c r="B2792" s="3" t="s">
        <v>5749</v>
      </c>
      <c r="C2792" s="3" t="b">
        <v>0</v>
      </c>
      <c r="D2792" s="3" t="b">
        <v>1</v>
      </c>
      <c r="E2792" s="3" t="s">
        <v>479</v>
      </c>
      <c r="F2792" s="3" t="s">
        <v>5750</v>
      </c>
      <c r="G2792" s="4">
        <f>+251941036470</f>
        <v>251941036470</v>
      </c>
      <c r="H2792" s="3" t="s">
        <v>18</v>
      </c>
      <c r="I2792" s="3" t="s">
        <v>19</v>
      </c>
      <c r="J2792" s="3" t="s">
        <v>19</v>
      </c>
      <c r="K2792" s="3" t="s">
        <v>25</v>
      </c>
      <c r="L2792" s="3">
        <v>26.29</v>
      </c>
      <c r="M2792" s="3" t="s">
        <v>1695</v>
      </c>
      <c r="N2792" s="3" t="s">
        <v>1696</v>
      </c>
      <c r="O2792" s="3">
        <v>1.96940097756E11</v>
      </c>
    </row>
    <row r="2793">
      <c r="A2793" s="3">
        <v>2624171.0</v>
      </c>
      <c r="B2793" s="3" t="s">
        <v>5751</v>
      </c>
      <c r="C2793" s="3" t="b">
        <v>0</v>
      </c>
      <c r="D2793" s="3" t="b">
        <v>1</v>
      </c>
      <c r="E2793" s="3" t="s">
        <v>655</v>
      </c>
      <c r="F2793" s="3" t="s">
        <v>5752</v>
      </c>
      <c r="G2793" s="4">
        <f>+251985244539</f>
        <v>251985244539</v>
      </c>
      <c r="H2793" s="3" t="s">
        <v>18</v>
      </c>
      <c r="I2793" s="3" t="s">
        <v>19</v>
      </c>
      <c r="J2793" s="3" t="s">
        <v>19</v>
      </c>
      <c r="K2793" s="3" t="s">
        <v>25</v>
      </c>
      <c r="L2793" s="3">
        <v>24.01</v>
      </c>
      <c r="M2793" s="3" t="s">
        <v>1695</v>
      </c>
      <c r="N2793" s="3" t="s">
        <v>1696</v>
      </c>
      <c r="O2793" s="3">
        <v>1.96966310133E11</v>
      </c>
    </row>
    <row r="2794">
      <c r="A2794" s="3">
        <v>2624191.0</v>
      </c>
      <c r="B2794" s="3" t="s">
        <v>5753</v>
      </c>
      <c r="C2794" s="3" t="b">
        <v>0</v>
      </c>
      <c r="D2794" s="3" t="b">
        <v>1</v>
      </c>
      <c r="E2794" s="3" t="s">
        <v>760</v>
      </c>
      <c r="F2794" s="3" t="s">
        <v>3797</v>
      </c>
      <c r="G2794" s="4">
        <f>+251921627201</f>
        <v>251921627201</v>
      </c>
      <c r="H2794" s="3" t="s">
        <v>18</v>
      </c>
      <c r="I2794" s="3" t="s">
        <v>19</v>
      </c>
      <c r="J2794" s="3" t="s">
        <v>19</v>
      </c>
      <c r="K2794" s="3" t="s">
        <v>20</v>
      </c>
      <c r="L2794" s="3">
        <v>25.01</v>
      </c>
      <c r="M2794" s="3" t="s">
        <v>1695</v>
      </c>
      <c r="N2794" s="3" t="s">
        <v>1696</v>
      </c>
      <c r="O2794" s="3">
        <v>1.96972174526E11</v>
      </c>
    </row>
    <row r="2795">
      <c r="A2795" s="3">
        <v>2624194.0</v>
      </c>
      <c r="B2795" s="3" t="s">
        <v>5754</v>
      </c>
      <c r="C2795" s="3" t="b">
        <v>0</v>
      </c>
      <c r="D2795" s="3" t="b">
        <v>1</v>
      </c>
      <c r="E2795" s="3" t="s">
        <v>279</v>
      </c>
      <c r="F2795" s="3" t="s">
        <v>716</v>
      </c>
      <c r="G2795" s="4">
        <f>+251980439170</f>
        <v>251980439170</v>
      </c>
      <c r="H2795" s="3" t="s">
        <v>18</v>
      </c>
      <c r="I2795" s="3" t="s">
        <v>19</v>
      </c>
      <c r="J2795" s="3" t="s">
        <v>19</v>
      </c>
      <c r="K2795" s="3" t="s">
        <v>25</v>
      </c>
      <c r="L2795" s="3">
        <v>26.03</v>
      </c>
      <c r="M2795" s="3" t="s">
        <v>1695</v>
      </c>
      <c r="N2795" s="3" t="s">
        <v>1696</v>
      </c>
      <c r="O2795" s="3">
        <v>1.96970995959E11</v>
      </c>
    </row>
    <row r="2796">
      <c r="A2796" s="3">
        <v>2624211.0</v>
      </c>
      <c r="B2796" s="3" t="s">
        <v>5755</v>
      </c>
      <c r="C2796" s="3" t="b">
        <v>0</v>
      </c>
      <c r="D2796" s="3" t="b">
        <v>1</v>
      </c>
      <c r="E2796" s="3" t="s">
        <v>5756</v>
      </c>
      <c r="F2796" s="3" t="s">
        <v>1721</v>
      </c>
      <c r="G2796" s="4">
        <f>+251092004405</f>
        <v>251092004405</v>
      </c>
      <c r="H2796" s="3" t="s">
        <v>18</v>
      </c>
      <c r="I2796" s="3" t="s">
        <v>19</v>
      </c>
      <c r="J2796" s="3" t="s">
        <v>19</v>
      </c>
      <c r="K2796" s="3" t="s">
        <v>25</v>
      </c>
      <c r="L2796" s="3">
        <v>26.01</v>
      </c>
      <c r="M2796" s="3" t="s">
        <v>1695</v>
      </c>
      <c r="N2796" s="3" t="s">
        <v>1696</v>
      </c>
      <c r="O2796" s="3">
        <v>1.96969361639E11</v>
      </c>
    </row>
    <row r="2797">
      <c r="A2797" s="3">
        <v>2624224.0</v>
      </c>
      <c r="B2797" s="3" t="s">
        <v>5757</v>
      </c>
      <c r="C2797" s="3" t="b">
        <v>0</v>
      </c>
      <c r="D2797" s="3" t="b">
        <v>1</v>
      </c>
      <c r="E2797" s="3" t="s">
        <v>1955</v>
      </c>
      <c r="F2797" s="3" t="s">
        <v>5758</v>
      </c>
      <c r="G2797" s="4">
        <f>+251980162951</f>
        <v>251980162951</v>
      </c>
      <c r="H2797" s="3" t="s">
        <v>18</v>
      </c>
      <c r="I2797" s="3" t="s">
        <v>19</v>
      </c>
      <c r="J2797" s="3" t="s">
        <v>19</v>
      </c>
      <c r="K2797" s="3" t="s">
        <v>25</v>
      </c>
      <c r="L2797" s="3">
        <v>25.01</v>
      </c>
      <c r="M2797" s="3" t="s">
        <v>1695</v>
      </c>
      <c r="N2797" s="3" t="s">
        <v>1696</v>
      </c>
      <c r="O2797" s="3">
        <v>1.96971124933E11</v>
      </c>
    </row>
    <row r="2798">
      <c r="A2798" s="3">
        <v>2624229.0</v>
      </c>
      <c r="B2798" s="3" t="s">
        <v>5759</v>
      </c>
      <c r="C2798" s="3" t="b">
        <v>0</v>
      </c>
      <c r="D2798" s="3" t="b">
        <v>1</v>
      </c>
      <c r="E2798" s="3" t="s">
        <v>5760</v>
      </c>
      <c r="F2798" s="3" t="s">
        <v>2032</v>
      </c>
      <c r="G2798" s="4">
        <f>+251930243114</f>
        <v>251930243114</v>
      </c>
      <c r="H2798" s="3" t="s">
        <v>18</v>
      </c>
      <c r="I2798" s="3" t="s">
        <v>19</v>
      </c>
      <c r="J2798" s="3" t="s">
        <v>19</v>
      </c>
      <c r="K2798" s="3" t="s">
        <v>25</v>
      </c>
      <c r="L2798" s="3">
        <v>27.02</v>
      </c>
      <c r="M2798" s="3" t="s">
        <v>1695</v>
      </c>
      <c r="N2798" s="3" t="s">
        <v>1696</v>
      </c>
      <c r="O2798" s="3">
        <v>1.96942110969E11</v>
      </c>
    </row>
    <row r="2799">
      <c r="A2799" s="3">
        <v>2624245.0</v>
      </c>
      <c r="B2799" s="3" t="s">
        <v>5761</v>
      </c>
      <c r="C2799" s="3" t="b">
        <v>0</v>
      </c>
      <c r="D2799" s="3" t="b">
        <v>1</v>
      </c>
      <c r="E2799" s="3" t="s">
        <v>623</v>
      </c>
      <c r="F2799" s="3" t="s">
        <v>5762</v>
      </c>
      <c r="G2799" s="4">
        <f>+251992983367</f>
        <v>251992983367</v>
      </c>
      <c r="H2799" s="3" t="s">
        <v>18</v>
      </c>
      <c r="I2799" s="3" t="s">
        <v>19</v>
      </c>
      <c r="J2799" s="3" t="s">
        <v>19</v>
      </c>
      <c r="K2799" s="3" t="s">
        <v>25</v>
      </c>
      <c r="L2799" s="3">
        <v>23.01</v>
      </c>
      <c r="M2799" s="3" t="s">
        <v>1695</v>
      </c>
      <c r="N2799" s="3" t="s">
        <v>1696</v>
      </c>
      <c r="O2799" s="3">
        <v>1.96944792785E11</v>
      </c>
    </row>
    <row r="2800">
      <c r="A2800" s="3">
        <v>2624273.0</v>
      </c>
      <c r="B2800" s="3" t="s">
        <v>5763</v>
      </c>
      <c r="C2800" s="3" t="b">
        <v>0</v>
      </c>
      <c r="D2800" s="3" t="b">
        <v>1</v>
      </c>
      <c r="E2800" s="3" t="s">
        <v>4788</v>
      </c>
      <c r="F2800" s="3" t="s">
        <v>5764</v>
      </c>
      <c r="G2800" s="4">
        <f>+251917688408</f>
        <v>251917688408</v>
      </c>
      <c r="H2800" s="3" t="s">
        <v>18</v>
      </c>
      <c r="I2800" s="3" t="s">
        <v>19</v>
      </c>
      <c r="J2800" s="3" t="s">
        <v>19</v>
      </c>
      <c r="K2800" s="3" t="s">
        <v>25</v>
      </c>
      <c r="L2800" s="3">
        <v>26.01</v>
      </c>
      <c r="M2800" s="3" t="s">
        <v>1695</v>
      </c>
      <c r="N2800" s="3" t="s">
        <v>1696</v>
      </c>
      <c r="O2800" s="3">
        <v>1.96943582436E11</v>
      </c>
    </row>
    <row r="2801">
      <c r="A2801" s="3">
        <v>2624290.0</v>
      </c>
      <c r="B2801" s="3" t="s">
        <v>5765</v>
      </c>
      <c r="C2801" s="3" t="b">
        <v>0</v>
      </c>
      <c r="D2801" s="3" t="b">
        <v>1</v>
      </c>
      <c r="E2801" s="3" t="s">
        <v>798</v>
      </c>
      <c r="F2801" s="3" t="s">
        <v>5766</v>
      </c>
      <c r="G2801" s="4">
        <f>+251917034496</f>
        <v>251917034496</v>
      </c>
      <c r="H2801" s="3" t="s">
        <v>18</v>
      </c>
      <c r="I2801" s="3" t="s">
        <v>19</v>
      </c>
      <c r="J2801" s="3" t="s">
        <v>19</v>
      </c>
      <c r="K2801" s="3" t="s">
        <v>25</v>
      </c>
      <c r="L2801" s="3">
        <v>25.01</v>
      </c>
      <c r="M2801" s="3" t="s">
        <v>1695</v>
      </c>
      <c r="N2801" s="3" t="s">
        <v>1696</v>
      </c>
      <c r="O2801" s="3">
        <v>1.96979798249E11</v>
      </c>
    </row>
    <row r="2802">
      <c r="A2802" s="3">
        <v>2624288.0</v>
      </c>
      <c r="B2802" s="3" t="s">
        <v>5767</v>
      </c>
      <c r="C2802" s="3" t="b">
        <v>1</v>
      </c>
      <c r="D2802" s="3" t="b">
        <v>1</v>
      </c>
      <c r="E2802" s="3" t="s">
        <v>4445</v>
      </c>
      <c r="F2802" s="3" t="s">
        <v>5607</v>
      </c>
      <c r="G2802" s="4">
        <f>+251900340746</f>
        <v>251900340746</v>
      </c>
      <c r="H2802" s="3" t="s">
        <v>18</v>
      </c>
      <c r="I2802" s="3" t="s">
        <v>19</v>
      </c>
      <c r="J2802" s="3" t="s">
        <v>19</v>
      </c>
      <c r="K2802" s="3" t="s">
        <v>20</v>
      </c>
      <c r="L2802" s="3">
        <v>25.94</v>
      </c>
      <c r="M2802" s="3" t="s">
        <v>1695</v>
      </c>
      <c r="N2802" s="3" t="s">
        <v>1696</v>
      </c>
    </row>
    <row r="2803">
      <c r="A2803" s="3">
        <v>2624306.0</v>
      </c>
      <c r="B2803" s="3" t="s">
        <v>5768</v>
      </c>
      <c r="C2803" s="3" t="b">
        <v>0</v>
      </c>
      <c r="D2803" s="3" t="b">
        <v>1</v>
      </c>
      <c r="E2803" s="3" t="s">
        <v>3723</v>
      </c>
      <c r="F2803" s="3" t="s">
        <v>1348</v>
      </c>
      <c r="G2803" s="4">
        <f>+25190659323</f>
        <v>25190659323</v>
      </c>
      <c r="H2803" s="3" t="s">
        <v>18</v>
      </c>
      <c r="I2803" s="3" t="s">
        <v>19</v>
      </c>
      <c r="J2803" s="3" t="s">
        <v>19</v>
      </c>
      <c r="K2803" s="3" t="s">
        <v>20</v>
      </c>
      <c r="L2803" s="3">
        <v>23.01</v>
      </c>
      <c r="M2803" s="3" t="s">
        <v>1695</v>
      </c>
      <c r="N2803" s="3" t="s">
        <v>1696</v>
      </c>
      <c r="O2803" s="3">
        <v>1.96981497053E11</v>
      </c>
    </row>
    <row r="2804">
      <c r="A2804" s="3">
        <v>2624341.0</v>
      </c>
      <c r="B2804" s="3" t="s">
        <v>5769</v>
      </c>
      <c r="C2804" s="3" t="b">
        <v>1</v>
      </c>
      <c r="D2804" s="3" t="b">
        <v>1</v>
      </c>
      <c r="E2804" s="3" t="s">
        <v>5770</v>
      </c>
      <c r="F2804" s="3" t="s">
        <v>5771</v>
      </c>
      <c r="G2804" s="4">
        <f>+251914748678</f>
        <v>251914748678</v>
      </c>
      <c r="H2804" s="3" t="s">
        <v>18</v>
      </c>
      <c r="I2804" s="3" t="s">
        <v>19</v>
      </c>
      <c r="J2804" s="3" t="s">
        <v>19</v>
      </c>
      <c r="K2804" s="3" t="s">
        <v>25</v>
      </c>
      <c r="L2804" s="3">
        <v>30.0</v>
      </c>
      <c r="M2804" s="3" t="s">
        <v>1695</v>
      </c>
      <c r="N2804" s="3" t="s">
        <v>1696</v>
      </c>
      <c r="O2804" s="3">
        <v>1.96994920691E11</v>
      </c>
    </row>
    <row r="2805">
      <c r="A2805" s="3">
        <v>74345.0</v>
      </c>
      <c r="B2805" s="3" t="s">
        <v>5772</v>
      </c>
      <c r="C2805" s="3" t="b">
        <v>1</v>
      </c>
      <c r="D2805" s="3" t="b">
        <v>1</v>
      </c>
      <c r="E2805" s="3" t="s">
        <v>386</v>
      </c>
      <c r="F2805" s="3" t="s">
        <v>1653</v>
      </c>
      <c r="G2805" s="4">
        <f>+251918817548</f>
        <v>251918817548</v>
      </c>
      <c r="H2805" s="3" t="s">
        <v>18</v>
      </c>
      <c r="I2805" s="3" t="s">
        <v>19</v>
      </c>
      <c r="J2805" s="3" t="s">
        <v>19</v>
      </c>
      <c r="K2805" s="3" t="s">
        <v>25</v>
      </c>
      <c r="L2805" s="3">
        <v>23.17</v>
      </c>
      <c r="M2805" s="3" t="s">
        <v>1695</v>
      </c>
      <c r="N2805" s="3" t="s">
        <v>1696</v>
      </c>
      <c r="O2805" s="3">
        <v>761163.0</v>
      </c>
    </row>
    <row r="2806">
      <c r="A2806" s="3">
        <v>49378.0</v>
      </c>
      <c r="B2806" s="3" t="s">
        <v>5773</v>
      </c>
      <c r="C2806" s="3" t="b">
        <v>1</v>
      </c>
      <c r="D2806" s="3" t="b">
        <v>1</v>
      </c>
      <c r="E2806" s="3" t="s">
        <v>504</v>
      </c>
      <c r="F2806" s="3" t="s">
        <v>5774</v>
      </c>
      <c r="G2806" s="4">
        <f>+251930114189</f>
        <v>251930114189</v>
      </c>
      <c r="H2806" s="3" t="s">
        <v>18</v>
      </c>
      <c r="I2806" s="3" t="s">
        <v>19</v>
      </c>
      <c r="J2806" s="3" t="s">
        <v>19</v>
      </c>
      <c r="K2806" s="3" t="s">
        <v>25</v>
      </c>
      <c r="L2806" s="3">
        <v>22.74</v>
      </c>
      <c r="M2806" s="3" t="s">
        <v>1695</v>
      </c>
      <c r="N2806" s="3" t="s">
        <v>1696</v>
      </c>
      <c r="O2806" s="3">
        <v>649476.0</v>
      </c>
    </row>
    <row r="2807">
      <c r="A2807" s="3">
        <v>2624585.0</v>
      </c>
      <c r="B2807" s="3" t="s">
        <v>5775</v>
      </c>
      <c r="C2807" s="3" t="b">
        <v>0</v>
      </c>
      <c r="D2807" s="3" t="b">
        <v>1</v>
      </c>
      <c r="E2807" s="3" t="s">
        <v>5776</v>
      </c>
      <c r="F2807" s="3" t="s">
        <v>5777</v>
      </c>
      <c r="G2807" s="4">
        <f>+251938112147</f>
        <v>251938112147</v>
      </c>
      <c r="H2807" s="3" t="s">
        <v>18</v>
      </c>
      <c r="I2807" s="3" t="s">
        <v>19</v>
      </c>
      <c r="J2807" s="3" t="s">
        <v>19</v>
      </c>
      <c r="K2807" s="3" t="s">
        <v>25</v>
      </c>
      <c r="L2807" s="3">
        <v>20.18</v>
      </c>
      <c r="M2807" s="3" t="s">
        <v>1695</v>
      </c>
      <c r="N2807" s="3" t="s">
        <v>1696</v>
      </c>
      <c r="O2807" s="3">
        <v>1.97031481536E11</v>
      </c>
    </row>
    <row r="2808">
      <c r="A2808" s="3">
        <v>2624598.0</v>
      </c>
      <c r="B2808" s="3" t="s">
        <v>5778</v>
      </c>
      <c r="C2808" s="3" t="b">
        <v>0</v>
      </c>
      <c r="D2808" s="3" t="b">
        <v>1</v>
      </c>
      <c r="E2808" s="3" t="s">
        <v>1156</v>
      </c>
      <c r="F2808" s="3" t="s">
        <v>877</v>
      </c>
      <c r="G2808" s="4">
        <f>+251919829317</f>
        <v>251919829317</v>
      </c>
      <c r="H2808" s="3" t="s">
        <v>18</v>
      </c>
      <c r="I2808" s="3" t="s">
        <v>19</v>
      </c>
      <c r="J2808" s="3" t="s">
        <v>19</v>
      </c>
      <c r="K2808" s="3" t="s">
        <v>20</v>
      </c>
      <c r="L2808" s="3">
        <v>28.26</v>
      </c>
      <c r="M2808" s="3" t="s">
        <v>1695</v>
      </c>
      <c r="N2808" s="3" t="s">
        <v>1696</v>
      </c>
      <c r="O2808" s="3">
        <v>1.97030797506E11</v>
      </c>
    </row>
    <row r="2809">
      <c r="A2809" s="3">
        <v>2624610.0</v>
      </c>
      <c r="B2809" s="3" t="s">
        <v>5779</v>
      </c>
      <c r="C2809" s="3" t="b">
        <v>0</v>
      </c>
      <c r="D2809" s="3" t="b">
        <v>1</v>
      </c>
      <c r="E2809" s="3" t="s">
        <v>46</v>
      </c>
      <c r="F2809" s="3" t="s">
        <v>422</v>
      </c>
      <c r="G2809" s="4">
        <f>+251913483191</f>
        <v>251913483191</v>
      </c>
      <c r="H2809" s="3" t="s">
        <v>18</v>
      </c>
      <c r="I2809" s="3" t="s">
        <v>19</v>
      </c>
      <c r="J2809" s="3" t="s">
        <v>19</v>
      </c>
      <c r="K2809" s="3" t="s">
        <v>25</v>
      </c>
      <c r="L2809" s="3">
        <v>26.27</v>
      </c>
      <c r="M2809" s="3" t="s">
        <v>1695</v>
      </c>
      <c r="N2809" s="3" t="s">
        <v>1696</v>
      </c>
      <c r="O2809" s="3">
        <v>1.97031707884E11</v>
      </c>
    </row>
    <row r="2810">
      <c r="A2810" s="3">
        <v>2624615.0</v>
      </c>
      <c r="B2810" s="3" t="s">
        <v>5780</v>
      </c>
      <c r="C2810" s="3" t="b">
        <v>0</v>
      </c>
      <c r="D2810" s="3" t="b">
        <v>1</v>
      </c>
      <c r="E2810" s="3" t="s">
        <v>5781</v>
      </c>
      <c r="F2810" s="3" t="s">
        <v>918</v>
      </c>
      <c r="G2810" s="4">
        <f>+251967199423</f>
        <v>251967199423</v>
      </c>
      <c r="H2810" s="3" t="s">
        <v>18</v>
      </c>
      <c r="I2810" s="3" t="s">
        <v>19</v>
      </c>
      <c r="J2810" s="3" t="s">
        <v>19</v>
      </c>
      <c r="K2810" s="3" t="s">
        <v>20</v>
      </c>
      <c r="L2810" s="3">
        <v>26.28</v>
      </c>
      <c r="M2810" s="3" t="s">
        <v>1695</v>
      </c>
      <c r="N2810" s="3" t="s">
        <v>1696</v>
      </c>
      <c r="O2810" s="3">
        <v>1.97032837324E11</v>
      </c>
    </row>
    <row r="2811">
      <c r="A2811" s="3">
        <v>2031678.0</v>
      </c>
      <c r="B2811" s="3" t="s">
        <v>5782</v>
      </c>
      <c r="C2811" s="3" t="b">
        <v>1</v>
      </c>
      <c r="D2811" s="3" t="b">
        <v>1</v>
      </c>
      <c r="E2811" s="3" t="s">
        <v>5783</v>
      </c>
      <c r="F2811" s="3" t="s">
        <v>810</v>
      </c>
      <c r="G2811" s="4">
        <f>+1938347907</f>
        <v>1938347907</v>
      </c>
      <c r="H2811" s="3" t="s">
        <v>18</v>
      </c>
      <c r="I2811" s="3" t="s">
        <v>19</v>
      </c>
      <c r="J2811" s="3" t="s">
        <v>19</v>
      </c>
      <c r="K2811" s="3" t="s">
        <v>25</v>
      </c>
      <c r="L2811" s="3">
        <v>26.63</v>
      </c>
      <c r="M2811" s="3" t="s">
        <v>1695</v>
      </c>
      <c r="N2811" s="3" t="s">
        <v>1696</v>
      </c>
    </row>
    <row r="2812">
      <c r="A2812" s="3">
        <v>2624714.0</v>
      </c>
      <c r="B2812" s="3" t="s">
        <v>5784</v>
      </c>
      <c r="C2812" s="3" t="b">
        <v>0</v>
      </c>
      <c r="D2812" s="3" t="b">
        <v>1</v>
      </c>
      <c r="E2812" s="3" t="s">
        <v>2781</v>
      </c>
      <c r="F2812" s="3" t="s">
        <v>518</v>
      </c>
      <c r="G2812" s="4">
        <f>+251943808551</f>
        <v>251943808551</v>
      </c>
      <c r="H2812" s="3" t="s">
        <v>18</v>
      </c>
      <c r="I2812" s="3" t="s">
        <v>19</v>
      </c>
      <c r="J2812" s="3" t="s">
        <v>19</v>
      </c>
      <c r="K2812" s="3" t="s">
        <v>25</v>
      </c>
      <c r="L2812" s="3">
        <v>25.01</v>
      </c>
      <c r="M2812" s="3" t="s">
        <v>1695</v>
      </c>
      <c r="N2812" s="3" t="s">
        <v>1696</v>
      </c>
      <c r="O2812" s="3">
        <v>1.97050483944E11</v>
      </c>
    </row>
    <row r="2813">
      <c r="A2813" s="3">
        <v>2624720.0</v>
      </c>
      <c r="B2813" s="3" t="s">
        <v>5785</v>
      </c>
      <c r="C2813" s="3" t="b">
        <v>0</v>
      </c>
      <c r="D2813" s="3" t="b">
        <v>1</v>
      </c>
      <c r="E2813" s="3" t="s">
        <v>2537</v>
      </c>
      <c r="F2813" s="3" t="s">
        <v>1708</v>
      </c>
      <c r="G2813" s="4">
        <f>+251966762169</f>
        <v>251966762169</v>
      </c>
      <c r="H2813" s="3" t="s">
        <v>18</v>
      </c>
      <c r="I2813" s="3" t="s">
        <v>19</v>
      </c>
      <c r="J2813" s="3" t="s">
        <v>19</v>
      </c>
      <c r="K2813" s="3" t="s">
        <v>20</v>
      </c>
      <c r="L2813" s="3">
        <v>26.01</v>
      </c>
      <c r="M2813" s="3" t="s">
        <v>1695</v>
      </c>
      <c r="N2813" s="3" t="s">
        <v>1696</v>
      </c>
      <c r="O2813" s="3">
        <v>1.97039626446E11</v>
      </c>
    </row>
    <row r="2814">
      <c r="A2814" s="3">
        <v>2624790.0</v>
      </c>
      <c r="B2814" s="3" t="s">
        <v>5786</v>
      </c>
      <c r="C2814" s="3" t="b">
        <v>0</v>
      </c>
      <c r="D2814" s="3" t="b">
        <v>1</v>
      </c>
      <c r="E2814" s="3" t="s">
        <v>871</v>
      </c>
      <c r="F2814" s="3" t="s">
        <v>1215</v>
      </c>
      <c r="G2814" s="4">
        <f>+251918808686</f>
        <v>251918808686</v>
      </c>
      <c r="H2814" s="3" t="s">
        <v>18</v>
      </c>
      <c r="I2814" s="3" t="s">
        <v>19</v>
      </c>
      <c r="J2814" s="3" t="s">
        <v>19</v>
      </c>
      <c r="K2814" s="3" t="s">
        <v>20</v>
      </c>
      <c r="L2814" s="3">
        <v>25.01</v>
      </c>
      <c r="M2814" s="3" t="s">
        <v>1695</v>
      </c>
      <c r="N2814" s="3" t="s">
        <v>1696</v>
      </c>
      <c r="O2814" s="3">
        <v>1.97043158258E11</v>
      </c>
    </row>
    <row r="2815">
      <c r="A2815" s="3">
        <v>2624798.0</v>
      </c>
      <c r="B2815" s="3" t="s">
        <v>5787</v>
      </c>
      <c r="C2815" s="3" t="b">
        <v>0</v>
      </c>
      <c r="D2815" s="3" t="b">
        <v>1</v>
      </c>
      <c r="E2815" s="3" t="s">
        <v>2077</v>
      </c>
      <c r="F2815" s="3" t="s">
        <v>5788</v>
      </c>
      <c r="G2815" s="4">
        <f>+251974707251</f>
        <v>251974707251</v>
      </c>
      <c r="H2815" s="3" t="s">
        <v>18</v>
      </c>
      <c r="I2815" s="3" t="s">
        <v>19</v>
      </c>
      <c r="J2815" s="3" t="s">
        <v>19</v>
      </c>
      <c r="K2815" s="3" t="s">
        <v>20</v>
      </c>
      <c r="L2815" s="3">
        <v>25.01</v>
      </c>
      <c r="M2815" s="3" t="s">
        <v>1695</v>
      </c>
      <c r="N2815" s="3" t="s">
        <v>1696</v>
      </c>
      <c r="O2815" s="3">
        <v>1.97043362018E11</v>
      </c>
    </row>
    <row r="2816">
      <c r="A2816" s="3">
        <v>2624812.0</v>
      </c>
      <c r="B2816" s="3" t="s">
        <v>5789</v>
      </c>
      <c r="C2816" s="3" t="b">
        <v>0</v>
      </c>
      <c r="D2816" s="3" t="b">
        <v>1</v>
      </c>
      <c r="E2816" s="3" t="s">
        <v>5790</v>
      </c>
      <c r="F2816" s="3" t="s">
        <v>642</v>
      </c>
      <c r="G2816" s="4">
        <f>+251994498251</f>
        <v>251994498251</v>
      </c>
      <c r="H2816" s="3" t="s">
        <v>18</v>
      </c>
      <c r="I2816" s="3" t="s">
        <v>19</v>
      </c>
      <c r="J2816" s="3" t="s">
        <v>19</v>
      </c>
      <c r="K2816" s="3" t="s">
        <v>25</v>
      </c>
      <c r="L2816" s="3">
        <v>22.01</v>
      </c>
      <c r="M2816" s="3" t="s">
        <v>1695</v>
      </c>
      <c r="N2816" s="3" t="s">
        <v>1696</v>
      </c>
      <c r="O2816" s="3">
        <v>1.9704477719E11</v>
      </c>
    </row>
    <row r="2817">
      <c r="A2817" s="3">
        <v>2624829.0</v>
      </c>
      <c r="B2817" s="3" t="s">
        <v>5791</v>
      </c>
      <c r="C2817" s="3" t="b">
        <v>1</v>
      </c>
      <c r="D2817" s="3" t="b">
        <v>1</v>
      </c>
      <c r="E2817" s="3" t="s">
        <v>208</v>
      </c>
      <c r="F2817" s="3" t="s">
        <v>27</v>
      </c>
      <c r="G2817" s="4">
        <f>+25196522114</f>
        <v>25196522114</v>
      </c>
      <c r="H2817" s="3" t="s">
        <v>18</v>
      </c>
      <c r="I2817" s="3" t="s">
        <v>19</v>
      </c>
      <c r="J2817" s="3" t="s">
        <v>19</v>
      </c>
      <c r="K2817" s="3" t="s">
        <v>25</v>
      </c>
      <c r="L2817" s="3">
        <v>25.01</v>
      </c>
      <c r="M2817" s="3" t="s">
        <v>1695</v>
      </c>
      <c r="N2817" s="3" t="s">
        <v>1696</v>
      </c>
      <c r="O2817" s="3">
        <v>1.97045157107E11</v>
      </c>
    </row>
    <row r="2818">
      <c r="A2818" s="3">
        <v>2624873.0</v>
      </c>
      <c r="B2818" s="3" t="s">
        <v>5792</v>
      </c>
      <c r="C2818" s="3" t="b">
        <v>0</v>
      </c>
      <c r="D2818" s="3" t="b">
        <v>1</v>
      </c>
      <c r="E2818" s="3" t="s">
        <v>3208</v>
      </c>
      <c r="F2818" s="3" t="s">
        <v>5793</v>
      </c>
      <c r="G2818" s="4">
        <f>+251942603218</f>
        <v>251942603218</v>
      </c>
      <c r="H2818" s="3" t="s">
        <v>18</v>
      </c>
      <c r="I2818" s="3" t="s">
        <v>19</v>
      </c>
      <c r="J2818" s="3" t="s">
        <v>19</v>
      </c>
      <c r="K2818" s="3" t="s">
        <v>20</v>
      </c>
      <c r="L2818" s="3">
        <v>25.01</v>
      </c>
      <c r="M2818" s="3" t="s">
        <v>1695</v>
      </c>
      <c r="N2818" s="3" t="s">
        <v>1696</v>
      </c>
      <c r="O2818" s="3">
        <v>1.97059294454E11</v>
      </c>
    </row>
    <row r="2819">
      <c r="A2819" s="3">
        <v>2624877.0</v>
      </c>
      <c r="B2819" s="3" t="s">
        <v>5794</v>
      </c>
      <c r="C2819" s="3" t="b">
        <v>0</v>
      </c>
      <c r="D2819" s="3" t="b">
        <v>1</v>
      </c>
      <c r="E2819" s="3" t="s">
        <v>479</v>
      </c>
      <c r="F2819" s="3" t="s">
        <v>5795</v>
      </c>
      <c r="G2819" s="4">
        <f>+251906197566</f>
        <v>251906197566</v>
      </c>
      <c r="H2819" s="3" t="s">
        <v>18</v>
      </c>
      <c r="I2819" s="3" t="s">
        <v>19</v>
      </c>
      <c r="J2819" s="3" t="s">
        <v>19</v>
      </c>
      <c r="K2819" s="3" t="s">
        <v>25</v>
      </c>
      <c r="L2819" s="3">
        <v>25.01</v>
      </c>
      <c r="M2819" s="3" t="s">
        <v>1695</v>
      </c>
      <c r="N2819" s="3" t="s">
        <v>1696</v>
      </c>
      <c r="O2819" s="3">
        <v>1.97067674824E11</v>
      </c>
    </row>
    <row r="2820">
      <c r="A2820" s="3">
        <v>2624881.0</v>
      </c>
      <c r="B2820" s="3" t="s">
        <v>5796</v>
      </c>
      <c r="C2820" s="3" t="b">
        <v>0</v>
      </c>
      <c r="D2820" s="3" t="b">
        <v>1</v>
      </c>
      <c r="E2820" s="3" t="s">
        <v>5331</v>
      </c>
      <c r="F2820" s="3" t="s">
        <v>649</v>
      </c>
      <c r="G2820" s="4">
        <f>+251925844791</f>
        <v>251925844791</v>
      </c>
      <c r="H2820" s="3" t="s">
        <v>18</v>
      </c>
      <c r="I2820" s="3" t="s">
        <v>19</v>
      </c>
      <c r="J2820" s="3" t="s">
        <v>19</v>
      </c>
      <c r="K2820" s="3" t="s">
        <v>25</v>
      </c>
      <c r="L2820" s="3">
        <v>28.27</v>
      </c>
      <c r="M2820" s="3" t="s">
        <v>1695</v>
      </c>
      <c r="N2820" s="3" t="s">
        <v>1696</v>
      </c>
      <c r="O2820" s="3">
        <v>1.97073646807E11</v>
      </c>
    </row>
    <row r="2821">
      <c r="A2821" s="3">
        <v>2624897.0</v>
      </c>
      <c r="B2821" s="3" t="s">
        <v>5797</v>
      </c>
      <c r="C2821" s="3" t="b">
        <v>0</v>
      </c>
      <c r="D2821" s="3" t="b">
        <v>1</v>
      </c>
      <c r="E2821" s="3" t="s">
        <v>3089</v>
      </c>
      <c r="F2821" s="3" t="s">
        <v>664</v>
      </c>
      <c r="G2821" s="4">
        <f>+251927462627</f>
        <v>251927462627</v>
      </c>
      <c r="H2821" s="3" t="s">
        <v>18</v>
      </c>
      <c r="I2821" s="3" t="s">
        <v>19</v>
      </c>
      <c r="J2821" s="3" t="s">
        <v>19</v>
      </c>
      <c r="K2821" s="3" t="s">
        <v>25</v>
      </c>
      <c r="L2821" s="3">
        <v>26.25</v>
      </c>
      <c r="M2821" s="3" t="s">
        <v>1695</v>
      </c>
      <c r="N2821" s="3" t="s">
        <v>1696</v>
      </c>
      <c r="O2821" s="3">
        <v>1.97063290061E11</v>
      </c>
    </row>
    <row r="2822">
      <c r="A2822" s="3">
        <v>2624898.0</v>
      </c>
      <c r="B2822" s="3" t="s">
        <v>5798</v>
      </c>
      <c r="C2822" s="3" t="b">
        <v>1</v>
      </c>
      <c r="D2822" s="3" t="b">
        <v>1</v>
      </c>
      <c r="E2822" s="3" t="s">
        <v>5799</v>
      </c>
      <c r="F2822" s="3" t="s">
        <v>3778</v>
      </c>
      <c r="G2822" s="4">
        <f>+251972555328</f>
        <v>251972555328</v>
      </c>
      <c r="H2822" s="3" t="s">
        <v>18</v>
      </c>
      <c r="I2822" s="3" t="s">
        <v>19</v>
      </c>
      <c r="J2822" s="3" t="s">
        <v>19</v>
      </c>
      <c r="K2822" s="3" t="s">
        <v>20</v>
      </c>
      <c r="L2822" s="3">
        <v>23.01</v>
      </c>
      <c r="M2822" s="3" t="s">
        <v>1695</v>
      </c>
      <c r="N2822" s="3" t="s">
        <v>1696</v>
      </c>
      <c r="O2822" s="3">
        <v>1.97062365427E11</v>
      </c>
    </row>
    <row r="2823">
      <c r="A2823" s="3">
        <v>2624933.0</v>
      </c>
      <c r="B2823" s="3" t="s">
        <v>5800</v>
      </c>
      <c r="C2823" s="3" t="b">
        <v>0</v>
      </c>
      <c r="D2823" s="3" t="b">
        <v>1</v>
      </c>
      <c r="E2823" s="3" t="s">
        <v>5801</v>
      </c>
      <c r="F2823" s="3" t="s">
        <v>1438</v>
      </c>
      <c r="G2823" s="4">
        <f>+251963908054</f>
        <v>251963908054</v>
      </c>
      <c r="H2823" s="3" t="s">
        <v>18</v>
      </c>
      <c r="I2823" s="3" t="s">
        <v>19</v>
      </c>
      <c r="J2823" s="3" t="s">
        <v>19</v>
      </c>
      <c r="K2823" s="3" t="s">
        <v>20</v>
      </c>
      <c r="L2823" s="3">
        <v>25.01</v>
      </c>
      <c r="M2823" s="3" t="s">
        <v>1695</v>
      </c>
      <c r="N2823" s="3" t="s">
        <v>1696</v>
      </c>
      <c r="O2823" s="3">
        <v>1.97076822238E11</v>
      </c>
    </row>
    <row r="2824">
      <c r="A2824" s="3">
        <v>2624944.0</v>
      </c>
      <c r="B2824" s="3" t="s">
        <v>5802</v>
      </c>
      <c r="C2824" s="3" t="b">
        <v>0</v>
      </c>
      <c r="D2824" s="3" t="b">
        <v>1</v>
      </c>
      <c r="E2824" s="3" t="s">
        <v>509</v>
      </c>
      <c r="F2824" s="3" t="s">
        <v>4295</v>
      </c>
      <c r="G2824" s="4">
        <f>+251923438897</f>
        <v>251923438897</v>
      </c>
      <c r="H2824" s="3" t="s">
        <v>18</v>
      </c>
      <c r="I2824" s="3" t="s">
        <v>19</v>
      </c>
      <c r="J2824" s="3" t="s">
        <v>19</v>
      </c>
      <c r="K2824" s="3" t="s">
        <v>20</v>
      </c>
      <c r="L2824" s="3">
        <v>25.01</v>
      </c>
      <c r="M2824" s="3" t="s">
        <v>1695</v>
      </c>
      <c r="N2824" s="3" t="s">
        <v>1696</v>
      </c>
      <c r="O2824" s="3">
        <v>1.97084226802E11</v>
      </c>
    </row>
    <row r="2825">
      <c r="A2825" s="3">
        <v>2624957.0</v>
      </c>
      <c r="B2825" s="3" t="s">
        <v>5803</v>
      </c>
      <c r="C2825" s="3" t="b">
        <v>0</v>
      </c>
      <c r="D2825" s="3" t="b">
        <v>1</v>
      </c>
      <c r="E2825" s="3" t="s">
        <v>129</v>
      </c>
      <c r="F2825" s="3" t="s">
        <v>518</v>
      </c>
      <c r="G2825" s="4">
        <f>+251913164758</f>
        <v>251913164758</v>
      </c>
      <c r="H2825" s="3" t="s">
        <v>18</v>
      </c>
      <c r="I2825" s="3" t="s">
        <v>19</v>
      </c>
      <c r="J2825" s="3" t="s">
        <v>19</v>
      </c>
      <c r="K2825" s="3" t="s">
        <v>20</v>
      </c>
      <c r="L2825" s="3">
        <v>26.01</v>
      </c>
      <c r="M2825" s="3" t="s">
        <v>1695</v>
      </c>
      <c r="N2825" s="3" t="s">
        <v>1696</v>
      </c>
      <c r="O2825" s="3">
        <v>1.97084466421E11</v>
      </c>
    </row>
    <row r="2826">
      <c r="A2826" s="3">
        <v>2625023.0</v>
      </c>
      <c r="B2826" s="3" t="s">
        <v>5804</v>
      </c>
      <c r="C2826" s="3" t="b">
        <v>0</v>
      </c>
      <c r="D2826" s="3" t="b">
        <v>1</v>
      </c>
      <c r="E2826" s="3" t="s">
        <v>5805</v>
      </c>
      <c r="F2826" s="3" t="s">
        <v>916</v>
      </c>
      <c r="G2826" s="4">
        <f>+251930112306</f>
        <v>251930112306</v>
      </c>
      <c r="H2826" s="3" t="s">
        <v>18</v>
      </c>
      <c r="I2826" s="3" t="s">
        <v>19</v>
      </c>
      <c r="J2826" s="3" t="s">
        <v>19</v>
      </c>
      <c r="K2826" s="3" t="s">
        <v>25</v>
      </c>
      <c r="L2826" s="3">
        <v>25.01</v>
      </c>
      <c r="M2826" s="3" t="s">
        <v>1695</v>
      </c>
      <c r="N2826" s="3" t="s">
        <v>1696</v>
      </c>
      <c r="O2826" s="3">
        <v>1.9708992328E11</v>
      </c>
    </row>
    <row r="2827">
      <c r="A2827" s="3">
        <v>2625029.0</v>
      </c>
      <c r="B2827" s="3" t="s">
        <v>5806</v>
      </c>
      <c r="C2827" s="3" t="b">
        <v>0</v>
      </c>
      <c r="D2827" s="3" t="b">
        <v>1</v>
      </c>
      <c r="E2827" s="3" t="s">
        <v>5807</v>
      </c>
      <c r="F2827" s="3" t="s">
        <v>5808</v>
      </c>
      <c r="G2827" s="4">
        <f>+251923008068</f>
        <v>251923008068</v>
      </c>
      <c r="H2827" s="3" t="s">
        <v>18</v>
      </c>
      <c r="I2827" s="3" t="s">
        <v>19</v>
      </c>
      <c r="J2827" s="3" t="s">
        <v>19</v>
      </c>
      <c r="K2827" s="3" t="s">
        <v>20</v>
      </c>
      <c r="L2827" s="3">
        <v>25.01</v>
      </c>
      <c r="M2827" s="3" t="s">
        <v>1695</v>
      </c>
      <c r="N2827" s="3" t="s">
        <v>1696</v>
      </c>
      <c r="O2827" s="3">
        <v>1.97087141089E11</v>
      </c>
    </row>
    <row r="2828">
      <c r="A2828" s="3">
        <v>2625034.0</v>
      </c>
      <c r="B2828" s="3" t="s">
        <v>5809</v>
      </c>
      <c r="C2828" s="3" t="b">
        <v>0</v>
      </c>
      <c r="D2828" s="3" t="b">
        <v>1</v>
      </c>
      <c r="E2828" s="3" t="s">
        <v>5810</v>
      </c>
      <c r="F2828" s="3" t="s">
        <v>5811</v>
      </c>
      <c r="G2828" s="4">
        <f>+251929098863</f>
        <v>251929098863</v>
      </c>
      <c r="H2828" s="3" t="s">
        <v>18</v>
      </c>
      <c r="I2828" s="3" t="s">
        <v>19</v>
      </c>
      <c r="J2828" s="3" t="s">
        <v>19</v>
      </c>
      <c r="K2828" s="3" t="s">
        <v>25</v>
      </c>
      <c r="L2828" s="3">
        <v>26.05</v>
      </c>
      <c r="M2828" s="3" t="s">
        <v>1695</v>
      </c>
      <c r="N2828" s="3" t="s">
        <v>1696</v>
      </c>
      <c r="O2828" s="3">
        <v>1.97087239382E11</v>
      </c>
    </row>
    <row r="2829">
      <c r="A2829" s="3">
        <v>2625038.0</v>
      </c>
      <c r="B2829" s="3" t="s">
        <v>5812</v>
      </c>
      <c r="C2829" s="3" t="b">
        <v>0</v>
      </c>
      <c r="D2829" s="3" t="b">
        <v>1</v>
      </c>
      <c r="E2829" s="3" t="s">
        <v>98</v>
      </c>
      <c r="F2829" s="3" t="s">
        <v>58</v>
      </c>
      <c r="G2829" s="4">
        <f>+251910589285</f>
        <v>251910589285</v>
      </c>
      <c r="H2829" s="3" t="s">
        <v>18</v>
      </c>
      <c r="I2829" s="3" t="s">
        <v>19</v>
      </c>
      <c r="J2829" s="3" t="s">
        <v>19</v>
      </c>
      <c r="K2829" s="3" t="s">
        <v>25</v>
      </c>
      <c r="L2829" s="3">
        <v>25.01</v>
      </c>
      <c r="M2829" s="3" t="s">
        <v>1695</v>
      </c>
      <c r="N2829" s="3" t="s">
        <v>1696</v>
      </c>
      <c r="O2829" s="3">
        <v>1.97088746693E11</v>
      </c>
    </row>
    <row r="2830">
      <c r="A2830" s="3">
        <v>2625040.0</v>
      </c>
      <c r="B2830" s="3" t="s">
        <v>5813</v>
      </c>
      <c r="C2830" s="3" t="b">
        <v>0</v>
      </c>
      <c r="D2830" s="3" t="b">
        <v>1</v>
      </c>
      <c r="E2830" s="3" t="s">
        <v>5814</v>
      </c>
      <c r="F2830" s="3" t="s">
        <v>218</v>
      </c>
      <c r="G2830" s="4">
        <f>+251978454559</f>
        <v>251978454559</v>
      </c>
      <c r="H2830" s="3" t="s">
        <v>18</v>
      </c>
      <c r="I2830" s="3" t="s">
        <v>19</v>
      </c>
      <c r="J2830" s="3" t="s">
        <v>19</v>
      </c>
      <c r="K2830" s="3" t="s">
        <v>25</v>
      </c>
      <c r="L2830" s="3">
        <v>26.94</v>
      </c>
      <c r="M2830" s="3" t="s">
        <v>1695</v>
      </c>
      <c r="N2830" s="3" t="s">
        <v>1696</v>
      </c>
      <c r="O2830" s="3">
        <v>1.9709088072E11</v>
      </c>
    </row>
    <row r="2831">
      <c r="A2831" s="3">
        <v>2625048.0</v>
      </c>
      <c r="B2831" s="3" t="s">
        <v>5815</v>
      </c>
      <c r="C2831" s="3" t="b">
        <v>0</v>
      </c>
      <c r="D2831" s="3" t="b">
        <v>1</v>
      </c>
      <c r="E2831" s="3" t="s">
        <v>280</v>
      </c>
      <c r="F2831" s="3" t="s">
        <v>1232</v>
      </c>
      <c r="G2831" s="4">
        <f>+251910063143</f>
        <v>251910063143</v>
      </c>
      <c r="H2831" s="3" t="s">
        <v>18</v>
      </c>
      <c r="I2831" s="3" t="s">
        <v>19</v>
      </c>
      <c r="J2831" s="3" t="s">
        <v>19</v>
      </c>
      <c r="K2831" s="3" t="s">
        <v>25</v>
      </c>
      <c r="L2831" s="3">
        <v>25.01</v>
      </c>
      <c r="M2831" s="3" t="s">
        <v>1695</v>
      </c>
      <c r="N2831" s="3" t="s">
        <v>1696</v>
      </c>
      <c r="O2831" s="3">
        <v>1.9708509309E11</v>
      </c>
    </row>
    <row r="2832">
      <c r="A2832" s="3">
        <v>2625058.0</v>
      </c>
      <c r="B2832" s="3" t="s">
        <v>5816</v>
      </c>
      <c r="C2832" s="3" t="b">
        <v>0</v>
      </c>
      <c r="D2832" s="3" t="b">
        <v>1</v>
      </c>
      <c r="E2832" s="3" t="s">
        <v>479</v>
      </c>
      <c r="F2832" s="3" t="s">
        <v>5817</v>
      </c>
      <c r="G2832" s="4">
        <f>+251919170207</f>
        <v>251919170207</v>
      </c>
      <c r="H2832" s="3" t="s">
        <v>18</v>
      </c>
      <c r="I2832" s="3" t="s">
        <v>19</v>
      </c>
      <c r="J2832" s="3" t="s">
        <v>19</v>
      </c>
      <c r="K2832" s="3" t="s">
        <v>25</v>
      </c>
      <c r="L2832" s="3">
        <v>23.02</v>
      </c>
      <c r="M2832" s="3" t="s">
        <v>1695</v>
      </c>
      <c r="N2832" s="3" t="s">
        <v>1696</v>
      </c>
      <c r="O2832" s="3">
        <v>1.97089121518E11</v>
      </c>
    </row>
    <row r="2833">
      <c r="A2833" s="3">
        <v>2625063.0</v>
      </c>
      <c r="B2833" s="3" t="s">
        <v>5818</v>
      </c>
      <c r="C2833" s="3" t="b">
        <v>0</v>
      </c>
      <c r="D2833" s="3" t="b">
        <v>1</v>
      </c>
      <c r="E2833" s="3" t="s">
        <v>5819</v>
      </c>
      <c r="F2833" s="3" t="s">
        <v>946</v>
      </c>
      <c r="G2833" s="4">
        <f>+251925776539</f>
        <v>251925776539</v>
      </c>
      <c r="H2833" s="3" t="s">
        <v>18</v>
      </c>
      <c r="I2833" s="3" t="s">
        <v>19</v>
      </c>
      <c r="J2833" s="3" t="s">
        <v>19</v>
      </c>
      <c r="K2833" s="3" t="s">
        <v>25</v>
      </c>
      <c r="L2833" s="3">
        <v>23.12</v>
      </c>
      <c r="M2833" s="3" t="s">
        <v>1695</v>
      </c>
      <c r="N2833" s="3" t="s">
        <v>1696</v>
      </c>
      <c r="O2833" s="3">
        <v>1.97091071168E11</v>
      </c>
    </row>
    <row r="2834">
      <c r="A2834" s="3">
        <v>2625065.0</v>
      </c>
      <c r="B2834" s="3" t="s">
        <v>5820</v>
      </c>
      <c r="C2834" s="3" t="b">
        <v>0</v>
      </c>
      <c r="D2834" s="3" t="b">
        <v>1</v>
      </c>
      <c r="E2834" s="3" t="s">
        <v>131</v>
      </c>
      <c r="F2834" s="3" t="s">
        <v>5821</v>
      </c>
      <c r="G2834" s="4">
        <f>+251913024778</f>
        <v>251913024778</v>
      </c>
      <c r="H2834" s="3" t="s">
        <v>18</v>
      </c>
      <c r="I2834" s="3" t="s">
        <v>19</v>
      </c>
      <c r="J2834" s="3" t="s">
        <v>19</v>
      </c>
      <c r="K2834" s="3" t="s">
        <v>20</v>
      </c>
      <c r="L2834" s="3">
        <v>25.01</v>
      </c>
      <c r="M2834" s="3" t="s">
        <v>1695</v>
      </c>
      <c r="N2834" s="3" t="s">
        <v>1696</v>
      </c>
      <c r="O2834" s="3">
        <v>1.97091073218E11</v>
      </c>
    </row>
    <row r="2835">
      <c r="A2835" s="3">
        <v>2625074.0</v>
      </c>
      <c r="B2835" s="3" t="s">
        <v>5822</v>
      </c>
      <c r="C2835" s="3" t="b">
        <v>0</v>
      </c>
      <c r="D2835" s="3" t="b">
        <v>1</v>
      </c>
      <c r="E2835" s="3" t="s">
        <v>5823</v>
      </c>
      <c r="F2835" s="3" t="s">
        <v>5824</v>
      </c>
      <c r="G2835" s="4">
        <f>+251921985545</f>
        <v>251921985545</v>
      </c>
      <c r="H2835" s="3" t="s">
        <v>18</v>
      </c>
      <c r="I2835" s="3" t="s">
        <v>19</v>
      </c>
      <c r="J2835" s="3" t="s">
        <v>19</v>
      </c>
      <c r="K2835" s="3" t="s">
        <v>25</v>
      </c>
      <c r="L2835" s="3">
        <v>27.19</v>
      </c>
      <c r="M2835" s="3" t="s">
        <v>1695</v>
      </c>
      <c r="N2835" s="3" t="s">
        <v>1696</v>
      </c>
      <c r="O2835" s="3">
        <v>1.97089395939E11</v>
      </c>
    </row>
    <row r="2836">
      <c r="A2836" s="3">
        <v>2625091.0</v>
      </c>
      <c r="B2836" s="3" t="s">
        <v>5825</v>
      </c>
      <c r="C2836" s="3" t="b">
        <v>0</v>
      </c>
      <c r="D2836" s="3" t="b">
        <v>1</v>
      </c>
      <c r="E2836" s="3" t="s">
        <v>5826</v>
      </c>
      <c r="F2836" s="3" t="s">
        <v>4720</v>
      </c>
      <c r="G2836" s="4">
        <f>+251987273734</f>
        <v>251987273734</v>
      </c>
      <c r="H2836" s="3" t="s">
        <v>18</v>
      </c>
      <c r="I2836" s="3" t="s">
        <v>19</v>
      </c>
      <c r="J2836" s="3" t="s">
        <v>19</v>
      </c>
      <c r="K2836" s="3" t="s">
        <v>25</v>
      </c>
      <c r="L2836" s="3">
        <v>24.01</v>
      </c>
      <c r="M2836" s="3" t="s">
        <v>1695</v>
      </c>
      <c r="N2836" s="3" t="s">
        <v>1696</v>
      </c>
      <c r="O2836" s="3">
        <v>1.97105676488E11</v>
      </c>
    </row>
    <row r="2837">
      <c r="A2837" s="3">
        <v>2625096.0</v>
      </c>
      <c r="B2837" s="3" t="s">
        <v>5827</v>
      </c>
      <c r="C2837" s="3" t="b">
        <v>0</v>
      </c>
      <c r="D2837" s="3" t="b">
        <v>1</v>
      </c>
      <c r="E2837" s="3" t="s">
        <v>4110</v>
      </c>
      <c r="F2837" s="3" t="s">
        <v>3955</v>
      </c>
      <c r="G2837" s="4">
        <f>+251917874366</f>
        <v>251917874366</v>
      </c>
      <c r="H2837" s="3" t="s">
        <v>18</v>
      </c>
      <c r="I2837" s="3" t="s">
        <v>19</v>
      </c>
      <c r="J2837" s="3" t="s">
        <v>19</v>
      </c>
      <c r="K2837" s="3" t="s">
        <v>25</v>
      </c>
      <c r="L2837" s="3">
        <v>27.12</v>
      </c>
      <c r="M2837" s="3" t="s">
        <v>1695</v>
      </c>
      <c r="N2837" s="3" t="s">
        <v>1696</v>
      </c>
      <c r="O2837" s="3">
        <v>1.97092516051E11</v>
      </c>
    </row>
    <row r="2838">
      <c r="A2838" s="3">
        <v>2625110.0</v>
      </c>
      <c r="B2838" s="3" t="s">
        <v>5828</v>
      </c>
      <c r="C2838" s="3" t="b">
        <v>0</v>
      </c>
      <c r="D2838" s="3" t="b">
        <v>1</v>
      </c>
      <c r="E2838" s="3" t="s">
        <v>1549</v>
      </c>
      <c r="F2838" s="3" t="s">
        <v>96</v>
      </c>
      <c r="G2838" s="4">
        <f>+251988623703</f>
        <v>251988623703</v>
      </c>
      <c r="H2838" s="3" t="s">
        <v>18</v>
      </c>
      <c r="I2838" s="3" t="s">
        <v>19</v>
      </c>
      <c r="J2838" s="3" t="s">
        <v>19</v>
      </c>
      <c r="K2838" s="3" t="s">
        <v>25</v>
      </c>
      <c r="L2838" s="3">
        <v>23.01</v>
      </c>
      <c r="M2838" s="3" t="s">
        <v>1695</v>
      </c>
      <c r="N2838" s="3" t="s">
        <v>1696</v>
      </c>
      <c r="O2838" s="3">
        <v>634695.0</v>
      </c>
    </row>
    <row r="2839">
      <c r="A2839" s="3">
        <v>2625111.0</v>
      </c>
      <c r="B2839" s="3" t="s">
        <v>5829</v>
      </c>
      <c r="C2839" s="3" t="b">
        <v>0</v>
      </c>
      <c r="D2839" s="3" t="b">
        <v>1</v>
      </c>
      <c r="E2839" s="3" t="s">
        <v>5830</v>
      </c>
      <c r="F2839" s="3" t="s">
        <v>5831</v>
      </c>
      <c r="G2839" s="4">
        <f>+251944224240</f>
        <v>251944224240</v>
      </c>
      <c r="H2839" s="3" t="s">
        <v>18</v>
      </c>
      <c r="I2839" s="3" t="s">
        <v>19</v>
      </c>
      <c r="J2839" s="3" t="s">
        <v>19</v>
      </c>
      <c r="K2839" s="3" t="s">
        <v>25</v>
      </c>
      <c r="L2839" s="3">
        <v>13.28</v>
      </c>
      <c r="M2839" s="3" t="s">
        <v>1695</v>
      </c>
      <c r="N2839" s="3" t="s">
        <v>1696</v>
      </c>
      <c r="O2839" s="3">
        <v>1.97095431362E11</v>
      </c>
    </row>
    <row r="2840">
      <c r="A2840" s="3">
        <v>2625129.0</v>
      </c>
      <c r="B2840" s="3" t="s">
        <v>5832</v>
      </c>
      <c r="C2840" s="3" t="b">
        <v>0</v>
      </c>
      <c r="D2840" s="3" t="b">
        <v>1</v>
      </c>
      <c r="E2840" s="3" t="s">
        <v>1224</v>
      </c>
      <c r="F2840" s="3" t="s">
        <v>5833</v>
      </c>
      <c r="G2840" s="4">
        <f>+251911770242</f>
        <v>251911770242</v>
      </c>
      <c r="H2840" s="3" t="s">
        <v>18</v>
      </c>
      <c r="I2840" s="3" t="s">
        <v>19</v>
      </c>
      <c r="J2840" s="3" t="s">
        <v>19</v>
      </c>
      <c r="K2840" s="3" t="s">
        <v>25</v>
      </c>
      <c r="L2840" s="3">
        <v>25.86</v>
      </c>
      <c r="M2840" s="3" t="s">
        <v>1695</v>
      </c>
      <c r="N2840" s="3" t="s">
        <v>1696</v>
      </c>
      <c r="O2840" s="3">
        <v>1.97095666883E11</v>
      </c>
    </row>
    <row r="2841">
      <c r="A2841" s="3">
        <v>2625139.0</v>
      </c>
      <c r="B2841" s="3" t="s">
        <v>5834</v>
      </c>
      <c r="C2841" s="3" t="b">
        <v>0</v>
      </c>
      <c r="D2841" s="3" t="b">
        <v>1</v>
      </c>
      <c r="E2841" s="3" t="s">
        <v>1269</v>
      </c>
      <c r="F2841" s="3" t="s">
        <v>5835</v>
      </c>
      <c r="G2841" s="4">
        <f>+251919570924</f>
        <v>251919570924</v>
      </c>
      <c r="H2841" s="3" t="s">
        <v>18</v>
      </c>
      <c r="I2841" s="3" t="s">
        <v>19</v>
      </c>
      <c r="J2841" s="3" t="s">
        <v>19</v>
      </c>
      <c r="K2841" s="3" t="s">
        <v>25</v>
      </c>
      <c r="L2841" s="3">
        <v>23.95</v>
      </c>
      <c r="M2841" s="3" t="s">
        <v>1695</v>
      </c>
      <c r="N2841" s="3" t="s">
        <v>1696</v>
      </c>
      <c r="O2841" s="3">
        <v>1.97098167488E11</v>
      </c>
    </row>
    <row r="2842">
      <c r="A2842" s="3">
        <v>2625143.0</v>
      </c>
      <c r="B2842" s="3" t="s">
        <v>5836</v>
      </c>
      <c r="C2842" s="3" t="b">
        <v>0</v>
      </c>
      <c r="D2842" s="3" t="b">
        <v>1</v>
      </c>
      <c r="E2842" s="3" t="s">
        <v>2105</v>
      </c>
      <c r="F2842" s="3" t="s">
        <v>274</v>
      </c>
      <c r="G2842" s="4">
        <f>+251949508943</f>
        <v>251949508943</v>
      </c>
      <c r="H2842" s="3" t="s">
        <v>18</v>
      </c>
      <c r="I2842" s="3" t="s">
        <v>19</v>
      </c>
      <c r="J2842" s="3" t="s">
        <v>19</v>
      </c>
      <c r="K2842" s="3" t="s">
        <v>25</v>
      </c>
      <c r="L2842" s="3">
        <v>23.01</v>
      </c>
      <c r="M2842" s="3" t="s">
        <v>1695</v>
      </c>
      <c r="N2842" s="3" t="s">
        <v>1696</v>
      </c>
      <c r="O2842" s="3">
        <v>1.97104483536E11</v>
      </c>
    </row>
    <row r="2843">
      <c r="A2843" s="3">
        <v>2625151.0</v>
      </c>
      <c r="B2843" s="3" t="s">
        <v>5837</v>
      </c>
      <c r="C2843" s="3" t="b">
        <v>0</v>
      </c>
      <c r="D2843" s="3" t="b">
        <v>1</v>
      </c>
      <c r="E2843" s="3" t="s">
        <v>101</v>
      </c>
      <c r="F2843" s="3" t="s">
        <v>5838</v>
      </c>
      <c r="G2843" s="4">
        <f>+251913576635</f>
        <v>251913576635</v>
      </c>
      <c r="H2843" s="3" t="s">
        <v>18</v>
      </c>
      <c r="I2843" s="3" t="s">
        <v>19</v>
      </c>
      <c r="J2843" s="3" t="s">
        <v>19</v>
      </c>
      <c r="K2843" s="3" t="s">
        <v>25</v>
      </c>
      <c r="L2843" s="3">
        <v>29.01</v>
      </c>
      <c r="M2843" s="3" t="s">
        <v>1695</v>
      </c>
      <c r="N2843" s="3" t="s">
        <v>1696</v>
      </c>
      <c r="O2843" s="3">
        <v>1.97099868396E11</v>
      </c>
    </row>
    <row r="2844">
      <c r="A2844" s="3">
        <v>2625160.0</v>
      </c>
      <c r="B2844" s="3" t="s">
        <v>5839</v>
      </c>
      <c r="C2844" s="3" t="b">
        <v>0</v>
      </c>
      <c r="D2844" s="3" t="b">
        <v>1</v>
      </c>
      <c r="E2844" s="3" t="s">
        <v>5840</v>
      </c>
      <c r="F2844" s="3" t="s">
        <v>404</v>
      </c>
      <c r="G2844" s="4">
        <f>+251940776896</f>
        <v>251940776896</v>
      </c>
      <c r="H2844" s="3" t="s">
        <v>18</v>
      </c>
      <c r="I2844" s="3" t="s">
        <v>19</v>
      </c>
      <c r="J2844" s="3" t="s">
        <v>19</v>
      </c>
      <c r="K2844" s="3" t="s">
        <v>25</v>
      </c>
      <c r="L2844" s="3">
        <v>25.01</v>
      </c>
      <c r="M2844" s="3" t="s">
        <v>1695</v>
      </c>
      <c r="N2844" s="3" t="s">
        <v>1696</v>
      </c>
      <c r="O2844" s="3">
        <v>1.97097277667E11</v>
      </c>
    </row>
    <row r="2845">
      <c r="A2845" s="3">
        <v>2625169.0</v>
      </c>
      <c r="B2845" s="3" t="s">
        <v>5841</v>
      </c>
      <c r="C2845" s="3" t="b">
        <v>0</v>
      </c>
      <c r="D2845" s="3" t="b">
        <v>1</v>
      </c>
      <c r="E2845" s="3" t="s">
        <v>101</v>
      </c>
      <c r="F2845" s="3" t="s">
        <v>5838</v>
      </c>
      <c r="G2845" s="4">
        <f>+251913576635</f>
        <v>251913576635</v>
      </c>
      <c r="H2845" s="3" t="s">
        <v>18</v>
      </c>
      <c r="I2845" s="3" t="s">
        <v>19</v>
      </c>
      <c r="J2845" s="3" t="s">
        <v>19</v>
      </c>
      <c r="K2845" s="3" t="s">
        <v>25</v>
      </c>
      <c r="L2845" s="3">
        <v>25.53</v>
      </c>
      <c r="M2845" s="3" t="s">
        <v>1695</v>
      </c>
      <c r="N2845" s="3" t="s">
        <v>1696</v>
      </c>
      <c r="O2845" s="3">
        <v>1.97106208959E11</v>
      </c>
    </row>
    <row r="2846">
      <c r="A2846" s="3">
        <v>2625171.0</v>
      </c>
      <c r="B2846" s="3" t="s">
        <v>5842</v>
      </c>
      <c r="C2846" s="3" t="b">
        <v>0</v>
      </c>
      <c r="D2846" s="3" t="b">
        <v>1</v>
      </c>
      <c r="E2846" s="3" t="s">
        <v>2290</v>
      </c>
      <c r="F2846" s="3" t="s">
        <v>5843</v>
      </c>
      <c r="G2846" s="4">
        <f>+251940051005</f>
        <v>251940051005</v>
      </c>
      <c r="H2846" s="3" t="s">
        <v>18</v>
      </c>
      <c r="I2846" s="3" t="s">
        <v>19</v>
      </c>
      <c r="J2846" s="3" t="s">
        <v>19</v>
      </c>
      <c r="K2846" s="3" t="s">
        <v>20</v>
      </c>
      <c r="L2846" s="3">
        <v>26.01</v>
      </c>
      <c r="M2846" s="3" t="s">
        <v>1695</v>
      </c>
      <c r="N2846" s="3" t="s">
        <v>1696</v>
      </c>
      <c r="O2846" s="3">
        <v>1.97110476989E11</v>
      </c>
    </row>
    <row r="2847">
      <c r="A2847" s="3">
        <v>2625177.0</v>
      </c>
      <c r="B2847" s="3" t="s">
        <v>5844</v>
      </c>
      <c r="C2847" s="3" t="b">
        <v>0</v>
      </c>
      <c r="D2847" s="3" t="b">
        <v>1</v>
      </c>
      <c r="E2847" s="3" t="s">
        <v>5845</v>
      </c>
      <c r="F2847" s="3" t="s">
        <v>3919</v>
      </c>
      <c r="G2847" s="4">
        <f>+251934999888</f>
        <v>251934999888</v>
      </c>
      <c r="H2847" s="3" t="s">
        <v>18</v>
      </c>
      <c r="I2847" s="3" t="s">
        <v>19</v>
      </c>
      <c r="J2847" s="3" t="s">
        <v>19</v>
      </c>
      <c r="K2847" s="3" t="s">
        <v>25</v>
      </c>
      <c r="L2847" s="3">
        <v>26.78</v>
      </c>
      <c r="M2847" s="3" t="s">
        <v>1695</v>
      </c>
      <c r="N2847" s="3" t="s">
        <v>1696</v>
      </c>
      <c r="O2847" s="3">
        <v>1.97121279209E11</v>
      </c>
    </row>
    <row r="2848">
      <c r="A2848" s="3">
        <v>2625189.0</v>
      </c>
      <c r="B2848" s="3" t="s">
        <v>5846</v>
      </c>
      <c r="C2848" s="3" t="b">
        <v>0</v>
      </c>
      <c r="D2848" s="3" t="b">
        <v>1</v>
      </c>
      <c r="E2848" s="3" t="s">
        <v>724</v>
      </c>
      <c r="F2848" s="3" t="s">
        <v>5847</v>
      </c>
      <c r="G2848" s="4">
        <f>+251911064258</f>
        <v>251911064258</v>
      </c>
      <c r="H2848" s="3" t="s">
        <v>18</v>
      </c>
      <c r="I2848" s="3" t="s">
        <v>19</v>
      </c>
      <c r="J2848" s="3" t="s">
        <v>19</v>
      </c>
      <c r="K2848" s="3" t="s">
        <v>25</v>
      </c>
      <c r="L2848" s="3">
        <v>22.2</v>
      </c>
      <c r="M2848" s="3" t="s">
        <v>1695</v>
      </c>
      <c r="N2848" s="3" t="s">
        <v>1696</v>
      </c>
      <c r="O2848" s="3">
        <v>1.97109138669E11</v>
      </c>
    </row>
    <row r="2849">
      <c r="A2849" s="3">
        <v>2625201.0</v>
      </c>
      <c r="B2849" s="3" t="s">
        <v>5848</v>
      </c>
      <c r="C2849" s="3" t="b">
        <v>0</v>
      </c>
      <c r="D2849" s="3" t="b">
        <v>1</v>
      </c>
      <c r="E2849" s="3" t="s">
        <v>5849</v>
      </c>
      <c r="F2849" s="3" t="s">
        <v>5850</v>
      </c>
      <c r="G2849" s="4">
        <f>+251913135516</f>
        <v>251913135516</v>
      </c>
      <c r="H2849" s="3" t="s">
        <v>18</v>
      </c>
      <c r="I2849" s="3" t="s">
        <v>19</v>
      </c>
      <c r="J2849" s="3" t="s">
        <v>19</v>
      </c>
      <c r="K2849" s="3" t="s">
        <v>25</v>
      </c>
      <c r="L2849" s="3">
        <v>19.88</v>
      </c>
      <c r="M2849" s="3" t="s">
        <v>1695</v>
      </c>
      <c r="N2849" s="3" t="s">
        <v>1696</v>
      </c>
      <c r="O2849" s="3">
        <v>1.971226606E11</v>
      </c>
    </row>
    <row r="2850">
      <c r="A2850" s="3">
        <v>2625209.0</v>
      </c>
      <c r="B2850" s="3" t="s">
        <v>5851</v>
      </c>
      <c r="C2850" s="3" t="b">
        <v>0</v>
      </c>
      <c r="D2850" s="3" t="b">
        <v>1</v>
      </c>
      <c r="E2850" s="3" t="s">
        <v>2161</v>
      </c>
      <c r="F2850" s="3" t="s">
        <v>1924</v>
      </c>
      <c r="G2850" s="4">
        <f>+251931333833</f>
        <v>251931333833</v>
      </c>
      <c r="H2850" s="3" t="s">
        <v>18</v>
      </c>
      <c r="I2850" s="3" t="s">
        <v>19</v>
      </c>
      <c r="J2850" s="3" t="s">
        <v>19</v>
      </c>
      <c r="K2850" s="3" t="s">
        <v>25</v>
      </c>
      <c r="L2850" s="3">
        <v>25.92</v>
      </c>
      <c r="M2850" s="3" t="s">
        <v>1695</v>
      </c>
      <c r="N2850" s="3" t="s">
        <v>1696</v>
      </c>
      <c r="O2850" s="3">
        <v>1.97112448193E11</v>
      </c>
    </row>
    <row r="2851">
      <c r="A2851" s="3">
        <v>2625219.0</v>
      </c>
      <c r="B2851" s="3" t="s">
        <v>5852</v>
      </c>
      <c r="C2851" s="3" t="b">
        <v>0</v>
      </c>
      <c r="D2851" s="3" t="b">
        <v>1</v>
      </c>
      <c r="E2851" s="3" t="s">
        <v>279</v>
      </c>
      <c r="F2851" s="3" t="s">
        <v>1314</v>
      </c>
      <c r="G2851" s="4">
        <f>+251955392267</f>
        <v>251955392267</v>
      </c>
      <c r="H2851" s="3" t="s">
        <v>18</v>
      </c>
      <c r="I2851" s="3" t="s">
        <v>19</v>
      </c>
      <c r="J2851" s="3" t="s">
        <v>19</v>
      </c>
      <c r="K2851" s="3" t="s">
        <v>25</v>
      </c>
      <c r="L2851" s="3">
        <v>28.85</v>
      </c>
      <c r="M2851" s="3" t="s">
        <v>1695</v>
      </c>
      <c r="N2851" s="3" t="s">
        <v>1696</v>
      </c>
      <c r="O2851" s="3">
        <v>1.97124346097E11</v>
      </c>
    </row>
    <row r="2852">
      <c r="A2852" s="3">
        <v>2625225.0</v>
      </c>
      <c r="B2852" s="3" t="s">
        <v>5853</v>
      </c>
      <c r="C2852" s="3" t="b">
        <v>0</v>
      </c>
      <c r="D2852" s="3" t="b">
        <v>1</v>
      </c>
      <c r="E2852" s="3" t="s">
        <v>5854</v>
      </c>
      <c r="F2852" s="3" t="s">
        <v>3919</v>
      </c>
      <c r="G2852" s="4">
        <f>+251912464058</f>
        <v>251912464058</v>
      </c>
      <c r="H2852" s="3" t="s">
        <v>18</v>
      </c>
      <c r="I2852" s="3" t="s">
        <v>19</v>
      </c>
      <c r="J2852" s="3" t="s">
        <v>19</v>
      </c>
      <c r="K2852" s="3" t="s">
        <v>25</v>
      </c>
      <c r="L2852" s="3">
        <v>23.29</v>
      </c>
      <c r="M2852" s="3" t="s">
        <v>1695</v>
      </c>
      <c r="N2852" s="3" t="s">
        <v>1696</v>
      </c>
      <c r="O2852" s="3">
        <v>1.97110308076E11</v>
      </c>
    </row>
    <row r="2853">
      <c r="A2853" s="3">
        <v>2625239.0</v>
      </c>
      <c r="B2853" s="3" t="s">
        <v>5855</v>
      </c>
      <c r="C2853" s="3" t="b">
        <v>0</v>
      </c>
      <c r="D2853" s="3" t="b">
        <v>1</v>
      </c>
      <c r="E2853" s="3" t="s">
        <v>328</v>
      </c>
      <c r="F2853" s="3" t="s">
        <v>5856</v>
      </c>
      <c r="G2853" s="4">
        <f>+251910499822</f>
        <v>251910499822</v>
      </c>
      <c r="H2853" s="3" t="s">
        <v>18</v>
      </c>
      <c r="I2853" s="3" t="s">
        <v>19</v>
      </c>
      <c r="J2853" s="3" t="s">
        <v>19</v>
      </c>
      <c r="K2853" s="3" t="s">
        <v>25</v>
      </c>
      <c r="L2853" s="3">
        <v>24.71</v>
      </c>
      <c r="M2853" s="3" t="s">
        <v>1695</v>
      </c>
      <c r="N2853" s="3" t="s">
        <v>1696</v>
      </c>
      <c r="O2853" s="3">
        <v>1.97111862489E11</v>
      </c>
    </row>
    <row r="2854">
      <c r="A2854" s="3">
        <v>2625247.0</v>
      </c>
      <c r="B2854" s="3" t="s">
        <v>5857</v>
      </c>
      <c r="C2854" s="3" t="b">
        <v>0</v>
      </c>
      <c r="D2854" s="3" t="b">
        <v>1</v>
      </c>
      <c r="E2854" s="3" t="s">
        <v>387</v>
      </c>
      <c r="F2854" s="3" t="s">
        <v>196</v>
      </c>
      <c r="G2854" s="4">
        <f>+251964652404</f>
        <v>251964652404</v>
      </c>
      <c r="H2854" s="3" t="s">
        <v>18</v>
      </c>
      <c r="I2854" s="3" t="s">
        <v>19</v>
      </c>
      <c r="J2854" s="3" t="s">
        <v>19</v>
      </c>
      <c r="K2854" s="3" t="s">
        <v>25</v>
      </c>
      <c r="L2854" s="3">
        <v>24.77</v>
      </c>
      <c r="M2854" s="3" t="s">
        <v>1695</v>
      </c>
      <c r="N2854" s="3" t="s">
        <v>1696</v>
      </c>
      <c r="O2854" s="3">
        <v>1.97126546667E11</v>
      </c>
    </row>
    <row r="2855">
      <c r="A2855" s="3">
        <v>2625257.0</v>
      </c>
      <c r="B2855" s="3" t="s">
        <v>5858</v>
      </c>
      <c r="C2855" s="3" t="b">
        <v>0</v>
      </c>
      <c r="D2855" s="3" t="b">
        <v>1</v>
      </c>
      <c r="E2855" s="3" t="s">
        <v>5859</v>
      </c>
      <c r="F2855" s="3" t="s">
        <v>1561</v>
      </c>
      <c r="G2855" s="4">
        <f>+251090393436</f>
        <v>251090393436</v>
      </c>
      <c r="H2855" s="3" t="s">
        <v>18</v>
      </c>
      <c r="I2855" s="3" t="s">
        <v>19</v>
      </c>
      <c r="J2855" s="3" t="s">
        <v>19</v>
      </c>
      <c r="K2855" s="3" t="s">
        <v>20</v>
      </c>
      <c r="L2855" s="3">
        <v>32.88</v>
      </c>
      <c r="M2855" s="3" t="s">
        <v>1695</v>
      </c>
      <c r="N2855" s="3" t="s">
        <v>1696</v>
      </c>
      <c r="O2855" s="3">
        <v>1.97128483006E11</v>
      </c>
    </row>
    <row r="2856">
      <c r="A2856" s="3">
        <v>2625266.0</v>
      </c>
      <c r="B2856" s="3" t="s">
        <v>5860</v>
      </c>
      <c r="C2856" s="3" t="b">
        <v>0</v>
      </c>
      <c r="D2856" s="3" t="b">
        <v>1</v>
      </c>
      <c r="E2856" s="3" t="s">
        <v>1988</v>
      </c>
      <c r="F2856" s="3" t="s">
        <v>3317</v>
      </c>
      <c r="G2856" s="4">
        <f>+251912491696</f>
        <v>251912491696</v>
      </c>
      <c r="H2856" s="3" t="s">
        <v>18</v>
      </c>
      <c r="I2856" s="3" t="s">
        <v>19</v>
      </c>
      <c r="J2856" s="3" t="s">
        <v>19</v>
      </c>
      <c r="K2856" s="3" t="s">
        <v>25</v>
      </c>
      <c r="L2856" s="3">
        <v>22.93</v>
      </c>
      <c r="M2856" s="3" t="s">
        <v>1695</v>
      </c>
      <c r="N2856" s="3" t="s">
        <v>1696</v>
      </c>
      <c r="O2856" s="3">
        <v>1.97126015201E11</v>
      </c>
    </row>
    <row r="2857">
      <c r="A2857" s="3">
        <v>2625271.0</v>
      </c>
      <c r="B2857" s="3" t="s">
        <v>5861</v>
      </c>
      <c r="C2857" s="3" t="b">
        <v>0</v>
      </c>
      <c r="D2857" s="3" t="b">
        <v>1</v>
      </c>
      <c r="E2857" s="3" t="s">
        <v>404</v>
      </c>
      <c r="F2857" s="3" t="s">
        <v>2403</v>
      </c>
      <c r="G2857" s="4">
        <f>+251942681913</f>
        <v>251942681913</v>
      </c>
      <c r="H2857" s="3" t="s">
        <v>18</v>
      </c>
      <c r="I2857" s="3" t="s">
        <v>19</v>
      </c>
      <c r="J2857" s="3" t="s">
        <v>19</v>
      </c>
      <c r="K2857" s="3" t="s">
        <v>25</v>
      </c>
      <c r="L2857" s="3">
        <v>22.93</v>
      </c>
      <c r="M2857" s="3" t="s">
        <v>1695</v>
      </c>
      <c r="N2857" s="3" t="s">
        <v>1696</v>
      </c>
      <c r="O2857" s="3">
        <v>8968160.0</v>
      </c>
    </row>
    <row r="2858">
      <c r="A2858" s="3">
        <v>2625280.0</v>
      </c>
      <c r="B2858" s="3" t="s">
        <v>5862</v>
      </c>
      <c r="C2858" s="3" t="b">
        <v>0</v>
      </c>
      <c r="D2858" s="3" t="b">
        <v>1</v>
      </c>
      <c r="E2858" s="3" t="s">
        <v>1104</v>
      </c>
      <c r="F2858" s="3" t="s">
        <v>1060</v>
      </c>
      <c r="G2858" s="4">
        <f>+251991169716</f>
        <v>251991169716</v>
      </c>
      <c r="H2858" s="3" t="s">
        <v>18</v>
      </c>
      <c r="I2858" s="3" t="s">
        <v>19</v>
      </c>
      <c r="J2858" s="3" t="s">
        <v>19</v>
      </c>
      <c r="K2858" s="3" t="s">
        <v>25</v>
      </c>
      <c r="L2858" s="3">
        <v>21.2</v>
      </c>
      <c r="M2858" s="3" t="s">
        <v>1695</v>
      </c>
      <c r="N2858" s="3" t="s">
        <v>1696</v>
      </c>
      <c r="O2858" s="3">
        <v>1.97121493212E11</v>
      </c>
    </row>
    <row r="2859">
      <c r="A2859" s="3">
        <v>2625289.0</v>
      </c>
      <c r="B2859" s="3" t="s">
        <v>5863</v>
      </c>
      <c r="C2859" s="3" t="b">
        <v>0</v>
      </c>
      <c r="D2859" s="3" t="b">
        <v>1</v>
      </c>
      <c r="E2859" s="3" t="s">
        <v>5106</v>
      </c>
      <c r="F2859" s="3" t="s">
        <v>5864</v>
      </c>
      <c r="G2859" s="4">
        <f>+251968397919</f>
        <v>251968397919</v>
      </c>
      <c r="H2859" s="3" t="s">
        <v>18</v>
      </c>
      <c r="I2859" s="3" t="s">
        <v>19</v>
      </c>
      <c r="J2859" s="3" t="s">
        <v>19</v>
      </c>
      <c r="K2859" s="3" t="s">
        <v>25</v>
      </c>
      <c r="L2859" s="3">
        <v>20.91</v>
      </c>
      <c r="M2859" s="3" t="s">
        <v>1695</v>
      </c>
      <c r="N2859" s="3" t="s">
        <v>1696</v>
      </c>
      <c r="O2859" s="3">
        <v>1.97119982815E11</v>
      </c>
    </row>
    <row r="2860">
      <c r="A2860" s="3">
        <v>1157778.0</v>
      </c>
      <c r="B2860" s="3" t="s">
        <v>5865</v>
      </c>
      <c r="C2860" s="3" t="b">
        <v>1</v>
      </c>
      <c r="D2860" s="3" t="b">
        <v>1</v>
      </c>
      <c r="E2860" s="3" t="s">
        <v>2680</v>
      </c>
      <c r="F2860" s="3" t="s">
        <v>5866</v>
      </c>
      <c r="G2860" s="3">
        <v>9.13772358E8</v>
      </c>
      <c r="H2860" s="3" t="s">
        <v>18</v>
      </c>
      <c r="I2860" s="3" t="s">
        <v>19</v>
      </c>
      <c r="J2860" s="3" t="s">
        <v>19</v>
      </c>
      <c r="K2860" s="3" t="s">
        <v>25</v>
      </c>
      <c r="L2860" s="3">
        <v>26.54</v>
      </c>
      <c r="M2860" s="3" t="s">
        <v>1695</v>
      </c>
      <c r="N2860" s="3" t="s">
        <v>1696</v>
      </c>
      <c r="O2860" s="3">
        <v>2310722.0</v>
      </c>
    </row>
    <row r="2861">
      <c r="A2861" s="3">
        <v>1672890.0</v>
      </c>
      <c r="B2861" s="3" t="s">
        <v>5867</v>
      </c>
      <c r="C2861" s="3" t="b">
        <v>1</v>
      </c>
      <c r="D2861" s="3" t="b">
        <v>1</v>
      </c>
      <c r="E2861" s="3" t="s">
        <v>5868</v>
      </c>
      <c r="F2861" s="3" t="s">
        <v>5869</v>
      </c>
      <c r="G2861" s="4">
        <f>+233536861670</f>
        <v>233536861670</v>
      </c>
      <c r="H2861" s="3" t="s">
        <v>18</v>
      </c>
      <c r="I2861" s="3" t="s">
        <v>19</v>
      </c>
      <c r="J2861" s="3" t="s">
        <v>19</v>
      </c>
      <c r="K2861" s="3" t="s">
        <v>20</v>
      </c>
      <c r="L2861" s="3">
        <v>27.46</v>
      </c>
      <c r="M2861" s="3" t="s">
        <v>1695</v>
      </c>
      <c r="N2861" s="3" t="s">
        <v>1696</v>
      </c>
      <c r="O2861" s="3">
        <v>2.1352721351E10</v>
      </c>
    </row>
    <row r="2862">
      <c r="A2862" s="3">
        <v>2625750.0</v>
      </c>
      <c r="B2862" s="3" t="s">
        <v>5870</v>
      </c>
      <c r="C2862" s="3" t="b">
        <v>0</v>
      </c>
      <c r="D2862" s="3" t="b">
        <v>1</v>
      </c>
      <c r="E2862" s="3" t="s">
        <v>4982</v>
      </c>
      <c r="F2862" s="3" t="s">
        <v>701</v>
      </c>
      <c r="G2862" s="4">
        <f>+251907783064</f>
        <v>251907783064</v>
      </c>
      <c r="H2862" s="3" t="s">
        <v>18</v>
      </c>
      <c r="I2862" s="3" t="s">
        <v>19</v>
      </c>
      <c r="J2862" s="3" t="s">
        <v>19</v>
      </c>
      <c r="K2862" s="3" t="s">
        <v>25</v>
      </c>
      <c r="L2862" s="3">
        <v>37.01</v>
      </c>
      <c r="M2862" s="3" t="s">
        <v>1695</v>
      </c>
      <c r="N2862" s="3" t="s">
        <v>1696</v>
      </c>
      <c r="O2862" s="3">
        <v>1.97185924328E11</v>
      </c>
    </row>
    <row r="2863">
      <c r="A2863" s="3">
        <v>2091912.0</v>
      </c>
      <c r="B2863" s="3" t="s">
        <v>5871</v>
      </c>
      <c r="C2863" s="3" t="b">
        <v>1</v>
      </c>
      <c r="D2863" s="3" t="b">
        <v>1</v>
      </c>
      <c r="E2863" s="3" t="s">
        <v>5872</v>
      </c>
      <c r="F2863" s="3" t="s">
        <v>5873</v>
      </c>
      <c r="G2863" s="4">
        <f>+251904718073</f>
        <v>251904718073</v>
      </c>
      <c r="H2863" s="3" t="s">
        <v>18</v>
      </c>
      <c r="I2863" s="3" t="s">
        <v>19</v>
      </c>
      <c r="J2863" s="3" t="s">
        <v>19</v>
      </c>
      <c r="K2863" s="3" t="s">
        <v>25</v>
      </c>
      <c r="L2863" s="3">
        <v>33.51</v>
      </c>
      <c r="M2863" s="3" t="s">
        <v>1695</v>
      </c>
      <c r="N2863" s="3" t="s">
        <v>1696</v>
      </c>
      <c r="O2863" s="3">
        <v>2.3182467E7</v>
      </c>
    </row>
    <row r="2864">
      <c r="A2864" s="3">
        <v>2625761.0</v>
      </c>
      <c r="B2864" s="3" t="s">
        <v>5874</v>
      </c>
      <c r="C2864" s="3" t="b">
        <v>0</v>
      </c>
      <c r="D2864" s="3" t="b">
        <v>1</v>
      </c>
      <c r="E2864" s="3" t="s">
        <v>2875</v>
      </c>
      <c r="F2864" s="3" t="s">
        <v>221</v>
      </c>
      <c r="G2864" s="4">
        <f>+251094159989</f>
        <v>251094159989</v>
      </c>
      <c r="H2864" s="3" t="s">
        <v>18</v>
      </c>
      <c r="I2864" s="3" t="s">
        <v>19</v>
      </c>
      <c r="J2864" s="3" t="s">
        <v>19</v>
      </c>
      <c r="K2864" s="3" t="s">
        <v>25</v>
      </c>
      <c r="L2864" s="3">
        <v>26.01</v>
      </c>
      <c r="M2864" s="3" t="s">
        <v>1695</v>
      </c>
      <c r="N2864" s="3" t="s">
        <v>1696</v>
      </c>
      <c r="O2864" s="3">
        <v>1.97182115007E11</v>
      </c>
    </row>
    <row r="2865">
      <c r="A2865" s="3">
        <v>2625779.0</v>
      </c>
      <c r="B2865" s="3" t="s">
        <v>5875</v>
      </c>
      <c r="C2865" s="3" t="b">
        <v>0</v>
      </c>
      <c r="D2865" s="3" t="b">
        <v>1</v>
      </c>
      <c r="E2865" s="3" t="s">
        <v>4556</v>
      </c>
      <c r="F2865" s="3" t="s">
        <v>1000</v>
      </c>
      <c r="G2865" s="4">
        <f>+251968515907</f>
        <v>251968515907</v>
      </c>
      <c r="H2865" s="3" t="s">
        <v>18</v>
      </c>
      <c r="I2865" s="3" t="s">
        <v>19</v>
      </c>
      <c r="J2865" s="3" t="s">
        <v>19</v>
      </c>
      <c r="K2865" s="3" t="s">
        <v>25</v>
      </c>
      <c r="L2865" s="3">
        <v>25.01</v>
      </c>
      <c r="M2865" s="3" t="s">
        <v>1695</v>
      </c>
      <c r="N2865" s="3" t="s">
        <v>1696</v>
      </c>
      <c r="O2865" s="3">
        <v>1.97187855605E11</v>
      </c>
    </row>
    <row r="2866">
      <c r="A2866" s="3">
        <v>2625784.0</v>
      </c>
      <c r="B2866" s="3" t="s">
        <v>5876</v>
      </c>
      <c r="C2866" s="3" t="b">
        <v>0</v>
      </c>
      <c r="D2866" s="3" t="b">
        <v>1</v>
      </c>
      <c r="E2866" s="3" t="s">
        <v>5877</v>
      </c>
      <c r="F2866" s="3" t="s">
        <v>1125</v>
      </c>
      <c r="G2866" s="4">
        <f>+251939177434</f>
        <v>251939177434</v>
      </c>
      <c r="H2866" s="3" t="s">
        <v>18</v>
      </c>
      <c r="I2866" s="3" t="s">
        <v>19</v>
      </c>
      <c r="J2866" s="3" t="s">
        <v>19</v>
      </c>
      <c r="K2866" s="3" t="s">
        <v>25</v>
      </c>
      <c r="L2866" s="3">
        <v>26.01</v>
      </c>
      <c r="M2866" s="3" t="s">
        <v>1695</v>
      </c>
      <c r="N2866" s="3" t="s">
        <v>1696</v>
      </c>
      <c r="O2866" s="3">
        <v>1.97196996839E11</v>
      </c>
    </row>
    <row r="2867">
      <c r="A2867" s="3">
        <v>2625790.0</v>
      </c>
      <c r="B2867" s="3" t="s">
        <v>5878</v>
      </c>
      <c r="C2867" s="3" t="b">
        <v>0</v>
      </c>
      <c r="D2867" s="3" t="b">
        <v>1</v>
      </c>
      <c r="E2867" s="3" t="s">
        <v>1040</v>
      </c>
      <c r="F2867" s="3" t="s">
        <v>85</v>
      </c>
      <c r="G2867" s="4">
        <f>+251930242158</f>
        <v>251930242158</v>
      </c>
      <c r="H2867" s="3" t="s">
        <v>18</v>
      </c>
      <c r="I2867" s="3" t="s">
        <v>19</v>
      </c>
      <c r="J2867" s="3" t="s">
        <v>19</v>
      </c>
      <c r="K2867" s="3" t="s">
        <v>20</v>
      </c>
      <c r="L2867" s="3">
        <v>35.01</v>
      </c>
      <c r="M2867" s="3" t="s">
        <v>1695</v>
      </c>
      <c r="N2867" s="3" t="s">
        <v>1696</v>
      </c>
      <c r="O2867" s="3">
        <v>1.97185465573E11</v>
      </c>
    </row>
    <row r="2868">
      <c r="A2868" s="3">
        <v>2625803.0</v>
      </c>
      <c r="B2868" s="3" t="s">
        <v>5879</v>
      </c>
      <c r="C2868" s="3" t="b">
        <v>1</v>
      </c>
      <c r="D2868" s="3" t="b">
        <v>1</v>
      </c>
      <c r="E2868" s="3" t="s">
        <v>16</v>
      </c>
      <c r="F2868" s="3" t="s">
        <v>5880</v>
      </c>
      <c r="G2868" s="4">
        <f>+251945437267</f>
        <v>251945437267</v>
      </c>
      <c r="H2868" s="3" t="s">
        <v>18</v>
      </c>
      <c r="I2868" s="3" t="s">
        <v>19</v>
      </c>
      <c r="J2868" s="3" t="s">
        <v>19</v>
      </c>
      <c r="K2868" s="3" t="s">
        <v>20</v>
      </c>
      <c r="L2868" s="3">
        <v>25.01</v>
      </c>
      <c r="M2868" s="3" t="s">
        <v>1695</v>
      </c>
      <c r="N2868" s="3" t="s">
        <v>1696</v>
      </c>
      <c r="O2868" s="3">
        <v>1.97198081267E11</v>
      </c>
    </row>
    <row r="2869">
      <c r="A2869" s="3">
        <v>2625823.0</v>
      </c>
      <c r="B2869" s="3" t="s">
        <v>5881</v>
      </c>
      <c r="C2869" s="3" t="b">
        <v>0</v>
      </c>
      <c r="D2869" s="3" t="b">
        <v>1</v>
      </c>
      <c r="E2869" s="3" t="s">
        <v>58</v>
      </c>
      <c r="F2869" s="3" t="s">
        <v>66</v>
      </c>
      <c r="G2869" s="4">
        <f>+251905160000</f>
        <v>251905160000</v>
      </c>
      <c r="H2869" s="3" t="s">
        <v>18</v>
      </c>
      <c r="I2869" s="3" t="s">
        <v>19</v>
      </c>
      <c r="J2869" s="3" t="s">
        <v>19</v>
      </c>
      <c r="K2869" s="3" t="s">
        <v>25</v>
      </c>
      <c r="L2869" s="3">
        <v>26.01</v>
      </c>
      <c r="M2869" s="3" t="s">
        <v>1695</v>
      </c>
      <c r="N2869" s="3" t="s">
        <v>1696</v>
      </c>
      <c r="O2869" s="3">
        <v>1.97199366391E11</v>
      </c>
    </row>
    <row r="2870">
      <c r="A2870" s="3">
        <v>2625952.0</v>
      </c>
      <c r="B2870" s="3" t="s">
        <v>5882</v>
      </c>
      <c r="C2870" s="3" t="b">
        <v>1</v>
      </c>
      <c r="D2870" s="3" t="b">
        <v>0</v>
      </c>
      <c r="E2870" s="3" t="s">
        <v>5883</v>
      </c>
      <c r="F2870" s="3" t="s">
        <v>5884</v>
      </c>
      <c r="G2870" s="4">
        <f>+251977280078</f>
        <v>251977280078</v>
      </c>
      <c r="H2870" s="3" t="s">
        <v>18</v>
      </c>
      <c r="I2870" s="3" t="s">
        <v>19</v>
      </c>
      <c r="J2870" s="3" t="s">
        <v>19</v>
      </c>
      <c r="K2870" s="3" t="s">
        <v>20</v>
      </c>
      <c r="L2870" s="3">
        <v>23.7</v>
      </c>
      <c r="M2870" s="3" t="s">
        <v>1695</v>
      </c>
      <c r="N2870" s="3" t="s">
        <v>1696</v>
      </c>
    </row>
    <row r="2871">
      <c r="A2871" s="3">
        <v>2626069.0</v>
      </c>
      <c r="B2871" s="3" t="s">
        <v>5885</v>
      </c>
      <c r="C2871" s="3" t="b">
        <v>0</v>
      </c>
      <c r="D2871" s="3" t="b">
        <v>1</v>
      </c>
      <c r="E2871" s="3" t="s">
        <v>5886</v>
      </c>
      <c r="F2871" s="3" t="s">
        <v>5887</v>
      </c>
      <c r="G2871" s="4">
        <f>+251970590289</f>
        <v>251970590289</v>
      </c>
      <c r="H2871" s="3" t="s">
        <v>18</v>
      </c>
      <c r="I2871" s="3" t="s">
        <v>19</v>
      </c>
      <c r="J2871" s="3" t="s">
        <v>19</v>
      </c>
      <c r="K2871" s="3" t="s">
        <v>25</v>
      </c>
      <c r="L2871" s="3">
        <v>25.43</v>
      </c>
      <c r="M2871" s="3" t="s">
        <v>1695</v>
      </c>
      <c r="N2871" s="3" t="s">
        <v>1696</v>
      </c>
      <c r="O2871" s="3">
        <v>1.97256724703E11</v>
      </c>
    </row>
    <row r="2872">
      <c r="A2872" s="3">
        <v>2626521.0</v>
      </c>
      <c r="B2872" s="3" t="s">
        <v>5888</v>
      </c>
      <c r="C2872" s="3" t="b">
        <v>1</v>
      </c>
      <c r="D2872" s="3" t="b">
        <v>1</v>
      </c>
      <c r="E2872" s="3" t="s">
        <v>271</v>
      </c>
      <c r="F2872" s="3" t="s">
        <v>3089</v>
      </c>
      <c r="G2872" s="4">
        <f>+251910368549</f>
        <v>251910368549</v>
      </c>
      <c r="H2872" s="3" t="s">
        <v>18</v>
      </c>
      <c r="I2872" s="3" t="s">
        <v>19</v>
      </c>
      <c r="J2872" s="3" t="s">
        <v>19</v>
      </c>
      <c r="K2872" s="3" t="s">
        <v>25</v>
      </c>
      <c r="L2872" s="3">
        <v>35.03</v>
      </c>
      <c r="M2872" s="3" t="s">
        <v>1695</v>
      </c>
      <c r="N2872" s="3" t="s">
        <v>1696</v>
      </c>
    </row>
    <row r="2873">
      <c r="A2873" s="3">
        <v>2626853.0</v>
      </c>
      <c r="B2873" s="3" t="s">
        <v>5889</v>
      </c>
      <c r="C2873" s="3" t="b">
        <v>0</v>
      </c>
      <c r="D2873" s="3" t="b">
        <v>1</v>
      </c>
      <c r="E2873" s="3" t="s">
        <v>5890</v>
      </c>
      <c r="F2873" s="3" t="s">
        <v>5891</v>
      </c>
      <c r="G2873" s="4">
        <f>+251906209811</f>
        <v>251906209811</v>
      </c>
      <c r="H2873" s="3" t="s">
        <v>18</v>
      </c>
      <c r="I2873" s="3" t="s">
        <v>19</v>
      </c>
      <c r="J2873" s="3" t="s">
        <v>19</v>
      </c>
      <c r="K2873" s="3" t="s">
        <v>20</v>
      </c>
      <c r="L2873" s="3">
        <v>27.39</v>
      </c>
      <c r="M2873" s="3" t="s">
        <v>1695</v>
      </c>
      <c r="N2873" s="3" t="s">
        <v>1696</v>
      </c>
      <c r="O2873" s="3">
        <v>1.97511872753E11</v>
      </c>
    </row>
    <row r="2874">
      <c r="A2874" s="3">
        <v>2626863.0</v>
      </c>
      <c r="B2874" s="3" t="s">
        <v>5892</v>
      </c>
      <c r="C2874" s="3" t="b">
        <v>0</v>
      </c>
      <c r="D2874" s="3" t="b">
        <v>1</v>
      </c>
      <c r="E2874" s="3" t="s">
        <v>4896</v>
      </c>
      <c r="F2874" s="3" t="s">
        <v>446</v>
      </c>
      <c r="G2874" s="4">
        <f>+251916975603</f>
        <v>251916975603</v>
      </c>
      <c r="H2874" s="3" t="s">
        <v>18</v>
      </c>
      <c r="I2874" s="3" t="s">
        <v>19</v>
      </c>
      <c r="J2874" s="3" t="s">
        <v>19</v>
      </c>
      <c r="K2874" s="3" t="s">
        <v>25</v>
      </c>
      <c r="L2874" s="3">
        <v>29.26</v>
      </c>
      <c r="M2874" s="3" t="s">
        <v>1695</v>
      </c>
      <c r="N2874" s="3" t="s">
        <v>1696</v>
      </c>
      <c r="O2874" s="3">
        <v>1.97510437072E11</v>
      </c>
    </row>
    <row r="2875">
      <c r="A2875" s="3">
        <v>2626868.0</v>
      </c>
      <c r="B2875" s="3" t="s">
        <v>5893</v>
      </c>
      <c r="C2875" s="3" t="b">
        <v>1</v>
      </c>
      <c r="D2875" s="3" t="b">
        <v>1</v>
      </c>
      <c r="E2875" s="3" t="s">
        <v>568</v>
      </c>
      <c r="F2875" s="3" t="s">
        <v>1790</v>
      </c>
      <c r="G2875" s="4">
        <f>+251983090756</f>
        <v>251983090756</v>
      </c>
      <c r="H2875" s="3" t="s">
        <v>18</v>
      </c>
      <c r="I2875" s="3" t="s">
        <v>19</v>
      </c>
      <c r="J2875" s="3" t="s">
        <v>19</v>
      </c>
      <c r="K2875" s="3" t="s">
        <v>25</v>
      </c>
      <c r="L2875" s="3">
        <v>19.76</v>
      </c>
      <c r="M2875" s="3" t="s">
        <v>1695</v>
      </c>
      <c r="N2875" s="3" t="s">
        <v>1696</v>
      </c>
      <c r="O2875" s="3">
        <v>1.975127298E11</v>
      </c>
    </row>
    <row r="2876">
      <c r="A2876" s="3">
        <v>2626542.0</v>
      </c>
      <c r="B2876" s="3" t="s">
        <v>5894</v>
      </c>
      <c r="C2876" s="3" t="b">
        <v>0</v>
      </c>
      <c r="D2876" s="3" t="b">
        <v>1</v>
      </c>
      <c r="E2876" s="3" t="s">
        <v>3686</v>
      </c>
      <c r="F2876" s="3" t="s">
        <v>5895</v>
      </c>
      <c r="G2876" s="4">
        <f>+251919789836</f>
        <v>251919789836</v>
      </c>
      <c r="H2876" s="3" t="s">
        <v>18</v>
      </c>
      <c r="I2876" s="3" t="s">
        <v>19</v>
      </c>
      <c r="J2876" s="3" t="s">
        <v>19</v>
      </c>
      <c r="K2876" s="3" t="s">
        <v>20</v>
      </c>
      <c r="L2876" s="3">
        <v>25.01</v>
      </c>
      <c r="M2876" s="3" t="s">
        <v>1695</v>
      </c>
      <c r="N2876" s="3" t="s">
        <v>1696</v>
      </c>
      <c r="O2876" s="3">
        <v>1.97443331313E11</v>
      </c>
    </row>
    <row r="2877">
      <c r="A2877" s="3">
        <v>2626874.0</v>
      </c>
      <c r="B2877" s="3" t="s">
        <v>5896</v>
      </c>
      <c r="C2877" s="3" t="b">
        <v>0</v>
      </c>
      <c r="D2877" s="3" t="b">
        <v>1</v>
      </c>
      <c r="E2877" s="3" t="s">
        <v>27</v>
      </c>
      <c r="F2877" s="3" t="s">
        <v>64</v>
      </c>
      <c r="G2877" s="4">
        <f>+251933261494</f>
        <v>251933261494</v>
      </c>
      <c r="H2877" s="3" t="s">
        <v>18</v>
      </c>
      <c r="I2877" s="3" t="s">
        <v>19</v>
      </c>
      <c r="J2877" s="3" t="s">
        <v>19</v>
      </c>
      <c r="K2877" s="3" t="s">
        <v>25</v>
      </c>
      <c r="L2877" s="3">
        <v>23.01</v>
      </c>
      <c r="M2877" s="3" t="s">
        <v>1695</v>
      </c>
      <c r="N2877" s="3" t="s">
        <v>1696</v>
      </c>
      <c r="O2877" s="3">
        <v>1.97513504958E11</v>
      </c>
    </row>
    <row r="2878">
      <c r="A2878" s="3">
        <v>2626890.0</v>
      </c>
      <c r="B2878" s="3" t="s">
        <v>5897</v>
      </c>
      <c r="C2878" s="3" t="b">
        <v>1</v>
      </c>
      <c r="D2878" s="3" t="b">
        <v>1</v>
      </c>
      <c r="E2878" s="3" t="s">
        <v>5898</v>
      </c>
      <c r="F2878" s="3" t="s">
        <v>5899</v>
      </c>
      <c r="G2878" s="4">
        <f>+251922970559</f>
        <v>251922970559</v>
      </c>
      <c r="H2878" s="3" t="s">
        <v>18</v>
      </c>
      <c r="I2878" s="3" t="s">
        <v>19</v>
      </c>
      <c r="J2878" s="3" t="s">
        <v>19</v>
      </c>
      <c r="K2878" s="3" t="s">
        <v>25</v>
      </c>
      <c r="L2878" s="3">
        <v>30.34</v>
      </c>
      <c r="M2878" s="3" t="s">
        <v>1695</v>
      </c>
      <c r="N2878" s="3" t="s">
        <v>1696</v>
      </c>
      <c r="O2878" s="3">
        <v>1.97530295531E11</v>
      </c>
    </row>
    <row r="2879">
      <c r="A2879" s="3">
        <v>2626896.0</v>
      </c>
      <c r="B2879" s="3" t="s">
        <v>5900</v>
      </c>
      <c r="C2879" s="3" t="b">
        <v>0</v>
      </c>
      <c r="D2879" s="3" t="b">
        <v>1</v>
      </c>
      <c r="E2879" s="3" t="s">
        <v>1208</v>
      </c>
      <c r="F2879" s="3" t="s">
        <v>5006</v>
      </c>
      <c r="G2879" s="4">
        <f>+251928723896</f>
        <v>251928723896</v>
      </c>
      <c r="H2879" s="3" t="s">
        <v>18</v>
      </c>
      <c r="I2879" s="3" t="s">
        <v>19</v>
      </c>
      <c r="J2879" s="3" t="s">
        <v>19</v>
      </c>
      <c r="K2879" s="3" t="s">
        <v>20</v>
      </c>
      <c r="L2879" s="3">
        <v>24.01</v>
      </c>
      <c r="M2879" s="3" t="s">
        <v>1695</v>
      </c>
      <c r="N2879" s="3" t="s">
        <v>1696</v>
      </c>
      <c r="O2879" s="3">
        <v>1.97513863388E11</v>
      </c>
    </row>
    <row r="2880">
      <c r="A2880" s="3">
        <v>2626900.0</v>
      </c>
      <c r="B2880" s="3" t="s">
        <v>5901</v>
      </c>
      <c r="C2880" s="3" t="b">
        <v>1</v>
      </c>
      <c r="D2880" s="3" t="b">
        <v>1</v>
      </c>
      <c r="E2880" s="3" t="s">
        <v>5902</v>
      </c>
      <c r="F2880" s="3" t="s">
        <v>5903</v>
      </c>
      <c r="G2880" s="4">
        <f>+251982174331</f>
        <v>251982174331</v>
      </c>
      <c r="H2880" s="3" t="s">
        <v>18</v>
      </c>
      <c r="I2880" s="3" t="s">
        <v>19</v>
      </c>
      <c r="J2880" s="3" t="s">
        <v>19</v>
      </c>
      <c r="K2880" s="3" t="s">
        <v>25</v>
      </c>
      <c r="L2880" s="3">
        <v>19.04</v>
      </c>
      <c r="M2880" s="3" t="s">
        <v>1695</v>
      </c>
      <c r="N2880" s="3" t="s">
        <v>1696</v>
      </c>
      <c r="O2880" s="3">
        <v>1.97532822753E11</v>
      </c>
    </row>
    <row r="2881">
      <c r="A2881" s="3">
        <v>2626904.0</v>
      </c>
      <c r="B2881" s="3" t="s">
        <v>5904</v>
      </c>
      <c r="C2881" s="3" t="b">
        <v>0</v>
      </c>
      <c r="D2881" s="3" t="b">
        <v>1</v>
      </c>
      <c r="E2881" s="3" t="s">
        <v>2622</v>
      </c>
      <c r="F2881" s="3" t="s">
        <v>1995</v>
      </c>
      <c r="G2881" s="4">
        <f>+251940315711</f>
        <v>251940315711</v>
      </c>
      <c r="H2881" s="3" t="s">
        <v>18</v>
      </c>
      <c r="I2881" s="3" t="s">
        <v>19</v>
      </c>
      <c r="J2881" s="3" t="s">
        <v>19</v>
      </c>
      <c r="K2881" s="3" t="s">
        <v>20</v>
      </c>
      <c r="L2881" s="3">
        <v>25.01</v>
      </c>
      <c r="M2881" s="3" t="s">
        <v>1695</v>
      </c>
      <c r="N2881" s="3" t="s">
        <v>1696</v>
      </c>
      <c r="O2881" s="3">
        <v>1.97514662099E11</v>
      </c>
    </row>
    <row r="2882">
      <c r="A2882" s="3">
        <v>2626907.0</v>
      </c>
      <c r="B2882" s="3" t="s">
        <v>5905</v>
      </c>
      <c r="C2882" s="3" t="b">
        <v>0</v>
      </c>
      <c r="D2882" s="3" t="b">
        <v>1</v>
      </c>
      <c r="E2882" s="3" t="s">
        <v>2171</v>
      </c>
      <c r="F2882" s="3" t="s">
        <v>5906</v>
      </c>
      <c r="G2882" s="4">
        <f>+251983262370</f>
        <v>251983262370</v>
      </c>
      <c r="H2882" s="3" t="s">
        <v>18</v>
      </c>
      <c r="I2882" s="3" t="s">
        <v>19</v>
      </c>
      <c r="J2882" s="3" t="s">
        <v>19</v>
      </c>
      <c r="K2882" s="3" t="s">
        <v>25</v>
      </c>
      <c r="L2882" s="3">
        <v>31.35</v>
      </c>
      <c r="M2882" s="3" t="s">
        <v>1695</v>
      </c>
      <c r="N2882" s="3" t="s">
        <v>1696</v>
      </c>
      <c r="O2882" s="3">
        <v>1.97514117359E11</v>
      </c>
    </row>
    <row r="2883">
      <c r="A2883" s="3">
        <v>2626906.0</v>
      </c>
      <c r="B2883" s="3" t="s">
        <v>5907</v>
      </c>
      <c r="C2883" s="3" t="b">
        <v>0</v>
      </c>
      <c r="D2883" s="3" t="b">
        <v>1</v>
      </c>
      <c r="E2883" s="3" t="s">
        <v>5908</v>
      </c>
      <c r="F2883" s="3" t="s">
        <v>5909</v>
      </c>
      <c r="G2883" s="4">
        <f>+251933668690</f>
        <v>251933668690</v>
      </c>
      <c r="H2883" s="3" t="s">
        <v>18</v>
      </c>
      <c r="I2883" s="3" t="s">
        <v>19</v>
      </c>
      <c r="J2883" s="3" t="s">
        <v>19</v>
      </c>
      <c r="K2883" s="3" t="s">
        <v>25</v>
      </c>
      <c r="L2883" s="3">
        <v>26.04</v>
      </c>
      <c r="M2883" s="3" t="s">
        <v>1695</v>
      </c>
      <c r="N2883" s="3" t="s">
        <v>1696</v>
      </c>
      <c r="O2883" s="3">
        <v>1.97535285497E11</v>
      </c>
    </row>
    <row r="2884">
      <c r="A2884" s="3">
        <v>2626924.0</v>
      </c>
      <c r="B2884" s="3" t="s">
        <v>5910</v>
      </c>
      <c r="C2884" s="3" t="b">
        <v>0</v>
      </c>
      <c r="D2884" s="3" t="b">
        <v>1</v>
      </c>
      <c r="E2884" s="3" t="s">
        <v>3919</v>
      </c>
      <c r="F2884" s="3" t="s">
        <v>3707</v>
      </c>
      <c r="G2884" s="4">
        <f>+251919520291</f>
        <v>251919520291</v>
      </c>
      <c r="H2884" s="3" t="s">
        <v>18</v>
      </c>
      <c r="I2884" s="3" t="s">
        <v>19</v>
      </c>
      <c r="J2884" s="3" t="s">
        <v>19</v>
      </c>
      <c r="K2884" s="3" t="s">
        <v>25</v>
      </c>
      <c r="L2884" s="3">
        <v>25.01</v>
      </c>
      <c r="M2884" s="3" t="s">
        <v>1695</v>
      </c>
      <c r="N2884" s="3" t="s">
        <v>1696</v>
      </c>
      <c r="O2884" s="3">
        <v>1.97536616663E11</v>
      </c>
    </row>
    <row r="2885">
      <c r="A2885" s="3">
        <v>2626927.0</v>
      </c>
      <c r="B2885" s="3" t="s">
        <v>5911</v>
      </c>
      <c r="C2885" s="3" t="b">
        <v>0</v>
      </c>
      <c r="D2885" s="3" t="b">
        <v>1</v>
      </c>
      <c r="E2885" s="3" t="s">
        <v>2966</v>
      </c>
      <c r="F2885" s="3" t="s">
        <v>5912</v>
      </c>
      <c r="G2885" s="4">
        <f>+251925826971</f>
        <v>251925826971</v>
      </c>
      <c r="H2885" s="3" t="s">
        <v>18</v>
      </c>
      <c r="I2885" s="3" t="s">
        <v>19</v>
      </c>
      <c r="J2885" s="3" t="s">
        <v>19</v>
      </c>
      <c r="K2885" s="3" t="s">
        <v>25</v>
      </c>
      <c r="L2885" s="3">
        <v>33.37</v>
      </c>
      <c r="M2885" s="3" t="s">
        <v>1695</v>
      </c>
      <c r="N2885" s="3" t="s">
        <v>1696</v>
      </c>
      <c r="O2885" s="3">
        <v>1.97536236742E11</v>
      </c>
    </row>
    <row r="2886">
      <c r="A2886" s="3">
        <v>2626941.0</v>
      </c>
      <c r="B2886" s="3" t="s">
        <v>5913</v>
      </c>
      <c r="C2886" s="3" t="b">
        <v>0</v>
      </c>
      <c r="D2886" s="3" t="b">
        <v>1</v>
      </c>
      <c r="E2886" s="3" t="s">
        <v>5914</v>
      </c>
      <c r="F2886" s="3" t="s">
        <v>5915</v>
      </c>
      <c r="G2886" s="4">
        <f>+251927611644</f>
        <v>251927611644</v>
      </c>
      <c r="H2886" s="3" t="s">
        <v>18</v>
      </c>
      <c r="I2886" s="3" t="s">
        <v>19</v>
      </c>
      <c r="J2886" s="3" t="s">
        <v>19</v>
      </c>
      <c r="K2886" s="3" t="s">
        <v>25</v>
      </c>
      <c r="L2886" s="3">
        <v>27.17</v>
      </c>
      <c r="M2886" s="3" t="s">
        <v>1695</v>
      </c>
      <c r="N2886" s="3" t="s">
        <v>1696</v>
      </c>
      <c r="O2886" s="3">
        <v>1.97539209425E11</v>
      </c>
    </row>
    <row r="2887">
      <c r="A2887" s="3">
        <v>2626951.0</v>
      </c>
      <c r="B2887" s="3" t="s">
        <v>5916</v>
      </c>
      <c r="C2887" s="3" t="b">
        <v>0</v>
      </c>
      <c r="D2887" s="3" t="b">
        <v>1</v>
      </c>
      <c r="E2887" s="3" t="s">
        <v>5095</v>
      </c>
      <c r="F2887" s="3" t="s">
        <v>1368</v>
      </c>
      <c r="G2887" s="4">
        <f>+251920208612</f>
        <v>251920208612</v>
      </c>
      <c r="H2887" s="3" t="s">
        <v>18</v>
      </c>
      <c r="I2887" s="3" t="s">
        <v>19</v>
      </c>
      <c r="J2887" s="3" t="s">
        <v>19</v>
      </c>
      <c r="K2887" s="3" t="s">
        <v>25</v>
      </c>
      <c r="L2887" s="3">
        <v>24.28</v>
      </c>
      <c r="M2887" s="3" t="s">
        <v>1695</v>
      </c>
      <c r="N2887" s="3" t="s">
        <v>1696</v>
      </c>
      <c r="O2887" s="3">
        <v>1.97539396826E11</v>
      </c>
    </row>
    <row r="2888">
      <c r="A2888" s="3">
        <v>2626958.0</v>
      </c>
      <c r="B2888" s="3" t="s">
        <v>5917</v>
      </c>
      <c r="C2888" s="3" t="b">
        <v>0</v>
      </c>
      <c r="D2888" s="3" t="b">
        <v>1</v>
      </c>
      <c r="E2888" s="3" t="s">
        <v>5918</v>
      </c>
      <c r="F2888" s="3" t="s">
        <v>5919</v>
      </c>
      <c r="G2888" s="4">
        <f>+251967400751</f>
        <v>251967400751</v>
      </c>
      <c r="H2888" s="3" t="s">
        <v>18</v>
      </c>
      <c r="I2888" s="3" t="s">
        <v>19</v>
      </c>
      <c r="J2888" s="3" t="s">
        <v>19</v>
      </c>
      <c r="K2888" s="3" t="s">
        <v>20</v>
      </c>
      <c r="L2888" s="3">
        <v>26.27</v>
      </c>
      <c r="M2888" s="3" t="s">
        <v>1695</v>
      </c>
      <c r="N2888" s="3" t="s">
        <v>1696</v>
      </c>
      <c r="O2888" s="3">
        <v>1.97539547349E11</v>
      </c>
    </row>
    <row r="2889">
      <c r="A2889" s="3">
        <v>2626966.0</v>
      </c>
      <c r="B2889" s="3" t="s">
        <v>5920</v>
      </c>
      <c r="C2889" s="3" t="b">
        <v>0</v>
      </c>
      <c r="D2889" s="3" t="b">
        <v>1</v>
      </c>
      <c r="E2889" s="3" t="s">
        <v>5921</v>
      </c>
      <c r="F2889" s="3" t="s">
        <v>5922</v>
      </c>
      <c r="G2889" s="4">
        <f>+251900220470</f>
        <v>251900220470</v>
      </c>
      <c r="H2889" s="3" t="s">
        <v>18</v>
      </c>
      <c r="I2889" s="3" t="s">
        <v>19</v>
      </c>
      <c r="J2889" s="3" t="s">
        <v>19</v>
      </c>
      <c r="K2889" s="3" t="s">
        <v>20</v>
      </c>
      <c r="L2889" s="3">
        <v>32.27</v>
      </c>
      <c r="M2889" s="3" t="s">
        <v>1695</v>
      </c>
      <c r="N2889" s="3" t="s">
        <v>1696</v>
      </c>
      <c r="O2889" s="3">
        <v>1.97518848204E11</v>
      </c>
    </row>
    <row r="2890">
      <c r="A2890" s="3">
        <v>2626974.0</v>
      </c>
      <c r="B2890" s="3" t="s">
        <v>5923</v>
      </c>
      <c r="C2890" s="3" t="b">
        <v>0</v>
      </c>
      <c r="D2890" s="3" t="b">
        <v>1</v>
      </c>
      <c r="E2890" s="3" t="s">
        <v>276</v>
      </c>
      <c r="F2890" s="3" t="s">
        <v>482</v>
      </c>
      <c r="G2890" s="4">
        <f>+251963982415</f>
        <v>251963982415</v>
      </c>
      <c r="H2890" s="3" t="s">
        <v>18</v>
      </c>
      <c r="I2890" s="3" t="s">
        <v>19</v>
      </c>
      <c r="J2890" s="3" t="s">
        <v>19</v>
      </c>
      <c r="K2890" s="3" t="s">
        <v>25</v>
      </c>
      <c r="L2890" s="3">
        <v>28.27</v>
      </c>
      <c r="M2890" s="3" t="s">
        <v>1695</v>
      </c>
      <c r="N2890" s="3" t="s">
        <v>1696</v>
      </c>
      <c r="O2890" s="3">
        <v>1.97543668928E11</v>
      </c>
    </row>
    <row r="2891">
      <c r="A2891" s="3">
        <v>2626985.0</v>
      </c>
      <c r="B2891" s="3" t="s">
        <v>5924</v>
      </c>
      <c r="C2891" s="3" t="b">
        <v>1</v>
      </c>
      <c r="D2891" s="3" t="b">
        <v>1</v>
      </c>
      <c r="E2891" s="3" t="s">
        <v>4850</v>
      </c>
      <c r="F2891" s="3" t="s">
        <v>1803</v>
      </c>
      <c r="G2891" s="4">
        <f>+251952736634</f>
        <v>251952736634</v>
      </c>
      <c r="H2891" s="3" t="s">
        <v>18</v>
      </c>
      <c r="I2891" s="3" t="s">
        <v>19</v>
      </c>
      <c r="J2891" s="3" t="s">
        <v>19</v>
      </c>
      <c r="K2891" s="3" t="s">
        <v>25</v>
      </c>
      <c r="L2891" s="3">
        <v>21.29</v>
      </c>
      <c r="M2891" s="3" t="s">
        <v>1695</v>
      </c>
      <c r="N2891" s="3" t="s">
        <v>1696</v>
      </c>
      <c r="O2891" s="3">
        <v>1.97533316296E11</v>
      </c>
    </row>
    <row r="2892">
      <c r="A2892" s="3">
        <v>2626996.0</v>
      </c>
      <c r="B2892" s="3" t="s">
        <v>5925</v>
      </c>
      <c r="C2892" s="3" t="b">
        <v>0</v>
      </c>
      <c r="D2892" s="3" t="b">
        <v>1</v>
      </c>
      <c r="E2892" s="3" t="s">
        <v>1859</v>
      </c>
      <c r="F2892" s="3" t="s">
        <v>596</v>
      </c>
      <c r="G2892" s="4">
        <f>+251977775993</f>
        <v>251977775993</v>
      </c>
      <c r="H2892" s="3" t="s">
        <v>18</v>
      </c>
      <c r="I2892" s="3" t="s">
        <v>19</v>
      </c>
      <c r="J2892" s="3" t="s">
        <v>19</v>
      </c>
      <c r="K2892" s="3" t="s">
        <v>20</v>
      </c>
      <c r="L2892" s="3">
        <v>22.27</v>
      </c>
      <c r="M2892" s="3" t="s">
        <v>1695</v>
      </c>
      <c r="N2892" s="3" t="s">
        <v>1696</v>
      </c>
      <c r="O2892" s="3">
        <v>1.9754326552E11</v>
      </c>
    </row>
    <row r="2893">
      <c r="A2893" s="3">
        <v>2627000.0</v>
      </c>
      <c r="B2893" s="3" t="s">
        <v>5926</v>
      </c>
      <c r="C2893" s="3" t="b">
        <v>1</v>
      </c>
      <c r="D2893" s="3" t="b">
        <v>1</v>
      </c>
      <c r="E2893" s="3" t="s">
        <v>2382</v>
      </c>
      <c r="F2893" s="3" t="s">
        <v>5927</v>
      </c>
      <c r="G2893" s="4">
        <f>+251913761716</f>
        <v>251913761716</v>
      </c>
      <c r="H2893" s="3" t="s">
        <v>18</v>
      </c>
      <c r="I2893" s="3" t="s">
        <v>19</v>
      </c>
      <c r="J2893" s="3" t="s">
        <v>19</v>
      </c>
      <c r="K2893" s="3" t="s">
        <v>25</v>
      </c>
      <c r="L2893" s="3">
        <v>24.13</v>
      </c>
      <c r="M2893" s="3" t="s">
        <v>1695</v>
      </c>
      <c r="N2893" s="3" t="s">
        <v>1696</v>
      </c>
    </row>
    <row r="2894">
      <c r="A2894" s="3">
        <v>2627049.0</v>
      </c>
      <c r="B2894" s="3" t="s">
        <v>5928</v>
      </c>
      <c r="C2894" s="3" t="b">
        <v>1</v>
      </c>
      <c r="D2894" s="3" t="b">
        <v>1</v>
      </c>
      <c r="E2894" s="3" t="s">
        <v>4786</v>
      </c>
      <c r="F2894" s="3" t="s">
        <v>120</v>
      </c>
      <c r="G2894" s="4">
        <f>+251091616248105</f>
        <v>251091616248105</v>
      </c>
      <c r="H2894" s="3" t="s">
        <v>18</v>
      </c>
      <c r="I2894" s="3" t="s">
        <v>19</v>
      </c>
      <c r="J2894" s="3" t="s">
        <v>19</v>
      </c>
      <c r="K2894" s="3" t="s">
        <v>25</v>
      </c>
      <c r="L2894" s="3">
        <v>24.26</v>
      </c>
      <c r="M2894" s="3" t="s">
        <v>1695</v>
      </c>
      <c r="N2894" s="3" t="s">
        <v>1696</v>
      </c>
      <c r="O2894" s="3">
        <v>1.9754564423E11</v>
      </c>
    </row>
    <row r="2895">
      <c r="A2895" s="3">
        <v>2627055.0</v>
      </c>
      <c r="B2895" s="3" t="s">
        <v>5929</v>
      </c>
      <c r="C2895" s="3" t="b">
        <v>0</v>
      </c>
      <c r="D2895" s="3" t="b">
        <v>1</v>
      </c>
      <c r="E2895" s="3" t="s">
        <v>3902</v>
      </c>
      <c r="F2895" s="3" t="s">
        <v>1000</v>
      </c>
      <c r="G2895" s="4">
        <f>+251973536630</f>
        <v>251973536630</v>
      </c>
      <c r="H2895" s="3" t="s">
        <v>18</v>
      </c>
      <c r="I2895" s="3" t="s">
        <v>19</v>
      </c>
      <c r="J2895" s="3" t="s">
        <v>19</v>
      </c>
      <c r="K2895" s="3" t="s">
        <v>20</v>
      </c>
      <c r="L2895" s="3">
        <v>30.26</v>
      </c>
      <c r="M2895" s="3" t="s">
        <v>1695</v>
      </c>
      <c r="N2895" s="3" t="s">
        <v>1696</v>
      </c>
      <c r="O2895" s="3">
        <v>1.97549614327E11</v>
      </c>
    </row>
    <row r="2896">
      <c r="A2896" s="3">
        <v>2627066.0</v>
      </c>
      <c r="B2896" s="3" t="s">
        <v>5930</v>
      </c>
      <c r="C2896" s="3" t="b">
        <v>0</v>
      </c>
      <c r="D2896" s="3" t="b">
        <v>1</v>
      </c>
      <c r="E2896" s="3" t="s">
        <v>58</v>
      </c>
      <c r="F2896" s="3" t="s">
        <v>5931</v>
      </c>
      <c r="G2896" s="4">
        <f>+251911232442</f>
        <v>251911232442</v>
      </c>
      <c r="H2896" s="3" t="s">
        <v>18</v>
      </c>
      <c r="I2896" s="3" t="s">
        <v>19</v>
      </c>
      <c r="J2896" s="3" t="s">
        <v>19</v>
      </c>
      <c r="K2896" s="3" t="s">
        <v>25</v>
      </c>
      <c r="L2896" s="3">
        <v>29.21</v>
      </c>
      <c r="M2896" s="3" t="s">
        <v>1695</v>
      </c>
      <c r="N2896" s="3" t="s">
        <v>1696</v>
      </c>
      <c r="O2896" s="3">
        <v>1.97551782136E11</v>
      </c>
    </row>
    <row r="2897">
      <c r="A2897" s="3">
        <v>2627073.0</v>
      </c>
      <c r="B2897" s="3" t="s">
        <v>5932</v>
      </c>
      <c r="C2897" s="3" t="b">
        <v>0</v>
      </c>
      <c r="D2897" s="3" t="b">
        <v>1</v>
      </c>
      <c r="E2897" s="3" t="s">
        <v>729</v>
      </c>
      <c r="F2897" s="3" t="s">
        <v>5933</v>
      </c>
      <c r="G2897" s="4">
        <f>+251976876709</f>
        <v>251976876709</v>
      </c>
      <c r="H2897" s="3" t="s">
        <v>18</v>
      </c>
      <c r="I2897" s="3" t="s">
        <v>19</v>
      </c>
      <c r="J2897" s="3" t="s">
        <v>19</v>
      </c>
      <c r="K2897" s="3" t="s">
        <v>20</v>
      </c>
      <c r="L2897" s="3">
        <v>24.26</v>
      </c>
      <c r="M2897" s="3" t="s">
        <v>1695</v>
      </c>
      <c r="N2897" s="3" t="s">
        <v>1696</v>
      </c>
      <c r="O2897" s="3">
        <v>1.97552567501E11</v>
      </c>
    </row>
    <row r="2898">
      <c r="A2898" s="3">
        <v>2627085.0</v>
      </c>
      <c r="B2898" s="3" t="s">
        <v>5934</v>
      </c>
      <c r="C2898" s="3" t="b">
        <v>0</v>
      </c>
      <c r="D2898" s="3" t="b">
        <v>1</v>
      </c>
      <c r="E2898" s="3" t="s">
        <v>1142</v>
      </c>
      <c r="F2898" s="3" t="s">
        <v>109</v>
      </c>
      <c r="G2898" s="4">
        <f>+251948050991</f>
        <v>251948050991</v>
      </c>
      <c r="H2898" s="3" t="s">
        <v>18</v>
      </c>
      <c r="I2898" s="3" t="s">
        <v>19</v>
      </c>
      <c r="J2898" s="3" t="s">
        <v>19</v>
      </c>
      <c r="K2898" s="3" t="s">
        <v>25</v>
      </c>
      <c r="L2898" s="3">
        <v>24.18</v>
      </c>
      <c r="M2898" s="3" t="s">
        <v>1695</v>
      </c>
      <c r="N2898" s="3" t="s">
        <v>1696</v>
      </c>
      <c r="O2898" s="3">
        <v>1.97550422245E11</v>
      </c>
    </row>
    <row r="2899">
      <c r="A2899" s="3">
        <v>2627109.0</v>
      </c>
      <c r="B2899" s="3" t="s">
        <v>5935</v>
      </c>
      <c r="C2899" s="3" t="b">
        <v>0</v>
      </c>
      <c r="D2899" s="3" t="b">
        <v>1</v>
      </c>
      <c r="E2899" s="3" t="s">
        <v>5936</v>
      </c>
      <c r="F2899" s="3" t="s">
        <v>5937</v>
      </c>
      <c r="G2899" s="4">
        <f>+251967702150</f>
        <v>251967702150</v>
      </c>
      <c r="H2899" s="3" t="s">
        <v>18</v>
      </c>
      <c r="I2899" s="3" t="s">
        <v>19</v>
      </c>
      <c r="J2899" s="3" t="s">
        <v>19</v>
      </c>
      <c r="K2899" s="3" t="s">
        <v>20</v>
      </c>
      <c r="L2899" s="3">
        <v>19.26</v>
      </c>
      <c r="M2899" s="3" t="s">
        <v>1695</v>
      </c>
      <c r="N2899" s="3" t="s">
        <v>1696</v>
      </c>
      <c r="O2899" s="3">
        <v>1.97567166671E11</v>
      </c>
    </row>
    <row r="2900">
      <c r="A2900" s="3">
        <v>2627117.0</v>
      </c>
      <c r="B2900" s="3" t="s">
        <v>5938</v>
      </c>
      <c r="C2900" s="3" t="b">
        <v>0</v>
      </c>
      <c r="D2900" s="3" t="b">
        <v>1</v>
      </c>
      <c r="E2900" s="3" t="s">
        <v>3919</v>
      </c>
      <c r="F2900" s="3" t="s">
        <v>3707</v>
      </c>
      <c r="G2900" s="4">
        <f>+251919520291</f>
        <v>251919520291</v>
      </c>
      <c r="H2900" s="3" t="s">
        <v>18</v>
      </c>
      <c r="I2900" s="3" t="s">
        <v>19</v>
      </c>
      <c r="J2900" s="3" t="s">
        <v>19</v>
      </c>
      <c r="K2900" s="3" t="s">
        <v>25</v>
      </c>
      <c r="L2900" s="3">
        <v>25.01</v>
      </c>
      <c r="M2900" s="3" t="s">
        <v>1695</v>
      </c>
      <c r="N2900" s="3" t="s">
        <v>1696</v>
      </c>
      <c r="O2900" s="3">
        <v>1.97556508859E11</v>
      </c>
    </row>
    <row r="2901">
      <c r="A2901" s="3">
        <v>2627121.0</v>
      </c>
      <c r="B2901" s="3" t="s">
        <v>5939</v>
      </c>
      <c r="C2901" s="3" t="b">
        <v>0</v>
      </c>
      <c r="D2901" s="3" t="b">
        <v>1</v>
      </c>
      <c r="E2901" s="3" t="s">
        <v>356</v>
      </c>
      <c r="F2901" s="3" t="s">
        <v>1804</v>
      </c>
      <c r="G2901" s="4">
        <f>+251967797751</f>
        <v>251967797751</v>
      </c>
      <c r="H2901" s="3" t="s">
        <v>18</v>
      </c>
      <c r="I2901" s="3" t="s">
        <v>19</v>
      </c>
      <c r="J2901" s="3" t="s">
        <v>19</v>
      </c>
      <c r="K2901" s="3" t="s">
        <v>25</v>
      </c>
      <c r="L2901" s="3">
        <v>22.34</v>
      </c>
      <c r="M2901" s="3" t="s">
        <v>1695</v>
      </c>
      <c r="N2901" s="3" t="s">
        <v>1696</v>
      </c>
      <c r="O2901" s="3">
        <v>1.97557063906E11</v>
      </c>
    </row>
    <row r="2902">
      <c r="A2902" s="3">
        <v>2627126.0</v>
      </c>
      <c r="B2902" s="3" t="s">
        <v>5940</v>
      </c>
      <c r="C2902" s="3" t="b">
        <v>0</v>
      </c>
      <c r="D2902" s="3" t="b">
        <v>1</v>
      </c>
      <c r="E2902" s="3" t="s">
        <v>5607</v>
      </c>
      <c r="F2902" s="3" t="s">
        <v>3841</v>
      </c>
      <c r="G2902" s="4">
        <f>+251964108344</f>
        <v>251964108344</v>
      </c>
      <c r="H2902" s="3" t="s">
        <v>18</v>
      </c>
      <c r="I2902" s="3" t="s">
        <v>19</v>
      </c>
      <c r="J2902" s="3" t="s">
        <v>19</v>
      </c>
      <c r="K2902" s="3" t="s">
        <v>25</v>
      </c>
      <c r="L2902" s="3">
        <v>25.01</v>
      </c>
      <c r="M2902" s="3" t="s">
        <v>1695</v>
      </c>
      <c r="N2902" s="3" t="s">
        <v>1696</v>
      </c>
      <c r="O2902" s="3">
        <v>1.97555978458E11</v>
      </c>
    </row>
    <row r="2903">
      <c r="A2903" s="3">
        <v>2627135.0</v>
      </c>
      <c r="B2903" s="3" t="s">
        <v>5941</v>
      </c>
      <c r="C2903" s="3" t="b">
        <v>0</v>
      </c>
      <c r="D2903" s="3" t="b">
        <v>1</v>
      </c>
      <c r="E2903" s="3" t="s">
        <v>2781</v>
      </c>
      <c r="F2903" s="3" t="s">
        <v>1368</v>
      </c>
      <c r="G2903" s="4">
        <f>+251967017455</f>
        <v>251967017455</v>
      </c>
      <c r="H2903" s="3" t="s">
        <v>18</v>
      </c>
      <c r="I2903" s="3" t="s">
        <v>19</v>
      </c>
      <c r="J2903" s="3" t="s">
        <v>19</v>
      </c>
      <c r="K2903" s="3" t="s">
        <v>25</v>
      </c>
      <c r="L2903" s="3">
        <v>28.27</v>
      </c>
      <c r="M2903" s="3" t="s">
        <v>1695</v>
      </c>
      <c r="N2903" s="3" t="s">
        <v>1696</v>
      </c>
      <c r="O2903" s="3">
        <v>1.97569318131E11</v>
      </c>
    </row>
    <row r="2904">
      <c r="A2904" s="3">
        <v>2627155.0</v>
      </c>
      <c r="B2904" s="3" t="s">
        <v>5942</v>
      </c>
      <c r="C2904" s="3" t="b">
        <v>0</v>
      </c>
      <c r="D2904" s="3" t="b">
        <v>1</v>
      </c>
      <c r="E2904" s="3" t="s">
        <v>3947</v>
      </c>
      <c r="F2904" s="3" t="s">
        <v>4480</v>
      </c>
      <c r="G2904" s="4">
        <f>+251945767574</f>
        <v>251945767574</v>
      </c>
      <c r="H2904" s="3" t="s">
        <v>18</v>
      </c>
      <c r="I2904" s="3" t="s">
        <v>19</v>
      </c>
      <c r="J2904" s="3" t="s">
        <v>19</v>
      </c>
      <c r="K2904" s="3" t="s">
        <v>20</v>
      </c>
      <c r="L2904" s="3">
        <v>22.01</v>
      </c>
      <c r="M2904" s="3" t="s">
        <v>1695</v>
      </c>
      <c r="N2904" s="3" t="s">
        <v>1696</v>
      </c>
      <c r="O2904" s="3">
        <v>1.97563371716E11</v>
      </c>
    </row>
    <row r="2905">
      <c r="A2905" s="3">
        <v>2627163.0</v>
      </c>
      <c r="B2905" s="3" t="s">
        <v>5943</v>
      </c>
      <c r="C2905" s="3" t="b">
        <v>0</v>
      </c>
      <c r="D2905" s="3" t="b">
        <v>1</v>
      </c>
      <c r="E2905" s="3" t="s">
        <v>5944</v>
      </c>
      <c r="F2905" s="3" t="s">
        <v>916</v>
      </c>
      <c r="G2905" s="4">
        <f>+251928327112</f>
        <v>251928327112</v>
      </c>
      <c r="H2905" s="3" t="s">
        <v>18</v>
      </c>
      <c r="I2905" s="3" t="s">
        <v>19</v>
      </c>
      <c r="J2905" s="3" t="s">
        <v>19</v>
      </c>
      <c r="K2905" s="3" t="s">
        <v>20</v>
      </c>
      <c r="L2905" s="3">
        <v>25.01</v>
      </c>
      <c r="M2905" s="3" t="s">
        <v>1695</v>
      </c>
      <c r="N2905" s="3" t="s">
        <v>1696</v>
      </c>
      <c r="O2905" s="3">
        <v>1.97566329051E11</v>
      </c>
    </row>
    <row r="2906">
      <c r="A2906" s="3">
        <v>2627182.0</v>
      </c>
      <c r="B2906" s="3" t="s">
        <v>5945</v>
      </c>
      <c r="C2906" s="3" t="b">
        <v>0</v>
      </c>
      <c r="D2906" s="3" t="b">
        <v>1</v>
      </c>
      <c r="E2906" s="3" t="s">
        <v>968</v>
      </c>
      <c r="F2906" s="3" t="s">
        <v>3894</v>
      </c>
      <c r="G2906" s="4">
        <f>+251934428298</f>
        <v>251934428298</v>
      </c>
      <c r="H2906" s="3" t="s">
        <v>18</v>
      </c>
      <c r="I2906" s="3" t="s">
        <v>19</v>
      </c>
      <c r="J2906" s="3" t="s">
        <v>19</v>
      </c>
      <c r="K2906" s="3" t="s">
        <v>25</v>
      </c>
      <c r="L2906" s="3">
        <v>25.01</v>
      </c>
      <c r="M2906" s="3" t="s">
        <v>1695</v>
      </c>
      <c r="N2906" s="3" t="s">
        <v>1696</v>
      </c>
      <c r="O2906" s="3">
        <v>1.97572678893E11</v>
      </c>
    </row>
    <row r="2907">
      <c r="A2907" s="3">
        <v>2627190.0</v>
      </c>
      <c r="B2907" s="3" t="s">
        <v>5946</v>
      </c>
      <c r="C2907" s="3" t="b">
        <v>0</v>
      </c>
      <c r="D2907" s="3" t="b">
        <v>1</v>
      </c>
      <c r="E2907" s="3" t="s">
        <v>2431</v>
      </c>
      <c r="F2907" s="3" t="s">
        <v>649</v>
      </c>
      <c r="G2907" s="4">
        <f>+251911463816</f>
        <v>251911463816</v>
      </c>
      <c r="H2907" s="3" t="s">
        <v>18</v>
      </c>
      <c r="I2907" s="3" t="s">
        <v>19</v>
      </c>
      <c r="J2907" s="3" t="s">
        <v>19</v>
      </c>
      <c r="K2907" s="3" t="s">
        <v>25</v>
      </c>
      <c r="L2907" s="3">
        <v>34.27</v>
      </c>
      <c r="M2907" s="3" t="s">
        <v>1695</v>
      </c>
      <c r="N2907" s="3" t="s">
        <v>1696</v>
      </c>
      <c r="O2907" s="3">
        <v>1.9758960557E11</v>
      </c>
    </row>
    <row r="2908">
      <c r="A2908" s="3">
        <v>2627204.0</v>
      </c>
      <c r="B2908" s="3" t="s">
        <v>5947</v>
      </c>
      <c r="C2908" s="3" t="b">
        <v>0</v>
      </c>
      <c r="D2908" s="3" t="b">
        <v>1</v>
      </c>
      <c r="E2908" s="3" t="s">
        <v>5948</v>
      </c>
      <c r="F2908" s="3" t="s">
        <v>1232</v>
      </c>
      <c r="G2908" s="4">
        <f>+251942727956</f>
        <v>251942727956</v>
      </c>
      <c r="H2908" s="3" t="s">
        <v>18</v>
      </c>
      <c r="I2908" s="3" t="s">
        <v>19</v>
      </c>
      <c r="J2908" s="3" t="s">
        <v>19</v>
      </c>
      <c r="K2908" s="3" t="s">
        <v>25</v>
      </c>
      <c r="L2908" s="3">
        <v>24.01</v>
      </c>
      <c r="M2908" s="3" t="s">
        <v>1695</v>
      </c>
      <c r="N2908" s="3" t="s">
        <v>1696</v>
      </c>
      <c r="O2908" s="3">
        <v>1.97593650402E11</v>
      </c>
    </row>
    <row r="2909">
      <c r="A2909" s="3">
        <v>2627215.0</v>
      </c>
      <c r="B2909" s="3" t="s">
        <v>5949</v>
      </c>
      <c r="C2909" s="3" t="b">
        <v>0</v>
      </c>
      <c r="D2909" s="3" t="b">
        <v>1</v>
      </c>
      <c r="E2909" s="3" t="s">
        <v>5522</v>
      </c>
      <c r="F2909" s="3" t="s">
        <v>5950</v>
      </c>
      <c r="G2909" s="4">
        <f>+251919662558</f>
        <v>251919662558</v>
      </c>
      <c r="H2909" s="3" t="s">
        <v>18</v>
      </c>
      <c r="I2909" s="3" t="s">
        <v>19</v>
      </c>
      <c r="J2909" s="3" t="s">
        <v>19</v>
      </c>
      <c r="K2909" s="3" t="s">
        <v>25</v>
      </c>
      <c r="L2909" s="3">
        <v>24.01</v>
      </c>
      <c r="M2909" s="3" t="s">
        <v>1695</v>
      </c>
      <c r="N2909" s="3" t="s">
        <v>1696</v>
      </c>
      <c r="O2909" s="3">
        <v>1.97590043857E11</v>
      </c>
    </row>
    <row r="2910">
      <c r="A2910" s="3">
        <v>2627235.0</v>
      </c>
      <c r="B2910" s="3" t="s">
        <v>5951</v>
      </c>
      <c r="C2910" s="3" t="b">
        <v>0</v>
      </c>
      <c r="D2910" s="3" t="b">
        <v>1</v>
      </c>
      <c r="E2910" s="3" t="s">
        <v>129</v>
      </c>
      <c r="F2910" s="3" t="s">
        <v>5952</v>
      </c>
      <c r="G2910" s="4">
        <f>+251909297072</f>
        <v>251909297072</v>
      </c>
      <c r="H2910" s="3" t="s">
        <v>18</v>
      </c>
      <c r="I2910" s="3" t="s">
        <v>19</v>
      </c>
      <c r="J2910" s="3" t="s">
        <v>19</v>
      </c>
      <c r="K2910" s="3" t="s">
        <v>20</v>
      </c>
      <c r="L2910" s="3">
        <v>24.01</v>
      </c>
      <c r="M2910" s="3" t="s">
        <v>1695</v>
      </c>
      <c r="N2910" s="3" t="s">
        <v>1696</v>
      </c>
      <c r="O2910" s="3">
        <v>1.97595399379E11</v>
      </c>
    </row>
    <row r="2911">
      <c r="A2911" s="3">
        <v>2627249.0</v>
      </c>
      <c r="B2911" s="3" t="s">
        <v>5953</v>
      </c>
      <c r="C2911" s="3" t="b">
        <v>0</v>
      </c>
      <c r="D2911" s="3" t="b">
        <v>1</v>
      </c>
      <c r="E2911" s="3" t="s">
        <v>3954</v>
      </c>
      <c r="F2911" s="3" t="s">
        <v>3863</v>
      </c>
      <c r="G2911" s="4">
        <f>+251942324554</f>
        <v>251942324554</v>
      </c>
      <c r="H2911" s="3" t="s">
        <v>18</v>
      </c>
      <c r="I2911" s="3" t="s">
        <v>19</v>
      </c>
      <c r="J2911" s="3" t="s">
        <v>19</v>
      </c>
      <c r="K2911" s="3" t="s">
        <v>20</v>
      </c>
      <c r="L2911" s="3">
        <v>22.01</v>
      </c>
      <c r="M2911" s="3" t="s">
        <v>1695</v>
      </c>
      <c r="N2911" s="3" t="s">
        <v>1696</v>
      </c>
      <c r="O2911" s="3">
        <v>1.9757851158E11</v>
      </c>
    </row>
    <row r="2912">
      <c r="A2912" s="3">
        <v>2627270.0</v>
      </c>
      <c r="B2912" s="3" t="s">
        <v>5954</v>
      </c>
      <c r="C2912" s="3" t="b">
        <v>0</v>
      </c>
      <c r="D2912" s="3" t="b">
        <v>1</v>
      </c>
      <c r="E2912" s="3" t="s">
        <v>273</v>
      </c>
      <c r="F2912" s="3" t="s">
        <v>5955</v>
      </c>
      <c r="G2912" s="4">
        <f>+251910044165</f>
        <v>251910044165</v>
      </c>
      <c r="H2912" s="3" t="s">
        <v>18</v>
      </c>
      <c r="I2912" s="3" t="s">
        <v>19</v>
      </c>
      <c r="J2912" s="3" t="s">
        <v>19</v>
      </c>
      <c r="K2912" s="3" t="s">
        <v>25</v>
      </c>
      <c r="L2912" s="3">
        <v>27.01</v>
      </c>
      <c r="M2912" s="3" t="s">
        <v>1695</v>
      </c>
      <c r="N2912" s="3" t="s">
        <v>1696</v>
      </c>
      <c r="O2912" s="3">
        <v>1.97586854101E11</v>
      </c>
    </row>
    <row r="2913">
      <c r="A2913" s="3">
        <v>2627304.0</v>
      </c>
      <c r="B2913" s="3" t="s">
        <v>5956</v>
      </c>
      <c r="C2913" s="3" t="b">
        <v>0</v>
      </c>
      <c r="D2913" s="3" t="b">
        <v>1</v>
      </c>
      <c r="E2913" s="3" t="s">
        <v>5449</v>
      </c>
      <c r="F2913" s="3" t="s">
        <v>58</v>
      </c>
      <c r="G2913" s="4">
        <f>+251965399619</f>
        <v>251965399619</v>
      </c>
      <c r="H2913" s="3" t="s">
        <v>18</v>
      </c>
      <c r="I2913" s="3" t="s">
        <v>19</v>
      </c>
      <c r="J2913" s="3" t="s">
        <v>19</v>
      </c>
      <c r="K2913" s="3" t="s">
        <v>25</v>
      </c>
      <c r="L2913" s="3">
        <v>24.01</v>
      </c>
      <c r="M2913" s="3" t="s">
        <v>1695</v>
      </c>
      <c r="N2913" s="3" t="s">
        <v>1696</v>
      </c>
      <c r="O2913" s="3">
        <v>1.97586497723E11</v>
      </c>
    </row>
    <row r="2914">
      <c r="A2914" s="3">
        <v>2627319.0</v>
      </c>
      <c r="B2914" s="3" t="s">
        <v>5957</v>
      </c>
      <c r="C2914" s="3" t="b">
        <v>0</v>
      </c>
      <c r="D2914" s="3" t="b">
        <v>1</v>
      </c>
      <c r="E2914" s="3" t="s">
        <v>5318</v>
      </c>
      <c r="F2914" s="3" t="s">
        <v>4896</v>
      </c>
      <c r="G2914" s="4">
        <f>+251917803003</f>
        <v>251917803003</v>
      </c>
      <c r="H2914" s="3" t="s">
        <v>18</v>
      </c>
      <c r="I2914" s="3" t="s">
        <v>19</v>
      </c>
      <c r="J2914" s="3" t="s">
        <v>19</v>
      </c>
      <c r="K2914" s="3" t="s">
        <v>20</v>
      </c>
      <c r="L2914" s="3">
        <v>22.27</v>
      </c>
      <c r="M2914" s="3" t="s">
        <v>1695</v>
      </c>
      <c r="N2914" s="3" t="s">
        <v>1696</v>
      </c>
      <c r="O2914" s="3">
        <v>1.97600165083E11</v>
      </c>
    </row>
    <row r="2915">
      <c r="A2915" s="3">
        <v>2627321.0</v>
      </c>
      <c r="B2915" s="3" t="s">
        <v>5958</v>
      </c>
      <c r="C2915" s="3" t="b">
        <v>0</v>
      </c>
      <c r="D2915" s="3" t="b">
        <v>1</v>
      </c>
      <c r="E2915" s="3" t="s">
        <v>414</v>
      </c>
      <c r="F2915" s="3" t="s">
        <v>5959</v>
      </c>
      <c r="G2915" s="4">
        <f>+251919755719</f>
        <v>251919755719</v>
      </c>
      <c r="H2915" s="3" t="s">
        <v>18</v>
      </c>
      <c r="I2915" s="3" t="s">
        <v>19</v>
      </c>
      <c r="J2915" s="3" t="s">
        <v>19</v>
      </c>
      <c r="K2915" s="3" t="s">
        <v>25</v>
      </c>
      <c r="L2915" s="3">
        <v>25.01</v>
      </c>
      <c r="M2915" s="3" t="s">
        <v>1695</v>
      </c>
      <c r="N2915" s="3" t="s">
        <v>1696</v>
      </c>
      <c r="O2915" s="3">
        <v>1.97602175211E11</v>
      </c>
    </row>
    <row r="2916">
      <c r="A2916" s="3">
        <v>2627325.0</v>
      </c>
      <c r="B2916" s="3" t="s">
        <v>5960</v>
      </c>
      <c r="C2916" s="3" t="b">
        <v>0</v>
      </c>
      <c r="D2916" s="3" t="b">
        <v>1</v>
      </c>
      <c r="E2916" s="3" t="s">
        <v>468</v>
      </c>
      <c r="F2916" s="3" t="s">
        <v>911</v>
      </c>
      <c r="G2916" s="4">
        <f>+251945949011</f>
        <v>251945949011</v>
      </c>
      <c r="H2916" s="3" t="s">
        <v>18</v>
      </c>
      <c r="I2916" s="3" t="s">
        <v>19</v>
      </c>
      <c r="J2916" s="3" t="s">
        <v>19</v>
      </c>
      <c r="K2916" s="3" t="s">
        <v>25</v>
      </c>
      <c r="L2916" s="3">
        <v>26.26</v>
      </c>
      <c r="M2916" s="3" t="s">
        <v>1695</v>
      </c>
      <c r="N2916" s="3" t="s">
        <v>1696</v>
      </c>
      <c r="O2916" s="3">
        <v>1.97601222887E11</v>
      </c>
    </row>
    <row r="2917">
      <c r="A2917" s="3">
        <v>2627343.0</v>
      </c>
      <c r="B2917" s="3" t="s">
        <v>5961</v>
      </c>
      <c r="C2917" s="3" t="b">
        <v>0</v>
      </c>
      <c r="D2917" s="3" t="b">
        <v>1</v>
      </c>
      <c r="E2917" s="3" t="s">
        <v>2629</v>
      </c>
      <c r="F2917" s="3" t="s">
        <v>5962</v>
      </c>
      <c r="G2917" s="4">
        <f>+251914987236</f>
        <v>251914987236</v>
      </c>
      <c r="H2917" s="3" t="s">
        <v>289</v>
      </c>
      <c r="I2917" s="3" t="s">
        <v>19</v>
      </c>
      <c r="J2917" s="3" t="s">
        <v>19</v>
      </c>
      <c r="K2917" s="3" t="s">
        <v>25</v>
      </c>
      <c r="L2917" s="3">
        <v>20.74</v>
      </c>
      <c r="M2917" s="3" t="s">
        <v>1695</v>
      </c>
      <c r="N2917" s="3" t="s">
        <v>1696</v>
      </c>
      <c r="O2917" s="3">
        <v>1.97604322545E11</v>
      </c>
    </row>
    <row r="2918">
      <c r="A2918" s="3">
        <v>2627357.0</v>
      </c>
      <c r="B2918" s="3" t="s">
        <v>5963</v>
      </c>
      <c r="C2918" s="3" t="b">
        <v>0</v>
      </c>
      <c r="D2918" s="3" t="b">
        <v>1</v>
      </c>
      <c r="E2918" s="3" t="s">
        <v>5964</v>
      </c>
      <c r="F2918" s="3" t="s">
        <v>5965</v>
      </c>
      <c r="G2918" s="4">
        <f>+251092982202</f>
        <v>251092982202</v>
      </c>
      <c r="H2918" s="3" t="s">
        <v>18</v>
      </c>
      <c r="I2918" s="3" t="s">
        <v>19</v>
      </c>
      <c r="J2918" s="3" t="s">
        <v>19</v>
      </c>
      <c r="K2918" s="3" t="s">
        <v>20</v>
      </c>
      <c r="L2918" s="3">
        <v>24.01</v>
      </c>
      <c r="M2918" s="3" t="s">
        <v>1695</v>
      </c>
      <c r="N2918" s="3" t="s">
        <v>1696</v>
      </c>
      <c r="O2918" s="3">
        <v>1.97601710328E11</v>
      </c>
    </row>
    <row r="2919">
      <c r="A2919" s="3">
        <v>2627388.0</v>
      </c>
      <c r="B2919" s="3" t="s">
        <v>5966</v>
      </c>
      <c r="C2919" s="3" t="b">
        <v>0</v>
      </c>
      <c r="D2919" s="3" t="b">
        <v>1</v>
      </c>
      <c r="E2919" s="3" t="s">
        <v>5967</v>
      </c>
      <c r="F2919" s="3" t="s">
        <v>1130</v>
      </c>
      <c r="G2919" s="4">
        <f>+251913055826</f>
        <v>251913055826</v>
      </c>
      <c r="H2919" s="3" t="s">
        <v>18</v>
      </c>
      <c r="I2919" s="3" t="s">
        <v>19</v>
      </c>
      <c r="J2919" s="3" t="s">
        <v>19</v>
      </c>
      <c r="K2919" s="3" t="s">
        <v>25</v>
      </c>
      <c r="L2919" s="3">
        <v>22.01</v>
      </c>
      <c r="M2919" s="3" t="s">
        <v>1695</v>
      </c>
      <c r="N2919" s="3" t="s">
        <v>1696</v>
      </c>
      <c r="O2919" s="3">
        <v>1.97627334868E11</v>
      </c>
    </row>
    <row r="2920">
      <c r="A2920" s="3">
        <v>2627405.0</v>
      </c>
      <c r="B2920" s="3" t="s">
        <v>5968</v>
      </c>
      <c r="C2920" s="3" t="b">
        <v>0</v>
      </c>
      <c r="D2920" s="3" t="b">
        <v>1</v>
      </c>
      <c r="E2920" s="3" t="s">
        <v>3841</v>
      </c>
      <c r="F2920" s="3" t="s">
        <v>1872</v>
      </c>
      <c r="G2920" s="4">
        <f>+251939371662</f>
        <v>251939371662</v>
      </c>
      <c r="H2920" s="3" t="s">
        <v>18</v>
      </c>
      <c r="I2920" s="3" t="s">
        <v>19</v>
      </c>
      <c r="J2920" s="3" t="s">
        <v>19</v>
      </c>
      <c r="K2920" s="3" t="s">
        <v>25</v>
      </c>
      <c r="L2920" s="3">
        <v>25.01</v>
      </c>
      <c r="M2920" s="3" t="s">
        <v>1695</v>
      </c>
      <c r="N2920" s="3" t="s">
        <v>1696</v>
      </c>
      <c r="O2920" s="3">
        <v>1.97627503863E11</v>
      </c>
    </row>
    <row r="2921">
      <c r="A2921" s="3">
        <v>2627463.0</v>
      </c>
      <c r="B2921" s="3" t="s">
        <v>5969</v>
      </c>
      <c r="C2921" s="3" t="b">
        <v>0</v>
      </c>
      <c r="D2921" s="3" t="b">
        <v>1</v>
      </c>
      <c r="E2921" s="3" t="s">
        <v>1438</v>
      </c>
      <c r="F2921" s="3" t="s">
        <v>3007</v>
      </c>
      <c r="G2921" s="4">
        <f>+251982714423</f>
        <v>251982714423</v>
      </c>
      <c r="H2921" s="3" t="s">
        <v>18</v>
      </c>
      <c r="I2921" s="3" t="s">
        <v>19</v>
      </c>
      <c r="J2921" s="3" t="s">
        <v>19</v>
      </c>
      <c r="K2921" s="3" t="s">
        <v>25</v>
      </c>
      <c r="L2921" s="3">
        <v>26.25</v>
      </c>
      <c r="M2921" s="3" t="s">
        <v>1695</v>
      </c>
      <c r="N2921" s="3" t="s">
        <v>1696</v>
      </c>
      <c r="O2921" s="3">
        <v>1.97612654833E11</v>
      </c>
    </row>
    <row r="2922">
      <c r="A2922" s="3">
        <v>2627667.0</v>
      </c>
      <c r="B2922" s="3" t="s">
        <v>5970</v>
      </c>
      <c r="C2922" s="3" t="b">
        <v>0</v>
      </c>
      <c r="D2922" s="3" t="b">
        <v>1</v>
      </c>
      <c r="E2922" s="3" t="s">
        <v>724</v>
      </c>
      <c r="F2922" s="3" t="s">
        <v>2788</v>
      </c>
      <c r="G2922" s="4">
        <f>+251901014736</f>
        <v>251901014736</v>
      </c>
      <c r="H2922" s="3" t="s">
        <v>18</v>
      </c>
      <c r="I2922" s="3" t="s">
        <v>19</v>
      </c>
      <c r="J2922" s="3" t="s">
        <v>19</v>
      </c>
      <c r="K2922" s="3" t="s">
        <v>25</v>
      </c>
      <c r="L2922" s="3">
        <v>27.1</v>
      </c>
      <c r="M2922" s="3" t="s">
        <v>1695</v>
      </c>
      <c r="N2922" s="3" t="s">
        <v>1696</v>
      </c>
      <c r="O2922" s="3">
        <v>1.97646770386E11</v>
      </c>
    </row>
    <row r="2923">
      <c r="A2923" s="3">
        <v>2627698.0</v>
      </c>
      <c r="B2923" s="3" t="s">
        <v>5971</v>
      </c>
      <c r="C2923" s="3" t="b">
        <v>0</v>
      </c>
      <c r="D2923" s="3" t="b">
        <v>1</v>
      </c>
      <c r="E2923" s="3" t="s">
        <v>5972</v>
      </c>
      <c r="F2923" s="3" t="s">
        <v>5973</v>
      </c>
      <c r="G2923" s="4">
        <f>+251911118299</f>
        <v>251911118299</v>
      </c>
      <c r="H2923" s="3" t="s">
        <v>18</v>
      </c>
      <c r="I2923" s="3" t="s">
        <v>19</v>
      </c>
      <c r="J2923" s="3" t="s">
        <v>19</v>
      </c>
      <c r="K2923" s="3" t="s">
        <v>25</v>
      </c>
      <c r="L2923" s="3">
        <v>24.75</v>
      </c>
      <c r="M2923" s="3" t="s">
        <v>1695</v>
      </c>
      <c r="N2923" s="3" t="s">
        <v>1696</v>
      </c>
      <c r="O2923" s="3">
        <v>1.97645761732E11</v>
      </c>
    </row>
    <row r="2924">
      <c r="A2924" s="3">
        <v>2627705.0</v>
      </c>
      <c r="B2924" s="3" t="s">
        <v>5974</v>
      </c>
      <c r="C2924" s="3" t="b">
        <v>0</v>
      </c>
      <c r="D2924" s="3" t="b">
        <v>1</v>
      </c>
      <c r="E2924" s="3" t="s">
        <v>5975</v>
      </c>
      <c r="F2924" s="3" t="s">
        <v>5976</v>
      </c>
      <c r="G2924" s="4">
        <f>+251931000345</f>
        <v>251931000345</v>
      </c>
      <c r="H2924" s="3" t="s">
        <v>18</v>
      </c>
      <c r="I2924" s="3" t="s">
        <v>19</v>
      </c>
      <c r="J2924" s="3" t="s">
        <v>19</v>
      </c>
      <c r="K2924" s="3" t="s">
        <v>25</v>
      </c>
      <c r="L2924" s="3">
        <v>21.11</v>
      </c>
      <c r="M2924" s="3" t="s">
        <v>1695</v>
      </c>
      <c r="N2924" s="3" t="s">
        <v>1696</v>
      </c>
      <c r="O2924" s="3">
        <v>1.97679942876E11</v>
      </c>
    </row>
    <row r="2925">
      <c r="A2925" s="3">
        <v>2627718.0</v>
      </c>
      <c r="B2925" s="3" t="s">
        <v>5977</v>
      </c>
      <c r="C2925" s="3" t="b">
        <v>0</v>
      </c>
      <c r="D2925" s="3" t="b">
        <v>1</v>
      </c>
      <c r="E2925" s="3" t="s">
        <v>5591</v>
      </c>
      <c r="F2925" s="3" t="s">
        <v>5824</v>
      </c>
      <c r="G2925" s="4">
        <f>+251988601836</f>
        <v>251988601836</v>
      </c>
      <c r="H2925" s="3" t="s">
        <v>18</v>
      </c>
      <c r="I2925" s="3" t="s">
        <v>19</v>
      </c>
      <c r="J2925" s="3" t="s">
        <v>19</v>
      </c>
      <c r="K2925" s="3" t="s">
        <v>20</v>
      </c>
      <c r="L2925" s="3">
        <v>26.17</v>
      </c>
      <c r="M2925" s="3" t="s">
        <v>1695</v>
      </c>
      <c r="N2925" s="3" t="s">
        <v>1696</v>
      </c>
      <c r="O2925" s="3">
        <v>1.97650299072E11</v>
      </c>
    </row>
    <row r="2926">
      <c r="A2926" s="3">
        <v>2627726.0</v>
      </c>
      <c r="B2926" s="3" t="s">
        <v>5978</v>
      </c>
      <c r="C2926" s="3" t="b">
        <v>0</v>
      </c>
      <c r="D2926" s="3" t="b">
        <v>1</v>
      </c>
      <c r="E2926" s="3" t="s">
        <v>4665</v>
      </c>
      <c r="F2926" s="3" t="s">
        <v>4339</v>
      </c>
      <c r="G2926" s="4">
        <f>+251937975808</f>
        <v>251937975808</v>
      </c>
      <c r="H2926" s="3" t="s">
        <v>18</v>
      </c>
      <c r="I2926" s="3" t="s">
        <v>19</v>
      </c>
      <c r="J2926" s="3" t="s">
        <v>19</v>
      </c>
      <c r="K2926" s="3" t="s">
        <v>20</v>
      </c>
      <c r="L2926" s="3">
        <v>25.21</v>
      </c>
      <c r="M2926" s="3" t="s">
        <v>1695</v>
      </c>
      <c r="N2926" s="3" t="s">
        <v>1696</v>
      </c>
      <c r="O2926" s="3">
        <v>1.97646131433E11</v>
      </c>
    </row>
    <row r="2927">
      <c r="A2927" s="3">
        <v>2627734.0</v>
      </c>
      <c r="B2927" s="3" t="s">
        <v>5979</v>
      </c>
      <c r="C2927" s="3" t="b">
        <v>0</v>
      </c>
      <c r="D2927" s="3" t="b">
        <v>1</v>
      </c>
      <c r="E2927" s="3" t="s">
        <v>3122</v>
      </c>
      <c r="F2927" s="3" t="s">
        <v>4519</v>
      </c>
      <c r="G2927" s="4">
        <f>+251931483502</f>
        <v>251931483502</v>
      </c>
      <c r="H2927" s="3" t="s">
        <v>18</v>
      </c>
      <c r="I2927" s="3" t="s">
        <v>19</v>
      </c>
      <c r="J2927" s="3" t="s">
        <v>19</v>
      </c>
      <c r="K2927" s="3" t="s">
        <v>20</v>
      </c>
      <c r="L2927" s="3">
        <v>26.2</v>
      </c>
      <c r="M2927" s="3" t="s">
        <v>1695</v>
      </c>
      <c r="N2927" s="3" t="s">
        <v>1696</v>
      </c>
      <c r="O2927" s="3">
        <v>1.97655030975E11</v>
      </c>
    </row>
    <row r="2928">
      <c r="A2928" s="3">
        <v>2627746.0</v>
      </c>
      <c r="B2928" s="3" t="s">
        <v>5980</v>
      </c>
      <c r="C2928" s="3" t="b">
        <v>0</v>
      </c>
      <c r="D2928" s="3" t="b">
        <v>1</v>
      </c>
      <c r="E2928" s="3" t="s">
        <v>291</v>
      </c>
      <c r="F2928" s="3" t="s">
        <v>5981</v>
      </c>
      <c r="G2928" s="4">
        <f>+251920550350</f>
        <v>251920550350</v>
      </c>
      <c r="H2928" s="3" t="s">
        <v>18</v>
      </c>
      <c r="I2928" s="3" t="s">
        <v>19</v>
      </c>
      <c r="J2928" s="3" t="s">
        <v>19</v>
      </c>
      <c r="K2928" s="3" t="s">
        <v>20</v>
      </c>
      <c r="L2928" s="3">
        <v>26.01</v>
      </c>
      <c r="M2928" s="3" t="s">
        <v>1695</v>
      </c>
      <c r="N2928" s="3" t="s">
        <v>1696</v>
      </c>
      <c r="O2928" s="3">
        <v>1.97656268004E11</v>
      </c>
    </row>
    <row r="2929">
      <c r="A2929" s="3">
        <v>2627908.0</v>
      </c>
      <c r="B2929" s="3" t="s">
        <v>5982</v>
      </c>
      <c r="C2929" s="3" t="b">
        <v>0</v>
      </c>
      <c r="D2929" s="3" t="b">
        <v>1</v>
      </c>
      <c r="E2929" s="3" t="s">
        <v>481</v>
      </c>
      <c r="F2929" s="3" t="s">
        <v>189</v>
      </c>
      <c r="G2929" s="4">
        <f>+251954980295</f>
        <v>251954980295</v>
      </c>
      <c r="H2929" s="3" t="s">
        <v>18</v>
      </c>
      <c r="I2929" s="3" t="s">
        <v>19</v>
      </c>
      <c r="J2929" s="3" t="s">
        <v>19</v>
      </c>
      <c r="K2929" s="3" t="s">
        <v>20</v>
      </c>
      <c r="L2929" s="3">
        <v>23.01</v>
      </c>
      <c r="M2929" s="3" t="s">
        <v>1695</v>
      </c>
      <c r="N2929" s="3" t="s">
        <v>1696</v>
      </c>
      <c r="O2929" s="3">
        <v>1.97676479723E11</v>
      </c>
    </row>
    <row r="2930">
      <c r="A2930" s="3">
        <v>2627929.0</v>
      </c>
      <c r="B2930" s="3" t="s">
        <v>5983</v>
      </c>
      <c r="C2930" s="3" t="b">
        <v>0</v>
      </c>
      <c r="D2930" s="3" t="b">
        <v>1</v>
      </c>
      <c r="E2930" s="3" t="s">
        <v>5984</v>
      </c>
      <c r="F2930" s="3" t="s">
        <v>5985</v>
      </c>
      <c r="G2930" s="4">
        <f>+251925991659</f>
        <v>251925991659</v>
      </c>
      <c r="H2930" s="3" t="s">
        <v>18</v>
      </c>
      <c r="I2930" s="3" t="s">
        <v>19</v>
      </c>
      <c r="J2930" s="3" t="s">
        <v>19</v>
      </c>
      <c r="K2930" s="3" t="s">
        <v>20</v>
      </c>
      <c r="L2930" s="3">
        <v>24.01</v>
      </c>
      <c r="M2930" s="3" t="s">
        <v>1695</v>
      </c>
      <c r="N2930" s="3" t="s">
        <v>1696</v>
      </c>
      <c r="O2930" s="3">
        <v>1.97674178787E11</v>
      </c>
    </row>
    <row r="2931">
      <c r="A2931" s="3">
        <v>2627934.0</v>
      </c>
      <c r="B2931" s="3" t="s">
        <v>5986</v>
      </c>
      <c r="C2931" s="3" t="b">
        <v>0</v>
      </c>
      <c r="D2931" s="3" t="b">
        <v>1</v>
      </c>
      <c r="E2931" s="3" t="s">
        <v>729</v>
      </c>
      <c r="F2931" s="3" t="s">
        <v>566</v>
      </c>
      <c r="G2931" s="4">
        <f>+251946541985</f>
        <v>251946541985</v>
      </c>
      <c r="H2931" s="3" t="s">
        <v>18</v>
      </c>
      <c r="I2931" s="3" t="s">
        <v>19</v>
      </c>
      <c r="J2931" s="3" t="s">
        <v>19</v>
      </c>
      <c r="K2931" s="3" t="s">
        <v>25</v>
      </c>
      <c r="L2931" s="3">
        <v>33.27</v>
      </c>
      <c r="M2931" s="3" t="s">
        <v>1695</v>
      </c>
      <c r="N2931" s="3" t="s">
        <v>1696</v>
      </c>
      <c r="O2931" s="3">
        <v>1.97683636419E11</v>
      </c>
    </row>
    <row r="2932">
      <c r="A2932" s="3">
        <v>2627938.0</v>
      </c>
      <c r="B2932" s="3" t="s">
        <v>5987</v>
      </c>
      <c r="C2932" s="3" t="b">
        <v>0</v>
      </c>
      <c r="D2932" s="3" t="b">
        <v>1</v>
      </c>
      <c r="E2932" s="3" t="s">
        <v>316</v>
      </c>
      <c r="F2932" s="3" t="s">
        <v>4601</v>
      </c>
      <c r="G2932" s="4">
        <f>+251924635793</f>
        <v>251924635793</v>
      </c>
      <c r="H2932" s="3" t="s">
        <v>18</v>
      </c>
      <c r="I2932" s="3" t="s">
        <v>19</v>
      </c>
      <c r="J2932" s="3" t="s">
        <v>19</v>
      </c>
      <c r="K2932" s="3" t="s">
        <v>25</v>
      </c>
      <c r="L2932" s="3">
        <v>25.01</v>
      </c>
      <c r="M2932" s="3" t="s">
        <v>1695</v>
      </c>
      <c r="N2932" s="3" t="s">
        <v>1696</v>
      </c>
      <c r="O2932" s="3">
        <v>1.97694996693E11</v>
      </c>
    </row>
    <row r="2933">
      <c r="A2933" s="3">
        <v>2627958.0</v>
      </c>
      <c r="B2933" s="3" t="s">
        <v>5988</v>
      </c>
      <c r="C2933" s="3" t="b">
        <v>0</v>
      </c>
      <c r="D2933" s="3" t="b">
        <v>1</v>
      </c>
      <c r="E2933" s="3" t="s">
        <v>409</v>
      </c>
      <c r="F2933" s="3" t="s">
        <v>518</v>
      </c>
      <c r="G2933" s="4">
        <f>+251919424423</f>
        <v>251919424423</v>
      </c>
      <c r="H2933" s="3" t="s">
        <v>18</v>
      </c>
      <c r="I2933" s="3" t="s">
        <v>19</v>
      </c>
      <c r="J2933" s="3" t="s">
        <v>19</v>
      </c>
      <c r="K2933" s="3" t="s">
        <v>25</v>
      </c>
      <c r="L2933" s="3">
        <v>25.01</v>
      </c>
      <c r="M2933" s="3" t="s">
        <v>1695</v>
      </c>
      <c r="N2933" s="3" t="s">
        <v>1696</v>
      </c>
      <c r="O2933" s="3">
        <v>1.97698928834E11</v>
      </c>
    </row>
    <row r="2934">
      <c r="A2934" s="3">
        <v>2627974.0</v>
      </c>
      <c r="B2934" s="3" t="s">
        <v>5989</v>
      </c>
      <c r="C2934" s="3" t="b">
        <v>0</v>
      </c>
      <c r="D2934" s="3" t="b">
        <v>1</v>
      </c>
      <c r="E2934" s="3" t="s">
        <v>5746</v>
      </c>
      <c r="F2934" s="3" t="s">
        <v>422</v>
      </c>
      <c r="G2934" s="4">
        <f>+251925528341</f>
        <v>251925528341</v>
      </c>
      <c r="H2934" s="3" t="s">
        <v>18</v>
      </c>
      <c r="I2934" s="3" t="s">
        <v>19</v>
      </c>
      <c r="J2934" s="3" t="s">
        <v>19</v>
      </c>
      <c r="K2934" s="3" t="s">
        <v>25</v>
      </c>
      <c r="L2934" s="3">
        <v>25.01</v>
      </c>
      <c r="M2934" s="3" t="s">
        <v>1695</v>
      </c>
      <c r="N2934" s="3" t="s">
        <v>1696</v>
      </c>
      <c r="O2934" s="3">
        <v>1.97677363433E11</v>
      </c>
    </row>
    <row r="2935">
      <c r="A2935" s="3">
        <v>2628025.0</v>
      </c>
      <c r="B2935" s="3" t="s">
        <v>5990</v>
      </c>
      <c r="C2935" s="3" t="b">
        <v>1</v>
      </c>
      <c r="D2935" s="3" t="b">
        <v>1</v>
      </c>
      <c r="E2935" s="3" t="s">
        <v>5991</v>
      </c>
      <c r="F2935" s="3" t="s">
        <v>186</v>
      </c>
      <c r="G2935" s="4">
        <f>+1932225252</f>
        <v>1932225252</v>
      </c>
      <c r="H2935" s="3" t="s">
        <v>249</v>
      </c>
      <c r="I2935" s="3" t="s">
        <v>19</v>
      </c>
      <c r="J2935" s="3" t="s">
        <v>19</v>
      </c>
      <c r="K2935" s="3" t="s">
        <v>25</v>
      </c>
      <c r="L2935" s="3">
        <v>31.01</v>
      </c>
      <c r="M2935" s="3" t="s">
        <v>1695</v>
      </c>
      <c r="N2935" s="3" t="s">
        <v>1696</v>
      </c>
    </row>
    <row r="2936">
      <c r="A2936" s="3">
        <v>2628021.0</v>
      </c>
      <c r="B2936" s="3" t="s">
        <v>5992</v>
      </c>
      <c r="C2936" s="3" t="b">
        <v>1</v>
      </c>
      <c r="D2936" s="3" t="b">
        <v>1</v>
      </c>
      <c r="E2936" s="3" t="s">
        <v>1924</v>
      </c>
      <c r="F2936" s="3" t="s">
        <v>1414</v>
      </c>
      <c r="G2936" s="4">
        <f>+251919896658</f>
        <v>251919896658</v>
      </c>
      <c r="H2936" s="3" t="s">
        <v>18</v>
      </c>
      <c r="I2936" s="3" t="s">
        <v>19</v>
      </c>
      <c r="J2936" s="3" t="s">
        <v>5993</v>
      </c>
      <c r="K2936" s="3" t="s">
        <v>25</v>
      </c>
      <c r="L2936" s="3">
        <v>37.01</v>
      </c>
      <c r="M2936" s="3" t="s">
        <v>1695</v>
      </c>
      <c r="N2936" s="3" t="s">
        <v>1696</v>
      </c>
      <c r="O2936" s="3">
        <v>1.97697055986E11</v>
      </c>
    </row>
    <row r="2937">
      <c r="A2937" s="3">
        <v>2628039.0</v>
      </c>
      <c r="B2937" s="3" t="s">
        <v>5994</v>
      </c>
      <c r="C2937" s="3" t="b">
        <v>0</v>
      </c>
      <c r="D2937" s="3" t="b">
        <v>1</v>
      </c>
      <c r="E2937" s="3" t="s">
        <v>1736</v>
      </c>
      <c r="F2937" s="3" t="s">
        <v>5995</v>
      </c>
      <c r="G2937" s="4">
        <f>+251915574391</f>
        <v>251915574391</v>
      </c>
      <c r="H2937" s="3" t="s">
        <v>18</v>
      </c>
      <c r="I2937" s="3" t="s">
        <v>19</v>
      </c>
      <c r="J2937" s="3" t="s">
        <v>19</v>
      </c>
      <c r="K2937" s="3" t="s">
        <v>25</v>
      </c>
      <c r="L2937" s="3">
        <v>13.01</v>
      </c>
      <c r="M2937" s="3" t="s">
        <v>1695</v>
      </c>
      <c r="N2937" s="3" t="s">
        <v>1696</v>
      </c>
      <c r="O2937" s="3">
        <v>1.97700756673E11</v>
      </c>
    </row>
    <row r="2938">
      <c r="A2938" s="3">
        <v>2628097.0</v>
      </c>
      <c r="B2938" s="3" t="s">
        <v>5996</v>
      </c>
      <c r="C2938" s="3" t="b">
        <v>0</v>
      </c>
      <c r="D2938" s="3" t="b">
        <v>1</v>
      </c>
      <c r="E2938" s="3" t="s">
        <v>5170</v>
      </c>
      <c r="F2938" s="3" t="s">
        <v>5997</v>
      </c>
      <c r="G2938" s="4">
        <f>+251930010117</f>
        <v>251930010117</v>
      </c>
      <c r="H2938" s="3" t="s">
        <v>346</v>
      </c>
      <c r="I2938" s="3" t="s">
        <v>19</v>
      </c>
      <c r="J2938" s="3" t="s">
        <v>19</v>
      </c>
      <c r="K2938" s="3" t="s">
        <v>25</v>
      </c>
      <c r="L2938" s="3">
        <v>22.45</v>
      </c>
      <c r="M2938" s="3" t="s">
        <v>1695</v>
      </c>
      <c r="N2938" s="3" t="s">
        <v>1696</v>
      </c>
      <c r="O2938" s="3">
        <v>1.97723342067E11</v>
      </c>
    </row>
    <row r="2939">
      <c r="A2939" s="3">
        <v>2628137.0</v>
      </c>
      <c r="B2939" s="3" t="s">
        <v>5998</v>
      </c>
      <c r="C2939" s="3" t="b">
        <v>0</v>
      </c>
      <c r="D2939" s="3" t="b">
        <v>1</v>
      </c>
      <c r="E2939" s="3" t="s">
        <v>2624</v>
      </c>
      <c r="F2939" s="3" t="s">
        <v>3744</v>
      </c>
      <c r="G2939" s="4">
        <f>+251939247992</f>
        <v>251939247992</v>
      </c>
      <c r="H2939" s="3" t="s">
        <v>18</v>
      </c>
      <c r="I2939" s="3" t="s">
        <v>19</v>
      </c>
      <c r="J2939" s="3" t="s">
        <v>19</v>
      </c>
      <c r="K2939" s="3" t="s">
        <v>20</v>
      </c>
      <c r="L2939" s="3">
        <v>27.29</v>
      </c>
      <c r="M2939" s="3" t="s">
        <v>1695</v>
      </c>
      <c r="N2939" s="3" t="s">
        <v>1696</v>
      </c>
      <c r="O2939" s="3">
        <v>1.97720193258E11</v>
      </c>
    </row>
    <row r="2940">
      <c r="A2940" s="3">
        <v>2628143.0</v>
      </c>
      <c r="B2940" s="3" t="s">
        <v>5999</v>
      </c>
      <c r="C2940" s="3" t="b">
        <v>0</v>
      </c>
      <c r="D2940" s="3" t="b">
        <v>1</v>
      </c>
      <c r="E2940" s="3" t="s">
        <v>6000</v>
      </c>
      <c r="F2940" s="3" t="s">
        <v>2118</v>
      </c>
      <c r="G2940" s="4">
        <f>+251961890844</f>
        <v>251961890844</v>
      </c>
      <c r="H2940" s="3" t="s">
        <v>18</v>
      </c>
      <c r="I2940" s="3" t="s">
        <v>19</v>
      </c>
      <c r="J2940" s="3" t="s">
        <v>19</v>
      </c>
      <c r="K2940" s="3" t="s">
        <v>20</v>
      </c>
      <c r="L2940" s="3">
        <v>21.35</v>
      </c>
      <c r="M2940" s="3" t="s">
        <v>1695</v>
      </c>
      <c r="N2940" s="3" t="s">
        <v>1696</v>
      </c>
      <c r="O2940" s="3">
        <v>1.97729877185E11</v>
      </c>
    </row>
    <row r="2941">
      <c r="A2941" s="3">
        <v>2628173.0</v>
      </c>
      <c r="B2941" s="3" t="s">
        <v>6001</v>
      </c>
      <c r="C2941" s="3" t="b">
        <v>0</v>
      </c>
      <c r="D2941" s="3" t="b">
        <v>1</v>
      </c>
      <c r="E2941" s="3" t="s">
        <v>6002</v>
      </c>
      <c r="F2941" s="3" t="s">
        <v>2727</v>
      </c>
      <c r="G2941" s="4">
        <f>+251973503626</f>
        <v>251973503626</v>
      </c>
      <c r="H2941" s="3" t="s">
        <v>18</v>
      </c>
      <c r="I2941" s="3" t="s">
        <v>19</v>
      </c>
      <c r="J2941" s="3" t="s">
        <v>19</v>
      </c>
      <c r="K2941" s="3" t="s">
        <v>25</v>
      </c>
      <c r="L2941" s="3">
        <v>29.47</v>
      </c>
      <c r="M2941" s="3" t="s">
        <v>1695</v>
      </c>
      <c r="N2941" s="3" t="s">
        <v>1696</v>
      </c>
      <c r="O2941" s="3">
        <v>1.97745186004E11</v>
      </c>
    </row>
    <row r="2942">
      <c r="A2942" s="3">
        <v>2628404.0</v>
      </c>
      <c r="B2942" s="3" t="s">
        <v>6003</v>
      </c>
      <c r="C2942" s="3" t="b">
        <v>1</v>
      </c>
      <c r="D2942" s="3" t="b">
        <v>1</v>
      </c>
      <c r="E2942" s="3" t="s">
        <v>291</v>
      </c>
      <c r="F2942" s="3" t="s">
        <v>6004</v>
      </c>
      <c r="G2942" s="4">
        <f>+251985074028</f>
        <v>251985074028</v>
      </c>
      <c r="H2942" s="3" t="s">
        <v>249</v>
      </c>
      <c r="I2942" s="3" t="s">
        <v>19</v>
      </c>
      <c r="J2942" s="3" t="s">
        <v>19</v>
      </c>
      <c r="K2942" s="3" t="s">
        <v>20</v>
      </c>
      <c r="L2942" s="3">
        <v>25.07</v>
      </c>
      <c r="M2942" s="3" t="s">
        <v>1695</v>
      </c>
      <c r="N2942" s="3" t="s">
        <v>1696</v>
      </c>
      <c r="O2942" s="3">
        <v>1.97781618903E11</v>
      </c>
    </row>
    <row r="2943">
      <c r="A2943" s="3">
        <v>2628874.0</v>
      </c>
      <c r="B2943" s="3" t="s">
        <v>6005</v>
      </c>
      <c r="C2943" s="3" t="b">
        <v>0</v>
      </c>
      <c r="D2943" s="3" t="b">
        <v>1</v>
      </c>
      <c r="E2943" s="3" t="s">
        <v>111</v>
      </c>
      <c r="F2943" s="3" t="s">
        <v>1130</v>
      </c>
      <c r="G2943" s="4">
        <f>+251915943189</f>
        <v>251915943189</v>
      </c>
      <c r="H2943" s="3" t="s">
        <v>18</v>
      </c>
      <c r="I2943" s="3" t="s">
        <v>19</v>
      </c>
      <c r="J2943" s="3" t="s">
        <v>19</v>
      </c>
      <c r="K2943" s="3" t="s">
        <v>25</v>
      </c>
      <c r="L2943" s="3">
        <v>24.0</v>
      </c>
      <c r="M2943" s="3" t="s">
        <v>1695</v>
      </c>
      <c r="N2943" s="3" t="s">
        <v>1696</v>
      </c>
      <c r="O2943" s="3">
        <v>1.98143384762E11</v>
      </c>
    </row>
    <row r="2944">
      <c r="A2944" s="3">
        <v>2628879.0</v>
      </c>
      <c r="B2944" s="3" t="s">
        <v>6006</v>
      </c>
      <c r="C2944" s="3" t="b">
        <v>1</v>
      </c>
      <c r="D2944" s="3" t="b">
        <v>1</v>
      </c>
      <c r="E2944" s="3" t="s">
        <v>3954</v>
      </c>
      <c r="F2944" s="3" t="s">
        <v>703</v>
      </c>
      <c r="G2944" s="4">
        <f>+251904322559</f>
        <v>251904322559</v>
      </c>
      <c r="H2944" s="3" t="s">
        <v>18</v>
      </c>
      <c r="I2944" s="3" t="s">
        <v>19</v>
      </c>
      <c r="J2944" s="3" t="s">
        <v>19</v>
      </c>
      <c r="K2944" s="3" t="s">
        <v>20</v>
      </c>
      <c r="L2944" s="3">
        <v>24.0</v>
      </c>
      <c r="M2944" s="3" t="s">
        <v>1695</v>
      </c>
      <c r="N2944" s="3" t="s">
        <v>1696</v>
      </c>
      <c r="O2944" s="3">
        <v>1.98149377238E11</v>
      </c>
    </row>
    <row r="2945">
      <c r="A2945" s="3">
        <v>2628886.0</v>
      </c>
      <c r="B2945" s="3" t="s">
        <v>6007</v>
      </c>
      <c r="C2945" s="3" t="b">
        <v>0</v>
      </c>
      <c r="D2945" s="3" t="b">
        <v>1</v>
      </c>
      <c r="E2945" s="3" t="s">
        <v>3245</v>
      </c>
      <c r="F2945" s="3" t="s">
        <v>4764</v>
      </c>
      <c r="G2945" s="4">
        <f>+251910334622</f>
        <v>251910334622</v>
      </c>
      <c r="H2945" s="3" t="s">
        <v>18</v>
      </c>
      <c r="I2945" s="3" t="s">
        <v>19</v>
      </c>
      <c r="J2945" s="3" t="s">
        <v>19</v>
      </c>
      <c r="K2945" s="3" t="s">
        <v>25</v>
      </c>
      <c r="L2945" s="3">
        <v>25.01</v>
      </c>
      <c r="M2945" s="3" t="s">
        <v>1695</v>
      </c>
      <c r="N2945" s="3" t="s">
        <v>1696</v>
      </c>
      <c r="O2945" s="3">
        <v>1.98143496425E11</v>
      </c>
    </row>
    <row r="2946">
      <c r="A2946" s="3">
        <v>2628916.0</v>
      </c>
      <c r="B2946" s="3" t="s">
        <v>6008</v>
      </c>
      <c r="C2946" s="3" t="b">
        <v>0</v>
      </c>
      <c r="D2946" s="3" t="b">
        <v>1</v>
      </c>
      <c r="E2946" s="3" t="s">
        <v>1363</v>
      </c>
      <c r="F2946" s="3" t="s">
        <v>3478</v>
      </c>
      <c r="G2946" s="4">
        <f>+251932650422</f>
        <v>251932650422</v>
      </c>
      <c r="H2946" s="3" t="s">
        <v>18</v>
      </c>
      <c r="I2946" s="3" t="s">
        <v>19</v>
      </c>
      <c r="J2946" s="3" t="s">
        <v>19</v>
      </c>
      <c r="K2946" s="3" t="s">
        <v>25</v>
      </c>
      <c r="L2946" s="3">
        <v>25.01</v>
      </c>
      <c r="M2946" s="3" t="s">
        <v>1695</v>
      </c>
      <c r="N2946" s="3" t="s">
        <v>1696</v>
      </c>
      <c r="O2946" s="3">
        <v>1.98152844534E11</v>
      </c>
    </row>
    <row r="2947">
      <c r="A2947" s="3">
        <v>2628941.0</v>
      </c>
      <c r="B2947" s="3" t="s">
        <v>6009</v>
      </c>
      <c r="C2947" s="3" t="b">
        <v>0</v>
      </c>
      <c r="D2947" s="3" t="b">
        <v>1</v>
      </c>
      <c r="E2947" s="3" t="s">
        <v>6010</v>
      </c>
      <c r="F2947" s="3" t="s">
        <v>6011</v>
      </c>
      <c r="G2947" s="4">
        <f>+251930005765</f>
        <v>251930005765</v>
      </c>
      <c r="H2947" s="3" t="s">
        <v>18</v>
      </c>
      <c r="I2947" s="3" t="s">
        <v>19</v>
      </c>
      <c r="J2947" s="3" t="s">
        <v>19</v>
      </c>
      <c r="K2947" s="3" t="s">
        <v>20</v>
      </c>
      <c r="L2947" s="3">
        <v>25.01</v>
      </c>
      <c r="M2947" s="3" t="s">
        <v>1695</v>
      </c>
      <c r="N2947" s="3" t="s">
        <v>1696</v>
      </c>
      <c r="O2947" s="3">
        <v>1.9815400264E11</v>
      </c>
    </row>
    <row r="2948">
      <c r="A2948" s="3">
        <v>2628947.0</v>
      </c>
      <c r="B2948" s="3" t="s">
        <v>6012</v>
      </c>
      <c r="C2948" s="3" t="b">
        <v>0</v>
      </c>
      <c r="D2948" s="3" t="b">
        <v>1</v>
      </c>
      <c r="E2948" s="3" t="s">
        <v>655</v>
      </c>
      <c r="F2948" s="3" t="s">
        <v>5760</v>
      </c>
      <c r="G2948" s="4">
        <f>+251985244539</f>
        <v>251985244539</v>
      </c>
      <c r="H2948" s="3" t="s">
        <v>18</v>
      </c>
      <c r="I2948" s="3" t="s">
        <v>19</v>
      </c>
      <c r="J2948" s="3" t="s">
        <v>19</v>
      </c>
      <c r="K2948" s="3" t="s">
        <v>25</v>
      </c>
      <c r="L2948" s="3">
        <v>25.01</v>
      </c>
      <c r="M2948" s="3" t="s">
        <v>1695</v>
      </c>
      <c r="N2948" s="3" t="s">
        <v>1696</v>
      </c>
      <c r="O2948" s="3">
        <v>1.98206891244E11</v>
      </c>
    </row>
    <row r="2949">
      <c r="A2949" s="3">
        <v>2628957.0</v>
      </c>
      <c r="B2949" s="3" t="s">
        <v>6013</v>
      </c>
      <c r="C2949" s="3" t="b">
        <v>0</v>
      </c>
      <c r="D2949" s="3" t="b">
        <v>1</v>
      </c>
      <c r="E2949" s="3" t="s">
        <v>3245</v>
      </c>
      <c r="F2949" s="3" t="s">
        <v>4601</v>
      </c>
      <c r="G2949" s="4">
        <f>+251947268165</f>
        <v>251947268165</v>
      </c>
      <c r="H2949" s="3" t="s">
        <v>18</v>
      </c>
      <c r="I2949" s="3" t="s">
        <v>19</v>
      </c>
      <c r="J2949" s="3" t="s">
        <v>19</v>
      </c>
      <c r="K2949" s="3" t="s">
        <v>25</v>
      </c>
      <c r="L2949" s="3">
        <v>26.0</v>
      </c>
      <c r="M2949" s="3" t="s">
        <v>1695</v>
      </c>
      <c r="N2949" s="3" t="s">
        <v>1696</v>
      </c>
      <c r="O2949" s="3">
        <v>1.98154523851E11</v>
      </c>
    </row>
    <row r="2950">
      <c r="A2950" s="3">
        <v>2628985.0</v>
      </c>
      <c r="B2950" s="3" t="s">
        <v>6014</v>
      </c>
      <c r="C2950" s="3" t="b">
        <v>0</v>
      </c>
      <c r="D2950" s="3" t="b">
        <v>1</v>
      </c>
      <c r="E2950" s="3" t="s">
        <v>4656</v>
      </c>
      <c r="F2950" s="3" t="s">
        <v>158</v>
      </c>
      <c r="G2950" s="4">
        <f>+251917720414</f>
        <v>251917720414</v>
      </c>
      <c r="H2950" s="3" t="s">
        <v>18</v>
      </c>
      <c r="I2950" s="3" t="s">
        <v>19</v>
      </c>
      <c r="J2950" s="3" t="s">
        <v>19</v>
      </c>
      <c r="K2950" s="3" t="s">
        <v>20</v>
      </c>
      <c r="L2950" s="3">
        <v>25.01</v>
      </c>
      <c r="M2950" s="3" t="s">
        <v>1695</v>
      </c>
      <c r="N2950" s="3" t="s">
        <v>1696</v>
      </c>
      <c r="O2950" s="3">
        <v>1.98232812756E11</v>
      </c>
    </row>
    <row r="2951">
      <c r="A2951" s="3">
        <v>2628999.0</v>
      </c>
      <c r="B2951" s="3" t="s">
        <v>6015</v>
      </c>
      <c r="C2951" s="3" t="b">
        <v>0</v>
      </c>
      <c r="D2951" s="3" t="b">
        <v>1</v>
      </c>
      <c r="E2951" s="3" t="s">
        <v>46</v>
      </c>
      <c r="F2951" s="3" t="s">
        <v>6016</v>
      </c>
      <c r="G2951" s="4">
        <f>+251964362216</f>
        <v>251964362216</v>
      </c>
      <c r="H2951" s="3" t="s">
        <v>18</v>
      </c>
      <c r="I2951" s="3" t="s">
        <v>19</v>
      </c>
      <c r="J2951" s="3" t="s">
        <v>19</v>
      </c>
      <c r="K2951" s="3" t="s">
        <v>25</v>
      </c>
      <c r="L2951" s="3">
        <v>24.0</v>
      </c>
      <c r="M2951" s="3" t="s">
        <v>1695</v>
      </c>
      <c r="N2951" s="3" t="s">
        <v>1696</v>
      </c>
      <c r="O2951" s="3">
        <v>1.9832609709E11</v>
      </c>
    </row>
    <row r="2952">
      <c r="A2952" s="3">
        <v>2629008.0</v>
      </c>
      <c r="B2952" s="3" t="s">
        <v>6017</v>
      </c>
      <c r="C2952" s="3" t="b">
        <v>0</v>
      </c>
      <c r="D2952" s="3" t="b">
        <v>1</v>
      </c>
      <c r="E2952" s="3" t="s">
        <v>4944</v>
      </c>
      <c r="F2952" s="3" t="s">
        <v>6018</v>
      </c>
      <c r="G2952" s="4">
        <f>+251982816421</f>
        <v>251982816421</v>
      </c>
      <c r="H2952" s="3" t="s">
        <v>18</v>
      </c>
      <c r="I2952" s="3" t="s">
        <v>19</v>
      </c>
      <c r="J2952" s="3" t="s">
        <v>19</v>
      </c>
      <c r="K2952" s="3" t="s">
        <v>25</v>
      </c>
      <c r="L2952" s="3">
        <v>24.0</v>
      </c>
      <c r="M2952" s="3" t="s">
        <v>1695</v>
      </c>
      <c r="N2952" s="3" t="s">
        <v>1696</v>
      </c>
      <c r="O2952" s="3">
        <v>1.98329173185E11</v>
      </c>
    </row>
    <row r="2953">
      <c r="A2953" s="3">
        <v>2629049.0</v>
      </c>
      <c r="B2953" s="3" t="s">
        <v>6019</v>
      </c>
      <c r="C2953" s="3" t="b">
        <v>0</v>
      </c>
      <c r="D2953" s="3" t="b">
        <v>1</v>
      </c>
      <c r="E2953" s="3" t="s">
        <v>6020</v>
      </c>
      <c r="F2953" s="3" t="s">
        <v>218</v>
      </c>
      <c r="G2953" s="4">
        <f>+251961968768</f>
        <v>251961968768</v>
      </c>
      <c r="H2953" s="3" t="s">
        <v>18</v>
      </c>
      <c r="I2953" s="3" t="s">
        <v>19</v>
      </c>
      <c r="J2953" s="3" t="s">
        <v>19</v>
      </c>
      <c r="K2953" s="3" t="s">
        <v>20</v>
      </c>
      <c r="L2953" s="3">
        <v>25.01</v>
      </c>
      <c r="M2953" s="3" t="s">
        <v>1695</v>
      </c>
      <c r="N2953" s="3" t="s">
        <v>1696</v>
      </c>
      <c r="O2953" s="3">
        <v>1.98324926663E11</v>
      </c>
    </row>
    <row r="2954">
      <c r="A2954" s="3">
        <v>2629067.0</v>
      </c>
      <c r="B2954" s="3" t="s">
        <v>6021</v>
      </c>
      <c r="C2954" s="3" t="b">
        <v>0</v>
      </c>
      <c r="D2954" s="3" t="b">
        <v>1</v>
      </c>
      <c r="E2954" s="3" t="s">
        <v>4217</v>
      </c>
      <c r="F2954" s="3" t="s">
        <v>70</v>
      </c>
      <c r="G2954" s="4">
        <f>+251917855579</f>
        <v>251917855579</v>
      </c>
      <c r="H2954" s="3" t="s">
        <v>18</v>
      </c>
      <c r="I2954" s="3" t="s">
        <v>19</v>
      </c>
      <c r="J2954" s="3" t="s">
        <v>19</v>
      </c>
      <c r="K2954" s="3" t="s">
        <v>20</v>
      </c>
      <c r="L2954" s="3">
        <v>25.01</v>
      </c>
      <c r="M2954" s="3" t="s">
        <v>1695</v>
      </c>
      <c r="N2954" s="3" t="s">
        <v>1696</v>
      </c>
      <c r="O2954" s="3">
        <v>1.98373867764E11</v>
      </c>
    </row>
    <row r="2955">
      <c r="A2955" s="3">
        <v>2629178.0</v>
      </c>
      <c r="B2955" s="3" t="s">
        <v>6022</v>
      </c>
      <c r="C2955" s="3" t="b">
        <v>0</v>
      </c>
      <c r="D2955" s="3" t="b">
        <v>1</v>
      </c>
      <c r="E2955" s="3" t="s">
        <v>6023</v>
      </c>
      <c r="F2955" s="3" t="s">
        <v>267</v>
      </c>
      <c r="G2955" s="4">
        <f>+251922344542</f>
        <v>251922344542</v>
      </c>
      <c r="H2955" s="3" t="s">
        <v>18</v>
      </c>
      <c r="I2955" s="3" t="s">
        <v>19</v>
      </c>
      <c r="J2955" s="3" t="s">
        <v>19</v>
      </c>
      <c r="K2955" s="3" t="s">
        <v>25</v>
      </c>
      <c r="L2955" s="3">
        <v>29.21</v>
      </c>
      <c r="M2955" s="3" t="s">
        <v>1695</v>
      </c>
      <c r="N2955" s="3" t="s">
        <v>1696</v>
      </c>
      <c r="O2955" s="3">
        <v>1.98263217389E11</v>
      </c>
    </row>
    <row r="2956">
      <c r="A2956" s="3">
        <v>2629195.0</v>
      </c>
      <c r="B2956" s="3" t="s">
        <v>6024</v>
      </c>
      <c r="C2956" s="3" t="b">
        <v>1</v>
      </c>
      <c r="D2956" s="3" t="b">
        <v>1</v>
      </c>
      <c r="E2956" s="3" t="s">
        <v>6025</v>
      </c>
      <c r="F2956" s="3" t="s">
        <v>544</v>
      </c>
      <c r="G2956" s="4">
        <f>+251949937080</f>
        <v>251949937080</v>
      </c>
      <c r="H2956" s="3" t="s">
        <v>18</v>
      </c>
      <c r="I2956" s="3" t="s">
        <v>19</v>
      </c>
      <c r="J2956" s="3" t="s">
        <v>19</v>
      </c>
      <c r="K2956" s="3" t="s">
        <v>20</v>
      </c>
      <c r="L2956" s="3">
        <v>21.29</v>
      </c>
      <c r="M2956" s="3" t="s">
        <v>1695</v>
      </c>
      <c r="N2956" s="3" t="s">
        <v>1696</v>
      </c>
      <c r="O2956" s="3">
        <v>1.98279154884E11</v>
      </c>
    </row>
    <row r="2957">
      <c r="A2957" s="3">
        <v>2629193.0</v>
      </c>
      <c r="B2957" s="3" t="s">
        <v>6026</v>
      </c>
      <c r="C2957" s="3" t="b">
        <v>1</v>
      </c>
      <c r="D2957" s="3" t="b">
        <v>1</v>
      </c>
      <c r="E2957" s="3" t="s">
        <v>6027</v>
      </c>
      <c r="F2957" s="3" t="s">
        <v>6028</v>
      </c>
      <c r="G2957" s="4">
        <f>+23057802492</f>
        <v>23057802492</v>
      </c>
      <c r="H2957" s="3" t="s">
        <v>18</v>
      </c>
      <c r="I2957" s="3" t="s">
        <v>19</v>
      </c>
      <c r="J2957" s="3" t="s">
        <v>6029</v>
      </c>
      <c r="K2957" s="3" t="s">
        <v>20</v>
      </c>
      <c r="L2957" s="3">
        <v>24.19</v>
      </c>
      <c r="M2957" s="3" t="s">
        <v>1695</v>
      </c>
      <c r="N2957" s="3" t="s">
        <v>1696</v>
      </c>
      <c r="O2957" s="3">
        <v>1.9827912624E11</v>
      </c>
    </row>
    <row r="2958">
      <c r="A2958" s="3">
        <v>2629205.0</v>
      </c>
      <c r="B2958" s="3" t="s">
        <v>6030</v>
      </c>
      <c r="C2958" s="3" t="b">
        <v>0</v>
      </c>
      <c r="D2958" s="3" t="b">
        <v>1</v>
      </c>
      <c r="E2958" s="3" t="s">
        <v>6031</v>
      </c>
      <c r="F2958" s="3" t="s">
        <v>1177</v>
      </c>
      <c r="G2958" s="4">
        <f>+251943300651</f>
        <v>251943300651</v>
      </c>
      <c r="H2958" s="3" t="s">
        <v>18</v>
      </c>
      <c r="I2958" s="3" t="s">
        <v>19</v>
      </c>
      <c r="J2958" s="3" t="s">
        <v>19</v>
      </c>
      <c r="K2958" s="3" t="s">
        <v>20</v>
      </c>
      <c r="L2958" s="3">
        <v>27.27</v>
      </c>
      <c r="M2958" s="3" t="s">
        <v>1695</v>
      </c>
      <c r="N2958" s="3" t="s">
        <v>1696</v>
      </c>
      <c r="O2958" s="3">
        <v>1.98263476433E11</v>
      </c>
    </row>
    <row r="2959">
      <c r="A2959" s="3">
        <v>2629395.0</v>
      </c>
      <c r="B2959" s="3" t="s">
        <v>6032</v>
      </c>
      <c r="C2959" s="3" t="b">
        <v>0</v>
      </c>
      <c r="D2959" s="3" t="b">
        <v>1</v>
      </c>
      <c r="E2959" s="3" t="s">
        <v>6033</v>
      </c>
      <c r="F2959" s="3" t="s">
        <v>320</v>
      </c>
      <c r="G2959" s="4">
        <f>+251903190454</f>
        <v>251903190454</v>
      </c>
      <c r="H2959" s="3" t="s">
        <v>18</v>
      </c>
      <c r="I2959" s="3" t="s">
        <v>19</v>
      </c>
      <c r="J2959" s="3" t="s">
        <v>19</v>
      </c>
      <c r="K2959" s="3" t="s">
        <v>25</v>
      </c>
      <c r="L2959" s="3">
        <v>22.99</v>
      </c>
      <c r="M2959" s="3" t="s">
        <v>1695</v>
      </c>
      <c r="N2959" s="3" t="s">
        <v>1696</v>
      </c>
      <c r="O2959" s="3">
        <v>1.98545335536E11</v>
      </c>
    </row>
    <row r="2960">
      <c r="A2960" s="3">
        <v>2629393.0</v>
      </c>
      <c r="B2960" s="3" t="s">
        <v>6034</v>
      </c>
      <c r="C2960" s="3" t="b">
        <v>1</v>
      </c>
      <c r="D2960" s="3" t="b">
        <v>1</v>
      </c>
      <c r="E2960" s="3" t="s">
        <v>3947</v>
      </c>
      <c r="F2960" s="3" t="s">
        <v>4383</v>
      </c>
      <c r="G2960" s="4">
        <f>+251965576448</f>
        <v>251965576448</v>
      </c>
      <c r="H2960" s="3" t="s">
        <v>18</v>
      </c>
      <c r="I2960" s="3" t="s">
        <v>19</v>
      </c>
      <c r="J2960" s="3" t="s">
        <v>19</v>
      </c>
      <c r="K2960" s="3" t="s">
        <v>20</v>
      </c>
      <c r="L2960" s="3">
        <v>23.81</v>
      </c>
      <c r="M2960" s="3" t="s">
        <v>1695</v>
      </c>
      <c r="N2960" s="3" t="s">
        <v>1696</v>
      </c>
      <c r="O2960" s="3">
        <v>1.98489311431E11</v>
      </c>
    </row>
    <row r="2961">
      <c r="A2961" s="3">
        <v>2629406.0</v>
      </c>
      <c r="B2961" s="3" t="s">
        <v>6035</v>
      </c>
      <c r="C2961" s="3" t="b">
        <v>0</v>
      </c>
      <c r="D2961" s="3" t="b">
        <v>1</v>
      </c>
      <c r="E2961" s="3" t="s">
        <v>412</v>
      </c>
      <c r="F2961" s="3" t="s">
        <v>6036</v>
      </c>
      <c r="G2961" s="4">
        <f>+251918997823</f>
        <v>251918997823</v>
      </c>
      <c r="H2961" s="3" t="s">
        <v>18</v>
      </c>
      <c r="I2961" s="3" t="s">
        <v>19</v>
      </c>
      <c r="J2961" s="3" t="s">
        <v>19</v>
      </c>
      <c r="K2961" s="3" t="s">
        <v>25</v>
      </c>
      <c r="L2961" s="3">
        <v>27.21</v>
      </c>
      <c r="M2961" s="3" t="s">
        <v>1695</v>
      </c>
      <c r="N2961" s="3" t="s">
        <v>1696</v>
      </c>
      <c r="O2961" s="3">
        <v>1.98485963974E11</v>
      </c>
    </row>
    <row r="2962">
      <c r="A2962" s="3">
        <v>2629413.0</v>
      </c>
      <c r="B2962" s="3" t="s">
        <v>6037</v>
      </c>
      <c r="C2962" s="3" t="b">
        <v>0</v>
      </c>
      <c r="D2962" s="3" t="b">
        <v>1</v>
      </c>
      <c r="E2962" s="3" t="s">
        <v>270</v>
      </c>
      <c r="F2962" s="3" t="s">
        <v>328</v>
      </c>
      <c r="G2962" s="4">
        <f>+251960287857</f>
        <v>251960287857</v>
      </c>
      <c r="H2962" s="3" t="s">
        <v>18</v>
      </c>
      <c r="I2962" s="3" t="s">
        <v>19</v>
      </c>
      <c r="J2962" s="3" t="s">
        <v>19</v>
      </c>
      <c r="K2962" s="3" t="s">
        <v>20</v>
      </c>
      <c r="L2962" s="3">
        <v>24.03</v>
      </c>
      <c r="M2962" s="3" t="s">
        <v>1695</v>
      </c>
      <c r="N2962" s="3" t="s">
        <v>1696</v>
      </c>
      <c r="O2962" s="3">
        <v>1.98545636572E11</v>
      </c>
    </row>
    <row r="2963">
      <c r="A2963" s="3">
        <v>2629430.0</v>
      </c>
      <c r="B2963" s="3" t="s">
        <v>6038</v>
      </c>
      <c r="C2963" s="3" t="b">
        <v>0</v>
      </c>
      <c r="D2963" s="3" t="b">
        <v>1</v>
      </c>
      <c r="E2963" s="3" t="s">
        <v>946</v>
      </c>
      <c r="F2963" s="3" t="s">
        <v>6039</v>
      </c>
      <c r="G2963" s="4">
        <f>+251931292429</f>
        <v>251931292429</v>
      </c>
      <c r="H2963" s="3" t="s">
        <v>18</v>
      </c>
      <c r="I2963" s="3" t="s">
        <v>19</v>
      </c>
      <c r="J2963" s="3" t="s">
        <v>19</v>
      </c>
      <c r="K2963" s="3" t="s">
        <v>25</v>
      </c>
      <c r="L2963" s="3">
        <v>25.03</v>
      </c>
      <c r="M2963" s="3" t="s">
        <v>1695</v>
      </c>
      <c r="N2963" s="3" t="s">
        <v>1696</v>
      </c>
      <c r="O2963" s="3">
        <v>1.98484896989E11</v>
      </c>
    </row>
    <row r="2964">
      <c r="A2964" s="3">
        <v>2629442.0</v>
      </c>
      <c r="B2964" s="3" t="s">
        <v>6040</v>
      </c>
      <c r="C2964" s="3" t="b">
        <v>0</v>
      </c>
      <c r="D2964" s="3" t="b">
        <v>1</v>
      </c>
      <c r="E2964" s="3" t="s">
        <v>2382</v>
      </c>
      <c r="F2964" s="3" t="s">
        <v>6041</v>
      </c>
      <c r="G2964" s="4">
        <f>+251904547692</f>
        <v>251904547692</v>
      </c>
      <c r="H2964" s="3" t="s">
        <v>18</v>
      </c>
      <c r="I2964" s="3" t="s">
        <v>19</v>
      </c>
      <c r="J2964" s="3" t="s">
        <v>19</v>
      </c>
      <c r="K2964" s="3" t="s">
        <v>25</v>
      </c>
      <c r="L2964" s="3">
        <v>27.29</v>
      </c>
      <c r="M2964" s="3" t="s">
        <v>1695</v>
      </c>
      <c r="N2964" s="3" t="s">
        <v>1696</v>
      </c>
      <c r="O2964" s="3">
        <v>1.98491119834E11</v>
      </c>
    </row>
    <row r="2965">
      <c r="A2965" s="3">
        <v>2629454.0</v>
      </c>
      <c r="B2965" s="3" t="s">
        <v>6042</v>
      </c>
      <c r="C2965" s="3" t="b">
        <v>0</v>
      </c>
      <c r="D2965" s="3" t="b">
        <v>1</v>
      </c>
      <c r="E2965" s="3" t="s">
        <v>1197</v>
      </c>
      <c r="F2965" s="3" t="s">
        <v>280</v>
      </c>
      <c r="G2965" s="4">
        <f>+251912634285</f>
        <v>251912634285</v>
      </c>
      <c r="H2965" s="3" t="s">
        <v>18</v>
      </c>
      <c r="I2965" s="3" t="s">
        <v>19</v>
      </c>
      <c r="J2965" s="3" t="s">
        <v>19</v>
      </c>
      <c r="K2965" s="3" t="s">
        <v>25</v>
      </c>
      <c r="L2965" s="3">
        <v>27.01</v>
      </c>
      <c r="M2965" s="3" t="s">
        <v>1695</v>
      </c>
      <c r="N2965" s="3" t="s">
        <v>1696</v>
      </c>
      <c r="O2965" s="3">
        <v>1.98491271355E11</v>
      </c>
    </row>
    <row r="2966">
      <c r="A2966" s="3">
        <v>2629470.0</v>
      </c>
      <c r="B2966" s="3" t="s">
        <v>6043</v>
      </c>
      <c r="C2966" s="3" t="b">
        <v>0</v>
      </c>
      <c r="D2966" s="3" t="b">
        <v>1</v>
      </c>
      <c r="E2966" s="3" t="s">
        <v>297</v>
      </c>
      <c r="F2966" s="3" t="s">
        <v>649</v>
      </c>
      <c r="G2966" s="4">
        <f>+251923309600</f>
        <v>251923309600</v>
      </c>
      <c r="H2966" s="3" t="s">
        <v>18</v>
      </c>
      <c r="I2966" s="3" t="s">
        <v>19</v>
      </c>
      <c r="J2966" s="3" t="s">
        <v>19</v>
      </c>
      <c r="K2966" s="3" t="s">
        <v>25</v>
      </c>
      <c r="L2966" s="3">
        <v>24.01</v>
      </c>
      <c r="M2966" s="3" t="s">
        <v>1695</v>
      </c>
      <c r="N2966" s="3" t="s">
        <v>1696</v>
      </c>
      <c r="O2966" s="3">
        <v>1.98558826684E11</v>
      </c>
    </row>
    <row r="2967">
      <c r="A2967" s="3">
        <v>2629485.0</v>
      </c>
      <c r="B2967" s="3" t="s">
        <v>6044</v>
      </c>
      <c r="C2967" s="3" t="b">
        <v>0</v>
      </c>
      <c r="D2967" s="3" t="b">
        <v>1</v>
      </c>
      <c r="E2967" s="3" t="s">
        <v>6045</v>
      </c>
      <c r="F2967" s="3" t="s">
        <v>1000</v>
      </c>
      <c r="G2967" s="4">
        <f>+251920391846</f>
        <v>251920391846</v>
      </c>
      <c r="H2967" s="3" t="s">
        <v>18</v>
      </c>
      <c r="I2967" s="3" t="s">
        <v>19</v>
      </c>
      <c r="J2967" s="3" t="s">
        <v>19</v>
      </c>
      <c r="K2967" s="3" t="s">
        <v>25</v>
      </c>
      <c r="L2967" s="3">
        <v>25.03</v>
      </c>
      <c r="M2967" s="3" t="s">
        <v>1695</v>
      </c>
      <c r="N2967" s="3" t="s">
        <v>1696</v>
      </c>
      <c r="O2967" s="3">
        <v>1.98559634654E11</v>
      </c>
    </row>
    <row r="2968">
      <c r="A2968" s="3">
        <v>2629490.0</v>
      </c>
      <c r="B2968" s="3" t="s">
        <v>6046</v>
      </c>
      <c r="C2968" s="3" t="b">
        <v>0</v>
      </c>
      <c r="D2968" s="3" t="b">
        <v>1</v>
      </c>
      <c r="E2968" s="3" t="s">
        <v>468</v>
      </c>
      <c r="F2968" s="3" t="s">
        <v>1000</v>
      </c>
      <c r="G2968" s="4">
        <f>+251924239880</f>
        <v>251924239880</v>
      </c>
      <c r="H2968" s="3" t="s">
        <v>18</v>
      </c>
      <c r="I2968" s="3" t="s">
        <v>19</v>
      </c>
      <c r="J2968" s="3" t="s">
        <v>19</v>
      </c>
      <c r="K2968" s="3" t="s">
        <v>25</v>
      </c>
      <c r="L2968" s="3">
        <v>26.86</v>
      </c>
      <c r="M2968" s="3" t="s">
        <v>1695</v>
      </c>
      <c r="N2968" s="3" t="s">
        <v>1696</v>
      </c>
      <c r="O2968" s="3">
        <v>1.98495973562E11</v>
      </c>
    </row>
    <row r="2969">
      <c r="A2969" s="3">
        <v>2629500.0</v>
      </c>
      <c r="B2969" s="3" t="s">
        <v>6047</v>
      </c>
      <c r="C2969" s="3" t="b">
        <v>0</v>
      </c>
      <c r="D2969" s="3" t="b">
        <v>1</v>
      </c>
      <c r="E2969" s="3" t="s">
        <v>6048</v>
      </c>
      <c r="F2969" s="3" t="s">
        <v>596</v>
      </c>
      <c r="G2969" s="4">
        <f>+251978638476</f>
        <v>251978638476</v>
      </c>
      <c r="H2969" s="3" t="s">
        <v>18</v>
      </c>
      <c r="I2969" s="3" t="s">
        <v>19</v>
      </c>
      <c r="J2969" s="3" t="s">
        <v>19</v>
      </c>
      <c r="K2969" s="3" t="s">
        <v>20</v>
      </c>
      <c r="L2969" s="3">
        <v>23.01</v>
      </c>
      <c r="M2969" s="3" t="s">
        <v>1695</v>
      </c>
      <c r="N2969" s="3" t="s">
        <v>1696</v>
      </c>
      <c r="O2969" s="3">
        <v>1.98559148257E11</v>
      </c>
    </row>
    <row r="2970">
      <c r="A2970" s="3">
        <v>2629510.0</v>
      </c>
      <c r="B2970" s="3" t="s">
        <v>6049</v>
      </c>
      <c r="C2970" s="3" t="b">
        <v>0</v>
      </c>
      <c r="D2970" s="3" t="b">
        <v>1</v>
      </c>
      <c r="E2970" s="3" t="s">
        <v>3954</v>
      </c>
      <c r="F2970" s="3" t="s">
        <v>1000</v>
      </c>
      <c r="G2970" s="4">
        <f>+251962372962</f>
        <v>251962372962</v>
      </c>
      <c r="H2970" s="3" t="s">
        <v>18</v>
      </c>
      <c r="I2970" s="3" t="s">
        <v>19</v>
      </c>
      <c r="J2970" s="3" t="s">
        <v>19</v>
      </c>
      <c r="K2970" s="3" t="s">
        <v>20</v>
      </c>
      <c r="L2970" s="3">
        <v>23.03</v>
      </c>
      <c r="M2970" s="3" t="s">
        <v>1695</v>
      </c>
      <c r="N2970" s="3" t="s">
        <v>1696</v>
      </c>
      <c r="O2970" s="3">
        <v>1.98502591728E11</v>
      </c>
    </row>
    <row r="2971">
      <c r="A2971" s="3">
        <v>2629545.0</v>
      </c>
      <c r="B2971" s="3" t="s">
        <v>6050</v>
      </c>
      <c r="C2971" s="3" t="b">
        <v>0</v>
      </c>
      <c r="D2971" s="3" t="b">
        <v>1</v>
      </c>
      <c r="E2971" s="3" t="s">
        <v>2595</v>
      </c>
      <c r="F2971" s="3" t="s">
        <v>877</v>
      </c>
      <c r="G2971" s="4">
        <f>+251923457189</f>
        <v>251923457189</v>
      </c>
      <c r="H2971" s="3" t="s">
        <v>18</v>
      </c>
      <c r="I2971" s="3" t="s">
        <v>19</v>
      </c>
      <c r="J2971" s="3" t="s">
        <v>19</v>
      </c>
      <c r="K2971" s="3" t="s">
        <v>25</v>
      </c>
      <c r="L2971" s="3">
        <v>21.14</v>
      </c>
      <c r="M2971" s="3" t="s">
        <v>1695</v>
      </c>
      <c r="N2971" s="3" t="s">
        <v>1696</v>
      </c>
      <c r="O2971" s="3">
        <v>1.98502976704E11</v>
      </c>
    </row>
    <row r="2972">
      <c r="A2972" s="3">
        <v>2629552.0</v>
      </c>
      <c r="B2972" s="3" t="s">
        <v>6051</v>
      </c>
      <c r="C2972" s="3" t="b">
        <v>0</v>
      </c>
      <c r="D2972" s="3" t="b">
        <v>1</v>
      </c>
      <c r="E2972" s="3" t="s">
        <v>6052</v>
      </c>
      <c r="F2972" s="3" t="s">
        <v>6053</v>
      </c>
      <c r="G2972" s="4">
        <f>+251967834512</f>
        <v>251967834512</v>
      </c>
      <c r="H2972" s="3" t="s">
        <v>18</v>
      </c>
      <c r="I2972" s="3" t="s">
        <v>19</v>
      </c>
      <c r="J2972" s="3" t="s">
        <v>19</v>
      </c>
      <c r="K2972" s="3" t="s">
        <v>20</v>
      </c>
      <c r="L2972" s="3">
        <v>18.86</v>
      </c>
      <c r="M2972" s="3" t="s">
        <v>1695</v>
      </c>
      <c r="N2972" s="3" t="s">
        <v>1696</v>
      </c>
      <c r="O2972" s="3">
        <v>1.98560292036E11</v>
      </c>
    </row>
    <row r="2973">
      <c r="A2973" s="3">
        <v>2629575.0</v>
      </c>
      <c r="B2973" s="3" t="s">
        <v>6054</v>
      </c>
      <c r="C2973" s="3" t="b">
        <v>0</v>
      </c>
      <c r="D2973" s="3" t="b">
        <v>1</v>
      </c>
      <c r="E2973" s="3" t="s">
        <v>6055</v>
      </c>
      <c r="F2973" s="3" t="s">
        <v>554</v>
      </c>
      <c r="G2973" s="4">
        <f>+251945676521</f>
        <v>251945676521</v>
      </c>
      <c r="H2973" s="3" t="s">
        <v>18</v>
      </c>
      <c r="I2973" s="3" t="s">
        <v>19</v>
      </c>
      <c r="J2973" s="3" t="s">
        <v>19</v>
      </c>
      <c r="K2973" s="3" t="s">
        <v>25</v>
      </c>
      <c r="L2973" s="3">
        <v>30.79</v>
      </c>
      <c r="M2973" s="3" t="s">
        <v>1695</v>
      </c>
      <c r="N2973" s="3" t="s">
        <v>1696</v>
      </c>
      <c r="O2973" s="3">
        <v>1.98570381531E11</v>
      </c>
    </row>
    <row r="2974">
      <c r="A2974" s="3">
        <v>2629584.0</v>
      </c>
      <c r="B2974" s="3" t="s">
        <v>6056</v>
      </c>
      <c r="C2974" s="3" t="b">
        <v>1</v>
      </c>
      <c r="D2974" s="3" t="b">
        <v>1</v>
      </c>
      <c r="E2974" s="3" t="s">
        <v>189</v>
      </c>
      <c r="F2974" s="3" t="s">
        <v>6057</v>
      </c>
      <c r="G2974" s="4">
        <f>+251955723889</f>
        <v>251955723889</v>
      </c>
      <c r="H2974" s="3" t="s">
        <v>18</v>
      </c>
      <c r="I2974" s="3" t="s">
        <v>19</v>
      </c>
      <c r="J2974" s="3" t="s">
        <v>19</v>
      </c>
      <c r="K2974" s="3" t="s">
        <v>25</v>
      </c>
      <c r="L2974" s="3">
        <v>27.91</v>
      </c>
      <c r="M2974" s="3" t="s">
        <v>1695</v>
      </c>
      <c r="N2974" s="3" t="s">
        <v>1696</v>
      </c>
      <c r="O2974" s="3">
        <v>1.98576455872E11</v>
      </c>
    </row>
    <row r="2975">
      <c r="A2975" s="3">
        <v>2629596.0</v>
      </c>
      <c r="B2975" s="3" t="s">
        <v>6058</v>
      </c>
      <c r="C2975" s="3" t="b">
        <v>0</v>
      </c>
      <c r="D2975" s="3" t="b">
        <v>1</v>
      </c>
      <c r="E2975" s="3" t="s">
        <v>1954</v>
      </c>
      <c r="F2975" s="3" t="s">
        <v>3478</v>
      </c>
      <c r="G2975" s="4">
        <f>+251941786523</f>
        <v>251941786523</v>
      </c>
      <c r="H2975" s="3" t="s">
        <v>18</v>
      </c>
      <c r="I2975" s="3" t="s">
        <v>19</v>
      </c>
      <c r="J2975" s="3" t="s">
        <v>19</v>
      </c>
      <c r="K2975" s="3" t="s">
        <v>25</v>
      </c>
      <c r="L2975" s="3">
        <v>29.88</v>
      </c>
      <c r="M2975" s="3" t="s">
        <v>1695</v>
      </c>
      <c r="N2975" s="3" t="s">
        <v>1696</v>
      </c>
    </row>
    <row r="2976">
      <c r="A2976" s="3">
        <v>2629605.0</v>
      </c>
      <c r="B2976" s="3" t="s">
        <v>6059</v>
      </c>
      <c r="C2976" s="3" t="b">
        <v>0</v>
      </c>
      <c r="D2976" s="3" t="b">
        <v>1</v>
      </c>
      <c r="E2976" s="3" t="s">
        <v>1955</v>
      </c>
      <c r="F2976" s="3" t="s">
        <v>490</v>
      </c>
      <c r="G2976" s="4">
        <f>+251920453781</f>
        <v>251920453781</v>
      </c>
      <c r="H2976" s="3" t="s">
        <v>18</v>
      </c>
      <c r="I2976" s="3" t="s">
        <v>19</v>
      </c>
      <c r="J2976" s="3" t="s">
        <v>19</v>
      </c>
      <c r="K2976" s="3" t="s">
        <v>25</v>
      </c>
      <c r="L2976" s="3">
        <v>25.86</v>
      </c>
      <c r="M2976" s="3" t="s">
        <v>1695</v>
      </c>
      <c r="N2976" s="3" t="s">
        <v>1696</v>
      </c>
    </row>
    <row r="2977">
      <c r="A2977" s="3">
        <v>2629611.0</v>
      </c>
      <c r="B2977" s="3" t="s">
        <v>6060</v>
      </c>
      <c r="C2977" s="3" t="b">
        <v>0</v>
      </c>
      <c r="D2977" s="3" t="b">
        <v>1</v>
      </c>
      <c r="E2977" s="3" t="s">
        <v>420</v>
      </c>
      <c r="F2977" s="3" t="s">
        <v>6061</v>
      </c>
      <c r="G2977" s="4">
        <f>+251927432156</f>
        <v>251927432156</v>
      </c>
      <c r="H2977" s="3" t="s">
        <v>18</v>
      </c>
      <c r="I2977" s="3" t="s">
        <v>19</v>
      </c>
      <c r="J2977" s="3" t="s">
        <v>19</v>
      </c>
      <c r="K2977" s="3" t="s">
        <v>25</v>
      </c>
      <c r="L2977" s="3">
        <v>29.43</v>
      </c>
      <c r="M2977" s="3" t="s">
        <v>1695</v>
      </c>
      <c r="N2977" s="3" t="s">
        <v>1696</v>
      </c>
      <c r="O2977" s="3">
        <v>1.98566781168E11</v>
      </c>
    </row>
    <row r="2978">
      <c r="A2978" s="3">
        <v>2629647.0</v>
      </c>
      <c r="B2978" s="3" t="s">
        <v>6062</v>
      </c>
      <c r="C2978" s="3" t="b">
        <v>0</v>
      </c>
      <c r="D2978" s="3" t="b">
        <v>1</v>
      </c>
      <c r="E2978" s="3" t="s">
        <v>404</v>
      </c>
      <c r="F2978" s="3" t="s">
        <v>6063</v>
      </c>
      <c r="G2978" s="4">
        <f>+251954664523</f>
        <v>251954664523</v>
      </c>
      <c r="H2978" s="3" t="s">
        <v>18</v>
      </c>
      <c r="I2978" s="3" t="s">
        <v>19</v>
      </c>
      <c r="J2978" s="3" t="s">
        <v>19</v>
      </c>
      <c r="K2978" s="3" t="s">
        <v>25</v>
      </c>
      <c r="L2978" s="3">
        <v>26.86</v>
      </c>
      <c r="M2978" s="3" t="s">
        <v>1695</v>
      </c>
      <c r="N2978" s="3" t="s">
        <v>1696</v>
      </c>
      <c r="O2978" s="3">
        <v>1.98593089737E11</v>
      </c>
    </row>
    <row r="2979">
      <c r="A2979" s="3">
        <v>2629664.0</v>
      </c>
      <c r="B2979" s="3" t="s">
        <v>6064</v>
      </c>
      <c r="C2979" s="3" t="b">
        <v>0</v>
      </c>
      <c r="D2979" s="3" t="b">
        <v>1</v>
      </c>
      <c r="E2979" s="3" t="s">
        <v>3723</v>
      </c>
      <c r="F2979" s="3" t="s">
        <v>118</v>
      </c>
      <c r="G2979" s="4">
        <f>+251941787960</f>
        <v>251941787960</v>
      </c>
      <c r="H2979" s="3" t="s">
        <v>18</v>
      </c>
      <c r="I2979" s="3" t="s">
        <v>19</v>
      </c>
      <c r="J2979" s="3" t="s">
        <v>19</v>
      </c>
      <c r="K2979" s="3" t="s">
        <v>20</v>
      </c>
      <c r="L2979" s="3">
        <v>25.01</v>
      </c>
      <c r="M2979" s="3" t="s">
        <v>1695</v>
      </c>
      <c r="N2979" s="3" t="s">
        <v>1696</v>
      </c>
      <c r="O2979" s="3">
        <v>1.98529786102E11</v>
      </c>
    </row>
    <row r="2980">
      <c r="A2980" s="3">
        <v>2629666.0</v>
      </c>
      <c r="B2980" s="3" t="s">
        <v>6065</v>
      </c>
      <c r="C2980" s="3" t="b">
        <v>0</v>
      </c>
      <c r="D2980" s="3" t="b">
        <v>1</v>
      </c>
      <c r="E2980" s="3" t="s">
        <v>6066</v>
      </c>
      <c r="F2980" s="3" t="s">
        <v>6067</v>
      </c>
      <c r="G2980" s="4">
        <f>+251923516772</f>
        <v>251923516772</v>
      </c>
      <c r="H2980" s="3" t="s">
        <v>18</v>
      </c>
      <c r="I2980" s="3" t="s">
        <v>19</v>
      </c>
      <c r="J2980" s="3" t="s">
        <v>19</v>
      </c>
      <c r="K2980" s="3" t="s">
        <v>25</v>
      </c>
      <c r="L2980" s="3">
        <v>28.0</v>
      </c>
      <c r="M2980" s="3" t="s">
        <v>1695</v>
      </c>
      <c r="N2980" s="3" t="s">
        <v>1696</v>
      </c>
      <c r="O2980" s="3">
        <v>1.98529819853E11</v>
      </c>
    </row>
    <row r="2981">
      <c r="A2981" s="3">
        <v>2629682.0</v>
      </c>
      <c r="B2981" s="3" t="s">
        <v>6068</v>
      </c>
      <c r="C2981" s="3" t="b">
        <v>0</v>
      </c>
      <c r="D2981" s="3" t="b">
        <v>1</v>
      </c>
      <c r="E2981" s="3" t="s">
        <v>6069</v>
      </c>
      <c r="F2981" s="3" t="s">
        <v>387</v>
      </c>
      <c r="G2981" s="4">
        <f>+251932742319</f>
        <v>251932742319</v>
      </c>
      <c r="H2981" s="3" t="s">
        <v>18</v>
      </c>
      <c r="I2981" s="3" t="s">
        <v>19</v>
      </c>
      <c r="J2981" s="3" t="s">
        <v>19</v>
      </c>
      <c r="K2981" s="3" t="s">
        <v>25</v>
      </c>
      <c r="L2981" s="3">
        <v>24.03</v>
      </c>
      <c r="M2981" s="3" t="s">
        <v>1695</v>
      </c>
      <c r="N2981" s="3" t="s">
        <v>1696</v>
      </c>
      <c r="O2981" s="3">
        <v>1.98539404527E11</v>
      </c>
    </row>
    <row r="2982">
      <c r="A2982" s="3">
        <v>2629683.0</v>
      </c>
      <c r="B2982" s="3" t="s">
        <v>6070</v>
      </c>
      <c r="C2982" s="3" t="b">
        <v>0</v>
      </c>
      <c r="D2982" s="3" t="b">
        <v>1</v>
      </c>
      <c r="E2982" s="3" t="s">
        <v>1224</v>
      </c>
      <c r="F2982" s="3" t="s">
        <v>3406</v>
      </c>
      <c r="G2982" s="4">
        <f>+251934107654</f>
        <v>251934107654</v>
      </c>
      <c r="H2982" s="3" t="s">
        <v>18</v>
      </c>
      <c r="I2982" s="3" t="s">
        <v>19</v>
      </c>
      <c r="J2982" s="3" t="s">
        <v>19</v>
      </c>
      <c r="K2982" s="3" t="s">
        <v>25</v>
      </c>
      <c r="L2982" s="3">
        <v>27.18</v>
      </c>
      <c r="M2982" s="3" t="s">
        <v>1695</v>
      </c>
      <c r="N2982" s="3" t="s">
        <v>1696</v>
      </c>
      <c r="O2982" s="3">
        <v>1.98646930648E11</v>
      </c>
    </row>
    <row r="2983">
      <c r="A2983" s="3">
        <v>2629689.0</v>
      </c>
      <c r="B2983" s="3" t="s">
        <v>6071</v>
      </c>
      <c r="C2983" s="3" t="b">
        <v>0</v>
      </c>
      <c r="D2983" s="3" t="b">
        <v>1</v>
      </c>
      <c r="E2983" s="3" t="s">
        <v>6072</v>
      </c>
      <c r="F2983" s="3" t="s">
        <v>946</v>
      </c>
      <c r="G2983" s="4">
        <f>+251914943132</f>
        <v>251914943132</v>
      </c>
      <c r="H2983" s="3" t="s">
        <v>18</v>
      </c>
      <c r="I2983" s="3" t="s">
        <v>19</v>
      </c>
      <c r="J2983" s="3" t="s">
        <v>19</v>
      </c>
      <c r="K2983" s="3" t="s">
        <v>25</v>
      </c>
      <c r="L2983" s="3">
        <v>24.01</v>
      </c>
      <c r="M2983" s="3" t="s">
        <v>1695</v>
      </c>
      <c r="N2983" s="3" t="s">
        <v>1696</v>
      </c>
      <c r="O2983" s="3">
        <v>1.98608368852E11</v>
      </c>
    </row>
    <row r="2984">
      <c r="A2984" s="3">
        <v>2629695.0</v>
      </c>
      <c r="B2984" s="3" t="s">
        <v>6073</v>
      </c>
      <c r="C2984" s="3" t="b">
        <v>0</v>
      </c>
      <c r="D2984" s="3" t="b">
        <v>1</v>
      </c>
      <c r="E2984" s="3" t="s">
        <v>264</v>
      </c>
      <c r="F2984" s="3" t="s">
        <v>70</v>
      </c>
      <c r="G2984" s="4">
        <f>+251966876214</f>
        <v>251966876214</v>
      </c>
      <c r="H2984" s="3" t="s">
        <v>18</v>
      </c>
      <c r="I2984" s="3" t="s">
        <v>19</v>
      </c>
      <c r="J2984" s="3" t="s">
        <v>19</v>
      </c>
      <c r="K2984" s="3" t="s">
        <v>25</v>
      </c>
      <c r="L2984" s="3">
        <v>23.29</v>
      </c>
      <c r="M2984" s="3" t="s">
        <v>1695</v>
      </c>
      <c r="N2984" s="3" t="s">
        <v>1696</v>
      </c>
      <c r="O2984" s="3">
        <v>1.98617313469E11</v>
      </c>
    </row>
    <row r="2985">
      <c r="A2985" s="3">
        <v>2629702.0</v>
      </c>
      <c r="B2985" s="3" t="s">
        <v>6074</v>
      </c>
      <c r="C2985" s="3" t="b">
        <v>0</v>
      </c>
      <c r="D2985" s="3" t="b">
        <v>1</v>
      </c>
      <c r="E2985" s="3" t="s">
        <v>6045</v>
      </c>
      <c r="F2985" s="3" t="s">
        <v>4225</v>
      </c>
      <c r="G2985" s="4">
        <f>+251915877183</f>
        <v>251915877183</v>
      </c>
      <c r="H2985" s="3" t="s">
        <v>18</v>
      </c>
      <c r="I2985" s="3" t="s">
        <v>19</v>
      </c>
      <c r="J2985" s="3" t="s">
        <v>19</v>
      </c>
      <c r="K2985" s="3" t="s">
        <v>25</v>
      </c>
      <c r="L2985" s="3">
        <v>25.03</v>
      </c>
      <c r="M2985" s="3" t="s">
        <v>1695</v>
      </c>
      <c r="N2985" s="3" t="s">
        <v>1696</v>
      </c>
      <c r="O2985" s="3">
        <v>1.98653709543E11</v>
      </c>
    </row>
    <row r="2986">
      <c r="A2986" s="3">
        <v>2629705.0</v>
      </c>
      <c r="B2986" s="3" t="s">
        <v>6075</v>
      </c>
      <c r="C2986" s="3" t="b">
        <v>0</v>
      </c>
      <c r="D2986" s="3" t="b">
        <v>1</v>
      </c>
      <c r="E2986" s="3" t="s">
        <v>1646</v>
      </c>
      <c r="F2986" s="3" t="s">
        <v>6076</v>
      </c>
      <c r="G2986" s="4">
        <f>+251913567892</f>
        <v>251913567892</v>
      </c>
      <c r="H2986" s="3" t="s">
        <v>18</v>
      </c>
      <c r="I2986" s="3" t="s">
        <v>19</v>
      </c>
      <c r="J2986" s="3" t="s">
        <v>19</v>
      </c>
      <c r="K2986" s="3" t="s">
        <v>20</v>
      </c>
      <c r="L2986" s="3">
        <v>23.26</v>
      </c>
      <c r="M2986" s="3" t="s">
        <v>1695</v>
      </c>
      <c r="N2986" s="3" t="s">
        <v>1696</v>
      </c>
      <c r="O2986" s="3">
        <v>1.98648004826E11</v>
      </c>
    </row>
    <row r="2987">
      <c r="A2987" s="3">
        <v>2629713.0</v>
      </c>
      <c r="B2987" s="3" t="s">
        <v>6077</v>
      </c>
      <c r="C2987" s="3" t="b">
        <v>0</v>
      </c>
      <c r="D2987" s="3" t="b">
        <v>1</v>
      </c>
      <c r="E2987" s="3" t="s">
        <v>6078</v>
      </c>
      <c r="F2987" s="3" t="s">
        <v>1898</v>
      </c>
      <c r="G2987" s="4">
        <f>+251904671093</f>
        <v>251904671093</v>
      </c>
      <c r="H2987" s="3" t="s">
        <v>18</v>
      </c>
      <c r="I2987" s="3" t="s">
        <v>19</v>
      </c>
      <c r="J2987" s="3" t="s">
        <v>19</v>
      </c>
      <c r="K2987" s="3" t="s">
        <v>20</v>
      </c>
      <c r="L2987" s="3">
        <v>24.0</v>
      </c>
      <c r="M2987" s="3" t="s">
        <v>1695</v>
      </c>
      <c r="N2987" s="3" t="s">
        <v>1696</v>
      </c>
      <c r="O2987" s="3">
        <v>1.98618010856E11</v>
      </c>
    </row>
    <row r="2988">
      <c r="A2988" s="3">
        <v>2629716.0</v>
      </c>
      <c r="B2988" s="3" t="s">
        <v>6079</v>
      </c>
      <c r="C2988" s="3" t="b">
        <v>0</v>
      </c>
      <c r="D2988" s="3" t="b">
        <v>1</v>
      </c>
      <c r="E2988" s="3" t="s">
        <v>1187</v>
      </c>
      <c r="F2988" s="3" t="s">
        <v>422</v>
      </c>
      <c r="G2988" s="4">
        <f>+251935472616</f>
        <v>251935472616</v>
      </c>
      <c r="H2988" s="3" t="s">
        <v>18</v>
      </c>
      <c r="I2988" s="3" t="s">
        <v>19</v>
      </c>
      <c r="J2988" s="3" t="s">
        <v>19</v>
      </c>
      <c r="K2988" s="3" t="s">
        <v>20</v>
      </c>
      <c r="L2988" s="3">
        <v>24.2</v>
      </c>
      <c r="M2988" s="3" t="s">
        <v>1695</v>
      </c>
      <c r="N2988" s="3" t="s">
        <v>1696</v>
      </c>
      <c r="O2988" s="3">
        <v>1.98606302421E11</v>
      </c>
    </row>
    <row r="2989">
      <c r="A2989" s="3">
        <v>2629734.0</v>
      </c>
      <c r="B2989" s="3" t="s">
        <v>6080</v>
      </c>
      <c r="C2989" s="3" t="b">
        <v>0</v>
      </c>
      <c r="D2989" s="3" t="b">
        <v>1</v>
      </c>
      <c r="E2989" s="3" t="s">
        <v>686</v>
      </c>
      <c r="F2989" s="3" t="s">
        <v>6081</v>
      </c>
      <c r="G2989" s="4">
        <f>+251940730234</f>
        <v>251940730234</v>
      </c>
      <c r="H2989" s="3" t="s">
        <v>18</v>
      </c>
      <c r="I2989" s="3" t="s">
        <v>19</v>
      </c>
      <c r="J2989" s="3" t="s">
        <v>19</v>
      </c>
      <c r="K2989" s="3" t="s">
        <v>20</v>
      </c>
      <c r="L2989" s="3">
        <v>24.01</v>
      </c>
      <c r="M2989" s="3" t="s">
        <v>1695</v>
      </c>
      <c r="N2989" s="3" t="s">
        <v>1696</v>
      </c>
      <c r="O2989" s="3">
        <v>1.98622522579E11</v>
      </c>
    </row>
    <row r="2990">
      <c r="A2990" s="3">
        <v>2629735.0</v>
      </c>
      <c r="B2990" s="3" t="s">
        <v>6082</v>
      </c>
      <c r="C2990" s="3" t="b">
        <v>0</v>
      </c>
      <c r="D2990" s="3" t="b">
        <v>1</v>
      </c>
      <c r="E2990" s="3" t="s">
        <v>2539</v>
      </c>
      <c r="F2990" s="3" t="s">
        <v>66</v>
      </c>
      <c r="G2990" s="4">
        <f>+251940725061</f>
        <v>251940725061</v>
      </c>
      <c r="H2990" s="3" t="s">
        <v>18</v>
      </c>
      <c r="I2990" s="3" t="s">
        <v>19</v>
      </c>
      <c r="J2990" s="3" t="s">
        <v>19</v>
      </c>
      <c r="K2990" s="3" t="s">
        <v>20</v>
      </c>
      <c r="L2990" s="3">
        <v>24.0</v>
      </c>
      <c r="M2990" s="3" t="s">
        <v>1695</v>
      </c>
      <c r="N2990" s="3" t="s">
        <v>1696</v>
      </c>
      <c r="O2990" s="3">
        <v>1.98609669344E11</v>
      </c>
    </row>
    <row r="2991">
      <c r="A2991" s="3">
        <v>2629738.0</v>
      </c>
      <c r="B2991" s="3" t="s">
        <v>6083</v>
      </c>
      <c r="C2991" s="3" t="b">
        <v>0</v>
      </c>
      <c r="D2991" s="3" t="b">
        <v>1</v>
      </c>
      <c r="E2991" s="3" t="s">
        <v>4642</v>
      </c>
      <c r="F2991" s="3" t="s">
        <v>6084</v>
      </c>
      <c r="G2991" s="4">
        <f>+251967902134</f>
        <v>251967902134</v>
      </c>
      <c r="H2991" s="3" t="s">
        <v>18</v>
      </c>
      <c r="I2991" s="3" t="s">
        <v>19</v>
      </c>
      <c r="J2991" s="3" t="s">
        <v>19</v>
      </c>
      <c r="K2991" s="3" t="s">
        <v>20</v>
      </c>
      <c r="L2991" s="3">
        <v>28.7</v>
      </c>
      <c r="M2991" s="3" t="s">
        <v>1695</v>
      </c>
      <c r="N2991" s="3" t="s">
        <v>1696</v>
      </c>
      <c r="O2991" s="3">
        <v>1.98618270922E11</v>
      </c>
    </row>
    <row r="2992">
      <c r="A2992" s="3">
        <v>2629745.0</v>
      </c>
      <c r="B2992" s="3" t="s">
        <v>6085</v>
      </c>
      <c r="C2992" s="3" t="b">
        <v>0</v>
      </c>
      <c r="D2992" s="3" t="b">
        <v>1</v>
      </c>
      <c r="E2992" s="3" t="s">
        <v>5591</v>
      </c>
      <c r="F2992" s="3" t="s">
        <v>342</v>
      </c>
      <c r="G2992" s="4">
        <f>+251973702661</f>
        <v>251973702661</v>
      </c>
      <c r="H2992" s="3" t="s">
        <v>18</v>
      </c>
      <c r="I2992" s="3" t="s">
        <v>19</v>
      </c>
      <c r="J2992" s="3" t="s">
        <v>19</v>
      </c>
      <c r="K2992" s="3" t="s">
        <v>20</v>
      </c>
      <c r="L2992" s="3">
        <v>23.04</v>
      </c>
      <c r="M2992" s="3" t="s">
        <v>1695</v>
      </c>
      <c r="N2992" s="3" t="s">
        <v>1696</v>
      </c>
      <c r="O2992" s="3">
        <v>1.98619144423E11</v>
      </c>
    </row>
    <row r="2993">
      <c r="A2993" s="3">
        <v>2629750.0</v>
      </c>
      <c r="B2993" s="3" t="s">
        <v>6086</v>
      </c>
      <c r="C2993" s="3" t="b">
        <v>0</v>
      </c>
      <c r="D2993" s="3" t="b">
        <v>1</v>
      </c>
      <c r="E2993" s="3" t="s">
        <v>4114</v>
      </c>
      <c r="F2993" s="3" t="s">
        <v>1060</v>
      </c>
      <c r="G2993" s="4">
        <f>+251934565212</f>
        <v>251934565212</v>
      </c>
      <c r="H2993" s="3" t="s">
        <v>18</v>
      </c>
      <c r="I2993" s="3" t="s">
        <v>19</v>
      </c>
      <c r="J2993" s="3" t="s">
        <v>19</v>
      </c>
      <c r="K2993" s="3" t="s">
        <v>25</v>
      </c>
      <c r="L2993" s="3">
        <v>23.21</v>
      </c>
      <c r="M2993" s="3" t="s">
        <v>1695</v>
      </c>
      <c r="N2993" s="3" t="s">
        <v>1696</v>
      </c>
      <c r="O2993" s="3">
        <v>1.9865717371E11</v>
      </c>
    </row>
    <row r="2994">
      <c r="A2994" s="3">
        <v>2629757.0</v>
      </c>
      <c r="B2994" s="3" t="s">
        <v>6087</v>
      </c>
      <c r="C2994" s="3" t="b">
        <v>0</v>
      </c>
      <c r="D2994" s="3" t="b">
        <v>1</v>
      </c>
      <c r="E2994" s="3" t="s">
        <v>787</v>
      </c>
      <c r="F2994" s="3" t="s">
        <v>6088</v>
      </c>
      <c r="G2994" s="4">
        <f>+251912493747</f>
        <v>251912493747</v>
      </c>
      <c r="H2994" s="3" t="s">
        <v>18</v>
      </c>
      <c r="I2994" s="3" t="s">
        <v>19</v>
      </c>
      <c r="J2994" s="3" t="s">
        <v>19</v>
      </c>
      <c r="K2994" s="3" t="s">
        <v>25</v>
      </c>
      <c r="L2994" s="3">
        <v>26.03</v>
      </c>
      <c r="M2994" s="3" t="s">
        <v>1695</v>
      </c>
      <c r="N2994" s="3" t="s">
        <v>1696</v>
      </c>
      <c r="O2994" s="3">
        <v>1.98631717054E11</v>
      </c>
    </row>
    <row r="2995">
      <c r="A2995" s="3">
        <v>2629759.0</v>
      </c>
      <c r="B2995" s="3" t="s">
        <v>6089</v>
      </c>
      <c r="C2995" s="3" t="b">
        <v>0</v>
      </c>
      <c r="D2995" s="3" t="b">
        <v>1</v>
      </c>
      <c r="E2995" s="3" t="s">
        <v>6090</v>
      </c>
      <c r="F2995" s="3" t="s">
        <v>849</v>
      </c>
      <c r="G2995" s="4">
        <f>+251911345678</f>
        <v>251911345678</v>
      </c>
      <c r="H2995" s="3" t="s">
        <v>18</v>
      </c>
      <c r="I2995" s="3" t="s">
        <v>19</v>
      </c>
      <c r="J2995" s="3" t="s">
        <v>19</v>
      </c>
      <c r="K2995" s="3" t="s">
        <v>25</v>
      </c>
      <c r="L2995" s="3">
        <v>22.29</v>
      </c>
      <c r="M2995" s="3" t="s">
        <v>1695</v>
      </c>
      <c r="N2995" s="3" t="s">
        <v>1696</v>
      </c>
      <c r="O2995" s="3">
        <v>1.98624480479E11</v>
      </c>
    </row>
    <row r="2996">
      <c r="A2996" s="3">
        <v>2629773.0</v>
      </c>
      <c r="B2996" s="3" t="s">
        <v>6091</v>
      </c>
      <c r="C2996" s="3" t="b">
        <v>0</v>
      </c>
      <c r="D2996" s="3" t="b">
        <v>1</v>
      </c>
      <c r="E2996" s="3" t="s">
        <v>27</v>
      </c>
      <c r="F2996" s="3" t="s">
        <v>6092</v>
      </c>
      <c r="G2996" s="4">
        <f>+251965731321</f>
        <v>251965731321</v>
      </c>
      <c r="H2996" s="3" t="s">
        <v>18</v>
      </c>
      <c r="I2996" s="3" t="s">
        <v>19</v>
      </c>
      <c r="J2996" s="3" t="s">
        <v>19</v>
      </c>
      <c r="K2996" s="3" t="s">
        <v>25</v>
      </c>
      <c r="L2996" s="3">
        <v>24.28</v>
      </c>
      <c r="M2996" s="3" t="s">
        <v>1695</v>
      </c>
      <c r="N2996" s="3" t="s">
        <v>1696</v>
      </c>
      <c r="O2996" s="3">
        <v>1.98633169125E11</v>
      </c>
    </row>
    <row r="2997">
      <c r="A2997" s="3">
        <v>2629796.0</v>
      </c>
      <c r="B2997" s="3" t="s">
        <v>6093</v>
      </c>
      <c r="C2997" s="3" t="b">
        <v>0</v>
      </c>
      <c r="D2997" s="3" t="b">
        <v>1</v>
      </c>
      <c r="E2997" s="3" t="s">
        <v>3280</v>
      </c>
      <c r="F2997" s="3" t="s">
        <v>468</v>
      </c>
      <c r="G2997" s="4">
        <f>+251911780582</f>
        <v>251911780582</v>
      </c>
      <c r="H2997" s="3" t="s">
        <v>18</v>
      </c>
      <c r="I2997" s="3" t="s">
        <v>19</v>
      </c>
      <c r="J2997" s="3" t="s">
        <v>19</v>
      </c>
      <c r="K2997" s="3" t="s">
        <v>20</v>
      </c>
      <c r="L2997" s="3">
        <v>25.01</v>
      </c>
      <c r="M2997" s="3" t="s">
        <v>1695</v>
      </c>
      <c r="N2997" s="3" t="s">
        <v>1696</v>
      </c>
      <c r="O2997" s="3">
        <v>1.98661263567E11</v>
      </c>
    </row>
    <row r="2998">
      <c r="A2998" s="3">
        <v>2629809.0</v>
      </c>
      <c r="B2998" s="3" t="s">
        <v>6094</v>
      </c>
      <c r="C2998" s="3" t="b">
        <v>0</v>
      </c>
      <c r="D2998" s="3" t="b">
        <v>1</v>
      </c>
      <c r="E2998" s="3" t="s">
        <v>134</v>
      </c>
      <c r="F2998" s="3" t="s">
        <v>6095</v>
      </c>
      <c r="G2998" s="4">
        <f>+251982711884</f>
        <v>251982711884</v>
      </c>
      <c r="H2998" s="3" t="s">
        <v>18</v>
      </c>
      <c r="I2998" s="3" t="s">
        <v>19</v>
      </c>
      <c r="J2998" s="3" t="s">
        <v>19</v>
      </c>
      <c r="K2998" s="3" t="s">
        <v>25</v>
      </c>
      <c r="L2998" s="3">
        <v>26.2</v>
      </c>
      <c r="M2998" s="3" t="s">
        <v>1695</v>
      </c>
      <c r="N2998" s="3" t="s">
        <v>1696</v>
      </c>
      <c r="O2998" s="3">
        <v>1.98638159072E11</v>
      </c>
    </row>
    <row r="2999">
      <c r="A2999" s="3">
        <v>2629823.0</v>
      </c>
      <c r="B2999" s="3" t="s">
        <v>6096</v>
      </c>
      <c r="C2999" s="3" t="b">
        <v>0</v>
      </c>
      <c r="D2999" s="3" t="b">
        <v>1</v>
      </c>
      <c r="E2999" s="3" t="s">
        <v>3732</v>
      </c>
      <c r="F2999" s="3" t="s">
        <v>6097</v>
      </c>
      <c r="G2999" s="4">
        <f>+251916371597</f>
        <v>251916371597</v>
      </c>
      <c r="H2999" s="3" t="s">
        <v>18</v>
      </c>
      <c r="I2999" s="3" t="s">
        <v>19</v>
      </c>
      <c r="J2999" s="3" t="s">
        <v>19</v>
      </c>
      <c r="K2999" s="3" t="s">
        <v>25</v>
      </c>
      <c r="L2999" s="3">
        <v>29.21</v>
      </c>
      <c r="M2999" s="3" t="s">
        <v>1695</v>
      </c>
      <c r="N2999" s="3" t="s">
        <v>1696</v>
      </c>
      <c r="O2999" s="3">
        <v>1.98670740718E11</v>
      </c>
    </row>
    <row r="3000">
      <c r="A3000" s="3">
        <v>2629825.0</v>
      </c>
      <c r="B3000" s="3" t="s">
        <v>6098</v>
      </c>
      <c r="C3000" s="3" t="b">
        <v>0</v>
      </c>
      <c r="D3000" s="3" t="b">
        <v>1</v>
      </c>
      <c r="E3000" s="3" t="s">
        <v>6099</v>
      </c>
      <c r="F3000" s="3" t="s">
        <v>6100</v>
      </c>
      <c r="G3000" s="4">
        <f>+251972068894</f>
        <v>251972068894</v>
      </c>
      <c r="H3000" s="3" t="s">
        <v>18</v>
      </c>
      <c r="I3000" s="3" t="s">
        <v>19</v>
      </c>
      <c r="J3000" s="3" t="s">
        <v>19</v>
      </c>
      <c r="K3000" s="3" t="s">
        <v>20</v>
      </c>
      <c r="L3000" s="3">
        <v>25.01</v>
      </c>
      <c r="M3000" s="3" t="s">
        <v>1695</v>
      </c>
      <c r="N3000" s="3" t="s">
        <v>1696</v>
      </c>
      <c r="O3000" s="3">
        <v>1.98675051743E11</v>
      </c>
    </row>
    <row r="3001">
      <c r="A3001" s="3">
        <v>2629833.0</v>
      </c>
      <c r="B3001" s="3" t="s">
        <v>6101</v>
      </c>
      <c r="C3001" s="3" t="b">
        <v>0</v>
      </c>
      <c r="D3001" s="3" t="b">
        <v>1</v>
      </c>
      <c r="E3001" s="3" t="s">
        <v>5959</v>
      </c>
      <c r="F3001" s="3" t="s">
        <v>64</v>
      </c>
      <c r="G3001" s="4">
        <f>+251937325716</f>
        <v>251937325716</v>
      </c>
      <c r="H3001" s="3" t="s">
        <v>18</v>
      </c>
      <c r="I3001" s="3" t="s">
        <v>19</v>
      </c>
      <c r="J3001" s="3" t="s">
        <v>19</v>
      </c>
      <c r="K3001" s="3" t="s">
        <v>25</v>
      </c>
      <c r="L3001" s="3">
        <v>23.19</v>
      </c>
      <c r="M3001" s="3" t="s">
        <v>1695</v>
      </c>
      <c r="N3001" s="3" t="s">
        <v>1696</v>
      </c>
      <c r="O3001" s="3">
        <v>1.98656719093E11</v>
      </c>
    </row>
    <row r="3002">
      <c r="A3002" s="3">
        <v>2629850.0</v>
      </c>
      <c r="B3002" s="3" t="s">
        <v>6102</v>
      </c>
      <c r="C3002" s="3" t="b">
        <v>0</v>
      </c>
      <c r="D3002" s="3" t="b">
        <v>1</v>
      </c>
      <c r="E3002" s="3" t="s">
        <v>580</v>
      </c>
      <c r="F3002" s="3" t="s">
        <v>6103</v>
      </c>
      <c r="G3002" s="4">
        <f>+251915516709</f>
        <v>251915516709</v>
      </c>
      <c r="H3002" s="3" t="s">
        <v>18</v>
      </c>
      <c r="I3002" s="3" t="s">
        <v>19</v>
      </c>
      <c r="J3002" s="3" t="s">
        <v>19</v>
      </c>
      <c r="K3002" s="3" t="s">
        <v>25</v>
      </c>
      <c r="L3002" s="3">
        <v>27.0</v>
      </c>
      <c r="M3002" s="3" t="s">
        <v>1695</v>
      </c>
      <c r="N3002" s="3" t="s">
        <v>1696</v>
      </c>
      <c r="O3002" s="3">
        <v>1.98671784146E11</v>
      </c>
    </row>
    <row r="3003">
      <c r="A3003" s="3">
        <v>2629856.0</v>
      </c>
      <c r="B3003" s="3" t="s">
        <v>6104</v>
      </c>
      <c r="C3003" s="3" t="b">
        <v>0</v>
      </c>
      <c r="D3003" s="3" t="b">
        <v>1</v>
      </c>
      <c r="E3003" s="3" t="s">
        <v>6105</v>
      </c>
      <c r="F3003" s="3" t="s">
        <v>918</v>
      </c>
      <c r="G3003" s="4">
        <f>+251930656078</f>
        <v>251930656078</v>
      </c>
      <c r="H3003" s="3" t="s">
        <v>18</v>
      </c>
      <c r="I3003" s="3" t="s">
        <v>19</v>
      </c>
      <c r="J3003" s="3" t="s">
        <v>19</v>
      </c>
      <c r="K3003" s="3" t="s">
        <v>25</v>
      </c>
      <c r="L3003" s="3">
        <v>25.01</v>
      </c>
      <c r="M3003" s="3" t="s">
        <v>1695</v>
      </c>
      <c r="N3003" s="3" t="s">
        <v>1696</v>
      </c>
      <c r="O3003" s="3">
        <v>1.98665859258E11</v>
      </c>
    </row>
    <row r="3004">
      <c r="A3004" s="3">
        <v>2629861.0</v>
      </c>
      <c r="B3004" s="3" t="s">
        <v>6106</v>
      </c>
      <c r="C3004" s="3" t="b">
        <v>0</v>
      </c>
      <c r="D3004" s="3" t="b">
        <v>1</v>
      </c>
      <c r="E3004" s="3" t="s">
        <v>5487</v>
      </c>
      <c r="F3004" s="3" t="s">
        <v>970</v>
      </c>
      <c r="G3004" s="4">
        <f>+251923748232</f>
        <v>251923748232</v>
      </c>
      <c r="H3004" s="3" t="s">
        <v>18</v>
      </c>
      <c r="I3004" s="3" t="s">
        <v>19</v>
      </c>
      <c r="J3004" s="3" t="s">
        <v>19</v>
      </c>
      <c r="K3004" s="3" t="s">
        <v>25</v>
      </c>
      <c r="L3004" s="3">
        <v>24.01</v>
      </c>
      <c r="M3004" s="3" t="s">
        <v>1695</v>
      </c>
      <c r="N3004" s="3" t="s">
        <v>1696</v>
      </c>
      <c r="O3004" s="3">
        <v>1.986710151E11</v>
      </c>
    </row>
    <row r="3005">
      <c r="A3005" s="3">
        <v>2629864.0</v>
      </c>
      <c r="B3005" s="3" t="s">
        <v>6107</v>
      </c>
      <c r="C3005" s="3" t="b">
        <v>0</v>
      </c>
      <c r="D3005" s="3" t="b">
        <v>1</v>
      </c>
      <c r="E3005" s="3" t="s">
        <v>391</v>
      </c>
      <c r="F3005" s="3" t="s">
        <v>6108</v>
      </c>
      <c r="G3005" s="4">
        <f>+251922218988</f>
        <v>251922218988</v>
      </c>
      <c r="H3005" s="3" t="s">
        <v>18</v>
      </c>
      <c r="I3005" s="3" t="s">
        <v>19</v>
      </c>
      <c r="J3005" s="3" t="s">
        <v>19</v>
      </c>
      <c r="K3005" s="3" t="s">
        <v>25</v>
      </c>
      <c r="L3005" s="3">
        <v>24.2</v>
      </c>
      <c r="M3005" s="3" t="s">
        <v>1695</v>
      </c>
      <c r="N3005" s="3" t="s">
        <v>1696</v>
      </c>
      <c r="O3005" s="3">
        <v>1.98675234023E11</v>
      </c>
    </row>
    <row r="3006">
      <c r="A3006" s="3">
        <v>2629881.0</v>
      </c>
      <c r="B3006" s="3" t="s">
        <v>6109</v>
      </c>
      <c r="C3006" s="3" t="b">
        <v>0</v>
      </c>
      <c r="D3006" s="3" t="b">
        <v>1</v>
      </c>
      <c r="E3006" s="3" t="s">
        <v>6110</v>
      </c>
      <c r="F3006" s="3" t="s">
        <v>70</v>
      </c>
      <c r="G3006" s="4">
        <f>+251911780582</f>
        <v>251911780582</v>
      </c>
      <c r="H3006" s="3" t="s">
        <v>18</v>
      </c>
      <c r="I3006" s="3" t="s">
        <v>19</v>
      </c>
      <c r="J3006" s="3" t="s">
        <v>19</v>
      </c>
      <c r="K3006" s="3" t="s">
        <v>20</v>
      </c>
      <c r="L3006" s="3">
        <v>25.01</v>
      </c>
      <c r="M3006" s="3" t="s">
        <v>1695</v>
      </c>
      <c r="N3006" s="3" t="s">
        <v>1696</v>
      </c>
      <c r="O3006" s="3">
        <v>1.9872879635E11</v>
      </c>
    </row>
    <row r="3007">
      <c r="A3007" s="3">
        <v>2629887.0</v>
      </c>
      <c r="B3007" s="3" t="s">
        <v>6111</v>
      </c>
      <c r="C3007" s="3" t="b">
        <v>0</v>
      </c>
      <c r="D3007" s="3" t="b">
        <v>1</v>
      </c>
      <c r="E3007" s="3" t="s">
        <v>1955</v>
      </c>
      <c r="F3007" s="3" t="s">
        <v>6112</v>
      </c>
      <c r="G3007" s="4">
        <f>+251922832049</f>
        <v>251922832049</v>
      </c>
      <c r="H3007" s="3" t="s">
        <v>18</v>
      </c>
      <c r="I3007" s="3" t="s">
        <v>19</v>
      </c>
      <c r="J3007" s="3" t="s">
        <v>19</v>
      </c>
      <c r="K3007" s="3" t="s">
        <v>25</v>
      </c>
      <c r="L3007" s="3">
        <v>23.0</v>
      </c>
      <c r="M3007" s="3" t="s">
        <v>1695</v>
      </c>
      <c r="N3007" s="3" t="s">
        <v>1696</v>
      </c>
      <c r="O3007" s="3">
        <v>1.98666375412E11</v>
      </c>
    </row>
    <row r="3008">
      <c r="A3008" s="3">
        <v>2629901.0</v>
      </c>
      <c r="B3008" s="3" t="s">
        <v>6113</v>
      </c>
      <c r="C3008" s="3" t="b">
        <v>0</v>
      </c>
      <c r="D3008" s="3" t="b">
        <v>1</v>
      </c>
      <c r="E3008" s="3" t="s">
        <v>946</v>
      </c>
      <c r="F3008" s="3" t="s">
        <v>6114</v>
      </c>
      <c r="G3008" s="4">
        <f>+251910962863</f>
        <v>251910962863</v>
      </c>
      <c r="H3008" s="3" t="s">
        <v>18</v>
      </c>
      <c r="I3008" s="3" t="s">
        <v>19</v>
      </c>
      <c r="J3008" s="3" t="s">
        <v>19</v>
      </c>
      <c r="K3008" s="3" t="s">
        <v>25</v>
      </c>
      <c r="L3008" s="3">
        <v>25.07</v>
      </c>
      <c r="M3008" s="3" t="s">
        <v>1695</v>
      </c>
      <c r="N3008" s="3" t="s">
        <v>1696</v>
      </c>
      <c r="O3008" s="3">
        <v>1.98675590351E11</v>
      </c>
    </row>
    <row r="3009">
      <c r="A3009" s="3">
        <v>2629923.0</v>
      </c>
      <c r="B3009" s="3" t="s">
        <v>6115</v>
      </c>
      <c r="C3009" s="3" t="b">
        <v>0</v>
      </c>
      <c r="D3009" s="3" t="b">
        <v>1</v>
      </c>
      <c r="E3009" s="3" t="s">
        <v>798</v>
      </c>
      <c r="F3009" s="3" t="s">
        <v>6116</v>
      </c>
      <c r="G3009" s="4">
        <f>+251910965108</f>
        <v>251910965108</v>
      </c>
      <c r="H3009" s="3" t="s">
        <v>18</v>
      </c>
      <c r="I3009" s="3" t="s">
        <v>19</v>
      </c>
      <c r="J3009" s="3" t="s">
        <v>19</v>
      </c>
      <c r="K3009" s="3" t="s">
        <v>25</v>
      </c>
      <c r="L3009" s="3">
        <v>22.83</v>
      </c>
      <c r="M3009" s="3" t="s">
        <v>1695</v>
      </c>
      <c r="N3009" s="3" t="s">
        <v>1696</v>
      </c>
      <c r="O3009" s="3">
        <v>1.98675773683E11</v>
      </c>
    </row>
    <row r="3010">
      <c r="A3010" s="3">
        <v>2629920.0</v>
      </c>
      <c r="B3010" s="3" t="s">
        <v>6117</v>
      </c>
      <c r="C3010" s="3" t="b">
        <v>0</v>
      </c>
      <c r="D3010" s="3" t="b">
        <v>1</v>
      </c>
      <c r="E3010" s="3" t="s">
        <v>6118</v>
      </c>
      <c r="F3010" s="3" t="s">
        <v>1710</v>
      </c>
      <c r="G3010" s="4">
        <f>+251977986388</f>
        <v>251977986388</v>
      </c>
      <c r="H3010" s="3" t="s">
        <v>18</v>
      </c>
      <c r="I3010" s="3" t="s">
        <v>19</v>
      </c>
      <c r="J3010" s="3" t="s">
        <v>19</v>
      </c>
      <c r="K3010" s="3" t="s">
        <v>20</v>
      </c>
      <c r="L3010" s="3">
        <v>25.01</v>
      </c>
      <c r="M3010" s="3" t="s">
        <v>1695</v>
      </c>
      <c r="N3010" s="3" t="s">
        <v>1696</v>
      </c>
      <c r="O3010" s="3">
        <v>1.98671527118E11</v>
      </c>
    </row>
    <row r="3011">
      <c r="A3011" s="3">
        <v>2629933.0</v>
      </c>
      <c r="B3011" s="3" t="s">
        <v>6119</v>
      </c>
      <c r="C3011" s="3" t="b">
        <v>0</v>
      </c>
      <c r="D3011" s="3" t="b">
        <v>1</v>
      </c>
      <c r="E3011" s="3" t="s">
        <v>6120</v>
      </c>
      <c r="F3011" s="3" t="s">
        <v>111</v>
      </c>
      <c r="G3011" s="4">
        <f>+251913631585</f>
        <v>251913631585</v>
      </c>
      <c r="H3011" s="3" t="s">
        <v>18</v>
      </c>
      <c r="I3011" s="3" t="s">
        <v>19</v>
      </c>
      <c r="J3011" s="3" t="s">
        <v>19</v>
      </c>
      <c r="K3011" s="3" t="s">
        <v>25</v>
      </c>
      <c r="L3011" s="3">
        <v>27.09</v>
      </c>
      <c r="M3011" s="3" t="s">
        <v>1695</v>
      </c>
      <c r="N3011" s="3" t="s">
        <v>1696</v>
      </c>
      <c r="O3011" s="3">
        <v>1.9873534279E11</v>
      </c>
    </row>
    <row r="3012">
      <c r="A3012" s="3">
        <v>2629935.0</v>
      </c>
      <c r="B3012" s="3" t="s">
        <v>6121</v>
      </c>
      <c r="C3012" s="3" t="b">
        <v>0</v>
      </c>
      <c r="D3012" s="3" t="b">
        <v>1</v>
      </c>
      <c r="E3012" s="3" t="s">
        <v>2781</v>
      </c>
      <c r="F3012" s="3" t="s">
        <v>6122</v>
      </c>
      <c r="G3012" s="4">
        <f>+251900625405</f>
        <v>251900625405</v>
      </c>
      <c r="H3012" s="3" t="s">
        <v>18</v>
      </c>
      <c r="I3012" s="3" t="s">
        <v>19</v>
      </c>
      <c r="J3012" s="3" t="s">
        <v>19</v>
      </c>
      <c r="K3012" s="3" t="s">
        <v>25</v>
      </c>
      <c r="L3012" s="3">
        <v>26.03</v>
      </c>
      <c r="M3012" s="3" t="s">
        <v>1695</v>
      </c>
      <c r="N3012" s="3" t="s">
        <v>1696</v>
      </c>
      <c r="O3012" s="3">
        <v>1.9866700307E11</v>
      </c>
    </row>
    <row r="3013">
      <c r="A3013" s="3">
        <v>2629946.0</v>
      </c>
      <c r="B3013" s="3" t="s">
        <v>6123</v>
      </c>
      <c r="C3013" s="3" t="b">
        <v>0</v>
      </c>
      <c r="D3013" s="3" t="b">
        <v>1</v>
      </c>
      <c r="E3013" s="3" t="s">
        <v>6124</v>
      </c>
      <c r="F3013" s="3" t="s">
        <v>1882</v>
      </c>
      <c r="G3013" s="4">
        <f>+251929134889</f>
        <v>251929134889</v>
      </c>
      <c r="H3013" s="3" t="s">
        <v>18</v>
      </c>
      <c r="I3013" s="3" t="s">
        <v>19</v>
      </c>
      <c r="J3013" s="3" t="s">
        <v>19</v>
      </c>
      <c r="K3013" s="3" t="s">
        <v>20</v>
      </c>
      <c r="L3013" s="3">
        <v>30.99</v>
      </c>
      <c r="M3013" s="3" t="s">
        <v>1695</v>
      </c>
      <c r="N3013" s="3" t="s">
        <v>1696</v>
      </c>
      <c r="O3013" s="3">
        <v>1.9873056584E11</v>
      </c>
    </row>
    <row r="3014">
      <c r="A3014" s="3">
        <v>2629945.0</v>
      </c>
      <c r="B3014" s="3" t="s">
        <v>6125</v>
      </c>
      <c r="C3014" s="3" t="b">
        <v>0</v>
      </c>
      <c r="D3014" s="3" t="b">
        <v>1</v>
      </c>
      <c r="E3014" s="3" t="s">
        <v>2562</v>
      </c>
      <c r="F3014" s="3" t="s">
        <v>6126</v>
      </c>
      <c r="G3014" s="4">
        <f>+251922708667</f>
        <v>251922708667</v>
      </c>
      <c r="H3014" s="3" t="s">
        <v>18</v>
      </c>
      <c r="I3014" s="3" t="s">
        <v>19</v>
      </c>
      <c r="J3014" s="3" t="s">
        <v>19</v>
      </c>
      <c r="K3014" s="3" t="s">
        <v>25</v>
      </c>
      <c r="L3014" s="3">
        <v>25.28</v>
      </c>
      <c r="M3014" s="3" t="s">
        <v>1695</v>
      </c>
      <c r="N3014" s="3" t="s">
        <v>1696</v>
      </c>
      <c r="O3014" s="3">
        <v>1.98731952317E11</v>
      </c>
    </row>
    <row r="3015">
      <c r="A3015" s="3">
        <v>2629953.0</v>
      </c>
      <c r="B3015" s="3" t="s">
        <v>6127</v>
      </c>
      <c r="C3015" s="3" t="b">
        <v>0</v>
      </c>
      <c r="D3015" s="3" t="b">
        <v>1</v>
      </c>
      <c r="E3015" s="3" t="s">
        <v>6128</v>
      </c>
      <c r="F3015" s="3" t="s">
        <v>468</v>
      </c>
      <c r="G3015" s="4">
        <f>+251919902549</f>
        <v>251919902549</v>
      </c>
      <c r="H3015" s="3" t="s">
        <v>18</v>
      </c>
      <c r="I3015" s="3" t="s">
        <v>19</v>
      </c>
      <c r="J3015" s="3" t="s">
        <v>19</v>
      </c>
      <c r="K3015" s="3" t="s">
        <v>20</v>
      </c>
      <c r="L3015" s="3">
        <v>24.01</v>
      </c>
      <c r="M3015" s="3" t="s">
        <v>1695</v>
      </c>
      <c r="N3015" s="3" t="s">
        <v>1696</v>
      </c>
      <c r="O3015" s="3">
        <v>1.98667165914E11</v>
      </c>
    </row>
    <row r="3016">
      <c r="A3016" s="3">
        <v>2629958.0</v>
      </c>
      <c r="B3016" s="3" t="s">
        <v>6129</v>
      </c>
      <c r="C3016" s="3" t="b">
        <v>0</v>
      </c>
      <c r="D3016" s="3" t="b">
        <v>1</v>
      </c>
      <c r="E3016" s="3" t="s">
        <v>936</v>
      </c>
      <c r="F3016" s="3" t="s">
        <v>2611</v>
      </c>
      <c r="G3016" s="4">
        <f>+251945609344</f>
        <v>251945609344</v>
      </c>
      <c r="H3016" s="3" t="s">
        <v>18</v>
      </c>
      <c r="I3016" s="3" t="s">
        <v>19</v>
      </c>
      <c r="J3016" s="3" t="s">
        <v>19</v>
      </c>
      <c r="K3016" s="3" t="s">
        <v>25</v>
      </c>
      <c r="L3016" s="3">
        <v>30.86</v>
      </c>
      <c r="M3016" s="3" t="s">
        <v>1695</v>
      </c>
      <c r="N3016" s="3" t="s">
        <v>1696</v>
      </c>
      <c r="O3016" s="3">
        <v>1.98667219151E11</v>
      </c>
    </row>
    <row r="3017">
      <c r="A3017" s="3">
        <v>2629962.0</v>
      </c>
      <c r="B3017" s="3" t="s">
        <v>6130</v>
      </c>
      <c r="C3017" s="3" t="b">
        <v>0</v>
      </c>
      <c r="D3017" s="3" t="b">
        <v>1</v>
      </c>
      <c r="E3017" s="3" t="s">
        <v>291</v>
      </c>
      <c r="F3017" s="3" t="s">
        <v>66</v>
      </c>
      <c r="G3017" s="4">
        <f>+251904103528</f>
        <v>251904103528</v>
      </c>
      <c r="H3017" s="3" t="s">
        <v>18</v>
      </c>
      <c r="I3017" s="3" t="s">
        <v>19</v>
      </c>
      <c r="J3017" s="3" t="s">
        <v>19</v>
      </c>
      <c r="K3017" s="3" t="s">
        <v>20</v>
      </c>
      <c r="L3017" s="3">
        <v>24.0</v>
      </c>
      <c r="M3017" s="3" t="s">
        <v>1695</v>
      </c>
      <c r="N3017" s="3" t="s">
        <v>1696</v>
      </c>
      <c r="O3017" s="3">
        <v>1.98737800384E11</v>
      </c>
    </row>
    <row r="3018">
      <c r="A3018" s="3">
        <v>2629952.0</v>
      </c>
      <c r="B3018" s="3" t="s">
        <v>6131</v>
      </c>
      <c r="C3018" s="3" t="b">
        <v>0</v>
      </c>
      <c r="D3018" s="3" t="b">
        <v>1</v>
      </c>
      <c r="E3018" s="3" t="s">
        <v>874</v>
      </c>
      <c r="F3018" s="3" t="s">
        <v>1814</v>
      </c>
      <c r="G3018" s="4">
        <f>+251919886477</f>
        <v>251919886477</v>
      </c>
      <c r="H3018" s="3" t="s">
        <v>18</v>
      </c>
      <c r="I3018" s="3" t="s">
        <v>19</v>
      </c>
      <c r="J3018" s="3" t="s">
        <v>19</v>
      </c>
      <c r="K3018" s="3" t="s">
        <v>20</v>
      </c>
      <c r="L3018" s="3">
        <v>22.05</v>
      </c>
      <c r="M3018" s="3" t="s">
        <v>1695</v>
      </c>
      <c r="N3018" s="3" t="s">
        <v>1696</v>
      </c>
      <c r="O3018" s="3">
        <v>5687005.0</v>
      </c>
    </row>
    <row r="3019">
      <c r="A3019" s="3">
        <v>2629970.0</v>
      </c>
      <c r="B3019" s="3" t="s">
        <v>6132</v>
      </c>
      <c r="C3019" s="3" t="b">
        <v>0</v>
      </c>
      <c r="D3019" s="3" t="b">
        <v>1</v>
      </c>
      <c r="E3019" s="3" t="s">
        <v>5805</v>
      </c>
      <c r="F3019" s="3" t="s">
        <v>4110</v>
      </c>
      <c r="G3019" s="4">
        <f>+251927417723</f>
        <v>251927417723</v>
      </c>
      <c r="H3019" s="3" t="s">
        <v>18</v>
      </c>
      <c r="I3019" s="3" t="s">
        <v>19</v>
      </c>
      <c r="J3019" s="3" t="s">
        <v>19</v>
      </c>
      <c r="K3019" s="3" t="s">
        <v>25</v>
      </c>
      <c r="L3019" s="3">
        <v>26.0</v>
      </c>
      <c r="M3019" s="3" t="s">
        <v>1695</v>
      </c>
      <c r="N3019" s="3" t="s">
        <v>1696</v>
      </c>
      <c r="O3019" s="3">
        <v>1.98734042329E11</v>
      </c>
    </row>
    <row r="3020">
      <c r="A3020" s="3">
        <v>2629971.0</v>
      </c>
      <c r="B3020" s="3" t="s">
        <v>6133</v>
      </c>
      <c r="C3020" s="3" t="b">
        <v>0</v>
      </c>
      <c r="D3020" s="3" t="b">
        <v>1</v>
      </c>
      <c r="E3020" s="3" t="s">
        <v>6134</v>
      </c>
      <c r="F3020" s="3" t="s">
        <v>280</v>
      </c>
      <c r="G3020" s="4">
        <f>+251947282696</f>
        <v>251947282696</v>
      </c>
      <c r="H3020" s="3" t="s">
        <v>18</v>
      </c>
      <c r="I3020" s="3" t="s">
        <v>19</v>
      </c>
      <c r="J3020" s="3" t="s">
        <v>19</v>
      </c>
      <c r="K3020" s="3" t="s">
        <v>25</v>
      </c>
      <c r="L3020" s="3">
        <v>27.21</v>
      </c>
      <c r="M3020" s="3" t="s">
        <v>1695</v>
      </c>
      <c r="N3020" s="3" t="s">
        <v>1696</v>
      </c>
      <c r="O3020" s="3">
        <v>1.98732236996E11</v>
      </c>
    </row>
    <row r="3021">
      <c r="A3021" s="3">
        <v>2629974.0</v>
      </c>
      <c r="B3021" s="3" t="s">
        <v>6135</v>
      </c>
      <c r="C3021" s="3" t="b">
        <v>0</v>
      </c>
      <c r="D3021" s="3" t="b">
        <v>1</v>
      </c>
      <c r="E3021" s="3" t="s">
        <v>822</v>
      </c>
      <c r="F3021" s="3" t="s">
        <v>4134</v>
      </c>
      <c r="G3021" s="4">
        <f>+251974621196</f>
        <v>251974621196</v>
      </c>
      <c r="H3021" s="3" t="s">
        <v>18</v>
      </c>
      <c r="I3021" s="3" t="s">
        <v>19</v>
      </c>
      <c r="J3021" s="3" t="s">
        <v>19</v>
      </c>
      <c r="K3021" s="3" t="s">
        <v>20</v>
      </c>
      <c r="L3021" s="3">
        <v>30.61</v>
      </c>
      <c r="M3021" s="3" t="s">
        <v>1695</v>
      </c>
      <c r="N3021" s="3" t="s">
        <v>1696</v>
      </c>
      <c r="O3021" s="3">
        <v>1.98732304573E11</v>
      </c>
    </row>
    <row r="3022">
      <c r="A3022" s="3">
        <v>2629981.0</v>
      </c>
      <c r="B3022" s="3" t="s">
        <v>6136</v>
      </c>
      <c r="C3022" s="3" t="b">
        <v>0</v>
      </c>
      <c r="D3022" s="3" t="b">
        <v>1</v>
      </c>
      <c r="E3022" s="3" t="s">
        <v>6137</v>
      </c>
      <c r="F3022" s="3" t="s">
        <v>518</v>
      </c>
      <c r="G3022" s="4">
        <f>+251912353600</f>
        <v>251912353600</v>
      </c>
      <c r="H3022" s="3" t="s">
        <v>18</v>
      </c>
      <c r="I3022" s="3" t="s">
        <v>19</v>
      </c>
      <c r="J3022" s="3" t="s">
        <v>19</v>
      </c>
      <c r="K3022" s="3" t="s">
        <v>25</v>
      </c>
      <c r="L3022" s="3">
        <v>22.85</v>
      </c>
      <c r="M3022" s="3" t="s">
        <v>1695</v>
      </c>
      <c r="N3022" s="3" t="s">
        <v>1696</v>
      </c>
      <c r="O3022" s="3">
        <v>1.98681381098E11</v>
      </c>
    </row>
    <row r="3023">
      <c r="A3023" s="3">
        <v>2629982.0</v>
      </c>
      <c r="B3023" s="3" t="s">
        <v>6138</v>
      </c>
      <c r="C3023" s="3" t="b">
        <v>0</v>
      </c>
      <c r="D3023" s="3" t="b">
        <v>1</v>
      </c>
      <c r="E3023" s="3" t="s">
        <v>766</v>
      </c>
      <c r="F3023" s="3" t="s">
        <v>58</v>
      </c>
      <c r="G3023" s="4">
        <f>+251944362575</f>
        <v>251944362575</v>
      </c>
      <c r="H3023" s="3" t="s">
        <v>18</v>
      </c>
      <c r="I3023" s="3" t="s">
        <v>19</v>
      </c>
      <c r="J3023" s="3" t="s">
        <v>6139</v>
      </c>
      <c r="K3023" s="3" t="s">
        <v>20</v>
      </c>
      <c r="L3023" s="3">
        <v>30.03</v>
      </c>
      <c r="M3023" s="3" t="s">
        <v>1695</v>
      </c>
      <c r="N3023" s="3" t="s">
        <v>1696</v>
      </c>
      <c r="O3023" s="3">
        <v>1.98683420878E11</v>
      </c>
    </row>
    <row r="3024">
      <c r="A3024" s="3">
        <v>2629989.0</v>
      </c>
      <c r="B3024" s="3" t="s">
        <v>6140</v>
      </c>
      <c r="C3024" s="3" t="b">
        <v>0</v>
      </c>
      <c r="D3024" s="3" t="b">
        <v>1</v>
      </c>
      <c r="E3024" s="3" t="s">
        <v>35</v>
      </c>
      <c r="F3024" s="3" t="s">
        <v>2519</v>
      </c>
      <c r="G3024" s="4">
        <f>+251949053796</f>
        <v>251949053796</v>
      </c>
      <c r="H3024" s="3" t="s">
        <v>18</v>
      </c>
      <c r="I3024" s="3" t="s">
        <v>19</v>
      </c>
      <c r="J3024" s="3" t="s">
        <v>19</v>
      </c>
      <c r="K3024" s="3" t="s">
        <v>25</v>
      </c>
      <c r="L3024" s="3">
        <v>28.66</v>
      </c>
      <c r="M3024" s="3" t="s">
        <v>1695</v>
      </c>
      <c r="N3024" s="3" t="s">
        <v>1696</v>
      </c>
      <c r="O3024" s="3">
        <v>1.98667691254E11</v>
      </c>
    </row>
    <row r="3025">
      <c r="A3025" s="3">
        <v>2629996.0</v>
      </c>
      <c r="B3025" s="3" t="s">
        <v>6141</v>
      </c>
      <c r="C3025" s="3" t="b">
        <v>0</v>
      </c>
      <c r="D3025" s="3" t="b">
        <v>1</v>
      </c>
      <c r="E3025" s="3" t="s">
        <v>2817</v>
      </c>
      <c r="F3025" s="3" t="s">
        <v>2032</v>
      </c>
      <c r="G3025" s="4">
        <f>+251914812944</f>
        <v>251914812944</v>
      </c>
      <c r="H3025" s="3" t="s">
        <v>18</v>
      </c>
      <c r="I3025" s="3" t="s">
        <v>19</v>
      </c>
      <c r="J3025" s="3" t="s">
        <v>19</v>
      </c>
      <c r="K3025" s="3" t="s">
        <v>25</v>
      </c>
      <c r="L3025" s="3">
        <v>22.85</v>
      </c>
      <c r="M3025" s="3" t="s">
        <v>1695</v>
      </c>
      <c r="N3025" s="3" t="s">
        <v>1696</v>
      </c>
      <c r="O3025" s="3">
        <v>1.98730996922E11</v>
      </c>
    </row>
    <row r="3026">
      <c r="A3026" s="3">
        <v>2630010.0</v>
      </c>
      <c r="B3026" s="3" t="s">
        <v>6142</v>
      </c>
      <c r="C3026" s="3" t="b">
        <v>0</v>
      </c>
      <c r="D3026" s="3" t="b">
        <v>1</v>
      </c>
      <c r="E3026" s="3" t="s">
        <v>6143</v>
      </c>
      <c r="F3026" s="3" t="s">
        <v>3778</v>
      </c>
      <c r="G3026" s="4">
        <f>+251925999067</f>
        <v>251925999067</v>
      </c>
      <c r="H3026" s="3" t="s">
        <v>18</v>
      </c>
      <c r="I3026" s="3" t="s">
        <v>19</v>
      </c>
      <c r="J3026" s="3" t="s">
        <v>19</v>
      </c>
      <c r="K3026" s="3" t="s">
        <v>25</v>
      </c>
      <c r="L3026" s="3">
        <v>24.01</v>
      </c>
      <c r="M3026" s="3" t="s">
        <v>1695</v>
      </c>
      <c r="N3026" s="3" t="s">
        <v>1696</v>
      </c>
      <c r="O3026" s="3">
        <v>1.98687814882E11</v>
      </c>
    </row>
    <row r="3027">
      <c r="A3027" s="3">
        <v>2630018.0</v>
      </c>
      <c r="B3027" s="3" t="s">
        <v>6144</v>
      </c>
      <c r="C3027" s="3" t="b">
        <v>0</v>
      </c>
      <c r="D3027" s="3" t="b">
        <v>1</v>
      </c>
      <c r="E3027" s="3" t="s">
        <v>653</v>
      </c>
      <c r="F3027" s="3" t="s">
        <v>6063</v>
      </c>
      <c r="G3027" s="4">
        <f>+251921833044</f>
        <v>251921833044</v>
      </c>
      <c r="H3027" s="3" t="s">
        <v>18</v>
      </c>
      <c r="I3027" s="3" t="s">
        <v>19</v>
      </c>
      <c r="J3027" s="3" t="s">
        <v>19</v>
      </c>
      <c r="K3027" s="3" t="s">
        <v>25</v>
      </c>
      <c r="L3027" s="3">
        <v>20.0</v>
      </c>
      <c r="M3027" s="3" t="s">
        <v>1695</v>
      </c>
      <c r="N3027" s="3" t="s">
        <v>1696</v>
      </c>
      <c r="O3027" s="3">
        <v>1.9868862073E11</v>
      </c>
    </row>
    <row r="3028">
      <c r="A3028" s="3">
        <v>2630022.0</v>
      </c>
      <c r="B3028" s="3" t="s">
        <v>6145</v>
      </c>
      <c r="C3028" s="3" t="b">
        <v>0</v>
      </c>
      <c r="D3028" s="3" t="b">
        <v>1</v>
      </c>
      <c r="E3028" s="3" t="s">
        <v>689</v>
      </c>
      <c r="F3028" s="3" t="s">
        <v>6146</v>
      </c>
      <c r="G3028" s="4">
        <f>+251095215050</f>
        <v>251095215050</v>
      </c>
      <c r="H3028" s="3" t="s">
        <v>18</v>
      </c>
      <c r="I3028" s="3" t="s">
        <v>19</v>
      </c>
      <c r="J3028" s="3" t="s">
        <v>19</v>
      </c>
      <c r="K3028" s="3" t="s">
        <v>25</v>
      </c>
      <c r="L3028" s="3">
        <v>29.71</v>
      </c>
      <c r="M3028" s="3" t="s">
        <v>1695</v>
      </c>
      <c r="N3028" s="3" t="s">
        <v>1696</v>
      </c>
      <c r="O3028" s="3">
        <v>1.98685040879E11</v>
      </c>
    </row>
    <row r="3029">
      <c r="A3029" s="3">
        <v>2630029.0</v>
      </c>
      <c r="B3029" s="3" t="s">
        <v>6147</v>
      </c>
      <c r="C3029" s="3" t="b">
        <v>0</v>
      </c>
      <c r="D3029" s="3" t="b">
        <v>1</v>
      </c>
      <c r="E3029" s="3" t="s">
        <v>6148</v>
      </c>
      <c r="F3029" s="3" t="s">
        <v>6149</v>
      </c>
      <c r="G3029" s="4">
        <f>+251947047522</f>
        <v>251947047522</v>
      </c>
      <c r="H3029" s="3" t="s">
        <v>18</v>
      </c>
      <c r="I3029" s="3" t="s">
        <v>19</v>
      </c>
      <c r="J3029" s="3" t="s">
        <v>19</v>
      </c>
      <c r="K3029" s="3" t="s">
        <v>25</v>
      </c>
      <c r="L3029" s="3">
        <v>29.44</v>
      </c>
      <c r="M3029" s="3" t="s">
        <v>1695</v>
      </c>
      <c r="N3029" s="3" t="s">
        <v>1696</v>
      </c>
      <c r="O3029" s="3">
        <v>1.98687973563E11</v>
      </c>
    </row>
    <row r="3030">
      <c r="A3030" s="3">
        <v>2630025.0</v>
      </c>
      <c r="B3030" s="3" t="s">
        <v>6150</v>
      </c>
      <c r="C3030" s="3" t="b">
        <v>0</v>
      </c>
      <c r="D3030" s="3" t="b">
        <v>1</v>
      </c>
      <c r="E3030" s="3" t="s">
        <v>1778</v>
      </c>
      <c r="F3030" s="3" t="s">
        <v>795</v>
      </c>
      <c r="G3030" s="4">
        <f>+251926712672</f>
        <v>251926712672</v>
      </c>
      <c r="H3030" s="3" t="s">
        <v>18</v>
      </c>
      <c r="I3030" s="3" t="s">
        <v>19</v>
      </c>
      <c r="J3030" s="3" t="s">
        <v>19</v>
      </c>
      <c r="K3030" s="3" t="s">
        <v>25</v>
      </c>
      <c r="L3030" s="3">
        <v>26.86</v>
      </c>
      <c r="M3030" s="3" t="s">
        <v>1695</v>
      </c>
      <c r="N3030" s="3" t="s">
        <v>1696</v>
      </c>
      <c r="O3030" s="3">
        <v>4.6767581421E10</v>
      </c>
    </row>
    <row r="3031">
      <c r="A3031" s="3">
        <v>2630032.0</v>
      </c>
      <c r="B3031" s="3" t="s">
        <v>6151</v>
      </c>
      <c r="C3031" s="3" t="b">
        <v>0</v>
      </c>
      <c r="D3031" s="3" t="b">
        <v>1</v>
      </c>
      <c r="E3031" s="3" t="s">
        <v>744</v>
      </c>
      <c r="F3031" s="3" t="s">
        <v>798</v>
      </c>
      <c r="G3031" s="4">
        <f>+251923219026</f>
        <v>251923219026</v>
      </c>
      <c r="H3031" s="3" t="s">
        <v>18</v>
      </c>
      <c r="I3031" s="3" t="s">
        <v>19</v>
      </c>
      <c r="J3031" s="3" t="s">
        <v>19</v>
      </c>
      <c r="K3031" s="3" t="s">
        <v>25</v>
      </c>
      <c r="L3031" s="3">
        <v>27.0</v>
      </c>
      <c r="M3031" s="3" t="s">
        <v>1695</v>
      </c>
      <c r="N3031" s="3" t="s">
        <v>1696</v>
      </c>
      <c r="O3031" s="3">
        <v>1.98687335652E11</v>
      </c>
    </row>
    <row r="3032">
      <c r="A3032" s="3">
        <v>2630034.0</v>
      </c>
      <c r="B3032" s="3" t="s">
        <v>6152</v>
      </c>
      <c r="C3032" s="3" t="b">
        <v>0</v>
      </c>
      <c r="D3032" s="3" t="b">
        <v>1</v>
      </c>
      <c r="E3032" s="3" t="s">
        <v>420</v>
      </c>
      <c r="F3032" s="3" t="s">
        <v>6095</v>
      </c>
      <c r="G3032" s="4">
        <f>+251910417675</f>
        <v>251910417675</v>
      </c>
      <c r="H3032" s="3" t="s">
        <v>18</v>
      </c>
      <c r="I3032" s="3" t="s">
        <v>19</v>
      </c>
      <c r="J3032" s="3" t="s">
        <v>19</v>
      </c>
      <c r="K3032" s="3" t="s">
        <v>25</v>
      </c>
      <c r="L3032" s="3">
        <v>27.19</v>
      </c>
      <c r="M3032" s="3" t="s">
        <v>1695</v>
      </c>
      <c r="N3032" s="3" t="s">
        <v>1696</v>
      </c>
      <c r="O3032" s="3">
        <v>1.98740828401E11</v>
      </c>
    </row>
    <row r="3033">
      <c r="A3033" s="3">
        <v>2630038.0</v>
      </c>
      <c r="B3033" s="3" t="s">
        <v>6153</v>
      </c>
      <c r="C3033" s="3" t="b">
        <v>0</v>
      </c>
      <c r="D3033" s="3" t="b">
        <v>1</v>
      </c>
      <c r="E3033" s="3" t="s">
        <v>846</v>
      </c>
      <c r="F3033" s="3" t="s">
        <v>1804</v>
      </c>
      <c r="G3033" s="4">
        <f>+251909415967</f>
        <v>251909415967</v>
      </c>
      <c r="H3033" s="3" t="s">
        <v>18</v>
      </c>
      <c r="I3033" s="3" t="s">
        <v>19</v>
      </c>
      <c r="J3033" s="3" t="s">
        <v>19</v>
      </c>
      <c r="K3033" s="3" t="s">
        <v>25</v>
      </c>
      <c r="L3033" s="3">
        <v>28.74</v>
      </c>
      <c r="M3033" s="3" t="s">
        <v>1695</v>
      </c>
      <c r="N3033" s="3" t="s">
        <v>1696</v>
      </c>
      <c r="O3033" s="3">
        <v>1.98688841925E11</v>
      </c>
    </row>
    <row r="3034">
      <c r="A3034" s="3">
        <v>2630042.0</v>
      </c>
      <c r="B3034" s="3" t="s">
        <v>6154</v>
      </c>
      <c r="C3034" s="3" t="b">
        <v>0</v>
      </c>
      <c r="D3034" s="3" t="b">
        <v>1</v>
      </c>
      <c r="E3034" s="3" t="s">
        <v>664</v>
      </c>
      <c r="F3034" s="3" t="s">
        <v>1000</v>
      </c>
      <c r="G3034" s="4">
        <f>+251930624424</f>
        <v>251930624424</v>
      </c>
      <c r="H3034" s="3" t="s">
        <v>18</v>
      </c>
      <c r="I3034" s="3" t="s">
        <v>19</v>
      </c>
      <c r="J3034" s="3" t="s">
        <v>19</v>
      </c>
      <c r="K3034" s="3" t="s">
        <v>25</v>
      </c>
      <c r="L3034" s="3">
        <v>29.55</v>
      </c>
      <c r="M3034" s="3" t="s">
        <v>1695</v>
      </c>
      <c r="N3034" s="3" t="s">
        <v>1696</v>
      </c>
      <c r="O3034" s="3">
        <v>1.98688133361E11</v>
      </c>
    </row>
    <row r="3035">
      <c r="A3035" s="3">
        <v>2630053.0</v>
      </c>
      <c r="B3035" s="3" t="s">
        <v>6155</v>
      </c>
      <c r="C3035" s="3" t="b">
        <v>0</v>
      </c>
      <c r="D3035" s="3" t="b">
        <v>1</v>
      </c>
      <c r="E3035" s="3" t="s">
        <v>40</v>
      </c>
      <c r="F3035" s="3" t="s">
        <v>6156</v>
      </c>
      <c r="G3035" s="4">
        <f>+251934511457</f>
        <v>251934511457</v>
      </c>
      <c r="H3035" s="3" t="s">
        <v>18</v>
      </c>
      <c r="I3035" s="3" t="s">
        <v>19</v>
      </c>
      <c r="J3035" s="3" t="s">
        <v>19</v>
      </c>
      <c r="K3035" s="3" t="s">
        <v>25</v>
      </c>
      <c r="L3035" s="3">
        <v>30.82</v>
      </c>
      <c r="M3035" s="3" t="s">
        <v>1695</v>
      </c>
      <c r="N3035" s="3" t="s">
        <v>1696</v>
      </c>
      <c r="O3035" s="3">
        <v>1.98688965835E11</v>
      </c>
    </row>
    <row r="3036">
      <c r="A3036" s="3">
        <v>2630057.0</v>
      </c>
      <c r="B3036" s="3" t="s">
        <v>6157</v>
      </c>
      <c r="C3036" s="3" t="b">
        <v>0</v>
      </c>
      <c r="D3036" s="3" t="b">
        <v>1</v>
      </c>
      <c r="E3036" s="3" t="s">
        <v>6158</v>
      </c>
      <c r="F3036" s="3" t="s">
        <v>1226</v>
      </c>
      <c r="G3036" s="4">
        <f>+251948512695</f>
        <v>251948512695</v>
      </c>
      <c r="H3036" s="3" t="s">
        <v>18</v>
      </c>
      <c r="I3036" s="3" t="s">
        <v>19</v>
      </c>
      <c r="J3036" s="3" t="s">
        <v>19</v>
      </c>
      <c r="K3036" s="3" t="s">
        <v>25</v>
      </c>
      <c r="L3036" s="3">
        <v>24.0</v>
      </c>
      <c r="M3036" s="3" t="s">
        <v>1695</v>
      </c>
      <c r="N3036" s="3" t="s">
        <v>1696</v>
      </c>
      <c r="O3036" s="3">
        <v>1.98693565643E11</v>
      </c>
    </row>
    <row r="3037">
      <c r="A3037" s="3">
        <v>2630058.0</v>
      </c>
      <c r="B3037" s="3" t="s">
        <v>6159</v>
      </c>
      <c r="C3037" s="3" t="b">
        <v>0</v>
      </c>
      <c r="D3037" s="3" t="b">
        <v>1</v>
      </c>
      <c r="E3037" s="3" t="s">
        <v>2677</v>
      </c>
      <c r="F3037" s="3" t="s">
        <v>6160</v>
      </c>
      <c r="G3037" s="4">
        <f>+251935898623</f>
        <v>251935898623</v>
      </c>
      <c r="H3037" s="3" t="s">
        <v>18</v>
      </c>
      <c r="I3037" s="3" t="s">
        <v>19</v>
      </c>
      <c r="J3037" s="3" t="s">
        <v>19</v>
      </c>
      <c r="K3037" s="3" t="s">
        <v>25</v>
      </c>
      <c r="L3037" s="3">
        <v>25.01</v>
      </c>
      <c r="M3037" s="3" t="s">
        <v>1695</v>
      </c>
      <c r="N3037" s="3" t="s">
        <v>1696</v>
      </c>
      <c r="O3037" s="3">
        <v>1.98693605616E11</v>
      </c>
    </row>
    <row r="3038">
      <c r="A3038" s="3">
        <v>2630067.0</v>
      </c>
      <c r="B3038" s="3" t="s">
        <v>6161</v>
      </c>
      <c r="C3038" s="3" t="b">
        <v>0</v>
      </c>
      <c r="D3038" s="3" t="b">
        <v>1</v>
      </c>
      <c r="E3038" s="3" t="s">
        <v>5473</v>
      </c>
      <c r="F3038" s="3" t="s">
        <v>4051</v>
      </c>
      <c r="G3038" s="4">
        <f>+251969025533</f>
        <v>251969025533</v>
      </c>
      <c r="H3038" s="3" t="s">
        <v>18</v>
      </c>
      <c r="I3038" s="3" t="s">
        <v>19</v>
      </c>
      <c r="J3038" s="3" t="s">
        <v>19</v>
      </c>
      <c r="K3038" s="3" t="s">
        <v>20</v>
      </c>
      <c r="L3038" s="3">
        <v>30.21</v>
      </c>
      <c r="M3038" s="3" t="s">
        <v>1695</v>
      </c>
      <c r="N3038" s="3" t="s">
        <v>1696</v>
      </c>
      <c r="O3038" s="3">
        <v>1.98739026123E11</v>
      </c>
    </row>
    <row r="3039">
      <c r="A3039" s="3">
        <v>2630079.0</v>
      </c>
      <c r="B3039" s="3" t="s">
        <v>6162</v>
      </c>
      <c r="C3039" s="3" t="b">
        <v>0</v>
      </c>
      <c r="D3039" s="3" t="b">
        <v>1</v>
      </c>
      <c r="E3039" s="3" t="s">
        <v>178</v>
      </c>
      <c r="F3039" s="3" t="s">
        <v>5872</v>
      </c>
      <c r="G3039" s="4">
        <f>+251936363304</f>
        <v>251936363304</v>
      </c>
      <c r="H3039" s="3" t="s">
        <v>18</v>
      </c>
      <c r="I3039" s="3" t="s">
        <v>19</v>
      </c>
      <c r="J3039" s="3" t="s">
        <v>19</v>
      </c>
      <c r="K3039" s="3" t="s">
        <v>25</v>
      </c>
      <c r="L3039" s="3">
        <v>26.2</v>
      </c>
      <c r="M3039" s="3" t="s">
        <v>1695</v>
      </c>
      <c r="N3039" s="3" t="s">
        <v>1696</v>
      </c>
      <c r="O3039" s="3">
        <v>1.98689154275E11</v>
      </c>
    </row>
    <row r="3040">
      <c r="A3040" s="3">
        <v>2630097.0</v>
      </c>
      <c r="B3040" s="3" t="s">
        <v>6163</v>
      </c>
      <c r="C3040" s="3" t="b">
        <v>0</v>
      </c>
      <c r="D3040" s="3" t="b">
        <v>1</v>
      </c>
      <c r="E3040" s="3" t="s">
        <v>4656</v>
      </c>
      <c r="F3040" s="3" t="s">
        <v>946</v>
      </c>
      <c r="G3040" s="4">
        <f>+251955558460</f>
        <v>251955558460</v>
      </c>
      <c r="H3040" s="3" t="s">
        <v>18</v>
      </c>
      <c r="I3040" s="3" t="s">
        <v>19</v>
      </c>
      <c r="J3040" s="3" t="s">
        <v>19</v>
      </c>
      <c r="K3040" s="3" t="s">
        <v>20</v>
      </c>
      <c r="L3040" s="3">
        <v>24.05</v>
      </c>
      <c r="M3040" s="3" t="s">
        <v>1695</v>
      </c>
      <c r="N3040" s="3" t="s">
        <v>1696</v>
      </c>
      <c r="O3040" s="3">
        <v>1.98689273061E11</v>
      </c>
    </row>
    <row r="3041">
      <c r="A3041" s="3">
        <v>2630111.0</v>
      </c>
      <c r="B3041" s="3" t="s">
        <v>6164</v>
      </c>
      <c r="C3041" s="3" t="b">
        <v>0</v>
      </c>
      <c r="D3041" s="3" t="b">
        <v>1</v>
      </c>
      <c r="E3041" s="3" t="s">
        <v>1954</v>
      </c>
      <c r="F3041" s="3" t="s">
        <v>412</v>
      </c>
      <c r="G3041" s="4">
        <f>+251918356851</f>
        <v>251918356851</v>
      </c>
      <c r="H3041" s="3" t="s">
        <v>18</v>
      </c>
      <c r="I3041" s="3" t="s">
        <v>19</v>
      </c>
      <c r="J3041" s="3" t="s">
        <v>19</v>
      </c>
      <c r="K3041" s="3" t="s">
        <v>25</v>
      </c>
      <c r="L3041" s="3">
        <v>26.18</v>
      </c>
      <c r="M3041" s="3" t="s">
        <v>1695</v>
      </c>
      <c r="N3041" s="3" t="s">
        <v>1696</v>
      </c>
      <c r="O3041" s="3">
        <v>1.9875492474E11</v>
      </c>
    </row>
    <row r="3042">
      <c r="A3042" s="3">
        <v>2630116.0</v>
      </c>
      <c r="B3042" s="3" t="s">
        <v>6165</v>
      </c>
      <c r="C3042" s="3" t="b">
        <v>0</v>
      </c>
      <c r="D3042" s="3" t="b">
        <v>1</v>
      </c>
      <c r="E3042" s="3" t="s">
        <v>6166</v>
      </c>
      <c r="F3042" s="3" t="s">
        <v>1708</v>
      </c>
      <c r="G3042" s="4">
        <f>+251952115050</f>
        <v>251952115050</v>
      </c>
      <c r="H3042" s="3" t="s">
        <v>18</v>
      </c>
      <c r="I3042" s="3" t="s">
        <v>19</v>
      </c>
      <c r="J3042" s="3" t="s">
        <v>19</v>
      </c>
      <c r="K3042" s="3" t="s">
        <v>20</v>
      </c>
      <c r="L3042" s="3">
        <v>21.36</v>
      </c>
      <c r="M3042" s="3" t="s">
        <v>1695</v>
      </c>
      <c r="N3042" s="3" t="s">
        <v>1696</v>
      </c>
      <c r="O3042" s="3">
        <v>1.98751171787E11</v>
      </c>
    </row>
    <row r="3043">
      <c r="A3043" s="3">
        <v>2629703.0</v>
      </c>
      <c r="B3043" s="3" t="s">
        <v>6167</v>
      </c>
      <c r="C3043" s="3" t="b">
        <v>0</v>
      </c>
      <c r="D3043" s="3" t="b">
        <v>1</v>
      </c>
      <c r="E3043" s="3" t="s">
        <v>6168</v>
      </c>
      <c r="F3043" s="3" t="s">
        <v>6169</v>
      </c>
      <c r="G3043" s="4">
        <f>+251932897391</f>
        <v>251932897391</v>
      </c>
      <c r="H3043" s="3" t="s">
        <v>18</v>
      </c>
      <c r="I3043" s="3" t="s">
        <v>19</v>
      </c>
      <c r="J3043" s="3" t="s">
        <v>19</v>
      </c>
      <c r="K3043" s="3" t="s">
        <v>25</v>
      </c>
      <c r="L3043" s="3">
        <v>36.26</v>
      </c>
      <c r="M3043" s="3" t="s">
        <v>1695</v>
      </c>
      <c r="N3043" s="3" t="s">
        <v>1696</v>
      </c>
      <c r="O3043" s="3">
        <v>1.98651879626E11</v>
      </c>
    </row>
    <row r="3044">
      <c r="A3044" s="3">
        <v>2630155.0</v>
      </c>
      <c r="B3044" s="3" t="s">
        <v>6170</v>
      </c>
      <c r="C3044" s="3" t="b">
        <v>0</v>
      </c>
      <c r="D3044" s="3" t="b">
        <v>1</v>
      </c>
      <c r="E3044" s="3" t="s">
        <v>689</v>
      </c>
      <c r="F3044" s="3" t="s">
        <v>6171</v>
      </c>
      <c r="G3044" s="4">
        <f>+251911147457</f>
        <v>251911147457</v>
      </c>
      <c r="H3044" s="3" t="s">
        <v>18</v>
      </c>
      <c r="I3044" s="3" t="s">
        <v>19</v>
      </c>
      <c r="J3044" s="3" t="s">
        <v>19</v>
      </c>
      <c r="K3044" s="3" t="s">
        <v>20</v>
      </c>
      <c r="L3044" s="3">
        <v>29.27</v>
      </c>
      <c r="M3044" s="3" t="s">
        <v>1695</v>
      </c>
      <c r="N3044" s="3" t="s">
        <v>1696</v>
      </c>
      <c r="O3044" s="3">
        <v>1.98697127131E11</v>
      </c>
    </row>
    <row r="3045">
      <c r="A3045" s="3">
        <v>2630169.0</v>
      </c>
      <c r="B3045" s="3" t="s">
        <v>6172</v>
      </c>
      <c r="C3045" s="3" t="b">
        <v>0</v>
      </c>
      <c r="D3045" s="3" t="b">
        <v>1</v>
      </c>
      <c r="E3045" s="3" t="s">
        <v>3245</v>
      </c>
      <c r="F3045" s="3" t="s">
        <v>4534</v>
      </c>
      <c r="G3045" s="4">
        <f>+251908281993</f>
        <v>251908281993</v>
      </c>
      <c r="H3045" s="3" t="s">
        <v>18</v>
      </c>
      <c r="I3045" s="3" t="s">
        <v>19</v>
      </c>
      <c r="J3045" s="3" t="s">
        <v>19</v>
      </c>
      <c r="K3045" s="3" t="s">
        <v>25</v>
      </c>
      <c r="L3045" s="3">
        <v>27.29</v>
      </c>
      <c r="M3045" s="3" t="s">
        <v>1695</v>
      </c>
      <c r="N3045" s="3" t="s">
        <v>1696</v>
      </c>
      <c r="O3045" s="3">
        <v>1.98702998743E11</v>
      </c>
    </row>
    <row r="3046">
      <c r="A3046" s="3">
        <v>2630189.0</v>
      </c>
      <c r="B3046" s="3" t="s">
        <v>6173</v>
      </c>
      <c r="C3046" s="3" t="b">
        <v>1</v>
      </c>
      <c r="D3046" s="3" t="b">
        <v>1</v>
      </c>
      <c r="E3046" s="3" t="s">
        <v>3280</v>
      </c>
      <c r="F3046" s="3" t="s">
        <v>135</v>
      </c>
      <c r="G3046" s="4">
        <f>+251963168579</f>
        <v>251963168579</v>
      </c>
      <c r="H3046" s="3" t="s">
        <v>18</v>
      </c>
      <c r="I3046" s="3" t="s">
        <v>19</v>
      </c>
      <c r="J3046" s="3" t="s">
        <v>19</v>
      </c>
      <c r="K3046" s="3" t="s">
        <v>25</v>
      </c>
      <c r="L3046" s="3">
        <v>28.79</v>
      </c>
      <c r="M3046" s="3" t="s">
        <v>1695</v>
      </c>
      <c r="N3046" s="3" t="s">
        <v>1696</v>
      </c>
      <c r="O3046" s="3">
        <v>1.98705275086E11</v>
      </c>
    </row>
    <row r="3047">
      <c r="A3047" s="3">
        <v>2630196.0</v>
      </c>
      <c r="B3047" s="3" t="s">
        <v>6174</v>
      </c>
      <c r="C3047" s="3" t="b">
        <v>0</v>
      </c>
      <c r="D3047" s="3" t="b">
        <v>1</v>
      </c>
      <c r="E3047" s="3" t="s">
        <v>4531</v>
      </c>
      <c r="F3047" s="3" t="s">
        <v>1614</v>
      </c>
      <c r="G3047" s="4">
        <f>+251952831289</f>
        <v>251952831289</v>
      </c>
      <c r="H3047" s="3" t="s">
        <v>18</v>
      </c>
      <c r="I3047" s="3" t="s">
        <v>19</v>
      </c>
      <c r="J3047" s="3" t="s">
        <v>19</v>
      </c>
      <c r="K3047" s="3" t="s">
        <v>25</v>
      </c>
      <c r="L3047" s="3">
        <v>27.05</v>
      </c>
      <c r="M3047" s="3" t="s">
        <v>1695</v>
      </c>
      <c r="N3047" s="3" t="s">
        <v>1696</v>
      </c>
      <c r="O3047" s="3">
        <v>1.98705409232E11</v>
      </c>
    </row>
    <row r="3048">
      <c r="A3048" s="3">
        <v>2630209.0</v>
      </c>
      <c r="B3048" s="3" t="s">
        <v>6175</v>
      </c>
      <c r="C3048" s="3" t="b">
        <v>0</v>
      </c>
      <c r="D3048" s="3" t="b">
        <v>1</v>
      </c>
      <c r="E3048" s="3" t="s">
        <v>6176</v>
      </c>
      <c r="F3048" s="3" t="s">
        <v>826</v>
      </c>
      <c r="G3048" s="4">
        <f>+251937128422</f>
        <v>251937128422</v>
      </c>
      <c r="H3048" s="3" t="s">
        <v>18</v>
      </c>
      <c r="I3048" s="3" t="s">
        <v>19</v>
      </c>
      <c r="J3048" s="3" t="s">
        <v>19</v>
      </c>
      <c r="K3048" s="3" t="s">
        <v>20</v>
      </c>
      <c r="L3048" s="3">
        <v>24.0</v>
      </c>
      <c r="M3048" s="3" t="s">
        <v>1695</v>
      </c>
      <c r="N3048" s="3" t="s">
        <v>1696</v>
      </c>
      <c r="O3048" s="3">
        <v>1.98708331743E11</v>
      </c>
    </row>
    <row r="3049">
      <c r="A3049" s="3">
        <v>2630270.0</v>
      </c>
      <c r="B3049" s="3" t="s">
        <v>6177</v>
      </c>
      <c r="C3049" s="3" t="b">
        <v>0</v>
      </c>
      <c r="D3049" s="3" t="b">
        <v>1</v>
      </c>
      <c r="E3049" s="3" t="s">
        <v>6178</v>
      </c>
      <c r="F3049" s="3" t="s">
        <v>3100</v>
      </c>
      <c r="G3049" s="4">
        <f>+251901004188</f>
        <v>251901004188</v>
      </c>
      <c r="H3049" s="3" t="s">
        <v>18</v>
      </c>
      <c r="I3049" s="3" t="s">
        <v>19</v>
      </c>
      <c r="J3049" s="3" t="s">
        <v>19</v>
      </c>
      <c r="K3049" s="3" t="s">
        <v>20</v>
      </c>
      <c r="L3049" s="3">
        <v>24.0</v>
      </c>
      <c r="M3049" s="3" t="s">
        <v>1695</v>
      </c>
      <c r="N3049" s="3" t="s">
        <v>1696</v>
      </c>
      <c r="O3049" s="3">
        <v>1.98709694709E11</v>
      </c>
    </row>
    <row r="3050">
      <c r="A3050" s="3">
        <v>2630303.0</v>
      </c>
      <c r="B3050" s="3" t="s">
        <v>6179</v>
      </c>
      <c r="C3050" s="3" t="b">
        <v>0</v>
      </c>
      <c r="D3050" s="3" t="b">
        <v>1</v>
      </c>
      <c r="E3050" s="3" t="s">
        <v>134</v>
      </c>
      <c r="F3050" s="3" t="s">
        <v>6095</v>
      </c>
      <c r="G3050" s="4">
        <f>+251982711884</f>
        <v>251982711884</v>
      </c>
      <c r="H3050" s="3" t="s">
        <v>18</v>
      </c>
      <c r="I3050" s="3" t="s">
        <v>19</v>
      </c>
      <c r="J3050" s="3" t="s">
        <v>19</v>
      </c>
      <c r="K3050" s="3" t="s">
        <v>25</v>
      </c>
      <c r="L3050" s="3">
        <v>21.85</v>
      </c>
      <c r="M3050" s="3" t="s">
        <v>1695</v>
      </c>
      <c r="N3050" s="3" t="s">
        <v>1696</v>
      </c>
      <c r="O3050" s="3">
        <v>1.98782122185E11</v>
      </c>
    </row>
    <row r="3051">
      <c r="A3051" s="3">
        <v>2630315.0</v>
      </c>
      <c r="B3051" s="3" t="s">
        <v>6180</v>
      </c>
      <c r="C3051" s="3" t="b">
        <v>0</v>
      </c>
      <c r="D3051" s="3" t="b">
        <v>1</v>
      </c>
      <c r="E3051" s="3" t="s">
        <v>1005</v>
      </c>
      <c r="F3051" s="3" t="s">
        <v>298</v>
      </c>
      <c r="G3051" s="4">
        <f>+251906308724</f>
        <v>251906308724</v>
      </c>
      <c r="H3051" s="3" t="s">
        <v>18</v>
      </c>
      <c r="I3051" s="3" t="s">
        <v>19</v>
      </c>
      <c r="J3051" s="3" t="s">
        <v>19</v>
      </c>
      <c r="K3051" s="3" t="s">
        <v>25</v>
      </c>
      <c r="L3051" s="3">
        <v>27.85</v>
      </c>
      <c r="M3051" s="3" t="s">
        <v>1695</v>
      </c>
      <c r="N3051" s="3" t="s">
        <v>1696</v>
      </c>
      <c r="O3051" s="3">
        <v>1.98877868267E11</v>
      </c>
    </row>
    <row r="3052">
      <c r="A3052" s="3">
        <v>2630327.0</v>
      </c>
      <c r="B3052" s="3" t="s">
        <v>6181</v>
      </c>
      <c r="C3052" s="3" t="b">
        <v>0</v>
      </c>
      <c r="D3052" s="3" t="b">
        <v>1</v>
      </c>
      <c r="E3052" s="3" t="s">
        <v>356</v>
      </c>
      <c r="F3052" s="3" t="s">
        <v>6182</v>
      </c>
      <c r="G3052" s="4">
        <f>+251923052769</f>
        <v>251923052769</v>
      </c>
      <c r="H3052" s="3" t="s">
        <v>18</v>
      </c>
      <c r="I3052" s="3" t="s">
        <v>19</v>
      </c>
      <c r="J3052" s="3" t="s">
        <v>19</v>
      </c>
      <c r="K3052" s="3" t="s">
        <v>25</v>
      </c>
      <c r="L3052" s="3">
        <v>34.85</v>
      </c>
      <c r="M3052" s="3" t="s">
        <v>1695</v>
      </c>
      <c r="N3052" s="3" t="s">
        <v>1696</v>
      </c>
      <c r="O3052" s="3">
        <v>1.98721641671E11</v>
      </c>
    </row>
    <row r="3053">
      <c r="A3053" s="3">
        <v>2630328.0</v>
      </c>
      <c r="B3053" s="3" t="s">
        <v>6183</v>
      </c>
      <c r="C3053" s="3" t="b">
        <v>0</v>
      </c>
      <c r="D3053" s="3" t="b">
        <v>1</v>
      </c>
      <c r="E3053" s="3" t="s">
        <v>2399</v>
      </c>
      <c r="F3053" s="3" t="s">
        <v>1673</v>
      </c>
      <c r="G3053" s="4">
        <f>+251912361933</f>
        <v>251912361933</v>
      </c>
      <c r="H3053" s="3" t="s">
        <v>18</v>
      </c>
      <c r="I3053" s="3" t="s">
        <v>19</v>
      </c>
      <c r="J3053" s="3" t="s">
        <v>19</v>
      </c>
      <c r="K3053" s="3" t="s">
        <v>20</v>
      </c>
      <c r="L3053" s="3">
        <v>25.01</v>
      </c>
      <c r="M3053" s="3" t="s">
        <v>1695</v>
      </c>
      <c r="N3053" s="3" t="s">
        <v>1696</v>
      </c>
      <c r="O3053" s="3">
        <v>1.9872166013E11</v>
      </c>
    </row>
    <row r="3054">
      <c r="A3054" s="3">
        <v>2630369.0</v>
      </c>
      <c r="B3054" s="3" t="s">
        <v>6184</v>
      </c>
      <c r="C3054" s="3" t="b">
        <v>0</v>
      </c>
      <c r="D3054" s="3" t="b">
        <v>1</v>
      </c>
      <c r="E3054" s="3" t="s">
        <v>1005</v>
      </c>
      <c r="F3054" s="3" t="s">
        <v>3863</v>
      </c>
      <c r="G3054" s="4">
        <f>+251928064101</f>
        <v>251928064101</v>
      </c>
      <c r="H3054" s="3" t="s">
        <v>18</v>
      </c>
      <c r="I3054" s="3" t="s">
        <v>19</v>
      </c>
      <c r="J3054" s="3" t="s">
        <v>19</v>
      </c>
      <c r="K3054" s="3" t="s">
        <v>25</v>
      </c>
      <c r="L3054" s="3">
        <v>28.14</v>
      </c>
      <c r="M3054" s="3" t="s">
        <v>1695</v>
      </c>
      <c r="N3054" s="3" t="s">
        <v>1696</v>
      </c>
      <c r="O3054" s="3">
        <v>1.98773443785E11</v>
      </c>
    </row>
    <row r="3055">
      <c r="A3055" s="3">
        <v>2630380.0</v>
      </c>
      <c r="B3055" s="3" t="s">
        <v>6185</v>
      </c>
      <c r="C3055" s="3" t="b">
        <v>0</v>
      </c>
      <c r="D3055" s="3" t="b">
        <v>1</v>
      </c>
      <c r="E3055" s="3" t="s">
        <v>6186</v>
      </c>
      <c r="F3055" s="3" t="s">
        <v>6187</v>
      </c>
      <c r="G3055" s="4">
        <f>+251912602290</f>
        <v>251912602290</v>
      </c>
      <c r="H3055" s="3" t="s">
        <v>18</v>
      </c>
      <c r="I3055" s="3" t="s">
        <v>19</v>
      </c>
      <c r="J3055" s="3" t="s">
        <v>19</v>
      </c>
      <c r="K3055" s="3" t="s">
        <v>25</v>
      </c>
      <c r="L3055" s="3">
        <v>23.26</v>
      </c>
      <c r="M3055" s="3" t="s">
        <v>1695</v>
      </c>
      <c r="N3055" s="3" t="s">
        <v>1696</v>
      </c>
      <c r="O3055" s="3">
        <v>1.98790434028E11</v>
      </c>
    </row>
    <row r="3056">
      <c r="A3056" s="3">
        <v>2630390.0</v>
      </c>
      <c r="B3056" s="3" t="s">
        <v>6188</v>
      </c>
      <c r="C3056" s="3" t="b">
        <v>0</v>
      </c>
      <c r="D3056" s="3" t="b">
        <v>1</v>
      </c>
      <c r="E3056" s="3" t="s">
        <v>3245</v>
      </c>
      <c r="F3056" s="3" t="s">
        <v>798</v>
      </c>
      <c r="G3056" s="4">
        <f>+251917096205</f>
        <v>251917096205</v>
      </c>
      <c r="H3056" s="3" t="s">
        <v>18</v>
      </c>
      <c r="I3056" s="3" t="s">
        <v>19</v>
      </c>
      <c r="J3056" s="3" t="s">
        <v>19</v>
      </c>
      <c r="K3056" s="3" t="s">
        <v>25</v>
      </c>
      <c r="L3056" s="3">
        <v>30.15</v>
      </c>
      <c r="M3056" s="3" t="s">
        <v>1695</v>
      </c>
      <c r="N3056" s="3" t="s">
        <v>1696</v>
      </c>
      <c r="O3056" s="3">
        <v>1.98783484138E11</v>
      </c>
    </row>
    <row r="3057">
      <c r="A3057" s="3">
        <v>2630391.0</v>
      </c>
      <c r="B3057" s="3" t="s">
        <v>6189</v>
      </c>
      <c r="C3057" s="3" t="b">
        <v>1</v>
      </c>
      <c r="D3057" s="3" t="b">
        <v>1</v>
      </c>
      <c r="E3057" s="3" t="s">
        <v>6190</v>
      </c>
      <c r="F3057" s="3" t="s">
        <v>6191</v>
      </c>
      <c r="G3057" s="4">
        <f>+251935625249</f>
        <v>251935625249</v>
      </c>
      <c r="H3057" s="3" t="s">
        <v>18</v>
      </c>
      <c r="I3057" s="3" t="s">
        <v>19</v>
      </c>
      <c r="J3057" s="3" t="s">
        <v>19</v>
      </c>
      <c r="K3057" s="3" t="s">
        <v>20</v>
      </c>
      <c r="L3057" s="3">
        <v>26.74</v>
      </c>
      <c r="M3057" s="3" t="s">
        <v>1695</v>
      </c>
      <c r="N3057" s="3" t="s">
        <v>1696</v>
      </c>
      <c r="O3057" s="3">
        <v>1.98783519971E11</v>
      </c>
    </row>
    <row r="3058">
      <c r="A3058" s="3">
        <v>2630449.0</v>
      </c>
      <c r="B3058" s="3" t="s">
        <v>6192</v>
      </c>
      <c r="C3058" s="3" t="b">
        <v>0</v>
      </c>
      <c r="D3058" s="3" t="b">
        <v>1</v>
      </c>
      <c r="E3058" s="3" t="s">
        <v>1269</v>
      </c>
      <c r="F3058" s="3" t="s">
        <v>2724</v>
      </c>
      <c r="G3058" s="4">
        <f>+25109878654321</f>
        <v>25109878654321</v>
      </c>
      <c r="H3058" s="3" t="s">
        <v>18</v>
      </c>
      <c r="I3058" s="3" t="s">
        <v>19</v>
      </c>
      <c r="J3058" s="3" t="s">
        <v>19</v>
      </c>
      <c r="K3058" s="3" t="s">
        <v>25</v>
      </c>
      <c r="L3058" s="3">
        <v>25.01</v>
      </c>
      <c r="M3058" s="3" t="s">
        <v>1695</v>
      </c>
      <c r="N3058" s="3" t="s">
        <v>1696</v>
      </c>
      <c r="O3058" s="3">
        <v>1.98795330782E11</v>
      </c>
    </row>
    <row r="3059">
      <c r="A3059" s="3">
        <v>2630460.0</v>
      </c>
      <c r="B3059" s="3" t="s">
        <v>6193</v>
      </c>
      <c r="C3059" s="3" t="b">
        <v>0</v>
      </c>
      <c r="D3059" s="3" t="b">
        <v>1</v>
      </c>
      <c r="E3059" s="3" t="s">
        <v>5225</v>
      </c>
      <c r="F3059" s="3" t="s">
        <v>3778</v>
      </c>
      <c r="G3059" s="4">
        <f>+251967542332</f>
        <v>251967542332</v>
      </c>
      <c r="H3059" s="3" t="s">
        <v>18</v>
      </c>
      <c r="I3059" s="3" t="s">
        <v>19</v>
      </c>
      <c r="J3059" s="3" t="s">
        <v>19</v>
      </c>
      <c r="K3059" s="3" t="s">
        <v>20</v>
      </c>
      <c r="L3059" s="3">
        <v>24.02</v>
      </c>
      <c r="M3059" s="3" t="s">
        <v>1695</v>
      </c>
      <c r="N3059" s="3" t="s">
        <v>1696</v>
      </c>
      <c r="O3059" s="3">
        <v>1.988892101E11</v>
      </c>
    </row>
    <row r="3060">
      <c r="A3060" s="3">
        <v>2630473.0</v>
      </c>
      <c r="B3060" s="3" t="s">
        <v>6194</v>
      </c>
      <c r="C3060" s="3" t="b">
        <v>0</v>
      </c>
      <c r="D3060" s="3" t="b">
        <v>1</v>
      </c>
      <c r="E3060" s="3" t="s">
        <v>111</v>
      </c>
      <c r="F3060" s="3" t="s">
        <v>2172</v>
      </c>
      <c r="G3060" s="4">
        <f>+251911114321</f>
        <v>251911114321</v>
      </c>
      <c r="H3060" s="3" t="s">
        <v>18</v>
      </c>
      <c r="I3060" s="3" t="s">
        <v>19</v>
      </c>
      <c r="J3060" s="3" t="s">
        <v>19</v>
      </c>
      <c r="K3060" s="3" t="s">
        <v>25</v>
      </c>
      <c r="L3060" s="3">
        <v>25.01</v>
      </c>
      <c r="M3060" s="3" t="s">
        <v>1695</v>
      </c>
      <c r="N3060" s="3" t="s">
        <v>1696</v>
      </c>
      <c r="O3060" s="3">
        <v>1.98876879037E11</v>
      </c>
    </row>
    <row r="3061">
      <c r="A3061" s="3">
        <v>2630488.0</v>
      </c>
      <c r="B3061" s="3" t="s">
        <v>6195</v>
      </c>
      <c r="C3061" s="3" t="b">
        <v>0</v>
      </c>
      <c r="D3061" s="3" t="b">
        <v>1</v>
      </c>
      <c r="E3061" s="3" t="s">
        <v>3505</v>
      </c>
      <c r="F3061" s="3" t="s">
        <v>221</v>
      </c>
      <c r="G3061" s="4">
        <f>+251955543212</f>
        <v>251955543212</v>
      </c>
      <c r="H3061" s="3" t="s">
        <v>18</v>
      </c>
      <c r="I3061" s="3" t="s">
        <v>19</v>
      </c>
      <c r="J3061" s="3" t="s">
        <v>19</v>
      </c>
      <c r="K3061" s="3" t="s">
        <v>25</v>
      </c>
      <c r="L3061" s="3">
        <v>25.01</v>
      </c>
      <c r="M3061" s="3" t="s">
        <v>1695</v>
      </c>
      <c r="N3061" s="3" t="s">
        <v>1696</v>
      </c>
      <c r="O3061" s="3">
        <v>1.98810546408E11</v>
      </c>
    </row>
    <row r="3062">
      <c r="A3062" s="3">
        <v>2630506.0</v>
      </c>
      <c r="B3062" s="3" t="s">
        <v>6196</v>
      </c>
      <c r="C3062" s="3" t="b">
        <v>0</v>
      </c>
      <c r="D3062" s="3" t="b">
        <v>1</v>
      </c>
      <c r="E3062" s="3" t="s">
        <v>66</v>
      </c>
      <c r="F3062" s="3" t="s">
        <v>4113</v>
      </c>
      <c r="G3062" s="4">
        <f>+25109567699765</f>
        <v>25109567699765</v>
      </c>
      <c r="H3062" s="3" t="s">
        <v>18</v>
      </c>
      <c r="I3062" s="3" t="s">
        <v>19</v>
      </c>
      <c r="J3062" s="3" t="s">
        <v>19</v>
      </c>
      <c r="K3062" s="3" t="s">
        <v>25</v>
      </c>
      <c r="L3062" s="3">
        <v>30.0</v>
      </c>
      <c r="M3062" s="3" t="s">
        <v>1695</v>
      </c>
      <c r="N3062" s="3" t="s">
        <v>1696</v>
      </c>
      <c r="O3062" s="3">
        <v>1.98908178659E11</v>
      </c>
    </row>
    <row r="3063">
      <c r="A3063" s="3">
        <v>2630537.0</v>
      </c>
      <c r="B3063" s="3" t="s">
        <v>6197</v>
      </c>
      <c r="C3063" s="3" t="b">
        <v>0</v>
      </c>
      <c r="D3063" s="3" t="b">
        <v>1</v>
      </c>
      <c r="E3063" s="3" t="s">
        <v>3686</v>
      </c>
      <c r="F3063" s="3" t="s">
        <v>1646</v>
      </c>
      <c r="G3063" s="4">
        <f>+251912330704</f>
        <v>251912330704</v>
      </c>
      <c r="H3063" s="3" t="s">
        <v>18</v>
      </c>
      <c r="I3063" s="3" t="s">
        <v>19</v>
      </c>
      <c r="J3063" s="3" t="s">
        <v>19</v>
      </c>
      <c r="K3063" s="3" t="s">
        <v>20</v>
      </c>
      <c r="L3063" s="3">
        <v>24.26</v>
      </c>
      <c r="M3063" s="3" t="s">
        <v>1695</v>
      </c>
      <c r="N3063" s="3" t="s">
        <v>1696</v>
      </c>
      <c r="O3063" s="3">
        <v>1.98912637151E11</v>
      </c>
    </row>
    <row r="3064">
      <c r="A3064" s="3">
        <v>2630539.0</v>
      </c>
      <c r="B3064" s="3" t="s">
        <v>6198</v>
      </c>
      <c r="C3064" s="3" t="b">
        <v>0</v>
      </c>
      <c r="D3064" s="3" t="b">
        <v>1</v>
      </c>
      <c r="E3064" s="3" t="s">
        <v>120</v>
      </c>
      <c r="F3064" s="3" t="s">
        <v>649</v>
      </c>
      <c r="G3064" s="4">
        <f>+251098765432</f>
        <v>251098765432</v>
      </c>
      <c r="H3064" s="3" t="s">
        <v>18</v>
      </c>
      <c r="I3064" s="3" t="s">
        <v>19</v>
      </c>
      <c r="J3064" s="3" t="s">
        <v>19</v>
      </c>
      <c r="K3064" s="3" t="s">
        <v>25</v>
      </c>
      <c r="L3064" s="3">
        <v>25.01</v>
      </c>
      <c r="M3064" s="3" t="s">
        <v>1695</v>
      </c>
      <c r="N3064" s="3" t="s">
        <v>1696</v>
      </c>
      <c r="O3064" s="3">
        <v>1.98959995118E11</v>
      </c>
    </row>
    <row r="3065">
      <c r="A3065" s="3">
        <v>2630550.0</v>
      </c>
      <c r="B3065" s="3" t="s">
        <v>6199</v>
      </c>
      <c r="C3065" s="3" t="b">
        <v>0</v>
      </c>
      <c r="D3065" s="3" t="b">
        <v>1</v>
      </c>
      <c r="E3065" s="3" t="s">
        <v>3774</v>
      </c>
      <c r="F3065" s="3" t="s">
        <v>918</v>
      </c>
      <c r="G3065" s="4">
        <f>+251936917720</f>
        <v>251936917720</v>
      </c>
      <c r="H3065" s="3" t="s">
        <v>18</v>
      </c>
      <c r="I3065" s="3" t="s">
        <v>19</v>
      </c>
      <c r="J3065" s="3" t="s">
        <v>19</v>
      </c>
      <c r="K3065" s="3" t="s">
        <v>25</v>
      </c>
      <c r="L3065" s="3">
        <v>26.0</v>
      </c>
      <c r="M3065" s="3" t="s">
        <v>1695</v>
      </c>
      <c r="N3065" s="3" t="s">
        <v>1696</v>
      </c>
      <c r="O3065" s="3">
        <v>1.9891003517E11</v>
      </c>
    </row>
    <row r="3066">
      <c r="A3066" s="3">
        <v>2630566.0</v>
      </c>
      <c r="B3066" s="3" t="s">
        <v>6200</v>
      </c>
      <c r="C3066" s="3" t="b">
        <v>0</v>
      </c>
      <c r="D3066" s="3" t="b">
        <v>1</v>
      </c>
      <c r="E3066" s="3" t="s">
        <v>208</v>
      </c>
      <c r="F3066" s="3" t="s">
        <v>6201</v>
      </c>
      <c r="G3066" s="4">
        <f>+251915505650</f>
        <v>251915505650</v>
      </c>
      <c r="H3066" s="3" t="s">
        <v>18</v>
      </c>
      <c r="I3066" s="3" t="s">
        <v>19</v>
      </c>
      <c r="J3066" s="3" t="s">
        <v>19</v>
      </c>
      <c r="K3066" s="3" t="s">
        <v>25</v>
      </c>
      <c r="L3066" s="3">
        <v>27.0</v>
      </c>
      <c r="M3066" s="3" t="s">
        <v>1695</v>
      </c>
      <c r="N3066" s="3" t="s">
        <v>1696</v>
      </c>
      <c r="O3066" s="3">
        <v>1.98922338553E11</v>
      </c>
    </row>
    <row r="3067">
      <c r="A3067" s="3">
        <v>2630571.0</v>
      </c>
      <c r="B3067" s="3" t="s">
        <v>6202</v>
      </c>
      <c r="C3067" s="3" t="b">
        <v>0</v>
      </c>
      <c r="D3067" s="3" t="b">
        <v>1</v>
      </c>
      <c r="E3067" s="3" t="s">
        <v>6203</v>
      </c>
      <c r="F3067" s="3" t="s">
        <v>115</v>
      </c>
      <c r="G3067" s="4">
        <f>+251954107700</f>
        <v>251954107700</v>
      </c>
      <c r="H3067" s="3" t="s">
        <v>18</v>
      </c>
      <c r="I3067" s="3" t="s">
        <v>19</v>
      </c>
      <c r="J3067" s="3" t="s">
        <v>19</v>
      </c>
      <c r="K3067" s="3" t="s">
        <v>25</v>
      </c>
      <c r="L3067" s="3">
        <v>26.0</v>
      </c>
      <c r="M3067" s="3" t="s">
        <v>1695</v>
      </c>
      <c r="N3067" s="3" t="s">
        <v>1696</v>
      </c>
      <c r="O3067" s="3">
        <v>1.98922496206E11</v>
      </c>
    </row>
    <row r="3068">
      <c r="A3068" s="3">
        <v>2630582.0</v>
      </c>
      <c r="B3068" s="3" t="s">
        <v>6204</v>
      </c>
      <c r="C3068" s="3" t="b">
        <v>0</v>
      </c>
      <c r="D3068" s="3" t="b">
        <v>1</v>
      </c>
      <c r="E3068" s="3" t="s">
        <v>6205</v>
      </c>
      <c r="F3068" s="3" t="s">
        <v>1066</v>
      </c>
      <c r="G3068" s="4">
        <f>+251970729204</f>
        <v>251970729204</v>
      </c>
      <c r="H3068" s="3" t="s">
        <v>18</v>
      </c>
      <c r="I3068" s="3" t="s">
        <v>19</v>
      </c>
      <c r="J3068" s="3" t="s">
        <v>19</v>
      </c>
      <c r="K3068" s="3" t="s">
        <v>25</v>
      </c>
      <c r="L3068" s="3">
        <v>27.0</v>
      </c>
      <c r="M3068" s="3" t="s">
        <v>1695</v>
      </c>
      <c r="N3068" s="3" t="s">
        <v>1696</v>
      </c>
      <c r="O3068" s="3">
        <v>1.98861049021E11</v>
      </c>
    </row>
    <row r="3069">
      <c r="A3069" s="3">
        <v>2446200.0</v>
      </c>
      <c r="B3069" s="3" t="s">
        <v>6206</v>
      </c>
      <c r="C3069" s="3" t="b">
        <v>1</v>
      </c>
      <c r="D3069" s="3" t="b">
        <v>1</v>
      </c>
      <c r="E3069" s="3" t="s">
        <v>1426</v>
      </c>
      <c r="F3069" s="3" t="s">
        <v>1157</v>
      </c>
      <c r="G3069" s="4">
        <f>+251979091880</f>
        <v>251979091880</v>
      </c>
      <c r="H3069" s="3" t="s">
        <v>18</v>
      </c>
      <c r="I3069" s="3" t="s">
        <v>19</v>
      </c>
      <c r="J3069" s="3" t="s">
        <v>19</v>
      </c>
      <c r="K3069" s="3" t="s">
        <v>25</v>
      </c>
      <c r="L3069" s="3">
        <v>21.54</v>
      </c>
      <c r="M3069" s="3" t="s">
        <v>1695</v>
      </c>
      <c r="N3069" s="3" t="s">
        <v>1696</v>
      </c>
    </row>
    <row r="3070">
      <c r="A3070" s="3">
        <v>2630598.0</v>
      </c>
      <c r="B3070" s="3" t="s">
        <v>6207</v>
      </c>
      <c r="C3070" s="3" t="b">
        <v>0</v>
      </c>
      <c r="D3070" s="3" t="b">
        <v>1</v>
      </c>
      <c r="E3070" s="3" t="s">
        <v>6208</v>
      </c>
      <c r="F3070" s="3" t="s">
        <v>1066</v>
      </c>
      <c r="G3070" s="4">
        <f>+251923891508</f>
        <v>251923891508</v>
      </c>
      <c r="H3070" s="3" t="s">
        <v>18</v>
      </c>
      <c r="I3070" s="3" t="s">
        <v>19</v>
      </c>
      <c r="J3070" s="3" t="s">
        <v>19</v>
      </c>
      <c r="K3070" s="3" t="s">
        <v>20</v>
      </c>
      <c r="L3070" s="3">
        <v>35.0</v>
      </c>
      <c r="M3070" s="3" t="s">
        <v>1695</v>
      </c>
      <c r="N3070" s="3" t="s">
        <v>1696</v>
      </c>
      <c r="O3070" s="3">
        <v>1.98837027012E11</v>
      </c>
    </row>
    <row r="3071">
      <c r="A3071" s="3">
        <v>2630648.0</v>
      </c>
      <c r="B3071" s="3" t="s">
        <v>6209</v>
      </c>
      <c r="C3071" s="3" t="b">
        <v>0</v>
      </c>
      <c r="D3071" s="3" t="b">
        <v>1</v>
      </c>
      <c r="E3071" s="3" t="s">
        <v>227</v>
      </c>
      <c r="F3071" s="3" t="s">
        <v>3429</v>
      </c>
      <c r="G3071" s="4">
        <f>+251945001656</f>
        <v>251945001656</v>
      </c>
      <c r="H3071" s="3" t="s">
        <v>18</v>
      </c>
      <c r="I3071" s="3" t="s">
        <v>19</v>
      </c>
      <c r="J3071" s="3" t="s">
        <v>19</v>
      </c>
      <c r="K3071" s="3" t="s">
        <v>25</v>
      </c>
      <c r="L3071" s="3">
        <v>30.26</v>
      </c>
      <c r="M3071" s="3" t="s">
        <v>1695</v>
      </c>
      <c r="N3071" s="3" t="s">
        <v>1696</v>
      </c>
      <c r="O3071" s="3">
        <v>1.98869158082E11</v>
      </c>
    </row>
    <row r="3072">
      <c r="A3072" s="3">
        <v>2630659.0</v>
      </c>
      <c r="B3072" s="3" t="s">
        <v>6210</v>
      </c>
      <c r="C3072" s="3" t="b">
        <v>0</v>
      </c>
      <c r="D3072" s="3" t="b">
        <v>1</v>
      </c>
      <c r="E3072" s="3" t="s">
        <v>1284</v>
      </c>
      <c r="F3072" s="3" t="s">
        <v>4878</v>
      </c>
      <c r="G3072" s="4">
        <f>+251926437399</f>
        <v>251926437399</v>
      </c>
      <c r="H3072" s="3" t="s">
        <v>18</v>
      </c>
      <c r="I3072" s="3" t="s">
        <v>19</v>
      </c>
      <c r="J3072" s="3" t="s">
        <v>19</v>
      </c>
      <c r="K3072" s="3" t="s">
        <v>25</v>
      </c>
      <c r="L3072" s="3">
        <v>26.0</v>
      </c>
      <c r="M3072" s="3" t="s">
        <v>1695</v>
      </c>
      <c r="N3072" s="3" t="s">
        <v>1696</v>
      </c>
      <c r="O3072" s="3">
        <v>1.98913087691E11</v>
      </c>
    </row>
    <row r="3073">
      <c r="A3073" s="3">
        <v>2629983.0</v>
      </c>
      <c r="B3073" s="3" t="s">
        <v>6211</v>
      </c>
      <c r="C3073" s="3" t="b">
        <v>1</v>
      </c>
      <c r="D3073" s="3" t="b">
        <v>1</v>
      </c>
      <c r="E3073" s="3" t="s">
        <v>760</v>
      </c>
      <c r="F3073" s="3" t="s">
        <v>559</v>
      </c>
      <c r="G3073" s="4">
        <f>+251923568242</f>
        <v>251923568242</v>
      </c>
      <c r="H3073" s="3" t="s">
        <v>18</v>
      </c>
      <c r="I3073" s="3" t="s">
        <v>19</v>
      </c>
      <c r="J3073" s="3" t="s">
        <v>19</v>
      </c>
      <c r="K3073" s="3" t="s">
        <v>20</v>
      </c>
      <c r="L3073" s="3">
        <v>30.59</v>
      </c>
      <c r="M3073" s="3" t="s">
        <v>1695</v>
      </c>
      <c r="N3073" s="3" t="s">
        <v>1696</v>
      </c>
      <c r="O3073" s="3">
        <v>3.9436083153E10</v>
      </c>
    </row>
    <row r="3074">
      <c r="A3074" s="3">
        <v>2630856.0</v>
      </c>
      <c r="B3074" s="3" t="s">
        <v>6212</v>
      </c>
      <c r="C3074" s="3" t="b">
        <v>0</v>
      </c>
      <c r="D3074" s="3" t="b">
        <v>1</v>
      </c>
      <c r="E3074" s="3" t="s">
        <v>6213</v>
      </c>
      <c r="F3074" s="3" t="s">
        <v>2875</v>
      </c>
      <c r="G3074" s="4">
        <f>+25109124323456</f>
        <v>25109124323456</v>
      </c>
      <c r="H3074" s="3" t="s">
        <v>18</v>
      </c>
      <c r="I3074" s="3" t="s">
        <v>19</v>
      </c>
      <c r="J3074" s="3" t="s">
        <v>19</v>
      </c>
      <c r="K3074" s="3" t="s">
        <v>20</v>
      </c>
      <c r="L3074" s="3">
        <v>27.0</v>
      </c>
      <c r="M3074" s="3" t="s">
        <v>1695</v>
      </c>
      <c r="N3074" s="3" t="s">
        <v>1696</v>
      </c>
      <c r="O3074" s="3">
        <v>1.99020554453E11</v>
      </c>
    </row>
    <row r="3075">
      <c r="A3075" s="3">
        <v>2630878.0</v>
      </c>
      <c r="B3075" s="3" t="s">
        <v>6214</v>
      </c>
      <c r="C3075" s="3" t="b">
        <v>0</v>
      </c>
      <c r="D3075" s="3" t="b">
        <v>1</v>
      </c>
      <c r="E3075" s="3" t="s">
        <v>4243</v>
      </c>
      <c r="F3075" s="3" t="s">
        <v>32</v>
      </c>
      <c r="G3075" s="4">
        <f>+251976544543</f>
        <v>251976544543</v>
      </c>
      <c r="H3075" s="3" t="s">
        <v>18</v>
      </c>
      <c r="I3075" s="3" t="s">
        <v>19</v>
      </c>
      <c r="J3075" s="3" t="s">
        <v>19</v>
      </c>
      <c r="K3075" s="3" t="s">
        <v>20</v>
      </c>
      <c r="L3075" s="3">
        <v>25.01</v>
      </c>
      <c r="M3075" s="3" t="s">
        <v>1695</v>
      </c>
      <c r="N3075" s="3" t="s">
        <v>1696</v>
      </c>
      <c r="O3075" s="3">
        <v>1.99025944822E11</v>
      </c>
    </row>
    <row r="3076">
      <c r="A3076" s="3">
        <v>2630949.0</v>
      </c>
      <c r="B3076" s="3" t="s">
        <v>6215</v>
      </c>
      <c r="C3076" s="3" t="b">
        <v>1</v>
      </c>
      <c r="D3076" s="3" t="b">
        <v>1</v>
      </c>
      <c r="E3076" s="3" t="s">
        <v>6216</v>
      </c>
      <c r="F3076" s="3" t="s">
        <v>6217</v>
      </c>
      <c r="G3076" s="4">
        <f>+251251934054185</f>
        <v>251251934054185</v>
      </c>
      <c r="H3076" s="3" t="s">
        <v>18</v>
      </c>
      <c r="I3076" s="3" t="s">
        <v>19</v>
      </c>
      <c r="J3076" s="3" t="s">
        <v>19</v>
      </c>
      <c r="K3076" s="3" t="s">
        <v>25</v>
      </c>
      <c r="L3076" s="3">
        <v>31.41</v>
      </c>
      <c r="M3076" s="3" t="s">
        <v>1695</v>
      </c>
      <c r="N3076" s="3" t="s">
        <v>1696</v>
      </c>
    </row>
    <row r="3077">
      <c r="A3077" s="3">
        <v>2631037.0</v>
      </c>
      <c r="B3077" s="3" t="s">
        <v>6218</v>
      </c>
      <c r="C3077" s="3" t="b">
        <v>1</v>
      </c>
      <c r="D3077" s="3" t="b">
        <v>1</v>
      </c>
      <c r="E3077" s="3" t="s">
        <v>6219</v>
      </c>
      <c r="F3077" s="3" t="s">
        <v>2158</v>
      </c>
      <c r="G3077" s="4">
        <f>+251900753026</f>
        <v>251900753026</v>
      </c>
      <c r="H3077" s="3" t="s">
        <v>289</v>
      </c>
      <c r="I3077" s="3" t="s">
        <v>19</v>
      </c>
      <c r="J3077" s="3" t="s">
        <v>19</v>
      </c>
      <c r="K3077" s="3" t="s">
        <v>25</v>
      </c>
      <c r="L3077" s="3">
        <v>20.47</v>
      </c>
      <c r="M3077" s="3" t="s">
        <v>1695</v>
      </c>
      <c r="N3077" s="3" t="s">
        <v>1696</v>
      </c>
      <c r="O3077" s="3">
        <v>1.99045237971E11</v>
      </c>
    </row>
    <row r="3078">
      <c r="A3078" s="3">
        <v>2631107.0</v>
      </c>
      <c r="B3078" s="3" t="s">
        <v>6220</v>
      </c>
      <c r="C3078" s="3" t="b">
        <v>0</v>
      </c>
      <c r="D3078" s="3" t="b">
        <v>1</v>
      </c>
      <c r="E3078" s="3" t="s">
        <v>676</v>
      </c>
      <c r="F3078" s="3" t="s">
        <v>46</v>
      </c>
      <c r="G3078" s="4">
        <f>+251973560160</f>
        <v>251973560160</v>
      </c>
      <c r="H3078" s="3" t="s">
        <v>18</v>
      </c>
      <c r="I3078" s="3" t="s">
        <v>19</v>
      </c>
      <c r="J3078" s="3" t="s">
        <v>19</v>
      </c>
      <c r="K3078" s="3" t="s">
        <v>25</v>
      </c>
      <c r="L3078" s="3">
        <v>22.22</v>
      </c>
      <c r="M3078" s="3" t="s">
        <v>1695</v>
      </c>
      <c r="N3078" s="3" t="s">
        <v>1696</v>
      </c>
      <c r="O3078" s="3">
        <v>1.99131996399E11</v>
      </c>
    </row>
    <row r="3079">
      <c r="A3079" s="3">
        <v>2631118.0</v>
      </c>
      <c r="B3079" s="3" t="s">
        <v>6221</v>
      </c>
      <c r="C3079" s="3" t="b">
        <v>0</v>
      </c>
      <c r="D3079" s="3" t="b">
        <v>1</v>
      </c>
      <c r="E3079" s="3" t="s">
        <v>6105</v>
      </c>
      <c r="F3079" s="3" t="s">
        <v>165</v>
      </c>
      <c r="G3079" s="4">
        <f>+251917602208</f>
        <v>251917602208</v>
      </c>
      <c r="H3079" s="3" t="s">
        <v>18</v>
      </c>
      <c r="I3079" s="3" t="s">
        <v>19</v>
      </c>
      <c r="J3079" s="3" t="s">
        <v>19</v>
      </c>
      <c r="K3079" s="3" t="s">
        <v>25</v>
      </c>
      <c r="L3079" s="3">
        <v>24.21</v>
      </c>
      <c r="M3079" s="3" t="s">
        <v>1695</v>
      </c>
      <c r="N3079" s="3" t="s">
        <v>1696</v>
      </c>
      <c r="O3079" s="3">
        <v>1.99052296435E11</v>
      </c>
    </row>
    <row r="3080">
      <c r="A3080" s="3">
        <v>2631152.0</v>
      </c>
      <c r="B3080" s="3" t="s">
        <v>6222</v>
      </c>
      <c r="C3080" s="3" t="b">
        <v>0</v>
      </c>
      <c r="D3080" s="3" t="b">
        <v>1</v>
      </c>
      <c r="E3080" s="3" t="s">
        <v>6223</v>
      </c>
      <c r="F3080" s="3" t="s">
        <v>6224</v>
      </c>
      <c r="G3080" s="4">
        <f>+251911780594</f>
        <v>251911780594</v>
      </c>
      <c r="H3080" s="3" t="s">
        <v>18</v>
      </c>
      <c r="I3080" s="3" t="s">
        <v>19</v>
      </c>
      <c r="J3080" s="3" t="s">
        <v>19</v>
      </c>
      <c r="K3080" s="3" t="s">
        <v>20</v>
      </c>
      <c r="L3080" s="3">
        <v>25.01</v>
      </c>
      <c r="M3080" s="3" t="s">
        <v>1695</v>
      </c>
      <c r="N3080" s="3" t="s">
        <v>1696</v>
      </c>
      <c r="O3080" s="3">
        <v>2.3078266E7</v>
      </c>
    </row>
    <row r="3081">
      <c r="A3081" s="3">
        <v>2631164.0</v>
      </c>
      <c r="B3081" s="3" t="s">
        <v>6225</v>
      </c>
      <c r="C3081" s="3" t="b">
        <v>0</v>
      </c>
      <c r="D3081" s="3" t="b">
        <v>1</v>
      </c>
      <c r="E3081" s="3" t="s">
        <v>6226</v>
      </c>
      <c r="F3081" s="3" t="s">
        <v>2062</v>
      </c>
      <c r="G3081" s="4">
        <f>+251912445531</f>
        <v>251912445531</v>
      </c>
      <c r="H3081" s="3" t="s">
        <v>18</v>
      </c>
      <c r="I3081" s="3" t="s">
        <v>19</v>
      </c>
      <c r="J3081" s="3" t="s">
        <v>19</v>
      </c>
      <c r="K3081" s="3" t="s">
        <v>20</v>
      </c>
      <c r="L3081" s="3">
        <v>25.01</v>
      </c>
      <c r="M3081" s="3" t="s">
        <v>1695</v>
      </c>
      <c r="N3081" s="3" t="s">
        <v>1696</v>
      </c>
      <c r="O3081" s="3">
        <v>1.99138093254E11</v>
      </c>
    </row>
    <row r="3082">
      <c r="A3082" s="3">
        <v>2631174.0</v>
      </c>
      <c r="B3082" s="3" t="s">
        <v>6227</v>
      </c>
      <c r="C3082" s="3" t="b">
        <v>0</v>
      </c>
      <c r="D3082" s="3" t="b">
        <v>1</v>
      </c>
      <c r="E3082" s="3" t="s">
        <v>85</v>
      </c>
      <c r="F3082" s="3" t="s">
        <v>6224</v>
      </c>
      <c r="G3082" s="4">
        <f>+251987124031</f>
        <v>251987124031</v>
      </c>
      <c r="H3082" s="3" t="s">
        <v>18</v>
      </c>
      <c r="I3082" s="3" t="s">
        <v>19</v>
      </c>
      <c r="J3082" s="3" t="s">
        <v>19</v>
      </c>
      <c r="K3082" s="3" t="s">
        <v>25</v>
      </c>
      <c r="L3082" s="3">
        <v>25.01</v>
      </c>
      <c r="M3082" s="3" t="s">
        <v>1695</v>
      </c>
      <c r="N3082" s="3" t="s">
        <v>1696</v>
      </c>
      <c r="O3082" s="3">
        <v>1.99060356315E11</v>
      </c>
    </row>
    <row r="3083">
      <c r="A3083" s="3">
        <v>2631181.0</v>
      </c>
      <c r="B3083" s="3" t="s">
        <v>6228</v>
      </c>
      <c r="C3083" s="3" t="b">
        <v>0</v>
      </c>
      <c r="D3083" s="3" t="b">
        <v>1</v>
      </c>
      <c r="E3083" s="3" t="s">
        <v>6229</v>
      </c>
      <c r="F3083" s="3" t="s">
        <v>5873</v>
      </c>
      <c r="G3083" s="4">
        <f>+251928387861</f>
        <v>251928387861</v>
      </c>
      <c r="H3083" s="3" t="s">
        <v>18</v>
      </c>
      <c r="I3083" s="3" t="s">
        <v>19</v>
      </c>
      <c r="J3083" s="3" t="s">
        <v>19</v>
      </c>
      <c r="K3083" s="3" t="s">
        <v>25</v>
      </c>
      <c r="L3083" s="3">
        <v>27.0</v>
      </c>
      <c r="M3083" s="3" t="s">
        <v>1695</v>
      </c>
      <c r="N3083" s="3" t="s">
        <v>1696</v>
      </c>
      <c r="O3083" s="3">
        <v>1.99061326048E11</v>
      </c>
    </row>
    <row r="3084">
      <c r="A3084" s="3">
        <v>2631189.0</v>
      </c>
      <c r="B3084" s="3" t="s">
        <v>6230</v>
      </c>
      <c r="C3084" s="3" t="b">
        <v>0</v>
      </c>
      <c r="D3084" s="3" t="b">
        <v>1</v>
      </c>
      <c r="E3084" s="3" t="s">
        <v>6231</v>
      </c>
      <c r="F3084" s="3" t="s">
        <v>5708</v>
      </c>
      <c r="G3084" s="4">
        <f>+251908785048</f>
        <v>251908785048</v>
      </c>
      <c r="H3084" s="3" t="s">
        <v>18</v>
      </c>
      <c r="I3084" s="3" t="s">
        <v>19</v>
      </c>
      <c r="J3084" s="3" t="s">
        <v>19</v>
      </c>
      <c r="K3084" s="3" t="s">
        <v>20</v>
      </c>
      <c r="L3084" s="3">
        <v>26.0</v>
      </c>
      <c r="M3084" s="3" t="s">
        <v>1695</v>
      </c>
      <c r="N3084" s="3" t="s">
        <v>1696</v>
      </c>
      <c r="O3084" s="3">
        <v>1.99133597933E11</v>
      </c>
    </row>
    <row r="3085">
      <c r="A3085" s="3">
        <v>2631180.0</v>
      </c>
      <c r="B3085" s="3" t="s">
        <v>6232</v>
      </c>
      <c r="C3085" s="3" t="b">
        <v>1</v>
      </c>
      <c r="D3085" s="3" t="b">
        <v>1</v>
      </c>
      <c r="E3085" s="3" t="s">
        <v>46</v>
      </c>
      <c r="F3085" s="3" t="s">
        <v>6233</v>
      </c>
      <c r="G3085" s="4">
        <f>+251929010479</f>
        <v>251929010479</v>
      </c>
      <c r="H3085" s="3" t="s">
        <v>18</v>
      </c>
      <c r="I3085" s="3" t="s">
        <v>19</v>
      </c>
      <c r="J3085" s="3" t="s">
        <v>19</v>
      </c>
      <c r="K3085" s="3" t="s">
        <v>25</v>
      </c>
      <c r="L3085" s="3">
        <v>19.3</v>
      </c>
      <c r="M3085" s="3" t="s">
        <v>1695</v>
      </c>
      <c r="N3085" s="3" t="s">
        <v>1696</v>
      </c>
      <c r="O3085" s="3">
        <v>1.99061054681E11</v>
      </c>
    </row>
    <row r="3086">
      <c r="A3086" s="3">
        <v>2631200.0</v>
      </c>
      <c r="B3086" s="3" t="s">
        <v>6234</v>
      </c>
      <c r="C3086" s="3" t="b">
        <v>0</v>
      </c>
      <c r="D3086" s="3" t="b">
        <v>1</v>
      </c>
      <c r="E3086" s="3" t="s">
        <v>111</v>
      </c>
      <c r="F3086" s="3" t="s">
        <v>189</v>
      </c>
      <c r="G3086" s="4">
        <f>+251953592995</f>
        <v>251953592995</v>
      </c>
      <c r="H3086" s="3" t="s">
        <v>18</v>
      </c>
      <c r="I3086" s="3" t="s">
        <v>19</v>
      </c>
      <c r="J3086" s="3" t="s">
        <v>19</v>
      </c>
      <c r="K3086" s="3" t="s">
        <v>25</v>
      </c>
      <c r="L3086" s="3">
        <v>27.0</v>
      </c>
      <c r="M3086" s="3" t="s">
        <v>1695</v>
      </c>
      <c r="N3086" s="3" t="s">
        <v>1696</v>
      </c>
      <c r="O3086" s="3">
        <v>1.99129218238E11</v>
      </c>
    </row>
    <row r="3087">
      <c r="A3087" s="3">
        <v>2631220.0</v>
      </c>
      <c r="B3087" s="3" t="s">
        <v>6235</v>
      </c>
      <c r="C3087" s="3" t="b">
        <v>0</v>
      </c>
      <c r="D3087" s="3" t="b">
        <v>1</v>
      </c>
      <c r="E3087" s="3" t="s">
        <v>6236</v>
      </c>
      <c r="F3087" s="3" t="s">
        <v>4051</v>
      </c>
      <c r="G3087" s="4">
        <f>+251929481968</f>
        <v>251929481968</v>
      </c>
      <c r="H3087" s="3" t="s">
        <v>18</v>
      </c>
      <c r="I3087" s="3" t="s">
        <v>19</v>
      </c>
      <c r="J3087" s="3" t="s">
        <v>19</v>
      </c>
      <c r="K3087" s="3" t="s">
        <v>25</v>
      </c>
      <c r="L3087" s="3">
        <v>26.0</v>
      </c>
      <c r="M3087" s="3" t="s">
        <v>1695</v>
      </c>
      <c r="N3087" s="3" t="s">
        <v>1696</v>
      </c>
      <c r="O3087" s="3">
        <v>1.99112680688E11</v>
      </c>
    </row>
    <row r="3088">
      <c r="A3088" s="3">
        <v>2631231.0</v>
      </c>
      <c r="B3088" s="3" t="s">
        <v>6237</v>
      </c>
      <c r="C3088" s="3" t="b">
        <v>0</v>
      </c>
      <c r="D3088" s="3" t="b">
        <v>1</v>
      </c>
      <c r="E3088" s="3" t="s">
        <v>6238</v>
      </c>
      <c r="F3088" s="3" t="s">
        <v>309</v>
      </c>
      <c r="G3088" s="4">
        <f>+251935363730</f>
        <v>251935363730</v>
      </c>
      <c r="H3088" s="3" t="s">
        <v>18</v>
      </c>
      <c r="I3088" s="3" t="s">
        <v>19</v>
      </c>
      <c r="J3088" s="3" t="s">
        <v>19</v>
      </c>
      <c r="K3088" s="3" t="s">
        <v>25</v>
      </c>
      <c r="L3088" s="3">
        <v>25.01</v>
      </c>
      <c r="M3088" s="3" t="s">
        <v>1695</v>
      </c>
      <c r="N3088" s="3" t="s">
        <v>1696</v>
      </c>
      <c r="O3088" s="3">
        <v>1.99141597392E11</v>
      </c>
    </row>
    <row r="3089">
      <c r="A3089" s="3">
        <v>2631246.0</v>
      </c>
      <c r="B3089" s="3" t="s">
        <v>6239</v>
      </c>
      <c r="C3089" s="3" t="b">
        <v>0</v>
      </c>
      <c r="D3089" s="3" t="b">
        <v>1</v>
      </c>
      <c r="E3089" s="3" t="s">
        <v>195</v>
      </c>
      <c r="F3089" s="3" t="s">
        <v>6240</v>
      </c>
      <c r="G3089" s="4">
        <f>+251936422770</f>
        <v>251936422770</v>
      </c>
      <c r="H3089" s="3" t="s">
        <v>18</v>
      </c>
      <c r="I3089" s="3" t="s">
        <v>19</v>
      </c>
      <c r="J3089" s="3" t="s">
        <v>19</v>
      </c>
      <c r="K3089" s="3" t="s">
        <v>20</v>
      </c>
      <c r="L3089" s="3">
        <v>25.01</v>
      </c>
      <c r="M3089" s="3" t="s">
        <v>1695</v>
      </c>
      <c r="N3089" s="3" t="s">
        <v>1696</v>
      </c>
      <c r="O3089" s="3">
        <v>1.99063928049E11</v>
      </c>
    </row>
    <row r="3090">
      <c r="A3090" s="3">
        <v>2631258.0</v>
      </c>
      <c r="B3090" s="3" t="s">
        <v>6241</v>
      </c>
      <c r="C3090" s="3" t="b">
        <v>0</v>
      </c>
      <c r="D3090" s="3" t="b">
        <v>1</v>
      </c>
      <c r="E3090" s="3" t="s">
        <v>208</v>
      </c>
      <c r="F3090" s="3" t="s">
        <v>6242</v>
      </c>
      <c r="G3090" s="4">
        <f>+251931418513</f>
        <v>251931418513</v>
      </c>
      <c r="H3090" s="3" t="s">
        <v>18</v>
      </c>
      <c r="I3090" s="3" t="s">
        <v>19</v>
      </c>
      <c r="J3090" s="3" t="s">
        <v>19</v>
      </c>
      <c r="K3090" s="3" t="s">
        <v>25</v>
      </c>
      <c r="L3090" s="3">
        <v>26.0</v>
      </c>
      <c r="M3090" s="3" t="s">
        <v>1695</v>
      </c>
      <c r="N3090" s="3" t="s">
        <v>1696</v>
      </c>
      <c r="O3090" s="3">
        <v>6510350.0</v>
      </c>
    </row>
    <row r="3091">
      <c r="A3091" s="3">
        <v>2631269.0</v>
      </c>
      <c r="B3091" s="3" t="s">
        <v>6243</v>
      </c>
      <c r="C3091" s="3" t="b">
        <v>0</v>
      </c>
      <c r="D3091" s="3" t="b">
        <v>1</v>
      </c>
      <c r="E3091" s="3" t="s">
        <v>208</v>
      </c>
      <c r="F3091" s="3" t="s">
        <v>297</v>
      </c>
      <c r="G3091" s="4">
        <f>+251988886228</f>
        <v>251988886228</v>
      </c>
      <c r="H3091" s="3" t="s">
        <v>18</v>
      </c>
      <c r="I3091" s="3" t="s">
        <v>19</v>
      </c>
      <c r="J3091" s="3" t="s">
        <v>19</v>
      </c>
      <c r="K3091" s="3" t="s">
        <v>25</v>
      </c>
      <c r="L3091" s="3">
        <v>26.0</v>
      </c>
      <c r="M3091" s="3" t="s">
        <v>1695</v>
      </c>
      <c r="N3091" s="3" t="s">
        <v>1696</v>
      </c>
      <c r="O3091" s="3">
        <v>1.99067480282E11</v>
      </c>
    </row>
    <row r="3092">
      <c r="A3092" s="3">
        <v>2631292.0</v>
      </c>
      <c r="B3092" s="3" t="s">
        <v>6244</v>
      </c>
      <c r="C3092" s="3" t="b">
        <v>0</v>
      </c>
      <c r="D3092" s="3" t="b">
        <v>1</v>
      </c>
      <c r="E3092" s="3" t="s">
        <v>766</v>
      </c>
      <c r="F3092" s="3" t="s">
        <v>404</v>
      </c>
      <c r="G3092" s="4">
        <f>+251941245192</f>
        <v>251941245192</v>
      </c>
      <c r="H3092" s="3" t="s">
        <v>18</v>
      </c>
      <c r="I3092" s="3" t="s">
        <v>19</v>
      </c>
      <c r="J3092" s="3" t="s">
        <v>19</v>
      </c>
      <c r="K3092" s="3" t="s">
        <v>20</v>
      </c>
      <c r="L3092" s="3">
        <v>36.0</v>
      </c>
      <c r="M3092" s="3" t="s">
        <v>1695</v>
      </c>
      <c r="N3092" s="3" t="s">
        <v>1696</v>
      </c>
      <c r="O3092" s="3">
        <v>1.99065851089E11</v>
      </c>
    </row>
    <row r="3093">
      <c r="A3093" s="3">
        <v>2631303.0</v>
      </c>
      <c r="B3093" s="3" t="s">
        <v>6245</v>
      </c>
      <c r="C3093" s="3" t="b">
        <v>0</v>
      </c>
      <c r="D3093" s="3" t="b">
        <v>1</v>
      </c>
      <c r="E3093" s="3" t="s">
        <v>6246</v>
      </c>
      <c r="F3093" s="3" t="s">
        <v>1584</v>
      </c>
      <c r="G3093" s="4">
        <f>+251911902144</f>
        <v>251911902144</v>
      </c>
      <c r="H3093" s="3" t="s">
        <v>18</v>
      </c>
      <c r="I3093" s="3" t="s">
        <v>19</v>
      </c>
      <c r="J3093" s="3" t="s">
        <v>19</v>
      </c>
      <c r="K3093" s="3" t="s">
        <v>25</v>
      </c>
      <c r="L3093" s="3">
        <v>26.0</v>
      </c>
      <c r="M3093" s="3" t="s">
        <v>1695</v>
      </c>
      <c r="N3093" s="3" t="s">
        <v>1696</v>
      </c>
      <c r="O3093" s="3">
        <v>1.99069354211E11</v>
      </c>
    </row>
    <row r="3094">
      <c r="A3094" s="3">
        <v>2631315.0</v>
      </c>
      <c r="B3094" s="3" t="s">
        <v>6247</v>
      </c>
      <c r="C3094" s="3" t="b">
        <v>0</v>
      </c>
      <c r="D3094" s="3" t="b">
        <v>1</v>
      </c>
      <c r="E3094" s="3" t="s">
        <v>6248</v>
      </c>
      <c r="F3094" s="3" t="s">
        <v>404</v>
      </c>
      <c r="G3094" s="4">
        <f>+251921330036</f>
        <v>251921330036</v>
      </c>
      <c r="H3094" s="3" t="s">
        <v>18</v>
      </c>
      <c r="I3094" s="3" t="s">
        <v>19</v>
      </c>
      <c r="J3094" s="3" t="s">
        <v>19</v>
      </c>
      <c r="K3094" s="3" t="s">
        <v>25</v>
      </c>
      <c r="L3094" s="3">
        <v>26.0</v>
      </c>
      <c r="M3094" s="3" t="s">
        <v>1695</v>
      </c>
      <c r="N3094" s="3" t="s">
        <v>1696</v>
      </c>
      <c r="O3094" s="3">
        <v>1.99142676709E11</v>
      </c>
    </row>
    <row r="3095">
      <c r="A3095" s="3">
        <v>2631324.0</v>
      </c>
      <c r="B3095" s="3" t="s">
        <v>6249</v>
      </c>
      <c r="C3095" s="3" t="b">
        <v>0</v>
      </c>
      <c r="D3095" s="3" t="b">
        <v>1</v>
      </c>
      <c r="E3095" s="3" t="s">
        <v>766</v>
      </c>
      <c r="F3095" s="3" t="s">
        <v>4051</v>
      </c>
      <c r="G3095" s="4">
        <f>+251941966466</f>
        <v>251941966466</v>
      </c>
      <c r="H3095" s="3" t="s">
        <v>18</v>
      </c>
      <c r="I3095" s="3" t="s">
        <v>19</v>
      </c>
      <c r="J3095" s="3" t="s">
        <v>19</v>
      </c>
      <c r="K3095" s="3" t="s">
        <v>20</v>
      </c>
      <c r="L3095" s="3">
        <v>25.01</v>
      </c>
      <c r="M3095" s="3" t="s">
        <v>1695</v>
      </c>
      <c r="N3095" s="3" t="s">
        <v>1696</v>
      </c>
      <c r="O3095" s="3">
        <v>1.99072995564E11</v>
      </c>
    </row>
    <row r="3096">
      <c r="A3096" s="3">
        <v>2631331.0</v>
      </c>
      <c r="B3096" s="3" t="s">
        <v>6250</v>
      </c>
      <c r="C3096" s="3" t="b">
        <v>0</v>
      </c>
      <c r="D3096" s="3" t="b">
        <v>1</v>
      </c>
      <c r="E3096" s="3" t="s">
        <v>6251</v>
      </c>
      <c r="F3096" s="3" t="s">
        <v>6252</v>
      </c>
      <c r="G3096" s="4">
        <f>+251942544983</f>
        <v>251942544983</v>
      </c>
      <c r="H3096" s="3" t="s">
        <v>18</v>
      </c>
      <c r="I3096" s="3" t="s">
        <v>19</v>
      </c>
      <c r="J3096" s="3" t="s">
        <v>19</v>
      </c>
      <c r="K3096" s="3" t="s">
        <v>25</v>
      </c>
      <c r="L3096" s="3">
        <v>27.0</v>
      </c>
      <c r="M3096" s="3" t="s">
        <v>1695</v>
      </c>
      <c r="N3096" s="3" t="s">
        <v>1696</v>
      </c>
      <c r="O3096" s="3">
        <v>1.99142831324E11</v>
      </c>
    </row>
    <row r="3097">
      <c r="A3097" s="3">
        <v>2631346.0</v>
      </c>
      <c r="B3097" s="3" t="s">
        <v>6253</v>
      </c>
      <c r="C3097" s="3" t="b">
        <v>0</v>
      </c>
      <c r="D3097" s="3" t="b">
        <v>1</v>
      </c>
      <c r="E3097" s="3" t="s">
        <v>137</v>
      </c>
      <c r="F3097" s="3" t="s">
        <v>6254</v>
      </c>
      <c r="G3097" s="4">
        <f>+251983345448</f>
        <v>251983345448</v>
      </c>
      <c r="H3097" s="3" t="s">
        <v>18</v>
      </c>
      <c r="I3097" s="3" t="s">
        <v>19</v>
      </c>
      <c r="J3097" s="3" t="s">
        <v>19</v>
      </c>
      <c r="K3097" s="3" t="s">
        <v>25</v>
      </c>
      <c r="L3097" s="3">
        <v>27.0</v>
      </c>
      <c r="M3097" s="3" t="s">
        <v>1695</v>
      </c>
      <c r="N3097" s="3" t="s">
        <v>1696</v>
      </c>
      <c r="O3097" s="3">
        <v>1.99144506613E11</v>
      </c>
    </row>
    <row r="3098">
      <c r="A3098" s="3">
        <v>2631353.0</v>
      </c>
      <c r="B3098" s="3" t="s">
        <v>6255</v>
      </c>
      <c r="C3098" s="3" t="b">
        <v>1</v>
      </c>
      <c r="D3098" s="3" t="b">
        <v>1</v>
      </c>
      <c r="E3098" s="3" t="s">
        <v>766</v>
      </c>
      <c r="F3098" s="3" t="s">
        <v>6256</v>
      </c>
      <c r="G3098" s="4">
        <f>+251930525218</f>
        <v>251930525218</v>
      </c>
      <c r="H3098" s="3" t="s">
        <v>18</v>
      </c>
      <c r="I3098" s="3" t="s">
        <v>19</v>
      </c>
      <c r="J3098" s="3" t="s">
        <v>19</v>
      </c>
      <c r="K3098" s="3" t="s">
        <v>20</v>
      </c>
      <c r="L3098" s="3">
        <v>26.0</v>
      </c>
      <c r="M3098" s="3" t="s">
        <v>1695</v>
      </c>
      <c r="N3098" s="3" t="s">
        <v>1696</v>
      </c>
      <c r="O3098" s="3">
        <v>1.99148216563E11</v>
      </c>
    </row>
    <row r="3099">
      <c r="A3099" s="3">
        <v>2631370.0</v>
      </c>
      <c r="B3099" s="3" t="s">
        <v>6257</v>
      </c>
      <c r="C3099" s="3" t="b">
        <v>0</v>
      </c>
      <c r="D3099" s="3" t="b">
        <v>1</v>
      </c>
      <c r="E3099" s="3" t="s">
        <v>3540</v>
      </c>
      <c r="F3099" s="3" t="s">
        <v>2045</v>
      </c>
      <c r="G3099" s="4">
        <f>+251962001245</f>
        <v>251962001245</v>
      </c>
      <c r="H3099" s="3" t="s">
        <v>18</v>
      </c>
      <c r="I3099" s="3" t="s">
        <v>19</v>
      </c>
      <c r="J3099" s="3" t="s">
        <v>19</v>
      </c>
      <c r="K3099" s="3" t="s">
        <v>20</v>
      </c>
      <c r="L3099" s="3">
        <v>25.01</v>
      </c>
      <c r="M3099" s="3" t="s">
        <v>1695</v>
      </c>
      <c r="N3099" s="3" t="s">
        <v>1696</v>
      </c>
      <c r="O3099" s="3">
        <v>1.99075429615E11</v>
      </c>
    </row>
    <row r="3100">
      <c r="A3100" s="3">
        <v>2631380.0</v>
      </c>
      <c r="B3100" s="3" t="s">
        <v>6258</v>
      </c>
      <c r="C3100" s="3" t="b">
        <v>0</v>
      </c>
      <c r="D3100" s="3" t="b">
        <v>1</v>
      </c>
      <c r="E3100" s="3" t="s">
        <v>2537</v>
      </c>
      <c r="F3100" s="3" t="s">
        <v>6259</v>
      </c>
      <c r="G3100" s="4">
        <f>+251963540251</f>
        <v>251963540251</v>
      </c>
      <c r="H3100" s="3" t="s">
        <v>18</v>
      </c>
      <c r="I3100" s="3" t="s">
        <v>19</v>
      </c>
      <c r="J3100" s="3" t="s">
        <v>19</v>
      </c>
      <c r="K3100" s="3" t="s">
        <v>20</v>
      </c>
      <c r="L3100" s="3">
        <v>25.01</v>
      </c>
      <c r="M3100" s="3" t="s">
        <v>1695</v>
      </c>
      <c r="N3100" s="3" t="s">
        <v>1696</v>
      </c>
      <c r="O3100" s="3">
        <v>1.99152092366E11</v>
      </c>
    </row>
    <row r="3101">
      <c r="A3101" s="3">
        <v>2631388.0</v>
      </c>
      <c r="B3101" s="3" t="s">
        <v>6260</v>
      </c>
      <c r="C3101" s="3" t="b">
        <v>1</v>
      </c>
      <c r="D3101" s="3" t="b">
        <v>1</v>
      </c>
      <c r="E3101" s="3" t="s">
        <v>6229</v>
      </c>
      <c r="F3101" s="3" t="s">
        <v>3875</v>
      </c>
      <c r="G3101" s="4">
        <f>+251947374330</f>
        <v>251947374330</v>
      </c>
      <c r="H3101" s="3" t="s">
        <v>18</v>
      </c>
      <c r="I3101" s="3" t="s">
        <v>19</v>
      </c>
      <c r="J3101" s="3" t="s">
        <v>19</v>
      </c>
      <c r="K3101" s="3" t="s">
        <v>25</v>
      </c>
      <c r="L3101" s="3">
        <v>25.01</v>
      </c>
      <c r="M3101" s="3" t="s">
        <v>1695</v>
      </c>
      <c r="N3101" s="3" t="s">
        <v>1696</v>
      </c>
      <c r="O3101" s="3">
        <v>1.99150046402E11</v>
      </c>
    </row>
    <row r="3102">
      <c r="A3102" s="3">
        <v>2631400.0</v>
      </c>
      <c r="B3102" s="3" t="s">
        <v>6261</v>
      </c>
      <c r="C3102" s="3" t="b">
        <v>0</v>
      </c>
      <c r="D3102" s="3" t="b">
        <v>1</v>
      </c>
      <c r="E3102" s="3" t="s">
        <v>297</v>
      </c>
      <c r="F3102" s="3" t="s">
        <v>2355</v>
      </c>
      <c r="G3102" s="4">
        <f>+251945711385</f>
        <v>251945711385</v>
      </c>
      <c r="H3102" s="3" t="s">
        <v>18</v>
      </c>
      <c r="I3102" s="3" t="s">
        <v>19</v>
      </c>
      <c r="J3102" s="3" t="s">
        <v>19</v>
      </c>
      <c r="K3102" s="3" t="s">
        <v>25</v>
      </c>
      <c r="L3102" s="3">
        <v>26.0</v>
      </c>
      <c r="M3102" s="3" t="s">
        <v>1695</v>
      </c>
      <c r="N3102" s="3" t="s">
        <v>1696</v>
      </c>
      <c r="O3102" s="3">
        <v>1.99152461019E11</v>
      </c>
    </row>
    <row r="3103">
      <c r="A3103" s="3">
        <v>2631409.0</v>
      </c>
      <c r="B3103" s="3" t="s">
        <v>6262</v>
      </c>
      <c r="C3103" s="3" t="b">
        <v>0</v>
      </c>
      <c r="D3103" s="3" t="b">
        <v>1</v>
      </c>
      <c r="E3103" s="3" t="s">
        <v>766</v>
      </c>
      <c r="F3103" s="3" t="s">
        <v>1584</v>
      </c>
      <c r="G3103" s="4">
        <f>+251913867162</f>
        <v>251913867162</v>
      </c>
      <c r="H3103" s="3" t="s">
        <v>18</v>
      </c>
      <c r="I3103" s="3" t="s">
        <v>19</v>
      </c>
      <c r="J3103" s="3" t="s">
        <v>19</v>
      </c>
      <c r="K3103" s="3" t="s">
        <v>20</v>
      </c>
      <c r="L3103" s="3">
        <v>26.0</v>
      </c>
      <c r="M3103" s="3" t="s">
        <v>1695</v>
      </c>
      <c r="N3103" s="3" t="s">
        <v>1696</v>
      </c>
      <c r="O3103" s="3">
        <v>5480308.0</v>
      </c>
    </row>
    <row r="3104">
      <c r="A3104" s="3">
        <v>2631420.0</v>
      </c>
      <c r="B3104" s="3" t="s">
        <v>6263</v>
      </c>
      <c r="C3104" s="3" t="b">
        <v>0</v>
      </c>
      <c r="D3104" s="3" t="b">
        <v>1</v>
      </c>
      <c r="E3104" s="3" t="s">
        <v>151</v>
      </c>
      <c r="F3104" s="3" t="s">
        <v>2171</v>
      </c>
      <c r="G3104" s="4">
        <f>+251929256017</f>
        <v>251929256017</v>
      </c>
      <c r="H3104" s="3" t="s">
        <v>18</v>
      </c>
      <c r="I3104" s="3" t="s">
        <v>19</v>
      </c>
      <c r="J3104" s="3" t="s">
        <v>19</v>
      </c>
      <c r="K3104" s="3" t="s">
        <v>25</v>
      </c>
      <c r="L3104" s="3">
        <v>26.0</v>
      </c>
      <c r="M3104" s="3" t="s">
        <v>1695</v>
      </c>
      <c r="N3104" s="3" t="s">
        <v>1696</v>
      </c>
      <c r="O3104" s="3">
        <v>1.99078814964E11</v>
      </c>
    </row>
    <row r="3105">
      <c r="A3105" s="3">
        <v>2631431.0</v>
      </c>
      <c r="B3105" s="3" t="s">
        <v>6264</v>
      </c>
      <c r="C3105" s="3" t="b">
        <v>0</v>
      </c>
      <c r="D3105" s="3" t="b">
        <v>1</v>
      </c>
      <c r="E3105" s="3" t="s">
        <v>3433</v>
      </c>
      <c r="F3105" s="3" t="s">
        <v>6265</v>
      </c>
      <c r="G3105" s="4">
        <f>+251946401930</f>
        <v>251946401930</v>
      </c>
      <c r="H3105" s="3" t="s">
        <v>18</v>
      </c>
      <c r="I3105" s="3" t="s">
        <v>19</v>
      </c>
      <c r="J3105" s="3" t="s">
        <v>19</v>
      </c>
      <c r="K3105" s="3" t="s">
        <v>25</v>
      </c>
      <c r="L3105" s="3">
        <v>25.01</v>
      </c>
      <c r="M3105" s="3" t="s">
        <v>1695</v>
      </c>
      <c r="N3105" s="3" t="s">
        <v>1696</v>
      </c>
      <c r="O3105" s="3">
        <v>1.99072645327E11</v>
      </c>
    </row>
    <row r="3106">
      <c r="A3106" s="3">
        <v>2631750.0</v>
      </c>
      <c r="B3106" s="3" t="s">
        <v>6266</v>
      </c>
      <c r="C3106" s="3" t="b">
        <v>0</v>
      </c>
      <c r="D3106" s="3" t="b">
        <v>1</v>
      </c>
      <c r="E3106" s="3" t="s">
        <v>4764</v>
      </c>
      <c r="F3106" s="3" t="s">
        <v>274</v>
      </c>
      <c r="G3106" s="4">
        <f>+251928305114</f>
        <v>251928305114</v>
      </c>
      <c r="H3106" s="3" t="s">
        <v>18</v>
      </c>
      <c r="I3106" s="3" t="s">
        <v>19</v>
      </c>
      <c r="J3106" s="3" t="s">
        <v>19</v>
      </c>
      <c r="K3106" s="3" t="s">
        <v>25</v>
      </c>
      <c r="L3106" s="3">
        <v>25.0</v>
      </c>
      <c r="M3106" s="3" t="s">
        <v>1695</v>
      </c>
      <c r="N3106" s="3" t="s">
        <v>1696</v>
      </c>
      <c r="O3106" s="3">
        <v>1.9919534924E11</v>
      </c>
    </row>
    <row r="3107">
      <c r="A3107" s="3">
        <v>2631753.0</v>
      </c>
      <c r="B3107" s="3" t="s">
        <v>6267</v>
      </c>
      <c r="C3107" s="3" t="b">
        <v>0</v>
      </c>
      <c r="D3107" s="3" t="b">
        <v>1</v>
      </c>
      <c r="E3107" s="3" t="s">
        <v>6105</v>
      </c>
      <c r="F3107" s="3" t="s">
        <v>6268</v>
      </c>
      <c r="G3107" s="4">
        <f>+251930502542</f>
        <v>251930502542</v>
      </c>
      <c r="H3107" s="3" t="s">
        <v>18</v>
      </c>
      <c r="I3107" s="3" t="s">
        <v>19</v>
      </c>
      <c r="J3107" s="3" t="s">
        <v>19</v>
      </c>
      <c r="K3107" s="3" t="s">
        <v>25</v>
      </c>
      <c r="L3107" s="3">
        <v>25.0</v>
      </c>
      <c r="M3107" s="3" t="s">
        <v>1695</v>
      </c>
      <c r="N3107" s="3" t="s">
        <v>1696</v>
      </c>
      <c r="O3107" s="3">
        <v>1.99236423906E11</v>
      </c>
    </row>
    <row r="3108">
      <c r="A3108" s="3">
        <v>2631756.0</v>
      </c>
      <c r="B3108" s="3" t="s">
        <v>6269</v>
      </c>
      <c r="C3108" s="3" t="b">
        <v>0</v>
      </c>
      <c r="D3108" s="3" t="b">
        <v>1</v>
      </c>
      <c r="E3108" s="3" t="s">
        <v>3947</v>
      </c>
      <c r="F3108" s="3" t="s">
        <v>4888</v>
      </c>
      <c r="G3108" s="4">
        <f>+251940472111</f>
        <v>251940472111</v>
      </c>
      <c r="H3108" s="3" t="s">
        <v>18</v>
      </c>
      <c r="I3108" s="3" t="s">
        <v>19</v>
      </c>
      <c r="J3108" s="3" t="s">
        <v>19</v>
      </c>
      <c r="K3108" s="3" t="s">
        <v>20</v>
      </c>
      <c r="L3108" s="3">
        <v>25.0</v>
      </c>
      <c r="M3108" s="3" t="s">
        <v>1695</v>
      </c>
      <c r="N3108" s="3" t="s">
        <v>1696</v>
      </c>
      <c r="O3108" s="3">
        <v>1.9928653847E11</v>
      </c>
    </row>
    <row r="3109">
      <c r="A3109" s="3">
        <v>2631761.0</v>
      </c>
      <c r="B3109" s="3" t="s">
        <v>6270</v>
      </c>
      <c r="C3109" s="3" t="b">
        <v>0</v>
      </c>
      <c r="D3109" s="3" t="b">
        <v>1</v>
      </c>
      <c r="E3109" s="3" t="s">
        <v>689</v>
      </c>
      <c r="F3109" s="3" t="s">
        <v>4764</v>
      </c>
      <c r="G3109" s="4">
        <f>+251965423262</f>
        <v>251965423262</v>
      </c>
      <c r="H3109" s="3" t="s">
        <v>18</v>
      </c>
      <c r="I3109" s="3" t="s">
        <v>19</v>
      </c>
      <c r="J3109" s="3" t="s">
        <v>19</v>
      </c>
      <c r="K3109" s="3" t="s">
        <v>20</v>
      </c>
      <c r="L3109" s="3">
        <v>25.0</v>
      </c>
      <c r="M3109" s="3" t="s">
        <v>1695</v>
      </c>
      <c r="N3109" s="3" t="s">
        <v>1696</v>
      </c>
      <c r="O3109" s="3">
        <v>1.9921474276E11</v>
      </c>
    </row>
    <row r="3110">
      <c r="A3110" s="3">
        <v>2631765.0</v>
      </c>
      <c r="B3110" s="3" t="s">
        <v>6271</v>
      </c>
      <c r="C3110" s="3" t="b">
        <v>0</v>
      </c>
      <c r="D3110" s="3" t="b">
        <v>1</v>
      </c>
      <c r="E3110" s="3" t="s">
        <v>6272</v>
      </c>
      <c r="F3110" s="3" t="s">
        <v>4531</v>
      </c>
      <c r="G3110" s="4">
        <f>+251917706430</f>
        <v>251917706430</v>
      </c>
      <c r="H3110" s="3" t="s">
        <v>18</v>
      </c>
      <c r="I3110" s="3" t="s">
        <v>19</v>
      </c>
      <c r="J3110" s="3" t="s">
        <v>19</v>
      </c>
      <c r="K3110" s="3" t="s">
        <v>25</v>
      </c>
      <c r="L3110" s="3">
        <v>25.0</v>
      </c>
      <c r="M3110" s="3" t="s">
        <v>1695</v>
      </c>
      <c r="N3110" s="3" t="s">
        <v>1696</v>
      </c>
      <c r="O3110" s="3">
        <v>1.99214777563E11</v>
      </c>
    </row>
    <row r="3111">
      <c r="A3111" s="3">
        <v>2631769.0</v>
      </c>
      <c r="B3111" s="3" t="s">
        <v>6273</v>
      </c>
      <c r="C3111" s="3" t="b">
        <v>0</v>
      </c>
      <c r="D3111" s="3" t="b">
        <v>1</v>
      </c>
      <c r="E3111" s="3" t="s">
        <v>6274</v>
      </c>
      <c r="F3111" s="3" t="s">
        <v>5764</v>
      </c>
      <c r="G3111" s="4">
        <f>+251913213284</f>
        <v>251913213284</v>
      </c>
      <c r="H3111" s="3" t="s">
        <v>18</v>
      </c>
      <c r="I3111" s="3" t="s">
        <v>19</v>
      </c>
      <c r="J3111" s="3" t="s">
        <v>19</v>
      </c>
      <c r="K3111" s="3" t="s">
        <v>25</v>
      </c>
      <c r="L3111" s="3">
        <v>26.0</v>
      </c>
      <c r="M3111" s="3" t="s">
        <v>1695</v>
      </c>
      <c r="N3111" s="3" t="s">
        <v>1696</v>
      </c>
      <c r="O3111" s="3">
        <v>1.99286742243E11</v>
      </c>
    </row>
    <row r="3112">
      <c r="A3112" s="3">
        <v>2631772.0</v>
      </c>
      <c r="B3112" s="3" t="s">
        <v>6275</v>
      </c>
      <c r="C3112" s="3" t="b">
        <v>0</v>
      </c>
      <c r="D3112" s="3" t="b">
        <v>1</v>
      </c>
      <c r="E3112" s="3" t="s">
        <v>46</v>
      </c>
      <c r="F3112" s="3" t="s">
        <v>3429</v>
      </c>
      <c r="G3112" s="4">
        <f>+251931539234</f>
        <v>251931539234</v>
      </c>
      <c r="H3112" s="3" t="s">
        <v>18</v>
      </c>
      <c r="I3112" s="3" t="s">
        <v>19</v>
      </c>
      <c r="J3112" s="3" t="s">
        <v>19</v>
      </c>
      <c r="K3112" s="3" t="s">
        <v>25</v>
      </c>
      <c r="L3112" s="3">
        <v>25.0</v>
      </c>
      <c r="M3112" s="3" t="s">
        <v>1695</v>
      </c>
      <c r="N3112" s="3" t="s">
        <v>1696</v>
      </c>
      <c r="O3112" s="3">
        <v>1.99274391783E11</v>
      </c>
    </row>
    <row r="3113">
      <c r="A3113" s="3">
        <v>2631774.0</v>
      </c>
      <c r="B3113" s="3" t="s">
        <v>6276</v>
      </c>
      <c r="C3113" s="3" t="b">
        <v>0</v>
      </c>
      <c r="D3113" s="3" t="b">
        <v>1</v>
      </c>
      <c r="E3113" s="3" t="s">
        <v>6277</v>
      </c>
      <c r="F3113" s="3" t="s">
        <v>414</v>
      </c>
      <c r="G3113" s="4">
        <f>+251967344349</f>
        <v>251967344349</v>
      </c>
      <c r="H3113" s="3" t="s">
        <v>18</v>
      </c>
      <c r="I3113" s="3" t="s">
        <v>19</v>
      </c>
      <c r="J3113" s="3" t="s">
        <v>19</v>
      </c>
      <c r="K3113" s="3" t="s">
        <v>25</v>
      </c>
      <c r="L3113" s="3">
        <v>25.0</v>
      </c>
      <c r="M3113" s="3" t="s">
        <v>1695</v>
      </c>
      <c r="N3113" s="3" t="s">
        <v>1696</v>
      </c>
      <c r="O3113" s="3">
        <v>1.99237460187E11</v>
      </c>
    </row>
    <row r="3114">
      <c r="A3114" s="3">
        <v>2631776.0</v>
      </c>
      <c r="B3114" s="3" t="s">
        <v>6278</v>
      </c>
      <c r="C3114" s="3" t="b">
        <v>0</v>
      </c>
      <c r="D3114" s="3" t="b">
        <v>1</v>
      </c>
      <c r="E3114" s="3" t="s">
        <v>291</v>
      </c>
      <c r="F3114" s="3" t="s">
        <v>3659</v>
      </c>
      <c r="G3114" s="4">
        <f>+251976182254</f>
        <v>251976182254</v>
      </c>
      <c r="H3114" s="3" t="s">
        <v>18</v>
      </c>
      <c r="I3114" s="3" t="s">
        <v>19</v>
      </c>
      <c r="J3114" s="3" t="s">
        <v>19</v>
      </c>
      <c r="K3114" s="3" t="s">
        <v>20</v>
      </c>
      <c r="L3114" s="3">
        <v>22.0</v>
      </c>
      <c r="M3114" s="3" t="s">
        <v>1695</v>
      </c>
      <c r="N3114" s="3" t="s">
        <v>1696</v>
      </c>
      <c r="O3114" s="3">
        <v>1.99237767371E11</v>
      </c>
    </row>
    <row r="3115">
      <c r="A3115" s="3">
        <v>2631778.0</v>
      </c>
      <c r="B3115" s="3" t="s">
        <v>6279</v>
      </c>
      <c r="C3115" s="3" t="b">
        <v>0</v>
      </c>
      <c r="D3115" s="3" t="b">
        <v>1</v>
      </c>
      <c r="E3115" s="3" t="s">
        <v>3913</v>
      </c>
      <c r="F3115" s="3" t="s">
        <v>4639</v>
      </c>
      <c r="G3115" s="4">
        <f>+251917636727</f>
        <v>251917636727</v>
      </c>
      <c r="H3115" s="3" t="s">
        <v>18</v>
      </c>
      <c r="I3115" s="3" t="s">
        <v>19</v>
      </c>
      <c r="J3115" s="3" t="s">
        <v>19</v>
      </c>
      <c r="K3115" s="3" t="s">
        <v>25</v>
      </c>
      <c r="L3115" s="3">
        <v>25.0</v>
      </c>
      <c r="M3115" s="3" t="s">
        <v>1695</v>
      </c>
      <c r="N3115" s="3" t="s">
        <v>1696</v>
      </c>
      <c r="O3115" s="3">
        <v>1.99274489068E11</v>
      </c>
    </row>
    <row r="3116">
      <c r="A3116" s="3">
        <v>2631781.0</v>
      </c>
      <c r="B3116" s="3" t="s">
        <v>6280</v>
      </c>
      <c r="C3116" s="3" t="b">
        <v>0</v>
      </c>
      <c r="D3116" s="3" t="b">
        <v>1</v>
      </c>
      <c r="E3116" s="3" t="s">
        <v>3778</v>
      </c>
      <c r="F3116" s="3" t="s">
        <v>6281</v>
      </c>
      <c r="G3116" s="4">
        <f>+251917129742</f>
        <v>251917129742</v>
      </c>
      <c r="H3116" s="3" t="s">
        <v>18</v>
      </c>
      <c r="I3116" s="3" t="s">
        <v>19</v>
      </c>
      <c r="J3116" s="3" t="s">
        <v>19</v>
      </c>
      <c r="K3116" s="3" t="s">
        <v>25</v>
      </c>
      <c r="L3116" s="3">
        <v>25.0</v>
      </c>
      <c r="M3116" s="3" t="s">
        <v>1695</v>
      </c>
      <c r="N3116" s="3" t="s">
        <v>1696</v>
      </c>
      <c r="O3116" s="3">
        <v>1.99240969435E11</v>
      </c>
    </row>
    <row r="3117">
      <c r="A3117" s="3">
        <v>2631784.0</v>
      </c>
      <c r="B3117" s="3" t="s">
        <v>6282</v>
      </c>
      <c r="C3117" s="3" t="b">
        <v>0</v>
      </c>
      <c r="D3117" s="3" t="b">
        <v>1</v>
      </c>
      <c r="E3117" s="3" t="s">
        <v>1010</v>
      </c>
      <c r="F3117" s="3" t="s">
        <v>3772</v>
      </c>
      <c r="G3117" s="4">
        <f>+251925934139</f>
        <v>251925934139</v>
      </c>
      <c r="H3117" s="3" t="s">
        <v>18</v>
      </c>
      <c r="I3117" s="3" t="s">
        <v>19</v>
      </c>
      <c r="J3117" s="3" t="s">
        <v>19</v>
      </c>
      <c r="K3117" s="3" t="s">
        <v>20</v>
      </c>
      <c r="L3117" s="3">
        <v>25.0</v>
      </c>
      <c r="M3117" s="3" t="s">
        <v>1695</v>
      </c>
      <c r="N3117" s="3" t="s">
        <v>1696</v>
      </c>
      <c r="O3117" s="3">
        <v>1.9929893296E11</v>
      </c>
    </row>
    <row r="3118">
      <c r="A3118" s="3">
        <v>2631787.0</v>
      </c>
      <c r="B3118" s="3" t="s">
        <v>6283</v>
      </c>
      <c r="C3118" s="3" t="b">
        <v>0</v>
      </c>
      <c r="D3118" s="3" t="b">
        <v>1</v>
      </c>
      <c r="E3118" s="3" t="s">
        <v>4764</v>
      </c>
      <c r="F3118" s="3" t="s">
        <v>2934</v>
      </c>
      <c r="G3118" s="4">
        <f>+251917571333</f>
        <v>251917571333</v>
      </c>
      <c r="H3118" s="3" t="s">
        <v>18</v>
      </c>
      <c r="I3118" s="3" t="s">
        <v>19</v>
      </c>
      <c r="J3118" s="3" t="s">
        <v>19</v>
      </c>
      <c r="K3118" s="3" t="s">
        <v>25</v>
      </c>
      <c r="L3118" s="3">
        <v>24.0</v>
      </c>
      <c r="M3118" s="3" t="s">
        <v>1695</v>
      </c>
      <c r="N3118" s="3" t="s">
        <v>1696</v>
      </c>
      <c r="O3118" s="3">
        <v>1.99238061279E11</v>
      </c>
    </row>
    <row r="3119">
      <c r="A3119" s="3">
        <v>2631803.0</v>
      </c>
      <c r="B3119" s="3" t="s">
        <v>6284</v>
      </c>
      <c r="C3119" s="3" t="b">
        <v>0</v>
      </c>
      <c r="D3119" s="3" t="b">
        <v>1</v>
      </c>
      <c r="E3119" s="3" t="s">
        <v>6285</v>
      </c>
      <c r="F3119" s="3" t="s">
        <v>317</v>
      </c>
      <c r="G3119" s="4">
        <f>+251965884522</f>
        <v>251965884522</v>
      </c>
      <c r="H3119" s="3" t="s">
        <v>18</v>
      </c>
      <c r="I3119" s="3" t="s">
        <v>19</v>
      </c>
      <c r="J3119" s="3" t="s">
        <v>19</v>
      </c>
      <c r="K3119" s="3" t="s">
        <v>25</v>
      </c>
      <c r="L3119" s="3">
        <v>23.77</v>
      </c>
      <c r="M3119" s="3" t="s">
        <v>1695</v>
      </c>
      <c r="N3119" s="3" t="s">
        <v>1696</v>
      </c>
      <c r="O3119" s="3">
        <v>1.99329261813E11</v>
      </c>
    </row>
    <row r="3120">
      <c r="A3120" s="3">
        <v>2631806.0</v>
      </c>
      <c r="B3120" s="3" t="s">
        <v>6286</v>
      </c>
      <c r="C3120" s="3" t="b">
        <v>0</v>
      </c>
      <c r="D3120" s="3" t="b">
        <v>1</v>
      </c>
      <c r="E3120" s="3" t="s">
        <v>188</v>
      </c>
      <c r="F3120" s="3" t="s">
        <v>118</v>
      </c>
      <c r="G3120" s="4">
        <f>+251934686028</f>
        <v>251934686028</v>
      </c>
      <c r="H3120" s="3" t="s">
        <v>18</v>
      </c>
      <c r="I3120" s="3" t="s">
        <v>19</v>
      </c>
      <c r="J3120" s="3" t="s">
        <v>19</v>
      </c>
      <c r="K3120" s="3" t="s">
        <v>25</v>
      </c>
      <c r="L3120" s="3">
        <v>25.21</v>
      </c>
      <c r="M3120" s="3" t="s">
        <v>1695</v>
      </c>
      <c r="N3120" s="3" t="s">
        <v>1696</v>
      </c>
      <c r="O3120" s="3">
        <v>1.99226239208E11</v>
      </c>
    </row>
    <row r="3121">
      <c r="A3121" s="3">
        <v>2631808.0</v>
      </c>
      <c r="B3121" s="3" t="s">
        <v>6287</v>
      </c>
      <c r="C3121" s="3" t="b">
        <v>0</v>
      </c>
      <c r="D3121" s="3" t="b">
        <v>1</v>
      </c>
      <c r="E3121" s="3" t="s">
        <v>120</v>
      </c>
      <c r="F3121" s="3" t="s">
        <v>3478</v>
      </c>
      <c r="G3121" s="4">
        <f>+251919510899</f>
        <v>251919510899</v>
      </c>
      <c r="H3121" s="3" t="s">
        <v>18</v>
      </c>
      <c r="I3121" s="3" t="s">
        <v>19</v>
      </c>
      <c r="J3121" s="3" t="s">
        <v>19</v>
      </c>
      <c r="K3121" s="3" t="s">
        <v>25</v>
      </c>
      <c r="L3121" s="3">
        <v>27.2</v>
      </c>
      <c r="M3121" s="3" t="s">
        <v>1695</v>
      </c>
      <c r="N3121" s="3" t="s">
        <v>1696</v>
      </c>
      <c r="O3121" s="3">
        <v>1.99251002555E11</v>
      </c>
    </row>
    <row r="3122">
      <c r="A3122" s="3">
        <v>2631814.0</v>
      </c>
      <c r="B3122" s="3" t="s">
        <v>6288</v>
      </c>
      <c r="C3122" s="3" t="b">
        <v>0</v>
      </c>
      <c r="D3122" s="3" t="b">
        <v>1</v>
      </c>
      <c r="E3122" s="3" t="s">
        <v>6289</v>
      </c>
      <c r="F3122" s="3" t="s">
        <v>642</v>
      </c>
      <c r="G3122" s="4">
        <f>+251942212828</f>
        <v>251942212828</v>
      </c>
      <c r="H3122" s="3" t="s">
        <v>18</v>
      </c>
      <c r="I3122" s="3" t="s">
        <v>19</v>
      </c>
      <c r="J3122" s="3" t="s">
        <v>19</v>
      </c>
      <c r="K3122" s="3" t="s">
        <v>25</v>
      </c>
      <c r="L3122" s="3">
        <v>25.65</v>
      </c>
      <c r="M3122" s="3" t="s">
        <v>1695</v>
      </c>
      <c r="N3122" s="3" t="s">
        <v>1696</v>
      </c>
      <c r="O3122" s="3">
        <v>1.99241676013E11</v>
      </c>
    </row>
    <row r="3123">
      <c r="A3123" s="3">
        <v>2631810.0</v>
      </c>
      <c r="B3123" s="3" t="s">
        <v>6290</v>
      </c>
      <c r="C3123" s="3" t="b">
        <v>1</v>
      </c>
      <c r="D3123" s="3" t="b">
        <v>1</v>
      </c>
      <c r="E3123" s="3" t="s">
        <v>1130</v>
      </c>
      <c r="F3123" s="3" t="s">
        <v>6291</v>
      </c>
      <c r="G3123" s="4">
        <f>+251928357774</f>
        <v>251928357774</v>
      </c>
      <c r="H3123" s="3" t="s">
        <v>18</v>
      </c>
      <c r="I3123" s="3" t="s">
        <v>19</v>
      </c>
      <c r="J3123" s="3" t="s">
        <v>19</v>
      </c>
      <c r="K3123" s="3" t="s">
        <v>25</v>
      </c>
      <c r="L3123" s="3">
        <v>31.2</v>
      </c>
      <c r="M3123" s="3" t="s">
        <v>1695</v>
      </c>
      <c r="N3123" s="3" t="s">
        <v>1696</v>
      </c>
      <c r="O3123" s="3">
        <v>1.99300796635E11</v>
      </c>
    </row>
    <row r="3124">
      <c r="A3124" s="3">
        <v>2631816.0</v>
      </c>
      <c r="B3124" s="3" t="s">
        <v>6292</v>
      </c>
      <c r="C3124" s="3" t="b">
        <v>0</v>
      </c>
      <c r="D3124" s="3" t="b">
        <v>1</v>
      </c>
      <c r="E3124" s="3" t="s">
        <v>404</v>
      </c>
      <c r="F3124" s="3" t="s">
        <v>274</v>
      </c>
      <c r="G3124" s="4">
        <f>+251929364761</f>
        <v>251929364761</v>
      </c>
      <c r="H3124" s="3" t="s">
        <v>18</v>
      </c>
      <c r="I3124" s="3" t="s">
        <v>19</v>
      </c>
      <c r="J3124" s="3" t="s">
        <v>19</v>
      </c>
      <c r="K3124" s="3" t="s">
        <v>25</v>
      </c>
      <c r="L3124" s="3">
        <v>24.27</v>
      </c>
      <c r="M3124" s="3" t="s">
        <v>1695</v>
      </c>
      <c r="N3124" s="3" t="s">
        <v>1696</v>
      </c>
      <c r="O3124" s="3">
        <v>1.9924172614E11</v>
      </c>
    </row>
    <row r="3125">
      <c r="A3125" s="3">
        <v>2631818.0</v>
      </c>
      <c r="B3125" s="3" t="s">
        <v>6293</v>
      </c>
      <c r="C3125" s="3" t="b">
        <v>0</v>
      </c>
      <c r="D3125" s="3" t="b">
        <v>1</v>
      </c>
      <c r="E3125" s="3" t="s">
        <v>6294</v>
      </c>
      <c r="F3125" s="3" t="s">
        <v>6182</v>
      </c>
      <c r="G3125" s="4">
        <f>+251923052769</f>
        <v>251923052769</v>
      </c>
      <c r="H3125" s="3" t="s">
        <v>18</v>
      </c>
      <c r="I3125" s="3" t="s">
        <v>19</v>
      </c>
      <c r="J3125" s="3" t="s">
        <v>19</v>
      </c>
      <c r="K3125" s="3" t="s">
        <v>25</v>
      </c>
      <c r="L3125" s="3">
        <v>22.27</v>
      </c>
      <c r="M3125" s="3" t="s">
        <v>1695</v>
      </c>
      <c r="N3125" s="3" t="s">
        <v>1696</v>
      </c>
      <c r="O3125" s="3">
        <v>1.99241787594E11</v>
      </c>
    </row>
    <row r="3126">
      <c r="A3126" s="3">
        <v>2631824.0</v>
      </c>
      <c r="B3126" s="3" t="s">
        <v>6295</v>
      </c>
      <c r="C3126" s="3" t="b">
        <v>1</v>
      </c>
      <c r="D3126" s="3" t="b">
        <v>1</v>
      </c>
      <c r="E3126" s="3" t="s">
        <v>920</v>
      </c>
      <c r="F3126" s="3" t="s">
        <v>168</v>
      </c>
      <c r="G3126" s="4">
        <f>+251929230372</f>
        <v>251929230372</v>
      </c>
      <c r="H3126" s="3" t="s">
        <v>29</v>
      </c>
      <c r="I3126" s="3" t="s">
        <v>19</v>
      </c>
      <c r="J3126" s="3" t="s">
        <v>19</v>
      </c>
      <c r="K3126" s="3" t="s">
        <v>25</v>
      </c>
      <c r="L3126" s="3">
        <v>51.95</v>
      </c>
      <c r="M3126" s="3" t="s">
        <v>1695</v>
      </c>
      <c r="N3126" s="3" t="s">
        <v>1696</v>
      </c>
      <c r="O3126" s="3">
        <v>1.9925431423E11</v>
      </c>
    </row>
    <row r="3127">
      <c r="A3127" s="3">
        <v>2631870.0</v>
      </c>
      <c r="B3127" s="3" t="s">
        <v>6296</v>
      </c>
      <c r="C3127" s="3" t="b">
        <v>0</v>
      </c>
      <c r="D3127" s="3" t="b">
        <v>1</v>
      </c>
      <c r="E3127" s="3" t="s">
        <v>2105</v>
      </c>
      <c r="F3127" s="3" t="s">
        <v>1130</v>
      </c>
      <c r="G3127" s="4">
        <f>+25107779742</f>
        <v>25107779742</v>
      </c>
      <c r="H3127" s="3" t="s">
        <v>18</v>
      </c>
      <c r="I3127" s="3" t="s">
        <v>19</v>
      </c>
      <c r="J3127" s="3" t="s">
        <v>19</v>
      </c>
      <c r="K3127" s="3" t="s">
        <v>25</v>
      </c>
      <c r="L3127" s="3">
        <v>26.0</v>
      </c>
      <c r="M3127" s="3" t="s">
        <v>1695</v>
      </c>
      <c r="N3127" s="3" t="s">
        <v>1696</v>
      </c>
      <c r="O3127" s="3">
        <v>1.99254806758E11</v>
      </c>
    </row>
    <row r="3128">
      <c r="A3128" s="3">
        <v>2631871.0</v>
      </c>
      <c r="B3128" s="3" t="s">
        <v>6297</v>
      </c>
      <c r="C3128" s="3" t="b">
        <v>0</v>
      </c>
      <c r="D3128" s="3" t="b">
        <v>1</v>
      </c>
      <c r="E3128" s="3" t="s">
        <v>6298</v>
      </c>
      <c r="F3128" s="3" t="s">
        <v>6120</v>
      </c>
      <c r="G3128" s="4">
        <f>+251927788274</f>
        <v>251927788274</v>
      </c>
      <c r="H3128" s="3" t="s">
        <v>18</v>
      </c>
      <c r="I3128" s="3" t="s">
        <v>19</v>
      </c>
      <c r="J3128" s="3" t="s">
        <v>19</v>
      </c>
      <c r="K3128" s="3" t="s">
        <v>20</v>
      </c>
      <c r="L3128" s="3">
        <v>24.0</v>
      </c>
      <c r="M3128" s="3" t="s">
        <v>1695</v>
      </c>
      <c r="N3128" s="3" t="s">
        <v>1696</v>
      </c>
      <c r="O3128" s="3">
        <v>1.99250750699E11</v>
      </c>
    </row>
    <row r="3129">
      <c r="A3129" s="3">
        <v>2631880.0</v>
      </c>
      <c r="B3129" s="3" t="s">
        <v>6299</v>
      </c>
      <c r="C3129" s="3" t="b">
        <v>0</v>
      </c>
      <c r="D3129" s="3" t="b">
        <v>1</v>
      </c>
      <c r="E3129" s="3" t="s">
        <v>162</v>
      </c>
      <c r="F3129" s="3" t="s">
        <v>4082</v>
      </c>
      <c r="G3129" s="4">
        <f>+251949086541</f>
        <v>251949086541</v>
      </c>
      <c r="H3129" s="3" t="s">
        <v>18</v>
      </c>
      <c r="I3129" s="3" t="s">
        <v>19</v>
      </c>
      <c r="J3129" s="3" t="s">
        <v>19</v>
      </c>
      <c r="K3129" s="3" t="s">
        <v>25</v>
      </c>
      <c r="L3129" s="3">
        <v>24.0</v>
      </c>
      <c r="M3129" s="3" t="s">
        <v>1695</v>
      </c>
      <c r="N3129" s="3" t="s">
        <v>1696</v>
      </c>
      <c r="O3129" s="3">
        <v>1.99347171562E11</v>
      </c>
    </row>
    <row r="3130">
      <c r="A3130" s="3">
        <v>2631875.0</v>
      </c>
      <c r="B3130" s="3" t="s">
        <v>6300</v>
      </c>
      <c r="C3130" s="3" t="b">
        <v>0</v>
      </c>
      <c r="D3130" s="3" t="b">
        <v>1</v>
      </c>
      <c r="E3130" s="3" t="s">
        <v>6301</v>
      </c>
      <c r="F3130" s="3" t="s">
        <v>6302</v>
      </c>
      <c r="G3130" s="4">
        <f>+251967659291</f>
        <v>251967659291</v>
      </c>
      <c r="H3130" s="3" t="s">
        <v>18</v>
      </c>
      <c r="I3130" s="3" t="s">
        <v>19</v>
      </c>
      <c r="J3130" s="3" t="s">
        <v>19</v>
      </c>
      <c r="K3130" s="3" t="s">
        <v>20</v>
      </c>
      <c r="L3130" s="3">
        <v>20.12</v>
      </c>
      <c r="M3130" s="3" t="s">
        <v>1695</v>
      </c>
      <c r="N3130" s="3" t="s">
        <v>1696</v>
      </c>
      <c r="O3130" s="3">
        <v>1.99257321707E11</v>
      </c>
    </row>
    <row r="3131">
      <c r="A3131" s="3">
        <v>2631882.0</v>
      </c>
      <c r="B3131" s="3" t="s">
        <v>6303</v>
      </c>
      <c r="C3131" s="3" t="b">
        <v>0</v>
      </c>
      <c r="D3131" s="3" t="b">
        <v>1</v>
      </c>
      <c r="E3131" s="3" t="s">
        <v>1898</v>
      </c>
      <c r="F3131" s="3" t="s">
        <v>6304</v>
      </c>
      <c r="G3131" s="4">
        <f>+251941913898</f>
        <v>251941913898</v>
      </c>
      <c r="H3131" s="3" t="s">
        <v>18</v>
      </c>
      <c r="I3131" s="3" t="s">
        <v>19</v>
      </c>
      <c r="J3131" s="3" t="s">
        <v>19</v>
      </c>
      <c r="K3131" s="3" t="s">
        <v>25</v>
      </c>
      <c r="L3131" s="3">
        <v>25.0</v>
      </c>
      <c r="M3131" s="3" t="s">
        <v>1695</v>
      </c>
      <c r="N3131" s="3" t="s">
        <v>1696</v>
      </c>
      <c r="O3131" s="3">
        <v>1.99254912241E11</v>
      </c>
    </row>
    <row r="3132">
      <c r="A3132" s="3">
        <v>2631885.0</v>
      </c>
      <c r="B3132" s="3" t="s">
        <v>6305</v>
      </c>
      <c r="C3132" s="3" t="b">
        <v>0</v>
      </c>
      <c r="D3132" s="3" t="b">
        <v>1</v>
      </c>
      <c r="E3132" s="3" t="s">
        <v>1486</v>
      </c>
      <c r="F3132" s="3" t="s">
        <v>96</v>
      </c>
      <c r="G3132" s="4">
        <f>+251932479632</f>
        <v>251932479632</v>
      </c>
      <c r="H3132" s="3" t="s">
        <v>18</v>
      </c>
      <c r="I3132" s="3" t="s">
        <v>19</v>
      </c>
      <c r="J3132" s="3" t="s">
        <v>19</v>
      </c>
      <c r="K3132" s="3" t="s">
        <v>25</v>
      </c>
      <c r="L3132" s="3">
        <v>24.0</v>
      </c>
      <c r="M3132" s="3" t="s">
        <v>1695</v>
      </c>
      <c r="N3132" s="3" t="s">
        <v>1696</v>
      </c>
      <c r="O3132" s="3">
        <v>1.99293527255E11</v>
      </c>
    </row>
    <row r="3133">
      <c r="A3133" s="3">
        <v>2631913.0</v>
      </c>
      <c r="B3133" s="3" t="s">
        <v>6306</v>
      </c>
      <c r="C3133" s="3" t="b">
        <v>1</v>
      </c>
      <c r="D3133" s="3" t="b">
        <v>1</v>
      </c>
      <c r="E3133" s="3" t="s">
        <v>2510</v>
      </c>
      <c r="F3133" s="3" t="s">
        <v>596</v>
      </c>
      <c r="G3133" s="4">
        <f>+11250912389561</f>
        <v>11250912389561</v>
      </c>
      <c r="H3133" s="3" t="s">
        <v>18</v>
      </c>
      <c r="I3133" s="3" t="s">
        <v>19</v>
      </c>
      <c r="J3133" s="3" t="s">
        <v>19</v>
      </c>
      <c r="K3133" s="3" t="s">
        <v>25</v>
      </c>
      <c r="L3133" s="3">
        <v>42.7</v>
      </c>
      <c r="M3133" s="3" t="s">
        <v>1695</v>
      </c>
      <c r="N3133" s="3" t="s">
        <v>1696</v>
      </c>
    </row>
    <row r="3134">
      <c r="A3134" s="3">
        <v>2631945.0</v>
      </c>
      <c r="B3134" s="3" t="s">
        <v>6307</v>
      </c>
      <c r="C3134" s="3" t="b">
        <v>0</v>
      </c>
      <c r="D3134" s="3" t="b">
        <v>1</v>
      </c>
      <c r="E3134" s="3" t="s">
        <v>2045</v>
      </c>
      <c r="F3134" s="3" t="s">
        <v>838</v>
      </c>
      <c r="G3134" s="4">
        <f>+251927936024</f>
        <v>251927936024</v>
      </c>
      <c r="H3134" s="3" t="s">
        <v>18</v>
      </c>
      <c r="I3134" s="3" t="s">
        <v>19</v>
      </c>
      <c r="J3134" s="3" t="s">
        <v>19</v>
      </c>
      <c r="K3134" s="3" t="s">
        <v>25</v>
      </c>
      <c r="L3134" s="3">
        <v>25.28</v>
      </c>
      <c r="M3134" s="3" t="s">
        <v>1695</v>
      </c>
      <c r="N3134" s="3" t="s">
        <v>1696</v>
      </c>
      <c r="O3134" s="3">
        <v>1.99346560189E11</v>
      </c>
    </row>
    <row r="3135">
      <c r="A3135" s="3">
        <v>2631950.0</v>
      </c>
      <c r="B3135" s="3" t="s">
        <v>6308</v>
      </c>
      <c r="C3135" s="3" t="b">
        <v>0</v>
      </c>
      <c r="D3135" s="3" t="b">
        <v>1</v>
      </c>
      <c r="E3135" s="3" t="s">
        <v>414</v>
      </c>
      <c r="F3135" s="3" t="s">
        <v>6309</v>
      </c>
      <c r="G3135" s="4">
        <f>+251925590724</f>
        <v>251925590724</v>
      </c>
      <c r="H3135" s="3" t="s">
        <v>18</v>
      </c>
      <c r="I3135" s="3" t="s">
        <v>19</v>
      </c>
      <c r="J3135" s="3" t="s">
        <v>19</v>
      </c>
      <c r="K3135" s="3" t="s">
        <v>25</v>
      </c>
      <c r="L3135" s="3">
        <v>29.21</v>
      </c>
      <c r="M3135" s="3" t="s">
        <v>1695</v>
      </c>
      <c r="N3135" s="3" t="s">
        <v>1696</v>
      </c>
      <c r="O3135" s="3">
        <v>1.99381688551E11</v>
      </c>
    </row>
    <row r="3136">
      <c r="A3136" s="3">
        <v>2631956.0</v>
      </c>
      <c r="B3136" s="3" t="s">
        <v>6310</v>
      </c>
      <c r="C3136" s="3" t="b">
        <v>0</v>
      </c>
      <c r="D3136" s="3" t="b">
        <v>1</v>
      </c>
      <c r="E3136" s="3" t="s">
        <v>414</v>
      </c>
      <c r="F3136" s="3" t="s">
        <v>1898</v>
      </c>
      <c r="G3136" s="4">
        <f>+251996345397</f>
        <v>251996345397</v>
      </c>
      <c r="H3136" s="3" t="s">
        <v>18</v>
      </c>
      <c r="I3136" s="3" t="s">
        <v>19</v>
      </c>
      <c r="J3136" s="3" t="s">
        <v>19</v>
      </c>
      <c r="K3136" s="3" t="s">
        <v>25</v>
      </c>
      <c r="L3136" s="3">
        <v>25.86</v>
      </c>
      <c r="M3136" s="3" t="s">
        <v>1695</v>
      </c>
      <c r="N3136" s="3" t="s">
        <v>1696</v>
      </c>
      <c r="O3136" s="3">
        <v>1.99381885127E11</v>
      </c>
    </row>
    <row r="3137">
      <c r="A3137" s="3">
        <v>2631963.0</v>
      </c>
      <c r="B3137" s="3" t="s">
        <v>6311</v>
      </c>
      <c r="C3137" s="3" t="b">
        <v>0</v>
      </c>
      <c r="D3137" s="3" t="b">
        <v>1</v>
      </c>
      <c r="E3137" s="3" t="s">
        <v>279</v>
      </c>
      <c r="F3137" s="3" t="s">
        <v>716</v>
      </c>
      <c r="G3137" s="4">
        <f>+251980439170</f>
        <v>251980439170</v>
      </c>
      <c r="H3137" s="3" t="s">
        <v>18</v>
      </c>
      <c r="I3137" s="3" t="s">
        <v>19</v>
      </c>
      <c r="J3137" s="3" t="s">
        <v>19</v>
      </c>
      <c r="K3137" s="3" t="s">
        <v>25</v>
      </c>
      <c r="L3137" s="3">
        <v>23.87</v>
      </c>
      <c r="M3137" s="3" t="s">
        <v>1695</v>
      </c>
      <c r="N3137" s="3" t="s">
        <v>1696</v>
      </c>
      <c r="O3137" s="3">
        <v>1.99376056558E11</v>
      </c>
    </row>
    <row r="3138">
      <c r="A3138" s="3">
        <v>2631972.0</v>
      </c>
      <c r="B3138" s="3" t="s">
        <v>6312</v>
      </c>
      <c r="C3138" s="3" t="b">
        <v>0</v>
      </c>
      <c r="D3138" s="3" t="b">
        <v>1</v>
      </c>
      <c r="E3138" s="3" t="s">
        <v>6313</v>
      </c>
      <c r="F3138" s="3" t="s">
        <v>526</v>
      </c>
      <c r="G3138" s="4">
        <f>+251945077056</f>
        <v>251945077056</v>
      </c>
      <c r="H3138" s="3" t="s">
        <v>18</v>
      </c>
      <c r="I3138" s="3" t="s">
        <v>19</v>
      </c>
      <c r="J3138" s="3" t="s">
        <v>19</v>
      </c>
      <c r="K3138" s="3" t="s">
        <v>25</v>
      </c>
      <c r="L3138" s="3">
        <v>23.94</v>
      </c>
      <c r="M3138" s="3" t="s">
        <v>1695</v>
      </c>
      <c r="N3138" s="3" t="s">
        <v>1696</v>
      </c>
      <c r="O3138" s="3">
        <v>1.99381962949E11</v>
      </c>
    </row>
    <row r="3139">
      <c r="A3139" s="3">
        <v>2631977.0</v>
      </c>
      <c r="B3139" s="3" t="s">
        <v>6314</v>
      </c>
      <c r="C3139" s="3" t="b">
        <v>0</v>
      </c>
      <c r="D3139" s="3" t="b">
        <v>1</v>
      </c>
      <c r="E3139" s="3" t="s">
        <v>5592</v>
      </c>
      <c r="F3139" s="3" t="s">
        <v>826</v>
      </c>
      <c r="G3139" s="4">
        <f>+251925208003</f>
        <v>251925208003</v>
      </c>
      <c r="H3139" s="3" t="s">
        <v>18</v>
      </c>
      <c r="I3139" s="3" t="s">
        <v>19</v>
      </c>
      <c r="J3139" s="3" t="s">
        <v>19</v>
      </c>
      <c r="K3139" s="3" t="s">
        <v>25</v>
      </c>
      <c r="L3139" s="3">
        <v>28.85</v>
      </c>
      <c r="M3139" s="3" t="s">
        <v>1695</v>
      </c>
      <c r="N3139" s="3" t="s">
        <v>1696</v>
      </c>
      <c r="O3139" s="3">
        <v>1.99303936195E11</v>
      </c>
    </row>
    <row r="3140">
      <c r="A3140" s="3">
        <v>2632025.0</v>
      </c>
      <c r="B3140" s="3" t="s">
        <v>6315</v>
      </c>
      <c r="C3140" s="3" t="b">
        <v>1</v>
      </c>
      <c r="D3140" s="3" t="b">
        <v>1</v>
      </c>
      <c r="E3140" s="3" t="s">
        <v>6316</v>
      </c>
      <c r="F3140" s="3" t="s">
        <v>6317</v>
      </c>
      <c r="G3140" s="4">
        <f>+251907115453</f>
        <v>251907115453</v>
      </c>
      <c r="H3140" s="3" t="s">
        <v>18</v>
      </c>
      <c r="I3140" s="3" t="s">
        <v>19</v>
      </c>
      <c r="J3140" s="3" t="s">
        <v>19</v>
      </c>
      <c r="K3140" s="3" t="s">
        <v>20</v>
      </c>
      <c r="L3140" s="3">
        <v>23.69</v>
      </c>
      <c r="M3140" s="3" t="s">
        <v>1695</v>
      </c>
      <c r="N3140" s="3" t="s">
        <v>6318</v>
      </c>
      <c r="O3140" s="3">
        <v>1.99432908008E11</v>
      </c>
    </row>
    <row r="3141">
      <c r="A3141" s="3">
        <v>2632031.0</v>
      </c>
      <c r="B3141" s="3" t="s">
        <v>6319</v>
      </c>
      <c r="C3141" s="3" t="b">
        <v>0</v>
      </c>
      <c r="D3141" s="3" t="b">
        <v>1</v>
      </c>
      <c r="E3141" s="3" t="s">
        <v>6320</v>
      </c>
      <c r="F3141" s="3" t="s">
        <v>6321</v>
      </c>
      <c r="G3141" s="4">
        <f>+251968825763</f>
        <v>251968825763</v>
      </c>
      <c r="H3141" s="3" t="s">
        <v>18</v>
      </c>
      <c r="I3141" s="3" t="s">
        <v>19</v>
      </c>
      <c r="J3141" s="3" t="s">
        <v>19</v>
      </c>
      <c r="K3141" s="3" t="s">
        <v>25</v>
      </c>
      <c r="L3141" s="3">
        <v>21.2</v>
      </c>
      <c r="M3141" s="3" t="s">
        <v>1695</v>
      </c>
      <c r="N3141" s="3" t="s">
        <v>6318</v>
      </c>
      <c r="O3141" s="3">
        <v>1.99432989938E11</v>
      </c>
    </row>
    <row r="3142">
      <c r="A3142" s="3">
        <v>2632036.0</v>
      </c>
      <c r="B3142" s="3" t="s">
        <v>6322</v>
      </c>
      <c r="C3142" s="3" t="b">
        <v>0</v>
      </c>
      <c r="D3142" s="3" t="b">
        <v>1</v>
      </c>
      <c r="E3142" s="3" t="s">
        <v>5628</v>
      </c>
      <c r="F3142" s="3" t="s">
        <v>6323</v>
      </c>
      <c r="G3142" s="4">
        <f>+251921794078</f>
        <v>251921794078</v>
      </c>
      <c r="H3142" s="3" t="s">
        <v>18</v>
      </c>
      <c r="I3142" s="3" t="s">
        <v>19</v>
      </c>
      <c r="J3142" s="3" t="s">
        <v>19</v>
      </c>
      <c r="K3142" s="3" t="s">
        <v>25</v>
      </c>
      <c r="L3142" s="3">
        <v>21.18</v>
      </c>
      <c r="M3142" s="3" t="s">
        <v>1695</v>
      </c>
      <c r="N3142" s="3" t="s">
        <v>6318</v>
      </c>
      <c r="O3142" s="3">
        <v>1.99437066486E11</v>
      </c>
    </row>
    <row r="3143">
      <c r="A3143" s="3">
        <v>2632041.0</v>
      </c>
      <c r="B3143" s="3" t="s">
        <v>6324</v>
      </c>
      <c r="C3143" s="3" t="b">
        <v>0</v>
      </c>
      <c r="D3143" s="3" t="b">
        <v>1</v>
      </c>
      <c r="E3143" s="3" t="s">
        <v>3163</v>
      </c>
      <c r="F3143" s="3" t="s">
        <v>649</v>
      </c>
      <c r="G3143" s="4">
        <f>+251927346143</f>
        <v>251927346143</v>
      </c>
      <c r="H3143" s="3" t="s">
        <v>18</v>
      </c>
      <c r="I3143" s="3" t="s">
        <v>19</v>
      </c>
      <c r="J3143" s="3" t="s">
        <v>19</v>
      </c>
      <c r="K3143" s="3" t="s">
        <v>25</v>
      </c>
      <c r="L3143" s="3">
        <v>27.18</v>
      </c>
      <c r="M3143" s="3" t="s">
        <v>1695</v>
      </c>
      <c r="N3143" s="3" t="s">
        <v>6318</v>
      </c>
      <c r="O3143" s="3">
        <v>1.99391599811E11</v>
      </c>
    </row>
    <row r="3144">
      <c r="A3144" s="3">
        <v>2632090.0</v>
      </c>
      <c r="B3144" s="3" t="s">
        <v>6325</v>
      </c>
      <c r="C3144" s="3" t="b">
        <v>0</v>
      </c>
      <c r="D3144" s="3" t="b">
        <v>1</v>
      </c>
      <c r="E3144" s="3" t="s">
        <v>111</v>
      </c>
      <c r="F3144" s="3" t="s">
        <v>6326</v>
      </c>
      <c r="G3144" s="4">
        <f>+251952470402</f>
        <v>251952470402</v>
      </c>
      <c r="H3144" s="3" t="s">
        <v>18</v>
      </c>
      <c r="I3144" s="3" t="s">
        <v>19</v>
      </c>
      <c r="J3144" s="3" t="s">
        <v>19</v>
      </c>
      <c r="K3144" s="3" t="s">
        <v>25</v>
      </c>
      <c r="L3144" s="3">
        <v>26.28</v>
      </c>
      <c r="M3144" s="3" t="s">
        <v>1695</v>
      </c>
      <c r="N3144" s="3" t="s">
        <v>6318</v>
      </c>
      <c r="O3144" s="3">
        <v>1.99399096524E11</v>
      </c>
    </row>
    <row r="3145">
      <c r="A3145" s="3">
        <v>2632093.0</v>
      </c>
      <c r="B3145" s="3" t="s">
        <v>6327</v>
      </c>
      <c r="C3145" s="3" t="b">
        <v>0</v>
      </c>
      <c r="D3145" s="3" t="b">
        <v>1</v>
      </c>
      <c r="E3145" s="3" t="s">
        <v>525</v>
      </c>
      <c r="F3145" s="3" t="s">
        <v>593</v>
      </c>
      <c r="G3145" s="4">
        <f>+251989015992</f>
        <v>251989015992</v>
      </c>
      <c r="H3145" s="3" t="s">
        <v>18</v>
      </c>
      <c r="I3145" s="3" t="s">
        <v>19</v>
      </c>
      <c r="J3145" s="3" t="s">
        <v>19</v>
      </c>
      <c r="K3145" s="3" t="s">
        <v>25</v>
      </c>
      <c r="L3145" s="3">
        <v>24.2</v>
      </c>
      <c r="M3145" s="3" t="s">
        <v>1695</v>
      </c>
      <c r="N3145" s="3" t="s">
        <v>6318</v>
      </c>
      <c r="O3145" s="3">
        <v>1.99392130251E11</v>
      </c>
    </row>
    <row r="3146">
      <c r="A3146" s="3">
        <v>2632105.0</v>
      </c>
      <c r="B3146" s="3" t="s">
        <v>6328</v>
      </c>
      <c r="C3146" s="3" t="b">
        <v>0</v>
      </c>
      <c r="D3146" s="3" t="b">
        <v>1</v>
      </c>
      <c r="E3146" s="3" t="s">
        <v>522</v>
      </c>
      <c r="F3146" s="3" t="s">
        <v>744</v>
      </c>
      <c r="G3146" s="4">
        <f>+251910599746</f>
        <v>251910599746</v>
      </c>
      <c r="H3146" s="3" t="s">
        <v>18</v>
      </c>
      <c r="I3146" s="3" t="s">
        <v>19</v>
      </c>
      <c r="J3146" s="3" t="s">
        <v>19</v>
      </c>
      <c r="K3146" s="3" t="s">
        <v>20</v>
      </c>
      <c r="L3146" s="3">
        <v>25.26</v>
      </c>
      <c r="M3146" s="3" t="s">
        <v>1695</v>
      </c>
      <c r="N3146" s="3" t="s">
        <v>6318</v>
      </c>
      <c r="O3146" s="3">
        <v>1.99451248866E11</v>
      </c>
    </row>
    <row r="3147">
      <c r="A3147" s="3">
        <v>2632113.0</v>
      </c>
      <c r="B3147" s="3" t="s">
        <v>6329</v>
      </c>
      <c r="C3147" s="3" t="b">
        <v>0</v>
      </c>
      <c r="D3147" s="3" t="b">
        <v>1</v>
      </c>
      <c r="E3147" s="3" t="s">
        <v>6330</v>
      </c>
      <c r="F3147" s="3" t="s">
        <v>4881</v>
      </c>
      <c r="G3147" s="4">
        <f>+251917851038</f>
        <v>251917851038</v>
      </c>
      <c r="H3147" s="3" t="s">
        <v>18</v>
      </c>
      <c r="I3147" s="3" t="s">
        <v>19</v>
      </c>
      <c r="J3147" s="3" t="s">
        <v>19</v>
      </c>
      <c r="K3147" s="3" t="s">
        <v>20</v>
      </c>
      <c r="L3147" s="3">
        <v>25.0</v>
      </c>
      <c r="M3147" s="3" t="s">
        <v>1695</v>
      </c>
      <c r="N3147" s="3" t="s">
        <v>6318</v>
      </c>
      <c r="O3147" s="3">
        <v>1.99403976935E11</v>
      </c>
    </row>
    <row r="3148">
      <c r="A3148" s="3">
        <v>2632122.0</v>
      </c>
      <c r="B3148" s="3" t="s">
        <v>6331</v>
      </c>
      <c r="C3148" s="3" t="b">
        <v>0</v>
      </c>
      <c r="D3148" s="3" t="b">
        <v>1</v>
      </c>
      <c r="E3148" s="3" t="s">
        <v>6332</v>
      </c>
      <c r="F3148" s="3" t="s">
        <v>2510</v>
      </c>
      <c r="G3148" s="4">
        <f>+251910554655</f>
        <v>251910554655</v>
      </c>
      <c r="H3148" s="3" t="s">
        <v>18</v>
      </c>
      <c r="I3148" s="3" t="s">
        <v>19</v>
      </c>
      <c r="J3148" s="3" t="s">
        <v>19</v>
      </c>
      <c r="K3148" s="3" t="s">
        <v>25</v>
      </c>
      <c r="L3148" s="3">
        <v>24.26</v>
      </c>
      <c r="M3148" s="3" t="s">
        <v>1695</v>
      </c>
      <c r="N3148" s="3" t="s">
        <v>6318</v>
      </c>
      <c r="O3148" s="3">
        <v>1.99447944425E11</v>
      </c>
    </row>
    <row r="3149">
      <c r="A3149" s="3">
        <v>2632131.0</v>
      </c>
      <c r="B3149" s="3" t="s">
        <v>6333</v>
      </c>
      <c r="C3149" s="3" t="b">
        <v>0</v>
      </c>
      <c r="D3149" s="3" t="b">
        <v>1</v>
      </c>
      <c r="E3149" s="3" t="s">
        <v>1656</v>
      </c>
      <c r="F3149" s="3" t="s">
        <v>1584</v>
      </c>
      <c r="G3149" s="4">
        <f>+251982734956</f>
        <v>251982734956</v>
      </c>
      <c r="H3149" s="3" t="s">
        <v>18</v>
      </c>
      <c r="I3149" s="3" t="s">
        <v>19</v>
      </c>
      <c r="J3149" s="3" t="s">
        <v>19</v>
      </c>
      <c r="K3149" s="3" t="s">
        <v>25</v>
      </c>
      <c r="L3149" s="3">
        <v>24.0</v>
      </c>
      <c r="M3149" s="3" t="s">
        <v>1695</v>
      </c>
      <c r="N3149" s="3" t="s">
        <v>6318</v>
      </c>
      <c r="O3149" s="3">
        <v>1.99404141788E11</v>
      </c>
    </row>
    <row r="3150">
      <c r="A3150" s="3">
        <v>2632144.0</v>
      </c>
      <c r="B3150" s="3" t="s">
        <v>6334</v>
      </c>
      <c r="C3150" s="3" t="b">
        <v>0</v>
      </c>
      <c r="D3150" s="3" t="b">
        <v>1</v>
      </c>
      <c r="E3150" s="3" t="s">
        <v>6335</v>
      </c>
      <c r="F3150" s="3" t="s">
        <v>1607</v>
      </c>
      <c r="G3150" s="4">
        <f>+251953219625</f>
        <v>251953219625</v>
      </c>
      <c r="H3150" s="3" t="s">
        <v>18</v>
      </c>
      <c r="I3150" s="3" t="s">
        <v>19</v>
      </c>
      <c r="J3150" s="3" t="s">
        <v>19</v>
      </c>
      <c r="K3150" s="3" t="s">
        <v>20</v>
      </c>
      <c r="L3150" s="3">
        <v>22.27</v>
      </c>
      <c r="M3150" s="3" t="s">
        <v>1695</v>
      </c>
      <c r="N3150" s="3" t="s">
        <v>6318</v>
      </c>
      <c r="O3150" s="3">
        <v>7006132.0</v>
      </c>
    </row>
    <row r="3151">
      <c r="A3151" s="3">
        <v>2632146.0</v>
      </c>
      <c r="B3151" s="3" t="s">
        <v>6336</v>
      </c>
      <c r="C3151" s="3" t="b">
        <v>0</v>
      </c>
      <c r="D3151" s="3" t="b">
        <v>1</v>
      </c>
      <c r="E3151" s="3" t="s">
        <v>3013</v>
      </c>
      <c r="F3151" s="3" t="s">
        <v>6337</v>
      </c>
      <c r="G3151" s="4">
        <f>+251917843204</f>
        <v>251917843204</v>
      </c>
      <c r="H3151" s="3" t="s">
        <v>18</v>
      </c>
      <c r="I3151" s="3" t="s">
        <v>19</v>
      </c>
      <c r="J3151" s="3" t="s">
        <v>19</v>
      </c>
      <c r="K3151" s="3" t="s">
        <v>20</v>
      </c>
      <c r="L3151" s="3">
        <v>24.0</v>
      </c>
      <c r="M3151" s="3" t="s">
        <v>1695</v>
      </c>
      <c r="N3151" s="3" t="s">
        <v>6318</v>
      </c>
      <c r="O3151" s="3">
        <v>1.99407333597E11</v>
      </c>
    </row>
    <row r="3152">
      <c r="A3152" s="3">
        <v>2632158.0</v>
      </c>
      <c r="B3152" s="3" t="s">
        <v>6338</v>
      </c>
      <c r="C3152" s="3" t="b">
        <v>0</v>
      </c>
      <c r="D3152" s="3" t="b">
        <v>1</v>
      </c>
      <c r="E3152" s="3" t="s">
        <v>803</v>
      </c>
      <c r="F3152" s="3" t="s">
        <v>193</v>
      </c>
      <c r="G3152" s="4">
        <f>+251917636249</f>
        <v>251917636249</v>
      </c>
      <c r="H3152" s="3" t="s">
        <v>18</v>
      </c>
      <c r="I3152" s="3" t="s">
        <v>19</v>
      </c>
      <c r="J3152" s="3" t="s">
        <v>19</v>
      </c>
      <c r="K3152" s="3" t="s">
        <v>25</v>
      </c>
      <c r="L3152" s="3">
        <v>24.0</v>
      </c>
      <c r="M3152" s="3" t="s">
        <v>1695</v>
      </c>
      <c r="N3152" s="3" t="s">
        <v>6318</v>
      </c>
      <c r="O3152" s="3">
        <v>1.99414509792E11</v>
      </c>
    </row>
    <row r="3153">
      <c r="A3153" s="3">
        <v>2632157.0</v>
      </c>
      <c r="B3153" s="3" t="s">
        <v>6339</v>
      </c>
      <c r="C3153" s="3" t="b">
        <v>0</v>
      </c>
      <c r="D3153" s="3" t="b">
        <v>1</v>
      </c>
      <c r="E3153" s="3" t="s">
        <v>411</v>
      </c>
      <c r="F3153" s="3" t="s">
        <v>409</v>
      </c>
      <c r="G3153" s="4">
        <f>+251977307547</f>
        <v>251977307547</v>
      </c>
      <c r="H3153" s="3" t="s">
        <v>18</v>
      </c>
      <c r="I3153" s="3" t="s">
        <v>19</v>
      </c>
      <c r="J3153" s="3" t="s">
        <v>19</v>
      </c>
      <c r="K3153" s="3" t="s">
        <v>20</v>
      </c>
      <c r="L3153" s="3">
        <v>21.29</v>
      </c>
      <c r="M3153" s="3" t="s">
        <v>1695</v>
      </c>
      <c r="N3153" s="3" t="s">
        <v>6318</v>
      </c>
      <c r="O3153" s="3">
        <v>1.9940829004E11</v>
      </c>
    </row>
    <row r="3154">
      <c r="A3154" s="3">
        <v>2632173.0</v>
      </c>
      <c r="B3154" s="3" t="s">
        <v>6340</v>
      </c>
      <c r="C3154" s="3" t="b">
        <v>0</v>
      </c>
      <c r="D3154" s="3" t="b">
        <v>1</v>
      </c>
      <c r="E3154" s="3" t="s">
        <v>6341</v>
      </c>
      <c r="F3154" s="3" t="s">
        <v>6342</v>
      </c>
      <c r="G3154" s="4">
        <f>+251913682138</f>
        <v>251913682138</v>
      </c>
      <c r="H3154" s="3" t="s">
        <v>18</v>
      </c>
      <c r="I3154" s="3" t="s">
        <v>19</v>
      </c>
      <c r="J3154" s="3" t="s">
        <v>19</v>
      </c>
      <c r="K3154" s="3" t="s">
        <v>25</v>
      </c>
      <c r="L3154" s="3">
        <v>25.0</v>
      </c>
      <c r="M3154" s="3" t="s">
        <v>1695</v>
      </c>
      <c r="N3154" s="3" t="s">
        <v>6318</v>
      </c>
      <c r="O3154" s="3">
        <v>1.99417335005E11</v>
      </c>
    </row>
    <row r="3155">
      <c r="A3155" s="3">
        <v>2632175.0</v>
      </c>
      <c r="B3155" s="3" t="s">
        <v>6343</v>
      </c>
      <c r="C3155" s="3" t="b">
        <v>0</v>
      </c>
      <c r="D3155" s="3" t="b">
        <v>1</v>
      </c>
      <c r="E3155" s="3" t="s">
        <v>5449</v>
      </c>
      <c r="F3155" s="3" t="s">
        <v>6344</v>
      </c>
      <c r="G3155" s="4">
        <f>+251932956725</f>
        <v>251932956725</v>
      </c>
      <c r="H3155" s="3" t="s">
        <v>18</v>
      </c>
      <c r="I3155" s="3" t="s">
        <v>19</v>
      </c>
      <c r="J3155" s="3" t="s">
        <v>19</v>
      </c>
      <c r="K3155" s="3" t="s">
        <v>25</v>
      </c>
      <c r="L3155" s="3">
        <v>26.0</v>
      </c>
      <c r="M3155" s="3" t="s">
        <v>1695</v>
      </c>
      <c r="N3155" s="3" t="s">
        <v>6318</v>
      </c>
      <c r="O3155" s="3">
        <v>1.99433763014E11</v>
      </c>
    </row>
    <row r="3156">
      <c r="A3156" s="3">
        <v>2632177.0</v>
      </c>
      <c r="B3156" s="3" t="s">
        <v>6345</v>
      </c>
      <c r="C3156" s="3" t="b">
        <v>0</v>
      </c>
      <c r="D3156" s="3" t="b">
        <v>1</v>
      </c>
      <c r="E3156" s="3" t="s">
        <v>3639</v>
      </c>
      <c r="F3156" s="3" t="s">
        <v>6346</v>
      </c>
      <c r="G3156" s="4">
        <f>+251914373057</f>
        <v>251914373057</v>
      </c>
      <c r="H3156" s="3" t="s">
        <v>18</v>
      </c>
      <c r="I3156" s="3" t="s">
        <v>19</v>
      </c>
      <c r="J3156" s="3" t="s">
        <v>19</v>
      </c>
      <c r="K3156" s="3" t="s">
        <v>25</v>
      </c>
      <c r="L3156" s="3">
        <v>21.29</v>
      </c>
      <c r="M3156" s="3" t="s">
        <v>1695</v>
      </c>
      <c r="N3156" s="3" t="s">
        <v>6318</v>
      </c>
      <c r="O3156" s="3">
        <v>1.99414196421E11</v>
      </c>
    </row>
    <row r="3157">
      <c r="A3157" s="3">
        <v>2632180.0</v>
      </c>
      <c r="B3157" s="3" t="s">
        <v>6347</v>
      </c>
      <c r="C3157" s="3" t="b">
        <v>0</v>
      </c>
      <c r="D3157" s="3" t="b">
        <v>1</v>
      </c>
      <c r="E3157" s="3" t="s">
        <v>930</v>
      </c>
      <c r="F3157" s="3" t="s">
        <v>970</v>
      </c>
      <c r="G3157" s="4">
        <f>+251967654904</f>
        <v>251967654904</v>
      </c>
      <c r="H3157" s="3" t="s">
        <v>18</v>
      </c>
      <c r="I3157" s="3" t="s">
        <v>19</v>
      </c>
      <c r="J3157" s="3" t="s">
        <v>19</v>
      </c>
      <c r="K3157" s="3" t="s">
        <v>25</v>
      </c>
      <c r="L3157" s="3">
        <v>25.0</v>
      </c>
      <c r="M3157" s="3" t="s">
        <v>1695</v>
      </c>
      <c r="N3157" s="3" t="s">
        <v>6318</v>
      </c>
      <c r="O3157" s="3">
        <v>1.99446418623E11</v>
      </c>
    </row>
    <row r="3158">
      <c r="A3158" s="3">
        <v>2632182.0</v>
      </c>
      <c r="B3158" s="3" t="s">
        <v>6348</v>
      </c>
      <c r="C3158" s="3" t="b">
        <v>0</v>
      </c>
      <c r="D3158" s="3" t="b">
        <v>1</v>
      </c>
      <c r="E3158" s="3" t="s">
        <v>3540</v>
      </c>
      <c r="F3158" s="3" t="s">
        <v>1368</v>
      </c>
      <c r="G3158" s="4">
        <f>+251919156584</f>
        <v>251919156584</v>
      </c>
      <c r="H3158" s="3" t="s">
        <v>18</v>
      </c>
      <c r="I3158" s="3" t="s">
        <v>19</v>
      </c>
      <c r="J3158" s="3" t="s">
        <v>19</v>
      </c>
      <c r="K3158" s="3" t="s">
        <v>20</v>
      </c>
      <c r="L3158" s="3">
        <v>23.24</v>
      </c>
      <c r="M3158" s="3" t="s">
        <v>1695</v>
      </c>
      <c r="N3158" s="3" t="s">
        <v>6318</v>
      </c>
      <c r="O3158" s="3">
        <v>1.99458344124E11</v>
      </c>
    </row>
    <row r="3159">
      <c r="A3159" s="3">
        <v>2632187.0</v>
      </c>
      <c r="B3159" s="3" t="s">
        <v>6349</v>
      </c>
      <c r="C3159" s="3" t="b">
        <v>0</v>
      </c>
      <c r="D3159" s="3" t="b">
        <v>1</v>
      </c>
      <c r="E3159" s="3" t="s">
        <v>2050</v>
      </c>
      <c r="F3159" s="3" t="s">
        <v>151</v>
      </c>
      <c r="G3159" s="4">
        <f>+251940359561</f>
        <v>251940359561</v>
      </c>
      <c r="H3159" s="3" t="s">
        <v>18</v>
      </c>
      <c r="I3159" s="3" t="s">
        <v>19</v>
      </c>
      <c r="J3159" s="3" t="s">
        <v>19</v>
      </c>
      <c r="K3159" s="3" t="s">
        <v>20</v>
      </c>
      <c r="L3159" s="3">
        <v>26.0</v>
      </c>
      <c r="M3159" s="3" t="s">
        <v>1695</v>
      </c>
      <c r="N3159" s="3" t="s">
        <v>6318</v>
      </c>
      <c r="O3159" s="3">
        <v>1.99407794397E11</v>
      </c>
    </row>
    <row r="3160">
      <c r="A3160" s="3">
        <v>2632192.0</v>
      </c>
      <c r="B3160" s="3" t="s">
        <v>6350</v>
      </c>
      <c r="C3160" s="3" t="b">
        <v>0</v>
      </c>
      <c r="D3160" s="3" t="b">
        <v>1</v>
      </c>
      <c r="E3160" s="3" t="s">
        <v>6351</v>
      </c>
      <c r="F3160" s="3" t="s">
        <v>596</v>
      </c>
      <c r="G3160" s="4">
        <f>+251910089711</f>
        <v>251910089711</v>
      </c>
      <c r="H3160" s="3" t="s">
        <v>18</v>
      </c>
      <c r="I3160" s="3" t="s">
        <v>19</v>
      </c>
      <c r="J3160" s="3" t="s">
        <v>19</v>
      </c>
      <c r="K3160" s="3" t="s">
        <v>20</v>
      </c>
      <c r="L3160" s="3">
        <v>26.0</v>
      </c>
      <c r="M3160" s="3" t="s">
        <v>1695</v>
      </c>
      <c r="N3160" s="3" t="s">
        <v>6318</v>
      </c>
      <c r="O3160" s="3">
        <v>1.99471826128E11</v>
      </c>
    </row>
    <row r="3161">
      <c r="A3161" s="3">
        <v>2632196.0</v>
      </c>
      <c r="B3161" s="3" t="s">
        <v>6352</v>
      </c>
      <c r="C3161" s="3" t="b">
        <v>0</v>
      </c>
      <c r="D3161" s="3" t="b">
        <v>1</v>
      </c>
      <c r="E3161" s="3" t="s">
        <v>58</v>
      </c>
      <c r="F3161" s="3" t="s">
        <v>6353</v>
      </c>
      <c r="G3161" s="4">
        <f>+251923711743</f>
        <v>251923711743</v>
      </c>
      <c r="H3161" s="3" t="s">
        <v>18</v>
      </c>
      <c r="I3161" s="3" t="s">
        <v>19</v>
      </c>
      <c r="J3161" s="3" t="s">
        <v>19</v>
      </c>
      <c r="K3161" s="3" t="s">
        <v>25</v>
      </c>
      <c r="L3161" s="3">
        <v>37.27</v>
      </c>
      <c r="M3161" s="3" t="s">
        <v>1695</v>
      </c>
      <c r="N3161" s="3" t="s">
        <v>6318</v>
      </c>
      <c r="O3161" s="3">
        <v>1.99448258805E11</v>
      </c>
    </row>
    <row r="3162">
      <c r="A3162" s="3">
        <v>2632203.0</v>
      </c>
      <c r="B3162" s="3" t="s">
        <v>6354</v>
      </c>
      <c r="C3162" s="3" t="b">
        <v>0</v>
      </c>
      <c r="D3162" s="3" t="b">
        <v>1</v>
      </c>
      <c r="E3162" s="3" t="s">
        <v>3732</v>
      </c>
      <c r="F3162" s="3" t="s">
        <v>468</v>
      </c>
      <c r="G3162" s="4">
        <f>+251947269782</f>
        <v>251947269782</v>
      </c>
      <c r="H3162" s="3" t="s">
        <v>18</v>
      </c>
      <c r="I3162" s="3" t="s">
        <v>19</v>
      </c>
      <c r="J3162" s="3" t="s">
        <v>19</v>
      </c>
      <c r="K3162" s="3" t="s">
        <v>25</v>
      </c>
      <c r="L3162" s="3">
        <v>26.0</v>
      </c>
      <c r="M3162" s="3" t="s">
        <v>1695</v>
      </c>
      <c r="N3162" s="3" t="s">
        <v>6318</v>
      </c>
      <c r="O3162" s="3">
        <v>1.99466076366E11</v>
      </c>
    </row>
    <row r="3163">
      <c r="A3163" s="3">
        <v>2632209.0</v>
      </c>
      <c r="B3163" s="3" t="s">
        <v>6355</v>
      </c>
      <c r="C3163" s="3" t="b">
        <v>0</v>
      </c>
      <c r="D3163" s="3" t="b">
        <v>1</v>
      </c>
      <c r="E3163" s="3" t="s">
        <v>6356</v>
      </c>
      <c r="F3163" s="3" t="s">
        <v>6357</v>
      </c>
      <c r="G3163" s="4">
        <f>+251917625486</f>
        <v>251917625486</v>
      </c>
      <c r="H3163" s="3" t="s">
        <v>18</v>
      </c>
      <c r="I3163" s="3" t="s">
        <v>19</v>
      </c>
      <c r="J3163" s="3" t="s">
        <v>19</v>
      </c>
      <c r="K3163" s="3" t="s">
        <v>25</v>
      </c>
      <c r="L3163" s="3">
        <v>26.0</v>
      </c>
      <c r="M3163" s="3" t="s">
        <v>1695</v>
      </c>
      <c r="N3163" s="3" t="s">
        <v>6318</v>
      </c>
      <c r="O3163" s="3">
        <v>1.99415010534E11</v>
      </c>
    </row>
    <row r="3164">
      <c r="A3164" s="3">
        <v>2632217.0</v>
      </c>
      <c r="B3164" s="3" t="s">
        <v>6358</v>
      </c>
      <c r="C3164" s="3" t="b">
        <v>0</v>
      </c>
      <c r="D3164" s="3" t="b">
        <v>1</v>
      </c>
      <c r="E3164" s="3" t="s">
        <v>3954</v>
      </c>
      <c r="F3164" s="3" t="s">
        <v>596</v>
      </c>
      <c r="G3164" s="4">
        <f>+251935887060</f>
        <v>251935887060</v>
      </c>
      <c r="H3164" s="3" t="s">
        <v>18</v>
      </c>
      <c r="I3164" s="3" t="s">
        <v>19</v>
      </c>
      <c r="J3164" s="3" t="s">
        <v>19</v>
      </c>
      <c r="K3164" s="3" t="s">
        <v>20</v>
      </c>
      <c r="L3164" s="3">
        <v>26.0</v>
      </c>
      <c r="M3164" s="3" t="s">
        <v>1695</v>
      </c>
      <c r="N3164" s="3" t="s">
        <v>6318</v>
      </c>
      <c r="O3164" s="3">
        <v>1.9946462739E11</v>
      </c>
    </row>
    <row r="3165">
      <c r="A3165" s="3">
        <v>2632225.0</v>
      </c>
      <c r="B3165" s="3" t="s">
        <v>6359</v>
      </c>
      <c r="C3165" s="3" t="b">
        <v>0</v>
      </c>
      <c r="D3165" s="3" t="b">
        <v>1</v>
      </c>
      <c r="E3165" s="3" t="s">
        <v>316</v>
      </c>
      <c r="F3165" s="3" t="s">
        <v>4536</v>
      </c>
      <c r="G3165" s="4">
        <f>+251985303631</f>
        <v>251985303631</v>
      </c>
      <c r="H3165" s="3" t="s">
        <v>18</v>
      </c>
      <c r="I3165" s="3" t="s">
        <v>19</v>
      </c>
      <c r="J3165" s="3" t="s">
        <v>19</v>
      </c>
      <c r="K3165" s="3" t="s">
        <v>25</v>
      </c>
      <c r="L3165" s="3">
        <v>25.0</v>
      </c>
      <c r="M3165" s="3" t="s">
        <v>1695</v>
      </c>
      <c r="N3165" s="3" t="s">
        <v>6318</v>
      </c>
      <c r="O3165" s="3">
        <v>1.9947060965E11</v>
      </c>
    </row>
    <row r="3166">
      <c r="A3166" s="3">
        <v>2632235.0</v>
      </c>
      <c r="B3166" s="3" t="s">
        <v>6360</v>
      </c>
      <c r="C3166" s="3" t="b">
        <v>0</v>
      </c>
      <c r="D3166" s="3" t="b">
        <v>1</v>
      </c>
      <c r="E3166" s="3" t="s">
        <v>4437</v>
      </c>
      <c r="F3166" s="3" t="s">
        <v>479</v>
      </c>
      <c r="G3166" s="4">
        <f>+251989952388</f>
        <v>251989952388</v>
      </c>
      <c r="H3166" s="3" t="s">
        <v>18</v>
      </c>
      <c r="I3166" s="3" t="s">
        <v>19</v>
      </c>
      <c r="J3166" s="3" t="s">
        <v>19</v>
      </c>
      <c r="K3166" s="3" t="s">
        <v>20</v>
      </c>
      <c r="L3166" s="3">
        <v>26.0</v>
      </c>
      <c r="M3166" s="3" t="s">
        <v>1695</v>
      </c>
      <c r="N3166" s="3" t="s">
        <v>6318</v>
      </c>
      <c r="O3166" s="3">
        <v>1.99472073976E11</v>
      </c>
    </row>
    <row r="3167">
      <c r="A3167" s="3">
        <v>2632241.0</v>
      </c>
      <c r="B3167" s="3" t="s">
        <v>6361</v>
      </c>
      <c r="C3167" s="3" t="b">
        <v>0</v>
      </c>
      <c r="D3167" s="3" t="b">
        <v>1</v>
      </c>
      <c r="E3167" s="3" t="s">
        <v>6362</v>
      </c>
      <c r="F3167" s="3" t="s">
        <v>2171</v>
      </c>
      <c r="G3167" s="4">
        <f>+251931252475</f>
        <v>251931252475</v>
      </c>
      <c r="H3167" s="3" t="s">
        <v>18</v>
      </c>
      <c r="I3167" s="3" t="s">
        <v>19</v>
      </c>
      <c r="J3167" s="3" t="s">
        <v>19</v>
      </c>
      <c r="K3167" s="3" t="s">
        <v>20</v>
      </c>
      <c r="L3167" s="3">
        <v>28.0</v>
      </c>
      <c r="M3167" s="3" t="s">
        <v>1695</v>
      </c>
      <c r="N3167" s="3" t="s">
        <v>6318</v>
      </c>
      <c r="O3167" s="3">
        <v>1.9942204132E11</v>
      </c>
    </row>
    <row r="3168">
      <c r="A3168" s="3">
        <v>2632243.0</v>
      </c>
      <c r="B3168" s="3" t="s">
        <v>6363</v>
      </c>
      <c r="C3168" s="3" t="b">
        <v>0</v>
      </c>
      <c r="D3168" s="3" t="b">
        <v>1</v>
      </c>
      <c r="E3168" s="3" t="s">
        <v>6364</v>
      </c>
      <c r="F3168" s="3" t="s">
        <v>2939</v>
      </c>
      <c r="G3168" s="4">
        <f>+251931652284</f>
        <v>251931652284</v>
      </c>
      <c r="H3168" s="3" t="s">
        <v>18</v>
      </c>
      <c r="I3168" s="3" t="s">
        <v>19</v>
      </c>
      <c r="J3168" s="3" t="s">
        <v>19</v>
      </c>
      <c r="K3168" s="3" t="s">
        <v>25</v>
      </c>
      <c r="L3168" s="3">
        <v>25.0</v>
      </c>
      <c r="M3168" s="3" t="s">
        <v>1695</v>
      </c>
      <c r="N3168" s="3" t="s">
        <v>6318</v>
      </c>
      <c r="O3168" s="3">
        <v>1.99471339722E11</v>
      </c>
    </row>
    <row r="3169">
      <c r="A3169" s="3">
        <v>2632250.0</v>
      </c>
      <c r="B3169" s="3" t="s">
        <v>6365</v>
      </c>
      <c r="C3169" s="3" t="b">
        <v>0</v>
      </c>
      <c r="D3169" s="3" t="b">
        <v>1</v>
      </c>
      <c r="E3169" s="3" t="s">
        <v>273</v>
      </c>
      <c r="F3169" s="3" t="s">
        <v>596</v>
      </c>
      <c r="G3169" s="4">
        <f>+251986110010</f>
        <v>251986110010</v>
      </c>
      <c r="H3169" s="3" t="s">
        <v>18</v>
      </c>
      <c r="I3169" s="3" t="s">
        <v>19</v>
      </c>
      <c r="J3169" s="3" t="s">
        <v>19</v>
      </c>
      <c r="K3169" s="3" t="s">
        <v>25</v>
      </c>
      <c r="L3169" s="3">
        <v>26.0</v>
      </c>
      <c r="M3169" s="3" t="s">
        <v>1695</v>
      </c>
      <c r="N3169" s="3" t="s">
        <v>6318</v>
      </c>
      <c r="O3169" s="3">
        <v>1.99424862409E11</v>
      </c>
    </row>
    <row r="3170">
      <c r="A3170" s="3">
        <v>2632249.0</v>
      </c>
      <c r="B3170" s="3" t="s">
        <v>6366</v>
      </c>
      <c r="C3170" s="3" t="b">
        <v>0</v>
      </c>
      <c r="D3170" s="3" t="b">
        <v>1</v>
      </c>
      <c r="E3170" s="3" t="s">
        <v>6367</v>
      </c>
      <c r="F3170" s="3" t="s">
        <v>6368</v>
      </c>
      <c r="G3170" s="4">
        <f>+251931664623</f>
        <v>251931664623</v>
      </c>
      <c r="H3170" s="3" t="s">
        <v>18</v>
      </c>
      <c r="I3170" s="3" t="s">
        <v>19</v>
      </c>
      <c r="J3170" s="3" t="s">
        <v>19</v>
      </c>
      <c r="K3170" s="3" t="s">
        <v>25</v>
      </c>
      <c r="L3170" s="3">
        <v>27.62</v>
      </c>
      <c r="M3170" s="3" t="s">
        <v>1695</v>
      </c>
      <c r="N3170" s="3" t="s">
        <v>6318</v>
      </c>
      <c r="O3170" s="3">
        <v>1.99478438113E11</v>
      </c>
    </row>
    <row r="3171">
      <c r="A3171" s="3">
        <v>2632257.0</v>
      </c>
      <c r="B3171" s="3" t="s">
        <v>6369</v>
      </c>
      <c r="C3171" s="3" t="b">
        <v>0</v>
      </c>
      <c r="D3171" s="3" t="b">
        <v>1</v>
      </c>
      <c r="E3171" s="3" t="s">
        <v>1208</v>
      </c>
      <c r="F3171" s="3" t="s">
        <v>1803</v>
      </c>
      <c r="G3171" s="4">
        <f>+251938818371</f>
        <v>251938818371</v>
      </c>
      <c r="H3171" s="3" t="s">
        <v>18</v>
      </c>
      <c r="I3171" s="3" t="s">
        <v>19</v>
      </c>
      <c r="J3171" s="3" t="s">
        <v>19</v>
      </c>
      <c r="K3171" s="3" t="s">
        <v>20</v>
      </c>
      <c r="L3171" s="3">
        <v>26.0</v>
      </c>
      <c r="M3171" s="3" t="s">
        <v>1695</v>
      </c>
      <c r="N3171" s="3" t="s">
        <v>6318</v>
      </c>
      <c r="O3171" s="3">
        <v>1.9942513684E11</v>
      </c>
    </row>
    <row r="3172">
      <c r="A3172" s="3">
        <v>2632270.0</v>
      </c>
      <c r="B3172" s="3" t="s">
        <v>6370</v>
      </c>
      <c r="C3172" s="3" t="b">
        <v>0</v>
      </c>
      <c r="D3172" s="3" t="b">
        <v>1</v>
      </c>
      <c r="E3172" s="3" t="s">
        <v>4085</v>
      </c>
      <c r="F3172" s="3" t="s">
        <v>479</v>
      </c>
      <c r="G3172" s="4">
        <f>+251712344867</f>
        <v>251712344867</v>
      </c>
      <c r="H3172" s="3" t="s">
        <v>18</v>
      </c>
      <c r="I3172" s="3" t="s">
        <v>19</v>
      </c>
      <c r="J3172" s="3" t="s">
        <v>19</v>
      </c>
      <c r="K3172" s="3" t="s">
        <v>25</v>
      </c>
      <c r="L3172" s="3">
        <v>26.0</v>
      </c>
      <c r="M3172" s="3" t="s">
        <v>1695</v>
      </c>
      <c r="N3172" s="3" t="s">
        <v>6318</v>
      </c>
      <c r="O3172" s="3">
        <v>1.99458570479E11</v>
      </c>
    </row>
    <row r="3173">
      <c r="A3173" s="3">
        <v>2632286.0</v>
      </c>
      <c r="B3173" s="3" t="s">
        <v>6371</v>
      </c>
      <c r="C3173" s="3" t="b">
        <v>0</v>
      </c>
      <c r="D3173" s="3" t="b">
        <v>1</v>
      </c>
      <c r="E3173" s="3" t="s">
        <v>2077</v>
      </c>
      <c r="F3173" s="3" t="s">
        <v>1130</v>
      </c>
      <c r="G3173" s="4">
        <f>+251991527058</f>
        <v>251991527058</v>
      </c>
      <c r="H3173" s="3" t="s">
        <v>18</v>
      </c>
      <c r="I3173" s="3" t="s">
        <v>19</v>
      </c>
      <c r="J3173" s="3" t="s">
        <v>19</v>
      </c>
      <c r="K3173" s="3" t="s">
        <v>20</v>
      </c>
      <c r="L3173" s="3">
        <v>30.0</v>
      </c>
      <c r="M3173" s="3" t="s">
        <v>1695</v>
      </c>
      <c r="N3173" s="3" t="s">
        <v>6318</v>
      </c>
      <c r="O3173" s="3">
        <v>1.99423698138E11</v>
      </c>
    </row>
    <row r="3174">
      <c r="A3174" s="3">
        <v>2632315.0</v>
      </c>
      <c r="B3174" s="3" t="s">
        <v>6372</v>
      </c>
      <c r="C3174" s="3" t="b">
        <v>0</v>
      </c>
      <c r="D3174" s="3" t="b">
        <v>1</v>
      </c>
      <c r="E3174" s="3" t="s">
        <v>6373</v>
      </c>
      <c r="F3174" s="3" t="s">
        <v>580</v>
      </c>
      <c r="G3174" s="4">
        <f>+251900783949</f>
        <v>251900783949</v>
      </c>
      <c r="H3174" s="3" t="s">
        <v>18</v>
      </c>
      <c r="I3174" s="3" t="s">
        <v>19</v>
      </c>
      <c r="J3174" s="3" t="s">
        <v>19</v>
      </c>
      <c r="K3174" s="3" t="s">
        <v>20</v>
      </c>
      <c r="L3174" s="3">
        <v>26.0</v>
      </c>
      <c r="M3174" s="3" t="s">
        <v>1695</v>
      </c>
      <c r="N3174" s="3" t="s">
        <v>6318</v>
      </c>
      <c r="O3174" s="3">
        <v>1.99500539088E11</v>
      </c>
    </row>
    <row r="3175">
      <c r="A3175" s="3">
        <v>2632321.0</v>
      </c>
      <c r="B3175" s="3" t="s">
        <v>6374</v>
      </c>
      <c r="C3175" s="3" t="b">
        <v>0</v>
      </c>
      <c r="D3175" s="3" t="b">
        <v>1</v>
      </c>
      <c r="E3175" s="3" t="s">
        <v>2382</v>
      </c>
      <c r="F3175" s="3" t="s">
        <v>70</v>
      </c>
      <c r="G3175" s="4">
        <f>+251978640090</f>
        <v>251978640090</v>
      </c>
      <c r="H3175" s="3" t="s">
        <v>18</v>
      </c>
      <c r="I3175" s="3" t="s">
        <v>19</v>
      </c>
      <c r="J3175" s="3" t="s">
        <v>19</v>
      </c>
      <c r="K3175" s="3" t="s">
        <v>25</v>
      </c>
      <c r="L3175" s="3">
        <v>22.03</v>
      </c>
      <c r="M3175" s="3" t="s">
        <v>1695</v>
      </c>
      <c r="N3175" s="3" t="s">
        <v>6318</v>
      </c>
      <c r="O3175" s="3">
        <v>6196581.0</v>
      </c>
    </row>
    <row r="3176">
      <c r="A3176" s="3">
        <v>2632325.0</v>
      </c>
      <c r="B3176" s="3" t="s">
        <v>6375</v>
      </c>
      <c r="C3176" s="3" t="b">
        <v>0</v>
      </c>
      <c r="D3176" s="3" t="b">
        <v>1</v>
      </c>
      <c r="E3176" s="3" t="s">
        <v>6376</v>
      </c>
      <c r="F3176" s="3" t="s">
        <v>4878</v>
      </c>
      <c r="G3176" s="4">
        <f>+251094023404</f>
        <v>251094023404</v>
      </c>
      <c r="H3176" s="3" t="s">
        <v>18</v>
      </c>
      <c r="I3176" s="3" t="s">
        <v>19</v>
      </c>
      <c r="J3176" s="3" t="s">
        <v>19</v>
      </c>
      <c r="K3176" s="3" t="s">
        <v>20</v>
      </c>
      <c r="L3176" s="3">
        <v>24.03</v>
      </c>
      <c r="M3176" s="3" t="s">
        <v>1695</v>
      </c>
      <c r="N3176" s="3" t="s">
        <v>6318</v>
      </c>
      <c r="O3176" s="3">
        <v>1.9949868257E11</v>
      </c>
    </row>
    <row r="3177">
      <c r="A3177" s="3">
        <v>2632330.0</v>
      </c>
      <c r="B3177" s="3" t="s">
        <v>6377</v>
      </c>
      <c r="C3177" s="3" t="b">
        <v>0</v>
      </c>
      <c r="D3177" s="3" t="b">
        <v>1</v>
      </c>
      <c r="E3177" s="3" t="s">
        <v>6378</v>
      </c>
      <c r="F3177" s="3" t="s">
        <v>6379</v>
      </c>
      <c r="G3177" s="4">
        <f>+251942398608</f>
        <v>251942398608</v>
      </c>
      <c r="H3177" s="3" t="s">
        <v>18</v>
      </c>
      <c r="I3177" s="3" t="s">
        <v>19</v>
      </c>
      <c r="J3177" s="3" t="s">
        <v>19</v>
      </c>
      <c r="K3177" s="3" t="s">
        <v>20</v>
      </c>
      <c r="L3177" s="3">
        <v>25.96</v>
      </c>
      <c r="M3177" s="3" t="s">
        <v>1695</v>
      </c>
      <c r="N3177" s="3" t="s">
        <v>6318</v>
      </c>
      <c r="O3177" s="3">
        <v>1.99496056036E11</v>
      </c>
    </row>
    <row r="3178">
      <c r="A3178" s="3">
        <v>2632329.0</v>
      </c>
      <c r="B3178" s="3" t="s">
        <v>6380</v>
      </c>
      <c r="C3178" s="3" t="b">
        <v>0</v>
      </c>
      <c r="D3178" s="3" t="b">
        <v>1</v>
      </c>
      <c r="E3178" s="3" t="s">
        <v>4248</v>
      </c>
      <c r="F3178" s="3" t="s">
        <v>529</v>
      </c>
      <c r="G3178" s="4">
        <f>+251942093983</f>
        <v>251942093983</v>
      </c>
      <c r="H3178" s="3" t="s">
        <v>18</v>
      </c>
      <c r="I3178" s="3" t="s">
        <v>19</v>
      </c>
      <c r="J3178" s="3" t="s">
        <v>19</v>
      </c>
      <c r="K3178" s="3" t="s">
        <v>25</v>
      </c>
      <c r="L3178" s="3">
        <v>21.6</v>
      </c>
      <c r="M3178" s="3" t="s">
        <v>1695</v>
      </c>
      <c r="N3178" s="3" t="s">
        <v>6318</v>
      </c>
      <c r="O3178" s="3">
        <v>1.99540220127E11</v>
      </c>
    </row>
    <row r="3179">
      <c r="A3179" s="3">
        <v>2632352.0</v>
      </c>
      <c r="B3179" s="3" t="s">
        <v>6381</v>
      </c>
      <c r="C3179" s="3" t="b">
        <v>0</v>
      </c>
      <c r="D3179" s="3" t="b">
        <v>1</v>
      </c>
      <c r="E3179" s="3" t="s">
        <v>6382</v>
      </c>
      <c r="F3179" s="3" t="s">
        <v>218</v>
      </c>
      <c r="G3179" s="4">
        <f>+251903366083</f>
        <v>251903366083</v>
      </c>
      <c r="H3179" s="3" t="s">
        <v>18</v>
      </c>
      <c r="I3179" s="3" t="s">
        <v>19</v>
      </c>
      <c r="J3179" s="3" t="s">
        <v>19</v>
      </c>
      <c r="K3179" s="3" t="s">
        <v>20</v>
      </c>
      <c r="L3179" s="3">
        <v>21.56</v>
      </c>
      <c r="M3179" s="3" t="s">
        <v>1695</v>
      </c>
      <c r="N3179" s="3" t="s">
        <v>6318</v>
      </c>
      <c r="O3179" s="3">
        <v>1.99540457683E11</v>
      </c>
    </row>
    <row r="3180">
      <c r="A3180" s="3">
        <v>2632374.0</v>
      </c>
      <c r="B3180" s="3" t="s">
        <v>6383</v>
      </c>
      <c r="C3180" s="3" t="b">
        <v>0</v>
      </c>
      <c r="D3180" s="3" t="b">
        <v>1</v>
      </c>
      <c r="E3180" s="3" t="s">
        <v>760</v>
      </c>
      <c r="F3180" s="3" t="s">
        <v>6384</v>
      </c>
      <c r="G3180" s="4">
        <f>+251954987210</f>
        <v>251954987210</v>
      </c>
      <c r="H3180" s="3" t="s">
        <v>18</v>
      </c>
      <c r="I3180" s="3" t="s">
        <v>19</v>
      </c>
      <c r="J3180" s="3" t="s">
        <v>19</v>
      </c>
      <c r="K3180" s="3" t="s">
        <v>20</v>
      </c>
      <c r="L3180" s="3">
        <v>24.59</v>
      </c>
      <c r="M3180" s="3" t="s">
        <v>1695</v>
      </c>
      <c r="N3180" s="3" t="s">
        <v>6318</v>
      </c>
      <c r="O3180" s="3">
        <v>1.99558047985E11</v>
      </c>
    </row>
    <row r="3181">
      <c r="A3181" s="3">
        <v>2632381.0</v>
      </c>
      <c r="B3181" s="3" t="s">
        <v>6385</v>
      </c>
      <c r="C3181" s="3" t="b">
        <v>0</v>
      </c>
      <c r="D3181" s="3" t="b">
        <v>1</v>
      </c>
      <c r="E3181" s="3" t="s">
        <v>1511</v>
      </c>
      <c r="F3181" s="3" t="s">
        <v>229</v>
      </c>
      <c r="G3181" s="4">
        <f>+251913555014</f>
        <v>251913555014</v>
      </c>
      <c r="H3181" s="3" t="s">
        <v>18</v>
      </c>
      <c r="I3181" s="3" t="s">
        <v>19</v>
      </c>
      <c r="J3181" s="3" t="s">
        <v>19</v>
      </c>
      <c r="K3181" s="3" t="s">
        <v>20</v>
      </c>
      <c r="L3181" s="3">
        <v>28.85</v>
      </c>
      <c r="M3181" s="3" t="s">
        <v>1695</v>
      </c>
      <c r="N3181" s="3" t="s">
        <v>6318</v>
      </c>
      <c r="O3181" s="3">
        <v>1.99567585489E11</v>
      </c>
    </row>
    <row r="3182">
      <c r="A3182" s="3">
        <v>2632409.0</v>
      </c>
      <c r="B3182" s="3" t="s">
        <v>6386</v>
      </c>
      <c r="C3182" s="3" t="b">
        <v>0</v>
      </c>
      <c r="D3182" s="3" t="b">
        <v>1</v>
      </c>
      <c r="E3182" s="3" t="s">
        <v>1363</v>
      </c>
      <c r="F3182" s="3" t="s">
        <v>32</v>
      </c>
      <c r="G3182" s="4">
        <f>+251946838622</f>
        <v>251946838622</v>
      </c>
      <c r="H3182" s="3" t="s">
        <v>18</v>
      </c>
      <c r="I3182" s="3" t="s">
        <v>19</v>
      </c>
      <c r="J3182" s="3" t="s">
        <v>19</v>
      </c>
      <c r="K3182" s="3" t="s">
        <v>25</v>
      </c>
      <c r="L3182" s="3">
        <v>25.79</v>
      </c>
      <c r="M3182" s="3" t="s">
        <v>1695</v>
      </c>
      <c r="N3182" s="3" t="s">
        <v>6318</v>
      </c>
      <c r="O3182" s="3">
        <v>1896851.0</v>
      </c>
    </row>
    <row r="3183">
      <c r="A3183" s="3">
        <v>2632480.0</v>
      </c>
      <c r="B3183" s="3" t="s">
        <v>6387</v>
      </c>
      <c r="C3183" s="3" t="b">
        <v>0</v>
      </c>
      <c r="D3183" s="3" t="b">
        <v>1</v>
      </c>
      <c r="E3183" s="3" t="s">
        <v>1502</v>
      </c>
      <c r="F3183" s="3" t="s">
        <v>6384</v>
      </c>
      <c r="G3183" s="4">
        <f>+251920330643</f>
        <v>251920330643</v>
      </c>
      <c r="H3183" s="3" t="s">
        <v>18</v>
      </c>
      <c r="I3183" s="3" t="s">
        <v>19</v>
      </c>
      <c r="J3183" s="3" t="s">
        <v>19</v>
      </c>
      <c r="K3183" s="3" t="s">
        <v>20</v>
      </c>
      <c r="L3183" s="3">
        <v>21.86</v>
      </c>
      <c r="M3183" s="3" t="s">
        <v>1695</v>
      </c>
      <c r="N3183" s="3" t="s">
        <v>6318</v>
      </c>
      <c r="O3183" s="3">
        <v>1.99588100291E11</v>
      </c>
    </row>
    <row r="3184">
      <c r="A3184" s="3">
        <v>2632496.0</v>
      </c>
      <c r="B3184" s="3" t="s">
        <v>6388</v>
      </c>
      <c r="C3184" s="3" t="b">
        <v>0</v>
      </c>
      <c r="D3184" s="3" t="b">
        <v>1</v>
      </c>
      <c r="E3184" s="3" t="s">
        <v>386</v>
      </c>
      <c r="F3184" s="3" t="s">
        <v>6389</v>
      </c>
      <c r="G3184" s="4">
        <f>+251931553861</f>
        <v>251931553861</v>
      </c>
      <c r="H3184" s="3" t="s">
        <v>18</v>
      </c>
      <c r="I3184" s="3" t="s">
        <v>19</v>
      </c>
      <c r="J3184" s="3" t="s">
        <v>19</v>
      </c>
      <c r="K3184" s="3" t="s">
        <v>20</v>
      </c>
      <c r="L3184" s="3">
        <v>25.92</v>
      </c>
      <c r="M3184" s="3" t="s">
        <v>1695</v>
      </c>
      <c r="N3184" s="3" t="s">
        <v>6318</v>
      </c>
      <c r="O3184" s="3">
        <v>1.99650277582E11</v>
      </c>
    </row>
    <row r="3185">
      <c r="A3185" s="3">
        <v>2632596.0</v>
      </c>
      <c r="B3185" s="3" t="s">
        <v>6390</v>
      </c>
      <c r="C3185" s="3" t="b">
        <v>0</v>
      </c>
      <c r="D3185" s="3" t="b">
        <v>1</v>
      </c>
      <c r="E3185" s="3" t="s">
        <v>6391</v>
      </c>
      <c r="F3185" s="3" t="s">
        <v>6392</v>
      </c>
      <c r="G3185" s="4">
        <f>+251951569414</f>
        <v>251951569414</v>
      </c>
      <c r="H3185" s="3" t="s">
        <v>18</v>
      </c>
      <c r="I3185" s="3" t="s">
        <v>19</v>
      </c>
      <c r="J3185" s="3" t="s">
        <v>19</v>
      </c>
      <c r="K3185" s="3" t="s">
        <v>25</v>
      </c>
      <c r="L3185" s="3">
        <v>26.22</v>
      </c>
      <c r="M3185" s="3" t="s">
        <v>1695</v>
      </c>
      <c r="N3185" s="3" t="s">
        <v>6318</v>
      </c>
      <c r="O3185" s="3">
        <v>1.99670172895E11</v>
      </c>
    </row>
    <row r="3186">
      <c r="A3186" s="3">
        <v>2632607.0</v>
      </c>
      <c r="B3186" s="3" t="s">
        <v>6393</v>
      </c>
      <c r="C3186" s="3" t="b">
        <v>0</v>
      </c>
      <c r="D3186" s="3" t="b">
        <v>1</v>
      </c>
      <c r="E3186" s="3" t="s">
        <v>6394</v>
      </c>
      <c r="F3186" s="3" t="s">
        <v>4568</v>
      </c>
      <c r="G3186" s="4">
        <f>+251988945301</f>
        <v>251988945301</v>
      </c>
      <c r="H3186" s="3" t="s">
        <v>18</v>
      </c>
      <c r="I3186" s="3" t="s">
        <v>19</v>
      </c>
      <c r="J3186" s="3" t="s">
        <v>19</v>
      </c>
      <c r="K3186" s="3" t="s">
        <v>25</v>
      </c>
      <c r="L3186" s="3">
        <v>27.0</v>
      </c>
      <c r="M3186" s="3" t="s">
        <v>1695</v>
      </c>
      <c r="N3186" s="3" t="s">
        <v>6318</v>
      </c>
      <c r="O3186" s="3">
        <v>1.99627323584E11</v>
      </c>
    </row>
    <row r="3187">
      <c r="A3187" s="3">
        <v>2632621.0</v>
      </c>
      <c r="B3187" s="3" t="s">
        <v>6395</v>
      </c>
      <c r="C3187" s="3" t="b">
        <v>0</v>
      </c>
      <c r="D3187" s="3" t="b">
        <v>1</v>
      </c>
      <c r="E3187" s="3" t="s">
        <v>6396</v>
      </c>
      <c r="F3187" s="3" t="s">
        <v>1226</v>
      </c>
      <c r="G3187" s="4">
        <f>+251925758525</f>
        <v>251925758525</v>
      </c>
      <c r="H3187" s="3" t="s">
        <v>18</v>
      </c>
      <c r="I3187" s="3" t="s">
        <v>19</v>
      </c>
      <c r="J3187" s="3" t="s">
        <v>19</v>
      </c>
      <c r="K3187" s="3" t="s">
        <v>25</v>
      </c>
      <c r="L3187" s="3">
        <v>26.75</v>
      </c>
      <c r="M3187" s="3" t="s">
        <v>1695</v>
      </c>
      <c r="N3187" s="3" t="s">
        <v>6318</v>
      </c>
      <c r="O3187" s="3">
        <v>1.99674610931E11</v>
      </c>
    </row>
    <row r="3188">
      <c r="A3188" s="3">
        <v>2632263.0</v>
      </c>
      <c r="B3188" s="3" t="s">
        <v>6397</v>
      </c>
      <c r="C3188" s="3" t="b">
        <v>0</v>
      </c>
      <c r="D3188" s="3" t="b">
        <v>1</v>
      </c>
      <c r="E3188" s="3" t="s">
        <v>5840</v>
      </c>
      <c r="F3188" s="3" t="s">
        <v>877</v>
      </c>
      <c r="G3188" s="4">
        <f>+251935889180</f>
        <v>251935889180</v>
      </c>
      <c r="H3188" s="3" t="s">
        <v>18</v>
      </c>
      <c r="I3188" s="3" t="s">
        <v>19</v>
      </c>
      <c r="J3188" s="3" t="s">
        <v>19</v>
      </c>
      <c r="K3188" s="3" t="s">
        <v>25</v>
      </c>
      <c r="L3188" s="3">
        <v>25.0</v>
      </c>
      <c r="M3188" s="3" t="s">
        <v>1695</v>
      </c>
      <c r="N3188" s="3" t="s">
        <v>6318</v>
      </c>
      <c r="O3188" s="3">
        <v>1.99422299365E11</v>
      </c>
    </row>
    <row r="3189">
      <c r="A3189" s="3">
        <v>2632631.0</v>
      </c>
      <c r="B3189" s="3" t="s">
        <v>6398</v>
      </c>
      <c r="C3189" s="3" t="b">
        <v>0</v>
      </c>
      <c r="D3189" s="3" t="b">
        <v>1</v>
      </c>
      <c r="E3189" s="3" t="s">
        <v>787</v>
      </c>
      <c r="F3189" s="3" t="s">
        <v>529</v>
      </c>
      <c r="G3189" s="4">
        <f>+251935069262</f>
        <v>251935069262</v>
      </c>
      <c r="H3189" s="3" t="s">
        <v>18</v>
      </c>
      <c r="I3189" s="3" t="s">
        <v>19</v>
      </c>
      <c r="J3189" s="3" t="s">
        <v>19</v>
      </c>
      <c r="K3189" s="3" t="s">
        <v>25</v>
      </c>
      <c r="L3189" s="3">
        <v>25.89</v>
      </c>
      <c r="M3189" s="3" t="s">
        <v>1695</v>
      </c>
      <c r="N3189" s="3" t="s">
        <v>6318</v>
      </c>
      <c r="O3189" s="3">
        <v>2.3068342E7</v>
      </c>
    </row>
    <row r="3190">
      <c r="A3190" s="3">
        <v>2632639.0</v>
      </c>
      <c r="B3190" s="3" t="s">
        <v>6399</v>
      </c>
      <c r="C3190" s="3" t="b">
        <v>0</v>
      </c>
      <c r="D3190" s="3" t="b">
        <v>1</v>
      </c>
      <c r="E3190" s="3" t="s">
        <v>6400</v>
      </c>
      <c r="F3190" s="3" t="s">
        <v>744</v>
      </c>
      <c r="G3190" s="4">
        <f>+251947826329</f>
        <v>251947826329</v>
      </c>
      <c r="H3190" s="3" t="s">
        <v>18</v>
      </c>
      <c r="I3190" s="3" t="s">
        <v>19</v>
      </c>
      <c r="J3190" s="3" t="s">
        <v>19</v>
      </c>
      <c r="K3190" s="3" t="s">
        <v>20</v>
      </c>
      <c r="L3190" s="3">
        <v>21.86</v>
      </c>
      <c r="M3190" s="3" t="s">
        <v>1695</v>
      </c>
      <c r="N3190" s="3" t="s">
        <v>6318</v>
      </c>
      <c r="O3190" s="3">
        <v>1.99654742202E11</v>
      </c>
    </row>
    <row r="3191">
      <c r="A3191" s="3">
        <v>2632642.0</v>
      </c>
      <c r="B3191" s="3" t="s">
        <v>6401</v>
      </c>
      <c r="C3191" s="3" t="b">
        <v>0</v>
      </c>
      <c r="D3191" s="3" t="b">
        <v>1</v>
      </c>
      <c r="E3191" s="3" t="s">
        <v>414</v>
      </c>
      <c r="F3191" s="3" t="s">
        <v>6402</v>
      </c>
      <c r="G3191" s="4">
        <f>+251949125806</f>
        <v>251949125806</v>
      </c>
      <c r="H3191" s="3" t="s">
        <v>18</v>
      </c>
      <c r="I3191" s="3" t="s">
        <v>19</v>
      </c>
      <c r="J3191" s="3" t="s">
        <v>19</v>
      </c>
      <c r="K3191" s="3" t="s">
        <v>25</v>
      </c>
      <c r="L3191" s="3">
        <v>25.0</v>
      </c>
      <c r="M3191" s="3" t="s">
        <v>1695</v>
      </c>
      <c r="N3191" s="3" t="s">
        <v>6318</v>
      </c>
      <c r="O3191" s="3">
        <v>1.99630084288E11</v>
      </c>
    </row>
    <row r="3192">
      <c r="A3192" s="3">
        <v>2632744.0</v>
      </c>
      <c r="B3192" s="3" t="s">
        <v>6403</v>
      </c>
      <c r="C3192" s="3" t="b">
        <v>0</v>
      </c>
      <c r="D3192" s="3" t="b">
        <v>1</v>
      </c>
      <c r="E3192" s="3" t="s">
        <v>1130</v>
      </c>
      <c r="F3192" s="3" t="s">
        <v>6404</v>
      </c>
      <c r="G3192" s="4">
        <f>+251942421183</f>
        <v>251942421183</v>
      </c>
      <c r="H3192" s="3" t="s">
        <v>18</v>
      </c>
      <c r="I3192" s="3" t="s">
        <v>19</v>
      </c>
      <c r="J3192" s="3" t="s">
        <v>19</v>
      </c>
      <c r="K3192" s="3" t="s">
        <v>25</v>
      </c>
      <c r="L3192" s="3">
        <v>25.0</v>
      </c>
      <c r="M3192" s="3" t="s">
        <v>1695</v>
      </c>
      <c r="N3192" s="3" t="s">
        <v>6318</v>
      </c>
      <c r="O3192" s="3">
        <v>1.99808083145E11</v>
      </c>
    </row>
    <row r="3193">
      <c r="A3193" s="3">
        <v>2632748.0</v>
      </c>
      <c r="B3193" s="3" t="s">
        <v>6405</v>
      </c>
      <c r="C3193" s="3" t="b">
        <v>1</v>
      </c>
      <c r="D3193" s="3" t="b">
        <v>1</v>
      </c>
      <c r="E3193" s="3" t="s">
        <v>2644</v>
      </c>
      <c r="F3193" s="3" t="s">
        <v>196</v>
      </c>
      <c r="G3193" s="4">
        <f>+251931508663</f>
        <v>251931508663</v>
      </c>
      <c r="H3193" s="3" t="s">
        <v>106</v>
      </c>
      <c r="I3193" s="3" t="s">
        <v>19</v>
      </c>
      <c r="J3193" s="3" t="s">
        <v>19</v>
      </c>
      <c r="K3193" s="3" t="s">
        <v>25</v>
      </c>
      <c r="L3193" s="3">
        <v>26.45</v>
      </c>
      <c r="M3193" s="3" t="s">
        <v>1695</v>
      </c>
      <c r="N3193" s="3" t="s">
        <v>6406</v>
      </c>
    </row>
    <row r="3194">
      <c r="A3194" s="3">
        <v>2632769.0</v>
      </c>
      <c r="B3194" s="3" t="s">
        <v>6407</v>
      </c>
      <c r="C3194" s="3" t="b">
        <v>0</v>
      </c>
      <c r="D3194" s="3" t="b">
        <v>1</v>
      </c>
      <c r="E3194" s="3" t="s">
        <v>101</v>
      </c>
      <c r="F3194" s="3" t="s">
        <v>2793</v>
      </c>
      <c r="G3194" s="4">
        <f>+251913566893</f>
        <v>251913566893</v>
      </c>
      <c r="H3194" s="3" t="s">
        <v>18</v>
      </c>
      <c r="I3194" s="3" t="s">
        <v>19</v>
      </c>
      <c r="J3194" s="3" t="s">
        <v>19</v>
      </c>
      <c r="K3194" s="3" t="s">
        <v>25</v>
      </c>
      <c r="L3194" s="3">
        <v>25.0</v>
      </c>
      <c r="M3194" s="3" t="s">
        <v>1695</v>
      </c>
      <c r="N3194" s="3" t="s">
        <v>6318</v>
      </c>
      <c r="O3194" s="3">
        <v>1.99682495726E11</v>
      </c>
    </row>
    <row r="3195">
      <c r="A3195" s="3">
        <v>2632784.0</v>
      </c>
      <c r="B3195" s="3" t="s">
        <v>6408</v>
      </c>
      <c r="C3195" s="3" t="b">
        <v>0</v>
      </c>
      <c r="D3195" s="3" t="b">
        <v>1</v>
      </c>
      <c r="E3195" s="3" t="s">
        <v>6409</v>
      </c>
      <c r="F3195" s="3" t="s">
        <v>2934</v>
      </c>
      <c r="G3195" s="4">
        <f>+251945752666</f>
        <v>251945752666</v>
      </c>
      <c r="H3195" s="3" t="s">
        <v>18</v>
      </c>
      <c r="I3195" s="3" t="s">
        <v>19</v>
      </c>
      <c r="J3195" s="3" t="s">
        <v>19</v>
      </c>
      <c r="K3195" s="3" t="s">
        <v>25</v>
      </c>
      <c r="L3195" s="3">
        <v>25.0</v>
      </c>
      <c r="M3195" s="3" t="s">
        <v>1695</v>
      </c>
      <c r="N3195" s="3" t="s">
        <v>6318</v>
      </c>
      <c r="O3195" s="3">
        <v>1.99683641546E11</v>
      </c>
    </row>
    <row r="3196">
      <c r="A3196" s="3">
        <v>2632800.0</v>
      </c>
      <c r="B3196" s="3" t="s">
        <v>6410</v>
      </c>
      <c r="C3196" s="3" t="b">
        <v>0</v>
      </c>
      <c r="D3196" s="3" t="b">
        <v>1</v>
      </c>
      <c r="E3196" s="3" t="s">
        <v>6411</v>
      </c>
      <c r="F3196" s="3" t="s">
        <v>4540</v>
      </c>
      <c r="G3196" s="4">
        <f>+251933074360</f>
        <v>251933074360</v>
      </c>
      <c r="H3196" s="3" t="s">
        <v>18</v>
      </c>
      <c r="I3196" s="3" t="s">
        <v>19</v>
      </c>
      <c r="J3196" s="3" t="s">
        <v>19</v>
      </c>
      <c r="K3196" s="3" t="s">
        <v>25</v>
      </c>
      <c r="L3196" s="3">
        <v>26.0</v>
      </c>
      <c r="M3196" s="3" t="s">
        <v>1695</v>
      </c>
      <c r="N3196" s="3" t="s">
        <v>6318</v>
      </c>
      <c r="O3196" s="3">
        <v>1.99812624575E11</v>
      </c>
    </row>
    <row r="3197">
      <c r="A3197" s="3">
        <v>2632815.0</v>
      </c>
      <c r="B3197" s="3" t="s">
        <v>6412</v>
      </c>
      <c r="C3197" s="3" t="b">
        <v>0</v>
      </c>
      <c r="D3197" s="3" t="b">
        <v>1</v>
      </c>
      <c r="E3197" s="3" t="s">
        <v>3902</v>
      </c>
      <c r="F3197" s="3" t="s">
        <v>6413</v>
      </c>
      <c r="G3197" s="4">
        <f>+251949105884</f>
        <v>251949105884</v>
      </c>
      <c r="H3197" s="3" t="s">
        <v>18</v>
      </c>
      <c r="I3197" s="3" t="s">
        <v>19</v>
      </c>
      <c r="J3197" s="3" t="s">
        <v>19</v>
      </c>
      <c r="K3197" s="3" t="s">
        <v>20</v>
      </c>
      <c r="L3197" s="3">
        <v>24.0</v>
      </c>
      <c r="M3197" s="3" t="s">
        <v>1695</v>
      </c>
      <c r="N3197" s="3" t="s">
        <v>6318</v>
      </c>
      <c r="O3197" s="3">
        <v>1.99748208831E11</v>
      </c>
    </row>
    <row r="3198">
      <c r="A3198" s="3">
        <v>2632828.0</v>
      </c>
      <c r="B3198" s="3" t="s">
        <v>6414</v>
      </c>
      <c r="C3198" s="3" t="b">
        <v>0</v>
      </c>
      <c r="D3198" s="3" t="b">
        <v>1</v>
      </c>
      <c r="E3198" s="3" t="s">
        <v>6415</v>
      </c>
      <c r="F3198" s="3" t="s">
        <v>798</v>
      </c>
      <c r="G3198" s="4">
        <f>+251925707192</f>
        <v>251925707192</v>
      </c>
      <c r="H3198" s="3" t="s">
        <v>18</v>
      </c>
      <c r="I3198" s="3" t="s">
        <v>19</v>
      </c>
      <c r="J3198" s="3" t="s">
        <v>19</v>
      </c>
      <c r="K3198" s="3" t="s">
        <v>25</v>
      </c>
      <c r="L3198" s="3">
        <v>25.0</v>
      </c>
      <c r="M3198" s="3" t="s">
        <v>1695</v>
      </c>
      <c r="N3198" s="3" t="s">
        <v>6318</v>
      </c>
      <c r="O3198" s="3">
        <v>1.99749057754E11</v>
      </c>
    </row>
    <row r="3199">
      <c r="A3199" s="3">
        <v>2632852.0</v>
      </c>
      <c r="B3199" s="3" t="s">
        <v>6416</v>
      </c>
      <c r="C3199" s="3" t="b">
        <v>0</v>
      </c>
      <c r="D3199" s="3" t="b">
        <v>1</v>
      </c>
      <c r="E3199" s="3" t="s">
        <v>6417</v>
      </c>
      <c r="F3199" s="3" t="s">
        <v>6418</v>
      </c>
      <c r="G3199" s="4">
        <f>+251965427719</f>
        <v>251965427719</v>
      </c>
      <c r="H3199" s="3" t="s">
        <v>18</v>
      </c>
      <c r="I3199" s="3" t="s">
        <v>19</v>
      </c>
      <c r="J3199" s="3" t="s">
        <v>19</v>
      </c>
      <c r="K3199" s="3" t="s">
        <v>20</v>
      </c>
      <c r="L3199" s="3">
        <v>26.0</v>
      </c>
      <c r="M3199" s="3" t="s">
        <v>1695</v>
      </c>
      <c r="N3199" s="3" t="s">
        <v>6318</v>
      </c>
      <c r="O3199" s="3">
        <v>1.99756890299E11</v>
      </c>
    </row>
    <row r="3200">
      <c r="A3200" s="3">
        <v>2632861.0</v>
      </c>
      <c r="B3200" s="3" t="s">
        <v>6419</v>
      </c>
      <c r="C3200" s="3" t="b">
        <v>0</v>
      </c>
      <c r="D3200" s="3" t="b">
        <v>1</v>
      </c>
      <c r="E3200" s="3" t="s">
        <v>6420</v>
      </c>
      <c r="F3200" s="3" t="s">
        <v>4639</v>
      </c>
      <c r="G3200" s="4">
        <f>+251917044800</f>
        <v>251917044800</v>
      </c>
      <c r="H3200" s="3" t="s">
        <v>18</v>
      </c>
      <c r="I3200" s="3" t="s">
        <v>19</v>
      </c>
      <c r="J3200" s="3" t="s">
        <v>19</v>
      </c>
      <c r="K3200" s="3" t="s">
        <v>20</v>
      </c>
      <c r="L3200" s="3">
        <v>25.0</v>
      </c>
      <c r="M3200" s="3" t="s">
        <v>1695</v>
      </c>
      <c r="N3200" s="3" t="s">
        <v>6318</v>
      </c>
      <c r="O3200" s="3">
        <v>1.99747451098E11</v>
      </c>
    </row>
    <row r="3201">
      <c r="A3201" s="3">
        <v>2632874.0</v>
      </c>
      <c r="B3201" s="3" t="s">
        <v>6421</v>
      </c>
      <c r="C3201" s="3" t="b">
        <v>0</v>
      </c>
      <c r="D3201" s="3" t="b">
        <v>1</v>
      </c>
      <c r="E3201" s="3" t="s">
        <v>301</v>
      </c>
      <c r="F3201" s="3" t="s">
        <v>1708</v>
      </c>
      <c r="G3201" s="4">
        <f>+251917073533</f>
        <v>251917073533</v>
      </c>
      <c r="H3201" s="3" t="s">
        <v>18</v>
      </c>
      <c r="I3201" s="3" t="s">
        <v>19</v>
      </c>
      <c r="J3201" s="3" t="s">
        <v>19</v>
      </c>
      <c r="K3201" s="3" t="s">
        <v>25</v>
      </c>
      <c r="L3201" s="3">
        <v>25.0</v>
      </c>
      <c r="M3201" s="3" t="s">
        <v>1695</v>
      </c>
      <c r="N3201" s="3" t="s">
        <v>6318</v>
      </c>
      <c r="O3201" s="3">
        <v>1.9976083987E11</v>
      </c>
    </row>
    <row r="3202">
      <c r="A3202" s="3">
        <v>2632881.0</v>
      </c>
      <c r="B3202" s="3" t="s">
        <v>6422</v>
      </c>
      <c r="C3202" s="3" t="b">
        <v>0</v>
      </c>
      <c r="D3202" s="3" t="b">
        <v>1</v>
      </c>
      <c r="E3202" s="3" t="s">
        <v>583</v>
      </c>
      <c r="F3202" s="3" t="s">
        <v>6423</v>
      </c>
      <c r="G3202" s="4">
        <f>+251954079011</f>
        <v>251954079011</v>
      </c>
      <c r="H3202" s="3" t="s">
        <v>18</v>
      </c>
      <c r="I3202" s="3" t="s">
        <v>19</v>
      </c>
      <c r="J3202" s="3" t="s">
        <v>19</v>
      </c>
      <c r="K3202" s="3" t="s">
        <v>20</v>
      </c>
      <c r="L3202" s="3">
        <v>25.0</v>
      </c>
      <c r="M3202" s="3" t="s">
        <v>1695</v>
      </c>
      <c r="N3202" s="3" t="s">
        <v>6318</v>
      </c>
      <c r="O3202" s="3">
        <v>1.99827461334E11</v>
      </c>
    </row>
    <row r="3203">
      <c r="A3203" s="3">
        <v>2425253.0</v>
      </c>
      <c r="B3203" s="3" t="s">
        <v>6424</v>
      </c>
      <c r="C3203" s="3" t="b">
        <v>1</v>
      </c>
      <c r="D3203" s="3" t="b">
        <v>1</v>
      </c>
      <c r="E3203" s="3" t="s">
        <v>4121</v>
      </c>
      <c r="F3203" s="3" t="s">
        <v>6425</v>
      </c>
      <c r="G3203" s="4">
        <f>+251970770470</f>
        <v>251970770470</v>
      </c>
      <c r="H3203" s="3" t="s">
        <v>18</v>
      </c>
      <c r="I3203" s="3" t="s">
        <v>19</v>
      </c>
      <c r="J3203" s="3" t="s">
        <v>19</v>
      </c>
      <c r="K3203" s="3" t="s">
        <v>25</v>
      </c>
      <c r="L3203" s="3">
        <v>24.55</v>
      </c>
      <c r="M3203" s="3" t="s">
        <v>6426</v>
      </c>
      <c r="O3203" s="3">
        <v>9.9766978765E10</v>
      </c>
    </row>
    <row r="3204">
      <c r="A3204" s="3">
        <v>2432677.0</v>
      </c>
      <c r="B3204" s="3" t="s">
        <v>6427</v>
      </c>
      <c r="C3204" s="3" t="b">
        <v>1</v>
      </c>
      <c r="D3204" s="3" t="b">
        <v>1</v>
      </c>
      <c r="E3204" s="3" t="s">
        <v>356</v>
      </c>
      <c r="F3204" s="3" t="s">
        <v>6428</v>
      </c>
      <c r="G3204" s="4">
        <f>+251911567708</f>
        <v>251911567708</v>
      </c>
      <c r="H3204" s="3" t="s">
        <v>29</v>
      </c>
      <c r="I3204" s="3" t="s">
        <v>19</v>
      </c>
      <c r="J3204" s="3" t="s">
        <v>19</v>
      </c>
      <c r="K3204" s="3" t="s">
        <v>25</v>
      </c>
      <c r="L3204" s="3">
        <v>33.7</v>
      </c>
      <c r="M3204" s="3" t="s">
        <v>6426</v>
      </c>
      <c r="O3204" s="3">
        <v>1.01761595593E11</v>
      </c>
    </row>
    <row r="3205">
      <c r="A3205" s="3">
        <v>2433111.0</v>
      </c>
      <c r="B3205" s="3" t="s">
        <v>6429</v>
      </c>
      <c r="C3205" s="3" t="b">
        <v>0</v>
      </c>
      <c r="D3205" s="3" t="b">
        <v>1</v>
      </c>
      <c r="E3205" s="3" t="s">
        <v>6430</v>
      </c>
      <c r="F3205" s="3" t="s">
        <v>6431</v>
      </c>
      <c r="G3205" s="4">
        <f>+251921471299</f>
        <v>251921471299</v>
      </c>
      <c r="H3205" s="3" t="s">
        <v>18</v>
      </c>
      <c r="I3205" s="3" t="s">
        <v>19</v>
      </c>
      <c r="J3205" s="3" t="s">
        <v>19</v>
      </c>
      <c r="K3205" s="3" t="s">
        <v>25</v>
      </c>
      <c r="L3205" s="3">
        <v>32.0</v>
      </c>
      <c r="M3205" s="3" t="s">
        <v>6426</v>
      </c>
      <c r="O3205" s="3">
        <v>1.01964755187E11</v>
      </c>
    </row>
    <row r="3206">
      <c r="A3206" s="3">
        <v>2435926.0</v>
      </c>
      <c r="B3206" s="3" t="s">
        <v>6432</v>
      </c>
      <c r="C3206" s="3" t="b">
        <v>1</v>
      </c>
      <c r="D3206" s="3" t="b">
        <v>1</v>
      </c>
      <c r="E3206" s="3" t="s">
        <v>386</v>
      </c>
      <c r="F3206" s="3" t="s">
        <v>67</v>
      </c>
      <c r="G3206" s="4">
        <f>+251918194850</f>
        <v>251918194850</v>
      </c>
      <c r="H3206" s="3" t="s">
        <v>18</v>
      </c>
      <c r="I3206" s="3" t="s">
        <v>19</v>
      </c>
      <c r="J3206" s="3" t="s">
        <v>19</v>
      </c>
      <c r="K3206" s="3" t="s">
        <v>25</v>
      </c>
      <c r="L3206" s="3">
        <v>28.0</v>
      </c>
      <c r="M3206" s="3" t="s">
        <v>6426</v>
      </c>
      <c r="O3206" s="3">
        <v>1.03019152626E11</v>
      </c>
    </row>
    <row r="3207">
      <c r="A3207" s="3">
        <v>2436228.0</v>
      </c>
      <c r="B3207" s="3" t="s">
        <v>6433</v>
      </c>
      <c r="C3207" s="3" t="b">
        <v>0</v>
      </c>
      <c r="D3207" s="3" t="b">
        <v>1</v>
      </c>
      <c r="E3207" s="3" t="s">
        <v>1134</v>
      </c>
      <c r="F3207" s="3" t="s">
        <v>6434</v>
      </c>
      <c r="G3207" s="4">
        <f>+251918128300</f>
        <v>251918128300</v>
      </c>
      <c r="H3207" s="3" t="s">
        <v>29</v>
      </c>
      <c r="I3207" s="3" t="s">
        <v>19</v>
      </c>
      <c r="J3207" s="3" t="s">
        <v>19</v>
      </c>
      <c r="K3207" s="3" t="s">
        <v>25</v>
      </c>
      <c r="L3207" s="3">
        <v>34.48</v>
      </c>
      <c r="M3207" s="3" t="s">
        <v>6426</v>
      </c>
      <c r="O3207" s="3">
        <v>1.03147224291E11</v>
      </c>
    </row>
    <row r="3208">
      <c r="A3208" s="3">
        <v>2438395.0</v>
      </c>
      <c r="B3208" s="3" t="s">
        <v>6435</v>
      </c>
      <c r="C3208" s="3" t="b">
        <v>1</v>
      </c>
      <c r="D3208" s="3" t="b">
        <v>1</v>
      </c>
      <c r="E3208" s="3" t="s">
        <v>325</v>
      </c>
      <c r="F3208" s="3" t="s">
        <v>6436</v>
      </c>
      <c r="G3208" s="3">
        <v>9.47161285E8</v>
      </c>
      <c r="H3208" s="3" t="s">
        <v>18</v>
      </c>
      <c r="I3208" s="3" t="s">
        <v>19</v>
      </c>
      <c r="J3208" s="3" t="s">
        <v>19</v>
      </c>
      <c r="K3208" s="3" t="s">
        <v>25</v>
      </c>
      <c r="L3208" s="3">
        <v>31.24</v>
      </c>
      <c r="M3208" s="3" t="s">
        <v>6426</v>
      </c>
      <c r="O3208" s="3">
        <v>1896025.0</v>
      </c>
    </row>
    <row r="3209">
      <c r="A3209" s="3">
        <v>2439185.0</v>
      </c>
      <c r="B3209" s="3" t="s">
        <v>6437</v>
      </c>
      <c r="C3209" s="3" t="b">
        <v>0</v>
      </c>
      <c r="D3209" s="3" t="b">
        <v>1</v>
      </c>
      <c r="E3209" s="3" t="s">
        <v>6438</v>
      </c>
      <c r="F3209" s="3" t="s">
        <v>6439</v>
      </c>
      <c r="G3209" s="4">
        <f>+251952231188</f>
        <v>251952231188</v>
      </c>
      <c r="H3209" s="3" t="s">
        <v>18</v>
      </c>
      <c r="I3209" s="3" t="s">
        <v>19</v>
      </c>
      <c r="J3209" s="3" t="s">
        <v>19</v>
      </c>
      <c r="K3209" s="3" t="s">
        <v>20</v>
      </c>
      <c r="L3209" s="3">
        <v>19.75</v>
      </c>
      <c r="M3209" s="3" t="s">
        <v>6426</v>
      </c>
      <c r="O3209" s="3">
        <v>1.04100081885E11</v>
      </c>
    </row>
    <row r="3210">
      <c r="A3210" s="3">
        <v>2442844.0</v>
      </c>
      <c r="B3210" s="3" t="s">
        <v>6440</v>
      </c>
      <c r="C3210" s="3" t="b">
        <v>1</v>
      </c>
      <c r="D3210" s="3" t="b">
        <v>1</v>
      </c>
      <c r="E3210" s="3" t="s">
        <v>930</v>
      </c>
      <c r="F3210" s="3" t="s">
        <v>3279</v>
      </c>
      <c r="G3210" s="4">
        <f>+251982136292</f>
        <v>251982136292</v>
      </c>
      <c r="H3210" s="3" t="s">
        <v>249</v>
      </c>
      <c r="I3210" s="3" t="s">
        <v>19</v>
      </c>
      <c r="J3210" s="3" t="s">
        <v>19</v>
      </c>
      <c r="K3210" s="3" t="s">
        <v>25</v>
      </c>
      <c r="L3210" s="3">
        <v>19.64</v>
      </c>
      <c r="M3210" s="3" t="s">
        <v>6426</v>
      </c>
      <c r="O3210" s="3">
        <v>1.05447647443E11</v>
      </c>
    </row>
    <row r="3211">
      <c r="A3211" s="3">
        <v>2447713.0</v>
      </c>
      <c r="B3211" s="3" t="s">
        <v>6441</v>
      </c>
      <c r="C3211" s="3" t="b">
        <v>0</v>
      </c>
      <c r="D3211" s="3" t="b">
        <v>1</v>
      </c>
      <c r="E3211" s="3" t="s">
        <v>129</v>
      </c>
      <c r="F3211" s="3" t="s">
        <v>325</v>
      </c>
      <c r="G3211" s="4">
        <f>+251900303193</f>
        <v>251900303193</v>
      </c>
      <c r="H3211" s="3" t="s">
        <v>44</v>
      </c>
      <c r="I3211" s="3" t="s">
        <v>19</v>
      </c>
      <c r="J3211" s="3" t="s">
        <v>19</v>
      </c>
      <c r="K3211" s="3" t="s">
        <v>20</v>
      </c>
      <c r="L3211" s="3">
        <v>21.87</v>
      </c>
      <c r="M3211" s="3" t="s">
        <v>6426</v>
      </c>
      <c r="O3211" s="3">
        <v>1.07616530623E11</v>
      </c>
    </row>
    <row r="3212">
      <c r="A3212" s="3">
        <v>2447739.0</v>
      </c>
      <c r="B3212" s="3" t="s">
        <v>6442</v>
      </c>
      <c r="C3212" s="3" t="b">
        <v>1</v>
      </c>
      <c r="D3212" s="3" t="b">
        <v>1</v>
      </c>
      <c r="E3212" s="3" t="s">
        <v>6443</v>
      </c>
      <c r="F3212" s="3" t="s">
        <v>6444</v>
      </c>
      <c r="G3212" s="4">
        <f>+251928941276</f>
        <v>251928941276</v>
      </c>
      <c r="H3212" s="3" t="s">
        <v>44</v>
      </c>
      <c r="I3212" s="3" t="s">
        <v>19</v>
      </c>
      <c r="J3212" s="3" t="s">
        <v>19</v>
      </c>
      <c r="K3212" s="3" t="s">
        <v>25</v>
      </c>
      <c r="L3212" s="3">
        <v>27.38</v>
      </c>
      <c r="M3212" s="3" t="s">
        <v>6426</v>
      </c>
      <c r="O3212" s="3">
        <v>1.0772388069E11</v>
      </c>
    </row>
    <row r="3213">
      <c r="A3213" s="3">
        <v>2451283.0</v>
      </c>
      <c r="B3213" s="3" t="s">
        <v>6445</v>
      </c>
      <c r="C3213" s="3" t="b">
        <v>0</v>
      </c>
      <c r="D3213" s="3" t="b">
        <v>1</v>
      </c>
      <c r="E3213" s="3" t="s">
        <v>5301</v>
      </c>
      <c r="F3213" s="3" t="s">
        <v>6446</v>
      </c>
      <c r="G3213" s="4">
        <f>+251919132792</f>
        <v>251919132792</v>
      </c>
      <c r="H3213" s="3" t="s">
        <v>18</v>
      </c>
      <c r="I3213" s="3" t="s">
        <v>19</v>
      </c>
      <c r="J3213" s="3" t="s">
        <v>19</v>
      </c>
      <c r="K3213" s="3" t="s">
        <v>25</v>
      </c>
      <c r="L3213" s="3">
        <v>22.34</v>
      </c>
      <c r="M3213" s="3" t="s">
        <v>6426</v>
      </c>
      <c r="O3213" s="3">
        <v>1.08672807135E11</v>
      </c>
    </row>
    <row r="3214">
      <c r="A3214" s="3">
        <v>1844829.0</v>
      </c>
      <c r="B3214" s="3" t="s">
        <v>6447</v>
      </c>
      <c r="C3214" s="3" t="b">
        <v>1</v>
      </c>
      <c r="D3214" s="3" t="b">
        <v>1</v>
      </c>
      <c r="E3214" s="3" t="s">
        <v>6448</v>
      </c>
      <c r="F3214" s="3" t="s">
        <v>6449</v>
      </c>
      <c r="G3214" s="4">
        <f>+251988286003</f>
        <v>251988286003</v>
      </c>
      <c r="H3214" s="3" t="s">
        <v>44</v>
      </c>
      <c r="I3214" s="3" t="s">
        <v>19</v>
      </c>
      <c r="J3214" s="3" t="s">
        <v>19</v>
      </c>
      <c r="K3214" s="3" t="s">
        <v>25</v>
      </c>
      <c r="L3214" s="3">
        <v>25.44</v>
      </c>
      <c r="M3214" s="3" t="s">
        <v>6426</v>
      </c>
      <c r="O3214" s="3">
        <v>2.5271232195E10</v>
      </c>
    </row>
    <row r="3215">
      <c r="A3215" s="3">
        <v>2473359.0</v>
      </c>
      <c r="B3215" s="3" t="s">
        <v>6450</v>
      </c>
      <c r="C3215" s="3" t="b">
        <v>1</v>
      </c>
      <c r="D3215" s="3" t="b">
        <v>1</v>
      </c>
      <c r="E3215" s="3" t="s">
        <v>504</v>
      </c>
      <c r="F3215" s="3" t="s">
        <v>5845</v>
      </c>
      <c r="G3215" s="4">
        <f>+251941424529</f>
        <v>251941424529</v>
      </c>
      <c r="H3215" s="3" t="s">
        <v>44</v>
      </c>
      <c r="I3215" s="3" t="s">
        <v>19</v>
      </c>
      <c r="J3215" s="3" t="s">
        <v>19</v>
      </c>
      <c r="K3215" s="3" t="s">
        <v>25</v>
      </c>
      <c r="L3215" s="3">
        <v>32.23</v>
      </c>
      <c r="M3215" s="3" t="s">
        <v>6426</v>
      </c>
      <c r="O3215" s="3">
        <v>1.1507399291E11</v>
      </c>
    </row>
    <row r="3216">
      <c r="A3216" s="3">
        <v>2473410.0</v>
      </c>
      <c r="B3216" s="3" t="s">
        <v>6451</v>
      </c>
      <c r="C3216" s="3" t="b">
        <v>0</v>
      </c>
      <c r="D3216" s="3" t="b">
        <v>1</v>
      </c>
      <c r="E3216" s="3" t="s">
        <v>6452</v>
      </c>
      <c r="F3216" s="3" t="s">
        <v>404</v>
      </c>
      <c r="G3216" s="4">
        <f>+251940200820</f>
        <v>251940200820</v>
      </c>
      <c r="H3216" s="3" t="s">
        <v>18</v>
      </c>
      <c r="I3216" s="3" t="s">
        <v>19</v>
      </c>
      <c r="J3216" s="3" t="s">
        <v>19</v>
      </c>
      <c r="K3216" s="3" t="s">
        <v>20</v>
      </c>
      <c r="L3216" s="3">
        <v>19.06</v>
      </c>
      <c r="M3216" s="3" t="s">
        <v>6426</v>
      </c>
      <c r="O3216" s="3">
        <v>1.15123773626E11</v>
      </c>
    </row>
    <row r="3217">
      <c r="A3217" s="3">
        <v>2473743.0</v>
      </c>
      <c r="B3217" s="3" t="s">
        <v>6453</v>
      </c>
      <c r="C3217" s="3" t="b">
        <v>0</v>
      </c>
      <c r="D3217" s="3" t="b">
        <v>1</v>
      </c>
      <c r="E3217" s="3" t="s">
        <v>344</v>
      </c>
      <c r="F3217" s="3" t="s">
        <v>1636</v>
      </c>
      <c r="G3217" s="4">
        <f>+251911455825</f>
        <v>251911455825</v>
      </c>
      <c r="H3217" s="3" t="s">
        <v>18</v>
      </c>
      <c r="I3217" s="3" t="s">
        <v>19</v>
      </c>
      <c r="J3217" s="3" t="s">
        <v>19</v>
      </c>
      <c r="K3217" s="3" t="s">
        <v>20</v>
      </c>
      <c r="L3217" s="3">
        <v>22.15</v>
      </c>
      <c r="M3217" s="3" t="s">
        <v>6426</v>
      </c>
      <c r="O3217" s="3">
        <v>1.15229219045E11</v>
      </c>
    </row>
    <row r="3218">
      <c r="A3218" s="3">
        <v>2483008.0</v>
      </c>
      <c r="B3218" s="3" t="s">
        <v>6454</v>
      </c>
      <c r="C3218" s="3" t="b">
        <v>0</v>
      </c>
      <c r="D3218" s="3" t="b">
        <v>1</v>
      </c>
      <c r="E3218" s="3" t="s">
        <v>3150</v>
      </c>
      <c r="F3218" s="3" t="s">
        <v>6455</v>
      </c>
      <c r="G3218" s="4">
        <f>+10964011277</f>
        <v>10964011277</v>
      </c>
      <c r="H3218" s="3" t="s">
        <v>18</v>
      </c>
      <c r="I3218" s="3" t="s">
        <v>19</v>
      </c>
      <c r="J3218" s="3" t="s">
        <v>19</v>
      </c>
      <c r="K3218" s="3" t="s">
        <v>25</v>
      </c>
      <c r="L3218" s="3">
        <v>32.47</v>
      </c>
      <c r="M3218" s="3" t="s">
        <v>6426</v>
      </c>
      <c r="O3218" s="3">
        <v>1.21248626911E11</v>
      </c>
    </row>
    <row r="3219">
      <c r="A3219" s="3">
        <v>2483517.0</v>
      </c>
      <c r="B3219" s="3" t="s">
        <v>6456</v>
      </c>
      <c r="C3219" s="3" t="b">
        <v>0</v>
      </c>
      <c r="D3219" s="3" t="b">
        <v>1</v>
      </c>
      <c r="E3219" s="3" t="s">
        <v>645</v>
      </c>
      <c r="F3219" s="3" t="s">
        <v>6457</v>
      </c>
      <c r="G3219" s="4">
        <f>+251955880786</f>
        <v>251955880786</v>
      </c>
      <c r="H3219" s="3" t="s">
        <v>18</v>
      </c>
      <c r="I3219" s="3" t="s">
        <v>19</v>
      </c>
      <c r="J3219" s="3" t="s">
        <v>19</v>
      </c>
      <c r="K3219" s="3" t="s">
        <v>25</v>
      </c>
      <c r="L3219" s="3">
        <v>22.2</v>
      </c>
      <c r="M3219" s="3" t="s">
        <v>6426</v>
      </c>
      <c r="O3219" s="3">
        <v>1.21548051651E11</v>
      </c>
    </row>
    <row r="3220">
      <c r="A3220" s="3">
        <v>2484337.0</v>
      </c>
      <c r="B3220" s="3" t="s">
        <v>6458</v>
      </c>
      <c r="C3220" s="3" t="b">
        <v>0</v>
      </c>
      <c r="D3220" s="3" t="b">
        <v>1</v>
      </c>
      <c r="E3220" s="3" t="s">
        <v>766</v>
      </c>
      <c r="F3220" s="3" t="s">
        <v>767</v>
      </c>
      <c r="G3220" s="4">
        <f>+251995167370</f>
        <v>251995167370</v>
      </c>
      <c r="H3220" s="3" t="s">
        <v>18</v>
      </c>
      <c r="I3220" s="3" t="s">
        <v>19</v>
      </c>
      <c r="J3220" s="3" t="s">
        <v>19</v>
      </c>
      <c r="K3220" s="3" t="s">
        <v>20</v>
      </c>
      <c r="L3220" s="3">
        <v>20.97</v>
      </c>
      <c r="M3220" s="3" t="s">
        <v>6426</v>
      </c>
      <c r="O3220" s="3">
        <v>1.22289947894E11</v>
      </c>
    </row>
    <row r="3221">
      <c r="A3221" s="3">
        <v>2484459.0</v>
      </c>
      <c r="B3221" s="3" t="s">
        <v>6459</v>
      </c>
      <c r="C3221" s="3" t="b">
        <v>0</v>
      </c>
      <c r="D3221" s="3" t="b">
        <v>1</v>
      </c>
      <c r="E3221" s="3" t="s">
        <v>6460</v>
      </c>
      <c r="F3221" s="3" t="s">
        <v>6461</v>
      </c>
      <c r="G3221" s="4">
        <f>+251938178018</f>
        <v>251938178018</v>
      </c>
      <c r="H3221" s="3" t="s">
        <v>18</v>
      </c>
      <c r="I3221" s="3" t="s">
        <v>19</v>
      </c>
      <c r="J3221" s="3" t="s">
        <v>19</v>
      </c>
      <c r="K3221" s="3" t="s">
        <v>25</v>
      </c>
      <c r="L3221" s="3">
        <v>22.65</v>
      </c>
      <c r="M3221" s="3" t="s">
        <v>6426</v>
      </c>
      <c r="O3221" s="3">
        <v>1.22308048097E11</v>
      </c>
    </row>
    <row r="3222">
      <c r="A3222" s="3">
        <v>2484528.0</v>
      </c>
      <c r="B3222" s="3" t="s">
        <v>6462</v>
      </c>
      <c r="C3222" s="3" t="b">
        <v>0</v>
      </c>
      <c r="D3222" s="3" t="b">
        <v>1</v>
      </c>
      <c r="E3222" s="3" t="s">
        <v>6463</v>
      </c>
      <c r="F3222" s="3" t="s">
        <v>6464</v>
      </c>
      <c r="G3222" s="4">
        <f>+251966266966</f>
        <v>251966266966</v>
      </c>
      <c r="H3222" s="3" t="s">
        <v>18</v>
      </c>
      <c r="I3222" s="3" t="s">
        <v>19</v>
      </c>
      <c r="J3222" s="3" t="s">
        <v>19</v>
      </c>
      <c r="K3222" s="3" t="s">
        <v>20</v>
      </c>
      <c r="L3222" s="3">
        <v>20.59</v>
      </c>
      <c r="M3222" s="3" t="s">
        <v>6426</v>
      </c>
      <c r="O3222" s="3">
        <v>1.22313916617E11</v>
      </c>
    </row>
    <row r="3223">
      <c r="A3223" s="3">
        <v>2484594.0</v>
      </c>
      <c r="B3223" s="3" t="s">
        <v>6465</v>
      </c>
      <c r="C3223" s="3" t="b">
        <v>0</v>
      </c>
      <c r="D3223" s="3" t="b">
        <v>1</v>
      </c>
      <c r="E3223" s="3" t="s">
        <v>522</v>
      </c>
      <c r="F3223" s="3" t="s">
        <v>466</v>
      </c>
      <c r="G3223" s="4">
        <f>+251973934487</f>
        <v>251973934487</v>
      </c>
      <c r="H3223" s="3" t="s">
        <v>18</v>
      </c>
      <c r="I3223" s="3" t="s">
        <v>19</v>
      </c>
      <c r="J3223" s="3" t="s">
        <v>19</v>
      </c>
      <c r="K3223" s="3" t="s">
        <v>20</v>
      </c>
      <c r="L3223" s="3">
        <v>22.7</v>
      </c>
      <c r="M3223" s="3" t="s">
        <v>6426</v>
      </c>
      <c r="O3223" s="3">
        <v>1.22431356144E11</v>
      </c>
    </row>
    <row r="3224">
      <c r="A3224" s="3">
        <v>2485821.0</v>
      </c>
      <c r="B3224" s="3" t="s">
        <v>6466</v>
      </c>
      <c r="C3224" s="3" t="b">
        <v>0</v>
      </c>
      <c r="D3224" s="3" t="b">
        <v>1</v>
      </c>
      <c r="E3224" s="3" t="s">
        <v>1000</v>
      </c>
      <c r="F3224" s="3" t="s">
        <v>2685</v>
      </c>
      <c r="G3224" s="4">
        <f>+1251938181563</f>
        <v>1251938181563</v>
      </c>
      <c r="H3224" s="3" t="s">
        <v>18</v>
      </c>
      <c r="I3224" s="3" t="s">
        <v>19</v>
      </c>
      <c r="J3224" s="3" t="s">
        <v>19</v>
      </c>
      <c r="K3224" s="3" t="s">
        <v>25</v>
      </c>
      <c r="L3224" s="3">
        <v>27.89</v>
      </c>
      <c r="M3224" s="3" t="s">
        <v>6426</v>
      </c>
      <c r="O3224" s="3">
        <v>1.23256375541E11</v>
      </c>
    </row>
    <row r="3225">
      <c r="A3225" s="3">
        <v>2486005.0</v>
      </c>
      <c r="B3225" s="3" t="s">
        <v>6467</v>
      </c>
      <c r="C3225" s="3" t="b">
        <v>0</v>
      </c>
      <c r="D3225" s="3" t="b">
        <v>1</v>
      </c>
      <c r="E3225" s="3" t="s">
        <v>195</v>
      </c>
      <c r="F3225" s="3" t="s">
        <v>1215</v>
      </c>
      <c r="G3225" s="4">
        <f>+251903706578</f>
        <v>251903706578</v>
      </c>
      <c r="H3225" s="3" t="s">
        <v>18</v>
      </c>
      <c r="I3225" s="3" t="s">
        <v>19</v>
      </c>
      <c r="J3225" s="3" t="s">
        <v>19</v>
      </c>
      <c r="K3225" s="3" t="s">
        <v>20</v>
      </c>
      <c r="L3225" s="3">
        <v>18.66</v>
      </c>
      <c r="M3225" s="3" t="s">
        <v>6426</v>
      </c>
      <c r="O3225" s="3">
        <v>1.23302550726E11</v>
      </c>
    </row>
    <row r="3226">
      <c r="A3226" s="3">
        <v>2486023.0</v>
      </c>
      <c r="B3226" s="3" t="s">
        <v>6468</v>
      </c>
      <c r="C3226" s="3" t="b">
        <v>0</v>
      </c>
      <c r="D3226" s="3" t="b">
        <v>1</v>
      </c>
      <c r="E3226" s="3" t="s">
        <v>6469</v>
      </c>
      <c r="F3226" s="3" t="s">
        <v>6470</v>
      </c>
      <c r="G3226" s="4">
        <f>+251912605013</f>
        <v>251912605013</v>
      </c>
      <c r="H3226" s="3" t="s">
        <v>18</v>
      </c>
      <c r="I3226" s="3" t="s">
        <v>19</v>
      </c>
      <c r="J3226" s="3" t="s">
        <v>19</v>
      </c>
      <c r="K3226" s="3" t="s">
        <v>20</v>
      </c>
      <c r="L3226" s="3">
        <v>25.77</v>
      </c>
      <c r="M3226" s="3" t="s">
        <v>6426</v>
      </c>
      <c r="O3226" s="3">
        <v>1.23308642499E11</v>
      </c>
    </row>
    <row r="3227">
      <c r="A3227" s="3">
        <v>2486060.0</v>
      </c>
      <c r="B3227" s="3" t="s">
        <v>6471</v>
      </c>
      <c r="C3227" s="3" t="b">
        <v>0</v>
      </c>
      <c r="D3227" s="3" t="b">
        <v>1</v>
      </c>
      <c r="E3227" s="3" t="s">
        <v>6472</v>
      </c>
      <c r="F3227" s="3" t="s">
        <v>46</v>
      </c>
      <c r="G3227" s="4">
        <f>+251919408420</f>
        <v>251919408420</v>
      </c>
      <c r="H3227" s="3" t="s">
        <v>18</v>
      </c>
      <c r="I3227" s="3" t="s">
        <v>19</v>
      </c>
      <c r="J3227" s="3" t="s">
        <v>19</v>
      </c>
      <c r="K3227" s="3" t="s">
        <v>20</v>
      </c>
      <c r="L3227" s="3">
        <v>18.38</v>
      </c>
      <c r="M3227" s="3" t="s">
        <v>6426</v>
      </c>
      <c r="O3227" s="3">
        <v>1.23311011026E11</v>
      </c>
    </row>
    <row r="3228">
      <c r="A3228" s="3">
        <v>2486242.0</v>
      </c>
      <c r="B3228" s="3" t="s">
        <v>6473</v>
      </c>
      <c r="C3228" s="3" t="b">
        <v>1</v>
      </c>
      <c r="D3228" s="3" t="b">
        <v>1</v>
      </c>
      <c r="E3228" s="3" t="s">
        <v>386</v>
      </c>
      <c r="F3228" s="3" t="s">
        <v>2680</v>
      </c>
      <c r="G3228" s="4">
        <f>+251974042404</f>
        <v>251974042404</v>
      </c>
      <c r="H3228" s="3" t="s">
        <v>18</v>
      </c>
      <c r="I3228" s="3" t="s">
        <v>19</v>
      </c>
      <c r="J3228" s="3" t="s">
        <v>19</v>
      </c>
      <c r="K3228" s="3" t="s">
        <v>25</v>
      </c>
      <c r="L3228" s="3">
        <v>30.22</v>
      </c>
      <c r="M3228" s="3" t="s">
        <v>6426</v>
      </c>
      <c r="O3228" s="3">
        <v>1.23698381026E11</v>
      </c>
    </row>
    <row r="3229">
      <c r="A3229" s="3">
        <v>2488138.0</v>
      </c>
      <c r="B3229" s="3" t="s">
        <v>6474</v>
      </c>
      <c r="C3229" s="3" t="b">
        <v>0</v>
      </c>
      <c r="D3229" s="3" t="b">
        <v>1</v>
      </c>
      <c r="E3229" s="3" t="s">
        <v>1000</v>
      </c>
      <c r="F3229" s="3" t="s">
        <v>2693</v>
      </c>
      <c r="G3229" s="4">
        <f>+251938181563</f>
        <v>251938181563</v>
      </c>
      <c r="H3229" s="3" t="s">
        <v>18</v>
      </c>
      <c r="I3229" s="3" t="s">
        <v>19</v>
      </c>
      <c r="J3229" s="3" t="s">
        <v>19</v>
      </c>
      <c r="K3229" s="3" t="s">
        <v>25</v>
      </c>
      <c r="L3229" s="3">
        <v>27.89</v>
      </c>
      <c r="M3229" s="3" t="s">
        <v>6426</v>
      </c>
      <c r="O3229" s="3">
        <v>1.25168728294E11</v>
      </c>
    </row>
    <row r="3230">
      <c r="A3230" s="3">
        <v>2494309.0</v>
      </c>
      <c r="B3230" s="3" t="s">
        <v>6475</v>
      </c>
      <c r="C3230" s="3" t="b">
        <v>1</v>
      </c>
      <c r="D3230" s="3" t="b">
        <v>1</v>
      </c>
      <c r="E3230" s="3" t="s">
        <v>974</v>
      </c>
      <c r="F3230" s="3" t="s">
        <v>118</v>
      </c>
      <c r="G3230" s="4">
        <f>+251978651679</f>
        <v>251978651679</v>
      </c>
      <c r="H3230" s="3" t="s">
        <v>18</v>
      </c>
      <c r="I3230" s="3" t="s">
        <v>19</v>
      </c>
      <c r="J3230" s="3" t="s">
        <v>19</v>
      </c>
      <c r="K3230" s="3" t="s">
        <v>20</v>
      </c>
      <c r="L3230" s="3">
        <v>19.29</v>
      </c>
      <c r="M3230" s="3" t="s">
        <v>6426</v>
      </c>
      <c r="O3230" s="3">
        <v>1.30066674928E11</v>
      </c>
    </row>
    <row r="3231">
      <c r="A3231" s="3">
        <v>2496174.0</v>
      </c>
      <c r="B3231" s="3" t="s">
        <v>6476</v>
      </c>
      <c r="C3231" s="3" t="b">
        <v>0</v>
      </c>
      <c r="D3231" s="3" t="b">
        <v>1</v>
      </c>
      <c r="E3231" s="3" t="s">
        <v>46</v>
      </c>
      <c r="F3231" s="3" t="s">
        <v>1368</v>
      </c>
      <c r="G3231" s="4">
        <f>+251710521582</f>
        <v>251710521582</v>
      </c>
      <c r="H3231" s="3" t="s">
        <v>18</v>
      </c>
      <c r="I3231" s="3" t="s">
        <v>19</v>
      </c>
      <c r="J3231" s="3" t="s">
        <v>19</v>
      </c>
      <c r="K3231" s="3" t="s">
        <v>25</v>
      </c>
      <c r="L3231" s="3">
        <v>20.31</v>
      </c>
      <c r="M3231" s="3" t="s">
        <v>6426</v>
      </c>
      <c r="O3231" s="3">
        <v>1.07403514083E11</v>
      </c>
    </row>
    <row r="3232">
      <c r="A3232" s="3">
        <v>2496543.0</v>
      </c>
      <c r="B3232" s="3" t="s">
        <v>6477</v>
      </c>
      <c r="C3232" s="3" t="b">
        <v>0</v>
      </c>
      <c r="D3232" s="3" t="b">
        <v>1</v>
      </c>
      <c r="E3232" s="3" t="s">
        <v>1000</v>
      </c>
      <c r="F3232" s="3" t="s">
        <v>2685</v>
      </c>
      <c r="G3232" s="4">
        <f>+251938181563</f>
        <v>251938181563</v>
      </c>
      <c r="H3232" s="3" t="s">
        <v>18</v>
      </c>
      <c r="I3232" s="3" t="s">
        <v>19</v>
      </c>
      <c r="J3232" s="3" t="s">
        <v>19</v>
      </c>
      <c r="K3232" s="3" t="s">
        <v>25</v>
      </c>
      <c r="L3232" s="3">
        <v>27.89</v>
      </c>
      <c r="M3232" s="3" t="s">
        <v>6426</v>
      </c>
      <c r="O3232" s="3">
        <v>1.31996061883E11</v>
      </c>
    </row>
    <row r="3233">
      <c r="A3233" s="3">
        <v>2499983.0</v>
      </c>
      <c r="B3233" s="3" t="s">
        <v>6478</v>
      </c>
      <c r="C3233" s="3" t="b">
        <v>0</v>
      </c>
      <c r="D3233" s="3" t="b">
        <v>1</v>
      </c>
      <c r="E3233" s="3" t="s">
        <v>6479</v>
      </c>
      <c r="F3233" s="3" t="s">
        <v>6480</v>
      </c>
      <c r="G3233" s="4">
        <f>+251921309187</f>
        <v>251921309187</v>
      </c>
      <c r="H3233" s="3" t="s">
        <v>18</v>
      </c>
      <c r="I3233" s="3" t="s">
        <v>19</v>
      </c>
      <c r="J3233" s="3" t="s">
        <v>19</v>
      </c>
      <c r="K3233" s="3" t="s">
        <v>25</v>
      </c>
      <c r="L3233" s="3">
        <v>19.6</v>
      </c>
      <c r="M3233" s="3" t="s">
        <v>6426</v>
      </c>
      <c r="O3233" s="3">
        <v>1.35333682368E11</v>
      </c>
    </row>
    <row r="3234">
      <c r="A3234" s="3">
        <v>2502406.0</v>
      </c>
      <c r="B3234" s="3" t="s">
        <v>6481</v>
      </c>
      <c r="C3234" s="3" t="b">
        <v>0</v>
      </c>
      <c r="D3234" s="3" t="b">
        <v>1</v>
      </c>
      <c r="E3234" s="3" t="s">
        <v>6482</v>
      </c>
      <c r="F3234" s="3" t="s">
        <v>6483</v>
      </c>
      <c r="G3234" s="4">
        <f>+251938426376</f>
        <v>251938426376</v>
      </c>
      <c r="H3234" s="3" t="s">
        <v>18</v>
      </c>
      <c r="I3234" s="3" t="s">
        <v>19</v>
      </c>
      <c r="J3234" s="3" t="s">
        <v>19</v>
      </c>
      <c r="K3234" s="3" t="s">
        <v>20</v>
      </c>
      <c r="L3234" s="3">
        <v>20.85</v>
      </c>
      <c r="M3234" s="3" t="s">
        <v>6426</v>
      </c>
      <c r="O3234" s="3">
        <v>1.37549143241E11</v>
      </c>
    </row>
    <row r="3235">
      <c r="A3235" s="3">
        <v>2502558.0</v>
      </c>
      <c r="B3235" s="3" t="s">
        <v>6484</v>
      </c>
      <c r="C3235" s="3" t="b">
        <v>0</v>
      </c>
      <c r="D3235" s="3" t="b">
        <v>1</v>
      </c>
      <c r="E3235" s="3" t="s">
        <v>504</v>
      </c>
      <c r="F3235" s="3" t="s">
        <v>5845</v>
      </c>
      <c r="G3235" s="4">
        <f>+251944699080</f>
        <v>251944699080</v>
      </c>
      <c r="H3235" s="3" t="s">
        <v>44</v>
      </c>
      <c r="I3235" s="3" t="s">
        <v>19</v>
      </c>
      <c r="J3235" s="3" t="s">
        <v>19</v>
      </c>
      <c r="K3235" s="3" t="s">
        <v>25</v>
      </c>
      <c r="L3235" s="3">
        <v>21.14</v>
      </c>
      <c r="M3235" s="3" t="s">
        <v>6426</v>
      </c>
      <c r="O3235" s="3">
        <v>1.1507399291E11</v>
      </c>
    </row>
    <row r="3236">
      <c r="A3236" s="3">
        <v>2503428.0</v>
      </c>
      <c r="B3236" s="3" t="s">
        <v>6485</v>
      </c>
      <c r="C3236" s="3" t="b">
        <v>0</v>
      </c>
      <c r="D3236" s="3" t="b">
        <v>1</v>
      </c>
      <c r="E3236" s="3" t="s">
        <v>1065</v>
      </c>
      <c r="F3236" s="3" t="s">
        <v>714</v>
      </c>
      <c r="G3236" s="4">
        <f>+251967996718</f>
        <v>251967996718</v>
      </c>
      <c r="H3236" s="3" t="s">
        <v>18</v>
      </c>
      <c r="I3236" s="3" t="s">
        <v>19</v>
      </c>
      <c r="J3236" s="3" t="s">
        <v>19</v>
      </c>
      <c r="K3236" s="3" t="s">
        <v>25</v>
      </c>
      <c r="L3236" s="3">
        <v>20.7</v>
      </c>
      <c r="M3236" s="3" t="s">
        <v>6426</v>
      </c>
      <c r="O3236" s="3">
        <v>1.38296957137E11</v>
      </c>
    </row>
    <row r="3237">
      <c r="A3237" s="3">
        <v>2503445.0</v>
      </c>
      <c r="B3237" s="3" t="s">
        <v>6486</v>
      </c>
      <c r="C3237" s="3" t="b">
        <v>0</v>
      </c>
      <c r="D3237" s="3" t="b">
        <v>1</v>
      </c>
      <c r="E3237" s="3" t="s">
        <v>66</v>
      </c>
      <c r="F3237" s="3" t="s">
        <v>4296</v>
      </c>
      <c r="G3237" s="4">
        <f>+251909034602</f>
        <v>251909034602</v>
      </c>
      <c r="H3237" s="3" t="s">
        <v>29</v>
      </c>
      <c r="I3237" s="3" t="s">
        <v>19</v>
      </c>
      <c r="J3237" s="3" t="s">
        <v>19</v>
      </c>
      <c r="K3237" s="3" t="s">
        <v>25</v>
      </c>
      <c r="L3237" s="3">
        <v>27.02</v>
      </c>
      <c r="M3237" s="3" t="s">
        <v>6426</v>
      </c>
      <c r="O3237" s="3">
        <v>1.38359255286E11</v>
      </c>
    </row>
    <row r="3238">
      <c r="A3238" s="3">
        <v>2503736.0</v>
      </c>
      <c r="B3238" s="3" t="s">
        <v>6487</v>
      </c>
      <c r="C3238" s="3" t="b">
        <v>1</v>
      </c>
      <c r="D3238" s="3" t="b">
        <v>1</v>
      </c>
      <c r="E3238" s="3" t="s">
        <v>6488</v>
      </c>
      <c r="F3238" s="3" t="s">
        <v>6489</v>
      </c>
      <c r="G3238" s="3">
        <v>9.56238885E8</v>
      </c>
      <c r="H3238" s="3" t="s">
        <v>18</v>
      </c>
      <c r="I3238" s="3" t="s">
        <v>19</v>
      </c>
      <c r="J3238" s="3" t="s">
        <v>19</v>
      </c>
      <c r="K3238" s="3" t="s">
        <v>20</v>
      </c>
      <c r="L3238" s="3">
        <v>18.42</v>
      </c>
      <c r="M3238" s="3" t="s">
        <v>6426</v>
      </c>
      <c r="O3238" s="3">
        <v>1.38470600914E11</v>
      </c>
    </row>
    <row r="3239">
      <c r="A3239" s="3">
        <v>2503779.0</v>
      </c>
      <c r="B3239" s="3" t="s">
        <v>6490</v>
      </c>
      <c r="C3239" s="3" t="b">
        <v>0</v>
      </c>
      <c r="D3239" s="3" t="b">
        <v>1</v>
      </c>
      <c r="E3239" s="3" t="s">
        <v>1108</v>
      </c>
      <c r="F3239" s="3" t="s">
        <v>1109</v>
      </c>
      <c r="G3239" s="4">
        <f>+251909269220</f>
        <v>251909269220</v>
      </c>
      <c r="H3239" s="3" t="s">
        <v>18</v>
      </c>
      <c r="I3239" s="3" t="s">
        <v>19</v>
      </c>
      <c r="J3239" s="3" t="s">
        <v>19</v>
      </c>
      <c r="K3239" s="3" t="s">
        <v>25</v>
      </c>
      <c r="L3239" s="3">
        <v>22.44</v>
      </c>
      <c r="M3239" s="3" t="s">
        <v>6426</v>
      </c>
      <c r="O3239" s="3">
        <v>1.38510332108E11</v>
      </c>
    </row>
    <row r="3240">
      <c r="A3240" s="3">
        <v>2506751.0</v>
      </c>
      <c r="B3240" s="3" t="s">
        <v>6491</v>
      </c>
      <c r="C3240" s="3" t="b">
        <v>0</v>
      </c>
      <c r="D3240" s="3" t="b">
        <v>1</v>
      </c>
      <c r="E3240" s="3" t="s">
        <v>1368</v>
      </c>
      <c r="F3240" s="3" t="s">
        <v>1561</v>
      </c>
      <c r="G3240" s="4">
        <f>+251912238034</f>
        <v>251912238034</v>
      </c>
      <c r="H3240" s="3" t="s">
        <v>83</v>
      </c>
      <c r="I3240" s="3" t="s">
        <v>19</v>
      </c>
      <c r="J3240" s="3" t="s">
        <v>19</v>
      </c>
      <c r="K3240" s="3" t="s">
        <v>25</v>
      </c>
      <c r="L3240" s="3">
        <v>31.14</v>
      </c>
      <c r="M3240" s="3" t="s">
        <v>6426</v>
      </c>
      <c r="O3240" s="3">
        <v>1.41194070248E11</v>
      </c>
    </row>
    <row r="3241">
      <c r="A3241" s="3">
        <v>2511887.0</v>
      </c>
      <c r="B3241" s="3" t="s">
        <v>6492</v>
      </c>
      <c r="C3241" s="3" t="b">
        <v>0</v>
      </c>
      <c r="D3241" s="3" t="b">
        <v>1</v>
      </c>
      <c r="E3241" s="3" t="s">
        <v>6493</v>
      </c>
      <c r="F3241" s="3" t="s">
        <v>6494</v>
      </c>
      <c r="G3241" s="4">
        <f>+251907332163</f>
        <v>251907332163</v>
      </c>
      <c r="H3241" s="3" t="s">
        <v>18</v>
      </c>
      <c r="I3241" s="3" t="s">
        <v>19</v>
      </c>
      <c r="J3241" s="3" t="s">
        <v>19</v>
      </c>
      <c r="K3241" s="3" t="s">
        <v>25</v>
      </c>
      <c r="L3241" s="3">
        <v>26.91</v>
      </c>
      <c r="M3241" s="3" t="s">
        <v>6426</v>
      </c>
      <c r="O3241" s="3">
        <v>1.4405190066E11</v>
      </c>
    </row>
    <row r="3242">
      <c r="A3242" s="3">
        <v>2514158.0</v>
      </c>
      <c r="B3242" s="3" t="s">
        <v>6495</v>
      </c>
      <c r="C3242" s="3" t="b">
        <v>1</v>
      </c>
      <c r="D3242" s="3" t="b">
        <v>1</v>
      </c>
      <c r="E3242" s="3" t="s">
        <v>6496</v>
      </c>
      <c r="F3242" s="3" t="s">
        <v>6497</v>
      </c>
      <c r="G3242" s="4">
        <f>+251937024410</f>
        <v>251937024410</v>
      </c>
      <c r="H3242" s="3" t="s">
        <v>18</v>
      </c>
      <c r="I3242" s="3" t="s">
        <v>19</v>
      </c>
      <c r="J3242" s="3" t="s">
        <v>19</v>
      </c>
      <c r="K3242" s="3" t="s">
        <v>25</v>
      </c>
      <c r="L3242" s="3">
        <v>25.78</v>
      </c>
      <c r="M3242" s="3" t="s">
        <v>6426</v>
      </c>
      <c r="O3242" s="3">
        <v>1.45523861714E11</v>
      </c>
    </row>
    <row r="3243">
      <c r="A3243" s="3">
        <v>2518893.0</v>
      </c>
      <c r="B3243" s="3" t="s">
        <v>6498</v>
      </c>
      <c r="C3243" s="3" t="b">
        <v>0</v>
      </c>
      <c r="D3243" s="3" t="b">
        <v>1</v>
      </c>
      <c r="E3243" s="3" t="s">
        <v>6499</v>
      </c>
      <c r="F3243" s="3" t="s">
        <v>35</v>
      </c>
      <c r="G3243" s="4">
        <f>+251912113869</f>
        <v>251912113869</v>
      </c>
      <c r="H3243" s="3" t="s">
        <v>18</v>
      </c>
      <c r="I3243" s="3" t="s">
        <v>19</v>
      </c>
      <c r="J3243" s="3" t="s">
        <v>19</v>
      </c>
      <c r="K3243" s="3" t="s">
        <v>20</v>
      </c>
      <c r="L3243" s="3">
        <v>26.86</v>
      </c>
      <c r="M3243" s="3" t="s">
        <v>6426</v>
      </c>
      <c r="O3243" s="3">
        <v>1.48550888681E11</v>
      </c>
    </row>
    <row r="3244">
      <c r="A3244" s="3">
        <v>2526236.0</v>
      </c>
      <c r="B3244" s="3" t="s">
        <v>6500</v>
      </c>
      <c r="C3244" s="3" t="b">
        <v>0</v>
      </c>
      <c r="D3244" s="3" t="b">
        <v>1</v>
      </c>
      <c r="E3244" s="3" t="s">
        <v>936</v>
      </c>
      <c r="F3244" s="3" t="s">
        <v>6501</v>
      </c>
      <c r="G3244" s="4">
        <f>+251986145851</f>
        <v>251986145851</v>
      </c>
      <c r="H3244" s="3" t="s">
        <v>18</v>
      </c>
      <c r="I3244" s="3" t="s">
        <v>19</v>
      </c>
      <c r="J3244" s="3" t="s">
        <v>19</v>
      </c>
      <c r="K3244" s="3" t="s">
        <v>20</v>
      </c>
      <c r="L3244" s="3">
        <v>20.62</v>
      </c>
      <c r="M3244" s="3" t="s">
        <v>6426</v>
      </c>
      <c r="O3244" s="3">
        <v>1.52995809494E11</v>
      </c>
    </row>
    <row r="3245">
      <c r="A3245" s="3">
        <v>2529113.0</v>
      </c>
      <c r="B3245" s="3" t="s">
        <v>6502</v>
      </c>
      <c r="C3245" s="3" t="b">
        <v>0</v>
      </c>
      <c r="D3245" s="3" t="b">
        <v>1</v>
      </c>
      <c r="E3245" s="3" t="s">
        <v>3078</v>
      </c>
      <c r="F3245" s="3" t="s">
        <v>771</v>
      </c>
      <c r="G3245" s="4">
        <f>+251920192609</f>
        <v>251920192609</v>
      </c>
      <c r="H3245" s="3" t="s">
        <v>18</v>
      </c>
      <c r="I3245" s="3" t="s">
        <v>19</v>
      </c>
      <c r="J3245" s="3" t="s">
        <v>19</v>
      </c>
      <c r="K3245" s="3" t="s">
        <v>20</v>
      </c>
      <c r="L3245" s="3">
        <v>25.4</v>
      </c>
      <c r="M3245" s="3" t="s">
        <v>6426</v>
      </c>
      <c r="O3245" s="3">
        <v>1.5426948426E11</v>
      </c>
    </row>
    <row r="3246">
      <c r="A3246" s="3">
        <v>2543058.0</v>
      </c>
      <c r="B3246" s="3" t="s">
        <v>6503</v>
      </c>
      <c r="C3246" s="3" t="b">
        <v>0</v>
      </c>
      <c r="D3246" s="3" t="b">
        <v>1</v>
      </c>
      <c r="E3246" s="3" t="s">
        <v>356</v>
      </c>
      <c r="F3246" s="3" t="s">
        <v>179</v>
      </c>
      <c r="G3246" s="4">
        <f>+251925195008</f>
        <v>251925195008</v>
      </c>
      <c r="H3246" s="3" t="s">
        <v>18</v>
      </c>
      <c r="I3246" s="3" t="s">
        <v>19</v>
      </c>
      <c r="J3246" s="3" t="s">
        <v>19</v>
      </c>
      <c r="K3246" s="3" t="s">
        <v>25</v>
      </c>
      <c r="L3246" s="3">
        <v>27.8</v>
      </c>
      <c r="M3246" s="3" t="s">
        <v>6426</v>
      </c>
      <c r="O3246" s="3">
        <v>1.60573659349E11</v>
      </c>
    </row>
    <row r="3247">
      <c r="A3247" s="3">
        <v>2544183.0</v>
      </c>
      <c r="B3247" s="3" t="s">
        <v>6504</v>
      </c>
      <c r="C3247" s="3" t="b">
        <v>0</v>
      </c>
      <c r="D3247" s="3" t="b">
        <v>1</v>
      </c>
      <c r="E3247" s="3" t="s">
        <v>6505</v>
      </c>
      <c r="F3247" s="3" t="s">
        <v>6506</v>
      </c>
      <c r="G3247" s="4">
        <f>+251929560669</f>
        <v>251929560669</v>
      </c>
      <c r="H3247" s="3" t="s">
        <v>18</v>
      </c>
      <c r="I3247" s="3" t="s">
        <v>19</v>
      </c>
      <c r="J3247" s="3" t="s">
        <v>19</v>
      </c>
      <c r="K3247" s="3" t="s">
        <v>25</v>
      </c>
      <c r="L3247" s="3">
        <v>24.13</v>
      </c>
      <c r="M3247" s="3" t="s">
        <v>6426</v>
      </c>
      <c r="O3247" s="3">
        <v>1.61196676289E11</v>
      </c>
    </row>
    <row r="3248">
      <c r="A3248" s="3">
        <v>2553491.0</v>
      </c>
      <c r="B3248" s="3" t="s">
        <v>6507</v>
      </c>
      <c r="C3248" s="3" t="b">
        <v>1</v>
      </c>
      <c r="D3248" s="3" t="b">
        <v>1</v>
      </c>
      <c r="E3248" s="3" t="s">
        <v>298</v>
      </c>
      <c r="F3248" s="3" t="s">
        <v>1500</v>
      </c>
      <c r="G3248" s="4">
        <f>+251939722368</f>
        <v>251939722368</v>
      </c>
      <c r="H3248" s="3" t="s">
        <v>106</v>
      </c>
      <c r="I3248" s="3" t="s">
        <v>19</v>
      </c>
      <c r="J3248" s="3" t="s">
        <v>19</v>
      </c>
      <c r="K3248" s="3" t="s">
        <v>25</v>
      </c>
      <c r="L3248" s="3">
        <v>24.48</v>
      </c>
      <c r="M3248" s="3" t="s">
        <v>6426</v>
      </c>
      <c r="O3248" s="3">
        <v>1.66267436239E11</v>
      </c>
    </row>
    <row r="3249">
      <c r="A3249" s="3">
        <v>2586944.0</v>
      </c>
      <c r="B3249" s="3" t="s">
        <v>6508</v>
      </c>
      <c r="C3249" s="3" t="b">
        <v>0</v>
      </c>
      <c r="D3249" s="3" t="b">
        <v>1</v>
      </c>
      <c r="E3249" s="3" t="s">
        <v>6509</v>
      </c>
      <c r="F3249" s="3" t="s">
        <v>5235</v>
      </c>
      <c r="G3249" s="4">
        <f>+251963482726</f>
        <v>251963482726</v>
      </c>
      <c r="H3249" s="3" t="s">
        <v>18</v>
      </c>
      <c r="I3249" s="3" t="s">
        <v>19</v>
      </c>
      <c r="J3249" s="3" t="s">
        <v>19</v>
      </c>
      <c r="K3249" s="3" t="s">
        <v>25</v>
      </c>
      <c r="L3249" s="3">
        <v>20.67</v>
      </c>
      <c r="M3249" s="3" t="s">
        <v>6426</v>
      </c>
      <c r="O3249" s="3">
        <v>1.79266871518E11</v>
      </c>
    </row>
    <row r="3250">
      <c r="A3250" s="3">
        <v>2595379.0</v>
      </c>
      <c r="B3250" s="3" t="s">
        <v>6510</v>
      </c>
      <c r="C3250" s="3" t="b">
        <v>1</v>
      </c>
      <c r="D3250" s="3" t="b">
        <v>1</v>
      </c>
      <c r="E3250" s="3" t="s">
        <v>6511</v>
      </c>
      <c r="F3250" s="3" t="s">
        <v>312</v>
      </c>
      <c r="G3250" s="4">
        <f>+251935070974</f>
        <v>251935070974</v>
      </c>
      <c r="H3250" s="3" t="s">
        <v>18</v>
      </c>
      <c r="I3250" s="3" t="s">
        <v>19</v>
      </c>
      <c r="J3250" s="3" t="s">
        <v>19</v>
      </c>
      <c r="K3250" s="3" t="s">
        <v>20</v>
      </c>
      <c r="L3250" s="3">
        <v>30.51</v>
      </c>
      <c r="M3250" s="3" t="s">
        <v>6426</v>
      </c>
      <c r="O3250" s="3">
        <v>1.834993021E11</v>
      </c>
    </row>
    <row r="3251">
      <c r="A3251" s="3">
        <v>2619997.0</v>
      </c>
      <c r="B3251" s="3" t="s">
        <v>6512</v>
      </c>
      <c r="C3251" s="3" t="b">
        <v>0</v>
      </c>
      <c r="D3251" s="3" t="b">
        <v>1</v>
      </c>
      <c r="E3251" s="3" t="s">
        <v>2724</v>
      </c>
      <c r="F3251" s="3" t="s">
        <v>6513</v>
      </c>
      <c r="G3251" s="4">
        <f>+251947444522</f>
        <v>251947444522</v>
      </c>
      <c r="H3251" s="3" t="s">
        <v>18</v>
      </c>
      <c r="I3251" s="3" t="s">
        <v>19</v>
      </c>
      <c r="J3251" s="3" t="s">
        <v>19</v>
      </c>
      <c r="K3251" s="3" t="s">
        <v>25</v>
      </c>
      <c r="L3251" s="3">
        <v>26.7</v>
      </c>
      <c r="M3251" s="3" t="s">
        <v>6426</v>
      </c>
      <c r="O3251" s="3">
        <v>1.95349121258E11</v>
      </c>
    </row>
    <row r="3252">
      <c r="A3252" s="3">
        <v>2624931.0</v>
      </c>
      <c r="B3252" s="3" t="s">
        <v>6514</v>
      </c>
      <c r="C3252" s="3" t="b">
        <v>1</v>
      </c>
      <c r="D3252" s="3" t="b">
        <v>1</v>
      </c>
      <c r="E3252" s="3" t="s">
        <v>537</v>
      </c>
      <c r="F3252" s="3" t="s">
        <v>2400</v>
      </c>
      <c r="G3252" s="4">
        <f>+251960863686</f>
        <v>251960863686</v>
      </c>
      <c r="H3252" s="3" t="s">
        <v>18</v>
      </c>
      <c r="I3252" s="3" t="s">
        <v>19</v>
      </c>
      <c r="J3252" s="3" t="s">
        <v>19</v>
      </c>
      <c r="K3252" s="3" t="s">
        <v>20</v>
      </c>
      <c r="L3252" s="3">
        <v>20.77</v>
      </c>
      <c r="M3252" s="3" t="s">
        <v>6426</v>
      </c>
      <c r="O3252" s="3">
        <v>1.97068782785E11</v>
      </c>
    </row>
    <row r="3253">
      <c r="A3253" s="3">
        <v>2632342.0</v>
      </c>
      <c r="B3253" s="3" t="s">
        <v>6515</v>
      </c>
      <c r="C3253" s="3" t="b">
        <v>0</v>
      </c>
      <c r="D3253" s="3" t="b">
        <v>1</v>
      </c>
      <c r="E3253" s="3" t="s">
        <v>6516</v>
      </c>
      <c r="F3253" s="3" t="s">
        <v>1572</v>
      </c>
      <c r="G3253" s="4">
        <f>+251982345717</f>
        <v>251982345717</v>
      </c>
      <c r="H3253" s="3" t="s">
        <v>18</v>
      </c>
      <c r="I3253" s="3" t="s">
        <v>19</v>
      </c>
      <c r="J3253" s="3" t="s">
        <v>19</v>
      </c>
      <c r="K3253" s="3" t="s">
        <v>20</v>
      </c>
      <c r="L3253" s="3">
        <v>23.03</v>
      </c>
      <c r="M3253" s="3" t="s">
        <v>6426</v>
      </c>
      <c r="O3253" s="3">
        <v>1.99508621522E11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6.75"/>
    <col customWidth="1" min="3" max="3" width="15.63"/>
    <col customWidth="1" min="4" max="4" width="14.0"/>
    <col customWidth="1" min="5" max="5" width="9.25"/>
    <col customWidth="1" min="6" max="6" width="39.88"/>
  </cols>
  <sheetData>
    <row r="1">
      <c r="A1" s="5" t="s">
        <v>1</v>
      </c>
      <c r="B1" s="5" t="s">
        <v>4</v>
      </c>
      <c r="C1" s="5" t="s">
        <v>5</v>
      </c>
      <c r="D1" s="5" t="s">
        <v>6517</v>
      </c>
      <c r="E1" s="5" t="s">
        <v>12</v>
      </c>
      <c r="F1" s="5" t="s">
        <v>13</v>
      </c>
      <c r="G1" s="2"/>
      <c r="H1" s="2"/>
    </row>
    <row r="2">
      <c r="A2" s="6" t="s">
        <v>3766</v>
      </c>
      <c r="B2" s="6" t="s">
        <v>3767</v>
      </c>
      <c r="C2" s="6" t="s">
        <v>2562</v>
      </c>
      <c r="D2" s="7" t="s">
        <v>6518</v>
      </c>
      <c r="E2" s="6" t="s">
        <v>1695</v>
      </c>
      <c r="F2" s="7" t="s">
        <v>1696</v>
      </c>
    </row>
    <row r="3">
      <c r="A3" s="6" t="s">
        <v>5399</v>
      </c>
      <c r="B3" s="6" t="s">
        <v>5400</v>
      </c>
      <c r="C3" s="6" t="s">
        <v>4152</v>
      </c>
      <c r="D3" s="7" t="s">
        <v>6518</v>
      </c>
      <c r="E3" s="6" t="s">
        <v>1695</v>
      </c>
      <c r="F3" s="7" t="s">
        <v>1696</v>
      </c>
    </row>
    <row r="4">
      <c r="A4" s="6" t="s">
        <v>2770</v>
      </c>
      <c r="B4" s="6" t="s">
        <v>468</v>
      </c>
      <c r="C4" s="6" t="s">
        <v>2769</v>
      </c>
      <c r="D4" s="7" t="s">
        <v>6519</v>
      </c>
      <c r="E4" s="6" t="s">
        <v>1695</v>
      </c>
      <c r="F4" s="7" t="s">
        <v>1696</v>
      </c>
    </row>
    <row r="5">
      <c r="A5" s="6" t="s">
        <v>2666</v>
      </c>
      <c r="B5" s="6" t="s">
        <v>432</v>
      </c>
      <c r="C5" s="6" t="s">
        <v>2366</v>
      </c>
      <c r="D5" s="7" t="s">
        <v>6520</v>
      </c>
      <c r="E5" s="6" t="s">
        <v>1695</v>
      </c>
      <c r="F5" s="7" t="s">
        <v>1696</v>
      </c>
    </row>
    <row r="6">
      <c r="A6" s="6" t="s">
        <v>4541</v>
      </c>
      <c r="B6" s="6" t="s">
        <v>4542</v>
      </c>
      <c r="C6" s="6" t="s">
        <v>4543</v>
      </c>
      <c r="D6" s="7" t="s">
        <v>6521</v>
      </c>
      <c r="E6" s="6" t="s">
        <v>1695</v>
      </c>
      <c r="F6" s="7" t="s">
        <v>1696</v>
      </c>
    </row>
    <row r="7">
      <c r="A7" s="6" t="s">
        <v>4229</v>
      </c>
      <c r="B7" s="6" t="s">
        <v>4053</v>
      </c>
      <c r="C7" s="6" t="s">
        <v>4230</v>
      </c>
      <c r="D7" s="7" t="s">
        <v>6522</v>
      </c>
      <c r="E7" s="6" t="s">
        <v>1695</v>
      </c>
      <c r="F7" s="7" t="s">
        <v>1696</v>
      </c>
    </row>
    <row r="8">
      <c r="A8" s="6" t="s">
        <v>2600</v>
      </c>
      <c r="B8" s="6" t="s">
        <v>327</v>
      </c>
      <c r="C8" s="6" t="s">
        <v>1586</v>
      </c>
      <c r="D8" s="7" t="s">
        <v>6523</v>
      </c>
      <c r="E8" s="6" t="s">
        <v>1695</v>
      </c>
      <c r="F8" s="7" t="s">
        <v>1696</v>
      </c>
    </row>
    <row r="9">
      <c r="A9" s="6" t="s">
        <v>4744</v>
      </c>
      <c r="B9" s="6" t="s">
        <v>1801</v>
      </c>
      <c r="C9" s="6" t="s">
        <v>4745</v>
      </c>
      <c r="D9" s="7" t="s">
        <v>6524</v>
      </c>
      <c r="E9" s="6" t="s">
        <v>1695</v>
      </c>
      <c r="F9" s="7" t="s">
        <v>1696</v>
      </c>
    </row>
    <row r="10">
      <c r="A10" s="6" t="s">
        <v>2447</v>
      </c>
      <c r="B10" s="6" t="s">
        <v>1321</v>
      </c>
      <c r="C10" s="6" t="s">
        <v>328</v>
      </c>
      <c r="D10" s="7" t="s">
        <v>6525</v>
      </c>
      <c r="E10" s="6" t="s">
        <v>1695</v>
      </c>
      <c r="F10" s="7" t="s">
        <v>1696</v>
      </c>
    </row>
    <row r="11">
      <c r="A11" s="6" t="s">
        <v>3159</v>
      </c>
      <c r="B11" s="6" t="s">
        <v>3160</v>
      </c>
      <c r="C11" s="6" t="s">
        <v>3161</v>
      </c>
      <c r="D11" s="7" t="s">
        <v>6526</v>
      </c>
      <c r="E11" s="6" t="s">
        <v>1695</v>
      </c>
      <c r="F11" s="7" t="s">
        <v>1696</v>
      </c>
    </row>
    <row r="12">
      <c r="A12" s="6" t="s">
        <v>6370</v>
      </c>
      <c r="B12" s="6" t="s">
        <v>4085</v>
      </c>
      <c r="C12" s="6" t="s">
        <v>479</v>
      </c>
      <c r="D12" s="7" t="s">
        <v>6527</v>
      </c>
      <c r="E12" s="6" t="s">
        <v>1695</v>
      </c>
      <c r="F12" s="7" t="s">
        <v>6318</v>
      </c>
    </row>
    <row r="13">
      <c r="A13" s="6" t="s">
        <v>4530</v>
      </c>
      <c r="B13" s="6" t="s">
        <v>4531</v>
      </c>
      <c r="C13" s="6" t="s">
        <v>4532</v>
      </c>
      <c r="D13" s="7" t="s">
        <v>6528</v>
      </c>
      <c r="E13" s="6" t="s">
        <v>1695</v>
      </c>
      <c r="F13" s="7" t="s">
        <v>1696</v>
      </c>
    </row>
    <row r="14">
      <c r="A14" s="6" t="s">
        <v>3193</v>
      </c>
      <c r="B14" s="6" t="s">
        <v>3194</v>
      </c>
      <c r="C14" s="6" t="s">
        <v>1174</v>
      </c>
      <c r="D14" s="7" t="s">
        <v>6529</v>
      </c>
      <c r="E14" s="6" t="s">
        <v>1695</v>
      </c>
      <c r="F14" s="7" t="s">
        <v>1696</v>
      </c>
    </row>
    <row r="15">
      <c r="A15" s="6" t="s">
        <v>3615</v>
      </c>
      <c r="B15" s="6" t="s">
        <v>1848</v>
      </c>
      <c r="C15" s="6" t="s">
        <v>1849</v>
      </c>
      <c r="D15" s="7" t="s">
        <v>6530</v>
      </c>
      <c r="E15" s="6" t="s">
        <v>1695</v>
      </c>
      <c r="F15" s="7" t="s">
        <v>1696</v>
      </c>
    </row>
    <row r="16">
      <c r="A16" s="6" t="s">
        <v>2723</v>
      </c>
      <c r="B16" s="6" t="s">
        <v>2724</v>
      </c>
      <c r="C16" s="6" t="s">
        <v>2725</v>
      </c>
      <c r="D16" s="7" t="s">
        <v>6531</v>
      </c>
      <c r="E16" s="6" t="s">
        <v>1695</v>
      </c>
      <c r="F16" s="7" t="s">
        <v>1696</v>
      </c>
    </row>
    <row r="17">
      <c r="A17" s="6" t="s">
        <v>1722</v>
      </c>
      <c r="B17" s="6" t="s">
        <v>1723</v>
      </c>
      <c r="C17" s="6" t="s">
        <v>1724</v>
      </c>
      <c r="D17" s="7" t="s">
        <v>6532</v>
      </c>
      <c r="E17" s="6" t="s">
        <v>1695</v>
      </c>
      <c r="F17" s="7" t="s">
        <v>1696</v>
      </c>
    </row>
    <row r="18">
      <c r="A18" s="6" t="s">
        <v>5543</v>
      </c>
      <c r="B18" s="6" t="s">
        <v>714</v>
      </c>
      <c r="C18" s="6" t="s">
        <v>422</v>
      </c>
      <c r="D18" s="7" t="s">
        <v>6533</v>
      </c>
      <c r="E18" s="6" t="s">
        <v>1695</v>
      </c>
      <c r="F18" s="7" t="s">
        <v>1696</v>
      </c>
    </row>
    <row r="19">
      <c r="A19" s="6" t="s">
        <v>3690</v>
      </c>
      <c r="B19" s="6" t="s">
        <v>3691</v>
      </c>
      <c r="C19" s="6" t="s">
        <v>2094</v>
      </c>
      <c r="D19" s="7" t="s">
        <v>6534</v>
      </c>
      <c r="E19" s="6" t="s">
        <v>1695</v>
      </c>
      <c r="F19" s="7" t="s">
        <v>1696</v>
      </c>
    </row>
    <row r="20">
      <c r="A20" s="6" t="s">
        <v>3566</v>
      </c>
      <c r="B20" s="6" t="s">
        <v>3567</v>
      </c>
      <c r="C20" s="6" t="s">
        <v>2727</v>
      </c>
      <c r="D20" s="7" t="s">
        <v>6535</v>
      </c>
      <c r="E20" s="6" t="s">
        <v>1695</v>
      </c>
      <c r="F20" s="7" t="s">
        <v>1696</v>
      </c>
    </row>
    <row r="21">
      <c r="A21" s="6" t="s">
        <v>5043</v>
      </c>
      <c r="B21" s="6" t="s">
        <v>5044</v>
      </c>
      <c r="C21" s="6" t="s">
        <v>4626</v>
      </c>
      <c r="D21" s="7" t="s">
        <v>6536</v>
      </c>
      <c r="E21" s="6" t="s">
        <v>1695</v>
      </c>
      <c r="F21" s="7" t="s">
        <v>1696</v>
      </c>
    </row>
    <row r="22">
      <c r="A22" s="6" t="s">
        <v>3032</v>
      </c>
      <c r="B22" s="6" t="s">
        <v>3033</v>
      </c>
      <c r="C22" s="6" t="s">
        <v>3034</v>
      </c>
      <c r="D22" s="7" t="s">
        <v>6537</v>
      </c>
      <c r="E22" s="6" t="s">
        <v>1695</v>
      </c>
      <c r="F22" s="7" t="s">
        <v>1696</v>
      </c>
    </row>
    <row r="23">
      <c r="A23" s="6" t="s">
        <v>2256</v>
      </c>
      <c r="B23" s="6" t="s">
        <v>1924</v>
      </c>
      <c r="C23" s="6" t="s">
        <v>2257</v>
      </c>
      <c r="D23" s="7" t="s">
        <v>6538</v>
      </c>
      <c r="E23" s="6" t="s">
        <v>1695</v>
      </c>
      <c r="F23" s="7" t="s">
        <v>1696</v>
      </c>
    </row>
    <row r="24">
      <c r="A24" s="6" t="s">
        <v>3594</v>
      </c>
      <c r="B24" s="6" t="s">
        <v>85</v>
      </c>
      <c r="C24" s="6" t="s">
        <v>3595</v>
      </c>
      <c r="D24" s="7" t="s">
        <v>6539</v>
      </c>
      <c r="E24" s="6" t="s">
        <v>1695</v>
      </c>
      <c r="F24" s="7" t="s">
        <v>1696</v>
      </c>
    </row>
    <row r="25">
      <c r="A25" s="6" t="s">
        <v>5920</v>
      </c>
      <c r="B25" s="6" t="s">
        <v>5921</v>
      </c>
      <c r="C25" s="6" t="s">
        <v>5922</v>
      </c>
      <c r="D25" s="7" t="s">
        <v>6540</v>
      </c>
      <c r="E25" s="6" t="s">
        <v>1695</v>
      </c>
      <c r="F25" s="7" t="s">
        <v>1696</v>
      </c>
    </row>
    <row r="26">
      <c r="A26" s="6" t="s">
        <v>5182</v>
      </c>
      <c r="B26" s="6" t="s">
        <v>5183</v>
      </c>
      <c r="C26" s="6" t="s">
        <v>5184</v>
      </c>
      <c r="D26" s="7" t="s">
        <v>6541</v>
      </c>
      <c r="E26" s="6" t="s">
        <v>1695</v>
      </c>
      <c r="F26" s="7" t="s">
        <v>1696</v>
      </c>
    </row>
    <row r="27">
      <c r="A27" s="6" t="s">
        <v>4444</v>
      </c>
      <c r="B27" s="6" t="s">
        <v>4445</v>
      </c>
      <c r="C27" s="6" t="s">
        <v>274</v>
      </c>
      <c r="D27" s="7" t="s">
        <v>6542</v>
      </c>
      <c r="E27" s="6" t="s">
        <v>1695</v>
      </c>
      <c r="F27" s="7" t="s">
        <v>1696</v>
      </c>
    </row>
    <row r="28">
      <c r="A28" s="6" t="s">
        <v>5606</v>
      </c>
      <c r="B28" s="6" t="s">
        <v>4445</v>
      </c>
      <c r="C28" s="6" t="s">
        <v>5607</v>
      </c>
      <c r="D28" s="7" t="s">
        <v>6542</v>
      </c>
      <c r="E28" s="6" t="s">
        <v>1695</v>
      </c>
      <c r="F28" s="7" t="s">
        <v>1696</v>
      </c>
    </row>
    <row r="29">
      <c r="A29" s="6" t="s">
        <v>5767</v>
      </c>
      <c r="B29" s="6" t="s">
        <v>4445</v>
      </c>
      <c r="C29" s="6" t="s">
        <v>5607</v>
      </c>
      <c r="D29" s="7" t="s">
        <v>6542</v>
      </c>
      <c r="E29" s="6" t="s">
        <v>1695</v>
      </c>
      <c r="F29" s="7" t="s">
        <v>1696</v>
      </c>
    </row>
    <row r="30">
      <c r="A30" s="6" t="s">
        <v>4019</v>
      </c>
      <c r="B30" s="6" t="s">
        <v>4020</v>
      </c>
      <c r="C30" s="6" t="s">
        <v>510</v>
      </c>
      <c r="D30" s="7" t="s">
        <v>6543</v>
      </c>
      <c r="E30" s="6" t="s">
        <v>1695</v>
      </c>
      <c r="F30" s="7" t="s">
        <v>1696</v>
      </c>
    </row>
    <row r="31">
      <c r="A31" s="6" t="s">
        <v>3992</v>
      </c>
      <c r="B31" s="6" t="s">
        <v>1801</v>
      </c>
      <c r="C31" s="6" t="s">
        <v>684</v>
      </c>
      <c r="D31" s="7" t="s">
        <v>6544</v>
      </c>
      <c r="E31" s="6" t="s">
        <v>1695</v>
      </c>
      <c r="F31" s="7" t="s">
        <v>1696</v>
      </c>
    </row>
    <row r="32">
      <c r="A32" s="6" t="s">
        <v>2260</v>
      </c>
      <c r="B32" s="6" t="s">
        <v>697</v>
      </c>
      <c r="C32" s="6" t="s">
        <v>2261</v>
      </c>
      <c r="D32" s="7" t="s">
        <v>6545</v>
      </c>
      <c r="E32" s="6" t="s">
        <v>1695</v>
      </c>
      <c r="F32" s="7" t="s">
        <v>1696</v>
      </c>
    </row>
    <row r="33">
      <c r="A33" s="6" t="s">
        <v>2930</v>
      </c>
      <c r="B33" s="6" t="s">
        <v>2931</v>
      </c>
      <c r="C33" s="6" t="s">
        <v>2932</v>
      </c>
      <c r="D33" s="7" t="s">
        <v>6546</v>
      </c>
      <c r="E33" s="6" t="s">
        <v>1695</v>
      </c>
      <c r="F33" s="7" t="s">
        <v>1696</v>
      </c>
    </row>
    <row r="34">
      <c r="A34" s="6" t="s">
        <v>1853</v>
      </c>
      <c r="B34" s="6" t="s">
        <v>104</v>
      </c>
      <c r="C34" s="6" t="s">
        <v>105</v>
      </c>
      <c r="D34" s="7" t="s">
        <v>6547</v>
      </c>
      <c r="E34" s="6" t="s">
        <v>1695</v>
      </c>
      <c r="F34" s="7" t="s">
        <v>1696</v>
      </c>
    </row>
    <row r="35">
      <c r="A35" s="6" t="s">
        <v>5180</v>
      </c>
      <c r="B35" s="6" t="s">
        <v>5181</v>
      </c>
      <c r="C35" s="6" t="s">
        <v>1905</v>
      </c>
      <c r="D35" s="7" t="s">
        <v>6548</v>
      </c>
      <c r="E35" s="6" t="s">
        <v>1695</v>
      </c>
      <c r="F35" s="7" t="s">
        <v>1696</v>
      </c>
    </row>
    <row r="36">
      <c r="A36" s="6" t="s">
        <v>4143</v>
      </c>
      <c r="B36" s="6" t="s">
        <v>273</v>
      </c>
      <c r="C36" s="6" t="s">
        <v>1584</v>
      </c>
      <c r="D36" s="7" t="s">
        <v>6549</v>
      </c>
      <c r="E36" s="6" t="s">
        <v>1695</v>
      </c>
      <c r="F36" s="7" t="s">
        <v>1696</v>
      </c>
    </row>
    <row r="37">
      <c r="A37" s="6" t="s">
        <v>5411</v>
      </c>
      <c r="B37" s="6" t="s">
        <v>5412</v>
      </c>
      <c r="C37" s="6" t="s">
        <v>32</v>
      </c>
      <c r="D37" s="7" t="s">
        <v>6550</v>
      </c>
      <c r="E37" s="6" t="s">
        <v>1695</v>
      </c>
      <c r="F37" s="7" t="s">
        <v>1696</v>
      </c>
    </row>
    <row r="38">
      <c r="A38" s="6" t="s">
        <v>6121</v>
      </c>
      <c r="B38" s="6" t="s">
        <v>2781</v>
      </c>
      <c r="C38" s="6" t="s">
        <v>6122</v>
      </c>
      <c r="D38" s="7" t="s">
        <v>6551</v>
      </c>
      <c r="E38" s="6" t="s">
        <v>1695</v>
      </c>
      <c r="F38" s="7" t="s">
        <v>1696</v>
      </c>
    </row>
    <row r="39">
      <c r="A39" s="6" t="s">
        <v>5518</v>
      </c>
      <c r="B39" s="6" t="s">
        <v>5519</v>
      </c>
      <c r="C39" s="6" t="s">
        <v>5520</v>
      </c>
      <c r="D39" s="7" t="s">
        <v>6552</v>
      </c>
      <c r="E39" s="6" t="s">
        <v>1695</v>
      </c>
      <c r="F39" s="7" t="s">
        <v>1696</v>
      </c>
    </row>
    <row r="40">
      <c r="A40" s="6" t="s">
        <v>3063</v>
      </c>
      <c r="B40" s="6" t="s">
        <v>3064</v>
      </c>
      <c r="C40" s="6" t="s">
        <v>46</v>
      </c>
      <c r="D40" s="7" t="s">
        <v>6553</v>
      </c>
      <c r="E40" s="6" t="s">
        <v>1695</v>
      </c>
      <c r="F40" s="7" t="s">
        <v>1696</v>
      </c>
    </row>
    <row r="41">
      <c r="A41" s="6" t="s">
        <v>6218</v>
      </c>
      <c r="B41" s="6" t="s">
        <v>6219</v>
      </c>
      <c r="C41" s="6" t="s">
        <v>2158</v>
      </c>
      <c r="D41" s="7" t="s">
        <v>6554</v>
      </c>
      <c r="E41" s="6" t="s">
        <v>1695</v>
      </c>
      <c r="F41" s="7" t="s">
        <v>1696</v>
      </c>
    </row>
    <row r="42">
      <c r="A42" s="6" t="s">
        <v>5568</v>
      </c>
      <c r="B42" s="6" t="s">
        <v>5569</v>
      </c>
      <c r="C42" s="6" t="s">
        <v>5570</v>
      </c>
      <c r="D42" s="7" t="s">
        <v>6555</v>
      </c>
      <c r="E42" s="6" t="s">
        <v>1695</v>
      </c>
      <c r="F42" s="7" t="s">
        <v>1696</v>
      </c>
    </row>
    <row r="43">
      <c r="A43" s="6" t="s">
        <v>6372</v>
      </c>
      <c r="B43" s="6" t="s">
        <v>6373</v>
      </c>
      <c r="C43" s="6" t="s">
        <v>580</v>
      </c>
      <c r="D43" s="7" t="s">
        <v>6556</v>
      </c>
      <c r="E43" s="6" t="s">
        <v>1695</v>
      </c>
      <c r="F43" s="7" t="s">
        <v>6318</v>
      </c>
    </row>
    <row r="44">
      <c r="A44" s="6" t="s">
        <v>3405</v>
      </c>
      <c r="B44" s="6" t="s">
        <v>3406</v>
      </c>
      <c r="C44" s="6" t="s">
        <v>196</v>
      </c>
      <c r="D44" s="7" t="s">
        <v>6557</v>
      </c>
      <c r="E44" s="6" t="s">
        <v>1695</v>
      </c>
      <c r="F44" s="7" t="s">
        <v>1696</v>
      </c>
    </row>
    <row r="45">
      <c r="A45" s="6" t="s">
        <v>3905</v>
      </c>
      <c r="B45" s="6" t="s">
        <v>3906</v>
      </c>
      <c r="C45" s="6" t="s">
        <v>2263</v>
      </c>
      <c r="D45" s="7" t="s">
        <v>6558</v>
      </c>
      <c r="E45" s="6" t="s">
        <v>1695</v>
      </c>
      <c r="F45" s="7" t="s">
        <v>1696</v>
      </c>
    </row>
    <row r="46">
      <c r="A46" s="6" t="s">
        <v>4564</v>
      </c>
      <c r="B46" s="6" t="s">
        <v>4565</v>
      </c>
      <c r="C46" s="6" t="s">
        <v>4566</v>
      </c>
      <c r="D46" s="7" t="s">
        <v>6558</v>
      </c>
      <c r="E46" s="6" t="s">
        <v>1695</v>
      </c>
      <c r="F46" s="7" t="s">
        <v>1696</v>
      </c>
    </row>
    <row r="47">
      <c r="A47" s="6" t="s">
        <v>2896</v>
      </c>
      <c r="B47" s="6" t="s">
        <v>2897</v>
      </c>
      <c r="C47" s="6" t="s">
        <v>2898</v>
      </c>
      <c r="D47" s="7" t="s">
        <v>6559</v>
      </c>
      <c r="E47" s="6" t="s">
        <v>1695</v>
      </c>
      <c r="F47" s="7" t="s">
        <v>1696</v>
      </c>
    </row>
    <row r="48">
      <c r="A48" s="6" t="s">
        <v>6177</v>
      </c>
      <c r="B48" s="6" t="s">
        <v>6178</v>
      </c>
      <c r="C48" s="6" t="s">
        <v>3100</v>
      </c>
      <c r="D48" s="7" t="s">
        <v>6560</v>
      </c>
      <c r="E48" s="6" t="s">
        <v>1695</v>
      </c>
      <c r="F48" s="7" t="s">
        <v>1696</v>
      </c>
    </row>
    <row r="49">
      <c r="A49" s="6" t="s">
        <v>5970</v>
      </c>
      <c r="B49" s="6" t="s">
        <v>724</v>
      </c>
      <c r="C49" s="6" t="s">
        <v>2788</v>
      </c>
      <c r="D49" s="7" t="s">
        <v>6561</v>
      </c>
      <c r="E49" s="6" t="s">
        <v>1695</v>
      </c>
      <c r="F49" s="7" t="s">
        <v>1696</v>
      </c>
    </row>
    <row r="50">
      <c r="A50" s="6" t="s">
        <v>5259</v>
      </c>
      <c r="B50" s="6" t="s">
        <v>5260</v>
      </c>
      <c r="C50" s="6" t="s">
        <v>3868</v>
      </c>
      <c r="D50" s="7" t="s">
        <v>6562</v>
      </c>
      <c r="E50" s="6" t="s">
        <v>1695</v>
      </c>
      <c r="F50" s="7" t="s">
        <v>1696</v>
      </c>
    </row>
    <row r="51">
      <c r="A51" s="6" t="s">
        <v>3667</v>
      </c>
      <c r="B51" s="6" t="s">
        <v>420</v>
      </c>
      <c r="C51" s="6" t="s">
        <v>1472</v>
      </c>
      <c r="D51" s="7" t="s">
        <v>6563</v>
      </c>
      <c r="E51" s="6" t="s">
        <v>1695</v>
      </c>
      <c r="F51" s="7" t="s">
        <v>1696</v>
      </c>
    </row>
    <row r="52">
      <c r="A52" s="6" t="s">
        <v>2995</v>
      </c>
      <c r="B52" s="6" t="s">
        <v>2996</v>
      </c>
      <c r="C52" s="6" t="s">
        <v>2997</v>
      </c>
      <c r="D52" s="7" t="s">
        <v>6564</v>
      </c>
      <c r="E52" s="6" t="s">
        <v>1695</v>
      </c>
      <c r="F52" s="7" t="s">
        <v>1696</v>
      </c>
    </row>
    <row r="53">
      <c r="A53" s="6" t="s">
        <v>5108</v>
      </c>
      <c r="B53" s="6" t="s">
        <v>5109</v>
      </c>
      <c r="C53" s="6" t="s">
        <v>342</v>
      </c>
      <c r="D53" s="7" t="s">
        <v>6565</v>
      </c>
      <c r="E53" s="6" t="s">
        <v>1695</v>
      </c>
      <c r="F53" s="7" t="s">
        <v>1696</v>
      </c>
    </row>
    <row r="54">
      <c r="A54" s="6" t="s">
        <v>3035</v>
      </c>
      <c r="B54" s="6" t="s">
        <v>3036</v>
      </c>
      <c r="C54" s="6" t="s">
        <v>3037</v>
      </c>
      <c r="D54" s="7" t="s">
        <v>6566</v>
      </c>
      <c r="E54" s="6" t="s">
        <v>1695</v>
      </c>
      <c r="F54" s="7" t="s">
        <v>1696</v>
      </c>
    </row>
    <row r="55">
      <c r="A55" s="6" t="s">
        <v>4410</v>
      </c>
      <c r="B55" s="6" t="s">
        <v>2566</v>
      </c>
      <c r="C55" s="6" t="s">
        <v>3919</v>
      </c>
      <c r="D55" s="7" t="s">
        <v>6567</v>
      </c>
      <c r="E55" s="6" t="s">
        <v>1695</v>
      </c>
      <c r="F55" s="7" t="s">
        <v>1696</v>
      </c>
    </row>
    <row r="56">
      <c r="A56" s="6" t="s">
        <v>2211</v>
      </c>
      <c r="B56" s="6" t="s">
        <v>2212</v>
      </c>
      <c r="C56" s="6" t="s">
        <v>2213</v>
      </c>
      <c r="D56" s="7" t="s">
        <v>6568</v>
      </c>
      <c r="E56" s="6" t="s">
        <v>1695</v>
      </c>
      <c r="F56" s="7" t="s">
        <v>1696</v>
      </c>
    </row>
    <row r="57">
      <c r="A57" s="6" t="s">
        <v>5533</v>
      </c>
      <c r="B57" s="6" t="s">
        <v>5534</v>
      </c>
      <c r="C57" s="6" t="s">
        <v>3645</v>
      </c>
      <c r="D57" s="7" t="s">
        <v>6569</v>
      </c>
      <c r="E57" s="6" t="s">
        <v>1695</v>
      </c>
      <c r="F57" s="7" t="s">
        <v>1696</v>
      </c>
    </row>
    <row r="58">
      <c r="A58" s="6" t="s">
        <v>3232</v>
      </c>
      <c r="B58" s="6" t="s">
        <v>3233</v>
      </c>
      <c r="C58" s="6" t="s">
        <v>1814</v>
      </c>
      <c r="D58" s="7" t="s">
        <v>6570</v>
      </c>
      <c r="E58" s="6" t="s">
        <v>1695</v>
      </c>
      <c r="F58" s="7" t="s">
        <v>1696</v>
      </c>
    </row>
    <row r="59">
      <c r="A59" s="6" t="s">
        <v>5323</v>
      </c>
      <c r="B59" s="6" t="s">
        <v>5324</v>
      </c>
      <c r="C59" s="6" t="s">
        <v>892</v>
      </c>
      <c r="D59" s="7" t="s">
        <v>6571</v>
      </c>
      <c r="E59" s="6" t="s">
        <v>1695</v>
      </c>
      <c r="F59" s="7" t="s">
        <v>1696</v>
      </c>
    </row>
    <row r="60">
      <c r="A60" s="6" t="s">
        <v>3019</v>
      </c>
      <c r="B60" s="6" t="s">
        <v>3020</v>
      </c>
      <c r="C60" s="6" t="s">
        <v>3021</v>
      </c>
      <c r="D60" s="7" t="s">
        <v>6572</v>
      </c>
      <c r="E60" s="6" t="s">
        <v>1695</v>
      </c>
      <c r="F60" s="7" t="s">
        <v>1696</v>
      </c>
    </row>
    <row r="61">
      <c r="A61" s="6" t="s">
        <v>3308</v>
      </c>
      <c r="B61" s="6" t="s">
        <v>3309</v>
      </c>
      <c r="C61" s="6" t="s">
        <v>1503</v>
      </c>
      <c r="D61" s="7" t="s">
        <v>6573</v>
      </c>
      <c r="E61" s="6" t="s">
        <v>1695</v>
      </c>
      <c r="F61" s="7" t="s">
        <v>1696</v>
      </c>
    </row>
    <row r="62">
      <c r="A62" s="6" t="s">
        <v>2645</v>
      </c>
      <c r="B62" s="6" t="s">
        <v>2646</v>
      </c>
      <c r="C62" s="6" t="s">
        <v>2647</v>
      </c>
      <c r="D62" s="7" t="s">
        <v>6574</v>
      </c>
      <c r="E62" s="6" t="s">
        <v>1695</v>
      </c>
      <c r="F62" s="7" t="s">
        <v>1696</v>
      </c>
    </row>
    <row r="63">
      <c r="A63" s="6" t="s">
        <v>5712</v>
      </c>
      <c r="B63" s="6" t="s">
        <v>16</v>
      </c>
      <c r="C63" s="6" t="s">
        <v>404</v>
      </c>
      <c r="D63" s="7" t="s">
        <v>6575</v>
      </c>
      <c r="E63" s="6" t="s">
        <v>1695</v>
      </c>
      <c r="F63" s="7" t="s">
        <v>1696</v>
      </c>
    </row>
    <row r="64">
      <c r="A64" s="6" t="s">
        <v>1984</v>
      </c>
      <c r="B64" s="6" t="s">
        <v>513</v>
      </c>
      <c r="C64" s="6" t="s">
        <v>1271</v>
      </c>
      <c r="D64" s="7" t="s">
        <v>6576</v>
      </c>
      <c r="E64" s="6" t="s">
        <v>1695</v>
      </c>
      <c r="F64" s="7" t="s">
        <v>1696</v>
      </c>
    </row>
    <row r="65">
      <c r="A65" s="6" t="s">
        <v>2755</v>
      </c>
      <c r="B65" s="6" t="s">
        <v>2756</v>
      </c>
      <c r="C65" s="6" t="s">
        <v>1271</v>
      </c>
      <c r="D65" s="7" t="s">
        <v>6577</v>
      </c>
      <c r="E65" s="6" t="s">
        <v>1695</v>
      </c>
      <c r="F65" s="7" t="s">
        <v>1696</v>
      </c>
    </row>
    <row r="66">
      <c r="A66" s="6" t="s">
        <v>5703</v>
      </c>
      <c r="B66" s="6" t="s">
        <v>5704</v>
      </c>
      <c r="C66" s="6" t="s">
        <v>1898</v>
      </c>
      <c r="D66" s="7" t="s">
        <v>6578</v>
      </c>
      <c r="E66" s="6" t="s">
        <v>1695</v>
      </c>
      <c r="F66" s="7" t="s">
        <v>1696</v>
      </c>
    </row>
    <row r="67">
      <c r="A67" s="6" t="s">
        <v>2578</v>
      </c>
      <c r="B67" s="6" t="s">
        <v>1114</v>
      </c>
      <c r="C67" s="6" t="s">
        <v>2579</v>
      </c>
      <c r="D67" s="7" t="s">
        <v>6579</v>
      </c>
      <c r="E67" s="6" t="s">
        <v>1695</v>
      </c>
      <c r="F67" s="7" t="s">
        <v>1696</v>
      </c>
    </row>
    <row r="68">
      <c r="A68" s="6" t="s">
        <v>3130</v>
      </c>
      <c r="B68" s="6" t="s">
        <v>3131</v>
      </c>
      <c r="C68" s="6" t="s">
        <v>3132</v>
      </c>
      <c r="D68" s="7" t="s">
        <v>6580</v>
      </c>
      <c r="E68" s="6" t="s">
        <v>1695</v>
      </c>
      <c r="F68" s="7" t="s">
        <v>1696</v>
      </c>
    </row>
    <row r="69">
      <c r="A69" s="8" t="s">
        <v>3234</v>
      </c>
      <c r="B69" s="8" t="s">
        <v>3131</v>
      </c>
      <c r="C69" s="8" t="s">
        <v>3132</v>
      </c>
      <c r="D69" s="9" t="s">
        <v>6580</v>
      </c>
      <c r="E69" s="8" t="s">
        <v>1695</v>
      </c>
      <c r="F69" s="9" t="s">
        <v>1696</v>
      </c>
      <c r="G69" s="10"/>
      <c r="H69" s="10"/>
    </row>
    <row r="70">
      <c r="A70" s="6" t="s">
        <v>2204</v>
      </c>
      <c r="B70" s="6" t="s">
        <v>2205</v>
      </c>
      <c r="C70" s="6" t="s">
        <v>1164</v>
      </c>
      <c r="D70" s="7" t="s">
        <v>6581</v>
      </c>
      <c r="E70" s="6" t="s">
        <v>1695</v>
      </c>
      <c r="F70" s="7" t="s">
        <v>1696</v>
      </c>
    </row>
    <row r="71">
      <c r="A71" s="6" t="s">
        <v>2604</v>
      </c>
      <c r="B71" s="6" t="s">
        <v>2605</v>
      </c>
      <c r="C71" s="6" t="s">
        <v>404</v>
      </c>
      <c r="D71" s="7" t="s">
        <v>6582</v>
      </c>
      <c r="E71" s="6" t="s">
        <v>1695</v>
      </c>
      <c r="F71" s="7" t="s">
        <v>1696</v>
      </c>
    </row>
    <row r="72">
      <c r="A72" s="6" t="s">
        <v>1718</v>
      </c>
      <c r="B72" s="6" t="s">
        <v>270</v>
      </c>
      <c r="C72" s="6" t="s">
        <v>274</v>
      </c>
      <c r="D72" s="7" t="s">
        <v>6583</v>
      </c>
      <c r="E72" s="6" t="s">
        <v>1695</v>
      </c>
      <c r="F72" s="7" t="s">
        <v>1696</v>
      </c>
    </row>
    <row r="73">
      <c r="A73" s="6" t="s">
        <v>5202</v>
      </c>
      <c r="B73" s="6" t="s">
        <v>5203</v>
      </c>
      <c r="C73" s="6" t="s">
        <v>5204</v>
      </c>
      <c r="D73" s="7" t="s">
        <v>6584</v>
      </c>
      <c r="E73" s="6" t="s">
        <v>1695</v>
      </c>
      <c r="F73" s="7" t="s">
        <v>1696</v>
      </c>
    </row>
    <row r="74">
      <c r="A74" s="6" t="s">
        <v>5497</v>
      </c>
      <c r="B74" s="6" t="s">
        <v>5498</v>
      </c>
      <c r="C74" s="6" t="s">
        <v>5499</v>
      </c>
      <c r="D74" s="7" t="s">
        <v>6585</v>
      </c>
      <c r="E74" s="6" t="s">
        <v>1695</v>
      </c>
      <c r="F74" s="7" t="s">
        <v>1696</v>
      </c>
    </row>
    <row r="75">
      <c r="A75" s="6" t="s">
        <v>1861</v>
      </c>
      <c r="B75" s="6" t="s">
        <v>1862</v>
      </c>
      <c r="C75" s="6" t="s">
        <v>1863</v>
      </c>
      <c r="D75" s="7" t="s">
        <v>6586</v>
      </c>
      <c r="E75" s="6" t="s">
        <v>1695</v>
      </c>
      <c r="F75" s="7" t="s">
        <v>1696</v>
      </c>
    </row>
    <row r="76">
      <c r="A76" s="6" t="s">
        <v>2609</v>
      </c>
      <c r="B76" s="6" t="s">
        <v>2610</v>
      </c>
      <c r="C76" s="6" t="s">
        <v>2611</v>
      </c>
      <c r="D76" s="7" t="s">
        <v>6587</v>
      </c>
      <c r="E76" s="6" t="s">
        <v>1695</v>
      </c>
      <c r="F76" s="7" t="s">
        <v>1696</v>
      </c>
    </row>
    <row r="77">
      <c r="A77" s="6" t="s">
        <v>2284</v>
      </c>
      <c r="B77" s="6" t="s">
        <v>208</v>
      </c>
      <c r="C77" s="6" t="s">
        <v>1069</v>
      </c>
      <c r="D77" s="7" t="s">
        <v>6588</v>
      </c>
      <c r="E77" s="6" t="s">
        <v>1695</v>
      </c>
      <c r="F77" s="7" t="s">
        <v>1696</v>
      </c>
    </row>
    <row r="78">
      <c r="A78" s="6" t="s">
        <v>1795</v>
      </c>
      <c r="B78" s="6" t="s">
        <v>356</v>
      </c>
      <c r="C78" s="6" t="s">
        <v>1796</v>
      </c>
      <c r="D78" s="7" t="s">
        <v>6589</v>
      </c>
      <c r="E78" s="6" t="s">
        <v>1695</v>
      </c>
      <c r="F78" s="7" t="s">
        <v>1696</v>
      </c>
    </row>
    <row r="79">
      <c r="A79" s="6" t="s">
        <v>4986</v>
      </c>
      <c r="B79" s="6" t="s">
        <v>3013</v>
      </c>
      <c r="C79" s="6" t="s">
        <v>4987</v>
      </c>
      <c r="D79" s="7" t="s">
        <v>6590</v>
      </c>
      <c r="E79" s="6" t="s">
        <v>1695</v>
      </c>
      <c r="F79" s="7" t="s">
        <v>1696</v>
      </c>
    </row>
    <row r="80">
      <c r="A80" s="6" t="s">
        <v>4546</v>
      </c>
      <c r="B80" s="6" t="s">
        <v>3974</v>
      </c>
      <c r="C80" s="6" t="s">
        <v>4547</v>
      </c>
      <c r="D80" s="7" t="s">
        <v>6591</v>
      </c>
      <c r="E80" s="6" t="s">
        <v>1695</v>
      </c>
      <c r="F80" s="7" t="s">
        <v>1696</v>
      </c>
    </row>
    <row r="81">
      <c r="A81" s="6" t="s">
        <v>5089</v>
      </c>
      <c r="B81" s="6" t="s">
        <v>1867</v>
      </c>
      <c r="C81" s="6" t="s">
        <v>5090</v>
      </c>
      <c r="D81" s="7" t="s">
        <v>6592</v>
      </c>
      <c r="E81" s="6" t="s">
        <v>1695</v>
      </c>
      <c r="F81" s="7" t="s">
        <v>1696</v>
      </c>
    </row>
    <row r="82">
      <c r="A82" s="6" t="s">
        <v>2588</v>
      </c>
      <c r="B82" s="6" t="s">
        <v>689</v>
      </c>
      <c r="C82" s="6" t="s">
        <v>1368</v>
      </c>
      <c r="D82" s="7" t="s">
        <v>6593</v>
      </c>
      <c r="E82" s="6" t="s">
        <v>1695</v>
      </c>
      <c r="F82" s="7" t="s">
        <v>1696</v>
      </c>
    </row>
    <row r="83">
      <c r="A83" s="6" t="s">
        <v>3717</v>
      </c>
      <c r="B83" s="6" t="s">
        <v>3718</v>
      </c>
      <c r="C83" s="6" t="s">
        <v>3719</v>
      </c>
      <c r="D83" s="7" t="s">
        <v>6594</v>
      </c>
      <c r="E83" s="6" t="s">
        <v>1695</v>
      </c>
      <c r="F83" s="7" t="s">
        <v>1696</v>
      </c>
    </row>
    <row r="84">
      <c r="A84" s="6" t="s">
        <v>2694</v>
      </c>
      <c r="B84" s="6" t="s">
        <v>162</v>
      </c>
      <c r="C84" s="6" t="s">
        <v>2695</v>
      </c>
      <c r="D84" s="7" t="s">
        <v>6595</v>
      </c>
      <c r="E84" s="6" t="s">
        <v>1695</v>
      </c>
      <c r="F84" s="7" t="s">
        <v>1696</v>
      </c>
    </row>
    <row r="85">
      <c r="A85" s="6" t="s">
        <v>1922</v>
      </c>
      <c r="B85" s="6" t="s">
        <v>1923</v>
      </c>
      <c r="C85" s="6" t="s">
        <v>1924</v>
      </c>
      <c r="D85" s="7" t="s">
        <v>6596</v>
      </c>
      <c r="E85" s="6" t="s">
        <v>1695</v>
      </c>
      <c r="F85" s="7" t="s">
        <v>1696</v>
      </c>
    </row>
    <row r="86">
      <c r="A86" s="6" t="s">
        <v>1946</v>
      </c>
      <c r="B86" s="6" t="s">
        <v>414</v>
      </c>
      <c r="C86" s="6" t="s">
        <v>1947</v>
      </c>
      <c r="D86" s="7" t="s">
        <v>6597</v>
      </c>
      <c r="E86" s="6" t="s">
        <v>1695</v>
      </c>
      <c r="F86" s="7" t="s">
        <v>1696</v>
      </c>
    </row>
    <row r="87">
      <c r="A87" s="6" t="s">
        <v>2380</v>
      </c>
      <c r="B87" s="6" t="s">
        <v>1215</v>
      </c>
      <c r="C87" s="6" t="s">
        <v>1561</v>
      </c>
      <c r="D87" s="7" t="s">
        <v>6598</v>
      </c>
      <c r="E87" s="6" t="s">
        <v>1695</v>
      </c>
      <c r="F87" s="7" t="s">
        <v>1696</v>
      </c>
    </row>
    <row r="88">
      <c r="A88" s="6" t="s">
        <v>6032</v>
      </c>
      <c r="B88" s="6" t="s">
        <v>6033</v>
      </c>
      <c r="C88" s="6" t="s">
        <v>320</v>
      </c>
      <c r="D88" s="7" t="s">
        <v>6599</v>
      </c>
      <c r="E88" s="6" t="s">
        <v>1695</v>
      </c>
      <c r="F88" s="7" t="s">
        <v>1696</v>
      </c>
    </row>
    <row r="89">
      <c r="A89" s="6" t="s">
        <v>5634</v>
      </c>
      <c r="B89" s="6" t="s">
        <v>1284</v>
      </c>
      <c r="C89" s="6" t="s">
        <v>5635</v>
      </c>
      <c r="D89" s="7" t="s">
        <v>6600</v>
      </c>
      <c r="E89" s="6" t="s">
        <v>1695</v>
      </c>
      <c r="F89" s="7" t="s">
        <v>1696</v>
      </c>
    </row>
    <row r="90">
      <c r="A90" s="6" t="s">
        <v>1869</v>
      </c>
      <c r="B90" s="6" t="s">
        <v>1700</v>
      </c>
      <c r="C90" s="6" t="s">
        <v>795</v>
      </c>
      <c r="D90" s="7" t="s">
        <v>6601</v>
      </c>
      <c r="E90" s="6" t="s">
        <v>1695</v>
      </c>
      <c r="F90" s="7" t="s">
        <v>1696</v>
      </c>
    </row>
    <row r="91">
      <c r="A91" s="6" t="s">
        <v>6381</v>
      </c>
      <c r="B91" s="6" t="s">
        <v>6382</v>
      </c>
      <c r="C91" s="6" t="s">
        <v>218</v>
      </c>
      <c r="D91" s="7" t="s">
        <v>6602</v>
      </c>
      <c r="E91" s="6" t="s">
        <v>1695</v>
      </c>
      <c r="F91" s="7" t="s">
        <v>6318</v>
      </c>
    </row>
    <row r="92">
      <c r="A92" s="6" t="s">
        <v>4646</v>
      </c>
      <c r="B92" s="6" t="s">
        <v>1893</v>
      </c>
      <c r="C92" s="6" t="s">
        <v>4647</v>
      </c>
      <c r="D92" s="7" t="s">
        <v>6603</v>
      </c>
      <c r="E92" s="6" t="s">
        <v>1695</v>
      </c>
      <c r="F92" s="7" t="s">
        <v>1696</v>
      </c>
    </row>
    <row r="93">
      <c r="A93" s="6" t="s">
        <v>3612</v>
      </c>
      <c r="B93" s="6" t="s">
        <v>3613</v>
      </c>
      <c r="C93" s="6" t="s">
        <v>3614</v>
      </c>
      <c r="D93" s="7" t="s">
        <v>6604</v>
      </c>
      <c r="E93" s="6" t="s">
        <v>1695</v>
      </c>
      <c r="F93" s="7" t="s">
        <v>1696</v>
      </c>
    </row>
    <row r="94">
      <c r="A94" s="6" t="s">
        <v>4985</v>
      </c>
      <c r="B94" s="6" t="s">
        <v>439</v>
      </c>
      <c r="C94" s="6" t="s">
        <v>425</v>
      </c>
      <c r="D94" s="7" t="s">
        <v>6605</v>
      </c>
      <c r="E94" s="6" t="s">
        <v>1695</v>
      </c>
      <c r="F94" s="7" t="s">
        <v>1696</v>
      </c>
    </row>
    <row r="95">
      <c r="A95" s="6" t="s">
        <v>5507</v>
      </c>
      <c r="B95" s="6" t="s">
        <v>85</v>
      </c>
      <c r="C95" s="6" t="s">
        <v>1512</v>
      </c>
      <c r="D95" s="7" t="s">
        <v>6606</v>
      </c>
      <c r="E95" s="6" t="s">
        <v>1695</v>
      </c>
      <c r="F95" s="7" t="s">
        <v>1696</v>
      </c>
    </row>
    <row r="96">
      <c r="A96" s="6" t="s">
        <v>3226</v>
      </c>
      <c r="B96" s="6" t="s">
        <v>2200</v>
      </c>
      <c r="C96" s="6" t="s">
        <v>2395</v>
      </c>
      <c r="D96" s="7" t="s">
        <v>6607</v>
      </c>
      <c r="E96" s="6" t="s">
        <v>1695</v>
      </c>
      <c r="F96" s="7" t="s">
        <v>1696</v>
      </c>
    </row>
    <row r="97">
      <c r="A97" s="6" t="s">
        <v>3653</v>
      </c>
      <c r="B97" s="6" t="s">
        <v>534</v>
      </c>
      <c r="C97" s="6" t="s">
        <v>3654</v>
      </c>
      <c r="D97" s="7" t="s">
        <v>6608</v>
      </c>
      <c r="E97" s="6" t="s">
        <v>1695</v>
      </c>
      <c r="F97" s="7" t="s">
        <v>1696</v>
      </c>
    </row>
    <row r="98">
      <c r="A98" s="6" t="s">
        <v>2571</v>
      </c>
      <c r="B98" s="6" t="s">
        <v>978</v>
      </c>
      <c r="C98" s="6" t="s">
        <v>918</v>
      </c>
      <c r="D98" s="7" t="s">
        <v>6609</v>
      </c>
      <c r="E98" s="6" t="s">
        <v>1695</v>
      </c>
      <c r="F98" s="7" t="s">
        <v>1696</v>
      </c>
    </row>
    <row r="99">
      <c r="A99" s="6" t="s">
        <v>2030</v>
      </c>
      <c r="B99" s="6" t="s">
        <v>2031</v>
      </c>
      <c r="C99" s="6" t="s">
        <v>2032</v>
      </c>
      <c r="D99" s="7" t="s">
        <v>6610</v>
      </c>
      <c r="E99" s="6" t="s">
        <v>1695</v>
      </c>
      <c r="F99" s="7" t="s">
        <v>1696</v>
      </c>
    </row>
    <row r="100">
      <c r="A100" s="6" t="s">
        <v>1767</v>
      </c>
      <c r="B100" s="6" t="s">
        <v>1768</v>
      </c>
      <c r="C100" s="6" t="s">
        <v>1769</v>
      </c>
      <c r="D100" s="7" t="s">
        <v>6611</v>
      </c>
      <c r="E100" s="6" t="s">
        <v>1695</v>
      </c>
      <c r="F100" s="7" t="s">
        <v>1696</v>
      </c>
    </row>
    <row r="101">
      <c r="A101" s="6" t="s">
        <v>2085</v>
      </c>
      <c r="B101" s="6" t="s">
        <v>2086</v>
      </c>
      <c r="C101" s="6" t="s">
        <v>443</v>
      </c>
      <c r="D101" s="7" t="s">
        <v>6612</v>
      </c>
      <c r="E101" s="6" t="s">
        <v>1695</v>
      </c>
      <c r="F101" s="7" t="s">
        <v>1696</v>
      </c>
    </row>
    <row r="102">
      <c r="A102" s="6" t="s">
        <v>6130</v>
      </c>
      <c r="B102" s="6" t="s">
        <v>291</v>
      </c>
      <c r="C102" s="6" t="s">
        <v>66</v>
      </c>
      <c r="D102" s="7" t="s">
        <v>6613</v>
      </c>
      <c r="E102" s="6" t="s">
        <v>1695</v>
      </c>
      <c r="F102" s="7" t="s">
        <v>1696</v>
      </c>
    </row>
    <row r="103">
      <c r="A103" s="6" t="s">
        <v>2189</v>
      </c>
      <c r="B103" s="6" t="s">
        <v>2190</v>
      </c>
      <c r="C103" s="6" t="s">
        <v>2191</v>
      </c>
      <c r="D103" s="7" t="s">
        <v>6614</v>
      </c>
      <c r="E103" s="6" t="s">
        <v>1695</v>
      </c>
      <c r="F103" s="7" t="s">
        <v>1696</v>
      </c>
    </row>
    <row r="104">
      <c r="A104" s="6" t="s">
        <v>5429</v>
      </c>
      <c r="B104" s="6" t="s">
        <v>5430</v>
      </c>
      <c r="C104" s="6" t="s">
        <v>5254</v>
      </c>
      <c r="D104" s="7" t="s">
        <v>6615</v>
      </c>
      <c r="E104" s="6" t="s">
        <v>1695</v>
      </c>
      <c r="F104" s="7" t="s">
        <v>1696</v>
      </c>
    </row>
    <row r="105">
      <c r="A105" s="6" t="s">
        <v>5059</v>
      </c>
      <c r="B105" s="6" t="s">
        <v>220</v>
      </c>
      <c r="C105" s="6" t="s">
        <v>4114</v>
      </c>
      <c r="D105" s="7" t="s">
        <v>6616</v>
      </c>
      <c r="E105" s="6" t="s">
        <v>1695</v>
      </c>
      <c r="F105" s="7" t="s">
        <v>1696</v>
      </c>
    </row>
    <row r="106">
      <c r="A106" s="6" t="s">
        <v>6006</v>
      </c>
      <c r="B106" s="6" t="s">
        <v>3954</v>
      </c>
      <c r="C106" s="6" t="s">
        <v>703</v>
      </c>
      <c r="D106" s="7" t="s">
        <v>6617</v>
      </c>
      <c r="E106" s="6" t="s">
        <v>1695</v>
      </c>
      <c r="F106" s="7" t="s">
        <v>1696</v>
      </c>
    </row>
    <row r="107">
      <c r="A107" s="6" t="s">
        <v>3210</v>
      </c>
      <c r="B107" s="6" t="s">
        <v>3211</v>
      </c>
      <c r="C107" s="6" t="s">
        <v>3212</v>
      </c>
      <c r="D107" s="7" t="s">
        <v>6618</v>
      </c>
      <c r="E107" s="6" t="s">
        <v>1695</v>
      </c>
      <c r="F107" s="7" t="s">
        <v>1696</v>
      </c>
    </row>
    <row r="108">
      <c r="A108" s="6" t="s">
        <v>3638</v>
      </c>
      <c r="B108" s="6" t="s">
        <v>3639</v>
      </c>
      <c r="C108" s="6" t="s">
        <v>3352</v>
      </c>
      <c r="D108" s="7" t="s">
        <v>6619</v>
      </c>
      <c r="E108" s="6" t="s">
        <v>1695</v>
      </c>
      <c r="F108" s="7" t="s">
        <v>1696</v>
      </c>
    </row>
    <row r="109">
      <c r="A109" s="6" t="s">
        <v>4950</v>
      </c>
      <c r="B109" s="6" t="s">
        <v>4951</v>
      </c>
      <c r="C109" s="6" t="s">
        <v>4952</v>
      </c>
      <c r="D109" s="7" t="s">
        <v>6620</v>
      </c>
      <c r="E109" s="6" t="s">
        <v>1695</v>
      </c>
      <c r="F109" s="7" t="s">
        <v>1696</v>
      </c>
    </row>
    <row r="110">
      <c r="A110" s="6" t="s">
        <v>6040</v>
      </c>
      <c r="B110" s="6" t="s">
        <v>2382</v>
      </c>
      <c r="C110" s="6" t="s">
        <v>6041</v>
      </c>
      <c r="D110" s="7" t="s">
        <v>6621</v>
      </c>
      <c r="E110" s="6" t="s">
        <v>1695</v>
      </c>
      <c r="F110" s="7" t="s">
        <v>1696</v>
      </c>
    </row>
    <row r="111">
      <c r="A111" s="6" t="s">
        <v>5091</v>
      </c>
      <c r="B111" s="6" t="s">
        <v>5092</v>
      </c>
      <c r="C111" s="6" t="s">
        <v>5093</v>
      </c>
      <c r="D111" s="7" t="s">
        <v>6622</v>
      </c>
      <c r="E111" s="6" t="s">
        <v>1695</v>
      </c>
      <c r="F111" s="7" t="s">
        <v>1696</v>
      </c>
    </row>
    <row r="112">
      <c r="A112" s="6" t="s">
        <v>5248</v>
      </c>
      <c r="B112" s="6" t="s">
        <v>1522</v>
      </c>
      <c r="C112" s="6" t="s">
        <v>532</v>
      </c>
      <c r="D112" s="7" t="s">
        <v>6623</v>
      </c>
      <c r="E112" s="6" t="s">
        <v>1695</v>
      </c>
      <c r="F112" s="7" t="s">
        <v>1696</v>
      </c>
    </row>
    <row r="113">
      <c r="A113" s="6" t="s">
        <v>5505</v>
      </c>
      <c r="B113" s="6" t="s">
        <v>5506</v>
      </c>
      <c r="C113" s="6" t="s">
        <v>1769</v>
      </c>
      <c r="D113" s="7" t="s">
        <v>6624</v>
      </c>
      <c r="E113" s="6" t="s">
        <v>1695</v>
      </c>
      <c r="F113" s="7" t="s">
        <v>1696</v>
      </c>
    </row>
    <row r="114">
      <c r="A114" s="6" t="s">
        <v>5347</v>
      </c>
      <c r="B114" s="6" t="s">
        <v>3651</v>
      </c>
      <c r="C114" s="6" t="s">
        <v>4114</v>
      </c>
      <c r="D114" s="7" t="s">
        <v>6625</v>
      </c>
      <c r="E114" s="6" t="s">
        <v>1695</v>
      </c>
      <c r="F114" s="7" t="s">
        <v>1696</v>
      </c>
    </row>
    <row r="115">
      <c r="A115" s="6" t="s">
        <v>5650</v>
      </c>
      <c r="B115" s="6" t="s">
        <v>522</v>
      </c>
      <c r="C115" s="6" t="s">
        <v>1304</v>
      </c>
      <c r="D115" s="7" t="s">
        <v>6626</v>
      </c>
      <c r="E115" s="6" t="s">
        <v>1695</v>
      </c>
      <c r="F115" s="7" t="s">
        <v>1696</v>
      </c>
    </row>
    <row r="116">
      <c r="A116" s="6" t="s">
        <v>5243</v>
      </c>
      <c r="B116" s="6" t="s">
        <v>2535</v>
      </c>
      <c r="C116" s="6" t="s">
        <v>168</v>
      </c>
      <c r="D116" s="7" t="s">
        <v>6627</v>
      </c>
      <c r="E116" s="6" t="s">
        <v>1695</v>
      </c>
      <c r="F116" s="7" t="s">
        <v>1696</v>
      </c>
    </row>
    <row r="117">
      <c r="A117" s="6" t="s">
        <v>6077</v>
      </c>
      <c r="B117" s="6" t="s">
        <v>6078</v>
      </c>
      <c r="C117" s="6" t="s">
        <v>1898</v>
      </c>
      <c r="D117" s="7" t="s">
        <v>6628</v>
      </c>
      <c r="E117" s="6" t="s">
        <v>1695</v>
      </c>
      <c r="F117" s="7" t="s">
        <v>1696</v>
      </c>
    </row>
    <row r="118">
      <c r="A118" s="6" t="s">
        <v>1957</v>
      </c>
      <c r="B118" s="6" t="s">
        <v>649</v>
      </c>
      <c r="C118" s="6" t="s">
        <v>610</v>
      </c>
      <c r="D118" s="7" t="s">
        <v>6629</v>
      </c>
      <c r="E118" s="6" t="s">
        <v>1695</v>
      </c>
      <c r="F118" s="7" t="s">
        <v>1696</v>
      </c>
    </row>
    <row r="119">
      <c r="A119" s="6" t="s">
        <v>5871</v>
      </c>
      <c r="B119" s="6" t="s">
        <v>5872</v>
      </c>
      <c r="C119" s="6" t="s">
        <v>5873</v>
      </c>
      <c r="D119" s="7" t="s">
        <v>6630</v>
      </c>
      <c r="E119" s="6" t="s">
        <v>1695</v>
      </c>
      <c r="F119" s="7" t="s">
        <v>1696</v>
      </c>
    </row>
    <row r="120">
      <c r="A120" s="6" t="s">
        <v>2106</v>
      </c>
      <c r="B120" s="6" t="s">
        <v>2107</v>
      </c>
      <c r="C120" s="6" t="s">
        <v>2108</v>
      </c>
      <c r="D120" s="7" t="s">
        <v>6631</v>
      </c>
      <c r="E120" s="6" t="s">
        <v>1695</v>
      </c>
      <c r="F120" s="7" t="s">
        <v>1696</v>
      </c>
    </row>
    <row r="121">
      <c r="A121" s="6" t="s">
        <v>5661</v>
      </c>
      <c r="B121" s="6" t="s">
        <v>522</v>
      </c>
      <c r="C121" s="6" t="s">
        <v>1321</v>
      </c>
      <c r="D121" s="7" t="s">
        <v>6632</v>
      </c>
      <c r="E121" s="6" t="s">
        <v>1695</v>
      </c>
      <c r="F121" s="7" t="s">
        <v>1696</v>
      </c>
    </row>
    <row r="122">
      <c r="A122" s="6" t="s">
        <v>4856</v>
      </c>
      <c r="B122" s="6" t="s">
        <v>85</v>
      </c>
      <c r="C122" s="6" t="s">
        <v>134</v>
      </c>
      <c r="D122" s="7" t="s">
        <v>6633</v>
      </c>
      <c r="E122" s="6" t="s">
        <v>1695</v>
      </c>
      <c r="F122" s="7" t="s">
        <v>1696</v>
      </c>
    </row>
    <row r="123">
      <c r="A123" s="6" t="s">
        <v>2549</v>
      </c>
      <c r="B123" s="6" t="s">
        <v>1605</v>
      </c>
      <c r="C123" s="6" t="s">
        <v>2550</v>
      </c>
      <c r="D123" s="7" t="s">
        <v>6634</v>
      </c>
      <c r="E123" s="6" t="s">
        <v>1695</v>
      </c>
      <c r="F123" s="7" t="s">
        <v>1696</v>
      </c>
    </row>
    <row r="124">
      <c r="A124" s="6" t="s">
        <v>3116</v>
      </c>
      <c r="B124" s="6" t="s">
        <v>2052</v>
      </c>
      <c r="C124" s="6" t="s">
        <v>3117</v>
      </c>
      <c r="D124" s="7" t="s">
        <v>6635</v>
      </c>
      <c r="E124" s="6" t="s">
        <v>1695</v>
      </c>
      <c r="F124" s="7" t="s">
        <v>1696</v>
      </c>
    </row>
    <row r="125">
      <c r="A125" s="6" t="s">
        <v>5373</v>
      </c>
      <c r="B125" s="6" t="s">
        <v>5374</v>
      </c>
      <c r="C125" s="6" t="s">
        <v>5375</v>
      </c>
      <c r="D125" s="7" t="s">
        <v>6636</v>
      </c>
      <c r="E125" s="6" t="s">
        <v>1695</v>
      </c>
      <c r="F125" s="7" t="s">
        <v>1696</v>
      </c>
    </row>
    <row r="126">
      <c r="A126" s="6" t="s">
        <v>5294</v>
      </c>
      <c r="B126" s="6" t="s">
        <v>3505</v>
      </c>
      <c r="C126" s="6" t="s">
        <v>649</v>
      </c>
      <c r="D126" s="7" t="s">
        <v>6637</v>
      </c>
      <c r="E126" s="6" t="s">
        <v>1695</v>
      </c>
      <c r="F126" s="7" t="s">
        <v>1696</v>
      </c>
    </row>
    <row r="127">
      <c r="A127" s="6" t="s">
        <v>2248</v>
      </c>
      <c r="B127" s="6" t="s">
        <v>2249</v>
      </c>
      <c r="C127" s="6" t="s">
        <v>1572</v>
      </c>
      <c r="D127" s="7" t="s">
        <v>6638</v>
      </c>
      <c r="E127" s="6" t="s">
        <v>1695</v>
      </c>
      <c r="F127" s="7" t="s">
        <v>1696</v>
      </c>
    </row>
    <row r="128">
      <c r="A128" s="6" t="s">
        <v>5083</v>
      </c>
      <c r="B128" s="6" t="s">
        <v>5084</v>
      </c>
      <c r="C128" s="6" t="s">
        <v>5085</v>
      </c>
      <c r="D128" s="7" t="s">
        <v>6639</v>
      </c>
      <c r="E128" s="6" t="s">
        <v>1695</v>
      </c>
      <c r="F128" s="7" t="s">
        <v>1696</v>
      </c>
    </row>
    <row r="129">
      <c r="A129" s="6" t="s">
        <v>2044</v>
      </c>
      <c r="B129" s="6" t="s">
        <v>2045</v>
      </c>
      <c r="C129" s="6" t="s">
        <v>35</v>
      </c>
      <c r="D129" s="7" t="s">
        <v>6640</v>
      </c>
      <c r="E129" s="6" t="s">
        <v>1695</v>
      </c>
      <c r="F129" s="7" t="s">
        <v>1696</v>
      </c>
    </row>
    <row r="130">
      <c r="A130" s="6" t="s">
        <v>2731</v>
      </c>
      <c r="B130" s="6" t="s">
        <v>186</v>
      </c>
      <c r="C130" s="6" t="s">
        <v>404</v>
      </c>
      <c r="D130" s="7" t="s">
        <v>6641</v>
      </c>
      <c r="E130" s="6" t="s">
        <v>1695</v>
      </c>
      <c r="F130" s="7" t="s">
        <v>1696</v>
      </c>
    </row>
    <row r="131">
      <c r="A131" s="6" t="s">
        <v>5030</v>
      </c>
      <c r="B131" s="6" t="s">
        <v>5031</v>
      </c>
      <c r="C131" s="6" t="s">
        <v>1000</v>
      </c>
      <c r="D131" s="7" t="s">
        <v>6642</v>
      </c>
      <c r="E131" s="6" t="s">
        <v>1695</v>
      </c>
      <c r="F131" s="7" t="s">
        <v>1696</v>
      </c>
    </row>
    <row r="132">
      <c r="A132" s="6" t="s">
        <v>2121</v>
      </c>
      <c r="B132" s="6" t="s">
        <v>1157</v>
      </c>
      <c r="C132" s="6" t="s">
        <v>2122</v>
      </c>
      <c r="D132" s="7" t="s">
        <v>6643</v>
      </c>
      <c r="E132" s="6" t="s">
        <v>1695</v>
      </c>
      <c r="F132" s="7" t="s">
        <v>1696</v>
      </c>
    </row>
    <row r="133">
      <c r="A133" s="6" t="s">
        <v>5881</v>
      </c>
      <c r="B133" s="6" t="s">
        <v>58</v>
      </c>
      <c r="C133" s="6" t="s">
        <v>66</v>
      </c>
      <c r="D133" s="7" t="s">
        <v>6644</v>
      </c>
      <c r="E133" s="6" t="s">
        <v>1695</v>
      </c>
      <c r="F133" s="7" t="s">
        <v>1696</v>
      </c>
    </row>
    <row r="134">
      <c r="A134" s="6" t="s">
        <v>3946</v>
      </c>
      <c r="B134" s="6" t="s">
        <v>3947</v>
      </c>
      <c r="C134" s="6" t="s">
        <v>3868</v>
      </c>
      <c r="D134" s="7" t="s">
        <v>6645</v>
      </c>
      <c r="E134" s="6" t="s">
        <v>1695</v>
      </c>
      <c r="F134" s="7" t="s">
        <v>1696</v>
      </c>
    </row>
    <row r="135">
      <c r="A135" s="6" t="s">
        <v>5460</v>
      </c>
      <c r="B135" s="6" t="s">
        <v>4896</v>
      </c>
      <c r="C135" s="6" t="s">
        <v>5461</v>
      </c>
      <c r="D135" s="7" t="s">
        <v>6646</v>
      </c>
      <c r="E135" s="6" t="s">
        <v>1695</v>
      </c>
      <c r="F135" s="7" t="s">
        <v>1696</v>
      </c>
    </row>
    <row r="136">
      <c r="A136" s="6" t="s">
        <v>1857</v>
      </c>
      <c r="B136" s="6" t="s">
        <v>1386</v>
      </c>
      <c r="C136" s="6" t="s">
        <v>328</v>
      </c>
      <c r="D136" s="7" t="s">
        <v>6647</v>
      </c>
      <c r="E136" s="6" t="s">
        <v>1695</v>
      </c>
      <c r="F136" s="7" t="s">
        <v>1696</v>
      </c>
    </row>
    <row r="137">
      <c r="A137" s="6" t="s">
        <v>4046</v>
      </c>
      <c r="B137" s="6" t="s">
        <v>3811</v>
      </c>
      <c r="C137" s="6" t="s">
        <v>4047</v>
      </c>
      <c r="D137" s="7" t="s">
        <v>6648</v>
      </c>
      <c r="E137" s="6" t="s">
        <v>1695</v>
      </c>
      <c r="F137" s="7" t="s">
        <v>1696</v>
      </c>
    </row>
    <row r="138">
      <c r="A138" s="6" t="s">
        <v>2671</v>
      </c>
      <c r="B138" s="6" t="s">
        <v>2672</v>
      </c>
      <c r="C138" s="6" t="s">
        <v>2673</v>
      </c>
      <c r="D138" s="7" t="s">
        <v>6649</v>
      </c>
      <c r="E138" s="6" t="s">
        <v>1695</v>
      </c>
      <c r="F138" s="7" t="s">
        <v>1696</v>
      </c>
    </row>
    <row r="139">
      <c r="A139" s="8" t="s">
        <v>3523</v>
      </c>
      <c r="B139" s="8" t="s">
        <v>3524</v>
      </c>
      <c r="C139" s="8" t="s">
        <v>55</v>
      </c>
      <c r="D139" s="9" t="s">
        <v>6650</v>
      </c>
      <c r="E139" s="8" t="s">
        <v>1695</v>
      </c>
      <c r="F139" s="9" t="s">
        <v>1696</v>
      </c>
      <c r="G139" s="10"/>
      <c r="H139" s="10"/>
    </row>
    <row r="140">
      <c r="A140" s="6" t="s">
        <v>2681</v>
      </c>
      <c r="B140" s="6" t="s">
        <v>2682</v>
      </c>
      <c r="C140" s="6" t="s">
        <v>66</v>
      </c>
      <c r="D140" s="7" t="s">
        <v>6651</v>
      </c>
      <c r="E140" s="6" t="s">
        <v>1695</v>
      </c>
      <c r="F140" s="7" t="s">
        <v>1696</v>
      </c>
    </row>
    <row r="141">
      <c r="A141" s="6" t="s">
        <v>4477</v>
      </c>
      <c r="B141" s="6" t="s">
        <v>2537</v>
      </c>
      <c r="C141" s="6" t="s">
        <v>4093</v>
      </c>
      <c r="D141" s="7" t="s">
        <v>6652</v>
      </c>
      <c r="E141" s="6" t="s">
        <v>1695</v>
      </c>
      <c r="F141" s="7" t="s">
        <v>1696</v>
      </c>
    </row>
    <row r="142">
      <c r="A142" s="6" t="s">
        <v>5794</v>
      </c>
      <c r="B142" s="6" t="s">
        <v>479</v>
      </c>
      <c r="C142" s="6" t="s">
        <v>5795</v>
      </c>
      <c r="D142" s="7" t="s">
        <v>6653</v>
      </c>
      <c r="E142" s="6" t="s">
        <v>1695</v>
      </c>
      <c r="F142" s="7" t="s">
        <v>1696</v>
      </c>
    </row>
    <row r="143">
      <c r="A143" s="6" t="s">
        <v>5889</v>
      </c>
      <c r="B143" s="6" t="s">
        <v>5890</v>
      </c>
      <c r="C143" s="6" t="s">
        <v>5891</v>
      </c>
      <c r="D143" s="7" t="s">
        <v>6654</v>
      </c>
      <c r="E143" s="6" t="s">
        <v>1695</v>
      </c>
      <c r="F143" s="7" t="s">
        <v>1696</v>
      </c>
    </row>
    <row r="144">
      <c r="A144" s="6" t="s">
        <v>6180</v>
      </c>
      <c r="B144" s="6" t="s">
        <v>1005</v>
      </c>
      <c r="C144" s="6" t="s">
        <v>298</v>
      </c>
      <c r="D144" s="7" t="s">
        <v>6655</v>
      </c>
      <c r="E144" s="6" t="s">
        <v>1695</v>
      </c>
      <c r="F144" s="7" t="s">
        <v>1696</v>
      </c>
    </row>
    <row r="145">
      <c r="A145" s="6" t="s">
        <v>4297</v>
      </c>
      <c r="B145" s="6" t="s">
        <v>1208</v>
      </c>
      <c r="C145" s="6" t="s">
        <v>109</v>
      </c>
      <c r="D145" s="7" t="s">
        <v>6656</v>
      </c>
      <c r="E145" s="6" t="s">
        <v>1695</v>
      </c>
      <c r="F145" s="7" t="s">
        <v>1696</v>
      </c>
    </row>
    <row r="146">
      <c r="A146" s="6" t="s">
        <v>4612</v>
      </c>
      <c r="B146" s="6" t="s">
        <v>1208</v>
      </c>
      <c r="C146" s="6" t="s">
        <v>4613</v>
      </c>
      <c r="D146" s="7" t="s">
        <v>6656</v>
      </c>
      <c r="E146" s="6" t="s">
        <v>1695</v>
      </c>
      <c r="F146" s="7" t="s">
        <v>1696</v>
      </c>
    </row>
    <row r="147">
      <c r="A147" s="6" t="s">
        <v>4100</v>
      </c>
      <c r="B147" s="6" t="s">
        <v>3906</v>
      </c>
      <c r="C147" s="6" t="s">
        <v>4101</v>
      </c>
      <c r="D147" s="7" t="s">
        <v>6657</v>
      </c>
      <c r="E147" s="6" t="s">
        <v>1695</v>
      </c>
      <c r="F147" s="7" t="s">
        <v>1696</v>
      </c>
    </row>
    <row r="148">
      <c r="A148" s="6" t="s">
        <v>2563</v>
      </c>
      <c r="B148" s="6" t="s">
        <v>394</v>
      </c>
      <c r="C148" s="6" t="s">
        <v>510</v>
      </c>
      <c r="D148" s="7" t="s">
        <v>6658</v>
      </c>
      <c r="E148" s="6" t="s">
        <v>1695</v>
      </c>
      <c r="F148" s="7" t="s">
        <v>1696</v>
      </c>
    </row>
    <row r="149">
      <c r="A149" s="6" t="s">
        <v>4240</v>
      </c>
      <c r="B149" s="6" t="s">
        <v>273</v>
      </c>
      <c r="C149" s="6" t="s">
        <v>4241</v>
      </c>
      <c r="D149" s="7" t="s">
        <v>6659</v>
      </c>
      <c r="E149" s="6" t="s">
        <v>1695</v>
      </c>
      <c r="F149" s="7" t="s">
        <v>1696</v>
      </c>
    </row>
    <row r="150">
      <c r="A150" s="6" t="s">
        <v>6315</v>
      </c>
      <c r="B150" s="6" t="s">
        <v>6316</v>
      </c>
      <c r="C150" s="6" t="s">
        <v>6317</v>
      </c>
      <c r="D150" s="7" t="s">
        <v>6660</v>
      </c>
      <c r="E150" s="6" t="s">
        <v>1695</v>
      </c>
      <c r="F150" s="7" t="s">
        <v>6318</v>
      </c>
    </row>
    <row r="151">
      <c r="A151" s="6" t="s">
        <v>5542</v>
      </c>
      <c r="B151" s="6" t="s">
        <v>5012</v>
      </c>
      <c r="C151" s="6" t="s">
        <v>646</v>
      </c>
      <c r="D151" s="7" t="s">
        <v>6661</v>
      </c>
      <c r="E151" s="6" t="s">
        <v>1695</v>
      </c>
      <c r="F151" s="7" t="s">
        <v>1696</v>
      </c>
    </row>
    <row r="152">
      <c r="A152" s="6" t="s">
        <v>3273</v>
      </c>
      <c r="B152" s="6" t="s">
        <v>3274</v>
      </c>
      <c r="C152" s="6" t="s">
        <v>3275</v>
      </c>
      <c r="D152" s="7" t="s">
        <v>6662</v>
      </c>
      <c r="E152" s="6" t="s">
        <v>1695</v>
      </c>
      <c r="F152" s="7" t="s">
        <v>1696</v>
      </c>
    </row>
    <row r="153">
      <c r="A153" s="6" t="s">
        <v>3255</v>
      </c>
      <c r="B153" s="6" t="s">
        <v>3099</v>
      </c>
      <c r="C153" s="6" t="s">
        <v>3256</v>
      </c>
      <c r="D153" s="7" t="s">
        <v>6663</v>
      </c>
      <c r="E153" s="6" t="s">
        <v>1695</v>
      </c>
      <c r="F153" s="7" t="s">
        <v>1696</v>
      </c>
    </row>
    <row r="154">
      <c r="A154" s="6" t="s">
        <v>2608</v>
      </c>
      <c r="B154" s="6" t="s">
        <v>131</v>
      </c>
      <c r="C154" s="6" t="s">
        <v>755</v>
      </c>
      <c r="D154" s="7" t="s">
        <v>6664</v>
      </c>
      <c r="E154" s="6" t="s">
        <v>1695</v>
      </c>
      <c r="F154" s="7" t="s">
        <v>1696</v>
      </c>
    </row>
    <row r="155">
      <c r="A155" s="6" t="s">
        <v>4399</v>
      </c>
      <c r="B155" s="6" t="s">
        <v>760</v>
      </c>
      <c r="C155" s="6" t="s">
        <v>526</v>
      </c>
      <c r="D155" s="7" t="s">
        <v>6665</v>
      </c>
      <c r="E155" s="6" t="s">
        <v>1695</v>
      </c>
      <c r="F155" s="7" t="s">
        <v>1696</v>
      </c>
    </row>
    <row r="156">
      <c r="A156" s="6" t="s">
        <v>5870</v>
      </c>
      <c r="B156" s="6" t="s">
        <v>4982</v>
      </c>
      <c r="C156" s="6" t="s">
        <v>701</v>
      </c>
      <c r="D156" s="7" t="s">
        <v>6666</v>
      </c>
      <c r="E156" s="6" t="s">
        <v>1695</v>
      </c>
      <c r="F156" s="7" t="s">
        <v>1696</v>
      </c>
    </row>
    <row r="157">
      <c r="A157" s="6" t="s">
        <v>3986</v>
      </c>
      <c r="B157" s="6" t="s">
        <v>522</v>
      </c>
      <c r="C157" s="6" t="s">
        <v>1882</v>
      </c>
      <c r="D157" s="7" t="s">
        <v>6667</v>
      </c>
      <c r="E157" s="6" t="s">
        <v>1695</v>
      </c>
      <c r="F157" s="7" t="s">
        <v>1696</v>
      </c>
    </row>
    <row r="158">
      <c r="A158" s="6" t="s">
        <v>2799</v>
      </c>
      <c r="B158" s="6" t="s">
        <v>2800</v>
      </c>
      <c r="C158" s="6" t="s">
        <v>2801</v>
      </c>
      <c r="D158" s="7" t="s">
        <v>6668</v>
      </c>
      <c r="E158" s="6" t="s">
        <v>1695</v>
      </c>
      <c r="F158" s="7" t="s">
        <v>1696</v>
      </c>
    </row>
    <row r="159">
      <c r="A159" s="6" t="s">
        <v>6172</v>
      </c>
      <c r="B159" s="6" t="s">
        <v>3245</v>
      </c>
      <c r="C159" s="6" t="s">
        <v>4534</v>
      </c>
      <c r="D159" s="7" t="s">
        <v>6669</v>
      </c>
      <c r="E159" s="6" t="s">
        <v>1695</v>
      </c>
      <c r="F159" s="7" t="s">
        <v>1696</v>
      </c>
    </row>
    <row r="160">
      <c r="A160" s="6" t="s">
        <v>2176</v>
      </c>
      <c r="B160" s="6" t="s">
        <v>2177</v>
      </c>
      <c r="C160" s="6" t="s">
        <v>2178</v>
      </c>
      <c r="D160" s="7" t="s">
        <v>6670</v>
      </c>
      <c r="E160" s="6" t="s">
        <v>1695</v>
      </c>
      <c r="F160" s="7" t="s">
        <v>1696</v>
      </c>
    </row>
    <row r="161">
      <c r="A161" s="6" t="s">
        <v>6230</v>
      </c>
      <c r="B161" s="6" t="s">
        <v>6231</v>
      </c>
      <c r="C161" s="6" t="s">
        <v>5708</v>
      </c>
      <c r="D161" s="7" t="s">
        <v>6671</v>
      </c>
      <c r="E161" s="6" t="s">
        <v>1695</v>
      </c>
      <c r="F161" s="7" t="s">
        <v>1696</v>
      </c>
    </row>
    <row r="162">
      <c r="A162" s="6" t="s">
        <v>4233</v>
      </c>
      <c r="B162" s="6" t="s">
        <v>540</v>
      </c>
      <c r="C162" s="6" t="s">
        <v>4234</v>
      </c>
      <c r="D162" s="7" t="s">
        <v>6672</v>
      </c>
      <c r="E162" s="6" t="s">
        <v>1695</v>
      </c>
      <c r="F162" s="7" t="s">
        <v>1696</v>
      </c>
    </row>
    <row r="163">
      <c r="A163" s="6" t="s">
        <v>3714</v>
      </c>
      <c r="B163" s="6" t="s">
        <v>1561</v>
      </c>
      <c r="C163" s="6" t="s">
        <v>918</v>
      </c>
      <c r="D163" s="7" t="s">
        <v>6673</v>
      </c>
      <c r="E163" s="6" t="s">
        <v>1695</v>
      </c>
      <c r="F163" s="7" t="s">
        <v>1696</v>
      </c>
    </row>
    <row r="164">
      <c r="A164" s="6" t="s">
        <v>2126</v>
      </c>
      <c r="B164" s="6" t="s">
        <v>2127</v>
      </c>
      <c r="C164" s="6" t="s">
        <v>2128</v>
      </c>
      <c r="D164" s="7" t="s">
        <v>6674</v>
      </c>
      <c r="E164" s="6" t="s">
        <v>1695</v>
      </c>
      <c r="F164" s="7" t="s">
        <v>1696</v>
      </c>
    </row>
    <row r="165">
      <c r="A165" s="6" t="s">
        <v>3929</v>
      </c>
      <c r="B165" s="6" t="s">
        <v>3930</v>
      </c>
      <c r="C165" s="6" t="s">
        <v>3931</v>
      </c>
      <c r="D165" s="7" t="s">
        <v>6675</v>
      </c>
      <c r="E165" s="6" t="s">
        <v>1695</v>
      </c>
      <c r="F165" s="7" t="s">
        <v>1696</v>
      </c>
    </row>
    <row r="166">
      <c r="A166" s="6" t="s">
        <v>5282</v>
      </c>
      <c r="B166" s="6" t="s">
        <v>75</v>
      </c>
      <c r="C166" s="6" t="s">
        <v>5283</v>
      </c>
      <c r="D166" s="7" t="s">
        <v>6676</v>
      </c>
      <c r="E166" s="6" t="s">
        <v>1695</v>
      </c>
      <c r="F166" s="7" t="s">
        <v>1696</v>
      </c>
    </row>
    <row r="167">
      <c r="A167" s="6" t="s">
        <v>2757</v>
      </c>
      <c r="B167" s="6" t="s">
        <v>2758</v>
      </c>
      <c r="C167" s="6" t="s">
        <v>2759</v>
      </c>
      <c r="D167" s="7" t="s">
        <v>6677</v>
      </c>
      <c r="E167" s="6" t="s">
        <v>1695</v>
      </c>
      <c r="F167" s="7" t="s">
        <v>1696</v>
      </c>
    </row>
    <row r="168">
      <c r="A168" s="6" t="s">
        <v>2858</v>
      </c>
      <c r="B168" s="6" t="s">
        <v>2859</v>
      </c>
      <c r="C168" s="6" t="s">
        <v>559</v>
      </c>
      <c r="D168" s="7" t="s">
        <v>6678</v>
      </c>
      <c r="E168" s="6" t="s">
        <v>1695</v>
      </c>
      <c r="F168" s="7" t="s">
        <v>1696</v>
      </c>
    </row>
    <row r="169">
      <c r="A169" s="6" t="s">
        <v>2572</v>
      </c>
      <c r="B169" s="6" t="s">
        <v>356</v>
      </c>
      <c r="C169" s="6" t="s">
        <v>2573</v>
      </c>
      <c r="D169" s="7" t="s">
        <v>6679</v>
      </c>
      <c r="E169" s="6" t="s">
        <v>1695</v>
      </c>
      <c r="F169" s="7" t="s">
        <v>1696</v>
      </c>
    </row>
    <row r="170">
      <c r="A170" s="6" t="s">
        <v>5490</v>
      </c>
      <c r="B170" s="6" t="s">
        <v>5491</v>
      </c>
      <c r="C170" s="6" t="s">
        <v>282</v>
      </c>
      <c r="D170" s="7" t="s">
        <v>6680</v>
      </c>
      <c r="E170" s="6" t="s">
        <v>1695</v>
      </c>
      <c r="F170" s="7" t="s">
        <v>1696</v>
      </c>
    </row>
    <row r="171">
      <c r="A171" s="6" t="s">
        <v>4728</v>
      </c>
      <c r="B171" s="6" t="s">
        <v>701</v>
      </c>
      <c r="C171" s="6" t="s">
        <v>1028</v>
      </c>
      <c r="D171" s="7" t="s">
        <v>6681</v>
      </c>
      <c r="E171" s="6" t="s">
        <v>1695</v>
      </c>
      <c r="F171" s="7" t="s">
        <v>1696</v>
      </c>
    </row>
    <row r="172">
      <c r="A172" s="6" t="s">
        <v>4930</v>
      </c>
      <c r="B172" s="6" t="s">
        <v>4931</v>
      </c>
      <c r="C172" s="6" t="s">
        <v>4932</v>
      </c>
      <c r="D172" s="7" t="s">
        <v>6682</v>
      </c>
      <c r="E172" s="6" t="s">
        <v>1695</v>
      </c>
      <c r="F172" s="7" t="s">
        <v>1696</v>
      </c>
    </row>
    <row r="173">
      <c r="A173" s="6" t="s">
        <v>5045</v>
      </c>
      <c r="B173" s="6" t="s">
        <v>5046</v>
      </c>
      <c r="C173" s="6" t="s">
        <v>5047</v>
      </c>
      <c r="D173" s="7" t="s">
        <v>6683</v>
      </c>
      <c r="E173" s="6" t="s">
        <v>1695</v>
      </c>
      <c r="F173" s="7" t="s">
        <v>1696</v>
      </c>
    </row>
    <row r="174">
      <c r="A174" s="6" t="s">
        <v>5951</v>
      </c>
      <c r="B174" s="6" t="s">
        <v>129</v>
      </c>
      <c r="C174" s="6" t="s">
        <v>5952</v>
      </c>
      <c r="D174" s="7" t="s">
        <v>6684</v>
      </c>
      <c r="E174" s="6" t="s">
        <v>1695</v>
      </c>
      <c r="F174" s="7" t="s">
        <v>1696</v>
      </c>
    </row>
    <row r="175">
      <c r="A175" s="6" t="s">
        <v>5409</v>
      </c>
      <c r="B175" s="6" t="s">
        <v>5410</v>
      </c>
      <c r="C175" s="6" t="s">
        <v>446</v>
      </c>
      <c r="D175" s="7" t="s">
        <v>6685</v>
      </c>
      <c r="E175" s="6" t="s">
        <v>1695</v>
      </c>
      <c r="F175" s="7" t="s">
        <v>1696</v>
      </c>
    </row>
    <row r="176">
      <c r="A176" s="6" t="s">
        <v>2842</v>
      </c>
      <c r="B176" s="6" t="s">
        <v>204</v>
      </c>
      <c r="C176" s="6" t="s">
        <v>111</v>
      </c>
      <c r="D176" s="7" t="s">
        <v>6686</v>
      </c>
      <c r="E176" s="6" t="s">
        <v>1695</v>
      </c>
      <c r="F176" s="7" t="s">
        <v>1696</v>
      </c>
    </row>
    <row r="177">
      <c r="A177" s="6" t="s">
        <v>3201</v>
      </c>
      <c r="B177" s="6" t="s">
        <v>3202</v>
      </c>
      <c r="C177" s="6" t="s">
        <v>2388</v>
      </c>
      <c r="D177" s="7" t="s">
        <v>6687</v>
      </c>
      <c r="E177" s="6" t="s">
        <v>1695</v>
      </c>
      <c r="F177" s="7" t="s">
        <v>1696</v>
      </c>
    </row>
    <row r="178">
      <c r="A178" s="6" t="s">
        <v>6153</v>
      </c>
      <c r="B178" s="6" t="s">
        <v>846</v>
      </c>
      <c r="C178" s="6" t="s">
        <v>1804</v>
      </c>
      <c r="D178" s="7" t="s">
        <v>6688</v>
      </c>
      <c r="E178" s="6" t="s">
        <v>1695</v>
      </c>
      <c r="F178" s="7" t="s">
        <v>1696</v>
      </c>
    </row>
    <row r="179">
      <c r="A179" s="6" t="s">
        <v>5247</v>
      </c>
      <c r="B179" s="6" t="s">
        <v>58</v>
      </c>
      <c r="C179" s="6" t="s">
        <v>404</v>
      </c>
      <c r="D179" s="7" t="s">
        <v>6689</v>
      </c>
      <c r="E179" s="6" t="s">
        <v>1695</v>
      </c>
      <c r="F179" s="7" t="s">
        <v>1696</v>
      </c>
    </row>
    <row r="180">
      <c r="A180" s="6" t="s">
        <v>5671</v>
      </c>
      <c r="B180" s="6" t="s">
        <v>490</v>
      </c>
      <c r="C180" s="6" t="s">
        <v>2724</v>
      </c>
      <c r="D180" s="7" t="s">
        <v>6690</v>
      </c>
      <c r="E180" s="6" t="s">
        <v>1695</v>
      </c>
      <c r="F180" s="7" t="s">
        <v>1696</v>
      </c>
    </row>
    <row r="181">
      <c r="A181" s="6" t="s">
        <v>2187</v>
      </c>
      <c r="B181" s="6" t="s">
        <v>2188</v>
      </c>
      <c r="C181" s="6" t="s">
        <v>784</v>
      </c>
      <c r="D181" s="7" t="s">
        <v>6691</v>
      </c>
      <c r="E181" s="6" t="s">
        <v>1695</v>
      </c>
      <c r="F181" s="7" t="s">
        <v>1696</v>
      </c>
    </row>
    <row r="182">
      <c r="A182" s="6" t="s">
        <v>3457</v>
      </c>
      <c r="B182" s="6" t="s">
        <v>787</v>
      </c>
      <c r="C182" s="6" t="s">
        <v>3458</v>
      </c>
      <c r="D182" s="7" t="s">
        <v>6692</v>
      </c>
      <c r="E182" s="6" t="s">
        <v>1695</v>
      </c>
      <c r="F182" s="7" t="s">
        <v>1696</v>
      </c>
    </row>
    <row r="183">
      <c r="A183" s="6" t="s">
        <v>5316</v>
      </c>
      <c r="B183" s="6" t="s">
        <v>3686</v>
      </c>
      <c r="C183" s="6" t="s">
        <v>85</v>
      </c>
      <c r="D183" s="7" t="s">
        <v>6693</v>
      </c>
      <c r="E183" s="6" t="s">
        <v>1695</v>
      </c>
      <c r="F183" s="7" t="s">
        <v>1696</v>
      </c>
    </row>
    <row r="184">
      <c r="A184" s="6" t="s">
        <v>3873</v>
      </c>
      <c r="B184" s="6" t="s">
        <v>3874</v>
      </c>
      <c r="C184" s="6" t="s">
        <v>3875</v>
      </c>
      <c r="D184" s="7" t="s">
        <v>6694</v>
      </c>
      <c r="E184" s="6" t="s">
        <v>1695</v>
      </c>
      <c r="F184" s="7" t="s">
        <v>1696</v>
      </c>
    </row>
    <row r="185">
      <c r="A185" s="6" t="s">
        <v>5215</v>
      </c>
      <c r="B185" s="6" t="s">
        <v>538</v>
      </c>
      <c r="C185" s="6" t="s">
        <v>5216</v>
      </c>
      <c r="D185" s="7" t="s">
        <v>6695</v>
      </c>
      <c r="E185" s="6" t="s">
        <v>1695</v>
      </c>
      <c r="F185" s="7" t="s">
        <v>1696</v>
      </c>
    </row>
    <row r="186">
      <c r="A186" s="6" t="s">
        <v>5686</v>
      </c>
      <c r="B186" s="6" t="s">
        <v>5687</v>
      </c>
      <c r="C186" s="6" t="s">
        <v>5688</v>
      </c>
      <c r="D186" s="7" t="s">
        <v>6696</v>
      </c>
      <c r="E186" s="6" t="s">
        <v>1695</v>
      </c>
      <c r="F186" s="7" t="s">
        <v>1696</v>
      </c>
    </row>
    <row r="187">
      <c r="A187" s="6" t="s">
        <v>2456</v>
      </c>
      <c r="B187" s="6" t="s">
        <v>2457</v>
      </c>
      <c r="C187" s="6" t="s">
        <v>2458</v>
      </c>
      <c r="D187" s="7" t="s">
        <v>6697</v>
      </c>
      <c r="E187" s="6" t="s">
        <v>1695</v>
      </c>
      <c r="F187" s="7" t="s">
        <v>1696</v>
      </c>
    </row>
    <row r="188">
      <c r="A188" s="6" t="s">
        <v>3351</v>
      </c>
      <c r="B188" s="6" t="s">
        <v>3352</v>
      </c>
      <c r="C188" s="6" t="s">
        <v>3353</v>
      </c>
      <c r="D188" s="7" t="s">
        <v>6698</v>
      </c>
      <c r="E188" s="6" t="s">
        <v>1695</v>
      </c>
      <c r="F188" s="7" t="s">
        <v>1696</v>
      </c>
    </row>
    <row r="189">
      <c r="A189" s="8" t="s">
        <v>2988</v>
      </c>
      <c r="B189" s="8" t="s">
        <v>1959</v>
      </c>
      <c r="C189" s="8" t="s">
        <v>2989</v>
      </c>
      <c r="D189" s="9" t="s">
        <v>6699</v>
      </c>
      <c r="E189" s="8" t="s">
        <v>1695</v>
      </c>
      <c r="F189" s="9" t="s">
        <v>1696</v>
      </c>
      <c r="G189" s="10"/>
      <c r="H189" s="10"/>
    </row>
    <row r="190">
      <c r="A190" s="6" t="s">
        <v>1757</v>
      </c>
      <c r="B190" s="6" t="s">
        <v>1758</v>
      </c>
      <c r="C190" s="6" t="s">
        <v>70</v>
      </c>
      <c r="D190" s="7" t="s">
        <v>6700</v>
      </c>
      <c r="E190" s="6" t="s">
        <v>1695</v>
      </c>
      <c r="F190" s="7" t="s">
        <v>1696</v>
      </c>
    </row>
    <row r="191">
      <c r="A191" s="6" t="s">
        <v>2909</v>
      </c>
      <c r="B191" s="6" t="s">
        <v>2910</v>
      </c>
      <c r="C191" s="6" t="s">
        <v>2911</v>
      </c>
      <c r="D191" s="7" t="s">
        <v>6701</v>
      </c>
      <c r="E191" s="6" t="s">
        <v>1695</v>
      </c>
      <c r="F191" s="7" t="s">
        <v>1696</v>
      </c>
    </row>
    <row r="192">
      <c r="A192" s="6" t="s">
        <v>5954</v>
      </c>
      <c r="B192" s="6" t="s">
        <v>273</v>
      </c>
      <c r="C192" s="6" t="s">
        <v>5955</v>
      </c>
      <c r="D192" s="7" t="s">
        <v>6702</v>
      </c>
      <c r="E192" s="6" t="s">
        <v>1695</v>
      </c>
      <c r="F192" s="7" t="s">
        <v>1696</v>
      </c>
    </row>
    <row r="193">
      <c r="A193" s="6" t="s">
        <v>2790</v>
      </c>
      <c r="B193" s="6" t="s">
        <v>930</v>
      </c>
      <c r="C193" s="6" t="s">
        <v>1584</v>
      </c>
      <c r="D193" s="7" t="s">
        <v>6703</v>
      </c>
      <c r="E193" s="6" t="s">
        <v>1695</v>
      </c>
      <c r="F193" s="7" t="s">
        <v>1696</v>
      </c>
    </row>
    <row r="194">
      <c r="A194" s="6" t="s">
        <v>5815</v>
      </c>
      <c r="B194" s="6" t="s">
        <v>280</v>
      </c>
      <c r="C194" s="6" t="s">
        <v>1232</v>
      </c>
      <c r="D194" s="7" t="s">
        <v>6704</v>
      </c>
      <c r="E194" s="6" t="s">
        <v>1695</v>
      </c>
      <c r="F194" s="7" t="s">
        <v>1696</v>
      </c>
    </row>
    <row r="195">
      <c r="A195" s="6" t="s">
        <v>5000</v>
      </c>
      <c r="B195" s="6" t="s">
        <v>422</v>
      </c>
      <c r="C195" s="6" t="s">
        <v>5001</v>
      </c>
      <c r="D195" s="7" t="s">
        <v>6705</v>
      </c>
      <c r="E195" s="6" t="s">
        <v>1695</v>
      </c>
      <c r="F195" s="7" t="s">
        <v>1696</v>
      </c>
    </row>
    <row r="196">
      <c r="A196" s="6" t="s">
        <v>6350</v>
      </c>
      <c r="B196" s="6" t="s">
        <v>6351</v>
      </c>
      <c r="C196" s="6" t="s">
        <v>596</v>
      </c>
      <c r="D196" s="7" t="s">
        <v>6706</v>
      </c>
      <c r="E196" s="6" t="s">
        <v>1695</v>
      </c>
      <c r="F196" s="7" t="s">
        <v>6318</v>
      </c>
    </row>
    <row r="197">
      <c r="A197" s="6" t="s">
        <v>4360</v>
      </c>
      <c r="B197" s="6" t="s">
        <v>4361</v>
      </c>
      <c r="C197" s="6" t="s">
        <v>1814</v>
      </c>
      <c r="D197" s="7" t="s">
        <v>6707</v>
      </c>
      <c r="E197" s="6" t="s">
        <v>1695</v>
      </c>
      <c r="F197" s="7" t="s">
        <v>1696</v>
      </c>
    </row>
    <row r="198">
      <c r="A198" s="6" t="s">
        <v>5444</v>
      </c>
      <c r="B198" s="6" t="s">
        <v>5445</v>
      </c>
      <c r="C198" s="6" t="s">
        <v>4339</v>
      </c>
      <c r="D198" s="7" t="s">
        <v>6708</v>
      </c>
      <c r="E198" s="6" t="s">
        <v>1695</v>
      </c>
      <c r="F198" s="7" t="s">
        <v>1696</v>
      </c>
    </row>
    <row r="199">
      <c r="A199" s="6" t="s">
        <v>2102</v>
      </c>
      <c r="B199" s="6" t="s">
        <v>2103</v>
      </c>
      <c r="C199" s="6" t="s">
        <v>551</v>
      </c>
      <c r="D199" s="7" t="s">
        <v>6709</v>
      </c>
      <c r="E199" s="6" t="s">
        <v>1695</v>
      </c>
      <c r="F199" s="7" t="s">
        <v>1696</v>
      </c>
    </row>
    <row r="200">
      <c r="A200" s="6" t="s">
        <v>2794</v>
      </c>
      <c r="B200" s="6" t="s">
        <v>2174</v>
      </c>
      <c r="C200" s="6" t="s">
        <v>2795</v>
      </c>
      <c r="D200" s="7" t="s">
        <v>6710</v>
      </c>
      <c r="E200" s="6" t="s">
        <v>1695</v>
      </c>
      <c r="F200" s="7" t="s">
        <v>1696</v>
      </c>
    </row>
    <row r="201">
      <c r="A201" s="6" t="s">
        <v>4749</v>
      </c>
      <c r="B201" s="6" t="s">
        <v>4750</v>
      </c>
      <c r="C201" s="6" t="s">
        <v>3940</v>
      </c>
      <c r="D201" s="7" t="s">
        <v>6711</v>
      </c>
      <c r="E201" s="6" t="s">
        <v>1695</v>
      </c>
      <c r="F201" s="7" t="s">
        <v>1696</v>
      </c>
    </row>
    <row r="202">
      <c r="A202" s="6" t="s">
        <v>2920</v>
      </c>
      <c r="B202" s="6" t="s">
        <v>2817</v>
      </c>
      <c r="C202" s="6" t="s">
        <v>2921</v>
      </c>
      <c r="D202" s="7" t="s">
        <v>6712</v>
      </c>
      <c r="E202" s="6" t="s">
        <v>1695</v>
      </c>
      <c r="F202" s="7" t="s">
        <v>1696</v>
      </c>
    </row>
    <row r="203">
      <c r="A203" s="6" t="s">
        <v>3839</v>
      </c>
      <c r="B203" s="6" t="s">
        <v>3626</v>
      </c>
      <c r="C203" s="6" t="s">
        <v>3815</v>
      </c>
      <c r="D203" s="7" t="s">
        <v>6713</v>
      </c>
      <c r="E203" s="6" t="s">
        <v>1695</v>
      </c>
      <c r="F203" s="7" t="s">
        <v>1696</v>
      </c>
    </row>
    <row r="204">
      <c r="A204" s="6" t="s">
        <v>2789</v>
      </c>
      <c r="B204" s="6" t="s">
        <v>1769</v>
      </c>
      <c r="C204" s="6" t="s">
        <v>1162</v>
      </c>
      <c r="D204" s="7" t="s">
        <v>6714</v>
      </c>
      <c r="E204" s="6" t="s">
        <v>1695</v>
      </c>
      <c r="F204" s="7" t="s">
        <v>1696</v>
      </c>
    </row>
    <row r="205">
      <c r="A205" s="6" t="s">
        <v>2423</v>
      </c>
      <c r="B205" s="6" t="s">
        <v>1954</v>
      </c>
      <c r="C205" s="6" t="s">
        <v>32</v>
      </c>
      <c r="D205" s="7" t="s">
        <v>6715</v>
      </c>
      <c r="E205" s="6" t="s">
        <v>1695</v>
      </c>
      <c r="F205" s="7" t="s">
        <v>1696</v>
      </c>
    </row>
    <row r="206">
      <c r="A206" s="6" t="s">
        <v>1881</v>
      </c>
      <c r="B206" s="6" t="s">
        <v>1882</v>
      </c>
      <c r="C206" s="6" t="s">
        <v>1883</v>
      </c>
      <c r="D206" s="7" t="s">
        <v>6716</v>
      </c>
      <c r="E206" s="6" t="s">
        <v>1695</v>
      </c>
      <c r="F206" s="7" t="s">
        <v>1696</v>
      </c>
    </row>
    <row r="207">
      <c r="A207" s="6" t="s">
        <v>3220</v>
      </c>
      <c r="B207" s="6" t="s">
        <v>3221</v>
      </c>
      <c r="C207" s="6" t="s">
        <v>3222</v>
      </c>
      <c r="D207" s="7" t="s">
        <v>6717</v>
      </c>
      <c r="E207" s="6" t="s">
        <v>1695</v>
      </c>
      <c r="F207" s="7" t="s">
        <v>1696</v>
      </c>
    </row>
    <row r="208">
      <c r="A208" s="6" t="s">
        <v>4804</v>
      </c>
      <c r="B208" s="6" t="s">
        <v>64</v>
      </c>
      <c r="C208" s="6" t="s">
        <v>4805</v>
      </c>
      <c r="D208" s="7" t="s">
        <v>6718</v>
      </c>
      <c r="E208" s="6" t="s">
        <v>1695</v>
      </c>
      <c r="F208" s="7" t="s">
        <v>1696</v>
      </c>
    </row>
    <row r="209">
      <c r="A209" s="6" t="s">
        <v>5733</v>
      </c>
      <c r="B209" s="6" t="s">
        <v>5734</v>
      </c>
      <c r="C209" s="6" t="s">
        <v>5688</v>
      </c>
      <c r="D209" s="7" t="s">
        <v>6719</v>
      </c>
      <c r="E209" s="6" t="s">
        <v>1695</v>
      </c>
      <c r="F209" s="7" t="s">
        <v>1696</v>
      </c>
    </row>
    <row r="210">
      <c r="A210" s="6" t="s">
        <v>3844</v>
      </c>
      <c r="B210" s="6" t="s">
        <v>3845</v>
      </c>
      <c r="C210" s="6" t="s">
        <v>118</v>
      </c>
      <c r="D210" s="7" t="s">
        <v>6720</v>
      </c>
      <c r="E210" s="6" t="s">
        <v>1695</v>
      </c>
      <c r="F210" s="7" t="s">
        <v>1696</v>
      </c>
    </row>
    <row r="211">
      <c r="A211" s="6" t="s">
        <v>4653</v>
      </c>
      <c r="B211" s="6" t="s">
        <v>46</v>
      </c>
      <c r="C211" s="6" t="s">
        <v>4654</v>
      </c>
      <c r="D211" s="7" t="s">
        <v>6721</v>
      </c>
      <c r="E211" s="6" t="s">
        <v>1695</v>
      </c>
      <c r="F211" s="7" t="s">
        <v>1696</v>
      </c>
    </row>
    <row r="212">
      <c r="A212" s="6" t="s">
        <v>6007</v>
      </c>
      <c r="B212" s="6" t="s">
        <v>3245</v>
      </c>
      <c r="C212" s="6" t="s">
        <v>4764</v>
      </c>
      <c r="D212" s="7" t="s">
        <v>6722</v>
      </c>
      <c r="E212" s="6" t="s">
        <v>1695</v>
      </c>
      <c r="F212" s="7" t="s">
        <v>1696</v>
      </c>
    </row>
    <row r="213">
      <c r="A213" s="6" t="s">
        <v>3136</v>
      </c>
      <c r="B213" s="6" t="s">
        <v>420</v>
      </c>
      <c r="C213" s="6" t="s">
        <v>32</v>
      </c>
      <c r="D213" s="7" t="s">
        <v>6723</v>
      </c>
      <c r="E213" s="6" t="s">
        <v>1695</v>
      </c>
      <c r="F213" s="7" t="s">
        <v>1696</v>
      </c>
    </row>
    <row r="214">
      <c r="A214" s="6" t="s">
        <v>4132</v>
      </c>
      <c r="B214" s="6" t="s">
        <v>4133</v>
      </c>
      <c r="C214" s="6" t="s">
        <v>4134</v>
      </c>
      <c r="D214" s="7" t="s">
        <v>6724</v>
      </c>
      <c r="E214" s="6" t="s">
        <v>1695</v>
      </c>
      <c r="F214" s="7" t="s">
        <v>1696</v>
      </c>
    </row>
    <row r="215">
      <c r="A215" s="6" t="s">
        <v>3753</v>
      </c>
      <c r="B215" s="6" t="s">
        <v>3754</v>
      </c>
      <c r="C215" s="6" t="s">
        <v>3755</v>
      </c>
      <c r="D215" s="7" t="s">
        <v>6725</v>
      </c>
      <c r="E215" s="6" t="s">
        <v>1695</v>
      </c>
      <c r="F215" s="7" t="s">
        <v>1696</v>
      </c>
    </row>
    <row r="216">
      <c r="A216" s="6" t="s">
        <v>4572</v>
      </c>
      <c r="B216" s="6" t="s">
        <v>178</v>
      </c>
      <c r="C216" s="6" t="s">
        <v>64</v>
      </c>
      <c r="D216" s="7" t="s">
        <v>6726</v>
      </c>
      <c r="E216" s="6" t="s">
        <v>1695</v>
      </c>
      <c r="F216" s="7" t="s">
        <v>1696</v>
      </c>
    </row>
    <row r="217">
      <c r="A217" s="6" t="s">
        <v>5600</v>
      </c>
      <c r="B217" s="6" t="s">
        <v>5601</v>
      </c>
      <c r="C217" s="6" t="s">
        <v>1814</v>
      </c>
      <c r="D217" s="7" t="s">
        <v>6727</v>
      </c>
      <c r="E217" s="6" t="s">
        <v>1695</v>
      </c>
      <c r="F217" s="7" t="s">
        <v>1696</v>
      </c>
    </row>
    <row r="218">
      <c r="A218" s="6" t="s">
        <v>5888</v>
      </c>
      <c r="B218" s="6" t="s">
        <v>271</v>
      </c>
      <c r="C218" s="6" t="s">
        <v>3089</v>
      </c>
      <c r="D218" s="7" t="s">
        <v>6728</v>
      </c>
      <c r="E218" s="6" t="s">
        <v>1695</v>
      </c>
      <c r="F218" s="7" t="s">
        <v>1696</v>
      </c>
    </row>
    <row r="219">
      <c r="A219" s="6" t="s">
        <v>3725</v>
      </c>
      <c r="B219" s="6" t="s">
        <v>3726</v>
      </c>
      <c r="C219" s="6" t="s">
        <v>280</v>
      </c>
      <c r="D219" s="7" t="s">
        <v>6729</v>
      </c>
      <c r="E219" s="6" t="s">
        <v>1695</v>
      </c>
      <c r="F219" s="7" t="s">
        <v>1696</v>
      </c>
    </row>
    <row r="220">
      <c r="A220" s="6" t="s">
        <v>4102</v>
      </c>
      <c r="B220" s="6" t="s">
        <v>1865</v>
      </c>
      <c r="C220" s="6" t="s">
        <v>4103</v>
      </c>
      <c r="D220" s="7" t="s">
        <v>6730</v>
      </c>
      <c r="E220" s="6" t="s">
        <v>1695</v>
      </c>
      <c r="F220" s="7" t="s">
        <v>1696</v>
      </c>
    </row>
    <row r="221">
      <c r="A221" s="6" t="s">
        <v>6152</v>
      </c>
      <c r="B221" s="6" t="s">
        <v>420</v>
      </c>
      <c r="C221" s="6" t="s">
        <v>6095</v>
      </c>
      <c r="D221" s="7" t="s">
        <v>6731</v>
      </c>
      <c r="E221" s="6" t="s">
        <v>1695</v>
      </c>
      <c r="F221" s="7" t="s">
        <v>1696</v>
      </c>
    </row>
    <row r="222">
      <c r="A222" s="6" t="s">
        <v>4506</v>
      </c>
      <c r="B222" s="6" t="s">
        <v>798</v>
      </c>
      <c r="C222" s="6" t="s">
        <v>3606</v>
      </c>
      <c r="D222" s="7" t="s">
        <v>6732</v>
      </c>
      <c r="E222" s="6" t="s">
        <v>1695</v>
      </c>
      <c r="F222" s="7" t="s">
        <v>1696</v>
      </c>
    </row>
    <row r="223">
      <c r="A223" s="6" t="s">
        <v>2986</v>
      </c>
      <c r="B223" s="6" t="s">
        <v>2987</v>
      </c>
      <c r="C223" s="6" t="s">
        <v>1028</v>
      </c>
      <c r="D223" s="7" t="s">
        <v>6733</v>
      </c>
      <c r="E223" s="6" t="s">
        <v>1695</v>
      </c>
      <c r="F223" s="7" t="s">
        <v>1696</v>
      </c>
    </row>
    <row r="224">
      <c r="A224" s="6" t="s">
        <v>4094</v>
      </c>
      <c r="B224" s="6" t="s">
        <v>787</v>
      </c>
      <c r="C224" s="6" t="s">
        <v>414</v>
      </c>
      <c r="D224" s="7" t="s">
        <v>6734</v>
      </c>
      <c r="E224" s="6" t="s">
        <v>1695</v>
      </c>
      <c r="F224" s="7" t="s">
        <v>1696</v>
      </c>
    </row>
    <row r="225">
      <c r="A225" s="6" t="s">
        <v>2003</v>
      </c>
      <c r="B225" s="6" t="s">
        <v>328</v>
      </c>
      <c r="C225" s="6" t="s">
        <v>2004</v>
      </c>
      <c r="D225" s="7" t="s">
        <v>6735</v>
      </c>
      <c r="E225" s="6" t="s">
        <v>1695</v>
      </c>
      <c r="F225" s="7" t="s">
        <v>1696</v>
      </c>
    </row>
    <row r="226">
      <c r="A226" s="6" t="s">
        <v>1913</v>
      </c>
      <c r="B226" s="6" t="s">
        <v>1502</v>
      </c>
      <c r="C226" s="6" t="s">
        <v>1271</v>
      </c>
      <c r="D226" s="7" t="s">
        <v>6736</v>
      </c>
      <c r="E226" s="6" t="s">
        <v>1695</v>
      </c>
      <c r="F226" s="7" t="s">
        <v>1696</v>
      </c>
    </row>
    <row r="227">
      <c r="A227" s="6" t="s">
        <v>4012</v>
      </c>
      <c r="B227" s="6" t="s">
        <v>4013</v>
      </c>
      <c r="C227" s="6" t="s">
        <v>4014</v>
      </c>
      <c r="D227" s="7" t="s">
        <v>6737</v>
      </c>
      <c r="E227" s="6" t="s">
        <v>1695</v>
      </c>
      <c r="F227" s="7" t="s">
        <v>1696</v>
      </c>
    </row>
    <row r="228">
      <c r="A228" s="6" t="s">
        <v>2635</v>
      </c>
      <c r="B228" s="6" t="s">
        <v>2153</v>
      </c>
      <c r="C228" s="6" t="s">
        <v>292</v>
      </c>
      <c r="D228" s="7" t="s">
        <v>6738</v>
      </c>
      <c r="E228" s="6" t="s">
        <v>1695</v>
      </c>
      <c r="F228" s="7" t="s">
        <v>1696</v>
      </c>
    </row>
    <row r="229">
      <c r="A229" s="6" t="s">
        <v>2531</v>
      </c>
      <c r="B229" s="6" t="s">
        <v>85</v>
      </c>
      <c r="C229" s="6" t="s">
        <v>2532</v>
      </c>
      <c r="D229" s="7" t="s">
        <v>6739</v>
      </c>
      <c r="E229" s="6" t="s">
        <v>1695</v>
      </c>
      <c r="F229" s="7" t="s">
        <v>1696</v>
      </c>
    </row>
    <row r="230">
      <c r="A230" s="6" t="s">
        <v>5335</v>
      </c>
      <c r="B230" s="6" t="s">
        <v>1532</v>
      </c>
      <c r="C230" s="6" t="s">
        <v>1177</v>
      </c>
      <c r="D230" s="7" t="s">
        <v>6740</v>
      </c>
      <c r="E230" s="6" t="s">
        <v>1695</v>
      </c>
      <c r="F230" s="7" t="s">
        <v>1696</v>
      </c>
    </row>
    <row r="231">
      <c r="A231" s="6" t="s">
        <v>2291</v>
      </c>
      <c r="B231" s="6" t="s">
        <v>2292</v>
      </c>
      <c r="C231" s="6" t="s">
        <v>2292</v>
      </c>
      <c r="D231" s="7" t="s">
        <v>6741</v>
      </c>
      <c r="E231" s="6" t="s">
        <v>1695</v>
      </c>
      <c r="F231" s="7" t="s">
        <v>1696</v>
      </c>
    </row>
    <row r="232">
      <c r="A232" s="6" t="s">
        <v>5855</v>
      </c>
      <c r="B232" s="6" t="s">
        <v>328</v>
      </c>
      <c r="C232" s="6" t="s">
        <v>5856</v>
      </c>
      <c r="D232" s="7" t="s">
        <v>6742</v>
      </c>
      <c r="E232" s="6" t="s">
        <v>1695</v>
      </c>
      <c r="F232" s="7" t="s">
        <v>1696</v>
      </c>
    </row>
    <row r="233">
      <c r="A233" s="6" t="s">
        <v>2140</v>
      </c>
      <c r="B233" s="6" t="s">
        <v>1221</v>
      </c>
      <c r="C233" s="6" t="s">
        <v>2141</v>
      </c>
      <c r="D233" s="7" t="s">
        <v>6743</v>
      </c>
      <c r="E233" s="6" t="s">
        <v>1695</v>
      </c>
      <c r="F233" s="7" t="s">
        <v>1696</v>
      </c>
    </row>
    <row r="234">
      <c r="A234" s="6" t="s">
        <v>3503</v>
      </c>
      <c r="B234" s="6" t="s">
        <v>3504</v>
      </c>
      <c r="C234" s="6" t="s">
        <v>3505</v>
      </c>
      <c r="D234" s="7" t="s">
        <v>6744</v>
      </c>
      <c r="E234" s="6" t="s">
        <v>1695</v>
      </c>
      <c r="F234" s="7" t="s">
        <v>1696</v>
      </c>
    </row>
    <row r="235">
      <c r="A235" s="6" t="s">
        <v>2262</v>
      </c>
      <c r="B235" s="6" t="s">
        <v>2263</v>
      </c>
      <c r="C235" s="6" t="s">
        <v>2264</v>
      </c>
      <c r="D235" s="7" t="s">
        <v>6745</v>
      </c>
      <c r="E235" s="6" t="s">
        <v>1695</v>
      </c>
      <c r="F235" s="7" t="s">
        <v>1696</v>
      </c>
    </row>
    <row r="236">
      <c r="A236" s="6" t="s">
        <v>2358</v>
      </c>
      <c r="B236" s="6" t="s">
        <v>2263</v>
      </c>
      <c r="C236" s="6" t="s">
        <v>2264</v>
      </c>
      <c r="D236" s="7" t="s">
        <v>6745</v>
      </c>
      <c r="E236" s="6" t="s">
        <v>1695</v>
      </c>
      <c r="F236" s="7" t="s">
        <v>1696</v>
      </c>
    </row>
    <row r="237">
      <c r="A237" s="6" t="s">
        <v>3543</v>
      </c>
      <c r="B237" s="6" t="s">
        <v>58</v>
      </c>
      <c r="C237" s="6" t="s">
        <v>3544</v>
      </c>
      <c r="D237" s="7" t="s">
        <v>6746</v>
      </c>
      <c r="E237" s="6" t="s">
        <v>1695</v>
      </c>
      <c r="F237" s="7" t="s">
        <v>1696</v>
      </c>
    </row>
    <row r="238">
      <c r="A238" s="6" t="s">
        <v>3914</v>
      </c>
      <c r="B238" s="6" t="s">
        <v>3915</v>
      </c>
      <c r="C238" s="6" t="s">
        <v>3916</v>
      </c>
      <c r="D238" s="7" t="s">
        <v>6747</v>
      </c>
      <c r="E238" s="6" t="s">
        <v>1695</v>
      </c>
      <c r="F238" s="7" t="s">
        <v>1696</v>
      </c>
    </row>
    <row r="239">
      <c r="A239" s="6" t="s">
        <v>6331</v>
      </c>
      <c r="B239" s="6" t="s">
        <v>6332</v>
      </c>
      <c r="C239" s="6" t="s">
        <v>2510</v>
      </c>
      <c r="D239" s="7" t="s">
        <v>6748</v>
      </c>
      <c r="E239" s="6" t="s">
        <v>1695</v>
      </c>
      <c r="F239" s="7" t="s">
        <v>6318</v>
      </c>
    </row>
    <row r="240">
      <c r="A240" s="6" t="s">
        <v>4686</v>
      </c>
      <c r="B240" s="6" t="s">
        <v>826</v>
      </c>
      <c r="C240" s="6" t="s">
        <v>3841</v>
      </c>
      <c r="D240" s="7" t="s">
        <v>6749</v>
      </c>
      <c r="E240" s="6" t="s">
        <v>1695</v>
      </c>
      <c r="F240" s="7" t="s">
        <v>1696</v>
      </c>
    </row>
    <row r="241">
      <c r="A241" s="6" t="s">
        <v>5812</v>
      </c>
      <c r="B241" s="6" t="s">
        <v>98</v>
      </c>
      <c r="C241" s="6" t="s">
        <v>58</v>
      </c>
      <c r="D241" s="7" t="s">
        <v>6750</v>
      </c>
      <c r="E241" s="6" t="s">
        <v>1695</v>
      </c>
      <c r="F241" s="7" t="s">
        <v>1696</v>
      </c>
    </row>
    <row r="242">
      <c r="A242" s="6" t="s">
        <v>6328</v>
      </c>
      <c r="B242" s="6" t="s">
        <v>522</v>
      </c>
      <c r="C242" s="6" t="s">
        <v>744</v>
      </c>
      <c r="D242" s="7" t="s">
        <v>6751</v>
      </c>
      <c r="E242" s="6" t="s">
        <v>1695</v>
      </c>
      <c r="F242" s="7" t="s">
        <v>6318</v>
      </c>
    </row>
    <row r="243">
      <c r="A243" s="6" t="s">
        <v>4385</v>
      </c>
      <c r="B243" s="6" t="s">
        <v>3874</v>
      </c>
      <c r="C243" s="6" t="s">
        <v>529</v>
      </c>
      <c r="D243" s="7" t="s">
        <v>6752</v>
      </c>
      <c r="E243" s="6" t="s">
        <v>1695</v>
      </c>
      <c r="F243" s="7" t="s">
        <v>1696</v>
      </c>
    </row>
    <row r="244">
      <c r="A244" s="6" t="s">
        <v>1727</v>
      </c>
      <c r="B244" s="6" t="s">
        <v>1728</v>
      </c>
      <c r="C244" s="6" t="s">
        <v>1729</v>
      </c>
      <c r="D244" s="7" t="s">
        <v>6753</v>
      </c>
      <c r="E244" s="6" t="s">
        <v>1695</v>
      </c>
      <c r="F244" s="7" t="s">
        <v>1696</v>
      </c>
    </row>
    <row r="245">
      <c r="A245" s="6" t="s">
        <v>3871</v>
      </c>
      <c r="B245" s="6" t="s">
        <v>3872</v>
      </c>
      <c r="C245" s="6" t="s">
        <v>2093</v>
      </c>
      <c r="D245" s="7" t="s">
        <v>6754</v>
      </c>
      <c r="E245" s="6" t="s">
        <v>1695</v>
      </c>
      <c r="F245" s="7" t="s">
        <v>1696</v>
      </c>
    </row>
    <row r="246">
      <c r="A246" s="6" t="s">
        <v>3155</v>
      </c>
      <c r="B246" s="6" t="s">
        <v>443</v>
      </c>
      <c r="C246" s="6" t="s">
        <v>865</v>
      </c>
      <c r="D246" s="7" t="s">
        <v>6755</v>
      </c>
      <c r="E246" s="6" t="s">
        <v>1695</v>
      </c>
      <c r="F246" s="7" t="s">
        <v>1696</v>
      </c>
    </row>
    <row r="247">
      <c r="A247" s="6" t="s">
        <v>2157</v>
      </c>
      <c r="B247" s="6" t="s">
        <v>267</v>
      </c>
      <c r="C247" s="6" t="s">
        <v>2158</v>
      </c>
      <c r="D247" s="7" t="s">
        <v>6756</v>
      </c>
      <c r="E247" s="6" t="s">
        <v>1695</v>
      </c>
      <c r="F247" s="7" t="s">
        <v>1696</v>
      </c>
    </row>
    <row r="248">
      <c r="A248" s="6" t="s">
        <v>4707</v>
      </c>
      <c r="B248" s="6" t="s">
        <v>1321</v>
      </c>
      <c r="C248" s="6" t="s">
        <v>4708</v>
      </c>
      <c r="D248" s="7" t="s">
        <v>6757</v>
      </c>
      <c r="E248" s="6" t="s">
        <v>1695</v>
      </c>
      <c r="F248" s="7" t="s">
        <v>1696</v>
      </c>
    </row>
    <row r="249">
      <c r="A249" s="6" t="s">
        <v>3980</v>
      </c>
      <c r="B249" s="6" t="s">
        <v>3981</v>
      </c>
      <c r="C249" s="6" t="s">
        <v>755</v>
      </c>
      <c r="D249" s="7" t="s">
        <v>6758</v>
      </c>
      <c r="E249" s="6" t="s">
        <v>1695</v>
      </c>
      <c r="F249" s="7" t="s">
        <v>1696</v>
      </c>
    </row>
    <row r="250">
      <c r="A250" s="6" t="s">
        <v>3113</v>
      </c>
      <c r="B250" s="6" t="s">
        <v>3114</v>
      </c>
      <c r="C250" s="6" t="s">
        <v>3115</v>
      </c>
      <c r="D250" s="7" t="s">
        <v>6759</v>
      </c>
      <c r="E250" s="6" t="s">
        <v>1695</v>
      </c>
      <c r="F250" s="7" t="s">
        <v>1696</v>
      </c>
    </row>
    <row r="251">
      <c r="A251" s="6" t="s">
        <v>3764</v>
      </c>
      <c r="B251" s="6" t="s">
        <v>261</v>
      </c>
      <c r="C251" s="6" t="s">
        <v>3765</v>
      </c>
      <c r="D251" s="7" t="s">
        <v>6760</v>
      </c>
      <c r="E251" s="6" t="s">
        <v>1695</v>
      </c>
      <c r="F251" s="7" t="s">
        <v>1696</v>
      </c>
    </row>
    <row r="252">
      <c r="A252" s="6" t="s">
        <v>3427</v>
      </c>
      <c r="B252" s="6" t="s">
        <v>3428</v>
      </c>
      <c r="C252" s="6" t="s">
        <v>3429</v>
      </c>
      <c r="D252" s="7" t="s">
        <v>6761</v>
      </c>
      <c r="E252" s="6" t="s">
        <v>1695</v>
      </c>
      <c r="F252" s="7" t="s">
        <v>1696</v>
      </c>
    </row>
    <row r="253">
      <c r="A253" s="6" t="s">
        <v>4122</v>
      </c>
      <c r="B253" s="6" t="s">
        <v>4123</v>
      </c>
      <c r="C253" s="6" t="s">
        <v>4124</v>
      </c>
      <c r="D253" s="7" t="s">
        <v>6762</v>
      </c>
      <c r="E253" s="6" t="s">
        <v>1695</v>
      </c>
      <c r="F253" s="7" t="s">
        <v>1696</v>
      </c>
    </row>
    <row r="254">
      <c r="A254" s="6" t="s">
        <v>4265</v>
      </c>
      <c r="B254" s="6" t="s">
        <v>4266</v>
      </c>
      <c r="C254" s="6" t="s">
        <v>4267</v>
      </c>
      <c r="D254" s="7" t="s">
        <v>6763</v>
      </c>
      <c r="E254" s="6" t="s">
        <v>1695</v>
      </c>
      <c r="F254" s="7" t="s">
        <v>1696</v>
      </c>
    </row>
    <row r="255">
      <c r="A255" s="6" t="s">
        <v>4045</v>
      </c>
      <c r="B255" s="6" t="s">
        <v>540</v>
      </c>
      <c r="C255" s="6" t="s">
        <v>1261</v>
      </c>
      <c r="D255" s="7" t="s">
        <v>6764</v>
      </c>
      <c r="E255" s="6" t="s">
        <v>1695</v>
      </c>
      <c r="F255" s="7" t="s">
        <v>1696</v>
      </c>
    </row>
    <row r="256">
      <c r="A256" s="6" t="s">
        <v>2983</v>
      </c>
      <c r="B256" s="6" t="s">
        <v>2984</v>
      </c>
      <c r="C256" s="6" t="s">
        <v>2985</v>
      </c>
      <c r="D256" s="7" t="s">
        <v>6765</v>
      </c>
      <c r="E256" s="6" t="s">
        <v>1695</v>
      </c>
      <c r="F256" s="7" t="s">
        <v>1696</v>
      </c>
    </row>
    <row r="257">
      <c r="A257" s="6" t="s">
        <v>2315</v>
      </c>
      <c r="B257" s="6" t="s">
        <v>209</v>
      </c>
      <c r="C257" s="6" t="s">
        <v>2316</v>
      </c>
      <c r="D257" s="7" t="s">
        <v>6766</v>
      </c>
      <c r="E257" s="6" t="s">
        <v>1695</v>
      </c>
      <c r="F257" s="7" t="s">
        <v>1696</v>
      </c>
    </row>
    <row r="258">
      <c r="A258" s="6" t="s">
        <v>1802</v>
      </c>
      <c r="B258" s="6" t="s">
        <v>1803</v>
      </c>
      <c r="C258" s="6" t="s">
        <v>1804</v>
      </c>
      <c r="D258" s="7" t="s">
        <v>6767</v>
      </c>
      <c r="E258" s="6" t="s">
        <v>1695</v>
      </c>
      <c r="F258" s="7" t="s">
        <v>1696</v>
      </c>
    </row>
    <row r="259">
      <c r="A259" s="6" t="s">
        <v>4350</v>
      </c>
      <c r="B259" s="6" t="s">
        <v>4351</v>
      </c>
      <c r="C259" s="6" t="s">
        <v>968</v>
      </c>
      <c r="D259" s="7" t="s">
        <v>6768</v>
      </c>
      <c r="E259" s="6" t="s">
        <v>1695</v>
      </c>
      <c r="F259" s="7" t="s">
        <v>1696</v>
      </c>
    </row>
    <row r="260">
      <c r="A260" s="6" t="s">
        <v>2061</v>
      </c>
      <c r="B260" s="6" t="s">
        <v>58</v>
      </c>
      <c r="C260" s="6" t="s">
        <v>2062</v>
      </c>
      <c r="D260" s="7" t="s">
        <v>6769</v>
      </c>
      <c r="E260" s="6" t="s">
        <v>1695</v>
      </c>
      <c r="F260" s="7" t="s">
        <v>1696</v>
      </c>
    </row>
    <row r="261">
      <c r="A261" s="6" t="s">
        <v>4844</v>
      </c>
      <c r="B261" s="6" t="s">
        <v>823</v>
      </c>
      <c r="C261" s="6" t="s">
        <v>4845</v>
      </c>
      <c r="D261" s="7" t="s">
        <v>6770</v>
      </c>
      <c r="E261" s="6" t="s">
        <v>1695</v>
      </c>
      <c r="F261" s="7" t="s">
        <v>1696</v>
      </c>
    </row>
    <row r="262">
      <c r="A262" s="6" t="s">
        <v>3407</v>
      </c>
      <c r="B262" s="6" t="s">
        <v>35</v>
      </c>
      <c r="C262" s="6" t="s">
        <v>443</v>
      </c>
      <c r="D262" s="7" t="s">
        <v>6771</v>
      </c>
      <c r="E262" s="6" t="s">
        <v>1695</v>
      </c>
      <c r="F262" s="7" t="s">
        <v>1696</v>
      </c>
    </row>
    <row r="263">
      <c r="A263" s="6" t="s">
        <v>6113</v>
      </c>
      <c r="B263" s="6" t="s">
        <v>946</v>
      </c>
      <c r="C263" s="6" t="s">
        <v>6114</v>
      </c>
      <c r="D263" s="7" t="s">
        <v>6772</v>
      </c>
      <c r="E263" s="6" t="s">
        <v>1695</v>
      </c>
      <c r="F263" s="7" t="s">
        <v>1696</v>
      </c>
    </row>
    <row r="264">
      <c r="A264" s="6" t="s">
        <v>4208</v>
      </c>
      <c r="B264" s="6" t="s">
        <v>2537</v>
      </c>
      <c r="C264" s="6" t="s">
        <v>4209</v>
      </c>
      <c r="D264" s="7" t="s">
        <v>6773</v>
      </c>
      <c r="E264" s="6" t="s">
        <v>1695</v>
      </c>
      <c r="F264" s="7" t="s">
        <v>1696</v>
      </c>
    </row>
    <row r="265">
      <c r="A265" s="6" t="s">
        <v>4484</v>
      </c>
      <c r="B265" s="6" t="s">
        <v>2537</v>
      </c>
      <c r="C265" s="6" t="s">
        <v>2467</v>
      </c>
      <c r="D265" s="7" t="s">
        <v>6773</v>
      </c>
      <c r="E265" s="6" t="s">
        <v>1695</v>
      </c>
      <c r="F265" s="7" t="s">
        <v>1696</v>
      </c>
    </row>
    <row r="266">
      <c r="A266" s="6" t="s">
        <v>6115</v>
      </c>
      <c r="B266" s="6" t="s">
        <v>798</v>
      </c>
      <c r="C266" s="6" t="s">
        <v>6116</v>
      </c>
      <c r="D266" s="7" t="s">
        <v>6774</v>
      </c>
      <c r="E266" s="6" t="s">
        <v>1695</v>
      </c>
      <c r="F266" s="7" t="s">
        <v>1696</v>
      </c>
    </row>
    <row r="267">
      <c r="A267" s="6" t="s">
        <v>2483</v>
      </c>
      <c r="B267" s="6" t="s">
        <v>120</v>
      </c>
      <c r="C267" s="6" t="s">
        <v>2484</v>
      </c>
      <c r="D267" s="7" t="s">
        <v>6775</v>
      </c>
      <c r="E267" s="6" t="s">
        <v>1695</v>
      </c>
      <c r="F267" s="7" t="s">
        <v>1696</v>
      </c>
    </row>
    <row r="268">
      <c r="A268" s="6" t="s">
        <v>2318</v>
      </c>
      <c r="B268" s="6" t="s">
        <v>2319</v>
      </c>
      <c r="C268" s="6" t="s">
        <v>406</v>
      </c>
      <c r="D268" s="7" t="s">
        <v>6776</v>
      </c>
      <c r="E268" s="6" t="s">
        <v>1695</v>
      </c>
      <c r="F268" s="7" t="s">
        <v>1696</v>
      </c>
    </row>
    <row r="269">
      <c r="A269" s="6" t="s">
        <v>2865</v>
      </c>
      <c r="B269" s="6" t="s">
        <v>2866</v>
      </c>
      <c r="C269" s="6" t="s">
        <v>292</v>
      </c>
      <c r="D269" s="7" t="s">
        <v>6777</v>
      </c>
      <c r="E269" s="6" t="s">
        <v>1695</v>
      </c>
      <c r="F269" s="7" t="s">
        <v>1696</v>
      </c>
    </row>
    <row r="270">
      <c r="A270" s="6" t="s">
        <v>3297</v>
      </c>
      <c r="B270" s="6" t="s">
        <v>1988</v>
      </c>
      <c r="C270" s="6" t="s">
        <v>596</v>
      </c>
      <c r="D270" s="7" t="s">
        <v>6778</v>
      </c>
      <c r="E270" s="6" t="s">
        <v>1695</v>
      </c>
      <c r="F270" s="7" t="s">
        <v>1696</v>
      </c>
    </row>
    <row r="271">
      <c r="A271" s="6" t="s">
        <v>5302</v>
      </c>
      <c r="B271" s="6" t="s">
        <v>5303</v>
      </c>
      <c r="C271" s="6" t="s">
        <v>5304</v>
      </c>
      <c r="D271" s="7" t="s">
        <v>6779</v>
      </c>
      <c r="E271" s="6" t="s">
        <v>1695</v>
      </c>
      <c r="F271" s="7" t="s">
        <v>1696</v>
      </c>
    </row>
    <row r="272">
      <c r="A272" s="6" t="s">
        <v>4063</v>
      </c>
      <c r="B272" s="6" t="s">
        <v>629</v>
      </c>
      <c r="C272" s="6" t="s">
        <v>3900</v>
      </c>
      <c r="D272" s="7" t="s">
        <v>6780</v>
      </c>
      <c r="E272" s="6" t="s">
        <v>1695</v>
      </c>
      <c r="F272" s="7" t="s">
        <v>1696</v>
      </c>
    </row>
    <row r="273">
      <c r="A273" s="6" t="s">
        <v>4993</v>
      </c>
      <c r="B273" s="6" t="s">
        <v>4994</v>
      </c>
      <c r="C273" s="6" t="s">
        <v>4995</v>
      </c>
      <c r="D273" s="7" t="s">
        <v>6781</v>
      </c>
      <c r="E273" s="6" t="s">
        <v>1695</v>
      </c>
      <c r="F273" s="7" t="s">
        <v>1696</v>
      </c>
    </row>
    <row r="274">
      <c r="A274" s="6" t="s">
        <v>5846</v>
      </c>
      <c r="B274" s="6" t="s">
        <v>724</v>
      </c>
      <c r="C274" s="6" t="s">
        <v>5847</v>
      </c>
      <c r="D274" s="7" t="s">
        <v>6782</v>
      </c>
      <c r="E274" s="6" t="s">
        <v>1695</v>
      </c>
      <c r="F274" s="7" t="s">
        <v>1696</v>
      </c>
    </row>
    <row r="275">
      <c r="A275" s="6" t="s">
        <v>3177</v>
      </c>
      <c r="B275" s="6" t="s">
        <v>328</v>
      </c>
      <c r="C275" s="6" t="s">
        <v>532</v>
      </c>
      <c r="D275" s="7" t="s">
        <v>6783</v>
      </c>
      <c r="E275" s="6" t="s">
        <v>1695</v>
      </c>
      <c r="F275" s="7" t="s">
        <v>1696</v>
      </c>
    </row>
    <row r="276">
      <c r="A276" s="6" t="s">
        <v>4867</v>
      </c>
      <c r="B276" s="6" t="s">
        <v>46</v>
      </c>
      <c r="C276" s="6" t="s">
        <v>4868</v>
      </c>
      <c r="D276" s="7" t="s">
        <v>6784</v>
      </c>
      <c r="E276" s="6" t="s">
        <v>1695</v>
      </c>
      <c r="F276" s="7" t="s">
        <v>1696</v>
      </c>
    </row>
    <row r="277">
      <c r="A277" s="6" t="s">
        <v>6194</v>
      </c>
      <c r="B277" s="6" t="s">
        <v>111</v>
      </c>
      <c r="C277" s="6" t="s">
        <v>2172</v>
      </c>
      <c r="D277" s="7" t="s">
        <v>6785</v>
      </c>
      <c r="E277" s="6" t="s">
        <v>1695</v>
      </c>
      <c r="F277" s="7" t="s">
        <v>1696</v>
      </c>
    </row>
    <row r="278">
      <c r="A278" s="6" t="s">
        <v>5971</v>
      </c>
      <c r="B278" s="6" t="s">
        <v>5972</v>
      </c>
      <c r="C278" s="6" t="s">
        <v>5973</v>
      </c>
      <c r="D278" s="7" t="s">
        <v>6786</v>
      </c>
      <c r="E278" s="6" t="s">
        <v>1695</v>
      </c>
      <c r="F278" s="7" t="s">
        <v>1696</v>
      </c>
    </row>
    <row r="279">
      <c r="A279" s="6" t="s">
        <v>2565</v>
      </c>
      <c r="B279" s="6" t="s">
        <v>2566</v>
      </c>
      <c r="C279" s="6" t="s">
        <v>404</v>
      </c>
      <c r="D279" s="7" t="s">
        <v>6787</v>
      </c>
      <c r="E279" s="6" t="s">
        <v>1695</v>
      </c>
      <c r="F279" s="7" t="s">
        <v>1696</v>
      </c>
    </row>
    <row r="280">
      <c r="A280" s="6" t="s">
        <v>6170</v>
      </c>
      <c r="B280" s="6" t="s">
        <v>689</v>
      </c>
      <c r="C280" s="6" t="s">
        <v>6171</v>
      </c>
      <c r="D280" s="7" t="s">
        <v>6788</v>
      </c>
      <c r="E280" s="6" t="s">
        <v>1695</v>
      </c>
      <c r="F280" s="7" t="s">
        <v>1696</v>
      </c>
    </row>
    <row r="281">
      <c r="A281" s="6" t="s">
        <v>3583</v>
      </c>
      <c r="B281" s="6" t="s">
        <v>1022</v>
      </c>
      <c r="C281" s="6" t="s">
        <v>1933</v>
      </c>
      <c r="D281" s="7" t="s">
        <v>6789</v>
      </c>
      <c r="E281" s="6" t="s">
        <v>1695</v>
      </c>
      <c r="F281" s="7" t="s">
        <v>1696</v>
      </c>
    </row>
    <row r="282">
      <c r="A282" s="6" t="s">
        <v>2710</v>
      </c>
      <c r="B282" s="6" t="s">
        <v>2711</v>
      </c>
      <c r="C282" s="6" t="s">
        <v>2712</v>
      </c>
      <c r="D282" s="7" t="s">
        <v>6790</v>
      </c>
      <c r="E282" s="6" t="s">
        <v>1695</v>
      </c>
      <c r="F282" s="7" t="s">
        <v>1696</v>
      </c>
    </row>
    <row r="283">
      <c r="A283" s="6" t="s">
        <v>4359</v>
      </c>
      <c r="B283" s="6" t="s">
        <v>656</v>
      </c>
      <c r="C283" s="6" t="s">
        <v>529</v>
      </c>
      <c r="D283" s="7" t="s">
        <v>6791</v>
      </c>
      <c r="E283" s="6" t="s">
        <v>1695</v>
      </c>
      <c r="F283" s="7" t="s">
        <v>1696</v>
      </c>
    </row>
    <row r="284">
      <c r="A284" s="6" t="s">
        <v>5930</v>
      </c>
      <c r="B284" s="6" t="s">
        <v>58</v>
      </c>
      <c r="C284" s="6" t="s">
        <v>5931</v>
      </c>
      <c r="D284" s="7" t="s">
        <v>6792</v>
      </c>
      <c r="E284" s="6" t="s">
        <v>1695</v>
      </c>
      <c r="F284" s="7" t="s">
        <v>1696</v>
      </c>
    </row>
    <row r="285">
      <c r="A285" s="6" t="s">
        <v>5057</v>
      </c>
      <c r="B285" s="6" t="s">
        <v>504</v>
      </c>
      <c r="C285" s="6" t="s">
        <v>404</v>
      </c>
      <c r="D285" s="7" t="s">
        <v>6793</v>
      </c>
      <c r="E285" s="6" t="s">
        <v>1695</v>
      </c>
      <c r="F285" s="7" t="s">
        <v>1696</v>
      </c>
    </row>
    <row r="286">
      <c r="A286" s="6" t="s">
        <v>4499</v>
      </c>
      <c r="B286" s="6" t="s">
        <v>853</v>
      </c>
      <c r="C286" s="6" t="s">
        <v>120</v>
      </c>
      <c r="D286" s="7" t="s">
        <v>6794</v>
      </c>
      <c r="E286" s="6" t="s">
        <v>1695</v>
      </c>
      <c r="F286" s="7" t="s">
        <v>1696</v>
      </c>
    </row>
    <row r="287">
      <c r="A287" s="6" t="s">
        <v>2839</v>
      </c>
      <c r="B287" s="6" t="s">
        <v>2840</v>
      </c>
      <c r="C287" s="6" t="s">
        <v>2841</v>
      </c>
      <c r="D287" s="7" t="s">
        <v>6795</v>
      </c>
      <c r="E287" s="6" t="s">
        <v>1695</v>
      </c>
      <c r="F287" s="7" t="s">
        <v>1696</v>
      </c>
    </row>
    <row r="288">
      <c r="A288" s="6" t="s">
        <v>5525</v>
      </c>
      <c r="B288" s="6" t="s">
        <v>2999</v>
      </c>
      <c r="C288" s="6" t="s">
        <v>916</v>
      </c>
      <c r="D288" s="7" t="s">
        <v>6796</v>
      </c>
      <c r="E288" s="6" t="s">
        <v>1695</v>
      </c>
      <c r="F288" s="7" t="s">
        <v>1696</v>
      </c>
    </row>
    <row r="289">
      <c r="A289" s="8" t="s">
        <v>5659</v>
      </c>
      <c r="B289" s="8" t="s">
        <v>1368</v>
      </c>
      <c r="C289" s="8" t="s">
        <v>5660</v>
      </c>
      <c r="D289" s="9" t="s">
        <v>6797</v>
      </c>
      <c r="E289" s="8" t="s">
        <v>1695</v>
      </c>
      <c r="F289" s="9" t="s">
        <v>1696</v>
      </c>
      <c r="G289" s="10"/>
      <c r="H289" s="10"/>
    </row>
    <row r="290">
      <c r="A290" s="6" t="s">
        <v>4902</v>
      </c>
      <c r="B290" s="6" t="s">
        <v>4903</v>
      </c>
      <c r="C290" s="6" t="s">
        <v>1792</v>
      </c>
      <c r="D290" s="7" t="s">
        <v>6798</v>
      </c>
      <c r="E290" s="6" t="s">
        <v>1695</v>
      </c>
      <c r="F290" s="7" t="s">
        <v>1696</v>
      </c>
    </row>
    <row r="291">
      <c r="A291" s="6" t="s">
        <v>6089</v>
      </c>
      <c r="B291" s="6" t="s">
        <v>6090</v>
      </c>
      <c r="C291" s="6" t="s">
        <v>849</v>
      </c>
      <c r="D291" s="7" t="s">
        <v>6799</v>
      </c>
      <c r="E291" s="6" t="s">
        <v>1695</v>
      </c>
      <c r="F291" s="7" t="s">
        <v>1696</v>
      </c>
    </row>
    <row r="292">
      <c r="A292" s="6" t="s">
        <v>3553</v>
      </c>
      <c r="B292" s="6" t="s">
        <v>3554</v>
      </c>
      <c r="C292" s="6" t="s">
        <v>3555</v>
      </c>
      <c r="D292" s="7" t="s">
        <v>6800</v>
      </c>
      <c r="E292" s="6" t="s">
        <v>1695</v>
      </c>
      <c r="F292" s="7" t="s">
        <v>1696</v>
      </c>
    </row>
    <row r="293">
      <c r="A293" s="6" t="s">
        <v>1819</v>
      </c>
      <c r="B293" s="6" t="s">
        <v>1156</v>
      </c>
      <c r="C293" s="6" t="s">
        <v>1368</v>
      </c>
      <c r="D293" s="7" t="s">
        <v>6801</v>
      </c>
      <c r="E293" s="6" t="s">
        <v>1695</v>
      </c>
      <c r="F293" s="7" t="s">
        <v>1820</v>
      </c>
    </row>
    <row r="294">
      <c r="A294" s="6" t="s">
        <v>5565</v>
      </c>
      <c r="B294" s="6" t="s">
        <v>5566</v>
      </c>
      <c r="C294" s="6" t="s">
        <v>44</v>
      </c>
      <c r="D294" s="7" t="s">
        <v>6802</v>
      </c>
      <c r="E294" s="6" t="s">
        <v>1695</v>
      </c>
      <c r="F294" s="7" t="s">
        <v>1696</v>
      </c>
    </row>
    <row r="295">
      <c r="A295" s="6" t="s">
        <v>3129</v>
      </c>
      <c r="B295" s="6" t="s">
        <v>425</v>
      </c>
      <c r="C295" s="6" t="s">
        <v>1955</v>
      </c>
      <c r="D295" s="7" t="s">
        <v>6803</v>
      </c>
      <c r="E295" s="6" t="s">
        <v>1695</v>
      </c>
      <c r="F295" s="7" t="s">
        <v>1696</v>
      </c>
    </row>
    <row r="296">
      <c r="A296" s="6" t="s">
        <v>1777</v>
      </c>
      <c r="B296" s="6" t="s">
        <v>1778</v>
      </c>
      <c r="C296" s="6" t="s">
        <v>1779</v>
      </c>
      <c r="D296" s="7" t="s">
        <v>6804</v>
      </c>
      <c r="E296" s="6" t="s">
        <v>1695</v>
      </c>
      <c r="F296" s="7" t="s">
        <v>1696</v>
      </c>
    </row>
    <row r="297">
      <c r="A297" s="6" t="s">
        <v>2137</v>
      </c>
      <c r="B297" s="6" t="s">
        <v>2138</v>
      </c>
      <c r="C297" s="6" t="s">
        <v>2139</v>
      </c>
      <c r="D297" s="7" t="s">
        <v>6805</v>
      </c>
      <c r="E297" s="6" t="s">
        <v>1695</v>
      </c>
      <c r="F297" s="7" t="s">
        <v>1696</v>
      </c>
    </row>
    <row r="298">
      <c r="A298" s="6" t="s">
        <v>2353</v>
      </c>
      <c r="B298" s="6" t="s">
        <v>2138</v>
      </c>
      <c r="C298" s="6" t="s">
        <v>76</v>
      </c>
      <c r="D298" s="7" t="s">
        <v>6805</v>
      </c>
      <c r="E298" s="6" t="s">
        <v>1695</v>
      </c>
      <c r="F298" s="7" t="s">
        <v>1696</v>
      </c>
    </row>
    <row r="299">
      <c r="A299" s="6" t="s">
        <v>1697</v>
      </c>
      <c r="B299" s="6" t="s">
        <v>420</v>
      </c>
      <c r="C299" s="6" t="s">
        <v>23</v>
      </c>
      <c r="D299" s="7" t="s">
        <v>6806</v>
      </c>
      <c r="E299" s="6" t="s">
        <v>1695</v>
      </c>
      <c r="F299" s="7" t="s">
        <v>1696</v>
      </c>
    </row>
    <row r="300">
      <c r="A300" s="6" t="s">
        <v>3225</v>
      </c>
      <c r="B300" s="6" t="s">
        <v>859</v>
      </c>
      <c r="C300" s="6" t="s">
        <v>409</v>
      </c>
      <c r="D300" s="7" t="s">
        <v>6807</v>
      </c>
      <c r="E300" s="6" t="s">
        <v>1695</v>
      </c>
      <c r="F300" s="7" t="s">
        <v>1696</v>
      </c>
    </row>
    <row r="301">
      <c r="A301" s="6" t="s">
        <v>5729</v>
      </c>
      <c r="B301" s="6" t="s">
        <v>5730</v>
      </c>
      <c r="C301" s="6" t="s">
        <v>3401</v>
      </c>
      <c r="D301" s="7" t="s">
        <v>6808</v>
      </c>
      <c r="E301" s="6" t="s">
        <v>1695</v>
      </c>
      <c r="F301" s="7" t="s">
        <v>1696</v>
      </c>
    </row>
    <row r="302">
      <c r="A302" s="6" t="s">
        <v>5946</v>
      </c>
      <c r="B302" s="6" t="s">
        <v>2431</v>
      </c>
      <c r="C302" s="6" t="s">
        <v>649</v>
      </c>
      <c r="D302" s="7" t="s">
        <v>6809</v>
      </c>
      <c r="E302" s="6" t="s">
        <v>1695</v>
      </c>
      <c r="F302" s="7" t="s">
        <v>1696</v>
      </c>
    </row>
    <row r="303">
      <c r="A303" s="6" t="s">
        <v>5419</v>
      </c>
      <c r="B303" s="6" t="s">
        <v>5420</v>
      </c>
      <c r="C303" s="6" t="s">
        <v>5421</v>
      </c>
      <c r="D303" s="7" t="s">
        <v>6810</v>
      </c>
      <c r="E303" s="6" t="s">
        <v>1695</v>
      </c>
      <c r="F303" s="7" t="s">
        <v>1696</v>
      </c>
    </row>
    <row r="304">
      <c r="A304" s="6" t="s">
        <v>1876</v>
      </c>
      <c r="B304" s="6" t="s">
        <v>1877</v>
      </c>
      <c r="C304" s="6" t="s">
        <v>1878</v>
      </c>
      <c r="D304" s="7" t="s">
        <v>6811</v>
      </c>
      <c r="E304" s="6" t="s">
        <v>1695</v>
      </c>
      <c r="F304" s="7" t="s">
        <v>1696</v>
      </c>
    </row>
    <row r="305">
      <c r="A305" s="6" t="s">
        <v>5063</v>
      </c>
      <c r="B305" s="6" t="s">
        <v>5064</v>
      </c>
      <c r="C305" s="6" t="s">
        <v>446</v>
      </c>
      <c r="D305" s="7" t="s">
        <v>6812</v>
      </c>
      <c r="E305" s="6" t="s">
        <v>1695</v>
      </c>
      <c r="F305" s="7" t="s">
        <v>1696</v>
      </c>
    </row>
    <row r="306">
      <c r="A306" s="6" t="s">
        <v>4256</v>
      </c>
      <c r="B306" s="6" t="s">
        <v>468</v>
      </c>
      <c r="C306" s="6" t="s">
        <v>4257</v>
      </c>
      <c r="D306" s="7" t="s">
        <v>6813</v>
      </c>
      <c r="E306" s="6" t="s">
        <v>1695</v>
      </c>
      <c r="F306" s="7" t="s">
        <v>1696</v>
      </c>
    </row>
    <row r="307">
      <c r="A307" s="6" t="s">
        <v>4859</v>
      </c>
      <c r="B307" s="6" t="s">
        <v>378</v>
      </c>
      <c r="C307" s="6" t="s">
        <v>162</v>
      </c>
      <c r="D307" s="7" t="s">
        <v>6814</v>
      </c>
      <c r="E307" s="6" t="s">
        <v>1695</v>
      </c>
      <c r="F307" s="7" t="s">
        <v>1696</v>
      </c>
    </row>
    <row r="308">
      <c r="A308" s="6" t="s">
        <v>2736</v>
      </c>
      <c r="B308" s="6" t="s">
        <v>2737</v>
      </c>
      <c r="C308" s="6" t="s">
        <v>342</v>
      </c>
      <c r="D308" s="7" t="s">
        <v>6815</v>
      </c>
      <c r="E308" s="6" t="s">
        <v>1695</v>
      </c>
      <c r="F308" s="7" t="s">
        <v>1696</v>
      </c>
    </row>
    <row r="309">
      <c r="A309" s="6" t="s">
        <v>3646</v>
      </c>
      <c r="B309" s="6" t="s">
        <v>1426</v>
      </c>
      <c r="C309" s="6" t="s">
        <v>1074</v>
      </c>
      <c r="D309" s="7" t="s">
        <v>6816</v>
      </c>
      <c r="E309" s="6" t="s">
        <v>1695</v>
      </c>
      <c r="F309" s="7" t="s">
        <v>1696</v>
      </c>
    </row>
    <row r="310">
      <c r="A310" s="6" t="s">
        <v>4202</v>
      </c>
      <c r="B310" s="6" t="s">
        <v>4203</v>
      </c>
      <c r="C310" s="6" t="s">
        <v>1532</v>
      </c>
      <c r="D310" s="7" t="s">
        <v>6817</v>
      </c>
      <c r="E310" s="6" t="s">
        <v>1695</v>
      </c>
      <c r="F310" s="7" t="s">
        <v>1696</v>
      </c>
    </row>
    <row r="311">
      <c r="A311" s="6" t="s">
        <v>3205</v>
      </c>
      <c r="B311" s="6" t="s">
        <v>3206</v>
      </c>
      <c r="C311" s="6" t="s">
        <v>292</v>
      </c>
      <c r="D311" s="7" t="s">
        <v>6818</v>
      </c>
      <c r="E311" s="6" t="s">
        <v>1695</v>
      </c>
      <c r="F311" s="7" t="s">
        <v>1696</v>
      </c>
    </row>
    <row r="312">
      <c r="A312" s="6" t="s">
        <v>5726</v>
      </c>
      <c r="B312" s="6" t="s">
        <v>5727</v>
      </c>
      <c r="C312" s="6" t="s">
        <v>5728</v>
      </c>
      <c r="D312" s="7" t="s">
        <v>6819</v>
      </c>
      <c r="E312" s="6" t="s">
        <v>1695</v>
      </c>
      <c r="F312" s="7" t="s">
        <v>1696</v>
      </c>
    </row>
    <row r="313">
      <c r="A313" s="6" t="s">
        <v>4355</v>
      </c>
      <c r="B313" s="6" t="s">
        <v>4356</v>
      </c>
      <c r="C313" s="6" t="s">
        <v>4215</v>
      </c>
      <c r="D313" s="7" t="s">
        <v>6820</v>
      </c>
      <c r="E313" s="6" t="s">
        <v>1695</v>
      </c>
      <c r="F313" s="7" t="s">
        <v>1696</v>
      </c>
    </row>
    <row r="314">
      <c r="A314" s="6" t="s">
        <v>4733</v>
      </c>
      <c r="B314" s="6" t="s">
        <v>4734</v>
      </c>
      <c r="C314" s="6" t="s">
        <v>4735</v>
      </c>
      <c r="D314" s="7" t="s">
        <v>6821</v>
      </c>
      <c r="E314" s="6" t="s">
        <v>1695</v>
      </c>
      <c r="F314" s="7" t="s">
        <v>1696</v>
      </c>
    </row>
    <row r="315">
      <c r="A315" s="6" t="s">
        <v>2614</v>
      </c>
      <c r="B315" s="6" t="s">
        <v>676</v>
      </c>
      <c r="C315" s="6" t="s">
        <v>2615</v>
      </c>
      <c r="D315" s="7" t="s">
        <v>6822</v>
      </c>
      <c r="E315" s="6" t="s">
        <v>1695</v>
      </c>
      <c r="F315" s="7" t="s">
        <v>1696</v>
      </c>
    </row>
    <row r="316">
      <c r="A316" s="6" t="s">
        <v>3510</v>
      </c>
      <c r="B316" s="6" t="s">
        <v>353</v>
      </c>
      <c r="C316" s="6" t="s">
        <v>1000</v>
      </c>
      <c r="D316" s="7" t="s">
        <v>6823</v>
      </c>
      <c r="E316" s="6" t="s">
        <v>1695</v>
      </c>
      <c r="F316" s="7" t="s">
        <v>1696</v>
      </c>
    </row>
    <row r="317">
      <c r="A317" s="6" t="s">
        <v>1834</v>
      </c>
      <c r="B317" s="6" t="s">
        <v>1835</v>
      </c>
      <c r="C317" s="6" t="s">
        <v>261</v>
      </c>
      <c r="D317" s="7" t="s">
        <v>6824</v>
      </c>
      <c r="E317" s="6" t="s">
        <v>1695</v>
      </c>
      <c r="F317" s="7" t="s">
        <v>1696</v>
      </c>
    </row>
    <row r="318">
      <c r="A318" s="6" t="s">
        <v>4287</v>
      </c>
      <c r="B318" s="6" t="s">
        <v>1197</v>
      </c>
      <c r="C318" s="6" t="s">
        <v>3021</v>
      </c>
      <c r="D318" s="7" t="s">
        <v>6825</v>
      </c>
      <c r="E318" s="6" t="s">
        <v>1695</v>
      </c>
      <c r="F318" s="7" t="s">
        <v>1696</v>
      </c>
    </row>
    <row r="319">
      <c r="A319" s="6" t="s">
        <v>2487</v>
      </c>
      <c r="B319" s="6" t="s">
        <v>2488</v>
      </c>
      <c r="C319" s="6" t="s">
        <v>446</v>
      </c>
      <c r="D319" s="7" t="s">
        <v>6826</v>
      </c>
      <c r="E319" s="6" t="s">
        <v>1695</v>
      </c>
      <c r="F319" s="7" t="s">
        <v>1696</v>
      </c>
    </row>
    <row r="320">
      <c r="A320" s="6" t="s">
        <v>4740</v>
      </c>
      <c r="B320" s="6" t="s">
        <v>16</v>
      </c>
      <c r="C320" s="6" t="s">
        <v>4741</v>
      </c>
      <c r="D320" s="7" t="s">
        <v>6827</v>
      </c>
      <c r="E320" s="6" t="s">
        <v>1695</v>
      </c>
      <c r="F320" s="7" t="s">
        <v>1696</v>
      </c>
    </row>
    <row r="321">
      <c r="A321" s="6" t="s">
        <v>4792</v>
      </c>
      <c r="B321" s="6" t="s">
        <v>490</v>
      </c>
      <c r="C321" s="6" t="s">
        <v>422</v>
      </c>
      <c r="D321" s="7" t="s">
        <v>6828</v>
      </c>
      <c r="E321" s="6" t="s">
        <v>1695</v>
      </c>
      <c r="F321" s="7" t="s">
        <v>1696</v>
      </c>
    </row>
    <row r="322">
      <c r="A322" s="6" t="s">
        <v>3207</v>
      </c>
      <c r="B322" s="6" t="s">
        <v>3208</v>
      </c>
      <c r="C322" s="6" t="s">
        <v>3209</v>
      </c>
      <c r="D322" s="7" t="s">
        <v>6829</v>
      </c>
      <c r="E322" s="6" t="s">
        <v>1695</v>
      </c>
      <c r="F322" s="7" t="s">
        <v>1696</v>
      </c>
    </row>
    <row r="323">
      <c r="A323" s="6" t="s">
        <v>5832</v>
      </c>
      <c r="B323" s="6" t="s">
        <v>1224</v>
      </c>
      <c r="C323" s="6" t="s">
        <v>5833</v>
      </c>
      <c r="D323" s="7" t="s">
        <v>6830</v>
      </c>
      <c r="E323" s="6" t="s">
        <v>1695</v>
      </c>
      <c r="F323" s="7" t="s">
        <v>1696</v>
      </c>
    </row>
    <row r="324">
      <c r="A324" s="6" t="s">
        <v>6093</v>
      </c>
      <c r="B324" s="6" t="s">
        <v>3280</v>
      </c>
      <c r="C324" s="6" t="s">
        <v>468</v>
      </c>
      <c r="D324" s="7" t="s">
        <v>6831</v>
      </c>
      <c r="E324" s="6" t="s">
        <v>1695</v>
      </c>
      <c r="F324" s="7" t="s">
        <v>1696</v>
      </c>
    </row>
    <row r="325">
      <c r="A325" s="6" t="s">
        <v>6109</v>
      </c>
      <c r="B325" s="6" t="s">
        <v>6110</v>
      </c>
      <c r="C325" s="6" t="s">
        <v>70</v>
      </c>
      <c r="D325" s="7" t="s">
        <v>6831</v>
      </c>
      <c r="E325" s="6" t="s">
        <v>1695</v>
      </c>
      <c r="F325" s="7" t="s">
        <v>1696</v>
      </c>
    </row>
    <row r="326">
      <c r="A326" s="6" t="s">
        <v>6222</v>
      </c>
      <c r="B326" s="6" t="s">
        <v>6223</v>
      </c>
      <c r="C326" s="6" t="s">
        <v>6224</v>
      </c>
      <c r="D326" s="7" t="s">
        <v>6832</v>
      </c>
      <c r="E326" s="6" t="s">
        <v>1695</v>
      </c>
      <c r="F326" s="7" t="s">
        <v>1696</v>
      </c>
    </row>
    <row r="327">
      <c r="A327" s="6" t="s">
        <v>3570</v>
      </c>
      <c r="B327" s="6" t="s">
        <v>927</v>
      </c>
      <c r="C327" s="6" t="s">
        <v>466</v>
      </c>
      <c r="D327" s="7" t="s">
        <v>6833</v>
      </c>
      <c r="E327" s="6" t="s">
        <v>1695</v>
      </c>
      <c r="F327" s="7" t="s">
        <v>1696</v>
      </c>
    </row>
    <row r="328">
      <c r="A328" s="6" t="s">
        <v>3402</v>
      </c>
      <c r="B328" s="6" t="s">
        <v>691</v>
      </c>
      <c r="C328" s="6" t="s">
        <v>1710</v>
      </c>
      <c r="D328" s="7" t="s">
        <v>6834</v>
      </c>
      <c r="E328" s="6" t="s">
        <v>1695</v>
      </c>
      <c r="F328" s="7" t="s">
        <v>1696</v>
      </c>
    </row>
    <row r="329">
      <c r="A329" s="6" t="s">
        <v>5077</v>
      </c>
      <c r="B329" s="6" t="s">
        <v>261</v>
      </c>
      <c r="C329" s="6" t="s">
        <v>5078</v>
      </c>
      <c r="D329" s="7" t="s">
        <v>6835</v>
      </c>
      <c r="E329" s="6" t="s">
        <v>1695</v>
      </c>
      <c r="F329" s="7" t="s">
        <v>1696</v>
      </c>
    </row>
    <row r="330">
      <c r="A330" s="6" t="s">
        <v>5682</v>
      </c>
      <c r="B330" s="6" t="s">
        <v>5683</v>
      </c>
      <c r="C330" s="6" t="s">
        <v>5684</v>
      </c>
      <c r="D330" s="7" t="s">
        <v>6836</v>
      </c>
      <c r="E330" s="6" t="s">
        <v>1695</v>
      </c>
      <c r="F330" s="7" t="s">
        <v>1696</v>
      </c>
    </row>
    <row r="331">
      <c r="A331" s="6" t="s">
        <v>2601</v>
      </c>
      <c r="B331" s="6" t="s">
        <v>706</v>
      </c>
      <c r="C331" s="6" t="s">
        <v>2602</v>
      </c>
      <c r="D331" s="7" t="s">
        <v>6837</v>
      </c>
      <c r="E331" s="6" t="s">
        <v>1695</v>
      </c>
      <c r="F331" s="7" t="s">
        <v>1696</v>
      </c>
    </row>
    <row r="332">
      <c r="A332" s="6" t="s">
        <v>2771</v>
      </c>
      <c r="B332" s="6" t="s">
        <v>356</v>
      </c>
      <c r="C332" s="6" t="s">
        <v>2772</v>
      </c>
      <c r="D332" s="7" t="s">
        <v>6838</v>
      </c>
      <c r="E332" s="6" t="s">
        <v>1695</v>
      </c>
      <c r="F332" s="7" t="s">
        <v>1696</v>
      </c>
    </row>
    <row r="333">
      <c r="A333" s="6" t="s">
        <v>3683</v>
      </c>
      <c r="B333" s="6" t="s">
        <v>16</v>
      </c>
      <c r="C333" s="6" t="s">
        <v>3684</v>
      </c>
      <c r="D333" s="7" t="s">
        <v>6839</v>
      </c>
      <c r="E333" s="6" t="s">
        <v>1695</v>
      </c>
      <c r="F333" s="7" t="s">
        <v>1696</v>
      </c>
    </row>
    <row r="334">
      <c r="A334" s="6" t="s">
        <v>6245</v>
      </c>
      <c r="B334" s="6" t="s">
        <v>6246</v>
      </c>
      <c r="C334" s="6" t="s">
        <v>1584</v>
      </c>
      <c r="D334" s="7" t="s">
        <v>6840</v>
      </c>
      <c r="E334" s="6" t="s">
        <v>1695</v>
      </c>
      <c r="F334" s="7" t="s">
        <v>1696</v>
      </c>
    </row>
    <row r="335">
      <c r="A335" s="6" t="s">
        <v>4280</v>
      </c>
      <c r="B335" s="6" t="s">
        <v>4281</v>
      </c>
      <c r="C335" s="6" t="s">
        <v>4282</v>
      </c>
      <c r="D335" s="7" t="s">
        <v>6841</v>
      </c>
      <c r="E335" s="6" t="s">
        <v>1695</v>
      </c>
      <c r="F335" s="7" t="s">
        <v>1696</v>
      </c>
    </row>
    <row r="336">
      <c r="A336" s="6" t="s">
        <v>4126</v>
      </c>
      <c r="B336" s="6" t="s">
        <v>111</v>
      </c>
      <c r="C336" s="6" t="s">
        <v>4127</v>
      </c>
      <c r="D336" s="7" t="s">
        <v>6842</v>
      </c>
      <c r="E336" s="6" t="s">
        <v>1695</v>
      </c>
      <c r="F336" s="7" t="s">
        <v>1696</v>
      </c>
    </row>
    <row r="337">
      <c r="A337" s="6" t="s">
        <v>1936</v>
      </c>
      <c r="B337" s="6" t="s">
        <v>1532</v>
      </c>
      <c r="C337" s="6" t="s">
        <v>1937</v>
      </c>
      <c r="D337" s="7" t="s">
        <v>6843</v>
      </c>
      <c r="E337" s="6" t="s">
        <v>1695</v>
      </c>
      <c r="F337" s="7" t="s">
        <v>1696</v>
      </c>
    </row>
    <row r="338">
      <c r="A338" s="6" t="s">
        <v>5062</v>
      </c>
      <c r="B338" s="6" t="s">
        <v>414</v>
      </c>
      <c r="C338" s="6" t="s">
        <v>2724</v>
      </c>
      <c r="D338" s="7" t="s">
        <v>6844</v>
      </c>
      <c r="E338" s="6" t="s">
        <v>1695</v>
      </c>
      <c r="F338" s="7" t="s">
        <v>1696</v>
      </c>
    </row>
    <row r="339">
      <c r="A339" s="6" t="s">
        <v>4095</v>
      </c>
      <c r="B339" s="6" t="s">
        <v>2999</v>
      </c>
      <c r="C339" s="6" t="s">
        <v>4051</v>
      </c>
      <c r="D339" s="7" t="s">
        <v>6845</v>
      </c>
      <c r="E339" s="6" t="s">
        <v>1695</v>
      </c>
      <c r="F339" s="7" t="s">
        <v>1696</v>
      </c>
    </row>
    <row r="340">
      <c r="A340" s="6" t="s">
        <v>2344</v>
      </c>
      <c r="B340" s="6" t="s">
        <v>2345</v>
      </c>
      <c r="C340" s="6" t="s">
        <v>446</v>
      </c>
      <c r="D340" s="7" t="s">
        <v>6846</v>
      </c>
      <c r="E340" s="6" t="s">
        <v>1695</v>
      </c>
      <c r="F340" s="7" t="s">
        <v>1696</v>
      </c>
    </row>
    <row r="341">
      <c r="A341" s="6" t="s">
        <v>3864</v>
      </c>
      <c r="B341" s="6" t="s">
        <v>945</v>
      </c>
      <c r="C341" s="6" t="s">
        <v>1803</v>
      </c>
      <c r="D341" s="7" t="s">
        <v>6847</v>
      </c>
      <c r="E341" s="6" t="s">
        <v>1695</v>
      </c>
      <c r="F341" s="7" t="s">
        <v>1696</v>
      </c>
    </row>
    <row r="342">
      <c r="A342" s="6" t="s">
        <v>4106</v>
      </c>
      <c r="B342" s="6" t="s">
        <v>4107</v>
      </c>
      <c r="C342" s="6" t="s">
        <v>4108</v>
      </c>
      <c r="D342" s="7" t="s">
        <v>6848</v>
      </c>
      <c r="E342" s="6" t="s">
        <v>1695</v>
      </c>
      <c r="F342" s="7" t="s">
        <v>1696</v>
      </c>
    </row>
    <row r="343">
      <c r="A343" s="6" t="s">
        <v>1730</v>
      </c>
      <c r="B343" s="6" t="s">
        <v>328</v>
      </c>
      <c r="C343" s="6" t="s">
        <v>1584</v>
      </c>
      <c r="D343" s="7" t="s">
        <v>6849</v>
      </c>
      <c r="E343" s="6" t="s">
        <v>1695</v>
      </c>
      <c r="F343" s="7" t="s">
        <v>1696</v>
      </c>
    </row>
    <row r="344">
      <c r="A344" s="6" t="s">
        <v>4197</v>
      </c>
      <c r="B344" s="6" t="s">
        <v>4198</v>
      </c>
      <c r="C344" s="6" t="s">
        <v>4199</v>
      </c>
      <c r="D344" s="7" t="s">
        <v>6850</v>
      </c>
      <c r="E344" s="6" t="s">
        <v>1695</v>
      </c>
      <c r="F344" s="7" t="s">
        <v>1696</v>
      </c>
    </row>
    <row r="345">
      <c r="A345" s="6" t="s">
        <v>1750</v>
      </c>
      <c r="B345" s="6" t="s">
        <v>420</v>
      </c>
      <c r="C345" s="6" t="s">
        <v>189</v>
      </c>
      <c r="D345" s="7" t="s">
        <v>6851</v>
      </c>
      <c r="E345" s="6" t="s">
        <v>1695</v>
      </c>
      <c r="F345" s="7" t="s">
        <v>1696</v>
      </c>
    </row>
    <row r="346">
      <c r="A346" s="6" t="s">
        <v>1970</v>
      </c>
      <c r="B346" s="6" t="s">
        <v>1971</v>
      </c>
      <c r="C346" s="6" t="s">
        <v>1972</v>
      </c>
      <c r="D346" s="7" t="s">
        <v>6852</v>
      </c>
      <c r="E346" s="6" t="s">
        <v>1695</v>
      </c>
      <c r="F346" s="7" t="s">
        <v>1696</v>
      </c>
    </row>
    <row r="347">
      <c r="A347" s="6" t="s">
        <v>3137</v>
      </c>
      <c r="B347" s="6" t="s">
        <v>273</v>
      </c>
      <c r="C347" s="6" t="s">
        <v>1112</v>
      </c>
      <c r="D347" s="7" t="s">
        <v>6853</v>
      </c>
      <c r="E347" s="6" t="s">
        <v>1695</v>
      </c>
      <c r="F347" s="7" t="s">
        <v>1696</v>
      </c>
    </row>
    <row r="348">
      <c r="A348" s="6" t="s">
        <v>3145</v>
      </c>
      <c r="B348" s="6" t="s">
        <v>1197</v>
      </c>
      <c r="C348" s="6" t="s">
        <v>1198</v>
      </c>
      <c r="D348" s="7" t="s">
        <v>6854</v>
      </c>
      <c r="E348" s="6" t="s">
        <v>1695</v>
      </c>
      <c r="F348" s="7" t="s">
        <v>1696</v>
      </c>
    </row>
    <row r="349">
      <c r="A349" s="6" t="s">
        <v>2740</v>
      </c>
      <c r="B349" s="6" t="s">
        <v>2741</v>
      </c>
      <c r="C349" s="6" t="s">
        <v>2742</v>
      </c>
      <c r="D349" s="7" t="s">
        <v>6855</v>
      </c>
      <c r="E349" s="6" t="s">
        <v>1695</v>
      </c>
      <c r="F349" s="7" t="s">
        <v>1696</v>
      </c>
    </row>
    <row r="350">
      <c r="A350" s="6" t="s">
        <v>4503</v>
      </c>
      <c r="B350" s="6" t="s">
        <v>188</v>
      </c>
      <c r="C350" s="6" t="s">
        <v>4504</v>
      </c>
      <c r="D350" s="7" t="s">
        <v>6856</v>
      </c>
      <c r="E350" s="6" t="s">
        <v>1695</v>
      </c>
      <c r="F350" s="7" t="s">
        <v>1696</v>
      </c>
    </row>
    <row r="351">
      <c r="A351" s="6" t="s">
        <v>3496</v>
      </c>
      <c r="B351" s="6" t="s">
        <v>580</v>
      </c>
      <c r="C351" s="6" t="s">
        <v>2724</v>
      </c>
      <c r="D351" s="7" t="s">
        <v>6857</v>
      </c>
      <c r="E351" s="6" t="s">
        <v>1695</v>
      </c>
      <c r="F351" s="7" t="s">
        <v>1696</v>
      </c>
    </row>
    <row r="352">
      <c r="A352" s="6" t="s">
        <v>5540</v>
      </c>
      <c r="B352" s="6" t="s">
        <v>261</v>
      </c>
      <c r="C352" s="6" t="s">
        <v>5541</v>
      </c>
      <c r="D352" s="7" t="s">
        <v>6858</v>
      </c>
      <c r="E352" s="6" t="s">
        <v>1695</v>
      </c>
      <c r="F352" s="7" t="s">
        <v>1696</v>
      </c>
    </row>
    <row r="353">
      <c r="A353" s="6" t="s">
        <v>6197</v>
      </c>
      <c r="B353" s="6" t="s">
        <v>3686</v>
      </c>
      <c r="C353" s="6" t="s">
        <v>1646</v>
      </c>
      <c r="D353" s="7" t="s">
        <v>6859</v>
      </c>
      <c r="E353" s="6" t="s">
        <v>1695</v>
      </c>
      <c r="F353" s="7" t="s">
        <v>1696</v>
      </c>
    </row>
    <row r="354">
      <c r="A354" s="6" t="s">
        <v>3199</v>
      </c>
      <c r="B354" s="6" t="s">
        <v>1532</v>
      </c>
      <c r="C354" s="6" t="s">
        <v>3200</v>
      </c>
      <c r="D354" s="7" t="s">
        <v>6860</v>
      </c>
      <c r="E354" s="6" t="s">
        <v>1695</v>
      </c>
      <c r="F354" s="7" t="s">
        <v>1696</v>
      </c>
    </row>
    <row r="355">
      <c r="A355" s="6" t="s">
        <v>6136</v>
      </c>
      <c r="B355" s="6" t="s">
        <v>6137</v>
      </c>
      <c r="C355" s="6" t="s">
        <v>518</v>
      </c>
      <c r="D355" s="7" t="s">
        <v>6861</v>
      </c>
      <c r="E355" s="6" t="s">
        <v>1695</v>
      </c>
      <c r="F355" s="7" t="s">
        <v>1696</v>
      </c>
    </row>
    <row r="356">
      <c r="A356" s="6" t="s">
        <v>3399</v>
      </c>
      <c r="B356" s="6" t="s">
        <v>3400</v>
      </c>
      <c r="C356" s="6" t="s">
        <v>3401</v>
      </c>
      <c r="D356" s="7" t="s">
        <v>6862</v>
      </c>
      <c r="E356" s="6" t="s">
        <v>1695</v>
      </c>
      <c r="F356" s="7" t="s">
        <v>1696</v>
      </c>
    </row>
    <row r="357">
      <c r="A357" s="6" t="s">
        <v>6183</v>
      </c>
      <c r="B357" s="6" t="s">
        <v>2399</v>
      </c>
      <c r="C357" s="6" t="s">
        <v>1673</v>
      </c>
      <c r="D357" s="7" t="s">
        <v>6863</v>
      </c>
      <c r="E357" s="6" t="s">
        <v>1695</v>
      </c>
      <c r="F357" s="7" t="s">
        <v>1696</v>
      </c>
    </row>
    <row r="358">
      <c r="A358" s="6" t="s">
        <v>4895</v>
      </c>
      <c r="B358" s="6" t="s">
        <v>4896</v>
      </c>
      <c r="C358" s="6" t="s">
        <v>446</v>
      </c>
      <c r="D358" s="7" t="s">
        <v>6864</v>
      </c>
      <c r="E358" s="6" t="s">
        <v>1695</v>
      </c>
      <c r="F358" s="7" t="s">
        <v>1696</v>
      </c>
    </row>
    <row r="359">
      <c r="A359" s="6" t="s">
        <v>4822</v>
      </c>
      <c r="B359" s="6" t="s">
        <v>1918</v>
      </c>
      <c r="C359" s="6" t="s">
        <v>4810</v>
      </c>
      <c r="D359" s="7" t="s">
        <v>6865</v>
      </c>
      <c r="E359" s="6" t="s">
        <v>1695</v>
      </c>
      <c r="F359" s="7" t="s">
        <v>1696</v>
      </c>
    </row>
    <row r="360">
      <c r="A360" s="6" t="s">
        <v>3892</v>
      </c>
      <c r="B360" s="6" t="s">
        <v>387</v>
      </c>
      <c r="C360" s="6" t="s">
        <v>2263</v>
      </c>
      <c r="D360" s="7" t="s">
        <v>6866</v>
      </c>
      <c r="E360" s="6" t="s">
        <v>1695</v>
      </c>
      <c r="F360" s="7" t="s">
        <v>1696</v>
      </c>
    </row>
    <row r="361">
      <c r="A361" s="6" t="s">
        <v>3189</v>
      </c>
      <c r="B361" s="6" t="s">
        <v>386</v>
      </c>
      <c r="C361" s="6" t="s">
        <v>3190</v>
      </c>
      <c r="D361" s="7" t="s">
        <v>6867</v>
      </c>
      <c r="E361" s="6" t="s">
        <v>1695</v>
      </c>
      <c r="F361" s="7" t="s">
        <v>1696</v>
      </c>
    </row>
    <row r="362">
      <c r="A362" s="6" t="s">
        <v>6225</v>
      </c>
      <c r="B362" s="6" t="s">
        <v>6226</v>
      </c>
      <c r="C362" s="6" t="s">
        <v>2062</v>
      </c>
      <c r="D362" s="7" t="s">
        <v>6868</v>
      </c>
      <c r="E362" s="6" t="s">
        <v>1695</v>
      </c>
      <c r="F362" s="7" t="s">
        <v>1696</v>
      </c>
    </row>
    <row r="363">
      <c r="A363" s="6" t="s">
        <v>1854</v>
      </c>
      <c r="B363" s="6" t="s">
        <v>1855</v>
      </c>
      <c r="C363" s="6" t="s">
        <v>1856</v>
      </c>
      <c r="D363" s="7" t="s">
        <v>6869</v>
      </c>
      <c r="E363" s="6" t="s">
        <v>1695</v>
      </c>
      <c r="F363" s="7" t="s">
        <v>1696</v>
      </c>
    </row>
    <row r="364">
      <c r="A364" s="6" t="s">
        <v>5853</v>
      </c>
      <c r="B364" s="6" t="s">
        <v>5854</v>
      </c>
      <c r="C364" s="6" t="s">
        <v>3919</v>
      </c>
      <c r="D364" s="7" t="s">
        <v>6870</v>
      </c>
      <c r="E364" s="6" t="s">
        <v>1695</v>
      </c>
      <c r="F364" s="7" t="s">
        <v>1696</v>
      </c>
    </row>
    <row r="365">
      <c r="A365" s="6" t="s">
        <v>1786</v>
      </c>
      <c r="B365" s="6" t="s">
        <v>1787</v>
      </c>
      <c r="C365" s="6" t="s">
        <v>1269</v>
      </c>
      <c r="D365" s="7" t="s">
        <v>6871</v>
      </c>
      <c r="E365" s="6" t="s">
        <v>1695</v>
      </c>
      <c r="F365" s="7" t="s">
        <v>1696</v>
      </c>
    </row>
    <row r="366">
      <c r="A366" s="6" t="s">
        <v>5860</v>
      </c>
      <c r="B366" s="6" t="s">
        <v>1988</v>
      </c>
      <c r="C366" s="6" t="s">
        <v>3317</v>
      </c>
      <c r="D366" s="7" t="s">
        <v>6872</v>
      </c>
      <c r="E366" s="6" t="s">
        <v>1695</v>
      </c>
      <c r="F366" s="7" t="s">
        <v>1696</v>
      </c>
    </row>
    <row r="367">
      <c r="A367" s="6" t="s">
        <v>6087</v>
      </c>
      <c r="B367" s="6" t="s">
        <v>787</v>
      </c>
      <c r="C367" s="6" t="s">
        <v>6088</v>
      </c>
      <c r="D367" s="7" t="s">
        <v>6873</v>
      </c>
      <c r="E367" s="6" t="s">
        <v>1695</v>
      </c>
      <c r="F367" s="7" t="s">
        <v>1696</v>
      </c>
    </row>
    <row r="368">
      <c r="A368" s="6" t="s">
        <v>3142</v>
      </c>
      <c r="B368" s="6" t="s">
        <v>2605</v>
      </c>
      <c r="C368" s="6" t="s">
        <v>446</v>
      </c>
      <c r="D368" s="7" t="s">
        <v>6874</v>
      </c>
      <c r="E368" s="6" t="s">
        <v>1695</v>
      </c>
      <c r="F368" s="7" t="s">
        <v>1696</v>
      </c>
    </row>
    <row r="369">
      <c r="A369" s="6" t="s">
        <v>2860</v>
      </c>
      <c r="B369" s="6" t="s">
        <v>2861</v>
      </c>
      <c r="C369" s="6" t="s">
        <v>2862</v>
      </c>
      <c r="D369" s="7" t="s">
        <v>6875</v>
      </c>
      <c r="E369" s="6" t="s">
        <v>1695</v>
      </c>
      <c r="F369" s="7" t="s">
        <v>1696</v>
      </c>
    </row>
    <row r="370">
      <c r="A370" s="6" t="s">
        <v>6185</v>
      </c>
      <c r="B370" s="6" t="s">
        <v>6186</v>
      </c>
      <c r="C370" s="6" t="s">
        <v>6187</v>
      </c>
      <c r="D370" s="7" t="s">
        <v>6876</v>
      </c>
      <c r="E370" s="6" t="s">
        <v>1695</v>
      </c>
      <c r="F370" s="7" t="s">
        <v>1696</v>
      </c>
    </row>
    <row r="371">
      <c r="A371" s="6" t="s">
        <v>3912</v>
      </c>
      <c r="B371" s="6" t="s">
        <v>3913</v>
      </c>
      <c r="C371" s="6" t="s">
        <v>64</v>
      </c>
      <c r="D371" s="7" t="s">
        <v>6877</v>
      </c>
      <c r="E371" s="6" t="s">
        <v>1695</v>
      </c>
      <c r="F371" s="7" t="s">
        <v>1696</v>
      </c>
    </row>
    <row r="372">
      <c r="A372" s="6" t="s">
        <v>4522</v>
      </c>
      <c r="B372" s="6" t="s">
        <v>621</v>
      </c>
      <c r="C372" s="6" t="s">
        <v>4523</v>
      </c>
      <c r="D372" s="7" t="s">
        <v>6878</v>
      </c>
      <c r="E372" s="6" t="s">
        <v>1695</v>
      </c>
      <c r="F372" s="7" t="s">
        <v>1696</v>
      </c>
    </row>
    <row r="373">
      <c r="A373" s="6" t="s">
        <v>2296</v>
      </c>
      <c r="B373" s="6" t="s">
        <v>291</v>
      </c>
      <c r="C373" s="6" t="s">
        <v>1269</v>
      </c>
      <c r="D373" s="7" t="s">
        <v>6879</v>
      </c>
      <c r="E373" s="6" t="s">
        <v>1695</v>
      </c>
      <c r="F373" s="7" t="s">
        <v>1696</v>
      </c>
    </row>
    <row r="374">
      <c r="A374" s="6" t="s">
        <v>6042</v>
      </c>
      <c r="B374" s="6" t="s">
        <v>1197</v>
      </c>
      <c r="C374" s="6" t="s">
        <v>280</v>
      </c>
      <c r="D374" s="7" t="s">
        <v>6880</v>
      </c>
      <c r="E374" s="6" t="s">
        <v>1695</v>
      </c>
      <c r="F374" s="7" t="s">
        <v>1696</v>
      </c>
    </row>
    <row r="375">
      <c r="A375" s="6" t="s">
        <v>5559</v>
      </c>
      <c r="B375" s="6" t="s">
        <v>676</v>
      </c>
      <c r="C375" s="6" t="s">
        <v>309</v>
      </c>
      <c r="D375" s="7" t="s">
        <v>6881</v>
      </c>
      <c r="E375" s="6" t="s">
        <v>1695</v>
      </c>
      <c r="F375" s="7" t="s">
        <v>1696</v>
      </c>
    </row>
    <row r="376">
      <c r="A376" s="6" t="s">
        <v>2612</v>
      </c>
      <c r="B376" s="6" t="s">
        <v>2613</v>
      </c>
      <c r="C376" s="6" t="s">
        <v>115</v>
      </c>
      <c r="D376" s="7" t="s">
        <v>6882</v>
      </c>
      <c r="E376" s="6" t="s">
        <v>1695</v>
      </c>
      <c r="F376" s="7" t="s">
        <v>1696</v>
      </c>
    </row>
    <row r="377">
      <c r="A377" s="6" t="s">
        <v>5596</v>
      </c>
      <c r="B377" s="6" t="s">
        <v>5597</v>
      </c>
      <c r="C377" s="6" t="s">
        <v>5598</v>
      </c>
      <c r="D377" s="7" t="s">
        <v>6883</v>
      </c>
      <c r="E377" s="6" t="s">
        <v>1695</v>
      </c>
      <c r="F377" s="7" t="s">
        <v>1696</v>
      </c>
    </row>
    <row r="378">
      <c r="A378" s="6" t="s">
        <v>4483</v>
      </c>
      <c r="B378" s="6" t="s">
        <v>140</v>
      </c>
      <c r="C378" s="6" t="s">
        <v>2758</v>
      </c>
      <c r="D378" s="7" t="s">
        <v>6884</v>
      </c>
      <c r="E378" s="6" t="s">
        <v>1695</v>
      </c>
      <c r="F378" s="7" t="s">
        <v>1696</v>
      </c>
    </row>
    <row r="379">
      <c r="A379" s="6" t="s">
        <v>3381</v>
      </c>
      <c r="B379" s="6" t="s">
        <v>2177</v>
      </c>
      <c r="C379" s="6" t="s">
        <v>387</v>
      </c>
      <c r="D379" s="7" t="s">
        <v>6885</v>
      </c>
      <c r="E379" s="6" t="s">
        <v>1695</v>
      </c>
      <c r="F379" s="7" t="s">
        <v>1696</v>
      </c>
    </row>
    <row r="380">
      <c r="A380" s="6" t="s">
        <v>2676</v>
      </c>
      <c r="B380" s="6" t="s">
        <v>2677</v>
      </c>
      <c r="C380" s="6" t="s">
        <v>538</v>
      </c>
      <c r="D380" s="7" t="s">
        <v>6886</v>
      </c>
      <c r="E380" s="6" t="s">
        <v>1695</v>
      </c>
      <c r="F380" s="7" t="s">
        <v>1696</v>
      </c>
    </row>
    <row r="381">
      <c r="A381" s="6" t="s">
        <v>1784</v>
      </c>
      <c r="B381" s="6" t="s">
        <v>538</v>
      </c>
      <c r="C381" s="6" t="s">
        <v>1785</v>
      </c>
      <c r="D381" s="7" t="s">
        <v>6887</v>
      </c>
      <c r="E381" s="6" t="s">
        <v>1695</v>
      </c>
      <c r="F381" s="7" t="s">
        <v>1696</v>
      </c>
    </row>
    <row r="382">
      <c r="A382" s="6" t="s">
        <v>2928</v>
      </c>
      <c r="B382" s="6" t="s">
        <v>2597</v>
      </c>
      <c r="C382" s="6" t="s">
        <v>887</v>
      </c>
      <c r="D382" s="7" t="s">
        <v>6888</v>
      </c>
      <c r="E382" s="6" t="s">
        <v>1695</v>
      </c>
      <c r="F382" s="7" t="s">
        <v>1696</v>
      </c>
    </row>
    <row r="383">
      <c r="A383" s="6" t="s">
        <v>1985</v>
      </c>
      <c r="B383" s="6" t="s">
        <v>817</v>
      </c>
      <c r="C383" s="6" t="s">
        <v>1986</v>
      </c>
      <c r="D383" s="7" t="s">
        <v>6889</v>
      </c>
      <c r="E383" s="6" t="s">
        <v>1695</v>
      </c>
      <c r="F383" s="7" t="s">
        <v>1696</v>
      </c>
    </row>
    <row r="384">
      <c r="A384" s="6" t="s">
        <v>2775</v>
      </c>
      <c r="B384" s="6" t="s">
        <v>309</v>
      </c>
      <c r="C384" s="6" t="s">
        <v>2776</v>
      </c>
      <c r="D384" s="7" t="s">
        <v>6890</v>
      </c>
      <c r="E384" s="6" t="s">
        <v>1695</v>
      </c>
      <c r="F384" s="7" t="s">
        <v>1696</v>
      </c>
    </row>
    <row r="385">
      <c r="A385" s="6" t="s">
        <v>5545</v>
      </c>
      <c r="B385" s="6" t="s">
        <v>5546</v>
      </c>
      <c r="C385" s="6" t="s">
        <v>170</v>
      </c>
      <c r="D385" s="7" t="s">
        <v>6891</v>
      </c>
      <c r="E385" s="6" t="s">
        <v>1695</v>
      </c>
      <c r="F385" s="7" t="s">
        <v>1696</v>
      </c>
    </row>
    <row r="386">
      <c r="A386" s="6" t="s">
        <v>3338</v>
      </c>
      <c r="B386" s="6" t="s">
        <v>3339</v>
      </c>
      <c r="C386" s="6" t="s">
        <v>716</v>
      </c>
      <c r="D386" s="7" t="s">
        <v>6892</v>
      </c>
      <c r="E386" s="6" t="s">
        <v>1695</v>
      </c>
      <c r="F386" s="7" t="s">
        <v>1696</v>
      </c>
    </row>
    <row r="387">
      <c r="A387" s="6" t="s">
        <v>4055</v>
      </c>
      <c r="B387" s="6" t="s">
        <v>4056</v>
      </c>
      <c r="C387" s="6" t="s">
        <v>35</v>
      </c>
      <c r="D387" s="7" t="s">
        <v>6893</v>
      </c>
      <c r="E387" s="6" t="s">
        <v>1695</v>
      </c>
      <c r="F387" s="7" t="s">
        <v>1696</v>
      </c>
    </row>
    <row r="388">
      <c r="A388" s="6" t="s">
        <v>5685</v>
      </c>
      <c r="B388" s="6" t="s">
        <v>5666</v>
      </c>
      <c r="C388" s="6" t="s">
        <v>2177</v>
      </c>
      <c r="D388" s="7" t="s">
        <v>6894</v>
      </c>
      <c r="E388" s="6" t="s">
        <v>1695</v>
      </c>
      <c r="F388" s="7" t="s">
        <v>1696</v>
      </c>
    </row>
    <row r="389">
      <c r="A389" s="6" t="s">
        <v>3999</v>
      </c>
      <c r="B389" s="6" t="s">
        <v>496</v>
      </c>
      <c r="C389" s="6" t="s">
        <v>596</v>
      </c>
      <c r="D389" s="7" t="s">
        <v>6895</v>
      </c>
      <c r="E389" s="6" t="s">
        <v>1695</v>
      </c>
      <c r="F389" s="7" t="s">
        <v>1696</v>
      </c>
    </row>
    <row r="390">
      <c r="A390" s="6" t="s">
        <v>4005</v>
      </c>
      <c r="B390" s="6" t="s">
        <v>496</v>
      </c>
      <c r="C390" s="6" t="s">
        <v>3750</v>
      </c>
      <c r="D390" s="7" t="s">
        <v>6895</v>
      </c>
      <c r="E390" s="6" t="s">
        <v>1695</v>
      </c>
      <c r="F390" s="7" t="s">
        <v>1696</v>
      </c>
    </row>
    <row r="391">
      <c r="A391" s="6" t="s">
        <v>4011</v>
      </c>
      <c r="B391" s="6" t="s">
        <v>2077</v>
      </c>
      <c r="C391" s="6" t="s">
        <v>1614</v>
      </c>
      <c r="D391" s="7" t="s">
        <v>6895</v>
      </c>
      <c r="E391" s="6" t="s">
        <v>1695</v>
      </c>
      <c r="F391" s="7" t="s">
        <v>1696</v>
      </c>
    </row>
    <row r="392">
      <c r="A392" s="6" t="s">
        <v>2320</v>
      </c>
      <c r="B392" s="6" t="s">
        <v>1671</v>
      </c>
      <c r="C392" s="6" t="s">
        <v>2321</v>
      </c>
      <c r="D392" s="7" t="s">
        <v>6896</v>
      </c>
      <c r="E392" s="6" t="s">
        <v>1695</v>
      </c>
      <c r="F392" s="7" t="s">
        <v>1696</v>
      </c>
    </row>
    <row r="393">
      <c r="A393" s="6" t="s">
        <v>5148</v>
      </c>
      <c r="B393" s="6" t="s">
        <v>5149</v>
      </c>
      <c r="C393" s="6" t="s">
        <v>5150</v>
      </c>
      <c r="D393" s="7" t="s">
        <v>6897</v>
      </c>
      <c r="E393" s="6" t="s">
        <v>1695</v>
      </c>
      <c r="F393" s="7" t="s">
        <v>1696</v>
      </c>
    </row>
    <row r="394">
      <c r="A394" s="6" t="s">
        <v>5508</v>
      </c>
      <c r="B394" s="6" t="s">
        <v>291</v>
      </c>
      <c r="C394" s="6" t="s">
        <v>5509</v>
      </c>
      <c r="D394" s="7" t="s">
        <v>6898</v>
      </c>
      <c r="E394" s="6" t="s">
        <v>1695</v>
      </c>
      <c r="F394" s="7" t="s">
        <v>1696</v>
      </c>
    </row>
    <row r="395">
      <c r="A395" s="6" t="s">
        <v>4910</v>
      </c>
      <c r="B395" s="6" t="s">
        <v>131</v>
      </c>
      <c r="C395" s="6" t="s">
        <v>2724</v>
      </c>
      <c r="D395" s="7" t="s">
        <v>6899</v>
      </c>
      <c r="E395" s="6" t="s">
        <v>1695</v>
      </c>
      <c r="F395" s="7" t="s">
        <v>1696</v>
      </c>
    </row>
    <row r="396">
      <c r="A396" s="6" t="s">
        <v>2738</v>
      </c>
      <c r="B396" s="6" t="s">
        <v>826</v>
      </c>
      <c r="C396" s="6" t="s">
        <v>2739</v>
      </c>
      <c r="D396" s="7" t="s">
        <v>6900</v>
      </c>
      <c r="E396" s="6" t="s">
        <v>1695</v>
      </c>
      <c r="F396" s="7" t="s">
        <v>1696</v>
      </c>
    </row>
    <row r="397">
      <c r="A397" s="6" t="s">
        <v>1754</v>
      </c>
      <c r="B397" s="6" t="s">
        <v>1755</v>
      </c>
      <c r="C397" s="6" t="s">
        <v>1756</v>
      </c>
      <c r="D397" s="7" t="s">
        <v>6901</v>
      </c>
      <c r="E397" s="6" t="s">
        <v>1695</v>
      </c>
      <c r="F397" s="7" t="s">
        <v>1696</v>
      </c>
    </row>
    <row r="398">
      <c r="A398" s="6" t="s">
        <v>4496</v>
      </c>
      <c r="B398" s="6" t="s">
        <v>4497</v>
      </c>
      <c r="C398" s="6" t="s">
        <v>4498</v>
      </c>
      <c r="D398" s="7" t="s">
        <v>6902</v>
      </c>
      <c r="E398" s="6" t="s">
        <v>1695</v>
      </c>
      <c r="F398" s="7" t="s">
        <v>1696</v>
      </c>
    </row>
    <row r="399">
      <c r="A399" s="6" t="s">
        <v>2750</v>
      </c>
      <c r="B399" s="6" t="s">
        <v>1865</v>
      </c>
      <c r="C399" s="6" t="s">
        <v>2751</v>
      </c>
      <c r="D399" s="7" t="s">
        <v>6903</v>
      </c>
      <c r="E399" s="6" t="s">
        <v>1695</v>
      </c>
      <c r="F399" s="7" t="s">
        <v>1696</v>
      </c>
    </row>
    <row r="400">
      <c r="A400" s="6" t="s">
        <v>5249</v>
      </c>
      <c r="B400" s="6" t="s">
        <v>5250</v>
      </c>
      <c r="C400" s="6" t="s">
        <v>115</v>
      </c>
      <c r="D400" s="7" t="s">
        <v>6904</v>
      </c>
      <c r="E400" s="6" t="s">
        <v>1695</v>
      </c>
      <c r="F400" s="7" t="s">
        <v>1696</v>
      </c>
    </row>
    <row r="401">
      <c r="A401" s="6" t="s">
        <v>5433</v>
      </c>
      <c r="B401" s="6" t="s">
        <v>713</v>
      </c>
      <c r="C401" s="6" t="s">
        <v>1232</v>
      </c>
      <c r="D401" s="7" t="s">
        <v>6905</v>
      </c>
      <c r="E401" s="6" t="s">
        <v>1695</v>
      </c>
      <c r="F401" s="7" t="s">
        <v>1696</v>
      </c>
    </row>
    <row r="402">
      <c r="A402" s="6" t="s">
        <v>5820</v>
      </c>
      <c r="B402" s="6" t="s">
        <v>131</v>
      </c>
      <c r="C402" s="6" t="s">
        <v>5821</v>
      </c>
      <c r="D402" s="7" t="s">
        <v>6906</v>
      </c>
      <c r="E402" s="6" t="s">
        <v>1695</v>
      </c>
      <c r="F402" s="7" t="s">
        <v>1696</v>
      </c>
    </row>
    <row r="403">
      <c r="A403" s="6" t="s">
        <v>4908</v>
      </c>
      <c r="B403" s="6" t="s">
        <v>267</v>
      </c>
      <c r="C403" s="6" t="s">
        <v>4909</v>
      </c>
      <c r="D403" s="7" t="s">
        <v>6907</v>
      </c>
      <c r="E403" s="6" t="s">
        <v>1695</v>
      </c>
      <c r="F403" s="7" t="s">
        <v>1696</v>
      </c>
    </row>
    <row r="404">
      <c r="A404" s="6" t="s">
        <v>5451</v>
      </c>
      <c r="B404" s="6" t="s">
        <v>5452</v>
      </c>
      <c r="C404" s="6" t="s">
        <v>3383</v>
      </c>
      <c r="D404" s="7" t="s">
        <v>6908</v>
      </c>
      <c r="E404" s="6" t="s">
        <v>1695</v>
      </c>
      <c r="F404" s="7" t="s">
        <v>1696</v>
      </c>
    </row>
    <row r="405">
      <c r="A405" s="6" t="s">
        <v>3316</v>
      </c>
      <c r="B405" s="6" t="s">
        <v>1778</v>
      </c>
      <c r="C405" s="6" t="s">
        <v>3317</v>
      </c>
      <c r="D405" s="7" t="s">
        <v>6909</v>
      </c>
      <c r="E405" s="6" t="s">
        <v>1695</v>
      </c>
      <c r="F405" s="7" t="s">
        <v>1696</v>
      </c>
    </row>
    <row r="406">
      <c r="A406" s="6" t="s">
        <v>5966</v>
      </c>
      <c r="B406" s="6" t="s">
        <v>5967</v>
      </c>
      <c r="C406" s="6" t="s">
        <v>1130</v>
      </c>
      <c r="D406" s="7" t="s">
        <v>6910</v>
      </c>
      <c r="E406" s="6" t="s">
        <v>1695</v>
      </c>
      <c r="F406" s="7" t="s">
        <v>1696</v>
      </c>
    </row>
    <row r="407">
      <c r="A407" s="6" t="s">
        <v>5719</v>
      </c>
      <c r="B407" s="6" t="s">
        <v>5720</v>
      </c>
      <c r="C407" s="6" t="s">
        <v>787</v>
      </c>
      <c r="D407" s="7" t="s">
        <v>6911</v>
      </c>
      <c r="E407" s="6" t="s">
        <v>1695</v>
      </c>
      <c r="F407" s="7" t="s">
        <v>1696</v>
      </c>
    </row>
    <row r="408">
      <c r="A408" s="6" t="s">
        <v>3736</v>
      </c>
      <c r="B408" s="6" t="s">
        <v>439</v>
      </c>
      <c r="C408" s="6" t="s">
        <v>64</v>
      </c>
      <c r="D408" s="7" t="s">
        <v>6912</v>
      </c>
      <c r="E408" s="6" t="s">
        <v>1695</v>
      </c>
      <c r="F408" s="7" t="s">
        <v>1696</v>
      </c>
    </row>
    <row r="409">
      <c r="A409" s="6" t="s">
        <v>4851</v>
      </c>
      <c r="B409" s="6" t="s">
        <v>729</v>
      </c>
      <c r="C409" s="6" t="s">
        <v>4852</v>
      </c>
      <c r="D409" s="7" t="s">
        <v>6913</v>
      </c>
      <c r="E409" s="6" t="s">
        <v>1695</v>
      </c>
      <c r="F409" s="7" t="s">
        <v>1696</v>
      </c>
    </row>
    <row r="410">
      <c r="A410" s="6" t="s">
        <v>2184</v>
      </c>
      <c r="B410" s="6" t="s">
        <v>2185</v>
      </c>
      <c r="C410" s="6" t="s">
        <v>2186</v>
      </c>
      <c r="D410" s="7" t="s">
        <v>6914</v>
      </c>
      <c r="E410" s="6" t="s">
        <v>1695</v>
      </c>
      <c r="F410" s="7" t="s">
        <v>1696</v>
      </c>
    </row>
    <row r="411">
      <c r="A411" s="6" t="s">
        <v>5848</v>
      </c>
      <c r="B411" s="6" t="s">
        <v>5849</v>
      </c>
      <c r="C411" s="6" t="s">
        <v>5850</v>
      </c>
      <c r="D411" s="7" t="s">
        <v>6915</v>
      </c>
      <c r="E411" s="6" t="s">
        <v>1695</v>
      </c>
      <c r="F411" s="7" t="s">
        <v>1696</v>
      </c>
    </row>
    <row r="412">
      <c r="A412" s="6" t="s">
        <v>3118</v>
      </c>
      <c r="B412" s="6" t="s">
        <v>3119</v>
      </c>
      <c r="C412" s="6" t="s">
        <v>3120</v>
      </c>
      <c r="D412" s="7" t="s">
        <v>6916</v>
      </c>
      <c r="E412" s="6" t="s">
        <v>1695</v>
      </c>
      <c r="F412" s="7" t="s">
        <v>1696</v>
      </c>
    </row>
    <row r="413">
      <c r="A413" s="6" t="s">
        <v>5803</v>
      </c>
      <c r="B413" s="6" t="s">
        <v>129</v>
      </c>
      <c r="C413" s="6" t="s">
        <v>518</v>
      </c>
      <c r="D413" s="7" t="s">
        <v>6917</v>
      </c>
      <c r="E413" s="6" t="s">
        <v>1695</v>
      </c>
      <c r="F413" s="7" t="s">
        <v>1696</v>
      </c>
    </row>
    <row r="414">
      <c r="A414" s="6" t="s">
        <v>5017</v>
      </c>
      <c r="B414" s="6" t="s">
        <v>5018</v>
      </c>
      <c r="C414" s="6" t="s">
        <v>5019</v>
      </c>
      <c r="D414" s="7" t="s">
        <v>6918</v>
      </c>
      <c r="E414" s="6" t="s">
        <v>1695</v>
      </c>
      <c r="F414" s="7" t="s">
        <v>1696</v>
      </c>
    </row>
    <row r="415">
      <c r="A415" s="6" t="s">
        <v>5341</v>
      </c>
      <c r="B415" s="6" t="s">
        <v>3368</v>
      </c>
      <c r="C415" s="6" t="s">
        <v>3339</v>
      </c>
      <c r="D415" s="7" t="s">
        <v>6919</v>
      </c>
      <c r="E415" s="6" t="s">
        <v>1695</v>
      </c>
      <c r="F415" s="7" t="s">
        <v>1696</v>
      </c>
    </row>
    <row r="416">
      <c r="A416" s="6" t="s">
        <v>2304</v>
      </c>
      <c r="B416" s="6" t="s">
        <v>208</v>
      </c>
      <c r="C416" s="6" t="s">
        <v>610</v>
      </c>
      <c r="D416" s="7" t="s">
        <v>6920</v>
      </c>
      <c r="E416" s="6" t="s">
        <v>1695</v>
      </c>
      <c r="F416" s="7" t="s">
        <v>1696</v>
      </c>
    </row>
    <row r="417">
      <c r="A417" s="6" t="s">
        <v>3284</v>
      </c>
      <c r="B417" s="6" t="s">
        <v>3285</v>
      </c>
      <c r="C417" s="6" t="s">
        <v>631</v>
      </c>
      <c r="D417" s="7" t="s">
        <v>6921</v>
      </c>
      <c r="E417" s="6" t="s">
        <v>1695</v>
      </c>
      <c r="F417" s="7" t="s">
        <v>1696</v>
      </c>
    </row>
    <row r="418">
      <c r="A418" s="6" t="s">
        <v>6273</v>
      </c>
      <c r="B418" s="6" t="s">
        <v>6274</v>
      </c>
      <c r="C418" s="6" t="s">
        <v>5764</v>
      </c>
      <c r="D418" s="7" t="s">
        <v>6922</v>
      </c>
      <c r="E418" s="6" t="s">
        <v>1695</v>
      </c>
      <c r="F418" s="7" t="s">
        <v>1696</v>
      </c>
    </row>
    <row r="419">
      <c r="A419" s="6" t="s">
        <v>4816</v>
      </c>
      <c r="B419" s="6" t="s">
        <v>2326</v>
      </c>
      <c r="C419" s="6" t="s">
        <v>4817</v>
      </c>
      <c r="D419" s="7" t="s">
        <v>6923</v>
      </c>
      <c r="E419" s="6" t="s">
        <v>1695</v>
      </c>
      <c r="F419" s="7" t="s">
        <v>1696</v>
      </c>
    </row>
    <row r="420">
      <c r="A420" s="6" t="s">
        <v>3738</v>
      </c>
      <c r="B420" s="6" t="s">
        <v>3739</v>
      </c>
      <c r="C420" s="6" t="s">
        <v>3740</v>
      </c>
      <c r="D420" s="7" t="s">
        <v>6924</v>
      </c>
      <c r="E420" s="6" t="s">
        <v>1695</v>
      </c>
      <c r="F420" s="7" t="s">
        <v>1696</v>
      </c>
    </row>
    <row r="421">
      <c r="A421" s="6" t="s">
        <v>4517</v>
      </c>
      <c r="B421" s="6" t="s">
        <v>4518</v>
      </c>
      <c r="C421" s="6" t="s">
        <v>4519</v>
      </c>
      <c r="D421" s="7" t="s">
        <v>6925</v>
      </c>
      <c r="E421" s="6" t="s">
        <v>1695</v>
      </c>
      <c r="F421" s="7" t="s">
        <v>1696</v>
      </c>
    </row>
    <row r="422">
      <c r="A422" s="6" t="s">
        <v>3601</v>
      </c>
      <c r="B422" s="6" t="s">
        <v>3602</v>
      </c>
      <c r="C422" s="6" t="s">
        <v>2032</v>
      </c>
      <c r="D422" s="7" t="s">
        <v>6926</v>
      </c>
      <c r="E422" s="6" t="s">
        <v>1695</v>
      </c>
      <c r="F422" s="7" t="s">
        <v>1696</v>
      </c>
    </row>
    <row r="423">
      <c r="A423" s="6" t="s">
        <v>2393</v>
      </c>
      <c r="B423" s="6" t="s">
        <v>2394</v>
      </c>
      <c r="C423" s="6" t="s">
        <v>2395</v>
      </c>
      <c r="D423" s="7" t="s">
        <v>6927</v>
      </c>
      <c r="E423" s="6" t="s">
        <v>1695</v>
      </c>
      <c r="F423" s="7" t="s">
        <v>1696</v>
      </c>
    </row>
    <row r="424">
      <c r="A424" s="6" t="s">
        <v>3244</v>
      </c>
      <c r="B424" s="6" t="s">
        <v>877</v>
      </c>
      <c r="C424" s="6" t="s">
        <v>3245</v>
      </c>
      <c r="D424" s="7" t="s">
        <v>6928</v>
      </c>
      <c r="E424" s="6" t="s">
        <v>1695</v>
      </c>
      <c r="F424" s="7" t="s">
        <v>1696</v>
      </c>
    </row>
    <row r="425">
      <c r="A425" s="6" t="s">
        <v>4490</v>
      </c>
      <c r="B425" s="6" t="s">
        <v>4491</v>
      </c>
      <c r="C425" s="6" t="s">
        <v>70</v>
      </c>
      <c r="D425" s="7" t="s">
        <v>6929</v>
      </c>
      <c r="E425" s="6" t="s">
        <v>1695</v>
      </c>
      <c r="F425" s="7" t="s">
        <v>1696</v>
      </c>
    </row>
    <row r="426">
      <c r="A426" s="6" t="s">
        <v>4623</v>
      </c>
      <c r="B426" s="6" t="s">
        <v>2972</v>
      </c>
      <c r="C426" s="6" t="s">
        <v>4624</v>
      </c>
      <c r="D426" s="7" t="s">
        <v>6930</v>
      </c>
      <c r="E426" s="6" t="s">
        <v>1695</v>
      </c>
      <c r="F426" s="7" t="s">
        <v>1696</v>
      </c>
    </row>
    <row r="427">
      <c r="A427" s="6" t="s">
        <v>5779</v>
      </c>
      <c r="B427" s="6" t="s">
        <v>46</v>
      </c>
      <c r="C427" s="6" t="s">
        <v>422</v>
      </c>
      <c r="D427" s="7" t="s">
        <v>6931</v>
      </c>
      <c r="E427" s="6" t="s">
        <v>1695</v>
      </c>
      <c r="F427" s="7" t="s">
        <v>1696</v>
      </c>
    </row>
    <row r="428">
      <c r="A428" s="6" t="s">
        <v>3367</v>
      </c>
      <c r="B428" s="6" t="s">
        <v>3368</v>
      </c>
      <c r="C428" s="6" t="s">
        <v>3369</v>
      </c>
      <c r="D428" s="7" t="s">
        <v>6932</v>
      </c>
      <c r="E428" s="6" t="s">
        <v>1695</v>
      </c>
      <c r="F428" s="7" t="s">
        <v>1696</v>
      </c>
    </row>
    <row r="429">
      <c r="A429" s="6" t="s">
        <v>6385</v>
      </c>
      <c r="B429" s="6" t="s">
        <v>1511</v>
      </c>
      <c r="C429" s="6" t="s">
        <v>229</v>
      </c>
      <c r="D429" s="7" t="s">
        <v>6933</v>
      </c>
      <c r="E429" s="6" t="s">
        <v>1695</v>
      </c>
      <c r="F429" s="7" t="s">
        <v>6318</v>
      </c>
    </row>
    <row r="430">
      <c r="A430" s="6" t="s">
        <v>6407</v>
      </c>
      <c r="B430" s="6" t="s">
        <v>101</v>
      </c>
      <c r="C430" s="6" t="s">
        <v>2793</v>
      </c>
      <c r="D430" s="7" t="s">
        <v>6934</v>
      </c>
      <c r="E430" s="6" t="s">
        <v>1695</v>
      </c>
      <c r="F430" s="7" t="s">
        <v>6318</v>
      </c>
    </row>
    <row r="431">
      <c r="A431" s="6" t="s">
        <v>3432</v>
      </c>
      <c r="B431" s="6" t="s">
        <v>3433</v>
      </c>
      <c r="C431" s="6" t="s">
        <v>32</v>
      </c>
      <c r="D431" s="7" t="s">
        <v>6935</v>
      </c>
      <c r="E431" s="6" t="s">
        <v>1695</v>
      </c>
      <c r="F431" s="7" t="s">
        <v>1696</v>
      </c>
    </row>
    <row r="432">
      <c r="A432" s="6" t="s">
        <v>6075</v>
      </c>
      <c r="B432" s="6" t="s">
        <v>1646</v>
      </c>
      <c r="C432" s="6" t="s">
        <v>6076</v>
      </c>
      <c r="D432" s="7" t="s">
        <v>6936</v>
      </c>
      <c r="E432" s="6" t="s">
        <v>1695</v>
      </c>
      <c r="F432" s="7" t="s">
        <v>1696</v>
      </c>
    </row>
    <row r="433">
      <c r="A433" s="6" t="s">
        <v>3416</v>
      </c>
      <c r="B433" s="6" t="s">
        <v>3417</v>
      </c>
      <c r="C433" s="6" t="s">
        <v>3418</v>
      </c>
      <c r="D433" s="7" t="s">
        <v>6937</v>
      </c>
      <c r="E433" s="6" t="s">
        <v>1695</v>
      </c>
      <c r="F433" s="7" t="s">
        <v>1696</v>
      </c>
    </row>
    <row r="434">
      <c r="A434" s="6" t="s">
        <v>3419</v>
      </c>
      <c r="B434" s="6" t="s">
        <v>2873</v>
      </c>
      <c r="C434" s="6" t="s">
        <v>3420</v>
      </c>
      <c r="D434" s="7" t="s">
        <v>6938</v>
      </c>
      <c r="E434" s="6" t="s">
        <v>1695</v>
      </c>
      <c r="F434" s="7" t="s">
        <v>1696</v>
      </c>
    </row>
    <row r="435">
      <c r="A435" s="6" t="s">
        <v>5837</v>
      </c>
      <c r="B435" s="6" t="s">
        <v>101</v>
      </c>
      <c r="C435" s="6" t="s">
        <v>5838</v>
      </c>
      <c r="D435" s="7" t="s">
        <v>6939</v>
      </c>
      <c r="E435" s="6" t="s">
        <v>1695</v>
      </c>
      <c r="F435" s="7" t="s">
        <v>1696</v>
      </c>
    </row>
    <row r="436">
      <c r="A436" s="6" t="s">
        <v>5841</v>
      </c>
      <c r="B436" s="6" t="s">
        <v>101</v>
      </c>
      <c r="C436" s="6" t="s">
        <v>5838</v>
      </c>
      <c r="D436" s="7" t="s">
        <v>6939</v>
      </c>
      <c r="E436" s="6" t="s">
        <v>1695</v>
      </c>
      <c r="F436" s="7" t="s">
        <v>1696</v>
      </c>
    </row>
    <row r="437">
      <c r="A437" s="6" t="s">
        <v>3887</v>
      </c>
      <c r="B437" s="6" t="s">
        <v>111</v>
      </c>
      <c r="C437" s="6" t="s">
        <v>3882</v>
      </c>
      <c r="D437" s="7" t="s">
        <v>6940</v>
      </c>
      <c r="E437" s="6" t="s">
        <v>1695</v>
      </c>
      <c r="F437" s="7" t="s">
        <v>1696</v>
      </c>
    </row>
    <row r="438">
      <c r="A438" s="6" t="s">
        <v>5544</v>
      </c>
      <c r="B438" s="6" t="s">
        <v>4534</v>
      </c>
      <c r="C438" s="6" t="s">
        <v>387</v>
      </c>
      <c r="D438" s="7" t="s">
        <v>6941</v>
      </c>
      <c r="E438" s="6" t="s">
        <v>1695</v>
      </c>
      <c r="F438" s="7" t="s">
        <v>1696</v>
      </c>
    </row>
    <row r="439">
      <c r="A439" s="6" t="s">
        <v>1836</v>
      </c>
      <c r="B439" s="6" t="s">
        <v>1708</v>
      </c>
      <c r="C439" s="6" t="s">
        <v>1837</v>
      </c>
      <c r="D439" s="7" t="s">
        <v>6942</v>
      </c>
      <c r="E439" s="6" t="s">
        <v>1695</v>
      </c>
      <c r="F439" s="7" t="s">
        <v>1696</v>
      </c>
    </row>
    <row r="440">
      <c r="A440" s="6" t="s">
        <v>6119</v>
      </c>
      <c r="B440" s="6" t="s">
        <v>6120</v>
      </c>
      <c r="C440" s="6" t="s">
        <v>111</v>
      </c>
      <c r="D440" s="7" t="s">
        <v>6943</v>
      </c>
      <c r="E440" s="6" t="s">
        <v>1695</v>
      </c>
      <c r="F440" s="7" t="s">
        <v>1696</v>
      </c>
    </row>
    <row r="441">
      <c r="A441" s="6" t="s">
        <v>3109</v>
      </c>
      <c r="B441" s="6" t="s">
        <v>3110</v>
      </c>
      <c r="C441" s="6" t="s">
        <v>795</v>
      </c>
      <c r="D441" s="7" t="s">
        <v>6944</v>
      </c>
      <c r="E441" s="6" t="s">
        <v>1695</v>
      </c>
      <c r="F441" s="7" t="s">
        <v>1696</v>
      </c>
    </row>
    <row r="442">
      <c r="A442" s="6" t="s">
        <v>6340</v>
      </c>
      <c r="B442" s="6" t="s">
        <v>6341</v>
      </c>
      <c r="C442" s="6" t="s">
        <v>6342</v>
      </c>
      <c r="D442" s="7" t="s">
        <v>6945</v>
      </c>
      <c r="E442" s="6" t="s">
        <v>1695</v>
      </c>
      <c r="F442" s="7" t="s">
        <v>6318</v>
      </c>
    </row>
    <row r="443">
      <c r="A443" s="6" t="s">
        <v>4264</v>
      </c>
      <c r="B443" s="6" t="s">
        <v>414</v>
      </c>
      <c r="C443" s="6" t="s">
        <v>1756</v>
      </c>
      <c r="D443" s="7" t="s">
        <v>6946</v>
      </c>
      <c r="E443" s="6" t="s">
        <v>1695</v>
      </c>
      <c r="F443" s="7" t="s">
        <v>1696</v>
      </c>
    </row>
    <row r="444">
      <c r="A444" s="6" t="s">
        <v>4054</v>
      </c>
      <c r="B444" s="6" t="s">
        <v>3791</v>
      </c>
      <c r="C444" s="6" t="s">
        <v>1532</v>
      </c>
      <c r="D444" s="7" t="s">
        <v>6947</v>
      </c>
      <c r="E444" s="6" t="s">
        <v>1695</v>
      </c>
      <c r="F444" s="7" t="s">
        <v>1696</v>
      </c>
    </row>
    <row r="445">
      <c r="A445" s="6" t="s">
        <v>2508</v>
      </c>
      <c r="B445" s="6" t="s">
        <v>2509</v>
      </c>
      <c r="C445" s="6" t="s">
        <v>2510</v>
      </c>
      <c r="D445" s="7" t="s">
        <v>6948</v>
      </c>
      <c r="E445" s="6" t="s">
        <v>1695</v>
      </c>
      <c r="F445" s="7" t="s">
        <v>1696</v>
      </c>
    </row>
    <row r="446">
      <c r="A446" s="6" t="s">
        <v>2811</v>
      </c>
      <c r="B446" s="6" t="s">
        <v>328</v>
      </c>
      <c r="C446" s="6" t="s">
        <v>755</v>
      </c>
      <c r="D446" s="7" t="s">
        <v>6949</v>
      </c>
      <c r="E446" s="6" t="s">
        <v>1695</v>
      </c>
      <c r="F446" s="7" t="s">
        <v>1696</v>
      </c>
    </row>
    <row r="447">
      <c r="A447" s="6" t="s">
        <v>3305</v>
      </c>
      <c r="B447" s="6" t="s">
        <v>3306</v>
      </c>
      <c r="C447" s="6" t="s">
        <v>3307</v>
      </c>
      <c r="D447" s="7" t="s">
        <v>6950</v>
      </c>
      <c r="E447" s="6" t="s">
        <v>1695</v>
      </c>
      <c r="F447" s="7" t="s">
        <v>1696</v>
      </c>
    </row>
    <row r="448">
      <c r="A448" s="6" t="s">
        <v>4552</v>
      </c>
      <c r="B448" s="6" t="s">
        <v>4553</v>
      </c>
      <c r="C448" s="6" t="s">
        <v>267</v>
      </c>
      <c r="D448" s="7" t="s">
        <v>6951</v>
      </c>
      <c r="E448" s="6" t="s">
        <v>1695</v>
      </c>
      <c r="F448" s="7" t="s">
        <v>1696</v>
      </c>
    </row>
    <row r="449">
      <c r="A449" s="6" t="s">
        <v>5926</v>
      </c>
      <c r="B449" s="6" t="s">
        <v>2382</v>
      </c>
      <c r="C449" s="6" t="s">
        <v>5927</v>
      </c>
      <c r="D449" s="7" t="s">
        <v>6952</v>
      </c>
      <c r="E449" s="6" t="s">
        <v>1695</v>
      </c>
      <c r="F449" s="7" t="s">
        <v>1696</v>
      </c>
    </row>
    <row r="450">
      <c r="A450" s="6" t="s">
        <v>4687</v>
      </c>
      <c r="B450" s="6" t="s">
        <v>4688</v>
      </c>
      <c r="C450" s="6" t="s">
        <v>2680</v>
      </c>
      <c r="D450" s="7" t="s">
        <v>6953</v>
      </c>
      <c r="E450" s="6" t="s">
        <v>1695</v>
      </c>
      <c r="F450" s="7" t="s">
        <v>1696</v>
      </c>
    </row>
    <row r="451">
      <c r="A451" s="6" t="s">
        <v>4679</v>
      </c>
      <c r="B451" s="6" t="s">
        <v>4680</v>
      </c>
      <c r="C451" s="6" t="s">
        <v>4681</v>
      </c>
      <c r="D451" s="7" t="s">
        <v>6954</v>
      </c>
      <c r="E451" s="6" t="s">
        <v>1695</v>
      </c>
      <c r="F451" s="7" t="s">
        <v>1696</v>
      </c>
    </row>
    <row r="452">
      <c r="A452" s="6" t="s">
        <v>5293</v>
      </c>
      <c r="B452" s="6" t="s">
        <v>98</v>
      </c>
      <c r="C452" s="6" t="s">
        <v>1177</v>
      </c>
      <c r="D452" s="7" t="s">
        <v>6955</v>
      </c>
      <c r="E452" s="6" t="s">
        <v>1695</v>
      </c>
      <c r="F452" s="7" t="s">
        <v>1696</v>
      </c>
    </row>
    <row r="453">
      <c r="A453" s="6" t="s">
        <v>5662</v>
      </c>
      <c r="B453" s="6" t="s">
        <v>397</v>
      </c>
      <c r="C453" s="6" t="s">
        <v>4743</v>
      </c>
      <c r="D453" s="7" t="s">
        <v>6956</v>
      </c>
      <c r="E453" s="6" t="s">
        <v>1695</v>
      </c>
      <c r="F453" s="7" t="s">
        <v>1696</v>
      </c>
    </row>
    <row r="454">
      <c r="A454" s="6" t="s">
        <v>2015</v>
      </c>
      <c r="B454" s="6" t="s">
        <v>2016</v>
      </c>
      <c r="C454" s="6" t="s">
        <v>513</v>
      </c>
      <c r="D454" s="7" t="s">
        <v>6957</v>
      </c>
      <c r="E454" s="6" t="s">
        <v>1695</v>
      </c>
      <c r="F454" s="7" t="s">
        <v>1696</v>
      </c>
    </row>
    <row r="455">
      <c r="A455" s="6" t="s">
        <v>6262</v>
      </c>
      <c r="B455" s="6" t="s">
        <v>766</v>
      </c>
      <c r="C455" s="6" t="s">
        <v>1584</v>
      </c>
      <c r="D455" s="7" t="s">
        <v>6958</v>
      </c>
      <c r="E455" s="6" t="s">
        <v>1695</v>
      </c>
      <c r="F455" s="7" t="s">
        <v>1696</v>
      </c>
    </row>
    <row r="456">
      <c r="A456" s="6" t="s">
        <v>4015</v>
      </c>
      <c r="B456" s="6" t="s">
        <v>4016</v>
      </c>
      <c r="C456" s="6" t="s">
        <v>35</v>
      </c>
      <c r="D456" s="7" t="s">
        <v>6959</v>
      </c>
      <c r="E456" s="6" t="s">
        <v>1695</v>
      </c>
      <c r="F456" s="7" t="s">
        <v>1696</v>
      </c>
    </row>
    <row r="457">
      <c r="A457" s="6" t="s">
        <v>4252</v>
      </c>
      <c r="B457" s="6" t="s">
        <v>4253</v>
      </c>
      <c r="C457" s="6" t="s">
        <v>4041</v>
      </c>
      <c r="D457" s="7" t="s">
        <v>6960</v>
      </c>
      <c r="E457" s="6" t="s">
        <v>1695</v>
      </c>
      <c r="F457" s="7" t="s">
        <v>1696</v>
      </c>
    </row>
    <row r="458">
      <c r="A458" s="6" t="s">
        <v>4590</v>
      </c>
      <c r="B458" s="6" t="s">
        <v>3089</v>
      </c>
      <c r="C458" s="6" t="s">
        <v>922</v>
      </c>
      <c r="D458" s="7" t="s">
        <v>6961</v>
      </c>
      <c r="E458" s="6" t="s">
        <v>1695</v>
      </c>
      <c r="F458" s="7" t="s">
        <v>1696</v>
      </c>
    </row>
    <row r="459">
      <c r="A459" s="6" t="s">
        <v>2354</v>
      </c>
      <c r="B459" s="6" t="s">
        <v>170</v>
      </c>
      <c r="C459" s="6" t="s">
        <v>2355</v>
      </c>
      <c r="D459" s="7" t="s">
        <v>6962</v>
      </c>
      <c r="E459" s="6" t="s">
        <v>1695</v>
      </c>
      <c r="F459" s="7" t="s">
        <v>1696</v>
      </c>
    </row>
    <row r="460">
      <c r="A460" s="6" t="s">
        <v>2719</v>
      </c>
      <c r="B460" s="6" t="s">
        <v>96</v>
      </c>
      <c r="C460" s="6" t="s">
        <v>2720</v>
      </c>
      <c r="D460" s="7" t="s">
        <v>6963</v>
      </c>
      <c r="E460" s="6" t="s">
        <v>1695</v>
      </c>
      <c r="F460" s="7" t="s">
        <v>1696</v>
      </c>
    </row>
    <row r="461">
      <c r="A461" s="6" t="s">
        <v>2974</v>
      </c>
      <c r="B461" s="6" t="s">
        <v>2975</v>
      </c>
      <c r="C461" s="6" t="s">
        <v>1756</v>
      </c>
      <c r="D461" s="7" t="s">
        <v>6964</v>
      </c>
      <c r="E461" s="6" t="s">
        <v>1695</v>
      </c>
      <c r="F461" s="7" t="s">
        <v>1696</v>
      </c>
    </row>
    <row r="462">
      <c r="A462" s="6" t="s">
        <v>3101</v>
      </c>
      <c r="B462" s="6" t="s">
        <v>3102</v>
      </c>
      <c r="C462" s="6" t="s">
        <v>3103</v>
      </c>
      <c r="D462" s="7" t="s">
        <v>6965</v>
      </c>
      <c r="E462" s="6" t="s">
        <v>1695</v>
      </c>
      <c r="F462" s="7" t="s">
        <v>1696</v>
      </c>
    </row>
    <row r="463">
      <c r="A463" s="6" t="s">
        <v>4404</v>
      </c>
      <c r="B463" s="6" t="s">
        <v>4405</v>
      </c>
      <c r="C463" s="6" t="s">
        <v>324</v>
      </c>
      <c r="D463" s="7" t="s">
        <v>6966</v>
      </c>
      <c r="E463" s="6" t="s">
        <v>1695</v>
      </c>
      <c r="F463" s="7" t="s">
        <v>1696</v>
      </c>
    </row>
    <row r="464">
      <c r="A464" s="6" t="s">
        <v>5086</v>
      </c>
      <c r="B464" s="6" t="s">
        <v>5087</v>
      </c>
      <c r="C464" s="6" t="s">
        <v>5088</v>
      </c>
      <c r="D464" s="7" t="s">
        <v>6967</v>
      </c>
      <c r="E464" s="6" t="s">
        <v>1695</v>
      </c>
      <c r="F464" s="7" t="s">
        <v>1696</v>
      </c>
    </row>
    <row r="465">
      <c r="A465" s="6" t="s">
        <v>2551</v>
      </c>
      <c r="B465" s="6" t="s">
        <v>386</v>
      </c>
      <c r="C465" s="6" t="s">
        <v>44</v>
      </c>
      <c r="D465" s="7" t="s">
        <v>6968</v>
      </c>
      <c r="E465" s="6" t="s">
        <v>1695</v>
      </c>
      <c r="F465" s="7" t="s">
        <v>1696</v>
      </c>
    </row>
    <row r="466">
      <c r="A466" s="6" t="s">
        <v>6345</v>
      </c>
      <c r="B466" s="6" t="s">
        <v>3639</v>
      </c>
      <c r="C466" s="6" t="s">
        <v>6346</v>
      </c>
      <c r="D466" s="7" t="s">
        <v>6969</v>
      </c>
      <c r="E466" s="6" t="s">
        <v>1695</v>
      </c>
      <c r="F466" s="7" t="s">
        <v>6318</v>
      </c>
    </row>
    <row r="467">
      <c r="A467" s="6" t="s">
        <v>2706</v>
      </c>
      <c r="B467" s="6" t="s">
        <v>261</v>
      </c>
      <c r="C467" s="6" t="s">
        <v>2707</v>
      </c>
      <c r="D467" s="7" t="s">
        <v>6970</v>
      </c>
      <c r="E467" s="6" t="s">
        <v>1695</v>
      </c>
      <c r="F467" s="7" t="s">
        <v>1696</v>
      </c>
    </row>
    <row r="468">
      <c r="A468" s="6" t="s">
        <v>2961</v>
      </c>
      <c r="B468" s="6" t="s">
        <v>2962</v>
      </c>
      <c r="C468" s="6" t="s">
        <v>2963</v>
      </c>
      <c r="D468" s="7" t="s">
        <v>6971</v>
      </c>
      <c r="E468" s="6" t="s">
        <v>1695</v>
      </c>
      <c r="F468" s="7" t="s">
        <v>1696</v>
      </c>
    </row>
    <row r="469">
      <c r="A469" s="6" t="s">
        <v>3519</v>
      </c>
      <c r="B469" s="6" t="s">
        <v>2446</v>
      </c>
      <c r="C469" s="6" t="s">
        <v>3125</v>
      </c>
      <c r="D469" s="7" t="s">
        <v>6972</v>
      </c>
      <c r="E469" s="6" t="s">
        <v>1695</v>
      </c>
      <c r="F469" s="7" t="s">
        <v>1696</v>
      </c>
    </row>
    <row r="470">
      <c r="A470" s="6" t="s">
        <v>4651</v>
      </c>
      <c r="B470" s="6" t="s">
        <v>3512</v>
      </c>
      <c r="C470" s="6" t="s">
        <v>4652</v>
      </c>
      <c r="D470" s="7" t="s">
        <v>6973</v>
      </c>
      <c r="E470" s="6" t="s">
        <v>1695</v>
      </c>
      <c r="F470" s="7" t="s">
        <v>1696</v>
      </c>
    </row>
    <row r="471">
      <c r="A471" s="6" t="s">
        <v>3098</v>
      </c>
      <c r="B471" s="6" t="s">
        <v>3099</v>
      </c>
      <c r="C471" s="6" t="s">
        <v>3100</v>
      </c>
      <c r="D471" s="7" t="s">
        <v>6974</v>
      </c>
      <c r="E471" s="6" t="s">
        <v>1695</v>
      </c>
      <c r="F471" s="7" t="s">
        <v>1696</v>
      </c>
    </row>
    <row r="472">
      <c r="A472" s="6" t="s">
        <v>2293</v>
      </c>
      <c r="B472" s="6" t="s">
        <v>2294</v>
      </c>
      <c r="C472" s="6" t="s">
        <v>2295</v>
      </c>
      <c r="D472" s="7" t="s">
        <v>6975</v>
      </c>
      <c r="E472" s="6" t="s">
        <v>1695</v>
      </c>
      <c r="F472" s="7" t="s">
        <v>1696</v>
      </c>
    </row>
    <row r="473">
      <c r="A473" s="6" t="s">
        <v>5769</v>
      </c>
      <c r="B473" s="6" t="s">
        <v>5770</v>
      </c>
      <c r="C473" s="6" t="s">
        <v>5771</v>
      </c>
      <c r="D473" s="7" t="s">
        <v>6976</v>
      </c>
      <c r="E473" s="6" t="s">
        <v>1695</v>
      </c>
      <c r="F473" s="7" t="s">
        <v>1696</v>
      </c>
    </row>
    <row r="474">
      <c r="A474" s="6" t="s">
        <v>2716</v>
      </c>
      <c r="B474" s="6" t="s">
        <v>2717</v>
      </c>
      <c r="C474" s="6" t="s">
        <v>2718</v>
      </c>
      <c r="D474" s="7" t="s">
        <v>6977</v>
      </c>
      <c r="E474" s="6" t="s">
        <v>1695</v>
      </c>
      <c r="F474" s="7" t="s">
        <v>1696</v>
      </c>
    </row>
    <row r="475">
      <c r="A475" s="6" t="s">
        <v>6141</v>
      </c>
      <c r="B475" s="6" t="s">
        <v>2817</v>
      </c>
      <c r="C475" s="6" t="s">
        <v>2032</v>
      </c>
      <c r="D475" s="7" t="s">
        <v>6978</v>
      </c>
      <c r="E475" s="6" t="s">
        <v>1695</v>
      </c>
      <c r="F475" s="7" t="s">
        <v>1696</v>
      </c>
    </row>
    <row r="476">
      <c r="A476" s="6" t="s">
        <v>4949</v>
      </c>
      <c r="B476" s="6" t="s">
        <v>1177</v>
      </c>
      <c r="C476" s="6" t="s">
        <v>2680</v>
      </c>
      <c r="D476" s="7" t="s">
        <v>6979</v>
      </c>
      <c r="E476" s="6" t="s">
        <v>1695</v>
      </c>
      <c r="F476" s="7" t="s">
        <v>1696</v>
      </c>
    </row>
    <row r="477">
      <c r="A477" s="6" t="s">
        <v>2526</v>
      </c>
      <c r="B477" s="6" t="s">
        <v>686</v>
      </c>
      <c r="C477" s="6" t="s">
        <v>35</v>
      </c>
      <c r="D477" s="7" t="s">
        <v>6980</v>
      </c>
      <c r="E477" s="6" t="s">
        <v>1695</v>
      </c>
      <c r="F477" s="7" t="s">
        <v>1696</v>
      </c>
    </row>
    <row r="478">
      <c r="A478" s="6" t="s">
        <v>6071</v>
      </c>
      <c r="B478" s="6" t="s">
        <v>6072</v>
      </c>
      <c r="C478" s="6" t="s">
        <v>946</v>
      </c>
      <c r="D478" s="7" t="s">
        <v>6981</v>
      </c>
      <c r="E478" s="6" t="s">
        <v>1695</v>
      </c>
      <c r="F478" s="7" t="s">
        <v>1696</v>
      </c>
    </row>
    <row r="479">
      <c r="A479" s="6" t="s">
        <v>3139</v>
      </c>
      <c r="B479" s="6" t="s">
        <v>3140</v>
      </c>
      <c r="C479" s="6" t="s">
        <v>2724</v>
      </c>
      <c r="D479" s="7" t="s">
        <v>6982</v>
      </c>
      <c r="E479" s="6" t="s">
        <v>1695</v>
      </c>
      <c r="F479" s="7" t="s">
        <v>1696</v>
      </c>
    </row>
    <row r="480">
      <c r="A480" s="6" t="s">
        <v>4719</v>
      </c>
      <c r="B480" s="6" t="s">
        <v>4720</v>
      </c>
      <c r="C480" s="6" t="s">
        <v>4721</v>
      </c>
      <c r="D480" s="7" t="s">
        <v>6983</v>
      </c>
      <c r="E480" s="6" t="s">
        <v>1695</v>
      </c>
      <c r="F480" s="7" t="s">
        <v>1696</v>
      </c>
    </row>
    <row r="481">
      <c r="A481" s="6" t="s">
        <v>2628</v>
      </c>
      <c r="B481" s="6" t="s">
        <v>2629</v>
      </c>
      <c r="C481" s="6" t="s">
        <v>2630</v>
      </c>
      <c r="D481" s="7" t="s">
        <v>6984</v>
      </c>
      <c r="E481" s="6" t="s">
        <v>1695</v>
      </c>
      <c r="F481" s="7" t="s">
        <v>1696</v>
      </c>
    </row>
    <row r="482">
      <c r="A482" s="6" t="s">
        <v>5961</v>
      </c>
      <c r="B482" s="6" t="s">
        <v>2629</v>
      </c>
      <c r="C482" s="6" t="s">
        <v>5962</v>
      </c>
      <c r="D482" s="7" t="s">
        <v>6984</v>
      </c>
      <c r="E482" s="6" t="s">
        <v>1695</v>
      </c>
      <c r="F482" s="7" t="s">
        <v>1696</v>
      </c>
    </row>
    <row r="483">
      <c r="A483" s="6" t="s">
        <v>2313</v>
      </c>
      <c r="B483" s="6" t="s">
        <v>1215</v>
      </c>
      <c r="C483" s="6" t="s">
        <v>2314</v>
      </c>
      <c r="D483" s="7" t="s">
        <v>6985</v>
      </c>
      <c r="E483" s="6" t="s">
        <v>1695</v>
      </c>
      <c r="F483" s="7" t="s">
        <v>1696</v>
      </c>
    </row>
    <row r="484">
      <c r="A484" s="6" t="s">
        <v>1838</v>
      </c>
      <c r="B484" s="6" t="s">
        <v>1839</v>
      </c>
      <c r="C484" s="6" t="s">
        <v>795</v>
      </c>
      <c r="D484" s="7" t="s">
        <v>6986</v>
      </c>
      <c r="E484" s="6" t="s">
        <v>1695</v>
      </c>
      <c r="F484" s="7" t="s">
        <v>1696</v>
      </c>
    </row>
    <row r="485">
      <c r="A485" s="6" t="s">
        <v>4580</v>
      </c>
      <c r="B485" s="6" t="s">
        <v>642</v>
      </c>
      <c r="C485" s="6" t="s">
        <v>111</v>
      </c>
      <c r="D485" s="7" t="s">
        <v>6987</v>
      </c>
      <c r="E485" s="6" t="s">
        <v>1695</v>
      </c>
      <c r="F485" s="7" t="s">
        <v>1696</v>
      </c>
    </row>
    <row r="486">
      <c r="A486" s="6" t="s">
        <v>2273</v>
      </c>
      <c r="B486" s="6" t="s">
        <v>2274</v>
      </c>
      <c r="C486" s="6" t="s">
        <v>2275</v>
      </c>
      <c r="D486" s="7" t="s">
        <v>6988</v>
      </c>
      <c r="E486" s="6" t="s">
        <v>1695</v>
      </c>
      <c r="F486" s="7" t="s">
        <v>1696</v>
      </c>
    </row>
    <row r="487">
      <c r="A487" s="6" t="s">
        <v>2362</v>
      </c>
      <c r="B487" s="6" t="s">
        <v>204</v>
      </c>
      <c r="C487" s="6" t="s">
        <v>2363</v>
      </c>
      <c r="D487" s="7" t="s">
        <v>6989</v>
      </c>
      <c r="E487" s="6" t="s">
        <v>1695</v>
      </c>
      <c r="F487" s="7" t="s">
        <v>1696</v>
      </c>
    </row>
    <row r="488">
      <c r="A488" s="6" t="s">
        <v>2381</v>
      </c>
      <c r="B488" s="6" t="s">
        <v>2382</v>
      </c>
      <c r="C488" s="6" t="s">
        <v>2383</v>
      </c>
      <c r="D488" s="7" t="s">
        <v>6990</v>
      </c>
      <c r="E488" s="6" t="s">
        <v>1695</v>
      </c>
      <c r="F488" s="7" t="s">
        <v>1696</v>
      </c>
    </row>
    <row r="489">
      <c r="A489" s="6" t="s">
        <v>3185</v>
      </c>
      <c r="B489" s="6" t="s">
        <v>204</v>
      </c>
      <c r="C489" s="6" t="s">
        <v>111</v>
      </c>
      <c r="D489" s="7" t="s">
        <v>6991</v>
      </c>
      <c r="E489" s="6" t="s">
        <v>1695</v>
      </c>
      <c r="F489" s="7" t="s">
        <v>1696</v>
      </c>
    </row>
    <row r="490">
      <c r="A490" s="6" t="s">
        <v>3065</v>
      </c>
      <c r="B490" s="6" t="s">
        <v>2758</v>
      </c>
      <c r="C490" s="6" t="s">
        <v>3066</v>
      </c>
      <c r="D490" s="7" t="s">
        <v>6992</v>
      </c>
      <c r="E490" s="6" t="s">
        <v>1695</v>
      </c>
      <c r="F490" s="7" t="s">
        <v>1696</v>
      </c>
    </row>
    <row r="491">
      <c r="A491" s="6" t="s">
        <v>6200</v>
      </c>
      <c r="B491" s="6" t="s">
        <v>208</v>
      </c>
      <c r="C491" s="6" t="s">
        <v>6201</v>
      </c>
      <c r="D491" s="7" t="s">
        <v>6993</v>
      </c>
      <c r="E491" s="6" t="s">
        <v>1695</v>
      </c>
      <c r="F491" s="7" t="s">
        <v>1696</v>
      </c>
    </row>
    <row r="492">
      <c r="A492" s="6" t="s">
        <v>5690</v>
      </c>
      <c r="B492" s="6" t="s">
        <v>58</v>
      </c>
      <c r="C492" s="6" t="s">
        <v>2007</v>
      </c>
      <c r="D492" s="7" t="s">
        <v>6994</v>
      </c>
      <c r="E492" s="6" t="s">
        <v>1695</v>
      </c>
      <c r="F492" s="7" t="s">
        <v>1696</v>
      </c>
    </row>
    <row r="493">
      <c r="A493" s="6" t="s">
        <v>6102</v>
      </c>
      <c r="B493" s="6" t="s">
        <v>580</v>
      </c>
      <c r="C493" s="6" t="s">
        <v>6103</v>
      </c>
      <c r="D493" s="7" t="s">
        <v>6995</v>
      </c>
      <c r="E493" s="6" t="s">
        <v>1695</v>
      </c>
      <c r="F493" s="7" t="s">
        <v>1696</v>
      </c>
    </row>
    <row r="494">
      <c r="A494" s="6" t="s">
        <v>4141</v>
      </c>
      <c r="B494" s="6" t="s">
        <v>641</v>
      </c>
      <c r="C494" s="6" t="s">
        <v>4142</v>
      </c>
      <c r="D494" s="7" t="s">
        <v>6996</v>
      </c>
      <c r="E494" s="6" t="s">
        <v>1695</v>
      </c>
      <c r="F494" s="7" t="s">
        <v>1696</v>
      </c>
    </row>
    <row r="495">
      <c r="A495" s="6" t="s">
        <v>4659</v>
      </c>
      <c r="B495" s="6" t="s">
        <v>479</v>
      </c>
      <c r="C495" s="6" t="s">
        <v>258</v>
      </c>
      <c r="D495" s="7" t="s">
        <v>6997</v>
      </c>
      <c r="E495" s="6" t="s">
        <v>1695</v>
      </c>
      <c r="F495" s="7" t="s">
        <v>1696</v>
      </c>
    </row>
    <row r="496">
      <c r="A496" s="6" t="s">
        <v>5994</v>
      </c>
      <c r="B496" s="6" t="s">
        <v>1736</v>
      </c>
      <c r="C496" s="6" t="s">
        <v>5995</v>
      </c>
      <c r="D496" s="7" t="s">
        <v>6998</v>
      </c>
      <c r="E496" s="6" t="s">
        <v>1695</v>
      </c>
      <c r="F496" s="7" t="s">
        <v>1696</v>
      </c>
    </row>
    <row r="497">
      <c r="A497" s="6" t="s">
        <v>4732</v>
      </c>
      <c r="B497" s="6" t="s">
        <v>4243</v>
      </c>
      <c r="C497" s="6" t="s">
        <v>4461</v>
      </c>
      <c r="D497" s="7" t="s">
        <v>6999</v>
      </c>
      <c r="E497" s="6" t="s">
        <v>1695</v>
      </c>
      <c r="F497" s="7" t="s">
        <v>1696</v>
      </c>
    </row>
    <row r="498">
      <c r="A498" s="6" t="s">
        <v>3156</v>
      </c>
      <c r="B498" s="6" t="s">
        <v>3157</v>
      </c>
      <c r="C498" s="6" t="s">
        <v>3158</v>
      </c>
      <c r="D498" s="7" t="s">
        <v>7000</v>
      </c>
      <c r="E498" s="6" t="s">
        <v>1695</v>
      </c>
      <c r="F498" s="7" t="s">
        <v>1696</v>
      </c>
    </row>
    <row r="499">
      <c r="A499" s="6" t="s">
        <v>2438</v>
      </c>
      <c r="B499" s="6" t="s">
        <v>1572</v>
      </c>
      <c r="C499" s="6" t="s">
        <v>66</v>
      </c>
      <c r="D499" s="7" t="s">
        <v>7001</v>
      </c>
      <c r="E499" s="6" t="s">
        <v>1695</v>
      </c>
      <c r="F499" s="7" t="s">
        <v>1696</v>
      </c>
    </row>
    <row r="500">
      <c r="A500" s="6" t="s">
        <v>4144</v>
      </c>
      <c r="B500" s="6" t="s">
        <v>4145</v>
      </c>
      <c r="C500" s="6" t="s">
        <v>1253</v>
      </c>
      <c r="D500" s="7" t="s">
        <v>7002</v>
      </c>
      <c r="E500" s="6" t="s">
        <v>1695</v>
      </c>
      <c r="F500" s="7" t="s">
        <v>1696</v>
      </c>
    </row>
    <row r="501">
      <c r="A501" s="6" t="s">
        <v>6074</v>
      </c>
      <c r="B501" s="6" t="s">
        <v>6045</v>
      </c>
      <c r="C501" s="6" t="s">
        <v>4225</v>
      </c>
      <c r="D501" s="7" t="s">
        <v>7003</v>
      </c>
      <c r="E501" s="6" t="s">
        <v>1695</v>
      </c>
      <c r="F501" s="7" t="s">
        <v>1696</v>
      </c>
    </row>
    <row r="502">
      <c r="A502" s="6" t="s">
        <v>1996</v>
      </c>
      <c r="B502" s="6" t="s">
        <v>304</v>
      </c>
      <c r="C502" s="6" t="s">
        <v>1000</v>
      </c>
      <c r="D502" s="7" t="s">
        <v>7004</v>
      </c>
      <c r="E502" s="6" t="s">
        <v>1695</v>
      </c>
      <c r="F502" s="7" t="s">
        <v>1696</v>
      </c>
    </row>
    <row r="503">
      <c r="A503" s="6" t="s">
        <v>5611</v>
      </c>
      <c r="B503" s="6" t="s">
        <v>46</v>
      </c>
      <c r="C503" s="6" t="s">
        <v>5612</v>
      </c>
      <c r="D503" s="7" t="s">
        <v>7005</v>
      </c>
      <c r="E503" s="6" t="s">
        <v>1695</v>
      </c>
      <c r="F503" s="7" t="s">
        <v>1696</v>
      </c>
    </row>
    <row r="504">
      <c r="A504" s="6" t="s">
        <v>4756</v>
      </c>
      <c r="B504" s="6" t="s">
        <v>922</v>
      </c>
      <c r="C504" s="6" t="s">
        <v>3417</v>
      </c>
      <c r="D504" s="7" t="s">
        <v>7006</v>
      </c>
      <c r="E504" s="6" t="s">
        <v>1695</v>
      </c>
      <c r="F504" s="7" t="s">
        <v>1696</v>
      </c>
    </row>
    <row r="505">
      <c r="A505" s="6" t="s">
        <v>3878</v>
      </c>
      <c r="B505" s="6" t="s">
        <v>798</v>
      </c>
      <c r="C505" s="6" t="s">
        <v>284</v>
      </c>
      <c r="D505" s="7" t="s">
        <v>7007</v>
      </c>
      <c r="E505" s="6" t="s">
        <v>1695</v>
      </c>
      <c r="F505" s="7" t="s">
        <v>1696</v>
      </c>
    </row>
    <row r="506">
      <c r="A506" s="6" t="s">
        <v>6005</v>
      </c>
      <c r="B506" s="6" t="s">
        <v>111</v>
      </c>
      <c r="C506" s="6" t="s">
        <v>1130</v>
      </c>
      <c r="D506" s="7" t="s">
        <v>7008</v>
      </c>
      <c r="E506" s="6" t="s">
        <v>1695</v>
      </c>
      <c r="F506" s="7" t="s">
        <v>1696</v>
      </c>
    </row>
    <row r="507">
      <c r="A507" s="6" t="s">
        <v>3724</v>
      </c>
      <c r="B507" s="6" t="s">
        <v>404</v>
      </c>
      <c r="C507" s="6" t="s">
        <v>922</v>
      </c>
      <c r="D507" s="7" t="s">
        <v>7009</v>
      </c>
      <c r="E507" s="6" t="s">
        <v>1695</v>
      </c>
      <c r="F507" s="7" t="s">
        <v>1696</v>
      </c>
    </row>
    <row r="508">
      <c r="A508" s="6" t="s">
        <v>4463</v>
      </c>
      <c r="B508" s="6" t="s">
        <v>403</v>
      </c>
      <c r="C508" s="6" t="s">
        <v>3778</v>
      </c>
      <c r="D508" s="7" t="s">
        <v>7010</v>
      </c>
      <c r="E508" s="6" t="s">
        <v>1695</v>
      </c>
      <c r="F508" s="7" t="s">
        <v>1696</v>
      </c>
    </row>
    <row r="509">
      <c r="A509" s="6" t="s">
        <v>5716</v>
      </c>
      <c r="B509" s="6" t="s">
        <v>5717</v>
      </c>
      <c r="C509" s="6" t="s">
        <v>1804</v>
      </c>
      <c r="D509" s="7" t="s">
        <v>7011</v>
      </c>
      <c r="E509" s="6" t="s">
        <v>1695</v>
      </c>
      <c r="F509" s="7" t="s">
        <v>1696</v>
      </c>
    </row>
    <row r="510">
      <c r="A510" s="6" t="s">
        <v>4737</v>
      </c>
      <c r="B510" s="6" t="s">
        <v>4738</v>
      </c>
      <c r="C510" s="6" t="s">
        <v>4739</v>
      </c>
      <c r="D510" s="7" t="s">
        <v>7012</v>
      </c>
      <c r="E510" s="6" t="s">
        <v>1695</v>
      </c>
      <c r="F510" s="7" t="s">
        <v>1696</v>
      </c>
    </row>
    <row r="511">
      <c r="A511" s="6" t="s">
        <v>2938</v>
      </c>
      <c r="B511" s="6" t="s">
        <v>1397</v>
      </c>
      <c r="C511" s="6" t="s">
        <v>2939</v>
      </c>
      <c r="D511" s="7" t="s">
        <v>7013</v>
      </c>
      <c r="E511" s="6" t="s">
        <v>1695</v>
      </c>
      <c r="F511" s="7" t="s">
        <v>1696</v>
      </c>
    </row>
    <row r="512">
      <c r="A512" s="6" t="s">
        <v>4916</v>
      </c>
      <c r="B512" s="6" t="s">
        <v>4917</v>
      </c>
      <c r="C512" s="6" t="s">
        <v>4918</v>
      </c>
      <c r="D512" s="7" t="s">
        <v>7014</v>
      </c>
      <c r="E512" s="6" t="s">
        <v>1695</v>
      </c>
      <c r="F512" s="7" t="s">
        <v>1696</v>
      </c>
    </row>
    <row r="513">
      <c r="A513" s="6" t="s">
        <v>3440</v>
      </c>
      <c r="B513" s="6" t="s">
        <v>3441</v>
      </c>
      <c r="C513" s="6" t="s">
        <v>3442</v>
      </c>
      <c r="D513" s="7" t="s">
        <v>7015</v>
      </c>
      <c r="E513" s="6" t="s">
        <v>1695</v>
      </c>
      <c r="F513" s="7" t="s">
        <v>1696</v>
      </c>
    </row>
    <row r="514">
      <c r="A514" s="6" t="s">
        <v>2348</v>
      </c>
      <c r="B514" s="6" t="s">
        <v>2349</v>
      </c>
      <c r="C514" s="6" t="s">
        <v>2350</v>
      </c>
      <c r="D514" s="7" t="s">
        <v>7016</v>
      </c>
      <c r="E514" s="6" t="s">
        <v>1695</v>
      </c>
      <c r="F514" s="7" t="s">
        <v>1696</v>
      </c>
    </row>
    <row r="515">
      <c r="A515" s="6" t="s">
        <v>4459</v>
      </c>
      <c r="B515" s="6" t="s">
        <v>46</v>
      </c>
      <c r="C515" s="6" t="s">
        <v>224</v>
      </c>
      <c r="D515" s="7" t="s">
        <v>7017</v>
      </c>
      <c r="E515" s="6" t="s">
        <v>1695</v>
      </c>
      <c r="F515" s="7" t="s">
        <v>1696</v>
      </c>
    </row>
    <row r="516">
      <c r="A516" s="6" t="s">
        <v>1805</v>
      </c>
      <c r="B516" s="6" t="s">
        <v>1806</v>
      </c>
      <c r="C516" s="6" t="s">
        <v>1807</v>
      </c>
      <c r="D516" s="7" t="s">
        <v>7018</v>
      </c>
      <c r="E516" s="6" t="s">
        <v>1695</v>
      </c>
      <c r="F516" s="7" t="s">
        <v>1696</v>
      </c>
    </row>
    <row r="517">
      <c r="A517" s="6" t="s">
        <v>2990</v>
      </c>
      <c r="B517" s="6" t="s">
        <v>1229</v>
      </c>
      <c r="C517" s="6" t="s">
        <v>317</v>
      </c>
      <c r="D517" s="7" t="s">
        <v>7019</v>
      </c>
      <c r="E517" s="6" t="s">
        <v>1695</v>
      </c>
      <c r="F517" s="7" t="s">
        <v>1696</v>
      </c>
    </row>
    <row r="518">
      <c r="A518" s="6" t="s">
        <v>6096</v>
      </c>
      <c r="B518" s="6" t="s">
        <v>3732</v>
      </c>
      <c r="C518" s="6" t="s">
        <v>6097</v>
      </c>
      <c r="D518" s="7" t="s">
        <v>7020</v>
      </c>
      <c r="E518" s="6" t="s">
        <v>1695</v>
      </c>
      <c r="F518" s="7" t="s">
        <v>1696</v>
      </c>
    </row>
    <row r="519">
      <c r="A519" s="6" t="s">
        <v>3425</v>
      </c>
      <c r="B519" s="6" t="s">
        <v>273</v>
      </c>
      <c r="C519" s="6" t="s">
        <v>3426</v>
      </c>
      <c r="D519" s="7" t="s">
        <v>7021</v>
      </c>
      <c r="E519" s="6" t="s">
        <v>1695</v>
      </c>
      <c r="F519" s="7" t="s">
        <v>1696</v>
      </c>
    </row>
    <row r="520">
      <c r="A520" s="6" t="s">
        <v>4090</v>
      </c>
      <c r="B520" s="6" t="s">
        <v>3554</v>
      </c>
      <c r="C520" s="6" t="s">
        <v>2724</v>
      </c>
      <c r="D520" s="7" t="s">
        <v>7022</v>
      </c>
      <c r="E520" s="6" t="s">
        <v>1695</v>
      </c>
      <c r="F520" s="7" t="s">
        <v>1696</v>
      </c>
    </row>
    <row r="521">
      <c r="A521" s="6" t="s">
        <v>5516</v>
      </c>
      <c r="B521" s="6" t="s">
        <v>1792</v>
      </c>
      <c r="C521" s="6" t="s">
        <v>5517</v>
      </c>
      <c r="D521" s="7" t="s">
        <v>7023</v>
      </c>
      <c r="E521" s="6" t="s">
        <v>1695</v>
      </c>
      <c r="F521" s="7" t="s">
        <v>1696</v>
      </c>
    </row>
    <row r="522">
      <c r="A522" s="6" t="s">
        <v>5081</v>
      </c>
      <c r="B522" s="6" t="s">
        <v>196</v>
      </c>
      <c r="C522" s="6" t="s">
        <v>3762</v>
      </c>
      <c r="D522" s="7" t="s">
        <v>7024</v>
      </c>
      <c r="E522" s="6" t="s">
        <v>1695</v>
      </c>
      <c r="F522" s="7" t="s">
        <v>1696</v>
      </c>
    </row>
    <row r="523">
      <c r="A523" s="6" t="s">
        <v>4309</v>
      </c>
      <c r="B523" s="6" t="s">
        <v>4310</v>
      </c>
      <c r="C523" s="6" t="s">
        <v>4311</v>
      </c>
      <c r="D523" s="7" t="s">
        <v>7025</v>
      </c>
      <c r="E523" s="6" t="s">
        <v>1695</v>
      </c>
      <c r="F523" s="7" t="s">
        <v>1696</v>
      </c>
    </row>
    <row r="524">
      <c r="A524" s="6" t="s">
        <v>4434</v>
      </c>
      <c r="B524" s="6" t="s">
        <v>4310</v>
      </c>
      <c r="C524" s="6" t="s">
        <v>4311</v>
      </c>
      <c r="D524" s="7" t="s">
        <v>7025</v>
      </c>
      <c r="E524" s="6" t="s">
        <v>1695</v>
      </c>
      <c r="F524" s="7" t="s">
        <v>1696</v>
      </c>
    </row>
    <row r="525">
      <c r="A525" s="6" t="s">
        <v>2056</v>
      </c>
      <c r="B525" s="6" t="s">
        <v>676</v>
      </c>
      <c r="C525" s="6" t="s">
        <v>2057</v>
      </c>
      <c r="D525" s="7" t="s">
        <v>7026</v>
      </c>
      <c r="E525" s="6" t="s">
        <v>1695</v>
      </c>
      <c r="F525" s="7" t="s">
        <v>1696</v>
      </c>
    </row>
    <row r="526">
      <c r="A526" s="6" t="s">
        <v>5110</v>
      </c>
      <c r="B526" s="6" t="s">
        <v>5111</v>
      </c>
      <c r="C526" s="6" t="s">
        <v>5112</v>
      </c>
      <c r="D526" s="7" t="s">
        <v>7027</v>
      </c>
      <c r="E526" s="6" t="s">
        <v>1695</v>
      </c>
      <c r="F526" s="7" t="s">
        <v>1696</v>
      </c>
    </row>
    <row r="527">
      <c r="A527" s="6" t="s">
        <v>1887</v>
      </c>
      <c r="B527" s="6" t="s">
        <v>432</v>
      </c>
      <c r="C527" s="6" t="s">
        <v>1888</v>
      </c>
      <c r="D527" s="7" t="s">
        <v>7028</v>
      </c>
      <c r="E527" s="6" t="s">
        <v>1695</v>
      </c>
      <c r="F527" s="7" t="s">
        <v>1696</v>
      </c>
    </row>
    <row r="528">
      <c r="A528" s="6" t="s">
        <v>3016</v>
      </c>
      <c r="B528" s="6" t="s">
        <v>3017</v>
      </c>
      <c r="C528" s="6" t="s">
        <v>3018</v>
      </c>
      <c r="D528" s="7" t="s">
        <v>7029</v>
      </c>
      <c r="E528" s="6" t="s">
        <v>1695</v>
      </c>
      <c r="F528" s="7" t="s">
        <v>1696</v>
      </c>
    </row>
    <row r="529">
      <c r="A529" s="6" t="s">
        <v>5413</v>
      </c>
      <c r="B529" s="6" t="s">
        <v>5414</v>
      </c>
      <c r="C529" s="6" t="s">
        <v>5415</v>
      </c>
      <c r="D529" s="7" t="s">
        <v>7030</v>
      </c>
      <c r="E529" s="6" t="s">
        <v>1695</v>
      </c>
      <c r="F529" s="7" t="s">
        <v>1696</v>
      </c>
    </row>
    <row r="530">
      <c r="A530" s="6" t="s">
        <v>3445</v>
      </c>
      <c r="B530" s="6" t="s">
        <v>3446</v>
      </c>
      <c r="C530" s="6" t="s">
        <v>55</v>
      </c>
      <c r="D530" s="7" t="s">
        <v>7031</v>
      </c>
      <c r="E530" s="6" t="s">
        <v>1695</v>
      </c>
      <c r="F530" s="7" t="s">
        <v>1696</v>
      </c>
    </row>
    <row r="531">
      <c r="A531" s="6" t="s">
        <v>3347</v>
      </c>
      <c r="B531" s="6" t="s">
        <v>3348</v>
      </c>
      <c r="C531" s="6" t="s">
        <v>3349</v>
      </c>
      <c r="D531" s="7" t="s">
        <v>7032</v>
      </c>
      <c r="E531" s="6" t="s">
        <v>1695</v>
      </c>
      <c r="F531" s="7" t="s">
        <v>1696</v>
      </c>
    </row>
    <row r="532">
      <c r="A532" s="6" t="s">
        <v>5892</v>
      </c>
      <c r="B532" s="6" t="s">
        <v>4896</v>
      </c>
      <c r="C532" s="6" t="s">
        <v>446</v>
      </c>
      <c r="D532" s="7" t="s">
        <v>7033</v>
      </c>
      <c r="E532" s="6" t="s">
        <v>1695</v>
      </c>
      <c r="F532" s="7" t="s">
        <v>1696</v>
      </c>
    </row>
    <row r="533">
      <c r="A533" s="6" t="s">
        <v>2855</v>
      </c>
      <c r="B533" s="6" t="s">
        <v>1246</v>
      </c>
      <c r="C533" s="6" t="s">
        <v>414</v>
      </c>
      <c r="D533" s="7" t="s">
        <v>7034</v>
      </c>
      <c r="E533" s="6" t="s">
        <v>1695</v>
      </c>
      <c r="F533" s="7" t="s">
        <v>1696</v>
      </c>
    </row>
    <row r="534">
      <c r="A534" s="6" t="s">
        <v>4261</v>
      </c>
      <c r="B534" s="6" t="s">
        <v>143</v>
      </c>
      <c r="C534" s="6" t="s">
        <v>4051</v>
      </c>
      <c r="D534" s="7" t="s">
        <v>7035</v>
      </c>
      <c r="E534" s="6" t="s">
        <v>1695</v>
      </c>
      <c r="F534" s="7" t="s">
        <v>1696</v>
      </c>
    </row>
    <row r="535">
      <c r="A535" s="6" t="s">
        <v>4511</v>
      </c>
      <c r="B535" s="6" t="s">
        <v>4512</v>
      </c>
      <c r="C535" s="6" t="s">
        <v>468</v>
      </c>
      <c r="D535" s="7" t="s">
        <v>7036</v>
      </c>
      <c r="E535" s="6" t="s">
        <v>1695</v>
      </c>
      <c r="F535" s="7" t="s">
        <v>1696</v>
      </c>
    </row>
    <row r="536">
      <c r="A536" s="6" t="s">
        <v>5765</v>
      </c>
      <c r="B536" s="6" t="s">
        <v>798</v>
      </c>
      <c r="C536" s="6" t="s">
        <v>5766</v>
      </c>
      <c r="D536" s="7" t="s">
        <v>7037</v>
      </c>
      <c r="E536" s="6" t="s">
        <v>1695</v>
      </c>
      <c r="F536" s="7" t="s">
        <v>1696</v>
      </c>
    </row>
    <row r="537">
      <c r="A537" s="6" t="s">
        <v>6419</v>
      </c>
      <c r="B537" s="6" t="s">
        <v>6420</v>
      </c>
      <c r="C537" s="6" t="s">
        <v>4639</v>
      </c>
      <c r="D537" s="7" t="s">
        <v>7038</v>
      </c>
      <c r="E537" s="6" t="s">
        <v>1695</v>
      </c>
      <c r="F537" s="7" t="s">
        <v>6318</v>
      </c>
    </row>
    <row r="538">
      <c r="A538" s="6" t="s">
        <v>4912</v>
      </c>
      <c r="B538" s="6" t="s">
        <v>721</v>
      </c>
      <c r="C538" s="6" t="s">
        <v>1000</v>
      </c>
      <c r="D538" s="7" t="s">
        <v>7039</v>
      </c>
      <c r="E538" s="6" t="s">
        <v>1695</v>
      </c>
      <c r="F538" s="7" t="s">
        <v>1696</v>
      </c>
    </row>
    <row r="539">
      <c r="A539" s="6" t="s">
        <v>6421</v>
      </c>
      <c r="B539" s="6" t="s">
        <v>301</v>
      </c>
      <c r="C539" s="6" t="s">
        <v>1708</v>
      </c>
      <c r="D539" s="7" t="s">
        <v>7040</v>
      </c>
      <c r="E539" s="6" t="s">
        <v>1695</v>
      </c>
      <c r="F539" s="7" t="s">
        <v>6318</v>
      </c>
    </row>
    <row r="540">
      <c r="A540" s="6" t="s">
        <v>5737</v>
      </c>
      <c r="B540" s="6" t="s">
        <v>5738</v>
      </c>
      <c r="C540" s="6" t="s">
        <v>404</v>
      </c>
      <c r="D540" s="7" t="s">
        <v>7041</v>
      </c>
      <c r="E540" s="6" t="s">
        <v>1695</v>
      </c>
      <c r="F540" s="7" t="s">
        <v>1696</v>
      </c>
    </row>
    <row r="541">
      <c r="A541" s="6" t="s">
        <v>5739</v>
      </c>
      <c r="B541" s="6" t="s">
        <v>3803</v>
      </c>
      <c r="C541" s="6" t="s">
        <v>218</v>
      </c>
      <c r="D541" s="7" t="s">
        <v>7041</v>
      </c>
      <c r="E541" s="6" t="s">
        <v>1695</v>
      </c>
      <c r="F541" s="7" t="s">
        <v>1696</v>
      </c>
    </row>
    <row r="542">
      <c r="A542" s="6" t="s">
        <v>6188</v>
      </c>
      <c r="B542" s="6" t="s">
        <v>3245</v>
      </c>
      <c r="C542" s="6" t="s">
        <v>798</v>
      </c>
      <c r="D542" s="7" t="s">
        <v>7042</v>
      </c>
      <c r="E542" s="6" t="s">
        <v>1695</v>
      </c>
      <c r="F542" s="7" t="s">
        <v>1696</v>
      </c>
    </row>
    <row r="543">
      <c r="A543" s="6" t="s">
        <v>3350</v>
      </c>
      <c r="B543" s="6" t="s">
        <v>3044</v>
      </c>
      <c r="C543" s="6" t="s">
        <v>35</v>
      </c>
      <c r="D543" s="7" t="s">
        <v>7043</v>
      </c>
      <c r="E543" s="6" t="s">
        <v>1695</v>
      </c>
      <c r="F543" s="7" t="s">
        <v>1696</v>
      </c>
    </row>
    <row r="544">
      <c r="A544" s="6" t="s">
        <v>6280</v>
      </c>
      <c r="B544" s="6" t="s">
        <v>3778</v>
      </c>
      <c r="C544" s="6" t="s">
        <v>6281</v>
      </c>
      <c r="D544" s="7" t="s">
        <v>7044</v>
      </c>
      <c r="E544" s="6" t="s">
        <v>1695</v>
      </c>
      <c r="F544" s="7" t="s">
        <v>1696</v>
      </c>
    </row>
    <row r="545">
      <c r="A545" s="6" t="s">
        <v>2463</v>
      </c>
      <c r="B545" s="6" t="s">
        <v>418</v>
      </c>
      <c r="C545" s="6" t="s">
        <v>613</v>
      </c>
      <c r="D545" s="7" t="s">
        <v>7045</v>
      </c>
      <c r="E545" s="6" t="s">
        <v>1695</v>
      </c>
      <c r="F545" s="7" t="s">
        <v>1696</v>
      </c>
    </row>
    <row r="546">
      <c r="A546" s="6" t="s">
        <v>5016</v>
      </c>
      <c r="B546" s="6" t="s">
        <v>35</v>
      </c>
      <c r="C546" s="6" t="s">
        <v>1674</v>
      </c>
      <c r="D546" s="7" t="s">
        <v>7046</v>
      </c>
      <c r="E546" s="6" t="s">
        <v>1695</v>
      </c>
      <c r="F546" s="7" t="s">
        <v>1696</v>
      </c>
    </row>
    <row r="547">
      <c r="A547" s="6" t="s">
        <v>5358</v>
      </c>
      <c r="B547" s="6" t="s">
        <v>4203</v>
      </c>
      <c r="C547" s="6" t="s">
        <v>559</v>
      </c>
      <c r="D547" s="7" t="s">
        <v>7047</v>
      </c>
      <c r="E547" s="6" t="s">
        <v>1695</v>
      </c>
      <c r="F547" s="7" t="s">
        <v>1696</v>
      </c>
    </row>
    <row r="548">
      <c r="A548" s="6" t="s">
        <v>4772</v>
      </c>
      <c r="B548" s="6" t="s">
        <v>3288</v>
      </c>
      <c r="C548" s="6" t="s">
        <v>1321</v>
      </c>
      <c r="D548" s="7" t="s">
        <v>7048</v>
      </c>
      <c r="E548" s="6" t="s">
        <v>1695</v>
      </c>
      <c r="F548" s="7" t="s">
        <v>1696</v>
      </c>
    </row>
    <row r="549">
      <c r="A549" s="6" t="s">
        <v>3813</v>
      </c>
      <c r="B549" s="6" t="s">
        <v>3814</v>
      </c>
      <c r="C549" s="6" t="s">
        <v>3815</v>
      </c>
      <c r="D549" s="7" t="s">
        <v>7049</v>
      </c>
      <c r="E549" s="6" t="s">
        <v>1695</v>
      </c>
      <c r="F549" s="7" t="s">
        <v>1696</v>
      </c>
    </row>
    <row r="550">
      <c r="A550" s="6" t="s">
        <v>3921</v>
      </c>
      <c r="B550" s="6" t="s">
        <v>1532</v>
      </c>
      <c r="C550" s="6" t="s">
        <v>3922</v>
      </c>
      <c r="D550" s="7" t="s">
        <v>7050</v>
      </c>
      <c r="E550" s="6" t="s">
        <v>1695</v>
      </c>
      <c r="F550" s="7" t="s">
        <v>1696</v>
      </c>
    </row>
    <row r="551">
      <c r="A551" s="6" t="s">
        <v>5743</v>
      </c>
      <c r="B551" s="6" t="s">
        <v>2539</v>
      </c>
      <c r="C551" s="6" t="s">
        <v>5744</v>
      </c>
      <c r="D551" s="7" t="s">
        <v>7051</v>
      </c>
      <c r="E551" s="6" t="s">
        <v>1695</v>
      </c>
      <c r="F551" s="7" t="s">
        <v>1696</v>
      </c>
    </row>
    <row r="552">
      <c r="A552" s="6" t="s">
        <v>2639</v>
      </c>
      <c r="B552" s="6" t="s">
        <v>162</v>
      </c>
      <c r="C552" s="6" t="s">
        <v>2640</v>
      </c>
      <c r="D552" s="7" t="s">
        <v>7052</v>
      </c>
      <c r="E552" s="6" t="s">
        <v>1695</v>
      </c>
      <c r="F552" s="7" t="s">
        <v>1696</v>
      </c>
    </row>
    <row r="553">
      <c r="A553" s="6" t="s">
        <v>4454</v>
      </c>
      <c r="B553" s="6" t="s">
        <v>2045</v>
      </c>
      <c r="C553" s="6" t="s">
        <v>273</v>
      </c>
      <c r="D553" s="7" t="s">
        <v>7053</v>
      </c>
      <c r="E553" s="6" t="s">
        <v>1695</v>
      </c>
      <c r="F553" s="7" t="s">
        <v>1696</v>
      </c>
    </row>
    <row r="554">
      <c r="A554" s="6" t="s">
        <v>4611</v>
      </c>
      <c r="B554" s="6" t="s">
        <v>3877</v>
      </c>
      <c r="C554" s="6" t="s">
        <v>32</v>
      </c>
      <c r="D554" s="7" t="s">
        <v>7054</v>
      </c>
      <c r="E554" s="6" t="s">
        <v>1695</v>
      </c>
      <c r="F554" s="7" t="s">
        <v>1696</v>
      </c>
    </row>
    <row r="555">
      <c r="A555" s="6" t="s">
        <v>4008</v>
      </c>
      <c r="B555" s="6" t="s">
        <v>4009</v>
      </c>
      <c r="C555" s="6" t="s">
        <v>4010</v>
      </c>
      <c r="D555" s="7" t="s">
        <v>7055</v>
      </c>
      <c r="E555" s="6" t="s">
        <v>1695</v>
      </c>
      <c r="F555" s="7" t="s">
        <v>1696</v>
      </c>
    </row>
    <row r="556">
      <c r="A556" s="6" t="s">
        <v>5228</v>
      </c>
      <c r="B556" s="6" t="s">
        <v>5229</v>
      </c>
      <c r="C556" s="6" t="s">
        <v>5230</v>
      </c>
      <c r="D556" s="7" t="s">
        <v>7056</v>
      </c>
      <c r="E556" s="6" t="s">
        <v>1695</v>
      </c>
      <c r="F556" s="7" t="s">
        <v>1696</v>
      </c>
    </row>
    <row r="557">
      <c r="A557" s="6" t="s">
        <v>4835</v>
      </c>
      <c r="B557" s="6" t="s">
        <v>4836</v>
      </c>
      <c r="C557" s="6" t="s">
        <v>1000</v>
      </c>
      <c r="D557" s="7" t="s">
        <v>7057</v>
      </c>
      <c r="E557" s="6" t="s">
        <v>1695</v>
      </c>
      <c r="F557" s="7" t="s">
        <v>1696</v>
      </c>
    </row>
    <row r="558">
      <c r="A558" s="6" t="s">
        <v>3014</v>
      </c>
      <c r="B558" s="6" t="s">
        <v>945</v>
      </c>
      <c r="C558" s="6" t="s">
        <v>3015</v>
      </c>
      <c r="D558" s="7" t="s">
        <v>7058</v>
      </c>
      <c r="E558" s="6" t="s">
        <v>1695</v>
      </c>
      <c r="F558" s="7" t="s">
        <v>1696</v>
      </c>
    </row>
    <row r="559">
      <c r="A559" s="6" t="s">
        <v>4216</v>
      </c>
      <c r="B559" s="6" t="s">
        <v>4217</v>
      </c>
      <c r="C559" s="6" t="s">
        <v>3815</v>
      </c>
      <c r="D559" s="7" t="s">
        <v>7059</v>
      </c>
      <c r="E559" s="6" t="s">
        <v>1695</v>
      </c>
      <c r="F559" s="7" t="s">
        <v>1696</v>
      </c>
    </row>
    <row r="560">
      <c r="A560" s="6" t="s">
        <v>6283</v>
      </c>
      <c r="B560" s="6" t="s">
        <v>4764</v>
      </c>
      <c r="C560" s="6" t="s">
        <v>2934</v>
      </c>
      <c r="D560" s="7" t="s">
        <v>7060</v>
      </c>
      <c r="E560" s="6" t="s">
        <v>1695</v>
      </c>
      <c r="F560" s="7" t="s">
        <v>1696</v>
      </c>
    </row>
    <row r="561">
      <c r="A561" s="6" t="s">
        <v>6221</v>
      </c>
      <c r="B561" s="6" t="s">
        <v>6105</v>
      </c>
      <c r="C561" s="6" t="s">
        <v>165</v>
      </c>
      <c r="D561" s="7" t="s">
        <v>7061</v>
      </c>
      <c r="E561" s="6" t="s">
        <v>1695</v>
      </c>
      <c r="F561" s="7" t="s">
        <v>1696</v>
      </c>
    </row>
    <row r="562">
      <c r="A562" s="6" t="s">
        <v>6355</v>
      </c>
      <c r="B562" s="6" t="s">
        <v>6356</v>
      </c>
      <c r="C562" s="6" t="s">
        <v>6357</v>
      </c>
      <c r="D562" s="7" t="s">
        <v>7062</v>
      </c>
      <c r="E562" s="6" t="s">
        <v>1695</v>
      </c>
      <c r="F562" s="7" t="s">
        <v>6318</v>
      </c>
    </row>
    <row r="563">
      <c r="A563" s="6" t="s">
        <v>4762</v>
      </c>
      <c r="B563" s="6" t="s">
        <v>4763</v>
      </c>
      <c r="C563" s="6" t="s">
        <v>4764</v>
      </c>
      <c r="D563" s="7" t="s">
        <v>7063</v>
      </c>
      <c r="E563" s="6" t="s">
        <v>1695</v>
      </c>
      <c r="F563" s="7" t="s">
        <v>1696</v>
      </c>
    </row>
    <row r="564">
      <c r="A564" s="6" t="s">
        <v>6338</v>
      </c>
      <c r="B564" s="6" t="s">
        <v>803</v>
      </c>
      <c r="C564" s="6" t="s">
        <v>193</v>
      </c>
      <c r="D564" s="7" t="s">
        <v>7064</v>
      </c>
      <c r="E564" s="6" t="s">
        <v>1695</v>
      </c>
      <c r="F564" s="7" t="s">
        <v>6318</v>
      </c>
    </row>
    <row r="565">
      <c r="A565" s="6" t="s">
        <v>6279</v>
      </c>
      <c r="B565" s="6" t="s">
        <v>3913</v>
      </c>
      <c r="C565" s="6" t="s">
        <v>4639</v>
      </c>
      <c r="D565" s="7" t="s">
        <v>7065</v>
      </c>
      <c r="E565" s="6" t="s">
        <v>1695</v>
      </c>
      <c r="F565" s="7" t="s">
        <v>1696</v>
      </c>
    </row>
    <row r="566">
      <c r="A566" s="6" t="s">
        <v>5677</v>
      </c>
      <c r="B566" s="6" t="s">
        <v>3947</v>
      </c>
      <c r="C566" s="6" t="s">
        <v>468</v>
      </c>
      <c r="D566" s="7" t="s">
        <v>7066</v>
      </c>
      <c r="E566" s="6" t="s">
        <v>1695</v>
      </c>
      <c r="F566" s="7" t="s">
        <v>1696</v>
      </c>
    </row>
    <row r="567">
      <c r="A567" s="6" t="s">
        <v>3982</v>
      </c>
      <c r="B567" s="6" t="s">
        <v>3983</v>
      </c>
      <c r="C567" s="6" t="s">
        <v>513</v>
      </c>
      <c r="D567" s="7" t="s">
        <v>7067</v>
      </c>
      <c r="E567" s="6" t="s">
        <v>1695</v>
      </c>
      <c r="F567" s="7" t="s">
        <v>1696</v>
      </c>
    </row>
    <row r="568">
      <c r="A568" s="6" t="s">
        <v>5763</v>
      </c>
      <c r="B568" s="6" t="s">
        <v>4788</v>
      </c>
      <c r="C568" s="6" t="s">
        <v>5764</v>
      </c>
      <c r="D568" s="7" t="s">
        <v>7068</v>
      </c>
      <c r="E568" s="6" t="s">
        <v>1695</v>
      </c>
      <c r="F568" s="7" t="s">
        <v>1696</v>
      </c>
    </row>
    <row r="569">
      <c r="A569" s="6" t="s">
        <v>3987</v>
      </c>
      <c r="B569" s="6" t="s">
        <v>531</v>
      </c>
      <c r="C569" s="6" t="s">
        <v>3988</v>
      </c>
      <c r="D569" s="7" t="s">
        <v>7069</v>
      </c>
      <c r="E569" s="6" t="s">
        <v>1695</v>
      </c>
      <c r="F569" s="7" t="s">
        <v>1696</v>
      </c>
    </row>
    <row r="570">
      <c r="A570" s="6" t="s">
        <v>5486</v>
      </c>
      <c r="B570" s="6" t="s">
        <v>4110</v>
      </c>
      <c r="C570" s="6" t="s">
        <v>5487</v>
      </c>
      <c r="D570" s="7" t="s">
        <v>7070</v>
      </c>
      <c r="E570" s="6" t="s">
        <v>1695</v>
      </c>
      <c r="F570" s="7" t="s">
        <v>1696</v>
      </c>
    </row>
    <row r="571">
      <c r="A571" s="6" t="s">
        <v>4275</v>
      </c>
      <c r="B571" s="6" t="s">
        <v>945</v>
      </c>
      <c r="C571" s="6" t="s">
        <v>64</v>
      </c>
      <c r="D571" s="7" t="s">
        <v>7071</v>
      </c>
      <c r="E571" s="6" t="s">
        <v>1695</v>
      </c>
      <c r="F571" s="7" t="s">
        <v>1696</v>
      </c>
    </row>
    <row r="572">
      <c r="A572" s="6" t="s">
        <v>6271</v>
      </c>
      <c r="B572" s="6" t="s">
        <v>6272</v>
      </c>
      <c r="C572" s="6" t="s">
        <v>4531</v>
      </c>
      <c r="D572" s="7" t="s">
        <v>7072</v>
      </c>
      <c r="E572" s="6" t="s">
        <v>1695</v>
      </c>
      <c r="F572" s="7" t="s">
        <v>1696</v>
      </c>
    </row>
    <row r="573">
      <c r="A573" s="6" t="s">
        <v>3899</v>
      </c>
      <c r="B573" s="6" t="s">
        <v>1710</v>
      </c>
      <c r="C573" s="6" t="s">
        <v>3900</v>
      </c>
      <c r="D573" s="7" t="s">
        <v>7073</v>
      </c>
      <c r="E573" s="6" t="s">
        <v>1695</v>
      </c>
      <c r="F573" s="7" t="s">
        <v>1696</v>
      </c>
    </row>
    <row r="574">
      <c r="A574" s="6" t="s">
        <v>3067</v>
      </c>
      <c r="B574" s="6" t="s">
        <v>3068</v>
      </c>
      <c r="C574" s="6" t="s">
        <v>2935</v>
      </c>
      <c r="D574" s="7" t="s">
        <v>7074</v>
      </c>
      <c r="E574" s="6" t="s">
        <v>1695</v>
      </c>
      <c r="F574" s="7" t="s">
        <v>1696</v>
      </c>
    </row>
    <row r="575">
      <c r="A575" s="6" t="s">
        <v>6014</v>
      </c>
      <c r="B575" s="6" t="s">
        <v>4656</v>
      </c>
      <c r="C575" s="6" t="s">
        <v>158</v>
      </c>
      <c r="D575" s="7" t="s">
        <v>7075</v>
      </c>
      <c r="E575" s="6" t="s">
        <v>1695</v>
      </c>
      <c r="F575" s="7" t="s">
        <v>1696</v>
      </c>
    </row>
    <row r="576">
      <c r="A576" s="6" t="s">
        <v>5363</v>
      </c>
      <c r="B576" s="6" t="s">
        <v>3803</v>
      </c>
      <c r="C576" s="6" t="s">
        <v>5364</v>
      </c>
      <c r="D576" s="7" t="s">
        <v>7076</v>
      </c>
      <c r="E576" s="6" t="s">
        <v>1695</v>
      </c>
      <c r="F576" s="7" t="s">
        <v>1696</v>
      </c>
    </row>
    <row r="577">
      <c r="A577" s="6" t="s">
        <v>4071</v>
      </c>
      <c r="B577" s="6" t="s">
        <v>4072</v>
      </c>
      <c r="C577" s="6" t="s">
        <v>422</v>
      </c>
      <c r="D577" s="7" t="s">
        <v>7077</v>
      </c>
      <c r="E577" s="6" t="s">
        <v>1695</v>
      </c>
      <c r="F577" s="7" t="s">
        <v>1696</v>
      </c>
    </row>
    <row r="578">
      <c r="A578" s="6" t="s">
        <v>4447</v>
      </c>
      <c r="B578" s="6" t="s">
        <v>4448</v>
      </c>
      <c r="C578" s="6" t="s">
        <v>4449</v>
      </c>
      <c r="D578" s="7" t="s">
        <v>7078</v>
      </c>
      <c r="E578" s="6" t="s">
        <v>1695</v>
      </c>
      <c r="F578" s="7" t="s">
        <v>1696</v>
      </c>
    </row>
    <row r="579">
      <c r="A579" s="6" t="s">
        <v>4544</v>
      </c>
      <c r="B579" s="6" t="s">
        <v>4545</v>
      </c>
      <c r="C579" s="6" t="s">
        <v>1856</v>
      </c>
      <c r="D579" s="7" t="s">
        <v>7079</v>
      </c>
      <c r="E579" s="6" t="s">
        <v>1695</v>
      </c>
      <c r="F579" s="7" t="s">
        <v>1696</v>
      </c>
    </row>
    <row r="580">
      <c r="A580" s="6" t="s">
        <v>5957</v>
      </c>
      <c r="B580" s="6" t="s">
        <v>5318</v>
      </c>
      <c r="C580" s="6" t="s">
        <v>4896</v>
      </c>
      <c r="D580" s="7" t="s">
        <v>7080</v>
      </c>
      <c r="E580" s="6" t="s">
        <v>1695</v>
      </c>
      <c r="F580" s="7" t="s">
        <v>1696</v>
      </c>
    </row>
    <row r="581">
      <c r="A581" s="6" t="s">
        <v>2182</v>
      </c>
      <c r="B581" s="6" t="s">
        <v>420</v>
      </c>
      <c r="C581" s="6" t="s">
        <v>2183</v>
      </c>
      <c r="D581" s="7" t="s">
        <v>7081</v>
      </c>
      <c r="E581" s="6" t="s">
        <v>1695</v>
      </c>
      <c r="F581" s="7" t="s">
        <v>1696</v>
      </c>
    </row>
    <row r="582">
      <c r="A582" s="6" t="s">
        <v>4563</v>
      </c>
      <c r="B582" s="6" t="s">
        <v>1814</v>
      </c>
      <c r="C582" s="6" t="s">
        <v>1130</v>
      </c>
      <c r="D582" s="7" t="s">
        <v>7082</v>
      </c>
      <c r="E582" s="6" t="s">
        <v>1695</v>
      </c>
      <c r="F582" s="7" t="s">
        <v>1696</v>
      </c>
    </row>
    <row r="583">
      <c r="A583" s="6" t="s">
        <v>3423</v>
      </c>
      <c r="B583" s="6" t="s">
        <v>1511</v>
      </c>
      <c r="C583" s="6" t="s">
        <v>3424</v>
      </c>
      <c r="D583" s="7" t="s">
        <v>7083</v>
      </c>
      <c r="E583" s="6" t="s">
        <v>1695</v>
      </c>
      <c r="F583" s="7" t="s">
        <v>1696</v>
      </c>
    </row>
    <row r="584">
      <c r="A584" s="6" t="s">
        <v>6336</v>
      </c>
      <c r="B584" s="6" t="s">
        <v>3013</v>
      </c>
      <c r="C584" s="6" t="s">
        <v>6337</v>
      </c>
      <c r="D584" s="7" t="s">
        <v>7084</v>
      </c>
      <c r="E584" s="6" t="s">
        <v>1695</v>
      </c>
      <c r="F584" s="7" t="s">
        <v>6318</v>
      </c>
    </row>
    <row r="585">
      <c r="A585" s="6" t="s">
        <v>3278</v>
      </c>
      <c r="B585" s="6" t="s">
        <v>3279</v>
      </c>
      <c r="C585" s="6" t="s">
        <v>3280</v>
      </c>
      <c r="D585" s="7" t="s">
        <v>7085</v>
      </c>
      <c r="E585" s="6" t="s">
        <v>1695</v>
      </c>
      <c r="F585" s="7" t="s">
        <v>1696</v>
      </c>
    </row>
    <row r="586">
      <c r="A586" s="6" t="s">
        <v>6329</v>
      </c>
      <c r="B586" s="6" t="s">
        <v>6330</v>
      </c>
      <c r="C586" s="6" t="s">
        <v>4881</v>
      </c>
      <c r="D586" s="7" t="s">
        <v>7086</v>
      </c>
      <c r="E586" s="6" t="s">
        <v>1695</v>
      </c>
      <c r="F586" s="7" t="s">
        <v>6318</v>
      </c>
    </row>
    <row r="587">
      <c r="A587" s="6" t="s">
        <v>6021</v>
      </c>
      <c r="B587" s="6" t="s">
        <v>4217</v>
      </c>
      <c r="C587" s="6" t="s">
        <v>70</v>
      </c>
      <c r="D587" s="7" t="s">
        <v>7087</v>
      </c>
      <c r="E587" s="6" t="s">
        <v>1695</v>
      </c>
      <c r="F587" s="7" t="s">
        <v>1696</v>
      </c>
    </row>
    <row r="588">
      <c r="A588" s="6" t="s">
        <v>3741</v>
      </c>
      <c r="B588" s="6" t="s">
        <v>683</v>
      </c>
      <c r="C588" s="6" t="s">
        <v>336</v>
      </c>
      <c r="D588" s="7" t="s">
        <v>7088</v>
      </c>
      <c r="E588" s="6" t="s">
        <v>1695</v>
      </c>
      <c r="F588" s="7" t="s">
        <v>1696</v>
      </c>
    </row>
    <row r="589">
      <c r="A589" s="6" t="s">
        <v>5827</v>
      </c>
      <c r="B589" s="6" t="s">
        <v>4110</v>
      </c>
      <c r="C589" s="6" t="s">
        <v>3955</v>
      </c>
      <c r="D589" s="7" t="s">
        <v>7089</v>
      </c>
      <c r="E589" s="6" t="s">
        <v>1695</v>
      </c>
      <c r="F589" s="7" t="s">
        <v>1696</v>
      </c>
    </row>
    <row r="590">
      <c r="A590" s="6" t="s">
        <v>4312</v>
      </c>
      <c r="B590" s="6" t="s">
        <v>409</v>
      </c>
      <c r="C590" s="6" t="s">
        <v>4313</v>
      </c>
      <c r="D590" s="7" t="s">
        <v>7090</v>
      </c>
      <c r="E590" s="6" t="s">
        <v>1695</v>
      </c>
      <c r="F590" s="7" t="s">
        <v>1696</v>
      </c>
    </row>
    <row r="591">
      <c r="A591" s="6" t="s">
        <v>3800</v>
      </c>
      <c r="B591" s="6" t="s">
        <v>195</v>
      </c>
      <c r="C591" s="6" t="s">
        <v>267</v>
      </c>
      <c r="D591" s="7" t="s">
        <v>7091</v>
      </c>
      <c r="E591" s="6" t="s">
        <v>1695</v>
      </c>
      <c r="F591" s="7" t="s">
        <v>1696</v>
      </c>
    </row>
    <row r="592">
      <c r="A592" s="6" t="s">
        <v>5365</v>
      </c>
      <c r="B592" s="6" t="s">
        <v>5366</v>
      </c>
      <c r="C592" s="6" t="s">
        <v>5367</v>
      </c>
      <c r="D592" s="7" t="s">
        <v>7092</v>
      </c>
      <c r="E592" s="6" t="s">
        <v>1695</v>
      </c>
      <c r="F592" s="7" t="s">
        <v>1696</v>
      </c>
    </row>
    <row r="593">
      <c r="A593" s="6" t="s">
        <v>5246</v>
      </c>
      <c r="B593" s="6" t="s">
        <v>1532</v>
      </c>
      <c r="C593" s="6" t="s">
        <v>4296</v>
      </c>
      <c r="D593" s="7" t="s">
        <v>7093</v>
      </c>
      <c r="E593" s="6" t="s">
        <v>1695</v>
      </c>
      <c r="F593" s="7" t="s">
        <v>1696</v>
      </c>
    </row>
    <row r="594">
      <c r="A594" s="6" t="s">
        <v>3002</v>
      </c>
      <c r="B594" s="6" t="s">
        <v>1677</v>
      </c>
      <c r="C594" s="6" t="s">
        <v>3003</v>
      </c>
      <c r="D594" s="7" t="s">
        <v>7094</v>
      </c>
      <c r="E594" s="6" t="s">
        <v>1695</v>
      </c>
      <c r="F594" s="7" t="s">
        <v>1696</v>
      </c>
    </row>
    <row r="595">
      <c r="A595" s="6" t="s">
        <v>2034</v>
      </c>
      <c r="B595" s="6" t="s">
        <v>2035</v>
      </c>
      <c r="C595" s="6" t="s">
        <v>2036</v>
      </c>
      <c r="D595" s="7" t="s">
        <v>7095</v>
      </c>
      <c r="E595" s="6" t="s">
        <v>1695</v>
      </c>
      <c r="F595" s="7" t="s">
        <v>1696</v>
      </c>
    </row>
    <row r="596">
      <c r="A596" s="6" t="s">
        <v>2377</v>
      </c>
      <c r="B596" s="6" t="s">
        <v>2378</v>
      </c>
      <c r="C596" s="6" t="s">
        <v>2379</v>
      </c>
      <c r="D596" s="7" t="s">
        <v>7096</v>
      </c>
      <c r="E596" s="6" t="s">
        <v>1695</v>
      </c>
      <c r="F596" s="7" t="s">
        <v>1696</v>
      </c>
    </row>
    <row r="597">
      <c r="A597" s="6" t="s">
        <v>2236</v>
      </c>
      <c r="B597" s="6" t="s">
        <v>2237</v>
      </c>
      <c r="C597" s="6" t="s">
        <v>44</v>
      </c>
      <c r="D597" s="7" t="s">
        <v>7097</v>
      </c>
      <c r="E597" s="6" t="s">
        <v>1695</v>
      </c>
      <c r="F597" s="7" t="s">
        <v>1696</v>
      </c>
    </row>
    <row r="598">
      <c r="A598" s="6" t="s">
        <v>3276</v>
      </c>
      <c r="B598" s="6" t="s">
        <v>3277</v>
      </c>
      <c r="C598" s="6" t="s">
        <v>2913</v>
      </c>
      <c r="D598" s="7" t="s">
        <v>7098</v>
      </c>
      <c r="E598" s="6" t="s">
        <v>1695</v>
      </c>
      <c r="F598" s="7" t="s">
        <v>1696</v>
      </c>
    </row>
    <row r="599">
      <c r="A599" s="6" t="s">
        <v>3104</v>
      </c>
      <c r="B599" s="6" t="s">
        <v>3105</v>
      </c>
      <c r="C599" s="6" t="s">
        <v>993</v>
      </c>
      <c r="D599" s="7" t="s">
        <v>7099</v>
      </c>
      <c r="E599" s="6" t="s">
        <v>1695</v>
      </c>
      <c r="F599" s="7" t="s">
        <v>1696</v>
      </c>
    </row>
    <row r="600">
      <c r="A600" s="6" t="s">
        <v>2940</v>
      </c>
      <c r="B600" s="6" t="s">
        <v>920</v>
      </c>
      <c r="C600" s="6" t="s">
        <v>2941</v>
      </c>
      <c r="D600" s="7" t="s">
        <v>7100</v>
      </c>
      <c r="E600" s="6" t="s">
        <v>1695</v>
      </c>
      <c r="F600" s="7" t="s">
        <v>1696</v>
      </c>
    </row>
    <row r="601">
      <c r="A601" s="6" t="s">
        <v>5312</v>
      </c>
      <c r="B601" s="6" t="s">
        <v>1215</v>
      </c>
      <c r="C601" s="6" t="s">
        <v>96</v>
      </c>
      <c r="D601" s="7" t="s">
        <v>7101</v>
      </c>
      <c r="E601" s="6" t="s">
        <v>1695</v>
      </c>
      <c r="F601" s="7" t="s">
        <v>1696</v>
      </c>
    </row>
    <row r="602">
      <c r="A602" s="6" t="s">
        <v>4028</v>
      </c>
      <c r="B602" s="6" t="s">
        <v>915</v>
      </c>
      <c r="C602" s="6" t="s">
        <v>4029</v>
      </c>
      <c r="D602" s="7" t="s">
        <v>7102</v>
      </c>
      <c r="E602" s="6" t="s">
        <v>1695</v>
      </c>
      <c r="F602" s="7" t="s">
        <v>1696</v>
      </c>
    </row>
    <row r="603">
      <c r="A603" s="6" t="s">
        <v>3838</v>
      </c>
      <c r="B603" s="6" t="s">
        <v>1804</v>
      </c>
      <c r="C603" s="6" t="s">
        <v>3817</v>
      </c>
      <c r="D603" s="7" t="s">
        <v>7103</v>
      </c>
      <c r="E603" s="6" t="s">
        <v>1695</v>
      </c>
      <c r="F603" s="7" t="s">
        <v>1696</v>
      </c>
    </row>
    <row r="604">
      <c r="A604" s="6" t="s">
        <v>3816</v>
      </c>
      <c r="B604" s="6" t="s">
        <v>639</v>
      </c>
      <c r="C604" s="6" t="s">
        <v>3817</v>
      </c>
      <c r="D604" s="7" t="s">
        <v>7104</v>
      </c>
      <c r="E604" s="6" t="s">
        <v>1695</v>
      </c>
      <c r="F604" s="7" t="s">
        <v>1696</v>
      </c>
    </row>
    <row r="605">
      <c r="A605" s="6" t="s">
        <v>6164</v>
      </c>
      <c r="B605" s="6" t="s">
        <v>1954</v>
      </c>
      <c r="C605" s="6" t="s">
        <v>412</v>
      </c>
      <c r="D605" s="7" t="s">
        <v>7105</v>
      </c>
      <c r="E605" s="6" t="s">
        <v>1695</v>
      </c>
      <c r="F605" s="7" t="s">
        <v>1696</v>
      </c>
    </row>
    <row r="606">
      <c r="A606" s="6" t="s">
        <v>2451</v>
      </c>
      <c r="B606" s="6" t="s">
        <v>1710</v>
      </c>
      <c r="C606" s="6" t="s">
        <v>2452</v>
      </c>
      <c r="D606" s="7" t="s">
        <v>7106</v>
      </c>
      <c r="E606" s="6" t="s">
        <v>1695</v>
      </c>
      <c r="F606" s="7" t="s">
        <v>1696</v>
      </c>
    </row>
    <row r="607">
      <c r="A607" s="6" t="s">
        <v>3343</v>
      </c>
      <c r="B607" s="6" t="s">
        <v>204</v>
      </c>
      <c r="C607" s="6" t="s">
        <v>795</v>
      </c>
      <c r="D607" s="7" t="s">
        <v>7107</v>
      </c>
      <c r="E607" s="6" t="s">
        <v>1695</v>
      </c>
      <c r="F607" s="7" t="s">
        <v>1696</v>
      </c>
    </row>
    <row r="608">
      <c r="A608" s="6" t="s">
        <v>3300</v>
      </c>
      <c r="B608" s="6" t="s">
        <v>3301</v>
      </c>
      <c r="C608" s="6" t="s">
        <v>3302</v>
      </c>
      <c r="D608" s="7" t="s">
        <v>7108</v>
      </c>
      <c r="E608" s="6" t="s">
        <v>1695</v>
      </c>
      <c r="F608" s="7" t="s">
        <v>1696</v>
      </c>
    </row>
    <row r="609">
      <c r="A609" s="6" t="s">
        <v>2208</v>
      </c>
      <c r="B609" s="6" t="s">
        <v>2209</v>
      </c>
      <c r="C609" s="6" t="s">
        <v>2210</v>
      </c>
      <c r="D609" s="7" t="s">
        <v>7109</v>
      </c>
      <c r="E609" s="6" t="s">
        <v>1695</v>
      </c>
      <c r="F609" s="7" t="s">
        <v>1696</v>
      </c>
    </row>
    <row r="610">
      <c r="A610" s="6" t="s">
        <v>3124</v>
      </c>
      <c r="B610" s="6" t="s">
        <v>3125</v>
      </c>
      <c r="C610" s="6" t="s">
        <v>3126</v>
      </c>
      <c r="D610" s="7" t="s">
        <v>7110</v>
      </c>
      <c r="E610" s="6" t="s">
        <v>1695</v>
      </c>
      <c r="F610" s="7" t="s">
        <v>1696</v>
      </c>
    </row>
    <row r="611">
      <c r="A611" s="6" t="s">
        <v>4857</v>
      </c>
      <c r="B611" s="6" t="s">
        <v>4858</v>
      </c>
      <c r="C611" s="6" t="s">
        <v>1572</v>
      </c>
      <c r="D611" s="7" t="s">
        <v>7111</v>
      </c>
      <c r="E611" s="6" t="s">
        <v>1695</v>
      </c>
      <c r="F611" s="7" t="s">
        <v>1696</v>
      </c>
    </row>
    <row r="612">
      <c r="A612" s="6" t="s">
        <v>2473</v>
      </c>
      <c r="B612" s="6" t="s">
        <v>92</v>
      </c>
      <c r="C612" s="6" t="s">
        <v>2474</v>
      </c>
      <c r="D612" s="7" t="s">
        <v>7112</v>
      </c>
      <c r="E612" s="6" t="s">
        <v>1695</v>
      </c>
      <c r="F612" s="7" t="s">
        <v>1696</v>
      </c>
    </row>
    <row r="613">
      <c r="A613" s="6" t="s">
        <v>3005</v>
      </c>
      <c r="B613" s="6" t="s">
        <v>3006</v>
      </c>
      <c r="C613" s="6" t="s">
        <v>3007</v>
      </c>
      <c r="D613" s="7" t="s">
        <v>7113</v>
      </c>
      <c r="E613" s="6" t="s">
        <v>1695</v>
      </c>
      <c r="F613" s="7" t="s">
        <v>1696</v>
      </c>
    </row>
    <row r="614">
      <c r="A614" s="6" t="s">
        <v>1738</v>
      </c>
      <c r="B614" s="6" t="s">
        <v>1739</v>
      </c>
      <c r="C614" s="6" t="s">
        <v>1596</v>
      </c>
      <c r="D614" s="7" t="s">
        <v>7114</v>
      </c>
      <c r="E614" s="6" t="s">
        <v>1695</v>
      </c>
      <c r="F614" s="7" t="s">
        <v>1696</v>
      </c>
    </row>
    <row r="615">
      <c r="A615" s="6" t="s">
        <v>4866</v>
      </c>
      <c r="B615" s="6" t="s">
        <v>4723</v>
      </c>
      <c r="C615" s="6" t="s">
        <v>1862</v>
      </c>
      <c r="D615" s="7" t="s">
        <v>7115</v>
      </c>
      <c r="E615" s="6" t="s">
        <v>1695</v>
      </c>
      <c r="F615" s="7" t="s">
        <v>1696</v>
      </c>
    </row>
    <row r="616">
      <c r="A616" s="6" t="s">
        <v>2151</v>
      </c>
      <c r="B616" s="6" t="s">
        <v>2152</v>
      </c>
      <c r="C616" s="6" t="s">
        <v>2153</v>
      </c>
      <c r="D616" s="7" t="s">
        <v>7116</v>
      </c>
      <c r="E616" s="6" t="s">
        <v>1695</v>
      </c>
      <c r="F616" s="7" t="s">
        <v>1696</v>
      </c>
    </row>
    <row r="617">
      <c r="A617" s="6" t="s">
        <v>2114</v>
      </c>
      <c r="B617" s="6" t="s">
        <v>1656</v>
      </c>
      <c r="C617" s="6" t="s">
        <v>1729</v>
      </c>
      <c r="D617" s="7" t="s">
        <v>7117</v>
      </c>
      <c r="E617" s="6" t="s">
        <v>1695</v>
      </c>
      <c r="F617" s="7" t="s">
        <v>1696</v>
      </c>
    </row>
    <row r="618">
      <c r="A618" s="6" t="s">
        <v>2412</v>
      </c>
      <c r="B618" s="6" t="s">
        <v>2413</v>
      </c>
      <c r="C618" s="6" t="s">
        <v>2414</v>
      </c>
      <c r="D618" s="7" t="s">
        <v>7118</v>
      </c>
      <c r="E618" s="6" t="s">
        <v>1695</v>
      </c>
      <c r="F618" s="7" t="s">
        <v>1696</v>
      </c>
    </row>
    <row r="619">
      <c r="A619" s="6" t="s">
        <v>5672</v>
      </c>
      <c r="B619" s="6" t="s">
        <v>58</v>
      </c>
      <c r="C619" s="6" t="s">
        <v>384</v>
      </c>
      <c r="D619" s="7" t="s">
        <v>7119</v>
      </c>
      <c r="E619" s="6" t="s">
        <v>1695</v>
      </c>
      <c r="F619" s="7" t="s">
        <v>1696</v>
      </c>
    </row>
    <row r="620">
      <c r="A620" s="6" t="s">
        <v>4520</v>
      </c>
      <c r="B620" s="6" t="s">
        <v>4521</v>
      </c>
      <c r="C620" s="6" t="s">
        <v>230</v>
      </c>
      <c r="D620" s="7" t="s">
        <v>7120</v>
      </c>
      <c r="E620" s="6" t="s">
        <v>1695</v>
      </c>
      <c r="F620" s="7" t="s">
        <v>1696</v>
      </c>
    </row>
    <row r="621">
      <c r="A621" s="6" t="s">
        <v>5786</v>
      </c>
      <c r="B621" s="6" t="s">
        <v>871</v>
      </c>
      <c r="C621" s="6" t="s">
        <v>1215</v>
      </c>
      <c r="D621" s="7" t="s">
        <v>7121</v>
      </c>
      <c r="E621" s="6" t="s">
        <v>1695</v>
      </c>
      <c r="F621" s="7" t="s">
        <v>1696</v>
      </c>
    </row>
    <row r="622">
      <c r="A622" s="6" t="s">
        <v>4155</v>
      </c>
      <c r="B622" s="6" t="s">
        <v>4156</v>
      </c>
      <c r="C622" s="6" t="s">
        <v>58</v>
      </c>
      <c r="D622" s="7" t="s">
        <v>7122</v>
      </c>
      <c r="E622" s="6" t="s">
        <v>1695</v>
      </c>
      <c r="F622" s="7" t="s">
        <v>1696</v>
      </c>
    </row>
    <row r="623">
      <c r="A623" s="6" t="s">
        <v>5772</v>
      </c>
      <c r="B623" s="6" t="s">
        <v>386</v>
      </c>
      <c r="C623" s="6" t="s">
        <v>1653</v>
      </c>
      <c r="D623" s="7" t="s">
        <v>7123</v>
      </c>
      <c r="E623" s="6" t="s">
        <v>1695</v>
      </c>
      <c r="F623" s="7" t="s">
        <v>1696</v>
      </c>
    </row>
    <row r="624">
      <c r="A624" s="6" t="s">
        <v>2925</v>
      </c>
      <c r="B624" s="6" t="s">
        <v>2926</v>
      </c>
      <c r="C624" s="6" t="s">
        <v>2927</v>
      </c>
      <c r="D624" s="7" t="s">
        <v>7124</v>
      </c>
      <c r="E624" s="6" t="s">
        <v>1695</v>
      </c>
      <c r="F624" s="7" t="s">
        <v>1696</v>
      </c>
    </row>
    <row r="625">
      <c r="A625" s="6" t="s">
        <v>6035</v>
      </c>
      <c r="B625" s="6" t="s">
        <v>412</v>
      </c>
      <c r="C625" s="6" t="s">
        <v>6036</v>
      </c>
      <c r="D625" s="7" t="s">
        <v>7125</v>
      </c>
      <c r="E625" s="6" t="s">
        <v>1695</v>
      </c>
      <c r="F625" s="7" t="s">
        <v>1696</v>
      </c>
    </row>
    <row r="626">
      <c r="A626" s="6" t="s">
        <v>3191</v>
      </c>
      <c r="B626" s="6" t="s">
        <v>795</v>
      </c>
      <c r="C626" s="6" t="s">
        <v>3192</v>
      </c>
      <c r="D626" s="7" t="s">
        <v>7126</v>
      </c>
      <c r="E626" s="6" t="s">
        <v>1695</v>
      </c>
      <c r="F626" s="7" t="s">
        <v>1696</v>
      </c>
    </row>
    <row r="627">
      <c r="A627" s="6" t="s">
        <v>4118</v>
      </c>
      <c r="B627" s="6" t="s">
        <v>4119</v>
      </c>
      <c r="C627" s="6" t="s">
        <v>1614</v>
      </c>
      <c r="D627" s="7" t="s">
        <v>7127</v>
      </c>
      <c r="E627" s="6" t="s">
        <v>1695</v>
      </c>
      <c r="F627" s="7" t="s">
        <v>1696</v>
      </c>
    </row>
    <row r="628">
      <c r="A628" s="6" t="s">
        <v>4922</v>
      </c>
      <c r="B628" s="6" t="s">
        <v>4923</v>
      </c>
      <c r="C628" s="6" t="s">
        <v>4924</v>
      </c>
      <c r="D628" s="7" t="s">
        <v>7128</v>
      </c>
      <c r="E628" s="6" t="s">
        <v>1695</v>
      </c>
      <c r="F628" s="7" t="s">
        <v>1696</v>
      </c>
    </row>
    <row r="629">
      <c r="A629" s="6" t="s">
        <v>2491</v>
      </c>
      <c r="B629" s="6" t="s">
        <v>2492</v>
      </c>
      <c r="C629" s="6" t="s">
        <v>2493</v>
      </c>
      <c r="D629" s="7" t="s">
        <v>7129</v>
      </c>
      <c r="E629" s="6" t="s">
        <v>1695</v>
      </c>
      <c r="F629" s="7" t="s">
        <v>1696</v>
      </c>
    </row>
    <row r="630">
      <c r="A630" s="6" t="s">
        <v>3961</v>
      </c>
      <c r="B630" s="6" t="s">
        <v>3962</v>
      </c>
      <c r="C630" s="6" t="s">
        <v>314</v>
      </c>
      <c r="D630" s="7" t="s">
        <v>7130</v>
      </c>
      <c r="E630" s="6" t="s">
        <v>1695</v>
      </c>
      <c r="F630" s="7" t="s">
        <v>1696</v>
      </c>
    </row>
    <row r="631">
      <c r="A631" s="6" t="s">
        <v>6348</v>
      </c>
      <c r="B631" s="6" t="s">
        <v>3540</v>
      </c>
      <c r="C631" s="6" t="s">
        <v>1368</v>
      </c>
      <c r="D631" s="7" t="s">
        <v>7131</v>
      </c>
      <c r="E631" s="6" t="s">
        <v>1695</v>
      </c>
      <c r="F631" s="7" t="s">
        <v>6318</v>
      </c>
    </row>
    <row r="632">
      <c r="A632" s="6" t="s">
        <v>5816</v>
      </c>
      <c r="B632" s="6" t="s">
        <v>479</v>
      </c>
      <c r="C632" s="6" t="s">
        <v>5817</v>
      </c>
      <c r="D632" s="7" t="s">
        <v>7132</v>
      </c>
      <c r="E632" s="6" t="s">
        <v>1695</v>
      </c>
      <c r="F632" s="7" t="s">
        <v>1696</v>
      </c>
    </row>
    <row r="633">
      <c r="A633" s="6" t="s">
        <v>3090</v>
      </c>
      <c r="B633" s="6" t="s">
        <v>3091</v>
      </c>
      <c r="C633" s="6" t="s">
        <v>1656</v>
      </c>
      <c r="D633" s="7" t="s">
        <v>7133</v>
      </c>
      <c r="E633" s="6" t="s">
        <v>1695</v>
      </c>
      <c r="F633" s="7" t="s">
        <v>1696</v>
      </c>
    </row>
    <row r="634">
      <c r="A634" s="6" t="s">
        <v>4849</v>
      </c>
      <c r="B634" s="6" t="s">
        <v>4850</v>
      </c>
      <c r="C634" s="6" t="s">
        <v>474</v>
      </c>
      <c r="D634" s="7" t="s">
        <v>7134</v>
      </c>
      <c r="E634" s="6" t="s">
        <v>1695</v>
      </c>
      <c r="F634" s="7" t="s">
        <v>1696</v>
      </c>
    </row>
    <row r="635">
      <c r="A635" s="6" t="s">
        <v>4832</v>
      </c>
      <c r="B635" s="6" t="s">
        <v>4833</v>
      </c>
      <c r="C635" s="6" t="s">
        <v>4834</v>
      </c>
      <c r="D635" s="7" t="s">
        <v>7135</v>
      </c>
      <c r="E635" s="6" t="s">
        <v>1695</v>
      </c>
      <c r="F635" s="7" t="s">
        <v>1696</v>
      </c>
    </row>
    <row r="636">
      <c r="A636" s="6" t="s">
        <v>4648</v>
      </c>
      <c r="B636" s="6" t="s">
        <v>4649</v>
      </c>
      <c r="C636" s="6" t="s">
        <v>4650</v>
      </c>
      <c r="D636" s="7" t="s">
        <v>7136</v>
      </c>
      <c r="E636" s="6" t="s">
        <v>1695</v>
      </c>
      <c r="F636" s="7" t="s">
        <v>1696</v>
      </c>
    </row>
    <row r="637">
      <c r="A637" s="6" t="s">
        <v>3708</v>
      </c>
      <c r="B637" s="6" t="s">
        <v>3709</v>
      </c>
      <c r="C637" s="6" t="s">
        <v>1614</v>
      </c>
      <c r="D637" s="7" t="s">
        <v>7137</v>
      </c>
      <c r="E637" s="6" t="s">
        <v>1695</v>
      </c>
      <c r="F637" s="7" t="s">
        <v>1696</v>
      </c>
    </row>
    <row r="638">
      <c r="A638" s="6" t="s">
        <v>4658</v>
      </c>
      <c r="B638" s="6" t="s">
        <v>479</v>
      </c>
      <c r="C638" s="6" t="s">
        <v>3785</v>
      </c>
      <c r="D638" s="7" t="s">
        <v>7138</v>
      </c>
      <c r="E638" s="6" t="s">
        <v>1695</v>
      </c>
      <c r="F638" s="7" t="s">
        <v>1696</v>
      </c>
    </row>
    <row r="639">
      <c r="A639" s="6" t="s">
        <v>4602</v>
      </c>
      <c r="B639" s="6" t="s">
        <v>409</v>
      </c>
      <c r="C639" s="6" t="s">
        <v>4603</v>
      </c>
      <c r="D639" s="7" t="s">
        <v>7139</v>
      </c>
      <c r="E639" s="6" t="s">
        <v>1695</v>
      </c>
      <c r="F639" s="7" t="s">
        <v>1696</v>
      </c>
    </row>
    <row r="640">
      <c r="A640" s="6" t="s">
        <v>3728</v>
      </c>
      <c r="B640" s="6" t="s">
        <v>309</v>
      </c>
      <c r="C640" s="6" t="s">
        <v>2122</v>
      </c>
      <c r="D640" s="7" t="s">
        <v>7140</v>
      </c>
      <c r="E640" s="6" t="s">
        <v>1695</v>
      </c>
      <c r="F640" s="7" t="s">
        <v>1696</v>
      </c>
    </row>
    <row r="641">
      <c r="A641" s="6" t="s">
        <v>2303</v>
      </c>
      <c r="B641" s="6" t="s">
        <v>328</v>
      </c>
      <c r="C641" s="6" t="s">
        <v>1000</v>
      </c>
      <c r="D641" s="7" t="s">
        <v>7141</v>
      </c>
      <c r="E641" s="6" t="s">
        <v>1695</v>
      </c>
      <c r="F641" s="7" t="s">
        <v>1696</v>
      </c>
    </row>
    <row r="642">
      <c r="A642" s="6" t="s">
        <v>4411</v>
      </c>
      <c r="B642" s="6" t="s">
        <v>3778</v>
      </c>
      <c r="C642" s="6" t="s">
        <v>1259</v>
      </c>
      <c r="D642" s="7" t="s">
        <v>7142</v>
      </c>
      <c r="E642" s="6" t="s">
        <v>1695</v>
      </c>
      <c r="F642" s="7" t="s">
        <v>1696</v>
      </c>
    </row>
    <row r="643">
      <c r="A643" s="6" t="s">
        <v>4689</v>
      </c>
      <c r="B643" s="6" t="s">
        <v>3059</v>
      </c>
      <c r="C643" s="6" t="s">
        <v>4690</v>
      </c>
      <c r="D643" s="7" t="s">
        <v>7143</v>
      </c>
      <c r="E643" s="6" t="s">
        <v>1695</v>
      </c>
      <c r="F643" s="7" t="s">
        <v>1696</v>
      </c>
    </row>
    <row r="644">
      <c r="A644" s="6" t="s">
        <v>5205</v>
      </c>
      <c r="B644" s="6" t="s">
        <v>3401</v>
      </c>
      <c r="C644" s="6" t="s">
        <v>613</v>
      </c>
      <c r="D644" s="7" t="s">
        <v>7144</v>
      </c>
      <c r="E644" s="6" t="s">
        <v>1695</v>
      </c>
      <c r="F644" s="7" t="s">
        <v>1696</v>
      </c>
    </row>
    <row r="645">
      <c r="A645" s="6" t="s">
        <v>5459</v>
      </c>
      <c r="B645" s="6" t="s">
        <v>58</v>
      </c>
      <c r="C645" s="6" t="s">
        <v>1792</v>
      </c>
      <c r="D645" s="7" t="s">
        <v>7145</v>
      </c>
      <c r="E645" s="6" t="s">
        <v>1695</v>
      </c>
      <c r="F645" s="7" t="s">
        <v>1696</v>
      </c>
    </row>
    <row r="646">
      <c r="A646" s="6" t="s">
        <v>2268</v>
      </c>
      <c r="B646" s="6" t="s">
        <v>267</v>
      </c>
      <c r="C646" s="6" t="s">
        <v>1898</v>
      </c>
      <c r="D646" s="6" t="s">
        <v>7146</v>
      </c>
      <c r="E646" s="6" t="s">
        <v>1695</v>
      </c>
      <c r="F646" s="7" t="s">
        <v>1696</v>
      </c>
    </row>
    <row r="647">
      <c r="A647" s="6" t="s">
        <v>4945</v>
      </c>
      <c r="B647" s="6" t="s">
        <v>2781</v>
      </c>
      <c r="C647" s="6" t="s">
        <v>2875</v>
      </c>
      <c r="D647" s="6" t="s">
        <v>7147</v>
      </c>
      <c r="E647" s="6" t="s">
        <v>1695</v>
      </c>
      <c r="F647" s="7" t="s">
        <v>1696</v>
      </c>
    </row>
    <row r="648">
      <c r="A648" s="6" t="s">
        <v>4037</v>
      </c>
      <c r="B648" s="6" t="s">
        <v>4038</v>
      </c>
      <c r="C648" s="6" t="s">
        <v>4039</v>
      </c>
      <c r="D648" s="6" t="s">
        <v>7148</v>
      </c>
      <c r="E648" s="6" t="s">
        <v>1695</v>
      </c>
      <c r="F648" s="7" t="s">
        <v>1696</v>
      </c>
    </row>
    <row r="649">
      <c r="A649" s="6" t="s">
        <v>4183</v>
      </c>
      <c r="B649" s="6" t="s">
        <v>4184</v>
      </c>
      <c r="C649" s="6" t="s">
        <v>189</v>
      </c>
      <c r="D649" s="6" t="s">
        <v>7149</v>
      </c>
      <c r="E649" s="6" t="s">
        <v>1695</v>
      </c>
      <c r="F649" s="7" t="s">
        <v>1696</v>
      </c>
    </row>
    <row r="650">
      <c r="A650" s="6" t="s">
        <v>4188</v>
      </c>
      <c r="B650" s="6" t="s">
        <v>4150</v>
      </c>
      <c r="C650" s="6" t="s">
        <v>4189</v>
      </c>
      <c r="D650" s="6" t="s">
        <v>7150</v>
      </c>
      <c r="E650" s="6" t="s">
        <v>1695</v>
      </c>
      <c r="F650" s="7" t="s">
        <v>1696</v>
      </c>
    </row>
    <row r="651">
      <c r="A651" s="6" t="s">
        <v>5988</v>
      </c>
      <c r="B651" s="6" t="s">
        <v>409</v>
      </c>
      <c r="C651" s="6" t="s">
        <v>518</v>
      </c>
      <c r="D651" s="6" t="s">
        <v>7151</v>
      </c>
      <c r="E651" s="6" t="s">
        <v>1695</v>
      </c>
      <c r="F651" s="7" t="s">
        <v>1696</v>
      </c>
    </row>
    <row r="652">
      <c r="A652" s="6" t="s">
        <v>3822</v>
      </c>
      <c r="B652" s="6" t="s">
        <v>3823</v>
      </c>
      <c r="C652" s="6" t="s">
        <v>1370</v>
      </c>
      <c r="D652" s="6" t="s">
        <v>7152</v>
      </c>
      <c r="E652" s="6" t="s">
        <v>1695</v>
      </c>
      <c r="F652" s="7" t="s">
        <v>1696</v>
      </c>
    </row>
    <row r="653">
      <c r="A653" s="6" t="s">
        <v>4760</v>
      </c>
      <c r="B653" s="6" t="s">
        <v>4761</v>
      </c>
      <c r="C653" s="6" t="s">
        <v>946</v>
      </c>
      <c r="D653" s="6" t="s">
        <v>7153</v>
      </c>
      <c r="E653" s="6" t="s">
        <v>1695</v>
      </c>
      <c r="F653" s="7" t="s">
        <v>1696</v>
      </c>
    </row>
    <row r="654">
      <c r="A654" s="6" t="s">
        <v>4366</v>
      </c>
      <c r="B654" s="6" t="s">
        <v>4351</v>
      </c>
      <c r="C654" s="6" t="s">
        <v>1905</v>
      </c>
      <c r="D654" s="6" t="s">
        <v>7154</v>
      </c>
      <c r="E654" s="6" t="s">
        <v>1695</v>
      </c>
      <c r="F654" s="7" t="s">
        <v>1696</v>
      </c>
    </row>
    <row r="655">
      <c r="A655" s="6" t="s">
        <v>5022</v>
      </c>
      <c r="B655" s="6" t="s">
        <v>120</v>
      </c>
      <c r="C655" s="6" t="s">
        <v>3478</v>
      </c>
      <c r="D655" s="6" t="s">
        <v>7155</v>
      </c>
      <c r="E655" s="6" t="s">
        <v>1695</v>
      </c>
      <c r="F655" s="7" t="s">
        <v>1696</v>
      </c>
    </row>
    <row r="656">
      <c r="A656" s="6" t="s">
        <v>6287</v>
      </c>
      <c r="B656" s="6" t="s">
        <v>120</v>
      </c>
      <c r="C656" s="6" t="s">
        <v>3478</v>
      </c>
      <c r="D656" s="6" t="s">
        <v>7155</v>
      </c>
      <c r="E656" s="6" t="s">
        <v>1695</v>
      </c>
      <c r="F656" s="7" t="s">
        <v>1696</v>
      </c>
    </row>
    <row r="657">
      <c r="A657" s="6" t="s">
        <v>4877</v>
      </c>
      <c r="B657" s="6" t="s">
        <v>1532</v>
      </c>
      <c r="C657" s="6" t="s">
        <v>4878</v>
      </c>
      <c r="D657" s="6" t="s">
        <v>7156</v>
      </c>
      <c r="E657" s="6" t="s">
        <v>1695</v>
      </c>
      <c r="F657" s="7" t="s">
        <v>1696</v>
      </c>
    </row>
    <row r="658">
      <c r="A658" s="6" t="s">
        <v>4159</v>
      </c>
      <c r="B658" s="6" t="s">
        <v>4160</v>
      </c>
      <c r="C658" s="6" t="s">
        <v>4161</v>
      </c>
      <c r="D658" s="6" t="s">
        <v>7157</v>
      </c>
      <c r="E658" s="6" t="s">
        <v>1695</v>
      </c>
      <c r="F658" s="7" t="s">
        <v>1696</v>
      </c>
    </row>
    <row r="659">
      <c r="A659" s="6" t="s">
        <v>5910</v>
      </c>
      <c r="B659" s="6" t="s">
        <v>3919</v>
      </c>
      <c r="C659" s="6" t="s">
        <v>3707</v>
      </c>
      <c r="D659" s="6" t="s">
        <v>7158</v>
      </c>
      <c r="E659" s="6" t="s">
        <v>1695</v>
      </c>
      <c r="F659" s="7" t="s">
        <v>1696</v>
      </c>
    </row>
    <row r="660">
      <c r="A660" s="6" t="s">
        <v>5938</v>
      </c>
      <c r="B660" s="6" t="s">
        <v>3919</v>
      </c>
      <c r="C660" s="6" t="s">
        <v>3707</v>
      </c>
      <c r="D660" s="6" t="s">
        <v>7158</v>
      </c>
      <c r="E660" s="6" t="s">
        <v>1695</v>
      </c>
      <c r="F660" s="7" t="s">
        <v>1696</v>
      </c>
    </row>
    <row r="661">
      <c r="A661" s="6" t="s">
        <v>5320</v>
      </c>
      <c r="B661" s="6" t="s">
        <v>5321</v>
      </c>
      <c r="C661" s="6" t="s">
        <v>5322</v>
      </c>
      <c r="D661" s="6" t="s">
        <v>7159</v>
      </c>
      <c r="E661" s="6" t="s">
        <v>1695</v>
      </c>
      <c r="F661" s="7" t="s">
        <v>1696</v>
      </c>
    </row>
    <row r="662">
      <c r="A662" s="6" t="s">
        <v>4940</v>
      </c>
      <c r="B662" s="6" t="s">
        <v>101</v>
      </c>
      <c r="C662" s="6" t="s">
        <v>4941</v>
      </c>
      <c r="D662" s="6" t="s">
        <v>7160</v>
      </c>
      <c r="E662" s="6" t="s">
        <v>1695</v>
      </c>
      <c r="F662" s="7" t="s">
        <v>1696</v>
      </c>
    </row>
    <row r="663">
      <c r="A663" s="6" t="s">
        <v>4551</v>
      </c>
      <c r="B663" s="6" t="s">
        <v>645</v>
      </c>
      <c r="C663" s="6" t="s">
        <v>1206</v>
      </c>
      <c r="D663" s="6" t="s">
        <v>7161</v>
      </c>
      <c r="E663" s="6" t="s">
        <v>1695</v>
      </c>
      <c r="F663" s="7" t="s">
        <v>1696</v>
      </c>
    </row>
    <row r="664">
      <c r="A664" s="6" t="s">
        <v>5359</v>
      </c>
      <c r="B664" s="6" t="s">
        <v>4821</v>
      </c>
      <c r="C664" s="6" t="s">
        <v>5360</v>
      </c>
      <c r="D664" s="6" t="s">
        <v>7162</v>
      </c>
      <c r="E664" s="6" t="s">
        <v>1695</v>
      </c>
      <c r="F664" s="7" t="s">
        <v>1696</v>
      </c>
    </row>
    <row r="665">
      <c r="A665" s="6" t="s">
        <v>5834</v>
      </c>
      <c r="B665" s="6" t="s">
        <v>1269</v>
      </c>
      <c r="C665" s="6" t="s">
        <v>5835</v>
      </c>
      <c r="D665" s="6" t="s">
        <v>7163</v>
      </c>
      <c r="E665" s="6" t="s">
        <v>1695</v>
      </c>
      <c r="F665" s="7" t="s">
        <v>1696</v>
      </c>
    </row>
    <row r="666">
      <c r="A666" s="6" t="s">
        <v>4644</v>
      </c>
      <c r="B666" s="6" t="s">
        <v>4645</v>
      </c>
      <c r="C666" s="6" t="s">
        <v>4396</v>
      </c>
      <c r="D666" s="6" t="s">
        <v>7164</v>
      </c>
      <c r="E666" s="6" t="s">
        <v>1695</v>
      </c>
      <c r="F666" s="7" t="s">
        <v>1696</v>
      </c>
    </row>
    <row r="667">
      <c r="A667" s="6" t="s">
        <v>5033</v>
      </c>
      <c r="B667" s="6" t="s">
        <v>5034</v>
      </c>
      <c r="C667" s="6" t="s">
        <v>5035</v>
      </c>
      <c r="D667" s="6" t="s">
        <v>7165</v>
      </c>
      <c r="E667" s="6" t="s">
        <v>1695</v>
      </c>
      <c r="F667" s="7" t="s">
        <v>1696</v>
      </c>
    </row>
    <row r="668">
      <c r="A668" s="6" t="s">
        <v>3186</v>
      </c>
      <c r="B668" s="6" t="s">
        <v>3187</v>
      </c>
      <c r="C668" s="6" t="s">
        <v>3188</v>
      </c>
      <c r="D668" s="6" t="s">
        <v>7166</v>
      </c>
      <c r="E668" s="6" t="s">
        <v>1695</v>
      </c>
      <c r="F668" s="7" t="s">
        <v>1696</v>
      </c>
    </row>
    <row r="669">
      <c r="A669" s="6" t="s">
        <v>5065</v>
      </c>
      <c r="B669" s="6" t="s">
        <v>5066</v>
      </c>
      <c r="C669" s="6" t="s">
        <v>596</v>
      </c>
      <c r="D669" s="6" t="s">
        <v>7167</v>
      </c>
      <c r="E669" s="6" t="s">
        <v>1695</v>
      </c>
      <c r="F669" s="7" t="s">
        <v>1696</v>
      </c>
    </row>
    <row r="670">
      <c r="A670" s="6" t="s">
        <v>3784</v>
      </c>
      <c r="B670" s="6" t="s">
        <v>3785</v>
      </c>
      <c r="C670" s="6" t="s">
        <v>3786</v>
      </c>
      <c r="D670" s="6" t="s">
        <v>7168</v>
      </c>
      <c r="E670" s="6" t="s">
        <v>1695</v>
      </c>
      <c r="F670" s="7" t="s">
        <v>1696</v>
      </c>
    </row>
    <row r="671">
      <c r="A671" s="6" t="s">
        <v>5949</v>
      </c>
      <c r="B671" s="6" t="s">
        <v>5522</v>
      </c>
      <c r="C671" s="6" t="s">
        <v>5950</v>
      </c>
      <c r="D671" s="6" t="s">
        <v>7169</v>
      </c>
      <c r="E671" s="6" t="s">
        <v>1695</v>
      </c>
      <c r="F671" s="7" t="s">
        <v>1696</v>
      </c>
    </row>
    <row r="672">
      <c r="A672" s="6" t="s">
        <v>5696</v>
      </c>
      <c r="B672" s="6" t="s">
        <v>5697</v>
      </c>
      <c r="C672" s="6" t="s">
        <v>701</v>
      </c>
      <c r="D672" s="6" t="s">
        <v>7170</v>
      </c>
      <c r="E672" s="6" t="s">
        <v>1695</v>
      </c>
      <c r="F672" s="7" t="s">
        <v>1696</v>
      </c>
    </row>
    <row r="673">
      <c r="A673" s="6" t="s">
        <v>5270</v>
      </c>
      <c r="B673" s="6" t="s">
        <v>96</v>
      </c>
      <c r="C673" s="6" t="s">
        <v>1152</v>
      </c>
      <c r="D673" s="6" t="s">
        <v>7171</v>
      </c>
      <c r="E673" s="6" t="s">
        <v>1695</v>
      </c>
      <c r="F673" s="7" t="s">
        <v>1696</v>
      </c>
    </row>
    <row r="674">
      <c r="A674" s="6" t="s">
        <v>5958</v>
      </c>
      <c r="B674" s="6" t="s">
        <v>414</v>
      </c>
      <c r="C674" s="6" t="s">
        <v>5959</v>
      </c>
      <c r="D674" s="6" t="s">
        <v>7172</v>
      </c>
      <c r="E674" s="6" t="s">
        <v>1695</v>
      </c>
      <c r="F674" s="7" t="s">
        <v>1696</v>
      </c>
    </row>
    <row r="675">
      <c r="A675" s="6" t="s">
        <v>2906</v>
      </c>
      <c r="B675" s="6" t="s">
        <v>2907</v>
      </c>
      <c r="C675" s="6" t="s">
        <v>2908</v>
      </c>
      <c r="D675" s="6" t="s">
        <v>7173</v>
      </c>
      <c r="E675" s="6" t="s">
        <v>1695</v>
      </c>
      <c r="F675" s="7" t="s">
        <v>1696</v>
      </c>
    </row>
    <row r="676">
      <c r="A676" s="6" t="s">
        <v>5458</v>
      </c>
      <c r="B676" s="6" t="s">
        <v>968</v>
      </c>
      <c r="C676" s="6" t="s">
        <v>3778</v>
      </c>
      <c r="D676" s="6" t="s">
        <v>7174</v>
      </c>
      <c r="E676" s="6" t="s">
        <v>1695</v>
      </c>
      <c r="F676" s="7" t="s">
        <v>1696</v>
      </c>
    </row>
    <row r="677">
      <c r="A677" s="6" t="s">
        <v>5894</v>
      </c>
      <c r="B677" s="6" t="s">
        <v>3686</v>
      </c>
      <c r="C677" s="6" t="s">
        <v>5895</v>
      </c>
      <c r="D677" s="6" t="s">
        <v>7175</v>
      </c>
      <c r="E677" s="6" t="s">
        <v>1695</v>
      </c>
      <c r="F677" s="7" t="s">
        <v>1696</v>
      </c>
    </row>
    <row r="678">
      <c r="A678" s="6" t="s">
        <v>5778</v>
      </c>
      <c r="B678" s="6" t="s">
        <v>1156</v>
      </c>
      <c r="C678" s="6" t="s">
        <v>877</v>
      </c>
      <c r="D678" s="6" t="s">
        <v>7176</v>
      </c>
      <c r="E678" s="6" t="s">
        <v>1695</v>
      </c>
      <c r="F678" s="7" t="s">
        <v>1696</v>
      </c>
    </row>
    <row r="679">
      <c r="A679" s="7" t="s">
        <v>4736</v>
      </c>
      <c r="B679" s="7" t="s">
        <v>4317</v>
      </c>
      <c r="C679" s="7" t="s">
        <v>170</v>
      </c>
      <c r="D679" s="7" t="s">
        <v>7177</v>
      </c>
      <c r="E679" s="7" t="s">
        <v>1695</v>
      </c>
      <c r="F679" s="7" t="s">
        <v>1696</v>
      </c>
    </row>
    <row r="680">
      <c r="A680" s="7" t="s">
        <v>2325</v>
      </c>
      <c r="B680" s="7" t="s">
        <v>2326</v>
      </c>
      <c r="C680" s="7" t="s">
        <v>2327</v>
      </c>
      <c r="D680" s="7" t="s">
        <v>7178</v>
      </c>
      <c r="E680" s="7" t="s">
        <v>1695</v>
      </c>
      <c r="F680" s="7" t="s">
        <v>1696</v>
      </c>
    </row>
    <row r="681">
      <c r="A681" s="7" t="s">
        <v>2216</v>
      </c>
      <c r="B681" s="7" t="s">
        <v>2217</v>
      </c>
      <c r="C681" s="7" t="s">
        <v>2218</v>
      </c>
      <c r="D681" s="7" t="s">
        <v>7179</v>
      </c>
      <c r="E681" s="7" t="s">
        <v>1695</v>
      </c>
      <c r="F681" s="7" t="s">
        <v>1696</v>
      </c>
    </row>
    <row r="682">
      <c r="A682" s="7" t="s">
        <v>4146</v>
      </c>
      <c r="B682" s="7" t="s">
        <v>4147</v>
      </c>
      <c r="C682" s="7" t="s">
        <v>425</v>
      </c>
      <c r="D682" s="7" t="s">
        <v>7180</v>
      </c>
      <c r="E682" s="7" t="s">
        <v>1695</v>
      </c>
      <c r="F682" s="7" t="s">
        <v>1696</v>
      </c>
    </row>
    <row r="683">
      <c r="A683" s="7" t="s">
        <v>6131</v>
      </c>
      <c r="B683" s="7" t="s">
        <v>874</v>
      </c>
      <c r="C683" s="7" t="s">
        <v>1814</v>
      </c>
      <c r="D683" s="7" t="s">
        <v>7181</v>
      </c>
      <c r="E683" s="7" t="s">
        <v>1695</v>
      </c>
      <c r="F683" s="7" t="s">
        <v>1696</v>
      </c>
    </row>
    <row r="684">
      <c r="A684" s="7" t="s">
        <v>5992</v>
      </c>
      <c r="B684" s="7" t="s">
        <v>1924</v>
      </c>
      <c r="C684" s="7" t="s">
        <v>1414</v>
      </c>
      <c r="D684" s="7" t="s">
        <v>7182</v>
      </c>
      <c r="E684" s="7" t="s">
        <v>1695</v>
      </c>
      <c r="F684" s="7" t="s">
        <v>1696</v>
      </c>
    </row>
    <row r="685">
      <c r="A685" s="7" t="s">
        <v>6127</v>
      </c>
      <c r="B685" s="7" t="s">
        <v>6128</v>
      </c>
      <c r="C685" s="7" t="s">
        <v>468</v>
      </c>
      <c r="D685" s="7" t="s">
        <v>7183</v>
      </c>
      <c r="E685" s="7" t="s">
        <v>1695</v>
      </c>
      <c r="F685" s="7" t="s">
        <v>1696</v>
      </c>
    </row>
    <row r="686">
      <c r="A686" s="7" t="s">
        <v>5351</v>
      </c>
      <c r="B686" s="7" t="s">
        <v>5352</v>
      </c>
      <c r="C686" s="7" t="s">
        <v>5353</v>
      </c>
      <c r="D686" s="7" t="s">
        <v>7184</v>
      </c>
      <c r="E686" s="7" t="s">
        <v>1695</v>
      </c>
      <c r="F686" s="7" t="s">
        <v>1696</v>
      </c>
    </row>
    <row r="687">
      <c r="A687" s="7" t="s">
        <v>1958</v>
      </c>
      <c r="B687" s="7" t="s">
        <v>1959</v>
      </c>
      <c r="C687" s="7" t="s">
        <v>1960</v>
      </c>
      <c r="D687" s="7" t="s">
        <v>7185</v>
      </c>
      <c r="E687" s="7" t="s">
        <v>1695</v>
      </c>
      <c r="F687" s="7" t="s">
        <v>1696</v>
      </c>
    </row>
    <row r="688">
      <c r="A688" s="7" t="s">
        <v>4386</v>
      </c>
      <c r="B688" s="7" t="s">
        <v>666</v>
      </c>
      <c r="C688" s="7" t="s">
        <v>2695</v>
      </c>
      <c r="D688" s="7" t="s">
        <v>7186</v>
      </c>
      <c r="E688" s="7" t="s">
        <v>1695</v>
      </c>
      <c r="F688" s="7" t="s">
        <v>1696</v>
      </c>
    </row>
    <row r="689">
      <c r="A689" s="7" t="s">
        <v>3658</v>
      </c>
      <c r="B689" s="7" t="s">
        <v>3659</v>
      </c>
      <c r="C689" s="7" t="s">
        <v>3660</v>
      </c>
      <c r="D689" s="7" t="s">
        <v>7187</v>
      </c>
      <c r="E689" s="7" t="s">
        <v>1695</v>
      </c>
      <c r="F689" s="7" t="s">
        <v>1696</v>
      </c>
    </row>
    <row r="690">
      <c r="A690" s="7" t="s">
        <v>3282</v>
      </c>
      <c r="B690" s="7" t="s">
        <v>3283</v>
      </c>
      <c r="C690" s="7" t="s">
        <v>2879</v>
      </c>
      <c r="D690" s="7" t="s">
        <v>7188</v>
      </c>
      <c r="E690" s="7" t="s">
        <v>1695</v>
      </c>
      <c r="F690" s="7" t="s">
        <v>1696</v>
      </c>
    </row>
    <row r="691">
      <c r="A691" s="7" t="s">
        <v>3945</v>
      </c>
      <c r="B691" s="7" t="s">
        <v>151</v>
      </c>
      <c r="C691" s="7" t="s">
        <v>897</v>
      </c>
      <c r="D691" s="7" t="s">
        <v>7189</v>
      </c>
      <c r="E691" s="7" t="s">
        <v>1695</v>
      </c>
      <c r="F691" s="7" t="s">
        <v>1696</v>
      </c>
    </row>
    <row r="692">
      <c r="A692" s="7" t="s">
        <v>1719</v>
      </c>
      <c r="B692" s="7" t="s">
        <v>1720</v>
      </c>
      <c r="C692" s="7" t="s">
        <v>1721</v>
      </c>
      <c r="D692" s="7" t="s">
        <v>7190</v>
      </c>
      <c r="E692" s="7" t="s">
        <v>1695</v>
      </c>
      <c r="F692" s="7" t="s">
        <v>1696</v>
      </c>
    </row>
    <row r="693">
      <c r="A693" s="7" t="s">
        <v>1811</v>
      </c>
      <c r="B693" s="7" t="s">
        <v>913</v>
      </c>
      <c r="C693" s="7" t="s">
        <v>35</v>
      </c>
      <c r="D693" s="7" t="s">
        <v>7191</v>
      </c>
      <c r="E693" s="7" t="s">
        <v>1695</v>
      </c>
      <c r="F693" s="7" t="s">
        <v>1696</v>
      </c>
    </row>
    <row r="694">
      <c r="A694" s="7" t="s">
        <v>5465</v>
      </c>
      <c r="B694" s="7" t="s">
        <v>4113</v>
      </c>
      <c r="C694" s="7" t="s">
        <v>5466</v>
      </c>
      <c r="D694" s="7" t="s">
        <v>7192</v>
      </c>
      <c r="E694" s="7" t="s">
        <v>1695</v>
      </c>
      <c r="F694" s="7" t="s">
        <v>1696</v>
      </c>
    </row>
    <row r="695">
      <c r="A695" s="7" t="s">
        <v>5133</v>
      </c>
      <c r="B695" s="7" t="s">
        <v>5134</v>
      </c>
      <c r="C695" s="7" t="s">
        <v>5135</v>
      </c>
      <c r="D695" s="7" t="s">
        <v>7193</v>
      </c>
      <c r="E695" s="7" t="s">
        <v>1695</v>
      </c>
      <c r="F695" s="7" t="s">
        <v>1696</v>
      </c>
    </row>
    <row r="696">
      <c r="A696" s="7" t="s">
        <v>5136</v>
      </c>
      <c r="B696" s="7" t="s">
        <v>5137</v>
      </c>
      <c r="C696" s="7" t="s">
        <v>5138</v>
      </c>
      <c r="D696" s="7" t="s">
        <v>7193</v>
      </c>
      <c r="E696" s="7" t="s">
        <v>1695</v>
      </c>
      <c r="F696" s="7" t="s">
        <v>1696</v>
      </c>
    </row>
    <row r="697">
      <c r="A697" s="7" t="s">
        <v>2024</v>
      </c>
      <c r="B697" s="7" t="s">
        <v>72</v>
      </c>
      <c r="C697" s="7" t="s">
        <v>328</v>
      </c>
      <c r="D697" s="7" t="s">
        <v>7194</v>
      </c>
      <c r="E697" s="7" t="s">
        <v>1695</v>
      </c>
      <c r="F697" s="7" t="s">
        <v>1696</v>
      </c>
    </row>
    <row r="698">
      <c r="A698" s="7" t="s">
        <v>2199</v>
      </c>
      <c r="B698" s="7" t="s">
        <v>755</v>
      </c>
      <c r="C698" s="7" t="s">
        <v>2200</v>
      </c>
      <c r="D698" s="7" t="s">
        <v>7195</v>
      </c>
      <c r="E698" s="7" t="s">
        <v>1695</v>
      </c>
      <c r="F698" s="7" t="s">
        <v>1696</v>
      </c>
    </row>
    <row r="699">
      <c r="A699" s="7" t="s">
        <v>3077</v>
      </c>
      <c r="B699" s="7" t="s">
        <v>3078</v>
      </c>
      <c r="C699" s="7" t="s">
        <v>771</v>
      </c>
      <c r="D699" s="7" t="s">
        <v>7196</v>
      </c>
      <c r="E699" s="7" t="s">
        <v>1695</v>
      </c>
      <c r="F699" s="7" t="s">
        <v>1696</v>
      </c>
    </row>
    <row r="700">
      <c r="A700" s="7" t="s">
        <v>2013</v>
      </c>
      <c r="B700" s="7" t="s">
        <v>188</v>
      </c>
      <c r="C700" s="7" t="s">
        <v>2014</v>
      </c>
      <c r="D700" s="7" t="s">
        <v>7197</v>
      </c>
      <c r="E700" s="7" t="s">
        <v>1695</v>
      </c>
      <c r="F700" s="7" t="s">
        <v>1696</v>
      </c>
    </row>
    <row r="701">
      <c r="A701" s="7" t="s">
        <v>3479</v>
      </c>
      <c r="B701" s="7" t="s">
        <v>649</v>
      </c>
      <c r="C701" s="7" t="s">
        <v>1269</v>
      </c>
      <c r="D701" s="7" t="s">
        <v>7198</v>
      </c>
      <c r="E701" s="7" t="s">
        <v>1695</v>
      </c>
      <c r="F701" s="7" t="s">
        <v>1696</v>
      </c>
    </row>
    <row r="702">
      <c r="A702" s="7" t="s">
        <v>5916</v>
      </c>
      <c r="B702" s="7" t="s">
        <v>5095</v>
      </c>
      <c r="C702" s="7" t="s">
        <v>1368</v>
      </c>
      <c r="D702" s="7" t="s">
        <v>7199</v>
      </c>
      <c r="E702" s="7" t="s">
        <v>1695</v>
      </c>
      <c r="F702" s="7" t="s">
        <v>1696</v>
      </c>
    </row>
    <row r="703">
      <c r="A703" s="7" t="s">
        <v>5179</v>
      </c>
      <c r="B703" s="7" t="s">
        <v>3150</v>
      </c>
      <c r="C703" s="7" t="s">
        <v>572</v>
      </c>
      <c r="D703" s="7" t="s">
        <v>7200</v>
      </c>
      <c r="E703" s="7" t="s">
        <v>1695</v>
      </c>
      <c r="F703" s="7" t="s">
        <v>1696</v>
      </c>
    </row>
    <row r="704">
      <c r="A704" s="7" t="s">
        <v>3937</v>
      </c>
      <c r="B704" s="7" t="s">
        <v>2817</v>
      </c>
      <c r="C704" s="7" t="s">
        <v>3938</v>
      </c>
      <c r="D704" s="7" t="s">
        <v>7201</v>
      </c>
      <c r="E704" s="7" t="s">
        <v>1695</v>
      </c>
      <c r="F704" s="7" t="s">
        <v>1696</v>
      </c>
    </row>
    <row r="705">
      <c r="A705" s="7" t="s">
        <v>3069</v>
      </c>
      <c r="B705" s="7" t="s">
        <v>1284</v>
      </c>
      <c r="C705" s="7" t="s">
        <v>1614</v>
      </c>
      <c r="D705" s="7" t="s">
        <v>7202</v>
      </c>
      <c r="E705" s="7" t="s">
        <v>1695</v>
      </c>
      <c r="F705" s="7" t="s">
        <v>1696</v>
      </c>
    </row>
    <row r="706">
      <c r="A706" s="7" t="s">
        <v>1907</v>
      </c>
      <c r="B706" s="7" t="s">
        <v>1908</v>
      </c>
      <c r="C706" s="7" t="s">
        <v>1909</v>
      </c>
      <c r="D706" s="7" t="s">
        <v>7203</v>
      </c>
      <c r="E706" s="7" t="s">
        <v>1695</v>
      </c>
      <c r="F706" s="7" t="s">
        <v>1696</v>
      </c>
    </row>
    <row r="707">
      <c r="A707" s="7" t="s">
        <v>3171</v>
      </c>
      <c r="B707" s="7" t="s">
        <v>3172</v>
      </c>
      <c r="C707" s="7" t="s">
        <v>3173</v>
      </c>
      <c r="D707" s="7" t="s">
        <v>7204</v>
      </c>
      <c r="E707" s="7" t="s">
        <v>1695</v>
      </c>
      <c r="F707" s="7" t="s">
        <v>1696</v>
      </c>
    </row>
    <row r="708">
      <c r="A708" s="7" t="s">
        <v>3281</v>
      </c>
      <c r="B708" s="7" t="s">
        <v>3172</v>
      </c>
      <c r="C708" s="7" t="s">
        <v>3173</v>
      </c>
      <c r="D708" s="7" t="s">
        <v>7204</v>
      </c>
      <c r="E708" s="7" t="s">
        <v>1695</v>
      </c>
      <c r="F708" s="7" t="s">
        <v>1696</v>
      </c>
    </row>
    <row r="709">
      <c r="A709" s="7" t="s">
        <v>3134</v>
      </c>
      <c r="B709" s="7" t="s">
        <v>3007</v>
      </c>
      <c r="C709" s="7" t="s">
        <v>3135</v>
      </c>
      <c r="D709" s="7" t="s">
        <v>7205</v>
      </c>
      <c r="E709" s="7" t="s">
        <v>1695</v>
      </c>
      <c r="F709" s="7" t="s">
        <v>1696</v>
      </c>
    </row>
    <row r="710">
      <c r="A710" s="7" t="s">
        <v>3011</v>
      </c>
      <c r="B710" s="7" t="s">
        <v>3012</v>
      </c>
      <c r="C710" s="7" t="s">
        <v>3013</v>
      </c>
      <c r="D710" s="7" t="s">
        <v>7206</v>
      </c>
      <c r="E710" s="7" t="s">
        <v>1695</v>
      </c>
      <c r="F710" s="7" t="s">
        <v>1696</v>
      </c>
    </row>
    <row r="711">
      <c r="A711" s="7" t="s">
        <v>3045</v>
      </c>
      <c r="B711" s="7" t="s">
        <v>1112</v>
      </c>
      <c r="C711" s="7" t="s">
        <v>1071</v>
      </c>
      <c r="D711" s="7" t="s">
        <v>7207</v>
      </c>
      <c r="E711" s="7" t="s">
        <v>1695</v>
      </c>
      <c r="F711" s="7" t="s">
        <v>1696</v>
      </c>
    </row>
    <row r="712">
      <c r="A712" s="7" t="s">
        <v>6387</v>
      </c>
      <c r="B712" s="7" t="s">
        <v>1502</v>
      </c>
      <c r="C712" s="7" t="s">
        <v>6384</v>
      </c>
      <c r="D712" s="7" t="s">
        <v>7208</v>
      </c>
      <c r="E712" s="7" t="s">
        <v>1695</v>
      </c>
      <c r="F712" s="7" t="s">
        <v>6318</v>
      </c>
    </row>
    <row r="713">
      <c r="A713" s="7" t="s">
        <v>2523</v>
      </c>
      <c r="B713" s="7" t="s">
        <v>1034</v>
      </c>
      <c r="C713" s="7" t="s">
        <v>1321</v>
      </c>
      <c r="D713" s="7" t="s">
        <v>7209</v>
      </c>
      <c r="E713" s="7" t="s">
        <v>1695</v>
      </c>
      <c r="F713" s="7" t="s">
        <v>1696</v>
      </c>
    </row>
    <row r="714">
      <c r="A714" s="7" t="s">
        <v>2370</v>
      </c>
      <c r="B714" s="7" t="s">
        <v>2174</v>
      </c>
      <c r="C714" s="7" t="s">
        <v>2371</v>
      </c>
      <c r="D714" s="7" t="s">
        <v>7210</v>
      </c>
      <c r="E714" s="7" t="s">
        <v>1695</v>
      </c>
      <c r="F714" s="7" t="s">
        <v>1696</v>
      </c>
    </row>
    <row r="715">
      <c r="A715" s="7" t="s">
        <v>5003</v>
      </c>
      <c r="B715" s="7" t="s">
        <v>178</v>
      </c>
      <c r="C715" s="7" t="s">
        <v>55</v>
      </c>
      <c r="D715" s="7" t="s">
        <v>7211</v>
      </c>
      <c r="E715" s="7" t="s">
        <v>1695</v>
      </c>
      <c r="F715" s="7" t="s">
        <v>1696</v>
      </c>
    </row>
    <row r="716">
      <c r="A716" s="7" t="s">
        <v>6044</v>
      </c>
      <c r="B716" s="7" t="s">
        <v>6045</v>
      </c>
      <c r="C716" s="7" t="s">
        <v>1000</v>
      </c>
      <c r="D716" s="7" t="s">
        <v>7212</v>
      </c>
      <c r="E716" s="7" t="s">
        <v>1695</v>
      </c>
      <c r="F716" s="7" t="s">
        <v>1696</v>
      </c>
    </row>
    <row r="717">
      <c r="A717" s="7" t="s">
        <v>6059</v>
      </c>
      <c r="B717" s="7" t="s">
        <v>1955</v>
      </c>
      <c r="C717" s="7" t="s">
        <v>490</v>
      </c>
      <c r="D717" s="7" t="s">
        <v>7213</v>
      </c>
      <c r="E717" s="7" t="s">
        <v>1695</v>
      </c>
      <c r="F717" s="7" t="s">
        <v>1696</v>
      </c>
    </row>
    <row r="718">
      <c r="A718" s="7" t="s">
        <v>2421</v>
      </c>
      <c r="B718" s="7" t="s">
        <v>27</v>
      </c>
      <c r="C718" s="7" t="s">
        <v>1536</v>
      </c>
      <c r="D718" s="7" t="s">
        <v>7214</v>
      </c>
      <c r="E718" s="7" t="s">
        <v>1695</v>
      </c>
      <c r="F718" s="7" t="s">
        <v>1696</v>
      </c>
    </row>
    <row r="719">
      <c r="A719" s="7" t="s">
        <v>2422</v>
      </c>
      <c r="B719" s="7" t="s">
        <v>27</v>
      </c>
      <c r="C719" s="7" t="s">
        <v>1536</v>
      </c>
      <c r="D719" s="7" t="s">
        <v>7214</v>
      </c>
      <c r="E719" s="7" t="s">
        <v>1695</v>
      </c>
      <c r="F719" s="7" t="s">
        <v>1696</v>
      </c>
    </row>
    <row r="720">
      <c r="A720" s="7" t="s">
        <v>2019</v>
      </c>
      <c r="B720" s="7" t="s">
        <v>2020</v>
      </c>
      <c r="C720" s="7" t="s">
        <v>2021</v>
      </c>
      <c r="D720" s="7" t="s">
        <v>7215</v>
      </c>
      <c r="E720" s="7" t="s">
        <v>1695</v>
      </c>
      <c r="F720" s="7" t="s">
        <v>1696</v>
      </c>
    </row>
    <row r="721">
      <c r="A721" s="7" t="s">
        <v>4516</v>
      </c>
      <c r="B721" s="7" t="s">
        <v>2654</v>
      </c>
      <c r="C721" s="7" t="s">
        <v>1130</v>
      </c>
      <c r="D721" s="7" t="s">
        <v>7216</v>
      </c>
      <c r="E721" s="7" t="s">
        <v>1695</v>
      </c>
      <c r="F721" s="7" t="s">
        <v>1696</v>
      </c>
    </row>
    <row r="722">
      <c r="A722" s="7" t="s">
        <v>4574</v>
      </c>
      <c r="B722" s="7" t="s">
        <v>4575</v>
      </c>
      <c r="C722" s="7" t="s">
        <v>4576</v>
      </c>
      <c r="D722" s="7" t="s">
        <v>7217</v>
      </c>
      <c r="E722" s="7" t="s">
        <v>1695</v>
      </c>
      <c r="F722" s="7" t="s">
        <v>1696</v>
      </c>
    </row>
    <row r="723">
      <c r="A723" s="7" t="s">
        <v>5980</v>
      </c>
      <c r="B723" s="7" t="s">
        <v>291</v>
      </c>
      <c r="C723" s="7" t="s">
        <v>5981</v>
      </c>
      <c r="D723" s="7" t="s">
        <v>7218</v>
      </c>
      <c r="E723" s="7" t="s">
        <v>1695</v>
      </c>
      <c r="F723" s="7" t="s">
        <v>1696</v>
      </c>
    </row>
    <row r="724">
      <c r="A724" s="7" t="s">
        <v>5190</v>
      </c>
      <c r="B724" s="7" t="s">
        <v>645</v>
      </c>
      <c r="C724" s="7" t="s">
        <v>5191</v>
      </c>
      <c r="D724" s="7" t="s">
        <v>7219</v>
      </c>
      <c r="E724" s="7" t="s">
        <v>1695</v>
      </c>
      <c r="F724" s="7" t="s">
        <v>1696</v>
      </c>
    </row>
    <row r="725">
      <c r="A725" s="7" t="s">
        <v>4057</v>
      </c>
      <c r="B725" s="7" t="s">
        <v>4058</v>
      </c>
      <c r="C725" s="7" t="s">
        <v>3922</v>
      </c>
      <c r="D725" s="7" t="s">
        <v>7220</v>
      </c>
      <c r="E725" s="7" t="s">
        <v>1695</v>
      </c>
      <c r="F725" s="7" t="s">
        <v>1696</v>
      </c>
    </row>
    <row r="726">
      <c r="A726" s="7" t="s">
        <v>5494</v>
      </c>
      <c r="B726" s="7" t="s">
        <v>922</v>
      </c>
      <c r="C726" s="7" t="s">
        <v>918</v>
      </c>
      <c r="D726" s="7" t="s">
        <v>7221</v>
      </c>
      <c r="E726" s="7" t="s">
        <v>1695</v>
      </c>
      <c r="F726" s="7" t="s">
        <v>1696</v>
      </c>
    </row>
    <row r="727">
      <c r="A727" s="7" t="s">
        <v>2780</v>
      </c>
      <c r="B727" s="7" t="s">
        <v>2781</v>
      </c>
      <c r="C727" s="7" t="s">
        <v>2782</v>
      </c>
      <c r="D727" s="7" t="s">
        <v>7222</v>
      </c>
      <c r="E727" s="7" t="s">
        <v>1695</v>
      </c>
      <c r="F727" s="7" t="s">
        <v>1696</v>
      </c>
    </row>
    <row r="728">
      <c r="A728" s="7" t="s">
        <v>3271</v>
      </c>
      <c r="B728" s="7" t="s">
        <v>1169</v>
      </c>
      <c r="C728" s="7" t="s">
        <v>3272</v>
      </c>
      <c r="D728" s="7" t="s">
        <v>7223</v>
      </c>
      <c r="E728" s="7" t="s">
        <v>1695</v>
      </c>
      <c r="F728" s="7" t="s">
        <v>1696</v>
      </c>
    </row>
    <row r="729">
      <c r="A729" s="7" t="s">
        <v>5336</v>
      </c>
      <c r="B729" s="7" t="s">
        <v>120</v>
      </c>
      <c r="C729" s="7" t="s">
        <v>5337</v>
      </c>
      <c r="D729" s="7" t="s">
        <v>7224</v>
      </c>
      <c r="E729" s="7" t="s">
        <v>1695</v>
      </c>
      <c r="F729" s="7" t="s">
        <v>1696</v>
      </c>
    </row>
    <row r="730">
      <c r="A730" s="7" t="s">
        <v>1965</v>
      </c>
      <c r="B730" s="7" t="s">
        <v>1112</v>
      </c>
      <c r="C730" s="7" t="s">
        <v>1966</v>
      </c>
      <c r="D730" s="7" t="s">
        <v>7225</v>
      </c>
      <c r="E730" s="7" t="s">
        <v>1695</v>
      </c>
      <c r="F730" s="7" t="s">
        <v>1696</v>
      </c>
    </row>
    <row r="731">
      <c r="A731" s="7" t="s">
        <v>3025</v>
      </c>
      <c r="B731" s="7" t="s">
        <v>267</v>
      </c>
      <c r="C731" s="7" t="s">
        <v>468</v>
      </c>
      <c r="D731" s="7" t="s">
        <v>7226</v>
      </c>
      <c r="E731" s="7" t="s">
        <v>1695</v>
      </c>
      <c r="F731" s="7" t="s">
        <v>1696</v>
      </c>
    </row>
    <row r="732">
      <c r="A732" s="7" t="s">
        <v>5434</v>
      </c>
      <c r="B732" s="7" t="s">
        <v>468</v>
      </c>
      <c r="C732" s="7" t="s">
        <v>370</v>
      </c>
      <c r="D732" s="7" t="s">
        <v>7227</v>
      </c>
      <c r="E732" s="7" t="s">
        <v>1695</v>
      </c>
      <c r="F732" s="7" t="s">
        <v>1696</v>
      </c>
    </row>
    <row r="733">
      <c r="A733" s="7" t="s">
        <v>5227</v>
      </c>
      <c r="B733" s="7" t="s">
        <v>386</v>
      </c>
      <c r="C733" s="7" t="s">
        <v>2177</v>
      </c>
      <c r="D733" s="7" t="s">
        <v>7228</v>
      </c>
      <c r="E733" s="7" t="s">
        <v>1695</v>
      </c>
      <c r="F733" s="7" t="s">
        <v>1696</v>
      </c>
    </row>
    <row r="734">
      <c r="A734" s="7" t="s">
        <v>5234</v>
      </c>
      <c r="B734" s="7" t="s">
        <v>5235</v>
      </c>
      <c r="C734" s="7" t="s">
        <v>649</v>
      </c>
      <c r="D734" s="7" t="s">
        <v>7228</v>
      </c>
      <c r="E734" s="7" t="s">
        <v>1695</v>
      </c>
      <c r="F734" s="7" t="s">
        <v>1696</v>
      </c>
    </row>
    <row r="735">
      <c r="A735" s="7" t="s">
        <v>3688</v>
      </c>
      <c r="B735" s="7" t="s">
        <v>319</v>
      </c>
      <c r="C735" s="7" t="s">
        <v>2410</v>
      </c>
      <c r="D735" s="7" t="s">
        <v>7229</v>
      </c>
      <c r="E735" s="7" t="s">
        <v>1695</v>
      </c>
      <c r="F735" s="7" t="s">
        <v>1696</v>
      </c>
    </row>
    <row r="736">
      <c r="A736" s="7" t="s">
        <v>2853</v>
      </c>
      <c r="B736" s="7" t="s">
        <v>817</v>
      </c>
      <c r="C736" s="7" t="s">
        <v>1271</v>
      </c>
      <c r="D736" s="7" t="s">
        <v>7230</v>
      </c>
      <c r="E736" s="7" t="s">
        <v>1695</v>
      </c>
      <c r="F736" s="7" t="s">
        <v>1696</v>
      </c>
    </row>
    <row r="737">
      <c r="A737" s="7" t="s">
        <v>3054</v>
      </c>
      <c r="B737" s="7" t="s">
        <v>968</v>
      </c>
      <c r="C737" s="7" t="s">
        <v>3055</v>
      </c>
      <c r="D737" s="7" t="s">
        <v>7231</v>
      </c>
      <c r="E737" s="7" t="s">
        <v>1695</v>
      </c>
      <c r="F737" s="7" t="s">
        <v>1696</v>
      </c>
    </row>
    <row r="738">
      <c r="A738" s="7" t="s">
        <v>4600</v>
      </c>
      <c r="B738" s="7" t="s">
        <v>4601</v>
      </c>
      <c r="C738" s="7" t="s">
        <v>970</v>
      </c>
      <c r="D738" s="7" t="s">
        <v>7232</v>
      </c>
      <c r="E738" s="7" t="s">
        <v>1695</v>
      </c>
      <c r="F738" s="7" t="s">
        <v>1696</v>
      </c>
    </row>
    <row r="739">
      <c r="A739" s="7" t="s">
        <v>4395</v>
      </c>
      <c r="B739" s="7" t="s">
        <v>504</v>
      </c>
      <c r="C739" s="7" t="s">
        <v>4396</v>
      </c>
      <c r="D739" s="7" t="s">
        <v>7233</v>
      </c>
      <c r="E739" s="7" t="s">
        <v>1695</v>
      </c>
      <c r="F739" s="7" t="s">
        <v>1696</v>
      </c>
    </row>
    <row r="740">
      <c r="A740" s="7" t="s">
        <v>4367</v>
      </c>
      <c r="B740" s="7" t="s">
        <v>425</v>
      </c>
      <c r="C740" s="7" t="s">
        <v>4368</v>
      </c>
      <c r="D740" s="7" t="s">
        <v>7234</v>
      </c>
      <c r="E740" s="7" t="s">
        <v>1695</v>
      </c>
      <c r="F740" s="7" t="s">
        <v>1696</v>
      </c>
    </row>
    <row r="741">
      <c r="A741" s="7" t="s">
        <v>4292</v>
      </c>
      <c r="B741" s="7" t="s">
        <v>1363</v>
      </c>
      <c r="C741" s="7" t="s">
        <v>970</v>
      </c>
      <c r="D741" s="7" t="s">
        <v>7235</v>
      </c>
      <c r="E741" s="7" t="s">
        <v>1695</v>
      </c>
      <c r="F741" s="7" t="s">
        <v>1696</v>
      </c>
    </row>
    <row r="742">
      <c r="A742" s="7" t="s">
        <v>5123</v>
      </c>
      <c r="B742" s="7" t="s">
        <v>2045</v>
      </c>
      <c r="C742" s="7" t="s">
        <v>109</v>
      </c>
      <c r="D742" s="7" t="s">
        <v>7236</v>
      </c>
      <c r="E742" s="7" t="s">
        <v>1695</v>
      </c>
      <c r="F742" s="7" t="s">
        <v>1696</v>
      </c>
    </row>
    <row r="743">
      <c r="A743" s="7" t="s">
        <v>4425</v>
      </c>
      <c r="B743" s="7" t="s">
        <v>280</v>
      </c>
      <c r="C743" s="7" t="s">
        <v>4215</v>
      </c>
      <c r="D743" s="7" t="s">
        <v>7237</v>
      </c>
      <c r="E743" s="7" t="s">
        <v>1695</v>
      </c>
      <c r="F743" s="7" t="s">
        <v>1696</v>
      </c>
    </row>
    <row r="744">
      <c r="A744" s="7" t="s">
        <v>4717</v>
      </c>
      <c r="B744" s="7" t="s">
        <v>1422</v>
      </c>
      <c r="C744" s="7" t="s">
        <v>274</v>
      </c>
      <c r="D744" s="7" t="s">
        <v>7238</v>
      </c>
      <c r="E744" s="7" t="s">
        <v>1695</v>
      </c>
      <c r="F744" s="7" t="s">
        <v>1696</v>
      </c>
    </row>
    <row r="745">
      <c r="A745" s="7" t="s">
        <v>3796</v>
      </c>
      <c r="B745" s="7" t="s">
        <v>111</v>
      </c>
      <c r="C745" s="7" t="s">
        <v>3797</v>
      </c>
      <c r="D745" s="7" t="s">
        <v>7239</v>
      </c>
      <c r="E745" s="7" t="s">
        <v>1695</v>
      </c>
      <c r="F745" s="7" t="s">
        <v>1696</v>
      </c>
    </row>
    <row r="746">
      <c r="A746" s="7" t="s">
        <v>2265</v>
      </c>
      <c r="B746" s="7" t="s">
        <v>2266</v>
      </c>
      <c r="C746" s="7" t="s">
        <v>2267</v>
      </c>
      <c r="D746" s="7" t="s">
        <v>7240</v>
      </c>
      <c r="E746" s="7" t="s">
        <v>1695</v>
      </c>
      <c r="F746" s="7" t="s">
        <v>1696</v>
      </c>
    </row>
    <row r="747">
      <c r="A747" s="7" t="s">
        <v>4643</v>
      </c>
      <c r="B747" s="7" t="s">
        <v>649</v>
      </c>
      <c r="C747" s="7" t="s">
        <v>4396</v>
      </c>
      <c r="D747" s="7" t="s">
        <v>7241</v>
      </c>
      <c r="E747" s="7" t="s">
        <v>1695</v>
      </c>
      <c r="F747" s="7" t="s">
        <v>1696</v>
      </c>
    </row>
    <row r="748">
      <c r="A748" s="7" t="s">
        <v>2802</v>
      </c>
      <c r="B748" s="7" t="s">
        <v>2803</v>
      </c>
      <c r="C748" s="7" t="s">
        <v>2804</v>
      </c>
      <c r="D748" s="7" t="s">
        <v>7242</v>
      </c>
      <c r="E748" s="7" t="s">
        <v>1695</v>
      </c>
      <c r="F748" s="7" t="s">
        <v>1696</v>
      </c>
    </row>
    <row r="749">
      <c r="A749" s="7" t="s">
        <v>2998</v>
      </c>
      <c r="B749" s="7" t="s">
        <v>2999</v>
      </c>
      <c r="C749" s="7" t="s">
        <v>3000</v>
      </c>
      <c r="D749" s="7" t="s">
        <v>7243</v>
      </c>
      <c r="E749" s="7" t="s">
        <v>1695</v>
      </c>
      <c r="F749" s="7" t="s">
        <v>1696</v>
      </c>
    </row>
    <row r="750">
      <c r="A750" s="7" t="s">
        <v>3941</v>
      </c>
      <c r="B750" s="7" t="s">
        <v>3942</v>
      </c>
      <c r="C750" s="7" t="s">
        <v>1905</v>
      </c>
      <c r="D750" s="7" t="s">
        <v>7244</v>
      </c>
      <c r="E750" s="7" t="s">
        <v>1695</v>
      </c>
      <c r="F750" s="7" t="s">
        <v>1696</v>
      </c>
    </row>
    <row r="751">
      <c r="A751" s="7" t="s">
        <v>3455</v>
      </c>
      <c r="B751" s="7" t="s">
        <v>1224</v>
      </c>
      <c r="C751" s="7" t="s">
        <v>32</v>
      </c>
      <c r="D751" s="7" t="s">
        <v>7245</v>
      </c>
      <c r="E751" s="7" t="s">
        <v>1695</v>
      </c>
      <c r="F751" s="7" t="s">
        <v>1696</v>
      </c>
    </row>
    <row r="752">
      <c r="A752" s="7" t="s">
        <v>3670</v>
      </c>
      <c r="B752" s="7" t="s">
        <v>420</v>
      </c>
      <c r="C752" s="7" t="s">
        <v>3671</v>
      </c>
      <c r="D752" s="7" t="s">
        <v>7246</v>
      </c>
      <c r="E752" s="7" t="s">
        <v>1695</v>
      </c>
      <c r="F752" s="7" t="s">
        <v>1696</v>
      </c>
    </row>
    <row r="753">
      <c r="A753" s="7" t="s">
        <v>2514</v>
      </c>
      <c r="B753" s="7" t="s">
        <v>676</v>
      </c>
      <c r="C753" s="7" t="s">
        <v>2515</v>
      </c>
      <c r="D753" s="7" t="s">
        <v>7247</v>
      </c>
      <c r="E753" s="7" t="s">
        <v>1695</v>
      </c>
      <c r="F753" s="7" t="s">
        <v>1696</v>
      </c>
    </row>
    <row r="754">
      <c r="A754" s="7" t="s">
        <v>6247</v>
      </c>
      <c r="B754" s="7" t="s">
        <v>6248</v>
      </c>
      <c r="C754" s="7" t="s">
        <v>404</v>
      </c>
      <c r="D754" s="7" t="s">
        <v>7248</v>
      </c>
      <c r="E754" s="7" t="s">
        <v>1695</v>
      </c>
      <c r="F754" s="7" t="s">
        <v>1696</v>
      </c>
    </row>
    <row r="755">
      <c r="A755" s="7" t="s">
        <v>4214</v>
      </c>
      <c r="B755" s="7" t="s">
        <v>1815</v>
      </c>
      <c r="C755" s="7" t="s">
        <v>4215</v>
      </c>
      <c r="D755" s="7" t="s">
        <v>7249</v>
      </c>
      <c r="E755" s="7" t="s">
        <v>1695</v>
      </c>
      <c r="F755" s="7" t="s">
        <v>1696</v>
      </c>
    </row>
    <row r="756">
      <c r="A756" s="7" t="s">
        <v>2193</v>
      </c>
      <c r="B756" s="7" t="s">
        <v>2194</v>
      </c>
      <c r="C756" s="7" t="s">
        <v>2195</v>
      </c>
      <c r="D756" s="7" t="s">
        <v>7250</v>
      </c>
      <c r="E756" s="7" t="s">
        <v>1695</v>
      </c>
      <c r="F756" s="7" t="s">
        <v>1696</v>
      </c>
    </row>
    <row r="757">
      <c r="A757" s="7" t="s">
        <v>3706</v>
      </c>
      <c r="B757" s="7" t="s">
        <v>404</v>
      </c>
      <c r="C757" s="7" t="s">
        <v>3707</v>
      </c>
      <c r="D757" s="7" t="s">
        <v>7251</v>
      </c>
      <c r="E757" s="7" t="s">
        <v>1695</v>
      </c>
      <c r="F757" s="7" t="s">
        <v>1696</v>
      </c>
    </row>
    <row r="758">
      <c r="A758" s="7" t="s">
        <v>3958</v>
      </c>
      <c r="B758" s="7" t="s">
        <v>404</v>
      </c>
      <c r="C758" s="7" t="s">
        <v>3959</v>
      </c>
      <c r="D758" s="7" t="s">
        <v>7251</v>
      </c>
      <c r="E758" s="7" t="s">
        <v>1695</v>
      </c>
      <c r="F758" s="7" t="s">
        <v>1696</v>
      </c>
    </row>
    <row r="759">
      <c r="A759" s="7" t="s">
        <v>5602</v>
      </c>
      <c r="B759" s="7" t="s">
        <v>101</v>
      </c>
      <c r="C759" s="7" t="s">
        <v>70</v>
      </c>
      <c r="D759" s="7" t="s">
        <v>7252</v>
      </c>
      <c r="E759" s="7" t="s">
        <v>1695</v>
      </c>
      <c r="F759" s="7" t="s">
        <v>1696</v>
      </c>
    </row>
    <row r="760">
      <c r="A760" s="7" t="s">
        <v>2162</v>
      </c>
      <c r="B760" s="7" t="s">
        <v>2163</v>
      </c>
      <c r="C760" s="7" t="s">
        <v>55</v>
      </c>
      <c r="D760" s="7" t="s">
        <v>7253</v>
      </c>
      <c r="E760" s="7" t="s">
        <v>1695</v>
      </c>
      <c r="F760" s="7" t="s">
        <v>1696</v>
      </c>
    </row>
    <row r="761">
      <c r="A761" s="7" t="s">
        <v>5021</v>
      </c>
      <c r="B761" s="7" t="s">
        <v>89</v>
      </c>
      <c r="C761" s="7" t="s">
        <v>666</v>
      </c>
      <c r="D761" s="7" t="s">
        <v>7254</v>
      </c>
      <c r="E761" s="7" t="s">
        <v>1695</v>
      </c>
      <c r="F761" s="7" t="s">
        <v>1696</v>
      </c>
    </row>
    <row r="762">
      <c r="A762" s="7" t="s">
        <v>1982</v>
      </c>
      <c r="B762" s="7" t="s">
        <v>1983</v>
      </c>
      <c r="C762" s="7" t="s">
        <v>58</v>
      </c>
      <c r="D762" s="7" t="s">
        <v>7255</v>
      </c>
      <c r="E762" s="7" t="s">
        <v>1695</v>
      </c>
      <c r="F762" s="7" t="s">
        <v>1696</v>
      </c>
    </row>
    <row r="763">
      <c r="A763" s="7" t="s">
        <v>5586</v>
      </c>
      <c r="B763" s="7" t="s">
        <v>5587</v>
      </c>
      <c r="C763" s="7" t="s">
        <v>52</v>
      </c>
      <c r="D763" s="7" t="s">
        <v>7256</v>
      </c>
      <c r="E763" s="7" t="s">
        <v>1695</v>
      </c>
      <c r="F763" s="7" t="s">
        <v>1696</v>
      </c>
    </row>
    <row r="764">
      <c r="A764" s="7" t="s">
        <v>4218</v>
      </c>
      <c r="B764" s="7" t="s">
        <v>4219</v>
      </c>
      <c r="C764" s="7" t="s">
        <v>3458</v>
      </c>
      <c r="D764" s="7" t="s">
        <v>7257</v>
      </c>
      <c r="E764" s="7" t="s">
        <v>1695</v>
      </c>
      <c r="F764" s="7" t="s">
        <v>1696</v>
      </c>
    </row>
    <row r="765">
      <c r="A765" s="7" t="s">
        <v>3801</v>
      </c>
      <c r="B765" s="7" t="s">
        <v>918</v>
      </c>
      <c r="C765" s="7" t="s">
        <v>1000</v>
      </c>
      <c r="D765" s="7" t="s">
        <v>7258</v>
      </c>
      <c r="E765" s="7" t="s">
        <v>1695</v>
      </c>
      <c r="F765" s="7" t="s">
        <v>1696</v>
      </c>
    </row>
    <row r="766">
      <c r="A766" s="7" t="s">
        <v>2848</v>
      </c>
      <c r="B766" s="7" t="s">
        <v>2849</v>
      </c>
      <c r="C766" s="7" t="s">
        <v>2850</v>
      </c>
      <c r="D766" s="7" t="s">
        <v>7259</v>
      </c>
      <c r="E766" s="7" t="s">
        <v>1695</v>
      </c>
      <c r="F766" s="7" t="s">
        <v>1696</v>
      </c>
    </row>
    <row r="767">
      <c r="A767" s="7" t="s">
        <v>5295</v>
      </c>
      <c r="B767" s="7" t="s">
        <v>911</v>
      </c>
      <c r="C767" s="7" t="s">
        <v>1584</v>
      </c>
      <c r="D767" s="7" t="s">
        <v>7260</v>
      </c>
      <c r="E767" s="7" t="s">
        <v>1695</v>
      </c>
      <c r="F767" s="7" t="s">
        <v>1696</v>
      </c>
    </row>
    <row r="768">
      <c r="A768" s="7" t="s">
        <v>2285</v>
      </c>
      <c r="B768" s="7" t="s">
        <v>414</v>
      </c>
      <c r="C768" s="7" t="s">
        <v>2286</v>
      </c>
      <c r="D768" s="7" t="s">
        <v>7261</v>
      </c>
      <c r="E768" s="7" t="s">
        <v>1695</v>
      </c>
      <c r="F768" s="7" t="s">
        <v>1696</v>
      </c>
    </row>
    <row r="769">
      <c r="A769" s="7" t="s">
        <v>2376</v>
      </c>
      <c r="B769" s="7" t="s">
        <v>1284</v>
      </c>
      <c r="C769" s="7" t="s">
        <v>259</v>
      </c>
      <c r="D769" s="7" t="s">
        <v>7262</v>
      </c>
      <c r="E769" s="7" t="s">
        <v>1695</v>
      </c>
      <c r="F769" s="7" t="s">
        <v>1696</v>
      </c>
    </row>
    <row r="770">
      <c r="A770" s="7" t="s">
        <v>4819</v>
      </c>
      <c r="B770" s="7" t="s">
        <v>4820</v>
      </c>
      <c r="C770" s="7" t="s">
        <v>4821</v>
      </c>
      <c r="D770" s="7" t="s">
        <v>7263</v>
      </c>
      <c r="E770" s="7" t="s">
        <v>1695</v>
      </c>
      <c r="F770" s="7" t="s">
        <v>1696</v>
      </c>
    </row>
    <row r="771">
      <c r="A771" s="7" t="s">
        <v>5753</v>
      </c>
      <c r="B771" s="7" t="s">
        <v>760</v>
      </c>
      <c r="C771" s="7" t="s">
        <v>3797</v>
      </c>
      <c r="D771" s="7" t="s">
        <v>7264</v>
      </c>
      <c r="E771" s="7" t="s">
        <v>1695</v>
      </c>
      <c r="F771" s="7" t="s">
        <v>1696</v>
      </c>
    </row>
    <row r="772">
      <c r="A772" s="7" t="s">
        <v>3213</v>
      </c>
      <c r="B772" s="7" t="s">
        <v>2153</v>
      </c>
      <c r="C772" s="7" t="s">
        <v>3214</v>
      </c>
      <c r="D772" s="7" t="s">
        <v>7265</v>
      </c>
      <c r="E772" s="7" t="s">
        <v>1695</v>
      </c>
      <c r="F772" s="7" t="s">
        <v>1696</v>
      </c>
    </row>
    <row r="773">
      <c r="A773" s="7" t="s">
        <v>3729</v>
      </c>
      <c r="B773" s="7" t="s">
        <v>46</v>
      </c>
      <c r="C773" s="7" t="s">
        <v>3730</v>
      </c>
      <c r="D773" s="7" t="s">
        <v>7266</v>
      </c>
      <c r="E773" s="7" t="s">
        <v>1695</v>
      </c>
      <c r="F773" s="7" t="s">
        <v>1696</v>
      </c>
    </row>
    <row r="774">
      <c r="A774" s="7" t="s">
        <v>5286</v>
      </c>
      <c r="B774" s="7" t="s">
        <v>5287</v>
      </c>
      <c r="C774" s="7" t="s">
        <v>5288</v>
      </c>
      <c r="D774" s="7" t="s">
        <v>7267</v>
      </c>
      <c r="E774" s="7" t="s">
        <v>1695</v>
      </c>
      <c r="F774" s="7" t="s">
        <v>1696</v>
      </c>
    </row>
    <row r="775">
      <c r="A775" s="7" t="s">
        <v>2743</v>
      </c>
      <c r="B775" s="7" t="s">
        <v>267</v>
      </c>
      <c r="C775" s="7" t="s">
        <v>64</v>
      </c>
      <c r="D775" s="7" t="s">
        <v>7268</v>
      </c>
      <c r="E775" s="7" t="s">
        <v>1695</v>
      </c>
      <c r="F775" s="7" t="s">
        <v>1696</v>
      </c>
    </row>
    <row r="776">
      <c r="A776" s="7" t="s">
        <v>5627</v>
      </c>
      <c r="B776" s="7" t="s">
        <v>5628</v>
      </c>
      <c r="C776" s="7" t="s">
        <v>3163</v>
      </c>
      <c r="D776" s="7" t="s">
        <v>7269</v>
      </c>
      <c r="E776" s="7" t="s">
        <v>1695</v>
      </c>
      <c r="F776" s="7" t="s">
        <v>1696</v>
      </c>
    </row>
    <row r="777">
      <c r="A777" s="7" t="s">
        <v>6322</v>
      </c>
      <c r="B777" s="7" t="s">
        <v>5628</v>
      </c>
      <c r="C777" s="7" t="s">
        <v>6323</v>
      </c>
      <c r="D777" s="7" t="s">
        <v>7269</v>
      </c>
      <c r="E777" s="7" t="s">
        <v>1695</v>
      </c>
      <c r="F777" s="7" t="s">
        <v>6318</v>
      </c>
    </row>
    <row r="778">
      <c r="A778" s="7" t="s">
        <v>3043</v>
      </c>
      <c r="B778" s="7" t="s">
        <v>3044</v>
      </c>
      <c r="C778" s="7" t="s">
        <v>96</v>
      </c>
      <c r="D778" s="7" t="s">
        <v>7270</v>
      </c>
      <c r="E778" s="7" t="s">
        <v>1695</v>
      </c>
      <c r="F778" s="7" t="s">
        <v>1696</v>
      </c>
    </row>
    <row r="779">
      <c r="A779" s="7" t="s">
        <v>6144</v>
      </c>
      <c r="B779" s="7" t="s">
        <v>653</v>
      </c>
      <c r="C779" s="7" t="s">
        <v>6063</v>
      </c>
      <c r="D779" s="7" t="s">
        <v>7271</v>
      </c>
      <c r="E779" s="7" t="s">
        <v>1695</v>
      </c>
      <c r="F779" s="7" t="s">
        <v>1696</v>
      </c>
    </row>
    <row r="780">
      <c r="A780" s="7" t="s">
        <v>4283</v>
      </c>
      <c r="B780" s="7" t="s">
        <v>178</v>
      </c>
      <c r="C780" s="7" t="s">
        <v>196</v>
      </c>
      <c r="D780" s="7" t="s">
        <v>7272</v>
      </c>
      <c r="E780" s="7" t="s">
        <v>1695</v>
      </c>
      <c r="F780" s="7" t="s">
        <v>1696</v>
      </c>
    </row>
    <row r="781">
      <c r="A781" s="7" t="s">
        <v>5048</v>
      </c>
      <c r="B781" s="7" t="s">
        <v>1208</v>
      </c>
      <c r="C781" s="7" t="s">
        <v>2817</v>
      </c>
      <c r="D781" s="7" t="s">
        <v>7273</v>
      </c>
      <c r="E781" s="7" t="s">
        <v>1695</v>
      </c>
      <c r="F781" s="7" t="s">
        <v>1696</v>
      </c>
    </row>
    <row r="782">
      <c r="A782" s="7" t="s">
        <v>3605</v>
      </c>
      <c r="B782" s="7" t="s">
        <v>3606</v>
      </c>
      <c r="C782" s="7" t="s">
        <v>2557</v>
      </c>
      <c r="D782" s="7" t="s">
        <v>7274</v>
      </c>
      <c r="E782" s="7" t="s">
        <v>1695</v>
      </c>
      <c r="F782" s="7" t="s">
        <v>1696</v>
      </c>
    </row>
    <row r="783">
      <c r="A783" s="7" t="s">
        <v>2334</v>
      </c>
      <c r="B783" s="7" t="s">
        <v>596</v>
      </c>
      <c r="C783" s="7" t="s">
        <v>196</v>
      </c>
      <c r="D783" s="7" t="s">
        <v>7275</v>
      </c>
      <c r="E783" s="7" t="s">
        <v>1695</v>
      </c>
      <c r="F783" s="7" t="s">
        <v>1696</v>
      </c>
    </row>
    <row r="784">
      <c r="A784" s="7" t="s">
        <v>3777</v>
      </c>
      <c r="B784" s="7" t="s">
        <v>3778</v>
      </c>
      <c r="C784" s="7" t="s">
        <v>3779</v>
      </c>
      <c r="D784" s="7" t="s">
        <v>7276</v>
      </c>
      <c r="E784" s="7" t="s">
        <v>1695</v>
      </c>
      <c r="F784" s="7" t="s">
        <v>1696</v>
      </c>
    </row>
    <row r="785">
      <c r="A785" s="7" t="s">
        <v>5822</v>
      </c>
      <c r="B785" s="7" t="s">
        <v>5823</v>
      </c>
      <c r="C785" s="7" t="s">
        <v>5824</v>
      </c>
      <c r="D785" s="7" t="s">
        <v>7277</v>
      </c>
      <c r="E785" s="7" t="s">
        <v>1695</v>
      </c>
      <c r="F785" s="7" t="s">
        <v>1696</v>
      </c>
    </row>
    <row r="786">
      <c r="A786" s="7" t="s">
        <v>1704</v>
      </c>
      <c r="B786" s="7" t="s">
        <v>58</v>
      </c>
      <c r="C786" s="7" t="s">
        <v>1705</v>
      </c>
      <c r="D786" s="7" t="s">
        <v>7278</v>
      </c>
      <c r="E786" s="7" t="s">
        <v>1695</v>
      </c>
      <c r="F786" s="7" t="s">
        <v>1696</v>
      </c>
    </row>
    <row r="787">
      <c r="A787" s="7" t="s">
        <v>2690</v>
      </c>
      <c r="B787" s="7" t="s">
        <v>27</v>
      </c>
      <c r="C787" s="7" t="s">
        <v>2691</v>
      </c>
      <c r="D787" s="7" t="s">
        <v>7279</v>
      </c>
      <c r="E787" s="7" t="s">
        <v>1695</v>
      </c>
      <c r="F787" s="7" t="s">
        <v>1696</v>
      </c>
    </row>
    <row r="788">
      <c r="A788" s="7" t="s">
        <v>5124</v>
      </c>
      <c r="B788" s="7" t="s">
        <v>5125</v>
      </c>
      <c r="C788" s="7" t="s">
        <v>35</v>
      </c>
      <c r="D788" s="7" t="s">
        <v>7280</v>
      </c>
      <c r="E788" s="7" t="s">
        <v>1695</v>
      </c>
      <c r="F788" s="7" t="s">
        <v>1696</v>
      </c>
    </row>
    <row r="789">
      <c r="A789" s="7" t="s">
        <v>1892</v>
      </c>
      <c r="B789" s="7" t="s">
        <v>1893</v>
      </c>
      <c r="C789" s="7" t="s">
        <v>1894</v>
      </c>
      <c r="D789" s="7" t="s">
        <v>7281</v>
      </c>
      <c r="E789" s="7" t="s">
        <v>1695</v>
      </c>
      <c r="F789" s="7" t="s">
        <v>1696</v>
      </c>
    </row>
    <row r="790">
      <c r="A790" s="7" t="s">
        <v>5354</v>
      </c>
      <c r="B790" s="7" t="s">
        <v>5355</v>
      </c>
      <c r="C790" s="7" t="s">
        <v>196</v>
      </c>
      <c r="D790" s="7" t="s">
        <v>7282</v>
      </c>
      <c r="E790" s="7" t="s">
        <v>1695</v>
      </c>
      <c r="F790" s="7" t="s">
        <v>1696</v>
      </c>
    </row>
    <row r="791">
      <c r="A791" s="7" t="s">
        <v>4607</v>
      </c>
      <c r="B791" s="7" t="s">
        <v>4510</v>
      </c>
      <c r="C791" s="7" t="s">
        <v>4113</v>
      </c>
      <c r="D791" s="7" t="s">
        <v>7283</v>
      </c>
      <c r="E791" s="7" t="s">
        <v>1695</v>
      </c>
      <c r="F791" s="7" t="s">
        <v>1696</v>
      </c>
    </row>
    <row r="792">
      <c r="A792" s="7" t="s">
        <v>6107</v>
      </c>
      <c r="B792" s="7" t="s">
        <v>391</v>
      </c>
      <c r="C792" s="7" t="s">
        <v>6108</v>
      </c>
      <c r="D792" s="7" t="s">
        <v>7284</v>
      </c>
      <c r="E792" s="7" t="s">
        <v>1695</v>
      </c>
      <c r="F792" s="7" t="s">
        <v>1696</v>
      </c>
    </row>
    <row r="793">
      <c r="A793" s="7" t="s">
        <v>3743</v>
      </c>
      <c r="B793" s="7" t="s">
        <v>2622</v>
      </c>
      <c r="C793" s="7" t="s">
        <v>3744</v>
      </c>
      <c r="D793" s="7" t="s">
        <v>7285</v>
      </c>
      <c r="E793" s="7" t="s">
        <v>1695</v>
      </c>
      <c r="F793" s="7" t="s">
        <v>1696</v>
      </c>
    </row>
    <row r="794">
      <c r="A794" s="7" t="s">
        <v>1906</v>
      </c>
      <c r="B794" s="7" t="s">
        <v>938</v>
      </c>
      <c r="C794" s="7" t="s">
        <v>939</v>
      </c>
      <c r="D794" s="7" t="s">
        <v>7286</v>
      </c>
      <c r="E794" s="7" t="s">
        <v>1695</v>
      </c>
      <c r="F794" s="7" t="s">
        <v>1696</v>
      </c>
    </row>
    <row r="795">
      <c r="A795" s="7" t="s">
        <v>4428</v>
      </c>
      <c r="B795" s="7" t="s">
        <v>279</v>
      </c>
      <c r="C795" s="7" t="s">
        <v>218</v>
      </c>
      <c r="D795" s="7" t="s">
        <v>7287</v>
      </c>
      <c r="E795" s="7" t="s">
        <v>1695</v>
      </c>
      <c r="F795" s="7" t="s">
        <v>1696</v>
      </c>
    </row>
    <row r="796">
      <c r="A796" s="7" t="s">
        <v>3825</v>
      </c>
      <c r="B796" s="7" t="s">
        <v>466</v>
      </c>
      <c r="C796" s="7" t="s">
        <v>3826</v>
      </c>
      <c r="D796" s="7" t="s">
        <v>7288</v>
      </c>
      <c r="E796" s="7" t="s">
        <v>1695</v>
      </c>
      <c r="F796" s="7" t="s">
        <v>1696</v>
      </c>
    </row>
    <row r="797">
      <c r="A797" s="7" t="s">
        <v>6022</v>
      </c>
      <c r="B797" s="7" t="s">
        <v>6023</v>
      </c>
      <c r="C797" s="7" t="s">
        <v>267</v>
      </c>
      <c r="D797" s="7" t="s">
        <v>7289</v>
      </c>
      <c r="E797" s="7" t="s">
        <v>1695</v>
      </c>
      <c r="F797" s="7" t="s">
        <v>1696</v>
      </c>
    </row>
    <row r="798">
      <c r="A798" s="7" t="s">
        <v>4971</v>
      </c>
      <c r="B798" s="7" t="s">
        <v>4972</v>
      </c>
      <c r="C798" s="7" t="s">
        <v>4973</v>
      </c>
      <c r="D798" s="7" t="s">
        <v>7290</v>
      </c>
      <c r="E798" s="7" t="s">
        <v>1695</v>
      </c>
      <c r="F798" s="7" t="s">
        <v>1696</v>
      </c>
    </row>
    <row r="799">
      <c r="A799" s="7" t="s">
        <v>4408</v>
      </c>
      <c r="B799" s="7" t="s">
        <v>4409</v>
      </c>
      <c r="C799" s="7" t="s">
        <v>404</v>
      </c>
      <c r="D799" s="7" t="s">
        <v>7291</v>
      </c>
      <c r="E799" s="7" t="s">
        <v>1695</v>
      </c>
      <c r="F799" s="7" t="s">
        <v>1696</v>
      </c>
    </row>
    <row r="800">
      <c r="A800" s="7" t="s">
        <v>1989</v>
      </c>
      <c r="B800" s="7" t="s">
        <v>267</v>
      </c>
      <c r="C800" s="7" t="s">
        <v>920</v>
      </c>
      <c r="D800" s="7" t="s">
        <v>7292</v>
      </c>
      <c r="E800" s="7" t="s">
        <v>1695</v>
      </c>
      <c r="F800" s="7" t="s">
        <v>1696</v>
      </c>
    </row>
    <row r="801">
      <c r="A801" s="7" t="s">
        <v>5236</v>
      </c>
      <c r="B801" s="7" t="s">
        <v>1954</v>
      </c>
      <c r="C801" s="7" t="s">
        <v>5237</v>
      </c>
      <c r="D801" s="7" t="s">
        <v>7293</v>
      </c>
      <c r="E801" s="7" t="s">
        <v>1695</v>
      </c>
      <c r="F801" s="7" t="s">
        <v>1696</v>
      </c>
    </row>
    <row r="802">
      <c r="A802" s="7" t="s">
        <v>4846</v>
      </c>
      <c r="B802" s="7" t="s">
        <v>4847</v>
      </c>
      <c r="C802" s="7" t="s">
        <v>4848</v>
      </c>
      <c r="D802" s="7" t="s">
        <v>7294</v>
      </c>
      <c r="E802" s="7" t="s">
        <v>1695</v>
      </c>
      <c r="F802" s="7" t="s">
        <v>1696</v>
      </c>
    </row>
    <row r="803">
      <c r="A803" s="7" t="s">
        <v>2305</v>
      </c>
      <c r="B803" s="7" t="s">
        <v>353</v>
      </c>
      <c r="C803" s="7" t="s">
        <v>32</v>
      </c>
      <c r="D803" s="7" t="s">
        <v>7295</v>
      </c>
      <c r="E803" s="7" t="s">
        <v>1695</v>
      </c>
      <c r="F803" s="7" t="s">
        <v>1696</v>
      </c>
    </row>
    <row r="804">
      <c r="A804" s="7" t="s">
        <v>5271</v>
      </c>
      <c r="B804" s="7" t="s">
        <v>2875</v>
      </c>
      <c r="C804" s="7" t="s">
        <v>5272</v>
      </c>
      <c r="D804" s="7" t="s">
        <v>7296</v>
      </c>
      <c r="E804" s="7" t="s">
        <v>1695</v>
      </c>
      <c r="F804" s="7" t="s">
        <v>1696</v>
      </c>
    </row>
    <row r="805">
      <c r="A805" s="7" t="s">
        <v>2453</v>
      </c>
      <c r="B805" s="7" t="s">
        <v>2454</v>
      </c>
      <c r="C805" s="7" t="s">
        <v>2455</v>
      </c>
      <c r="D805" s="7" t="s">
        <v>7297</v>
      </c>
      <c r="E805" s="7" t="s">
        <v>1695</v>
      </c>
      <c r="F805" s="7" t="s">
        <v>1696</v>
      </c>
    </row>
    <row r="806">
      <c r="A806" s="7" t="s">
        <v>1740</v>
      </c>
      <c r="B806" s="7" t="s">
        <v>58</v>
      </c>
      <c r="C806" s="7" t="s">
        <v>1741</v>
      </c>
      <c r="D806" s="7" t="s">
        <v>7298</v>
      </c>
      <c r="E806" s="7" t="s">
        <v>1695</v>
      </c>
      <c r="F806" s="7" t="s">
        <v>1696</v>
      </c>
    </row>
    <row r="807">
      <c r="A807" s="7" t="s">
        <v>6125</v>
      </c>
      <c r="B807" s="7" t="s">
        <v>2562</v>
      </c>
      <c r="C807" s="7" t="s">
        <v>6126</v>
      </c>
      <c r="D807" s="7" t="s">
        <v>7299</v>
      </c>
      <c r="E807" s="7" t="s">
        <v>1695</v>
      </c>
      <c r="F807" s="7" t="s">
        <v>1696</v>
      </c>
    </row>
    <row r="808">
      <c r="A808" s="7" t="s">
        <v>5724</v>
      </c>
      <c r="B808" s="7" t="s">
        <v>2611</v>
      </c>
      <c r="C808" s="7" t="s">
        <v>387</v>
      </c>
      <c r="D808" s="7" t="s">
        <v>7300</v>
      </c>
      <c r="E808" s="7" t="s">
        <v>1695</v>
      </c>
      <c r="F808" s="7" t="s">
        <v>1696</v>
      </c>
    </row>
    <row r="809">
      <c r="A809" s="7" t="s">
        <v>5251</v>
      </c>
      <c r="B809" s="7" t="s">
        <v>911</v>
      </c>
      <c r="C809" s="7" t="s">
        <v>3922</v>
      </c>
      <c r="D809" s="7" t="s">
        <v>7301</v>
      </c>
      <c r="E809" s="7" t="s">
        <v>1695</v>
      </c>
      <c r="F809" s="7" t="s">
        <v>1696</v>
      </c>
    </row>
    <row r="810">
      <c r="A810" s="7" t="s">
        <v>4797</v>
      </c>
      <c r="B810" s="7" t="s">
        <v>4798</v>
      </c>
      <c r="C810" s="7" t="s">
        <v>4799</v>
      </c>
      <c r="D810" s="7" t="s">
        <v>7302</v>
      </c>
      <c r="E810" s="7" t="s">
        <v>1695</v>
      </c>
      <c r="F810" s="7" t="s">
        <v>1696</v>
      </c>
    </row>
    <row r="811">
      <c r="A811" s="7" t="s">
        <v>6111</v>
      </c>
      <c r="B811" s="7" t="s">
        <v>1955</v>
      </c>
      <c r="C811" s="7" t="s">
        <v>6112</v>
      </c>
      <c r="D811" s="7" t="s">
        <v>7303</v>
      </c>
      <c r="E811" s="7" t="s">
        <v>1695</v>
      </c>
      <c r="F811" s="7" t="s">
        <v>1696</v>
      </c>
    </row>
    <row r="812">
      <c r="A812" s="7" t="s">
        <v>4347</v>
      </c>
      <c r="B812" s="7" t="s">
        <v>178</v>
      </c>
      <c r="C812" s="7" t="s">
        <v>4348</v>
      </c>
      <c r="D812" s="7" t="s">
        <v>7304</v>
      </c>
      <c r="E812" s="7" t="s">
        <v>1695</v>
      </c>
      <c r="F812" s="7" t="s">
        <v>1696</v>
      </c>
    </row>
    <row r="813">
      <c r="A813" s="7" t="s">
        <v>4635</v>
      </c>
      <c r="B813" s="7" t="s">
        <v>4636</v>
      </c>
      <c r="C813" s="7" t="s">
        <v>1000</v>
      </c>
      <c r="D813" s="7" t="s">
        <v>7305</v>
      </c>
      <c r="E813" s="7" t="s">
        <v>1695</v>
      </c>
      <c r="F813" s="7" t="s">
        <v>1696</v>
      </c>
    </row>
    <row r="814">
      <c r="A814" s="7" t="s">
        <v>3298</v>
      </c>
      <c r="B814" s="7" t="s">
        <v>85</v>
      </c>
      <c r="C814" s="7" t="s">
        <v>3299</v>
      </c>
      <c r="D814" s="7" t="s">
        <v>7306</v>
      </c>
      <c r="E814" s="7" t="s">
        <v>1695</v>
      </c>
      <c r="F814" s="7" t="s">
        <v>1696</v>
      </c>
    </row>
    <row r="815">
      <c r="A815" s="7" t="s">
        <v>1871</v>
      </c>
      <c r="B815" s="7" t="s">
        <v>540</v>
      </c>
      <c r="C815" s="7" t="s">
        <v>1872</v>
      </c>
      <c r="D815" s="7" t="s">
        <v>7307</v>
      </c>
      <c r="E815" s="7" t="s">
        <v>1695</v>
      </c>
      <c r="F815" s="7" t="s">
        <v>1696</v>
      </c>
    </row>
    <row r="816">
      <c r="A816" s="7" t="s">
        <v>5361</v>
      </c>
      <c r="B816" s="7" t="s">
        <v>2407</v>
      </c>
      <c r="C816" s="7" t="s">
        <v>5362</v>
      </c>
      <c r="D816" s="7" t="s">
        <v>7308</v>
      </c>
      <c r="E816" s="7" t="s">
        <v>1695</v>
      </c>
      <c r="F816" s="7" t="s">
        <v>1696</v>
      </c>
    </row>
    <row r="817">
      <c r="A817" s="7" t="s">
        <v>3493</v>
      </c>
      <c r="B817" s="7" t="s">
        <v>280</v>
      </c>
      <c r="C817" s="7" t="s">
        <v>353</v>
      </c>
      <c r="D817" s="7" t="s">
        <v>7309</v>
      </c>
      <c r="E817" s="7" t="s">
        <v>1695</v>
      </c>
      <c r="F817" s="7" t="s">
        <v>1696</v>
      </c>
    </row>
    <row r="818">
      <c r="A818" s="7" t="s">
        <v>4907</v>
      </c>
      <c r="B818" s="7" t="s">
        <v>3947</v>
      </c>
      <c r="C818" s="7" t="s">
        <v>2705</v>
      </c>
      <c r="D818" s="7" t="s">
        <v>7310</v>
      </c>
      <c r="E818" s="7" t="s">
        <v>1695</v>
      </c>
      <c r="F818" s="7" t="s">
        <v>1696</v>
      </c>
    </row>
    <row r="819">
      <c r="A819" s="7" t="s">
        <v>3973</v>
      </c>
      <c r="B819" s="7" t="s">
        <v>3974</v>
      </c>
      <c r="C819" s="7" t="s">
        <v>422</v>
      </c>
      <c r="D819" s="7" t="s">
        <v>7311</v>
      </c>
      <c r="E819" s="7" t="s">
        <v>1695</v>
      </c>
      <c r="F819" s="7" t="s">
        <v>1696</v>
      </c>
    </row>
    <row r="820">
      <c r="A820" s="7" t="s">
        <v>5897</v>
      </c>
      <c r="B820" s="7" t="s">
        <v>5898</v>
      </c>
      <c r="C820" s="7" t="s">
        <v>5899</v>
      </c>
      <c r="D820" s="7" t="s">
        <v>7312</v>
      </c>
      <c r="E820" s="7" t="s">
        <v>1695</v>
      </c>
      <c r="F820" s="7" t="s">
        <v>1696</v>
      </c>
    </row>
    <row r="821">
      <c r="A821" s="7" t="s">
        <v>5806</v>
      </c>
      <c r="B821" s="7" t="s">
        <v>5807</v>
      </c>
      <c r="C821" s="7" t="s">
        <v>5808</v>
      </c>
      <c r="D821" s="7" t="s">
        <v>7313</v>
      </c>
      <c r="E821" s="7" t="s">
        <v>1695</v>
      </c>
      <c r="F821" s="7" t="s">
        <v>1696</v>
      </c>
    </row>
    <row r="822">
      <c r="A822" s="7" t="s">
        <v>4696</v>
      </c>
      <c r="B822" s="7" t="s">
        <v>3662</v>
      </c>
      <c r="C822" s="7" t="s">
        <v>1849</v>
      </c>
      <c r="D822" s="7" t="s">
        <v>7314</v>
      </c>
      <c r="E822" s="7" t="s">
        <v>1695</v>
      </c>
      <c r="F822" s="7" t="s">
        <v>1696</v>
      </c>
    </row>
    <row r="823">
      <c r="A823" s="7" t="s">
        <v>4704</v>
      </c>
      <c r="B823" s="7" t="s">
        <v>273</v>
      </c>
      <c r="C823" s="7" t="s">
        <v>596</v>
      </c>
      <c r="D823" s="7" t="s">
        <v>7315</v>
      </c>
      <c r="E823" s="7" t="s">
        <v>1695</v>
      </c>
      <c r="F823" s="7" t="s">
        <v>1696</v>
      </c>
    </row>
    <row r="824">
      <c r="A824" s="7" t="s">
        <v>6181</v>
      </c>
      <c r="B824" s="7" t="s">
        <v>356</v>
      </c>
      <c r="C824" s="7" t="s">
        <v>6182</v>
      </c>
      <c r="D824" s="7" t="s">
        <v>7316</v>
      </c>
      <c r="E824" s="7" t="s">
        <v>1695</v>
      </c>
      <c r="F824" s="7" t="s">
        <v>1696</v>
      </c>
    </row>
    <row r="825">
      <c r="A825" s="7" t="s">
        <v>6293</v>
      </c>
      <c r="B825" s="7" t="s">
        <v>6294</v>
      </c>
      <c r="C825" s="7" t="s">
        <v>6182</v>
      </c>
      <c r="D825" s="7" t="s">
        <v>7316</v>
      </c>
      <c r="E825" s="7" t="s">
        <v>1695</v>
      </c>
      <c r="F825" s="7" t="s">
        <v>1696</v>
      </c>
    </row>
    <row r="826">
      <c r="A826" s="7" t="s">
        <v>5615</v>
      </c>
      <c r="B826" s="7" t="s">
        <v>5616</v>
      </c>
      <c r="C826" s="7" t="s">
        <v>1368</v>
      </c>
      <c r="D826" s="7" t="s">
        <v>7317</v>
      </c>
      <c r="E826" s="7" t="s">
        <v>1695</v>
      </c>
      <c r="F826" s="7" t="s">
        <v>1696</v>
      </c>
    </row>
    <row r="827">
      <c r="A827" s="7" t="s">
        <v>3224</v>
      </c>
      <c r="B827" s="7" t="s">
        <v>874</v>
      </c>
      <c r="C827" s="7" t="s">
        <v>2045</v>
      </c>
      <c r="D827" s="7" t="s">
        <v>7318</v>
      </c>
      <c r="E827" s="7" t="s">
        <v>1695</v>
      </c>
      <c r="F827" s="7" t="s">
        <v>1696</v>
      </c>
    </row>
    <row r="828">
      <c r="A828" s="7" t="s">
        <v>2945</v>
      </c>
      <c r="B828" s="7" t="s">
        <v>1368</v>
      </c>
      <c r="C828" s="7" t="s">
        <v>2946</v>
      </c>
      <c r="D828" s="7" t="s">
        <v>7319</v>
      </c>
      <c r="E828" s="7" t="s">
        <v>1695</v>
      </c>
      <c r="F828" s="7" t="s">
        <v>1696</v>
      </c>
    </row>
    <row r="829">
      <c r="A829" s="7" t="s">
        <v>2408</v>
      </c>
      <c r="B829" s="7" t="s">
        <v>2409</v>
      </c>
      <c r="C829" s="7" t="s">
        <v>2410</v>
      </c>
      <c r="D829" s="7" t="s">
        <v>7320</v>
      </c>
      <c r="E829" s="7" t="s">
        <v>1695</v>
      </c>
      <c r="F829" s="7" t="s">
        <v>1696</v>
      </c>
    </row>
    <row r="830">
      <c r="A830" s="7" t="s">
        <v>2415</v>
      </c>
      <c r="B830" s="7" t="s">
        <v>2416</v>
      </c>
      <c r="C830" s="7" t="s">
        <v>2417</v>
      </c>
      <c r="D830" s="7" t="s">
        <v>7320</v>
      </c>
      <c r="E830" s="7" t="s">
        <v>1695</v>
      </c>
      <c r="F830" s="7" t="s">
        <v>1696</v>
      </c>
    </row>
    <row r="831">
      <c r="A831" s="7" t="s">
        <v>3092</v>
      </c>
      <c r="B831" s="7" t="s">
        <v>327</v>
      </c>
      <c r="C831" s="7" t="s">
        <v>724</v>
      </c>
      <c r="D831" s="7" t="s">
        <v>7321</v>
      </c>
      <c r="E831" s="7" t="s">
        <v>1695</v>
      </c>
      <c r="F831" s="7" t="s">
        <v>1696</v>
      </c>
    </row>
    <row r="832">
      <c r="A832" s="7" t="s">
        <v>2179</v>
      </c>
      <c r="B832" s="7" t="s">
        <v>2180</v>
      </c>
      <c r="C832" s="7" t="s">
        <v>2181</v>
      </c>
      <c r="D832" s="7" t="s">
        <v>7322</v>
      </c>
      <c r="E832" s="7" t="s">
        <v>1695</v>
      </c>
      <c r="F832" s="7" t="s">
        <v>1696</v>
      </c>
    </row>
    <row r="833">
      <c r="A833" s="7" t="s">
        <v>4570</v>
      </c>
      <c r="B833" s="7" t="s">
        <v>1383</v>
      </c>
      <c r="C833" s="7" t="s">
        <v>4571</v>
      </c>
      <c r="D833" s="7" t="s">
        <v>7323</v>
      </c>
      <c r="E833" s="7" t="s">
        <v>1695</v>
      </c>
      <c r="F833" s="7" t="s">
        <v>1696</v>
      </c>
    </row>
    <row r="834">
      <c r="A834" s="7" t="s">
        <v>5103</v>
      </c>
      <c r="B834" s="7" t="s">
        <v>280</v>
      </c>
      <c r="C834" s="7" t="s">
        <v>5104</v>
      </c>
      <c r="D834" s="7" t="s">
        <v>7324</v>
      </c>
      <c r="E834" s="7" t="s">
        <v>1695</v>
      </c>
      <c r="F834" s="7" t="s">
        <v>1696</v>
      </c>
    </row>
    <row r="835">
      <c r="A835" s="7" t="s">
        <v>6151</v>
      </c>
      <c r="B835" s="7" t="s">
        <v>744</v>
      </c>
      <c r="C835" s="7" t="s">
        <v>798</v>
      </c>
      <c r="D835" s="7" t="s">
        <v>7325</v>
      </c>
      <c r="E835" s="7" t="s">
        <v>1695</v>
      </c>
      <c r="F835" s="7" t="s">
        <v>1696</v>
      </c>
    </row>
    <row r="836">
      <c r="A836" s="7" t="s">
        <v>3359</v>
      </c>
      <c r="B836" s="7" t="s">
        <v>3360</v>
      </c>
      <c r="C836" s="7" t="s">
        <v>3361</v>
      </c>
      <c r="D836" s="7" t="s">
        <v>7326</v>
      </c>
      <c r="E836" s="7" t="s">
        <v>1695</v>
      </c>
      <c r="F836" s="7" t="s">
        <v>1696</v>
      </c>
    </row>
    <row r="837">
      <c r="A837" s="7" t="s">
        <v>5156</v>
      </c>
      <c r="B837" s="7" t="s">
        <v>4813</v>
      </c>
      <c r="C837" s="7" t="s">
        <v>5157</v>
      </c>
      <c r="D837" s="7" t="s">
        <v>7327</v>
      </c>
      <c r="E837" s="7" t="s">
        <v>1695</v>
      </c>
      <c r="F837" s="7" t="s">
        <v>1696</v>
      </c>
    </row>
    <row r="838">
      <c r="A838" s="7" t="s">
        <v>5051</v>
      </c>
      <c r="B838" s="7" t="s">
        <v>5052</v>
      </c>
      <c r="C838" s="7" t="s">
        <v>5053</v>
      </c>
      <c r="D838" s="7" t="s">
        <v>7328</v>
      </c>
      <c r="E838" s="7" t="s">
        <v>1695</v>
      </c>
      <c r="F838" s="7" t="s">
        <v>1696</v>
      </c>
    </row>
    <row r="839">
      <c r="A839" s="7" t="s">
        <v>6043</v>
      </c>
      <c r="B839" s="7" t="s">
        <v>297</v>
      </c>
      <c r="C839" s="7" t="s">
        <v>649</v>
      </c>
      <c r="D839" s="7" t="s">
        <v>7329</v>
      </c>
      <c r="E839" s="7" t="s">
        <v>1695</v>
      </c>
      <c r="F839" s="7" t="s">
        <v>1696</v>
      </c>
    </row>
    <row r="840">
      <c r="A840" s="7" t="s">
        <v>3453</v>
      </c>
      <c r="B840" s="7" t="s">
        <v>248</v>
      </c>
      <c r="C840" s="7" t="s">
        <v>3454</v>
      </c>
      <c r="D840" s="7" t="s">
        <v>7330</v>
      </c>
      <c r="E840" s="7" t="s">
        <v>1695</v>
      </c>
      <c r="F840" s="7" t="s">
        <v>1696</v>
      </c>
    </row>
    <row r="841">
      <c r="A841" s="7" t="s">
        <v>3640</v>
      </c>
      <c r="B841" s="7" t="s">
        <v>248</v>
      </c>
      <c r="C841" s="7" t="s">
        <v>3454</v>
      </c>
      <c r="D841" s="7" t="s">
        <v>7330</v>
      </c>
      <c r="E841" s="7" t="s">
        <v>1695</v>
      </c>
      <c r="F841" s="7" t="s">
        <v>1696</v>
      </c>
    </row>
    <row r="842">
      <c r="A842" s="7" t="s">
        <v>5584</v>
      </c>
      <c r="B842" s="7" t="s">
        <v>5585</v>
      </c>
      <c r="C842" s="7" t="s">
        <v>193</v>
      </c>
      <c r="D842" s="7" t="s">
        <v>7331</v>
      </c>
      <c r="E842" s="7" t="s">
        <v>1695</v>
      </c>
      <c r="F842" s="7" t="s">
        <v>1696</v>
      </c>
    </row>
    <row r="843">
      <c r="A843" s="7" t="s">
        <v>4677</v>
      </c>
      <c r="B843" s="7" t="s">
        <v>2553</v>
      </c>
      <c r="C843" s="7" t="s">
        <v>4678</v>
      </c>
      <c r="D843" s="7" t="s">
        <v>7332</v>
      </c>
      <c r="E843" s="7" t="s">
        <v>1695</v>
      </c>
      <c r="F843" s="7" t="s">
        <v>1696</v>
      </c>
    </row>
    <row r="844">
      <c r="A844" s="7" t="s">
        <v>2468</v>
      </c>
      <c r="B844" s="7" t="s">
        <v>2469</v>
      </c>
      <c r="C844" s="7" t="s">
        <v>2470</v>
      </c>
      <c r="D844" s="7" t="s">
        <v>7333</v>
      </c>
      <c r="E844" s="7" t="s">
        <v>1695</v>
      </c>
      <c r="F844" s="7" t="s">
        <v>1696</v>
      </c>
    </row>
    <row r="845">
      <c r="A845" s="7" t="s">
        <v>5802</v>
      </c>
      <c r="B845" s="7" t="s">
        <v>509</v>
      </c>
      <c r="C845" s="7" t="s">
        <v>4295</v>
      </c>
      <c r="D845" s="7" t="s">
        <v>7334</v>
      </c>
      <c r="E845" s="7" t="s">
        <v>1695</v>
      </c>
      <c r="F845" s="7" t="s">
        <v>1696</v>
      </c>
    </row>
    <row r="846">
      <c r="A846" s="7" t="s">
        <v>6050</v>
      </c>
      <c r="B846" s="7" t="s">
        <v>2595</v>
      </c>
      <c r="C846" s="7" t="s">
        <v>877</v>
      </c>
      <c r="D846" s="7" t="s">
        <v>7335</v>
      </c>
      <c r="E846" s="7" t="s">
        <v>1695</v>
      </c>
      <c r="F846" s="7" t="s">
        <v>1696</v>
      </c>
    </row>
    <row r="847">
      <c r="A847" s="7" t="s">
        <v>3699</v>
      </c>
      <c r="B847" s="7" t="s">
        <v>3700</v>
      </c>
      <c r="C847" s="7" t="s">
        <v>3701</v>
      </c>
      <c r="D847" s="7" t="s">
        <v>7336</v>
      </c>
      <c r="E847" s="7" t="s">
        <v>1695</v>
      </c>
      <c r="F847" s="7" t="s">
        <v>1696</v>
      </c>
    </row>
    <row r="848">
      <c r="A848" s="7" t="s">
        <v>4302</v>
      </c>
      <c r="B848" s="7" t="s">
        <v>2050</v>
      </c>
      <c r="C848" s="7" t="s">
        <v>4303</v>
      </c>
      <c r="D848" s="7" t="s">
        <v>7337</v>
      </c>
      <c r="E848" s="7" t="s">
        <v>1695</v>
      </c>
      <c r="F848" s="7" t="s">
        <v>1696</v>
      </c>
    </row>
    <row r="849">
      <c r="A849" s="7" t="s">
        <v>3287</v>
      </c>
      <c r="B849" s="7" t="s">
        <v>3288</v>
      </c>
      <c r="C849" s="7" t="s">
        <v>518</v>
      </c>
      <c r="D849" s="7" t="s">
        <v>7338</v>
      </c>
      <c r="E849" s="7" t="s">
        <v>1695</v>
      </c>
      <c r="F849" s="7" t="s">
        <v>1696</v>
      </c>
    </row>
    <row r="850">
      <c r="A850" s="7" t="s">
        <v>6065</v>
      </c>
      <c r="B850" s="7" t="s">
        <v>6066</v>
      </c>
      <c r="C850" s="7" t="s">
        <v>6067</v>
      </c>
      <c r="D850" s="7" t="s">
        <v>7339</v>
      </c>
      <c r="E850" s="7" t="s">
        <v>1695</v>
      </c>
      <c r="F850" s="7" t="s">
        <v>1696</v>
      </c>
    </row>
    <row r="851">
      <c r="A851" s="7" t="s">
        <v>3607</v>
      </c>
      <c r="B851" s="7" t="s">
        <v>3608</v>
      </c>
      <c r="C851" s="7" t="s">
        <v>3609</v>
      </c>
      <c r="D851" s="7" t="s">
        <v>7340</v>
      </c>
      <c r="E851" s="7" t="s">
        <v>1695</v>
      </c>
      <c r="F851" s="7" t="s">
        <v>1696</v>
      </c>
    </row>
    <row r="852">
      <c r="A852" s="7" t="s">
        <v>1914</v>
      </c>
      <c r="B852" s="7" t="s">
        <v>1915</v>
      </c>
      <c r="C852" s="7" t="s">
        <v>1916</v>
      </c>
      <c r="D852" s="7" t="s">
        <v>7341</v>
      </c>
      <c r="E852" s="7" t="s">
        <v>1695</v>
      </c>
      <c r="F852" s="7" t="s">
        <v>1696</v>
      </c>
    </row>
    <row r="853">
      <c r="A853" s="7" t="s">
        <v>6211</v>
      </c>
      <c r="B853" s="7" t="s">
        <v>760</v>
      </c>
      <c r="C853" s="7" t="s">
        <v>559</v>
      </c>
      <c r="D853" s="7" t="s">
        <v>7342</v>
      </c>
      <c r="E853" s="7" t="s">
        <v>1695</v>
      </c>
      <c r="F853" s="7" t="s">
        <v>1696</v>
      </c>
    </row>
    <row r="854">
      <c r="A854" s="7" t="s">
        <v>1714</v>
      </c>
      <c r="B854" s="7" t="s">
        <v>328</v>
      </c>
      <c r="C854" s="7" t="s">
        <v>1715</v>
      </c>
      <c r="D854" s="7" t="s">
        <v>7343</v>
      </c>
      <c r="E854" s="7" t="s">
        <v>1695</v>
      </c>
      <c r="F854" s="7" t="s">
        <v>1696</v>
      </c>
    </row>
    <row r="855">
      <c r="A855" s="7" t="s">
        <v>4073</v>
      </c>
      <c r="B855" s="7" t="s">
        <v>353</v>
      </c>
      <c r="C855" s="7" t="s">
        <v>4074</v>
      </c>
      <c r="D855" s="7" t="s">
        <v>7344</v>
      </c>
      <c r="E855" s="7" t="s">
        <v>1695</v>
      </c>
      <c r="F855" s="7" t="s">
        <v>1696</v>
      </c>
    </row>
    <row r="856">
      <c r="A856" s="7" t="s">
        <v>5397</v>
      </c>
      <c r="B856" s="7" t="s">
        <v>111</v>
      </c>
      <c r="C856" s="7" t="s">
        <v>5398</v>
      </c>
      <c r="D856" s="7" t="s">
        <v>7345</v>
      </c>
      <c r="E856" s="7" t="s">
        <v>1695</v>
      </c>
      <c r="F856" s="7" t="s">
        <v>1696</v>
      </c>
    </row>
    <row r="857">
      <c r="A857" s="7" t="s">
        <v>3989</v>
      </c>
      <c r="B857" s="7" t="s">
        <v>3990</v>
      </c>
      <c r="C857" s="7" t="s">
        <v>3991</v>
      </c>
      <c r="D857" s="7" t="s">
        <v>7346</v>
      </c>
      <c r="E857" s="7" t="s">
        <v>1695</v>
      </c>
      <c r="F857" s="7" t="s">
        <v>1696</v>
      </c>
    </row>
    <row r="858">
      <c r="A858" s="7" t="s">
        <v>4891</v>
      </c>
      <c r="B858" s="7" t="s">
        <v>196</v>
      </c>
      <c r="C858" s="7" t="s">
        <v>4892</v>
      </c>
      <c r="D858" s="7" t="s">
        <v>7347</v>
      </c>
      <c r="E858" s="7" t="s">
        <v>1695</v>
      </c>
      <c r="F858" s="7" t="s">
        <v>1696</v>
      </c>
    </row>
    <row r="859">
      <c r="A859" s="7" t="s">
        <v>3039</v>
      </c>
      <c r="B859" s="7" t="s">
        <v>538</v>
      </c>
      <c r="C859" s="7" t="s">
        <v>1710</v>
      </c>
      <c r="D859" s="7" t="s">
        <v>7348</v>
      </c>
      <c r="E859" s="7" t="s">
        <v>1695</v>
      </c>
      <c r="F859" s="7" t="s">
        <v>1696</v>
      </c>
    </row>
    <row r="860">
      <c r="A860" s="7" t="s">
        <v>3303</v>
      </c>
      <c r="B860" s="7" t="s">
        <v>3304</v>
      </c>
      <c r="C860" s="7" t="s">
        <v>1646</v>
      </c>
      <c r="D860" s="7" t="s">
        <v>7349</v>
      </c>
      <c r="E860" s="7" t="s">
        <v>1695</v>
      </c>
      <c r="F860" s="7" t="s">
        <v>1696</v>
      </c>
    </row>
    <row r="861">
      <c r="A861" s="7" t="s">
        <v>6352</v>
      </c>
      <c r="B861" s="7" t="s">
        <v>58</v>
      </c>
      <c r="C861" s="7" t="s">
        <v>6353</v>
      </c>
      <c r="D861" s="7" t="s">
        <v>7350</v>
      </c>
      <c r="E861" s="7" t="s">
        <v>1695</v>
      </c>
      <c r="F861" s="7" t="s">
        <v>6318</v>
      </c>
    </row>
    <row r="862">
      <c r="A862" s="7" t="s">
        <v>6106</v>
      </c>
      <c r="B862" s="7" t="s">
        <v>5487</v>
      </c>
      <c r="C862" s="7" t="s">
        <v>970</v>
      </c>
      <c r="D862" s="7" t="s">
        <v>7351</v>
      </c>
      <c r="E862" s="7" t="s">
        <v>1695</v>
      </c>
      <c r="F862" s="7" t="s">
        <v>1696</v>
      </c>
    </row>
    <row r="863">
      <c r="A863" s="7" t="s">
        <v>5305</v>
      </c>
      <c r="B863" s="7" t="s">
        <v>292</v>
      </c>
      <c r="C863" s="7" t="s">
        <v>404</v>
      </c>
      <c r="D863" s="7" t="s">
        <v>7352</v>
      </c>
      <c r="E863" s="7" t="s">
        <v>1695</v>
      </c>
      <c r="F863" s="7" t="s">
        <v>1696</v>
      </c>
    </row>
    <row r="864">
      <c r="A864" s="7" t="s">
        <v>5408</v>
      </c>
      <c r="B864" s="7" t="s">
        <v>1246</v>
      </c>
      <c r="C864" s="7" t="s">
        <v>196</v>
      </c>
      <c r="D864" s="7" t="s">
        <v>7353</v>
      </c>
      <c r="E864" s="7" t="s">
        <v>1695</v>
      </c>
      <c r="F864" s="7" t="s">
        <v>1696</v>
      </c>
    </row>
    <row r="865">
      <c r="A865" s="7" t="s">
        <v>3106</v>
      </c>
      <c r="B865" s="7" t="s">
        <v>3107</v>
      </c>
      <c r="C865" s="7" t="s">
        <v>3108</v>
      </c>
      <c r="D865" s="7" t="s">
        <v>7354</v>
      </c>
      <c r="E865" s="7" t="s">
        <v>1695</v>
      </c>
      <c r="F865" s="7" t="s">
        <v>1696</v>
      </c>
    </row>
    <row r="866">
      <c r="A866" s="7" t="s">
        <v>4662</v>
      </c>
      <c r="B866" s="7" t="s">
        <v>3947</v>
      </c>
      <c r="C866" s="7" t="s">
        <v>418</v>
      </c>
      <c r="D866" s="7" t="s">
        <v>7355</v>
      </c>
      <c r="E866" s="7" t="s">
        <v>1695</v>
      </c>
      <c r="F866" s="7" t="s">
        <v>1696</v>
      </c>
    </row>
    <row r="867">
      <c r="A867" s="7" t="s">
        <v>3246</v>
      </c>
      <c r="B867" s="7" t="s">
        <v>3247</v>
      </c>
      <c r="C867" s="7" t="s">
        <v>3248</v>
      </c>
      <c r="D867" s="7" t="s">
        <v>7356</v>
      </c>
      <c r="E867" s="7" t="s">
        <v>1695</v>
      </c>
      <c r="F867" s="7" t="s">
        <v>1696</v>
      </c>
    </row>
    <row r="868">
      <c r="A868" s="7" t="s">
        <v>4269</v>
      </c>
      <c r="B868" s="7" t="s">
        <v>1034</v>
      </c>
      <c r="C868" s="7" t="s">
        <v>4270</v>
      </c>
      <c r="D868" s="7" t="s">
        <v>7357</v>
      </c>
      <c r="E868" s="7" t="s">
        <v>1695</v>
      </c>
      <c r="F868" s="7" t="s">
        <v>1696</v>
      </c>
    </row>
    <row r="869">
      <c r="A869" s="7" t="s">
        <v>6207</v>
      </c>
      <c r="B869" s="7" t="s">
        <v>6208</v>
      </c>
      <c r="C869" s="7" t="s">
        <v>1066</v>
      </c>
      <c r="D869" s="7" t="s">
        <v>7358</v>
      </c>
      <c r="E869" s="7" t="s">
        <v>1695</v>
      </c>
      <c r="F869" s="7" t="s">
        <v>1696</v>
      </c>
    </row>
    <row r="870">
      <c r="A870" s="7" t="s">
        <v>5531</v>
      </c>
      <c r="B870" s="7" t="s">
        <v>2525</v>
      </c>
      <c r="C870" s="7" t="s">
        <v>5532</v>
      </c>
      <c r="D870" s="7" t="s">
        <v>7359</v>
      </c>
      <c r="E870" s="7" t="s">
        <v>1695</v>
      </c>
      <c r="F870" s="7" t="s">
        <v>1696</v>
      </c>
    </row>
    <row r="871">
      <c r="A871" s="7" t="s">
        <v>3920</v>
      </c>
      <c r="B871" s="7" t="s">
        <v>3868</v>
      </c>
      <c r="C871" s="7" t="s">
        <v>3797</v>
      </c>
      <c r="D871" s="7" t="s">
        <v>7360</v>
      </c>
      <c r="E871" s="7" t="s">
        <v>1695</v>
      </c>
      <c r="F871" s="7" t="s">
        <v>1696</v>
      </c>
    </row>
    <row r="872">
      <c r="A872" s="7" t="s">
        <v>4620</v>
      </c>
      <c r="B872" s="7" t="s">
        <v>4621</v>
      </c>
      <c r="C872" s="7" t="s">
        <v>4622</v>
      </c>
      <c r="D872" s="7" t="s">
        <v>7361</v>
      </c>
      <c r="E872" s="7" t="s">
        <v>1695</v>
      </c>
      <c r="F872" s="7" t="s">
        <v>1696</v>
      </c>
    </row>
    <row r="873">
      <c r="A873" s="7" t="s">
        <v>3242</v>
      </c>
      <c r="B873" s="7" t="s">
        <v>189</v>
      </c>
      <c r="C873" s="7" t="s">
        <v>3243</v>
      </c>
      <c r="D873" s="7" t="s">
        <v>7362</v>
      </c>
      <c r="E873" s="7" t="s">
        <v>1695</v>
      </c>
      <c r="F873" s="7" t="s">
        <v>1696</v>
      </c>
    </row>
    <row r="874">
      <c r="A874" s="7" t="s">
        <v>1782</v>
      </c>
      <c r="B874" s="7" t="s">
        <v>196</v>
      </c>
      <c r="C874" s="7" t="s">
        <v>1783</v>
      </c>
      <c r="D874" s="7" t="s">
        <v>7363</v>
      </c>
      <c r="E874" s="7" t="s">
        <v>1695</v>
      </c>
      <c r="F874" s="7" t="s">
        <v>1696</v>
      </c>
    </row>
    <row r="875">
      <c r="A875" s="7" t="s">
        <v>3748</v>
      </c>
      <c r="B875" s="7" t="s">
        <v>3749</v>
      </c>
      <c r="C875" s="7" t="s">
        <v>3750</v>
      </c>
      <c r="D875" s="7" t="s">
        <v>7364</v>
      </c>
      <c r="E875" s="7" t="s">
        <v>1695</v>
      </c>
      <c r="F875" s="7" t="s">
        <v>1696</v>
      </c>
    </row>
    <row r="876">
      <c r="A876" s="7" t="s">
        <v>3178</v>
      </c>
      <c r="B876" s="7" t="s">
        <v>3179</v>
      </c>
      <c r="C876" s="7" t="s">
        <v>3180</v>
      </c>
      <c r="D876" s="7" t="s">
        <v>7365</v>
      </c>
      <c r="E876" s="7" t="s">
        <v>1695</v>
      </c>
      <c r="F876" s="7" t="s">
        <v>1696</v>
      </c>
    </row>
    <row r="877">
      <c r="A877" s="7" t="s">
        <v>6046</v>
      </c>
      <c r="B877" s="7" t="s">
        <v>468</v>
      </c>
      <c r="C877" s="7" t="s">
        <v>1000</v>
      </c>
      <c r="D877" s="7" t="s">
        <v>7366</v>
      </c>
      <c r="E877" s="7" t="s">
        <v>1695</v>
      </c>
      <c r="F877" s="7" t="s">
        <v>1696</v>
      </c>
    </row>
    <row r="878">
      <c r="A878" s="7" t="s">
        <v>2901</v>
      </c>
      <c r="B878" s="7" t="s">
        <v>2902</v>
      </c>
      <c r="C878" s="7" t="s">
        <v>2903</v>
      </c>
      <c r="D878" s="7" t="s">
        <v>7367</v>
      </c>
      <c r="E878" s="7" t="s">
        <v>1695</v>
      </c>
      <c r="F878" s="7" t="s">
        <v>1696</v>
      </c>
    </row>
    <row r="879">
      <c r="A879" s="7" t="s">
        <v>2053</v>
      </c>
      <c r="B879" s="7" t="s">
        <v>2054</v>
      </c>
      <c r="C879" s="7" t="s">
        <v>2055</v>
      </c>
      <c r="D879" s="7" t="s">
        <v>7368</v>
      </c>
      <c r="E879" s="7" t="s">
        <v>1695</v>
      </c>
      <c r="F879" s="7" t="s">
        <v>1696</v>
      </c>
    </row>
    <row r="880">
      <c r="A880" s="7" t="s">
        <v>4509</v>
      </c>
      <c r="B880" s="7" t="s">
        <v>4510</v>
      </c>
      <c r="C880" s="7" t="s">
        <v>422</v>
      </c>
      <c r="D880" s="7" t="s">
        <v>7369</v>
      </c>
      <c r="E880" s="7" t="s">
        <v>1695</v>
      </c>
      <c r="F880" s="7" t="s">
        <v>1696</v>
      </c>
    </row>
    <row r="881">
      <c r="A881" s="7" t="s">
        <v>2894</v>
      </c>
      <c r="B881" s="7" t="s">
        <v>1417</v>
      </c>
      <c r="C881" s="7" t="s">
        <v>2895</v>
      </c>
      <c r="D881" s="7" t="s">
        <v>7370</v>
      </c>
      <c r="E881" s="7" t="s">
        <v>1695</v>
      </c>
      <c r="F881" s="7" t="s">
        <v>1696</v>
      </c>
    </row>
    <row r="882">
      <c r="A882" s="7" t="s">
        <v>3731</v>
      </c>
      <c r="B882" s="7" t="s">
        <v>1166</v>
      </c>
      <c r="C882" s="7" t="s">
        <v>3732</v>
      </c>
      <c r="D882" s="7" t="s">
        <v>7371</v>
      </c>
      <c r="E882" s="7" t="s">
        <v>1695</v>
      </c>
      <c r="F882" s="7" t="s">
        <v>1696</v>
      </c>
    </row>
    <row r="883">
      <c r="A883" s="7" t="s">
        <v>2307</v>
      </c>
      <c r="B883" s="7" t="s">
        <v>2308</v>
      </c>
      <c r="C883" s="7" t="s">
        <v>2309</v>
      </c>
      <c r="D883" s="7" t="s">
        <v>7372</v>
      </c>
      <c r="E883" s="7" t="s">
        <v>1695</v>
      </c>
      <c r="F883" s="7" t="s">
        <v>1696</v>
      </c>
    </row>
    <row r="884">
      <c r="A884" s="7" t="s">
        <v>4826</v>
      </c>
      <c r="B884" s="7" t="s">
        <v>4827</v>
      </c>
      <c r="C884" s="7" t="s">
        <v>2410</v>
      </c>
      <c r="D884" s="7" t="s">
        <v>7373</v>
      </c>
      <c r="E884" s="7" t="s">
        <v>1695</v>
      </c>
      <c r="F884" s="7" t="s">
        <v>1696</v>
      </c>
    </row>
    <row r="885">
      <c r="A885" s="7" t="s">
        <v>2556</v>
      </c>
      <c r="B885" s="7" t="s">
        <v>2441</v>
      </c>
      <c r="C885" s="7" t="s">
        <v>2557</v>
      </c>
      <c r="D885" s="7" t="s">
        <v>7374</v>
      </c>
      <c r="E885" s="7" t="s">
        <v>1695</v>
      </c>
      <c r="F885" s="7" t="s">
        <v>1696</v>
      </c>
    </row>
    <row r="886">
      <c r="A886" s="7" t="s">
        <v>2541</v>
      </c>
      <c r="B886" s="7" t="s">
        <v>279</v>
      </c>
      <c r="C886" s="7" t="s">
        <v>218</v>
      </c>
      <c r="D886" s="7" t="s">
        <v>7375</v>
      </c>
      <c r="E886" s="7" t="s">
        <v>1695</v>
      </c>
      <c r="F886" s="7" t="s">
        <v>1696</v>
      </c>
    </row>
    <row r="887">
      <c r="A887" s="7" t="s">
        <v>4783</v>
      </c>
      <c r="B887" s="7" t="s">
        <v>4784</v>
      </c>
      <c r="C887" s="7" t="s">
        <v>1862</v>
      </c>
      <c r="D887" s="7" t="s">
        <v>7376</v>
      </c>
      <c r="E887" s="7" t="s">
        <v>1695</v>
      </c>
      <c r="F887" s="7" t="s">
        <v>1696</v>
      </c>
    </row>
    <row r="888">
      <c r="A888" s="7" t="s">
        <v>3909</v>
      </c>
      <c r="B888" s="7" t="s">
        <v>1995</v>
      </c>
      <c r="C888" s="7" t="s">
        <v>2680</v>
      </c>
      <c r="D888" s="7" t="s">
        <v>7377</v>
      </c>
      <c r="E888" s="7" t="s">
        <v>1695</v>
      </c>
      <c r="F888" s="7" t="s">
        <v>1696</v>
      </c>
    </row>
    <row r="889">
      <c r="A889" s="7" t="s">
        <v>5658</v>
      </c>
      <c r="B889" s="7" t="s">
        <v>3799</v>
      </c>
      <c r="C889" s="7" t="s">
        <v>4540</v>
      </c>
      <c r="D889" s="7" t="s">
        <v>7378</v>
      </c>
      <c r="E889" s="7" t="s">
        <v>1695</v>
      </c>
      <c r="F889" s="7" t="s">
        <v>1696</v>
      </c>
    </row>
    <row r="890">
      <c r="A890" s="7" t="s">
        <v>5987</v>
      </c>
      <c r="B890" s="7" t="s">
        <v>316</v>
      </c>
      <c r="C890" s="7" t="s">
        <v>4601</v>
      </c>
      <c r="D890" s="7" t="s">
        <v>7379</v>
      </c>
      <c r="E890" s="7" t="s">
        <v>1695</v>
      </c>
      <c r="F890" s="7" t="s">
        <v>1696</v>
      </c>
    </row>
    <row r="891">
      <c r="A891" s="7" t="s">
        <v>5291</v>
      </c>
      <c r="B891" s="7" t="s">
        <v>5292</v>
      </c>
      <c r="C891" s="7" t="s">
        <v>649</v>
      </c>
      <c r="D891" s="7" t="s">
        <v>7380</v>
      </c>
      <c r="E891" s="7" t="s">
        <v>1695</v>
      </c>
      <c r="F891" s="7" t="s">
        <v>1696</v>
      </c>
    </row>
    <row r="892">
      <c r="A892" s="7" t="s">
        <v>4200</v>
      </c>
      <c r="B892" s="7" t="s">
        <v>1034</v>
      </c>
      <c r="C892" s="7" t="s">
        <v>4201</v>
      </c>
      <c r="D892" s="7" t="s">
        <v>7381</v>
      </c>
      <c r="E892" s="7" t="s">
        <v>1695</v>
      </c>
      <c r="F892" s="7" t="s">
        <v>1696</v>
      </c>
    </row>
    <row r="893">
      <c r="A893" s="7" t="s">
        <v>3312</v>
      </c>
      <c r="B893" s="7" t="s">
        <v>2431</v>
      </c>
      <c r="C893" s="7" t="s">
        <v>3313</v>
      </c>
      <c r="D893" s="7" t="s">
        <v>7382</v>
      </c>
      <c r="E893" s="7" t="s">
        <v>1695</v>
      </c>
      <c r="F893" s="7" t="s">
        <v>1696</v>
      </c>
    </row>
    <row r="894">
      <c r="A894" s="7" t="s">
        <v>3138</v>
      </c>
      <c r="B894" s="7" t="s">
        <v>261</v>
      </c>
      <c r="C894" s="7" t="s">
        <v>2047</v>
      </c>
      <c r="D894" s="7" t="s">
        <v>7383</v>
      </c>
      <c r="E894" s="7" t="s">
        <v>1695</v>
      </c>
      <c r="F894" s="7" t="s">
        <v>1696</v>
      </c>
    </row>
    <row r="895">
      <c r="A895" s="7" t="s">
        <v>2993</v>
      </c>
      <c r="B895" s="7" t="s">
        <v>2994</v>
      </c>
      <c r="C895" s="7" t="s">
        <v>32</v>
      </c>
      <c r="D895" s="7" t="s">
        <v>7384</v>
      </c>
      <c r="E895" s="7" t="s">
        <v>1695</v>
      </c>
      <c r="F895" s="7" t="s">
        <v>1696</v>
      </c>
    </row>
    <row r="896">
      <c r="A896" s="7" t="s">
        <v>3038</v>
      </c>
      <c r="B896" s="7" t="s">
        <v>1877</v>
      </c>
      <c r="C896" s="7" t="s">
        <v>1060</v>
      </c>
      <c r="D896" s="7" t="s">
        <v>7385</v>
      </c>
      <c r="E896" s="7" t="s">
        <v>1695</v>
      </c>
      <c r="F896" s="7" t="s">
        <v>1696</v>
      </c>
    </row>
    <row r="897">
      <c r="A897" s="7" t="s">
        <v>4557</v>
      </c>
      <c r="B897" s="7" t="s">
        <v>1208</v>
      </c>
      <c r="C897" s="7" t="s">
        <v>1271</v>
      </c>
      <c r="D897" s="7" t="s">
        <v>7386</v>
      </c>
      <c r="E897" s="7" t="s">
        <v>1695</v>
      </c>
      <c r="F897" s="7" t="s">
        <v>1696</v>
      </c>
    </row>
    <row r="898">
      <c r="A898" s="7" t="s">
        <v>4889</v>
      </c>
      <c r="B898" s="7" t="s">
        <v>1301</v>
      </c>
      <c r="C898" s="7" t="s">
        <v>4890</v>
      </c>
      <c r="D898" s="7" t="s">
        <v>7387</v>
      </c>
      <c r="E898" s="7" t="s">
        <v>1695</v>
      </c>
      <c r="F898" s="7" t="s">
        <v>1696</v>
      </c>
    </row>
    <row r="899">
      <c r="A899" s="7" t="s">
        <v>4276</v>
      </c>
      <c r="B899" s="7" t="s">
        <v>70</v>
      </c>
      <c r="C899" s="7" t="s">
        <v>4277</v>
      </c>
      <c r="D899" s="7" t="s">
        <v>7388</v>
      </c>
      <c r="E899" s="7" t="s">
        <v>1695</v>
      </c>
      <c r="F899" s="7" t="s">
        <v>1696</v>
      </c>
    </row>
    <row r="900">
      <c r="A900" s="7" t="s">
        <v>2678</v>
      </c>
      <c r="B900" s="7" t="s">
        <v>46</v>
      </c>
      <c r="C900" s="7" t="s">
        <v>1455</v>
      </c>
      <c r="D900" s="7" t="s">
        <v>7389</v>
      </c>
      <c r="E900" s="7" t="s">
        <v>1695</v>
      </c>
      <c r="F900" s="7" t="s">
        <v>1696</v>
      </c>
    </row>
    <row r="901">
      <c r="A901" s="7" t="s">
        <v>3911</v>
      </c>
      <c r="B901" s="7" t="s">
        <v>3896</v>
      </c>
      <c r="C901" s="7" t="s">
        <v>922</v>
      </c>
      <c r="D901" s="7" t="s">
        <v>7390</v>
      </c>
      <c r="E901" s="7" t="s">
        <v>1695</v>
      </c>
      <c r="F901" s="7" t="s">
        <v>1696</v>
      </c>
    </row>
    <row r="902">
      <c r="A902" s="7" t="s">
        <v>4919</v>
      </c>
      <c r="B902" s="7" t="s">
        <v>4920</v>
      </c>
      <c r="C902" s="7" t="s">
        <v>4921</v>
      </c>
      <c r="D902" s="7" t="s">
        <v>7391</v>
      </c>
      <c r="E902" s="7" t="s">
        <v>1695</v>
      </c>
      <c r="F902" s="7" t="s">
        <v>1696</v>
      </c>
    </row>
    <row r="903">
      <c r="A903" s="7" t="s">
        <v>5388</v>
      </c>
      <c r="B903" s="7" t="s">
        <v>4215</v>
      </c>
      <c r="C903" s="7" t="s">
        <v>224</v>
      </c>
      <c r="D903" s="7" t="s">
        <v>7392</v>
      </c>
      <c r="E903" s="7" t="s">
        <v>1695</v>
      </c>
      <c r="F903" s="7" t="s">
        <v>1696</v>
      </c>
    </row>
    <row r="904">
      <c r="A904" s="7" t="s">
        <v>4406</v>
      </c>
      <c r="B904" s="7" t="s">
        <v>4407</v>
      </c>
      <c r="C904" s="7" t="s">
        <v>918</v>
      </c>
      <c r="D904" s="7" t="s">
        <v>7393</v>
      </c>
      <c r="E904" s="7" t="s">
        <v>1695</v>
      </c>
      <c r="F904" s="7" t="s">
        <v>1696</v>
      </c>
    </row>
    <row r="905">
      <c r="A905" s="7" t="s">
        <v>4081</v>
      </c>
      <c r="B905" s="7" t="s">
        <v>4082</v>
      </c>
      <c r="C905" s="7" t="s">
        <v>4083</v>
      </c>
      <c r="D905" s="7" t="s">
        <v>7394</v>
      </c>
      <c r="E905" s="7" t="s">
        <v>1695</v>
      </c>
      <c r="F905" s="7" t="s">
        <v>1696</v>
      </c>
    </row>
    <row r="906">
      <c r="A906" s="7" t="s">
        <v>3060</v>
      </c>
      <c r="B906" s="7" t="s">
        <v>3061</v>
      </c>
      <c r="C906" s="7" t="s">
        <v>3062</v>
      </c>
      <c r="D906" s="7" t="s">
        <v>7395</v>
      </c>
      <c r="E906" s="7" t="s">
        <v>1695</v>
      </c>
      <c r="F906" s="7" t="s">
        <v>1696</v>
      </c>
    </row>
    <row r="907">
      <c r="A907" s="7" t="s">
        <v>5470</v>
      </c>
      <c r="B907" s="7" t="s">
        <v>5471</v>
      </c>
      <c r="C907" s="7" t="s">
        <v>196</v>
      </c>
      <c r="D907" s="7" t="s">
        <v>7396</v>
      </c>
      <c r="E907" s="7" t="s">
        <v>1695</v>
      </c>
      <c r="F907" s="7" t="s">
        <v>1696</v>
      </c>
    </row>
    <row r="908">
      <c r="A908" s="7" t="s">
        <v>4630</v>
      </c>
      <c r="B908" s="7" t="s">
        <v>4631</v>
      </c>
      <c r="C908" s="7" t="s">
        <v>4632</v>
      </c>
      <c r="D908" s="7" t="s">
        <v>7397</v>
      </c>
      <c r="E908" s="7" t="s">
        <v>1695</v>
      </c>
      <c r="F908" s="7" t="s">
        <v>1696</v>
      </c>
    </row>
    <row r="909">
      <c r="A909" s="7" t="s">
        <v>6314</v>
      </c>
      <c r="B909" s="7" t="s">
        <v>5592</v>
      </c>
      <c r="C909" s="7" t="s">
        <v>826</v>
      </c>
      <c r="D909" s="7" t="s">
        <v>7398</v>
      </c>
      <c r="E909" s="7" t="s">
        <v>1695</v>
      </c>
      <c r="F909" s="7" t="s">
        <v>1696</v>
      </c>
    </row>
    <row r="910">
      <c r="A910" s="7" t="s">
        <v>4887</v>
      </c>
      <c r="B910" s="7" t="s">
        <v>4888</v>
      </c>
      <c r="C910" s="7" t="s">
        <v>559</v>
      </c>
      <c r="D910" s="7" t="s">
        <v>7399</v>
      </c>
      <c r="E910" s="7" t="s">
        <v>1695</v>
      </c>
      <c r="F910" s="7" t="s">
        <v>1696</v>
      </c>
    </row>
    <row r="911">
      <c r="A911" s="7" t="s">
        <v>3858</v>
      </c>
      <c r="B911" s="7" t="s">
        <v>3791</v>
      </c>
      <c r="C911" s="7" t="s">
        <v>1710</v>
      </c>
      <c r="D911" s="7" t="s">
        <v>7400</v>
      </c>
      <c r="E911" s="7" t="s">
        <v>1695</v>
      </c>
      <c r="F911" s="7" t="s">
        <v>1696</v>
      </c>
    </row>
    <row r="912">
      <c r="A912" s="7" t="s">
        <v>5396</v>
      </c>
      <c r="B912" s="7" t="s">
        <v>3791</v>
      </c>
      <c r="C912" s="7" t="s">
        <v>1710</v>
      </c>
      <c r="D912" s="7" t="s">
        <v>7400</v>
      </c>
      <c r="E912" s="7" t="s">
        <v>1695</v>
      </c>
      <c r="F912" s="7" t="s">
        <v>1696</v>
      </c>
    </row>
    <row r="913">
      <c r="A913" s="7" t="s">
        <v>3121</v>
      </c>
      <c r="B913" s="7" t="s">
        <v>3122</v>
      </c>
      <c r="C913" s="7" t="s">
        <v>3123</v>
      </c>
      <c r="D913" s="7" t="s">
        <v>7401</v>
      </c>
      <c r="E913" s="7" t="s">
        <v>1695</v>
      </c>
      <c r="F913" s="7" t="s">
        <v>1696</v>
      </c>
    </row>
    <row r="914">
      <c r="A914" s="7" t="s">
        <v>3377</v>
      </c>
      <c r="B914" s="7" t="s">
        <v>3378</v>
      </c>
      <c r="C914" s="7" t="s">
        <v>3379</v>
      </c>
      <c r="D914" s="7" t="s">
        <v>7402</v>
      </c>
      <c r="E914" s="7" t="s">
        <v>1695</v>
      </c>
      <c r="F914" s="7" t="s">
        <v>1696</v>
      </c>
    </row>
    <row r="915">
      <c r="A915" s="7" t="s">
        <v>2949</v>
      </c>
      <c r="B915" s="7" t="s">
        <v>760</v>
      </c>
      <c r="C915" s="7" t="s">
        <v>2950</v>
      </c>
      <c r="D915" s="7" t="s">
        <v>7403</v>
      </c>
      <c r="E915" s="7" t="s">
        <v>1695</v>
      </c>
      <c r="F915" s="7" t="s">
        <v>1696</v>
      </c>
    </row>
    <row r="916">
      <c r="A916" s="7" t="s">
        <v>1813</v>
      </c>
      <c r="B916" s="7" t="s">
        <v>1814</v>
      </c>
      <c r="C916" s="7" t="s">
        <v>1815</v>
      </c>
      <c r="D916" s="7" t="s">
        <v>7404</v>
      </c>
      <c r="E916" s="7" t="s">
        <v>1695</v>
      </c>
      <c r="F916" s="7" t="s">
        <v>1696</v>
      </c>
    </row>
    <row r="917">
      <c r="A917" s="7" t="s">
        <v>3624</v>
      </c>
      <c r="B917" s="7" t="s">
        <v>35</v>
      </c>
      <c r="C917" s="7" t="s">
        <v>750</v>
      </c>
      <c r="D917" s="7" t="s">
        <v>7405</v>
      </c>
      <c r="E917" s="7" t="s">
        <v>1695</v>
      </c>
      <c r="F917" s="7" t="s">
        <v>1696</v>
      </c>
    </row>
    <row r="918">
      <c r="A918" s="7" t="s">
        <v>4435</v>
      </c>
      <c r="B918" s="7" t="s">
        <v>2952</v>
      </c>
      <c r="C918" s="7" t="s">
        <v>280</v>
      </c>
      <c r="D918" s="7" t="s">
        <v>7406</v>
      </c>
      <c r="E918" s="7" t="s">
        <v>1695</v>
      </c>
      <c r="F918" s="7" t="s">
        <v>1696</v>
      </c>
    </row>
    <row r="919">
      <c r="A919" s="7" t="s">
        <v>4899</v>
      </c>
      <c r="B919" s="7" t="s">
        <v>328</v>
      </c>
      <c r="C919" s="7" t="s">
        <v>422</v>
      </c>
      <c r="D919" s="7" t="s">
        <v>7407</v>
      </c>
      <c r="E919" s="7" t="s">
        <v>1695</v>
      </c>
      <c r="F919" s="7" t="s">
        <v>1696</v>
      </c>
    </row>
    <row r="920">
      <c r="A920" s="7" t="s">
        <v>5070</v>
      </c>
      <c r="B920" s="7" t="s">
        <v>3428</v>
      </c>
      <c r="C920" s="7" t="s">
        <v>5071</v>
      </c>
      <c r="D920" s="7" t="s">
        <v>7408</v>
      </c>
      <c r="E920" s="7" t="s">
        <v>1695</v>
      </c>
      <c r="F920" s="7" t="s">
        <v>1696</v>
      </c>
    </row>
    <row r="921">
      <c r="A921" s="7" t="s">
        <v>5989</v>
      </c>
      <c r="B921" s="7" t="s">
        <v>5746</v>
      </c>
      <c r="C921" s="7" t="s">
        <v>422</v>
      </c>
      <c r="D921" s="7" t="s">
        <v>7409</v>
      </c>
      <c r="E921" s="7" t="s">
        <v>1695</v>
      </c>
      <c r="F921" s="7" t="s">
        <v>1696</v>
      </c>
    </row>
    <row r="922">
      <c r="A922" s="7" t="s">
        <v>2322</v>
      </c>
      <c r="B922" s="7" t="s">
        <v>2323</v>
      </c>
      <c r="C922" s="7" t="s">
        <v>2324</v>
      </c>
      <c r="D922" s="7" t="s">
        <v>7410</v>
      </c>
      <c r="E922" s="7" t="s">
        <v>1695</v>
      </c>
      <c r="F922" s="7" t="s">
        <v>1696</v>
      </c>
    </row>
    <row r="923">
      <c r="A923" s="7" t="s">
        <v>2814</v>
      </c>
      <c r="B923" s="7" t="s">
        <v>58</v>
      </c>
      <c r="C923" s="7" t="s">
        <v>482</v>
      </c>
      <c r="D923" s="7" t="s">
        <v>7411</v>
      </c>
      <c r="E923" s="7" t="s">
        <v>1695</v>
      </c>
      <c r="F923" s="7" t="s">
        <v>1696</v>
      </c>
    </row>
    <row r="924">
      <c r="A924" s="7" t="s">
        <v>6308</v>
      </c>
      <c r="B924" s="7" t="s">
        <v>414</v>
      </c>
      <c r="C924" s="7" t="s">
        <v>6309</v>
      </c>
      <c r="D924" s="7" t="s">
        <v>7412</v>
      </c>
      <c r="E924" s="7" t="s">
        <v>1695</v>
      </c>
      <c r="F924" s="7" t="s">
        <v>1696</v>
      </c>
    </row>
    <row r="925">
      <c r="A925" s="7" t="s">
        <v>5700</v>
      </c>
      <c r="B925" s="7" t="s">
        <v>422</v>
      </c>
      <c r="C925" s="7" t="s">
        <v>1669</v>
      </c>
      <c r="D925" s="7" t="s">
        <v>7413</v>
      </c>
      <c r="E925" s="7" t="s">
        <v>1695</v>
      </c>
      <c r="F925" s="7" t="s">
        <v>1696</v>
      </c>
    </row>
    <row r="926">
      <c r="A926" s="7" t="s">
        <v>4098</v>
      </c>
      <c r="B926" s="7" t="s">
        <v>229</v>
      </c>
      <c r="C926" s="7" t="s">
        <v>4099</v>
      </c>
      <c r="D926" s="7" t="s">
        <v>7414</v>
      </c>
      <c r="E926" s="7" t="s">
        <v>1695</v>
      </c>
      <c r="F926" s="7" t="s">
        <v>1696</v>
      </c>
    </row>
    <row r="927">
      <c r="A927" s="7" t="s">
        <v>4138</v>
      </c>
      <c r="B927" s="7" t="s">
        <v>101</v>
      </c>
      <c r="C927" s="7" t="s">
        <v>2562</v>
      </c>
      <c r="D927" s="7" t="s">
        <v>7415</v>
      </c>
      <c r="E927" s="7" t="s">
        <v>1695</v>
      </c>
      <c r="F927" s="7" t="s">
        <v>1696</v>
      </c>
    </row>
    <row r="928">
      <c r="A928" s="7" t="s">
        <v>4163</v>
      </c>
      <c r="B928" s="7" t="s">
        <v>4164</v>
      </c>
      <c r="C928" s="7" t="s">
        <v>4165</v>
      </c>
      <c r="D928" s="7" t="s">
        <v>7416</v>
      </c>
      <c r="E928" s="7" t="s">
        <v>1695</v>
      </c>
      <c r="F928" s="7" t="s">
        <v>1696</v>
      </c>
    </row>
    <row r="929">
      <c r="A929" s="7" t="s">
        <v>2159</v>
      </c>
      <c r="B929" s="7" t="s">
        <v>245</v>
      </c>
      <c r="C929" s="7" t="s">
        <v>246</v>
      </c>
      <c r="D929" s="7" t="s">
        <v>7417</v>
      </c>
      <c r="E929" s="7" t="s">
        <v>1695</v>
      </c>
      <c r="F929" s="7" t="s">
        <v>1696</v>
      </c>
    </row>
    <row r="930">
      <c r="A930" s="7" t="s">
        <v>4387</v>
      </c>
      <c r="B930" s="7" t="s">
        <v>4388</v>
      </c>
      <c r="C930" s="7" t="s">
        <v>649</v>
      </c>
      <c r="D930" s="7" t="s">
        <v>7418</v>
      </c>
      <c r="E930" s="7" t="s">
        <v>1695</v>
      </c>
      <c r="F930" s="7" t="s">
        <v>1696</v>
      </c>
    </row>
    <row r="931">
      <c r="A931" s="7" t="s">
        <v>4585</v>
      </c>
      <c r="B931" s="7" t="s">
        <v>3406</v>
      </c>
      <c r="C931" s="7" t="s">
        <v>4586</v>
      </c>
      <c r="D931" s="7" t="s">
        <v>7419</v>
      </c>
      <c r="E931" s="7" t="s">
        <v>1695</v>
      </c>
      <c r="F931" s="7" t="s">
        <v>1696</v>
      </c>
    </row>
    <row r="932">
      <c r="A932" s="7" t="s">
        <v>6414</v>
      </c>
      <c r="B932" s="7" t="s">
        <v>6415</v>
      </c>
      <c r="C932" s="7" t="s">
        <v>798</v>
      </c>
      <c r="D932" s="7" t="s">
        <v>7420</v>
      </c>
      <c r="E932" s="7" t="s">
        <v>1695</v>
      </c>
      <c r="F932" s="7" t="s">
        <v>6318</v>
      </c>
    </row>
    <row r="933">
      <c r="A933" s="7" t="s">
        <v>5014</v>
      </c>
      <c r="B933" s="7" t="s">
        <v>356</v>
      </c>
      <c r="C933" s="7" t="s">
        <v>162</v>
      </c>
      <c r="D933" s="7" t="s">
        <v>7421</v>
      </c>
      <c r="E933" s="7" t="s">
        <v>1695</v>
      </c>
      <c r="F933" s="7" t="s">
        <v>1696</v>
      </c>
    </row>
    <row r="934">
      <c r="A934" s="7" t="s">
        <v>6395</v>
      </c>
      <c r="B934" s="7" t="s">
        <v>6396</v>
      </c>
      <c r="C934" s="7" t="s">
        <v>1226</v>
      </c>
      <c r="D934" s="7" t="s">
        <v>7422</v>
      </c>
      <c r="E934" s="7" t="s">
        <v>1695</v>
      </c>
      <c r="F934" s="7" t="s">
        <v>6318</v>
      </c>
    </row>
    <row r="935">
      <c r="A935" s="7" t="s">
        <v>4023</v>
      </c>
      <c r="B935" s="7" t="s">
        <v>4024</v>
      </c>
      <c r="C935" s="7" t="s">
        <v>4025</v>
      </c>
      <c r="D935" s="7" t="s">
        <v>7423</v>
      </c>
      <c r="E935" s="7" t="s">
        <v>1695</v>
      </c>
      <c r="F935" s="7" t="s">
        <v>1696</v>
      </c>
    </row>
    <row r="936">
      <c r="A936" s="7" t="s">
        <v>5818</v>
      </c>
      <c r="B936" s="7" t="s">
        <v>5819</v>
      </c>
      <c r="C936" s="7" t="s">
        <v>946</v>
      </c>
      <c r="D936" s="7" t="s">
        <v>7424</v>
      </c>
      <c r="E936" s="7" t="s">
        <v>1695</v>
      </c>
      <c r="F936" s="7" t="s">
        <v>1696</v>
      </c>
    </row>
    <row r="937">
      <c r="A937" s="7" t="s">
        <v>5026</v>
      </c>
      <c r="B937" s="7" t="s">
        <v>5027</v>
      </c>
      <c r="C937" s="7" t="s">
        <v>3009</v>
      </c>
      <c r="D937" s="7" t="s">
        <v>7425</v>
      </c>
      <c r="E937" s="7" t="s">
        <v>1695</v>
      </c>
      <c r="F937" s="7" t="s">
        <v>1696</v>
      </c>
    </row>
    <row r="938">
      <c r="A938" s="7" t="s">
        <v>4615</v>
      </c>
      <c r="B938" s="7" t="s">
        <v>3947</v>
      </c>
      <c r="C938" s="7" t="s">
        <v>1849</v>
      </c>
      <c r="D938" s="7" t="s">
        <v>7426</v>
      </c>
      <c r="E938" s="7" t="s">
        <v>1695</v>
      </c>
      <c r="F938" s="7" t="s">
        <v>1696</v>
      </c>
    </row>
    <row r="939">
      <c r="A939" s="7" t="s">
        <v>4695</v>
      </c>
      <c r="B939" s="7" t="s">
        <v>3919</v>
      </c>
      <c r="C939" s="7" t="s">
        <v>1000</v>
      </c>
      <c r="D939" s="7" t="s">
        <v>7427</v>
      </c>
      <c r="E939" s="7" t="s">
        <v>1695</v>
      </c>
      <c r="F939" s="7" t="s">
        <v>1696</v>
      </c>
    </row>
    <row r="940">
      <c r="A940" s="7" t="s">
        <v>5521</v>
      </c>
      <c r="B940" s="7" t="s">
        <v>5522</v>
      </c>
      <c r="C940" s="7" t="s">
        <v>414</v>
      </c>
      <c r="D940" s="7" t="s">
        <v>7428</v>
      </c>
      <c r="E940" s="7" t="s">
        <v>1695</v>
      </c>
      <c r="F940" s="7" t="s">
        <v>1696</v>
      </c>
    </row>
    <row r="941">
      <c r="A941" s="7" t="s">
        <v>5911</v>
      </c>
      <c r="B941" s="7" t="s">
        <v>2966</v>
      </c>
      <c r="C941" s="7" t="s">
        <v>5912</v>
      </c>
      <c r="D941" s="7" t="s">
        <v>7429</v>
      </c>
      <c r="E941" s="7" t="s">
        <v>1695</v>
      </c>
      <c r="F941" s="7" t="s">
        <v>1696</v>
      </c>
    </row>
    <row r="942">
      <c r="A942" s="7" t="s">
        <v>5796</v>
      </c>
      <c r="B942" s="7" t="s">
        <v>5331</v>
      </c>
      <c r="C942" s="7" t="s">
        <v>649</v>
      </c>
      <c r="D942" s="7" t="s">
        <v>7430</v>
      </c>
      <c r="E942" s="7" t="s">
        <v>1695</v>
      </c>
      <c r="F942" s="7" t="s">
        <v>1696</v>
      </c>
    </row>
    <row r="943">
      <c r="A943" s="7" t="s">
        <v>5241</v>
      </c>
      <c r="B943" s="7" t="s">
        <v>35</v>
      </c>
      <c r="C943" s="7" t="s">
        <v>5242</v>
      </c>
      <c r="D943" s="7" t="s">
        <v>7431</v>
      </c>
      <c r="E943" s="7" t="s">
        <v>1695</v>
      </c>
      <c r="F943" s="7" t="s">
        <v>1696</v>
      </c>
    </row>
    <row r="944">
      <c r="A944" s="7" t="s">
        <v>1749</v>
      </c>
      <c r="B944" s="7" t="s">
        <v>273</v>
      </c>
      <c r="C944" s="7" t="s">
        <v>96</v>
      </c>
      <c r="D944" s="7" t="s">
        <v>7432</v>
      </c>
      <c r="E944" s="7" t="s">
        <v>1695</v>
      </c>
      <c r="F944" s="7" t="s">
        <v>1696</v>
      </c>
    </row>
    <row r="945">
      <c r="A945" s="7" t="s">
        <v>6282</v>
      </c>
      <c r="B945" s="7" t="s">
        <v>1010</v>
      </c>
      <c r="C945" s="7" t="s">
        <v>3772</v>
      </c>
      <c r="D945" s="7" t="s">
        <v>7433</v>
      </c>
      <c r="E945" s="7" t="s">
        <v>1695</v>
      </c>
      <c r="F945" s="7" t="s">
        <v>1696</v>
      </c>
    </row>
    <row r="946">
      <c r="A946" s="7" t="s">
        <v>5376</v>
      </c>
      <c r="B946" s="7" t="s">
        <v>5377</v>
      </c>
      <c r="C946" s="7" t="s">
        <v>4519</v>
      </c>
      <c r="D946" s="7" t="s">
        <v>7434</v>
      </c>
      <c r="E946" s="7" t="s">
        <v>1695</v>
      </c>
      <c r="F946" s="7" t="s">
        <v>1696</v>
      </c>
    </row>
    <row r="947">
      <c r="A947" s="7" t="s">
        <v>4765</v>
      </c>
      <c r="B947" s="7" t="s">
        <v>1386</v>
      </c>
      <c r="C947" s="7" t="s">
        <v>4766</v>
      </c>
      <c r="D947" s="7" t="s">
        <v>7435</v>
      </c>
      <c r="E947" s="7" t="s">
        <v>1695</v>
      </c>
      <c r="F947" s="7" t="s">
        <v>1696</v>
      </c>
    </row>
    <row r="948">
      <c r="A948" s="7" t="s">
        <v>5983</v>
      </c>
      <c r="B948" s="7" t="s">
        <v>5984</v>
      </c>
      <c r="C948" s="7" t="s">
        <v>5985</v>
      </c>
      <c r="D948" s="7" t="s">
        <v>7436</v>
      </c>
      <c r="E948" s="7" t="s">
        <v>1695</v>
      </c>
      <c r="F948" s="7" t="s">
        <v>1696</v>
      </c>
    </row>
    <row r="949">
      <c r="A949" s="7" t="s">
        <v>6142</v>
      </c>
      <c r="B949" s="7" t="s">
        <v>6143</v>
      </c>
      <c r="C949" s="7" t="s">
        <v>3778</v>
      </c>
      <c r="D949" s="7" t="s">
        <v>7437</v>
      </c>
      <c r="E949" s="7" t="s">
        <v>1695</v>
      </c>
      <c r="F949" s="7" t="s">
        <v>1696</v>
      </c>
    </row>
    <row r="950">
      <c r="A950" s="7" t="s">
        <v>2310</v>
      </c>
      <c r="B950" s="7" t="s">
        <v>1773</v>
      </c>
      <c r="C950" s="7" t="s">
        <v>2311</v>
      </c>
      <c r="D950" s="7" t="s">
        <v>7438</v>
      </c>
      <c r="E950" s="7" t="s">
        <v>1695</v>
      </c>
      <c r="F950" s="7" t="s">
        <v>1696</v>
      </c>
    </row>
    <row r="951">
      <c r="A951" s="7" t="s">
        <v>4115</v>
      </c>
      <c r="B951" s="7" t="s">
        <v>978</v>
      </c>
      <c r="C951" s="7" t="s">
        <v>418</v>
      </c>
      <c r="D951" s="7" t="s">
        <v>7439</v>
      </c>
      <c r="E951" s="7" t="s">
        <v>1695</v>
      </c>
      <c r="F951" s="7" t="s">
        <v>1696</v>
      </c>
    </row>
    <row r="952">
      <c r="A952" s="7" t="s">
        <v>3956</v>
      </c>
      <c r="B952" s="7" t="s">
        <v>3803</v>
      </c>
      <c r="C952" s="7" t="s">
        <v>1803</v>
      </c>
      <c r="D952" s="7" t="s">
        <v>7440</v>
      </c>
      <c r="E952" s="7" t="s">
        <v>1695</v>
      </c>
      <c r="F952" s="7" t="s">
        <v>1696</v>
      </c>
    </row>
    <row r="953">
      <c r="A953" s="7" t="s">
        <v>2877</v>
      </c>
      <c r="B953" s="7" t="s">
        <v>2878</v>
      </c>
      <c r="C953" s="7" t="s">
        <v>2879</v>
      </c>
      <c r="D953" s="7" t="s">
        <v>7441</v>
      </c>
      <c r="E953" s="7" t="s">
        <v>1695</v>
      </c>
      <c r="F953" s="7" t="s">
        <v>1696</v>
      </c>
    </row>
    <row r="954">
      <c r="A954" s="7" t="s">
        <v>6210</v>
      </c>
      <c r="B954" s="7" t="s">
        <v>1284</v>
      </c>
      <c r="C954" s="7" t="s">
        <v>4878</v>
      </c>
      <c r="D954" s="7" t="s">
        <v>7442</v>
      </c>
      <c r="E954" s="7" t="s">
        <v>1695</v>
      </c>
      <c r="F954" s="7" t="s">
        <v>1696</v>
      </c>
    </row>
    <row r="955">
      <c r="A955" s="7" t="s">
        <v>4548</v>
      </c>
      <c r="B955" s="7" t="s">
        <v>4549</v>
      </c>
      <c r="C955" s="7" t="s">
        <v>3327</v>
      </c>
      <c r="D955" s="7" t="s">
        <v>7443</v>
      </c>
      <c r="E955" s="7" t="s">
        <v>1695</v>
      </c>
      <c r="F955" s="7" t="s">
        <v>1696</v>
      </c>
    </row>
    <row r="956">
      <c r="A956" s="7" t="s">
        <v>4268</v>
      </c>
      <c r="B956" s="7" t="s">
        <v>1739</v>
      </c>
      <c r="C956" s="7" t="s">
        <v>649</v>
      </c>
      <c r="D956" s="7" t="s">
        <v>7444</v>
      </c>
      <c r="E956" s="7" t="s">
        <v>1695</v>
      </c>
      <c r="F956" s="7" t="s">
        <v>1696</v>
      </c>
    </row>
    <row r="957">
      <c r="A957" s="7" t="s">
        <v>1772</v>
      </c>
      <c r="B957" s="7" t="s">
        <v>1773</v>
      </c>
      <c r="C957" s="7" t="s">
        <v>1774</v>
      </c>
      <c r="D957" s="7" t="s">
        <v>7445</v>
      </c>
      <c r="E957" s="7" t="s">
        <v>1695</v>
      </c>
      <c r="F957" s="7" t="s">
        <v>1696</v>
      </c>
    </row>
    <row r="958">
      <c r="A958" s="7" t="s">
        <v>1938</v>
      </c>
      <c r="B958" s="7" t="s">
        <v>1939</v>
      </c>
      <c r="C958" s="7" t="s">
        <v>1940</v>
      </c>
      <c r="D958" s="7" t="s">
        <v>7446</v>
      </c>
      <c r="E958" s="7" t="s">
        <v>1695</v>
      </c>
      <c r="F958" s="7" t="s">
        <v>1696</v>
      </c>
    </row>
    <row r="959">
      <c r="A959" s="7" t="s">
        <v>4340</v>
      </c>
      <c r="B959" s="7" t="s">
        <v>479</v>
      </c>
      <c r="C959" s="7" t="s">
        <v>4029</v>
      </c>
      <c r="D959" s="7" t="s">
        <v>7447</v>
      </c>
      <c r="E959" s="7" t="s">
        <v>1695</v>
      </c>
      <c r="F959" s="7" t="s">
        <v>1696</v>
      </c>
    </row>
    <row r="960">
      <c r="A960" s="7" t="s">
        <v>2852</v>
      </c>
      <c r="B960" s="7" t="s">
        <v>327</v>
      </c>
      <c r="C960" s="7" t="s">
        <v>1050</v>
      </c>
      <c r="D960" s="7" t="s">
        <v>7448</v>
      </c>
      <c r="E960" s="7" t="s">
        <v>1695</v>
      </c>
      <c r="F960" s="7" t="s">
        <v>1696</v>
      </c>
    </row>
    <row r="961">
      <c r="A961" s="7" t="s">
        <v>6150</v>
      </c>
      <c r="B961" s="7" t="s">
        <v>1778</v>
      </c>
      <c r="C961" s="7" t="s">
        <v>795</v>
      </c>
      <c r="D961" s="7" t="s">
        <v>7449</v>
      </c>
      <c r="E961" s="7" t="s">
        <v>1695</v>
      </c>
      <c r="F961" s="7" t="s">
        <v>1696</v>
      </c>
    </row>
    <row r="962">
      <c r="A962" s="7" t="s">
        <v>3710</v>
      </c>
      <c r="B962" s="7" t="s">
        <v>3711</v>
      </c>
      <c r="C962" s="7" t="s">
        <v>3712</v>
      </c>
      <c r="D962" s="7" t="s">
        <v>7450</v>
      </c>
      <c r="E962" s="7" t="s">
        <v>1695</v>
      </c>
      <c r="F962" s="7" t="s">
        <v>1696</v>
      </c>
    </row>
    <row r="963">
      <c r="A963" s="7" t="s">
        <v>2964</v>
      </c>
      <c r="B963" s="7" t="s">
        <v>1545</v>
      </c>
      <c r="C963" s="7" t="s">
        <v>134</v>
      </c>
      <c r="D963" s="7" t="s">
        <v>7451</v>
      </c>
      <c r="E963" s="7" t="s">
        <v>1695</v>
      </c>
      <c r="F963" s="7" t="s">
        <v>1696</v>
      </c>
    </row>
    <row r="964">
      <c r="A964" s="7" t="s">
        <v>2917</v>
      </c>
      <c r="B964" s="7" t="s">
        <v>612</v>
      </c>
      <c r="C964" s="7" t="s">
        <v>2918</v>
      </c>
      <c r="D964" s="7" t="s">
        <v>7452</v>
      </c>
      <c r="E964" s="7" t="s">
        <v>1695</v>
      </c>
      <c r="F964" s="7" t="s">
        <v>1696</v>
      </c>
    </row>
    <row r="965">
      <c r="A965" s="7" t="s">
        <v>3672</v>
      </c>
      <c r="B965" s="7" t="s">
        <v>58</v>
      </c>
      <c r="C965" s="7" t="s">
        <v>3673</v>
      </c>
      <c r="D965" s="7" t="s">
        <v>7453</v>
      </c>
      <c r="E965" s="7" t="s">
        <v>1695</v>
      </c>
      <c r="F965" s="7" t="s">
        <v>1696</v>
      </c>
    </row>
    <row r="966">
      <c r="A966" s="7" t="s">
        <v>2709</v>
      </c>
      <c r="B966" s="7" t="s">
        <v>1801</v>
      </c>
      <c r="C966" s="7" t="s">
        <v>1710</v>
      </c>
      <c r="D966" s="7" t="s">
        <v>7454</v>
      </c>
      <c r="E966" s="7" t="s">
        <v>1695</v>
      </c>
      <c r="F966" s="7" t="s">
        <v>1696</v>
      </c>
    </row>
    <row r="967">
      <c r="A967" s="7" t="s">
        <v>3834</v>
      </c>
      <c r="B967" s="7" t="s">
        <v>2539</v>
      </c>
      <c r="C967" s="7" t="s">
        <v>3835</v>
      </c>
      <c r="D967" s="7" t="s">
        <v>7455</v>
      </c>
      <c r="E967" s="7" t="s">
        <v>1695</v>
      </c>
      <c r="F967" s="7" t="s">
        <v>1696</v>
      </c>
    </row>
    <row r="968">
      <c r="A968" s="7" t="s">
        <v>3485</v>
      </c>
      <c r="B968" s="7" t="s">
        <v>188</v>
      </c>
      <c r="C968" s="7" t="s">
        <v>3486</v>
      </c>
      <c r="D968" s="7" t="s">
        <v>7456</v>
      </c>
      <c r="E968" s="7" t="s">
        <v>1695</v>
      </c>
      <c r="F968" s="7" t="s">
        <v>1696</v>
      </c>
    </row>
    <row r="969">
      <c r="A969" s="7" t="s">
        <v>3847</v>
      </c>
      <c r="B969" s="7" t="s">
        <v>297</v>
      </c>
      <c r="C969" s="7" t="s">
        <v>3848</v>
      </c>
      <c r="D969" s="7" t="s">
        <v>7457</v>
      </c>
      <c r="E969" s="7" t="s">
        <v>1695</v>
      </c>
      <c r="F969" s="7" t="s">
        <v>1696</v>
      </c>
    </row>
    <row r="970">
      <c r="A970" s="7" t="s">
        <v>3865</v>
      </c>
      <c r="B970" s="7" t="s">
        <v>1511</v>
      </c>
      <c r="C970" s="7" t="s">
        <v>3866</v>
      </c>
      <c r="D970" s="7" t="s">
        <v>7458</v>
      </c>
      <c r="E970" s="7" t="s">
        <v>1695</v>
      </c>
      <c r="F970" s="7" t="s">
        <v>1696</v>
      </c>
    </row>
    <row r="971">
      <c r="A971" s="7" t="s">
        <v>3362</v>
      </c>
      <c r="B971" s="7" t="s">
        <v>1905</v>
      </c>
      <c r="C971" s="7" t="s">
        <v>3363</v>
      </c>
      <c r="D971" s="7" t="s">
        <v>7459</v>
      </c>
      <c r="E971" s="7" t="s">
        <v>1695</v>
      </c>
      <c r="F971" s="7" t="s">
        <v>1696</v>
      </c>
    </row>
    <row r="972">
      <c r="A972" s="7" t="s">
        <v>4595</v>
      </c>
      <c r="B972" s="7" t="s">
        <v>1141</v>
      </c>
      <c r="C972" s="7" t="s">
        <v>1177</v>
      </c>
      <c r="D972" s="7" t="s">
        <v>7460</v>
      </c>
      <c r="E972" s="7" t="s">
        <v>1695</v>
      </c>
      <c r="F972" s="7" t="s">
        <v>1696</v>
      </c>
    </row>
    <row r="973">
      <c r="A973" s="7" t="s">
        <v>4394</v>
      </c>
      <c r="B973" s="7" t="s">
        <v>1000</v>
      </c>
      <c r="C973" s="7" t="s">
        <v>922</v>
      </c>
      <c r="D973" s="7" t="s">
        <v>7461</v>
      </c>
      <c r="E973" s="7" t="s">
        <v>1695</v>
      </c>
      <c r="F973" s="7" t="s">
        <v>1696</v>
      </c>
    </row>
    <row r="974">
      <c r="A974" s="7" t="s">
        <v>2821</v>
      </c>
      <c r="B974" s="7" t="s">
        <v>2822</v>
      </c>
      <c r="C974" s="7" t="s">
        <v>2823</v>
      </c>
      <c r="D974" s="7" t="s">
        <v>7462</v>
      </c>
      <c r="E974" s="7" t="s">
        <v>1695</v>
      </c>
      <c r="F974" s="7" t="s">
        <v>1696</v>
      </c>
    </row>
    <row r="975">
      <c r="A975" s="7" t="s">
        <v>4882</v>
      </c>
      <c r="B975" s="7" t="s">
        <v>4883</v>
      </c>
      <c r="C975" s="7" t="s">
        <v>4884</v>
      </c>
      <c r="D975" s="7" t="s">
        <v>7463</v>
      </c>
      <c r="E975" s="7" t="s">
        <v>1695</v>
      </c>
      <c r="F975" s="7" t="s">
        <v>1696</v>
      </c>
    </row>
    <row r="976">
      <c r="A976" s="7" t="s">
        <v>2429</v>
      </c>
      <c r="B976" s="7" t="s">
        <v>1358</v>
      </c>
      <c r="C976" s="7" t="s">
        <v>683</v>
      </c>
      <c r="D976" s="7" t="s">
        <v>7464</v>
      </c>
      <c r="E976" s="7" t="s">
        <v>1695</v>
      </c>
      <c r="F976" s="7" t="s">
        <v>1696</v>
      </c>
    </row>
    <row r="977">
      <c r="A977" s="7" t="s">
        <v>5119</v>
      </c>
      <c r="B977" s="7" t="s">
        <v>1177</v>
      </c>
      <c r="C977" s="7" t="s">
        <v>2177</v>
      </c>
      <c r="D977" s="7" t="s">
        <v>7465</v>
      </c>
      <c r="E977" s="7" t="s">
        <v>1695</v>
      </c>
      <c r="F977" s="7" t="s">
        <v>1696</v>
      </c>
    </row>
    <row r="978">
      <c r="A978" s="7" t="s">
        <v>5560</v>
      </c>
      <c r="B978" s="7" t="s">
        <v>5561</v>
      </c>
      <c r="C978" s="7" t="s">
        <v>1000</v>
      </c>
      <c r="D978" s="7" t="s">
        <v>7466</v>
      </c>
      <c r="E978" s="7" t="s">
        <v>1695</v>
      </c>
      <c r="F978" s="7" t="s">
        <v>1696</v>
      </c>
    </row>
    <row r="979">
      <c r="A979" s="7" t="s">
        <v>2231</v>
      </c>
      <c r="B979" s="7" t="s">
        <v>2232</v>
      </c>
      <c r="C979" s="7" t="s">
        <v>2232</v>
      </c>
      <c r="D979" s="7" t="s">
        <v>7467</v>
      </c>
      <c r="E979" s="7" t="s">
        <v>1695</v>
      </c>
      <c r="F979" s="7" t="s">
        <v>1696</v>
      </c>
    </row>
    <row r="980">
      <c r="A980" s="7" t="s">
        <v>2401</v>
      </c>
      <c r="B980" s="7" t="s">
        <v>2402</v>
      </c>
      <c r="C980" s="7" t="s">
        <v>2403</v>
      </c>
      <c r="D980" s="7" t="s">
        <v>7468</v>
      </c>
      <c r="E980" s="7" t="s">
        <v>1695</v>
      </c>
      <c r="F980" s="7" t="s">
        <v>1696</v>
      </c>
    </row>
    <row r="981">
      <c r="A981" s="7" t="s">
        <v>5185</v>
      </c>
      <c r="B981" s="7" t="s">
        <v>3163</v>
      </c>
      <c r="C981" s="7" t="s">
        <v>649</v>
      </c>
      <c r="D981" s="7" t="s">
        <v>7469</v>
      </c>
      <c r="E981" s="7" t="s">
        <v>1695</v>
      </c>
      <c r="F981" s="7" t="s">
        <v>1696</v>
      </c>
    </row>
    <row r="982">
      <c r="A982" s="7" t="s">
        <v>6324</v>
      </c>
      <c r="B982" s="7" t="s">
        <v>3163</v>
      </c>
      <c r="C982" s="7" t="s">
        <v>649</v>
      </c>
      <c r="D982" s="7" t="s">
        <v>7469</v>
      </c>
      <c r="E982" s="7" t="s">
        <v>1695</v>
      </c>
      <c r="F982" s="7" t="s">
        <v>6318</v>
      </c>
    </row>
    <row r="983">
      <c r="A983" s="7" t="s">
        <v>1889</v>
      </c>
      <c r="B983" s="7" t="s">
        <v>1890</v>
      </c>
      <c r="C983" s="7" t="s">
        <v>1667</v>
      </c>
      <c r="D983" s="7" t="s">
        <v>7470</v>
      </c>
      <c r="E983" s="7" t="s">
        <v>1695</v>
      </c>
      <c r="F983" s="7" t="s">
        <v>1696</v>
      </c>
    </row>
    <row r="984">
      <c r="A984" s="7" t="s">
        <v>3494</v>
      </c>
      <c r="B984" s="7" t="s">
        <v>1911</v>
      </c>
      <c r="C984" s="7" t="s">
        <v>838</v>
      </c>
      <c r="D984" s="7" t="s">
        <v>7471</v>
      </c>
      <c r="E984" s="7" t="s">
        <v>1695</v>
      </c>
      <c r="F984" s="7" t="s">
        <v>1696</v>
      </c>
    </row>
    <row r="985">
      <c r="A985" s="7" t="s">
        <v>2947</v>
      </c>
      <c r="B985" s="7" t="s">
        <v>2948</v>
      </c>
      <c r="C985" s="7" t="s">
        <v>2941</v>
      </c>
      <c r="D985" s="7" t="s">
        <v>7472</v>
      </c>
      <c r="E985" s="7" t="s">
        <v>1695</v>
      </c>
      <c r="F985" s="7" t="s">
        <v>1696</v>
      </c>
    </row>
    <row r="986">
      <c r="A986" s="7" t="s">
        <v>6132</v>
      </c>
      <c r="B986" s="7" t="s">
        <v>5805</v>
      </c>
      <c r="C986" s="7" t="s">
        <v>4110</v>
      </c>
      <c r="D986" s="7" t="s">
        <v>7473</v>
      </c>
      <c r="E986" s="7" t="s">
        <v>1695</v>
      </c>
      <c r="F986" s="7" t="s">
        <v>1696</v>
      </c>
    </row>
    <row r="987">
      <c r="A987" s="7" t="s">
        <v>6060</v>
      </c>
      <c r="B987" s="7" t="s">
        <v>420</v>
      </c>
      <c r="C987" s="7" t="s">
        <v>6061</v>
      </c>
      <c r="D987" s="7" t="s">
        <v>7474</v>
      </c>
      <c r="E987" s="7" t="s">
        <v>1695</v>
      </c>
      <c r="F987" s="7" t="s">
        <v>1696</v>
      </c>
    </row>
    <row r="988">
      <c r="A988" s="7" t="s">
        <v>3215</v>
      </c>
      <c r="B988" s="7" t="s">
        <v>46</v>
      </c>
      <c r="C988" s="7" t="s">
        <v>3216</v>
      </c>
      <c r="D988" s="7" t="s">
        <v>7475</v>
      </c>
      <c r="E988" s="7" t="s">
        <v>1695</v>
      </c>
      <c r="F988" s="7" t="s">
        <v>1696</v>
      </c>
    </row>
    <row r="989">
      <c r="A989" s="7" t="s">
        <v>5797</v>
      </c>
      <c r="B989" s="7" t="s">
        <v>3089</v>
      </c>
      <c r="C989" s="7" t="s">
        <v>664</v>
      </c>
      <c r="D989" s="7" t="s">
        <v>7476</v>
      </c>
      <c r="E989" s="7" t="s">
        <v>1695</v>
      </c>
      <c r="F989" s="7" t="s">
        <v>1696</v>
      </c>
    </row>
    <row r="990">
      <c r="A990" s="7" t="s">
        <v>5536</v>
      </c>
      <c r="B990" s="7" t="s">
        <v>5537</v>
      </c>
      <c r="C990" s="7" t="s">
        <v>3875</v>
      </c>
      <c r="D990" s="7" t="s">
        <v>7477</v>
      </c>
      <c r="E990" s="7" t="s">
        <v>1695</v>
      </c>
      <c r="F990" s="7" t="s">
        <v>1696</v>
      </c>
    </row>
    <row r="991">
      <c r="A991" s="7" t="s">
        <v>5440</v>
      </c>
      <c r="B991" s="7" t="s">
        <v>5441</v>
      </c>
      <c r="C991" s="7" t="s">
        <v>4383</v>
      </c>
      <c r="D991" s="7" t="s">
        <v>7478</v>
      </c>
      <c r="E991" s="7" t="s">
        <v>1695</v>
      </c>
      <c r="F991" s="7" t="s">
        <v>1696</v>
      </c>
    </row>
    <row r="992">
      <c r="A992" s="7" t="s">
        <v>4380</v>
      </c>
      <c r="B992" s="7" t="s">
        <v>787</v>
      </c>
      <c r="C992" s="7" t="s">
        <v>2562</v>
      </c>
      <c r="D992" s="7" t="s">
        <v>7479</v>
      </c>
      <c r="E992" s="7" t="s">
        <v>1695</v>
      </c>
      <c r="F992" s="7" t="s">
        <v>1696</v>
      </c>
    </row>
    <row r="993">
      <c r="A993" s="7" t="s">
        <v>4076</v>
      </c>
      <c r="B993" s="7" t="s">
        <v>162</v>
      </c>
      <c r="C993" s="7" t="s">
        <v>4077</v>
      </c>
      <c r="D993" s="7" t="s">
        <v>7480</v>
      </c>
      <c r="E993" s="7" t="s">
        <v>1695</v>
      </c>
      <c r="F993" s="7" t="s">
        <v>1696</v>
      </c>
    </row>
    <row r="994">
      <c r="A994" s="7" t="s">
        <v>1991</v>
      </c>
      <c r="B994" s="7" t="s">
        <v>703</v>
      </c>
      <c r="C994" s="7" t="s">
        <v>1522</v>
      </c>
      <c r="D994" s="7" t="s">
        <v>7481</v>
      </c>
      <c r="E994" s="7" t="s">
        <v>1695</v>
      </c>
      <c r="F994" s="7" t="s">
        <v>1696</v>
      </c>
    </row>
    <row r="995">
      <c r="A995" s="7" t="s">
        <v>5913</v>
      </c>
      <c r="B995" s="7" t="s">
        <v>5914</v>
      </c>
      <c r="C995" s="7" t="s">
        <v>5915</v>
      </c>
      <c r="D995" s="7" t="s">
        <v>7482</v>
      </c>
      <c r="E995" s="7" t="s">
        <v>1695</v>
      </c>
      <c r="F995" s="7" t="s">
        <v>1696</v>
      </c>
    </row>
    <row r="996">
      <c r="A996" s="7" t="s">
        <v>2095</v>
      </c>
      <c r="B996" s="7" t="s">
        <v>101</v>
      </c>
      <c r="C996" s="7" t="s">
        <v>179</v>
      </c>
      <c r="D996" s="7" t="s">
        <v>7483</v>
      </c>
      <c r="E996" s="7" t="s">
        <v>1695</v>
      </c>
      <c r="F996" s="7" t="s">
        <v>1696</v>
      </c>
    </row>
    <row r="997">
      <c r="A997" s="7" t="s">
        <v>3326</v>
      </c>
      <c r="B997" s="7" t="s">
        <v>2886</v>
      </c>
      <c r="C997" s="7" t="s">
        <v>3327</v>
      </c>
      <c r="D997" s="7" t="s">
        <v>7484</v>
      </c>
      <c r="E997" s="7" t="s">
        <v>1695</v>
      </c>
      <c r="F997" s="7" t="s">
        <v>1696</v>
      </c>
    </row>
    <row r="998">
      <c r="A998" s="7" t="s">
        <v>3650</v>
      </c>
      <c r="B998" s="7" t="s">
        <v>1736</v>
      </c>
      <c r="C998" s="7" t="s">
        <v>3651</v>
      </c>
      <c r="D998" s="7" t="s">
        <v>7485</v>
      </c>
      <c r="E998" s="7" t="s">
        <v>1695</v>
      </c>
      <c r="F998" s="7" t="s">
        <v>1696</v>
      </c>
    </row>
    <row r="999">
      <c r="A999" s="7" t="s">
        <v>1734</v>
      </c>
      <c r="B999" s="7" t="s">
        <v>304</v>
      </c>
      <c r="C999" s="7" t="s">
        <v>1066</v>
      </c>
      <c r="D999" s="7" t="s">
        <v>7486</v>
      </c>
      <c r="E999" s="7" t="s">
        <v>1695</v>
      </c>
      <c r="F999" s="7" t="s">
        <v>1696</v>
      </c>
    </row>
    <row r="1000">
      <c r="A1000" s="7" t="s">
        <v>2683</v>
      </c>
      <c r="B1000" s="7" t="s">
        <v>2553</v>
      </c>
      <c r="C1000" s="7" t="s">
        <v>2554</v>
      </c>
      <c r="D1000" s="7" t="s">
        <v>7487</v>
      </c>
      <c r="E1000" s="7" t="s">
        <v>1695</v>
      </c>
      <c r="F1000" s="7" t="s">
        <v>1696</v>
      </c>
    </row>
    <row r="1001">
      <c r="A1001" s="7" t="s">
        <v>5050</v>
      </c>
      <c r="B1001" s="7" t="s">
        <v>131</v>
      </c>
      <c r="C1001" s="7" t="s">
        <v>649</v>
      </c>
      <c r="D1001" s="7" t="s">
        <v>7488</v>
      </c>
      <c r="E1001" s="7" t="s">
        <v>1695</v>
      </c>
      <c r="F1001" s="7" t="s">
        <v>1696</v>
      </c>
    </row>
    <row r="1002">
      <c r="A1002" s="7" t="s">
        <v>6297</v>
      </c>
      <c r="B1002" s="7" t="s">
        <v>6298</v>
      </c>
      <c r="C1002" s="7" t="s">
        <v>6120</v>
      </c>
      <c r="D1002" s="7" t="s">
        <v>7489</v>
      </c>
      <c r="E1002" s="7" t="s">
        <v>1695</v>
      </c>
      <c r="F1002" s="7" t="s">
        <v>1696</v>
      </c>
    </row>
    <row r="1003">
      <c r="A1003" s="7" t="s">
        <v>2224</v>
      </c>
      <c r="B1003" s="7" t="s">
        <v>2225</v>
      </c>
      <c r="C1003" s="7" t="s">
        <v>671</v>
      </c>
      <c r="D1003" s="7" t="s">
        <v>7490</v>
      </c>
      <c r="E1003" s="7" t="s">
        <v>1695</v>
      </c>
      <c r="F1003" s="7" t="s">
        <v>1696</v>
      </c>
    </row>
    <row r="1004">
      <c r="A1004" s="7" t="s">
        <v>5039</v>
      </c>
      <c r="B1004" s="7" t="s">
        <v>5040</v>
      </c>
      <c r="C1004" s="7" t="s">
        <v>2084</v>
      </c>
      <c r="D1004" s="7" t="s">
        <v>7491</v>
      </c>
      <c r="E1004" s="7" t="s">
        <v>1695</v>
      </c>
      <c r="F1004" s="7" t="s">
        <v>1696</v>
      </c>
    </row>
    <row r="1005">
      <c r="A1005" s="7" t="s">
        <v>1775</v>
      </c>
      <c r="B1005" s="7" t="s">
        <v>46</v>
      </c>
      <c r="C1005" s="7" t="s">
        <v>1776</v>
      </c>
      <c r="D1005" s="7" t="s">
        <v>7492</v>
      </c>
      <c r="E1005" s="7" t="s">
        <v>1695</v>
      </c>
      <c r="F1005" s="7" t="s">
        <v>1696</v>
      </c>
    </row>
    <row r="1006">
      <c r="A1006" s="7" t="s">
        <v>3698</v>
      </c>
      <c r="B1006" s="7" t="s">
        <v>2509</v>
      </c>
      <c r="C1006" s="7" t="s">
        <v>143</v>
      </c>
      <c r="D1006" s="7" t="s">
        <v>7493</v>
      </c>
      <c r="E1006" s="7" t="s">
        <v>1695</v>
      </c>
      <c r="F1006" s="7" t="s">
        <v>1696</v>
      </c>
    </row>
    <row r="1007">
      <c r="A1007" s="7" t="s">
        <v>6307</v>
      </c>
      <c r="B1007" s="7" t="s">
        <v>2045</v>
      </c>
      <c r="C1007" s="7" t="s">
        <v>838</v>
      </c>
      <c r="D1007" s="7" t="s">
        <v>7494</v>
      </c>
      <c r="E1007" s="7" t="s">
        <v>1695</v>
      </c>
      <c r="F1007" s="7" t="s">
        <v>1696</v>
      </c>
    </row>
    <row r="1008">
      <c r="A1008" s="7" t="s">
        <v>3332</v>
      </c>
      <c r="B1008" s="7" t="s">
        <v>46</v>
      </c>
      <c r="C1008" s="7" t="s">
        <v>3333</v>
      </c>
      <c r="D1008" s="7" t="s">
        <v>7495</v>
      </c>
      <c r="E1008" s="7" t="s">
        <v>1695</v>
      </c>
      <c r="F1008" s="7" t="s">
        <v>1696</v>
      </c>
    </row>
    <row r="1009">
      <c r="A1009" s="7" t="s">
        <v>3627</v>
      </c>
      <c r="B1009" s="7" t="s">
        <v>3628</v>
      </c>
      <c r="C1009" s="7" t="s">
        <v>3629</v>
      </c>
      <c r="D1009" s="7" t="s">
        <v>7496</v>
      </c>
      <c r="E1009" s="7" t="s">
        <v>1695</v>
      </c>
      <c r="F1009" s="7" t="s">
        <v>1696</v>
      </c>
    </row>
    <row r="1010">
      <c r="A1010" s="7" t="s">
        <v>4829</v>
      </c>
      <c r="B1010" s="7" t="s">
        <v>1954</v>
      </c>
      <c r="C1010" s="7" t="s">
        <v>566</v>
      </c>
      <c r="D1010" s="7" t="s">
        <v>7497</v>
      </c>
      <c r="E1010" s="7" t="s">
        <v>1695</v>
      </c>
      <c r="F1010" s="7" t="s">
        <v>1696</v>
      </c>
    </row>
    <row r="1011">
      <c r="A1011" s="7" t="s">
        <v>6184</v>
      </c>
      <c r="B1011" s="7" t="s">
        <v>1005</v>
      </c>
      <c r="C1011" s="7" t="s">
        <v>3863</v>
      </c>
      <c r="D1011" s="7" t="s">
        <v>7498</v>
      </c>
      <c r="E1011" s="7" t="s">
        <v>1695</v>
      </c>
      <c r="F1011" s="7" t="s">
        <v>1696</v>
      </c>
    </row>
    <row r="1012">
      <c r="A1012" s="7" t="s">
        <v>4697</v>
      </c>
      <c r="B1012" s="7" t="s">
        <v>2637</v>
      </c>
      <c r="C1012" s="7" t="s">
        <v>4698</v>
      </c>
      <c r="D1012" s="7" t="s">
        <v>7499</v>
      </c>
      <c r="E1012" s="7" t="s">
        <v>1695</v>
      </c>
      <c r="F1012" s="7" t="s">
        <v>1696</v>
      </c>
    </row>
    <row r="1013">
      <c r="A1013" s="7" t="s">
        <v>3859</v>
      </c>
      <c r="B1013" s="7" t="s">
        <v>32</v>
      </c>
      <c r="C1013" s="7" t="s">
        <v>3860</v>
      </c>
      <c r="D1013" s="7" t="s">
        <v>7500</v>
      </c>
      <c r="E1013" s="7" t="s">
        <v>1695</v>
      </c>
      <c r="F1013" s="7" t="s">
        <v>1696</v>
      </c>
    </row>
    <row r="1014">
      <c r="A1014" s="7" t="s">
        <v>2276</v>
      </c>
      <c r="B1014" s="7" t="s">
        <v>2277</v>
      </c>
      <c r="C1014" s="7" t="s">
        <v>2278</v>
      </c>
      <c r="D1014" s="7" t="s">
        <v>7501</v>
      </c>
      <c r="E1014" s="7" t="s">
        <v>1695</v>
      </c>
      <c r="F1014" s="7" t="s">
        <v>1696</v>
      </c>
    </row>
    <row r="1015">
      <c r="A1015" s="7" t="s">
        <v>2546</v>
      </c>
      <c r="B1015" s="7" t="s">
        <v>849</v>
      </c>
      <c r="C1015" s="7" t="s">
        <v>2547</v>
      </c>
      <c r="D1015" s="7" t="s">
        <v>7502</v>
      </c>
      <c r="E1015" s="7" t="s">
        <v>1695</v>
      </c>
      <c r="F1015" s="7" t="s">
        <v>1696</v>
      </c>
    </row>
    <row r="1016">
      <c r="A1016" s="7" t="s">
        <v>6266</v>
      </c>
      <c r="B1016" s="7" t="s">
        <v>4764</v>
      </c>
      <c r="C1016" s="7" t="s">
        <v>274</v>
      </c>
      <c r="D1016" s="7" t="s">
        <v>7503</v>
      </c>
      <c r="E1016" s="7" t="s">
        <v>1695</v>
      </c>
      <c r="F1016" s="7" t="s">
        <v>1696</v>
      </c>
    </row>
    <row r="1017">
      <c r="A1017" s="7" t="s">
        <v>5129</v>
      </c>
      <c r="B1017" s="7" t="s">
        <v>5130</v>
      </c>
      <c r="C1017" s="7" t="s">
        <v>5131</v>
      </c>
      <c r="D1017" s="7" t="s">
        <v>7504</v>
      </c>
      <c r="E1017" s="7" t="s">
        <v>1695</v>
      </c>
      <c r="F1017" s="7" t="s">
        <v>1696</v>
      </c>
    </row>
    <row r="1018">
      <c r="A1018" s="7" t="s">
        <v>5139</v>
      </c>
      <c r="B1018" s="7" t="s">
        <v>5130</v>
      </c>
      <c r="C1018" s="7" t="s">
        <v>5131</v>
      </c>
      <c r="D1018" s="7" t="s">
        <v>7504</v>
      </c>
      <c r="E1018" s="7" t="s">
        <v>1695</v>
      </c>
      <c r="F1018" s="7" t="s">
        <v>1696</v>
      </c>
    </row>
    <row r="1019">
      <c r="A1019" s="7" t="s">
        <v>5943</v>
      </c>
      <c r="B1019" s="7" t="s">
        <v>5944</v>
      </c>
      <c r="C1019" s="7" t="s">
        <v>916</v>
      </c>
      <c r="D1019" s="7" t="s">
        <v>7505</v>
      </c>
      <c r="E1019" s="7" t="s">
        <v>1695</v>
      </c>
      <c r="F1019" s="7" t="s">
        <v>1696</v>
      </c>
    </row>
    <row r="1020">
      <c r="A1020" s="7" t="s">
        <v>3391</v>
      </c>
      <c r="B1020" s="7" t="s">
        <v>3392</v>
      </c>
      <c r="C1020" s="7" t="s">
        <v>3393</v>
      </c>
      <c r="D1020" s="7" t="s">
        <v>7506</v>
      </c>
      <c r="E1020" s="7" t="s">
        <v>1695</v>
      </c>
      <c r="F1020" s="7" t="s">
        <v>1696</v>
      </c>
    </row>
    <row r="1021">
      <c r="A1021" s="7" t="s">
        <v>6290</v>
      </c>
      <c r="B1021" s="7" t="s">
        <v>1130</v>
      </c>
      <c r="C1021" s="7" t="s">
        <v>6291</v>
      </c>
      <c r="D1021" s="7" t="s">
        <v>7507</v>
      </c>
      <c r="E1021" s="7" t="s">
        <v>1695</v>
      </c>
      <c r="F1021" s="7" t="s">
        <v>1696</v>
      </c>
    </row>
    <row r="1022">
      <c r="A1022" s="7" t="s">
        <v>6228</v>
      </c>
      <c r="B1022" s="7" t="s">
        <v>6229</v>
      </c>
      <c r="C1022" s="7" t="s">
        <v>5873</v>
      </c>
      <c r="D1022" s="7" t="s">
        <v>7508</v>
      </c>
      <c r="E1022" s="7" t="s">
        <v>1695</v>
      </c>
      <c r="F1022" s="7" t="s">
        <v>1696</v>
      </c>
    </row>
    <row r="1023">
      <c r="A1023" s="7" t="s">
        <v>1825</v>
      </c>
      <c r="B1023" s="7" t="s">
        <v>1826</v>
      </c>
      <c r="C1023" s="7" t="s">
        <v>1827</v>
      </c>
      <c r="D1023" s="7" t="s">
        <v>7509</v>
      </c>
      <c r="E1023" s="7" t="s">
        <v>1695</v>
      </c>
      <c r="F1023" s="7" t="s">
        <v>1696</v>
      </c>
    </row>
    <row r="1024">
      <c r="A1024" s="7" t="s">
        <v>4983</v>
      </c>
      <c r="B1024" s="7" t="s">
        <v>553</v>
      </c>
      <c r="C1024" s="7" t="s">
        <v>4984</v>
      </c>
      <c r="D1024" s="7" t="s">
        <v>7510</v>
      </c>
      <c r="E1024" s="7" t="s">
        <v>1695</v>
      </c>
      <c r="F1024" s="7" t="s">
        <v>1696</v>
      </c>
    </row>
    <row r="1025">
      <c r="A1025" s="7" t="s">
        <v>5691</v>
      </c>
      <c r="B1025" s="7" t="s">
        <v>58</v>
      </c>
      <c r="C1025" s="7" t="s">
        <v>4114</v>
      </c>
      <c r="D1025" s="7" t="s">
        <v>7511</v>
      </c>
      <c r="E1025" s="7" t="s">
        <v>1695</v>
      </c>
      <c r="F1025" s="7" t="s">
        <v>1696</v>
      </c>
    </row>
    <row r="1026">
      <c r="A1026" s="7" t="s">
        <v>3001</v>
      </c>
      <c r="B1026" s="7" t="s">
        <v>92</v>
      </c>
      <c r="C1026" s="7" t="s">
        <v>649</v>
      </c>
      <c r="D1026" s="7" t="s">
        <v>7512</v>
      </c>
      <c r="E1026" s="7" t="s">
        <v>1695</v>
      </c>
      <c r="F1026" s="7" t="s">
        <v>1696</v>
      </c>
    </row>
    <row r="1027">
      <c r="A1027" s="7" t="s">
        <v>3757</v>
      </c>
      <c r="B1027" s="7" t="s">
        <v>3758</v>
      </c>
      <c r="C1027" s="7" t="s">
        <v>918</v>
      </c>
      <c r="D1027" s="7" t="s">
        <v>7513</v>
      </c>
      <c r="E1027" s="7" t="s">
        <v>1695</v>
      </c>
      <c r="F1027" s="7" t="s">
        <v>1696</v>
      </c>
    </row>
    <row r="1028">
      <c r="A1028" s="7" t="s">
        <v>1978</v>
      </c>
      <c r="B1028" s="7" t="s">
        <v>1442</v>
      </c>
      <c r="C1028" s="7" t="s">
        <v>1979</v>
      </c>
      <c r="D1028" s="7" t="s">
        <v>7514</v>
      </c>
      <c r="E1028" s="7" t="s">
        <v>1695</v>
      </c>
      <c r="F1028" s="7" t="s">
        <v>1696</v>
      </c>
    </row>
    <row r="1029">
      <c r="A1029" s="7" t="s">
        <v>5512</v>
      </c>
      <c r="B1029" s="7" t="s">
        <v>4114</v>
      </c>
      <c r="C1029" s="7" t="s">
        <v>1522</v>
      </c>
      <c r="D1029" s="7" t="s">
        <v>7515</v>
      </c>
      <c r="E1029" s="7" t="s">
        <v>1695</v>
      </c>
      <c r="F1029" s="7" t="s">
        <v>1696</v>
      </c>
    </row>
    <row r="1030">
      <c r="A1030" s="7" t="s">
        <v>3846</v>
      </c>
      <c r="B1030" s="7" t="s">
        <v>2045</v>
      </c>
      <c r="C1030" s="7" t="s">
        <v>3428</v>
      </c>
      <c r="D1030" s="7" t="s">
        <v>7516</v>
      </c>
      <c r="E1030" s="7" t="s">
        <v>1695</v>
      </c>
      <c r="F1030" s="7" t="s">
        <v>1696</v>
      </c>
    </row>
    <row r="1031">
      <c r="A1031" s="7" t="s">
        <v>2837</v>
      </c>
      <c r="B1031" s="7" t="s">
        <v>104</v>
      </c>
      <c r="C1031" s="7" t="s">
        <v>2838</v>
      </c>
      <c r="D1031" s="7" t="s">
        <v>7517</v>
      </c>
      <c r="E1031" s="7" t="s">
        <v>1695</v>
      </c>
      <c r="F1031" s="7" t="s">
        <v>1696</v>
      </c>
    </row>
    <row r="1032">
      <c r="A1032" s="7" t="s">
        <v>3265</v>
      </c>
      <c r="B1032" s="7" t="s">
        <v>1532</v>
      </c>
      <c r="C1032" s="7" t="s">
        <v>3266</v>
      </c>
      <c r="D1032" s="7" t="s">
        <v>7518</v>
      </c>
      <c r="E1032" s="7" t="s">
        <v>1695</v>
      </c>
      <c r="F1032" s="7" t="s">
        <v>1696</v>
      </c>
    </row>
    <row r="1033">
      <c r="A1033" s="7" t="s">
        <v>4500</v>
      </c>
      <c r="B1033" s="7" t="s">
        <v>111</v>
      </c>
      <c r="C1033" s="7" t="s">
        <v>468</v>
      </c>
      <c r="D1033" s="7" t="s">
        <v>7519</v>
      </c>
      <c r="E1033" s="7" t="s">
        <v>1695</v>
      </c>
      <c r="F1033" s="7" t="s">
        <v>1696</v>
      </c>
    </row>
    <row r="1034">
      <c r="A1034" s="7" t="s">
        <v>5900</v>
      </c>
      <c r="B1034" s="7" t="s">
        <v>1208</v>
      </c>
      <c r="C1034" s="7" t="s">
        <v>5006</v>
      </c>
      <c r="D1034" s="7" t="s">
        <v>7520</v>
      </c>
      <c r="E1034" s="7" t="s">
        <v>1695</v>
      </c>
      <c r="F1034" s="7" t="s">
        <v>1696</v>
      </c>
    </row>
    <row r="1035">
      <c r="A1035" s="7" t="s">
        <v>3996</v>
      </c>
      <c r="B1035" s="7" t="s">
        <v>3997</v>
      </c>
      <c r="C1035" s="7" t="s">
        <v>684</v>
      </c>
      <c r="D1035" s="7" t="s">
        <v>7521</v>
      </c>
      <c r="E1035" s="7" t="s">
        <v>1695</v>
      </c>
      <c r="F1035" s="7" t="s">
        <v>1696</v>
      </c>
    </row>
    <row r="1036">
      <c r="A1036" s="7" t="s">
        <v>4286</v>
      </c>
      <c r="B1036" s="7" t="s">
        <v>3723</v>
      </c>
      <c r="C1036" s="7" t="s">
        <v>1348</v>
      </c>
      <c r="D1036" s="7" t="s">
        <v>7522</v>
      </c>
      <c r="E1036" s="7" t="s">
        <v>1695</v>
      </c>
      <c r="F1036" s="7" t="s">
        <v>1696</v>
      </c>
    </row>
    <row r="1037">
      <c r="A1037" s="7" t="s">
        <v>5740</v>
      </c>
      <c r="B1037" s="7" t="s">
        <v>5741</v>
      </c>
      <c r="C1037" s="7" t="s">
        <v>5742</v>
      </c>
      <c r="D1037" s="7" t="s">
        <v>7523</v>
      </c>
      <c r="E1037" s="7" t="s">
        <v>1695</v>
      </c>
      <c r="F1037" s="7" t="s">
        <v>1696</v>
      </c>
    </row>
    <row r="1038">
      <c r="A1038" s="7" t="s">
        <v>6232</v>
      </c>
      <c r="B1038" s="7" t="s">
        <v>46</v>
      </c>
      <c r="C1038" s="7" t="s">
        <v>6233</v>
      </c>
      <c r="D1038" s="7" t="s">
        <v>7524</v>
      </c>
      <c r="E1038" s="7" t="s">
        <v>1695</v>
      </c>
      <c r="F1038" s="7" t="s">
        <v>1696</v>
      </c>
    </row>
    <row r="1039">
      <c r="A1039" s="7" t="s">
        <v>3663</v>
      </c>
      <c r="B1039" s="7" t="s">
        <v>3664</v>
      </c>
      <c r="C1039" s="7" t="s">
        <v>3665</v>
      </c>
      <c r="D1039" s="7" t="s">
        <v>7525</v>
      </c>
      <c r="E1039" s="7" t="s">
        <v>1695</v>
      </c>
      <c r="F1039" s="7" t="s">
        <v>1696</v>
      </c>
    </row>
    <row r="1040">
      <c r="A1040" s="7" t="s">
        <v>4462</v>
      </c>
      <c r="B1040" s="7" t="s">
        <v>178</v>
      </c>
      <c r="C1040" s="7" t="s">
        <v>529</v>
      </c>
      <c r="D1040" s="7" t="s">
        <v>7526</v>
      </c>
      <c r="E1040" s="7" t="s">
        <v>1695</v>
      </c>
      <c r="F1040" s="7" t="s">
        <v>1696</v>
      </c>
    </row>
    <row r="1041">
      <c r="A1041" s="7" t="s">
        <v>3495</v>
      </c>
      <c r="B1041" s="7" t="s">
        <v>626</v>
      </c>
      <c r="C1041" s="7" t="s">
        <v>631</v>
      </c>
      <c r="D1041" s="7" t="s">
        <v>7527</v>
      </c>
      <c r="E1041" s="7" t="s">
        <v>1695</v>
      </c>
      <c r="F1041" s="7" t="s">
        <v>1696</v>
      </c>
    </row>
    <row r="1042">
      <c r="A1042" s="7" t="s">
        <v>3070</v>
      </c>
      <c r="B1042" s="7" t="s">
        <v>3071</v>
      </c>
      <c r="C1042" s="7" t="s">
        <v>2820</v>
      </c>
      <c r="D1042" s="7" t="s">
        <v>7528</v>
      </c>
      <c r="E1042" s="7" t="s">
        <v>1695</v>
      </c>
      <c r="F1042" s="7" t="s">
        <v>1696</v>
      </c>
    </row>
    <row r="1043">
      <c r="A1043" s="7" t="s">
        <v>5056</v>
      </c>
      <c r="B1043" s="7" t="s">
        <v>188</v>
      </c>
      <c r="C1043" s="7" t="s">
        <v>4239</v>
      </c>
      <c r="D1043" s="7" t="s">
        <v>7529</v>
      </c>
      <c r="E1043" s="7" t="s">
        <v>1695</v>
      </c>
      <c r="F1043" s="7" t="s">
        <v>1696</v>
      </c>
    </row>
    <row r="1044">
      <c r="A1044" s="7" t="s">
        <v>5809</v>
      </c>
      <c r="B1044" s="7" t="s">
        <v>5810</v>
      </c>
      <c r="C1044" s="7" t="s">
        <v>5811</v>
      </c>
      <c r="D1044" s="7" t="s">
        <v>7530</v>
      </c>
      <c r="E1044" s="7" t="s">
        <v>1695</v>
      </c>
      <c r="F1044" s="7" t="s">
        <v>1696</v>
      </c>
    </row>
    <row r="1045">
      <c r="A1045" s="7" t="s">
        <v>6123</v>
      </c>
      <c r="B1045" s="7" t="s">
        <v>6124</v>
      </c>
      <c r="C1045" s="7" t="s">
        <v>1882</v>
      </c>
      <c r="D1045" s="7" t="s">
        <v>7531</v>
      </c>
      <c r="E1045" s="7" t="s">
        <v>1695</v>
      </c>
      <c r="F1045" s="7" t="s">
        <v>1696</v>
      </c>
    </row>
    <row r="1046">
      <c r="A1046" s="7" t="s">
        <v>4460</v>
      </c>
      <c r="B1046" s="7" t="s">
        <v>409</v>
      </c>
      <c r="C1046" s="7" t="s">
        <v>4461</v>
      </c>
      <c r="D1046" s="7" t="s">
        <v>7532</v>
      </c>
      <c r="E1046" s="7" t="s">
        <v>1695</v>
      </c>
      <c r="F1046" s="7" t="s">
        <v>1696</v>
      </c>
    </row>
    <row r="1047">
      <c r="A1047" s="7" t="s">
        <v>2405</v>
      </c>
      <c r="B1047" s="7" t="s">
        <v>1728</v>
      </c>
      <c r="C1047" s="7" t="s">
        <v>404</v>
      </c>
      <c r="D1047" s="7" t="s">
        <v>7533</v>
      </c>
      <c r="E1047" s="7" t="s">
        <v>1695</v>
      </c>
      <c r="F1047" s="7" t="s">
        <v>1696</v>
      </c>
    </row>
    <row r="1048">
      <c r="A1048" s="7" t="s">
        <v>6295</v>
      </c>
      <c r="B1048" s="7" t="s">
        <v>920</v>
      </c>
      <c r="C1048" s="7" t="s">
        <v>168</v>
      </c>
      <c r="D1048" s="7" t="s">
        <v>7534</v>
      </c>
      <c r="E1048" s="7" t="s">
        <v>1695</v>
      </c>
      <c r="F1048" s="7" t="s">
        <v>1696</v>
      </c>
    </row>
    <row r="1049">
      <c r="A1049" s="7" t="s">
        <v>3514</v>
      </c>
      <c r="B1049" s="7" t="s">
        <v>3515</v>
      </c>
      <c r="C1049" s="7" t="s">
        <v>3516</v>
      </c>
      <c r="D1049" s="7" t="s">
        <v>7535</v>
      </c>
      <c r="E1049" s="7" t="s">
        <v>1695</v>
      </c>
      <c r="F1049" s="7" t="s">
        <v>1696</v>
      </c>
    </row>
    <row r="1050">
      <c r="A1050" s="7" t="s">
        <v>6263</v>
      </c>
      <c r="B1050" s="7" t="s">
        <v>151</v>
      </c>
      <c r="C1050" s="7" t="s">
        <v>2171</v>
      </c>
      <c r="D1050" s="7" t="s">
        <v>7536</v>
      </c>
      <c r="E1050" s="7" t="s">
        <v>1695</v>
      </c>
      <c r="F1050" s="7" t="s">
        <v>1696</v>
      </c>
    </row>
    <row r="1051">
      <c r="A1051" s="7" t="s">
        <v>4870</v>
      </c>
      <c r="B1051" s="7" t="s">
        <v>208</v>
      </c>
      <c r="C1051" s="7" t="s">
        <v>4871</v>
      </c>
      <c r="D1051" s="7" t="s">
        <v>7537</v>
      </c>
      <c r="E1051" s="7" t="s">
        <v>1695</v>
      </c>
      <c r="F1051" s="7" t="s">
        <v>1696</v>
      </c>
    </row>
    <row r="1052">
      <c r="A1052" s="7" t="s">
        <v>2626</v>
      </c>
      <c r="B1052" s="7" t="s">
        <v>439</v>
      </c>
      <c r="C1052" s="7" t="s">
        <v>2627</v>
      </c>
      <c r="D1052" s="7" t="s">
        <v>7538</v>
      </c>
      <c r="E1052" s="7" t="s">
        <v>1695</v>
      </c>
      <c r="F1052" s="7" t="s">
        <v>1696</v>
      </c>
    </row>
    <row r="1053">
      <c r="A1053" s="7" t="s">
        <v>4403</v>
      </c>
      <c r="B1053" s="7" t="s">
        <v>404</v>
      </c>
      <c r="C1053" s="7" t="s">
        <v>274</v>
      </c>
      <c r="D1053" s="7" t="s">
        <v>7539</v>
      </c>
      <c r="E1053" s="7" t="s">
        <v>1695</v>
      </c>
      <c r="F1053" s="7" t="s">
        <v>1696</v>
      </c>
    </row>
    <row r="1054">
      <c r="A1054" s="7" t="s">
        <v>6292</v>
      </c>
      <c r="B1054" s="7" t="s">
        <v>404</v>
      </c>
      <c r="C1054" s="7" t="s">
        <v>274</v>
      </c>
      <c r="D1054" s="7" t="s">
        <v>7539</v>
      </c>
      <c r="E1054" s="7" t="s">
        <v>1695</v>
      </c>
      <c r="F1054" s="7" t="s">
        <v>1696</v>
      </c>
    </row>
    <row r="1055">
      <c r="A1055" s="7" t="s">
        <v>5176</v>
      </c>
      <c r="B1055" s="7" t="s">
        <v>5177</v>
      </c>
      <c r="C1055" s="7" t="s">
        <v>5178</v>
      </c>
      <c r="D1055" s="7" t="s">
        <v>7540</v>
      </c>
      <c r="E1055" s="7" t="s">
        <v>1695</v>
      </c>
      <c r="F1055" s="7" t="s">
        <v>1696</v>
      </c>
    </row>
    <row r="1056">
      <c r="A1056" s="7" t="s">
        <v>2279</v>
      </c>
      <c r="B1056" s="7" t="s">
        <v>2280</v>
      </c>
      <c r="C1056" s="7" t="s">
        <v>2281</v>
      </c>
      <c r="D1056" s="7" t="s">
        <v>7541</v>
      </c>
      <c r="E1056" s="7" t="s">
        <v>1695</v>
      </c>
      <c r="F1056" s="7" t="s">
        <v>1696</v>
      </c>
    </row>
    <row r="1057">
      <c r="A1057" s="7" t="s">
        <v>4421</v>
      </c>
      <c r="B1057" s="7" t="s">
        <v>4422</v>
      </c>
      <c r="C1057" s="7" t="s">
        <v>4423</v>
      </c>
      <c r="D1057" s="7" t="s">
        <v>7542</v>
      </c>
      <c r="E1057" s="7" t="s">
        <v>1695</v>
      </c>
      <c r="F1057" s="7" t="s">
        <v>1696</v>
      </c>
    </row>
    <row r="1058">
      <c r="A1058" s="7" t="s">
        <v>2965</v>
      </c>
      <c r="B1058" s="7" t="s">
        <v>2966</v>
      </c>
      <c r="C1058" s="7" t="s">
        <v>2967</v>
      </c>
      <c r="D1058" s="7" t="s">
        <v>7543</v>
      </c>
      <c r="E1058" s="7" t="s">
        <v>1695</v>
      </c>
      <c r="F1058" s="7" t="s">
        <v>1696</v>
      </c>
    </row>
    <row r="1059">
      <c r="A1059" s="7" t="s">
        <v>4641</v>
      </c>
      <c r="B1059" s="7" t="s">
        <v>4361</v>
      </c>
      <c r="C1059" s="7" t="s">
        <v>4642</v>
      </c>
      <c r="D1059" s="7" t="s">
        <v>7544</v>
      </c>
      <c r="E1059" s="7" t="s">
        <v>1695</v>
      </c>
      <c r="F1059" s="7" t="s">
        <v>1696</v>
      </c>
    </row>
    <row r="1060">
      <c r="A1060" s="7" t="s">
        <v>5640</v>
      </c>
      <c r="B1060" s="7" t="s">
        <v>111</v>
      </c>
      <c r="C1060" s="7" t="s">
        <v>5628</v>
      </c>
      <c r="D1060" s="7" t="s">
        <v>7545</v>
      </c>
      <c r="E1060" s="7" t="s">
        <v>1695</v>
      </c>
      <c r="F1060" s="7" t="s">
        <v>1696</v>
      </c>
    </row>
    <row r="1061">
      <c r="A1061" s="7" t="s">
        <v>6235</v>
      </c>
      <c r="B1061" s="7" t="s">
        <v>6236</v>
      </c>
      <c r="C1061" s="7" t="s">
        <v>4051</v>
      </c>
      <c r="D1061" s="7" t="s">
        <v>7546</v>
      </c>
      <c r="E1061" s="7" t="s">
        <v>1695</v>
      </c>
      <c r="F1061" s="7" t="s">
        <v>1696</v>
      </c>
    </row>
    <row r="1062">
      <c r="A1062" s="7" t="s">
        <v>4170</v>
      </c>
      <c r="B1062" s="7" t="s">
        <v>4171</v>
      </c>
      <c r="C1062" s="7" t="s">
        <v>4172</v>
      </c>
      <c r="D1062" s="7" t="s">
        <v>7547</v>
      </c>
      <c r="E1062" s="7" t="s">
        <v>1695</v>
      </c>
      <c r="F1062" s="7" t="s">
        <v>1696</v>
      </c>
    </row>
    <row r="1063">
      <c r="A1063" s="7" t="s">
        <v>2979</v>
      </c>
      <c r="B1063" s="7" t="s">
        <v>1968</v>
      </c>
      <c r="C1063" s="7" t="s">
        <v>1557</v>
      </c>
      <c r="D1063" s="7" t="s">
        <v>7548</v>
      </c>
      <c r="E1063" s="7" t="s">
        <v>1695</v>
      </c>
      <c r="F1063" s="7" t="s">
        <v>1696</v>
      </c>
    </row>
    <row r="1064">
      <c r="A1064" s="7" t="s">
        <v>4608</v>
      </c>
      <c r="B1064" s="7" t="s">
        <v>4609</v>
      </c>
      <c r="C1064" s="7" t="s">
        <v>4610</v>
      </c>
      <c r="D1064" s="7" t="s">
        <v>7549</v>
      </c>
      <c r="E1064" s="7" t="s">
        <v>1695</v>
      </c>
      <c r="F1064" s="7" t="s">
        <v>1696</v>
      </c>
    </row>
    <row r="1065">
      <c r="A1065" s="7" t="s">
        <v>2384</v>
      </c>
      <c r="B1065" s="7" t="s">
        <v>2385</v>
      </c>
      <c r="C1065" s="7" t="s">
        <v>2386</v>
      </c>
      <c r="D1065" s="7" t="s">
        <v>7550</v>
      </c>
      <c r="E1065" s="7" t="s">
        <v>1695</v>
      </c>
      <c r="F1065" s="7" t="s">
        <v>1696</v>
      </c>
    </row>
    <row r="1066">
      <c r="A1066" s="7" t="s">
        <v>3111</v>
      </c>
      <c r="B1066" s="7" t="s">
        <v>3112</v>
      </c>
      <c r="C1066" s="7" t="s">
        <v>1368</v>
      </c>
      <c r="D1066" s="7" t="s">
        <v>7551</v>
      </c>
      <c r="E1066" s="7" t="s">
        <v>1695</v>
      </c>
      <c r="F1066" s="7" t="s">
        <v>1696</v>
      </c>
    </row>
    <row r="1067">
      <c r="A1067" s="7" t="s">
        <v>4158</v>
      </c>
      <c r="B1067" s="7" t="s">
        <v>689</v>
      </c>
      <c r="C1067" s="7" t="s">
        <v>422</v>
      </c>
      <c r="D1067" s="7" t="s">
        <v>7552</v>
      </c>
      <c r="E1067" s="7" t="s">
        <v>1695</v>
      </c>
      <c r="F1067" s="7" t="s">
        <v>1696</v>
      </c>
    </row>
    <row r="1068">
      <c r="A1068" s="7" t="s">
        <v>5194</v>
      </c>
      <c r="B1068" s="7" t="s">
        <v>1532</v>
      </c>
      <c r="C1068" s="7" t="s">
        <v>5195</v>
      </c>
      <c r="D1068" s="7" t="s">
        <v>7553</v>
      </c>
      <c r="E1068" s="7" t="s">
        <v>1695</v>
      </c>
      <c r="F1068" s="7" t="s">
        <v>1696</v>
      </c>
    </row>
    <row r="1069">
      <c r="A1069" s="7" t="s">
        <v>6009</v>
      </c>
      <c r="B1069" s="7" t="s">
        <v>6010</v>
      </c>
      <c r="C1069" s="7" t="s">
        <v>6011</v>
      </c>
      <c r="D1069" s="7" t="s">
        <v>7554</v>
      </c>
      <c r="E1069" s="7" t="s">
        <v>1695</v>
      </c>
      <c r="F1069" s="7" t="s">
        <v>1696</v>
      </c>
    </row>
    <row r="1070">
      <c r="A1070" s="7" t="s">
        <v>5996</v>
      </c>
      <c r="B1070" s="7" t="s">
        <v>5170</v>
      </c>
      <c r="C1070" s="7" t="s">
        <v>5997</v>
      </c>
      <c r="D1070" s="7" t="s">
        <v>7555</v>
      </c>
      <c r="E1070" s="7" t="s">
        <v>1695</v>
      </c>
      <c r="F1070" s="7" t="s">
        <v>1696</v>
      </c>
    </row>
    <row r="1071">
      <c r="A1071" s="7" t="s">
        <v>4251</v>
      </c>
      <c r="B1071" s="7" t="s">
        <v>1896</v>
      </c>
      <c r="C1071" s="7" t="s">
        <v>468</v>
      </c>
      <c r="D1071" s="7" t="s">
        <v>7556</v>
      </c>
      <c r="E1071" s="7" t="s">
        <v>1695</v>
      </c>
      <c r="F1071" s="7" t="s">
        <v>1696</v>
      </c>
    </row>
    <row r="1072">
      <c r="A1072" s="7" t="s">
        <v>5804</v>
      </c>
      <c r="B1072" s="7" t="s">
        <v>5805</v>
      </c>
      <c r="C1072" s="7" t="s">
        <v>916</v>
      </c>
      <c r="D1072" s="7" t="s">
        <v>7557</v>
      </c>
      <c r="E1072" s="7" t="s">
        <v>1695</v>
      </c>
      <c r="F1072" s="7" t="s">
        <v>1696</v>
      </c>
    </row>
    <row r="1073">
      <c r="A1073" s="7" t="s">
        <v>5773</v>
      </c>
      <c r="B1073" s="7" t="s">
        <v>504</v>
      </c>
      <c r="C1073" s="7" t="s">
        <v>5774</v>
      </c>
      <c r="D1073" s="7" t="s">
        <v>7558</v>
      </c>
      <c r="E1073" s="7" t="s">
        <v>1695</v>
      </c>
      <c r="F1073" s="7" t="s">
        <v>1696</v>
      </c>
    </row>
    <row r="1074">
      <c r="A1074" s="7" t="s">
        <v>5878</v>
      </c>
      <c r="B1074" s="7" t="s">
        <v>1040</v>
      </c>
      <c r="C1074" s="7" t="s">
        <v>85</v>
      </c>
      <c r="D1074" s="7" t="s">
        <v>7559</v>
      </c>
      <c r="E1074" s="7" t="s">
        <v>1695</v>
      </c>
      <c r="F1074" s="7" t="s">
        <v>1696</v>
      </c>
    </row>
    <row r="1075">
      <c r="A1075" s="7" t="s">
        <v>5759</v>
      </c>
      <c r="B1075" s="7" t="s">
        <v>5760</v>
      </c>
      <c r="C1075" s="7" t="s">
        <v>2032</v>
      </c>
      <c r="D1075" s="7" t="s">
        <v>7560</v>
      </c>
      <c r="E1075" s="7" t="s">
        <v>1695</v>
      </c>
      <c r="F1075" s="7" t="s">
        <v>1696</v>
      </c>
    </row>
    <row r="1076">
      <c r="A1076" s="7" t="s">
        <v>3881</v>
      </c>
      <c r="B1076" s="7" t="s">
        <v>111</v>
      </c>
      <c r="C1076" s="7" t="s">
        <v>3882</v>
      </c>
      <c r="D1076" s="7" t="s">
        <v>7561</v>
      </c>
      <c r="E1076" s="7" t="s">
        <v>1695</v>
      </c>
      <c r="F1076" s="7" t="s">
        <v>1696</v>
      </c>
    </row>
    <row r="1077">
      <c r="A1077" s="7" t="s">
        <v>4109</v>
      </c>
      <c r="B1077" s="7" t="s">
        <v>3417</v>
      </c>
      <c r="C1077" s="7" t="s">
        <v>4110</v>
      </c>
      <c r="D1077" s="7" t="s">
        <v>7562</v>
      </c>
      <c r="E1077" s="7" t="s">
        <v>1695</v>
      </c>
      <c r="F1077" s="7" t="s">
        <v>1696</v>
      </c>
    </row>
    <row r="1078">
      <c r="A1078" s="7" t="s">
        <v>6267</v>
      </c>
      <c r="B1078" s="7" t="s">
        <v>6105</v>
      </c>
      <c r="C1078" s="7" t="s">
        <v>6268</v>
      </c>
      <c r="D1078" s="7" t="s">
        <v>7563</v>
      </c>
      <c r="E1078" s="7" t="s">
        <v>1695</v>
      </c>
      <c r="F1078" s="7" t="s">
        <v>1696</v>
      </c>
    </row>
    <row r="1079">
      <c r="A1079" s="7" t="s">
        <v>4181</v>
      </c>
      <c r="B1079" s="7" t="s">
        <v>4182</v>
      </c>
      <c r="C1079" s="7" t="s">
        <v>3786</v>
      </c>
      <c r="D1079" s="7" t="s">
        <v>7564</v>
      </c>
      <c r="E1079" s="7" t="s">
        <v>1695</v>
      </c>
      <c r="F1079" s="7" t="s">
        <v>1696</v>
      </c>
    </row>
    <row r="1080">
      <c r="A1080" s="7" t="s">
        <v>5678</v>
      </c>
      <c r="B1080" s="7" t="s">
        <v>534</v>
      </c>
      <c r="C1080" s="7" t="s">
        <v>2431</v>
      </c>
      <c r="D1080" s="7" t="s">
        <v>7565</v>
      </c>
      <c r="E1080" s="7" t="s">
        <v>1695</v>
      </c>
      <c r="F1080" s="7" t="s">
        <v>1696</v>
      </c>
    </row>
    <row r="1081">
      <c r="A1081" s="7" t="s">
        <v>6255</v>
      </c>
      <c r="B1081" s="7" t="s">
        <v>766</v>
      </c>
      <c r="C1081" s="7" t="s">
        <v>6256</v>
      </c>
      <c r="D1081" s="7" t="s">
        <v>7566</v>
      </c>
      <c r="E1081" s="7" t="s">
        <v>1695</v>
      </c>
      <c r="F1081" s="7" t="s">
        <v>1696</v>
      </c>
    </row>
    <row r="1082">
      <c r="A1082" s="7" t="s">
        <v>5386</v>
      </c>
      <c r="B1082" s="7" t="s">
        <v>5387</v>
      </c>
      <c r="C1082" s="7" t="s">
        <v>5131</v>
      </c>
      <c r="D1082" s="7" t="s">
        <v>7567</v>
      </c>
      <c r="E1082" s="7" t="s">
        <v>1695</v>
      </c>
      <c r="F1082" s="7" t="s">
        <v>1696</v>
      </c>
    </row>
    <row r="1083">
      <c r="A1083" s="7" t="s">
        <v>4795</v>
      </c>
      <c r="B1083" s="7" t="s">
        <v>336</v>
      </c>
      <c r="C1083" s="7" t="s">
        <v>4796</v>
      </c>
      <c r="D1083" s="7" t="s">
        <v>7568</v>
      </c>
      <c r="E1083" s="7" t="s">
        <v>1695</v>
      </c>
      <c r="F1083" s="7" t="s">
        <v>1696</v>
      </c>
    </row>
    <row r="1084">
      <c r="A1084" s="7" t="s">
        <v>2269</v>
      </c>
      <c r="B1084" s="7" t="s">
        <v>2270</v>
      </c>
      <c r="C1084" s="7" t="s">
        <v>418</v>
      </c>
      <c r="D1084" s="7" t="s">
        <v>7569</v>
      </c>
      <c r="E1084" s="7" t="s">
        <v>1695</v>
      </c>
      <c r="F1084" s="7" t="s">
        <v>1696</v>
      </c>
    </row>
    <row r="1085">
      <c r="A1085" s="7" t="s">
        <v>4501</v>
      </c>
      <c r="B1085" s="7" t="s">
        <v>297</v>
      </c>
      <c r="C1085" s="7" t="s">
        <v>4502</v>
      </c>
      <c r="D1085" s="7" t="s">
        <v>7570</v>
      </c>
      <c r="E1085" s="7" t="s">
        <v>1695</v>
      </c>
      <c r="F1085" s="7" t="s">
        <v>1696</v>
      </c>
    </row>
    <row r="1086">
      <c r="A1086" s="7" t="s">
        <v>6154</v>
      </c>
      <c r="B1086" s="7" t="s">
        <v>664</v>
      </c>
      <c r="C1086" s="7" t="s">
        <v>1000</v>
      </c>
      <c r="D1086" s="7" t="s">
        <v>7571</v>
      </c>
      <c r="E1086" s="7" t="s">
        <v>1695</v>
      </c>
      <c r="F1086" s="7" t="s">
        <v>1696</v>
      </c>
    </row>
    <row r="1087">
      <c r="A1087" s="7" t="s">
        <v>3088</v>
      </c>
      <c r="B1087" s="7" t="s">
        <v>1937</v>
      </c>
      <c r="C1087" s="7" t="s">
        <v>3089</v>
      </c>
      <c r="D1087" s="7" t="s">
        <v>7572</v>
      </c>
      <c r="E1087" s="7" t="s">
        <v>1695</v>
      </c>
      <c r="F1087" s="7" t="s">
        <v>1696</v>
      </c>
    </row>
    <row r="1088">
      <c r="A1088" s="7" t="s">
        <v>2863</v>
      </c>
      <c r="B1088" s="7" t="s">
        <v>397</v>
      </c>
      <c r="C1088" s="7" t="s">
        <v>2864</v>
      </c>
      <c r="D1088" s="7" t="s">
        <v>7573</v>
      </c>
      <c r="E1088" s="7" t="s">
        <v>1695</v>
      </c>
      <c r="F1088" s="7" t="s">
        <v>1696</v>
      </c>
    </row>
    <row r="1089">
      <c r="A1089" s="7" t="s">
        <v>6104</v>
      </c>
      <c r="B1089" s="7" t="s">
        <v>6105</v>
      </c>
      <c r="C1089" s="7" t="s">
        <v>918</v>
      </c>
      <c r="D1089" s="7" t="s">
        <v>7574</v>
      </c>
      <c r="E1089" s="7" t="s">
        <v>1695</v>
      </c>
      <c r="F1089" s="7" t="s">
        <v>1696</v>
      </c>
    </row>
    <row r="1090">
      <c r="A1090" s="7" t="s">
        <v>2306</v>
      </c>
      <c r="B1090" s="7" t="s">
        <v>58</v>
      </c>
      <c r="C1090" s="7" t="s">
        <v>1321</v>
      </c>
      <c r="D1090" s="7" t="s">
        <v>7575</v>
      </c>
      <c r="E1090" s="7" t="s">
        <v>1695</v>
      </c>
      <c r="F1090" s="7" t="s">
        <v>1696</v>
      </c>
    </row>
    <row r="1091">
      <c r="A1091" s="7" t="s">
        <v>4550</v>
      </c>
      <c r="B1091" s="7" t="s">
        <v>4213</v>
      </c>
      <c r="C1091" s="7" t="s">
        <v>1112</v>
      </c>
      <c r="D1091" s="7" t="s">
        <v>7576</v>
      </c>
      <c r="E1091" s="7" t="s">
        <v>1695</v>
      </c>
      <c r="F1091" s="7" t="s">
        <v>1696</v>
      </c>
    </row>
    <row r="1092">
      <c r="A1092" s="7" t="s">
        <v>4375</v>
      </c>
      <c r="B1092" s="7" t="s">
        <v>4376</v>
      </c>
      <c r="C1092" s="7" t="s">
        <v>2972</v>
      </c>
      <c r="D1092" s="7" t="s">
        <v>7577</v>
      </c>
      <c r="E1092" s="7" t="s">
        <v>1695</v>
      </c>
      <c r="F1092" s="7" t="s">
        <v>1696</v>
      </c>
    </row>
    <row r="1093">
      <c r="A1093" s="7" t="s">
        <v>2123</v>
      </c>
      <c r="B1093" s="7" t="s">
        <v>2124</v>
      </c>
      <c r="C1093" s="7" t="s">
        <v>2125</v>
      </c>
      <c r="D1093" s="7" t="s">
        <v>7578</v>
      </c>
      <c r="E1093" s="7" t="s">
        <v>1695</v>
      </c>
      <c r="F1093" s="7" t="s">
        <v>1696</v>
      </c>
    </row>
    <row r="1094">
      <c r="A1094" s="7" t="s">
        <v>2511</v>
      </c>
      <c r="B1094" s="7" t="s">
        <v>1814</v>
      </c>
      <c r="C1094" s="7" t="s">
        <v>1656</v>
      </c>
      <c r="D1094" s="7" t="s">
        <v>7579</v>
      </c>
      <c r="E1094" s="7" t="s">
        <v>1695</v>
      </c>
      <c r="F1094" s="7" t="s">
        <v>1696</v>
      </c>
    </row>
    <row r="1095">
      <c r="A1095" s="7" t="s">
        <v>3127</v>
      </c>
      <c r="B1095" s="7" t="s">
        <v>3128</v>
      </c>
      <c r="C1095" s="7" t="s">
        <v>922</v>
      </c>
      <c r="D1095" s="7" t="s">
        <v>7580</v>
      </c>
      <c r="E1095" s="7" t="s">
        <v>1695</v>
      </c>
      <c r="F1095" s="7" t="s">
        <v>1696</v>
      </c>
    </row>
    <row r="1096">
      <c r="A1096" s="7" t="s">
        <v>4400</v>
      </c>
      <c r="B1096" s="7" t="s">
        <v>4401</v>
      </c>
      <c r="C1096" s="7" t="s">
        <v>280</v>
      </c>
      <c r="D1096" s="7" t="s">
        <v>7581</v>
      </c>
      <c r="E1096" s="7" t="s">
        <v>1695</v>
      </c>
      <c r="F1096" s="7" t="s">
        <v>1696</v>
      </c>
    </row>
    <row r="1097">
      <c r="A1097" s="7" t="s">
        <v>5300</v>
      </c>
      <c r="B1097" s="7" t="s">
        <v>5301</v>
      </c>
      <c r="C1097" s="7" t="s">
        <v>3034</v>
      </c>
      <c r="D1097" s="7" t="s">
        <v>7582</v>
      </c>
      <c r="E1097" s="7" t="s">
        <v>1695</v>
      </c>
      <c r="F1097" s="7" t="s">
        <v>1696</v>
      </c>
    </row>
    <row r="1098">
      <c r="A1098" s="7" t="s">
        <v>3053</v>
      </c>
      <c r="B1098" s="7" t="s">
        <v>327</v>
      </c>
      <c r="C1098" s="7" t="s">
        <v>196</v>
      </c>
      <c r="D1098" s="7" t="s">
        <v>7583</v>
      </c>
      <c r="E1098" s="7" t="s">
        <v>1695</v>
      </c>
      <c r="F1098" s="7" t="s">
        <v>1696</v>
      </c>
    </row>
    <row r="1099">
      <c r="A1099" s="7" t="s">
        <v>4538</v>
      </c>
      <c r="B1099" s="7" t="s">
        <v>3954</v>
      </c>
      <c r="C1099" s="7" t="s">
        <v>1125</v>
      </c>
      <c r="D1099" s="7" t="s">
        <v>7584</v>
      </c>
      <c r="E1099" s="7" t="s">
        <v>1695</v>
      </c>
      <c r="F1099" s="7" t="s">
        <v>1696</v>
      </c>
    </row>
    <row r="1100">
      <c r="A1100" s="7" t="s">
        <v>5636</v>
      </c>
      <c r="B1100" s="7" t="s">
        <v>5637</v>
      </c>
      <c r="C1100" s="7" t="s">
        <v>404</v>
      </c>
      <c r="D1100" s="7" t="s">
        <v>7585</v>
      </c>
      <c r="E1100" s="7" t="s">
        <v>1695</v>
      </c>
      <c r="F1100" s="7" t="s">
        <v>1696</v>
      </c>
    </row>
    <row r="1101">
      <c r="A1101" s="7" t="s">
        <v>3957</v>
      </c>
      <c r="B1101" s="7" t="s">
        <v>412</v>
      </c>
      <c r="C1101" s="7" t="s">
        <v>55</v>
      </c>
      <c r="D1101" s="7" t="s">
        <v>7586</v>
      </c>
      <c r="E1101" s="7" t="s">
        <v>1695</v>
      </c>
      <c r="F1101" s="7" t="s">
        <v>1696</v>
      </c>
    </row>
    <row r="1102">
      <c r="A1102" s="7" t="s">
        <v>4446</v>
      </c>
      <c r="B1102" s="7" t="s">
        <v>2935</v>
      </c>
      <c r="C1102" s="7" t="s">
        <v>403</v>
      </c>
      <c r="D1102" s="7" t="s">
        <v>7587</v>
      </c>
      <c r="E1102" s="7" t="s">
        <v>1695</v>
      </c>
      <c r="F1102" s="7" t="s">
        <v>1696</v>
      </c>
    </row>
    <row r="1103">
      <c r="A1103" s="7" t="s">
        <v>5072</v>
      </c>
      <c r="B1103" s="7" t="s">
        <v>5073</v>
      </c>
      <c r="C1103" s="7" t="s">
        <v>5074</v>
      </c>
      <c r="D1103" s="7" t="s">
        <v>7588</v>
      </c>
      <c r="E1103" s="7" t="s">
        <v>1695</v>
      </c>
      <c r="F1103" s="7" t="s">
        <v>1696</v>
      </c>
    </row>
    <row r="1104">
      <c r="A1104" s="7" t="s">
        <v>2548</v>
      </c>
      <c r="B1104" s="7" t="s">
        <v>420</v>
      </c>
      <c r="C1104" s="7" t="s">
        <v>67</v>
      </c>
      <c r="D1104" s="7" t="s">
        <v>7589</v>
      </c>
      <c r="E1104" s="7" t="s">
        <v>1695</v>
      </c>
      <c r="F1104" s="7" t="s">
        <v>1696</v>
      </c>
    </row>
    <row r="1105">
      <c r="A1105" s="7" t="s">
        <v>5263</v>
      </c>
      <c r="B1105" s="7" t="s">
        <v>5264</v>
      </c>
      <c r="C1105" s="7" t="s">
        <v>5265</v>
      </c>
      <c r="D1105" s="7" t="s">
        <v>7590</v>
      </c>
      <c r="E1105" s="7" t="s">
        <v>1695</v>
      </c>
      <c r="F1105" s="7" t="s">
        <v>1696</v>
      </c>
    </row>
    <row r="1106">
      <c r="A1106" s="7" t="s">
        <v>5745</v>
      </c>
      <c r="B1106" s="7" t="s">
        <v>5746</v>
      </c>
      <c r="C1106" s="7" t="s">
        <v>271</v>
      </c>
      <c r="D1106" s="7" t="s">
        <v>7591</v>
      </c>
      <c r="E1106" s="7" t="s">
        <v>1695</v>
      </c>
      <c r="F1106" s="7" t="s">
        <v>1696</v>
      </c>
    </row>
    <row r="1107">
      <c r="A1107" s="7" t="s">
        <v>5974</v>
      </c>
      <c r="B1107" s="7" t="s">
        <v>5975</v>
      </c>
      <c r="C1107" s="7" t="s">
        <v>5976</v>
      </c>
      <c r="D1107" s="7" t="s">
        <v>7592</v>
      </c>
      <c r="E1107" s="7" t="s">
        <v>1695</v>
      </c>
      <c r="F1107" s="7" t="s">
        <v>1696</v>
      </c>
    </row>
    <row r="1108">
      <c r="A1108" s="7" t="s">
        <v>4419</v>
      </c>
      <c r="B1108" s="7" t="s">
        <v>4420</v>
      </c>
      <c r="C1108" s="7" t="s">
        <v>32</v>
      </c>
      <c r="D1108" s="7" t="s">
        <v>7593</v>
      </c>
      <c r="E1108" s="7" t="s">
        <v>1695</v>
      </c>
      <c r="F1108" s="7" t="s">
        <v>1696</v>
      </c>
    </row>
    <row r="1109">
      <c r="A1109" s="7" t="s">
        <v>3810</v>
      </c>
      <c r="B1109" s="7" t="s">
        <v>3811</v>
      </c>
      <c r="C1109" s="7" t="s">
        <v>3812</v>
      </c>
      <c r="D1109" s="7" t="s">
        <v>7594</v>
      </c>
      <c r="E1109" s="7" t="s">
        <v>1695</v>
      </c>
      <c r="F1109" s="7" t="s">
        <v>1696</v>
      </c>
    </row>
    <row r="1110">
      <c r="A1110" s="7" t="s">
        <v>4190</v>
      </c>
      <c r="B1110" s="7" t="s">
        <v>4191</v>
      </c>
      <c r="C1110" s="7" t="s">
        <v>4192</v>
      </c>
      <c r="D1110" s="7" t="s">
        <v>7595</v>
      </c>
      <c r="E1110" s="7" t="s">
        <v>1695</v>
      </c>
      <c r="F1110" s="7" t="s">
        <v>1696</v>
      </c>
    </row>
    <row r="1111">
      <c r="A1111" s="7" t="s">
        <v>2835</v>
      </c>
      <c r="B1111" s="7" t="s">
        <v>55</v>
      </c>
      <c r="C1111" s="7" t="s">
        <v>2836</v>
      </c>
      <c r="D1111" s="7" t="s">
        <v>7596</v>
      </c>
      <c r="E1111" s="7" t="s">
        <v>1695</v>
      </c>
      <c r="F1111" s="7" t="s">
        <v>1696</v>
      </c>
    </row>
    <row r="1112">
      <c r="A1112" s="7" t="s">
        <v>3487</v>
      </c>
      <c r="B1112" s="7" t="s">
        <v>3488</v>
      </c>
      <c r="C1112" s="7" t="s">
        <v>970</v>
      </c>
      <c r="D1112" s="7" t="s">
        <v>7597</v>
      </c>
      <c r="E1112" s="7" t="s">
        <v>1695</v>
      </c>
      <c r="F1112" s="7" t="s">
        <v>1696</v>
      </c>
    </row>
    <row r="1113">
      <c r="A1113" s="7" t="s">
        <v>6361</v>
      </c>
      <c r="B1113" s="7" t="s">
        <v>6362</v>
      </c>
      <c r="C1113" s="7" t="s">
        <v>2171</v>
      </c>
      <c r="D1113" s="7" t="s">
        <v>7598</v>
      </c>
      <c r="E1113" s="7" t="s">
        <v>1695</v>
      </c>
      <c r="F1113" s="7" t="s">
        <v>6318</v>
      </c>
    </row>
    <row r="1114">
      <c r="A1114" s="7" t="s">
        <v>6038</v>
      </c>
      <c r="B1114" s="7" t="s">
        <v>946</v>
      </c>
      <c r="C1114" s="7" t="s">
        <v>6039</v>
      </c>
      <c r="D1114" s="7" t="s">
        <v>7599</v>
      </c>
      <c r="E1114" s="7" t="s">
        <v>1695</v>
      </c>
      <c r="F1114" s="7" t="s">
        <v>1696</v>
      </c>
    </row>
    <row r="1115">
      <c r="A1115" s="7" t="s">
        <v>4084</v>
      </c>
      <c r="B1115" s="7" t="s">
        <v>4085</v>
      </c>
      <c r="C1115" s="7" t="s">
        <v>32</v>
      </c>
      <c r="D1115" s="7" t="s">
        <v>7600</v>
      </c>
      <c r="E1115" s="7" t="s">
        <v>1695</v>
      </c>
      <c r="F1115" s="7" t="s">
        <v>1696</v>
      </c>
    </row>
    <row r="1116">
      <c r="A1116" s="7" t="s">
        <v>5851</v>
      </c>
      <c r="B1116" s="7" t="s">
        <v>2161</v>
      </c>
      <c r="C1116" s="7" t="s">
        <v>1924</v>
      </c>
      <c r="D1116" s="7" t="s">
        <v>7601</v>
      </c>
      <c r="E1116" s="7" t="s">
        <v>1695</v>
      </c>
      <c r="F1116" s="7" t="s">
        <v>1696</v>
      </c>
    </row>
    <row r="1117">
      <c r="A1117" s="7" t="s">
        <v>5689</v>
      </c>
      <c r="B1117" s="7" t="s">
        <v>4409</v>
      </c>
      <c r="C1117" s="7" t="s">
        <v>1055</v>
      </c>
      <c r="D1117" s="7" t="s">
        <v>7602</v>
      </c>
      <c r="E1117" s="7" t="s">
        <v>1695</v>
      </c>
      <c r="F1117" s="7" t="s">
        <v>1696</v>
      </c>
    </row>
    <row r="1118">
      <c r="A1118" s="7" t="s">
        <v>3026</v>
      </c>
      <c r="B1118" s="7" t="s">
        <v>3027</v>
      </c>
      <c r="C1118" s="7" t="s">
        <v>3028</v>
      </c>
      <c r="D1118" s="7" t="s">
        <v>7603</v>
      </c>
      <c r="E1118" s="7" t="s">
        <v>1695</v>
      </c>
      <c r="F1118" s="7" t="s">
        <v>1696</v>
      </c>
    </row>
    <row r="1119">
      <c r="A1119" s="7" t="s">
        <v>4259</v>
      </c>
      <c r="B1119" s="7" t="s">
        <v>4260</v>
      </c>
      <c r="C1119" s="7" t="s">
        <v>280</v>
      </c>
      <c r="D1119" s="7" t="s">
        <v>7604</v>
      </c>
      <c r="E1119" s="7" t="s">
        <v>1695</v>
      </c>
      <c r="F1119" s="7" t="s">
        <v>1696</v>
      </c>
    </row>
    <row r="1120">
      <c r="A1120" s="7" t="s">
        <v>6241</v>
      </c>
      <c r="B1120" s="7" t="s">
        <v>208</v>
      </c>
      <c r="C1120" s="7" t="s">
        <v>6242</v>
      </c>
      <c r="D1120" s="7" t="s">
        <v>7605</v>
      </c>
      <c r="E1120" s="7" t="s">
        <v>1695</v>
      </c>
      <c r="F1120" s="7" t="s">
        <v>1696</v>
      </c>
    </row>
    <row r="1121">
      <c r="A1121" s="7" t="s">
        <v>4966</v>
      </c>
      <c r="B1121" s="7" t="s">
        <v>2141</v>
      </c>
      <c r="C1121" s="7" t="s">
        <v>4967</v>
      </c>
      <c r="D1121" s="7" t="s">
        <v>7606</v>
      </c>
      <c r="E1121" s="7" t="s">
        <v>1695</v>
      </c>
      <c r="F1121" s="7" t="s">
        <v>1696</v>
      </c>
    </row>
    <row r="1122">
      <c r="A1122" s="7" t="s">
        <v>4343</v>
      </c>
      <c r="B1122" s="7" t="s">
        <v>1995</v>
      </c>
      <c r="C1122" s="7" t="s">
        <v>4344</v>
      </c>
      <c r="D1122" s="7" t="s">
        <v>7607</v>
      </c>
      <c r="E1122" s="7" t="s">
        <v>1695</v>
      </c>
      <c r="F1122" s="7" t="s">
        <v>1696</v>
      </c>
    </row>
    <row r="1123">
      <c r="A1123" s="7" t="s">
        <v>5979</v>
      </c>
      <c r="B1123" s="7" t="s">
        <v>3122</v>
      </c>
      <c r="C1123" s="7" t="s">
        <v>4519</v>
      </c>
      <c r="D1123" s="7" t="s">
        <v>7608</v>
      </c>
      <c r="E1123" s="7" t="s">
        <v>1695</v>
      </c>
      <c r="F1123" s="7" t="s">
        <v>1696</v>
      </c>
    </row>
    <row r="1124">
      <c r="A1124" s="7" t="s">
        <v>6405</v>
      </c>
      <c r="B1124" s="7" t="s">
        <v>2644</v>
      </c>
      <c r="C1124" s="7" t="s">
        <v>196</v>
      </c>
      <c r="D1124" s="7" t="s">
        <v>7609</v>
      </c>
      <c r="E1124" s="7" t="s">
        <v>1695</v>
      </c>
      <c r="F1124" s="7" t="s">
        <v>6406</v>
      </c>
    </row>
    <row r="1125">
      <c r="A1125" s="7" t="s">
        <v>2603</v>
      </c>
      <c r="B1125" s="7" t="s">
        <v>1068</v>
      </c>
      <c r="C1125" s="7" t="s">
        <v>218</v>
      </c>
      <c r="D1125" s="7" t="s">
        <v>7610</v>
      </c>
      <c r="E1125" s="7" t="s">
        <v>1695</v>
      </c>
      <c r="F1125" s="7" t="s">
        <v>1696</v>
      </c>
    </row>
    <row r="1126">
      <c r="A1126" s="7" t="s">
        <v>6275</v>
      </c>
      <c r="B1126" s="7" t="s">
        <v>46</v>
      </c>
      <c r="C1126" s="7" t="s">
        <v>3429</v>
      </c>
      <c r="D1126" s="7" t="s">
        <v>7611</v>
      </c>
      <c r="E1126" s="7" t="s">
        <v>1695</v>
      </c>
      <c r="F1126" s="7" t="s">
        <v>1696</v>
      </c>
    </row>
    <row r="1127">
      <c r="A1127" s="7" t="s">
        <v>6388</v>
      </c>
      <c r="B1127" s="7" t="s">
        <v>386</v>
      </c>
      <c r="C1127" s="7" t="s">
        <v>6389</v>
      </c>
      <c r="D1127" s="7" t="s">
        <v>7612</v>
      </c>
      <c r="E1127" s="7" t="s">
        <v>1695</v>
      </c>
      <c r="F1127" s="7" t="s">
        <v>6318</v>
      </c>
    </row>
    <row r="1128">
      <c r="A1128" s="7" t="s">
        <v>3314</v>
      </c>
      <c r="B1128" s="7" t="s">
        <v>3315</v>
      </c>
      <c r="C1128" s="7" t="s">
        <v>118</v>
      </c>
      <c r="D1128" s="7" t="s">
        <v>7613</v>
      </c>
      <c r="E1128" s="7" t="s">
        <v>1695</v>
      </c>
      <c r="F1128" s="7" t="s">
        <v>1696</v>
      </c>
    </row>
    <row r="1129">
      <c r="A1129" s="7" t="s">
        <v>4032</v>
      </c>
      <c r="B1129" s="7" t="s">
        <v>4033</v>
      </c>
      <c r="C1129" s="7" t="s">
        <v>4034</v>
      </c>
      <c r="D1129" s="7" t="s">
        <v>7614</v>
      </c>
      <c r="E1129" s="7" t="s">
        <v>1695</v>
      </c>
      <c r="F1129" s="7" t="s">
        <v>1696</v>
      </c>
    </row>
    <row r="1130">
      <c r="A1130" s="7" t="s">
        <v>6363</v>
      </c>
      <c r="B1130" s="7" t="s">
        <v>6364</v>
      </c>
      <c r="C1130" s="7" t="s">
        <v>2939</v>
      </c>
      <c r="D1130" s="7" t="s">
        <v>7615</v>
      </c>
      <c r="E1130" s="7" t="s">
        <v>1695</v>
      </c>
      <c r="F1130" s="7" t="s">
        <v>6318</v>
      </c>
    </row>
    <row r="1131">
      <c r="A1131" s="7" t="s">
        <v>5483</v>
      </c>
      <c r="B1131" s="7" t="s">
        <v>2781</v>
      </c>
      <c r="C1131" s="7" t="s">
        <v>3505</v>
      </c>
      <c r="D1131" s="7" t="s">
        <v>7616</v>
      </c>
      <c r="E1131" s="7" t="s">
        <v>1695</v>
      </c>
      <c r="F1131" s="7" t="s">
        <v>1696</v>
      </c>
    </row>
    <row r="1132">
      <c r="A1132" s="7" t="s">
        <v>4238</v>
      </c>
      <c r="B1132" s="7" t="s">
        <v>4239</v>
      </c>
      <c r="C1132" s="7" t="s">
        <v>2410</v>
      </c>
      <c r="D1132" s="7" t="s">
        <v>7617</v>
      </c>
      <c r="E1132" s="7" t="s">
        <v>1695</v>
      </c>
      <c r="F1132" s="7" t="s">
        <v>1696</v>
      </c>
    </row>
    <row r="1133">
      <c r="A1133" s="7" t="s">
        <v>6366</v>
      </c>
      <c r="B1133" s="7" t="s">
        <v>6367</v>
      </c>
      <c r="C1133" s="7" t="s">
        <v>6368</v>
      </c>
      <c r="D1133" s="7" t="s">
        <v>7617</v>
      </c>
      <c r="E1133" s="7" t="s">
        <v>1695</v>
      </c>
      <c r="F1133" s="7" t="s">
        <v>6318</v>
      </c>
    </row>
    <row r="1134">
      <c r="A1134" s="7" t="s">
        <v>3907</v>
      </c>
      <c r="B1134" s="7" t="s">
        <v>3908</v>
      </c>
      <c r="C1134" s="7" t="s">
        <v>446</v>
      </c>
      <c r="D1134" s="7" t="s">
        <v>7618</v>
      </c>
      <c r="E1134" s="7" t="s">
        <v>1695</v>
      </c>
      <c r="F1134" s="7" t="s">
        <v>1696</v>
      </c>
    </row>
    <row r="1135">
      <c r="A1135" s="7" t="s">
        <v>4505</v>
      </c>
      <c r="B1135" s="7" t="s">
        <v>2781</v>
      </c>
      <c r="C1135" s="7" t="s">
        <v>404</v>
      </c>
      <c r="D1135" s="7" t="s">
        <v>7619</v>
      </c>
      <c r="E1135" s="7" t="s">
        <v>1695</v>
      </c>
      <c r="F1135" s="7" t="s">
        <v>1696</v>
      </c>
    </row>
    <row r="1136">
      <c r="A1136" s="7" t="s">
        <v>2580</v>
      </c>
      <c r="B1136" s="7" t="s">
        <v>2383</v>
      </c>
      <c r="C1136" s="7" t="s">
        <v>783</v>
      </c>
      <c r="D1136" s="7" t="s">
        <v>7620</v>
      </c>
      <c r="E1136" s="7" t="s">
        <v>1695</v>
      </c>
      <c r="F1136" s="7" t="s">
        <v>1696</v>
      </c>
    </row>
    <row r="1137">
      <c r="A1137" s="7" t="s">
        <v>2955</v>
      </c>
      <c r="B1137" s="7" t="s">
        <v>2956</v>
      </c>
      <c r="C1137" s="7" t="s">
        <v>2957</v>
      </c>
      <c r="D1137" s="7" t="s">
        <v>7621</v>
      </c>
      <c r="E1137" s="7" t="s">
        <v>1695</v>
      </c>
      <c r="F1137" s="7" t="s">
        <v>1696</v>
      </c>
    </row>
    <row r="1138">
      <c r="A1138" s="7" t="s">
        <v>3582</v>
      </c>
      <c r="B1138" s="7" t="s">
        <v>58</v>
      </c>
      <c r="C1138" s="7" t="s">
        <v>3125</v>
      </c>
      <c r="D1138" s="7" t="s">
        <v>7622</v>
      </c>
      <c r="E1138" s="7" t="s">
        <v>1695</v>
      </c>
      <c r="F1138" s="7" t="s">
        <v>1696</v>
      </c>
    </row>
    <row r="1139">
      <c r="A1139" s="7" t="s">
        <v>5306</v>
      </c>
      <c r="B1139" s="7" t="s">
        <v>760</v>
      </c>
      <c r="C1139" s="7" t="s">
        <v>365</v>
      </c>
      <c r="D1139" s="7" t="s">
        <v>7623</v>
      </c>
      <c r="E1139" s="7" t="s">
        <v>1695</v>
      </c>
      <c r="F1139" s="7" t="s">
        <v>1696</v>
      </c>
    </row>
    <row r="1140">
      <c r="A1140" s="7" t="s">
        <v>3267</v>
      </c>
      <c r="B1140" s="7" t="s">
        <v>3268</v>
      </c>
      <c r="C1140" s="7" t="s">
        <v>1729</v>
      </c>
      <c r="D1140" s="7" t="s">
        <v>7624</v>
      </c>
      <c r="E1140" s="7" t="s">
        <v>1695</v>
      </c>
      <c r="F1140" s="7" t="s">
        <v>1696</v>
      </c>
    </row>
    <row r="1141">
      <c r="A1141" s="7" t="s">
        <v>2747</v>
      </c>
      <c r="B1141" s="7" t="s">
        <v>2272</v>
      </c>
      <c r="C1141" s="7" t="s">
        <v>1044</v>
      </c>
      <c r="D1141" s="7" t="s">
        <v>7625</v>
      </c>
      <c r="E1141" s="7" t="s">
        <v>1695</v>
      </c>
      <c r="F1141" s="7" t="s">
        <v>1696</v>
      </c>
    </row>
    <row r="1142">
      <c r="A1142" s="7" t="s">
        <v>2606</v>
      </c>
      <c r="B1142" s="7" t="s">
        <v>386</v>
      </c>
      <c r="C1142" s="7" t="s">
        <v>2607</v>
      </c>
      <c r="D1142" s="7" t="s">
        <v>7626</v>
      </c>
      <c r="E1142" s="7" t="s">
        <v>1695</v>
      </c>
      <c r="F1142" s="7" t="s">
        <v>1696</v>
      </c>
    </row>
    <row r="1143">
      <c r="A1143" s="7" t="s">
        <v>4341</v>
      </c>
      <c r="B1143" s="7" t="s">
        <v>4342</v>
      </c>
      <c r="C1143" s="7" t="s">
        <v>218</v>
      </c>
      <c r="D1143" s="7" t="s">
        <v>7627</v>
      </c>
      <c r="E1143" s="7" t="s">
        <v>1695</v>
      </c>
      <c r="F1143" s="7" t="s">
        <v>1696</v>
      </c>
    </row>
    <row r="1144">
      <c r="A1144" s="7" t="s">
        <v>4328</v>
      </c>
      <c r="B1144" s="7" t="s">
        <v>4329</v>
      </c>
      <c r="C1144" s="7" t="s">
        <v>4330</v>
      </c>
      <c r="D1144" s="7" t="s">
        <v>7628</v>
      </c>
      <c r="E1144" s="7" t="s">
        <v>1695</v>
      </c>
      <c r="F1144" s="7" t="s">
        <v>1696</v>
      </c>
    </row>
    <row r="1145">
      <c r="A1145" s="7" t="s">
        <v>5657</v>
      </c>
      <c r="B1145" s="7" t="s">
        <v>1232</v>
      </c>
      <c r="C1145" s="7" t="s">
        <v>490</v>
      </c>
      <c r="D1145" s="7" t="s">
        <v>7629</v>
      </c>
      <c r="E1145" s="7" t="s">
        <v>1695</v>
      </c>
      <c r="F1145" s="7" t="s">
        <v>1696</v>
      </c>
    </row>
    <row r="1146">
      <c r="A1146" s="7" t="s">
        <v>1963</v>
      </c>
      <c r="B1146" s="7" t="s">
        <v>1511</v>
      </c>
      <c r="C1146" s="7" t="s">
        <v>1964</v>
      </c>
      <c r="D1146" s="7" t="s">
        <v>7630</v>
      </c>
      <c r="E1146" s="7" t="s">
        <v>1695</v>
      </c>
      <c r="F1146" s="7" t="s">
        <v>1696</v>
      </c>
    </row>
    <row r="1147">
      <c r="A1147" s="7" t="s">
        <v>2430</v>
      </c>
      <c r="B1147" s="7" t="s">
        <v>2431</v>
      </c>
      <c r="C1147" s="7" t="s">
        <v>2432</v>
      </c>
      <c r="D1147" s="7" t="s">
        <v>7631</v>
      </c>
      <c r="E1147" s="7" t="s">
        <v>1695</v>
      </c>
      <c r="F1147" s="7" t="s">
        <v>1696</v>
      </c>
    </row>
    <row r="1148">
      <c r="A1148" s="7" t="s">
        <v>5405</v>
      </c>
      <c r="B1148" s="7" t="s">
        <v>5406</v>
      </c>
      <c r="C1148" s="7" t="s">
        <v>5407</v>
      </c>
      <c r="D1148" s="7" t="s">
        <v>7632</v>
      </c>
      <c r="E1148" s="7" t="s">
        <v>1695</v>
      </c>
      <c r="F1148" s="7" t="s">
        <v>1696</v>
      </c>
    </row>
    <row r="1149">
      <c r="A1149" s="7" t="s">
        <v>3756</v>
      </c>
      <c r="B1149" s="7" t="s">
        <v>3021</v>
      </c>
      <c r="C1149" s="7" t="s">
        <v>1924</v>
      </c>
      <c r="D1149" s="7" t="s">
        <v>7633</v>
      </c>
      <c r="E1149" s="7" t="s">
        <v>1695</v>
      </c>
      <c r="F1149" s="7" t="s">
        <v>1696</v>
      </c>
    </row>
    <row r="1150">
      <c r="A1150" s="7" t="s">
        <v>6305</v>
      </c>
      <c r="B1150" s="7" t="s">
        <v>1486</v>
      </c>
      <c r="C1150" s="7" t="s">
        <v>96</v>
      </c>
      <c r="D1150" s="7" t="s">
        <v>7634</v>
      </c>
      <c r="E1150" s="7" t="s">
        <v>1695</v>
      </c>
      <c r="F1150" s="7" t="s">
        <v>1696</v>
      </c>
    </row>
    <row r="1151">
      <c r="A1151" s="7" t="s">
        <v>5151</v>
      </c>
      <c r="B1151" s="7" t="s">
        <v>2225</v>
      </c>
      <c r="C1151" s="7" t="s">
        <v>5152</v>
      </c>
      <c r="D1151" s="7" t="s">
        <v>7635</v>
      </c>
      <c r="E1151" s="7" t="s">
        <v>1695</v>
      </c>
      <c r="F1151" s="7" t="s">
        <v>1696</v>
      </c>
    </row>
    <row r="1152">
      <c r="A1152" s="7" t="s">
        <v>6008</v>
      </c>
      <c r="B1152" s="7" t="s">
        <v>1363</v>
      </c>
      <c r="C1152" s="7" t="s">
        <v>3478</v>
      </c>
      <c r="D1152" s="7" t="s">
        <v>7636</v>
      </c>
      <c r="E1152" s="7" t="s">
        <v>1695</v>
      </c>
      <c r="F1152" s="7" t="s">
        <v>1696</v>
      </c>
    </row>
    <row r="1153">
      <c r="A1153" s="7" t="s">
        <v>6068</v>
      </c>
      <c r="B1153" s="7" t="s">
        <v>6069</v>
      </c>
      <c r="C1153" s="7" t="s">
        <v>387</v>
      </c>
      <c r="D1153" s="7" t="s">
        <v>7637</v>
      </c>
      <c r="E1153" s="7" t="s">
        <v>1695</v>
      </c>
      <c r="F1153" s="7" t="s">
        <v>1696</v>
      </c>
    </row>
    <row r="1154">
      <c r="A1154" s="7" t="s">
        <v>5370</v>
      </c>
      <c r="B1154" s="7" t="s">
        <v>5235</v>
      </c>
      <c r="C1154" s="7" t="s">
        <v>32</v>
      </c>
      <c r="D1154" s="7" t="s">
        <v>7638</v>
      </c>
      <c r="E1154" s="7" t="s">
        <v>1695</v>
      </c>
      <c r="F1154" s="7" t="s">
        <v>1696</v>
      </c>
    </row>
    <row r="1155">
      <c r="A1155" s="7" t="s">
        <v>2058</v>
      </c>
      <c r="B1155" s="7" t="s">
        <v>2059</v>
      </c>
      <c r="C1155" s="7" t="s">
        <v>2060</v>
      </c>
      <c r="D1155" s="7" t="s">
        <v>7639</v>
      </c>
      <c r="E1155" s="7" t="s">
        <v>1695</v>
      </c>
      <c r="F1155" s="7" t="s">
        <v>1696</v>
      </c>
    </row>
    <row r="1156">
      <c r="A1156" s="7" t="s">
        <v>6167</v>
      </c>
      <c r="B1156" s="7" t="s">
        <v>6168</v>
      </c>
      <c r="C1156" s="7" t="s">
        <v>6169</v>
      </c>
      <c r="D1156" s="7" t="s">
        <v>7640</v>
      </c>
      <c r="E1156" s="7" t="s">
        <v>1695</v>
      </c>
      <c r="F1156" s="7" t="s">
        <v>1696</v>
      </c>
    </row>
    <row r="1157">
      <c r="A1157" s="7" t="s">
        <v>4605</v>
      </c>
      <c r="B1157" s="7" t="s">
        <v>4606</v>
      </c>
      <c r="C1157" s="7" t="s">
        <v>750</v>
      </c>
      <c r="D1157" s="7" t="s">
        <v>7641</v>
      </c>
      <c r="E1157" s="7" t="s">
        <v>1695</v>
      </c>
      <c r="F1157" s="7" t="s">
        <v>1696</v>
      </c>
    </row>
    <row r="1158">
      <c r="A1158" s="7" t="s">
        <v>6343</v>
      </c>
      <c r="B1158" s="7" t="s">
        <v>5449</v>
      </c>
      <c r="C1158" s="7" t="s">
        <v>6344</v>
      </c>
      <c r="D1158" s="7" t="s">
        <v>7642</v>
      </c>
      <c r="E1158" s="7" t="s">
        <v>1695</v>
      </c>
      <c r="F1158" s="7" t="s">
        <v>6318</v>
      </c>
    </row>
    <row r="1159">
      <c r="A1159" s="7" t="s">
        <v>5011</v>
      </c>
      <c r="B1159" s="7" t="s">
        <v>5012</v>
      </c>
      <c r="C1159" s="7" t="s">
        <v>5013</v>
      </c>
      <c r="D1159" s="7" t="s">
        <v>7643</v>
      </c>
      <c r="E1159" s="7" t="s">
        <v>1695</v>
      </c>
      <c r="F1159" s="7" t="s">
        <v>1696</v>
      </c>
    </row>
    <row r="1160">
      <c r="A1160" s="7" t="s">
        <v>3867</v>
      </c>
      <c r="B1160" s="7" t="s">
        <v>2539</v>
      </c>
      <c r="C1160" s="7" t="s">
        <v>3868</v>
      </c>
      <c r="D1160" s="7" t="s">
        <v>7644</v>
      </c>
      <c r="E1160" s="7" t="s">
        <v>1695</v>
      </c>
      <c r="F1160" s="7" t="s">
        <v>1696</v>
      </c>
    </row>
    <row r="1161">
      <c r="A1161" s="7" t="s">
        <v>3324</v>
      </c>
      <c r="B1161" s="7" t="s">
        <v>2441</v>
      </c>
      <c r="C1161" s="7" t="s">
        <v>3325</v>
      </c>
      <c r="D1161" s="7" t="s">
        <v>7645</v>
      </c>
      <c r="E1161" s="7" t="s">
        <v>1695</v>
      </c>
      <c r="F1161" s="7" t="s">
        <v>1696</v>
      </c>
    </row>
    <row r="1162">
      <c r="A1162" s="7" t="s">
        <v>6410</v>
      </c>
      <c r="B1162" s="7" t="s">
        <v>6411</v>
      </c>
      <c r="C1162" s="7" t="s">
        <v>4540</v>
      </c>
      <c r="D1162" s="7" t="s">
        <v>7646</v>
      </c>
      <c r="E1162" s="7" t="s">
        <v>1695</v>
      </c>
      <c r="F1162" s="7" t="s">
        <v>6318</v>
      </c>
    </row>
    <row r="1163">
      <c r="A1163" s="7" t="s">
        <v>3387</v>
      </c>
      <c r="B1163" s="7" t="s">
        <v>220</v>
      </c>
      <c r="C1163" s="7" t="s">
        <v>1478</v>
      </c>
      <c r="D1163" s="7" t="s">
        <v>7647</v>
      </c>
      <c r="E1163" s="7" t="s">
        <v>1695</v>
      </c>
      <c r="F1163" s="7" t="s">
        <v>1696</v>
      </c>
    </row>
    <row r="1164">
      <c r="A1164" s="7" t="s">
        <v>4427</v>
      </c>
      <c r="B1164" s="7" t="s">
        <v>2045</v>
      </c>
      <c r="C1164" s="7" t="s">
        <v>4396</v>
      </c>
      <c r="D1164" s="7" t="s">
        <v>7648</v>
      </c>
      <c r="E1164" s="7" t="s">
        <v>1695</v>
      </c>
      <c r="F1164" s="7" t="s">
        <v>1696</v>
      </c>
    </row>
    <row r="1165">
      <c r="A1165" s="7" t="s">
        <v>5896</v>
      </c>
      <c r="B1165" s="7" t="s">
        <v>27</v>
      </c>
      <c r="C1165" s="7" t="s">
        <v>64</v>
      </c>
      <c r="D1165" s="7" t="s">
        <v>7649</v>
      </c>
      <c r="E1165" s="7" t="s">
        <v>1695</v>
      </c>
      <c r="F1165" s="7" t="s">
        <v>1696</v>
      </c>
    </row>
    <row r="1166">
      <c r="A1166" s="7" t="s">
        <v>3152</v>
      </c>
      <c r="B1166" s="7" t="s">
        <v>1063</v>
      </c>
      <c r="C1166" s="7" t="s">
        <v>918</v>
      </c>
      <c r="D1166" s="7" t="s">
        <v>7650</v>
      </c>
      <c r="E1166" s="7" t="s">
        <v>1695</v>
      </c>
      <c r="F1166" s="7" t="s">
        <v>1696</v>
      </c>
    </row>
    <row r="1167">
      <c r="A1167" s="7" t="s">
        <v>2333</v>
      </c>
      <c r="B1167" s="7" t="s">
        <v>642</v>
      </c>
      <c r="C1167" s="7" t="s">
        <v>763</v>
      </c>
      <c r="D1167" s="7" t="s">
        <v>7651</v>
      </c>
      <c r="E1167" s="7" t="s">
        <v>1695</v>
      </c>
      <c r="F1167" s="7" t="s">
        <v>1696</v>
      </c>
    </row>
    <row r="1168">
      <c r="A1168" s="7" t="s">
        <v>1903</v>
      </c>
      <c r="B1168" s="7" t="s">
        <v>1904</v>
      </c>
      <c r="C1168" s="7" t="s">
        <v>1905</v>
      </c>
      <c r="D1168" s="7" t="s">
        <v>7652</v>
      </c>
      <c r="E1168" s="7" t="s">
        <v>1695</v>
      </c>
      <c r="F1168" s="7" t="s">
        <v>1696</v>
      </c>
    </row>
    <row r="1169">
      <c r="A1169" s="7" t="s">
        <v>2011</v>
      </c>
      <c r="B1169" s="7" t="s">
        <v>54</v>
      </c>
      <c r="C1169" s="7" t="s">
        <v>596</v>
      </c>
      <c r="D1169" s="7" t="s">
        <v>7653</v>
      </c>
      <c r="E1169" s="7" t="s">
        <v>1695</v>
      </c>
      <c r="F1169" s="7" t="s">
        <v>1820</v>
      </c>
    </row>
    <row r="1170">
      <c r="A1170" s="7" t="s">
        <v>2219</v>
      </c>
      <c r="B1170" s="7" t="s">
        <v>1801</v>
      </c>
      <c r="C1170" s="7" t="s">
        <v>2220</v>
      </c>
      <c r="D1170" s="7" t="s">
        <v>7654</v>
      </c>
      <c r="E1170" s="7" t="s">
        <v>1695</v>
      </c>
      <c r="F1170" s="7" t="s">
        <v>1696</v>
      </c>
    </row>
    <row r="1171">
      <c r="A1171" s="7" t="s">
        <v>3827</v>
      </c>
      <c r="B1171" s="7" t="s">
        <v>3828</v>
      </c>
      <c r="C1171" s="7" t="s">
        <v>731</v>
      </c>
      <c r="D1171" s="7" t="s">
        <v>7655</v>
      </c>
      <c r="E1171" s="7" t="s">
        <v>1695</v>
      </c>
      <c r="F1171" s="7" t="s">
        <v>1696</v>
      </c>
    </row>
    <row r="1172">
      <c r="A1172" s="7" t="s">
        <v>5907</v>
      </c>
      <c r="B1172" s="7" t="s">
        <v>5908</v>
      </c>
      <c r="C1172" s="7" t="s">
        <v>5909</v>
      </c>
      <c r="D1172" s="7" t="s">
        <v>7656</v>
      </c>
      <c r="E1172" s="7" t="s">
        <v>1695</v>
      </c>
      <c r="F1172" s="7" t="s">
        <v>1696</v>
      </c>
    </row>
    <row r="1173">
      <c r="A1173" s="7" t="s">
        <v>2022</v>
      </c>
      <c r="B1173" s="7" t="s">
        <v>32</v>
      </c>
      <c r="C1173" s="7" t="s">
        <v>2023</v>
      </c>
      <c r="D1173" s="7" t="s">
        <v>7657</v>
      </c>
      <c r="E1173" s="7" t="s">
        <v>1695</v>
      </c>
      <c r="F1173" s="7" t="s">
        <v>1696</v>
      </c>
    </row>
    <row r="1174">
      <c r="A1174" s="7" t="s">
        <v>4567</v>
      </c>
      <c r="B1174" s="7" t="s">
        <v>4568</v>
      </c>
      <c r="C1174" s="7" t="s">
        <v>4569</v>
      </c>
      <c r="D1174" s="7" t="s">
        <v>7658</v>
      </c>
      <c r="E1174" s="7" t="s">
        <v>1695</v>
      </c>
      <c r="F1174" s="7" t="s">
        <v>1696</v>
      </c>
    </row>
    <row r="1175">
      <c r="A1175" s="7" t="s">
        <v>3963</v>
      </c>
      <c r="B1175" s="7" t="s">
        <v>3964</v>
      </c>
      <c r="C1175" s="7" t="s">
        <v>3965</v>
      </c>
      <c r="D1175" s="7" t="s">
        <v>7659</v>
      </c>
      <c r="E1175" s="7" t="s">
        <v>1695</v>
      </c>
      <c r="F1175" s="7" t="s">
        <v>1696</v>
      </c>
    </row>
    <row r="1176">
      <c r="A1176" s="7" t="s">
        <v>2636</v>
      </c>
      <c r="B1176" s="7" t="s">
        <v>2637</v>
      </c>
      <c r="C1176" s="7" t="s">
        <v>540</v>
      </c>
      <c r="D1176" s="7" t="s">
        <v>7660</v>
      </c>
      <c r="E1176" s="7" t="s">
        <v>1695</v>
      </c>
      <c r="F1176" s="7" t="s">
        <v>1696</v>
      </c>
    </row>
    <row r="1177">
      <c r="A1177" s="7" t="s">
        <v>2958</v>
      </c>
      <c r="B1177" s="7" t="s">
        <v>2959</v>
      </c>
      <c r="C1177" s="7" t="s">
        <v>2960</v>
      </c>
      <c r="D1177" s="7" t="s">
        <v>7661</v>
      </c>
      <c r="E1177" s="7" t="s">
        <v>1695</v>
      </c>
      <c r="F1177" s="7" t="s">
        <v>1696</v>
      </c>
    </row>
    <row r="1178">
      <c r="A1178" s="7" t="s">
        <v>4900</v>
      </c>
      <c r="B1178" s="7" t="s">
        <v>4603</v>
      </c>
      <c r="C1178" s="7" t="s">
        <v>4901</v>
      </c>
      <c r="D1178" s="7" t="s">
        <v>7662</v>
      </c>
      <c r="E1178" s="7" t="s">
        <v>1695</v>
      </c>
      <c r="F1178" s="7" t="s">
        <v>1696</v>
      </c>
    </row>
    <row r="1179">
      <c r="A1179" s="7" t="s">
        <v>3805</v>
      </c>
      <c r="B1179" s="7" t="s">
        <v>817</v>
      </c>
      <c r="C1179" s="7" t="s">
        <v>3806</v>
      </c>
      <c r="D1179" s="7" t="s">
        <v>7663</v>
      </c>
      <c r="E1179" s="7" t="s">
        <v>1695</v>
      </c>
      <c r="F1179" s="7" t="s">
        <v>1696</v>
      </c>
    </row>
    <row r="1180">
      <c r="A1180" s="7" t="s">
        <v>3618</v>
      </c>
      <c r="B1180" s="7" t="s">
        <v>2890</v>
      </c>
      <c r="C1180" s="7" t="s">
        <v>3619</v>
      </c>
      <c r="D1180" s="7" t="s">
        <v>7664</v>
      </c>
      <c r="E1180" s="7" t="s">
        <v>1695</v>
      </c>
      <c r="F1180" s="7" t="s">
        <v>1696</v>
      </c>
    </row>
    <row r="1181">
      <c r="A1181" s="7" t="s">
        <v>4070</v>
      </c>
      <c r="B1181" s="7" t="s">
        <v>1226</v>
      </c>
      <c r="C1181" s="7" t="s">
        <v>218</v>
      </c>
      <c r="D1181" s="7" t="s">
        <v>7665</v>
      </c>
      <c r="E1181" s="7" t="s">
        <v>1695</v>
      </c>
      <c r="F1181" s="7" t="s">
        <v>1696</v>
      </c>
    </row>
    <row r="1182">
      <c r="A1182" s="7" t="s">
        <v>3840</v>
      </c>
      <c r="B1182" s="7" t="s">
        <v>3744</v>
      </c>
      <c r="C1182" s="7" t="s">
        <v>3841</v>
      </c>
      <c r="D1182" s="7" t="s">
        <v>7666</v>
      </c>
      <c r="E1182" s="7" t="s">
        <v>1695</v>
      </c>
      <c r="F1182" s="7" t="s">
        <v>1696</v>
      </c>
    </row>
    <row r="1183">
      <c r="A1183" s="7" t="s">
        <v>5539</v>
      </c>
      <c r="B1183" s="7" t="s">
        <v>98</v>
      </c>
      <c r="C1183" s="7" t="s">
        <v>218</v>
      </c>
      <c r="D1183" s="7" t="s">
        <v>7667</v>
      </c>
      <c r="E1183" s="7" t="s">
        <v>1695</v>
      </c>
      <c r="F1183" s="7" t="s">
        <v>1696</v>
      </c>
    </row>
    <row r="1184">
      <c r="A1184" s="7" t="s">
        <v>1925</v>
      </c>
      <c r="B1184" s="7" t="s">
        <v>812</v>
      </c>
      <c r="C1184" s="7" t="s">
        <v>1926</v>
      </c>
      <c r="D1184" s="7" t="s">
        <v>7668</v>
      </c>
      <c r="E1184" s="7" t="s">
        <v>1695</v>
      </c>
      <c r="F1184" s="7" t="s">
        <v>1696</v>
      </c>
    </row>
    <row r="1185">
      <c r="A1185" s="7" t="s">
        <v>2599</v>
      </c>
      <c r="B1185" s="7" t="s">
        <v>54</v>
      </c>
      <c r="C1185" s="7" t="s">
        <v>64</v>
      </c>
      <c r="D1185" s="7" t="s">
        <v>7669</v>
      </c>
      <c r="E1185" s="7" t="s">
        <v>1695</v>
      </c>
      <c r="F1185" s="7" t="s">
        <v>1696</v>
      </c>
    </row>
    <row r="1186">
      <c r="A1186" s="7" t="s">
        <v>6070</v>
      </c>
      <c r="B1186" s="7" t="s">
        <v>1224</v>
      </c>
      <c r="C1186" s="7" t="s">
        <v>3406</v>
      </c>
      <c r="D1186" s="7" t="s">
        <v>7670</v>
      </c>
      <c r="E1186" s="7" t="s">
        <v>1695</v>
      </c>
      <c r="F1186" s="7" t="s">
        <v>1696</v>
      </c>
    </row>
    <row r="1187">
      <c r="A1187" s="7" t="s">
        <v>4767</v>
      </c>
      <c r="B1187" s="7" t="s">
        <v>3974</v>
      </c>
      <c r="C1187" s="7" t="s">
        <v>4768</v>
      </c>
      <c r="D1187" s="7" t="s">
        <v>7671</v>
      </c>
      <c r="E1187" s="7" t="s">
        <v>1695</v>
      </c>
      <c r="F1187" s="7" t="s">
        <v>1696</v>
      </c>
    </row>
    <row r="1188">
      <c r="A1188" s="7" t="s">
        <v>4222</v>
      </c>
      <c r="B1188" s="7" t="s">
        <v>2622</v>
      </c>
      <c r="C1188" s="7" t="s">
        <v>468</v>
      </c>
      <c r="D1188" s="7" t="s">
        <v>7672</v>
      </c>
      <c r="E1188" s="7" t="s">
        <v>1695</v>
      </c>
      <c r="F1188" s="7" t="s">
        <v>1696</v>
      </c>
    </row>
    <row r="1189">
      <c r="A1189" s="7" t="s">
        <v>2396</v>
      </c>
      <c r="B1189" s="7" t="s">
        <v>2397</v>
      </c>
      <c r="C1189" s="7" t="s">
        <v>913</v>
      </c>
      <c r="D1189" s="7" t="s">
        <v>7673</v>
      </c>
      <c r="E1189" s="7" t="s">
        <v>1695</v>
      </c>
      <c r="F1189" s="7" t="s">
        <v>1696</v>
      </c>
    </row>
    <row r="1190">
      <c r="A1190" s="7" t="s">
        <v>5079</v>
      </c>
      <c r="B1190" s="7" t="s">
        <v>430</v>
      </c>
      <c r="C1190" s="7" t="s">
        <v>916</v>
      </c>
      <c r="D1190" s="7" t="s">
        <v>7674</v>
      </c>
      <c r="E1190" s="7" t="s">
        <v>1695</v>
      </c>
      <c r="F1190" s="7" t="s">
        <v>1696</v>
      </c>
    </row>
    <row r="1191">
      <c r="A1191" s="7" t="s">
        <v>1706</v>
      </c>
      <c r="B1191" s="7" t="s">
        <v>1707</v>
      </c>
      <c r="C1191" s="7" t="s">
        <v>1708</v>
      </c>
      <c r="D1191" s="7" t="s">
        <v>7675</v>
      </c>
      <c r="E1191" s="7" t="s">
        <v>1695</v>
      </c>
      <c r="F1191" s="7" t="s">
        <v>1696</v>
      </c>
    </row>
    <row r="1192">
      <c r="A1192" s="7" t="s">
        <v>2096</v>
      </c>
      <c r="B1192" s="7" t="s">
        <v>1766</v>
      </c>
      <c r="C1192" s="7" t="s">
        <v>204</v>
      </c>
      <c r="D1192" s="7" t="s">
        <v>7676</v>
      </c>
      <c r="E1192" s="7" t="s">
        <v>1695</v>
      </c>
      <c r="F1192" s="7" t="s">
        <v>1696</v>
      </c>
    </row>
    <row r="1193">
      <c r="A1193" s="7" t="s">
        <v>3984</v>
      </c>
      <c r="B1193" s="7" t="s">
        <v>58</v>
      </c>
      <c r="C1193" s="7" t="s">
        <v>1271</v>
      </c>
      <c r="D1193" s="7" t="s">
        <v>7677</v>
      </c>
      <c r="E1193" s="7" t="s">
        <v>1695</v>
      </c>
      <c r="F1193" s="7" t="s">
        <v>1696</v>
      </c>
    </row>
    <row r="1194">
      <c r="A1194" s="7" t="s">
        <v>2471</v>
      </c>
      <c r="B1194" s="7" t="s">
        <v>2472</v>
      </c>
      <c r="C1194" s="7" t="s">
        <v>1109</v>
      </c>
      <c r="D1194" s="7" t="s">
        <v>7678</v>
      </c>
      <c r="E1194" s="7" t="s">
        <v>1695</v>
      </c>
      <c r="F1194" s="7" t="s">
        <v>1696</v>
      </c>
    </row>
    <row r="1195">
      <c r="A1195" s="7" t="s">
        <v>4224</v>
      </c>
      <c r="B1195" s="7" t="s">
        <v>4225</v>
      </c>
      <c r="C1195" s="7" t="s">
        <v>1000</v>
      </c>
      <c r="D1195" s="7" t="s">
        <v>7679</v>
      </c>
      <c r="E1195" s="7" t="s">
        <v>1695</v>
      </c>
      <c r="F1195" s="7" t="s">
        <v>1696</v>
      </c>
    </row>
    <row r="1196">
      <c r="A1196" s="7" t="s">
        <v>5453</v>
      </c>
      <c r="B1196" s="7" t="s">
        <v>5454</v>
      </c>
      <c r="C1196" s="7" t="s">
        <v>5455</v>
      </c>
      <c r="D1196" s="7" t="s">
        <v>7680</v>
      </c>
      <c r="E1196" s="7" t="s">
        <v>1695</v>
      </c>
      <c r="F1196" s="7" t="s">
        <v>1696</v>
      </c>
    </row>
    <row r="1197">
      <c r="A1197" s="7" t="s">
        <v>5945</v>
      </c>
      <c r="B1197" s="7" t="s">
        <v>968</v>
      </c>
      <c r="C1197" s="7" t="s">
        <v>3894</v>
      </c>
      <c r="D1197" s="7" t="s">
        <v>7680</v>
      </c>
      <c r="E1197" s="7" t="s">
        <v>1695</v>
      </c>
      <c r="F1197" s="7" t="s">
        <v>1696</v>
      </c>
    </row>
    <row r="1198">
      <c r="A1198" s="7" t="s">
        <v>2748</v>
      </c>
      <c r="B1198" s="7" t="s">
        <v>267</v>
      </c>
      <c r="C1198" s="7" t="s">
        <v>196</v>
      </c>
      <c r="D1198" s="7" t="s">
        <v>7681</v>
      </c>
      <c r="E1198" s="7" t="s">
        <v>1695</v>
      </c>
      <c r="F1198" s="7" t="s">
        <v>1696</v>
      </c>
    </row>
    <row r="1199">
      <c r="A1199" s="7" t="s">
        <v>3434</v>
      </c>
      <c r="B1199" s="7" t="s">
        <v>3435</v>
      </c>
      <c r="C1199" s="7" t="s">
        <v>3436</v>
      </c>
      <c r="D1199" s="7" t="s">
        <v>7682</v>
      </c>
      <c r="E1199" s="7" t="s">
        <v>1695</v>
      </c>
      <c r="F1199" s="7" t="s">
        <v>1696</v>
      </c>
    </row>
    <row r="1200">
      <c r="A1200" s="7" t="s">
        <v>2708</v>
      </c>
      <c r="B1200" s="7" t="s">
        <v>2272</v>
      </c>
      <c r="C1200" s="7" t="s">
        <v>613</v>
      </c>
      <c r="D1200" s="7" t="s">
        <v>7683</v>
      </c>
      <c r="E1200" s="7" t="s">
        <v>1695</v>
      </c>
      <c r="F1200" s="7" t="s">
        <v>1696</v>
      </c>
    </row>
    <row r="1201">
      <c r="A1201" s="7" t="s">
        <v>6155</v>
      </c>
      <c r="B1201" s="7" t="s">
        <v>40</v>
      </c>
      <c r="C1201" s="7" t="s">
        <v>6156</v>
      </c>
      <c r="D1201" s="7" t="s">
        <v>7684</v>
      </c>
      <c r="E1201" s="7" t="s">
        <v>1695</v>
      </c>
      <c r="F1201" s="7" t="s">
        <v>1696</v>
      </c>
    </row>
    <row r="1202">
      <c r="A1202" s="7" t="s">
        <v>3668</v>
      </c>
      <c r="B1202" s="7" t="s">
        <v>3669</v>
      </c>
      <c r="C1202" s="7" t="s">
        <v>66</v>
      </c>
      <c r="D1202" s="7" t="s">
        <v>7685</v>
      </c>
      <c r="E1202" s="7" t="s">
        <v>1695</v>
      </c>
      <c r="F1202" s="7" t="s">
        <v>1696</v>
      </c>
    </row>
    <row r="1203">
      <c r="A1203" s="7" t="s">
        <v>6086</v>
      </c>
      <c r="B1203" s="7" t="s">
        <v>4114</v>
      </c>
      <c r="C1203" s="7" t="s">
        <v>1060</v>
      </c>
      <c r="D1203" s="7" t="s">
        <v>7686</v>
      </c>
      <c r="E1203" s="7" t="s">
        <v>1695</v>
      </c>
      <c r="F1203" s="7" t="s">
        <v>1696</v>
      </c>
    </row>
    <row r="1204">
      <c r="A1204" s="7" t="s">
        <v>6286</v>
      </c>
      <c r="B1204" s="7" t="s">
        <v>188</v>
      </c>
      <c r="C1204" s="7" t="s">
        <v>118</v>
      </c>
      <c r="D1204" s="7" t="s">
        <v>7687</v>
      </c>
      <c r="E1204" s="7" t="s">
        <v>1695</v>
      </c>
      <c r="F1204" s="7" t="s">
        <v>1696</v>
      </c>
    </row>
    <row r="1205">
      <c r="A1205" s="7" t="s">
        <v>2765</v>
      </c>
      <c r="B1205" s="7" t="s">
        <v>2766</v>
      </c>
      <c r="C1205" s="7" t="s">
        <v>2767</v>
      </c>
      <c r="D1205" s="7" t="s">
        <v>7688</v>
      </c>
      <c r="E1205" s="7" t="s">
        <v>1695</v>
      </c>
      <c r="F1205" s="7" t="s">
        <v>1696</v>
      </c>
    </row>
    <row r="1206">
      <c r="A1206" s="7" t="s">
        <v>4314</v>
      </c>
      <c r="B1206" s="7" t="s">
        <v>261</v>
      </c>
      <c r="C1206" s="7" t="s">
        <v>4315</v>
      </c>
      <c r="D1206" s="7" t="s">
        <v>7689</v>
      </c>
      <c r="E1206" s="7" t="s">
        <v>1695</v>
      </c>
      <c r="F1206" s="7" t="s">
        <v>1696</v>
      </c>
    </row>
    <row r="1207">
      <c r="A1207" s="7" t="s">
        <v>3886</v>
      </c>
      <c r="B1207" s="7" t="s">
        <v>2077</v>
      </c>
      <c r="C1207" s="7" t="s">
        <v>3682</v>
      </c>
      <c r="D1207" s="7" t="s">
        <v>7690</v>
      </c>
      <c r="E1207" s="7" t="s">
        <v>1695</v>
      </c>
      <c r="F1207" s="7" t="s">
        <v>1696</v>
      </c>
    </row>
    <row r="1208">
      <c r="A1208" s="7" t="s">
        <v>2732</v>
      </c>
      <c r="B1208" s="7" t="s">
        <v>291</v>
      </c>
      <c r="C1208" s="7" t="s">
        <v>664</v>
      </c>
      <c r="D1208" s="7" t="s">
        <v>7691</v>
      </c>
      <c r="E1208" s="7" t="s">
        <v>1695</v>
      </c>
      <c r="F1208" s="7" t="s">
        <v>1696</v>
      </c>
    </row>
    <row r="1209">
      <c r="A1209" s="7" t="s">
        <v>4078</v>
      </c>
      <c r="B1209" s="7" t="s">
        <v>1584</v>
      </c>
      <c r="C1209" s="7" t="s">
        <v>1269</v>
      </c>
      <c r="D1209" s="7" t="s">
        <v>7692</v>
      </c>
      <c r="E1209" s="7" t="s">
        <v>1695</v>
      </c>
      <c r="F1209" s="7" t="s">
        <v>1696</v>
      </c>
    </row>
    <row r="1210">
      <c r="A1210" s="7" t="s">
        <v>3074</v>
      </c>
      <c r="B1210" s="7" t="s">
        <v>3075</v>
      </c>
      <c r="C1210" s="7" t="s">
        <v>3076</v>
      </c>
      <c r="D1210" s="7" t="s">
        <v>7693</v>
      </c>
      <c r="E1210" s="7" t="s">
        <v>1695</v>
      </c>
      <c r="F1210" s="7" t="s">
        <v>1696</v>
      </c>
    </row>
    <row r="1211">
      <c r="A1211" s="7" t="s">
        <v>5731</v>
      </c>
      <c r="B1211" s="7" t="s">
        <v>1446</v>
      </c>
      <c r="C1211" s="7" t="s">
        <v>5732</v>
      </c>
      <c r="D1211" s="7" t="s">
        <v>7694</v>
      </c>
      <c r="E1211" s="7" t="s">
        <v>1695</v>
      </c>
      <c r="F1211" s="7" t="s">
        <v>1696</v>
      </c>
    </row>
    <row r="1212">
      <c r="A1212" s="7" t="s">
        <v>4485</v>
      </c>
      <c r="B1212" s="7" t="s">
        <v>178</v>
      </c>
      <c r="C1212" s="7" t="s">
        <v>4486</v>
      </c>
      <c r="D1212" s="7" t="s">
        <v>7695</v>
      </c>
      <c r="E1212" s="7" t="s">
        <v>1695</v>
      </c>
      <c r="F1212" s="7" t="s">
        <v>1696</v>
      </c>
    </row>
    <row r="1213">
      <c r="A1213" s="7" t="s">
        <v>5549</v>
      </c>
      <c r="B1213" s="7" t="s">
        <v>5550</v>
      </c>
      <c r="C1213" s="7" t="s">
        <v>559</v>
      </c>
      <c r="D1213" s="7" t="s">
        <v>7696</v>
      </c>
      <c r="E1213" s="7" t="s">
        <v>1695</v>
      </c>
      <c r="F1213" s="7" t="s">
        <v>1696</v>
      </c>
    </row>
    <row r="1214">
      <c r="A1214" s="7" t="s">
        <v>5844</v>
      </c>
      <c r="B1214" s="7" t="s">
        <v>5845</v>
      </c>
      <c r="C1214" s="7" t="s">
        <v>3919</v>
      </c>
      <c r="D1214" s="7" t="s">
        <v>7697</v>
      </c>
      <c r="E1214" s="7" t="s">
        <v>1695</v>
      </c>
      <c r="F1214" s="7" t="s">
        <v>1696</v>
      </c>
    </row>
    <row r="1215">
      <c r="A1215" s="7" t="s">
        <v>3022</v>
      </c>
      <c r="B1215" s="7" t="s">
        <v>3023</v>
      </c>
      <c r="C1215" s="7" t="s">
        <v>3024</v>
      </c>
      <c r="D1215" s="7" t="s">
        <v>7698</v>
      </c>
      <c r="E1215" s="7" t="s">
        <v>1695</v>
      </c>
      <c r="F1215" s="7" t="s">
        <v>1696</v>
      </c>
    </row>
    <row r="1216">
      <c r="A1216" s="7" t="s">
        <v>4692</v>
      </c>
      <c r="B1216" s="7" t="s">
        <v>4693</v>
      </c>
      <c r="C1216" s="7" t="s">
        <v>4129</v>
      </c>
      <c r="D1216" s="7" t="s">
        <v>7699</v>
      </c>
      <c r="E1216" s="7" t="s">
        <v>1695</v>
      </c>
      <c r="F1216" s="7" t="s">
        <v>1696</v>
      </c>
    </row>
    <row r="1217">
      <c r="A1217" s="7" t="s">
        <v>5094</v>
      </c>
      <c r="B1217" s="7" t="s">
        <v>111</v>
      </c>
      <c r="C1217" s="7" t="s">
        <v>5095</v>
      </c>
      <c r="D1217" s="7" t="s">
        <v>7700</v>
      </c>
      <c r="E1217" s="7" t="s">
        <v>1695</v>
      </c>
      <c r="F1217" s="7" t="s">
        <v>1696</v>
      </c>
    </row>
    <row r="1218">
      <c r="A1218" s="7" t="s">
        <v>4378</v>
      </c>
      <c r="B1218" s="7" t="s">
        <v>877</v>
      </c>
      <c r="C1218" s="7" t="s">
        <v>4379</v>
      </c>
      <c r="D1218" s="7" t="s">
        <v>7701</v>
      </c>
      <c r="E1218" s="7" t="s">
        <v>1695</v>
      </c>
      <c r="F1218" s="7" t="s">
        <v>1696</v>
      </c>
    </row>
    <row r="1219">
      <c r="A1219" s="7" t="s">
        <v>6398</v>
      </c>
      <c r="B1219" s="7" t="s">
        <v>787</v>
      </c>
      <c r="C1219" s="7" t="s">
        <v>529</v>
      </c>
      <c r="D1219" s="7" t="s">
        <v>7702</v>
      </c>
      <c r="E1219" s="7" t="s">
        <v>1695</v>
      </c>
      <c r="F1219" s="7" t="s">
        <v>6318</v>
      </c>
    </row>
    <row r="1220">
      <c r="A1220" s="7" t="s">
        <v>3895</v>
      </c>
      <c r="B1220" s="7" t="s">
        <v>3896</v>
      </c>
      <c r="C1220" s="7" t="s">
        <v>922</v>
      </c>
      <c r="D1220" s="7" t="s">
        <v>7703</v>
      </c>
      <c r="E1220" s="7" t="s">
        <v>1695</v>
      </c>
      <c r="F1220" s="7" t="s">
        <v>1696</v>
      </c>
    </row>
    <row r="1221">
      <c r="A1221" s="7" t="s">
        <v>4581</v>
      </c>
      <c r="B1221" s="7" t="s">
        <v>3089</v>
      </c>
      <c r="C1221" s="7" t="s">
        <v>4582</v>
      </c>
      <c r="D1221" s="7" t="s">
        <v>7704</v>
      </c>
      <c r="E1221" s="7" t="s">
        <v>1695</v>
      </c>
      <c r="F1221" s="7" t="s">
        <v>1696</v>
      </c>
    </row>
    <row r="1222">
      <c r="A1222" s="7" t="s">
        <v>5389</v>
      </c>
      <c r="B1222" s="7" t="s">
        <v>540</v>
      </c>
      <c r="C1222" s="7" t="s">
        <v>5390</v>
      </c>
      <c r="D1222" s="7" t="s">
        <v>7705</v>
      </c>
      <c r="E1222" s="7" t="s">
        <v>1695</v>
      </c>
      <c r="F1222" s="7" t="s">
        <v>1696</v>
      </c>
    </row>
    <row r="1223">
      <c r="A1223" s="7" t="s">
        <v>3876</v>
      </c>
      <c r="B1223" s="7" t="s">
        <v>3877</v>
      </c>
      <c r="C1223" s="7" t="s">
        <v>798</v>
      </c>
      <c r="D1223" s="7" t="s">
        <v>7706</v>
      </c>
      <c r="E1223" s="7" t="s">
        <v>1695</v>
      </c>
      <c r="F1223" s="7" t="s">
        <v>1696</v>
      </c>
    </row>
    <row r="1224">
      <c r="A1224" s="7" t="s">
        <v>4558</v>
      </c>
      <c r="B1224" s="7" t="s">
        <v>4559</v>
      </c>
      <c r="C1224" s="7" t="s">
        <v>4560</v>
      </c>
      <c r="D1224" s="7" t="s">
        <v>7707</v>
      </c>
      <c r="E1224" s="7" t="s">
        <v>1695</v>
      </c>
      <c r="F1224" s="7" t="s">
        <v>1696</v>
      </c>
    </row>
    <row r="1225">
      <c r="A1225" s="7" t="s">
        <v>5705</v>
      </c>
      <c r="B1225" s="7" t="s">
        <v>1104</v>
      </c>
      <c r="C1225" s="7" t="s">
        <v>572</v>
      </c>
      <c r="D1225" s="7" t="s">
        <v>7708</v>
      </c>
      <c r="E1225" s="7" t="s">
        <v>1695</v>
      </c>
      <c r="F1225" s="7" t="s">
        <v>1696</v>
      </c>
    </row>
    <row r="1226">
      <c r="A1226" s="7" t="s">
        <v>4709</v>
      </c>
      <c r="B1226" s="7" t="s">
        <v>4710</v>
      </c>
      <c r="C1226" s="7" t="s">
        <v>3323</v>
      </c>
      <c r="D1226" s="7" t="s">
        <v>7709</v>
      </c>
      <c r="E1226" s="7" t="s">
        <v>1695</v>
      </c>
      <c r="F1226" s="7" t="s">
        <v>1696</v>
      </c>
    </row>
    <row r="1227">
      <c r="A1227" s="7" t="s">
        <v>3727</v>
      </c>
      <c r="B1227" s="7" t="s">
        <v>158</v>
      </c>
      <c r="C1227" s="7" t="s">
        <v>328</v>
      </c>
      <c r="D1227" s="7" t="s">
        <v>7710</v>
      </c>
      <c r="E1227" s="7" t="s">
        <v>1695</v>
      </c>
      <c r="F1227" s="7" t="s">
        <v>1696</v>
      </c>
    </row>
    <row r="1228">
      <c r="A1228" s="7" t="s">
        <v>4670</v>
      </c>
      <c r="B1228" s="7" t="s">
        <v>261</v>
      </c>
      <c r="C1228" s="7" t="s">
        <v>649</v>
      </c>
      <c r="D1228" s="7" t="s">
        <v>7711</v>
      </c>
      <c r="E1228" s="7" t="s">
        <v>1695</v>
      </c>
      <c r="F1228" s="7" t="s">
        <v>1696</v>
      </c>
    </row>
    <row r="1229">
      <c r="A1229" s="7" t="s">
        <v>6237</v>
      </c>
      <c r="B1229" s="7" t="s">
        <v>6238</v>
      </c>
      <c r="C1229" s="7" t="s">
        <v>309</v>
      </c>
      <c r="D1229" s="7" t="s">
        <v>7712</v>
      </c>
      <c r="E1229" s="7" t="s">
        <v>1695</v>
      </c>
      <c r="F1229" s="7" t="s">
        <v>1696</v>
      </c>
    </row>
    <row r="1230">
      <c r="A1230" s="7" t="s">
        <v>2744</v>
      </c>
      <c r="B1230" s="7" t="s">
        <v>188</v>
      </c>
      <c r="C1230" s="7" t="s">
        <v>2745</v>
      </c>
      <c r="D1230" s="7" t="s">
        <v>7713</v>
      </c>
      <c r="E1230" s="7" t="s">
        <v>1695</v>
      </c>
      <c r="F1230" s="7" t="s">
        <v>1696</v>
      </c>
    </row>
    <row r="1231">
      <c r="A1231" s="7" t="s">
        <v>6079</v>
      </c>
      <c r="B1231" s="7" t="s">
        <v>1187</v>
      </c>
      <c r="C1231" s="7" t="s">
        <v>422</v>
      </c>
      <c r="D1231" s="7" t="s">
        <v>7714</v>
      </c>
      <c r="E1231" s="7" t="s">
        <v>1695</v>
      </c>
      <c r="F1231" s="7" t="s">
        <v>1696</v>
      </c>
    </row>
    <row r="1232">
      <c r="A1232" s="7" t="s">
        <v>3693</v>
      </c>
      <c r="B1232" s="7" t="s">
        <v>3694</v>
      </c>
      <c r="C1232" s="7" t="s">
        <v>3695</v>
      </c>
      <c r="D1232" s="7" t="s">
        <v>7715</v>
      </c>
      <c r="E1232" s="7" t="s">
        <v>1695</v>
      </c>
      <c r="F1232" s="7" t="s">
        <v>1696</v>
      </c>
    </row>
    <row r="1233">
      <c r="A1233" s="7" t="s">
        <v>6189</v>
      </c>
      <c r="B1233" s="7" t="s">
        <v>6190</v>
      </c>
      <c r="C1233" s="7" t="s">
        <v>6191</v>
      </c>
      <c r="D1233" s="7" t="s">
        <v>7716</v>
      </c>
      <c r="E1233" s="7" t="s">
        <v>1695</v>
      </c>
      <c r="F1233" s="7" t="s">
        <v>1696</v>
      </c>
    </row>
    <row r="1234">
      <c r="A1234" s="7" t="s">
        <v>4139</v>
      </c>
      <c r="B1234" s="7" t="s">
        <v>4140</v>
      </c>
      <c r="C1234" s="7" t="s">
        <v>2724</v>
      </c>
      <c r="D1234" s="7" t="s">
        <v>7717</v>
      </c>
      <c r="E1234" s="7" t="s">
        <v>1695</v>
      </c>
      <c r="F1234" s="7" t="s">
        <v>1696</v>
      </c>
    </row>
    <row r="1235">
      <c r="A1235" s="7" t="s">
        <v>4371</v>
      </c>
      <c r="B1235" s="7" t="s">
        <v>1954</v>
      </c>
      <c r="C1235" s="7" t="s">
        <v>3750</v>
      </c>
      <c r="D1235" s="7" t="s">
        <v>7718</v>
      </c>
      <c r="E1235" s="7" t="s">
        <v>1695</v>
      </c>
      <c r="F1235" s="7" t="s">
        <v>1696</v>
      </c>
    </row>
    <row r="1236">
      <c r="A1236" s="7" t="s">
        <v>3948</v>
      </c>
      <c r="B1236" s="7" t="s">
        <v>3949</v>
      </c>
      <c r="C1236" s="7" t="s">
        <v>3950</v>
      </c>
      <c r="D1236" s="7" t="s">
        <v>7719</v>
      </c>
      <c r="E1236" s="7" t="s">
        <v>1695</v>
      </c>
      <c r="F1236" s="7" t="s">
        <v>1696</v>
      </c>
    </row>
    <row r="1237">
      <c r="A1237" s="7" t="s">
        <v>2028</v>
      </c>
      <c r="B1237" s="7" t="s">
        <v>1739</v>
      </c>
      <c r="C1237" s="7" t="s">
        <v>2029</v>
      </c>
      <c r="D1237" s="7" t="s">
        <v>7720</v>
      </c>
      <c r="E1237" s="7" t="s">
        <v>1695</v>
      </c>
      <c r="F1237" s="7" t="s">
        <v>1696</v>
      </c>
    </row>
    <row r="1238">
      <c r="A1238" s="7" t="s">
        <v>3497</v>
      </c>
      <c r="B1238" s="7" t="s">
        <v>2197</v>
      </c>
      <c r="C1238" s="7" t="s">
        <v>724</v>
      </c>
      <c r="D1238" s="7" t="s">
        <v>7721</v>
      </c>
      <c r="E1238" s="7" t="s">
        <v>1695</v>
      </c>
      <c r="F1238" s="7" t="s">
        <v>1696</v>
      </c>
    </row>
    <row r="1239">
      <c r="A1239" s="7" t="s">
        <v>5002</v>
      </c>
      <c r="B1239" s="7" t="s">
        <v>1156</v>
      </c>
      <c r="C1239" s="7" t="s">
        <v>993</v>
      </c>
      <c r="D1239" s="7" t="s">
        <v>7722</v>
      </c>
      <c r="E1239" s="7" t="s">
        <v>1695</v>
      </c>
      <c r="F1239" s="7" t="s">
        <v>1696</v>
      </c>
    </row>
    <row r="1240">
      <c r="A1240" s="7" t="s">
        <v>6358</v>
      </c>
      <c r="B1240" s="7" t="s">
        <v>3954</v>
      </c>
      <c r="C1240" s="7" t="s">
        <v>596</v>
      </c>
      <c r="D1240" s="7" t="s">
        <v>7723</v>
      </c>
      <c r="E1240" s="7" t="s">
        <v>1695</v>
      </c>
      <c r="F1240" s="7" t="s">
        <v>6318</v>
      </c>
    </row>
    <row r="1241">
      <c r="A1241" s="7" t="s">
        <v>6397</v>
      </c>
      <c r="B1241" s="7" t="s">
        <v>5840</v>
      </c>
      <c r="C1241" s="7" t="s">
        <v>877</v>
      </c>
      <c r="D1241" s="7" t="s">
        <v>7724</v>
      </c>
      <c r="E1241" s="7" t="s">
        <v>1695</v>
      </c>
      <c r="F1241" s="7" t="s">
        <v>6318</v>
      </c>
    </row>
    <row r="1242">
      <c r="A1242" s="7" t="s">
        <v>4823</v>
      </c>
      <c r="B1242" s="7" t="s">
        <v>4824</v>
      </c>
      <c r="C1242" s="7" t="s">
        <v>4825</v>
      </c>
      <c r="D1242" s="7" t="s">
        <v>7725</v>
      </c>
      <c r="E1242" s="7" t="s">
        <v>1695</v>
      </c>
      <c r="F1242" s="7" t="s">
        <v>1696</v>
      </c>
    </row>
    <row r="1243">
      <c r="A1243" s="7" t="s">
        <v>6159</v>
      </c>
      <c r="B1243" s="7" t="s">
        <v>2677</v>
      </c>
      <c r="C1243" s="7" t="s">
        <v>6160</v>
      </c>
      <c r="D1243" s="7" t="s">
        <v>7726</v>
      </c>
      <c r="E1243" s="7" t="s">
        <v>1695</v>
      </c>
      <c r="F1243" s="7" t="s">
        <v>1696</v>
      </c>
    </row>
    <row r="1244">
      <c r="A1244" s="7" t="s">
        <v>5023</v>
      </c>
      <c r="B1244" s="7" t="s">
        <v>204</v>
      </c>
      <c r="C1244" s="7" t="s">
        <v>1856</v>
      </c>
      <c r="D1244" s="7" t="s">
        <v>7727</v>
      </c>
      <c r="E1244" s="7" t="s">
        <v>1695</v>
      </c>
      <c r="F1244" s="7" t="s">
        <v>1696</v>
      </c>
    </row>
    <row r="1245">
      <c r="A1245" s="7" t="s">
        <v>2796</v>
      </c>
      <c r="B1245" s="7" t="s">
        <v>992</v>
      </c>
      <c r="C1245" s="7" t="s">
        <v>292</v>
      </c>
      <c r="D1245" s="7" t="s">
        <v>7728</v>
      </c>
      <c r="E1245" s="7" t="s">
        <v>1695</v>
      </c>
      <c r="F1245" s="7" t="s">
        <v>1696</v>
      </c>
    </row>
    <row r="1246">
      <c r="A1246" s="7" t="s">
        <v>4927</v>
      </c>
      <c r="B1246" s="7" t="s">
        <v>4321</v>
      </c>
      <c r="C1246" s="7" t="s">
        <v>4928</v>
      </c>
      <c r="D1246" s="7" t="s">
        <v>7729</v>
      </c>
      <c r="E1246" s="7" t="s">
        <v>1695</v>
      </c>
      <c r="F1246" s="7" t="s">
        <v>1696</v>
      </c>
    </row>
    <row r="1247">
      <c r="A1247" s="7" t="s">
        <v>3923</v>
      </c>
      <c r="B1247" s="7" t="s">
        <v>3924</v>
      </c>
      <c r="C1247" s="7" t="s">
        <v>3925</v>
      </c>
      <c r="D1247" s="7" t="s">
        <v>7730</v>
      </c>
      <c r="E1247" s="7" t="s">
        <v>1695</v>
      </c>
      <c r="F1247" s="7" t="s">
        <v>1696</v>
      </c>
    </row>
    <row r="1248">
      <c r="A1248" s="7" t="s">
        <v>2512</v>
      </c>
      <c r="B1248" s="7" t="s">
        <v>2513</v>
      </c>
      <c r="C1248" s="7" t="s">
        <v>443</v>
      </c>
      <c r="D1248" s="7" t="s">
        <v>7731</v>
      </c>
      <c r="E1248" s="7" t="s">
        <v>1695</v>
      </c>
      <c r="F1248" s="7" t="s">
        <v>1696</v>
      </c>
    </row>
    <row r="1249">
      <c r="A1249" s="7" t="s">
        <v>3824</v>
      </c>
      <c r="B1249" s="7" t="s">
        <v>3778</v>
      </c>
      <c r="C1249" s="7" t="s">
        <v>446</v>
      </c>
      <c r="D1249" s="7" t="s">
        <v>7732</v>
      </c>
      <c r="E1249" s="7" t="s">
        <v>1695</v>
      </c>
      <c r="F1249" s="7" t="s">
        <v>1696</v>
      </c>
    </row>
    <row r="1250">
      <c r="A1250" s="7" t="s">
        <v>5348</v>
      </c>
      <c r="B1250" s="7" t="s">
        <v>2781</v>
      </c>
      <c r="C1250" s="7" t="s">
        <v>5349</v>
      </c>
      <c r="D1250" s="7" t="s">
        <v>7733</v>
      </c>
      <c r="E1250" s="7" t="s">
        <v>1695</v>
      </c>
      <c r="F1250" s="7" t="s">
        <v>1696</v>
      </c>
    </row>
    <row r="1251">
      <c r="A1251" s="7" t="s">
        <v>5344</v>
      </c>
      <c r="B1251" s="7" t="s">
        <v>5345</v>
      </c>
      <c r="C1251" s="7" t="s">
        <v>5346</v>
      </c>
      <c r="D1251" s="7" t="s">
        <v>7734</v>
      </c>
      <c r="E1251" s="7" t="s">
        <v>1695</v>
      </c>
      <c r="F1251" s="7" t="s">
        <v>1696</v>
      </c>
    </row>
    <row r="1252">
      <c r="A1252" s="7" t="s">
        <v>4831</v>
      </c>
      <c r="B1252" s="7" t="s">
        <v>3902</v>
      </c>
      <c r="C1252" s="7" t="s">
        <v>1000</v>
      </c>
      <c r="D1252" s="7" t="s">
        <v>7735</v>
      </c>
      <c r="E1252" s="7" t="s">
        <v>1695</v>
      </c>
      <c r="F1252" s="7" t="s">
        <v>1696</v>
      </c>
    </row>
    <row r="1253">
      <c r="A1253" s="7" t="s">
        <v>5693</v>
      </c>
      <c r="B1253" s="7" t="s">
        <v>5694</v>
      </c>
      <c r="C1253" s="7" t="s">
        <v>5695</v>
      </c>
      <c r="D1253" s="7" t="s">
        <v>7736</v>
      </c>
      <c r="E1253" s="7" t="s">
        <v>1695</v>
      </c>
      <c r="F1253" s="7" t="s">
        <v>1696</v>
      </c>
    </row>
    <row r="1254">
      <c r="A1254" s="7" t="s">
        <v>6162</v>
      </c>
      <c r="B1254" s="7" t="s">
        <v>178</v>
      </c>
      <c r="C1254" s="7" t="s">
        <v>5872</v>
      </c>
      <c r="D1254" s="7" t="s">
        <v>7737</v>
      </c>
      <c r="E1254" s="7" t="s">
        <v>1695</v>
      </c>
      <c r="F1254" s="7" t="s">
        <v>1696</v>
      </c>
    </row>
    <row r="1255">
      <c r="A1255" s="7" t="s">
        <v>3344</v>
      </c>
      <c r="B1255" s="7" t="s">
        <v>3345</v>
      </c>
      <c r="C1255" s="7" t="s">
        <v>3346</v>
      </c>
      <c r="D1255" s="7" t="s">
        <v>7738</v>
      </c>
      <c r="E1255" s="7" t="s">
        <v>1695</v>
      </c>
      <c r="F1255" s="7" t="s">
        <v>1696</v>
      </c>
    </row>
    <row r="1256">
      <c r="A1256" s="7" t="s">
        <v>3655</v>
      </c>
      <c r="B1256" s="7" t="s">
        <v>3656</v>
      </c>
      <c r="C1256" s="7" t="s">
        <v>3657</v>
      </c>
      <c r="D1256" s="7" t="s">
        <v>7738</v>
      </c>
      <c r="E1256" s="7" t="s">
        <v>1695</v>
      </c>
      <c r="F1256" s="7" t="s">
        <v>1696</v>
      </c>
    </row>
    <row r="1257">
      <c r="A1257" s="7" t="s">
        <v>2538</v>
      </c>
      <c r="B1257" s="7" t="s">
        <v>2539</v>
      </c>
      <c r="C1257" s="7" t="s">
        <v>2540</v>
      </c>
      <c r="D1257" s="7" t="s">
        <v>7739</v>
      </c>
      <c r="E1257" s="7" t="s">
        <v>1695</v>
      </c>
      <c r="F1257" s="7" t="s">
        <v>1696</v>
      </c>
    </row>
    <row r="1258">
      <c r="A1258" s="7" t="s">
        <v>2679</v>
      </c>
      <c r="B1258" s="7" t="s">
        <v>2539</v>
      </c>
      <c r="C1258" s="7" t="s">
        <v>2680</v>
      </c>
      <c r="D1258" s="7" t="s">
        <v>7739</v>
      </c>
      <c r="E1258" s="7" t="s">
        <v>1695</v>
      </c>
      <c r="F1258" s="7" t="s">
        <v>1696</v>
      </c>
    </row>
    <row r="1259">
      <c r="A1259" s="7" t="s">
        <v>6239</v>
      </c>
      <c r="B1259" s="7" t="s">
        <v>195</v>
      </c>
      <c r="C1259" s="7" t="s">
        <v>6240</v>
      </c>
      <c r="D1259" s="7" t="s">
        <v>7740</v>
      </c>
      <c r="E1259" s="7" t="s">
        <v>1695</v>
      </c>
      <c r="F1259" s="7" t="s">
        <v>1696</v>
      </c>
    </row>
    <row r="1260">
      <c r="A1260" s="7" t="s">
        <v>2851</v>
      </c>
      <c r="B1260" s="7" t="s">
        <v>1034</v>
      </c>
      <c r="C1260" s="7" t="s">
        <v>196</v>
      </c>
      <c r="D1260" s="7" t="s">
        <v>7741</v>
      </c>
      <c r="E1260" s="7" t="s">
        <v>1695</v>
      </c>
      <c r="F1260" s="7" t="s">
        <v>1696</v>
      </c>
    </row>
    <row r="1261">
      <c r="A1261" s="7" t="s">
        <v>2328</v>
      </c>
      <c r="B1261" s="7" t="s">
        <v>2329</v>
      </c>
      <c r="C1261" s="7" t="s">
        <v>2330</v>
      </c>
      <c r="D1261" s="7" t="s">
        <v>7742</v>
      </c>
      <c r="E1261" s="7" t="s">
        <v>1695</v>
      </c>
      <c r="F1261" s="7" t="s">
        <v>1696</v>
      </c>
    </row>
    <row r="1262">
      <c r="A1262" s="7" t="s">
        <v>5617</v>
      </c>
      <c r="B1262" s="7" t="s">
        <v>5618</v>
      </c>
      <c r="C1262" s="7" t="s">
        <v>5619</v>
      </c>
      <c r="D1262" s="7" t="s">
        <v>7743</v>
      </c>
      <c r="E1262" s="7" t="s">
        <v>1695</v>
      </c>
      <c r="F1262" s="7" t="s">
        <v>1696</v>
      </c>
    </row>
    <row r="1263">
      <c r="A1263" s="7" t="s">
        <v>3183</v>
      </c>
      <c r="B1263" s="7" t="s">
        <v>3184</v>
      </c>
      <c r="C1263" s="7" t="s">
        <v>317</v>
      </c>
      <c r="D1263" s="7" t="s">
        <v>7744</v>
      </c>
      <c r="E1263" s="7" t="s">
        <v>1695</v>
      </c>
      <c r="F1263" s="7" t="s">
        <v>1696</v>
      </c>
    </row>
    <row r="1264">
      <c r="A1264" s="7" t="s">
        <v>4293</v>
      </c>
      <c r="B1264" s="7" t="s">
        <v>273</v>
      </c>
      <c r="C1264" s="7" t="s">
        <v>218</v>
      </c>
      <c r="D1264" s="7" t="s">
        <v>7745</v>
      </c>
      <c r="E1264" s="7" t="s">
        <v>1695</v>
      </c>
      <c r="F1264" s="7" t="s">
        <v>1696</v>
      </c>
    </row>
    <row r="1265">
      <c r="A1265" s="7" t="s">
        <v>5578</v>
      </c>
      <c r="B1265" s="7" t="s">
        <v>5579</v>
      </c>
      <c r="C1265" s="7" t="s">
        <v>5580</v>
      </c>
      <c r="D1265" s="7" t="s">
        <v>7746</v>
      </c>
      <c r="E1265" s="7" t="s">
        <v>1695</v>
      </c>
      <c r="F1265" s="7" t="s">
        <v>1696</v>
      </c>
    </row>
    <row r="1266">
      <c r="A1266" s="7" t="s">
        <v>2506</v>
      </c>
      <c r="B1266" s="7" t="s">
        <v>218</v>
      </c>
      <c r="C1266" s="7" t="s">
        <v>2507</v>
      </c>
      <c r="D1266" s="7" t="s">
        <v>7747</v>
      </c>
      <c r="E1266" s="7" t="s">
        <v>1695</v>
      </c>
      <c r="F1266" s="7" t="s">
        <v>1696</v>
      </c>
    </row>
    <row r="1267">
      <c r="A1267" s="7" t="s">
        <v>3790</v>
      </c>
      <c r="B1267" s="7" t="s">
        <v>273</v>
      </c>
      <c r="C1267" s="7" t="s">
        <v>3791</v>
      </c>
      <c r="D1267" s="7" t="s">
        <v>7748</v>
      </c>
      <c r="E1267" s="7" t="s">
        <v>1695</v>
      </c>
      <c r="F1267" s="7" t="s">
        <v>1696</v>
      </c>
    </row>
    <row r="1268">
      <c r="A1268" s="7" t="s">
        <v>6199</v>
      </c>
      <c r="B1268" s="7" t="s">
        <v>3774</v>
      </c>
      <c r="C1268" s="7" t="s">
        <v>918</v>
      </c>
      <c r="D1268" s="7" t="s">
        <v>7749</v>
      </c>
      <c r="E1268" s="7" t="s">
        <v>1695</v>
      </c>
      <c r="F1268" s="7" t="s">
        <v>1696</v>
      </c>
    </row>
    <row r="1269">
      <c r="A1269" s="7" t="s">
        <v>2856</v>
      </c>
      <c r="B1269" s="7" t="s">
        <v>386</v>
      </c>
      <c r="C1269" s="7" t="s">
        <v>1055</v>
      </c>
      <c r="D1269" s="7" t="s">
        <v>7750</v>
      </c>
      <c r="E1269" s="7" t="s">
        <v>1695</v>
      </c>
      <c r="F1269" s="7" t="s">
        <v>1696</v>
      </c>
    </row>
    <row r="1270">
      <c r="A1270" s="7" t="s">
        <v>3861</v>
      </c>
      <c r="B1270" s="7" t="s">
        <v>3862</v>
      </c>
      <c r="C1270" s="7" t="s">
        <v>3863</v>
      </c>
      <c r="D1270" s="7" t="s">
        <v>7751</v>
      </c>
      <c r="E1270" s="7" t="s">
        <v>1695</v>
      </c>
      <c r="F1270" s="7" t="s">
        <v>1696</v>
      </c>
    </row>
    <row r="1271">
      <c r="A1271" s="7" t="s">
        <v>2459</v>
      </c>
      <c r="B1271" s="7" t="s">
        <v>280</v>
      </c>
      <c r="C1271" s="7" t="s">
        <v>993</v>
      </c>
      <c r="D1271" s="7" t="s">
        <v>7752</v>
      </c>
      <c r="E1271" s="7" t="s">
        <v>1695</v>
      </c>
      <c r="F1271" s="7" t="s">
        <v>1696</v>
      </c>
    </row>
    <row r="1272">
      <c r="A1272" s="7" t="s">
        <v>6175</v>
      </c>
      <c r="B1272" s="7" t="s">
        <v>6176</v>
      </c>
      <c r="C1272" s="7" t="s">
        <v>826</v>
      </c>
      <c r="D1272" s="7" t="s">
        <v>7753</v>
      </c>
      <c r="E1272" s="7" t="s">
        <v>1695</v>
      </c>
      <c r="F1272" s="7" t="s">
        <v>1696</v>
      </c>
    </row>
    <row r="1273">
      <c r="A1273" s="7" t="s">
        <v>4006</v>
      </c>
      <c r="B1273" s="7" t="s">
        <v>787</v>
      </c>
      <c r="C1273" s="7" t="s">
        <v>4007</v>
      </c>
      <c r="D1273" s="7" t="s">
        <v>7754</v>
      </c>
      <c r="E1273" s="7" t="s">
        <v>1695</v>
      </c>
      <c r="F1273" s="7" t="s">
        <v>1696</v>
      </c>
    </row>
    <row r="1274">
      <c r="A1274" s="7" t="s">
        <v>5007</v>
      </c>
      <c r="B1274" s="7" t="s">
        <v>5008</v>
      </c>
      <c r="C1274" s="7" t="s">
        <v>112</v>
      </c>
      <c r="D1274" s="7" t="s">
        <v>7755</v>
      </c>
      <c r="E1274" s="7" t="s">
        <v>1695</v>
      </c>
      <c r="F1274" s="7" t="s">
        <v>1696</v>
      </c>
    </row>
    <row r="1275">
      <c r="A1275" s="7" t="s">
        <v>6101</v>
      </c>
      <c r="B1275" s="7" t="s">
        <v>5959</v>
      </c>
      <c r="C1275" s="7" t="s">
        <v>64</v>
      </c>
      <c r="D1275" s="7" t="s">
        <v>7756</v>
      </c>
      <c r="E1275" s="7" t="s">
        <v>1695</v>
      </c>
      <c r="F1275" s="7" t="s">
        <v>1696</v>
      </c>
    </row>
    <row r="1276">
      <c r="A1276" s="7" t="s">
        <v>5199</v>
      </c>
      <c r="B1276" s="7" t="s">
        <v>5073</v>
      </c>
      <c r="C1276" s="7" t="s">
        <v>371</v>
      </c>
      <c r="D1276" s="7" t="s">
        <v>7757</v>
      </c>
      <c r="E1276" s="7" t="s">
        <v>1695</v>
      </c>
      <c r="F1276" s="7" t="s">
        <v>1696</v>
      </c>
    </row>
    <row r="1277">
      <c r="A1277" s="7" t="s">
        <v>4091</v>
      </c>
      <c r="B1277" s="7" t="s">
        <v>4092</v>
      </c>
      <c r="C1277" s="7" t="s">
        <v>4093</v>
      </c>
      <c r="D1277" s="7" t="s">
        <v>7758</v>
      </c>
      <c r="E1277" s="7" t="s">
        <v>1695</v>
      </c>
      <c r="F1277" s="7" t="s">
        <v>1696</v>
      </c>
    </row>
    <row r="1278">
      <c r="A1278" s="7" t="s">
        <v>4604</v>
      </c>
      <c r="B1278" s="7" t="s">
        <v>4092</v>
      </c>
      <c r="C1278" s="7" t="s">
        <v>4093</v>
      </c>
      <c r="D1278" s="7" t="s">
        <v>7758</v>
      </c>
      <c r="E1278" s="7" t="s">
        <v>1695</v>
      </c>
      <c r="F1278" s="7" t="s">
        <v>1696</v>
      </c>
    </row>
    <row r="1279">
      <c r="A1279" s="7" t="s">
        <v>4837</v>
      </c>
      <c r="B1279" s="7" t="s">
        <v>3373</v>
      </c>
      <c r="C1279" s="7" t="s">
        <v>750</v>
      </c>
      <c r="D1279" s="7" t="s">
        <v>7759</v>
      </c>
      <c r="E1279" s="7" t="s">
        <v>1695</v>
      </c>
      <c r="F1279" s="7" t="s">
        <v>1696</v>
      </c>
    </row>
    <row r="1280">
      <c r="A1280" s="7" t="s">
        <v>4879</v>
      </c>
      <c r="B1280" s="7" t="s">
        <v>4880</v>
      </c>
      <c r="C1280" s="7" t="s">
        <v>4881</v>
      </c>
      <c r="D1280" s="7" t="s">
        <v>7760</v>
      </c>
      <c r="E1280" s="7" t="s">
        <v>1695</v>
      </c>
      <c r="F1280" s="7" t="s">
        <v>1696</v>
      </c>
    </row>
    <row r="1281">
      <c r="A1281" s="7" t="s">
        <v>4319</v>
      </c>
      <c r="B1281" s="7" t="s">
        <v>1954</v>
      </c>
      <c r="C1281" s="7" t="s">
        <v>566</v>
      </c>
      <c r="D1281" s="7" t="s">
        <v>7761</v>
      </c>
      <c r="E1281" s="7" t="s">
        <v>1695</v>
      </c>
      <c r="F1281" s="7" t="s">
        <v>1696</v>
      </c>
    </row>
    <row r="1282">
      <c r="A1282" s="7" t="s">
        <v>4913</v>
      </c>
      <c r="B1282" s="7" t="s">
        <v>4914</v>
      </c>
      <c r="C1282" s="7" t="s">
        <v>168</v>
      </c>
      <c r="D1282" s="7" t="s">
        <v>7762</v>
      </c>
      <c r="E1282" s="7" t="s">
        <v>1695</v>
      </c>
      <c r="F1282" s="7" t="s">
        <v>1696</v>
      </c>
    </row>
    <row r="1283">
      <c r="A1283" s="7" t="s">
        <v>4298</v>
      </c>
      <c r="B1283" s="7" t="s">
        <v>4299</v>
      </c>
      <c r="C1283" s="7" t="s">
        <v>826</v>
      </c>
      <c r="D1283" s="7" t="s">
        <v>7763</v>
      </c>
      <c r="E1283" s="7" t="s">
        <v>1695</v>
      </c>
      <c r="F1283" s="7" t="s">
        <v>1696</v>
      </c>
    </row>
    <row r="1284">
      <c r="A1284" s="7" t="s">
        <v>5267</v>
      </c>
      <c r="B1284" s="7" t="s">
        <v>3353</v>
      </c>
      <c r="C1284" s="7" t="s">
        <v>795</v>
      </c>
      <c r="D1284" s="7" t="s">
        <v>7764</v>
      </c>
      <c r="E1284" s="7" t="s">
        <v>1695</v>
      </c>
      <c r="F1284" s="7" t="s">
        <v>1696</v>
      </c>
    </row>
    <row r="1285">
      <c r="A1285" s="7" t="s">
        <v>2922</v>
      </c>
      <c r="B1285" s="7" t="s">
        <v>277</v>
      </c>
      <c r="C1285" s="7" t="s">
        <v>918</v>
      </c>
      <c r="D1285" s="7" t="s">
        <v>7765</v>
      </c>
      <c r="E1285" s="7" t="s">
        <v>1695</v>
      </c>
      <c r="F1285" s="7" t="s">
        <v>1696</v>
      </c>
    </row>
    <row r="1286">
      <c r="A1286" s="7" t="s">
        <v>5978</v>
      </c>
      <c r="B1286" s="7" t="s">
        <v>4665</v>
      </c>
      <c r="C1286" s="7" t="s">
        <v>4339</v>
      </c>
      <c r="D1286" s="7" t="s">
        <v>7766</v>
      </c>
      <c r="E1286" s="7" t="s">
        <v>1695</v>
      </c>
      <c r="F1286" s="7" t="s">
        <v>1696</v>
      </c>
    </row>
    <row r="1287">
      <c r="A1287" s="7" t="s">
        <v>2206</v>
      </c>
      <c r="B1287" s="7" t="s">
        <v>1736</v>
      </c>
      <c r="C1287" s="7" t="s">
        <v>2207</v>
      </c>
      <c r="D1287" s="7" t="s">
        <v>7767</v>
      </c>
      <c r="E1287" s="7" t="s">
        <v>1695</v>
      </c>
      <c r="F1287" s="7" t="s">
        <v>1696</v>
      </c>
    </row>
    <row r="1288">
      <c r="A1288" s="7" t="s">
        <v>1781</v>
      </c>
      <c r="B1288" s="7" t="s">
        <v>409</v>
      </c>
      <c r="C1288" s="7" t="s">
        <v>387</v>
      </c>
      <c r="D1288" s="7" t="s">
        <v>7768</v>
      </c>
      <c r="E1288" s="7" t="s">
        <v>1695</v>
      </c>
      <c r="F1288" s="7" t="s">
        <v>1696</v>
      </c>
    </row>
    <row r="1289">
      <c r="A1289" s="7" t="s">
        <v>2596</v>
      </c>
      <c r="B1289" s="7" t="s">
        <v>2597</v>
      </c>
      <c r="C1289" s="7" t="s">
        <v>282</v>
      </c>
      <c r="D1289" s="7" t="s">
        <v>7769</v>
      </c>
      <c r="E1289" s="7" t="s">
        <v>1695</v>
      </c>
      <c r="F1289" s="7" t="s">
        <v>1696</v>
      </c>
    </row>
    <row r="1290">
      <c r="A1290" s="7" t="s">
        <v>3411</v>
      </c>
      <c r="B1290" s="7" t="s">
        <v>3412</v>
      </c>
      <c r="C1290" s="7" t="s">
        <v>3413</v>
      </c>
      <c r="D1290" s="7" t="s">
        <v>7770</v>
      </c>
      <c r="E1290" s="7" t="s">
        <v>1695</v>
      </c>
      <c r="F1290" s="7" t="s">
        <v>1696</v>
      </c>
    </row>
    <row r="1291">
      <c r="A1291" s="7" t="s">
        <v>5775</v>
      </c>
      <c r="B1291" s="7" t="s">
        <v>5776</v>
      </c>
      <c r="C1291" s="7" t="s">
        <v>5777</v>
      </c>
      <c r="D1291" s="7" t="s">
        <v>7771</v>
      </c>
      <c r="E1291" s="7" t="s">
        <v>1695</v>
      </c>
      <c r="F1291" s="7" t="s">
        <v>1696</v>
      </c>
    </row>
    <row r="1292">
      <c r="A1292" s="7" t="s">
        <v>5538</v>
      </c>
      <c r="B1292" s="7" t="s">
        <v>3754</v>
      </c>
      <c r="C1292" s="7" t="s">
        <v>422</v>
      </c>
      <c r="D1292" s="7" t="s">
        <v>7772</v>
      </c>
      <c r="E1292" s="7" t="s">
        <v>1695</v>
      </c>
      <c r="F1292" s="7" t="s">
        <v>1696</v>
      </c>
    </row>
    <row r="1293">
      <c r="A1293" s="7" t="s">
        <v>4801</v>
      </c>
      <c r="B1293" s="7" t="s">
        <v>4802</v>
      </c>
      <c r="C1293" s="7" t="s">
        <v>4803</v>
      </c>
      <c r="D1293" s="7" t="s">
        <v>7773</v>
      </c>
      <c r="E1293" s="7" t="s">
        <v>1695</v>
      </c>
      <c r="F1293" s="7" t="s">
        <v>1696</v>
      </c>
    </row>
    <row r="1294">
      <c r="A1294" s="7" t="s">
        <v>4433</v>
      </c>
      <c r="B1294" s="7" t="s">
        <v>817</v>
      </c>
      <c r="C1294" s="7" t="s">
        <v>32</v>
      </c>
      <c r="D1294" s="7" t="s">
        <v>7774</v>
      </c>
      <c r="E1294" s="7" t="s">
        <v>1695</v>
      </c>
      <c r="F1294" s="7" t="s">
        <v>1696</v>
      </c>
    </row>
    <row r="1295">
      <c r="A1295" s="7" t="s">
        <v>1948</v>
      </c>
      <c r="B1295" s="7" t="s">
        <v>1949</v>
      </c>
      <c r="C1295" s="7" t="s">
        <v>1950</v>
      </c>
      <c r="D1295" s="7" t="s">
        <v>7775</v>
      </c>
      <c r="E1295" s="7" t="s">
        <v>1695</v>
      </c>
      <c r="F1295" s="7" t="s">
        <v>1696</v>
      </c>
    </row>
    <row r="1296">
      <c r="A1296" s="7" t="s">
        <v>2684</v>
      </c>
      <c r="B1296" s="7" t="s">
        <v>1000</v>
      </c>
      <c r="C1296" s="7" t="s">
        <v>2685</v>
      </c>
      <c r="D1296" s="7" t="s">
        <v>7776</v>
      </c>
      <c r="E1296" s="7" t="s">
        <v>1695</v>
      </c>
      <c r="F1296" s="7" t="s">
        <v>1696</v>
      </c>
    </row>
    <row r="1297">
      <c r="A1297" s="7" t="s">
        <v>2692</v>
      </c>
      <c r="B1297" s="7" t="s">
        <v>1000</v>
      </c>
      <c r="C1297" s="7" t="s">
        <v>2693</v>
      </c>
      <c r="D1297" s="7" t="s">
        <v>7776</v>
      </c>
      <c r="E1297" s="7" t="s">
        <v>1695</v>
      </c>
      <c r="F1297" s="7" t="s">
        <v>1696</v>
      </c>
    </row>
    <row r="1298">
      <c r="A1298" s="7" t="s">
        <v>3463</v>
      </c>
      <c r="B1298" s="7" t="s">
        <v>3464</v>
      </c>
      <c r="C1298" s="7" t="s">
        <v>3465</v>
      </c>
      <c r="D1298" s="7" t="s">
        <v>7777</v>
      </c>
      <c r="E1298" s="7" t="s">
        <v>1695</v>
      </c>
      <c r="F1298" s="7" t="s">
        <v>1696</v>
      </c>
    </row>
    <row r="1299">
      <c r="A1299" s="7" t="s">
        <v>4962</v>
      </c>
      <c r="B1299" s="7" t="s">
        <v>188</v>
      </c>
      <c r="C1299" s="7" t="s">
        <v>4963</v>
      </c>
      <c r="D1299" s="7" t="s">
        <v>7778</v>
      </c>
      <c r="E1299" s="7" t="s">
        <v>1695</v>
      </c>
      <c r="F1299" s="7" t="s">
        <v>1696</v>
      </c>
    </row>
    <row r="1300">
      <c r="A1300" s="7" t="s">
        <v>2097</v>
      </c>
      <c r="B1300" s="7" t="s">
        <v>1246</v>
      </c>
      <c r="C1300" s="7" t="s">
        <v>342</v>
      </c>
      <c r="D1300" s="7" t="s">
        <v>7779</v>
      </c>
      <c r="E1300" s="7" t="s">
        <v>1695</v>
      </c>
      <c r="F1300" s="7" t="s">
        <v>1696</v>
      </c>
    </row>
    <row r="1301">
      <c r="A1301" s="7" t="s">
        <v>5668</v>
      </c>
      <c r="B1301" s="7" t="s">
        <v>4153</v>
      </c>
      <c r="C1301" s="7" t="s">
        <v>664</v>
      </c>
      <c r="D1301" s="7" t="s">
        <v>7780</v>
      </c>
      <c r="E1301" s="7" t="s">
        <v>1695</v>
      </c>
      <c r="F1301" s="7" t="s">
        <v>1696</v>
      </c>
    </row>
    <row r="1302">
      <c r="A1302" s="7" t="s">
        <v>1858</v>
      </c>
      <c r="B1302" s="7" t="s">
        <v>1859</v>
      </c>
      <c r="C1302" s="7" t="s">
        <v>1860</v>
      </c>
      <c r="D1302" s="7" t="s">
        <v>7781</v>
      </c>
      <c r="E1302" s="7" t="s">
        <v>1695</v>
      </c>
      <c r="F1302" s="7" t="s">
        <v>1696</v>
      </c>
    </row>
    <row r="1303">
      <c r="A1303" s="7" t="s">
        <v>3223</v>
      </c>
      <c r="B1303" s="7" t="s">
        <v>195</v>
      </c>
      <c r="C1303" s="7" t="s">
        <v>763</v>
      </c>
      <c r="D1303" s="7" t="s">
        <v>7782</v>
      </c>
      <c r="E1303" s="7" t="s">
        <v>1695</v>
      </c>
      <c r="F1303" s="7" t="s">
        <v>1696</v>
      </c>
    </row>
    <row r="1304">
      <c r="A1304" s="7" t="s">
        <v>5221</v>
      </c>
      <c r="B1304" s="7" t="s">
        <v>5222</v>
      </c>
      <c r="C1304" s="7" t="s">
        <v>4708</v>
      </c>
      <c r="D1304" s="7" t="s">
        <v>7783</v>
      </c>
      <c r="E1304" s="7" t="s">
        <v>1695</v>
      </c>
      <c r="F1304" s="7" t="s">
        <v>1696</v>
      </c>
    </row>
    <row r="1305">
      <c r="A1305" s="7" t="s">
        <v>2688</v>
      </c>
      <c r="B1305" s="7" t="s">
        <v>534</v>
      </c>
      <c r="C1305" s="7" t="s">
        <v>2689</v>
      </c>
      <c r="D1305" s="7" t="s">
        <v>7784</v>
      </c>
      <c r="E1305" s="7" t="s">
        <v>1695</v>
      </c>
      <c r="F1305" s="7" t="s">
        <v>1696</v>
      </c>
    </row>
    <row r="1306">
      <c r="A1306" s="7" t="s">
        <v>4674</v>
      </c>
      <c r="B1306" s="7" t="s">
        <v>4675</v>
      </c>
      <c r="C1306" s="7" t="s">
        <v>479</v>
      </c>
      <c r="D1306" s="7" t="s">
        <v>7785</v>
      </c>
      <c r="E1306" s="7" t="s">
        <v>1695</v>
      </c>
      <c r="F1306" s="7" t="s">
        <v>1696</v>
      </c>
    </row>
    <row r="1307">
      <c r="A1307" s="7" t="s">
        <v>3918</v>
      </c>
      <c r="B1307" s="7" t="s">
        <v>3919</v>
      </c>
      <c r="C1307" s="7" t="s">
        <v>120</v>
      </c>
      <c r="D1307" s="7" t="s">
        <v>7786</v>
      </c>
      <c r="E1307" s="7" t="s">
        <v>1695</v>
      </c>
      <c r="F1307" s="7" t="s">
        <v>1696</v>
      </c>
    </row>
    <row r="1308">
      <c r="A1308" s="7" t="s">
        <v>4369</v>
      </c>
      <c r="B1308" s="7" t="s">
        <v>1141</v>
      </c>
      <c r="C1308" s="7" t="s">
        <v>4370</v>
      </c>
      <c r="D1308" s="7" t="s">
        <v>7787</v>
      </c>
      <c r="E1308" s="7" t="s">
        <v>1695</v>
      </c>
      <c r="F1308" s="7" t="s">
        <v>1696</v>
      </c>
    </row>
    <row r="1309">
      <c r="A1309" s="7" t="s">
        <v>4104</v>
      </c>
      <c r="B1309" s="7" t="s">
        <v>4105</v>
      </c>
      <c r="C1309" s="7" t="s">
        <v>1142</v>
      </c>
      <c r="D1309" s="7" t="s">
        <v>7788</v>
      </c>
      <c r="E1309" s="7" t="s">
        <v>1695</v>
      </c>
      <c r="F1309" s="7" t="s">
        <v>1696</v>
      </c>
    </row>
    <row r="1310">
      <c r="A1310" s="7" t="s">
        <v>5060</v>
      </c>
      <c r="B1310" s="7" t="s">
        <v>5061</v>
      </c>
      <c r="C1310" s="7" t="s">
        <v>409</v>
      </c>
      <c r="D1310" s="7" t="s">
        <v>7789</v>
      </c>
      <c r="E1310" s="7" t="s">
        <v>1695</v>
      </c>
      <c r="F1310" s="7" t="s">
        <v>1696</v>
      </c>
    </row>
    <row r="1311">
      <c r="A1311" s="7" t="s">
        <v>4196</v>
      </c>
      <c r="B1311" s="7" t="s">
        <v>4053</v>
      </c>
      <c r="C1311" s="7" t="s">
        <v>3417</v>
      </c>
      <c r="D1311" s="7" t="s">
        <v>7790</v>
      </c>
      <c r="E1311" s="7" t="s">
        <v>1695</v>
      </c>
      <c r="F1311" s="7" t="s">
        <v>1696</v>
      </c>
    </row>
    <row r="1312">
      <c r="A1312" s="7" t="s">
        <v>4862</v>
      </c>
      <c r="B1312" s="7" t="s">
        <v>846</v>
      </c>
      <c r="C1312" s="7" t="s">
        <v>297</v>
      </c>
      <c r="D1312" s="7" t="s">
        <v>7791</v>
      </c>
      <c r="E1312" s="7" t="s">
        <v>1695</v>
      </c>
      <c r="F1312" s="7" t="s">
        <v>1696</v>
      </c>
    </row>
    <row r="1313">
      <c r="A1313" s="7" t="s">
        <v>4751</v>
      </c>
      <c r="B1313" s="7" t="s">
        <v>4752</v>
      </c>
      <c r="C1313" s="7" t="s">
        <v>1386</v>
      </c>
      <c r="D1313" s="7" t="s">
        <v>7792</v>
      </c>
      <c r="E1313" s="7" t="s">
        <v>1695</v>
      </c>
      <c r="F1313" s="7" t="s">
        <v>1696</v>
      </c>
    </row>
    <row r="1314">
      <c r="A1314" s="7" t="s">
        <v>3382</v>
      </c>
      <c r="B1314" s="7" t="s">
        <v>993</v>
      </c>
      <c r="C1314" s="7" t="s">
        <v>3383</v>
      </c>
      <c r="D1314" s="7" t="s">
        <v>7793</v>
      </c>
      <c r="E1314" s="7" t="s">
        <v>1695</v>
      </c>
      <c r="F1314" s="7" t="s">
        <v>1696</v>
      </c>
    </row>
    <row r="1315">
      <c r="A1315" s="7" t="s">
        <v>4471</v>
      </c>
      <c r="B1315" s="7" t="s">
        <v>3723</v>
      </c>
      <c r="C1315" s="7" t="s">
        <v>196</v>
      </c>
      <c r="D1315" s="7" t="s">
        <v>7794</v>
      </c>
      <c r="E1315" s="7" t="s">
        <v>1695</v>
      </c>
      <c r="F1315" s="7" t="s">
        <v>1696</v>
      </c>
    </row>
    <row r="1316">
      <c r="A1316" s="7" t="s">
        <v>3926</v>
      </c>
      <c r="B1316" s="7" t="s">
        <v>3927</v>
      </c>
      <c r="C1316" s="7" t="s">
        <v>3928</v>
      </c>
      <c r="D1316" s="7" t="s">
        <v>7795</v>
      </c>
      <c r="E1316" s="7" t="s">
        <v>1695</v>
      </c>
      <c r="F1316" s="7" t="s">
        <v>1696</v>
      </c>
    </row>
    <row r="1317">
      <c r="A1317" s="7" t="s">
        <v>3932</v>
      </c>
      <c r="B1317" s="7" t="s">
        <v>3927</v>
      </c>
      <c r="C1317" s="7" t="s">
        <v>3928</v>
      </c>
      <c r="D1317" s="7" t="s">
        <v>7795</v>
      </c>
      <c r="E1317" s="7" t="s">
        <v>1695</v>
      </c>
      <c r="F1317" s="7" t="s">
        <v>1696</v>
      </c>
    </row>
    <row r="1318">
      <c r="A1318" s="7" t="s">
        <v>4178</v>
      </c>
      <c r="B1318" s="7" t="s">
        <v>4179</v>
      </c>
      <c r="C1318" s="7" t="s">
        <v>4180</v>
      </c>
      <c r="D1318" s="7" t="s">
        <v>7796</v>
      </c>
      <c r="E1318" s="7" t="s">
        <v>1695</v>
      </c>
      <c r="F1318" s="7" t="s">
        <v>1696</v>
      </c>
    </row>
    <row r="1319">
      <c r="A1319" s="7" t="s">
        <v>6369</v>
      </c>
      <c r="B1319" s="7" t="s">
        <v>1208</v>
      </c>
      <c r="C1319" s="7" t="s">
        <v>1803</v>
      </c>
      <c r="D1319" s="7" t="s">
        <v>7797</v>
      </c>
      <c r="E1319" s="7" t="s">
        <v>1695</v>
      </c>
      <c r="F1319" s="7" t="s">
        <v>6318</v>
      </c>
    </row>
    <row r="1320">
      <c r="A1320" s="7" t="s">
        <v>4725</v>
      </c>
      <c r="B1320" s="7" t="s">
        <v>760</v>
      </c>
      <c r="C1320" s="7" t="s">
        <v>325</v>
      </c>
      <c r="D1320" s="7" t="s">
        <v>7798</v>
      </c>
      <c r="E1320" s="7" t="s">
        <v>1695</v>
      </c>
      <c r="F1320" s="7" t="s">
        <v>1696</v>
      </c>
    </row>
    <row r="1321">
      <c r="A1321" s="7" t="s">
        <v>5422</v>
      </c>
      <c r="B1321" s="7" t="s">
        <v>5423</v>
      </c>
      <c r="C1321" s="7" t="s">
        <v>5424</v>
      </c>
      <c r="D1321" s="7" t="s">
        <v>7799</v>
      </c>
      <c r="E1321" s="7" t="s">
        <v>1695</v>
      </c>
      <c r="F1321" s="7" t="s">
        <v>1696</v>
      </c>
    </row>
    <row r="1322">
      <c r="A1322" s="7" t="s">
        <v>3933</v>
      </c>
      <c r="B1322" s="7" t="s">
        <v>3934</v>
      </c>
      <c r="C1322" s="7" t="s">
        <v>409</v>
      </c>
      <c r="D1322" s="7" t="s">
        <v>7800</v>
      </c>
      <c r="E1322" s="7" t="s">
        <v>1695</v>
      </c>
      <c r="F1322" s="7" t="s">
        <v>1696</v>
      </c>
    </row>
    <row r="1323">
      <c r="A1323" s="7" t="s">
        <v>4450</v>
      </c>
      <c r="B1323" s="7" t="s">
        <v>773</v>
      </c>
      <c r="C1323" s="7" t="s">
        <v>3755</v>
      </c>
      <c r="D1323" s="7" t="s">
        <v>7801</v>
      </c>
      <c r="E1323" s="7" t="s">
        <v>1695</v>
      </c>
      <c r="F1323" s="7" t="s">
        <v>1696</v>
      </c>
    </row>
    <row r="1324">
      <c r="A1324" s="7" t="s">
        <v>5514</v>
      </c>
      <c r="B1324" s="7" t="s">
        <v>2452</v>
      </c>
      <c r="C1324" s="7" t="s">
        <v>1000</v>
      </c>
      <c r="D1324" s="7" t="s">
        <v>7802</v>
      </c>
      <c r="E1324" s="7" t="s">
        <v>1695</v>
      </c>
      <c r="F1324" s="7" t="s">
        <v>1696</v>
      </c>
    </row>
    <row r="1325">
      <c r="A1325" s="7" t="s">
        <v>3459</v>
      </c>
      <c r="B1325" s="7" t="s">
        <v>3460</v>
      </c>
      <c r="C1325" s="7" t="s">
        <v>1060</v>
      </c>
      <c r="D1325" s="7" t="s">
        <v>7803</v>
      </c>
      <c r="E1325" s="7" t="s">
        <v>1695</v>
      </c>
      <c r="F1325" s="7" t="s">
        <v>1696</v>
      </c>
    </row>
    <row r="1326">
      <c r="A1326" s="7" t="s">
        <v>2914</v>
      </c>
      <c r="B1326" s="7" t="s">
        <v>273</v>
      </c>
      <c r="C1326" s="7" t="s">
        <v>1048</v>
      </c>
      <c r="D1326" s="7" t="s">
        <v>7804</v>
      </c>
      <c r="E1326" s="7" t="s">
        <v>1695</v>
      </c>
      <c r="F1326" s="7" t="s">
        <v>1696</v>
      </c>
    </row>
    <row r="1327">
      <c r="A1327" s="7" t="s">
        <v>4998</v>
      </c>
      <c r="B1327" s="7" t="s">
        <v>1867</v>
      </c>
      <c r="C1327" s="7" t="s">
        <v>4999</v>
      </c>
      <c r="D1327" s="7" t="s">
        <v>7805</v>
      </c>
      <c r="E1327" s="7" t="s">
        <v>1695</v>
      </c>
      <c r="F1327" s="7" t="s">
        <v>1696</v>
      </c>
    </row>
    <row r="1328">
      <c r="A1328" s="7" t="s">
        <v>3010</v>
      </c>
      <c r="B1328" s="7" t="s">
        <v>798</v>
      </c>
      <c r="C1328" s="7" t="s">
        <v>1446</v>
      </c>
      <c r="D1328" s="7" t="s">
        <v>7806</v>
      </c>
      <c r="E1328" s="7" t="s">
        <v>1695</v>
      </c>
      <c r="F1328" s="7" t="s">
        <v>1696</v>
      </c>
    </row>
    <row r="1329">
      <c r="A1329" s="7" t="s">
        <v>3328</v>
      </c>
      <c r="B1329" s="7" t="s">
        <v>798</v>
      </c>
      <c r="C1329" s="7" t="s">
        <v>3329</v>
      </c>
      <c r="D1329" s="7" t="s">
        <v>7806</v>
      </c>
      <c r="E1329" s="7" t="s">
        <v>1695</v>
      </c>
      <c r="F1329" s="7" t="s">
        <v>1696</v>
      </c>
    </row>
    <row r="1330">
      <c r="A1330" s="7" t="s">
        <v>2846</v>
      </c>
      <c r="B1330" s="7" t="s">
        <v>752</v>
      </c>
      <c r="C1330" s="7" t="s">
        <v>2847</v>
      </c>
      <c r="D1330" s="7" t="s">
        <v>7807</v>
      </c>
      <c r="E1330" s="7" t="s">
        <v>1695</v>
      </c>
      <c r="F1330" s="7" t="s">
        <v>1696</v>
      </c>
    </row>
    <row r="1331">
      <c r="A1331" s="7" t="s">
        <v>5876</v>
      </c>
      <c r="B1331" s="7" t="s">
        <v>5877</v>
      </c>
      <c r="C1331" s="7" t="s">
        <v>1125</v>
      </c>
      <c r="D1331" s="7" t="s">
        <v>7808</v>
      </c>
      <c r="E1331" s="7" t="s">
        <v>1695</v>
      </c>
      <c r="F1331" s="7" t="s">
        <v>1696</v>
      </c>
    </row>
    <row r="1332">
      <c r="A1332" s="7" t="s">
        <v>3203</v>
      </c>
      <c r="B1332" s="7" t="s">
        <v>23</v>
      </c>
      <c r="C1332" s="7" t="s">
        <v>3204</v>
      </c>
      <c r="D1332" s="7" t="s">
        <v>7809</v>
      </c>
      <c r="E1332" s="7" t="s">
        <v>1695</v>
      </c>
      <c r="F1332" s="7" t="s">
        <v>1696</v>
      </c>
    </row>
    <row r="1333">
      <c r="A1333" s="7" t="s">
        <v>2593</v>
      </c>
      <c r="B1333" s="7" t="s">
        <v>2594</v>
      </c>
      <c r="C1333" s="7" t="s">
        <v>2595</v>
      </c>
      <c r="D1333" s="7" t="s">
        <v>7810</v>
      </c>
      <c r="E1333" s="7" t="s">
        <v>1695</v>
      </c>
      <c r="F1333" s="7" t="s">
        <v>1696</v>
      </c>
    </row>
    <row r="1334">
      <c r="A1334" s="7" t="s">
        <v>3675</v>
      </c>
      <c r="B1334" s="7" t="s">
        <v>3540</v>
      </c>
      <c r="C1334" s="7" t="s">
        <v>189</v>
      </c>
      <c r="D1334" s="7" t="s">
        <v>7811</v>
      </c>
      <c r="E1334" s="7" t="s">
        <v>1695</v>
      </c>
      <c r="F1334" s="7" t="s">
        <v>1696</v>
      </c>
    </row>
    <row r="1335">
      <c r="A1335" s="7" t="s">
        <v>5998</v>
      </c>
      <c r="B1335" s="7" t="s">
        <v>2624</v>
      </c>
      <c r="C1335" s="7" t="s">
        <v>3744</v>
      </c>
      <c r="D1335" s="7" t="s">
        <v>7812</v>
      </c>
      <c r="E1335" s="7" t="s">
        <v>1695</v>
      </c>
      <c r="F1335" s="7" t="s">
        <v>1696</v>
      </c>
    </row>
    <row r="1336">
      <c r="A1336" s="7" t="s">
        <v>2761</v>
      </c>
      <c r="B1336" s="7" t="s">
        <v>2762</v>
      </c>
      <c r="C1336" s="7" t="s">
        <v>193</v>
      </c>
      <c r="D1336" s="7" t="s">
        <v>7813</v>
      </c>
      <c r="E1336" s="7" t="s">
        <v>1695</v>
      </c>
      <c r="F1336" s="7" t="s">
        <v>1696</v>
      </c>
    </row>
    <row r="1337">
      <c r="A1337" s="7" t="s">
        <v>4524</v>
      </c>
      <c r="B1337" s="7" t="s">
        <v>4525</v>
      </c>
      <c r="C1337" s="7" t="s">
        <v>4526</v>
      </c>
      <c r="D1337" s="7" t="s">
        <v>7814</v>
      </c>
      <c r="E1337" s="7" t="s">
        <v>1695</v>
      </c>
      <c r="F1337" s="7" t="s">
        <v>1696</v>
      </c>
    </row>
    <row r="1338">
      <c r="A1338" s="7" t="s">
        <v>3737</v>
      </c>
      <c r="B1338" s="7" t="s">
        <v>1141</v>
      </c>
      <c r="C1338" s="7" t="s">
        <v>1130</v>
      </c>
      <c r="D1338" s="7" t="s">
        <v>7815</v>
      </c>
      <c r="E1338" s="7" t="s">
        <v>1695</v>
      </c>
      <c r="F1338" s="7" t="s">
        <v>1696</v>
      </c>
    </row>
    <row r="1339">
      <c r="A1339" s="7" t="s">
        <v>3295</v>
      </c>
      <c r="B1339" s="7" t="s">
        <v>3296</v>
      </c>
      <c r="C1339" s="7" t="s">
        <v>2758</v>
      </c>
      <c r="D1339" s="7" t="s">
        <v>7816</v>
      </c>
      <c r="E1339" s="7" t="s">
        <v>1695</v>
      </c>
      <c r="F1339" s="7" t="s">
        <v>1696</v>
      </c>
    </row>
    <row r="1340">
      <c r="A1340" s="7" t="s">
        <v>5968</v>
      </c>
      <c r="B1340" s="7" t="s">
        <v>3841</v>
      </c>
      <c r="C1340" s="7" t="s">
        <v>1872</v>
      </c>
      <c r="D1340" s="7" t="s">
        <v>7817</v>
      </c>
      <c r="E1340" s="7" t="s">
        <v>1695</v>
      </c>
      <c r="F1340" s="7" t="s">
        <v>1696</v>
      </c>
    </row>
    <row r="1341">
      <c r="A1341" s="7" t="s">
        <v>4481</v>
      </c>
      <c r="B1341" s="7" t="s">
        <v>4482</v>
      </c>
      <c r="C1341" s="7" t="s">
        <v>446</v>
      </c>
      <c r="D1341" s="7" t="s">
        <v>7818</v>
      </c>
      <c r="E1341" s="7" t="s">
        <v>1695</v>
      </c>
      <c r="F1341" s="7" t="s">
        <v>1696</v>
      </c>
    </row>
    <row r="1342">
      <c r="A1342" s="7" t="s">
        <v>2109</v>
      </c>
      <c r="B1342" s="7" t="s">
        <v>2110</v>
      </c>
      <c r="C1342" s="7" t="s">
        <v>1271</v>
      </c>
      <c r="D1342" s="7" t="s">
        <v>7819</v>
      </c>
      <c r="E1342" s="7" t="s">
        <v>1695</v>
      </c>
      <c r="F1342" s="7" t="s">
        <v>1696</v>
      </c>
    </row>
    <row r="1343">
      <c r="A1343" s="7" t="s">
        <v>3587</v>
      </c>
      <c r="B1343" s="7" t="s">
        <v>648</v>
      </c>
      <c r="C1343" s="7" t="s">
        <v>3588</v>
      </c>
      <c r="D1343" s="7" t="s">
        <v>7820</v>
      </c>
      <c r="E1343" s="7" t="s">
        <v>1695</v>
      </c>
      <c r="F1343" s="7" t="s">
        <v>1696</v>
      </c>
    </row>
    <row r="1344">
      <c r="A1344" s="7" t="s">
        <v>5713</v>
      </c>
      <c r="B1344" s="7" t="s">
        <v>5714</v>
      </c>
      <c r="C1344" s="7" t="s">
        <v>1000</v>
      </c>
      <c r="D1344" s="7" t="s">
        <v>7821</v>
      </c>
      <c r="E1344" s="7" t="s">
        <v>1695</v>
      </c>
      <c r="F1344" s="7" t="s">
        <v>1696</v>
      </c>
    </row>
    <row r="1345">
      <c r="A1345" s="7" t="s">
        <v>5450</v>
      </c>
      <c r="B1345" s="7" t="s">
        <v>2477</v>
      </c>
      <c r="C1345" s="7" t="s">
        <v>1011</v>
      </c>
      <c r="D1345" s="7" t="s">
        <v>7822</v>
      </c>
      <c r="E1345" s="7" t="s">
        <v>1695</v>
      </c>
      <c r="F1345" s="7" t="s">
        <v>1696</v>
      </c>
    </row>
    <row r="1346">
      <c r="A1346" s="7" t="s">
        <v>4814</v>
      </c>
      <c r="B1346" s="7" t="s">
        <v>1823</v>
      </c>
      <c r="C1346" s="7" t="s">
        <v>4815</v>
      </c>
      <c r="D1346" s="7" t="s">
        <v>7823</v>
      </c>
      <c r="E1346" s="7" t="s">
        <v>1695</v>
      </c>
      <c r="F1346" s="7" t="s">
        <v>1696</v>
      </c>
    </row>
    <row r="1347">
      <c r="A1347" s="7" t="s">
        <v>4067</v>
      </c>
      <c r="B1347" s="7" t="s">
        <v>4068</v>
      </c>
      <c r="C1347" s="7" t="s">
        <v>4069</v>
      </c>
      <c r="D1347" s="7" t="s">
        <v>7824</v>
      </c>
      <c r="E1347" s="7" t="s">
        <v>1695</v>
      </c>
      <c r="F1347" s="7" t="s">
        <v>1696</v>
      </c>
    </row>
    <row r="1348">
      <c r="A1348" s="7" t="s">
        <v>3879</v>
      </c>
      <c r="B1348" s="7" t="s">
        <v>766</v>
      </c>
      <c r="C1348" s="7" t="s">
        <v>3880</v>
      </c>
      <c r="D1348" s="7" t="s">
        <v>7825</v>
      </c>
      <c r="E1348" s="7" t="s">
        <v>1695</v>
      </c>
      <c r="F1348" s="7" t="s">
        <v>1696</v>
      </c>
    </row>
    <row r="1349">
      <c r="A1349" s="7" t="s">
        <v>4112</v>
      </c>
      <c r="B1349" s="7" t="s">
        <v>4113</v>
      </c>
      <c r="C1349" s="7" t="s">
        <v>4114</v>
      </c>
      <c r="D1349" s="7" t="s">
        <v>7826</v>
      </c>
      <c r="E1349" s="7" t="s">
        <v>1695</v>
      </c>
      <c r="F1349" s="7" t="s">
        <v>1696</v>
      </c>
    </row>
    <row r="1350">
      <c r="A1350" s="7" t="s">
        <v>5198</v>
      </c>
      <c r="B1350" s="7" t="s">
        <v>2023</v>
      </c>
      <c r="C1350" s="7" t="s">
        <v>1673</v>
      </c>
      <c r="D1350" s="7" t="s">
        <v>7827</v>
      </c>
      <c r="E1350" s="7" t="s">
        <v>1695</v>
      </c>
      <c r="F1350" s="7" t="s">
        <v>1696</v>
      </c>
    </row>
    <row r="1351">
      <c r="A1351" s="7" t="s">
        <v>2783</v>
      </c>
      <c r="B1351" s="7" t="s">
        <v>2784</v>
      </c>
      <c r="C1351" s="7" t="s">
        <v>1229</v>
      </c>
      <c r="D1351" s="7" t="s">
        <v>7828</v>
      </c>
      <c r="E1351" s="7" t="s">
        <v>1695</v>
      </c>
      <c r="F1351" s="7" t="s">
        <v>1696</v>
      </c>
    </row>
    <row r="1352">
      <c r="A1352" s="7" t="s">
        <v>3380</v>
      </c>
      <c r="B1352" s="7" t="s">
        <v>1384</v>
      </c>
      <c r="C1352" s="7" t="s">
        <v>32</v>
      </c>
      <c r="D1352" s="7" t="s">
        <v>7829</v>
      </c>
      <c r="E1352" s="7" t="s">
        <v>1695</v>
      </c>
      <c r="F1352" s="7" t="s">
        <v>1696</v>
      </c>
    </row>
    <row r="1353">
      <c r="A1353" s="7" t="s">
        <v>5706</v>
      </c>
      <c r="B1353" s="7" t="s">
        <v>4330</v>
      </c>
      <c r="C1353" s="7" t="s">
        <v>4470</v>
      </c>
      <c r="D1353" s="7" t="s">
        <v>7830</v>
      </c>
      <c r="E1353" s="7" t="s">
        <v>1695</v>
      </c>
      <c r="F1353" s="7" t="s">
        <v>1696</v>
      </c>
    </row>
    <row r="1354">
      <c r="A1354" s="7" t="s">
        <v>4561</v>
      </c>
      <c r="B1354" s="7" t="s">
        <v>479</v>
      </c>
      <c r="C1354" s="7" t="s">
        <v>4562</v>
      </c>
      <c r="D1354" s="7" t="s">
        <v>7831</v>
      </c>
      <c r="E1354" s="7" t="s">
        <v>1695</v>
      </c>
      <c r="F1354" s="7" t="s">
        <v>1696</v>
      </c>
    </row>
    <row r="1355">
      <c r="A1355" s="7" t="s">
        <v>4424</v>
      </c>
      <c r="B1355" s="7" t="s">
        <v>655</v>
      </c>
      <c r="C1355" s="7" t="s">
        <v>3808</v>
      </c>
      <c r="D1355" s="7" t="s">
        <v>7832</v>
      </c>
      <c r="E1355" s="7" t="s">
        <v>1695</v>
      </c>
      <c r="F1355" s="7" t="s">
        <v>1696</v>
      </c>
    </row>
    <row r="1356">
      <c r="A1356" s="7" t="s">
        <v>4616</v>
      </c>
      <c r="B1356" s="7" t="s">
        <v>967</v>
      </c>
      <c r="C1356" s="7" t="s">
        <v>529</v>
      </c>
      <c r="D1356" s="7" t="s">
        <v>7833</v>
      </c>
      <c r="E1356" s="7" t="s">
        <v>1695</v>
      </c>
      <c r="F1356" s="7" t="s">
        <v>1696</v>
      </c>
    </row>
    <row r="1357">
      <c r="A1357" s="7" t="s">
        <v>4507</v>
      </c>
      <c r="B1357" s="7" t="s">
        <v>328</v>
      </c>
      <c r="C1357" s="7" t="s">
        <v>4508</v>
      </c>
      <c r="D1357" s="7" t="s">
        <v>7834</v>
      </c>
      <c r="E1357" s="7" t="s">
        <v>1695</v>
      </c>
      <c r="F1357" s="7" t="s">
        <v>1696</v>
      </c>
    </row>
    <row r="1358">
      <c r="A1358" s="7" t="s">
        <v>5447</v>
      </c>
      <c r="B1358" s="7" t="s">
        <v>3208</v>
      </c>
      <c r="C1358" s="7" t="s">
        <v>1804</v>
      </c>
      <c r="D1358" s="7" t="s">
        <v>7835</v>
      </c>
      <c r="E1358" s="7" t="s">
        <v>1695</v>
      </c>
      <c r="F1358" s="7" t="s">
        <v>1696</v>
      </c>
    </row>
    <row r="1359">
      <c r="A1359" s="7" t="s">
        <v>5842</v>
      </c>
      <c r="B1359" s="7" t="s">
        <v>2290</v>
      </c>
      <c r="C1359" s="7" t="s">
        <v>5843</v>
      </c>
      <c r="D1359" s="7" t="s">
        <v>7836</v>
      </c>
      <c r="E1359" s="7" t="s">
        <v>1695</v>
      </c>
      <c r="F1359" s="7" t="s">
        <v>1696</v>
      </c>
    </row>
    <row r="1360">
      <c r="A1360" s="7" t="s">
        <v>3491</v>
      </c>
      <c r="B1360" s="7" t="s">
        <v>129</v>
      </c>
      <c r="C1360" s="7" t="s">
        <v>2640</v>
      </c>
      <c r="D1360" s="7" t="s">
        <v>7837</v>
      </c>
      <c r="E1360" s="7" t="s">
        <v>1695</v>
      </c>
      <c r="F1360" s="7" t="s">
        <v>1696</v>
      </c>
    </row>
    <row r="1361">
      <c r="A1361" s="7" t="s">
        <v>3269</v>
      </c>
      <c r="B1361" s="7" t="s">
        <v>3270</v>
      </c>
      <c r="C1361" s="7" t="s">
        <v>2793</v>
      </c>
      <c r="D1361" s="7" t="s">
        <v>7838</v>
      </c>
      <c r="E1361" s="7" t="s">
        <v>1695</v>
      </c>
      <c r="F1361" s="7" t="s">
        <v>1696</v>
      </c>
    </row>
    <row r="1362">
      <c r="A1362" s="7" t="s">
        <v>4426</v>
      </c>
      <c r="B1362" s="7" t="s">
        <v>668</v>
      </c>
      <c r="C1362" s="7" t="s">
        <v>1370</v>
      </c>
      <c r="D1362" s="7" t="s">
        <v>7839</v>
      </c>
      <c r="E1362" s="7" t="s">
        <v>1695</v>
      </c>
      <c r="F1362" s="7" t="s">
        <v>1696</v>
      </c>
    </row>
    <row r="1363">
      <c r="A1363" s="7" t="s">
        <v>4705</v>
      </c>
      <c r="B1363" s="7" t="s">
        <v>4113</v>
      </c>
      <c r="C1363" s="7" t="s">
        <v>4706</v>
      </c>
      <c r="D1363" s="7" t="s">
        <v>7840</v>
      </c>
      <c r="E1363" s="7" t="s">
        <v>1695</v>
      </c>
      <c r="F1363" s="7" t="s">
        <v>1696</v>
      </c>
    </row>
    <row r="1364">
      <c r="A1364" s="7" t="s">
        <v>1928</v>
      </c>
      <c r="B1364" s="7" t="s">
        <v>1929</v>
      </c>
      <c r="C1364" s="7" t="s">
        <v>1930</v>
      </c>
      <c r="D1364" s="7" t="s">
        <v>7841</v>
      </c>
      <c r="E1364" s="7" t="s">
        <v>1695</v>
      </c>
      <c r="F1364" s="7" t="s">
        <v>1696</v>
      </c>
    </row>
    <row r="1365">
      <c r="A1365" s="7" t="s">
        <v>3354</v>
      </c>
      <c r="B1365" s="7" t="s">
        <v>16</v>
      </c>
      <c r="C1365" s="7" t="s">
        <v>1646</v>
      </c>
      <c r="D1365" s="7" t="s">
        <v>7842</v>
      </c>
      <c r="E1365" s="7" t="s">
        <v>1695</v>
      </c>
      <c r="F1365" s="7" t="s">
        <v>1696</v>
      </c>
    </row>
    <row r="1366">
      <c r="A1366" s="7" t="s">
        <v>3492</v>
      </c>
      <c r="B1366" s="7" t="s">
        <v>131</v>
      </c>
      <c r="C1366" s="7" t="s">
        <v>1572</v>
      </c>
      <c r="D1366" s="7" t="s">
        <v>7843</v>
      </c>
      <c r="E1366" s="7" t="s">
        <v>1695</v>
      </c>
      <c r="F1366" s="7" t="s">
        <v>1696</v>
      </c>
    </row>
    <row r="1367">
      <c r="A1367" s="7" t="s">
        <v>2485</v>
      </c>
      <c r="B1367" s="7" t="s">
        <v>2345</v>
      </c>
      <c r="C1367" s="7" t="s">
        <v>2486</v>
      </c>
      <c r="D1367" s="7" t="s">
        <v>7844</v>
      </c>
      <c r="E1367" s="7" t="s">
        <v>1695</v>
      </c>
      <c r="F1367" s="7" t="s">
        <v>1696</v>
      </c>
    </row>
    <row r="1368">
      <c r="A1368" s="7" t="s">
        <v>3910</v>
      </c>
      <c r="B1368" s="7" t="s">
        <v>3723</v>
      </c>
      <c r="C1368" s="7" t="s">
        <v>649</v>
      </c>
      <c r="D1368" s="7" t="s">
        <v>7845</v>
      </c>
      <c r="E1368" s="7" t="s">
        <v>1695</v>
      </c>
      <c r="F1368" s="7" t="s">
        <v>1696</v>
      </c>
    </row>
    <row r="1369">
      <c r="A1369" s="7" t="s">
        <v>2703</v>
      </c>
      <c r="B1369" s="7" t="s">
        <v>1078</v>
      </c>
      <c r="C1369" s="7" t="s">
        <v>417</v>
      </c>
      <c r="D1369" s="7" t="s">
        <v>7846</v>
      </c>
      <c r="E1369" s="7" t="s">
        <v>1695</v>
      </c>
      <c r="F1369" s="7" t="s">
        <v>1696</v>
      </c>
    </row>
    <row r="1370">
      <c r="A1370" s="7" t="s">
        <v>5484</v>
      </c>
      <c r="B1370" s="7" t="s">
        <v>5485</v>
      </c>
      <c r="C1370" s="7" t="s">
        <v>189</v>
      </c>
      <c r="D1370" s="7" t="s">
        <v>7847</v>
      </c>
      <c r="E1370" s="7" t="s">
        <v>1695</v>
      </c>
      <c r="F1370" s="7" t="s">
        <v>1696</v>
      </c>
    </row>
    <row r="1371">
      <c r="A1371" s="7" t="s">
        <v>4429</v>
      </c>
      <c r="B1371" s="7" t="s">
        <v>4430</v>
      </c>
      <c r="C1371" s="7" t="s">
        <v>3774</v>
      </c>
      <c r="D1371" s="7" t="s">
        <v>7848</v>
      </c>
      <c r="E1371" s="7" t="s">
        <v>1695</v>
      </c>
      <c r="F1371" s="7" t="s">
        <v>1696</v>
      </c>
    </row>
    <row r="1372">
      <c r="A1372" s="7" t="s">
        <v>5904</v>
      </c>
      <c r="B1372" s="7" t="s">
        <v>2622</v>
      </c>
      <c r="C1372" s="7" t="s">
        <v>1995</v>
      </c>
      <c r="D1372" s="7" t="s">
        <v>7849</v>
      </c>
      <c r="E1372" s="7" t="s">
        <v>1695</v>
      </c>
      <c r="F1372" s="7" t="s">
        <v>1696</v>
      </c>
    </row>
    <row r="1373">
      <c r="A1373" s="7" t="s">
        <v>4702</v>
      </c>
      <c r="B1373" s="7" t="s">
        <v>691</v>
      </c>
      <c r="C1373" s="7" t="s">
        <v>4703</v>
      </c>
      <c r="D1373" s="7" t="s">
        <v>7850</v>
      </c>
      <c r="E1373" s="7" t="s">
        <v>1695</v>
      </c>
      <c r="F1373" s="7" t="s">
        <v>1696</v>
      </c>
    </row>
    <row r="1374">
      <c r="A1374" s="7" t="s">
        <v>3318</v>
      </c>
      <c r="B1374" s="7" t="s">
        <v>276</v>
      </c>
      <c r="C1374" s="7" t="s">
        <v>3319</v>
      </c>
      <c r="D1374" s="7" t="s">
        <v>7851</v>
      </c>
      <c r="E1374" s="7" t="s">
        <v>1695</v>
      </c>
      <c r="F1374" s="7" t="s">
        <v>1696</v>
      </c>
    </row>
    <row r="1375">
      <c r="A1375" s="7" t="s">
        <v>6349</v>
      </c>
      <c r="B1375" s="7" t="s">
        <v>2050</v>
      </c>
      <c r="C1375" s="7" t="s">
        <v>151</v>
      </c>
      <c r="D1375" s="7" t="s">
        <v>7852</v>
      </c>
      <c r="E1375" s="7" t="s">
        <v>1695</v>
      </c>
      <c r="F1375" s="7" t="s">
        <v>6318</v>
      </c>
    </row>
    <row r="1376">
      <c r="A1376" s="7" t="s">
        <v>2843</v>
      </c>
      <c r="B1376" s="7" t="s">
        <v>2844</v>
      </c>
      <c r="C1376" s="7" t="s">
        <v>2845</v>
      </c>
      <c r="D1376" s="7" t="s">
        <v>7853</v>
      </c>
      <c r="E1376" s="7" t="s">
        <v>1695</v>
      </c>
      <c r="F1376" s="7" t="s">
        <v>1696</v>
      </c>
    </row>
    <row r="1377">
      <c r="A1377" s="7" t="s">
        <v>5171</v>
      </c>
      <c r="B1377" s="7" t="s">
        <v>5172</v>
      </c>
      <c r="C1377" s="7" t="s">
        <v>5135</v>
      </c>
      <c r="D1377" s="7" t="s">
        <v>7854</v>
      </c>
      <c r="E1377" s="7" t="s">
        <v>1695</v>
      </c>
      <c r="F1377" s="7" t="s">
        <v>1696</v>
      </c>
    </row>
    <row r="1378">
      <c r="A1378" s="7" t="s">
        <v>6269</v>
      </c>
      <c r="B1378" s="7" t="s">
        <v>3947</v>
      </c>
      <c r="C1378" s="7" t="s">
        <v>4888</v>
      </c>
      <c r="D1378" s="7" t="s">
        <v>7855</v>
      </c>
      <c r="E1378" s="7" t="s">
        <v>1695</v>
      </c>
      <c r="F1378" s="7" t="s">
        <v>1696</v>
      </c>
    </row>
    <row r="1379">
      <c r="A1379" s="7" t="s">
        <v>1733</v>
      </c>
      <c r="B1379" s="7" t="s">
        <v>101</v>
      </c>
      <c r="C1379" s="7" t="s">
        <v>1224</v>
      </c>
      <c r="D1379" s="7" t="s">
        <v>7856</v>
      </c>
      <c r="E1379" s="7" t="s">
        <v>1695</v>
      </c>
      <c r="F1379" s="7" t="s">
        <v>1696</v>
      </c>
    </row>
    <row r="1380">
      <c r="A1380" s="7" t="s">
        <v>3666</v>
      </c>
      <c r="B1380" s="7" t="s">
        <v>192</v>
      </c>
      <c r="C1380" s="7" t="s">
        <v>66</v>
      </c>
      <c r="D1380" s="7" t="s">
        <v>7857</v>
      </c>
      <c r="E1380" s="7" t="s">
        <v>1695</v>
      </c>
      <c r="F1380" s="7" t="s">
        <v>1696</v>
      </c>
    </row>
    <row r="1381">
      <c r="A1381" s="7" t="s">
        <v>2991</v>
      </c>
      <c r="B1381" s="7" t="s">
        <v>2383</v>
      </c>
      <c r="C1381" s="7" t="s">
        <v>2992</v>
      </c>
      <c r="D1381" s="7" t="s">
        <v>7858</v>
      </c>
      <c r="E1381" s="7" t="s">
        <v>1695</v>
      </c>
      <c r="F1381" s="7" t="s">
        <v>1696</v>
      </c>
    </row>
    <row r="1382">
      <c r="A1382" s="7" t="s">
        <v>1931</v>
      </c>
      <c r="B1382" s="7" t="s">
        <v>1932</v>
      </c>
      <c r="C1382" s="7" t="s">
        <v>1933</v>
      </c>
      <c r="D1382" s="7" t="s">
        <v>7859</v>
      </c>
      <c r="E1382" s="7" t="s">
        <v>1695</v>
      </c>
      <c r="F1382" s="7" t="s">
        <v>1696</v>
      </c>
    </row>
    <row r="1383">
      <c r="A1383" s="7" t="s">
        <v>6082</v>
      </c>
      <c r="B1383" s="7" t="s">
        <v>2539</v>
      </c>
      <c r="C1383" s="7" t="s">
        <v>66</v>
      </c>
      <c r="D1383" s="7" t="s">
        <v>7860</v>
      </c>
      <c r="E1383" s="7" t="s">
        <v>1695</v>
      </c>
      <c r="F1383" s="7" t="s">
        <v>1696</v>
      </c>
    </row>
    <row r="1384">
      <c r="A1384" s="7" t="s">
        <v>6080</v>
      </c>
      <c r="B1384" s="7" t="s">
        <v>686</v>
      </c>
      <c r="C1384" s="7" t="s">
        <v>6081</v>
      </c>
      <c r="D1384" s="7" t="s">
        <v>7861</v>
      </c>
      <c r="E1384" s="7" t="s">
        <v>1695</v>
      </c>
      <c r="F1384" s="7" t="s">
        <v>1696</v>
      </c>
    </row>
    <row r="1385">
      <c r="A1385" s="7" t="s">
        <v>4474</v>
      </c>
      <c r="B1385" s="7" t="s">
        <v>4475</v>
      </c>
      <c r="C1385" s="7" t="s">
        <v>4476</v>
      </c>
      <c r="D1385" s="7" t="s">
        <v>7862</v>
      </c>
      <c r="E1385" s="7" t="s">
        <v>1695</v>
      </c>
      <c r="F1385" s="7" t="s">
        <v>1696</v>
      </c>
    </row>
    <row r="1386">
      <c r="A1386" s="7" t="s">
        <v>5839</v>
      </c>
      <c r="B1386" s="7" t="s">
        <v>5840</v>
      </c>
      <c r="C1386" s="7" t="s">
        <v>404</v>
      </c>
      <c r="D1386" s="7" t="s">
        <v>7863</v>
      </c>
      <c r="E1386" s="7" t="s">
        <v>1695</v>
      </c>
      <c r="F1386" s="7" t="s">
        <v>1696</v>
      </c>
    </row>
    <row r="1387">
      <c r="A1387" s="7" t="s">
        <v>5641</v>
      </c>
      <c r="B1387" s="7" t="s">
        <v>1356</v>
      </c>
      <c r="C1387" s="7" t="s">
        <v>5642</v>
      </c>
      <c r="D1387" s="7" t="s">
        <v>7864</v>
      </c>
      <c r="E1387" s="7" t="s">
        <v>1695</v>
      </c>
      <c r="F1387" s="7" t="s">
        <v>1696</v>
      </c>
    </row>
    <row r="1388">
      <c r="A1388" s="7" t="s">
        <v>2521</v>
      </c>
      <c r="B1388" s="7" t="s">
        <v>2032</v>
      </c>
      <c r="C1388" s="7" t="s">
        <v>2522</v>
      </c>
      <c r="D1388" s="7" t="s">
        <v>7865</v>
      </c>
      <c r="E1388" s="7" t="s">
        <v>1695</v>
      </c>
      <c r="F1388" s="7" t="s">
        <v>1696</v>
      </c>
    </row>
    <row r="1389">
      <c r="A1389" s="7" t="s">
        <v>5289</v>
      </c>
      <c r="B1389" s="7" t="s">
        <v>5290</v>
      </c>
      <c r="C1389" s="7" t="s">
        <v>518</v>
      </c>
      <c r="D1389" s="7" t="s">
        <v>7866</v>
      </c>
      <c r="E1389" s="7" t="s">
        <v>1695</v>
      </c>
      <c r="F1389" s="7" t="s">
        <v>1696</v>
      </c>
    </row>
    <row r="1390">
      <c r="A1390" s="7" t="s">
        <v>1759</v>
      </c>
      <c r="B1390" s="7" t="s">
        <v>1760</v>
      </c>
      <c r="C1390" s="7" t="s">
        <v>1761</v>
      </c>
      <c r="D1390" s="7" t="s">
        <v>7867</v>
      </c>
      <c r="E1390" s="7" t="s">
        <v>1695</v>
      </c>
      <c r="F1390" s="7" t="s">
        <v>1696</v>
      </c>
    </row>
    <row r="1391">
      <c r="A1391" s="7" t="s">
        <v>4722</v>
      </c>
      <c r="B1391" s="7" t="s">
        <v>4723</v>
      </c>
      <c r="C1391" s="7" t="s">
        <v>4724</v>
      </c>
      <c r="D1391" s="7" t="s">
        <v>7868</v>
      </c>
      <c r="E1391" s="7" t="s">
        <v>1695</v>
      </c>
      <c r="F1391" s="7" t="s">
        <v>1696</v>
      </c>
    </row>
    <row r="1392">
      <c r="A1392" s="7" t="s">
        <v>5749</v>
      </c>
      <c r="B1392" s="7" t="s">
        <v>479</v>
      </c>
      <c r="C1392" s="7" t="s">
        <v>5750</v>
      </c>
      <c r="D1392" s="7" t="s">
        <v>7869</v>
      </c>
      <c r="E1392" s="7" t="s">
        <v>1695</v>
      </c>
      <c r="F1392" s="7" t="s">
        <v>1696</v>
      </c>
    </row>
    <row r="1393">
      <c r="A1393" s="7" t="s">
        <v>5342</v>
      </c>
      <c r="B1393" s="7" t="s">
        <v>5343</v>
      </c>
      <c r="C1393" s="7" t="s">
        <v>1532</v>
      </c>
      <c r="D1393" s="7" t="s">
        <v>7870</v>
      </c>
      <c r="E1393" s="7" t="s">
        <v>1695</v>
      </c>
      <c r="F1393" s="7" t="s">
        <v>1696</v>
      </c>
    </row>
    <row r="1394">
      <c r="A1394" s="7" t="s">
        <v>2791</v>
      </c>
      <c r="B1394" s="7" t="s">
        <v>2792</v>
      </c>
      <c r="C1394" s="7" t="s">
        <v>2793</v>
      </c>
      <c r="D1394" s="7" t="s">
        <v>7871</v>
      </c>
      <c r="E1394" s="7" t="s">
        <v>1695</v>
      </c>
      <c r="F1394" s="7" t="s">
        <v>1696</v>
      </c>
    </row>
    <row r="1395">
      <c r="A1395" s="7" t="s">
        <v>3231</v>
      </c>
      <c r="B1395" s="7" t="s">
        <v>85</v>
      </c>
      <c r="C1395" s="7" t="s">
        <v>328</v>
      </c>
      <c r="D1395" s="7" t="s">
        <v>7872</v>
      </c>
      <c r="E1395" s="7" t="s">
        <v>1695</v>
      </c>
      <c r="F1395" s="7" t="s">
        <v>1696</v>
      </c>
    </row>
    <row r="1396">
      <c r="A1396" s="7" t="s">
        <v>5464</v>
      </c>
      <c r="B1396" s="7" t="s">
        <v>208</v>
      </c>
      <c r="C1396" s="7" t="s">
        <v>849</v>
      </c>
      <c r="D1396" s="7" t="s">
        <v>7873</v>
      </c>
      <c r="E1396" s="7" t="s">
        <v>1695</v>
      </c>
      <c r="F1396" s="7" t="s">
        <v>1696</v>
      </c>
    </row>
    <row r="1397">
      <c r="A1397" s="7" t="s">
        <v>5474</v>
      </c>
      <c r="B1397" s="7" t="s">
        <v>5475</v>
      </c>
      <c r="C1397" s="7" t="s">
        <v>5476</v>
      </c>
      <c r="D1397" s="7" t="s">
        <v>7874</v>
      </c>
      <c r="E1397" s="7" t="s">
        <v>1695</v>
      </c>
      <c r="F1397" s="7" t="s">
        <v>1696</v>
      </c>
    </row>
    <row r="1398">
      <c r="A1398" s="7" t="s">
        <v>5651</v>
      </c>
      <c r="B1398" s="7" t="s">
        <v>1752</v>
      </c>
      <c r="C1398" s="7" t="s">
        <v>5652</v>
      </c>
      <c r="D1398" s="7" t="s">
        <v>7874</v>
      </c>
      <c r="E1398" s="7" t="s">
        <v>1695</v>
      </c>
      <c r="F1398" s="7" t="s">
        <v>1696</v>
      </c>
    </row>
    <row r="1399">
      <c r="A1399" s="7" t="s">
        <v>6244</v>
      </c>
      <c r="B1399" s="7" t="s">
        <v>766</v>
      </c>
      <c r="C1399" s="7" t="s">
        <v>404</v>
      </c>
      <c r="D1399" s="7" t="s">
        <v>7875</v>
      </c>
      <c r="E1399" s="7" t="s">
        <v>1695</v>
      </c>
      <c r="F1399" s="7" t="s">
        <v>1696</v>
      </c>
    </row>
    <row r="1400">
      <c r="A1400" s="7" t="s">
        <v>3093</v>
      </c>
      <c r="B1400" s="7" t="s">
        <v>328</v>
      </c>
      <c r="C1400" s="7" t="s">
        <v>1112</v>
      </c>
      <c r="D1400" s="7" t="s">
        <v>7876</v>
      </c>
      <c r="E1400" s="7" t="s">
        <v>1695</v>
      </c>
      <c r="F1400" s="7" t="s">
        <v>1696</v>
      </c>
    </row>
    <row r="1401">
      <c r="A1401" s="7" t="s">
        <v>3143</v>
      </c>
      <c r="B1401" s="7" t="s">
        <v>328</v>
      </c>
      <c r="C1401" s="7" t="s">
        <v>3144</v>
      </c>
      <c r="D1401" s="7" t="s">
        <v>7876</v>
      </c>
      <c r="E1401" s="7" t="s">
        <v>1695</v>
      </c>
      <c r="F1401" s="7" t="s">
        <v>1696</v>
      </c>
    </row>
    <row r="1402">
      <c r="A1402" s="7" t="s">
        <v>4398</v>
      </c>
      <c r="B1402" s="7" t="s">
        <v>1269</v>
      </c>
      <c r="C1402" s="7" t="s">
        <v>4396</v>
      </c>
      <c r="D1402" s="7" t="s">
        <v>7877</v>
      </c>
      <c r="E1402" s="7" t="s">
        <v>1695</v>
      </c>
      <c r="F1402" s="7" t="s">
        <v>1696</v>
      </c>
    </row>
    <row r="1403">
      <c r="A1403" s="7" t="s">
        <v>2746</v>
      </c>
      <c r="B1403" s="7" t="s">
        <v>208</v>
      </c>
      <c r="C1403" s="7" t="s">
        <v>1271</v>
      </c>
      <c r="D1403" s="7" t="s">
        <v>7878</v>
      </c>
      <c r="E1403" s="7" t="s">
        <v>1695</v>
      </c>
      <c r="F1403" s="7" t="s">
        <v>1696</v>
      </c>
    </row>
    <row r="1404">
      <c r="A1404" s="7" t="s">
        <v>3617</v>
      </c>
      <c r="B1404" s="7" t="s">
        <v>874</v>
      </c>
      <c r="C1404" s="7" t="s">
        <v>3360</v>
      </c>
      <c r="D1404" s="7" t="s">
        <v>7879</v>
      </c>
      <c r="E1404" s="7" t="s">
        <v>1695</v>
      </c>
      <c r="F1404" s="7" t="s">
        <v>1696</v>
      </c>
    </row>
    <row r="1405">
      <c r="A1405" s="7" t="s">
        <v>2560</v>
      </c>
      <c r="B1405" s="7" t="s">
        <v>2561</v>
      </c>
      <c r="C1405" s="7" t="s">
        <v>2562</v>
      </c>
      <c r="D1405" s="7" t="s">
        <v>7880</v>
      </c>
      <c r="E1405" s="7" t="s">
        <v>1695</v>
      </c>
      <c r="F1405" s="7" t="s">
        <v>1696</v>
      </c>
    </row>
    <row r="1406">
      <c r="A1406" s="7" t="s">
        <v>3558</v>
      </c>
      <c r="B1406" s="7" t="s">
        <v>683</v>
      </c>
      <c r="C1406" s="7" t="s">
        <v>2410</v>
      </c>
      <c r="D1406" s="7" t="s">
        <v>7881</v>
      </c>
      <c r="E1406" s="7" t="s">
        <v>1695</v>
      </c>
      <c r="F1406" s="7" t="s">
        <v>1696</v>
      </c>
    </row>
    <row r="1407">
      <c r="A1407" s="7" t="s">
        <v>3508</v>
      </c>
      <c r="B1407" s="7" t="s">
        <v>941</v>
      </c>
      <c r="C1407" s="7" t="s">
        <v>3509</v>
      </c>
      <c r="D1407" s="7" t="s">
        <v>7882</v>
      </c>
      <c r="E1407" s="7" t="s">
        <v>1695</v>
      </c>
      <c r="F1407" s="7" t="s">
        <v>1696</v>
      </c>
    </row>
    <row r="1408">
      <c r="A1408" s="7" t="s">
        <v>3286</v>
      </c>
      <c r="B1408" s="7" t="s">
        <v>806</v>
      </c>
      <c r="C1408" s="7" t="s">
        <v>1710</v>
      </c>
      <c r="D1408" s="7" t="s">
        <v>7883</v>
      </c>
      <c r="E1408" s="7" t="s">
        <v>1695</v>
      </c>
      <c r="F1408" s="7" t="s">
        <v>1696</v>
      </c>
    </row>
    <row r="1409">
      <c r="A1409" s="7" t="s">
        <v>3721</v>
      </c>
      <c r="B1409" s="7" t="s">
        <v>1896</v>
      </c>
      <c r="C1409" s="7" t="s">
        <v>336</v>
      </c>
      <c r="D1409" s="7" t="s">
        <v>7884</v>
      </c>
      <c r="E1409" s="7" t="s">
        <v>1695</v>
      </c>
      <c r="F1409" s="7" t="s">
        <v>1696</v>
      </c>
    </row>
    <row r="1410">
      <c r="A1410" s="7" t="s">
        <v>5692</v>
      </c>
      <c r="B1410" s="7" t="s">
        <v>58</v>
      </c>
      <c r="C1410" s="7" t="s">
        <v>2875</v>
      </c>
      <c r="D1410" s="7" t="s">
        <v>7885</v>
      </c>
      <c r="E1410" s="7" t="s">
        <v>1695</v>
      </c>
      <c r="F1410" s="7" t="s">
        <v>1696</v>
      </c>
    </row>
    <row r="1411">
      <c r="A1411" s="7" t="s">
        <v>5224</v>
      </c>
      <c r="B1411" s="7" t="s">
        <v>5225</v>
      </c>
      <c r="C1411" s="7" t="s">
        <v>5226</v>
      </c>
      <c r="D1411" s="7" t="s">
        <v>7886</v>
      </c>
      <c r="E1411" s="7" t="s">
        <v>1695</v>
      </c>
      <c r="F1411" s="7" t="s">
        <v>1696</v>
      </c>
    </row>
    <row r="1412">
      <c r="A1412" s="7" t="s">
        <v>4258</v>
      </c>
      <c r="B1412" s="7" t="s">
        <v>2781</v>
      </c>
      <c r="C1412" s="7" t="s">
        <v>2410</v>
      </c>
      <c r="D1412" s="7" t="s">
        <v>7887</v>
      </c>
      <c r="E1412" s="7" t="s">
        <v>1695</v>
      </c>
      <c r="F1412" s="7" t="s">
        <v>1696</v>
      </c>
    </row>
    <row r="1413">
      <c r="A1413" s="7" t="s">
        <v>3891</v>
      </c>
      <c r="B1413" s="7" t="s">
        <v>300</v>
      </c>
      <c r="C1413" s="7" t="s">
        <v>649</v>
      </c>
      <c r="D1413" s="7" t="s">
        <v>7888</v>
      </c>
      <c r="E1413" s="7" t="s">
        <v>1695</v>
      </c>
      <c r="F1413" s="7" t="s">
        <v>1696</v>
      </c>
    </row>
    <row r="1414">
      <c r="A1414" s="7" t="s">
        <v>5164</v>
      </c>
      <c r="B1414" s="7" t="s">
        <v>129</v>
      </c>
      <c r="C1414" s="7" t="s">
        <v>2355</v>
      </c>
      <c r="D1414" s="7" t="s">
        <v>7889</v>
      </c>
      <c r="E1414" s="7" t="s">
        <v>1695</v>
      </c>
      <c r="F1414" s="7" t="s">
        <v>1696</v>
      </c>
    </row>
    <row r="1415">
      <c r="A1415" s="7" t="s">
        <v>6058</v>
      </c>
      <c r="B1415" s="7" t="s">
        <v>1954</v>
      </c>
      <c r="C1415" s="7" t="s">
        <v>3478</v>
      </c>
      <c r="D1415" s="7" t="s">
        <v>7890</v>
      </c>
      <c r="E1415" s="7" t="s">
        <v>1695</v>
      </c>
      <c r="F1415" s="7" t="s">
        <v>1696</v>
      </c>
    </row>
    <row r="1416">
      <c r="A1416" s="7" t="s">
        <v>6064</v>
      </c>
      <c r="B1416" s="7" t="s">
        <v>3723</v>
      </c>
      <c r="C1416" s="7" t="s">
        <v>118</v>
      </c>
      <c r="D1416" s="7" t="s">
        <v>7891</v>
      </c>
      <c r="E1416" s="7" t="s">
        <v>1695</v>
      </c>
      <c r="F1416" s="7" t="s">
        <v>1696</v>
      </c>
    </row>
    <row r="1417">
      <c r="A1417" s="7" t="s">
        <v>3782</v>
      </c>
      <c r="B1417" s="7" t="s">
        <v>3783</v>
      </c>
      <c r="C1417" s="7" t="s">
        <v>404</v>
      </c>
      <c r="D1417" s="7" t="s">
        <v>7892</v>
      </c>
      <c r="E1417" s="7" t="s">
        <v>1695</v>
      </c>
      <c r="F1417" s="7" t="s">
        <v>1696</v>
      </c>
    </row>
    <row r="1418">
      <c r="A1418" s="7" t="s">
        <v>3703</v>
      </c>
      <c r="B1418" s="7" t="s">
        <v>1383</v>
      </c>
      <c r="C1418" s="7" t="s">
        <v>259</v>
      </c>
      <c r="D1418" s="7" t="s">
        <v>7893</v>
      </c>
      <c r="E1418" s="7" t="s">
        <v>1695</v>
      </c>
      <c r="F1418" s="7" t="s">
        <v>1696</v>
      </c>
    </row>
    <row r="1419">
      <c r="A1419" s="7" t="s">
        <v>2146</v>
      </c>
      <c r="B1419" s="7" t="s">
        <v>1010</v>
      </c>
      <c r="C1419" s="7" t="s">
        <v>1584</v>
      </c>
      <c r="D1419" s="7" t="s">
        <v>7894</v>
      </c>
      <c r="E1419" s="7" t="s">
        <v>1695</v>
      </c>
      <c r="F1419" s="7" t="s">
        <v>1696</v>
      </c>
    </row>
    <row r="1420">
      <c r="A1420" s="7" t="s">
        <v>4853</v>
      </c>
      <c r="B1420" s="7" t="s">
        <v>4854</v>
      </c>
      <c r="C1420" s="7" t="s">
        <v>4855</v>
      </c>
      <c r="D1420" s="7" t="s">
        <v>7895</v>
      </c>
      <c r="E1420" s="7" t="s">
        <v>1695</v>
      </c>
      <c r="F1420" s="7" t="s">
        <v>1696</v>
      </c>
    </row>
    <row r="1421">
      <c r="A1421" s="7" t="s">
        <v>2443</v>
      </c>
      <c r="B1421" s="7" t="s">
        <v>40</v>
      </c>
      <c r="C1421" s="7" t="s">
        <v>1028</v>
      </c>
      <c r="D1421" s="7" t="s">
        <v>7896</v>
      </c>
      <c r="E1421" s="7" t="s">
        <v>1695</v>
      </c>
      <c r="F1421" s="7" t="s">
        <v>1696</v>
      </c>
    </row>
    <row r="1422">
      <c r="A1422" s="7" t="s">
        <v>3229</v>
      </c>
      <c r="B1422" s="7" t="s">
        <v>3230</v>
      </c>
      <c r="C1422" s="7" t="s">
        <v>282</v>
      </c>
      <c r="D1422" s="7" t="s">
        <v>7897</v>
      </c>
      <c r="E1422" s="7" t="s">
        <v>1695</v>
      </c>
      <c r="F1422" s="7" t="s">
        <v>1696</v>
      </c>
    </row>
    <row r="1423">
      <c r="A1423" s="7" t="s">
        <v>4048</v>
      </c>
      <c r="B1423" s="7" t="s">
        <v>3908</v>
      </c>
      <c r="C1423" s="7" t="s">
        <v>3750</v>
      </c>
      <c r="D1423" s="7" t="s">
        <v>7898</v>
      </c>
      <c r="E1423" s="7" t="s">
        <v>1695</v>
      </c>
      <c r="F1423" s="7" t="s">
        <v>1696</v>
      </c>
    </row>
    <row r="1424">
      <c r="A1424" s="7" t="s">
        <v>3430</v>
      </c>
      <c r="B1424" s="7" t="s">
        <v>676</v>
      </c>
      <c r="C1424" s="7" t="s">
        <v>3431</v>
      </c>
      <c r="D1424" s="7" t="s">
        <v>7899</v>
      </c>
      <c r="E1424" s="7" t="s">
        <v>1695</v>
      </c>
      <c r="F1424" s="7" t="s">
        <v>1696</v>
      </c>
    </row>
    <row r="1425">
      <c r="A1425" s="7" t="s">
        <v>6303</v>
      </c>
      <c r="B1425" s="7" t="s">
        <v>1898</v>
      </c>
      <c r="C1425" s="7" t="s">
        <v>6304</v>
      </c>
      <c r="D1425" s="7" t="s">
        <v>7900</v>
      </c>
      <c r="E1425" s="7" t="s">
        <v>1695</v>
      </c>
      <c r="F1425" s="7" t="s">
        <v>1696</v>
      </c>
    </row>
    <row r="1426">
      <c r="A1426" s="7" t="s">
        <v>3501</v>
      </c>
      <c r="B1426" s="7" t="s">
        <v>3502</v>
      </c>
      <c r="C1426" s="7" t="s">
        <v>32</v>
      </c>
      <c r="D1426" s="7" t="s">
        <v>7901</v>
      </c>
      <c r="E1426" s="7" t="s">
        <v>1695</v>
      </c>
      <c r="F1426" s="7" t="s">
        <v>1696</v>
      </c>
    </row>
    <row r="1427">
      <c r="A1427" s="7" t="s">
        <v>1980</v>
      </c>
      <c r="B1427" s="7" t="s">
        <v>1981</v>
      </c>
      <c r="C1427" s="7" t="s">
        <v>52</v>
      </c>
      <c r="D1427" s="7" t="s">
        <v>7902</v>
      </c>
      <c r="E1427" s="7" t="s">
        <v>1695</v>
      </c>
      <c r="F1427" s="7" t="s">
        <v>1696</v>
      </c>
    </row>
    <row r="1428">
      <c r="A1428" s="7" t="s">
        <v>2160</v>
      </c>
      <c r="B1428" s="7" t="s">
        <v>2161</v>
      </c>
      <c r="C1428" s="7" t="s">
        <v>443</v>
      </c>
      <c r="D1428" s="7" t="s">
        <v>7903</v>
      </c>
      <c r="E1428" s="7" t="s">
        <v>1695</v>
      </c>
      <c r="F1428" s="7" t="s">
        <v>1696</v>
      </c>
    </row>
    <row r="1429">
      <c r="A1429" s="7" t="s">
        <v>6249</v>
      </c>
      <c r="B1429" s="7" t="s">
        <v>766</v>
      </c>
      <c r="C1429" s="7" t="s">
        <v>4051</v>
      </c>
      <c r="D1429" s="7" t="s">
        <v>7904</v>
      </c>
      <c r="E1429" s="7" t="s">
        <v>1695</v>
      </c>
      <c r="F1429" s="7" t="s">
        <v>1696</v>
      </c>
    </row>
    <row r="1430">
      <c r="A1430" s="7" t="s">
        <v>6380</v>
      </c>
      <c r="B1430" s="7" t="s">
        <v>4248</v>
      </c>
      <c r="C1430" s="7" t="s">
        <v>529</v>
      </c>
      <c r="D1430" s="7" t="s">
        <v>7905</v>
      </c>
      <c r="E1430" s="7" t="s">
        <v>1695</v>
      </c>
      <c r="F1430" s="7" t="s">
        <v>6318</v>
      </c>
    </row>
    <row r="1431">
      <c r="A1431" s="7" t="s">
        <v>3528</v>
      </c>
      <c r="B1431" s="7" t="s">
        <v>3529</v>
      </c>
      <c r="C1431" s="7" t="s">
        <v>3530</v>
      </c>
      <c r="D1431" s="7" t="s">
        <v>7906</v>
      </c>
      <c r="E1431" s="7" t="s">
        <v>1695</v>
      </c>
      <c r="F1431" s="7" t="s">
        <v>1696</v>
      </c>
    </row>
    <row r="1432">
      <c r="A1432" s="7" t="s">
        <v>3447</v>
      </c>
      <c r="B1432" s="7" t="s">
        <v>3448</v>
      </c>
      <c r="C1432" s="7" t="s">
        <v>404</v>
      </c>
      <c r="D1432" s="7" t="s">
        <v>7907</v>
      </c>
      <c r="E1432" s="7" t="s">
        <v>1695</v>
      </c>
      <c r="F1432" s="7" t="s">
        <v>1696</v>
      </c>
    </row>
    <row r="1433">
      <c r="A1433" s="7" t="s">
        <v>6288</v>
      </c>
      <c r="B1433" s="7" t="s">
        <v>6289</v>
      </c>
      <c r="C1433" s="7" t="s">
        <v>642</v>
      </c>
      <c r="D1433" s="7" t="s">
        <v>7908</v>
      </c>
      <c r="E1433" s="7" t="s">
        <v>1695</v>
      </c>
      <c r="F1433" s="7" t="s">
        <v>1696</v>
      </c>
    </row>
    <row r="1434">
      <c r="A1434" s="7" t="s">
        <v>5477</v>
      </c>
      <c r="B1434" s="7" t="s">
        <v>1798</v>
      </c>
      <c r="C1434" s="7" t="s">
        <v>422</v>
      </c>
      <c r="D1434" s="7" t="s">
        <v>7909</v>
      </c>
      <c r="E1434" s="7" t="s">
        <v>1695</v>
      </c>
      <c r="F1434" s="7" t="s">
        <v>1696</v>
      </c>
    </row>
    <row r="1435">
      <c r="A1435" s="7" t="s">
        <v>2117</v>
      </c>
      <c r="B1435" s="7" t="s">
        <v>208</v>
      </c>
      <c r="C1435" s="7" t="s">
        <v>2118</v>
      </c>
      <c r="D1435" s="7" t="s">
        <v>7910</v>
      </c>
      <c r="E1435" s="7" t="s">
        <v>1695</v>
      </c>
      <c r="F1435" s="7" t="s">
        <v>1696</v>
      </c>
    </row>
    <row r="1436">
      <c r="A1436" s="7" t="s">
        <v>1961</v>
      </c>
      <c r="B1436" s="7" t="s">
        <v>292</v>
      </c>
      <c r="C1436" s="7" t="s">
        <v>1962</v>
      </c>
      <c r="D1436" s="7" t="s">
        <v>7911</v>
      </c>
      <c r="E1436" s="7" t="s">
        <v>1695</v>
      </c>
      <c r="F1436" s="7" t="s">
        <v>1696</v>
      </c>
    </row>
    <row r="1437">
      <c r="A1437" s="7" t="s">
        <v>2375</v>
      </c>
      <c r="B1437" s="7" t="s">
        <v>504</v>
      </c>
      <c r="C1437" s="7" t="s">
        <v>1549</v>
      </c>
      <c r="D1437" s="7" t="s">
        <v>7912</v>
      </c>
      <c r="E1437" s="7" t="s">
        <v>1695</v>
      </c>
      <c r="F1437" s="7" t="s">
        <v>1696</v>
      </c>
    </row>
    <row r="1438">
      <c r="A1438" s="7" t="s">
        <v>2119</v>
      </c>
      <c r="B1438" s="7" t="s">
        <v>425</v>
      </c>
      <c r="C1438" s="7" t="s">
        <v>218</v>
      </c>
      <c r="D1438" s="7" t="s">
        <v>7913</v>
      </c>
      <c r="E1438" s="7" t="s">
        <v>1695</v>
      </c>
      <c r="F1438" s="7" t="s">
        <v>1696</v>
      </c>
    </row>
    <row r="1439">
      <c r="A1439" s="7" t="s">
        <v>3616</v>
      </c>
      <c r="B1439" s="7" t="s">
        <v>626</v>
      </c>
      <c r="C1439" s="7" t="s">
        <v>267</v>
      </c>
      <c r="D1439" s="7" t="s">
        <v>7914</v>
      </c>
      <c r="E1439" s="7" t="s">
        <v>1695</v>
      </c>
      <c r="F1439" s="7" t="s">
        <v>1696</v>
      </c>
    </row>
    <row r="1440">
      <c r="A1440" s="7" t="s">
        <v>5953</v>
      </c>
      <c r="B1440" s="7" t="s">
        <v>3954</v>
      </c>
      <c r="C1440" s="7" t="s">
        <v>3863</v>
      </c>
      <c r="D1440" s="7" t="s">
        <v>7915</v>
      </c>
      <c r="E1440" s="7" t="s">
        <v>1695</v>
      </c>
      <c r="F1440" s="7" t="s">
        <v>1696</v>
      </c>
    </row>
    <row r="1441">
      <c r="A1441" s="7" t="s">
        <v>3086</v>
      </c>
      <c r="B1441" s="7" t="s">
        <v>3087</v>
      </c>
      <c r="C1441" s="7" t="s">
        <v>2178</v>
      </c>
      <c r="D1441" s="7" t="s">
        <v>7916</v>
      </c>
      <c r="E1441" s="7" t="s">
        <v>1695</v>
      </c>
      <c r="F1441" s="7" t="s">
        <v>1696</v>
      </c>
    </row>
    <row r="1442">
      <c r="A1442" s="7" t="s">
        <v>3542</v>
      </c>
      <c r="B1442" s="7" t="s">
        <v>273</v>
      </c>
      <c r="C1442" s="7" t="s">
        <v>826</v>
      </c>
      <c r="D1442" s="7" t="s">
        <v>7917</v>
      </c>
      <c r="E1442" s="7" t="s">
        <v>1695</v>
      </c>
      <c r="F1442" s="7" t="s">
        <v>1696</v>
      </c>
    </row>
    <row r="1443">
      <c r="A1443" s="7" t="s">
        <v>6377</v>
      </c>
      <c r="B1443" s="7" t="s">
        <v>6378</v>
      </c>
      <c r="C1443" s="7" t="s">
        <v>6379</v>
      </c>
      <c r="D1443" s="7" t="s">
        <v>7918</v>
      </c>
      <c r="E1443" s="7" t="s">
        <v>1695</v>
      </c>
      <c r="F1443" s="7" t="s">
        <v>6318</v>
      </c>
    </row>
    <row r="1444">
      <c r="A1444" s="7" t="s">
        <v>2516</v>
      </c>
      <c r="B1444" s="7" t="s">
        <v>806</v>
      </c>
      <c r="C1444" s="7" t="s">
        <v>951</v>
      </c>
      <c r="D1444" s="7" t="s">
        <v>7919</v>
      </c>
      <c r="E1444" s="7" t="s">
        <v>1695</v>
      </c>
      <c r="F1444" s="7" t="s">
        <v>1696</v>
      </c>
    </row>
    <row r="1445">
      <c r="A1445" s="7" t="s">
        <v>4212</v>
      </c>
      <c r="B1445" s="7" t="s">
        <v>4213</v>
      </c>
      <c r="C1445" s="7" t="s">
        <v>3894</v>
      </c>
      <c r="D1445" s="7" t="s">
        <v>7920</v>
      </c>
      <c r="E1445" s="7" t="s">
        <v>1695</v>
      </c>
      <c r="F1445" s="7" t="s">
        <v>1696</v>
      </c>
    </row>
    <row r="1446">
      <c r="A1446" s="7" t="s">
        <v>6403</v>
      </c>
      <c r="B1446" s="7" t="s">
        <v>1130</v>
      </c>
      <c r="C1446" s="7" t="s">
        <v>6404</v>
      </c>
      <c r="D1446" s="7" t="s">
        <v>7921</v>
      </c>
      <c r="E1446" s="7" t="s">
        <v>1695</v>
      </c>
      <c r="F1446" s="7" t="s">
        <v>6318</v>
      </c>
    </row>
    <row r="1447">
      <c r="A1447" s="7" t="s">
        <v>5613</v>
      </c>
      <c r="B1447" s="7" t="s">
        <v>5614</v>
      </c>
      <c r="C1447" s="7" t="s">
        <v>795</v>
      </c>
      <c r="D1447" s="7" t="s">
        <v>7922</v>
      </c>
      <c r="E1447" s="7" t="s">
        <v>1695</v>
      </c>
      <c r="F1447" s="7" t="s">
        <v>1696</v>
      </c>
    </row>
    <row r="1448">
      <c r="A1448" s="7" t="s">
        <v>4811</v>
      </c>
      <c r="B1448" s="7" t="s">
        <v>4812</v>
      </c>
      <c r="C1448" s="7" t="s">
        <v>4813</v>
      </c>
      <c r="D1448" s="7" t="s">
        <v>7923</v>
      </c>
      <c r="E1448" s="7" t="s">
        <v>1695</v>
      </c>
      <c r="F1448" s="7" t="s">
        <v>1696</v>
      </c>
    </row>
    <row r="1449">
      <c r="A1449" s="7" t="s">
        <v>6250</v>
      </c>
      <c r="B1449" s="7" t="s">
        <v>6251</v>
      </c>
      <c r="C1449" s="7" t="s">
        <v>6252</v>
      </c>
      <c r="D1449" s="7" t="s">
        <v>7924</v>
      </c>
      <c r="E1449" s="7" t="s">
        <v>1695</v>
      </c>
      <c r="F1449" s="7" t="s">
        <v>1696</v>
      </c>
    </row>
    <row r="1450">
      <c r="A1450" s="7" t="s">
        <v>2448</v>
      </c>
      <c r="B1450" s="7" t="s">
        <v>2449</v>
      </c>
      <c r="C1450" s="7" t="s">
        <v>2450</v>
      </c>
      <c r="D1450" s="7" t="s">
        <v>7925</v>
      </c>
      <c r="E1450" s="7" t="s">
        <v>1695</v>
      </c>
      <c r="F1450" s="7" t="s">
        <v>1696</v>
      </c>
    </row>
    <row r="1451">
      <c r="A1451" s="7" t="s">
        <v>5792</v>
      </c>
      <c r="B1451" s="7" t="s">
        <v>3208</v>
      </c>
      <c r="C1451" s="7" t="s">
        <v>5793</v>
      </c>
      <c r="D1451" s="7" t="s">
        <v>7926</v>
      </c>
      <c r="E1451" s="7" t="s">
        <v>1695</v>
      </c>
      <c r="F1451" s="7" t="s">
        <v>1696</v>
      </c>
    </row>
    <row r="1452">
      <c r="A1452" s="7" t="s">
        <v>5861</v>
      </c>
      <c r="B1452" s="7" t="s">
        <v>404</v>
      </c>
      <c r="C1452" s="7" t="s">
        <v>2403</v>
      </c>
      <c r="D1452" s="7" t="s">
        <v>7927</v>
      </c>
      <c r="E1452" s="7" t="s">
        <v>1695</v>
      </c>
      <c r="F1452" s="7" t="s">
        <v>1696</v>
      </c>
    </row>
    <row r="1453">
      <c r="A1453" s="7" t="s">
        <v>4457</v>
      </c>
      <c r="B1453" s="7" t="s">
        <v>4458</v>
      </c>
      <c r="C1453" s="7" t="s">
        <v>918</v>
      </c>
      <c r="D1453" s="7" t="s">
        <v>7928</v>
      </c>
      <c r="E1453" s="7" t="s">
        <v>1695</v>
      </c>
      <c r="F1453" s="7" t="s">
        <v>1696</v>
      </c>
    </row>
    <row r="1454">
      <c r="A1454" s="7" t="s">
        <v>5947</v>
      </c>
      <c r="B1454" s="7" t="s">
        <v>5948</v>
      </c>
      <c r="C1454" s="7" t="s">
        <v>1232</v>
      </c>
      <c r="D1454" s="7" t="s">
        <v>7929</v>
      </c>
      <c r="E1454" s="7" t="s">
        <v>1695</v>
      </c>
      <c r="F1454" s="7" t="s">
        <v>1696</v>
      </c>
    </row>
    <row r="1455">
      <c r="A1455" s="7" t="s">
        <v>4746</v>
      </c>
      <c r="B1455" s="7" t="s">
        <v>773</v>
      </c>
      <c r="C1455" s="7" t="s">
        <v>109</v>
      </c>
      <c r="D1455" s="7" t="s">
        <v>7930</v>
      </c>
      <c r="E1455" s="7" t="s">
        <v>1695</v>
      </c>
      <c r="F1455" s="7" t="s">
        <v>1696</v>
      </c>
    </row>
    <row r="1456">
      <c r="A1456" s="7" t="s">
        <v>3788</v>
      </c>
      <c r="B1456" s="7" t="s">
        <v>3789</v>
      </c>
      <c r="C1456" s="7" t="s">
        <v>918</v>
      </c>
      <c r="D1456" s="7" t="s">
        <v>7931</v>
      </c>
      <c r="E1456" s="7" t="s">
        <v>1695</v>
      </c>
      <c r="F1456" s="7" t="s">
        <v>1696</v>
      </c>
    </row>
    <row r="1457">
      <c r="A1457" s="7" t="s">
        <v>3849</v>
      </c>
      <c r="B1457" s="7" t="s">
        <v>3850</v>
      </c>
      <c r="C1457" s="7" t="s">
        <v>880</v>
      </c>
      <c r="D1457" s="7" t="s">
        <v>7932</v>
      </c>
      <c r="E1457" s="7" t="s">
        <v>1695</v>
      </c>
      <c r="F1457" s="7" t="s">
        <v>1696</v>
      </c>
    </row>
    <row r="1458">
      <c r="A1458" s="7" t="s">
        <v>3462</v>
      </c>
      <c r="B1458" s="7" t="s">
        <v>1130</v>
      </c>
      <c r="C1458" s="7" t="s">
        <v>189</v>
      </c>
      <c r="D1458" s="7" t="s">
        <v>7933</v>
      </c>
      <c r="E1458" s="7" t="s">
        <v>1695</v>
      </c>
      <c r="F1458" s="7" t="s">
        <v>1696</v>
      </c>
    </row>
    <row r="1459">
      <c r="A1459" s="7" t="s">
        <v>1840</v>
      </c>
      <c r="B1459" s="7" t="s">
        <v>1841</v>
      </c>
      <c r="C1459" s="7" t="s">
        <v>649</v>
      </c>
      <c r="D1459" s="7" t="s">
        <v>7934</v>
      </c>
      <c r="E1459" s="7" t="s">
        <v>1695</v>
      </c>
      <c r="F1459" s="7" t="s">
        <v>1696</v>
      </c>
    </row>
    <row r="1460">
      <c r="A1460" s="7" t="s">
        <v>5608</v>
      </c>
      <c r="B1460" s="7" t="s">
        <v>378</v>
      </c>
      <c r="C1460" s="7" t="s">
        <v>1736</v>
      </c>
      <c r="D1460" s="7" t="s">
        <v>7935</v>
      </c>
      <c r="E1460" s="7" t="s">
        <v>1695</v>
      </c>
      <c r="F1460" s="7" t="s">
        <v>1696</v>
      </c>
    </row>
    <row r="1461">
      <c r="A1461" s="7" t="s">
        <v>4193</v>
      </c>
      <c r="B1461" s="7" t="s">
        <v>1549</v>
      </c>
      <c r="C1461" s="7" t="s">
        <v>4194</v>
      </c>
      <c r="D1461" s="7" t="s">
        <v>7936</v>
      </c>
      <c r="E1461" s="7" t="s">
        <v>1695</v>
      </c>
      <c r="F1461" s="7" t="s">
        <v>1696</v>
      </c>
    </row>
    <row r="1462">
      <c r="A1462" s="7" t="s">
        <v>3685</v>
      </c>
      <c r="B1462" s="7" t="s">
        <v>3686</v>
      </c>
      <c r="C1462" s="7" t="s">
        <v>3687</v>
      </c>
      <c r="D1462" s="7" t="s">
        <v>7937</v>
      </c>
      <c r="E1462" s="7" t="s">
        <v>1695</v>
      </c>
      <c r="F1462" s="7" t="s">
        <v>1696</v>
      </c>
    </row>
    <row r="1463">
      <c r="A1463" s="7" t="s">
        <v>2733</v>
      </c>
      <c r="B1463" s="7" t="s">
        <v>2734</v>
      </c>
      <c r="C1463" s="7" t="s">
        <v>2735</v>
      </c>
      <c r="D1463" s="7" t="s">
        <v>7938</v>
      </c>
      <c r="E1463" s="7" t="s">
        <v>1695</v>
      </c>
      <c r="F1463" s="7" t="s">
        <v>1696</v>
      </c>
    </row>
    <row r="1464">
      <c r="A1464" s="7" t="s">
        <v>2433</v>
      </c>
      <c r="B1464" s="7" t="s">
        <v>2434</v>
      </c>
      <c r="C1464" s="7" t="s">
        <v>2435</v>
      </c>
      <c r="D1464" s="7" t="s">
        <v>7939</v>
      </c>
      <c r="E1464" s="7" t="s">
        <v>1695</v>
      </c>
      <c r="F1464" s="7" t="s">
        <v>1696</v>
      </c>
    </row>
    <row r="1465">
      <c r="A1465" s="7" t="s">
        <v>4021</v>
      </c>
      <c r="B1465" s="7" t="s">
        <v>4002</v>
      </c>
      <c r="C1465" s="7" t="s">
        <v>1125</v>
      </c>
      <c r="D1465" s="7" t="s">
        <v>7940</v>
      </c>
      <c r="E1465" s="7" t="s">
        <v>1695</v>
      </c>
      <c r="F1465" s="7" t="s">
        <v>1696</v>
      </c>
    </row>
    <row r="1466">
      <c r="A1466" s="7" t="s">
        <v>3321</v>
      </c>
      <c r="B1466" s="7" t="s">
        <v>3322</v>
      </c>
      <c r="C1466" s="7" t="s">
        <v>3323</v>
      </c>
      <c r="D1466" s="7" t="s">
        <v>7941</v>
      </c>
      <c r="E1466" s="7" t="s">
        <v>1695</v>
      </c>
      <c r="F1466" s="7" t="s">
        <v>1696</v>
      </c>
    </row>
    <row r="1467">
      <c r="A1467" s="7" t="s">
        <v>3370</v>
      </c>
      <c r="B1467" s="7" t="s">
        <v>208</v>
      </c>
      <c r="C1467" s="7" t="s">
        <v>3371</v>
      </c>
      <c r="D1467" s="7" t="s">
        <v>7942</v>
      </c>
      <c r="E1467" s="7" t="s">
        <v>1695</v>
      </c>
      <c r="F1467" s="7" t="s">
        <v>1696</v>
      </c>
    </row>
    <row r="1468">
      <c r="A1468" s="7" t="s">
        <v>2919</v>
      </c>
      <c r="B1468" s="7" t="s">
        <v>579</v>
      </c>
      <c r="C1468" s="7" t="s">
        <v>1905</v>
      </c>
      <c r="D1468" s="7" t="s">
        <v>7943</v>
      </c>
      <c r="E1468" s="7" t="s">
        <v>1695</v>
      </c>
      <c r="F1468" s="7" t="s">
        <v>1696</v>
      </c>
    </row>
    <row r="1469">
      <c r="A1469" s="7" t="s">
        <v>5121</v>
      </c>
      <c r="B1469" s="7" t="s">
        <v>3100</v>
      </c>
      <c r="C1469" s="7" t="s">
        <v>5122</v>
      </c>
      <c r="D1469" s="7" t="s">
        <v>7944</v>
      </c>
      <c r="E1469" s="7" t="s">
        <v>1695</v>
      </c>
      <c r="F1469" s="7" t="s">
        <v>1696</v>
      </c>
    </row>
    <row r="1470">
      <c r="A1470" s="7" t="s">
        <v>3978</v>
      </c>
      <c r="B1470" s="7" t="s">
        <v>3979</v>
      </c>
      <c r="C1470" s="7" t="s">
        <v>1074</v>
      </c>
      <c r="D1470" s="7" t="s">
        <v>7945</v>
      </c>
      <c r="E1470" s="7" t="s">
        <v>1695</v>
      </c>
      <c r="F1470" s="7" t="s">
        <v>1696</v>
      </c>
    </row>
    <row r="1471">
      <c r="A1471" s="7" t="s">
        <v>6030</v>
      </c>
      <c r="B1471" s="7" t="s">
        <v>6031</v>
      </c>
      <c r="C1471" s="7" t="s">
        <v>1177</v>
      </c>
      <c r="D1471" s="7" t="s">
        <v>7946</v>
      </c>
      <c r="E1471" s="7" t="s">
        <v>1695</v>
      </c>
      <c r="F1471" s="7" t="s">
        <v>1696</v>
      </c>
    </row>
    <row r="1472">
      <c r="A1472" s="7" t="s">
        <v>5555</v>
      </c>
      <c r="B1472" s="7" t="s">
        <v>5556</v>
      </c>
      <c r="C1472" s="7" t="s">
        <v>336</v>
      </c>
      <c r="D1472" s="7" t="s">
        <v>7947</v>
      </c>
      <c r="E1472" s="7" t="s">
        <v>1695</v>
      </c>
      <c r="F1472" s="7" t="s">
        <v>1696</v>
      </c>
    </row>
    <row r="1473">
      <c r="A1473" s="7" t="s">
        <v>5558</v>
      </c>
      <c r="B1473" s="7" t="s">
        <v>5556</v>
      </c>
      <c r="C1473" s="7" t="s">
        <v>336</v>
      </c>
      <c r="D1473" s="7" t="s">
        <v>7947</v>
      </c>
      <c r="E1473" s="7" t="s">
        <v>1695</v>
      </c>
      <c r="F1473" s="7" t="s">
        <v>1696</v>
      </c>
    </row>
    <row r="1474">
      <c r="A1474" s="7" t="s">
        <v>2616</v>
      </c>
      <c r="B1474" s="7" t="s">
        <v>697</v>
      </c>
      <c r="C1474" s="7" t="s">
        <v>2617</v>
      </c>
      <c r="D1474" s="7" t="s">
        <v>7948</v>
      </c>
      <c r="E1474" s="7" t="s">
        <v>1695</v>
      </c>
      <c r="F1474" s="7" t="s">
        <v>1696</v>
      </c>
    </row>
    <row r="1475">
      <c r="A1475" s="7" t="s">
        <v>5646</v>
      </c>
      <c r="B1475" s="7" t="s">
        <v>4656</v>
      </c>
      <c r="C1475" s="7" t="s">
        <v>2788</v>
      </c>
      <c r="D1475" s="7" t="s">
        <v>7949</v>
      </c>
      <c r="E1475" s="7" t="s">
        <v>1695</v>
      </c>
      <c r="F1475" s="7" t="s">
        <v>1696</v>
      </c>
    </row>
    <row r="1476">
      <c r="A1476" s="7" t="s">
        <v>3869</v>
      </c>
      <c r="B1476" s="7" t="s">
        <v>1054</v>
      </c>
      <c r="C1476" s="7" t="s">
        <v>3870</v>
      </c>
      <c r="D1476" s="7" t="s">
        <v>7950</v>
      </c>
      <c r="E1476" s="7" t="s">
        <v>1695</v>
      </c>
      <c r="F1476" s="7" t="s">
        <v>1696</v>
      </c>
    </row>
    <row r="1477">
      <c r="A1477" s="7" t="s">
        <v>2832</v>
      </c>
      <c r="B1477" s="7" t="s">
        <v>2833</v>
      </c>
      <c r="C1477" s="7" t="s">
        <v>2834</v>
      </c>
      <c r="D1477" s="7" t="s">
        <v>7951</v>
      </c>
      <c r="E1477" s="7" t="s">
        <v>1695</v>
      </c>
      <c r="F1477" s="7" t="s">
        <v>1696</v>
      </c>
    </row>
    <row r="1478">
      <c r="A1478" s="7" t="s">
        <v>5196</v>
      </c>
      <c r="B1478" s="7" t="s">
        <v>5073</v>
      </c>
      <c r="C1478" s="7" t="s">
        <v>5197</v>
      </c>
      <c r="D1478" s="7" t="s">
        <v>7952</v>
      </c>
      <c r="E1478" s="7" t="s">
        <v>1695</v>
      </c>
      <c r="F1478" s="7" t="s">
        <v>1696</v>
      </c>
    </row>
    <row r="1479">
      <c r="A1479" s="7" t="s">
        <v>2697</v>
      </c>
      <c r="B1479" s="7" t="s">
        <v>316</v>
      </c>
      <c r="C1479" s="7" t="s">
        <v>2698</v>
      </c>
      <c r="D1479" s="7" t="s">
        <v>7953</v>
      </c>
      <c r="E1479" s="7" t="s">
        <v>1695</v>
      </c>
      <c r="F1479" s="7" t="s">
        <v>1696</v>
      </c>
    </row>
    <row r="1480">
      <c r="A1480" s="7" t="s">
        <v>5054</v>
      </c>
      <c r="B1480" s="7" t="s">
        <v>504</v>
      </c>
      <c r="C1480" s="7" t="s">
        <v>5055</v>
      </c>
      <c r="D1480" s="7" t="s">
        <v>7954</v>
      </c>
      <c r="E1480" s="7" t="s">
        <v>1695</v>
      </c>
      <c r="F1480" s="7" t="s">
        <v>1696</v>
      </c>
    </row>
    <row r="1481">
      <c r="A1481" s="7" t="s">
        <v>5209</v>
      </c>
      <c r="B1481" s="7" t="s">
        <v>5210</v>
      </c>
      <c r="C1481" s="7" t="s">
        <v>5211</v>
      </c>
      <c r="D1481" s="7" t="s">
        <v>7955</v>
      </c>
      <c r="E1481" s="7" t="s">
        <v>1695</v>
      </c>
      <c r="F1481" s="7" t="s">
        <v>1696</v>
      </c>
    </row>
    <row r="1482">
      <c r="A1482" s="7" t="s">
        <v>5784</v>
      </c>
      <c r="B1482" s="7" t="s">
        <v>2781</v>
      </c>
      <c r="C1482" s="7" t="s">
        <v>518</v>
      </c>
      <c r="D1482" s="7" t="s">
        <v>7956</v>
      </c>
      <c r="E1482" s="7" t="s">
        <v>1695</v>
      </c>
      <c r="F1482" s="7" t="s">
        <v>1696</v>
      </c>
    </row>
    <row r="1483">
      <c r="A1483" s="7" t="s">
        <v>2598</v>
      </c>
      <c r="B1483" s="7" t="s">
        <v>738</v>
      </c>
      <c r="C1483" s="7" t="s">
        <v>115</v>
      </c>
      <c r="D1483" s="7" t="s">
        <v>7957</v>
      </c>
      <c r="E1483" s="7" t="s">
        <v>1695</v>
      </c>
      <c r="F1483" s="7" t="s">
        <v>1696</v>
      </c>
    </row>
    <row r="1484">
      <c r="A1484" s="7" t="s">
        <v>3480</v>
      </c>
      <c r="B1484" s="7" t="s">
        <v>2622</v>
      </c>
      <c r="C1484" s="7" t="s">
        <v>3481</v>
      </c>
      <c r="D1484" s="7" t="s">
        <v>7958</v>
      </c>
      <c r="E1484" s="7" t="s">
        <v>1695</v>
      </c>
      <c r="F1484" s="7" t="s">
        <v>1696</v>
      </c>
    </row>
    <row r="1485">
      <c r="A1485" s="7" t="s">
        <v>4075</v>
      </c>
      <c r="B1485" s="7" t="s">
        <v>208</v>
      </c>
      <c r="C1485" s="7" t="s">
        <v>2264</v>
      </c>
      <c r="D1485" s="7" t="s">
        <v>7959</v>
      </c>
      <c r="E1485" s="7" t="s">
        <v>1695</v>
      </c>
      <c r="F1485" s="7" t="s">
        <v>1696</v>
      </c>
    </row>
    <row r="1486">
      <c r="A1486" s="7" t="s">
        <v>2046</v>
      </c>
      <c r="B1486" s="7" t="s">
        <v>414</v>
      </c>
      <c r="C1486" s="7" t="s">
        <v>2047</v>
      </c>
      <c r="D1486" s="7" t="s">
        <v>7960</v>
      </c>
      <c r="E1486" s="7" t="s">
        <v>1695</v>
      </c>
      <c r="F1486" s="7" t="s">
        <v>1696</v>
      </c>
    </row>
    <row r="1487">
      <c r="A1487" s="7" t="s">
        <v>2674</v>
      </c>
      <c r="B1487" s="7" t="s">
        <v>2675</v>
      </c>
      <c r="C1487" s="7" t="s">
        <v>1237</v>
      </c>
      <c r="D1487" s="7" t="s">
        <v>7961</v>
      </c>
      <c r="E1487" s="7" t="s">
        <v>1695</v>
      </c>
      <c r="F1487" s="7" t="s">
        <v>1696</v>
      </c>
    </row>
    <row r="1488">
      <c r="A1488" s="7" t="s">
        <v>2714</v>
      </c>
      <c r="B1488" s="7" t="s">
        <v>137</v>
      </c>
      <c r="C1488" s="7" t="s">
        <v>2715</v>
      </c>
      <c r="D1488" s="7" t="s">
        <v>7962</v>
      </c>
      <c r="E1488" s="7" t="s">
        <v>1695</v>
      </c>
      <c r="F1488" s="7" t="s">
        <v>1696</v>
      </c>
    </row>
    <row r="1489">
      <c r="A1489" s="7" t="s">
        <v>2721</v>
      </c>
      <c r="B1489" s="7" t="s">
        <v>137</v>
      </c>
      <c r="C1489" s="7" t="s">
        <v>1572</v>
      </c>
      <c r="D1489" s="7" t="s">
        <v>7962</v>
      </c>
      <c r="E1489" s="7" t="s">
        <v>1695</v>
      </c>
      <c r="F1489" s="7" t="s">
        <v>1696</v>
      </c>
    </row>
    <row r="1490">
      <c r="A1490" s="7" t="s">
        <v>5500</v>
      </c>
      <c r="B1490" s="7" t="s">
        <v>5501</v>
      </c>
      <c r="C1490" s="7" t="s">
        <v>5502</v>
      </c>
      <c r="D1490" s="7" t="s">
        <v>7963</v>
      </c>
      <c r="E1490" s="7" t="s">
        <v>1695</v>
      </c>
      <c r="F1490" s="7" t="s">
        <v>1696</v>
      </c>
    </row>
    <row r="1491">
      <c r="A1491" s="7" t="s">
        <v>3768</v>
      </c>
      <c r="B1491" s="7" t="s">
        <v>3769</v>
      </c>
      <c r="C1491" s="7" t="s">
        <v>3770</v>
      </c>
      <c r="D1491" s="7" t="s">
        <v>7964</v>
      </c>
      <c r="E1491" s="7" t="s">
        <v>1695</v>
      </c>
      <c r="F1491" s="7" t="s">
        <v>1696</v>
      </c>
    </row>
    <row r="1492">
      <c r="A1492" s="7" t="s">
        <v>2082</v>
      </c>
      <c r="B1492" s="7" t="s">
        <v>2083</v>
      </c>
      <c r="C1492" s="7" t="s">
        <v>2084</v>
      </c>
      <c r="D1492" s="7" t="s">
        <v>7965</v>
      </c>
      <c r="E1492" s="7" t="s">
        <v>1695</v>
      </c>
      <c r="F1492" s="7" t="s">
        <v>1696</v>
      </c>
    </row>
    <row r="1493">
      <c r="A1493" s="7" t="s">
        <v>3031</v>
      </c>
      <c r="B1493" s="7" t="s">
        <v>60</v>
      </c>
      <c r="C1493" s="7" t="s">
        <v>1803</v>
      </c>
      <c r="D1493" s="7" t="s">
        <v>7966</v>
      </c>
      <c r="E1493" s="7" t="s">
        <v>1695</v>
      </c>
      <c r="F1493" s="7" t="s">
        <v>1696</v>
      </c>
    </row>
    <row r="1494">
      <c r="A1494" s="7" t="s">
        <v>5701</v>
      </c>
      <c r="B1494" s="7" t="s">
        <v>766</v>
      </c>
      <c r="C1494" s="7" t="s">
        <v>2654</v>
      </c>
      <c r="D1494" s="7" t="s">
        <v>7967</v>
      </c>
      <c r="E1494" s="7" t="s">
        <v>1695</v>
      </c>
      <c r="F1494" s="7" t="s">
        <v>1696</v>
      </c>
    </row>
    <row r="1495">
      <c r="A1495" s="7" t="s">
        <v>5829</v>
      </c>
      <c r="B1495" s="7" t="s">
        <v>5830</v>
      </c>
      <c r="C1495" s="7" t="s">
        <v>5831</v>
      </c>
      <c r="D1495" s="7" t="s">
        <v>7968</v>
      </c>
      <c r="E1495" s="7" t="s">
        <v>1695</v>
      </c>
      <c r="F1495" s="7" t="s">
        <v>1696</v>
      </c>
    </row>
    <row r="1496">
      <c r="A1496" s="7" t="s">
        <v>3831</v>
      </c>
      <c r="B1496" s="7" t="s">
        <v>3832</v>
      </c>
      <c r="C1496" s="7" t="s">
        <v>3833</v>
      </c>
      <c r="D1496" s="7" t="s">
        <v>7969</v>
      </c>
      <c r="E1496" s="7" t="s">
        <v>1695</v>
      </c>
      <c r="F1496" s="7" t="s">
        <v>1696</v>
      </c>
    </row>
    <row r="1497">
      <c r="A1497" s="7" t="s">
        <v>3679</v>
      </c>
      <c r="B1497" s="7" t="s">
        <v>1758</v>
      </c>
      <c r="C1497" s="7" t="s">
        <v>3680</v>
      </c>
      <c r="D1497" s="7" t="s">
        <v>7970</v>
      </c>
      <c r="E1497" s="7" t="s">
        <v>1695</v>
      </c>
      <c r="F1497" s="7" t="s">
        <v>1696</v>
      </c>
    </row>
    <row r="1498">
      <c r="A1498" s="7" t="s">
        <v>6138</v>
      </c>
      <c r="B1498" s="7" t="s">
        <v>766</v>
      </c>
      <c r="C1498" s="7" t="s">
        <v>58</v>
      </c>
      <c r="D1498" s="7" t="s">
        <v>7971</v>
      </c>
      <c r="E1498" s="7" t="s">
        <v>1695</v>
      </c>
      <c r="F1498" s="7" t="s">
        <v>1696</v>
      </c>
    </row>
    <row r="1499">
      <c r="A1499" s="7" t="s">
        <v>5381</v>
      </c>
      <c r="B1499" s="7" t="s">
        <v>5382</v>
      </c>
      <c r="C1499" s="7" t="s">
        <v>5383</v>
      </c>
      <c r="D1499" s="7" t="s">
        <v>7972</v>
      </c>
      <c r="E1499" s="7" t="s">
        <v>1695</v>
      </c>
      <c r="F1499" s="7" t="s">
        <v>1696</v>
      </c>
    </row>
    <row r="1500">
      <c r="A1500" s="7" t="s">
        <v>4439</v>
      </c>
      <c r="B1500" s="7" t="s">
        <v>2247</v>
      </c>
      <c r="C1500" s="7" t="s">
        <v>4440</v>
      </c>
      <c r="D1500" s="7" t="s">
        <v>7973</v>
      </c>
      <c r="E1500" s="7" t="s">
        <v>1695</v>
      </c>
      <c r="F1500" s="7" t="s">
        <v>1696</v>
      </c>
    </row>
    <row r="1501">
      <c r="A1501" s="7" t="s">
        <v>2504</v>
      </c>
      <c r="B1501" s="7" t="s">
        <v>531</v>
      </c>
      <c r="C1501" s="7" t="s">
        <v>2505</v>
      </c>
      <c r="D1501" s="7" t="s">
        <v>7974</v>
      </c>
      <c r="E1501" s="7" t="s">
        <v>1695</v>
      </c>
      <c r="F1501" s="7" t="s">
        <v>1696</v>
      </c>
    </row>
    <row r="1502">
      <c r="A1502" s="7" t="s">
        <v>5132</v>
      </c>
      <c r="B1502" s="7" t="s">
        <v>559</v>
      </c>
      <c r="C1502" s="7" t="s">
        <v>838</v>
      </c>
      <c r="D1502" s="7" t="s">
        <v>7975</v>
      </c>
      <c r="E1502" s="7" t="s">
        <v>1695</v>
      </c>
      <c r="F1502" s="7" t="s">
        <v>1696</v>
      </c>
    </row>
    <row r="1503">
      <c r="A1503" s="7" t="s">
        <v>5631</v>
      </c>
      <c r="B1503" s="7" t="s">
        <v>5632</v>
      </c>
      <c r="C1503" s="7" t="s">
        <v>446</v>
      </c>
      <c r="D1503" s="7" t="s">
        <v>7976</v>
      </c>
      <c r="E1503" s="7" t="s">
        <v>1695</v>
      </c>
      <c r="F1503" s="7" t="s">
        <v>1696</v>
      </c>
    </row>
    <row r="1504">
      <c r="A1504" s="7" t="s">
        <v>4589</v>
      </c>
      <c r="B1504" s="7" t="s">
        <v>3089</v>
      </c>
      <c r="C1504" s="7" t="s">
        <v>4153</v>
      </c>
      <c r="D1504" s="7" t="s">
        <v>7977</v>
      </c>
      <c r="E1504" s="7" t="s">
        <v>1695</v>
      </c>
      <c r="F1504" s="7" t="s">
        <v>1696</v>
      </c>
    </row>
    <row r="1505">
      <c r="A1505" s="7" t="s">
        <v>4176</v>
      </c>
      <c r="B1505" s="7" t="s">
        <v>4177</v>
      </c>
      <c r="C1505" s="7" t="s">
        <v>35</v>
      </c>
      <c r="D1505" s="7" t="s">
        <v>7978</v>
      </c>
      <c r="E1505" s="7" t="s">
        <v>1695</v>
      </c>
      <c r="F1505" s="7" t="s">
        <v>1696</v>
      </c>
    </row>
    <row r="1506">
      <c r="A1506" s="7" t="s">
        <v>4017</v>
      </c>
      <c r="B1506" s="7" t="s">
        <v>4018</v>
      </c>
      <c r="C1506" s="7" t="s">
        <v>580</v>
      </c>
      <c r="D1506" s="7" t="s">
        <v>7979</v>
      </c>
      <c r="E1506" s="7" t="s">
        <v>1695</v>
      </c>
      <c r="F1506" s="7" t="s">
        <v>1696</v>
      </c>
    </row>
    <row r="1507">
      <c r="A1507" s="7" t="s">
        <v>2008</v>
      </c>
      <c r="B1507" s="7" t="s">
        <v>2009</v>
      </c>
      <c r="C1507" s="7" t="s">
        <v>2010</v>
      </c>
      <c r="D1507" s="7" t="s">
        <v>7980</v>
      </c>
      <c r="E1507" s="7" t="s">
        <v>1695</v>
      </c>
      <c r="F1507" s="7" t="s">
        <v>1696</v>
      </c>
    </row>
    <row r="1508">
      <c r="A1508" s="7" t="s">
        <v>5425</v>
      </c>
      <c r="B1508" s="7" t="s">
        <v>5426</v>
      </c>
      <c r="C1508" s="7" t="s">
        <v>5152</v>
      </c>
      <c r="D1508" s="7" t="s">
        <v>7981</v>
      </c>
      <c r="E1508" s="7" t="s">
        <v>1695</v>
      </c>
      <c r="F1508" s="7" t="s">
        <v>1696</v>
      </c>
    </row>
    <row r="1509">
      <c r="A1509" s="7" t="s">
        <v>2867</v>
      </c>
      <c r="B1509" s="7" t="s">
        <v>2868</v>
      </c>
      <c r="C1509" s="7" t="s">
        <v>744</v>
      </c>
      <c r="D1509" s="7" t="s">
        <v>7982</v>
      </c>
      <c r="E1509" s="7" t="s">
        <v>1695</v>
      </c>
      <c r="F1509" s="7" t="s">
        <v>1696</v>
      </c>
    </row>
    <row r="1510">
      <c r="A1510" s="7" t="s">
        <v>2527</v>
      </c>
      <c r="B1510" s="7" t="s">
        <v>2528</v>
      </c>
      <c r="C1510" s="7" t="s">
        <v>2529</v>
      </c>
      <c r="D1510" s="7" t="s">
        <v>7983</v>
      </c>
      <c r="E1510" s="7" t="s">
        <v>1695</v>
      </c>
      <c r="F1510" s="7" t="s">
        <v>1696</v>
      </c>
    </row>
    <row r="1511">
      <c r="A1511" s="7" t="s">
        <v>2726</v>
      </c>
      <c r="B1511" s="7" t="s">
        <v>2727</v>
      </c>
      <c r="C1511" s="7" t="s">
        <v>946</v>
      </c>
      <c r="D1511" s="7" t="s">
        <v>7984</v>
      </c>
      <c r="E1511" s="7" t="s">
        <v>1695</v>
      </c>
      <c r="F1511" s="7" t="s">
        <v>1696</v>
      </c>
    </row>
    <row r="1512">
      <c r="A1512" s="7" t="s">
        <v>5173</v>
      </c>
      <c r="B1512" s="7" t="s">
        <v>5174</v>
      </c>
      <c r="C1512" s="7" t="s">
        <v>5175</v>
      </c>
      <c r="D1512" s="7" t="s">
        <v>7985</v>
      </c>
      <c r="E1512" s="7" t="s">
        <v>1695</v>
      </c>
      <c r="F1512" s="7" t="s">
        <v>1696</v>
      </c>
    </row>
    <row r="1513">
      <c r="A1513" s="7" t="s">
        <v>6209</v>
      </c>
      <c r="B1513" s="7" t="s">
        <v>227</v>
      </c>
      <c r="C1513" s="7" t="s">
        <v>3429</v>
      </c>
      <c r="D1513" s="7" t="s">
        <v>7986</v>
      </c>
      <c r="E1513" s="7" t="s">
        <v>1695</v>
      </c>
      <c r="F1513" s="7" t="s">
        <v>1696</v>
      </c>
    </row>
    <row r="1514">
      <c r="A1514" s="7" t="s">
        <v>3888</v>
      </c>
      <c r="B1514" s="7" t="s">
        <v>3889</v>
      </c>
      <c r="C1514" s="7" t="s">
        <v>3890</v>
      </c>
      <c r="D1514" s="7" t="s">
        <v>7987</v>
      </c>
      <c r="E1514" s="7" t="s">
        <v>1695</v>
      </c>
      <c r="F1514" s="7" t="s">
        <v>1696</v>
      </c>
    </row>
    <row r="1515">
      <c r="A1515" s="7" t="s">
        <v>6312</v>
      </c>
      <c r="B1515" s="7" t="s">
        <v>6313</v>
      </c>
      <c r="C1515" s="7" t="s">
        <v>526</v>
      </c>
      <c r="D1515" s="7" t="s">
        <v>7988</v>
      </c>
      <c r="E1515" s="7" t="s">
        <v>1695</v>
      </c>
      <c r="F1515" s="7" t="s">
        <v>1696</v>
      </c>
    </row>
    <row r="1516">
      <c r="A1516" s="7" t="s">
        <v>2359</v>
      </c>
      <c r="B1516" s="7" t="s">
        <v>188</v>
      </c>
      <c r="C1516" s="7" t="s">
        <v>428</v>
      </c>
      <c r="D1516" s="7" t="s">
        <v>7989</v>
      </c>
      <c r="E1516" s="7" t="s">
        <v>1695</v>
      </c>
      <c r="F1516" s="7" t="s">
        <v>1696</v>
      </c>
    </row>
    <row r="1517">
      <c r="A1517" s="7" t="s">
        <v>3993</v>
      </c>
      <c r="B1517" s="7" t="s">
        <v>1438</v>
      </c>
      <c r="C1517" s="7" t="s">
        <v>3994</v>
      </c>
      <c r="D1517" s="7" t="s">
        <v>7990</v>
      </c>
      <c r="E1517" s="7" t="s">
        <v>1695</v>
      </c>
      <c r="F1517" s="7" t="s">
        <v>1696</v>
      </c>
    </row>
    <row r="1518">
      <c r="A1518" s="7" t="s">
        <v>4838</v>
      </c>
      <c r="B1518" s="7" t="s">
        <v>4839</v>
      </c>
      <c r="C1518" s="7" t="s">
        <v>4840</v>
      </c>
      <c r="D1518" s="7" t="s">
        <v>7991</v>
      </c>
      <c r="E1518" s="7" t="s">
        <v>1695</v>
      </c>
      <c r="F1518" s="7" t="s">
        <v>1696</v>
      </c>
    </row>
    <row r="1519">
      <c r="A1519" s="7" t="s">
        <v>3696</v>
      </c>
      <c r="B1519" s="7" t="s">
        <v>188</v>
      </c>
      <c r="C1519" s="7" t="s">
        <v>3697</v>
      </c>
      <c r="D1519" s="7" t="s">
        <v>7992</v>
      </c>
      <c r="E1519" s="7" t="s">
        <v>1695</v>
      </c>
      <c r="F1519" s="7" t="s">
        <v>1696</v>
      </c>
    </row>
    <row r="1520">
      <c r="A1520" s="7" t="s">
        <v>1847</v>
      </c>
      <c r="B1520" s="7" t="s">
        <v>1848</v>
      </c>
      <c r="C1520" s="7" t="s">
        <v>1849</v>
      </c>
      <c r="D1520" s="7" t="s">
        <v>7993</v>
      </c>
      <c r="E1520" s="7" t="s">
        <v>1695</v>
      </c>
      <c r="F1520" s="7" t="s">
        <v>1696</v>
      </c>
    </row>
    <row r="1521">
      <c r="A1521" s="7" t="s">
        <v>5643</v>
      </c>
      <c r="B1521" s="7" t="s">
        <v>479</v>
      </c>
      <c r="C1521" s="7" t="s">
        <v>5644</v>
      </c>
      <c r="D1521" s="7" t="s">
        <v>7994</v>
      </c>
      <c r="E1521" s="7" t="s">
        <v>1695</v>
      </c>
      <c r="F1521" s="7" t="s">
        <v>1696</v>
      </c>
    </row>
    <row r="1522">
      <c r="A1522" s="7" t="s">
        <v>4042</v>
      </c>
      <c r="B1522" s="7" t="s">
        <v>4043</v>
      </c>
      <c r="C1522" s="7" t="s">
        <v>4044</v>
      </c>
      <c r="D1522" s="7" t="s">
        <v>7995</v>
      </c>
      <c r="E1522" s="7" t="s">
        <v>1695</v>
      </c>
      <c r="F1522" s="7" t="s">
        <v>1696</v>
      </c>
    </row>
    <row r="1523">
      <c r="A1523" s="7" t="s">
        <v>5879</v>
      </c>
      <c r="B1523" s="7" t="s">
        <v>16</v>
      </c>
      <c r="C1523" s="7" t="s">
        <v>5880</v>
      </c>
      <c r="D1523" s="7" t="s">
        <v>7996</v>
      </c>
      <c r="E1523" s="7" t="s">
        <v>1695</v>
      </c>
      <c r="F1523" s="7" t="s">
        <v>1696</v>
      </c>
    </row>
    <row r="1524">
      <c r="A1524" s="7" t="s">
        <v>4469</v>
      </c>
      <c r="B1524" s="7" t="s">
        <v>218</v>
      </c>
      <c r="C1524" s="7" t="s">
        <v>4470</v>
      </c>
      <c r="D1524" s="7" t="s">
        <v>7997</v>
      </c>
      <c r="E1524" s="7" t="s">
        <v>1695</v>
      </c>
      <c r="F1524" s="7" t="s">
        <v>1696</v>
      </c>
    </row>
    <row r="1525">
      <c r="A1525" s="7" t="s">
        <v>4789</v>
      </c>
      <c r="B1525" s="7" t="s">
        <v>4790</v>
      </c>
      <c r="C1525" s="7" t="s">
        <v>703</v>
      </c>
      <c r="D1525" s="7" t="s">
        <v>7998</v>
      </c>
      <c r="E1525" s="7" t="s">
        <v>1695</v>
      </c>
      <c r="F1525" s="7" t="s">
        <v>1696</v>
      </c>
    </row>
    <row r="1526">
      <c r="A1526" s="7" t="s">
        <v>4492</v>
      </c>
      <c r="B1526" s="7" t="s">
        <v>563</v>
      </c>
      <c r="C1526" s="7" t="s">
        <v>109</v>
      </c>
      <c r="D1526" s="7" t="s">
        <v>7999</v>
      </c>
      <c r="E1526" s="7" t="s">
        <v>1695</v>
      </c>
      <c r="F1526" s="7" t="s">
        <v>1696</v>
      </c>
    </row>
    <row r="1527">
      <c r="A1527" s="7" t="s">
        <v>6129</v>
      </c>
      <c r="B1527" s="7" t="s">
        <v>936</v>
      </c>
      <c r="C1527" s="7" t="s">
        <v>2611</v>
      </c>
      <c r="D1527" s="7" t="s">
        <v>8000</v>
      </c>
      <c r="E1527" s="7" t="s">
        <v>1695</v>
      </c>
      <c r="F1527" s="7" t="s">
        <v>1696</v>
      </c>
    </row>
    <row r="1528">
      <c r="A1528" s="7" t="s">
        <v>3330</v>
      </c>
      <c r="B1528" s="7" t="s">
        <v>27</v>
      </c>
      <c r="C1528" s="7" t="s">
        <v>3331</v>
      </c>
      <c r="D1528" s="7" t="s">
        <v>8001</v>
      </c>
      <c r="E1528" s="7" t="s">
        <v>1695</v>
      </c>
      <c r="F1528" s="7" t="s">
        <v>1696</v>
      </c>
    </row>
    <row r="1529">
      <c r="A1529" s="7" t="s">
        <v>4933</v>
      </c>
      <c r="B1529" s="7" t="s">
        <v>676</v>
      </c>
      <c r="C1529" s="7" t="s">
        <v>4934</v>
      </c>
      <c r="D1529" s="7" t="s">
        <v>8002</v>
      </c>
      <c r="E1529" s="7" t="s">
        <v>1695</v>
      </c>
      <c r="F1529" s="7" t="s">
        <v>1696</v>
      </c>
    </row>
    <row r="1530">
      <c r="A1530" s="7" t="s">
        <v>4080</v>
      </c>
      <c r="B1530" s="7" t="s">
        <v>3799</v>
      </c>
      <c r="C1530" s="7" t="s">
        <v>1269</v>
      </c>
      <c r="D1530" s="7" t="s">
        <v>8003</v>
      </c>
      <c r="E1530" s="7" t="s">
        <v>1695</v>
      </c>
      <c r="F1530" s="7" t="s">
        <v>1696</v>
      </c>
    </row>
    <row r="1531">
      <c r="A1531" s="7" t="s">
        <v>6054</v>
      </c>
      <c r="B1531" s="7" t="s">
        <v>6055</v>
      </c>
      <c r="C1531" s="7" t="s">
        <v>554</v>
      </c>
      <c r="D1531" s="7" t="s">
        <v>8004</v>
      </c>
      <c r="E1531" s="7" t="s">
        <v>1695</v>
      </c>
      <c r="F1531" s="7" t="s">
        <v>1696</v>
      </c>
    </row>
    <row r="1532">
      <c r="A1532" s="7" t="s">
        <v>2874</v>
      </c>
      <c r="B1532" s="7" t="s">
        <v>1114</v>
      </c>
      <c r="C1532" s="7" t="s">
        <v>2875</v>
      </c>
      <c r="D1532" s="7" t="s">
        <v>8005</v>
      </c>
      <c r="E1532" s="7" t="s">
        <v>1695</v>
      </c>
      <c r="F1532" s="7" t="s">
        <v>1696</v>
      </c>
    </row>
    <row r="1533">
      <c r="A1533" s="7" t="s">
        <v>6261</v>
      </c>
      <c r="B1533" s="7" t="s">
        <v>297</v>
      </c>
      <c r="C1533" s="7" t="s">
        <v>2355</v>
      </c>
      <c r="D1533" s="7" t="s">
        <v>8006</v>
      </c>
      <c r="E1533" s="7" t="s">
        <v>1695</v>
      </c>
      <c r="F1533" s="7" t="s">
        <v>1696</v>
      </c>
    </row>
    <row r="1534">
      <c r="A1534" s="7" t="s">
        <v>2132</v>
      </c>
      <c r="B1534" s="7" t="s">
        <v>2133</v>
      </c>
      <c r="C1534" s="7" t="s">
        <v>2134</v>
      </c>
      <c r="D1534" s="7" t="s">
        <v>8007</v>
      </c>
      <c r="E1534" s="7" t="s">
        <v>1695</v>
      </c>
      <c r="F1534" s="7" t="s">
        <v>1696</v>
      </c>
    </row>
    <row r="1535">
      <c r="A1535" s="7" t="s">
        <v>4637</v>
      </c>
      <c r="B1535" s="7" t="s">
        <v>4638</v>
      </c>
      <c r="C1535" s="7" t="s">
        <v>4639</v>
      </c>
      <c r="D1535" s="7" t="s">
        <v>8008</v>
      </c>
      <c r="E1535" s="7" t="s">
        <v>1695</v>
      </c>
      <c r="F1535" s="7" t="s">
        <v>1696</v>
      </c>
    </row>
    <row r="1536">
      <c r="A1536" s="7" t="s">
        <v>6408</v>
      </c>
      <c r="B1536" s="7" t="s">
        <v>6409</v>
      </c>
      <c r="C1536" s="7" t="s">
        <v>2934</v>
      </c>
      <c r="D1536" s="7" t="s">
        <v>8009</v>
      </c>
      <c r="E1536" s="7" t="s">
        <v>1695</v>
      </c>
      <c r="F1536" s="7" t="s">
        <v>6318</v>
      </c>
    </row>
    <row r="1537">
      <c r="A1537" s="7" t="s">
        <v>2520</v>
      </c>
      <c r="B1537" s="7" t="s">
        <v>534</v>
      </c>
      <c r="C1537" s="7" t="s">
        <v>446</v>
      </c>
      <c r="D1537" s="7" t="s">
        <v>8010</v>
      </c>
      <c r="E1537" s="7" t="s">
        <v>1695</v>
      </c>
      <c r="F1537" s="7" t="s">
        <v>1696</v>
      </c>
    </row>
    <row r="1538">
      <c r="A1538" s="7" t="s">
        <v>2533</v>
      </c>
      <c r="B1538" s="7" t="s">
        <v>534</v>
      </c>
      <c r="C1538" s="7" t="s">
        <v>446</v>
      </c>
      <c r="D1538" s="7" t="s">
        <v>8010</v>
      </c>
      <c r="E1538" s="7" t="s">
        <v>1695</v>
      </c>
      <c r="F1538" s="7" t="s">
        <v>1696</v>
      </c>
    </row>
    <row r="1539">
      <c r="A1539" s="7" t="s">
        <v>5942</v>
      </c>
      <c r="B1539" s="7" t="s">
        <v>3947</v>
      </c>
      <c r="C1539" s="7" t="s">
        <v>4480</v>
      </c>
      <c r="D1539" s="7" t="s">
        <v>8011</v>
      </c>
      <c r="E1539" s="7" t="s">
        <v>1695</v>
      </c>
      <c r="F1539" s="7" t="s">
        <v>1696</v>
      </c>
    </row>
    <row r="1540">
      <c r="A1540" s="7" t="s">
        <v>5960</v>
      </c>
      <c r="B1540" s="7" t="s">
        <v>468</v>
      </c>
      <c r="C1540" s="7" t="s">
        <v>911</v>
      </c>
      <c r="D1540" s="7" t="s">
        <v>8012</v>
      </c>
      <c r="E1540" s="7" t="s">
        <v>1695</v>
      </c>
      <c r="F1540" s="7" t="s">
        <v>1696</v>
      </c>
    </row>
    <row r="1541">
      <c r="A1541" s="7" t="s">
        <v>2221</v>
      </c>
      <c r="B1541" s="7" t="s">
        <v>2222</v>
      </c>
      <c r="C1541" s="7" t="s">
        <v>2223</v>
      </c>
      <c r="D1541" s="7" t="s">
        <v>8013</v>
      </c>
      <c r="E1541" s="7" t="s">
        <v>1695</v>
      </c>
      <c r="F1541" s="7" t="s">
        <v>1696</v>
      </c>
    </row>
    <row r="1542">
      <c r="A1542" s="7" t="s">
        <v>5255</v>
      </c>
      <c r="B1542" s="7" t="s">
        <v>3059</v>
      </c>
      <c r="C1542" s="7" t="s">
        <v>5256</v>
      </c>
      <c r="D1542" s="7" t="s">
        <v>8014</v>
      </c>
      <c r="E1542" s="7" t="s">
        <v>1695</v>
      </c>
      <c r="F1542" s="7" t="s">
        <v>1696</v>
      </c>
    </row>
    <row r="1543">
      <c r="A1543" s="7" t="s">
        <v>2752</v>
      </c>
      <c r="B1543" s="7" t="s">
        <v>2753</v>
      </c>
      <c r="C1543" s="7" t="s">
        <v>2754</v>
      </c>
      <c r="D1543" s="7" t="s">
        <v>8015</v>
      </c>
      <c r="E1543" s="7" t="s">
        <v>1695</v>
      </c>
      <c r="F1543" s="7" t="s">
        <v>1696</v>
      </c>
    </row>
    <row r="1544">
      <c r="A1544" s="7" t="s">
        <v>4770</v>
      </c>
      <c r="B1544" s="7" t="s">
        <v>131</v>
      </c>
      <c r="C1544" s="7" t="s">
        <v>4771</v>
      </c>
      <c r="D1544" s="7" t="s">
        <v>8016</v>
      </c>
      <c r="E1544" s="7" t="s">
        <v>1695</v>
      </c>
      <c r="F1544" s="7" t="s">
        <v>1696</v>
      </c>
    </row>
    <row r="1545">
      <c r="A1545" s="7" t="s">
        <v>5679</v>
      </c>
      <c r="B1545" s="7" t="s">
        <v>5577</v>
      </c>
      <c r="C1545" s="7" t="s">
        <v>3119</v>
      </c>
      <c r="D1545" s="7" t="s">
        <v>8017</v>
      </c>
      <c r="E1545" s="7" t="s">
        <v>1695</v>
      </c>
      <c r="F1545" s="7" t="s">
        <v>1696</v>
      </c>
    </row>
    <row r="1546">
      <c r="A1546" s="7" t="s">
        <v>5535</v>
      </c>
      <c r="B1546" s="7" t="s">
        <v>259</v>
      </c>
      <c r="C1546" s="7" t="s">
        <v>178</v>
      </c>
      <c r="D1546" s="7" t="s">
        <v>8018</v>
      </c>
      <c r="E1546" s="7" t="s">
        <v>1695</v>
      </c>
      <c r="F1546" s="7" t="s">
        <v>1696</v>
      </c>
    </row>
    <row r="1547">
      <c r="A1547" s="7" t="s">
        <v>5633</v>
      </c>
      <c r="B1547" s="7" t="s">
        <v>3835</v>
      </c>
      <c r="C1547" s="7" t="s">
        <v>4215</v>
      </c>
      <c r="D1547" s="7" t="s">
        <v>8019</v>
      </c>
      <c r="E1547" s="7" t="s">
        <v>1695</v>
      </c>
      <c r="F1547" s="7" t="s">
        <v>1696</v>
      </c>
    </row>
    <row r="1548">
      <c r="A1548" s="7" t="s">
        <v>3195</v>
      </c>
      <c r="B1548" s="7" t="s">
        <v>3196</v>
      </c>
      <c r="C1548" s="7" t="s">
        <v>877</v>
      </c>
      <c r="D1548" s="7" t="s">
        <v>8020</v>
      </c>
      <c r="E1548" s="7" t="s">
        <v>1695</v>
      </c>
      <c r="F1548" s="7" t="s">
        <v>1696</v>
      </c>
    </row>
    <row r="1549">
      <c r="A1549" s="7" t="s">
        <v>4779</v>
      </c>
      <c r="B1549" s="7" t="s">
        <v>1101</v>
      </c>
      <c r="C1549" s="7" t="s">
        <v>4780</v>
      </c>
      <c r="D1549" s="7" t="s">
        <v>8021</v>
      </c>
      <c r="E1549" s="7" t="s">
        <v>1695</v>
      </c>
      <c r="F1549" s="7" t="s">
        <v>1696</v>
      </c>
    </row>
    <row r="1550">
      <c r="A1550" s="7" t="s">
        <v>4757</v>
      </c>
      <c r="B1550" s="7" t="s">
        <v>4758</v>
      </c>
      <c r="C1550" s="7" t="s">
        <v>3413</v>
      </c>
      <c r="D1550" s="7" t="s">
        <v>8022</v>
      </c>
      <c r="E1550" s="7" t="s">
        <v>1695</v>
      </c>
      <c r="F1550" s="7" t="s">
        <v>1696</v>
      </c>
    </row>
    <row r="1551">
      <c r="A1551" s="7" t="s">
        <v>5004</v>
      </c>
      <c r="B1551" s="7" t="s">
        <v>5005</v>
      </c>
      <c r="C1551" s="7" t="s">
        <v>5006</v>
      </c>
      <c r="D1551" s="7" t="s">
        <v>8023</v>
      </c>
      <c r="E1551" s="7" t="s">
        <v>1695</v>
      </c>
      <c r="F1551" s="7" t="s">
        <v>1696</v>
      </c>
    </row>
    <row r="1552">
      <c r="A1552" s="7" t="s">
        <v>6264</v>
      </c>
      <c r="B1552" s="7" t="s">
        <v>3433</v>
      </c>
      <c r="C1552" s="7" t="s">
        <v>6265</v>
      </c>
      <c r="D1552" s="7" t="s">
        <v>8024</v>
      </c>
      <c r="E1552" s="7" t="s">
        <v>1695</v>
      </c>
      <c r="F1552" s="7" t="s">
        <v>1696</v>
      </c>
    </row>
    <row r="1553">
      <c r="A1553" s="7" t="s">
        <v>3798</v>
      </c>
      <c r="B1553" s="7" t="s">
        <v>846</v>
      </c>
      <c r="C1553" s="7" t="s">
        <v>3799</v>
      </c>
      <c r="D1553" s="7" t="s">
        <v>8025</v>
      </c>
      <c r="E1553" s="7" t="s">
        <v>1695</v>
      </c>
      <c r="F1553" s="7" t="s">
        <v>1696</v>
      </c>
    </row>
    <row r="1554">
      <c r="A1554" s="7" t="s">
        <v>5564</v>
      </c>
      <c r="B1554" s="7" t="s">
        <v>626</v>
      </c>
      <c r="C1554" s="7" t="s">
        <v>58</v>
      </c>
      <c r="D1554" s="7" t="s">
        <v>8026</v>
      </c>
      <c r="E1554" s="7" t="s">
        <v>1695</v>
      </c>
      <c r="F1554" s="7" t="s">
        <v>1696</v>
      </c>
    </row>
    <row r="1555">
      <c r="A1555" s="7" t="s">
        <v>4925</v>
      </c>
      <c r="B1555" s="7" t="s">
        <v>4926</v>
      </c>
      <c r="C1555" s="7" t="s">
        <v>446</v>
      </c>
      <c r="D1555" s="7" t="s">
        <v>8027</v>
      </c>
      <c r="E1555" s="7" t="s">
        <v>1695</v>
      </c>
      <c r="F1555" s="7" t="s">
        <v>1696</v>
      </c>
    </row>
    <row r="1556">
      <c r="A1556" s="7" t="s">
        <v>4362</v>
      </c>
      <c r="B1556" s="7" t="s">
        <v>760</v>
      </c>
      <c r="C1556" s="7" t="s">
        <v>4215</v>
      </c>
      <c r="D1556" s="7" t="s">
        <v>8028</v>
      </c>
      <c r="E1556" s="7" t="s">
        <v>1695</v>
      </c>
      <c r="F1556" s="7" t="s">
        <v>1696</v>
      </c>
    </row>
    <row r="1557">
      <c r="A1557" s="7" t="s">
        <v>5986</v>
      </c>
      <c r="B1557" s="7" t="s">
        <v>729</v>
      </c>
      <c r="C1557" s="7" t="s">
        <v>566</v>
      </c>
      <c r="D1557" s="7" t="s">
        <v>8029</v>
      </c>
      <c r="E1557" s="7" t="s">
        <v>1695</v>
      </c>
      <c r="F1557" s="7" t="s">
        <v>1696</v>
      </c>
    </row>
    <row r="1558">
      <c r="A1558" s="7" t="s">
        <v>4389</v>
      </c>
      <c r="B1558" s="7" t="s">
        <v>273</v>
      </c>
      <c r="C1558" s="7" t="s">
        <v>4390</v>
      </c>
      <c r="D1558" s="7" t="s">
        <v>8030</v>
      </c>
      <c r="E1558" s="7" t="s">
        <v>1695</v>
      </c>
      <c r="F1558" s="7" t="s">
        <v>1696</v>
      </c>
    </row>
    <row r="1559">
      <c r="A1559" s="7" t="s">
        <v>5588</v>
      </c>
      <c r="B1559" s="7" t="s">
        <v>1485</v>
      </c>
      <c r="C1559" s="7" t="s">
        <v>5589</v>
      </c>
      <c r="D1559" s="7" t="s">
        <v>8031</v>
      </c>
      <c r="E1559" s="7" t="s">
        <v>1695</v>
      </c>
      <c r="F1559" s="7" t="s">
        <v>1696</v>
      </c>
    </row>
    <row r="1560">
      <c r="A1560" s="7" t="s">
        <v>2876</v>
      </c>
      <c r="B1560" s="7" t="s">
        <v>790</v>
      </c>
      <c r="C1560" s="7" t="s">
        <v>1621</v>
      </c>
      <c r="D1560" s="7" t="s">
        <v>8032</v>
      </c>
      <c r="E1560" s="7" t="s">
        <v>1695</v>
      </c>
      <c r="F1560" s="7" t="s">
        <v>1696</v>
      </c>
    </row>
    <row r="1561">
      <c r="A1561" s="7" t="s">
        <v>4943</v>
      </c>
      <c r="B1561" s="7" t="s">
        <v>4944</v>
      </c>
      <c r="C1561" s="7" t="s">
        <v>918</v>
      </c>
      <c r="D1561" s="7" t="s">
        <v>8033</v>
      </c>
      <c r="E1561" s="7" t="s">
        <v>1695</v>
      </c>
      <c r="F1561" s="7" t="s">
        <v>1696</v>
      </c>
    </row>
    <row r="1562">
      <c r="A1562" s="7" t="s">
        <v>3511</v>
      </c>
      <c r="B1562" s="7" t="s">
        <v>3512</v>
      </c>
      <c r="C1562" s="7" t="s">
        <v>3513</v>
      </c>
      <c r="D1562" s="7" t="s">
        <v>8034</v>
      </c>
      <c r="E1562" s="7" t="s">
        <v>1695</v>
      </c>
      <c r="F1562" s="7" t="s">
        <v>1696</v>
      </c>
    </row>
    <row r="1563">
      <c r="A1563" s="7" t="s">
        <v>4712</v>
      </c>
      <c r="B1563" s="7" t="s">
        <v>4713</v>
      </c>
      <c r="C1563" s="7" t="s">
        <v>1177</v>
      </c>
      <c r="D1563" s="7" t="s">
        <v>8035</v>
      </c>
      <c r="E1563" s="7" t="s">
        <v>1695</v>
      </c>
      <c r="F1563" s="7" t="s">
        <v>1696</v>
      </c>
    </row>
    <row r="1564">
      <c r="A1564" s="7" t="s">
        <v>5041</v>
      </c>
      <c r="B1564" s="7" t="s">
        <v>518</v>
      </c>
      <c r="C1564" s="7" t="s">
        <v>5042</v>
      </c>
      <c r="D1564" s="7" t="s">
        <v>8036</v>
      </c>
      <c r="E1564" s="7" t="s">
        <v>1695</v>
      </c>
      <c r="F1564" s="7" t="s">
        <v>1696</v>
      </c>
    </row>
    <row r="1565">
      <c r="A1565" s="7" t="s">
        <v>2404</v>
      </c>
      <c r="B1565" s="7" t="s">
        <v>409</v>
      </c>
      <c r="C1565" s="7" t="s">
        <v>1596</v>
      </c>
      <c r="D1565" s="7" t="s">
        <v>8037</v>
      </c>
      <c r="E1565" s="7" t="s">
        <v>1695</v>
      </c>
      <c r="F1565" s="7" t="s">
        <v>1696</v>
      </c>
    </row>
    <row r="1566">
      <c r="A1566" s="7" t="s">
        <v>4391</v>
      </c>
      <c r="B1566" s="7" t="s">
        <v>4392</v>
      </c>
      <c r="C1566" s="7" t="s">
        <v>3919</v>
      </c>
      <c r="D1566" s="7" t="s">
        <v>8038</v>
      </c>
      <c r="E1566" s="7" t="s">
        <v>1695</v>
      </c>
      <c r="F1566" s="7" t="s">
        <v>1696</v>
      </c>
    </row>
    <row r="1567">
      <c r="A1567" s="7" t="s">
        <v>3836</v>
      </c>
      <c r="B1567" s="7" t="s">
        <v>66</v>
      </c>
      <c r="C1567" s="7" t="s">
        <v>3837</v>
      </c>
      <c r="D1567" s="7" t="s">
        <v>8039</v>
      </c>
      <c r="E1567" s="7" t="s">
        <v>1695</v>
      </c>
      <c r="F1567" s="7" t="s">
        <v>1696</v>
      </c>
    </row>
    <row r="1568">
      <c r="A1568" s="7" t="s">
        <v>6386</v>
      </c>
      <c r="B1568" s="7" t="s">
        <v>1363</v>
      </c>
      <c r="C1568" s="7" t="s">
        <v>32</v>
      </c>
      <c r="D1568" s="7" t="s">
        <v>8040</v>
      </c>
      <c r="E1568" s="7" t="s">
        <v>1695</v>
      </c>
      <c r="F1568" s="7" t="s">
        <v>6318</v>
      </c>
    </row>
    <row r="1569">
      <c r="A1569" s="7" t="s">
        <v>4149</v>
      </c>
      <c r="B1569" s="7" t="s">
        <v>916</v>
      </c>
      <c r="C1569" s="7" t="s">
        <v>4150</v>
      </c>
      <c r="D1569" s="7" t="s">
        <v>8041</v>
      </c>
      <c r="E1569" s="7" t="s">
        <v>1695</v>
      </c>
      <c r="F1569" s="7" t="s">
        <v>1696</v>
      </c>
    </row>
    <row r="1570">
      <c r="A1570" s="7" t="s">
        <v>5442</v>
      </c>
      <c r="B1570" s="7" t="s">
        <v>5443</v>
      </c>
      <c r="C1570" s="7" t="s">
        <v>70</v>
      </c>
      <c r="D1570" s="7" t="s">
        <v>8042</v>
      </c>
      <c r="E1570" s="7" t="s">
        <v>1695</v>
      </c>
      <c r="F1570" s="7" t="s">
        <v>1696</v>
      </c>
    </row>
    <row r="1571">
      <c r="A1571" s="7" t="s">
        <v>4663</v>
      </c>
      <c r="B1571" s="7" t="s">
        <v>4664</v>
      </c>
      <c r="C1571" s="7" t="s">
        <v>4665</v>
      </c>
      <c r="D1571" s="7" t="s">
        <v>8043</v>
      </c>
      <c r="E1571" s="7" t="s">
        <v>1695</v>
      </c>
      <c r="F1571" s="7" t="s">
        <v>1696</v>
      </c>
    </row>
    <row r="1572">
      <c r="A1572" s="7" t="s">
        <v>4130</v>
      </c>
      <c r="B1572" s="7" t="s">
        <v>4131</v>
      </c>
      <c r="C1572" s="7" t="s">
        <v>2833</v>
      </c>
      <c r="D1572" s="7" t="s">
        <v>8044</v>
      </c>
      <c r="E1572" s="7" t="s">
        <v>1695</v>
      </c>
      <c r="F1572" s="7" t="s">
        <v>1696</v>
      </c>
    </row>
    <row r="1573">
      <c r="A1573" s="7" t="s">
        <v>1973</v>
      </c>
      <c r="B1573" s="7" t="s">
        <v>1974</v>
      </c>
      <c r="C1573" s="7" t="s">
        <v>1975</v>
      </c>
      <c r="D1573" s="7" t="s">
        <v>8045</v>
      </c>
      <c r="E1573" s="7" t="s">
        <v>1695</v>
      </c>
      <c r="F1573" s="7" t="s">
        <v>1696</v>
      </c>
    </row>
    <row r="1574">
      <c r="A1574" s="7" t="s">
        <v>5583</v>
      </c>
      <c r="B1574" s="7" t="s">
        <v>663</v>
      </c>
      <c r="C1574" s="7" t="s">
        <v>1157</v>
      </c>
      <c r="D1574" s="7" t="s">
        <v>8046</v>
      </c>
      <c r="E1574" s="7" t="s">
        <v>1695</v>
      </c>
      <c r="F1574" s="7" t="s">
        <v>1696</v>
      </c>
    </row>
    <row r="1575">
      <c r="A1575" s="7" t="s">
        <v>6147</v>
      </c>
      <c r="B1575" s="7" t="s">
        <v>6148</v>
      </c>
      <c r="C1575" s="7" t="s">
        <v>6149</v>
      </c>
      <c r="D1575" s="7" t="s">
        <v>8047</v>
      </c>
      <c r="E1575" s="7" t="s">
        <v>1695</v>
      </c>
      <c r="F1575" s="7" t="s">
        <v>1696</v>
      </c>
    </row>
    <row r="1576">
      <c r="A1576" s="7" t="s">
        <v>2196</v>
      </c>
      <c r="B1576" s="7" t="s">
        <v>27</v>
      </c>
      <c r="C1576" s="7" t="s">
        <v>2197</v>
      </c>
      <c r="D1576" s="7" t="s">
        <v>8048</v>
      </c>
      <c r="E1576" s="7" t="s">
        <v>1695</v>
      </c>
      <c r="F1576" s="7" t="s">
        <v>1696</v>
      </c>
    </row>
    <row r="1577">
      <c r="A1577" s="7" t="s">
        <v>4220</v>
      </c>
      <c r="B1577" s="7" t="s">
        <v>4221</v>
      </c>
      <c r="C1577" s="7" t="s">
        <v>143</v>
      </c>
      <c r="D1577" s="7" t="s">
        <v>8049</v>
      </c>
      <c r="E1577" s="7" t="s">
        <v>1695</v>
      </c>
      <c r="F1577" s="7" t="s">
        <v>1696</v>
      </c>
    </row>
    <row r="1578">
      <c r="A1578" s="7" t="s">
        <v>4466</v>
      </c>
      <c r="B1578" s="7" t="s">
        <v>4467</v>
      </c>
      <c r="C1578" s="7" t="s">
        <v>4468</v>
      </c>
      <c r="D1578" s="7" t="s">
        <v>8050</v>
      </c>
      <c r="E1578" s="7" t="s">
        <v>1695</v>
      </c>
      <c r="F1578" s="7" t="s">
        <v>1696</v>
      </c>
    </row>
    <row r="1579">
      <c r="A1579" s="7" t="s">
        <v>4996</v>
      </c>
      <c r="B1579" s="7" t="s">
        <v>327</v>
      </c>
      <c r="C1579" s="7" t="s">
        <v>2257</v>
      </c>
      <c r="D1579" s="7" t="s">
        <v>8051</v>
      </c>
      <c r="E1579" s="7" t="s">
        <v>1695</v>
      </c>
      <c r="F1579" s="7" t="s">
        <v>1696</v>
      </c>
    </row>
    <row r="1580">
      <c r="A1580" s="7" t="s">
        <v>2669</v>
      </c>
      <c r="B1580" s="7" t="s">
        <v>2670</v>
      </c>
      <c r="C1580" s="7" t="s">
        <v>70</v>
      </c>
      <c r="D1580" s="7" t="s">
        <v>8052</v>
      </c>
      <c r="E1580" s="7" t="s">
        <v>1695</v>
      </c>
      <c r="F1580" s="7" t="s">
        <v>1696</v>
      </c>
    </row>
    <row r="1581">
      <c r="A1581" s="7" t="s">
        <v>1735</v>
      </c>
      <c r="B1581" s="7" t="s">
        <v>1736</v>
      </c>
      <c r="C1581" s="7" t="s">
        <v>1737</v>
      </c>
      <c r="D1581" s="7" t="s">
        <v>8053</v>
      </c>
      <c r="E1581" s="7" t="s">
        <v>1695</v>
      </c>
      <c r="F1581" s="7" t="s">
        <v>1696</v>
      </c>
    </row>
    <row r="1582">
      <c r="A1582" s="7" t="s">
        <v>4478</v>
      </c>
      <c r="B1582" s="7" t="s">
        <v>4479</v>
      </c>
      <c r="C1582" s="7" t="s">
        <v>4480</v>
      </c>
      <c r="D1582" s="7" t="s">
        <v>8054</v>
      </c>
      <c r="E1582" s="7" t="s">
        <v>1695</v>
      </c>
      <c r="F1582" s="7" t="s">
        <v>1696</v>
      </c>
    </row>
    <row r="1583">
      <c r="A1583" s="7" t="s">
        <v>3720</v>
      </c>
      <c r="B1583" s="7" t="s">
        <v>2077</v>
      </c>
      <c r="C1583" s="7" t="s">
        <v>170</v>
      </c>
      <c r="D1583" s="7" t="s">
        <v>8055</v>
      </c>
      <c r="E1583" s="7" t="s">
        <v>1695</v>
      </c>
      <c r="F1583" s="7" t="s">
        <v>1696</v>
      </c>
    </row>
    <row r="1584">
      <c r="A1584" s="7" t="s">
        <v>4284</v>
      </c>
      <c r="B1584" s="7" t="s">
        <v>4285</v>
      </c>
      <c r="C1584" s="7" t="s">
        <v>196</v>
      </c>
      <c r="D1584" s="7" t="s">
        <v>8056</v>
      </c>
      <c r="E1584" s="7" t="s">
        <v>1695</v>
      </c>
      <c r="F1584" s="7" t="s">
        <v>1696</v>
      </c>
    </row>
    <row r="1585">
      <c r="A1585" s="7" t="s">
        <v>6013</v>
      </c>
      <c r="B1585" s="7" t="s">
        <v>3245</v>
      </c>
      <c r="C1585" s="7" t="s">
        <v>4601</v>
      </c>
      <c r="D1585" s="7" t="s">
        <v>8057</v>
      </c>
      <c r="E1585" s="7" t="s">
        <v>1695</v>
      </c>
      <c r="F1585" s="7" t="s">
        <v>1696</v>
      </c>
    </row>
    <row r="1586">
      <c r="A1586" s="7" t="s">
        <v>6354</v>
      </c>
      <c r="B1586" s="7" t="s">
        <v>3732</v>
      </c>
      <c r="C1586" s="7" t="s">
        <v>468</v>
      </c>
      <c r="D1586" s="7" t="s">
        <v>8058</v>
      </c>
      <c r="E1586" s="7" t="s">
        <v>1695</v>
      </c>
      <c r="F1586" s="7" t="s">
        <v>6318</v>
      </c>
    </row>
    <row r="1587">
      <c r="A1587" s="7" t="s">
        <v>4026</v>
      </c>
      <c r="B1587" s="7" t="s">
        <v>787</v>
      </c>
      <c r="C1587" s="7" t="s">
        <v>4027</v>
      </c>
      <c r="D1587" s="7" t="s">
        <v>8059</v>
      </c>
      <c r="E1587" s="7" t="s">
        <v>1695</v>
      </c>
      <c r="F1587" s="7" t="s">
        <v>1696</v>
      </c>
    </row>
    <row r="1588">
      <c r="A1588" s="7" t="s">
        <v>3820</v>
      </c>
      <c r="B1588" s="7" t="s">
        <v>1142</v>
      </c>
      <c r="C1588" s="7" t="s">
        <v>3428</v>
      </c>
      <c r="D1588" s="7" t="s">
        <v>8060</v>
      </c>
      <c r="E1588" s="7" t="s">
        <v>1695</v>
      </c>
      <c r="F1588" s="7" t="s">
        <v>1696</v>
      </c>
    </row>
    <row r="1589">
      <c r="A1589" s="7" t="s">
        <v>6133</v>
      </c>
      <c r="B1589" s="7" t="s">
        <v>6134</v>
      </c>
      <c r="C1589" s="7" t="s">
        <v>280</v>
      </c>
      <c r="D1589" s="7" t="s">
        <v>8061</v>
      </c>
      <c r="E1589" s="7" t="s">
        <v>1695</v>
      </c>
      <c r="F1589" s="7" t="s">
        <v>1696</v>
      </c>
    </row>
    <row r="1590">
      <c r="A1590" s="7" t="s">
        <v>6260</v>
      </c>
      <c r="B1590" s="7" t="s">
        <v>6229</v>
      </c>
      <c r="C1590" s="7" t="s">
        <v>3875</v>
      </c>
      <c r="D1590" s="7" t="s">
        <v>8062</v>
      </c>
      <c r="E1590" s="7" t="s">
        <v>1695</v>
      </c>
      <c r="F1590" s="7" t="s">
        <v>1696</v>
      </c>
    </row>
    <row r="1591">
      <c r="A1591" s="7" t="s">
        <v>3517</v>
      </c>
      <c r="B1591" s="7" t="s">
        <v>1232</v>
      </c>
      <c r="C1591" s="7" t="s">
        <v>518</v>
      </c>
      <c r="D1591" s="7" t="s">
        <v>8063</v>
      </c>
      <c r="E1591" s="7" t="s">
        <v>1695</v>
      </c>
      <c r="F1591" s="7" t="s">
        <v>1696</v>
      </c>
    </row>
    <row r="1592">
      <c r="A1592" s="7" t="s">
        <v>3252</v>
      </c>
      <c r="B1592" s="7" t="s">
        <v>3253</v>
      </c>
      <c r="C1592" s="7" t="s">
        <v>3254</v>
      </c>
      <c r="D1592" s="7" t="s">
        <v>8064</v>
      </c>
      <c r="E1592" s="7" t="s">
        <v>1695</v>
      </c>
      <c r="F1592" s="7" t="s">
        <v>1696</v>
      </c>
    </row>
    <row r="1593">
      <c r="A1593" s="7" t="s">
        <v>2147</v>
      </c>
      <c r="B1593" s="7" t="s">
        <v>64</v>
      </c>
      <c r="C1593" s="7" t="s">
        <v>466</v>
      </c>
      <c r="D1593" s="7" t="s">
        <v>8065</v>
      </c>
      <c r="E1593" s="7" t="s">
        <v>1695</v>
      </c>
      <c r="F1593" s="7" t="s">
        <v>1696</v>
      </c>
    </row>
    <row r="1594">
      <c r="A1594" s="7" t="s">
        <v>4694</v>
      </c>
      <c r="B1594" s="7" t="s">
        <v>2539</v>
      </c>
      <c r="C1594" s="7" t="s">
        <v>2611</v>
      </c>
      <c r="D1594" s="7" t="s">
        <v>8066</v>
      </c>
      <c r="E1594" s="7" t="s">
        <v>1695</v>
      </c>
      <c r="F1594" s="7" t="s">
        <v>1696</v>
      </c>
    </row>
    <row r="1595">
      <c r="A1595" s="7" t="s">
        <v>4088</v>
      </c>
      <c r="B1595" s="7" t="s">
        <v>2724</v>
      </c>
      <c r="C1595" s="7" t="s">
        <v>4089</v>
      </c>
      <c r="D1595" s="7" t="s">
        <v>8067</v>
      </c>
      <c r="E1595" s="7" t="s">
        <v>1695</v>
      </c>
      <c r="F1595" s="7" t="s">
        <v>1696</v>
      </c>
    </row>
    <row r="1596">
      <c r="A1596" s="7" t="s">
        <v>5503</v>
      </c>
      <c r="B1596" s="7" t="s">
        <v>5504</v>
      </c>
      <c r="C1596" s="7" t="s">
        <v>479</v>
      </c>
      <c r="D1596" s="7" t="s">
        <v>8068</v>
      </c>
      <c r="E1596" s="7" t="s">
        <v>1695</v>
      </c>
      <c r="F1596" s="7" t="s">
        <v>1696</v>
      </c>
    </row>
    <row r="1597">
      <c r="A1597" s="7" t="s">
        <v>2696</v>
      </c>
      <c r="B1597" s="7" t="s">
        <v>1801</v>
      </c>
      <c r="C1597" s="7" t="s">
        <v>984</v>
      </c>
      <c r="D1597" s="7" t="s">
        <v>8069</v>
      </c>
      <c r="E1597" s="7" t="s">
        <v>1695</v>
      </c>
      <c r="F1597" s="7" t="s">
        <v>1696</v>
      </c>
    </row>
    <row r="1598">
      <c r="A1598" s="7" t="s">
        <v>4381</v>
      </c>
      <c r="B1598" s="7" t="s">
        <v>1736</v>
      </c>
      <c r="C1598" s="7" t="s">
        <v>342</v>
      </c>
      <c r="D1598" s="7" t="s">
        <v>8070</v>
      </c>
      <c r="E1598" s="7" t="s">
        <v>1695</v>
      </c>
      <c r="F1598" s="7" t="s">
        <v>1696</v>
      </c>
    </row>
    <row r="1599">
      <c r="A1599" s="7" t="s">
        <v>5325</v>
      </c>
      <c r="B1599" s="7" t="s">
        <v>5326</v>
      </c>
      <c r="C1599" s="7" t="s">
        <v>5327</v>
      </c>
      <c r="D1599" s="7" t="s">
        <v>8071</v>
      </c>
      <c r="E1599" s="7" t="s">
        <v>1695</v>
      </c>
      <c r="F1599" s="7" t="s">
        <v>1696</v>
      </c>
    </row>
    <row r="1600">
      <c r="A1600" s="7" t="s">
        <v>3437</v>
      </c>
      <c r="B1600" s="7" t="s">
        <v>3438</v>
      </c>
      <c r="C1600" s="7" t="s">
        <v>3439</v>
      </c>
      <c r="D1600" s="7" t="s">
        <v>8072</v>
      </c>
      <c r="E1600" s="7" t="s">
        <v>1695</v>
      </c>
      <c r="F1600" s="7" t="s">
        <v>1696</v>
      </c>
    </row>
    <row r="1601">
      <c r="A1601" s="7" t="s">
        <v>6399</v>
      </c>
      <c r="B1601" s="7" t="s">
        <v>6400</v>
      </c>
      <c r="C1601" s="7" t="s">
        <v>744</v>
      </c>
      <c r="D1601" s="7" t="s">
        <v>8073</v>
      </c>
      <c r="E1601" s="7" t="s">
        <v>1695</v>
      </c>
      <c r="F1601" s="7" t="s">
        <v>6318</v>
      </c>
    </row>
    <row r="1602">
      <c r="A1602" s="7" t="s">
        <v>4052</v>
      </c>
      <c r="B1602" s="7" t="s">
        <v>4053</v>
      </c>
      <c r="C1602" s="7" t="s">
        <v>230</v>
      </c>
      <c r="D1602" s="7" t="s">
        <v>8074</v>
      </c>
      <c r="E1602" s="7" t="s">
        <v>1695</v>
      </c>
      <c r="F1602" s="7" t="s">
        <v>1696</v>
      </c>
    </row>
    <row r="1603">
      <c r="A1603" s="7" t="s">
        <v>4162</v>
      </c>
      <c r="B1603" s="7" t="s">
        <v>4053</v>
      </c>
      <c r="C1603" s="7" t="s">
        <v>230</v>
      </c>
      <c r="D1603" s="7" t="s">
        <v>8074</v>
      </c>
      <c r="E1603" s="7" t="s">
        <v>1695</v>
      </c>
      <c r="F1603" s="7" t="s">
        <v>1696</v>
      </c>
    </row>
    <row r="1604">
      <c r="A1604" s="7" t="s">
        <v>2575</v>
      </c>
      <c r="B1604" s="7" t="s">
        <v>2576</v>
      </c>
      <c r="C1604" s="7" t="s">
        <v>2577</v>
      </c>
      <c r="D1604" s="7" t="s">
        <v>8075</v>
      </c>
      <c r="E1604" s="7" t="s">
        <v>1695</v>
      </c>
      <c r="F1604" s="7" t="s">
        <v>1696</v>
      </c>
    </row>
    <row r="1605">
      <c r="A1605" s="7" t="s">
        <v>5934</v>
      </c>
      <c r="B1605" s="7" t="s">
        <v>1142</v>
      </c>
      <c r="C1605" s="7" t="s">
        <v>109</v>
      </c>
      <c r="D1605" s="7" t="s">
        <v>8076</v>
      </c>
      <c r="E1605" s="7" t="s">
        <v>1695</v>
      </c>
      <c r="F1605" s="7" t="s">
        <v>1696</v>
      </c>
    </row>
    <row r="1606">
      <c r="A1606" s="7" t="s">
        <v>5655</v>
      </c>
      <c r="B1606" s="7" t="s">
        <v>5656</v>
      </c>
      <c r="C1606" s="7" t="s">
        <v>3175</v>
      </c>
      <c r="D1606" s="7" t="s">
        <v>8077</v>
      </c>
      <c r="E1606" s="7" t="s">
        <v>1695</v>
      </c>
      <c r="F1606" s="7" t="s">
        <v>1696</v>
      </c>
    </row>
    <row r="1607">
      <c r="A1607" s="7" t="s">
        <v>4323</v>
      </c>
      <c r="B1607" s="7" t="s">
        <v>1314</v>
      </c>
      <c r="C1607" s="7" t="s">
        <v>4324</v>
      </c>
      <c r="D1607" s="7" t="s">
        <v>8078</v>
      </c>
      <c r="E1607" s="7" t="s">
        <v>1695</v>
      </c>
      <c r="F1607" s="7" t="s">
        <v>1696</v>
      </c>
    </row>
    <row r="1608">
      <c r="A1608" s="7" t="s">
        <v>5032</v>
      </c>
      <c r="B1608" s="7" t="s">
        <v>292</v>
      </c>
      <c r="C1608" s="7" t="s">
        <v>4645</v>
      </c>
      <c r="D1608" s="7" t="s">
        <v>8079</v>
      </c>
      <c r="E1608" s="7" t="s">
        <v>1695</v>
      </c>
      <c r="F1608" s="7" t="s">
        <v>1696</v>
      </c>
    </row>
    <row r="1609">
      <c r="A1609" s="7" t="s">
        <v>3046</v>
      </c>
      <c r="B1609" s="7" t="s">
        <v>120</v>
      </c>
      <c r="C1609" s="7" t="s">
        <v>3047</v>
      </c>
      <c r="D1609" s="7" t="s">
        <v>8080</v>
      </c>
      <c r="E1609" s="7" t="s">
        <v>1695</v>
      </c>
      <c r="F1609" s="7" t="s">
        <v>1696</v>
      </c>
    </row>
    <row r="1610">
      <c r="A1610" s="7" t="s">
        <v>4528</v>
      </c>
      <c r="B1610" s="7" t="s">
        <v>301</v>
      </c>
      <c r="C1610" s="7" t="s">
        <v>4529</v>
      </c>
      <c r="D1610" s="7" t="s">
        <v>8081</v>
      </c>
      <c r="E1610" s="7" t="s">
        <v>1695</v>
      </c>
      <c r="F1610" s="7" t="s">
        <v>1696</v>
      </c>
    </row>
    <row r="1611">
      <c r="A1611" s="7" t="s">
        <v>2335</v>
      </c>
      <c r="B1611" s="7" t="s">
        <v>267</v>
      </c>
      <c r="C1611" s="7" t="s">
        <v>2336</v>
      </c>
      <c r="D1611" s="7" t="s">
        <v>8082</v>
      </c>
      <c r="E1611" s="7" t="s">
        <v>1695</v>
      </c>
      <c r="F1611" s="7" t="s">
        <v>1696</v>
      </c>
    </row>
    <row r="1612">
      <c r="A1612" s="7" t="s">
        <v>2341</v>
      </c>
      <c r="B1612" s="7" t="s">
        <v>518</v>
      </c>
      <c r="C1612" s="7" t="s">
        <v>2342</v>
      </c>
      <c r="D1612" s="7" t="s">
        <v>8083</v>
      </c>
      <c r="E1612" s="7" t="s">
        <v>1695</v>
      </c>
      <c r="F1612" s="7" t="s">
        <v>1696</v>
      </c>
    </row>
    <row r="1613">
      <c r="A1613" s="7" t="s">
        <v>6157</v>
      </c>
      <c r="B1613" s="7" t="s">
        <v>6158</v>
      </c>
      <c r="C1613" s="7" t="s">
        <v>1226</v>
      </c>
      <c r="D1613" s="7" t="s">
        <v>8084</v>
      </c>
      <c r="E1613" s="7" t="s">
        <v>1695</v>
      </c>
      <c r="F1613" s="7" t="s">
        <v>1696</v>
      </c>
    </row>
    <row r="1614">
      <c r="A1614" s="7" t="s">
        <v>5609</v>
      </c>
      <c r="B1614" s="7" t="s">
        <v>414</v>
      </c>
      <c r="C1614" s="7" t="s">
        <v>5610</v>
      </c>
      <c r="D1614" s="7" t="s">
        <v>8085</v>
      </c>
      <c r="E1614" s="7" t="s">
        <v>1695</v>
      </c>
      <c r="F1614" s="7" t="s">
        <v>1696</v>
      </c>
    </row>
    <row r="1615">
      <c r="A1615" s="7" t="s">
        <v>4539</v>
      </c>
      <c r="B1615" s="7" t="s">
        <v>414</v>
      </c>
      <c r="C1615" s="7" t="s">
        <v>4540</v>
      </c>
      <c r="D1615" s="7" t="s">
        <v>8086</v>
      </c>
      <c r="E1615" s="7" t="s">
        <v>1695</v>
      </c>
      <c r="F1615" s="7" t="s">
        <v>1696</v>
      </c>
    </row>
    <row r="1616">
      <c r="A1616" s="7" t="s">
        <v>3364</v>
      </c>
      <c r="B1616" s="7" t="s">
        <v>3365</v>
      </c>
      <c r="C1616" s="7" t="s">
        <v>3366</v>
      </c>
      <c r="D1616" s="7" t="s">
        <v>8087</v>
      </c>
      <c r="E1616" s="7" t="s">
        <v>1695</v>
      </c>
      <c r="F1616" s="7" t="s">
        <v>1696</v>
      </c>
    </row>
    <row r="1617">
      <c r="A1617" s="7" t="s">
        <v>3355</v>
      </c>
      <c r="B1617" s="7" t="s">
        <v>1076</v>
      </c>
      <c r="C1617" s="7" t="s">
        <v>126</v>
      </c>
      <c r="D1617" s="7" t="s">
        <v>8088</v>
      </c>
      <c r="E1617" s="7" t="s">
        <v>1695</v>
      </c>
      <c r="F1617" s="7" t="s">
        <v>1696</v>
      </c>
    </row>
    <row r="1618">
      <c r="A1618" s="7" t="s">
        <v>2444</v>
      </c>
      <c r="B1618" s="7" t="s">
        <v>1177</v>
      </c>
      <c r="C1618" s="7" t="s">
        <v>70</v>
      </c>
      <c r="D1618" s="7" t="s">
        <v>8089</v>
      </c>
      <c r="E1618" s="7" t="s">
        <v>1695</v>
      </c>
      <c r="F1618" s="7" t="s">
        <v>1696</v>
      </c>
    </row>
    <row r="1619">
      <c r="A1619" s="7" t="s">
        <v>3531</v>
      </c>
      <c r="B1619" s="7" t="s">
        <v>518</v>
      </c>
      <c r="C1619" s="7" t="s">
        <v>987</v>
      </c>
      <c r="D1619" s="7" t="s">
        <v>8090</v>
      </c>
      <c r="E1619" s="7" t="s">
        <v>1695</v>
      </c>
      <c r="F1619" s="7" t="s">
        <v>1696</v>
      </c>
    </row>
    <row r="1620">
      <c r="A1620" s="7" t="s">
        <v>2763</v>
      </c>
      <c r="B1620" s="7" t="s">
        <v>1193</v>
      </c>
      <c r="C1620" s="7" t="s">
        <v>274</v>
      </c>
      <c r="D1620" s="7" t="s">
        <v>8091</v>
      </c>
      <c r="E1620" s="7" t="s">
        <v>1695</v>
      </c>
      <c r="F1620" s="7" t="s">
        <v>1696</v>
      </c>
    </row>
    <row r="1621">
      <c r="A1621" s="7" t="s">
        <v>2872</v>
      </c>
      <c r="B1621" s="7" t="s">
        <v>129</v>
      </c>
      <c r="C1621" s="7" t="s">
        <v>2873</v>
      </c>
      <c r="D1621" s="7" t="s">
        <v>8092</v>
      </c>
      <c r="E1621" s="7" t="s">
        <v>1695</v>
      </c>
      <c r="F1621" s="7" t="s">
        <v>1696</v>
      </c>
    </row>
    <row r="1622">
      <c r="A1622" s="7" t="s">
        <v>3084</v>
      </c>
      <c r="B1622" s="7" t="s">
        <v>479</v>
      </c>
      <c r="C1622" s="7" t="s">
        <v>3085</v>
      </c>
      <c r="D1622" s="7" t="s">
        <v>8093</v>
      </c>
      <c r="E1622" s="7" t="s">
        <v>1695</v>
      </c>
      <c r="F1622" s="7" t="s">
        <v>1696</v>
      </c>
    </row>
    <row r="1623">
      <c r="A1623" s="7" t="s">
        <v>4049</v>
      </c>
      <c r="B1623" s="7" t="s">
        <v>4050</v>
      </c>
      <c r="C1623" s="7" t="s">
        <v>4051</v>
      </c>
      <c r="D1623" s="7" t="s">
        <v>8094</v>
      </c>
      <c r="E1623" s="7" t="s">
        <v>1695</v>
      </c>
      <c r="F1623" s="7" t="s">
        <v>1696</v>
      </c>
    </row>
    <row r="1624">
      <c r="A1624" s="7" t="s">
        <v>3403</v>
      </c>
      <c r="B1624" s="7" t="s">
        <v>1112</v>
      </c>
      <c r="C1624" s="7" t="s">
        <v>3404</v>
      </c>
      <c r="D1624" s="7" t="s">
        <v>8095</v>
      </c>
      <c r="E1624" s="7" t="s">
        <v>1695</v>
      </c>
      <c r="F1624" s="7" t="s">
        <v>1696</v>
      </c>
    </row>
    <row r="1625">
      <c r="A1625" s="7" t="s">
        <v>4830</v>
      </c>
      <c r="B1625" s="7" t="s">
        <v>2813</v>
      </c>
      <c r="C1625" s="7" t="s">
        <v>721</v>
      </c>
      <c r="D1625" s="7" t="s">
        <v>8096</v>
      </c>
      <c r="E1625" s="7" t="s">
        <v>1695</v>
      </c>
      <c r="F1625" s="7" t="s">
        <v>1696</v>
      </c>
    </row>
    <row r="1626">
      <c r="A1626" s="7" t="s">
        <v>6140</v>
      </c>
      <c r="B1626" s="7" t="s">
        <v>35</v>
      </c>
      <c r="C1626" s="7" t="s">
        <v>2519</v>
      </c>
      <c r="D1626" s="7" t="s">
        <v>8097</v>
      </c>
      <c r="E1626" s="7" t="s">
        <v>1695</v>
      </c>
      <c r="F1626" s="7" t="s">
        <v>1696</v>
      </c>
    </row>
    <row r="1627">
      <c r="A1627" s="7" t="s">
        <v>4718</v>
      </c>
      <c r="B1627" s="7" t="s">
        <v>760</v>
      </c>
      <c r="C1627" s="7" t="s">
        <v>3599</v>
      </c>
      <c r="D1627" s="7" t="s">
        <v>8098</v>
      </c>
      <c r="E1627" s="7" t="s">
        <v>1695</v>
      </c>
      <c r="F1627" s="7" t="s">
        <v>1696</v>
      </c>
    </row>
    <row r="1628">
      <c r="A1628" s="7" t="s">
        <v>6299</v>
      </c>
      <c r="B1628" s="7" t="s">
        <v>162</v>
      </c>
      <c r="C1628" s="7" t="s">
        <v>4082</v>
      </c>
      <c r="D1628" s="7" t="s">
        <v>8099</v>
      </c>
      <c r="E1628" s="7" t="s">
        <v>1695</v>
      </c>
      <c r="F1628" s="7" t="s">
        <v>1696</v>
      </c>
    </row>
    <row r="1629">
      <c r="A1629" s="7" t="s">
        <v>3897</v>
      </c>
      <c r="B1629" s="7" t="s">
        <v>3791</v>
      </c>
      <c r="C1629" s="7" t="s">
        <v>3898</v>
      </c>
      <c r="D1629" s="7" t="s">
        <v>8100</v>
      </c>
      <c r="E1629" s="7" t="s">
        <v>1695</v>
      </c>
      <c r="F1629" s="7" t="s">
        <v>1696</v>
      </c>
    </row>
    <row r="1630">
      <c r="A1630" s="7" t="s">
        <v>6412</v>
      </c>
      <c r="B1630" s="7" t="s">
        <v>3902</v>
      </c>
      <c r="C1630" s="7" t="s">
        <v>6413</v>
      </c>
      <c r="D1630" s="7" t="s">
        <v>8101</v>
      </c>
      <c r="E1630" s="7" t="s">
        <v>1695</v>
      </c>
      <c r="F1630" s="7" t="s">
        <v>6318</v>
      </c>
    </row>
    <row r="1631">
      <c r="A1631" s="7" t="s">
        <v>6401</v>
      </c>
      <c r="B1631" s="7" t="s">
        <v>414</v>
      </c>
      <c r="C1631" s="7" t="s">
        <v>6402</v>
      </c>
      <c r="D1631" s="7" t="s">
        <v>8102</v>
      </c>
      <c r="E1631" s="7" t="s">
        <v>1695</v>
      </c>
      <c r="F1631" s="7" t="s">
        <v>6318</v>
      </c>
    </row>
    <row r="1632">
      <c r="A1632" s="7" t="s">
        <v>2066</v>
      </c>
      <c r="B1632" s="7" t="s">
        <v>2067</v>
      </c>
      <c r="C1632" s="7" t="s">
        <v>406</v>
      </c>
      <c r="D1632" s="7" t="s">
        <v>8103</v>
      </c>
      <c r="E1632" s="7" t="s">
        <v>1695</v>
      </c>
      <c r="F1632" s="7" t="s">
        <v>1696</v>
      </c>
    </row>
    <row r="1633">
      <c r="A1633" s="7" t="s">
        <v>3154</v>
      </c>
      <c r="B1633" s="7" t="s">
        <v>218</v>
      </c>
      <c r="C1633" s="7" t="s">
        <v>1000</v>
      </c>
      <c r="D1633" s="7" t="s">
        <v>8104</v>
      </c>
      <c r="E1633" s="7" t="s">
        <v>1695</v>
      </c>
      <c r="F1633" s="7" t="s">
        <v>1696</v>
      </c>
    </row>
    <row r="1634">
      <c r="A1634" s="7" t="s">
        <v>5317</v>
      </c>
      <c r="B1634" s="7" t="s">
        <v>5318</v>
      </c>
      <c r="C1634" s="7" t="s">
        <v>5319</v>
      </c>
      <c r="D1634" s="7" t="s">
        <v>8105</v>
      </c>
      <c r="E1634" s="7" t="s">
        <v>1695</v>
      </c>
      <c r="F1634" s="7" t="s">
        <v>1696</v>
      </c>
    </row>
    <row r="1635">
      <c r="A1635" s="7" t="s">
        <v>4961</v>
      </c>
      <c r="B1635" s="7" t="s">
        <v>3919</v>
      </c>
      <c r="C1635" s="7" t="s">
        <v>178</v>
      </c>
      <c r="D1635" s="7" t="s">
        <v>8106</v>
      </c>
      <c r="E1635" s="7" t="s">
        <v>1695</v>
      </c>
      <c r="F1635" s="7" t="s">
        <v>1696</v>
      </c>
    </row>
    <row r="1636">
      <c r="A1636" s="7" t="s">
        <v>5105</v>
      </c>
      <c r="B1636" s="7" t="s">
        <v>5106</v>
      </c>
      <c r="C1636" s="7" t="s">
        <v>5107</v>
      </c>
      <c r="D1636" s="7" t="s">
        <v>8107</v>
      </c>
      <c r="E1636" s="7" t="s">
        <v>1695</v>
      </c>
      <c r="F1636" s="7" t="s">
        <v>1696</v>
      </c>
    </row>
    <row r="1637">
      <c r="A1637" s="7" t="s">
        <v>3975</v>
      </c>
      <c r="B1637" s="7" t="s">
        <v>2610</v>
      </c>
      <c r="C1637" s="7" t="s">
        <v>3976</v>
      </c>
      <c r="D1637" s="7" t="s">
        <v>8108</v>
      </c>
      <c r="E1637" s="7" t="s">
        <v>1695</v>
      </c>
      <c r="F1637" s="7" t="s">
        <v>1696</v>
      </c>
    </row>
    <row r="1638">
      <c r="A1638" s="7" t="s">
        <v>2883</v>
      </c>
      <c r="B1638" s="7" t="s">
        <v>267</v>
      </c>
      <c r="C1638" s="7" t="s">
        <v>2884</v>
      </c>
      <c r="D1638" s="7" t="s">
        <v>8109</v>
      </c>
      <c r="E1638" s="7" t="s">
        <v>1695</v>
      </c>
      <c r="F1638" s="7" t="s">
        <v>1696</v>
      </c>
    </row>
    <row r="1639">
      <c r="A1639" s="7" t="s">
        <v>5332</v>
      </c>
      <c r="B1639" s="7" t="s">
        <v>5333</v>
      </c>
      <c r="C1639" s="7" t="s">
        <v>5334</v>
      </c>
      <c r="D1639" s="7" t="s">
        <v>8110</v>
      </c>
      <c r="E1639" s="7" t="s">
        <v>1695</v>
      </c>
      <c r="F1639" s="7" t="s">
        <v>1696</v>
      </c>
    </row>
    <row r="1640">
      <c r="A1640" s="7" t="s">
        <v>4455</v>
      </c>
      <c r="B1640" s="7" t="s">
        <v>4456</v>
      </c>
      <c r="C1640" s="7" t="s">
        <v>297</v>
      </c>
      <c r="D1640" s="7" t="s">
        <v>8111</v>
      </c>
      <c r="E1640" s="7" t="s">
        <v>1695</v>
      </c>
      <c r="F1640" s="7" t="s">
        <v>1696</v>
      </c>
    </row>
    <row r="1641">
      <c r="A1641" s="7" t="s">
        <v>5437</v>
      </c>
      <c r="B1641" s="7" t="s">
        <v>5438</v>
      </c>
      <c r="C1641" s="7" t="s">
        <v>5439</v>
      </c>
      <c r="D1641" s="7" t="s">
        <v>8112</v>
      </c>
      <c r="E1641" s="7" t="s">
        <v>1695</v>
      </c>
      <c r="F1641" s="7" t="s">
        <v>1696</v>
      </c>
    </row>
    <row r="1642">
      <c r="A1642" s="7" t="s">
        <v>5836</v>
      </c>
      <c r="B1642" s="7" t="s">
        <v>2105</v>
      </c>
      <c r="C1642" s="7" t="s">
        <v>274</v>
      </c>
      <c r="D1642" s="7" t="s">
        <v>8113</v>
      </c>
      <c r="E1642" s="7" t="s">
        <v>1695</v>
      </c>
      <c r="F1642" s="7" t="s">
        <v>1696</v>
      </c>
    </row>
    <row r="1643">
      <c r="A1643" s="7" t="s">
        <v>4701</v>
      </c>
      <c r="B1643" s="7" t="s">
        <v>3811</v>
      </c>
      <c r="C1643" s="7" t="s">
        <v>3651</v>
      </c>
      <c r="D1643" s="7" t="s">
        <v>8114</v>
      </c>
      <c r="E1643" s="7" t="s">
        <v>1695</v>
      </c>
      <c r="F1643" s="7" t="s">
        <v>1696</v>
      </c>
    </row>
    <row r="1644">
      <c r="A1644" s="7" t="s">
        <v>3977</v>
      </c>
      <c r="B1644" s="7" t="s">
        <v>270</v>
      </c>
      <c r="C1644" s="7" t="s">
        <v>271</v>
      </c>
      <c r="D1644" s="7" t="s">
        <v>8115</v>
      </c>
      <c r="E1644" s="7" t="s">
        <v>1695</v>
      </c>
      <c r="F1644" s="7" t="s">
        <v>1696</v>
      </c>
    </row>
    <row r="1645">
      <c r="A1645" s="7" t="s">
        <v>5551</v>
      </c>
      <c r="B1645" s="7" t="s">
        <v>3428</v>
      </c>
      <c r="C1645" s="7" t="s">
        <v>4568</v>
      </c>
      <c r="D1645" s="7" t="s">
        <v>8116</v>
      </c>
      <c r="E1645" s="7" t="s">
        <v>1695</v>
      </c>
      <c r="F1645" s="7" t="s">
        <v>1696</v>
      </c>
    </row>
    <row r="1646">
      <c r="A1646" s="7" t="s">
        <v>5356</v>
      </c>
      <c r="B1646" s="7" t="s">
        <v>5357</v>
      </c>
      <c r="C1646" s="7" t="s">
        <v>2371</v>
      </c>
      <c r="D1646" s="7" t="s">
        <v>8117</v>
      </c>
      <c r="E1646" s="7" t="s">
        <v>1695</v>
      </c>
      <c r="F1646" s="7" t="s">
        <v>1696</v>
      </c>
    </row>
    <row r="1647">
      <c r="A1647" s="7" t="s">
        <v>3821</v>
      </c>
      <c r="B1647" s="7" t="s">
        <v>3540</v>
      </c>
      <c r="C1647" s="7" t="s">
        <v>422</v>
      </c>
      <c r="D1647" s="7" t="s">
        <v>8118</v>
      </c>
      <c r="E1647" s="7" t="s">
        <v>1695</v>
      </c>
      <c r="F1647" s="7" t="s">
        <v>1696</v>
      </c>
    </row>
    <row r="1648">
      <c r="A1648" s="7" t="s">
        <v>4946</v>
      </c>
      <c r="B1648" s="7" t="s">
        <v>3916</v>
      </c>
      <c r="C1648" s="7" t="s">
        <v>1656</v>
      </c>
      <c r="D1648" s="7" t="s">
        <v>8119</v>
      </c>
      <c r="E1648" s="7" t="s">
        <v>1695</v>
      </c>
      <c r="F1648" s="7" t="s">
        <v>1696</v>
      </c>
    </row>
    <row r="1649">
      <c r="A1649" s="7" t="s">
        <v>2072</v>
      </c>
      <c r="B1649" s="7" t="s">
        <v>534</v>
      </c>
      <c r="C1649" s="7" t="s">
        <v>649</v>
      </c>
      <c r="D1649" s="7" t="s">
        <v>8120</v>
      </c>
      <c r="E1649" s="7" t="s">
        <v>1695</v>
      </c>
      <c r="F1649" s="7" t="s">
        <v>1696</v>
      </c>
    </row>
    <row r="1650">
      <c r="A1650" s="7" t="s">
        <v>6024</v>
      </c>
      <c r="B1650" s="7" t="s">
        <v>6025</v>
      </c>
      <c r="C1650" s="7" t="s">
        <v>544</v>
      </c>
      <c r="D1650" s="7" t="s">
        <v>8121</v>
      </c>
      <c r="E1650" s="7" t="s">
        <v>1695</v>
      </c>
      <c r="F1650" s="7" t="s">
        <v>1696</v>
      </c>
    </row>
    <row r="1651">
      <c r="A1651" s="7" t="s">
        <v>1910</v>
      </c>
      <c r="B1651" s="7" t="s">
        <v>1911</v>
      </c>
      <c r="C1651" s="7" t="s">
        <v>1912</v>
      </c>
      <c r="D1651" s="7" t="s">
        <v>8122</v>
      </c>
      <c r="E1651" s="7" t="s">
        <v>1695</v>
      </c>
      <c r="F1651" s="7" t="s">
        <v>1696</v>
      </c>
    </row>
    <row r="1652">
      <c r="A1652" s="7" t="s">
        <v>2300</v>
      </c>
      <c r="B1652" s="7" t="s">
        <v>2301</v>
      </c>
      <c r="C1652" s="7" t="s">
        <v>2302</v>
      </c>
      <c r="D1652" s="7" t="s">
        <v>8123</v>
      </c>
      <c r="E1652" s="7" t="s">
        <v>1695</v>
      </c>
      <c r="F1652" s="7" t="s">
        <v>1696</v>
      </c>
    </row>
    <row r="1653">
      <c r="A1653" s="7" t="s">
        <v>3004</v>
      </c>
      <c r="B1653" s="7" t="s">
        <v>817</v>
      </c>
      <c r="C1653" s="7" t="s">
        <v>196</v>
      </c>
      <c r="D1653" s="7" t="s">
        <v>8124</v>
      </c>
      <c r="E1653" s="7" t="s">
        <v>1695</v>
      </c>
      <c r="F1653" s="7" t="s">
        <v>1696</v>
      </c>
    </row>
    <row r="1654">
      <c r="A1654" s="7" t="s">
        <v>3227</v>
      </c>
      <c r="B1654" s="7" t="s">
        <v>2543</v>
      </c>
      <c r="C1654" s="7" t="s">
        <v>3228</v>
      </c>
      <c r="D1654" s="7" t="s">
        <v>8125</v>
      </c>
      <c r="E1654" s="7" t="s">
        <v>1695</v>
      </c>
      <c r="F1654" s="7" t="s">
        <v>1696</v>
      </c>
    </row>
    <row r="1655">
      <c r="A1655" s="7" t="s">
        <v>4120</v>
      </c>
      <c r="B1655" s="7" t="s">
        <v>468</v>
      </c>
      <c r="C1655" s="7" t="s">
        <v>4121</v>
      </c>
      <c r="D1655" s="7" t="s">
        <v>8126</v>
      </c>
      <c r="E1655" s="7" t="s">
        <v>1695</v>
      </c>
      <c r="F1655" s="7" t="s">
        <v>1696</v>
      </c>
    </row>
    <row r="1656">
      <c r="A1656" s="7" t="s">
        <v>5718</v>
      </c>
      <c r="B1656" s="7" t="s">
        <v>3990</v>
      </c>
      <c r="C1656" s="7" t="s">
        <v>5688</v>
      </c>
      <c r="D1656" s="7" t="s">
        <v>8127</v>
      </c>
      <c r="E1656" s="7" t="s">
        <v>1695</v>
      </c>
      <c r="F1656" s="7" t="s">
        <v>1696</v>
      </c>
    </row>
    <row r="1657">
      <c r="A1657" s="7" t="s">
        <v>4472</v>
      </c>
      <c r="B1657" s="7" t="s">
        <v>3417</v>
      </c>
      <c r="C1657" s="7" t="s">
        <v>4473</v>
      </c>
      <c r="D1657" s="7" t="s">
        <v>8128</v>
      </c>
      <c r="E1657" s="7" t="s">
        <v>1695</v>
      </c>
      <c r="F1657" s="7" t="s">
        <v>1696</v>
      </c>
    </row>
    <row r="1658">
      <c r="A1658" s="7" t="s">
        <v>3883</v>
      </c>
      <c r="B1658" s="7" t="s">
        <v>3884</v>
      </c>
      <c r="C1658" s="7" t="s">
        <v>3885</v>
      </c>
      <c r="D1658" s="7" t="s">
        <v>8129</v>
      </c>
      <c r="E1658" s="7" t="s">
        <v>1695</v>
      </c>
      <c r="F1658" s="7" t="s">
        <v>1696</v>
      </c>
    </row>
    <row r="1659">
      <c r="A1659" s="7" t="s">
        <v>6390</v>
      </c>
      <c r="B1659" s="7" t="s">
        <v>6391</v>
      </c>
      <c r="C1659" s="7" t="s">
        <v>6392</v>
      </c>
      <c r="D1659" s="7" t="s">
        <v>8130</v>
      </c>
      <c r="E1659" s="7" t="s">
        <v>1695</v>
      </c>
      <c r="F1659" s="7" t="s">
        <v>6318</v>
      </c>
    </row>
    <row r="1660">
      <c r="A1660" s="7" t="s">
        <v>3443</v>
      </c>
      <c r="B1660" s="7" t="s">
        <v>3444</v>
      </c>
      <c r="C1660" s="7" t="s">
        <v>151</v>
      </c>
      <c r="D1660" s="7" t="s">
        <v>8131</v>
      </c>
      <c r="E1660" s="7" t="s">
        <v>1695</v>
      </c>
      <c r="F1660" s="7" t="s">
        <v>1696</v>
      </c>
    </row>
    <row r="1661">
      <c r="A1661" s="7" t="s">
        <v>2440</v>
      </c>
      <c r="B1661" s="7" t="s">
        <v>2441</v>
      </c>
      <c r="C1661" s="7" t="s">
        <v>747</v>
      </c>
      <c r="D1661" s="7" t="s">
        <v>8132</v>
      </c>
      <c r="E1661" s="7" t="s">
        <v>1695</v>
      </c>
      <c r="F1661" s="7" t="s">
        <v>1696</v>
      </c>
    </row>
    <row r="1662">
      <c r="A1662" s="7" t="s">
        <v>4442</v>
      </c>
      <c r="B1662" s="7" t="s">
        <v>4443</v>
      </c>
      <c r="C1662" s="7" t="s">
        <v>1736</v>
      </c>
      <c r="D1662" s="7" t="s">
        <v>8133</v>
      </c>
      <c r="E1662" s="7" t="s">
        <v>1695</v>
      </c>
      <c r="F1662" s="7" t="s">
        <v>1696</v>
      </c>
    </row>
    <row r="1663">
      <c r="A1663" s="7" t="s">
        <v>6165</v>
      </c>
      <c r="B1663" s="7" t="s">
        <v>6166</v>
      </c>
      <c r="C1663" s="7" t="s">
        <v>1708</v>
      </c>
      <c r="D1663" s="7" t="s">
        <v>8134</v>
      </c>
      <c r="E1663" s="7" t="s">
        <v>1695</v>
      </c>
      <c r="F1663" s="7" t="s">
        <v>1696</v>
      </c>
    </row>
    <row r="1664">
      <c r="A1664" s="7" t="s">
        <v>2226</v>
      </c>
      <c r="B1664" s="7" t="s">
        <v>773</v>
      </c>
      <c r="C1664" s="7" t="s">
        <v>2227</v>
      </c>
      <c r="D1664" s="7" t="s">
        <v>8135</v>
      </c>
      <c r="E1664" s="7" t="s">
        <v>1695</v>
      </c>
      <c r="F1664" s="7" t="s">
        <v>1696</v>
      </c>
    </row>
    <row r="1665">
      <c r="A1665" s="7" t="s">
        <v>6325</v>
      </c>
      <c r="B1665" s="7" t="s">
        <v>111</v>
      </c>
      <c r="C1665" s="7" t="s">
        <v>6326</v>
      </c>
      <c r="D1665" s="7" t="s">
        <v>8136</v>
      </c>
      <c r="E1665" s="7" t="s">
        <v>1695</v>
      </c>
      <c r="F1665" s="7" t="s">
        <v>6318</v>
      </c>
    </row>
    <row r="1666">
      <c r="A1666" s="7" t="s">
        <v>4684</v>
      </c>
      <c r="B1666" s="7" t="s">
        <v>4685</v>
      </c>
      <c r="C1666" s="7" t="s">
        <v>178</v>
      </c>
      <c r="D1666" s="7" t="s">
        <v>8137</v>
      </c>
      <c r="E1666" s="7" t="s">
        <v>1695</v>
      </c>
      <c r="F1666" s="7" t="s">
        <v>1696</v>
      </c>
    </row>
    <row r="1667">
      <c r="A1667" s="7" t="s">
        <v>5165</v>
      </c>
      <c r="B1667" s="7" t="s">
        <v>5166</v>
      </c>
      <c r="C1667" s="7" t="s">
        <v>5167</v>
      </c>
      <c r="D1667" s="7" t="s">
        <v>8138</v>
      </c>
      <c r="E1667" s="7" t="s">
        <v>1695</v>
      </c>
      <c r="F1667" s="7" t="s">
        <v>1696</v>
      </c>
    </row>
    <row r="1668">
      <c r="A1668" s="7" t="s">
        <v>3340</v>
      </c>
      <c r="B1668" s="7" t="s">
        <v>3341</v>
      </c>
      <c r="C1668" s="7" t="s">
        <v>3342</v>
      </c>
      <c r="D1668" s="7" t="s">
        <v>8139</v>
      </c>
      <c r="E1668" s="7" t="s">
        <v>1695</v>
      </c>
      <c r="F1668" s="7" t="s">
        <v>1696</v>
      </c>
    </row>
    <row r="1669">
      <c r="A1669" s="7" t="s">
        <v>5217</v>
      </c>
      <c r="B1669" s="7" t="s">
        <v>2181</v>
      </c>
      <c r="C1669" s="7" t="s">
        <v>5131</v>
      </c>
      <c r="D1669" s="7" t="s">
        <v>8140</v>
      </c>
      <c r="E1669" s="7" t="s">
        <v>1695</v>
      </c>
      <c r="F1669" s="7" t="s">
        <v>1696</v>
      </c>
    </row>
    <row r="1670">
      <c r="A1670" s="7" t="s">
        <v>2071</v>
      </c>
      <c r="B1670" s="7" t="s">
        <v>1667</v>
      </c>
      <c r="C1670" s="7" t="s">
        <v>193</v>
      </c>
      <c r="D1670" s="7" t="s">
        <v>8141</v>
      </c>
      <c r="E1670" s="7" t="s">
        <v>1695</v>
      </c>
      <c r="F1670" s="7" t="s">
        <v>1696</v>
      </c>
    </row>
    <row r="1671">
      <c r="A1671" s="7" t="s">
        <v>2289</v>
      </c>
      <c r="B1671" s="7" t="s">
        <v>2290</v>
      </c>
      <c r="C1671" s="7" t="s">
        <v>1074</v>
      </c>
      <c r="D1671" s="7" t="s">
        <v>8142</v>
      </c>
      <c r="E1671" s="7" t="s">
        <v>1695</v>
      </c>
      <c r="F1671" s="7" t="s">
        <v>1696</v>
      </c>
    </row>
    <row r="1672">
      <c r="A1672" s="7" t="s">
        <v>5924</v>
      </c>
      <c r="B1672" s="7" t="s">
        <v>4850</v>
      </c>
      <c r="C1672" s="7" t="s">
        <v>1803</v>
      </c>
      <c r="D1672" s="7" t="s">
        <v>8143</v>
      </c>
      <c r="E1672" s="7" t="s">
        <v>1695</v>
      </c>
      <c r="F1672" s="7" t="s">
        <v>1696</v>
      </c>
    </row>
    <row r="1673">
      <c r="A1673" s="7" t="s">
        <v>4974</v>
      </c>
      <c r="B1673" s="7" t="s">
        <v>4975</v>
      </c>
      <c r="C1673" s="7" t="s">
        <v>2724</v>
      </c>
      <c r="D1673" s="7" t="s">
        <v>8144</v>
      </c>
      <c r="E1673" s="7" t="s">
        <v>1695</v>
      </c>
      <c r="F1673" s="7" t="s">
        <v>1696</v>
      </c>
    </row>
    <row r="1674">
      <c r="A1674" s="7" t="s">
        <v>2815</v>
      </c>
      <c r="B1674" s="7" t="s">
        <v>2816</v>
      </c>
      <c r="C1674" s="7" t="s">
        <v>2817</v>
      </c>
      <c r="D1674" s="7" t="s">
        <v>8145</v>
      </c>
      <c r="E1674" s="7" t="s">
        <v>1695</v>
      </c>
      <c r="F1674" s="7" t="s">
        <v>1696</v>
      </c>
    </row>
    <row r="1675">
      <c r="A1675" s="7" t="s">
        <v>1725</v>
      </c>
      <c r="B1675" s="7" t="s">
        <v>1726</v>
      </c>
      <c r="C1675" s="7" t="s">
        <v>1552</v>
      </c>
      <c r="D1675" s="7" t="s">
        <v>8146</v>
      </c>
      <c r="E1675" s="7" t="s">
        <v>1695</v>
      </c>
      <c r="F1675" s="7" t="s">
        <v>1696</v>
      </c>
    </row>
    <row r="1676">
      <c r="A1676" s="7" t="s">
        <v>6174</v>
      </c>
      <c r="B1676" s="7" t="s">
        <v>4531</v>
      </c>
      <c r="C1676" s="7" t="s">
        <v>1614</v>
      </c>
      <c r="D1676" s="7" t="s">
        <v>8147</v>
      </c>
      <c r="E1676" s="7" t="s">
        <v>1695</v>
      </c>
      <c r="F1676" s="7" t="s">
        <v>1696</v>
      </c>
    </row>
    <row r="1677">
      <c r="A1677" s="7" t="s">
        <v>2651</v>
      </c>
      <c r="B1677" s="7" t="s">
        <v>170</v>
      </c>
      <c r="C1677" s="7" t="s">
        <v>2652</v>
      </c>
      <c r="D1677" s="7" t="s">
        <v>8148</v>
      </c>
      <c r="E1677" s="7" t="s">
        <v>1695</v>
      </c>
      <c r="F1677" s="7" t="s">
        <v>1696</v>
      </c>
    </row>
    <row r="1678">
      <c r="A1678" s="7" t="s">
        <v>4791</v>
      </c>
      <c r="B1678" s="7" t="s">
        <v>1054</v>
      </c>
      <c r="C1678" s="7" t="s">
        <v>404</v>
      </c>
      <c r="D1678" s="7" t="s">
        <v>8149</v>
      </c>
      <c r="E1678" s="7" t="s">
        <v>1695</v>
      </c>
      <c r="F1678" s="7" t="s">
        <v>1696</v>
      </c>
    </row>
    <row r="1679">
      <c r="A1679" s="7" t="s">
        <v>5392</v>
      </c>
      <c r="B1679" s="7" t="s">
        <v>5393</v>
      </c>
      <c r="C1679" s="7" t="s">
        <v>1271</v>
      </c>
      <c r="D1679" s="7" t="s">
        <v>8150</v>
      </c>
      <c r="E1679" s="7" t="s">
        <v>1695</v>
      </c>
      <c r="F1679" s="7" t="s">
        <v>1696</v>
      </c>
    </row>
    <row r="1680">
      <c r="A1680" s="7" t="s">
        <v>4843</v>
      </c>
      <c r="B1680" s="7" t="s">
        <v>304</v>
      </c>
      <c r="C1680" s="7" t="s">
        <v>1066</v>
      </c>
      <c r="D1680" s="7" t="s">
        <v>8151</v>
      </c>
      <c r="E1680" s="7" t="s">
        <v>1695</v>
      </c>
      <c r="F1680" s="7" t="s">
        <v>1696</v>
      </c>
    </row>
    <row r="1681">
      <c r="A1681" s="7" t="s">
        <v>3545</v>
      </c>
      <c r="B1681" s="7" t="s">
        <v>3546</v>
      </c>
      <c r="C1681" s="7" t="s">
        <v>3547</v>
      </c>
      <c r="D1681" s="7" t="s">
        <v>8152</v>
      </c>
      <c r="E1681" s="7" t="s">
        <v>1695</v>
      </c>
      <c r="F1681" s="7" t="s">
        <v>1696</v>
      </c>
    </row>
    <row r="1682">
      <c r="A1682" s="7" t="s">
        <v>6334</v>
      </c>
      <c r="B1682" s="7" t="s">
        <v>6335</v>
      </c>
      <c r="C1682" s="7" t="s">
        <v>1607</v>
      </c>
      <c r="D1682" s="7" t="s">
        <v>8153</v>
      </c>
      <c r="E1682" s="7" t="s">
        <v>1695</v>
      </c>
      <c r="F1682" s="7" t="s">
        <v>6318</v>
      </c>
    </row>
    <row r="1683">
      <c r="A1683" s="7" t="s">
        <v>5665</v>
      </c>
      <c r="B1683" s="7" t="s">
        <v>466</v>
      </c>
      <c r="C1683" s="7" t="s">
        <v>5666</v>
      </c>
      <c r="D1683" s="7" t="s">
        <v>8154</v>
      </c>
      <c r="E1683" s="7" t="s">
        <v>1695</v>
      </c>
      <c r="F1683" s="7" t="s">
        <v>1696</v>
      </c>
    </row>
    <row r="1684">
      <c r="A1684" s="7" t="s">
        <v>3525</v>
      </c>
      <c r="B1684" s="7" t="s">
        <v>2535</v>
      </c>
      <c r="C1684" s="7" t="s">
        <v>1882</v>
      </c>
      <c r="D1684" s="7" t="s">
        <v>8155</v>
      </c>
      <c r="E1684" s="7" t="s">
        <v>1695</v>
      </c>
      <c r="F1684" s="7" t="s">
        <v>1696</v>
      </c>
    </row>
    <row r="1685">
      <c r="A1685" s="7" t="s">
        <v>1762</v>
      </c>
      <c r="B1685" s="7" t="s">
        <v>1763</v>
      </c>
      <c r="C1685" s="7" t="s">
        <v>1764</v>
      </c>
      <c r="D1685" s="7" t="s">
        <v>8156</v>
      </c>
      <c r="E1685" s="7" t="s">
        <v>1695</v>
      </c>
      <c r="F1685" s="7" t="s">
        <v>1696</v>
      </c>
    </row>
    <row r="1686">
      <c r="A1686" s="7" t="s">
        <v>3239</v>
      </c>
      <c r="B1686" s="7" t="s">
        <v>3240</v>
      </c>
      <c r="C1686" s="7" t="s">
        <v>3241</v>
      </c>
      <c r="D1686" s="7" t="s">
        <v>8156</v>
      </c>
      <c r="E1686" s="7" t="s">
        <v>1695</v>
      </c>
      <c r="F1686" s="7" t="s">
        <v>1696</v>
      </c>
    </row>
    <row r="1687">
      <c r="A1687" s="7" t="s">
        <v>6234</v>
      </c>
      <c r="B1687" s="7" t="s">
        <v>111</v>
      </c>
      <c r="C1687" s="7" t="s">
        <v>189</v>
      </c>
      <c r="D1687" s="7" t="s">
        <v>8157</v>
      </c>
      <c r="E1687" s="7" t="s">
        <v>1695</v>
      </c>
      <c r="F1687" s="7" t="s">
        <v>1696</v>
      </c>
    </row>
    <row r="1688">
      <c r="A1688" s="7" t="s">
        <v>3610</v>
      </c>
      <c r="B1688" s="7" t="s">
        <v>3611</v>
      </c>
      <c r="C1688" s="7" t="s">
        <v>1271</v>
      </c>
      <c r="D1688" s="7" t="s">
        <v>8158</v>
      </c>
      <c r="E1688" s="7" t="s">
        <v>1695</v>
      </c>
      <c r="F1688" s="7" t="s">
        <v>1696</v>
      </c>
    </row>
    <row r="1689">
      <c r="A1689" s="7" t="s">
        <v>5231</v>
      </c>
      <c r="B1689" s="7" t="s">
        <v>328</v>
      </c>
      <c r="C1689" s="7" t="s">
        <v>559</v>
      </c>
      <c r="D1689" s="7" t="s">
        <v>8159</v>
      </c>
      <c r="E1689" s="7" t="s">
        <v>1695</v>
      </c>
      <c r="F1689" s="7" t="s">
        <v>1696</v>
      </c>
    </row>
    <row r="1690">
      <c r="A1690" s="7" t="s">
        <v>4893</v>
      </c>
      <c r="B1690" s="7" t="s">
        <v>98</v>
      </c>
      <c r="C1690" s="7" t="s">
        <v>4894</v>
      </c>
      <c r="D1690" s="7" t="s">
        <v>8160</v>
      </c>
      <c r="E1690" s="7" t="s">
        <v>1695</v>
      </c>
      <c r="F1690" s="7" t="s">
        <v>1696</v>
      </c>
    </row>
    <row r="1691">
      <c r="A1691" s="7" t="s">
        <v>6422</v>
      </c>
      <c r="B1691" s="7" t="s">
        <v>583</v>
      </c>
      <c r="C1691" s="7" t="s">
        <v>6423</v>
      </c>
      <c r="D1691" s="7" t="s">
        <v>8161</v>
      </c>
      <c r="E1691" s="7" t="s">
        <v>1695</v>
      </c>
      <c r="F1691" s="7" t="s">
        <v>6318</v>
      </c>
    </row>
    <row r="1692">
      <c r="A1692" s="7" t="s">
        <v>1692</v>
      </c>
      <c r="B1692" s="7" t="s">
        <v>1693</v>
      </c>
      <c r="C1692" s="7" t="s">
        <v>1694</v>
      </c>
      <c r="D1692" s="7" t="s">
        <v>8162</v>
      </c>
      <c r="E1692" s="7" t="s">
        <v>1695</v>
      </c>
      <c r="F1692" s="7" t="s">
        <v>1696</v>
      </c>
    </row>
    <row r="1693">
      <c r="A1693" s="7" t="s">
        <v>6202</v>
      </c>
      <c r="B1693" s="7" t="s">
        <v>6203</v>
      </c>
      <c r="C1693" s="7" t="s">
        <v>115</v>
      </c>
      <c r="D1693" s="7" t="s">
        <v>8163</v>
      </c>
      <c r="E1693" s="7" t="s">
        <v>1695</v>
      </c>
      <c r="F1693" s="7" t="s">
        <v>1696</v>
      </c>
    </row>
    <row r="1694">
      <c r="A1694" s="7" t="s">
        <v>2075</v>
      </c>
      <c r="B1694" s="7" t="s">
        <v>534</v>
      </c>
      <c r="C1694" s="7" t="s">
        <v>1584</v>
      </c>
      <c r="D1694" s="7" t="s">
        <v>8164</v>
      </c>
      <c r="E1694" s="7" t="s">
        <v>1695</v>
      </c>
      <c r="F1694" s="7" t="s">
        <v>1696</v>
      </c>
    </row>
    <row r="1695">
      <c r="A1695" s="7" t="s">
        <v>5096</v>
      </c>
      <c r="B1695" s="7" t="s">
        <v>5097</v>
      </c>
      <c r="C1695" s="7" t="s">
        <v>5098</v>
      </c>
      <c r="D1695" s="7" t="s">
        <v>8165</v>
      </c>
      <c r="E1695" s="7" t="s">
        <v>1695</v>
      </c>
      <c r="F1695" s="7" t="s">
        <v>1696</v>
      </c>
    </row>
    <row r="1696">
      <c r="A1696" s="7" t="s">
        <v>5140</v>
      </c>
      <c r="B1696" s="7" t="s">
        <v>5141</v>
      </c>
      <c r="C1696" s="7" t="s">
        <v>5142</v>
      </c>
      <c r="D1696" s="7" t="s">
        <v>8166</v>
      </c>
      <c r="E1696" s="7" t="s">
        <v>1695</v>
      </c>
      <c r="F1696" s="7" t="s">
        <v>1696</v>
      </c>
    </row>
    <row r="1697">
      <c r="A1697" s="7" t="s">
        <v>2245</v>
      </c>
      <c r="B1697" s="7" t="s">
        <v>719</v>
      </c>
      <c r="C1697" s="7" t="s">
        <v>218</v>
      </c>
      <c r="D1697" s="7" t="s">
        <v>8167</v>
      </c>
      <c r="E1697" s="7" t="s">
        <v>1695</v>
      </c>
      <c r="F1697" s="7" t="s">
        <v>1696</v>
      </c>
    </row>
    <row r="1698">
      <c r="A1698" s="7" t="s">
        <v>5513</v>
      </c>
      <c r="B1698" s="7" t="s">
        <v>653</v>
      </c>
      <c r="C1698" s="7" t="s">
        <v>2724</v>
      </c>
      <c r="D1698" s="7" t="s">
        <v>8168</v>
      </c>
      <c r="E1698" s="7" t="s">
        <v>1695</v>
      </c>
      <c r="F1698" s="7" t="s">
        <v>1696</v>
      </c>
    </row>
    <row r="1699">
      <c r="A1699" s="7" t="s">
        <v>4304</v>
      </c>
      <c r="B1699" s="7" t="s">
        <v>3803</v>
      </c>
      <c r="C1699" s="7" t="s">
        <v>4305</v>
      </c>
      <c r="D1699" s="7" t="s">
        <v>8169</v>
      </c>
      <c r="E1699" s="7" t="s">
        <v>1695</v>
      </c>
      <c r="F1699" s="7" t="s">
        <v>1696</v>
      </c>
    </row>
    <row r="1700">
      <c r="A1700" s="7" t="s">
        <v>5529</v>
      </c>
      <c r="B1700" s="7" t="s">
        <v>4955</v>
      </c>
      <c r="C1700" s="7" t="s">
        <v>5530</v>
      </c>
      <c r="D1700" s="7" t="s">
        <v>8170</v>
      </c>
      <c r="E1700" s="7" t="s">
        <v>1695</v>
      </c>
      <c r="F1700" s="7" t="s">
        <v>1696</v>
      </c>
    </row>
    <row r="1701">
      <c r="A1701" s="7" t="s">
        <v>1712</v>
      </c>
      <c r="B1701" s="7" t="s">
        <v>1713</v>
      </c>
      <c r="C1701" s="7" t="s">
        <v>1130</v>
      </c>
      <c r="D1701" s="7" t="s">
        <v>8171</v>
      </c>
      <c r="E1701" s="7" t="s">
        <v>1695</v>
      </c>
      <c r="F1701" s="7" t="s">
        <v>1696</v>
      </c>
    </row>
    <row r="1702">
      <c r="A1702" s="7" t="s">
        <v>3966</v>
      </c>
      <c r="B1702" s="7" t="s">
        <v>1104</v>
      </c>
      <c r="C1702" s="7" t="s">
        <v>3967</v>
      </c>
      <c r="D1702" s="7" t="s">
        <v>8172</v>
      </c>
      <c r="E1702" s="7" t="s">
        <v>1695</v>
      </c>
      <c r="F1702" s="7" t="s">
        <v>1696</v>
      </c>
    </row>
    <row r="1703">
      <c r="A1703" s="7" t="s">
        <v>4288</v>
      </c>
      <c r="B1703" s="7" t="s">
        <v>4289</v>
      </c>
      <c r="C1703" s="7" t="s">
        <v>4290</v>
      </c>
      <c r="D1703" s="7" t="s">
        <v>8173</v>
      </c>
      <c r="E1703" s="7" t="s">
        <v>1695</v>
      </c>
      <c r="F1703" s="7" t="s">
        <v>1696</v>
      </c>
    </row>
    <row r="1704">
      <c r="A1704" s="7" t="s">
        <v>1842</v>
      </c>
      <c r="B1704" s="7" t="s">
        <v>1843</v>
      </c>
      <c r="C1704" s="7" t="s">
        <v>1351</v>
      </c>
      <c r="D1704" s="7" t="s">
        <v>8174</v>
      </c>
      <c r="E1704" s="7" t="s">
        <v>1695</v>
      </c>
      <c r="F1704" s="7" t="s">
        <v>1696</v>
      </c>
    </row>
    <row r="1705">
      <c r="A1705" s="7" t="s">
        <v>4272</v>
      </c>
      <c r="B1705" s="7" t="s">
        <v>4273</v>
      </c>
      <c r="C1705" s="7" t="s">
        <v>4274</v>
      </c>
      <c r="D1705" s="7" t="s">
        <v>8175</v>
      </c>
      <c r="E1705" s="7" t="s">
        <v>1695</v>
      </c>
      <c r="F1705" s="7" t="s">
        <v>1696</v>
      </c>
    </row>
    <row r="1706">
      <c r="A1706" s="7" t="s">
        <v>4316</v>
      </c>
      <c r="B1706" s="7" t="s">
        <v>4317</v>
      </c>
      <c r="C1706" s="7" t="s">
        <v>4318</v>
      </c>
      <c r="D1706" s="7" t="s">
        <v>8176</v>
      </c>
      <c r="E1706" s="7" t="s">
        <v>1695</v>
      </c>
      <c r="F1706" s="7" t="s">
        <v>1696</v>
      </c>
    </row>
    <row r="1707">
      <c r="A1707" s="7" t="s">
        <v>3851</v>
      </c>
      <c r="B1707" s="7" t="s">
        <v>3852</v>
      </c>
      <c r="C1707" s="7" t="s">
        <v>3853</v>
      </c>
      <c r="D1707" s="7" t="s">
        <v>8177</v>
      </c>
      <c r="E1707" s="7" t="s">
        <v>1695</v>
      </c>
      <c r="F1707" s="7" t="s">
        <v>1696</v>
      </c>
    </row>
    <row r="1708">
      <c r="A1708" s="7" t="s">
        <v>6062</v>
      </c>
      <c r="B1708" s="7" t="s">
        <v>404</v>
      </c>
      <c r="C1708" s="7" t="s">
        <v>6063</v>
      </c>
      <c r="D1708" s="7" t="s">
        <v>8178</v>
      </c>
      <c r="E1708" s="7" t="s">
        <v>1695</v>
      </c>
      <c r="F1708" s="7" t="s">
        <v>1696</v>
      </c>
    </row>
    <row r="1709">
      <c r="A1709" s="7" t="s">
        <v>3589</v>
      </c>
      <c r="B1709" s="7" t="s">
        <v>3590</v>
      </c>
      <c r="C1709" s="7" t="s">
        <v>387</v>
      </c>
      <c r="D1709" s="7" t="s">
        <v>8179</v>
      </c>
      <c r="E1709" s="7" t="s">
        <v>1695</v>
      </c>
      <c r="F1709" s="7" t="s">
        <v>1696</v>
      </c>
    </row>
    <row r="1710">
      <c r="A1710" s="7" t="s">
        <v>2356</v>
      </c>
      <c r="B1710" s="7" t="s">
        <v>386</v>
      </c>
      <c r="C1710" s="7" t="s">
        <v>2357</v>
      </c>
      <c r="D1710" s="7" t="s">
        <v>8180</v>
      </c>
      <c r="E1710" s="7" t="s">
        <v>1695</v>
      </c>
      <c r="F1710" s="7" t="s">
        <v>1696</v>
      </c>
    </row>
    <row r="1711">
      <c r="A1711" s="7" t="s">
        <v>2623</v>
      </c>
      <c r="B1711" s="7" t="s">
        <v>2624</v>
      </c>
      <c r="C1711" s="7" t="s">
        <v>2625</v>
      </c>
      <c r="D1711" s="7" t="s">
        <v>8181</v>
      </c>
      <c r="E1711" s="7" t="s">
        <v>1695</v>
      </c>
      <c r="F1711" s="7" t="s">
        <v>1696</v>
      </c>
    </row>
    <row r="1712">
      <c r="A1712" s="7" t="s">
        <v>3652</v>
      </c>
      <c r="B1712" s="7" t="s">
        <v>432</v>
      </c>
      <c r="C1712" s="7" t="s">
        <v>64</v>
      </c>
      <c r="D1712" s="7" t="s">
        <v>8182</v>
      </c>
      <c r="E1712" s="7" t="s">
        <v>1695</v>
      </c>
      <c r="F1712" s="7" t="s">
        <v>1696</v>
      </c>
    </row>
    <row r="1713">
      <c r="A1713" s="7" t="s">
        <v>3520</v>
      </c>
      <c r="B1713" s="7" t="s">
        <v>760</v>
      </c>
      <c r="C1713" s="7" t="s">
        <v>613</v>
      </c>
      <c r="D1713" s="7" t="s">
        <v>8183</v>
      </c>
      <c r="E1713" s="7" t="s">
        <v>1695</v>
      </c>
      <c r="F1713" s="7" t="s">
        <v>1696</v>
      </c>
    </row>
    <row r="1714">
      <c r="A1714" s="7" t="s">
        <v>4135</v>
      </c>
      <c r="B1714" s="7" t="s">
        <v>4136</v>
      </c>
      <c r="C1714" s="7" t="s">
        <v>4137</v>
      </c>
      <c r="D1714" s="7" t="s">
        <v>8184</v>
      </c>
      <c r="E1714" s="7" t="s">
        <v>1695</v>
      </c>
      <c r="F1714" s="7" t="s">
        <v>1696</v>
      </c>
    </row>
    <row r="1715">
      <c r="A1715" s="7" t="s">
        <v>3676</v>
      </c>
      <c r="B1715" s="7" t="s">
        <v>2535</v>
      </c>
      <c r="C1715" s="7" t="s">
        <v>3677</v>
      </c>
      <c r="D1715" s="7" t="s">
        <v>8185</v>
      </c>
      <c r="E1715" s="7" t="s">
        <v>1695</v>
      </c>
      <c r="F1715" s="7" t="s">
        <v>1696</v>
      </c>
    </row>
    <row r="1716">
      <c r="A1716" s="7" t="s">
        <v>5982</v>
      </c>
      <c r="B1716" s="7" t="s">
        <v>481</v>
      </c>
      <c r="C1716" s="7" t="s">
        <v>189</v>
      </c>
      <c r="D1716" s="7" t="s">
        <v>8186</v>
      </c>
      <c r="E1716" s="7" t="s">
        <v>1695</v>
      </c>
      <c r="F1716" s="7" t="s">
        <v>1696</v>
      </c>
    </row>
    <row r="1717">
      <c r="A1717" s="7" t="s">
        <v>6383</v>
      </c>
      <c r="B1717" s="7" t="s">
        <v>760</v>
      </c>
      <c r="C1717" s="7" t="s">
        <v>6384</v>
      </c>
      <c r="D1717" s="7" t="s">
        <v>8187</v>
      </c>
      <c r="E1717" s="7" t="s">
        <v>1695</v>
      </c>
      <c r="F1717" s="7" t="s">
        <v>6318</v>
      </c>
    </row>
    <row r="1718">
      <c r="A1718" s="7" t="s">
        <v>5058</v>
      </c>
      <c r="B1718" s="7" t="s">
        <v>409</v>
      </c>
      <c r="C1718" s="7" t="s">
        <v>4703</v>
      </c>
      <c r="D1718" s="7" t="s">
        <v>8188</v>
      </c>
      <c r="E1718" s="7" t="s">
        <v>1695</v>
      </c>
      <c r="F1718" s="7" t="s">
        <v>1696</v>
      </c>
    </row>
    <row r="1719">
      <c r="A1719" s="7" t="s">
        <v>5478</v>
      </c>
      <c r="B1719" s="7" t="s">
        <v>5479</v>
      </c>
      <c r="C1719" s="7" t="s">
        <v>4315</v>
      </c>
      <c r="D1719" s="7" t="s">
        <v>8189</v>
      </c>
      <c r="E1719" s="7" t="s">
        <v>1695</v>
      </c>
      <c r="F1719" s="7" t="s">
        <v>1696</v>
      </c>
    </row>
    <row r="1720">
      <c r="A1720" s="7" t="s">
        <v>2192</v>
      </c>
      <c r="B1720" s="7" t="s">
        <v>254</v>
      </c>
      <c r="C1720" s="7" t="s">
        <v>255</v>
      </c>
      <c r="D1720" s="7" t="s">
        <v>8190</v>
      </c>
      <c r="E1720" s="7" t="s">
        <v>1695</v>
      </c>
      <c r="F1720" s="7" t="s">
        <v>1696</v>
      </c>
    </row>
    <row r="1721">
      <c r="A1721" s="7" t="s">
        <v>2971</v>
      </c>
      <c r="B1721" s="7" t="s">
        <v>2972</v>
      </c>
      <c r="C1721" s="7" t="s">
        <v>2973</v>
      </c>
      <c r="D1721" s="7" t="s">
        <v>8191</v>
      </c>
      <c r="E1721" s="7" t="s">
        <v>1695</v>
      </c>
      <c r="F1721" s="7" t="s">
        <v>1696</v>
      </c>
    </row>
    <row r="1722">
      <c r="A1722" s="7" t="s">
        <v>4781</v>
      </c>
      <c r="B1722" s="7" t="s">
        <v>4782</v>
      </c>
      <c r="C1722" s="7" t="s">
        <v>3772</v>
      </c>
      <c r="D1722" s="7" t="s">
        <v>8192</v>
      </c>
      <c r="E1722" s="7" t="s">
        <v>1695</v>
      </c>
      <c r="F1722" s="7" t="s">
        <v>1696</v>
      </c>
    </row>
    <row r="1723">
      <c r="A1723" s="7" t="s">
        <v>1895</v>
      </c>
      <c r="B1723" s="7" t="s">
        <v>468</v>
      </c>
      <c r="C1723" s="7" t="s">
        <v>1896</v>
      </c>
      <c r="D1723" s="7" t="s">
        <v>8193</v>
      </c>
      <c r="E1723" s="7" t="s">
        <v>1695</v>
      </c>
      <c r="F1723" s="7" t="s">
        <v>1696</v>
      </c>
    </row>
    <row r="1724">
      <c r="A1724" s="7" t="s">
        <v>2887</v>
      </c>
      <c r="B1724" s="7" t="s">
        <v>468</v>
      </c>
      <c r="C1724" s="7" t="s">
        <v>2888</v>
      </c>
      <c r="D1724" s="7" t="s">
        <v>8194</v>
      </c>
      <c r="E1724" s="7" t="s">
        <v>1695</v>
      </c>
      <c r="F1724" s="7" t="s">
        <v>1696</v>
      </c>
    </row>
    <row r="1725">
      <c r="A1725" s="7" t="s">
        <v>2154</v>
      </c>
      <c r="B1725" s="7" t="s">
        <v>2155</v>
      </c>
      <c r="C1725" s="7" t="s">
        <v>2156</v>
      </c>
      <c r="D1725" s="7" t="s">
        <v>8195</v>
      </c>
      <c r="E1725" s="7" t="s">
        <v>1695</v>
      </c>
      <c r="F1725" s="7" t="s">
        <v>1696</v>
      </c>
    </row>
    <row r="1726">
      <c r="A1726" s="7" t="s">
        <v>4003</v>
      </c>
      <c r="B1726" s="7" t="s">
        <v>4004</v>
      </c>
      <c r="C1726" s="7" t="s">
        <v>3919</v>
      </c>
      <c r="D1726" s="7" t="s">
        <v>8196</v>
      </c>
      <c r="E1726" s="7" t="s">
        <v>1695</v>
      </c>
      <c r="F1726" s="7" t="s">
        <v>1696</v>
      </c>
    </row>
    <row r="1727">
      <c r="A1727" s="7" t="s">
        <v>4904</v>
      </c>
      <c r="B1727" s="7" t="s">
        <v>4905</v>
      </c>
      <c r="C1727" s="7" t="s">
        <v>4906</v>
      </c>
      <c r="D1727" s="7" t="s">
        <v>8197</v>
      </c>
      <c r="E1727" s="7" t="s">
        <v>1695</v>
      </c>
      <c r="F1727" s="7" t="s">
        <v>1696</v>
      </c>
    </row>
    <row r="1728">
      <c r="A1728" s="7" t="s">
        <v>5603</v>
      </c>
      <c r="B1728" s="7" t="s">
        <v>5604</v>
      </c>
      <c r="C1728" s="7" t="s">
        <v>5605</v>
      </c>
      <c r="D1728" s="7" t="s">
        <v>8198</v>
      </c>
      <c r="E1728" s="7" t="s">
        <v>1695</v>
      </c>
      <c r="F1728" s="7" t="s">
        <v>1696</v>
      </c>
    </row>
    <row r="1729">
      <c r="A1729" s="7" t="s">
        <v>5852</v>
      </c>
      <c r="B1729" s="7" t="s">
        <v>279</v>
      </c>
      <c r="C1729" s="7" t="s">
        <v>1314</v>
      </c>
      <c r="D1729" s="7" t="s">
        <v>8199</v>
      </c>
      <c r="E1729" s="7" t="s">
        <v>1695</v>
      </c>
      <c r="F1729" s="7" t="s">
        <v>1696</v>
      </c>
    </row>
    <row r="1730">
      <c r="A1730" s="7" t="s">
        <v>4128</v>
      </c>
      <c r="B1730" s="7" t="s">
        <v>188</v>
      </c>
      <c r="C1730" s="7" t="s">
        <v>4129</v>
      </c>
      <c r="D1730" s="7" t="s">
        <v>8200</v>
      </c>
      <c r="E1730" s="7" t="s">
        <v>1695</v>
      </c>
      <c r="F1730" s="7" t="s">
        <v>1696</v>
      </c>
    </row>
    <row r="1731">
      <c r="A1731" s="7" t="s">
        <v>2148</v>
      </c>
      <c r="B1731" s="7" t="s">
        <v>2149</v>
      </c>
      <c r="C1731" s="7" t="s">
        <v>2150</v>
      </c>
      <c r="D1731" s="7" t="s">
        <v>8201</v>
      </c>
      <c r="E1731" s="7" t="s">
        <v>1695</v>
      </c>
      <c r="F1731" s="7" t="s">
        <v>1696</v>
      </c>
    </row>
    <row r="1732">
      <c r="A1732" s="7" t="s">
        <v>6195</v>
      </c>
      <c r="B1732" s="7" t="s">
        <v>3505</v>
      </c>
      <c r="C1732" s="7" t="s">
        <v>221</v>
      </c>
      <c r="D1732" s="7" t="s">
        <v>8202</v>
      </c>
      <c r="E1732" s="7" t="s">
        <v>1695</v>
      </c>
      <c r="F1732" s="7" t="s">
        <v>1696</v>
      </c>
    </row>
    <row r="1733">
      <c r="A1733" s="7" t="s">
        <v>6163</v>
      </c>
      <c r="B1733" s="7" t="s">
        <v>4656</v>
      </c>
      <c r="C1733" s="7" t="s">
        <v>946</v>
      </c>
      <c r="D1733" s="7" t="s">
        <v>8203</v>
      </c>
      <c r="E1733" s="7" t="s">
        <v>1695</v>
      </c>
      <c r="F1733" s="7" t="s">
        <v>1696</v>
      </c>
    </row>
    <row r="1734">
      <c r="A1734" s="7" t="s">
        <v>1751</v>
      </c>
      <c r="B1734" s="7" t="s">
        <v>1752</v>
      </c>
      <c r="C1734" s="7" t="s">
        <v>1656</v>
      </c>
      <c r="D1734" s="7" t="s">
        <v>8204</v>
      </c>
      <c r="E1734" s="7" t="s">
        <v>1695</v>
      </c>
      <c r="F1734" s="7" t="s">
        <v>1696</v>
      </c>
    </row>
    <row r="1735">
      <c r="A1735" s="7" t="s">
        <v>6056</v>
      </c>
      <c r="B1735" s="7" t="s">
        <v>189</v>
      </c>
      <c r="C1735" s="7" t="s">
        <v>6057</v>
      </c>
      <c r="D1735" s="7" t="s">
        <v>8205</v>
      </c>
      <c r="E1735" s="7" t="s">
        <v>1695</v>
      </c>
      <c r="F1735" s="7" t="s">
        <v>1696</v>
      </c>
    </row>
    <row r="1736">
      <c r="A1736" s="7" t="s">
        <v>3008</v>
      </c>
      <c r="B1736" s="7" t="s">
        <v>3009</v>
      </c>
      <c r="C1736" s="7" t="s">
        <v>2084</v>
      </c>
      <c r="D1736" s="7" t="s">
        <v>8206</v>
      </c>
      <c r="E1736" s="7" t="s">
        <v>1695</v>
      </c>
      <c r="F1736" s="7" t="s">
        <v>1696</v>
      </c>
    </row>
    <row r="1737">
      <c r="A1737" s="7" t="s">
        <v>2489</v>
      </c>
      <c r="B1737" s="7" t="s">
        <v>2490</v>
      </c>
      <c r="C1737" s="7" t="s">
        <v>683</v>
      </c>
      <c r="D1737" s="7" t="s">
        <v>8207</v>
      </c>
      <c r="E1737" s="7" t="s">
        <v>1695</v>
      </c>
      <c r="F1737" s="7" t="s">
        <v>1696</v>
      </c>
    </row>
    <row r="1738">
      <c r="A1738" s="7" t="s">
        <v>3734</v>
      </c>
      <c r="B1738" s="7" t="s">
        <v>3735</v>
      </c>
      <c r="C1738" s="7" t="s">
        <v>2758</v>
      </c>
      <c r="D1738" s="7" t="s">
        <v>8208</v>
      </c>
      <c r="E1738" s="7" t="s">
        <v>1695</v>
      </c>
      <c r="F1738" s="7" t="s">
        <v>1696</v>
      </c>
    </row>
    <row r="1739">
      <c r="A1739" s="7" t="s">
        <v>3251</v>
      </c>
      <c r="B1739" s="7" t="s">
        <v>276</v>
      </c>
      <c r="C1739" s="7" t="s">
        <v>229</v>
      </c>
      <c r="D1739" s="7" t="s">
        <v>8209</v>
      </c>
      <c r="E1739" s="7" t="s">
        <v>1695</v>
      </c>
      <c r="F1739" s="7" t="s">
        <v>1696</v>
      </c>
    </row>
    <row r="1740">
      <c r="A1740" s="7" t="s">
        <v>1944</v>
      </c>
      <c r="B1740" s="7" t="s">
        <v>877</v>
      </c>
      <c r="C1740" s="7" t="s">
        <v>1945</v>
      </c>
      <c r="D1740" s="7" t="s">
        <v>8210</v>
      </c>
      <c r="E1740" s="7" t="s">
        <v>1695</v>
      </c>
      <c r="F1740" s="7" t="s">
        <v>1696</v>
      </c>
    </row>
    <row r="1741">
      <c r="A1741" s="7" t="s">
        <v>4614</v>
      </c>
      <c r="B1741" s="7" t="s">
        <v>3835</v>
      </c>
      <c r="C1741" s="7" t="s">
        <v>2355</v>
      </c>
      <c r="D1741" s="7" t="s">
        <v>8211</v>
      </c>
      <c r="E1741" s="7" t="s">
        <v>1695</v>
      </c>
      <c r="F1741" s="7" t="s">
        <v>1696</v>
      </c>
    </row>
    <row r="1742">
      <c r="A1742" s="7" t="s">
        <v>4064</v>
      </c>
      <c r="B1742" s="7" t="s">
        <v>4065</v>
      </c>
      <c r="C1742" s="7" t="s">
        <v>4066</v>
      </c>
      <c r="D1742" s="7" t="s">
        <v>8212</v>
      </c>
      <c r="E1742" s="7" t="s">
        <v>1695</v>
      </c>
      <c r="F1742" s="7" t="s">
        <v>1696</v>
      </c>
    </row>
    <row r="1743">
      <c r="A1743" s="7" t="s">
        <v>5080</v>
      </c>
      <c r="B1743" s="7" t="s">
        <v>484</v>
      </c>
      <c r="C1743" s="7" t="s">
        <v>783</v>
      </c>
      <c r="D1743" s="7" t="s">
        <v>8213</v>
      </c>
      <c r="E1743" s="7" t="s">
        <v>1695</v>
      </c>
      <c r="F1743" s="7" t="s">
        <v>1696</v>
      </c>
    </row>
    <row r="1744">
      <c r="A1744" s="7" t="s">
        <v>5735</v>
      </c>
      <c r="B1744" s="7" t="s">
        <v>4482</v>
      </c>
      <c r="C1744" s="7" t="s">
        <v>5688</v>
      </c>
      <c r="D1744" s="7" t="s">
        <v>8214</v>
      </c>
      <c r="E1744" s="7" t="s">
        <v>1695</v>
      </c>
      <c r="F1744" s="7" t="s">
        <v>1696</v>
      </c>
    </row>
    <row r="1745">
      <c r="A1745" s="7" t="s">
        <v>2479</v>
      </c>
      <c r="B1745" s="7" t="s">
        <v>2480</v>
      </c>
      <c r="C1745" s="7" t="s">
        <v>2481</v>
      </c>
      <c r="D1745" s="7" t="s">
        <v>8215</v>
      </c>
      <c r="E1745" s="7" t="s">
        <v>1695</v>
      </c>
      <c r="F1745" s="7" t="s">
        <v>1696</v>
      </c>
    </row>
    <row r="1746">
      <c r="A1746" s="7" t="s">
        <v>3678</v>
      </c>
      <c r="B1746" s="7" t="s">
        <v>267</v>
      </c>
      <c r="C1746" s="7" t="s">
        <v>1193</v>
      </c>
      <c r="D1746" s="7" t="s">
        <v>8216</v>
      </c>
      <c r="E1746" s="7" t="s">
        <v>1695</v>
      </c>
      <c r="F1746" s="7" t="s">
        <v>1696</v>
      </c>
    </row>
    <row r="1747">
      <c r="A1747" s="7" t="s">
        <v>3901</v>
      </c>
      <c r="B1747" s="7" t="s">
        <v>3902</v>
      </c>
      <c r="C1747" s="7" t="s">
        <v>3903</v>
      </c>
      <c r="D1747" s="7" t="s">
        <v>8217</v>
      </c>
      <c r="E1747" s="7" t="s">
        <v>1695</v>
      </c>
      <c r="F1747" s="7" t="s">
        <v>1696</v>
      </c>
    </row>
    <row r="1748">
      <c r="A1748" s="7" t="s">
        <v>4352</v>
      </c>
      <c r="B1748" s="7" t="s">
        <v>4353</v>
      </c>
      <c r="C1748" s="7" t="s">
        <v>2724</v>
      </c>
      <c r="D1748" s="7" t="s">
        <v>8218</v>
      </c>
      <c r="E1748" s="7" t="s">
        <v>1695</v>
      </c>
      <c r="F1748" s="7" t="s">
        <v>1696</v>
      </c>
    </row>
    <row r="1749">
      <c r="A1749" s="7" t="s">
        <v>1747</v>
      </c>
      <c r="B1749" s="7" t="s">
        <v>1748</v>
      </c>
      <c r="C1749" s="7" t="s">
        <v>795</v>
      </c>
      <c r="D1749" s="7" t="s">
        <v>8219</v>
      </c>
      <c r="E1749" s="7" t="s">
        <v>1695</v>
      </c>
      <c r="F1749" s="7" t="s">
        <v>1696</v>
      </c>
    </row>
    <row r="1750">
      <c r="A1750" s="7" t="s">
        <v>3049</v>
      </c>
      <c r="B1750" s="7" t="s">
        <v>316</v>
      </c>
      <c r="C1750" s="7" t="s">
        <v>3050</v>
      </c>
      <c r="D1750" s="7" t="s">
        <v>8220</v>
      </c>
      <c r="E1750" s="7" t="s">
        <v>1695</v>
      </c>
      <c r="F1750" s="7" t="s">
        <v>1696</v>
      </c>
    </row>
    <row r="1751">
      <c r="A1751" s="7" t="s">
        <v>4338</v>
      </c>
      <c r="B1751" s="7" t="s">
        <v>120</v>
      </c>
      <c r="C1751" s="7" t="s">
        <v>4339</v>
      </c>
      <c r="D1751" s="7" t="s">
        <v>8221</v>
      </c>
      <c r="E1751" s="7" t="s">
        <v>1695</v>
      </c>
      <c r="F1751" s="7" t="s">
        <v>1696</v>
      </c>
    </row>
    <row r="1752">
      <c r="A1752" s="7" t="s">
        <v>5378</v>
      </c>
      <c r="B1752" s="7" t="s">
        <v>5379</v>
      </c>
      <c r="C1752" s="7" t="s">
        <v>5380</v>
      </c>
      <c r="D1752" s="7" t="s">
        <v>8222</v>
      </c>
      <c r="E1752" s="7" t="s">
        <v>1695</v>
      </c>
      <c r="F1752" s="7" t="s">
        <v>1696</v>
      </c>
    </row>
    <row r="1753">
      <c r="A1753" s="7" t="s">
        <v>4911</v>
      </c>
      <c r="B1753" s="7" t="s">
        <v>4764</v>
      </c>
      <c r="C1753" s="7" t="s">
        <v>1446</v>
      </c>
      <c r="D1753" s="7" t="s">
        <v>8223</v>
      </c>
      <c r="E1753" s="7" t="s">
        <v>1695</v>
      </c>
      <c r="F1753" s="7" t="s">
        <v>1696</v>
      </c>
    </row>
    <row r="1754">
      <c r="A1754" s="7" t="s">
        <v>5427</v>
      </c>
      <c r="B1754" s="7" t="s">
        <v>5428</v>
      </c>
      <c r="C1754" s="7" t="s">
        <v>5169</v>
      </c>
      <c r="D1754" s="7" t="s">
        <v>8224</v>
      </c>
      <c r="E1754" s="7" t="s">
        <v>1695</v>
      </c>
      <c r="F1754" s="7" t="s">
        <v>1696</v>
      </c>
    </row>
    <row r="1755">
      <c r="A1755" s="7" t="s">
        <v>3057</v>
      </c>
      <c r="B1755" s="7" t="s">
        <v>3058</v>
      </c>
      <c r="C1755" s="7" t="s">
        <v>3059</v>
      </c>
      <c r="D1755" s="7" t="s">
        <v>8225</v>
      </c>
      <c r="E1755" s="7" t="s">
        <v>1695</v>
      </c>
      <c r="F1755" s="7" t="s">
        <v>1696</v>
      </c>
    </row>
    <row r="1756">
      <c r="A1756" s="7" t="s">
        <v>5168</v>
      </c>
      <c r="B1756" s="7" t="s">
        <v>5169</v>
      </c>
      <c r="C1756" s="7" t="s">
        <v>5170</v>
      </c>
      <c r="D1756" s="7" t="s">
        <v>8226</v>
      </c>
      <c r="E1756" s="7" t="s">
        <v>1695</v>
      </c>
      <c r="F1756" s="7" t="s">
        <v>1696</v>
      </c>
    </row>
    <row r="1757">
      <c r="A1757" s="7" t="s">
        <v>6037</v>
      </c>
      <c r="B1757" s="7" t="s">
        <v>270</v>
      </c>
      <c r="C1757" s="7" t="s">
        <v>328</v>
      </c>
      <c r="D1757" s="7" t="s">
        <v>8227</v>
      </c>
      <c r="E1757" s="7" t="s">
        <v>1695</v>
      </c>
      <c r="F1757" s="7" t="s">
        <v>1696</v>
      </c>
    </row>
    <row r="1758">
      <c r="A1758" s="7" t="s">
        <v>5223</v>
      </c>
      <c r="B1758" s="7" t="s">
        <v>1269</v>
      </c>
      <c r="C1758" s="7" t="s">
        <v>2128</v>
      </c>
      <c r="D1758" s="7" t="s">
        <v>8228</v>
      </c>
      <c r="E1758" s="7" t="s">
        <v>1695</v>
      </c>
      <c r="F1758" s="7" t="s">
        <v>1696</v>
      </c>
    </row>
    <row r="1759">
      <c r="A1759" s="7" t="s">
        <v>5676</v>
      </c>
      <c r="B1759" s="7" t="s">
        <v>4864</v>
      </c>
      <c r="C1759" s="7" t="s">
        <v>4502</v>
      </c>
      <c r="D1759" s="7" t="s">
        <v>8229</v>
      </c>
      <c r="E1759" s="7" t="s">
        <v>1695</v>
      </c>
      <c r="F1759" s="7" t="s">
        <v>1696</v>
      </c>
    </row>
    <row r="1760">
      <c r="A1760" s="7" t="s">
        <v>5645</v>
      </c>
      <c r="B1760" s="7" t="s">
        <v>58</v>
      </c>
      <c r="C1760" s="7" t="s">
        <v>274</v>
      </c>
      <c r="D1760" s="7" t="s">
        <v>8230</v>
      </c>
      <c r="E1760" s="7" t="s">
        <v>1695</v>
      </c>
      <c r="F1760" s="7" t="s">
        <v>1696</v>
      </c>
    </row>
    <row r="1761">
      <c r="A1761" s="7" t="s">
        <v>2660</v>
      </c>
      <c r="B1761" s="7" t="s">
        <v>2661</v>
      </c>
      <c r="C1761" s="7" t="s">
        <v>2662</v>
      </c>
      <c r="D1761" s="7" t="s">
        <v>8231</v>
      </c>
      <c r="E1761" s="7" t="s">
        <v>1695</v>
      </c>
      <c r="F1761" s="7" t="s">
        <v>1696</v>
      </c>
    </row>
    <row r="1762">
      <c r="A1762" s="7" t="s">
        <v>5698</v>
      </c>
      <c r="B1762" s="7" t="s">
        <v>1246</v>
      </c>
      <c r="C1762" s="7" t="s">
        <v>5699</v>
      </c>
      <c r="D1762" s="7" t="s">
        <v>8232</v>
      </c>
      <c r="E1762" s="7" t="s">
        <v>1695</v>
      </c>
      <c r="F1762" s="7" t="s">
        <v>1696</v>
      </c>
    </row>
    <row r="1763">
      <c r="A1763" s="7" t="s">
        <v>5232</v>
      </c>
      <c r="B1763" s="7" t="s">
        <v>5233</v>
      </c>
      <c r="C1763" s="7" t="s">
        <v>1356</v>
      </c>
      <c r="D1763" s="7" t="s">
        <v>8233</v>
      </c>
      <c r="E1763" s="7" t="s">
        <v>1695</v>
      </c>
      <c r="F1763" s="7" t="s">
        <v>1696</v>
      </c>
    </row>
    <row r="1764">
      <c r="A1764" s="7" t="s">
        <v>5161</v>
      </c>
      <c r="B1764" s="7" t="s">
        <v>5162</v>
      </c>
      <c r="C1764" s="7" t="s">
        <v>5163</v>
      </c>
      <c r="D1764" s="7" t="s">
        <v>8234</v>
      </c>
      <c r="E1764" s="7" t="s">
        <v>1695</v>
      </c>
      <c r="F1764" s="7" t="s">
        <v>1696</v>
      </c>
    </row>
    <row r="1765">
      <c r="A1765" s="7" t="s">
        <v>3591</v>
      </c>
      <c r="B1765" s="7" t="s">
        <v>918</v>
      </c>
      <c r="C1765" s="7" t="s">
        <v>1157</v>
      </c>
      <c r="D1765" s="7" t="s">
        <v>8235</v>
      </c>
      <c r="E1765" s="7" t="s">
        <v>1695</v>
      </c>
      <c r="F1765" s="7" t="s">
        <v>1696</v>
      </c>
    </row>
    <row r="1766">
      <c r="A1766" s="7" t="s">
        <v>4958</v>
      </c>
      <c r="B1766" s="7" t="s">
        <v>4959</v>
      </c>
      <c r="C1766" s="7" t="s">
        <v>4960</v>
      </c>
      <c r="D1766" s="7" t="s">
        <v>8236</v>
      </c>
      <c r="E1766" s="7" t="s">
        <v>1695</v>
      </c>
      <c r="F1766" s="7" t="s">
        <v>1696</v>
      </c>
    </row>
    <row r="1767">
      <c r="A1767" s="7" t="s">
        <v>3807</v>
      </c>
      <c r="B1767" s="7" t="s">
        <v>3808</v>
      </c>
      <c r="C1767" s="7" t="s">
        <v>3809</v>
      </c>
      <c r="D1767" s="7" t="s">
        <v>8237</v>
      </c>
      <c r="E1767" s="7" t="s">
        <v>1695</v>
      </c>
      <c r="F1767" s="7" t="s">
        <v>1696</v>
      </c>
    </row>
    <row r="1768">
      <c r="A1768" s="7" t="s">
        <v>2976</v>
      </c>
      <c r="B1768" s="7" t="s">
        <v>490</v>
      </c>
      <c r="C1768" s="7" t="s">
        <v>404</v>
      </c>
      <c r="D1768" s="7" t="s">
        <v>8238</v>
      </c>
      <c r="E1768" s="7" t="s">
        <v>1695</v>
      </c>
      <c r="F1768" s="7" t="s">
        <v>1696</v>
      </c>
    </row>
    <row r="1769">
      <c r="A1769" s="7" t="s">
        <v>4452</v>
      </c>
      <c r="B1769" s="7" t="s">
        <v>3947</v>
      </c>
      <c r="C1769" s="7" t="s">
        <v>4453</v>
      </c>
      <c r="D1769" s="7" t="s">
        <v>8239</v>
      </c>
      <c r="E1769" s="7" t="s">
        <v>1695</v>
      </c>
      <c r="F1769" s="7" t="s">
        <v>1696</v>
      </c>
    </row>
    <row r="1770">
      <c r="A1770" s="7" t="s">
        <v>2164</v>
      </c>
      <c r="B1770" s="7" t="s">
        <v>1867</v>
      </c>
      <c r="C1770" s="7" t="s">
        <v>671</v>
      </c>
      <c r="D1770" s="7" t="s">
        <v>8240</v>
      </c>
      <c r="E1770" s="7" t="s">
        <v>1695</v>
      </c>
      <c r="F1770" s="7" t="s">
        <v>1696</v>
      </c>
    </row>
    <row r="1771">
      <c r="A1771" s="7" t="s">
        <v>5567</v>
      </c>
      <c r="B1771" s="7" t="s">
        <v>490</v>
      </c>
      <c r="C1771" s="7" t="s">
        <v>58</v>
      </c>
      <c r="D1771" s="7" t="s">
        <v>8241</v>
      </c>
      <c r="E1771" s="7" t="s">
        <v>1695</v>
      </c>
      <c r="F1771" s="7" t="s">
        <v>1696</v>
      </c>
    </row>
    <row r="1772">
      <c r="A1772" s="7" t="s">
        <v>5212</v>
      </c>
      <c r="B1772" s="7" t="s">
        <v>5213</v>
      </c>
      <c r="C1772" s="7" t="s">
        <v>5214</v>
      </c>
      <c r="D1772" s="7" t="s">
        <v>8242</v>
      </c>
      <c r="E1772" s="7" t="s">
        <v>1695</v>
      </c>
      <c r="F1772" s="7" t="s">
        <v>1696</v>
      </c>
    </row>
    <row r="1773">
      <c r="A1773" s="7" t="s">
        <v>4591</v>
      </c>
      <c r="B1773" s="7" t="s">
        <v>3812</v>
      </c>
      <c r="C1773" s="7" t="s">
        <v>4592</v>
      </c>
      <c r="D1773" s="7" t="s">
        <v>8243</v>
      </c>
      <c r="E1773" s="7" t="s">
        <v>1695</v>
      </c>
      <c r="F1773" s="7" t="s">
        <v>1696</v>
      </c>
    </row>
    <row r="1774">
      <c r="A1774" s="7" t="s">
        <v>2498</v>
      </c>
      <c r="B1774" s="7" t="s">
        <v>2499</v>
      </c>
      <c r="C1774" s="7" t="s">
        <v>2500</v>
      </c>
      <c r="D1774" s="7" t="s">
        <v>8244</v>
      </c>
      <c r="E1774" s="7" t="s">
        <v>1695</v>
      </c>
      <c r="F1774" s="7" t="s">
        <v>1696</v>
      </c>
    </row>
    <row r="1775">
      <c r="A1775" s="7" t="s">
        <v>3532</v>
      </c>
      <c r="B1775" s="7" t="s">
        <v>3533</v>
      </c>
      <c r="C1775" s="7" t="s">
        <v>3534</v>
      </c>
      <c r="D1775" s="7" t="s">
        <v>8245</v>
      </c>
      <c r="E1775" s="7" t="s">
        <v>1695</v>
      </c>
      <c r="F1775" s="7" t="s">
        <v>1696</v>
      </c>
    </row>
    <row r="1776">
      <c r="A1776" s="7" t="s">
        <v>5009</v>
      </c>
      <c r="B1776" s="7" t="s">
        <v>5010</v>
      </c>
      <c r="C1776" s="7" t="s">
        <v>1112</v>
      </c>
      <c r="D1776" s="7" t="s">
        <v>8246</v>
      </c>
      <c r="E1776" s="7" t="s">
        <v>1695</v>
      </c>
      <c r="F1776" s="7" t="s">
        <v>1696</v>
      </c>
    </row>
    <row r="1777">
      <c r="A1777" s="7" t="s">
        <v>2581</v>
      </c>
      <c r="B1777" s="7" t="s">
        <v>2582</v>
      </c>
      <c r="C1777" s="7" t="s">
        <v>2583</v>
      </c>
      <c r="D1777" s="7" t="s">
        <v>8247</v>
      </c>
      <c r="E1777" s="7" t="s">
        <v>1695</v>
      </c>
      <c r="F1777" s="7" t="s">
        <v>1696</v>
      </c>
    </row>
    <row r="1778">
      <c r="A1778" s="7" t="s">
        <v>5999</v>
      </c>
      <c r="B1778" s="7" t="s">
        <v>6000</v>
      </c>
      <c r="C1778" s="7" t="s">
        <v>2118</v>
      </c>
      <c r="D1778" s="7" t="s">
        <v>8248</v>
      </c>
      <c r="E1778" s="7" t="s">
        <v>1695</v>
      </c>
      <c r="F1778" s="7" t="s">
        <v>1696</v>
      </c>
    </row>
    <row r="1779">
      <c r="A1779" s="7" t="s">
        <v>3936</v>
      </c>
      <c r="B1779" s="7" t="s">
        <v>151</v>
      </c>
      <c r="C1779" s="7" t="s">
        <v>596</v>
      </c>
      <c r="D1779" s="7" t="s">
        <v>8249</v>
      </c>
      <c r="E1779" s="7" t="s">
        <v>1695</v>
      </c>
      <c r="F1779" s="7" t="s">
        <v>1696</v>
      </c>
    </row>
    <row r="1780">
      <c r="A1780" s="7" t="s">
        <v>6019</v>
      </c>
      <c r="B1780" s="7" t="s">
        <v>6020</v>
      </c>
      <c r="C1780" s="7" t="s">
        <v>218</v>
      </c>
      <c r="D1780" s="7" t="s">
        <v>8250</v>
      </c>
      <c r="E1780" s="7" t="s">
        <v>1695</v>
      </c>
      <c r="F1780" s="7" t="s">
        <v>1696</v>
      </c>
    </row>
    <row r="1781">
      <c r="A1781" s="7" t="s">
        <v>6257</v>
      </c>
      <c r="B1781" s="7" t="s">
        <v>3540</v>
      </c>
      <c r="C1781" s="7" t="s">
        <v>2045</v>
      </c>
      <c r="D1781" s="7" t="s">
        <v>8251</v>
      </c>
      <c r="E1781" s="7" t="s">
        <v>1695</v>
      </c>
      <c r="F1781" s="7" t="s">
        <v>1696</v>
      </c>
    </row>
    <row r="1782">
      <c r="A1782" s="7" t="s">
        <v>2924</v>
      </c>
      <c r="B1782" s="7" t="s">
        <v>1455</v>
      </c>
      <c r="C1782" s="7" t="s">
        <v>292</v>
      </c>
      <c r="D1782" s="7" t="s">
        <v>8252</v>
      </c>
      <c r="E1782" s="7" t="s">
        <v>1695</v>
      </c>
      <c r="F1782" s="7" t="s">
        <v>1696</v>
      </c>
    </row>
    <row r="1783">
      <c r="A1783" s="7" t="s">
        <v>2503</v>
      </c>
      <c r="B1783" s="7" t="s">
        <v>676</v>
      </c>
      <c r="C1783" s="7" t="s">
        <v>1368</v>
      </c>
      <c r="D1783" s="7" t="s">
        <v>8253</v>
      </c>
      <c r="E1783" s="7" t="s">
        <v>1695</v>
      </c>
      <c r="F1783" s="7" t="s">
        <v>1696</v>
      </c>
    </row>
    <row r="1784">
      <c r="A1784" s="7" t="s">
        <v>3630</v>
      </c>
      <c r="B1784" s="7" t="s">
        <v>3631</v>
      </c>
      <c r="C1784" s="7" t="s">
        <v>3632</v>
      </c>
      <c r="D1784" s="7" t="s">
        <v>8254</v>
      </c>
      <c r="E1784" s="7" t="s">
        <v>1695</v>
      </c>
      <c r="F1784" s="7" t="s">
        <v>1696</v>
      </c>
    </row>
    <row r="1785">
      <c r="A1785" s="7" t="s">
        <v>6049</v>
      </c>
      <c r="B1785" s="7" t="s">
        <v>3954</v>
      </c>
      <c r="C1785" s="7" t="s">
        <v>1000</v>
      </c>
      <c r="D1785" s="7" t="s">
        <v>8255</v>
      </c>
      <c r="E1785" s="7" t="s">
        <v>1695</v>
      </c>
      <c r="F1785" s="7" t="s">
        <v>1696</v>
      </c>
    </row>
    <row r="1786">
      <c r="A1786" s="7" t="s">
        <v>2442</v>
      </c>
      <c r="B1786" s="7" t="s">
        <v>1485</v>
      </c>
      <c r="C1786" s="7" t="s">
        <v>1321</v>
      </c>
      <c r="D1786" s="7" t="s">
        <v>8256</v>
      </c>
      <c r="E1786" s="7" t="s">
        <v>1695</v>
      </c>
      <c r="F1786" s="7" t="s">
        <v>1696</v>
      </c>
    </row>
    <row r="1787">
      <c r="A1787" s="7" t="s">
        <v>2653</v>
      </c>
      <c r="B1787" s="7" t="s">
        <v>276</v>
      </c>
      <c r="C1787" s="7" t="s">
        <v>2654</v>
      </c>
      <c r="D1787" s="7" t="s">
        <v>8257</v>
      </c>
      <c r="E1787" s="7" t="s">
        <v>1695</v>
      </c>
      <c r="F1787" s="7" t="s">
        <v>1696</v>
      </c>
    </row>
    <row r="1788">
      <c r="A1788" s="7" t="s">
        <v>4699</v>
      </c>
      <c r="B1788" s="7" t="s">
        <v>3990</v>
      </c>
      <c r="C1788" s="7" t="s">
        <v>4700</v>
      </c>
      <c r="D1788" s="7" t="s">
        <v>8258</v>
      </c>
      <c r="E1788" s="7" t="s">
        <v>1695</v>
      </c>
      <c r="F1788" s="7" t="s">
        <v>1696</v>
      </c>
    </row>
    <row r="1789">
      <c r="A1789" s="7" t="s">
        <v>3722</v>
      </c>
      <c r="B1789" s="7" t="s">
        <v>3723</v>
      </c>
      <c r="C1789" s="7" t="s">
        <v>66</v>
      </c>
      <c r="D1789" s="7" t="s">
        <v>8259</v>
      </c>
      <c r="E1789" s="7" t="s">
        <v>1695</v>
      </c>
      <c r="F1789" s="7" t="s">
        <v>1696</v>
      </c>
    </row>
    <row r="1790">
      <c r="A1790" s="7" t="s">
        <v>5552</v>
      </c>
      <c r="B1790" s="7" t="s">
        <v>5553</v>
      </c>
      <c r="C1790" s="7" t="s">
        <v>5554</v>
      </c>
      <c r="D1790" s="7" t="s">
        <v>8260</v>
      </c>
      <c r="E1790" s="7" t="s">
        <v>1695</v>
      </c>
      <c r="F1790" s="7" t="s">
        <v>1696</v>
      </c>
    </row>
    <row r="1791">
      <c r="A1791" s="7" t="s">
        <v>4988</v>
      </c>
      <c r="B1791" s="7" t="s">
        <v>4989</v>
      </c>
      <c r="C1791" s="7" t="s">
        <v>4990</v>
      </c>
      <c r="D1791" s="7" t="s">
        <v>8261</v>
      </c>
      <c r="E1791" s="7" t="s">
        <v>1695</v>
      </c>
      <c r="F1791" s="7" t="s">
        <v>1696</v>
      </c>
    </row>
    <row r="1792">
      <c r="A1792" s="7" t="s">
        <v>3263</v>
      </c>
      <c r="B1792" s="7" t="s">
        <v>386</v>
      </c>
      <c r="C1792" s="7" t="s">
        <v>3264</v>
      </c>
      <c r="D1792" s="7" t="s">
        <v>8262</v>
      </c>
      <c r="E1792" s="7" t="s">
        <v>1695</v>
      </c>
      <c r="F1792" s="7" t="s">
        <v>1696</v>
      </c>
    </row>
    <row r="1793">
      <c r="A1793" s="7" t="s">
        <v>3384</v>
      </c>
      <c r="B1793" s="7" t="s">
        <v>386</v>
      </c>
      <c r="C1793" s="7" t="s">
        <v>3264</v>
      </c>
      <c r="D1793" s="7" t="s">
        <v>8262</v>
      </c>
      <c r="E1793" s="7" t="s">
        <v>1695</v>
      </c>
      <c r="F1793" s="7" t="s">
        <v>1696</v>
      </c>
    </row>
    <row r="1794">
      <c r="A1794" s="7" t="s">
        <v>5526</v>
      </c>
      <c r="B1794" s="7" t="s">
        <v>129</v>
      </c>
      <c r="C1794" s="7" t="s">
        <v>5527</v>
      </c>
      <c r="D1794" s="7" t="s">
        <v>8263</v>
      </c>
      <c r="E1794" s="7" t="s">
        <v>1695</v>
      </c>
      <c r="F1794" s="7" t="s">
        <v>1696</v>
      </c>
    </row>
    <row r="1795">
      <c r="A1795" s="7" t="s">
        <v>5279</v>
      </c>
      <c r="B1795" s="7" t="s">
        <v>5280</v>
      </c>
      <c r="C1795" s="7" t="s">
        <v>5281</v>
      </c>
      <c r="D1795" s="7" t="s">
        <v>8264</v>
      </c>
      <c r="E1795" s="7" t="s">
        <v>1695</v>
      </c>
      <c r="F1795" s="7" t="s">
        <v>1696</v>
      </c>
    </row>
    <row r="1796">
      <c r="A1796" s="7" t="s">
        <v>5402</v>
      </c>
      <c r="B1796" s="7" t="s">
        <v>5403</v>
      </c>
      <c r="C1796" s="7" t="s">
        <v>38</v>
      </c>
      <c r="D1796" s="7" t="s">
        <v>8265</v>
      </c>
      <c r="E1796" s="7" t="s">
        <v>1695</v>
      </c>
      <c r="F1796" s="7" t="s">
        <v>1696</v>
      </c>
    </row>
    <row r="1797">
      <c r="A1797" s="7" t="s">
        <v>4116</v>
      </c>
      <c r="B1797" s="7" t="s">
        <v>4117</v>
      </c>
      <c r="C1797" s="7" t="s">
        <v>2134</v>
      </c>
      <c r="D1797" s="7" t="s">
        <v>8266</v>
      </c>
      <c r="E1797" s="7" t="s">
        <v>1695</v>
      </c>
      <c r="F1797" s="7" t="s">
        <v>1696</v>
      </c>
    </row>
    <row r="1798">
      <c r="A1798" s="7" t="s">
        <v>4249</v>
      </c>
      <c r="B1798" s="7" t="s">
        <v>4250</v>
      </c>
      <c r="C1798" s="7" t="s">
        <v>2339</v>
      </c>
      <c r="D1798" s="7" t="s">
        <v>8267</v>
      </c>
      <c r="E1798" s="7" t="s">
        <v>1695</v>
      </c>
      <c r="F1798" s="7" t="s">
        <v>1696</v>
      </c>
    </row>
    <row r="1799">
      <c r="A1799" s="7" t="s">
        <v>4682</v>
      </c>
      <c r="B1799" s="7" t="s">
        <v>653</v>
      </c>
      <c r="C1799" s="7" t="s">
        <v>1676</v>
      </c>
      <c r="D1799" s="7" t="s">
        <v>8268</v>
      </c>
      <c r="E1799" s="7" t="s">
        <v>1695</v>
      </c>
      <c r="F1799" s="7" t="s">
        <v>1696</v>
      </c>
    </row>
    <row r="1800">
      <c r="A1800" s="7" t="s">
        <v>4872</v>
      </c>
      <c r="B1800" s="7" t="s">
        <v>209</v>
      </c>
      <c r="C1800" s="7" t="s">
        <v>4873</v>
      </c>
      <c r="D1800" s="7" t="s">
        <v>8269</v>
      </c>
      <c r="E1800" s="7" t="s">
        <v>1695</v>
      </c>
      <c r="F1800" s="7" t="s">
        <v>1696</v>
      </c>
    </row>
    <row r="1801">
      <c r="A1801" s="7" t="s">
        <v>2764</v>
      </c>
      <c r="B1801" s="7" t="s">
        <v>353</v>
      </c>
      <c r="C1801" s="7" t="s">
        <v>2131</v>
      </c>
      <c r="D1801" s="7" t="s">
        <v>8270</v>
      </c>
      <c r="E1801" s="7" t="s">
        <v>1695</v>
      </c>
      <c r="F1801" s="7" t="s">
        <v>1696</v>
      </c>
    </row>
    <row r="1802">
      <c r="A1802" s="7" t="s">
        <v>6173</v>
      </c>
      <c r="B1802" s="7" t="s">
        <v>3280</v>
      </c>
      <c r="C1802" s="7" t="s">
        <v>135</v>
      </c>
      <c r="D1802" s="7" t="s">
        <v>8271</v>
      </c>
      <c r="E1802" s="7" t="s">
        <v>1695</v>
      </c>
      <c r="F1802" s="7" t="s">
        <v>1696</v>
      </c>
    </row>
    <row r="1803">
      <c r="A1803" s="7" t="s">
        <v>5099</v>
      </c>
      <c r="B1803" s="7" t="s">
        <v>386</v>
      </c>
      <c r="C1803" s="7" t="s">
        <v>5100</v>
      </c>
      <c r="D1803" s="7" t="s">
        <v>8272</v>
      </c>
      <c r="E1803" s="7" t="s">
        <v>1695</v>
      </c>
      <c r="F1803" s="7" t="s">
        <v>1696</v>
      </c>
    </row>
    <row r="1804">
      <c r="A1804" s="7" t="s">
        <v>2427</v>
      </c>
      <c r="B1804" s="7" t="s">
        <v>747</v>
      </c>
      <c r="C1804" s="7" t="s">
        <v>2428</v>
      </c>
      <c r="D1804" s="7" t="s">
        <v>8273</v>
      </c>
      <c r="E1804" s="7" t="s">
        <v>1695</v>
      </c>
      <c r="F1804" s="7" t="s">
        <v>1696</v>
      </c>
    </row>
    <row r="1805">
      <c r="A1805" s="7" t="s">
        <v>2087</v>
      </c>
      <c r="B1805" s="7" t="s">
        <v>2088</v>
      </c>
      <c r="C1805" s="7" t="s">
        <v>112</v>
      </c>
      <c r="D1805" s="7" t="s">
        <v>8274</v>
      </c>
      <c r="E1805" s="7" t="s">
        <v>1695</v>
      </c>
      <c r="F1805" s="7" t="s">
        <v>1696</v>
      </c>
    </row>
    <row r="1806">
      <c r="A1806" s="7" t="s">
        <v>6258</v>
      </c>
      <c r="B1806" s="7" t="s">
        <v>2537</v>
      </c>
      <c r="C1806" s="7" t="s">
        <v>6259</v>
      </c>
      <c r="D1806" s="7" t="s">
        <v>8275</v>
      </c>
      <c r="E1806" s="7" t="s">
        <v>1695</v>
      </c>
      <c r="F1806" s="7" t="s">
        <v>1696</v>
      </c>
    </row>
    <row r="1807">
      <c r="A1807" s="7" t="s">
        <v>2040</v>
      </c>
      <c r="B1807" s="7" t="s">
        <v>2041</v>
      </c>
      <c r="C1807" s="7" t="s">
        <v>750</v>
      </c>
      <c r="D1807" s="7" t="s">
        <v>8276</v>
      </c>
      <c r="E1807" s="7" t="s">
        <v>1695</v>
      </c>
      <c r="F1807" s="7" t="s">
        <v>1696</v>
      </c>
    </row>
    <row r="1808">
      <c r="A1808" s="7" t="s">
        <v>3674</v>
      </c>
      <c r="B1808" s="7" t="s">
        <v>2499</v>
      </c>
      <c r="C1808" s="7" t="s">
        <v>877</v>
      </c>
      <c r="D1808" s="7" t="s">
        <v>8277</v>
      </c>
      <c r="E1808" s="7" t="s">
        <v>1695</v>
      </c>
      <c r="F1808" s="7" t="s">
        <v>1696</v>
      </c>
    </row>
    <row r="1809">
      <c r="A1809" s="7" t="s">
        <v>2891</v>
      </c>
      <c r="B1809" s="7" t="s">
        <v>2892</v>
      </c>
      <c r="C1809" s="7" t="s">
        <v>2893</v>
      </c>
      <c r="D1809" s="7" t="s">
        <v>8278</v>
      </c>
      <c r="E1809" s="7" t="s">
        <v>1695</v>
      </c>
      <c r="F1809" s="7" t="s">
        <v>1696</v>
      </c>
    </row>
    <row r="1810">
      <c r="A1810" s="7" t="s">
        <v>3842</v>
      </c>
      <c r="B1810" s="7" t="s">
        <v>2249</v>
      </c>
      <c r="C1810" s="7" t="s">
        <v>3843</v>
      </c>
      <c r="D1810" s="7" t="s">
        <v>8279</v>
      </c>
      <c r="E1810" s="7" t="s">
        <v>1695</v>
      </c>
      <c r="F1810" s="7" t="s">
        <v>1696</v>
      </c>
    </row>
    <row r="1811">
      <c r="A1811" s="7" t="s">
        <v>5266</v>
      </c>
      <c r="B1811" s="7" t="s">
        <v>3880</v>
      </c>
      <c r="C1811" s="7" t="s">
        <v>271</v>
      </c>
      <c r="D1811" s="7" t="s">
        <v>8280</v>
      </c>
      <c r="E1811" s="7" t="s">
        <v>1695</v>
      </c>
      <c r="F1811" s="7" t="s">
        <v>1696</v>
      </c>
    </row>
    <row r="1812">
      <c r="A1812" s="7" t="s">
        <v>4885</v>
      </c>
      <c r="B1812" s="7" t="s">
        <v>4886</v>
      </c>
      <c r="C1812" s="7" t="s">
        <v>158</v>
      </c>
      <c r="D1812" s="7" t="s">
        <v>8281</v>
      </c>
      <c r="E1812" s="7" t="s">
        <v>1695</v>
      </c>
      <c r="F1812" s="7" t="s">
        <v>1696</v>
      </c>
    </row>
    <row r="1813">
      <c r="A1813" s="7" t="s">
        <v>5800</v>
      </c>
      <c r="B1813" s="7" t="s">
        <v>5801</v>
      </c>
      <c r="C1813" s="7" t="s">
        <v>1438</v>
      </c>
      <c r="D1813" s="7" t="s">
        <v>8282</v>
      </c>
      <c r="E1813" s="7" t="s">
        <v>1695</v>
      </c>
      <c r="F1813" s="7" t="s">
        <v>1696</v>
      </c>
    </row>
    <row r="1814">
      <c r="A1814" s="7" t="s">
        <v>5923</v>
      </c>
      <c r="B1814" s="7" t="s">
        <v>276</v>
      </c>
      <c r="C1814" s="7" t="s">
        <v>482</v>
      </c>
      <c r="D1814" s="7" t="s">
        <v>8283</v>
      </c>
      <c r="E1814" s="7" t="s">
        <v>1695</v>
      </c>
      <c r="F1814" s="7" t="s">
        <v>1696</v>
      </c>
    </row>
    <row r="1815">
      <c r="A1815" s="7" t="s">
        <v>1941</v>
      </c>
      <c r="B1815" s="7" t="s">
        <v>1942</v>
      </c>
      <c r="C1815" s="7" t="s">
        <v>1943</v>
      </c>
      <c r="D1815" s="7" t="s">
        <v>8284</v>
      </c>
      <c r="E1815" s="7" t="s">
        <v>1695</v>
      </c>
      <c r="F1815" s="7" t="s">
        <v>1696</v>
      </c>
    </row>
    <row r="1816">
      <c r="A1816" s="7" t="s">
        <v>3943</v>
      </c>
      <c r="B1816" s="7" t="s">
        <v>3906</v>
      </c>
      <c r="C1816" s="7" t="s">
        <v>3944</v>
      </c>
      <c r="D1816" s="7" t="s">
        <v>8285</v>
      </c>
      <c r="E1816" s="7" t="s">
        <v>1695</v>
      </c>
      <c r="F1816" s="7" t="s">
        <v>1696</v>
      </c>
    </row>
    <row r="1817">
      <c r="A1817" s="7" t="s">
        <v>5940</v>
      </c>
      <c r="B1817" s="7" t="s">
        <v>5607</v>
      </c>
      <c r="C1817" s="7" t="s">
        <v>3841</v>
      </c>
      <c r="D1817" s="7" t="s">
        <v>8286</v>
      </c>
      <c r="E1817" s="7" t="s">
        <v>1695</v>
      </c>
      <c r="F1817" s="7" t="s">
        <v>1696</v>
      </c>
    </row>
    <row r="1818">
      <c r="A1818" s="7" t="s">
        <v>5528</v>
      </c>
      <c r="B1818" s="7" t="s">
        <v>35</v>
      </c>
      <c r="C1818" s="7" t="s">
        <v>1769</v>
      </c>
      <c r="D1818" s="7" t="s">
        <v>8287</v>
      </c>
      <c r="E1818" s="7" t="s">
        <v>1695</v>
      </c>
      <c r="F1818" s="7" t="s">
        <v>1696</v>
      </c>
    </row>
    <row r="1819">
      <c r="A1819" s="7" t="s">
        <v>3856</v>
      </c>
      <c r="B1819" s="7" t="s">
        <v>3857</v>
      </c>
      <c r="C1819" s="7" t="s">
        <v>224</v>
      </c>
      <c r="D1819" s="7" t="s">
        <v>8288</v>
      </c>
      <c r="E1819" s="7" t="s">
        <v>1695</v>
      </c>
      <c r="F1819" s="7" t="s">
        <v>1696</v>
      </c>
    </row>
    <row r="1820">
      <c r="A1820" s="7" t="s">
        <v>2912</v>
      </c>
      <c r="B1820" s="7" t="s">
        <v>1954</v>
      </c>
      <c r="C1820" s="7" t="s">
        <v>2913</v>
      </c>
      <c r="D1820" s="7" t="s">
        <v>8289</v>
      </c>
      <c r="E1820" s="7" t="s">
        <v>1695</v>
      </c>
      <c r="F1820" s="7" t="s">
        <v>1696</v>
      </c>
    </row>
    <row r="1821">
      <c r="A1821" s="7" t="s">
        <v>4979</v>
      </c>
      <c r="B1821" s="7" t="s">
        <v>3947</v>
      </c>
      <c r="C1821" s="7" t="s">
        <v>4980</v>
      </c>
      <c r="D1821" s="7" t="s">
        <v>8290</v>
      </c>
      <c r="E1821" s="7" t="s">
        <v>1695</v>
      </c>
      <c r="F1821" s="7" t="s">
        <v>1696</v>
      </c>
    </row>
    <row r="1822">
      <c r="A1822" s="7" t="s">
        <v>6015</v>
      </c>
      <c r="B1822" s="7" t="s">
        <v>46</v>
      </c>
      <c r="C1822" s="7" t="s">
        <v>6016</v>
      </c>
      <c r="D1822" s="7" t="s">
        <v>8290</v>
      </c>
      <c r="E1822" s="7" t="s">
        <v>1695</v>
      </c>
      <c r="F1822" s="7" t="s">
        <v>1696</v>
      </c>
    </row>
    <row r="1823">
      <c r="A1823" s="7" t="s">
        <v>1716</v>
      </c>
      <c r="B1823" s="7" t="s">
        <v>276</v>
      </c>
      <c r="C1823" s="7" t="s">
        <v>1717</v>
      </c>
      <c r="D1823" s="7" t="s">
        <v>8291</v>
      </c>
      <c r="E1823" s="7" t="s">
        <v>1695</v>
      </c>
      <c r="F1823" s="7" t="s">
        <v>1696</v>
      </c>
    </row>
    <row r="1824">
      <c r="A1824" s="7" t="s">
        <v>5330</v>
      </c>
      <c r="B1824" s="7" t="s">
        <v>5331</v>
      </c>
      <c r="C1824" s="7" t="s">
        <v>724</v>
      </c>
      <c r="D1824" s="7" t="s">
        <v>8292</v>
      </c>
      <c r="E1824" s="7" t="s">
        <v>1695</v>
      </c>
      <c r="F1824" s="7" t="s">
        <v>1696</v>
      </c>
    </row>
    <row r="1825">
      <c r="A1825" s="7" t="s">
        <v>5857</v>
      </c>
      <c r="B1825" s="7" t="s">
        <v>387</v>
      </c>
      <c r="C1825" s="7" t="s">
        <v>196</v>
      </c>
      <c r="D1825" s="7" t="s">
        <v>8293</v>
      </c>
      <c r="E1825" s="7" t="s">
        <v>1695</v>
      </c>
      <c r="F1825" s="7" t="s">
        <v>1696</v>
      </c>
    </row>
    <row r="1826">
      <c r="A1826" s="7" t="s">
        <v>5435</v>
      </c>
      <c r="B1826" s="7" t="s">
        <v>5436</v>
      </c>
      <c r="C1826" s="7" t="s">
        <v>1069</v>
      </c>
      <c r="D1826" s="7" t="s">
        <v>8294</v>
      </c>
      <c r="E1826" s="7" t="s">
        <v>1695</v>
      </c>
      <c r="F1826" s="7" t="s">
        <v>1696</v>
      </c>
    </row>
    <row r="1827">
      <c r="A1827" s="7" t="s">
        <v>3149</v>
      </c>
      <c r="B1827" s="7" t="s">
        <v>3150</v>
      </c>
      <c r="C1827" s="7" t="s">
        <v>3151</v>
      </c>
      <c r="D1827" s="7" t="s">
        <v>8295</v>
      </c>
      <c r="E1827" s="7" t="s">
        <v>1695</v>
      </c>
      <c r="F1827" s="7" t="s">
        <v>1696</v>
      </c>
    </row>
    <row r="1828">
      <c r="A1828" s="7" t="s">
        <v>5482</v>
      </c>
      <c r="B1828" s="7" t="s">
        <v>420</v>
      </c>
      <c r="C1828" s="7" t="s">
        <v>1898</v>
      </c>
      <c r="D1828" s="7" t="s">
        <v>8296</v>
      </c>
      <c r="E1828" s="7" t="s">
        <v>1695</v>
      </c>
      <c r="F1828" s="7" t="s">
        <v>1696</v>
      </c>
    </row>
    <row r="1829">
      <c r="A1829" s="7" t="s">
        <v>4753</v>
      </c>
      <c r="B1829" s="7" t="s">
        <v>4754</v>
      </c>
      <c r="C1829" s="7" t="s">
        <v>4755</v>
      </c>
      <c r="D1829" s="7" t="s">
        <v>8297</v>
      </c>
      <c r="E1829" s="7" t="s">
        <v>1695</v>
      </c>
      <c r="F1829" s="7" t="s">
        <v>1696</v>
      </c>
    </row>
    <row r="1830">
      <c r="A1830" s="7" t="s">
        <v>4402</v>
      </c>
      <c r="B1830" s="7" t="s">
        <v>1208</v>
      </c>
      <c r="C1830" s="7" t="s">
        <v>280</v>
      </c>
      <c r="D1830" s="7" t="s">
        <v>8298</v>
      </c>
      <c r="E1830" s="7" t="s">
        <v>1695</v>
      </c>
      <c r="F1830" s="7" t="s">
        <v>1696</v>
      </c>
    </row>
    <row r="1831">
      <c r="A1831" s="7" t="s">
        <v>4666</v>
      </c>
      <c r="B1831" s="7" t="s">
        <v>3478</v>
      </c>
      <c r="C1831" s="7" t="s">
        <v>4667</v>
      </c>
      <c r="D1831" s="7" t="s">
        <v>8299</v>
      </c>
      <c r="E1831" s="7" t="s">
        <v>1695</v>
      </c>
      <c r="F1831" s="7" t="s">
        <v>1696</v>
      </c>
    </row>
    <row r="1832">
      <c r="A1832" s="7" t="s">
        <v>3408</v>
      </c>
      <c r="B1832" s="7" t="s">
        <v>3409</v>
      </c>
      <c r="C1832" s="7" t="s">
        <v>3410</v>
      </c>
      <c r="D1832" s="7" t="s">
        <v>8300</v>
      </c>
      <c r="E1832" s="7" t="s">
        <v>1695</v>
      </c>
      <c r="F1832" s="7" t="s">
        <v>1696</v>
      </c>
    </row>
    <row r="1833">
      <c r="A1833" s="7" t="s">
        <v>4513</v>
      </c>
      <c r="B1833" s="7" t="s">
        <v>504</v>
      </c>
      <c r="C1833" s="7" t="s">
        <v>479</v>
      </c>
      <c r="D1833" s="7" t="s">
        <v>8301</v>
      </c>
      <c r="E1833" s="7" t="s">
        <v>1695</v>
      </c>
      <c r="F1833" s="7" t="s">
        <v>1696</v>
      </c>
    </row>
    <row r="1834">
      <c r="A1834" s="7" t="s">
        <v>4828</v>
      </c>
      <c r="B1834" s="7" t="s">
        <v>504</v>
      </c>
      <c r="C1834" s="7" t="s">
        <v>479</v>
      </c>
      <c r="D1834" s="7" t="s">
        <v>8301</v>
      </c>
      <c r="E1834" s="7" t="s">
        <v>1695</v>
      </c>
      <c r="F1834" s="7" t="s">
        <v>1696</v>
      </c>
    </row>
    <row r="1835">
      <c r="A1835" s="7" t="s">
        <v>3692</v>
      </c>
      <c r="B1835" s="7" t="s">
        <v>3488</v>
      </c>
      <c r="C1835" s="7" t="s">
        <v>64</v>
      </c>
      <c r="D1835" s="7" t="s">
        <v>8302</v>
      </c>
      <c r="E1835" s="7" t="s">
        <v>1695</v>
      </c>
      <c r="F1835" s="7" t="s">
        <v>1696</v>
      </c>
    </row>
    <row r="1836">
      <c r="A1836" s="7" t="s">
        <v>5590</v>
      </c>
      <c r="B1836" s="7" t="s">
        <v>5591</v>
      </c>
      <c r="C1836" s="7" t="s">
        <v>5592</v>
      </c>
      <c r="D1836" s="7" t="s">
        <v>8303</v>
      </c>
      <c r="E1836" s="7" t="s">
        <v>1695</v>
      </c>
      <c r="F1836" s="7" t="s">
        <v>1696</v>
      </c>
    </row>
    <row r="1837">
      <c r="A1837" s="7" t="s">
        <v>3581</v>
      </c>
      <c r="B1837" s="7" t="s">
        <v>40</v>
      </c>
      <c r="C1837" s="7" t="s">
        <v>838</v>
      </c>
      <c r="D1837" s="7" t="s">
        <v>8304</v>
      </c>
      <c r="E1837" s="7" t="s">
        <v>1695</v>
      </c>
      <c r="F1837" s="7" t="s">
        <v>1696</v>
      </c>
    </row>
    <row r="1838">
      <c r="A1838" s="7" t="s">
        <v>3335</v>
      </c>
      <c r="B1838" s="7" t="s">
        <v>3336</v>
      </c>
      <c r="C1838" s="7" t="s">
        <v>3337</v>
      </c>
      <c r="D1838" s="7" t="s">
        <v>8305</v>
      </c>
      <c r="E1838" s="7" t="s">
        <v>1695</v>
      </c>
      <c r="F1838" s="7" t="s">
        <v>1696</v>
      </c>
    </row>
    <row r="1839">
      <c r="A1839" s="7" t="s">
        <v>5206</v>
      </c>
      <c r="B1839" s="7" t="s">
        <v>5207</v>
      </c>
      <c r="C1839" s="7" t="s">
        <v>5208</v>
      </c>
      <c r="D1839" s="7" t="s">
        <v>8306</v>
      </c>
      <c r="E1839" s="7" t="s">
        <v>1695</v>
      </c>
      <c r="F1839" s="7" t="s">
        <v>1696</v>
      </c>
    </row>
    <row r="1840">
      <c r="A1840" s="7" t="s">
        <v>5218</v>
      </c>
      <c r="B1840" s="7" t="s">
        <v>823</v>
      </c>
      <c r="C1840" s="7" t="s">
        <v>5219</v>
      </c>
      <c r="D1840" s="7" t="s">
        <v>8306</v>
      </c>
      <c r="E1840" s="7" t="s">
        <v>1695</v>
      </c>
      <c r="F1840" s="7" t="s">
        <v>1696</v>
      </c>
    </row>
    <row r="1841">
      <c r="A1841" s="7" t="s">
        <v>4226</v>
      </c>
      <c r="B1841" s="7" t="s">
        <v>1862</v>
      </c>
      <c r="C1841" s="7" t="s">
        <v>179</v>
      </c>
      <c r="D1841" s="7" t="s">
        <v>8307</v>
      </c>
      <c r="E1841" s="7" t="s">
        <v>1695</v>
      </c>
      <c r="F1841" s="7" t="s">
        <v>1696</v>
      </c>
    </row>
    <row r="1842">
      <c r="A1842" s="7" t="s">
        <v>2969</v>
      </c>
      <c r="B1842" s="7" t="s">
        <v>1555</v>
      </c>
      <c r="C1842" s="7" t="s">
        <v>2970</v>
      </c>
      <c r="D1842" s="7" t="s">
        <v>8308</v>
      </c>
      <c r="E1842" s="7" t="s">
        <v>1695</v>
      </c>
      <c r="F1842" s="7" t="s">
        <v>1696</v>
      </c>
    </row>
    <row r="1843">
      <c r="A1843" s="7" t="s">
        <v>3489</v>
      </c>
      <c r="B1843" s="7" t="s">
        <v>3490</v>
      </c>
      <c r="C1843" s="7" t="s">
        <v>3484</v>
      </c>
      <c r="D1843" s="7" t="s">
        <v>8309</v>
      </c>
      <c r="E1843" s="7" t="s">
        <v>1695</v>
      </c>
      <c r="F1843" s="7" t="s">
        <v>1696</v>
      </c>
    </row>
    <row r="1844">
      <c r="A1844" s="7" t="s">
        <v>5956</v>
      </c>
      <c r="B1844" s="7" t="s">
        <v>5449</v>
      </c>
      <c r="C1844" s="7" t="s">
        <v>58</v>
      </c>
      <c r="D1844" s="7" t="s">
        <v>8310</v>
      </c>
      <c r="E1844" s="7" t="s">
        <v>1695</v>
      </c>
      <c r="F1844" s="7" t="s">
        <v>1696</v>
      </c>
    </row>
    <row r="1845">
      <c r="A1845" s="7" t="s">
        <v>4863</v>
      </c>
      <c r="B1845" s="7" t="s">
        <v>4864</v>
      </c>
      <c r="C1845" s="7" t="s">
        <v>4865</v>
      </c>
      <c r="D1845" s="7" t="s">
        <v>8311</v>
      </c>
      <c r="E1845" s="7" t="s">
        <v>1695</v>
      </c>
      <c r="F1845" s="7" t="s">
        <v>1696</v>
      </c>
    </row>
    <row r="1846">
      <c r="A1846" s="7" t="s">
        <v>6270</v>
      </c>
      <c r="B1846" s="7" t="s">
        <v>689</v>
      </c>
      <c r="C1846" s="7" t="s">
        <v>4764</v>
      </c>
      <c r="D1846" s="7" t="s">
        <v>8312</v>
      </c>
      <c r="E1846" s="7" t="s">
        <v>1695</v>
      </c>
      <c r="F1846" s="7" t="s">
        <v>1696</v>
      </c>
    </row>
    <row r="1847">
      <c r="A1847" s="7" t="s">
        <v>6416</v>
      </c>
      <c r="B1847" s="7" t="s">
        <v>6417</v>
      </c>
      <c r="C1847" s="7" t="s">
        <v>6418</v>
      </c>
      <c r="D1847" s="7" t="s">
        <v>8313</v>
      </c>
      <c r="E1847" s="7" t="s">
        <v>1695</v>
      </c>
      <c r="F1847" s="7" t="s">
        <v>6318</v>
      </c>
    </row>
    <row r="1848">
      <c r="A1848" s="7" t="s">
        <v>5523</v>
      </c>
      <c r="B1848" s="7" t="s">
        <v>5524</v>
      </c>
      <c r="C1848" s="7" t="s">
        <v>4569</v>
      </c>
      <c r="D1848" s="7" t="s">
        <v>8314</v>
      </c>
      <c r="E1848" s="7" t="s">
        <v>1695</v>
      </c>
      <c r="F1848" s="7" t="s">
        <v>1696</v>
      </c>
    </row>
    <row r="1849">
      <c r="A1849" s="7" t="s">
        <v>2076</v>
      </c>
      <c r="B1849" s="7" t="s">
        <v>2077</v>
      </c>
      <c r="C1849" s="7" t="s">
        <v>2078</v>
      </c>
      <c r="D1849" s="7" t="s">
        <v>8315</v>
      </c>
      <c r="E1849" s="7" t="s">
        <v>1695</v>
      </c>
      <c r="F1849" s="7" t="s">
        <v>1696</v>
      </c>
    </row>
    <row r="1850">
      <c r="A1850" s="7" t="s">
        <v>4377</v>
      </c>
      <c r="B1850" s="7" t="s">
        <v>1532</v>
      </c>
      <c r="C1850" s="7" t="s">
        <v>52</v>
      </c>
      <c r="D1850" s="7" t="s">
        <v>8316</v>
      </c>
      <c r="E1850" s="7" t="s">
        <v>1695</v>
      </c>
      <c r="F1850" s="7" t="s">
        <v>1696</v>
      </c>
    </row>
    <row r="1851">
      <c r="A1851" s="7" t="s">
        <v>4382</v>
      </c>
      <c r="B1851" s="7" t="s">
        <v>4383</v>
      </c>
      <c r="C1851" s="7" t="s">
        <v>4384</v>
      </c>
      <c r="D1851" s="7" t="s">
        <v>8317</v>
      </c>
      <c r="E1851" s="7" t="s">
        <v>1695</v>
      </c>
      <c r="F1851" s="7" t="s">
        <v>1696</v>
      </c>
    </row>
    <row r="1852">
      <c r="A1852" s="7" t="s">
        <v>4151</v>
      </c>
      <c r="B1852" s="7" t="s">
        <v>4152</v>
      </c>
      <c r="C1852" s="7" t="s">
        <v>4153</v>
      </c>
      <c r="D1852" s="7" t="s">
        <v>8318</v>
      </c>
      <c r="E1852" s="7" t="s">
        <v>1695</v>
      </c>
      <c r="F1852" s="7" t="s">
        <v>1696</v>
      </c>
    </row>
    <row r="1853">
      <c r="A1853" s="7" t="s">
        <v>4336</v>
      </c>
      <c r="B1853" s="7" t="s">
        <v>4337</v>
      </c>
      <c r="C1853" s="7" t="s">
        <v>158</v>
      </c>
      <c r="D1853" s="7" t="s">
        <v>8319</v>
      </c>
      <c r="E1853" s="7" t="s">
        <v>1695</v>
      </c>
      <c r="F1853" s="7" t="s">
        <v>1696</v>
      </c>
    </row>
    <row r="1854">
      <c r="A1854" s="7" t="s">
        <v>2411</v>
      </c>
      <c r="B1854" s="7" t="s">
        <v>436</v>
      </c>
      <c r="C1854" s="7" t="s">
        <v>437</v>
      </c>
      <c r="D1854" s="7" t="s">
        <v>8320</v>
      </c>
      <c r="E1854" s="7" t="s">
        <v>1695</v>
      </c>
      <c r="F1854" s="7" t="s">
        <v>1696</v>
      </c>
    </row>
    <row r="1855">
      <c r="A1855" s="7" t="s">
        <v>6034</v>
      </c>
      <c r="B1855" s="7" t="s">
        <v>3947</v>
      </c>
      <c r="C1855" s="7" t="s">
        <v>4383</v>
      </c>
      <c r="D1855" s="7" t="s">
        <v>8321</v>
      </c>
      <c r="E1855" s="7" t="s">
        <v>1695</v>
      </c>
      <c r="F1855" s="7" t="s">
        <v>1696</v>
      </c>
    </row>
    <row r="1856">
      <c r="A1856" s="7" t="s">
        <v>5649</v>
      </c>
      <c r="B1856" s="7" t="s">
        <v>3433</v>
      </c>
      <c r="C1856" s="7" t="s">
        <v>3406</v>
      </c>
      <c r="D1856" s="7" t="s">
        <v>8322</v>
      </c>
      <c r="E1856" s="7" t="s">
        <v>1695</v>
      </c>
      <c r="F1856" s="7" t="s">
        <v>1696</v>
      </c>
    </row>
    <row r="1857">
      <c r="A1857" s="7" t="s">
        <v>2464</v>
      </c>
      <c r="B1857" s="7" t="s">
        <v>2465</v>
      </c>
      <c r="C1857" s="7" t="s">
        <v>1000</v>
      </c>
      <c r="D1857" s="7" t="s">
        <v>8323</v>
      </c>
      <c r="E1857" s="7" t="s">
        <v>1695</v>
      </c>
      <c r="F1857" s="7" t="s">
        <v>1696</v>
      </c>
    </row>
    <row r="1858">
      <c r="A1858" s="7" t="s">
        <v>6091</v>
      </c>
      <c r="B1858" s="7" t="s">
        <v>27</v>
      </c>
      <c r="C1858" s="7" t="s">
        <v>6092</v>
      </c>
      <c r="D1858" s="7" t="s">
        <v>8324</v>
      </c>
      <c r="E1858" s="7" t="s">
        <v>1695</v>
      </c>
      <c r="F1858" s="7" t="s">
        <v>1696</v>
      </c>
    </row>
    <row r="1859">
      <c r="A1859" s="7" t="s">
        <v>4079</v>
      </c>
      <c r="B1859" s="7" t="s">
        <v>2999</v>
      </c>
      <c r="C1859" s="7" t="s">
        <v>529</v>
      </c>
      <c r="D1859" s="7" t="s">
        <v>8325</v>
      </c>
      <c r="E1859" s="7" t="s">
        <v>1695</v>
      </c>
      <c r="F1859" s="7" t="s">
        <v>1696</v>
      </c>
    </row>
    <row r="1860">
      <c r="A1860" s="7" t="s">
        <v>1899</v>
      </c>
      <c r="B1860" s="7" t="s">
        <v>1900</v>
      </c>
      <c r="C1860" s="7" t="s">
        <v>1901</v>
      </c>
      <c r="D1860" s="7" t="s">
        <v>8326</v>
      </c>
      <c r="E1860" s="7" t="s">
        <v>1695</v>
      </c>
      <c r="F1860" s="7" t="s">
        <v>1696</v>
      </c>
    </row>
    <row r="1861">
      <c r="A1861" s="7" t="s">
        <v>6284</v>
      </c>
      <c r="B1861" s="7" t="s">
        <v>6285</v>
      </c>
      <c r="C1861" s="7" t="s">
        <v>317</v>
      </c>
      <c r="D1861" s="7" t="s">
        <v>8327</v>
      </c>
      <c r="E1861" s="7" t="s">
        <v>1695</v>
      </c>
      <c r="F1861" s="7" t="s">
        <v>1696</v>
      </c>
    </row>
    <row r="1862">
      <c r="A1862" s="7" t="s">
        <v>2069</v>
      </c>
      <c r="B1862" s="7" t="s">
        <v>129</v>
      </c>
      <c r="C1862" s="7" t="s">
        <v>2070</v>
      </c>
      <c r="D1862" s="7" t="s">
        <v>8328</v>
      </c>
      <c r="E1862" s="7" t="s">
        <v>1695</v>
      </c>
      <c r="F1862" s="7" t="s">
        <v>1696</v>
      </c>
    </row>
    <row r="1863">
      <c r="A1863" s="7" t="s">
        <v>4535</v>
      </c>
      <c r="B1863" s="7" t="s">
        <v>2045</v>
      </c>
      <c r="C1863" s="7" t="s">
        <v>4536</v>
      </c>
      <c r="D1863" s="7" t="s">
        <v>8329</v>
      </c>
      <c r="E1863" s="7" t="s">
        <v>1695</v>
      </c>
      <c r="F1863" s="7" t="s">
        <v>1696</v>
      </c>
    </row>
    <row r="1864">
      <c r="A1864" s="7" t="s">
        <v>3742</v>
      </c>
      <c r="B1864" s="7" t="s">
        <v>414</v>
      </c>
      <c r="C1864" s="7" t="s">
        <v>3732</v>
      </c>
      <c r="D1864" s="7" t="s">
        <v>8330</v>
      </c>
      <c r="E1864" s="7" t="s">
        <v>1695</v>
      </c>
      <c r="F1864" s="7" t="s">
        <v>1696</v>
      </c>
    </row>
    <row r="1865">
      <c r="A1865" s="7" t="s">
        <v>5192</v>
      </c>
      <c r="B1865" s="7" t="s">
        <v>5193</v>
      </c>
      <c r="C1865" s="7" t="s">
        <v>5146</v>
      </c>
      <c r="D1865" s="7" t="s">
        <v>8331</v>
      </c>
      <c r="E1865" s="7" t="s">
        <v>1695</v>
      </c>
      <c r="F1865" s="7" t="s">
        <v>1696</v>
      </c>
    </row>
    <row r="1866">
      <c r="A1866" s="7" t="s">
        <v>5557</v>
      </c>
      <c r="B1866" s="7" t="s">
        <v>803</v>
      </c>
      <c r="C1866" s="7" t="s">
        <v>1933</v>
      </c>
      <c r="D1866" s="7" t="s">
        <v>8332</v>
      </c>
      <c r="E1866" s="7" t="s">
        <v>1695</v>
      </c>
      <c r="F1866" s="7" t="s">
        <v>1696</v>
      </c>
    </row>
    <row r="1867">
      <c r="A1867" s="7" t="s">
        <v>5472</v>
      </c>
      <c r="B1867" s="7" t="s">
        <v>5473</v>
      </c>
      <c r="C1867" s="7" t="s">
        <v>596</v>
      </c>
      <c r="D1867" s="7" t="s">
        <v>8333</v>
      </c>
      <c r="E1867" s="7" t="s">
        <v>1695</v>
      </c>
      <c r="F1867" s="7" t="s">
        <v>1696</v>
      </c>
    </row>
    <row r="1868">
      <c r="A1868" s="7" t="s">
        <v>4726</v>
      </c>
      <c r="B1868" s="7" t="s">
        <v>4727</v>
      </c>
      <c r="C1868" s="7" t="s">
        <v>109</v>
      </c>
      <c r="D1868" s="7" t="s">
        <v>8334</v>
      </c>
      <c r="E1868" s="7" t="s">
        <v>1695</v>
      </c>
      <c r="F1868" s="7" t="s">
        <v>1696</v>
      </c>
    </row>
    <row r="1869">
      <c r="A1869" s="7" t="s">
        <v>2346</v>
      </c>
      <c r="B1869" s="7" t="s">
        <v>35</v>
      </c>
      <c r="C1869" s="7" t="s">
        <v>2347</v>
      </c>
      <c r="D1869" s="7" t="s">
        <v>8335</v>
      </c>
      <c r="E1869" s="7" t="s">
        <v>1695</v>
      </c>
      <c r="F1869" s="7" t="s">
        <v>1696</v>
      </c>
    </row>
    <row r="1870">
      <c r="A1870" s="7" t="s">
        <v>4554</v>
      </c>
      <c r="B1870" s="7" t="s">
        <v>4555</v>
      </c>
      <c r="C1870" s="7" t="s">
        <v>4556</v>
      </c>
      <c r="D1870" s="7" t="s">
        <v>8336</v>
      </c>
      <c r="E1870" s="7" t="s">
        <v>1695</v>
      </c>
      <c r="F1870" s="7" t="s">
        <v>1696</v>
      </c>
    </row>
    <row r="1871">
      <c r="A1871" s="7" t="s">
        <v>5082</v>
      </c>
      <c r="B1871" s="7" t="s">
        <v>773</v>
      </c>
      <c r="C1871" s="7" t="s">
        <v>221</v>
      </c>
      <c r="D1871" s="7" t="s">
        <v>8337</v>
      </c>
      <c r="E1871" s="7" t="s">
        <v>1695</v>
      </c>
      <c r="F1871" s="7" t="s">
        <v>1696</v>
      </c>
    </row>
    <row r="1872">
      <c r="A1872" s="7" t="s">
        <v>5187</v>
      </c>
      <c r="B1872" s="7" t="s">
        <v>5188</v>
      </c>
      <c r="C1872" s="7" t="s">
        <v>5189</v>
      </c>
      <c r="D1872" s="7" t="s">
        <v>8338</v>
      </c>
      <c r="E1872" s="7" t="s">
        <v>1695</v>
      </c>
      <c r="F1872" s="7" t="s">
        <v>1696</v>
      </c>
    </row>
    <row r="1873">
      <c r="A1873" s="7" t="s">
        <v>1791</v>
      </c>
      <c r="B1873" s="7" t="s">
        <v>1545</v>
      </c>
      <c r="C1873" s="7" t="s">
        <v>1792</v>
      </c>
      <c r="D1873" s="7" t="s">
        <v>8339</v>
      </c>
      <c r="E1873" s="7" t="s">
        <v>1695</v>
      </c>
      <c r="F1873" s="7" t="s">
        <v>1696</v>
      </c>
    </row>
    <row r="1874">
      <c r="A1874" s="7" t="s">
        <v>4291</v>
      </c>
      <c r="B1874" s="7" t="s">
        <v>983</v>
      </c>
      <c r="C1874" s="7" t="s">
        <v>466</v>
      </c>
      <c r="D1874" s="7" t="s">
        <v>8340</v>
      </c>
      <c r="E1874" s="7" t="s">
        <v>1695</v>
      </c>
      <c r="F1874" s="7" t="s">
        <v>1696</v>
      </c>
    </row>
    <row r="1875">
      <c r="A1875" s="7" t="s">
        <v>5673</v>
      </c>
      <c r="B1875" s="7" t="s">
        <v>5674</v>
      </c>
      <c r="C1875" s="7" t="s">
        <v>5675</v>
      </c>
      <c r="D1875" s="7" t="s">
        <v>8341</v>
      </c>
      <c r="E1875" s="7" t="s">
        <v>1695</v>
      </c>
      <c r="F1875" s="7" t="s">
        <v>1696</v>
      </c>
    </row>
    <row r="1876">
      <c r="A1876" s="7" t="s">
        <v>2049</v>
      </c>
      <c r="B1876" s="7" t="s">
        <v>2050</v>
      </c>
      <c r="C1876" s="7" t="s">
        <v>1112</v>
      </c>
      <c r="D1876" s="7" t="s">
        <v>8342</v>
      </c>
      <c r="E1876" s="7" t="s">
        <v>1695</v>
      </c>
      <c r="F1876" s="7" t="s">
        <v>1696</v>
      </c>
    </row>
    <row r="1877">
      <c r="A1877" s="7" t="s">
        <v>2854</v>
      </c>
      <c r="B1877" s="7" t="s">
        <v>1746</v>
      </c>
      <c r="C1877" s="7" t="s">
        <v>417</v>
      </c>
      <c r="D1877" s="7" t="s">
        <v>8343</v>
      </c>
      <c r="E1877" s="7" t="s">
        <v>1695</v>
      </c>
      <c r="F1877" s="7" t="s">
        <v>1696</v>
      </c>
    </row>
    <row r="1878">
      <c r="A1878" s="7" t="s">
        <v>3574</v>
      </c>
      <c r="B1878" s="7" t="s">
        <v>1134</v>
      </c>
      <c r="C1878" s="7" t="s">
        <v>274</v>
      </c>
      <c r="D1878" s="7" t="s">
        <v>8344</v>
      </c>
      <c r="E1878" s="7" t="s">
        <v>1695</v>
      </c>
      <c r="F1878" s="7" t="s">
        <v>1696</v>
      </c>
    </row>
    <row r="1879">
      <c r="A1879" s="7" t="s">
        <v>2904</v>
      </c>
      <c r="B1879" s="7" t="s">
        <v>2905</v>
      </c>
      <c r="C1879" s="7" t="s">
        <v>120</v>
      </c>
      <c r="D1879" s="7" t="s">
        <v>8345</v>
      </c>
      <c r="E1879" s="7" t="s">
        <v>1695</v>
      </c>
      <c r="F1879" s="7" t="s">
        <v>1696</v>
      </c>
    </row>
    <row r="1880">
      <c r="A1880" s="7" t="s">
        <v>3715</v>
      </c>
      <c r="B1880" s="7" t="s">
        <v>218</v>
      </c>
      <c r="C1880" s="7" t="s">
        <v>1804</v>
      </c>
      <c r="D1880" s="7" t="s">
        <v>8346</v>
      </c>
      <c r="E1880" s="7" t="s">
        <v>1695</v>
      </c>
      <c r="F1880" s="7" t="s">
        <v>1696</v>
      </c>
    </row>
    <row r="1881">
      <c r="A1881" s="7" t="s">
        <v>4372</v>
      </c>
      <c r="B1881" s="7" t="s">
        <v>4373</v>
      </c>
      <c r="C1881" s="7" t="s">
        <v>4374</v>
      </c>
      <c r="D1881" s="7" t="s">
        <v>8347</v>
      </c>
      <c r="E1881" s="7" t="s">
        <v>1695</v>
      </c>
      <c r="F1881" s="7" t="s">
        <v>1696</v>
      </c>
    </row>
    <row r="1882">
      <c r="A1882" s="7" t="s">
        <v>5785</v>
      </c>
      <c r="B1882" s="7" t="s">
        <v>2537</v>
      </c>
      <c r="C1882" s="7" t="s">
        <v>1708</v>
      </c>
      <c r="D1882" s="7" t="s">
        <v>8348</v>
      </c>
      <c r="E1882" s="7" t="s">
        <v>1695</v>
      </c>
      <c r="F1882" s="7" t="s">
        <v>1696</v>
      </c>
    </row>
    <row r="1883">
      <c r="A1883" s="7" t="s">
        <v>4173</v>
      </c>
      <c r="B1883" s="7" t="s">
        <v>4174</v>
      </c>
      <c r="C1883" s="7" t="s">
        <v>4175</v>
      </c>
      <c r="D1883" s="7" t="s">
        <v>8349</v>
      </c>
      <c r="E1883" s="7" t="s">
        <v>1695</v>
      </c>
      <c r="F1883" s="7" t="s">
        <v>1696</v>
      </c>
    </row>
    <row r="1884">
      <c r="A1884" s="7" t="s">
        <v>2885</v>
      </c>
      <c r="B1884" s="7" t="s">
        <v>2886</v>
      </c>
      <c r="C1884" s="7" t="s">
        <v>1368</v>
      </c>
      <c r="D1884" s="7" t="s">
        <v>8350</v>
      </c>
      <c r="E1884" s="7" t="s">
        <v>1695</v>
      </c>
      <c r="F1884" s="7" t="s">
        <v>1696</v>
      </c>
    </row>
    <row r="1885">
      <c r="A1885" s="7" t="s">
        <v>2406</v>
      </c>
      <c r="B1885" s="7" t="s">
        <v>2407</v>
      </c>
      <c r="C1885" s="7" t="s">
        <v>35</v>
      </c>
      <c r="D1885" s="7" t="s">
        <v>8351</v>
      </c>
      <c r="E1885" s="7" t="s">
        <v>1695</v>
      </c>
      <c r="F1885" s="7" t="s">
        <v>1696</v>
      </c>
    </row>
    <row r="1886">
      <c r="A1886" s="7" t="s">
        <v>2331</v>
      </c>
      <c r="B1886" s="7" t="s">
        <v>2332</v>
      </c>
      <c r="C1886" s="7" t="s">
        <v>649</v>
      </c>
      <c r="D1886" s="7" t="s">
        <v>8352</v>
      </c>
      <c r="E1886" s="7" t="s">
        <v>1695</v>
      </c>
      <c r="F1886" s="7" t="s">
        <v>1696</v>
      </c>
    </row>
    <row r="1887">
      <c r="A1887" s="7" t="s">
        <v>6073</v>
      </c>
      <c r="B1887" s="7" t="s">
        <v>264</v>
      </c>
      <c r="C1887" s="7" t="s">
        <v>70</v>
      </c>
      <c r="D1887" s="7" t="s">
        <v>8353</v>
      </c>
      <c r="E1887" s="7" t="s">
        <v>1695</v>
      </c>
      <c r="F1887" s="7" t="s">
        <v>1696</v>
      </c>
    </row>
    <row r="1888">
      <c r="A1888" s="7" t="s">
        <v>2337</v>
      </c>
      <c r="B1888" s="7" t="s">
        <v>2338</v>
      </c>
      <c r="C1888" s="7" t="s">
        <v>2339</v>
      </c>
      <c r="D1888" s="7" t="s">
        <v>8354</v>
      </c>
      <c r="E1888" s="7" t="s">
        <v>1695</v>
      </c>
      <c r="F1888" s="7" t="s">
        <v>1696</v>
      </c>
    </row>
    <row r="1889">
      <c r="A1889" s="7" t="s">
        <v>4970</v>
      </c>
      <c r="B1889" s="7" t="s">
        <v>46</v>
      </c>
      <c r="C1889" s="7" t="s">
        <v>2820</v>
      </c>
      <c r="D1889" s="7" t="s">
        <v>8355</v>
      </c>
      <c r="E1889" s="7" t="s">
        <v>1695</v>
      </c>
      <c r="F1889" s="7" t="s">
        <v>1696</v>
      </c>
    </row>
    <row r="1890">
      <c r="A1890" s="7" t="s">
        <v>3713</v>
      </c>
      <c r="B1890" s="7" t="s">
        <v>504</v>
      </c>
      <c r="C1890" s="7" t="s">
        <v>328</v>
      </c>
      <c r="D1890" s="7" t="s">
        <v>8356</v>
      </c>
      <c r="E1890" s="7" t="s">
        <v>1695</v>
      </c>
      <c r="F1890" s="7" t="s">
        <v>1696</v>
      </c>
    </row>
    <row r="1891">
      <c r="A1891" s="7" t="s">
        <v>5015</v>
      </c>
      <c r="B1891" s="7" t="s">
        <v>3150</v>
      </c>
      <c r="C1891" s="7" t="s">
        <v>1008</v>
      </c>
      <c r="D1891" s="7" t="s">
        <v>8357</v>
      </c>
      <c r="E1891" s="7" t="s">
        <v>1695</v>
      </c>
      <c r="F1891" s="7" t="s">
        <v>1696</v>
      </c>
    </row>
    <row r="1892">
      <c r="A1892" s="7" t="s">
        <v>1816</v>
      </c>
      <c r="B1892" s="7" t="s">
        <v>1817</v>
      </c>
      <c r="C1892" s="7" t="s">
        <v>1818</v>
      </c>
      <c r="D1892" s="7" t="s">
        <v>8358</v>
      </c>
      <c r="E1892" s="7" t="s">
        <v>1695</v>
      </c>
      <c r="F1892" s="7" t="s">
        <v>1696</v>
      </c>
    </row>
    <row r="1893">
      <c r="A1893" s="7" t="s">
        <v>5941</v>
      </c>
      <c r="B1893" s="7" t="s">
        <v>2781</v>
      </c>
      <c r="C1893" s="7" t="s">
        <v>1368</v>
      </c>
      <c r="D1893" s="7" t="s">
        <v>8359</v>
      </c>
      <c r="E1893" s="7" t="s">
        <v>1695</v>
      </c>
      <c r="F1893" s="7" t="s">
        <v>1696</v>
      </c>
    </row>
    <row r="1894">
      <c r="A1894" s="7" t="s">
        <v>3051</v>
      </c>
      <c r="B1894" s="7" t="s">
        <v>840</v>
      </c>
      <c r="C1894" s="7" t="s">
        <v>55</v>
      </c>
      <c r="D1894" s="7" t="s">
        <v>8360</v>
      </c>
      <c r="E1894" s="7" t="s">
        <v>1695</v>
      </c>
      <c r="F1894" s="7" t="s">
        <v>1696</v>
      </c>
    </row>
    <row r="1895">
      <c r="A1895" s="7" t="s">
        <v>3310</v>
      </c>
      <c r="B1895" s="7" t="s">
        <v>3311</v>
      </c>
      <c r="C1895" s="7" t="s">
        <v>795</v>
      </c>
      <c r="D1895" s="7" t="s">
        <v>8361</v>
      </c>
      <c r="E1895" s="7" t="s">
        <v>1695</v>
      </c>
      <c r="F1895" s="7" t="s">
        <v>1696</v>
      </c>
    </row>
    <row r="1896">
      <c r="A1896" s="7" t="s">
        <v>4096</v>
      </c>
      <c r="B1896" s="7" t="s">
        <v>1758</v>
      </c>
      <c r="C1896" s="7" t="s">
        <v>4097</v>
      </c>
      <c r="D1896" s="7" t="s">
        <v>8362</v>
      </c>
      <c r="E1896" s="7" t="s">
        <v>1695</v>
      </c>
      <c r="F1896" s="7" t="s">
        <v>1696</v>
      </c>
    </row>
    <row r="1897">
      <c r="A1897" s="7" t="s">
        <v>2953</v>
      </c>
      <c r="B1897" s="7" t="s">
        <v>2954</v>
      </c>
      <c r="C1897" s="7" t="s">
        <v>518</v>
      </c>
      <c r="D1897" s="7" t="s">
        <v>8363</v>
      </c>
      <c r="E1897" s="7" t="s">
        <v>1695</v>
      </c>
      <c r="F1897" s="7" t="s">
        <v>1696</v>
      </c>
    </row>
    <row r="1898">
      <c r="A1898" s="7" t="s">
        <v>3153</v>
      </c>
      <c r="B1898" s="7" t="s">
        <v>2084</v>
      </c>
      <c r="C1898" s="7" t="s">
        <v>596</v>
      </c>
      <c r="D1898" s="7" t="s">
        <v>8364</v>
      </c>
      <c r="E1898" s="7" t="s">
        <v>1695</v>
      </c>
      <c r="F1898" s="7" t="s">
        <v>1696</v>
      </c>
    </row>
    <row r="1899">
      <c r="A1899" s="7" t="s">
        <v>5037</v>
      </c>
      <c r="B1899" s="7" t="s">
        <v>1598</v>
      </c>
      <c r="C1899" s="7" t="s">
        <v>5038</v>
      </c>
      <c r="D1899" s="7" t="s">
        <v>8365</v>
      </c>
      <c r="E1899" s="7" t="s">
        <v>1695</v>
      </c>
      <c r="F1899" s="7" t="s">
        <v>1696</v>
      </c>
    </row>
    <row r="1900">
      <c r="A1900" s="7" t="s">
        <v>3775</v>
      </c>
      <c r="B1900" s="7" t="s">
        <v>3776</v>
      </c>
      <c r="C1900" s="7" t="s">
        <v>2057</v>
      </c>
      <c r="D1900" s="7" t="s">
        <v>8366</v>
      </c>
      <c r="E1900" s="7" t="s">
        <v>1695</v>
      </c>
      <c r="F1900" s="7" t="s">
        <v>1696</v>
      </c>
    </row>
    <row r="1901">
      <c r="A1901" s="7" t="s">
        <v>5780</v>
      </c>
      <c r="B1901" s="7" t="s">
        <v>5781</v>
      </c>
      <c r="C1901" s="7" t="s">
        <v>918</v>
      </c>
      <c r="D1901" s="7" t="s">
        <v>8367</v>
      </c>
      <c r="E1901" s="7" t="s">
        <v>1695</v>
      </c>
      <c r="F1901" s="7" t="s">
        <v>1696</v>
      </c>
    </row>
    <row r="1902">
      <c r="A1902" s="7" t="s">
        <v>5244</v>
      </c>
      <c r="B1902" s="7" t="s">
        <v>5245</v>
      </c>
      <c r="C1902" s="7" t="s">
        <v>425</v>
      </c>
      <c r="D1902" s="7" t="s">
        <v>8368</v>
      </c>
      <c r="E1902" s="7" t="s">
        <v>1695</v>
      </c>
      <c r="F1902" s="7" t="s">
        <v>1696</v>
      </c>
    </row>
    <row r="1903">
      <c r="A1903" s="7" t="s">
        <v>5240</v>
      </c>
      <c r="B1903" s="7" t="s">
        <v>85</v>
      </c>
      <c r="C1903" s="7" t="s">
        <v>1882</v>
      </c>
      <c r="D1903" s="7" t="s">
        <v>8369</v>
      </c>
      <c r="E1903" s="7" t="s">
        <v>1695</v>
      </c>
      <c r="F1903" s="7" t="s">
        <v>1696</v>
      </c>
    </row>
    <row r="1904">
      <c r="A1904" s="7" t="s">
        <v>4416</v>
      </c>
      <c r="B1904" s="7" t="s">
        <v>4417</v>
      </c>
      <c r="C1904" s="7" t="s">
        <v>4418</v>
      </c>
      <c r="D1904" s="7" t="s">
        <v>8370</v>
      </c>
      <c r="E1904" s="7" t="s">
        <v>1695</v>
      </c>
      <c r="F1904" s="7" t="s">
        <v>1696</v>
      </c>
    </row>
    <row r="1905">
      <c r="A1905" s="7" t="s">
        <v>5036</v>
      </c>
      <c r="B1905" s="7" t="s">
        <v>273</v>
      </c>
      <c r="C1905" s="7" t="s">
        <v>1269</v>
      </c>
      <c r="D1905" s="7" t="s">
        <v>8371</v>
      </c>
      <c r="E1905" s="7" t="s">
        <v>1695</v>
      </c>
      <c r="F1905" s="7" t="s">
        <v>1696</v>
      </c>
    </row>
    <row r="1906">
      <c r="A1906" s="7" t="s">
        <v>5416</v>
      </c>
      <c r="B1906" s="7" t="s">
        <v>5417</v>
      </c>
      <c r="C1906" s="7" t="s">
        <v>5418</v>
      </c>
      <c r="D1906" s="7" t="s">
        <v>8372</v>
      </c>
      <c r="E1906" s="7" t="s">
        <v>1695</v>
      </c>
      <c r="F1906" s="7" t="s">
        <v>1696</v>
      </c>
    </row>
    <row r="1907">
      <c r="A1907" s="7" t="s">
        <v>2760</v>
      </c>
      <c r="B1907" s="7" t="s">
        <v>414</v>
      </c>
      <c r="C1907" s="7" t="s">
        <v>2355</v>
      </c>
      <c r="D1907" s="7" t="s">
        <v>8373</v>
      </c>
      <c r="E1907" s="7" t="s">
        <v>1695</v>
      </c>
      <c r="F1907" s="7" t="s">
        <v>1696</v>
      </c>
    </row>
    <row r="1908">
      <c r="A1908" s="7" t="s">
        <v>2079</v>
      </c>
      <c r="B1908" s="7" t="s">
        <v>2080</v>
      </c>
      <c r="C1908" s="7" t="s">
        <v>2081</v>
      </c>
      <c r="D1908" s="7" t="s">
        <v>8374</v>
      </c>
      <c r="E1908" s="7" t="s">
        <v>1695</v>
      </c>
      <c r="F1908" s="7" t="s">
        <v>1696</v>
      </c>
    </row>
    <row r="1909">
      <c r="A1909" s="7" t="s">
        <v>5277</v>
      </c>
      <c r="B1909" s="7" t="s">
        <v>4243</v>
      </c>
      <c r="C1909" s="7" t="s">
        <v>5278</v>
      </c>
      <c r="D1909" s="7" t="s">
        <v>8375</v>
      </c>
      <c r="E1909" s="7" t="s">
        <v>1695</v>
      </c>
      <c r="F1909" s="7" t="s">
        <v>1696</v>
      </c>
    </row>
    <row r="1910">
      <c r="A1910" s="7" t="s">
        <v>6276</v>
      </c>
      <c r="B1910" s="7" t="s">
        <v>6277</v>
      </c>
      <c r="C1910" s="7" t="s">
        <v>414</v>
      </c>
      <c r="D1910" s="7" t="s">
        <v>8376</v>
      </c>
      <c r="E1910" s="7" t="s">
        <v>1695</v>
      </c>
      <c r="F1910" s="7" t="s">
        <v>1696</v>
      </c>
    </row>
    <row r="1911">
      <c r="A1911" s="7" t="s">
        <v>3572</v>
      </c>
      <c r="B1911" s="7" t="s">
        <v>2510</v>
      </c>
      <c r="C1911" s="7" t="s">
        <v>189</v>
      </c>
      <c r="D1911" s="7" t="s">
        <v>8377</v>
      </c>
      <c r="E1911" s="7" t="s">
        <v>1695</v>
      </c>
      <c r="F1911" s="7" t="s">
        <v>1696</v>
      </c>
    </row>
    <row r="1912">
      <c r="A1912" s="7" t="s">
        <v>5917</v>
      </c>
      <c r="B1912" s="7" t="s">
        <v>5918</v>
      </c>
      <c r="C1912" s="7" t="s">
        <v>5919</v>
      </c>
      <c r="D1912" s="7" t="s">
        <v>8378</v>
      </c>
      <c r="E1912" s="7" t="s">
        <v>1695</v>
      </c>
      <c r="F1912" s="7" t="s">
        <v>1696</v>
      </c>
    </row>
    <row r="1913">
      <c r="A1913" s="7" t="s">
        <v>3498</v>
      </c>
      <c r="B1913" s="7" t="s">
        <v>531</v>
      </c>
      <c r="C1913" s="7" t="s">
        <v>3499</v>
      </c>
      <c r="D1913" s="7" t="s">
        <v>8379</v>
      </c>
      <c r="E1913" s="7" t="s">
        <v>1695</v>
      </c>
      <c r="F1913" s="7" t="s">
        <v>1696</v>
      </c>
    </row>
    <row r="1914">
      <c r="A1914" s="7" t="s">
        <v>5285</v>
      </c>
      <c r="B1914" s="7" t="s">
        <v>817</v>
      </c>
      <c r="C1914" s="7" t="s">
        <v>3843</v>
      </c>
      <c r="D1914" s="7" t="s">
        <v>8380</v>
      </c>
      <c r="E1914" s="7" t="s">
        <v>1695</v>
      </c>
      <c r="F1914" s="7" t="s">
        <v>1696</v>
      </c>
    </row>
    <row r="1915">
      <c r="A1915" s="7" t="s">
        <v>2536</v>
      </c>
      <c r="B1915" s="7" t="s">
        <v>2537</v>
      </c>
      <c r="C1915" s="7" t="s">
        <v>158</v>
      </c>
      <c r="D1915" s="7" t="s">
        <v>8381</v>
      </c>
      <c r="E1915" s="7" t="s">
        <v>1695</v>
      </c>
      <c r="F1915" s="7" t="s">
        <v>1696</v>
      </c>
    </row>
    <row r="1916">
      <c r="A1916" s="7" t="s">
        <v>2567</v>
      </c>
      <c r="B1916" s="7" t="s">
        <v>2537</v>
      </c>
      <c r="C1916" s="7" t="s">
        <v>2568</v>
      </c>
      <c r="D1916" s="7" t="s">
        <v>8381</v>
      </c>
      <c r="E1916" s="7" t="s">
        <v>1695</v>
      </c>
      <c r="F1916" s="7" t="s">
        <v>1696</v>
      </c>
    </row>
    <row r="1917">
      <c r="A1917" s="7" t="s">
        <v>3565</v>
      </c>
      <c r="B1917" s="7" t="s">
        <v>420</v>
      </c>
      <c r="C1917" s="7" t="s">
        <v>422</v>
      </c>
      <c r="D1917" s="7" t="s">
        <v>8382</v>
      </c>
      <c r="E1917" s="7" t="s">
        <v>1695</v>
      </c>
      <c r="F1917" s="7" t="s">
        <v>1696</v>
      </c>
    </row>
    <row r="1918">
      <c r="A1918" s="7" t="s">
        <v>5515</v>
      </c>
      <c r="B1918" s="7" t="s">
        <v>1875</v>
      </c>
      <c r="C1918" s="7" t="s">
        <v>1924</v>
      </c>
      <c r="D1918" s="7" t="s">
        <v>8383</v>
      </c>
      <c r="E1918" s="7" t="s">
        <v>1695</v>
      </c>
      <c r="F1918" s="7" t="s">
        <v>1696</v>
      </c>
    </row>
    <row r="1919">
      <c r="A1919" s="7" t="s">
        <v>3917</v>
      </c>
      <c r="B1919" s="7" t="s">
        <v>2622</v>
      </c>
      <c r="C1919" s="7" t="s">
        <v>3799</v>
      </c>
      <c r="D1919" s="7" t="s">
        <v>8384</v>
      </c>
      <c r="E1919" s="7" t="s">
        <v>1695</v>
      </c>
      <c r="F1919" s="7" t="s">
        <v>1696</v>
      </c>
    </row>
    <row r="1920">
      <c r="A1920" s="7" t="s">
        <v>5350</v>
      </c>
      <c r="B1920" s="7" t="s">
        <v>4488</v>
      </c>
      <c r="C1920" s="7" t="s">
        <v>409</v>
      </c>
      <c r="D1920" s="7" t="s">
        <v>8384</v>
      </c>
      <c r="E1920" s="7" t="s">
        <v>1695</v>
      </c>
      <c r="F1920" s="7" t="s">
        <v>1696</v>
      </c>
    </row>
    <row r="1921">
      <c r="A1921" s="7" t="s">
        <v>6193</v>
      </c>
      <c r="B1921" s="7" t="s">
        <v>5225</v>
      </c>
      <c r="C1921" s="7" t="s">
        <v>3778</v>
      </c>
      <c r="D1921" s="7" t="s">
        <v>8385</v>
      </c>
      <c r="E1921" s="7" t="s">
        <v>1695</v>
      </c>
      <c r="F1921" s="7" t="s">
        <v>1696</v>
      </c>
    </row>
    <row r="1922">
      <c r="A1922" s="7" t="s">
        <v>3592</v>
      </c>
      <c r="B1922" s="7" t="s">
        <v>645</v>
      </c>
      <c r="C1922" s="7" t="s">
        <v>3593</v>
      </c>
      <c r="D1922" s="7" t="s">
        <v>8386</v>
      </c>
      <c r="E1922" s="7" t="s">
        <v>1695</v>
      </c>
      <c r="F1922" s="7" t="s">
        <v>1696</v>
      </c>
    </row>
    <row r="1923">
      <c r="A1923" s="7" t="s">
        <v>2827</v>
      </c>
      <c r="B1923" s="7" t="s">
        <v>2828</v>
      </c>
      <c r="C1923" s="7" t="s">
        <v>2829</v>
      </c>
      <c r="D1923" s="7" t="s">
        <v>8387</v>
      </c>
      <c r="E1923" s="7" t="s">
        <v>1695</v>
      </c>
      <c r="F1923" s="7" t="s">
        <v>1696</v>
      </c>
    </row>
    <row r="1924">
      <c r="A1924" s="7" t="s">
        <v>5747</v>
      </c>
      <c r="B1924" s="7" t="s">
        <v>5748</v>
      </c>
      <c r="C1924" s="7" t="s">
        <v>4134</v>
      </c>
      <c r="D1924" s="7" t="s">
        <v>8388</v>
      </c>
      <c r="E1924" s="7" t="s">
        <v>1695</v>
      </c>
      <c r="F1924" s="7" t="s">
        <v>1696</v>
      </c>
    </row>
    <row r="1925">
      <c r="A1925" s="7" t="s">
        <v>1850</v>
      </c>
      <c r="B1925" s="7" t="s">
        <v>484</v>
      </c>
      <c r="C1925" s="7" t="s">
        <v>218</v>
      </c>
      <c r="D1925" s="7" t="s">
        <v>8389</v>
      </c>
      <c r="E1925" s="7" t="s">
        <v>1695</v>
      </c>
      <c r="F1925" s="7" t="s">
        <v>1696</v>
      </c>
    </row>
    <row r="1926">
      <c r="A1926" s="7" t="s">
        <v>6347</v>
      </c>
      <c r="B1926" s="7" t="s">
        <v>930</v>
      </c>
      <c r="C1926" s="7" t="s">
        <v>970</v>
      </c>
      <c r="D1926" s="7" t="s">
        <v>8390</v>
      </c>
      <c r="E1926" s="7" t="s">
        <v>1695</v>
      </c>
      <c r="F1926" s="7" t="s">
        <v>6318</v>
      </c>
    </row>
    <row r="1927">
      <c r="A1927" s="7" t="s">
        <v>6300</v>
      </c>
      <c r="B1927" s="7" t="s">
        <v>6301</v>
      </c>
      <c r="C1927" s="7" t="s">
        <v>6302</v>
      </c>
      <c r="D1927" s="7" t="s">
        <v>8391</v>
      </c>
      <c r="E1927" s="7" t="s">
        <v>1695</v>
      </c>
      <c r="F1927" s="7" t="s">
        <v>1696</v>
      </c>
    </row>
    <row r="1928">
      <c r="A1928" s="7" t="s">
        <v>2372</v>
      </c>
      <c r="B1928" s="7" t="s">
        <v>2373</v>
      </c>
      <c r="C1928" s="7" t="s">
        <v>2374</v>
      </c>
      <c r="D1928" s="7" t="s">
        <v>8392</v>
      </c>
      <c r="E1928" s="7" t="s">
        <v>1695</v>
      </c>
      <c r="F1928" s="7" t="s">
        <v>1696</v>
      </c>
    </row>
    <row r="1929">
      <c r="A1929" s="7" t="s">
        <v>3951</v>
      </c>
      <c r="B1929" s="7" t="s">
        <v>3952</v>
      </c>
      <c r="C1929" s="7" t="s">
        <v>3150</v>
      </c>
      <c r="D1929" s="7" t="s">
        <v>8393</v>
      </c>
      <c r="E1929" s="7" t="s">
        <v>1695</v>
      </c>
      <c r="F1929" s="7" t="s">
        <v>1696</v>
      </c>
    </row>
    <row r="1930">
      <c r="A1930" s="7" t="s">
        <v>5935</v>
      </c>
      <c r="B1930" s="7" t="s">
        <v>5936</v>
      </c>
      <c r="C1930" s="7" t="s">
        <v>5937</v>
      </c>
      <c r="D1930" s="7" t="s">
        <v>8394</v>
      </c>
      <c r="E1930" s="7" t="s">
        <v>1695</v>
      </c>
      <c r="F1930" s="7" t="s">
        <v>1696</v>
      </c>
    </row>
    <row r="1931">
      <c r="A1931" s="7" t="s">
        <v>5446</v>
      </c>
      <c r="B1931" s="7" t="s">
        <v>4850</v>
      </c>
      <c r="C1931" s="7" t="s">
        <v>196</v>
      </c>
      <c r="D1931" s="7" t="s">
        <v>8395</v>
      </c>
      <c r="E1931" s="7" t="s">
        <v>1695</v>
      </c>
      <c r="F1931" s="7" t="s">
        <v>1696</v>
      </c>
    </row>
    <row r="1932">
      <c r="A1932" s="7" t="s">
        <v>4464</v>
      </c>
      <c r="B1932" s="7" t="s">
        <v>4465</v>
      </c>
      <c r="C1932" s="7" t="s">
        <v>412</v>
      </c>
      <c r="D1932" s="7" t="s">
        <v>8396</v>
      </c>
      <c r="E1932" s="7" t="s">
        <v>1695</v>
      </c>
      <c r="F1932" s="7" t="s">
        <v>1696</v>
      </c>
    </row>
    <row r="1933">
      <c r="A1933" s="7" t="s">
        <v>4354</v>
      </c>
      <c r="B1933" s="7" t="s">
        <v>3682</v>
      </c>
      <c r="C1933" s="7" t="s">
        <v>443</v>
      </c>
      <c r="D1933" s="7" t="s">
        <v>8397</v>
      </c>
      <c r="E1933" s="7" t="s">
        <v>1695</v>
      </c>
      <c r="F1933" s="7" t="s">
        <v>1696</v>
      </c>
    </row>
    <row r="1934">
      <c r="A1934" s="7" t="s">
        <v>4357</v>
      </c>
      <c r="B1934" s="7" t="s">
        <v>504</v>
      </c>
      <c r="C1934" s="7" t="s">
        <v>4358</v>
      </c>
      <c r="D1934" s="7" t="s">
        <v>8397</v>
      </c>
      <c r="E1934" s="7" t="s">
        <v>1695</v>
      </c>
      <c r="F1934" s="7" t="s">
        <v>1696</v>
      </c>
    </row>
    <row r="1935">
      <c r="A1935" s="7" t="s">
        <v>4168</v>
      </c>
      <c r="B1935" s="7" t="s">
        <v>178</v>
      </c>
      <c r="C1935" s="7" t="s">
        <v>196</v>
      </c>
      <c r="D1935" s="7" t="s">
        <v>8398</v>
      </c>
      <c r="E1935" s="7" t="s">
        <v>1695</v>
      </c>
      <c r="F1935" s="7" t="s">
        <v>1696</v>
      </c>
    </row>
    <row r="1936">
      <c r="A1936" s="7" t="s">
        <v>2638</v>
      </c>
      <c r="B1936" s="7" t="s">
        <v>46</v>
      </c>
      <c r="C1936" s="7" t="s">
        <v>815</v>
      </c>
      <c r="D1936" s="7" t="s">
        <v>8399</v>
      </c>
      <c r="E1936" s="7" t="s">
        <v>1695</v>
      </c>
      <c r="F1936" s="7" t="s">
        <v>1696</v>
      </c>
    </row>
    <row r="1937">
      <c r="A1937" s="7" t="s">
        <v>2641</v>
      </c>
      <c r="B1937" s="7" t="s">
        <v>2642</v>
      </c>
      <c r="C1937" s="7" t="s">
        <v>815</v>
      </c>
      <c r="D1937" s="7" t="s">
        <v>8399</v>
      </c>
      <c r="E1937" s="7" t="s">
        <v>1695</v>
      </c>
      <c r="F1937" s="7" t="s">
        <v>1696</v>
      </c>
    </row>
    <row r="1938">
      <c r="A1938" s="7" t="s">
        <v>5145</v>
      </c>
      <c r="B1938" s="7" t="s">
        <v>5146</v>
      </c>
      <c r="C1938" s="7" t="s">
        <v>5147</v>
      </c>
      <c r="D1938" s="7" t="s">
        <v>8400</v>
      </c>
      <c r="E1938" s="7" t="s">
        <v>1695</v>
      </c>
      <c r="F1938" s="7" t="s">
        <v>1696</v>
      </c>
    </row>
    <row r="1939">
      <c r="A1939" s="7" t="s">
        <v>5939</v>
      </c>
      <c r="B1939" s="7" t="s">
        <v>356</v>
      </c>
      <c r="C1939" s="7" t="s">
        <v>1804</v>
      </c>
      <c r="D1939" s="7" t="s">
        <v>8401</v>
      </c>
      <c r="E1939" s="7" t="s">
        <v>1695</v>
      </c>
      <c r="F1939" s="7" t="s">
        <v>1696</v>
      </c>
    </row>
    <row r="1940">
      <c r="A1940" s="7" t="s">
        <v>4929</v>
      </c>
      <c r="B1940" s="7" t="s">
        <v>2535</v>
      </c>
      <c r="C1940" s="7" t="s">
        <v>292</v>
      </c>
      <c r="D1940" s="7" t="s">
        <v>8402</v>
      </c>
      <c r="E1940" s="7" t="s">
        <v>1695</v>
      </c>
      <c r="F1940" s="7" t="s">
        <v>1696</v>
      </c>
    </row>
    <row r="1941">
      <c r="A1941" s="7" t="s">
        <v>3472</v>
      </c>
      <c r="B1941" s="7" t="s">
        <v>85</v>
      </c>
      <c r="C1941" s="7" t="s">
        <v>518</v>
      </c>
      <c r="D1941" s="7" t="s">
        <v>8403</v>
      </c>
      <c r="E1941" s="7" t="s">
        <v>1695</v>
      </c>
      <c r="F1941" s="7" t="s">
        <v>1696</v>
      </c>
    </row>
    <row r="1942">
      <c r="A1942" s="7" t="s">
        <v>1709</v>
      </c>
      <c r="B1942" s="7" t="s">
        <v>1710</v>
      </c>
      <c r="C1942" s="7" t="s">
        <v>1711</v>
      </c>
      <c r="D1942" s="7" t="s">
        <v>8404</v>
      </c>
      <c r="E1942" s="7" t="s">
        <v>1695</v>
      </c>
      <c r="F1942" s="7" t="s">
        <v>1696</v>
      </c>
    </row>
    <row r="1943">
      <c r="A1943" s="7" t="s">
        <v>6051</v>
      </c>
      <c r="B1943" s="7" t="s">
        <v>6052</v>
      </c>
      <c r="C1943" s="7" t="s">
        <v>6053</v>
      </c>
      <c r="D1943" s="7" t="s">
        <v>8405</v>
      </c>
      <c r="E1943" s="7" t="s">
        <v>1695</v>
      </c>
      <c r="F1943" s="7" t="s">
        <v>1696</v>
      </c>
    </row>
    <row r="1944">
      <c r="A1944" s="7" t="s">
        <v>3539</v>
      </c>
      <c r="B1944" s="7" t="s">
        <v>3540</v>
      </c>
      <c r="C1944" s="7" t="s">
        <v>3541</v>
      </c>
      <c r="D1944" s="7" t="s">
        <v>8406</v>
      </c>
      <c r="E1944" s="7" t="s">
        <v>1695</v>
      </c>
      <c r="F1944" s="7" t="s">
        <v>1696</v>
      </c>
    </row>
    <row r="1945">
      <c r="A1945" s="7" t="s">
        <v>6083</v>
      </c>
      <c r="B1945" s="7" t="s">
        <v>4642</v>
      </c>
      <c r="C1945" s="7" t="s">
        <v>6084</v>
      </c>
      <c r="D1945" s="7" t="s">
        <v>8407</v>
      </c>
      <c r="E1945" s="7" t="s">
        <v>1695</v>
      </c>
      <c r="F1945" s="7" t="s">
        <v>1696</v>
      </c>
    </row>
    <row r="1946">
      <c r="A1946" s="7" t="s">
        <v>2063</v>
      </c>
      <c r="B1946" s="7" t="s">
        <v>2064</v>
      </c>
      <c r="C1946" s="7" t="s">
        <v>2065</v>
      </c>
      <c r="D1946" s="7" t="s">
        <v>8408</v>
      </c>
      <c r="E1946" s="7" t="s">
        <v>1695</v>
      </c>
      <c r="F1946" s="7" t="s">
        <v>1696</v>
      </c>
    </row>
    <row r="1947">
      <c r="A1947" s="7" t="s">
        <v>2818</v>
      </c>
      <c r="B1947" s="7" t="s">
        <v>2819</v>
      </c>
      <c r="C1947" s="7" t="s">
        <v>2820</v>
      </c>
      <c r="D1947" s="7" t="s">
        <v>8409</v>
      </c>
      <c r="E1947" s="7" t="s">
        <v>1695</v>
      </c>
      <c r="F1947" s="7" t="s">
        <v>1696</v>
      </c>
    </row>
    <row r="1948">
      <c r="A1948" s="7" t="s">
        <v>3904</v>
      </c>
      <c r="B1948" s="7" t="s">
        <v>711</v>
      </c>
      <c r="C1948" s="7" t="s">
        <v>3015</v>
      </c>
      <c r="D1948" s="7" t="s">
        <v>8410</v>
      </c>
      <c r="E1948" s="7" t="s">
        <v>1695</v>
      </c>
      <c r="F1948" s="7" t="s">
        <v>1696</v>
      </c>
    </row>
    <row r="1949">
      <c r="A1949" s="7" t="s">
        <v>2968</v>
      </c>
      <c r="B1949" s="7" t="s">
        <v>663</v>
      </c>
      <c r="C1949" s="7" t="s">
        <v>420</v>
      </c>
      <c r="D1949" s="7" t="s">
        <v>8411</v>
      </c>
      <c r="E1949" s="7" t="s">
        <v>1695</v>
      </c>
      <c r="F1949" s="7" t="s">
        <v>1696</v>
      </c>
    </row>
    <row r="1950">
      <c r="A1950" s="7" t="s">
        <v>2242</v>
      </c>
      <c r="B1950" s="7" t="s">
        <v>2243</v>
      </c>
      <c r="C1950" s="7" t="s">
        <v>2244</v>
      </c>
      <c r="D1950" s="7" t="s">
        <v>8412</v>
      </c>
      <c r="E1950" s="7" t="s">
        <v>1695</v>
      </c>
      <c r="F1950" s="7" t="s">
        <v>1696</v>
      </c>
    </row>
    <row r="1951">
      <c r="A1951" s="7" t="s">
        <v>5736</v>
      </c>
      <c r="B1951" s="7" t="s">
        <v>3150</v>
      </c>
      <c r="C1951" s="7" t="s">
        <v>227</v>
      </c>
      <c r="D1951" s="7" t="s">
        <v>8413</v>
      </c>
      <c r="E1951" s="7" t="s">
        <v>1695</v>
      </c>
      <c r="F1951" s="7" t="s">
        <v>1696</v>
      </c>
    </row>
    <row r="1952">
      <c r="A1952" s="7" t="s">
        <v>2389</v>
      </c>
      <c r="B1952" s="7" t="s">
        <v>2390</v>
      </c>
      <c r="C1952" s="7" t="s">
        <v>1512</v>
      </c>
      <c r="D1952" s="7" t="s">
        <v>8414</v>
      </c>
      <c r="E1952" s="7" t="s">
        <v>1695</v>
      </c>
      <c r="F1952" s="7" t="s">
        <v>1696</v>
      </c>
    </row>
    <row r="1953">
      <c r="A1953" s="7" t="s">
        <v>5328</v>
      </c>
      <c r="B1953" s="7" t="s">
        <v>85</v>
      </c>
      <c r="C1953" s="7" t="s">
        <v>5329</v>
      </c>
      <c r="D1953" s="7" t="s">
        <v>8415</v>
      </c>
      <c r="E1953" s="7" t="s">
        <v>1695</v>
      </c>
      <c r="F1953" s="7" t="s">
        <v>1696</v>
      </c>
    </row>
    <row r="1954">
      <c r="A1954" s="7" t="s">
        <v>3262</v>
      </c>
      <c r="B1954" s="7" t="s">
        <v>344</v>
      </c>
      <c r="C1954" s="7" t="s">
        <v>2084</v>
      </c>
      <c r="D1954" s="7" t="s">
        <v>8416</v>
      </c>
      <c r="E1954" s="7" t="s">
        <v>1695</v>
      </c>
      <c r="F1954" s="7" t="s">
        <v>1696</v>
      </c>
    </row>
    <row r="1955">
      <c r="A1955" s="7" t="s">
        <v>5863</v>
      </c>
      <c r="B1955" s="7" t="s">
        <v>5106</v>
      </c>
      <c r="C1955" s="7" t="s">
        <v>5864</v>
      </c>
      <c r="D1955" s="7" t="s">
        <v>8417</v>
      </c>
      <c r="E1955" s="7" t="s">
        <v>1695</v>
      </c>
      <c r="F1955" s="7" t="s">
        <v>1696</v>
      </c>
    </row>
    <row r="1956">
      <c r="A1956" s="7" t="s">
        <v>4185</v>
      </c>
      <c r="B1956" s="7" t="s">
        <v>4186</v>
      </c>
      <c r="C1956" s="7" t="s">
        <v>4187</v>
      </c>
      <c r="D1956" s="7" t="s">
        <v>8418</v>
      </c>
      <c r="E1956" s="7" t="s">
        <v>1695</v>
      </c>
      <c r="F1956" s="7" t="s">
        <v>1696</v>
      </c>
    </row>
    <row r="1957">
      <c r="A1957" s="7" t="s">
        <v>5638</v>
      </c>
      <c r="B1957" s="7" t="s">
        <v>5639</v>
      </c>
      <c r="C1957" s="7" t="s">
        <v>46</v>
      </c>
      <c r="D1957" s="7" t="s">
        <v>8419</v>
      </c>
      <c r="E1957" s="7" t="s">
        <v>1695</v>
      </c>
      <c r="F1957" s="7" t="s">
        <v>1696</v>
      </c>
    </row>
    <row r="1958">
      <c r="A1958" s="7" t="s">
        <v>1902</v>
      </c>
      <c r="B1958" s="7" t="s">
        <v>612</v>
      </c>
      <c r="C1958" s="7" t="s">
        <v>404</v>
      </c>
      <c r="D1958" s="7" t="s">
        <v>8420</v>
      </c>
      <c r="E1958" s="7" t="s">
        <v>1695</v>
      </c>
      <c r="F1958" s="7" t="s">
        <v>1696</v>
      </c>
    </row>
    <row r="1959">
      <c r="A1959" s="7" t="s">
        <v>2233</v>
      </c>
      <c r="B1959" s="7" t="s">
        <v>2234</v>
      </c>
      <c r="C1959" s="7" t="s">
        <v>2235</v>
      </c>
      <c r="D1959" s="7" t="s">
        <v>8421</v>
      </c>
      <c r="E1959" s="7" t="s">
        <v>1695</v>
      </c>
      <c r="F1959" s="7" t="s">
        <v>1696</v>
      </c>
    </row>
    <row r="1960">
      <c r="A1960" s="7" t="s">
        <v>5875</v>
      </c>
      <c r="B1960" s="7" t="s">
        <v>4556</v>
      </c>
      <c r="C1960" s="7" t="s">
        <v>1000</v>
      </c>
      <c r="D1960" s="7" t="s">
        <v>8422</v>
      </c>
      <c r="E1960" s="7" t="s">
        <v>1695</v>
      </c>
      <c r="F1960" s="7" t="s">
        <v>1696</v>
      </c>
    </row>
    <row r="1961">
      <c r="A1961" s="7" t="s">
        <v>3995</v>
      </c>
      <c r="B1961" s="7" t="s">
        <v>1208</v>
      </c>
      <c r="C1961" s="7" t="s">
        <v>918</v>
      </c>
      <c r="D1961" s="7" t="s">
        <v>8423</v>
      </c>
      <c r="E1961" s="7" t="s">
        <v>1695</v>
      </c>
      <c r="F1961" s="7" t="s">
        <v>1696</v>
      </c>
    </row>
    <row r="1962">
      <c r="A1962" s="7" t="s">
        <v>3162</v>
      </c>
      <c r="B1962" s="7" t="s">
        <v>3163</v>
      </c>
      <c r="C1962" s="7" t="s">
        <v>3164</v>
      </c>
      <c r="D1962" s="7" t="s">
        <v>8424</v>
      </c>
      <c r="E1962" s="7" t="s">
        <v>1695</v>
      </c>
      <c r="F1962" s="7" t="s">
        <v>1696</v>
      </c>
    </row>
    <row r="1963">
      <c r="A1963" s="7" t="s">
        <v>4625</v>
      </c>
      <c r="B1963" s="7" t="s">
        <v>4626</v>
      </c>
      <c r="C1963" s="7" t="s">
        <v>4627</v>
      </c>
      <c r="D1963" s="7" t="s">
        <v>8425</v>
      </c>
      <c r="E1963" s="7" t="s">
        <v>1695</v>
      </c>
      <c r="F1963" s="7" t="s">
        <v>1696</v>
      </c>
    </row>
    <row r="1964">
      <c r="A1964" s="7" t="s">
        <v>4793</v>
      </c>
      <c r="B1964" s="7" t="s">
        <v>304</v>
      </c>
      <c r="C1964" s="7" t="s">
        <v>4794</v>
      </c>
      <c r="D1964" s="7" t="s">
        <v>8426</v>
      </c>
      <c r="E1964" s="7" t="s">
        <v>1695</v>
      </c>
      <c r="F1964" s="7" t="s">
        <v>1696</v>
      </c>
    </row>
    <row r="1965">
      <c r="A1965" s="7" t="s">
        <v>2728</v>
      </c>
      <c r="B1965" s="7" t="s">
        <v>126</v>
      </c>
      <c r="C1965" s="7" t="s">
        <v>2729</v>
      </c>
      <c r="D1965" s="7" t="s">
        <v>8427</v>
      </c>
      <c r="E1965" s="7" t="s">
        <v>1695</v>
      </c>
      <c r="F1965" s="7" t="s">
        <v>1696</v>
      </c>
    </row>
    <row r="1966">
      <c r="A1966" s="7" t="s">
        <v>2807</v>
      </c>
      <c r="B1966" s="7" t="s">
        <v>192</v>
      </c>
      <c r="C1966" s="7" t="s">
        <v>425</v>
      </c>
      <c r="D1966" s="7" t="s">
        <v>8428</v>
      </c>
      <c r="E1966" s="7" t="s">
        <v>1695</v>
      </c>
      <c r="F1966" s="7" t="s">
        <v>1696</v>
      </c>
    </row>
    <row r="1967">
      <c r="A1967" s="7" t="s">
        <v>3079</v>
      </c>
      <c r="B1967" s="7" t="s">
        <v>192</v>
      </c>
      <c r="C1967" s="7" t="s">
        <v>425</v>
      </c>
      <c r="D1967" s="7" t="s">
        <v>8428</v>
      </c>
      <c r="E1967" s="7" t="s">
        <v>1695</v>
      </c>
      <c r="F1967" s="7" t="s">
        <v>1696</v>
      </c>
    </row>
    <row r="1968">
      <c r="A1968" s="7" t="s">
        <v>5120</v>
      </c>
      <c r="B1968" s="7" t="s">
        <v>4383</v>
      </c>
      <c r="C1968" s="7" t="s">
        <v>196</v>
      </c>
      <c r="D1968" s="7" t="s">
        <v>8429</v>
      </c>
      <c r="E1968" s="7" t="s">
        <v>1695</v>
      </c>
      <c r="F1968" s="7" t="s">
        <v>1696</v>
      </c>
    </row>
    <row r="1969">
      <c r="A1969" s="7" t="s">
        <v>5462</v>
      </c>
      <c r="B1969" s="7" t="s">
        <v>4383</v>
      </c>
      <c r="C1969" s="7" t="s">
        <v>196</v>
      </c>
      <c r="D1969" s="7" t="s">
        <v>8429</v>
      </c>
      <c r="E1969" s="7" t="s">
        <v>1695</v>
      </c>
      <c r="F1969" s="7" t="s">
        <v>1696</v>
      </c>
    </row>
    <row r="1970">
      <c r="A1970" s="7" t="s">
        <v>6319</v>
      </c>
      <c r="B1970" s="7" t="s">
        <v>6320</v>
      </c>
      <c r="C1970" s="7" t="s">
        <v>6321</v>
      </c>
      <c r="D1970" s="7" t="s">
        <v>8430</v>
      </c>
      <c r="E1970" s="7" t="s">
        <v>1695</v>
      </c>
      <c r="F1970" s="7" t="s">
        <v>6318</v>
      </c>
    </row>
    <row r="1971">
      <c r="A1971" s="7" t="s">
        <v>2977</v>
      </c>
      <c r="B1971" s="7" t="s">
        <v>1943</v>
      </c>
      <c r="C1971" s="7" t="s">
        <v>2978</v>
      </c>
      <c r="D1971" s="7" t="s">
        <v>8431</v>
      </c>
      <c r="E1971" s="7" t="s">
        <v>1695</v>
      </c>
      <c r="F1971" s="7" t="s">
        <v>1696</v>
      </c>
    </row>
    <row r="1972">
      <c r="A1972" s="7" t="s">
        <v>2068</v>
      </c>
      <c r="B1972" s="7" t="s">
        <v>1584</v>
      </c>
      <c r="C1972" s="7" t="s">
        <v>428</v>
      </c>
      <c r="D1972" s="7" t="s">
        <v>8432</v>
      </c>
      <c r="E1972" s="7" t="s">
        <v>1695</v>
      </c>
      <c r="F1972" s="7" t="s">
        <v>1696</v>
      </c>
    </row>
    <row r="1973">
      <c r="A1973" s="7" t="s">
        <v>1831</v>
      </c>
      <c r="B1973" s="7" t="s">
        <v>1832</v>
      </c>
      <c r="C1973" s="7" t="s">
        <v>1833</v>
      </c>
      <c r="D1973" s="7" t="s">
        <v>8433</v>
      </c>
      <c r="E1973" s="7" t="s">
        <v>1695</v>
      </c>
      <c r="F1973" s="7" t="s">
        <v>1696</v>
      </c>
    </row>
    <row r="1974">
      <c r="A1974" s="7" t="s">
        <v>6161</v>
      </c>
      <c r="B1974" s="7" t="s">
        <v>5473</v>
      </c>
      <c r="C1974" s="7" t="s">
        <v>4051</v>
      </c>
      <c r="D1974" s="7" t="s">
        <v>8434</v>
      </c>
      <c r="E1974" s="7" t="s">
        <v>1695</v>
      </c>
      <c r="F1974" s="7" t="s">
        <v>1696</v>
      </c>
    </row>
    <row r="1975">
      <c r="A1975" s="7" t="s">
        <v>5463</v>
      </c>
      <c r="B1975" s="7" t="s">
        <v>4555</v>
      </c>
      <c r="C1975" s="7" t="s">
        <v>196</v>
      </c>
      <c r="D1975" s="7" t="s">
        <v>8435</v>
      </c>
      <c r="E1975" s="7" t="s">
        <v>1695</v>
      </c>
      <c r="F1975" s="7" t="s">
        <v>1696</v>
      </c>
    </row>
    <row r="1976">
      <c r="A1976" s="7" t="s">
        <v>4711</v>
      </c>
      <c r="B1976" s="7" t="s">
        <v>1898</v>
      </c>
      <c r="C1976" s="7" t="s">
        <v>649</v>
      </c>
      <c r="D1976" s="7" t="s">
        <v>8436</v>
      </c>
      <c r="E1976" s="7" t="s">
        <v>1695</v>
      </c>
      <c r="F1976" s="7" t="s">
        <v>1696</v>
      </c>
    </row>
    <row r="1977">
      <c r="A1977" s="7" t="s">
        <v>5075</v>
      </c>
      <c r="B1977" s="7" t="s">
        <v>32</v>
      </c>
      <c r="C1977" s="7" t="s">
        <v>5076</v>
      </c>
      <c r="D1977" s="7" t="s">
        <v>8437</v>
      </c>
      <c r="E1977" s="7" t="s">
        <v>1695</v>
      </c>
      <c r="F1977" s="7" t="s">
        <v>1696</v>
      </c>
    </row>
    <row r="1978">
      <c r="A1978" s="7" t="s">
        <v>1821</v>
      </c>
      <c r="B1978" s="7" t="s">
        <v>806</v>
      </c>
      <c r="C1978" s="7" t="s">
        <v>572</v>
      </c>
      <c r="D1978" s="7" t="s">
        <v>8438</v>
      </c>
      <c r="E1978" s="7" t="s">
        <v>1695</v>
      </c>
      <c r="F1978" s="7" t="s">
        <v>1696</v>
      </c>
    </row>
    <row r="1979">
      <c r="A1979" s="7" t="s">
        <v>4759</v>
      </c>
      <c r="B1979" s="7" t="s">
        <v>3811</v>
      </c>
      <c r="C1979" s="7" t="s">
        <v>918</v>
      </c>
      <c r="D1979" s="7" t="s">
        <v>8439</v>
      </c>
      <c r="E1979" s="7" t="s">
        <v>1695</v>
      </c>
      <c r="F1979" s="7" t="s">
        <v>1696</v>
      </c>
    </row>
    <row r="1980">
      <c r="A1980" s="7" t="s">
        <v>4223</v>
      </c>
      <c r="B1980" s="7" t="s">
        <v>1034</v>
      </c>
      <c r="C1980" s="7" t="s">
        <v>221</v>
      </c>
      <c r="D1980" s="7" t="s">
        <v>8440</v>
      </c>
      <c r="E1980" s="7" t="s">
        <v>1695</v>
      </c>
      <c r="F1980" s="7" t="s">
        <v>1696</v>
      </c>
    </row>
    <row r="1981">
      <c r="A1981" s="7" t="s">
        <v>2933</v>
      </c>
      <c r="B1981" s="7" t="s">
        <v>2934</v>
      </c>
      <c r="C1981" s="7" t="s">
        <v>2935</v>
      </c>
      <c r="D1981" s="7" t="s">
        <v>8441</v>
      </c>
      <c r="E1981" s="7" t="s">
        <v>1695</v>
      </c>
      <c r="F1981" s="7" t="s">
        <v>1696</v>
      </c>
    </row>
    <row r="1982">
      <c r="A1982" s="7" t="s">
        <v>3771</v>
      </c>
      <c r="B1982" s="7" t="s">
        <v>760</v>
      </c>
      <c r="C1982" s="7" t="s">
        <v>3772</v>
      </c>
      <c r="D1982" s="7" t="s">
        <v>8442</v>
      </c>
      <c r="E1982" s="7" t="s">
        <v>1695</v>
      </c>
      <c r="F1982" s="7" t="s">
        <v>1696</v>
      </c>
    </row>
    <row r="1983">
      <c r="A1983" s="7" t="s">
        <v>5680</v>
      </c>
      <c r="B1983" s="7" t="s">
        <v>1561</v>
      </c>
      <c r="C1983" s="7" t="s">
        <v>5681</v>
      </c>
      <c r="D1983" s="7" t="s">
        <v>8443</v>
      </c>
      <c r="E1983" s="7" t="s">
        <v>1695</v>
      </c>
      <c r="F1983" s="7" t="s">
        <v>1696</v>
      </c>
    </row>
    <row r="1984">
      <c r="A1984" s="7" t="s">
        <v>2702</v>
      </c>
      <c r="B1984" s="7" t="s">
        <v>2610</v>
      </c>
      <c r="C1984" s="7" t="s">
        <v>325</v>
      </c>
      <c r="D1984" s="7" t="s">
        <v>8444</v>
      </c>
      <c r="E1984" s="7" t="s">
        <v>1695</v>
      </c>
      <c r="F1984" s="7" t="s">
        <v>1696</v>
      </c>
    </row>
    <row r="1985">
      <c r="A1985" s="7" t="s">
        <v>2686</v>
      </c>
      <c r="B1985" s="7" t="s">
        <v>596</v>
      </c>
      <c r="C1985" s="7" t="s">
        <v>2687</v>
      </c>
      <c r="D1985" s="7" t="s">
        <v>8445</v>
      </c>
      <c r="E1985" s="7" t="s">
        <v>1695</v>
      </c>
      <c r="F1985" s="7" t="s">
        <v>1696</v>
      </c>
    </row>
    <row r="1986">
      <c r="A1986" s="7" t="s">
        <v>2584</v>
      </c>
      <c r="B1986" s="7" t="s">
        <v>2585</v>
      </c>
      <c r="C1986" s="7" t="s">
        <v>1157</v>
      </c>
      <c r="D1986" s="7" t="s">
        <v>8446</v>
      </c>
      <c r="E1986" s="7" t="s">
        <v>1695</v>
      </c>
      <c r="F1986" s="7" t="s">
        <v>1696</v>
      </c>
    </row>
    <row r="1987">
      <c r="A1987" s="7" t="s">
        <v>2936</v>
      </c>
      <c r="B1987" s="7" t="s">
        <v>188</v>
      </c>
      <c r="C1987" s="7" t="s">
        <v>2937</v>
      </c>
      <c r="D1987" s="7" t="s">
        <v>8447</v>
      </c>
      <c r="E1987" s="7" t="s">
        <v>1695</v>
      </c>
      <c r="F1987" s="7" t="s">
        <v>1696</v>
      </c>
    </row>
    <row r="1988">
      <c r="A1988" s="7" t="s">
        <v>2073</v>
      </c>
      <c r="B1988" s="7" t="s">
        <v>2074</v>
      </c>
      <c r="C1988" s="7" t="s">
        <v>532</v>
      </c>
      <c r="D1988" s="7" t="s">
        <v>8448</v>
      </c>
      <c r="E1988" s="7" t="s">
        <v>1695</v>
      </c>
      <c r="F1988" s="7" t="s">
        <v>1696</v>
      </c>
    </row>
    <row r="1989">
      <c r="A1989" s="7" t="s">
        <v>5298</v>
      </c>
      <c r="B1989" s="7" t="s">
        <v>1485</v>
      </c>
      <c r="C1989" s="7" t="s">
        <v>532</v>
      </c>
      <c r="D1989" s="7" t="s">
        <v>8449</v>
      </c>
      <c r="E1989" s="7" t="s">
        <v>1695</v>
      </c>
      <c r="F1989" s="7" t="s">
        <v>1696</v>
      </c>
    </row>
    <row r="1990">
      <c r="A1990" s="7" t="s">
        <v>2312</v>
      </c>
      <c r="B1990" s="7" t="s">
        <v>468</v>
      </c>
      <c r="C1990" s="7" t="s">
        <v>44</v>
      </c>
      <c r="D1990" s="7" t="s">
        <v>8450</v>
      </c>
      <c r="E1990" s="7" t="s">
        <v>1695</v>
      </c>
      <c r="F1990" s="7" t="s">
        <v>1696</v>
      </c>
    </row>
    <row r="1991">
      <c r="A1991" s="7" t="s">
        <v>5885</v>
      </c>
      <c r="B1991" s="7" t="s">
        <v>5886</v>
      </c>
      <c r="C1991" s="7" t="s">
        <v>5887</v>
      </c>
      <c r="D1991" s="7" t="s">
        <v>8451</v>
      </c>
      <c r="E1991" s="7" t="s">
        <v>1695</v>
      </c>
      <c r="F1991" s="7" t="s">
        <v>1696</v>
      </c>
    </row>
    <row r="1992">
      <c r="A1992" s="7" t="s">
        <v>2773</v>
      </c>
      <c r="B1992" s="7" t="s">
        <v>2774</v>
      </c>
      <c r="C1992" s="7" t="s">
        <v>175</v>
      </c>
      <c r="D1992" s="7" t="s">
        <v>8452</v>
      </c>
      <c r="E1992" s="7" t="s">
        <v>1695</v>
      </c>
      <c r="F1992" s="7" t="s">
        <v>1696</v>
      </c>
    </row>
    <row r="1993">
      <c r="A1993" s="7" t="s">
        <v>3855</v>
      </c>
      <c r="B1993" s="7" t="s">
        <v>760</v>
      </c>
      <c r="C1993" s="7" t="s">
        <v>395</v>
      </c>
      <c r="D1993" s="7" t="s">
        <v>8453</v>
      </c>
      <c r="E1993" s="7" t="s">
        <v>1695</v>
      </c>
      <c r="F1993" s="7" t="s">
        <v>1696</v>
      </c>
    </row>
    <row r="1994">
      <c r="A1994" s="7" t="s">
        <v>4874</v>
      </c>
      <c r="B1994" s="7" t="s">
        <v>4875</v>
      </c>
      <c r="C1994" s="7" t="s">
        <v>4876</v>
      </c>
      <c r="D1994" s="7" t="s">
        <v>8454</v>
      </c>
      <c r="E1994" s="7" t="s">
        <v>1695</v>
      </c>
      <c r="F1994" s="7" t="s">
        <v>1696</v>
      </c>
    </row>
    <row r="1995">
      <c r="A1995" s="7" t="s">
        <v>6204</v>
      </c>
      <c r="B1995" s="7" t="s">
        <v>6205</v>
      </c>
      <c r="C1995" s="7" t="s">
        <v>1066</v>
      </c>
      <c r="D1995" s="7" t="s">
        <v>8455</v>
      </c>
      <c r="E1995" s="7" t="s">
        <v>1695</v>
      </c>
      <c r="F1995" s="7" t="s">
        <v>1696</v>
      </c>
    </row>
    <row r="1996">
      <c r="A1996" s="7" t="s">
        <v>1934</v>
      </c>
      <c r="B1996" s="7" t="s">
        <v>368</v>
      </c>
      <c r="C1996" s="7" t="s">
        <v>1935</v>
      </c>
      <c r="D1996" s="7" t="s">
        <v>8456</v>
      </c>
      <c r="E1996" s="7" t="s">
        <v>1695</v>
      </c>
      <c r="F1996" s="7" t="s">
        <v>1696</v>
      </c>
    </row>
    <row r="1997">
      <c r="A1997" s="7" t="s">
        <v>2889</v>
      </c>
      <c r="B1997" s="7" t="s">
        <v>1215</v>
      </c>
      <c r="C1997" s="7" t="s">
        <v>2890</v>
      </c>
      <c r="D1997" s="7" t="s">
        <v>8457</v>
      </c>
      <c r="E1997" s="7" t="s">
        <v>1695</v>
      </c>
      <c r="F1997" s="7" t="s">
        <v>1696</v>
      </c>
    </row>
    <row r="1998">
      <c r="A1998" s="7" t="s">
        <v>4166</v>
      </c>
      <c r="B1998" s="7" t="s">
        <v>4167</v>
      </c>
      <c r="C1998" s="7" t="s">
        <v>3417</v>
      </c>
      <c r="D1998" s="7" t="s">
        <v>8458</v>
      </c>
      <c r="E1998" s="7" t="s">
        <v>1695</v>
      </c>
      <c r="F1998" s="7" t="s">
        <v>1696</v>
      </c>
    </row>
    <row r="1999">
      <c r="A1999" s="7" t="s">
        <v>2812</v>
      </c>
      <c r="B1999" s="7" t="s">
        <v>2813</v>
      </c>
      <c r="C1999" s="7" t="s">
        <v>134</v>
      </c>
      <c r="D1999" s="7" t="s">
        <v>8459</v>
      </c>
      <c r="E1999" s="7" t="s">
        <v>1695</v>
      </c>
      <c r="F1999" s="7" t="s">
        <v>1696</v>
      </c>
    </row>
    <row r="2000">
      <c r="A2000" s="7" t="s">
        <v>6098</v>
      </c>
      <c r="B2000" s="7" t="s">
        <v>6099</v>
      </c>
      <c r="C2000" s="7" t="s">
        <v>6100</v>
      </c>
      <c r="D2000" s="7" t="s">
        <v>8460</v>
      </c>
      <c r="E2000" s="7" t="s">
        <v>1695</v>
      </c>
      <c r="F2000" s="7" t="s">
        <v>1696</v>
      </c>
    </row>
    <row r="2001">
      <c r="A2001" s="7" t="s">
        <v>3374</v>
      </c>
      <c r="B2001" s="7" t="s">
        <v>3375</v>
      </c>
      <c r="C2001" s="7" t="s">
        <v>3376</v>
      </c>
      <c r="D2001" s="7" t="s">
        <v>8461</v>
      </c>
      <c r="E2001" s="7" t="s">
        <v>1695</v>
      </c>
      <c r="F2001" s="7" t="s">
        <v>1696</v>
      </c>
    </row>
    <row r="2002">
      <c r="A2002" s="7" t="s">
        <v>5020</v>
      </c>
      <c r="B2002" s="7" t="s">
        <v>4656</v>
      </c>
      <c r="C2002" s="7" t="s">
        <v>1125</v>
      </c>
      <c r="D2002" s="7" t="s">
        <v>8462</v>
      </c>
      <c r="E2002" s="7" t="s">
        <v>1695</v>
      </c>
      <c r="F2002" s="7" t="s">
        <v>1696</v>
      </c>
    </row>
    <row r="2003">
      <c r="A2003" s="7" t="s">
        <v>4655</v>
      </c>
      <c r="B2003" s="7" t="s">
        <v>4656</v>
      </c>
      <c r="C2003" s="7" t="s">
        <v>4626</v>
      </c>
      <c r="D2003" s="7" t="s">
        <v>8463</v>
      </c>
      <c r="E2003" s="7" t="s">
        <v>1695</v>
      </c>
      <c r="F2003" s="7" t="s">
        <v>1696</v>
      </c>
    </row>
    <row r="2004">
      <c r="A2004" s="7" t="s">
        <v>2618</v>
      </c>
      <c r="B2004" s="7" t="s">
        <v>2619</v>
      </c>
      <c r="C2004" s="7" t="s">
        <v>2620</v>
      </c>
      <c r="D2004" s="7" t="s">
        <v>8464</v>
      </c>
      <c r="E2004" s="7" t="s">
        <v>1695</v>
      </c>
      <c r="F2004" s="7" t="s">
        <v>1696</v>
      </c>
    </row>
    <row r="2005">
      <c r="A2005" s="7" t="s">
        <v>2135</v>
      </c>
      <c r="B2005" s="7" t="s">
        <v>2136</v>
      </c>
      <c r="C2005" s="7" t="s">
        <v>118</v>
      </c>
      <c r="D2005" s="7" t="s">
        <v>8465</v>
      </c>
      <c r="E2005" s="7" t="s">
        <v>1695</v>
      </c>
      <c r="F2005" s="7" t="s">
        <v>1696</v>
      </c>
    </row>
    <row r="2006">
      <c r="A2006" s="7" t="s">
        <v>4769</v>
      </c>
      <c r="B2006" s="7" t="s">
        <v>178</v>
      </c>
      <c r="C2006" s="7" t="s">
        <v>4339</v>
      </c>
      <c r="D2006" s="7" t="s">
        <v>8466</v>
      </c>
      <c r="E2006" s="7" t="s">
        <v>1695</v>
      </c>
      <c r="F2006" s="7" t="s">
        <v>1696</v>
      </c>
    </row>
    <row r="2007">
      <c r="A2007" s="7" t="s">
        <v>5798</v>
      </c>
      <c r="B2007" s="7" t="s">
        <v>5799</v>
      </c>
      <c r="C2007" s="7" t="s">
        <v>3778</v>
      </c>
      <c r="D2007" s="7" t="s">
        <v>8467</v>
      </c>
      <c r="E2007" s="7" t="s">
        <v>1695</v>
      </c>
      <c r="F2007" s="7" t="s">
        <v>1696</v>
      </c>
    </row>
    <row r="2008">
      <c r="A2008" s="7" t="s">
        <v>4938</v>
      </c>
      <c r="B2008" s="7" t="s">
        <v>291</v>
      </c>
      <c r="C2008" s="7" t="s">
        <v>4939</v>
      </c>
      <c r="D2008" s="7" t="s">
        <v>8468</v>
      </c>
      <c r="E2008" s="7" t="s">
        <v>1695</v>
      </c>
      <c r="F2008" s="7" t="s">
        <v>1696</v>
      </c>
    </row>
    <row r="2009">
      <c r="A2009" s="7" t="s">
        <v>5186</v>
      </c>
      <c r="B2009" s="7" t="s">
        <v>4982</v>
      </c>
      <c r="C2009" s="7" t="s">
        <v>642</v>
      </c>
      <c r="D2009" s="7" t="s">
        <v>8469</v>
      </c>
      <c r="E2009" s="7" t="s">
        <v>1695</v>
      </c>
      <c r="F2009" s="7" t="s">
        <v>1696</v>
      </c>
    </row>
    <row r="2010">
      <c r="A2010" s="7" t="s">
        <v>2398</v>
      </c>
      <c r="B2010" s="7" t="s">
        <v>2399</v>
      </c>
      <c r="C2010" s="7" t="s">
        <v>2400</v>
      </c>
      <c r="D2010" s="7" t="s">
        <v>8470</v>
      </c>
      <c r="E2010" s="7" t="s">
        <v>1695</v>
      </c>
      <c r="F2010" s="7" t="s">
        <v>1696</v>
      </c>
    </row>
    <row r="2011">
      <c r="A2011" s="7" t="s">
        <v>4947</v>
      </c>
      <c r="B2011" s="7" t="s">
        <v>2781</v>
      </c>
      <c r="C2011" s="7" t="s">
        <v>4948</v>
      </c>
      <c r="D2011" s="7" t="s">
        <v>8471</v>
      </c>
      <c r="E2011" s="7" t="s">
        <v>1695</v>
      </c>
      <c r="F2011" s="7" t="s">
        <v>1696</v>
      </c>
    </row>
    <row r="2012">
      <c r="A2012" s="7" t="s">
        <v>5116</v>
      </c>
      <c r="B2012" s="7" t="s">
        <v>3811</v>
      </c>
      <c r="C2012" s="7" t="s">
        <v>5117</v>
      </c>
      <c r="D2012" s="7" t="s">
        <v>8472</v>
      </c>
      <c r="E2012" s="7" t="s">
        <v>1695</v>
      </c>
      <c r="F2012" s="7" t="s">
        <v>1696</v>
      </c>
    </row>
    <row r="2013">
      <c r="A2013" s="7" t="s">
        <v>1864</v>
      </c>
      <c r="B2013" s="7" t="s">
        <v>1865</v>
      </c>
      <c r="C2013" s="7" t="s">
        <v>271</v>
      </c>
      <c r="D2013" s="7" t="s">
        <v>8473</v>
      </c>
      <c r="E2013" s="7" t="s">
        <v>1695</v>
      </c>
      <c r="F2013" s="7" t="s">
        <v>1696</v>
      </c>
    </row>
    <row r="2014">
      <c r="A2014" s="7" t="s">
        <v>3466</v>
      </c>
      <c r="B2014" s="7" t="s">
        <v>3467</v>
      </c>
      <c r="C2014" s="7" t="s">
        <v>261</v>
      </c>
      <c r="D2014" s="7" t="s">
        <v>8474</v>
      </c>
      <c r="E2014" s="7" t="s">
        <v>1695</v>
      </c>
      <c r="F2014" s="7" t="s">
        <v>1696</v>
      </c>
    </row>
    <row r="2015">
      <c r="A2015" s="7" t="s">
        <v>2368</v>
      </c>
      <c r="B2015" s="7" t="s">
        <v>2110</v>
      </c>
      <c r="C2015" s="7" t="s">
        <v>2369</v>
      </c>
      <c r="D2015" s="7" t="s">
        <v>8475</v>
      </c>
      <c r="E2015" s="7" t="s">
        <v>1695</v>
      </c>
      <c r="F2015" s="7" t="s">
        <v>1820</v>
      </c>
    </row>
    <row r="2016">
      <c r="A2016" s="7" t="s">
        <v>5593</v>
      </c>
      <c r="B2016" s="7" t="s">
        <v>5594</v>
      </c>
      <c r="C2016" s="7" t="s">
        <v>5595</v>
      </c>
      <c r="D2016" s="7" t="s">
        <v>8476</v>
      </c>
      <c r="E2016" s="7" t="s">
        <v>1695</v>
      </c>
      <c r="F2016" s="7" t="s">
        <v>1696</v>
      </c>
    </row>
    <row r="2017">
      <c r="A2017" s="7" t="s">
        <v>3249</v>
      </c>
      <c r="B2017" s="7" t="s">
        <v>1104</v>
      </c>
      <c r="C2017" s="7" t="s">
        <v>3250</v>
      </c>
      <c r="D2017" s="7" t="s">
        <v>8477</v>
      </c>
      <c r="E2017" s="7" t="s">
        <v>1695</v>
      </c>
      <c r="F2017" s="7" t="s">
        <v>1696</v>
      </c>
    </row>
    <row r="2018">
      <c r="A2018" s="7" t="s">
        <v>5153</v>
      </c>
      <c r="B2018" s="7" t="s">
        <v>5154</v>
      </c>
      <c r="C2018" s="7" t="s">
        <v>5155</v>
      </c>
      <c r="D2018" s="7" t="s">
        <v>8478</v>
      </c>
      <c r="E2018" s="7" t="s">
        <v>1695</v>
      </c>
      <c r="F2018" s="7" t="s">
        <v>1696</v>
      </c>
    </row>
    <row r="2019">
      <c r="A2019" s="7" t="s">
        <v>4086</v>
      </c>
      <c r="B2019" s="7" t="s">
        <v>3288</v>
      </c>
      <c r="C2019" s="7" t="s">
        <v>4087</v>
      </c>
      <c r="D2019" s="7" t="s">
        <v>8479</v>
      </c>
      <c r="E2019" s="7" t="s">
        <v>1695</v>
      </c>
      <c r="F2019" s="7" t="s">
        <v>1696</v>
      </c>
    </row>
    <row r="2020">
      <c r="A2020" s="7" t="s">
        <v>3174</v>
      </c>
      <c r="B2020" s="7" t="s">
        <v>3175</v>
      </c>
      <c r="C2020" s="7" t="s">
        <v>3176</v>
      </c>
      <c r="D2020" s="7" t="s">
        <v>8480</v>
      </c>
      <c r="E2020" s="7" t="s">
        <v>1695</v>
      </c>
      <c r="F2020" s="7" t="s">
        <v>1696</v>
      </c>
    </row>
    <row r="2021">
      <c r="A2021" s="7" t="s">
        <v>2298</v>
      </c>
      <c r="B2021" s="7" t="s">
        <v>2299</v>
      </c>
      <c r="C2021" s="7" t="s">
        <v>918</v>
      </c>
      <c r="D2021" s="7" t="s">
        <v>8481</v>
      </c>
      <c r="E2021" s="7" t="s">
        <v>1695</v>
      </c>
      <c r="F2021" s="7" t="s">
        <v>1696</v>
      </c>
    </row>
    <row r="2022">
      <c r="A2022" s="7" t="s">
        <v>2165</v>
      </c>
      <c r="B2022" s="7" t="s">
        <v>2166</v>
      </c>
      <c r="C2022" s="7" t="s">
        <v>384</v>
      </c>
      <c r="D2022" s="7" t="s">
        <v>8482</v>
      </c>
      <c r="E2022" s="7" t="s">
        <v>1695</v>
      </c>
      <c r="F2022" s="7" t="s">
        <v>1696</v>
      </c>
    </row>
    <row r="2023">
      <c r="A2023" s="7" t="s">
        <v>4714</v>
      </c>
      <c r="B2023" s="7" t="s">
        <v>4715</v>
      </c>
      <c r="C2023" s="7" t="s">
        <v>4716</v>
      </c>
      <c r="D2023" s="7" t="s">
        <v>8483</v>
      </c>
      <c r="E2023" s="7" t="s">
        <v>1695</v>
      </c>
      <c r="F2023" s="7" t="s">
        <v>1696</v>
      </c>
    </row>
    <row r="2024">
      <c r="A2024" s="7" t="s">
        <v>1884</v>
      </c>
      <c r="B2024" s="7" t="s">
        <v>1885</v>
      </c>
      <c r="C2024" s="7" t="s">
        <v>1886</v>
      </c>
      <c r="D2024" s="7" t="s">
        <v>8484</v>
      </c>
      <c r="E2024" s="7" t="s">
        <v>1695</v>
      </c>
      <c r="F2024" s="7" t="s">
        <v>1696</v>
      </c>
    </row>
    <row r="2025">
      <c r="A2025" s="7" t="s">
        <v>5707</v>
      </c>
      <c r="B2025" s="7" t="s">
        <v>5708</v>
      </c>
      <c r="C2025" s="7" t="s">
        <v>5709</v>
      </c>
      <c r="D2025" s="7" t="s">
        <v>8485</v>
      </c>
      <c r="E2025" s="7" t="s">
        <v>1695</v>
      </c>
      <c r="F2025" s="7" t="s">
        <v>1696</v>
      </c>
    </row>
    <row r="2026">
      <c r="A2026" s="7" t="s">
        <v>5401</v>
      </c>
      <c r="B2026" s="7" t="s">
        <v>2987</v>
      </c>
      <c r="C2026" s="7" t="s">
        <v>35</v>
      </c>
      <c r="D2026" s="7" t="s">
        <v>8486</v>
      </c>
      <c r="E2026" s="7" t="s">
        <v>1695</v>
      </c>
      <c r="F2026" s="7" t="s">
        <v>1696</v>
      </c>
    </row>
    <row r="2027">
      <c r="A2027" s="7" t="s">
        <v>6001</v>
      </c>
      <c r="B2027" s="7" t="s">
        <v>6002</v>
      </c>
      <c r="C2027" s="7" t="s">
        <v>2727</v>
      </c>
      <c r="D2027" s="7" t="s">
        <v>8487</v>
      </c>
      <c r="E2027" s="7" t="s">
        <v>1695</v>
      </c>
      <c r="F2027" s="7" t="s">
        <v>1696</v>
      </c>
    </row>
    <row r="2028">
      <c r="A2028" s="7" t="s">
        <v>5929</v>
      </c>
      <c r="B2028" s="7" t="s">
        <v>3902</v>
      </c>
      <c r="C2028" s="7" t="s">
        <v>1000</v>
      </c>
      <c r="D2028" s="7" t="s">
        <v>8488</v>
      </c>
      <c r="E2028" s="7" t="s">
        <v>1695</v>
      </c>
      <c r="F2028" s="7" t="s">
        <v>1696</v>
      </c>
    </row>
    <row r="2029">
      <c r="A2029" s="7" t="s">
        <v>6220</v>
      </c>
      <c r="B2029" s="7" t="s">
        <v>676</v>
      </c>
      <c r="C2029" s="7" t="s">
        <v>46</v>
      </c>
      <c r="D2029" s="7" t="s">
        <v>8489</v>
      </c>
      <c r="E2029" s="7" t="s">
        <v>1695</v>
      </c>
      <c r="F2029" s="7" t="s">
        <v>1696</v>
      </c>
    </row>
    <row r="2030">
      <c r="A2030" s="7" t="s">
        <v>5296</v>
      </c>
      <c r="B2030" s="7" t="s">
        <v>1485</v>
      </c>
      <c r="C2030" s="7" t="s">
        <v>2057</v>
      </c>
      <c r="D2030" s="7" t="s">
        <v>8490</v>
      </c>
      <c r="E2030" s="7" t="s">
        <v>1695</v>
      </c>
      <c r="F2030" s="7" t="s">
        <v>1696</v>
      </c>
    </row>
    <row r="2031">
      <c r="A2031" s="7" t="s">
        <v>6085</v>
      </c>
      <c r="B2031" s="7" t="s">
        <v>5591</v>
      </c>
      <c r="C2031" s="7" t="s">
        <v>342</v>
      </c>
      <c r="D2031" s="7" t="s">
        <v>8491</v>
      </c>
      <c r="E2031" s="7" t="s">
        <v>1695</v>
      </c>
      <c r="F2031" s="7" t="s">
        <v>1696</v>
      </c>
    </row>
    <row r="2032">
      <c r="A2032" s="7" t="s">
        <v>4775</v>
      </c>
      <c r="B2032" s="7" t="s">
        <v>267</v>
      </c>
      <c r="C2032" s="7" t="s">
        <v>4776</v>
      </c>
      <c r="D2032" s="7" t="s">
        <v>8492</v>
      </c>
      <c r="E2032" s="7" t="s">
        <v>1695</v>
      </c>
      <c r="F2032" s="7" t="s">
        <v>1696</v>
      </c>
    </row>
    <row r="2033">
      <c r="A2033" s="7" t="s">
        <v>3802</v>
      </c>
      <c r="B2033" s="7" t="s">
        <v>3803</v>
      </c>
      <c r="C2033" s="7" t="s">
        <v>3804</v>
      </c>
      <c r="D2033" s="7" t="s">
        <v>8493</v>
      </c>
      <c r="E2033" s="7" t="s">
        <v>1695</v>
      </c>
      <c r="F2033" s="7" t="s">
        <v>1696</v>
      </c>
    </row>
    <row r="2034">
      <c r="A2034" s="7" t="s">
        <v>2033</v>
      </c>
      <c r="B2034" s="7" t="s">
        <v>422</v>
      </c>
      <c r="C2034" s="7" t="s">
        <v>425</v>
      </c>
      <c r="D2034" s="7" t="s">
        <v>8494</v>
      </c>
      <c r="E2034" s="7" t="s">
        <v>1695</v>
      </c>
      <c r="F2034" s="7" t="s">
        <v>1696</v>
      </c>
    </row>
    <row r="2035">
      <c r="A2035" s="7" t="s">
        <v>5368</v>
      </c>
      <c r="B2035" s="7" t="s">
        <v>1525</v>
      </c>
      <c r="C2035" s="7" t="s">
        <v>5369</v>
      </c>
      <c r="D2035" s="7" t="s">
        <v>8495</v>
      </c>
      <c r="E2035" s="7" t="s">
        <v>1695</v>
      </c>
      <c r="F2035" s="7" t="s">
        <v>1696</v>
      </c>
    </row>
    <row r="2036">
      <c r="A2036" s="7" t="s">
        <v>5623</v>
      </c>
      <c r="B2036" s="7" t="s">
        <v>2023</v>
      </c>
      <c r="C2036" s="7" t="s">
        <v>2845</v>
      </c>
      <c r="D2036" s="7" t="s">
        <v>8496</v>
      </c>
      <c r="E2036" s="7" t="s">
        <v>1695</v>
      </c>
      <c r="F2036" s="7" t="s">
        <v>1696</v>
      </c>
    </row>
    <row r="2037">
      <c r="A2037" s="7" t="s">
        <v>2037</v>
      </c>
      <c r="B2037" s="7" t="s">
        <v>2038</v>
      </c>
      <c r="C2037" s="7" t="s">
        <v>2039</v>
      </c>
      <c r="D2037" s="7" t="s">
        <v>8497</v>
      </c>
      <c r="E2037" s="7" t="s">
        <v>1695</v>
      </c>
      <c r="F2037" s="7" t="s">
        <v>1696</v>
      </c>
    </row>
    <row r="2038">
      <c r="A2038" s="7" t="s">
        <v>1951</v>
      </c>
      <c r="B2038" s="7" t="s">
        <v>1952</v>
      </c>
      <c r="C2038" s="7" t="s">
        <v>193</v>
      </c>
      <c r="D2038" s="7" t="s">
        <v>8498</v>
      </c>
      <c r="E2038" s="7" t="s">
        <v>1695</v>
      </c>
      <c r="F2038" s="7" t="s">
        <v>1696</v>
      </c>
    </row>
    <row r="2039">
      <c r="A2039" s="7" t="s">
        <v>5404</v>
      </c>
      <c r="B2039" s="7" t="s">
        <v>2272</v>
      </c>
      <c r="C2039" s="7" t="s">
        <v>333</v>
      </c>
      <c r="D2039" s="7" t="s">
        <v>8499</v>
      </c>
      <c r="E2039" s="7" t="s">
        <v>1695</v>
      </c>
      <c r="F2039" s="7" t="s">
        <v>1696</v>
      </c>
    </row>
    <row r="2040">
      <c r="A2040" s="7" t="s">
        <v>4997</v>
      </c>
      <c r="B2040" s="7" t="s">
        <v>267</v>
      </c>
      <c r="C2040" s="7" t="s">
        <v>3988</v>
      </c>
      <c r="D2040" s="7" t="s">
        <v>8500</v>
      </c>
      <c r="E2040" s="7" t="s">
        <v>1695</v>
      </c>
      <c r="F2040" s="7" t="s">
        <v>1696</v>
      </c>
    </row>
    <row r="2041">
      <c r="A2041" s="7" t="s">
        <v>4691</v>
      </c>
      <c r="B2041" s="7" t="s">
        <v>4110</v>
      </c>
      <c r="C2041" s="7" t="s">
        <v>4150</v>
      </c>
      <c r="D2041" s="7" t="s">
        <v>8501</v>
      </c>
      <c r="E2041" s="7" t="s">
        <v>1695</v>
      </c>
      <c r="F2041" s="7" t="s">
        <v>1696</v>
      </c>
    </row>
    <row r="2042">
      <c r="A2042" s="7" t="s">
        <v>1994</v>
      </c>
      <c r="B2042" s="7" t="s">
        <v>522</v>
      </c>
      <c r="C2042" s="7" t="s">
        <v>1995</v>
      </c>
      <c r="D2042" s="7" t="s">
        <v>8502</v>
      </c>
      <c r="E2042" s="7" t="s">
        <v>1695</v>
      </c>
      <c r="F2042" s="7" t="s">
        <v>1696</v>
      </c>
    </row>
    <row r="2043">
      <c r="A2043" s="7" t="s">
        <v>3620</v>
      </c>
      <c r="B2043" s="7" t="s">
        <v>273</v>
      </c>
      <c r="C2043" s="7" t="s">
        <v>2946</v>
      </c>
      <c r="D2043" s="7" t="s">
        <v>8503</v>
      </c>
      <c r="E2043" s="7" t="s">
        <v>1695</v>
      </c>
      <c r="F2043" s="7" t="s">
        <v>1696</v>
      </c>
    </row>
    <row r="2044">
      <c r="A2044" s="7" t="s">
        <v>3550</v>
      </c>
      <c r="B2044" s="7" t="s">
        <v>3551</v>
      </c>
      <c r="C2044" s="7" t="s">
        <v>3552</v>
      </c>
      <c r="D2044" s="7" t="s">
        <v>8504</v>
      </c>
      <c r="E2044" s="7" t="s">
        <v>1695</v>
      </c>
      <c r="F2044" s="7" t="s">
        <v>1696</v>
      </c>
    </row>
    <row r="2045">
      <c r="A2045" s="7" t="s">
        <v>4157</v>
      </c>
      <c r="B2045" s="7" t="s">
        <v>304</v>
      </c>
      <c r="C2045" s="7" t="s">
        <v>356</v>
      </c>
      <c r="D2045" s="7" t="s">
        <v>8505</v>
      </c>
      <c r="E2045" s="7" t="s">
        <v>1695</v>
      </c>
      <c r="F2045" s="7" t="s">
        <v>1696</v>
      </c>
    </row>
    <row r="2046">
      <c r="A2046" s="7" t="s">
        <v>6135</v>
      </c>
      <c r="B2046" s="7" t="s">
        <v>822</v>
      </c>
      <c r="C2046" s="7" t="s">
        <v>4134</v>
      </c>
      <c r="D2046" s="7" t="s">
        <v>8506</v>
      </c>
      <c r="E2046" s="7" t="s">
        <v>1695</v>
      </c>
      <c r="F2046" s="7" t="s">
        <v>1696</v>
      </c>
    </row>
    <row r="2047">
      <c r="A2047" s="7" t="s">
        <v>5787</v>
      </c>
      <c r="B2047" s="7" t="s">
        <v>2077</v>
      </c>
      <c r="C2047" s="7" t="s">
        <v>5788</v>
      </c>
      <c r="D2047" s="7" t="s">
        <v>8507</v>
      </c>
      <c r="E2047" s="7" t="s">
        <v>1695</v>
      </c>
      <c r="F2047" s="7" t="s">
        <v>1696</v>
      </c>
    </row>
    <row r="2048">
      <c r="A2048" s="7" t="s">
        <v>5273</v>
      </c>
      <c r="B2048" s="7" t="s">
        <v>1114</v>
      </c>
      <c r="C2048" s="7" t="s">
        <v>27</v>
      </c>
      <c r="D2048" s="7" t="s">
        <v>8508</v>
      </c>
      <c r="E2048" s="7" t="s">
        <v>1695</v>
      </c>
      <c r="F2048" s="7" t="s">
        <v>1696</v>
      </c>
    </row>
    <row r="2049">
      <c r="A2049" s="7" t="s">
        <v>5297</v>
      </c>
      <c r="B2049" s="7" t="s">
        <v>1449</v>
      </c>
      <c r="C2049" s="7" t="s">
        <v>3401</v>
      </c>
      <c r="D2049" s="7" t="s">
        <v>8509</v>
      </c>
      <c r="E2049" s="7" t="s">
        <v>1695</v>
      </c>
      <c r="F2049" s="7" t="s">
        <v>1696</v>
      </c>
    </row>
    <row r="2050">
      <c r="A2050" s="7" t="s">
        <v>2831</v>
      </c>
      <c r="B2050" s="7" t="s">
        <v>120</v>
      </c>
      <c r="C2050" s="7" t="s">
        <v>1261</v>
      </c>
      <c r="D2050" s="7" t="s">
        <v>8510</v>
      </c>
      <c r="E2050" s="7" t="s">
        <v>1695</v>
      </c>
      <c r="F2050" s="7" t="s">
        <v>1696</v>
      </c>
    </row>
    <row r="2051">
      <c r="A2051" s="7" t="s">
        <v>3998</v>
      </c>
      <c r="B2051" s="7" t="s">
        <v>697</v>
      </c>
      <c r="C2051" s="7" t="s">
        <v>684</v>
      </c>
      <c r="D2051" s="7" t="s">
        <v>8511</v>
      </c>
      <c r="E2051" s="7" t="s">
        <v>1695</v>
      </c>
      <c r="F2051" s="7" t="s">
        <v>1696</v>
      </c>
    </row>
    <row r="2052">
      <c r="A2052" s="7" t="s">
        <v>5391</v>
      </c>
      <c r="B2052" s="7" t="s">
        <v>378</v>
      </c>
      <c r="C2052" s="7" t="s">
        <v>1237</v>
      </c>
      <c r="D2052" s="7" t="s">
        <v>8512</v>
      </c>
      <c r="E2052" s="7" t="s">
        <v>1695</v>
      </c>
      <c r="F2052" s="7" t="s">
        <v>1696</v>
      </c>
    </row>
    <row r="2053">
      <c r="A2053" s="7" t="s">
        <v>3935</v>
      </c>
      <c r="B2053" s="7" t="s">
        <v>1485</v>
      </c>
      <c r="C2053" s="7" t="s">
        <v>425</v>
      </c>
      <c r="D2053" s="7" t="s">
        <v>8513</v>
      </c>
      <c r="E2053" s="7" t="s">
        <v>1695</v>
      </c>
      <c r="F2053" s="7" t="s">
        <v>1696</v>
      </c>
    </row>
    <row r="2054">
      <c r="A2054" s="7" t="s">
        <v>2012</v>
      </c>
      <c r="B2054" s="7" t="s">
        <v>689</v>
      </c>
      <c r="C2054" s="7" t="s">
        <v>1584</v>
      </c>
      <c r="D2054" s="7" t="s">
        <v>8514</v>
      </c>
      <c r="E2054" s="7" t="s">
        <v>1695</v>
      </c>
      <c r="F2054" s="7" t="s">
        <v>1696</v>
      </c>
    </row>
    <row r="2055">
      <c r="A2055" s="7" t="s">
        <v>2555</v>
      </c>
      <c r="B2055" s="7" t="s">
        <v>446</v>
      </c>
      <c r="C2055" s="7" t="s">
        <v>767</v>
      </c>
      <c r="D2055" s="7" t="s">
        <v>8515</v>
      </c>
      <c r="E2055" s="7" t="s">
        <v>1695</v>
      </c>
      <c r="F2055" s="7" t="s">
        <v>1696</v>
      </c>
    </row>
    <row r="2056">
      <c r="A2056" s="7" t="s">
        <v>4808</v>
      </c>
      <c r="B2056" s="7" t="s">
        <v>4809</v>
      </c>
      <c r="C2056" s="7" t="s">
        <v>4810</v>
      </c>
      <c r="D2056" s="7" t="s">
        <v>8516</v>
      </c>
      <c r="E2056" s="7" t="s">
        <v>1695</v>
      </c>
      <c r="F2056" s="7" t="s">
        <v>1696</v>
      </c>
    </row>
    <row r="2057">
      <c r="A2057" s="7" t="s">
        <v>3477</v>
      </c>
      <c r="B2057" s="7" t="s">
        <v>192</v>
      </c>
      <c r="C2057" s="7" t="s">
        <v>3478</v>
      </c>
      <c r="D2057" s="7" t="s">
        <v>8517</v>
      </c>
      <c r="E2057" s="7" t="s">
        <v>1695</v>
      </c>
      <c r="F2057" s="7" t="s">
        <v>1696</v>
      </c>
    </row>
    <row r="2058">
      <c r="A2058" s="7" t="s">
        <v>3563</v>
      </c>
      <c r="B2058" s="7" t="s">
        <v>3564</v>
      </c>
      <c r="C2058" s="7" t="s">
        <v>66</v>
      </c>
      <c r="D2058" s="7" t="s">
        <v>8518</v>
      </c>
      <c r="E2058" s="7" t="s">
        <v>1695</v>
      </c>
      <c r="F2058" s="7" t="s">
        <v>1696</v>
      </c>
    </row>
    <row r="2059">
      <c r="A2059" s="7" t="s">
        <v>2786</v>
      </c>
      <c r="B2059" s="7" t="s">
        <v>2787</v>
      </c>
      <c r="C2059" s="7" t="s">
        <v>2788</v>
      </c>
      <c r="D2059" s="7" t="s">
        <v>8519</v>
      </c>
      <c r="E2059" s="7" t="s">
        <v>1695</v>
      </c>
      <c r="F2059" s="7" t="s">
        <v>1696</v>
      </c>
    </row>
    <row r="2060">
      <c r="A2060" s="7" t="s">
        <v>3579</v>
      </c>
      <c r="B2060" s="7" t="s">
        <v>220</v>
      </c>
      <c r="C2060" s="7" t="s">
        <v>3580</v>
      </c>
      <c r="D2060" s="7" t="s">
        <v>8520</v>
      </c>
      <c r="E2060" s="7" t="s">
        <v>1695</v>
      </c>
      <c r="F2060" s="7" t="s">
        <v>1696</v>
      </c>
    </row>
    <row r="2061">
      <c r="A2061" s="7" t="s">
        <v>3562</v>
      </c>
      <c r="B2061" s="7" t="s">
        <v>1319</v>
      </c>
      <c r="C2061" s="7" t="s">
        <v>292</v>
      </c>
      <c r="D2061" s="7" t="s">
        <v>8521</v>
      </c>
      <c r="E2061" s="7" t="s">
        <v>1695</v>
      </c>
      <c r="F2061" s="7" t="s">
        <v>1696</v>
      </c>
    </row>
    <row r="2062">
      <c r="A2062" s="7" t="s">
        <v>5492</v>
      </c>
      <c r="B2062" s="7" t="s">
        <v>353</v>
      </c>
      <c r="C2062" s="7" t="s">
        <v>5493</v>
      </c>
      <c r="D2062" s="7" t="s">
        <v>8522</v>
      </c>
      <c r="E2062" s="7" t="s">
        <v>1695</v>
      </c>
      <c r="F2062" s="7" t="s">
        <v>1696</v>
      </c>
    </row>
    <row r="2063">
      <c r="A2063" s="7" t="s">
        <v>3197</v>
      </c>
      <c r="B2063" s="7" t="s">
        <v>3198</v>
      </c>
      <c r="C2063" s="7" t="s">
        <v>35</v>
      </c>
      <c r="D2063" s="7" t="s">
        <v>8523</v>
      </c>
      <c r="E2063" s="7" t="s">
        <v>1695</v>
      </c>
      <c r="F2063" s="7" t="s">
        <v>1696</v>
      </c>
    </row>
    <row r="2064">
      <c r="A2064" s="7" t="s">
        <v>3556</v>
      </c>
      <c r="B2064" s="7" t="s">
        <v>817</v>
      </c>
      <c r="C2064" s="7" t="s">
        <v>3557</v>
      </c>
      <c r="D2064" s="7" t="s">
        <v>8524</v>
      </c>
      <c r="E2064" s="7" t="s">
        <v>1695</v>
      </c>
      <c r="F2064" s="7" t="s">
        <v>1696</v>
      </c>
    </row>
    <row r="2065">
      <c r="A2065" s="7" t="s">
        <v>3235</v>
      </c>
      <c r="B2065" s="7" t="s">
        <v>3236</v>
      </c>
      <c r="C2065" s="7" t="s">
        <v>3237</v>
      </c>
      <c r="D2065" s="7" t="s">
        <v>8525</v>
      </c>
      <c r="E2065" s="7" t="s">
        <v>1695</v>
      </c>
      <c r="F2065" s="7" t="s">
        <v>1696</v>
      </c>
    </row>
    <row r="2066">
      <c r="A2066" s="7" t="s">
        <v>2104</v>
      </c>
      <c r="B2066" s="7" t="s">
        <v>2105</v>
      </c>
      <c r="C2066" s="7" t="s">
        <v>261</v>
      </c>
      <c r="D2066" s="7" t="s">
        <v>8526</v>
      </c>
      <c r="E2066" s="7" t="s">
        <v>1695</v>
      </c>
      <c r="F2066" s="7" t="s">
        <v>1696</v>
      </c>
    </row>
    <row r="2067">
      <c r="A2067" s="7" t="s">
        <v>3320</v>
      </c>
      <c r="B2067" s="7" t="s">
        <v>439</v>
      </c>
      <c r="C2067" s="7" t="s">
        <v>32</v>
      </c>
      <c r="D2067" s="7" t="s">
        <v>8527</v>
      </c>
      <c r="E2067" s="7" t="s">
        <v>1695</v>
      </c>
      <c r="F2067" s="7" t="s">
        <v>1696</v>
      </c>
    </row>
    <row r="2068">
      <c r="A2068" s="7" t="s">
        <v>5510</v>
      </c>
      <c r="B2068" s="7" t="s">
        <v>1955</v>
      </c>
      <c r="C2068" s="7" t="s">
        <v>5511</v>
      </c>
      <c r="D2068" s="7" t="s">
        <v>8528</v>
      </c>
      <c r="E2068" s="7" t="s">
        <v>1695</v>
      </c>
      <c r="F2068" s="7" t="s">
        <v>1696</v>
      </c>
    </row>
    <row r="2069">
      <c r="A2069" s="7" t="s">
        <v>5667</v>
      </c>
      <c r="B2069" s="7" t="s">
        <v>645</v>
      </c>
      <c r="C2069" s="7" t="s">
        <v>1060</v>
      </c>
      <c r="D2069" s="7" t="s">
        <v>8529</v>
      </c>
      <c r="E2069" s="7" t="s">
        <v>1695</v>
      </c>
      <c r="F2069" s="7" t="s">
        <v>1696</v>
      </c>
    </row>
    <row r="2070">
      <c r="A2070" s="7" t="s">
        <v>3704</v>
      </c>
      <c r="B2070" s="7" t="s">
        <v>3705</v>
      </c>
      <c r="C2070" s="7" t="s">
        <v>3705</v>
      </c>
      <c r="D2070" s="7" t="s">
        <v>8530</v>
      </c>
      <c r="E2070" s="7" t="s">
        <v>1695</v>
      </c>
      <c r="F2070" s="7" t="s">
        <v>1696</v>
      </c>
    </row>
    <row r="2071">
      <c r="A2071" s="7" t="s">
        <v>5238</v>
      </c>
      <c r="B2071" s="7" t="s">
        <v>3140</v>
      </c>
      <c r="C2071" s="7" t="s">
        <v>5239</v>
      </c>
      <c r="D2071" s="7" t="s">
        <v>8531</v>
      </c>
      <c r="E2071" s="7" t="s">
        <v>1695</v>
      </c>
      <c r="F2071" s="7" t="s">
        <v>1696</v>
      </c>
    </row>
    <row r="2072">
      <c r="A2072" s="7" t="s">
        <v>5101</v>
      </c>
      <c r="B2072" s="7" t="s">
        <v>5102</v>
      </c>
      <c r="C2072" s="7" t="s">
        <v>1833</v>
      </c>
      <c r="D2072" s="7" t="s">
        <v>8532</v>
      </c>
      <c r="E2072" s="7" t="s">
        <v>1695</v>
      </c>
      <c r="F2072" s="7" t="s">
        <v>1696</v>
      </c>
    </row>
    <row r="2073">
      <c r="A2073" s="7" t="s">
        <v>4617</v>
      </c>
      <c r="B2073" s="7" t="s">
        <v>4618</v>
      </c>
      <c r="C2073" s="7" t="s">
        <v>4619</v>
      </c>
      <c r="D2073" s="7" t="s">
        <v>8533</v>
      </c>
      <c r="E2073" s="7" t="s">
        <v>1695</v>
      </c>
      <c r="F2073" s="7" t="s">
        <v>1696</v>
      </c>
    </row>
    <row r="2074">
      <c r="A2074" s="7" t="s">
        <v>6278</v>
      </c>
      <c r="B2074" s="7" t="s">
        <v>291</v>
      </c>
      <c r="C2074" s="7" t="s">
        <v>3659</v>
      </c>
      <c r="D2074" s="7" t="s">
        <v>8534</v>
      </c>
      <c r="E2074" s="7" t="s">
        <v>1695</v>
      </c>
      <c r="F2074" s="7" t="s">
        <v>1696</v>
      </c>
    </row>
    <row r="2075">
      <c r="A2075" s="7" t="s">
        <v>2658</v>
      </c>
      <c r="B2075" s="7" t="s">
        <v>89</v>
      </c>
      <c r="C2075" s="7" t="s">
        <v>2659</v>
      </c>
      <c r="D2075" s="7" t="s">
        <v>8535</v>
      </c>
      <c r="E2075" s="7" t="s">
        <v>1695</v>
      </c>
      <c r="F2075" s="7" t="s">
        <v>1696</v>
      </c>
    </row>
    <row r="2076">
      <c r="A2076" s="7" t="s">
        <v>5562</v>
      </c>
      <c r="B2076" s="7" t="s">
        <v>945</v>
      </c>
      <c r="C2076" s="7" t="s">
        <v>3406</v>
      </c>
      <c r="D2076" s="7" t="s">
        <v>8536</v>
      </c>
      <c r="E2076" s="7" t="s">
        <v>1695</v>
      </c>
      <c r="F2076" s="7" t="s">
        <v>1696</v>
      </c>
    </row>
    <row r="2077">
      <c r="A2077" s="7" t="s">
        <v>6214</v>
      </c>
      <c r="B2077" s="7" t="s">
        <v>4243</v>
      </c>
      <c r="C2077" s="7" t="s">
        <v>32</v>
      </c>
      <c r="D2077" s="7" t="s">
        <v>8537</v>
      </c>
      <c r="E2077" s="7" t="s">
        <v>1695</v>
      </c>
      <c r="F2077" s="7" t="s">
        <v>1696</v>
      </c>
    </row>
    <row r="2078">
      <c r="A2078" s="7" t="s">
        <v>2100</v>
      </c>
      <c r="B2078" s="7" t="s">
        <v>2101</v>
      </c>
      <c r="C2078" s="7" t="s">
        <v>2045</v>
      </c>
      <c r="D2078" s="7" t="s">
        <v>8538</v>
      </c>
      <c r="E2078" s="7" t="s">
        <v>1695</v>
      </c>
      <c r="F2078" s="7" t="s">
        <v>1696</v>
      </c>
    </row>
    <row r="2079">
      <c r="A2079" s="7" t="s">
        <v>5480</v>
      </c>
      <c r="B2079" s="7" t="s">
        <v>5481</v>
      </c>
      <c r="C2079" s="7" t="s">
        <v>3750</v>
      </c>
      <c r="D2079" s="7" t="s">
        <v>8539</v>
      </c>
      <c r="E2079" s="7" t="s">
        <v>1695</v>
      </c>
      <c r="F2079" s="7" t="s">
        <v>1696</v>
      </c>
    </row>
    <row r="2080">
      <c r="A2080" s="7" t="s">
        <v>2142</v>
      </c>
      <c r="B2080" s="7" t="s">
        <v>2143</v>
      </c>
      <c r="C2080" s="7" t="s">
        <v>2144</v>
      </c>
      <c r="D2080" s="7" t="s">
        <v>8540</v>
      </c>
      <c r="E2080" s="7" t="s">
        <v>1695</v>
      </c>
      <c r="F2080" s="7" t="s">
        <v>1696</v>
      </c>
    </row>
    <row r="2081">
      <c r="A2081" s="7" t="s">
        <v>1800</v>
      </c>
      <c r="B2081" s="7" t="s">
        <v>1801</v>
      </c>
      <c r="C2081" s="7" t="s">
        <v>1000</v>
      </c>
      <c r="D2081" s="7" t="s">
        <v>8541</v>
      </c>
      <c r="E2081" s="7" t="s">
        <v>1695</v>
      </c>
      <c r="F2081" s="7" t="s">
        <v>1696</v>
      </c>
    </row>
    <row r="2082">
      <c r="A2082" s="7" t="s">
        <v>5932</v>
      </c>
      <c r="B2082" s="7" t="s">
        <v>729</v>
      </c>
      <c r="C2082" s="7" t="s">
        <v>5933</v>
      </c>
      <c r="D2082" s="7" t="s">
        <v>8542</v>
      </c>
      <c r="E2082" s="7" t="s">
        <v>1695</v>
      </c>
      <c r="F2082" s="7" t="s">
        <v>1696</v>
      </c>
    </row>
    <row r="2083">
      <c r="A2083" s="7" t="s">
        <v>4729</v>
      </c>
      <c r="B2083" s="7" t="s">
        <v>4730</v>
      </c>
      <c r="C2083" s="7" t="s">
        <v>4731</v>
      </c>
      <c r="D2083" s="7" t="s">
        <v>8543</v>
      </c>
      <c r="E2083" s="7" t="s">
        <v>1695</v>
      </c>
      <c r="F2083" s="7" t="s">
        <v>1696</v>
      </c>
    </row>
    <row r="2084">
      <c r="A2084" s="7" t="s">
        <v>5126</v>
      </c>
      <c r="B2084" s="7" t="s">
        <v>5127</v>
      </c>
      <c r="C2084" s="7" t="s">
        <v>5128</v>
      </c>
      <c r="D2084" s="7" t="s">
        <v>8544</v>
      </c>
      <c r="E2084" s="7" t="s">
        <v>1695</v>
      </c>
      <c r="F2084" s="7" t="s">
        <v>1696</v>
      </c>
    </row>
    <row r="2085">
      <c r="A2085" s="7" t="s">
        <v>4415</v>
      </c>
      <c r="B2085" s="7" t="s">
        <v>4392</v>
      </c>
      <c r="C2085" s="7" t="s">
        <v>2817</v>
      </c>
      <c r="D2085" s="7" t="s">
        <v>8545</v>
      </c>
      <c r="E2085" s="7" t="s">
        <v>1695</v>
      </c>
      <c r="F2085" s="7" t="s">
        <v>1696</v>
      </c>
    </row>
    <row r="2086">
      <c r="A2086" s="7" t="s">
        <v>3584</v>
      </c>
      <c r="B2086" s="7" t="s">
        <v>3585</v>
      </c>
      <c r="C2086" s="7" t="s">
        <v>3586</v>
      </c>
      <c r="D2086" s="7" t="s">
        <v>8546</v>
      </c>
      <c r="E2086" s="7" t="s">
        <v>1695</v>
      </c>
      <c r="F2086" s="7" t="s">
        <v>1696</v>
      </c>
    </row>
    <row r="2087">
      <c r="A2087" s="7" t="s">
        <v>5371</v>
      </c>
      <c r="B2087" s="7" t="s">
        <v>5073</v>
      </c>
      <c r="C2087" s="7" t="s">
        <v>5372</v>
      </c>
      <c r="D2087" s="7" t="s">
        <v>8547</v>
      </c>
      <c r="E2087" s="7" t="s">
        <v>1695</v>
      </c>
      <c r="F2087" s="7" t="s">
        <v>1696</v>
      </c>
    </row>
    <row r="2088">
      <c r="A2088" s="7" t="s">
        <v>5882</v>
      </c>
      <c r="B2088" s="7" t="s">
        <v>5883</v>
      </c>
      <c r="C2088" s="7" t="s">
        <v>5884</v>
      </c>
      <c r="D2088" s="7" t="s">
        <v>8548</v>
      </c>
      <c r="E2088" s="7" t="s">
        <v>1695</v>
      </c>
      <c r="F2088" s="7" t="s">
        <v>1696</v>
      </c>
    </row>
    <row r="2089">
      <c r="A2089" s="7" t="s">
        <v>6339</v>
      </c>
      <c r="B2089" s="7" t="s">
        <v>411</v>
      </c>
      <c r="C2089" s="7" t="s">
        <v>409</v>
      </c>
      <c r="D2089" s="7" t="s">
        <v>8549</v>
      </c>
      <c r="E2089" s="7" t="s">
        <v>1695</v>
      </c>
      <c r="F2089" s="7" t="s">
        <v>6318</v>
      </c>
    </row>
    <row r="2090">
      <c r="A2090" s="7" t="s">
        <v>2713</v>
      </c>
      <c r="B2090" s="7" t="s">
        <v>439</v>
      </c>
      <c r="C2090" s="7" t="s">
        <v>109</v>
      </c>
      <c r="D2090" s="7" t="s">
        <v>8550</v>
      </c>
      <c r="E2090" s="7" t="s">
        <v>1695</v>
      </c>
      <c r="F2090" s="7" t="s">
        <v>1696</v>
      </c>
    </row>
    <row r="2091">
      <c r="A2091" s="7" t="s">
        <v>4487</v>
      </c>
      <c r="B2091" s="7" t="s">
        <v>4488</v>
      </c>
      <c r="C2091" s="7" t="s">
        <v>4489</v>
      </c>
      <c r="D2091" s="7" t="s">
        <v>8551</v>
      </c>
      <c r="E2091" s="7" t="s">
        <v>1695</v>
      </c>
      <c r="F2091" s="7" t="s">
        <v>1696</v>
      </c>
    </row>
    <row r="2092">
      <c r="A2092" s="7" t="s">
        <v>3573</v>
      </c>
      <c r="B2092" s="7" t="s">
        <v>356</v>
      </c>
      <c r="C2092" s="7" t="s">
        <v>2873</v>
      </c>
      <c r="D2092" s="7" t="s">
        <v>8552</v>
      </c>
      <c r="E2092" s="7" t="s">
        <v>1695</v>
      </c>
      <c r="F2092" s="7" t="s">
        <v>1696</v>
      </c>
    </row>
    <row r="2093">
      <c r="A2093" s="7" t="s">
        <v>5702</v>
      </c>
      <c r="B2093" s="7" t="s">
        <v>4723</v>
      </c>
      <c r="C2093" s="7" t="s">
        <v>4420</v>
      </c>
      <c r="D2093" s="7" t="s">
        <v>8553</v>
      </c>
      <c r="E2093" s="7" t="s">
        <v>1695</v>
      </c>
      <c r="F2093" s="7" t="s">
        <v>1696</v>
      </c>
    </row>
    <row r="2094">
      <c r="A2094" s="7" t="s">
        <v>3625</v>
      </c>
      <c r="B2094" s="7" t="s">
        <v>3626</v>
      </c>
      <c r="C2094" s="7" t="s">
        <v>101</v>
      </c>
      <c r="D2094" s="7" t="s">
        <v>8554</v>
      </c>
      <c r="E2094" s="7" t="s">
        <v>1695</v>
      </c>
      <c r="F2094" s="7" t="s">
        <v>1696</v>
      </c>
    </row>
    <row r="2095">
      <c r="A2095" s="7" t="s">
        <v>4235</v>
      </c>
      <c r="B2095" s="7" t="s">
        <v>4236</v>
      </c>
      <c r="C2095" s="7" t="s">
        <v>4237</v>
      </c>
      <c r="D2095" s="7" t="s">
        <v>8555</v>
      </c>
      <c r="E2095" s="7" t="s">
        <v>1695</v>
      </c>
      <c r="F2095" s="7" t="s">
        <v>1696</v>
      </c>
    </row>
    <row r="2096">
      <c r="A2096" s="7" t="s">
        <v>5925</v>
      </c>
      <c r="B2096" s="7" t="s">
        <v>1859</v>
      </c>
      <c r="C2096" s="7" t="s">
        <v>596</v>
      </c>
      <c r="D2096" s="7" t="s">
        <v>8556</v>
      </c>
      <c r="E2096" s="7" t="s">
        <v>1695</v>
      </c>
      <c r="F2096" s="7" t="s">
        <v>1696</v>
      </c>
    </row>
    <row r="2097">
      <c r="A2097" s="7" t="s">
        <v>2025</v>
      </c>
      <c r="B2097" s="7" t="s">
        <v>2026</v>
      </c>
      <c r="C2097" s="7" t="s">
        <v>2027</v>
      </c>
      <c r="D2097" s="7" t="s">
        <v>8557</v>
      </c>
      <c r="E2097" s="7" t="s">
        <v>1695</v>
      </c>
      <c r="F2097" s="7" t="s">
        <v>1696</v>
      </c>
    </row>
    <row r="2098">
      <c r="A2098" s="7" t="s">
        <v>4818</v>
      </c>
      <c r="B2098" s="7" t="s">
        <v>3947</v>
      </c>
      <c r="C2098" s="7" t="s">
        <v>1348</v>
      </c>
      <c r="D2098" s="7" t="s">
        <v>8558</v>
      </c>
      <c r="E2098" s="7" t="s">
        <v>1695</v>
      </c>
      <c r="F2098" s="7" t="s">
        <v>1696</v>
      </c>
    </row>
    <row r="2099">
      <c r="A2099" s="7" t="s">
        <v>6117</v>
      </c>
      <c r="B2099" s="7" t="s">
        <v>6118</v>
      </c>
      <c r="C2099" s="7" t="s">
        <v>1710</v>
      </c>
      <c r="D2099" s="7" t="s">
        <v>8559</v>
      </c>
      <c r="E2099" s="7" t="s">
        <v>1695</v>
      </c>
      <c r="F2099" s="7" t="s">
        <v>1696</v>
      </c>
    </row>
    <row r="2100">
      <c r="A2100" s="7" t="s">
        <v>5629</v>
      </c>
      <c r="B2100" s="7" t="s">
        <v>760</v>
      </c>
      <c r="C2100" s="7" t="s">
        <v>5630</v>
      </c>
      <c r="D2100" s="7" t="s">
        <v>8560</v>
      </c>
      <c r="E2100" s="7" t="s">
        <v>1695</v>
      </c>
      <c r="F2100" s="7" t="s">
        <v>1696</v>
      </c>
    </row>
    <row r="2101">
      <c r="A2101" s="7" t="s">
        <v>1879</v>
      </c>
      <c r="B2101" s="7" t="s">
        <v>1880</v>
      </c>
      <c r="C2101" s="7" t="s">
        <v>1265</v>
      </c>
      <c r="D2101" s="7" t="s">
        <v>8561</v>
      </c>
      <c r="E2101" s="7" t="s">
        <v>1695</v>
      </c>
      <c r="F2101" s="7" t="s">
        <v>1696</v>
      </c>
    </row>
    <row r="2102">
      <c r="A2102" s="7" t="s">
        <v>1976</v>
      </c>
      <c r="B2102" s="7" t="s">
        <v>534</v>
      </c>
      <c r="C2102" s="7" t="s">
        <v>1977</v>
      </c>
      <c r="D2102" s="7" t="s">
        <v>8562</v>
      </c>
      <c r="E2102" s="7" t="s">
        <v>1695</v>
      </c>
      <c r="F2102" s="7" t="s">
        <v>1696</v>
      </c>
    </row>
    <row r="2103">
      <c r="A2103" s="7" t="s">
        <v>5813</v>
      </c>
      <c r="B2103" s="7" t="s">
        <v>5814</v>
      </c>
      <c r="C2103" s="7" t="s">
        <v>218</v>
      </c>
      <c r="D2103" s="7" t="s">
        <v>8563</v>
      </c>
      <c r="E2103" s="7" t="s">
        <v>1695</v>
      </c>
      <c r="F2103" s="7" t="s">
        <v>1696</v>
      </c>
    </row>
    <row r="2104">
      <c r="A2104" s="7" t="s">
        <v>4683</v>
      </c>
      <c r="B2104" s="7" t="s">
        <v>3626</v>
      </c>
      <c r="C2104" s="7" t="s">
        <v>918</v>
      </c>
      <c r="D2104" s="7" t="s">
        <v>8564</v>
      </c>
      <c r="E2104" s="7" t="s">
        <v>1695</v>
      </c>
      <c r="F2104" s="7" t="s">
        <v>1696</v>
      </c>
    </row>
    <row r="2105">
      <c r="A2105" s="7" t="s">
        <v>4242</v>
      </c>
      <c r="B2105" s="7" t="s">
        <v>4243</v>
      </c>
      <c r="C2105" s="7" t="s">
        <v>1656</v>
      </c>
      <c r="D2105" s="7" t="s">
        <v>8565</v>
      </c>
      <c r="E2105" s="7" t="s">
        <v>1695</v>
      </c>
      <c r="F2105" s="7" t="s">
        <v>1696</v>
      </c>
    </row>
    <row r="2106">
      <c r="A2106" s="7" t="s">
        <v>6047</v>
      </c>
      <c r="B2106" s="7" t="s">
        <v>6048</v>
      </c>
      <c r="C2106" s="7" t="s">
        <v>596</v>
      </c>
      <c r="D2106" s="7" t="s">
        <v>8566</v>
      </c>
      <c r="E2106" s="7" t="s">
        <v>1695</v>
      </c>
      <c r="F2106" s="7" t="s">
        <v>1696</v>
      </c>
    </row>
    <row r="2107">
      <c r="A2107" s="7" t="s">
        <v>6374</v>
      </c>
      <c r="B2107" s="7" t="s">
        <v>2382</v>
      </c>
      <c r="C2107" s="7" t="s">
        <v>70</v>
      </c>
      <c r="D2107" s="7" t="s">
        <v>8567</v>
      </c>
      <c r="E2107" s="7" t="s">
        <v>1695</v>
      </c>
      <c r="F2107" s="7" t="s">
        <v>6318</v>
      </c>
    </row>
    <row r="2108">
      <c r="A2108" s="7" t="s">
        <v>2482</v>
      </c>
      <c r="B2108" s="7" t="s">
        <v>974</v>
      </c>
      <c r="C2108" s="7" t="s">
        <v>267</v>
      </c>
      <c r="D2108" s="7" t="s">
        <v>8568</v>
      </c>
      <c r="E2108" s="7" t="s">
        <v>1695</v>
      </c>
      <c r="F2108" s="7" t="s">
        <v>1696</v>
      </c>
    </row>
    <row r="2109">
      <c r="A2109" s="7" t="s">
        <v>5284</v>
      </c>
      <c r="B2109" s="7" t="s">
        <v>1156</v>
      </c>
      <c r="C2109" s="7" t="s">
        <v>336</v>
      </c>
      <c r="D2109" s="7" t="s">
        <v>8569</v>
      </c>
      <c r="E2109" s="7" t="s">
        <v>1695</v>
      </c>
      <c r="F2109" s="7" t="s">
        <v>1696</v>
      </c>
    </row>
    <row r="2110">
      <c r="A2110" s="7" t="s">
        <v>4169</v>
      </c>
      <c r="B2110" s="7" t="s">
        <v>468</v>
      </c>
      <c r="C2110" s="7" t="s">
        <v>784</v>
      </c>
      <c r="D2110" s="7" t="s">
        <v>8570</v>
      </c>
      <c r="E2110" s="7" t="s">
        <v>1695</v>
      </c>
      <c r="F2110" s="7" t="s">
        <v>1696</v>
      </c>
    </row>
    <row r="2111">
      <c r="A2111" s="7" t="s">
        <v>2880</v>
      </c>
      <c r="B2111" s="7" t="s">
        <v>2881</v>
      </c>
      <c r="C2111" s="7" t="s">
        <v>2882</v>
      </c>
      <c r="D2111" s="7" t="s">
        <v>8571</v>
      </c>
      <c r="E2111" s="7" t="s">
        <v>1695</v>
      </c>
      <c r="F2111" s="7" t="s">
        <v>1696</v>
      </c>
    </row>
    <row r="2112">
      <c r="A2112" s="7" t="s">
        <v>3029</v>
      </c>
      <c r="B2112" s="7" t="s">
        <v>3030</v>
      </c>
      <c r="C2112" s="7" t="s">
        <v>1656</v>
      </c>
      <c r="D2112" s="7" t="s">
        <v>8572</v>
      </c>
      <c r="E2112" s="7" t="s">
        <v>1695</v>
      </c>
      <c r="F2112" s="7" t="s">
        <v>1696</v>
      </c>
    </row>
    <row r="2113">
      <c r="A2113" s="7" t="s">
        <v>4431</v>
      </c>
      <c r="B2113" s="7" t="s">
        <v>1356</v>
      </c>
      <c r="C2113" s="7" t="s">
        <v>4432</v>
      </c>
      <c r="D2113" s="7" t="s">
        <v>8573</v>
      </c>
      <c r="E2113" s="7" t="s">
        <v>1695</v>
      </c>
      <c r="F2113" s="7" t="s">
        <v>1696</v>
      </c>
    </row>
    <row r="2114">
      <c r="A2114" s="7" t="s">
        <v>3604</v>
      </c>
      <c r="B2114" s="7" t="s">
        <v>2493</v>
      </c>
      <c r="C2114" s="7" t="s">
        <v>1627</v>
      </c>
      <c r="D2114" s="7" t="s">
        <v>8574</v>
      </c>
      <c r="E2114" s="7" t="s">
        <v>1695</v>
      </c>
      <c r="F2114" s="7" t="s">
        <v>1696</v>
      </c>
    </row>
    <row r="2115">
      <c r="A2115" s="7" t="s">
        <v>3985</v>
      </c>
      <c r="B2115" s="7" t="s">
        <v>1321</v>
      </c>
      <c r="C2115" s="7" t="s">
        <v>66</v>
      </c>
      <c r="D2115" s="7" t="s">
        <v>8575</v>
      </c>
      <c r="E2115" s="7" t="s">
        <v>1695</v>
      </c>
      <c r="F2115" s="7" t="s">
        <v>1696</v>
      </c>
    </row>
    <row r="2116">
      <c r="A2116" s="7" t="s">
        <v>1788</v>
      </c>
      <c r="B2116" s="7" t="s">
        <v>1789</v>
      </c>
      <c r="C2116" s="7" t="s">
        <v>1790</v>
      </c>
      <c r="D2116" s="7" t="s">
        <v>8576</v>
      </c>
      <c r="E2116" s="7" t="s">
        <v>1695</v>
      </c>
      <c r="F2116" s="7" t="s">
        <v>1696</v>
      </c>
    </row>
    <row r="2117">
      <c r="A2117" s="7" t="s">
        <v>4154</v>
      </c>
      <c r="B2117" s="7" t="s">
        <v>73</v>
      </c>
      <c r="C2117" s="7" t="s">
        <v>911</v>
      </c>
      <c r="D2117" s="7" t="s">
        <v>8577</v>
      </c>
      <c r="E2117" s="7" t="s">
        <v>1695</v>
      </c>
      <c r="F2117" s="7" t="s">
        <v>1696</v>
      </c>
    </row>
    <row r="2118">
      <c r="A2118" s="7" t="s">
        <v>4981</v>
      </c>
      <c r="B2118" s="7" t="s">
        <v>3140</v>
      </c>
      <c r="C2118" s="7" t="s">
        <v>4982</v>
      </c>
      <c r="D2118" s="7" t="s">
        <v>8578</v>
      </c>
      <c r="E2118" s="7" t="s">
        <v>1695</v>
      </c>
      <c r="F2118" s="7" t="s">
        <v>1696</v>
      </c>
    </row>
    <row r="2119">
      <c r="A2119" s="7" t="s">
        <v>5653</v>
      </c>
      <c r="B2119" s="7" t="s">
        <v>949</v>
      </c>
      <c r="C2119" s="7" t="s">
        <v>1060</v>
      </c>
      <c r="D2119" s="7" t="s">
        <v>8579</v>
      </c>
      <c r="E2119" s="7" t="s">
        <v>1695</v>
      </c>
      <c r="F2119" s="7" t="s">
        <v>1696</v>
      </c>
    </row>
    <row r="2120">
      <c r="A2120" s="7" t="s">
        <v>6206</v>
      </c>
      <c r="B2120" s="7" t="s">
        <v>1426</v>
      </c>
      <c r="C2120" s="7" t="s">
        <v>1157</v>
      </c>
      <c r="D2120" s="7" t="s">
        <v>8580</v>
      </c>
      <c r="E2120" s="7" t="s">
        <v>1695</v>
      </c>
      <c r="F2120" s="7" t="s">
        <v>1696</v>
      </c>
    </row>
    <row r="2121">
      <c r="A2121" s="7" t="s">
        <v>2129</v>
      </c>
      <c r="B2121" s="7" t="s">
        <v>414</v>
      </c>
      <c r="C2121" s="7" t="s">
        <v>1152</v>
      </c>
      <c r="D2121" s="7" t="s">
        <v>8581</v>
      </c>
      <c r="E2121" s="7" t="s">
        <v>1695</v>
      </c>
      <c r="F2121" s="7" t="s">
        <v>1696</v>
      </c>
    </row>
    <row r="2122">
      <c r="A2122" s="7" t="s">
        <v>2048</v>
      </c>
      <c r="B2122" s="7" t="s">
        <v>101</v>
      </c>
      <c r="C2122" s="7" t="s">
        <v>1174</v>
      </c>
      <c r="D2122" s="7" t="s">
        <v>8582</v>
      </c>
      <c r="E2122" s="7" t="s">
        <v>1695</v>
      </c>
      <c r="F2122" s="7" t="s">
        <v>1696</v>
      </c>
    </row>
    <row r="2123">
      <c r="A2123" s="7" t="s">
        <v>3953</v>
      </c>
      <c r="B2123" s="7" t="s">
        <v>3954</v>
      </c>
      <c r="C2123" s="7" t="s">
        <v>3955</v>
      </c>
      <c r="D2123" s="7" t="s">
        <v>8583</v>
      </c>
      <c r="E2123" s="7" t="s">
        <v>1695</v>
      </c>
      <c r="F2123" s="7" t="s">
        <v>1696</v>
      </c>
    </row>
    <row r="2124">
      <c r="A2124" s="7" t="s">
        <v>1698</v>
      </c>
      <c r="B2124" s="7" t="s">
        <v>1699</v>
      </c>
      <c r="C2124" s="7" t="s">
        <v>1700</v>
      </c>
      <c r="D2124" s="7" t="s">
        <v>8584</v>
      </c>
      <c r="E2124" s="7" t="s">
        <v>1695</v>
      </c>
      <c r="F2124" s="7" t="s">
        <v>1696</v>
      </c>
    </row>
    <row r="2125">
      <c r="A2125" s="7" t="s">
        <v>2419</v>
      </c>
      <c r="B2125" s="7" t="s">
        <v>114</v>
      </c>
      <c r="C2125" s="7" t="s">
        <v>2420</v>
      </c>
      <c r="D2125" s="7" t="s">
        <v>8585</v>
      </c>
      <c r="E2125" s="7" t="s">
        <v>1695</v>
      </c>
      <c r="F2125" s="7" t="s">
        <v>1696</v>
      </c>
    </row>
    <row r="2126">
      <c r="A2126" s="7" t="s">
        <v>2424</v>
      </c>
      <c r="B2126" s="7" t="s">
        <v>114</v>
      </c>
      <c r="C2126" s="7" t="s">
        <v>314</v>
      </c>
      <c r="D2126" s="7" t="s">
        <v>8585</v>
      </c>
      <c r="E2126" s="7" t="s">
        <v>1695</v>
      </c>
      <c r="F2126" s="7" t="s">
        <v>1696</v>
      </c>
    </row>
    <row r="2127">
      <c r="A2127" s="7" t="s">
        <v>4633</v>
      </c>
      <c r="B2127" s="7" t="s">
        <v>336</v>
      </c>
      <c r="C2127" s="7" t="s">
        <v>2724</v>
      </c>
      <c r="D2127" s="7" t="s">
        <v>8586</v>
      </c>
      <c r="E2127" s="7" t="s">
        <v>1695</v>
      </c>
      <c r="F2127" s="7" t="s">
        <v>1696</v>
      </c>
    </row>
    <row r="2128">
      <c r="A2128" s="7" t="s">
        <v>4059</v>
      </c>
      <c r="B2128" s="7" t="s">
        <v>4060</v>
      </c>
      <c r="C2128" s="7" t="s">
        <v>479</v>
      </c>
      <c r="D2128" s="7" t="s">
        <v>8587</v>
      </c>
      <c r="E2128" s="7" t="s">
        <v>1695</v>
      </c>
      <c r="F2128" s="7" t="s">
        <v>1696</v>
      </c>
    </row>
    <row r="2129">
      <c r="A2129" s="7" t="s">
        <v>5200</v>
      </c>
      <c r="B2129" s="7" t="s">
        <v>4982</v>
      </c>
      <c r="C2129" s="7" t="s">
        <v>5201</v>
      </c>
      <c r="D2129" s="7" t="s">
        <v>8588</v>
      </c>
      <c r="E2129" s="7" t="s">
        <v>1695</v>
      </c>
      <c r="F2129" s="7" t="s">
        <v>1696</v>
      </c>
    </row>
    <row r="2130">
      <c r="A2130" s="7" t="s">
        <v>3260</v>
      </c>
      <c r="B2130" s="7" t="s">
        <v>1030</v>
      </c>
      <c r="C2130" s="7" t="s">
        <v>3261</v>
      </c>
      <c r="D2130" s="7" t="s">
        <v>8589</v>
      </c>
      <c r="E2130" s="7" t="s">
        <v>1695</v>
      </c>
      <c r="F2130" s="7" t="s">
        <v>1696</v>
      </c>
    </row>
    <row r="2131">
      <c r="A2131" s="7" t="s">
        <v>4436</v>
      </c>
      <c r="B2131" s="7" t="s">
        <v>4437</v>
      </c>
      <c r="C2131" s="7" t="s">
        <v>4438</v>
      </c>
      <c r="D2131" s="7" t="s">
        <v>8590</v>
      </c>
      <c r="E2131" s="7" t="s">
        <v>1695</v>
      </c>
      <c r="F2131" s="7" t="s">
        <v>1696</v>
      </c>
    </row>
    <row r="2132">
      <c r="A2132" s="7" t="s">
        <v>4035</v>
      </c>
      <c r="B2132" s="7" t="s">
        <v>404</v>
      </c>
      <c r="C2132" s="7" t="s">
        <v>4036</v>
      </c>
      <c r="D2132" s="7" t="s">
        <v>8591</v>
      </c>
      <c r="E2132" s="7" t="s">
        <v>1695</v>
      </c>
      <c r="F2132" s="7" t="s">
        <v>1696</v>
      </c>
    </row>
    <row r="2133">
      <c r="A2133" s="7" t="s">
        <v>5028</v>
      </c>
      <c r="B2133" s="7" t="s">
        <v>5029</v>
      </c>
      <c r="C2133" s="7" t="s">
        <v>838</v>
      </c>
      <c r="D2133" s="7" t="s">
        <v>8592</v>
      </c>
      <c r="E2133" s="7" t="s">
        <v>1695</v>
      </c>
      <c r="F2133" s="7" t="s">
        <v>1696</v>
      </c>
    </row>
    <row r="2134">
      <c r="A2134" s="7" t="s">
        <v>4964</v>
      </c>
      <c r="B2134" s="7" t="s">
        <v>4965</v>
      </c>
      <c r="C2134" s="7" t="s">
        <v>404</v>
      </c>
      <c r="D2134" s="7" t="s">
        <v>8593</v>
      </c>
      <c r="E2134" s="7" t="s">
        <v>1695</v>
      </c>
      <c r="F2134" s="7" t="s">
        <v>1696</v>
      </c>
    </row>
    <row r="2135">
      <c r="A2135" s="7" t="s">
        <v>3596</v>
      </c>
      <c r="B2135" s="7" t="s">
        <v>3597</v>
      </c>
      <c r="C2135" s="7" t="s">
        <v>1549</v>
      </c>
      <c r="D2135" s="7" t="s">
        <v>8594</v>
      </c>
      <c r="E2135" s="7" t="s">
        <v>1695</v>
      </c>
      <c r="F2135" s="7" t="s">
        <v>1696</v>
      </c>
    </row>
    <row r="2136">
      <c r="A2136" s="7" t="s">
        <v>5715</v>
      </c>
      <c r="B2136" s="7" t="s">
        <v>676</v>
      </c>
      <c r="C2136" s="7" t="s">
        <v>3144</v>
      </c>
      <c r="D2136" s="7" t="s">
        <v>8595</v>
      </c>
      <c r="E2136" s="7" t="s">
        <v>1695</v>
      </c>
      <c r="F2136" s="7" t="s">
        <v>1696</v>
      </c>
    </row>
    <row r="2137">
      <c r="A2137" s="7" t="s">
        <v>5067</v>
      </c>
      <c r="B2137" s="7" t="s">
        <v>276</v>
      </c>
      <c r="C2137" s="7" t="s">
        <v>356</v>
      </c>
      <c r="D2137" s="7" t="s">
        <v>8596</v>
      </c>
      <c r="E2137" s="7" t="s">
        <v>1695</v>
      </c>
      <c r="F2137" s="7" t="s">
        <v>1696</v>
      </c>
    </row>
    <row r="2138">
      <c r="A2138" s="7" t="s">
        <v>4968</v>
      </c>
      <c r="B2138" s="7" t="s">
        <v>4969</v>
      </c>
      <c r="C2138" s="7" t="s">
        <v>1769</v>
      </c>
      <c r="D2138" s="7" t="s">
        <v>8597</v>
      </c>
      <c r="E2138" s="7" t="s">
        <v>1695</v>
      </c>
      <c r="F2138" s="7" t="s">
        <v>1696</v>
      </c>
    </row>
    <row r="2139">
      <c r="A2139" s="7" t="s">
        <v>4573</v>
      </c>
      <c r="B2139" s="7" t="s">
        <v>518</v>
      </c>
      <c r="C2139" s="7" t="s">
        <v>165</v>
      </c>
      <c r="D2139" s="7" t="s">
        <v>8598</v>
      </c>
      <c r="E2139" s="7" t="s">
        <v>1695</v>
      </c>
      <c r="F2139" s="7" t="s">
        <v>1696</v>
      </c>
    </row>
    <row r="2140">
      <c r="A2140" s="7" t="s">
        <v>3474</v>
      </c>
      <c r="B2140" s="7" t="s">
        <v>3475</v>
      </c>
      <c r="C2140" s="7" t="s">
        <v>3476</v>
      </c>
      <c r="D2140" s="7" t="s">
        <v>8599</v>
      </c>
      <c r="E2140" s="7" t="s">
        <v>1695</v>
      </c>
      <c r="F2140" s="7" t="s">
        <v>1696</v>
      </c>
    </row>
    <row r="2141">
      <c r="A2141" s="7" t="s">
        <v>2797</v>
      </c>
      <c r="B2141" s="7" t="s">
        <v>920</v>
      </c>
      <c r="C2141" s="7" t="s">
        <v>2798</v>
      </c>
      <c r="D2141" s="7" t="s">
        <v>8600</v>
      </c>
      <c r="E2141" s="7" t="s">
        <v>1695</v>
      </c>
      <c r="F2141" s="7" t="s">
        <v>1696</v>
      </c>
    </row>
    <row r="2142">
      <c r="A2142" s="7" t="s">
        <v>5757</v>
      </c>
      <c r="B2142" s="7" t="s">
        <v>1955</v>
      </c>
      <c r="C2142" s="7" t="s">
        <v>5758</v>
      </c>
      <c r="D2142" s="7" t="s">
        <v>8601</v>
      </c>
      <c r="E2142" s="7" t="s">
        <v>1695</v>
      </c>
      <c r="F2142" s="7" t="s">
        <v>1696</v>
      </c>
    </row>
    <row r="2143">
      <c r="A2143" s="7" t="s">
        <v>2051</v>
      </c>
      <c r="B2143" s="7" t="s">
        <v>2052</v>
      </c>
      <c r="C2143" s="7" t="s">
        <v>404</v>
      </c>
      <c r="D2143" s="7" t="s">
        <v>8602</v>
      </c>
      <c r="E2143" s="7" t="s">
        <v>1695</v>
      </c>
      <c r="F2143" s="7" t="s">
        <v>1696</v>
      </c>
    </row>
    <row r="2144">
      <c r="A2144" s="7" t="s">
        <v>5754</v>
      </c>
      <c r="B2144" s="7" t="s">
        <v>279</v>
      </c>
      <c r="C2144" s="7" t="s">
        <v>716</v>
      </c>
      <c r="D2144" s="7" t="s">
        <v>8603</v>
      </c>
      <c r="E2144" s="7" t="s">
        <v>1695</v>
      </c>
      <c r="F2144" s="7" t="s">
        <v>1696</v>
      </c>
    </row>
    <row r="2145">
      <c r="A2145" s="7" t="s">
        <v>6311</v>
      </c>
      <c r="B2145" s="7" t="s">
        <v>279</v>
      </c>
      <c r="C2145" s="7" t="s">
        <v>716</v>
      </c>
      <c r="D2145" s="7" t="s">
        <v>8603</v>
      </c>
      <c r="E2145" s="7" t="s">
        <v>1695</v>
      </c>
      <c r="F2145" s="7" t="s">
        <v>1696</v>
      </c>
    </row>
    <row r="2146">
      <c r="A2146" s="7" t="s">
        <v>3577</v>
      </c>
      <c r="B2146" s="7" t="s">
        <v>2168</v>
      </c>
      <c r="C2146" s="7" t="s">
        <v>3578</v>
      </c>
      <c r="D2146" s="7" t="s">
        <v>8604</v>
      </c>
      <c r="E2146" s="7" t="s">
        <v>1695</v>
      </c>
      <c r="F2146" s="7" t="s">
        <v>1696</v>
      </c>
    </row>
    <row r="2147">
      <c r="A2147" s="7" t="s">
        <v>3633</v>
      </c>
      <c r="B2147" s="7" t="s">
        <v>3634</v>
      </c>
      <c r="C2147" s="7" t="s">
        <v>3635</v>
      </c>
      <c r="D2147" s="7" t="s">
        <v>8605</v>
      </c>
      <c r="E2147" s="7" t="s">
        <v>1695</v>
      </c>
      <c r="F2147" s="7" t="s">
        <v>1696</v>
      </c>
    </row>
    <row r="2148">
      <c r="A2148" s="7" t="s">
        <v>4860</v>
      </c>
      <c r="B2148" s="7" t="s">
        <v>729</v>
      </c>
      <c r="C2148" s="7" t="s">
        <v>4861</v>
      </c>
      <c r="D2148" s="7" t="s">
        <v>8606</v>
      </c>
      <c r="E2148" s="7" t="s">
        <v>1695</v>
      </c>
      <c r="F2148" s="7" t="s">
        <v>1696</v>
      </c>
    </row>
    <row r="2149">
      <c r="A2149" s="7" t="s">
        <v>2517</v>
      </c>
      <c r="B2149" s="7" t="s">
        <v>2518</v>
      </c>
      <c r="C2149" s="7" t="s">
        <v>2519</v>
      </c>
      <c r="D2149" s="7" t="s">
        <v>8607</v>
      </c>
      <c r="E2149" s="7" t="s">
        <v>1695</v>
      </c>
      <c r="F2149" s="7" t="s">
        <v>1696</v>
      </c>
    </row>
    <row r="2150">
      <c r="A2150" s="7" t="s">
        <v>3970</v>
      </c>
      <c r="B2150" s="7" t="s">
        <v>3971</v>
      </c>
      <c r="C2150" s="7" t="s">
        <v>3972</v>
      </c>
      <c r="D2150" s="7" t="s">
        <v>8608</v>
      </c>
      <c r="E2150" s="7" t="s">
        <v>1695</v>
      </c>
      <c r="F2150" s="7" t="s">
        <v>1696</v>
      </c>
    </row>
    <row r="2151">
      <c r="A2151" s="7" t="s">
        <v>4956</v>
      </c>
      <c r="B2151" s="7" t="s">
        <v>1532</v>
      </c>
      <c r="C2151" s="7" t="s">
        <v>4957</v>
      </c>
      <c r="D2151" s="7" t="s">
        <v>8609</v>
      </c>
      <c r="E2151" s="7" t="s">
        <v>1695</v>
      </c>
      <c r="F2151" s="7" t="s">
        <v>1696</v>
      </c>
    </row>
    <row r="2152">
      <c r="A2152" s="7" t="s">
        <v>4397</v>
      </c>
      <c r="B2152" s="7" t="s">
        <v>2247</v>
      </c>
      <c r="C2152" s="7" t="s">
        <v>280</v>
      </c>
      <c r="D2152" s="7" t="s">
        <v>8610</v>
      </c>
      <c r="E2152" s="7" t="s">
        <v>1695</v>
      </c>
      <c r="F2152" s="7" t="s">
        <v>1696</v>
      </c>
    </row>
    <row r="2153">
      <c r="A2153" s="7" t="s">
        <v>2391</v>
      </c>
      <c r="B2153" s="7" t="s">
        <v>1814</v>
      </c>
      <c r="C2153" s="7" t="s">
        <v>2392</v>
      </c>
      <c r="D2153" s="7" t="s">
        <v>8611</v>
      </c>
      <c r="E2153" s="7" t="s">
        <v>1695</v>
      </c>
      <c r="F2153" s="7" t="s">
        <v>1696</v>
      </c>
    </row>
    <row r="2154">
      <c r="A2154" s="7" t="s">
        <v>5901</v>
      </c>
      <c r="B2154" s="7" t="s">
        <v>5902</v>
      </c>
      <c r="C2154" s="7" t="s">
        <v>5903</v>
      </c>
      <c r="D2154" s="7" t="s">
        <v>8612</v>
      </c>
      <c r="E2154" s="7" t="s">
        <v>1695</v>
      </c>
      <c r="F2154" s="7" t="s">
        <v>1696</v>
      </c>
    </row>
    <row r="2155">
      <c r="A2155" s="7" t="s">
        <v>2343</v>
      </c>
      <c r="B2155" s="7" t="s">
        <v>967</v>
      </c>
      <c r="C2155" s="7" t="s">
        <v>471</v>
      </c>
      <c r="D2155" s="7" t="s">
        <v>8613</v>
      </c>
      <c r="E2155" s="7" t="s">
        <v>1695</v>
      </c>
      <c r="F2155" s="7" t="s">
        <v>1696</v>
      </c>
    </row>
    <row r="2156">
      <c r="A2156" s="7" t="s">
        <v>2915</v>
      </c>
      <c r="B2156" s="7" t="s">
        <v>188</v>
      </c>
      <c r="C2156" s="7" t="s">
        <v>2916</v>
      </c>
      <c r="D2156" s="7" t="s">
        <v>8614</v>
      </c>
      <c r="E2156" s="7" t="s">
        <v>1695</v>
      </c>
      <c r="F2156" s="7" t="s">
        <v>1696</v>
      </c>
    </row>
    <row r="2157">
      <c r="A2157" s="7" t="s">
        <v>5573</v>
      </c>
      <c r="B2157" s="7" t="s">
        <v>5574</v>
      </c>
      <c r="C2157" s="7" t="s">
        <v>5575</v>
      </c>
      <c r="D2157" s="7" t="s">
        <v>8615</v>
      </c>
      <c r="E2157" s="7" t="s">
        <v>1695</v>
      </c>
      <c r="F2157" s="7" t="s">
        <v>1696</v>
      </c>
    </row>
    <row r="2158">
      <c r="A2158" s="7" t="s">
        <v>3571</v>
      </c>
      <c r="B2158" s="7" t="s">
        <v>46</v>
      </c>
      <c r="C2158" s="7" t="s">
        <v>1112</v>
      </c>
      <c r="D2158" s="7" t="s">
        <v>8616</v>
      </c>
      <c r="E2158" s="7" t="s">
        <v>1695</v>
      </c>
      <c r="F2158" s="7" t="s">
        <v>1696</v>
      </c>
    </row>
    <row r="2159">
      <c r="A2159" s="7" t="s">
        <v>2667</v>
      </c>
      <c r="B2159" s="7" t="s">
        <v>901</v>
      </c>
      <c r="C2159" s="7" t="s">
        <v>1284</v>
      </c>
      <c r="D2159" s="7" t="s">
        <v>8617</v>
      </c>
      <c r="E2159" s="7" t="s">
        <v>1695</v>
      </c>
      <c r="F2159" s="7" t="s">
        <v>1696</v>
      </c>
    </row>
    <row r="2160">
      <c r="A2160" s="7" t="s">
        <v>4393</v>
      </c>
      <c r="B2160" s="7" t="s">
        <v>220</v>
      </c>
      <c r="C2160" s="7" t="s">
        <v>196</v>
      </c>
      <c r="D2160" s="7" t="s">
        <v>8618</v>
      </c>
      <c r="E2160" s="7" t="s">
        <v>1695</v>
      </c>
      <c r="F2160" s="7" t="s">
        <v>1696</v>
      </c>
    </row>
    <row r="2161">
      <c r="A2161" s="7" t="s">
        <v>6094</v>
      </c>
      <c r="B2161" s="7" t="s">
        <v>134</v>
      </c>
      <c r="C2161" s="7" t="s">
        <v>6095</v>
      </c>
      <c r="D2161" s="7" t="s">
        <v>8619</v>
      </c>
      <c r="E2161" s="7" t="s">
        <v>1695</v>
      </c>
      <c r="F2161" s="7" t="s">
        <v>1696</v>
      </c>
    </row>
    <row r="2162">
      <c r="A2162" s="7" t="s">
        <v>6179</v>
      </c>
      <c r="B2162" s="7" t="s">
        <v>134</v>
      </c>
      <c r="C2162" s="7" t="s">
        <v>6095</v>
      </c>
      <c r="D2162" s="7" t="s">
        <v>8619</v>
      </c>
      <c r="E2162" s="7" t="s">
        <v>1695</v>
      </c>
      <c r="F2162" s="7" t="s">
        <v>1696</v>
      </c>
    </row>
    <row r="2163">
      <c r="A2163" s="7" t="s">
        <v>5969</v>
      </c>
      <c r="B2163" s="7" t="s">
        <v>1438</v>
      </c>
      <c r="C2163" s="7" t="s">
        <v>3007</v>
      </c>
      <c r="D2163" s="7" t="s">
        <v>8620</v>
      </c>
      <c r="E2163" s="7" t="s">
        <v>1695</v>
      </c>
      <c r="F2163" s="7" t="s">
        <v>1696</v>
      </c>
    </row>
    <row r="2164">
      <c r="A2164" s="7" t="s">
        <v>6333</v>
      </c>
      <c r="B2164" s="7" t="s">
        <v>1656</v>
      </c>
      <c r="C2164" s="7" t="s">
        <v>1584</v>
      </c>
      <c r="D2164" s="7" t="s">
        <v>8621</v>
      </c>
      <c r="E2164" s="7" t="s">
        <v>1695</v>
      </c>
      <c r="F2164" s="7" t="s">
        <v>6318</v>
      </c>
    </row>
    <row r="2165">
      <c r="A2165" s="7" t="s">
        <v>2351</v>
      </c>
      <c r="B2165" s="7" t="s">
        <v>2352</v>
      </c>
      <c r="C2165" s="7" t="s">
        <v>288</v>
      </c>
      <c r="D2165" s="7" t="s">
        <v>8622</v>
      </c>
      <c r="E2165" s="7" t="s">
        <v>1695</v>
      </c>
      <c r="F2165" s="7" t="s">
        <v>1696</v>
      </c>
    </row>
    <row r="2166">
      <c r="A2166" s="7" t="s">
        <v>6017</v>
      </c>
      <c r="B2166" s="7" t="s">
        <v>4944</v>
      </c>
      <c r="C2166" s="7" t="s">
        <v>6018</v>
      </c>
      <c r="D2166" s="7" t="s">
        <v>8623</v>
      </c>
      <c r="E2166" s="7" t="s">
        <v>1695</v>
      </c>
      <c r="F2166" s="7" t="s">
        <v>1696</v>
      </c>
    </row>
    <row r="2167">
      <c r="A2167" s="7" t="s">
        <v>3396</v>
      </c>
      <c r="B2167" s="7" t="s">
        <v>3397</v>
      </c>
      <c r="C2167" s="7" t="s">
        <v>3398</v>
      </c>
      <c r="D2167" s="7" t="s">
        <v>8624</v>
      </c>
      <c r="E2167" s="7" t="s">
        <v>1695</v>
      </c>
      <c r="F2167" s="7" t="s">
        <v>1696</v>
      </c>
    </row>
    <row r="2168">
      <c r="A2168" s="7" t="s">
        <v>2000</v>
      </c>
      <c r="B2168" s="7" t="s">
        <v>2001</v>
      </c>
      <c r="C2168" s="7" t="s">
        <v>2002</v>
      </c>
      <c r="D2168" s="7" t="s">
        <v>8625</v>
      </c>
      <c r="E2168" s="7" t="s">
        <v>1695</v>
      </c>
      <c r="F2168" s="7" t="s">
        <v>1696</v>
      </c>
    </row>
    <row r="2169">
      <c r="A2169" s="7" t="s">
        <v>3521</v>
      </c>
      <c r="B2169" s="7" t="s">
        <v>3522</v>
      </c>
      <c r="C2169" s="7" t="s">
        <v>336</v>
      </c>
      <c r="D2169" s="7" t="s">
        <v>8626</v>
      </c>
      <c r="E2169" s="7" t="s">
        <v>1695</v>
      </c>
      <c r="F2169" s="7" t="s">
        <v>1696</v>
      </c>
    </row>
    <row r="2170">
      <c r="A2170" s="7" t="s">
        <v>5893</v>
      </c>
      <c r="B2170" s="7" t="s">
        <v>568</v>
      </c>
      <c r="C2170" s="7" t="s">
        <v>1790</v>
      </c>
      <c r="D2170" s="7" t="s">
        <v>8627</v>
      </c>
      <c r="E2170" s="7" t="s">
        <v>1695</v>
      </c>
      <c r="F2170" s="7" t="s">
        <v>1696</v>
      </c>
    </row>
    <row r="2171">
      <c r="A2171" s="7" t="s">
        <v>1874</v>
      </c>
      <c r="B2171" s="7" t="s">
        <v>1875</v>
      </c>
      <c r="C2171" s="7" t="s">
        <v>1376</v>
      </c>
      <c r="D2171" s="7" t="s">
        <v>8628</v>
      </c>
      <c r="E2171" s="7" t="s">
        <v>1695</v>
      </c>
      <c r="F2171" s="7" t="s">
        <v>1696</v>
      </c>
    </row>
    <row r="2172">
      <c r="A2172" s="7" t="s">
        <v>5663</v>
      </c>
      <c r="B2172" s="7" t="s">
        <v>5664</v>
      </c>
      <c r="C2172" s="7" t="s">
        <v>5621</v>
      </c>
      <c r="D2172" s="7" t="s">
        <v>8629</v>
      </c>
      <c r="E2172" s="7" t="s">
        <v>1695</v>
      </c>
      <c r="F2172" s="7" t="s">
        <v>1696</v>
      </c>
    </row>
    <row r="2173">
      <c r="A2173" s="7" t="s">
        <v>2824</v>
      </c>
      <c r="B2173" s="7" t="s">
        <v>2825</v>
      </c>
      <c r="C2173" s="7" t="s">
        <v>2826</v>
      </c>
      <c r="D2173" s="7" t="s">
        <v>8630</v>
      </c>
      <c r="E2173" s="7" t="s">
        <v>1695</v>
      </c>
      <c r="F2173" s="7" t="s">
        <v>1696</v>
      </c>
    </row>
    <row r="2174">
      <c r="A2174" s="7" t="s">
        <v>5905</v>
      </c>
      <c r="B2174" s="7" t="s">
        <v>2171</v>
      </c>
      <c r="C2174" s="7" t="s">
        <v>5906</v>
      </c>
      <c r="D2174" s="7" t="s">
        <v>8631</v>
      </c>
      <c r="E2174" s="7" t="s">
        <v>1695</v>
      </c>
      <c r="F2174" s="7" t="s">
        <v>1696</v>
      </c>
    </row>
    <row r="2175">
      <c r="A2175" s="7" t="s">
        <v>5118</v>
      </c>
      <c r="B2175" s="7" t="s">
        <v>404</v>
      </c>
      <c r="C2175" s="7" t="s">
        <v>915</v>
      </c>
      <c r="D2175" s="7" t="s">
        <v>8632</v>
      </c>
      <c r="E2175" s="7" t="s">
        <v>1695</v>
      </c>
      <c r="F2175" s="7" t="s">
        <v>1696</v>
      </c>
    </row>
    <row r="2176">
      <c r="A2176" s="7" t="s">
        <v>2287</v>
      </c>
      <c r="B2176" s="7" t="s">
        <v>2288</v>
      </c>
      <c r="C2176" s="7" t="s">
        <v>561</v>
      </c>
      <c r="D2176" s="7" t="s">
        <v>8633</v>
      </c>
      <c r="E2176" s="7" t="s">
        <v>1695</v>
      </c>
      <c r="F2176" s="7" t="s">
        <v>1696</v>
      </c>
    </row>
    <row r="2177">
      <c r="A2177" s="7" t="s">
        <v>2704</v>
      </c>
      <c r="B2177" s="7" t="s">
        <v>279</v>
      </c>
      <c r="C2177" s="7" t="s">
        <v>2705</v>
      </c>
      <c r="D2177" s="7" t="s">
        <v>8634</v>
      </c>
      <c r="E2177" s="7" t="s">
        <v>1695</v>
      </c>
      <c r="F2177" s="7" t="s">
        <v>1696</v>
      </c>
    </row>
    <row r="2178">
      <c r="A2178" s="7" t="s">
        <v>2722</v>
      </c>
      <c r="B2178" s="7" t="s">
        <v>279</v>
      </c>
      <c r="C2178" s="7" t="s">
        <v>2705</v>
      </c>
      <c r="D2178" s="7" t="s">
        <v>8634</v>
      </c>
      <c r="E2178" s="7" t="s">
        <v>1695</v>
      </c>
      <c r="F2178" s="7" t="s">
        <v>1696</v>
      </c>
    </row>
    <row r="2179">
      <c r="A2179" s="7" t="s">
        <v>5620</v>
      </c>
      <c r="B2179" s="7" t="s">
        <v>5621</v>
      </c>
      <c r="C2179" s="7" t="s">
        <v>5622</v>
      </c>
      <c r="D2179" s="7" t="s">
        <v>8635</v>
      </c>
      <c r="E2179" s="7" t="s">
        <v>1695</v>
      </c>
      <c r="F2179" s="7" t="s">
        <v>1696</v>
      </c>
    </row>
    <row r="2180">
      <c r="A2180" s="7" t="s">
        <v>6253</v>
      </c>
      <c r="B2180" s="7" t="s">
        <v>137</v>
      </c>
      <c r="C2180" s="7" t="s">
        <v>6254</v>
      </c>
      <c r="D2180" s="7" t="s">
        <v>8636</v>
      </c>
      <c r="E2180" s="7" t="s">
        <v>1695</v>
      </c>
      <c r="F2180" s="7" t="s">
        <v>1696</v>
      </c>
    </row>
    <row r="2181">
      <c r="A2181" s="7" t="s">
        <v>4800</v>
      </c>
      <c r="B2181" s="7" t="s">
        <v>16</v>
      </c>
      <c r="C2181" s="7" t="s">
        <v>4339</v>
      </c>
      <c r="D2181" s="7" t="s">
        <v>8637</v>
      </c>
      <c r="E2181" s="7" t="s">
        <v>1695</v>
      </c>
      <c r="F2181" s="7" t="s">
        <v>1696</v>
      </c>
    </row>
    <row r="2182">
      <c r="A2182" s="7" t="s">
        <v>5384</v>
      </c>
      <c r="B2182" s="7" t="s">
        <v>2225</v>
      </c>
      <c r="C2182" s="7" t="s">
        <v>5385</v>
      </c>
      <c r="D2182" s="7" t="s">
        <v>8638</v>
      </c>
      <c r="E2182" s="7" t="s">
        <v>1695</v>
      </c>
      <c r="F2182" s="7" t="s">
        <v>1696</v>
      </c>
    </row>
    <row r="2183">
      <c r="A2183" s="7" t="s">
        <v>4787</v>
      </c>
      <c r="B2183" s="7" t="s">
        <v>4788</v>
      </c>
      <c r="C2183" s="7" t="s">
        <v>284</v>
      </c>
      <c r="D2183" s="7" t="s">
        <v>8639</v>
      </c>
      <c r="E2183" s="7" t="s">
        <v>1695</v>
      </c>
      <c r="F2183" s="7" t="s">
        <v>1696</v>
      </c>
    </row>
    <row r="2184">
      <c r="A2184" s="7" t="s">
        <v>2460</v>
      </c>
      <c r="B2184" s="7" t="s">
        <v>2461</v>
      </c>
      <c r="C2184" s="7" t="s">
        <v>2462</v>
      </c>
      <c r="D2184" s="7" t="s">
        <v>8640</v>
      </c>
      <c r="E2184" s="7" t="s">
        <v>1695</v>
      </c>
      <c r="F2184" s="7" t="s">
        <v>1696</v>
      </c>
    </row>
    <row r="2185">
      <c r="A2185" s="7" t="s">
        <v>3661</v>
      </c>
      <c r="B2185" s="7" t="s">
        <v>2435</v>
      </c>
      <c r="C2185" s="7" t="s">
        <v>3662</v>
      </c>
      <c r="D2185" s="7" t="s">
        <v>8641</v>
      </c>
      <c r="E2185" s="7" t="s">
        <v>1695</v>
      </c>
      <c r="F2185" s="7" t="s">
        <v>1696</v>
      </c>
    </row>
    <row r="2186">
      <c r="A2186" s="7" t="s">
        <v>3854</v>
      </c>
      <c r="B2186" s="7" t="s">
        <v>276</v>
      </c>
      <c r="C2186" s="7" t="s">
        <v>267</v>
      </c>
      <c r="D2186" s="7" t="s">
        <v>8642</v>
      </c>
      <c r="E2186" s="7" t="s">
        <v>1695</v>
      </c>
      <c r="F2186" s="7" t="s">
        <v>1696</v>
      </c>
    </row>
    <row r="2187">
      <c r="A2187" s="7" t="s">
        <v>3385</v>
      </c>
      <c r="B2187" s="7" t="s">
        <v>2431</v>
      </c>
      <c r="C2187" s="7" t="s">
        <v>3386</v>
      </c>
      <c r="D2187" s="7" t="s">
        <v>8643</v>
      </c>
      <c r="E2187" s="7" t="s">
        <v>1695</v>
      </c>
      <c r="F2187" s="7" t="s">
        <v>1696</v>
      </c>
    </row>
    <row r="2188">
      <c r="A2188" s="7" t="s">
        <v>4628</v>
      </c>
      <c r="B2188" s="7" t="s">
        <v>468</v>
      </c>
      <c r="C2188" s="7" t="s">
        <v>4629</v>
      </c>
      <c r="D2188" s="7" t="s">
        <v>8644</v>
      </c>
      <c r="E2188" s="7" t="s">
        <v>1695</v>
      </c>
      <c r="F2188" s="7" t="s">
        <v>1696</v>
      </c>
    </row>
    <row r="2189">
      <c r="A2189" s="7" t="s">
        <v>2648</v>
      </c>
      <c r="B2189" s="7" t="s">
        <v>2649</v>
      </c>
      <c r="C2189" s="7" t="s">
        <v>2649</v>
      </c>
      <c r="D2189" s="7" t="s">
        <v>8645</v>
      </c>
      <c r="E2189" s="7" t="s">
        <v>1695</v>
      </c>
      <c r="F2189" s="7" t="s">
        <v>1696</v>
      </c>
    </row>
    <row r="2190">
      <c r="A2190" s="7" t="s">
        <v>2699</v>
      </c>
      <c r="B2190" s="7" t="s">
        <v>2700</v>
      </c>
      <c r="C2190" s="7" t="s">
        <v>2701</v>
      </c>
      <c r="D2190" s="7" t="s">
        <v>8646</v>
      </c>
      <c r="E2190" s="7" t="s">
        <v>1695</v>
      </c>
      <c r="F2190" s="7" t="s">
        <v>1696</v>
      </c>
    </row>
    <row r="2191">
      <c r="A2191" s="7" t="s">
        <v>2929</v>
      </c>
      <c r="B2191" s="7" t="s">
        <v>713</v>
      </c>
      <c r="C2191" s="7" t="s">
        <v>596</v>
      </c>
      <c r="D2191" s="7" t="s">
        <v>8647</v>
      </c>
      <c r="E2191" s="7" t="s">
        <v>1695</v>
      </c>
      <c r="F2191" s="7" t="s">
        <v>1696</v>
      </c>
    </row>
    <row r="2192">
      <c r="A2192" s="7" t="s">
        <v>3763</v>
      </c>
      <c r="B2192" s="7" t="s">
        <v>3626</v>
      </c>
      <c r="C2192" s="7" t="s">
        <v>267</v>
      </c>
      <c r="D2192" s="7" t="s">
        <v>8648</v>
      </c>
      <c r="E2192" s="7" t="s">
        <v>1695</v>
      </c>
      <c r="F2192" s="7" t="s">
        <v>1696</v>
      </c>
    </row>
    <row r="2193">
      <c r="A2193" s="7" t="s">
        <v>5394</v>
      </c>
      <c r="B2193" s="7" t="s">
        <v>3626</v>
      </c>
      <c r="C2193" s="7" t="s">
        <v>5395</v>
      </c>
      <c r="D2193" s="7" t="s">
        <v>8648</v>
      </c>
      <c r="E2193" s="7" t="s">
        <v>1695</v>
      </c>
      <c r="F2193" s="7" t="s">
        <v>1696</v>
      </c>
    </row>
    <row r="2194">
      <c r="A2194" s="7" t="s">
        <v>2252</v>
      </c>
      <c r="B2194" s="7" t="s">
        <v>1034</v>
      </c>
      <c r="C2194" s="7" t="s">
        <v>826</v>
      </c>
      <c r="D2194" s="7" t="s">
        <v>8649</v>
      </c>
      <c r="E2194" s="7" t="s">
        <v>1695</v>
      </c>
      <c r="F2194" s="7" t="s">
        <v>1696</v>
      </c>
    </row>
    <row r="2195">
      <c r="A2195" s="7" t="s">
        <v>2475</v>
      </c>
      <c r="B2195" s="7" t="s">
        <v>930</v>
      </c>
      <c r="C2195" s="7" t="s">
        <v>1226</v>
      </c>
      <c r="D2195" s="7" t="s">
        <v>8650</v>
      </c>
      <c r="E2195" s="7" t="s">
        <v>1695</v>
      </c>
      <c r="F2195" s="7" t="s">
        <v>1696</v>
      </c>
    </row>
    <row r="2196">
      <c r="A2196" s="7" t="s">
        <v>2042</v>
      </c>
      <c r="B2196" s="7" t="s">
        <v>2043</v>
      </c>
      <c r="C2196" s="7" t="s">
        <v>35</v>
      </c>
      <c r="D2196" s="7" t="s">
        <v>8651</v>
      </c>
      <c r="E2196" s="7" t="s">
        <v>1695</v>
      </c>
      <c r="F2196" s="7" t="s">
        <v>1696</v>
      </c>
    </row>
    <row r="2197">
      <c r="A2197" s="7" t="s">
        <v>2089</v>
      </c>
      <c r="B2197" s="7" t="s">
        <v>2090</v>
      </c>
      <c r="C2197" s="7" t="s">
        <v>2091</v>
      </c>
      <c r="D2197" s="7" t="s">
        <v>8652</v>
      </c>
      <c r="E2197" s="7" t="s">
        <v>1695</v>
      </c>
      <c r="F2197" s="7" t="s">
        <v>1696</v>
      </c>
    </row>
    <row r="2198">
      <c r="A2198" s="7" t="s">
        <v>4441</v>
      </c>
      <c r="B2198" s="7" t="s">
        <v>1034</v>
      </c>
      <c r="C2198" s="7" t="s">
        <v>4295</v>
      </c>
      <c r="D2198" s="7" t="s">
        <v>8653</v>
      </c>
      <c r="E2198" s="7" t="s">
        <v>1695</v>
      </c>
      <c r="F2198" s="7" t="s">
        <v>1696</v>
      </c>
    </row>
    <row r="2199">
      <c r="A2199" s="7" t="s">
        <v>4022</v>
      </c>
      <c r="B2199" s="7" t="s">
        <v>279</v>
      </c>
      <c r="C2199" s="7" t="s">
        <v>1321</v>
      </c>
      <c r="D2199" s="7" t="s">
        <v>8654</v>
      </c>
      <c r="E2199" s="7" t="s">
        <v>1695</v>
      </c>
      <c r="F2199" s="7" t="s">
        <v>1696</v>
      </c>
    </row>
    <row r="2200">
      <c r="A2200" s="7" t="s">
        <v>3773</v>
      </c>
      <c r="B2200" s="7" t="s">
        <v>3774</v>
      </c>
      <c r="C2200" s="7" t="s">
        <v>1955</v>
      </c>
      <c r="D2200" s="7" t="s">
        <v>8655</v>
      </c>
      <c r="E2200" s="7" t="s">
        <v>1695</v>
      </c>
      <c r="F2200" s="7" t="s">
        <v>1696</v>
      </c>
    </row>
    <row r="2201">
      <c r="A2201" s="7" t="s">
        <v>2258</v>
      </c>
      <c r="B2201" s="7" t="s">
        <v>2259</v>
      </c>
      <c r="C2201" s="7" t="s">
        <v>1572</v>
      </c>
      <c r="D2201" s="7" t="s">
        <v>8656</v>
      </c>
      <c r="E2201" s="7" t="s">
        <v>1695</v>
      </c>
      <c r="F2201" s="7" t="s">
        <v>1696</v>
      </c>
    </row>
    <row r="2202">
      <c r="A2202" s="7" t="s">
        <v>4897</v>
      </c>
      <c r="B2202" s="7" t="s">
        <v>188</v>
      </c>
      <c r="C2202" s="7" t="s">
        <v>4898</v>
      </c>
      <c r="D2202" s="7" t="s">
        <v>8657</v>
      </c>
      <c r="E2202" s="7" t="s">
        <v>1695</v>
      </c>
      <c r="F2202" s="7" t="s">
        <v>1696</v>
      </c>
    </row>
    <row r="2203">
      <c r="A2203" s="7" t="s">
        <v>2857</v>
      </c>
      <c r="B2203" s="7" t="s">
        <v>386</v>
      </c>
      <c r="C2203" s="7" t="s">
        <v>1269</v>
      </c>
      <c r="D2203" s="7" t="s">
        <v>8658</v>
      </c>
      <c r="E2203" s="7" t="s">
        <v>1695</v>
      </c>
      <c r="F2203" s="7" t="s">
        <v>1696</v>
      </c>
    </row>
    <row r="2204">
      <c r="A2204" s="7" t="s">
        <v>4660</v>
      </c>
      <c r="B2204" s="7" t="s">
        <v>267</v>
      </c>
      <c r="C2204" s="7" t="s">
        <v>4661</v>
      </c>
      <c r="D2204" s="7" t="s">
        <v>8659</v>
      </c>
      <c r="E2204" s="7" t="s">
        <v>1695</v>
      </c>
      <c r="F2204" s="7" t="s">
        <v>1696</v>
      </c>
    </row>
    <row r="2205">
      <c r="A2205" s="7" t="s">
        <v>4306</v>
      </c>
      <c r="B2205" s="7" t="s">
        <v>4307</v>
      </c>
      <c r="C2205" s="7" t="s">
        <v>4308</v>
      </c>
      <c r="D2205" s="7" t="s">
        <v>8660</v>
      </c>
      <c r="E2205" s="7" t="s">
        <v>1695</v>
      </c>
      <c r="F2205" s="7" t="s">
        <v>1696</v>
      </c>
    </row>
    <row r="2206">
      <c r="A2206" s="7" t="s">
        <v>3097</v>
      </c>
      <c r="B2206" s="7" t="s">
        <v>58</v>
      </c>
      <c r="C2206" s="7" t="s">
        <v>815</v>
      </c>
      <c r="D2206" s="7" t="s">
        <v>8661</v>
      </c>
      <c r="E2206" s="7" t="s">
        <v>1695</v>
      </c>
      <c r="F2206" s="7" t="s">
        <v>1696</v>
      </c>
    </row>
    <row r="2207">
      <c r="A2207" s="7" t="s">
        <v>4773</v>
      </c>
      <c r="B2207" s="7" t="s">
        <v>4774</v>
      </c>
      <c r="C2207" s="7" t="s">
        <v>4562</v>
      </c>
      <c r="D2207" s="7" t="s">
        <v>8662</v>
      </c>
      <c r="E2207" s="7" t="s">
        <v>1695</v>
      </c>
      <c r="F2207" s="7" t="s">
        <v>1696</v>
      </c>
    </row>
    <row r="2208">
      <c r="A2208" s="7" t="s">
        <v>6003</v>
      </c>
      <c r="B2208" s="7" t="s">
        <v>291</v>
      </c>
      <c r="C2208" s="7" t="s">
        <v>6004</v>
      </c>
      <c r="D2208" s="7" t="s">
        <v>8663</v>
      </c>
      <c r="E2208" s="7" t="s">
        <v>1695</v>
      </c>
      <c r="F2208" s="7" t="s">
        <v>1696</v>
      </c>
    </row>
    <row r="2209">
      <c r="A2209" s="7" t="s">
        <v>4533</v>
      </c>
      <c r="B2209" s="7" t="s">
        <v>846</v>
      </c>
      <c r="C2209" s="7" t="s">
        <v>4534</v>
      </c>
      <c r="D2209" s="7" t="s">
        <v>8664</v>
      </c>
      <c r="E2209" s="7" t="s">
        <v>1695</v>
      </c>
      <c r="F2209" s="7" t="s">
        <v>1696</v>
      </c>
    </row>
    <row r="2210">
      <c r="A2210" s="7" t="s">
        <v>4246</v>
      </c>
      <c r="B2210" s="7" t="s">
        <v>1187</v>
      </c>
      <c r="C2210" s="7" t="s">
        <v>297</v>
      </c>
      <c r="D2210" s="7" t="s">
        <v>8665</v>
      </c>
      <c r="E2210" s="7" t="s">
        <v>1695</v>
      </c>
      <c r="F2210" s="7" t="s">
        <v>1696</v>
      </c>
    </row>
    <row r="2211">
      <c r="A2211" s="7" t="s">
        <v>2115</v>
      </c>
      <c r="B2211" s="7" t="s">
        <v>2116</v>
      </c>
      <c r="C2211" s="7" t="s">
        <v>750</v>
      </c>
      <c r="D2211" s="7" t="s">
        <v>8666</v>
      </c>
      <c r="E2211" s="7" t="s">
        <v>1695</v>
      </c>
      <c r="F2211" s="7" t="s">
        <v>1696</v>
      </c>
    </row>
    <row r="2212">
      <c r="A2212" s="7" t="s">
        <v>5751</v>
      </c>
      <c r="B2212" s="7" t="s">
        <v>655</v>
      </c>
      <c r="C2212" s="7" t="s">
        <v>5752</v>
      </c>
      <c r="D2212" s="7" t="s">
        <v>8667</v>
      </c>
      <c r="E2212" s="7" t="s">
        <v>1695</v>
      </c>
      <c r="F2212" s="7" t="s">
        <v>1696</v>
      </c>
    </row>
    <row r="2213">
      <c r="A2213" s="7" t="s">
        <v>6012</v>
      </c>
      <c r="B2213" s="7" t="s">
        <v>655</v>
      </c>
      <c r="C2213" s="7" t="s">
        <v>5760</v>
      </c>
      <c r="D2213" s="7" t="s">
        <v>8667</v>
      </c>
      <c r="E2213" s="7" t="s">
        <v>1695</v>
      </c>
      <c r="F2213" s="7" t="s">
        <v>1696</v>
      </c>
    </row>
    <row r="2214">
      <c r="A2214" s="7" t="s">
        <v>6359</v>
      </c>
      <c r="B2214" s="7" t="s">
        <v>316</v>
      </c>
      <c r="C2214" s="7" t="s">
        <v>4536</v>
      </c>
      <c r="D2214" s="7" t="s">
        <v>8668</v>
      </c>
      <c r="E2214" s="7" t="s">
        <v>1695</v>
      </c>
      <c r="F2214" s="7" t="s">
        <v>6318</v>
      </c>
    </row>
    <row r="2215">
      <c r="A2215" s="7" t="s">
        <v>3745</v>
      </c>
      <c r="B2215" s="7" t="s">
        <v>3746</v>
      </c>
      <c r="C2215" s="7" t="s">
        <v>3747</v>
      </c>
      <c r="D2215" s="7" t="s">
        <v>8669</v>
      </c>
      <c r="E2215" s="7" t="s">
        <v>1695</v>
      </c>
      <c r="F2215" s="7" t="s">
        <v>1696</v>
      </c>
    </row>
    <row r="2216">
      <c r="A2216" s="7" t="s">
        <v>4204</v>
      </c>
      <c r="B2216" s="7" t="s">
        <v>16</v>
      </c>
      <c r="C2216" s="7" t="s">
        <v>993</v>
      </c>
      <c r="D2216" s="7" t="s">
        <v>8670</v>
      </c>
      <c r="E2216" s="7" t="s">
        <v>1695</v>
      </c>
      <c r="F2216" s="7" t="s">
        <v>1696</v>
      </c>
    </row>
    <row r="2217">
      <c r="A2217" s="7" t="s">
        <v>2092</v>
      </c>
      <c r="B2217" s="7" t="s">
        <v>2093</v>
      </c>
      <c r="C2217" s="7" t="s">
        <v>2094</v>
      </c>
      <c r="D2217" s="7" t="s">
        <v>8671</v>
      </c>
      <c r="E2217" s="7" t="s">
        <v>1695</v>
      </c>
      <c r="F2217" s="7" t="s">
        <v>1696</v>
      </c>
    </row>
    <row r="2218">
      <c r="A2218" s="7" t="s">
        <v>2198</v>
      </c>
      <c r="B2218" s="7" t="s">
        <v>812</v>
      </c>
      <c r="C2218" s="7" t="s">
        <v>928</v>
      </c>
      <c r="D2218" s="7" t="s">
        <v>8672</v>
      </c>
      <c r="E2218" s="7" t="s">
        <v>1695</v>
      </c>
      <c r="F2218" s="7" t="s">
        <v>1696</v>
      </c>
    </row>
    <row r="2219">
      <c r="A2219" s="7" t="s">
        <v>4976</v>
      </c>
      <c r="B2219" s="7" t="s">
        <v>676</v>
      </c>
      <c r="C2219" s="7" t="s">
        <v>1185</v>
      </c>
      <c r="D2219" s="7" t="s">
        <v>8673</v>
      </c>
      <c r="E2219" s="7" t="s">
        <v>1695</v>
      </c>
      <c r="F2219" s="7" t="s">
        <v>1696</v>
      </c>
    </row>
    <row r="2220">
      <c r="A2220" s="7" t="s">
        <v>1745</v>
      </c>
      <c r="B2220" s="7" t="s">
        <v>1746</v>
      </c>
      <c r="C2220" s="7" t="s">
        <v>1446</v>
      </c>
      <c r="D2220" s="7" t="s">
        <v>8674</v>
      </c>
      <c r="E2220" s="7" t="s">
        <v>1695</v>
      </c>
      <c r="F2220" s="7" t="s">
        <v>1696</v>
      </c>
    </row>
    <row r="2221">
      <c r="A2221" s="7" t="s">
        <v>2589</v>
      </c>
      <c r="B2221" s="7" t="s">
        <v>2590</v>
      </c>
      <c r="C2221" s="7" t="s">
        <v>1134</v>
      </c>
      <c r="D2221" s="7" t="s">
        <v>8675</v>
      </c>
      <c r="E2221" s="7" t="s">
        <v>1695</v>
      </c>
      <c r="F2221" s="7" t="s">
        <v>1696</v>
      </c>
    </row>
    <row r="2222">
      <c r="A2222" s="7" t="s">
        <v>2564</v>
      </c>
      <c r="B2222" s="7" t="s">
        <v>790</v>
      </c>
      <c r="C2222" s="7" t="s">
        <v>58</v>
      </c>
      <c r="D2222" s="7" t="s">
        <v>8676</v>
      </c>
      <c r="E2222" s="7" t="s">
        <v>1695</v>
      </c>
      <c r="F2222" s="7" t="s">
        <v>1696</v>
      </c>
    </row>
    <row r="2223">
      <c r="A2223" s="7" t="s">
        <v>2869</v>
      </c>
      <c r="B2223" s="7" t="s">
        <v>162</v>
      </c>
      <c r="C2223" s="7" t="s">
        <v>2870</v>
      </c>
      <c r="D2223" s="7" t="s">
        <v>8677</v>
      </c>
      <c r="E2223" s="7" t="s">
        <v>1695</v>
      </c>
      <c r="F2223" s="7" t="s">
        <v>1696</v>
      </c>
    </row>
    <row r="2224">
      <c r="A2224" s="7" t="s">
        <v>3292</v>
      </c>
      <c r="B2224" s="7" t="s">
        <v>3293</v>
      </c>
      <c r="C2224" s="7" t="s">
        <v>3294</v>
      </c>
      <c r="D2224" s="7" t="s">
        <v>8678</v>
      </c>
      <c r="E2224" s="7" t="s">
        <v>1695</v>
      </c>
      <c r="F2224" s="7" t="s">
        <v>1696</v>
      </c>
    </row>
    <row r="2225">
      <c r="A2225" s="7" t="s">
        <v>5456</v>
      </c>
      <c r="B2225" s="7" t="s">
        <v>5457</v>
      </c>
      <c r="C2225" s="7" t="s">
        <v>2640</v>
      </c>
      <c r="D2225" s="7" t="s">
        <v>8679</v>
      </c>
      <c r="E2225" s="7" t="s">
        <v>1695</v>
      </c>
      <c r="F2225" s="7" t="s">
        <v>1696</v>
      </c>
    </row>
    <row r="2226">
      <c r="A2226" s="7" t="s">
        <v>2650</v>
      </c>
      <c r="B2226" s="7" t="s">
        <v>195</v>
      </c>
      <c r="C2226" s="7" t="s">
        <v>1164</v>
      </c>
      <c r="D2226" s="7" t="s">
        <v>8680</v>
      </c>
      <c r="E2226" s="7" t="s">
        <v>1695</v>
      </c>
      <c r="F2226" s="7" t="s">
        <v>1696</v>
      </c>
    </row>
    <row r="2227">
      <c r="A2227" s="7" t="s">
        <v>5309</v>
      </c>
      <c r="B2227" s="7" t="s">
        <v>273</v>
      </c>
      <c r="C2227" s="7" t="s">
        <v>4626</v>
      </c>
      <c r="D2227" s="7" t="s">
        <v>8681</v>
      </c>
      <c r="E2227" s="7" t="s">
        <v>1695</v>
      </c>
      <c r="F2227" s="7" t="s">
        <v>1696</v>
      </c>
    </row>
    <row r="2228">
      <c r="A2228" s="7" t="s">
        <v>5310</v>
      </c>
      <c r="B2228" s="7" t="s">
        <v>5311</v>
      </c>
      <c r="C2228" s="7" t="s">
        <v>353</v>
      </c>
      <c r="D2228" s="7" t="s">
        <v>8681</v>
      </c>
      <c r="E2228" s="7" t="s">
        <v>1695</v>
      </c>
      <c r="F2228" s="7" t="s">
        <v>1696</v>
      </c>
    </row>
    <row r="2229">
      <c r="A2229" s="7" t="s">
        <v>4593</v>
      </c>
      <c r="B2229" s="7" t="s">
        <v>826</v>
      </c>
      <c r="C2229" s="7" t="s">
        <v>4594</v>
      </c>
      <c r="D2229" s="7" t="s">
        <v>8682</v>
      </c>
      <c r="E2229" s="7" t="s">
        <v>1695</v>
      </c>
      <c r="F2229" s="7" t="s">
        <v>1696</v>
      </c>
    </row>
    <row r="2230">
      <c r="A2230" s="7" t="s">
        <v>6365</v>
      </c>
      <c r="B2230" s="7" t="s">
        <v>273</v>
      </c>
      <c r="C2230" s="7" t="s">
        <v>596</v>
      </c>
      <c r="D2230" s="7" t="s">
        <v>8683</v>
      </c>
      <c r="E2230" s="7" t="s">
        <v>1695</v>
      </c>
      <c r="F2230" s="7" t="s">
        <v>6318</v>
      </c>
    </row>
    <row r="2231">
      <c r="A2231" s="7" t="s">
        <v>2111</v>
      </c>
      <c r="B2231" s="7" t="s">
        <v>2112</v>
      </c>
      <c r="C2231" s="7" t="s">
        <v>2113</v>
      </c>
      <c r="D2231" s="7" t="s">
        <v>8684</v>
      </c>
      <c r="E2231" s="7" t="s">
        <v>1695</v>
      </c>
      <c r="F2231" s="7" t="s">
        <v>1696</v>
      </c>
    </row>
    <row r="2232">
      <c r="A2232" s="7" t="s">
        <v>5307</v>
      </c>
      <c r="B2232" s="7" t="s">
        <v>3990</v>
      </c>
      <c r="C2232" s="7" t="s">
        <v>5308</v>
      </c>
      <c r="D2232" s="7" t="s">
        <v>8685</v>
      </c>
      <c r="E2232" s="7" t="s">
        <v>1695</v>
      </c>
      <c r="F2232" s="7" t="s">
        <v>1696</v>
      </c>
    </row>
    <row r="2233">
      <c r="A2233" s="7" t="s">
        <v>4262</v>
      </c>
      <c r="B2233" s="7" t="s">
        <v>4263</v>
      </c>
      <c r="C2233" s="7" t="s">
        <v>1814</v>
      </c>
      <c r="D2233" s="7" t="s">
        <v>8686</v>
      </c>
      <c r="E2233" s="7" t="s">
        <v>1695</v>
      </c>
      <c r="F2233" s="7" t="s">
        <v>1696</v>
      </c>
    </row>
    <row r="2234">
      <c r="A2234" s="7" t="s">
        <v>5274</v>
      </c>
      <c r="B2234" s="7" t="s">
        <v>5275</v>
      </c>
      <c r="C2234" s="7" t="s">
        <v>5276</v>
      </c>
      <c r="D2234" s="7" t="s">
        <v>8687</v>
      </c>
      <c r="E2234" s="7" t="s">
        <v>1695</v>
      </c>
      <c r="F2234" s="7" t="s">
        <v>1696</v>
      </c>
    </row>
    <row r="2235">
      <c r="A2235" s="7" t="s">
        <v>2534</v>
      </c>
      <c r="B2235" s="7" t="s">
        <v>2535</v>
      </c>
      <c r="C2235" s="7" t="s">
        <v>911</v>
      </c>
      <c r="D2235" s="7" t="s">
        <v>8688</v>
      </c>
      <c r="E2235" s="7" t="s">
        <v>1695</v>
      </c>
      <c r="F2235" s="7" t="s">
        <v>1696</v>
      </c>
    </row>
    <row r="2236">
      <c r="A2236" s="7" t="s">
        <v>4254</v>
      </c>
      <c r="B2236" s="7" t="s">
        <v>760</v>
      </c>
      <c r="C2236" s="7" t="s">
        <v>66</v>
      </c>
      <c r="D2236" s="7" t="s">
        <v>8689</v>
      </c>
      <c r="E2236" s="7" t="s">
        <v>1695</v>
      </c>
      <c r="F2236" s="7" t="s">
        <v>1696</v>
      </c>
    </row>
    <row r="2237">
      <c r="A2237" s="7" t="s">
        <v>3575</v>
      </c>
      <c r="B2237" s="7" t="s">
        <v>3576</v>
      </c>
      <c r="C2237" s="7" t="s">
        <v>271</v>
      </c>
      <c r="D2237" s="7" t="s">
        <v>8690</v>
      </c>
      <c r="E2237" s="7" t="s">
        <v>1695</v>
      </c>
      <c r="F2237" s="7" t="s">
        <v>1696</v>
      </c>
    </row>
    <row r="2238">
      <c r="A2238" s="7" t="s">
        <v>3518</v>
      </c>
      <c r="B2238" s="7" t="s">
        <v>162</v>
      </c>
      <c r="C2238" s="7" t="s">
        <v>112</v>
      </c>
      <c r="D2238" s="7" t="s">
        <v>8691</v>
      </c>
      <c r="E2238" s="7" t="s">
        <v>1695</v>
      </c>
      <c r="F2238" s="7" t="s">
        <v>1696</v>
      </c>
    </row>
    <row r="2239">
      <c r="A2239" s="7" t="s">
        <v>2436</v>
      </c>
      <c r="B2239" s="7" t="s">
        <v>2437</v>
      </c>
      <c r="C2239" s="7" t="s">
        <v>446</v>
      </c>
      <c r="D2239" s="7" t="s">
        <v>8692</v>
      </c>
      <c r="E2239" s="7" t="s">
        <v>1695</v>
      </c>
      <c r="F2239" s="7" t="s">
        <v>1696</v>
      </c>
    </row>
    <row r="2240">
      <c r="A2240" s="7" t="s">
        <v>4148</v>
      </c>
      <c r="B2240" s="7" t="s">
        <v>304</v>
      </c>
      <c r="C2240" s="7" t="s">
        <v>538</v>
      </c>
      <c r="D2240" s="7" t="s">
        <v>8693</v>
      </c>
      <c r="E2240" s="7" t="s">
        <v>1695</v>
      </c>
      <c r="F2240" s="7" t="s">
        <v>1696</v>
      </c>
    </row>
    <row r="2241">
      <c r="A2241" s="7" t="s">
        <v>1927</v>
      </c>
      <c r="B2241" s="7" t="s">
        <v>1356</v>
      </c>
      <c r="C2241" s="7" t="s">
        <v>168</v>
      </c>
      <c r="D2241" s="7" t="s">
        <v>8694</v>
      </c>
      <c r="E2241" s="7" t="s">
        <v>1695</v>
      </c>
      <c r="F2241" s="7" t="s">
        <v>1696</v>
      </c>
    </row>
    <row r="2242">
      <c r="A2242" s="7" t="s">
        <v>3759</v>
      </c>
      <c r="B2242" s="7" t="s">
        <v>760</v>
      </c>
      <c r="C2242" s="7" t="s">
        <v>3760</v>
      </c>
      <c r="D2242" s="7" t="s">
        <v>8695</v>
      </c>
      <c r="E2242" s="7" t="s">
        <v>1695</v>
      </c>
      <c r="F2242" s="7" t="s">
        <v>1696</v>
      </c>
    </row>
    <row r="2243">
      <c r="A2243" s="7" t="s">
        <v>4942</v>
      </c>
      <c r="B2243" s="7" t="s">
        <v>4531</v>
      </c>
      <c r="C2243" s="7" t="s">
        <v>468</v>
      </c>
      <c r="D2243" s="7" t="s">
        <v>8696</v>
      </c>
      <c r="E2243" s="7" t="s">
        <v>1695</v>
      </c>
      <c r="F2243" s="7" t="s">
        <v>1696</v>
      </c>
    </row>
    <row r="2244">
      <c r="A2244" s="7" t="s">
        <v>3040</v>
      </c>
      <c r="B2244" s="7" t="s">
        <v>3041</v>
      </c>
      <c r="C2244" s="7" t="s">
        <v>3042</v>
      </c>
      <c r="D2244" s="7" t="s">
        <v>8697</v>
      </c>
      <c r="E2244" s="7" t="s">
        <v>1695</v>
      </c>
      <c r="F2244" s="7" t="s">
        <v>1696</v>
      </c>
    </row>
    <row r="2245">
      <c r="A2245" s="7" t="s">
        <v>5025</v>
      </c>
      <c r="B2245" s="7" t="s">
        <v>2077</v>
      </c>
      <c r="C2245" s="7" t="s">
        <v>1736</v>
      </c>
      <c r="D2245" s="7" t="s">
        <v>8698</v>
      </c>
      <c r="E2245" s="7" t="s">
        <v>1695</v>
      </c>
      <c r="F2245" s="7" t="s">
        <v>1696</v>
      </c>
    </row>
    <row r="2246">
      <c r="A2246" s="7" t="s">
        <v>6227</v>
      </c>
      <c r="B2246" s="7" t="s">
        <v>85</v>
      </c>
      <c r="C2246" s="7" t="s">
        <v>6224</v>
      </c>
      <c r="D2246" s="7" t="s">
        <v>8699</v>
      </c>
      <c r="E2246" s="7" t="s">
        <v>1695</v>
      </c>
      <c r="F2246" s="7" t="s">
        <v>1696</v>
      </c>
    </row>
    <row r="2247">
      <c r="A2247" s="7" t="s">
        <v>3048</v>
      </c>
      <c r="B2247" s="7" t="s">
        <v>683</v>
      </c>
      <c r="C2247" s="7" t="s">
        <v>271</v>
      </c>
      <c r="D2247" s="7" t="s">
        <v>8700</v>
      </c>
      <c r="E2247" s="7" t="s">
        <v>1695</v>
      </c>
      <c r="F2247" s="7" t="s">
        <v>1696</v>
      </c>
    </row>
    <row r="2248">
      <c r="A2248" s="7" t="s">
        <v>5825</v>
      </c>
      <c r="B2248" s="7" t="s">
        <v>5826</v>
      </c>
      <c r="C2248" s="7" t="s">
        <v>4720</v>
      </c>
      <c r="D2248" s="7" t="s">
        <v>8701</v>
      </c>
      <c r="E2248" s="7" t="s">
        <v>1695</v>
      </c>
      <c r="F2248" s="7" t="s">
        <v>1696</v>
      </c>
    </row>
    <row r="2249">
      <c r="A2249" s="7" t="s">
        <v>3603</v>
      </c>
      <c r="B2249" s="7" t="s">
        <v>817</v>
      </c>
      <c r="C2249" s="7" t="s">
        <v>32</v>
      </c>
      <c r="D2249" s="7" t="s">
        <v>8702</v>
      </c>
      <c r="E2249" s="7" t="s">
        <v>1695</v>
      </c>
      <c r="F2249" s="7" t="s">
        <v>1696</v>
      </c>
    </row>
    <row r="2250">
      <c r="A2250" s="7" t="s">
        <v>3356</v>
      </c>
      <c r="B2250" s="7" t="s">
        <v>3357</v>
      </c>
      <c r="C2250" s="7" t="s">
        <v>3358</v>
      </c>
      <c r="D2250" s="7" t="s">
        <v>8703</v>
      </c>
      <c r="E2250" s="7" t="s">
        <v>1695</v>
      </c>
      <c r="F2250" s="7" t="s">
        <v>1696</v>
      </c>
    </row>
    <row r="2251">
      <c r="A2251" s="7" t="s">
        <v>2466</v>
      </c>
      <c r="B2251" s="7" t="s">
        <v>1814</v>
      </c>
      <c r="C2251" s="7" t="s">
        <v>2467</v>
      </c>
      <c r="D2251" s="7" t="s">
        <v>8704</v>
      </c>
      <c r="E2251" s="7" t="s">
        <v>1695</v>
      </c>
      <c r="F2251" s="7" t="s">
        <v>1696</v>
      </c>
    </row>
    <row r="2252">
      <c r="A2252" s="7" t="s">
        <v>4333</v>
      </c>
      <c r="B2252" s="7" t="s">
        <v>4334</v>
      </c>
      <c r="C2252" s="7" t="s">
        <v>4335</v>
      </c>
      <c r="D2252" s="7" t="s">
        <v>8705</v>
      </c>
      <c r="E2252" s="7" t="s">
        <v>1695</v>
      </c>
      <c r="F2252" s="7" t="s">
        <v>1696</v>
      </c>
    </row>
    <row r="2253">
      <c r="A2253" s="7" t="s">
        <v>4320</v>
      </c>
      <c r="B2253" s="7" t="s">
        <v>724</v>
      </c>
      <c r="C2253" s="7" t="s">
        <v>4321</v>
      </c>
      <c r="D2253" s="7" t="s">
        <v>8706</v>
      </c>
      <c r="E2253" s="7" t="s">
        <v>1695</v>
      </c>
      <c r="F2253" s="7" t="s">
        <v>1696</v>
      </c>
    </row>
    <row r="2254">
      <c r="A2254" s="7" t="s">
        <v>4841</v>
      </c>
      <c r="B2254" s="7" t="s">
        <v>4842</v>
      </c>
      <c r="C2254" s="7" t="s">
        <v>1416</v>
      </c>
      <c r="D2254" s="7" t="s">
        <v>8707</v>
      </c>
      <c r="E2254" s="7" t="s">
        <v>1695</v>
      </c>
      <c r="F2254" s="7" t="s">
        <v>1696</v>
      </c>
    </row>
    <row r="2255">
      <c r="A2255" s="7" t="s">
        <v>4325</v>
      </c>
      <c r="B2255" s="7" t="s">
        <v>4326</v>
      </c>
      <c r="C2255" s="7" t="s">
        <v>446</v>
      </c>
      <c r="D2255" s="7" t="s">
        <v>8708</v>
      </c>
      <c r="E2255" s="7" t="s">
        <v>1695</v>
      </c>
      <c r="F2255" s="7" t="s">
        <v>1696</v>
      </c>
    </row>
    <row r="2256">
      <c r="A2256" s="7" t="s">
        <v>4231</v>
      </c>
      <c r="B2256" s="7" t="s">
        <v>4232</v>
      </c>
      <c r="C2256" s="7" t="s">
        <v>261</v>
      </c>
      <c r="D2256" s="7" t="s">
        <v>8709</v>
      </c>
      <c r="E2256" s="7" t="s">
        <v>1695</v>
      </c>
      <c r="F2256" s="7" t="s">
        <v>1696</v>
      </c>
    </row>
    <row r="2257">
      <c r="A2257" s="7" t="s">
        <v>1731</v>
      </c>
      <c r="B2257" s="7" t="s">
        <v>1732</v>
      </c>
      <c r="C2257" s="7" t="s">
        <v>314</v>
      </c>
      <c r="D2257" s="7" t="s">
        <v>8710</v>
      </c>
      <c r="E2257" s="7" t="s">
        <v>1695</v>
      </c>
      <c r="F2257" s="7" t="s">
        <v>1696</v>
      </c>
    </row>
    <row r="2258">
      <c r="A2258" s="7" t="s">
        <v>4345</v>
      </c>
      <c r="B2258" s="7" t="s">
        <v>3974</v>
      </c>
      <c r="C2258" s="7" t="s">
        <v>3778</v>
      </c>
      <c r="D2258" s="7" t="s">
        <v>8711</v>
      </c>
      <c r="E2258" s="7" t="s">
        <v>1695</v>
      </c>
      <c r="F2258" s="7" t="s">
        <v>1696</v>
      </c>
    </row>
    <row r="2259">
      <c r="A2259" s="7" t="s">
        <v>4255</v>
      </c>
      <c r="B2259" s="7" t="s">
        <v>2873</v>
      </c>
      <c r="C2259" s="7" t="s">
        <v>446</v>
      </c>
      <c r="D2259" s="7" t="s">
        <v>8712</v>
      </c>
      <c r="E2259" s="7" t="s">
        <v>1695</v>
      </c>
      <c r="F2259" s="7" t="s">
        <v>1696</v>
      </c>
    </row>
    <row r="2260">
      <c r="A2260" s="7" t="s">
        <v>1828</v>
      </c>
      <c r="B2260" s="7" t="s">
        <v>1829</v>
      </c>
      <c r="C2260" s="7" t="s">
        <v>1830</v>
      </c>
      <c r="D2260" s="7" t="s">
        <v>8713</v>
      </c>
      <c r="E2260" s="7" t="s">
        <v>1695</v>
      </c>
      <c r="F2260" s="7" t="s">
        <v>1696</v>
      </c>
    </row>
    <row r="2261">
      <c r="A2261" s="7" t="s">
        <v>3468</v>
      </c>
      <c r="B2261" s="7" t="s">
        <v>1960</v>
      </c>
      <c r="C2261" s="7" t="s">
        <v>3469</v>
      </c>
      <c r="D2261" s="7" t="s">
        <v>8714</v>
      </c>
      <c r="E2261" s="7" t="s">
        <v>1695</v>
      </c>
      <c r="F2261" s="7" t="s">
        <v>1696</v>
      </c>
    </row>
    <row r="2262">
      <c r="A2262" s="7" t="s">
        <v>5599</v>
      </c>
      <c r="B2262" s="7" t="s">
        <v>709</v>
      </c>
      <c r="C2262" s="7" t="s">
        <v>404</v>
      </c>
      <c r="D2262" s="7" t="s">
        <v>8715</v>
      </c>
      <c r="E2262" s="7" t="s">
        <v>1695</v>
      </c>
      <c r="F2262" s="7" t="s">
        <v>1696</v>
      </c>
    </row>
    <row r="2263">
      <c r="A2263" s="7" t="s">
        <v>4247</v>
      </c>
      <c r="B2263" s="7" t="s">
        <v>4248</v>
      </c>
      <c r="C2263" s="7" t="s">
        <v>2410</v>
      </c>
      <c r="D2263" s="7" t="s">
        <v>8716</v>
      </c>
      <c r="E2263" s="7" t="s">
        <v>1695</v>
      </c>
      <c r="F2263" s="7" t="s">
        <v>1696</v>
      </c>
    </row>
    <row r="2264">
      <c r="A2264" s="7" t="s">
        <v>4294</v>
      </c>
      <c r="B2264" s="7" t="s">
        <v>4295</v>
      </c>
      <c r="C2264" s="7" t="s">
        <v>4296</v>
      </c>
      <c r="D2264" s="7" t="s">
        <v>8717</v>
      </c>
      <c r="E2264" s="7" t="s">
        <v>1695</v>
      </c>
      <c r="F2264" s="7" t="s">
        <v>1696</v>
      </c>
    </row>
    <row r="2265">
      <c r="A2265" s="7" t="s">
        <v>5467</v>
      </c>
      <c r="B2265" s="7" t="s">
        <v>5468</v>
      </c>
      <c r="C2265" s="7" t="s">
        <v>5469</v>
      </c>
      <c r="D2265" s="7" t="s">
        <v>8718</v>
      </c>
      <c r="E2265" s="7" t="s">
        <v>1695</v>
      </c>
      <c r="F2265" s="7" t="s">
        <v>1696</v>
      </c>
    </row>
    <row r="2266">
      <c r="A2266" s="7" t="s">
        <v>5488</v>
      </c>
      <c r="B2266" s="7" t="s">
        <v>1798</v>
      </c>
      <c r="C2266" s="7" t="s">
        <v>5489</v>
      </c>
      <c r="D2266" s="7" t="s">
        <v>8719</v>
      </c>
      <c r="E2266" s="7" t="s">
        <v>1695</v>
      </c>
      <c r="F2266" s="7" t="s">
        <v>1696</v>
      </c>
    </row>
    <row r="2267">
      <c r="A2267" s="7" t="s">
        <v>4991</v>
      </c>
      <c r="B2267" s="7" t="s">
        <v>4992</v>
      </c>
      <c r="C2267" s="7" t="s">
        <v>4743</v>
      </c>
      <c r="D2267" s="7" t="s">
        <v>8720</v>
      </c>
      <c r="E2267" s="7" t="s">
        <v>1695</v>
      </c>
      <c r="F2267" s="7" t="s">
        <v>1696</v>
      </c>
    </row>
    <row r="2268">
      <c r="A2268" s="7" t="s">
        <v>4514</v>
      </c>
      <c r="B2268" s="7" t="s">
        <v>4515</v>
      </c>
      <c r="C2268" s="7" t="s">
        <v>1924</v>
      </c>
      <c r="D2268" s="7" t="s">
        <v>8721</v>
      </c>
      <c r="E2268" s="7" t="s">
        <v>1695</v>
      </c>
      <c r="F2268" s="7" t="s">
        <v>1696</v>
      </c>
    </row>
    <row r="2269">
      <c r="A2269" s="7" t="s">
        <v>3716</v>
      </c>
      <c r="B2269" s="7" t="s">
        <v>27</v>
      </c>
      <c r="C2269" s="7" t="s">
        <v>666</v>
      </c>
      <c r="D2269" s="7" t="s">
        <v>8722</v>
      </c>
      <c r="E2269" s="7" t="s">
        <v>1695</v>
      </c>
      <c r="F2269" s="7" t="s">
        <v>1696</v>
      </c>
    </row>
    <row r="2270">
      <c r="A2270" s="7" t="s">
        <v>2777</v>
      </c>
      <c r="B2270" s="7" t="s">
        <v>2778</v>
      </c>
      <c r="C2270" s="7" t="s">
        <v>2779</v>
      </c>
      <c r="D2270" s="7" t="s">
        <v>8723</v>
      </c>
      <c r="E2270" s="7" t="s">
        <v>1695</v>
      </c>
      <c r="F2270" s="7" t="s">
        <v>1696</v>
      </c>
    </row>
    <row r="2271">
      <c r="A2271" s="7" t="s">
        <v>3535</v>
      </c>
      <c r="B2271" s="7" t="s">
        <v>3536</v>
      </c>
      <c r="C2271" s="7" t="s">
        <v>3537</v>
      </c>
      <c r="D2271" s="7" t="s">
        <v>8724</v>
      </c>
      <c r="E2271" s="7" t="s">
        <v>1695</v>
      </c>
      <c r="F2271" s="7" t="s">
        <v>1696</v>
      </c>
    </row>
    <row r="2272">
      <c r="A2272" s="7" t="s">
        <v>5299</v>
      </c>
      <c r="B2272" s="7" t="s">
        <v>4896</v>
      </c>
      <c r="C2272" s="7" t="s">
        <v>946</v>
      </c>
      <c r="D2272" s="7" t="s">
        <v>8725</v>
      </c>
      <c r="E2272" s="7" t="s">
        <v>1695</v>
      </c>
      <c r="F2272" s="7" t="s">
        <v>1696</v>
      </c>
    </row>
    <row r="2273">
      <c r="A2273" s="7" t="s">
        <v>4806</v>
      </c>
      <c r="B2273" s="7" t="s">
        <v>4807</v>
      </c>
      <c r="C2273" s="7" t="s">
        <v>1525</v>
      </c>
      <c r="D2273" s="7" t="s">
        <v>8726</v>
      </c>
      <c r="E2273" s="7" t="s">
        <v>1695</v>
      </c>
      <c r="F2273" s="7" t="s">
        <v>1696</v>
      </c>
    </row>
    <row r="2274">
      <c r="A2274" s="7" t="s">
        <v>1771</v>
      </c>
      <c r="B2274" s="7" t="s">
        <v>645</v>
      </c>
      <c r="C2274" s="7" t="s">
        <v>32</v>
      </c>
      <c r="D2274" s="7" t="s">
        <v>8727</v>
      </c>
      <c r="E2274" s="7" t="s">
        <v>1695</v>
      </c>
      <c r="F2274" s="7" t="s">
        <v>1696</v>
      </c>
    </row>
    <row r="2275">
      <c r="A2275" s="7" t="s">
        <v>5547</v>
      </c>
      <c r="B2275" s="7" t="s">
        <v>1545</v>
      </c>
      <c r="C2275" s="7" t="s">
        <v>849</v>
      </c>
      <c r="D2275" s="7" t="s">
        <v>8728</v>
      </c>
      <c r="E2275" s="7" t="s">
        <v>1695</v>
      </c>
      <c r="F2275" s="7" t="s">
        <v>1696</v>
      </c>
    </row>
    <row r="2276">
      <c r="A2276" s="7" t="s">
        <v>4671</v>
      </c>
      <c r="B2276" s="7" t="s">
        <v>4672</v>
      </c>
      <c r="C2276" s="7" t="s">
        <v>4673</v>
      </c>
      <c r="D2276" s="7" t="s">
        <v>8729</v>
      </c>
      <c r="E2276" s="7" t="s">
        <v>1695</v>
      </c>
      <c r="F2276" s="7" t="s">
        <v>1696</v>
      </c>
    </row>
    <row r="2277">
      <c r="A2277" s="7" t="s">
        <v>3829</v>
      </c>
      <c r="B2277" s="7" t="s">
        <v>3830</v>
      </c>
      <c r="C2277" s="7" t="s">
        <v>649</v>
      </c>
      <c r="D2277" s="7" t="s">
        <v>8730</v>
      </c>
      <c r="E2277" s="7" t="s">
        <v>1695</v>
      </c>
      <c r="F2277" s="7" t="s">
        <v>1696</v>
      </c>
    </row>
    <row r="2278">
      <c r="A2278" s="7" t="s">
        <v>4493</v>
      </c>
      <c r="B2278" s="7" t="s">
        <v>4494</v>
      </c>
      <c r="C2278" s="7" t="s">
        <v>4495</v>
      </c>
      <c r="D2278" s="7" t="s">
        <v>8731</v>
      </c>
      <c r="E2278" s="7" t="s">
        <v>1695</v>
      </c>
      <c r="F2278" s="7" t="s">
        <v>1696</v>
      </c>
    </row>
    <row r="2279">
      <c r="A2279" s="7" t="s">
        <v>2805</v>
      </c>
      <c r="B2279" s="7" t="s">
        <v>2806</v>
      </c>
      <c r="C2279" s="7" t="s">
        <v>274</v>
      </c>
      <c r="D2279" s="7" t="s">
        <v>8732</v>
      </c>
      <c r="E2279" s="7" t="s">
        <v>1695</v>
      </c>
      <c r="F2279" s="7" t="s">
        <v>1696</v>
      </c>
    </row>
    <row r="2280">
      <c r="A2280" s="7" t="s">
        <v>5977</v>
      </c>
      <c r="B2280" s="7" t="s">
        <v>5591</v>
      </c>
      <c r="C2280" s="7" t="s">
        <v>5824</v>
      </c>
      <c r="D2280" s="7" t="s">
        <v>8733</v>
      </c>
      <c r="E2280" s="7" t="s">
        <v>1695</v>
      </c>
      <c r="F2280" s="7" t="s">
        <v>1696</v>
      </c>
    </row>
    <row r="2281">
      <c r="A2281" s="7" t="s">
        <v>5828</v>
      </c>
      <c r="B2281" s="7" t="s">
        <v>1549</v>
      </c>
      <c r="C2281" s="7" t="s">
        <v>96</v>
      </c>
      <c r="D2281" s="7" t="s">
        <v>8734</v>
      </c>
      <c r="E2281" s="7" t="s">
        <v>1695</v>
      </c>
      <c r="F2281" s="7" t="s">
        <v>1696</v>
      </c>
    </row>
    <row r="2282">
      <c r="A2282" s="7" t="s">
        <v>2501</v>
      </c>
      <c r="B2282" s="7" t="s">
        <v>2502</v>
      </c>
      <c r="C2282" s="7" t="s">
        <v>409</v>
      </c>
      <c r="D2282" s="7" t="s">
        <v>8735</v>
      </c>
      <c r="E2282" s="7" t="s">
        <v>1695</v>
      </c>
      <c r="F2282" s="7" t="s">
        <v>1696</v>
      </c>
    </row>
    <row r="2283">
      <c r="A2283" s="7" t="s">
        <v>2542</v>
      </c>
      <c r="B2283" s="7" t="s">
        <v>2543</v>
      </c>
      <c r="C2283" s="7" t="s">
        <v>273</v>
      </c>
      <c r="D2283" s="7" t="s">
        <v>8736</v>
      </c>
      <c r="E2283" s="7" t="s">
        <v>1695</v>
      </c>
      <c r="F2283" s="7" t="s">
        <v>1696</v>
      </c>
    </row>
    <row r="2284">
      <c r="A2284" s="7" t="s">
        <v>6243</v>
      </c>
      <c r="B2284" s="7" t="s">
        <v>208</v>
      </c>
      <c r="C2284" s="7" t="s">
        <v>297</v>
      </c>
      <c r="D2284" s="7" t="s">
        <v>8737</v>
      </c>
      <c r="E2284" s="7" t="s">
        <v>1695</v>
      </c>
      <c r="F2284" s="7" t="s">
        <v>1696</v>
      </c>
    </row>
    <row r="2285">
      <c r="A2285" s="7" t="s">
        <v>4278</v>
      </c>
      <c r="B2285" s="7" t="s">
        <v>2172</v>
      </c>
      <c r="C2285" s="7" t="s">
        <v>4279</v>
      </c>
      <c r="D2285" s="7" t="s">
        <v>8738</v>
      </c>
      <c r="E2285" s="7" t="s">
        <v>1695</v>
      </c>
      <c r="F2285" s="7" t="s">
        <v>1696</v>
      </c>
    </row>
    <row r="2286">
      <c r="A2286" s="7" t="s">
        <v>6393</v>
      </c>
      <c r="B2286" s="7" t="s">
        <v>6394</v>
      </c>
      <c r="C2286" s="7" t="s">
        <v>4568</v>
      </c>
      <c r="D2286" s="7" t="s">
        <v>8739</v>
      </c>
      <c r="E2286" s="7" t="s">
        <v>1695</v>
      </c>
      <c r="F2286" s="7" t="s">
        <v>6318</v>
      </c>
    </row>
    <row r="2287">
      <c r="A2287" s="7" t="s">
        <v>2282</v>
      </c>
      <c r="B2287" s="7" t="s">
        <v>129</v>
      </c>
      <c r="C2287" s="7" t="s">
        <v>2283</v>
      </c>
      <c r="D2287" s="7" t="s">
        <v>8740</v>
      </c>
      <c r="E2287" s="7" t="s">
        <v>1695</v>
      </c>
      <c r="F2287" s="7" t="s">
        <v>1696</v>
      </c>
    </row>
    <row r="2288">
      <c r="A2288" s="7" t="s">
        <v>4598</v>
      </c>
      <c r="B2288" s="7" t="s">
        <v>747</v>
      </c>
      <c r="C2288" s="7" t="s">
        <v>4599</v>
      </c>
      <c r="D2288" s="7" t="s">
        <v>8741</v>
      </c>
      <c r="E2288" s="7" t="s">
        <v>1695</v>
      </c>
      <c r="F2288" s="7" t="s">
        <v>1696</v>
      </c>
    </row>
    <row r="2289">
      <c r="A2289" s="7" t="s">
        <v>4583</v>
      </c>
      <c r="B2289" s="7" t="s">
        <v>2537</v>
      </c>
      <c r="C2289" s="7" t="s">
        <v>4584</v>
      </c>
      <c r="D2289" s="7" t="s">
        <v>8742</v>
      </c>
      <c r="E2289" s="7" t="s">
        <v>1695</v>
      </c>
      <c r="F2289" s="7" t="s">
        <v>1696</v>
      </c>
    </row>
    <row r="2290">
      <c r="A2290" s="7" t="s">
        <v>6327</v>
      </c>
      <c r="B2290" s="7" t="s">
        <v>525</v>
      </c>
      <c r="C2290" s="7" t="s">
        <v>593</v>
      </c>
      <c r="D2290" s="7" t="s">
        <v>8743</v>
      </c>
      <c r="E2290" s="7" t="s">
        <v>1695</v>
      </c>
      <c r="F2290" s="7" t="s">
        <v>6318</v>
      </c>
    </row>
    <row r="2291">
      <c r="A2291" s="7" t="s">
        <v>2271</v>
      </c>
      <c r="B2291" s="7" t="s">
        <v>2272</v>
      </c>
      <c r="C2291" s="7" t="s">
        <v>70</v>
      </c>
      <c r="D2291" s="7" t="s">
        <v>8744</v>
      </c>
      <c r="E2291" s="7" t="s">
        <v>1695</v>
      </c>
      <c r="F2291" s="7" t="s">
        <v>1696</v>
      </c>
    </row>
    <row r="2292">
      <c r="A2292" s="7" t="s">
        <v>4668</v>
      </c>
      <c r="B2292" s="7" t="s">
        <v>4669</v>
      </c>
      <c r="C2292" s="7" t="s">
        <v>945</v>
      </c>
      <c r="D2292" s="7" t="s">
        <v>8745</v>
      </c>
      <c r="E2292" s="7" t="s">
        <v>1695</v>
      </c>
      <c r="F2292" s="7" t="s">
        <v>1696</v>
      </c>
    </row>
    <row r="2293">
      <c r="A2293" s="7" t="s">
        <v>2017</v>
      </c>
      <c r="B2293" s="7" t="s">
        <v>1801</v>
      </c>
      <c r="C2293" s="7" t="s">
        <v>2018</v>
      </c>
      <c r="D2293" s="7" t="s">
        <v>8746</v>
      </c>
      <c r="E2293" s="7" t="s">
        <v>1695</v>
      </c>
      <c r="F2293" s="7" t="s">
        <v>1696</v>
      </c>
    </row>
    <row r="2294">
      <c r="A2294" s="7" t="s">
        <v>5721</v>
      </c>
      <c r="B2294" s="7" t="s">
        <v>5722</v>
      </c>
      <c r="C2294" s="7" t="s">
        <v>5723</v>
      </c>
      <c r="D2294" s="7" t="s">
        <v>8747</v>
      </c>
      <c r="E2294" s="7" t="s">
        <v>1695</v>
      </c>
      <c r="F2294" s="7" t="s">
        <v>1696</v>
      </c>
    </row>
    <row r="2295">
      <c r="A2295" s="7" t="s">
        <v>4227</v>
      </c>
      <c r="B2295" s="7" t="s">
        <v>4228</v>
      </c>
      <c r="C2295" s="7" t="s">
        <v>2724</v>
      </c>
      <c r="D2295" s="7" t="s">
        <v>8748</v>
      </c>
      <c r="E2295" s="7" t="s">
        <v>1695</v>
      </c>
      <c r="F2295" s="7" t="s">
        <v>1696</v>
      </c>
    </row>
    <row r="2296">
      <c r="A2296" s="7" t="s">
        <v>5669</v>
      </c>
      <c r="B2296" s="7" t="s">
        <v>5670</v>
      </c>
      <c r="C2296" s="7" t="s">
        <v>838</v>
      </c>
      <c r="D2296" s="7" t="s">
        <v>8749</v>
      </c>
      <c r="E2296" s="7" t="s">
        <v>1695</v>
      </c>
      <c r="F2296" s="7" t="s">
        <v>1696</v>
      </c>
    </row>
    <row r="2297">
      <c r="A2297" s="7" t="s">
        <v>5624</v>
      </c>
      <c r="B2297" s="7" t="s">
        <v>2441</v>
      </c>
      <c r="C2297" s="7" t="s">
        <v>3357</v>
      </c>
      <c r="D2297" s="7" t="s">
        <v>8750</v>
      </c>
      <c r="E2297" s="7" t="s">
        <v>1695</v>
      </c>
      <c r="F2297" s="7" t="s">
        <v>1696</v>
      </c>
    </row>
    <row r="2298">
      <c r="A2298" s="7" t="s">
        <v>3080</v>
      </c>
      <c r="B2298" s="7" t="s">
        <v>3081</v>
      </c>
      <c r="C2298" s="7" t="s">
        <v>3082</v>
      </c>
      <c r="D2298" s="7" t="s">
        <v>8751</v>
      </c>
      <c r="E2298" s="7" t="s">
        <v>1695</v>
      </c>
      <c r="F2298" s="7" t="s">
        <v>1696</v>
      </c>
    </row>
    <row r="2299">
      <c r="A2299" s="7" t="s">
        <v>2098</v>
      </c>
      <c r="B2299" s="7" t="s">
        <v>540</v>
      </c>
      <c r="C2299" s="7" t="s">
        <v>2099</v>
      </c>
      <c r="D2299" s="7" t="s">
        <v>8752</v>
      </c>
      <c r="E2299" s="7" t="s">
        <v>1695</v>
      </c>
      <c r="F2299" s="7" t="s">
        <v>1696</v>
      </c>
    </row>
    <row r="2300">
      <c r="A2300" s="7" t="s">
        <v>3473</v>
      </c>
      <c r="B2300" s="7" t="s">
        <v>553</v>
      </c>
      <c r="C2300" s="7" t="s">
        <v>118</v>
      </c>
      <c r="D2300" s="7" t="s">
        <v>8753</v>
      </c>
      <c r="E2300" s="7" t="s">
        <v>1695</v>
      </c>
      <c r="F2300" s="7" t="s">
        <v>1696</v>
      </c>
    </row>
    <row r="2301">
      <c r="A2301" s="7" t="s">
        <v>2621</v>
      </c>
      <c r="B2301" s="7" t="s">
        <v>2622</v>
      </c>
      <c r="C2301" s="7" t="s">
        <v>101</v>
      </c>
      <c r="D2301" s="7" t="s">
        <v>8754</v>
      </c>
      <c r="E2301" s="7" t="s">
        <v>1695</v>
      </c>
      <c r="F2301" s="7" t="s">
        <v>1696</v>
      </c>
    </row>
    <row r="2302">
      <c r="A2302" s="7" t="s">
        <v>1793</v>
      </c>
      <c r="B2302" s="7" t="s">
        <v>1532</v>
      </c>
      <c r="C2302" s="7" t="s">
        <v>1794</v>
      </c>
      <c r="D2302" s="7" t="s">
        <v>8755</v>
      </c>
      <c r="E2302" s="7" t="s">
        <v>1695</v>
      </c>
      <c r="F2302" s="7" t="s">
        <v>1696</v>
      </c>
    </row>
    <row r="2303">
      <c r="A2303" s="7" t="s">
        <v>5338</v>
      </c>
      <c r="B2303" s="7" t="s">
        <v>5339</v>
      </c>
      <c r="C2303" s="7" t="s">
        <v>5340</v>
      </c>
      <c r="D2303" s="7" t="s">
        <v>8756</v>
      </c>
      <c r="E2303" s="7" t="s">
        <v>1695</v>
      </c>
      <c r="F2303" s="7" t="s">
        <v>1696</v>
      </c>
    </row>
    <row r="2304">
      <c r="A2304" s="7" t="s">
        <v>2808</v>
      </c>
      <c r="B2304" s="7" t="s">
        <v>2809</v>
      </c>
      <c r="C2304" s="7" t="s">
        <v>2810</v>
      </c>
      <c r="D2304" s="7" t="s">
        <v>8757</v>
      </c>
      <c r="E2304" s="7" t="s">
        <v>1695</v>
      </c>
      <c r="F2304" s="7" t="s">
        <v>1696</v>
      </c>
    </row>
    <row r="2305">
      <c r="A2305" s="7" t="s">
        <v>4331</v>
      </c>
      <c r="B2305" s="7" t="s">
        <v>2724</v>
      </c>
      <c r="C2305" s="7" t="s">
        <v>4332</v>
      </c>
      <c r="D2305" s="7" t="s">
        <v>8758</v>
      </c>
      <c r="E2305" s="7" t="s">
        <v>1695</v>
      </c>
      <c r="F2305" s="7" t="s">
        <v>1696</v>
      </c>
    </row>
    <row r="2306">
      <c r="A2306" s="7" t="s">
        <v>1765</v>
      </c>
      <c r="B2306" s="7" t="s">
        <v>1766</v>
      </c>
      <c r="C2306" s="7" t="s">
        <v>1074</v>
      </c>
      <c r="D2306" s="7" t="s">
        <v>8759</v>
      </c>
      <c r="E2306" s="7" t="s">
        <v>1695</v>
      </c>
      <c r="F2306" s="7" t="s">
        <v>1696</v>
      </c>
    </row>
    <row r="2307">
      <c r="A2307" s="7" t="s">
        <v>2664</v>
      </c>
      <c r="B2307" s="7" t="s">
        <v>414</v>
      </c>
      <c r="C2307" s="7" t="s">
        <v>2665</v>
      </c>
      <c r="D2307" s="7" t="s">
        <v>8760</v>
      </c>
      <c r="E2307" s="7" t="s">
        <v>1695</v>
      </c>
      <c r="F2307" s="7" t="s">
        <v>1696</v>
      </c>
    </row>
    <row r="2308">
      <c r="A2308" s="7" t="s">
        <v>3733</v>
      </c>
      <c r="B2308" s="7" t="s">
        <v>259</v>
      </c>
      <c r="C2308" s="7" t="s">
        <v>284</v>
      </c>
      <c r="D2308" s="7" t="s">
        <v>8761</v>
      </c>
      <c r="E2308" s="7" t="s">
        <v>1695</v>
      </c>
      <c r="F2308" s="7" t="s">
        <v>1696</v>
      </c>
    </row>
    <row r="2309">
      <c r="A2309" s="7" t="s">
        <v>4451</v>
      </c>
      <c r="B2309" s="7" t="s">
        <v>3613</v>
      </c>
      <c r="C2309" s="7" t="s">
        <v>1769</v>
      </c>
      <c r="D2309" s="7" t="s">
        <v>8762</v>
      </c>
      <c r="E2309" s="7" t="s">
        <v>1695</v>
      </c>
      <c r="F2309" s="7" t="s">
        <v>1696</v>
      </c>
    </row>
    <row r="2310">
      <c r="A2310" s="7" t="s">
        <v>3094</v>
      </c>
      <c r="B2310" s="7" t="s">
        <v>35</v>
      </c>
      <c r="C2310" s="7" t="s">
        <v>443</v>
      </c>
      <c r="D2310" s="7" t="s">
        <v>8763</v>
      </c>
      <c r="E2310" s="7" t="s">
        <v>1695</v>
      </c>
      <c r="F2310" s="7" t="s">
        <v>1696</v>
      </c>
    </row>
    <row r="2311">
      <c r="A2311" s="7" t="s">
        <v>2387</v>
      </c>
      <c r="B2311" s="7" t="s">
        <v>179</v>
      </c>
      <c r="C2311" s="7" t="s">
        <v>2388</v>
      </c>
      <c r="D2311" s="7" t="s">
        <v>8764</v>
      </c>
      <c r="E2311" s="7" t="s">
        <v>1695</v>
      </c>
      <c r="F2311" s="7" t="s">
        <v>1696</v>
      </c>
    </row>
    <row r="2312">
      <c r="A2312" s="7" t="s">
        <v>4634</v>
      </c>
      <c r="B2312" s="7" t="s">
        <v>2537</v>
      </c>
      <c r="C2312" s="7" t="s">
        <v>2431</v>
      </c>
      <c r="D2312" s="7" t="s">
        <v>8765</v>
      </c>
      <c r="E2312" s="7" t="s">
        <v>1695</v>
      </c>
      <c r="F2312" s="7" t="s">
        <v>1696</v>
      </c>
    </row>
    <row r="2313">
      <c r="A2313" s="7" t="s">
        <v>6360</v>
      </c>
      <c r="B2313" s="7" t="s">
        <v>4437</v>
      </c>
      <c r="C2313" s="7" t="s">
        <v>479</v>
      </c>
      <c r="D2313" s="7" t="s">
        <v>8766</v>
      </c>
      <c r="E2313" s="7" t="s">
        <v>1695</v>
      </c>
      <c r="F2313" s="7" t="s">
        <v>6318</v>
      </c>
    </row>
    <row r="2314">
      <c r="A2314" s="7" t="s">
        <v>4327</v>
      </c>
      <c r="B2314" s="7" t="s">
        <v>2045</v>
      </c>
      <c r="C2314" s="7" t="s">
        <v>2654</v>
      </c>
      <c r="D2314" s="7" t="s">
        <v>8767</v>
      </c>
      <c r="E2314" s="7" t="s">
        <v>1695</v>
      </c>
      <c r="F2314" s="7" t="s">
        <v>1696</v>
      </c>
    </row>
    <row r="2315">
      <c r="A2315" s="7" t="s">
        <v>2418</v>
      </c>
      <c r="B2315" s="7" t="s">
        <v>517</v>
      </c>
      <c r="C2315" s="7" t="s">
        <v>518</v>
      </c>
      <c r="D2315" s="7" t="s">
        <v>8768</v>
      </c>
      <c r="E2315" s="7" t="s">
        <v>1695</v>
      </c>
      <c r="F2315" s="7" t="s">
        <v>1696</v>
      </c>
    </row>
    <row r="2316">
      <c r="A2316" s="7" t="s">
        <v>1956</v>
      </c>
      <c r="B2316" s="7" t="s">
        <v>1803</v>
      </c>
      <c r="C2316" s="7" t="s">
        <v>446</v>
      </c>
      <c r="D2316" s="7" t="s">
        <v>8769</v>
      </c>
      <c r="E2316" s="7" t="s">
        <v>1695</v>
      </c>
      <c r="F2316" s="7" t="s">
        <v>1696</v>
      </c>
    </row>
    <row r="2317">
      <c r="A2317" s="7" t="s">
        <v>2730</v>
      </c>
      <c r="B2317" s="7" t="s">
        <v>85</v>
      </c>
      <c r="C2317" s="7" t="s">
        <v>649</v>
      </c>
      <c r="D2317" s="7" t="s">
        <v>8770</v>
      </c>
      <c r="E2317" s="7" t="s">
        <v>1695</v>
      </c>
      <c r="F2317" s="7" t="s">
        <v>1696</v>
      </c>
    </row>
    <row r="2318">
      <c r="A2318" s="7" t="s">
        <v>4271</v>
      </c>
      <c r="B2318" s="7" t="s">
        <v>1040</v>
      </c>
      <c r="C2318" s="7" t="s">
        <v>4114</v>
      </c>
      <c r="D2318" s="7" t="s">
        <v>8771</v>
      </c>
      <c r="E2318" s="7" t="s">
        <v>1695</v>
      </c>
      <c r="F2318" s="7" t="s">
        <v>1696</v>
      </c>
    </row>
    <row r="2319">
      <c r="A2319" s="7" t="s">
        <v>5049</v>
      </c>
      <c r="B2319" s="7" t="s">
        <v>66</v>
      </c>
      <c r="C2319" s="7" t="s">
        <v>1803</v>
      </c>
      <c r="D2319" s="7" t="s">
        <v>8772</v>
      </c>
      <c r="E2319" s="7" t="s">
        <v>1695</v>
      </c>
      <c r="F2319" s="7" t="s">
        <v>1696</v>
      </c>
    </row>
    <row r="2320">
      <c r="A2320" s="7" t="s">
        <v>2785</v>
      </c>
      <c r="B2320" s="7" t="s">
        <v>1084</v>
      </c>
      <c r="C2320" s="7" t="s">
        <v>1085</v>
      </c>
      <c r="D2320" s="7" t="s">
        <v>8773</v>
      </c>
      <c r="E2320" s="7" t="s">
        <v>1695</v>
      </c>
      <c r="F2320" s="7" t="s">
        <v>1696</v>
      </c>
    </row>
    <row r="2321">
      <c r="A2321" s="7" t="s">
        <v>5220</v>
      </c>
      <c r="B2321" s="7" t="s">
        <v>1084</v>
      </c>
      <c r="C2321" s="7" t="s">
        <v>1085</v>
      </c>
      <c r="D2321" s="7" t="s">
        <v>8773</v>
      </c>
      <c r="E2321" s="7" t="s">
        <v>1695</v>
      </c>
      <c r="F2321" s="7" t="s">
        <v>1696</v>
      </c>
    </row>
    <row r="2322">
      <c r="A2322" s="7" t="s">
        <v>1866</v>
      </c>
      <c r="B2322" s="7" t="s">
        <v>1867</v>
      </c>
      <c r="C2322" s="7" t="s">
        <v>1868</v>
      </c>
      <c r="D2322" s="7" t="s">
        <v>8774</v>
      </c>
      <c r="E2322" s="7" t="s">
        <v>1695</v>
      </c>
      <c r="F2322" s="7" t="s">
        <v>1696</v>
      </c>
    </row>
    <row r="2323">
      <c r="A2323" s="7" t="s">
        <v>5862</v>
      </c>
      <c r="B2323" s="7" t="s">
        <v>1104</v>
      </c>
      <c r="C2323" s="7" t="s">
        <v>1060</v>
      </c>
      <c r="D2323" s="7" t="s">
        <v>8775</v>
      </c>
      <c r="E2323" s="7" t="s">
        <v>1695</v>
      </c>
      <c r="F2323" s="7" t="s">
        <v>1696</v>
      </c>
    </row>
    <row r="2324">
      <c r="A2324" s="7" t="s">
        <v>5647</v>
      </c>
      <c r="B2324" s="7" t="s">
        <v>2175</v>
      </c>
      <c r="C2324" s="7" t="s">
        <v>5648</v>
      </c>
      <c r="D2324" s="7" t="s">
        <v>8776</v>
      </c>
      <c r="E2324" s="7" t="s">
        <v>1695</v>
      </c>
      <c r="F2324" s="7" t="s">
        <v>1696</v>
      </c>
    </row>
    <row r="2325">
      <c r="A2325" s="7" t="s">
        <v>4244</v>
      </c>
      <c r="B2325" s="7" t="s">
        <v>46</v>
      </c>
      <c r="C2325" s="7" t="s">
        <v>4245</v>
      </c>
      <c r="D2325" s="7" t="s">
        <v>8777</v>
      </c>
      <c r="E2325" s="7" t="s">
        <v>1695</v>
      </c>
      <c r="F2325" s="7" t="s">
        <v>1696</v>
      </c>
    </row>
    <row r="2326">
      <c r="A2326" s="7" t="s">
        <v>4747</v>
      </c>
      <c r="B2326" s="7" t="s">
        <v>196</v>
      </c>
      <c r="C2326" s="7" t="s">
        <v>4748</v>
      </c>
      <c r="D2326" s="7" t="s">
        <v>8778</v>
      </c>
      <c r="E2326" s="7" t="s">
        <v>1695</v>
      </c>
      <c r="F2326" s="7" t="s">
        <v>1696</v>
      </c>
    </row>
    <row r="2327">
      <c r="A2327" s="7" t="s">
        <v>4785</v>
      </c>
      <c r="B2327" s="7" t="s">
        <v>4786</v>
      </c>
      <c r="C2327" s="7" t="s">
        <v>196</v>
      </c>
      <c r="D2327" s="7" t="s">
        <v>8778</v>
      </c>
      <c r="E2327" s="7" t="s">
        <v>1695</v>
      </c>
      <c r="F2327" s="7" t="s">
        <v>1696</v>
      </c>
    </row>
    <row r="2328">
      <c r="A2328" s="7" t="s">
        <v>1917</v>
      </c>
      <c r="B2328" s="7" t="s">
        <v>1918</v>
      </c>
      <c r="C2328" s="7" t="s">
        <v>1919</v>
      </c>
      <c r="D2328" s="7" t="s">
        <v>8779</v>
      </c>
      <c r="E2328" s="7" t="s">
        <v>1695</v>
      </c>
      <c r="F2328" s="7" t="s">
        <v>1696</v>
      </c>
    </row>
    <row r="2329">
      <c r="A2329" s="7" t="s">
        <v>4953</v>
      </c>
      <c r="B2329" s="7" t="s">
        <v>188</v>
      </c>
      <c r="C2329" s="7" t="s">
        <v>2197</v>
      </c>
      <c r="D2329" s="7" t="s">
        <v>8780</v>
      </c>
      <c r="E2329" s="7" t="s">
        <v>1695</v>
      </c>
      <c r="F2329" s="7" t="s">
        <v>1696</v>
      </c>
    </row>
    <row r="2330">
      <c r="A2330" s="7" t="s">
        <v>5548</v>
      </c>
      <c r="B2330" s="7" t="s">
        <v>40</v>
      </c>
      <c r="C2330" s="7" t="s">
        <v>1271</v>
      </c>
      <c r="D2330" s="7" t="s">
        <v>8781</v>
      </c>
      <c r="E2330" s="7" t="s">
        <v>1695</v>
      </c>
      <c r="F2330" s="7" t="s">
        <v>1696</v>
      </c>
    </row>
    <row r="2331">
      <c r="A2331" s="7" t="s">
        <v>1873</v>
      </c>
      <c r="B2331" s="7" t="s">
        <v>871</v>
      </c>
      <c r="C2331" s="7" t="s">
        <v>1408</v>
      </c>
      <c r="D2331" s="7" t="s">
        <v>8782</v>
      </c>
      <c r="E2331" s="7" t="s">
        <v>1695</v>
      </c>
      <c r="F2331" s="7" t="s">
        <v>1696</v>
      </c>
    </row>
    <row r="2332">
      <c r="A2332" s="7" t="s">
        <v>6371</v>
      </c>
      <c r="B2332" s="7" t="s">
        <v>2077</v>
      </c>
      <c r="C2332" s="7" t="s">
        <v>1130</v>
      </c>
      <c r="D2332" s="7" t="s">
        <v>8783</v>
      </c>
      <c r="E2332" s="7" t="s">
        <v>1695</v>
      </c>
      <c r="F2332" s="7" t="s">
        <v>6318</v>
      </c>
    </row>
    <row r="2333">
      <c r="A2333" s="7" t="s">
        <v>5113</v>
      </c>
      <c r="B2333" s="7" t="s">
        <v>5114</v>
      </c>
      <c r="C2333" s="7" t="s">
        <v>5115</v>
      </c>
      <c r="D2333" s="7" t="s">
        <v>8784</v>
      </c>
      <c r="E2333" s="7" t="s">
        <v>1695</v>
      </c>
      <c r="F2333" s="7" t="s">
        <v>1696</v>
      </c>
    </row>
    <row r="2334">
      <c r="A2334" s="7" t="s">
        <v>1742</v>
      </c>
      <c r="B2334" s="7" t="s">
        <v>1743</v>
      </c>
      <c r="C2334" s="7" t="s">
        <v>1744</v>
      </c>
      <c r="D2334" s="7" t="s">
        <v>8785</v>
      </c>
      <c r="E2334" s="7" t="s">
        <v>1695</v>
      </c>
      <c r="F2334" s="7" t="s">
        <v>1696</v>
      </c>
    </row>
    <row r="2335">
      <c r="A2335" s="7" t="s">
        <v>2643</v>
      </c>
      <c r="B2335" s="7" t="s">
        <v>1954</v>
      </c>
      <c r="C2335" s="7" t="s">
        <v>2644</v>
      </c>
      <c r="D2335" s="7" t="s">
        <v>8786</v>
      </c>
      <c r="E2335" s="7" t="s">
        <v>1695</v>
      </c>
      <c r="F2335" s="7" t="s">
        <v>1696</v>
      </c>
    </row>
    <row r="2336">
      <c r="A2336" s="7" t="s">
        <v>2173</v>
      </c>
      <c r="B2336" s="7" t="s">
        <v>2174</v>
      </c>
      <c r="C2336" s="7" t="s">
        <v>2175</v>
      </c>
      <c r="D2336" s="7" t="s">
        <v>8787</v>
      </c>
      <c r="E2336" s="7" t="s">
        <v>1695</v>
      </c>
      <c r="F2336" s="7" t="s">
        <v>1696</v>
      </c>
    </row>
    <row r="2337">
      <c r="A2337" s="7" t="s">
        <v>1987</v>
      </c>
      <c r="B2337" s="7" t="s">
        <v>1988</v>
      </c>
      <c r="C2337" s="7" t="s">
        <v>1646</v>
      </c>
      <c r="D2337" s="7" t="s">
        <v>8788</v>
      </c>
      <c r="E2337" s="7" t="s">
        <v>1695</v>
      </c>
      <c r="F2337" s="7" t="s">
        <v>1696</v>
      </c>
    </row>
    <row r="2338">
      <c r="A2338" s="7" t="s">
        <v>3644</v>
      </c>
      <c r="B2338" s="7" t="s">
        <v>3645</v>
      </c>
      <c r="C2338" s="7" t="s">
        <v>1173</v>
      </c>
      <c r="D2338" s="7" t="s">
        <v>8789</v>
      </c>
      <c r="E2338" s="7" t="s">
        <v>1695</v>
      </c>
      <c r="F2338" s="7" t="s">
        <v>1696</v>
      </c>
    </row>
    <row r="2339">
      <c r="A2339" s="7" t="s">
        <v>2201</v>
      </c>
      <c r="B2339" s="7" t="s">
        <v>2202</v>
      </c>
      <c r="C2339" s="7" t="s">
        <v>2203</v>
      </c>
      <c r="D2339" s="7" t="s">
        <v>8790</v>
      </c>
      <c r="E2339" s="7" t="s">
        <v>1695</v>
      </c>
      <c r="F2339" s="7" t="s">
        <v>1696</v>
      </c>
    </row>
    <row r="2340">
      <c r="A2340" s="7" t="s">
        <v>3083</v>
      </c>
      <c r="B2340" s="7" t="s">
        <v>2905</v>
      </c>
      <c r="C2340" s="7" t="s">
        <v>409</v>
      </c>
      <c r="D2340" s="7" t="s">
        <v>8791</v>
      </c>
      <c r="E2340" s="7" t="s">
        <v>1695</v>
      </c>
      <c r="F2340" s="7" t="s">
        <v>1696</v>
      </c>
    </row>
    <row r="2341">
      <c r="A2341" s="7" t="s">
        <v>3792</v>
      </c>
      <c r="B2341" s="7" t="s">
        <v>3793</v>
      </c>
      <c r="C2341" s="7" t="s">
        <v>3794</v>
      </c>
      <c r="D2341" s="7" t="s">
        <v>8792</v>
      </c>
      <c r="E2341" s="7" t="s">
        <v>1695</v>
      </c>
      <c r="F2341" s="7" t="s">
        <v>1696</v>
      </c>
    </row>
    <row r="2342">
      <c r="A2342" s="7" t="s">
        <v>5710</v>
      </c>
      <c r="B2342" s="7" t="s">
        <v>291</v>
      </c>
      <c r="C2342" s="7" t="s">
        <v>5711</v>
      </c>
      <c r="D2342" s="7" t="s">
        <v>8793</v>
      </c>
      <c r="E2342" s="7" t="s">
        <v>1695</v>
      </c>
      <c r="F2342" s="7" t="s">
        <v>1696</v>
      </c>
    </row>
    <row r="2343">
      <c r="A2343" s="7" t="s">
        <v>5761</v>
      </c>
      <c r="B2343" s="7" t="s">
        <v>623</v>
      </c>
      <c r="C2343" s="7" t="s">
        <v>5762</v>
      </c>
      <c r="D2343" s="7" t="s">
        <v>8794</v>
      </c>
      <c r="E2343" s="7" t="s">
        <v>1695</v>
      </c>
      <c r="F2343" s="7" t="s">
        <v>1696</v>
      </c>
    </row>
    <row r="2344">
      <c r="A2344" s="7" t="s">
        <v>1870</v>
      </c>
      <c r="B2344" s="7" t="s">
        <v>1215</v>
      </c>
      <c r="C2344" s="7" t="s">
        <v>1216</v>
      </c>
      <c r="D2344" s="7" t="s">
        <v>8795</v>
      </c>
      <c r="E2344" s="7" t="s">
        <v>1695</v>
      </c>
      <c r="F2344" s="7" t="s">
        <v>1696</v>
      </c>
    </row>
    <row r="2345">
      <c r="A2345" s="7" t="s">
        <v>1897</v>
      </c>
      <c r="B2345" s="7" t="s">
        <v>1898</v>
      </c>
      <c r="C2345" s="7" t="s">
        <v>218</v>
      </c>
      <c r="D2345" s="7" t="s">
        <v>8796</v>
      </c>
      <c r="E2345" s="7" t="s">
        <v>1695</v>
      </c>
      <c r="F2345" s="7" t="s">
        <v>1696</v>
      </c>
    </row>
    <row r="2346">
      <c r="A2346" s="7" t="s">
        <v>5495</v>
      </c>
      <c r="B2346" s="7" t="s">
        <v>5496</v>
      </c>
      <c r="C2346" s="7" t="s">
        <v>3398</v>
      </c>
      <c r="D2346" s="7" t="s">
        <v>8797</v>
      </c>
      <c r="E2346" s="7" t="s">
        <v>1695</v>
      </c>
      <c r="F2346" s="7" t="s">
        <v>1696</v>
      </c>
    </row>
    <row r="2347">
      <c r="A2347" s="7" t="s">
        <v>3500</v>
      </c>
      <c r="B2347" s="7" t="s">
        <v>120</v>
      </c>
      <c r="C2347" s="7" t="s">
        <v>317</v>
      </c>
      <c r="D2347" s="7" t="s">
        <v>8798</v>
      </c>
      <c r="E2347" s="7" t="s">
        <v>1695</v>
      </c>
      <c r="F2347" s="7" t="s">
        <v>1696</v>
      </c>
    </row>
    <row r="2348">
      <c r="A2348" s="7" t="s">
        <v>4040</v>
      </c>
      <c r="B2348" s="7" t="s">
        <v>3478</v>
      </c>
      <c r="C2348" s="7" t="s">
        <v>4041</v>
      </c>
      <c r="D2348" s="7" t="s">
        <v>8799</v>
      </c>
      <c r="E2348" s="7" t="s">
        <v>1695</v>
      </c>
      <c r="F2348" s="7" t="s">
        <v>1696</v>
      </c>
    </row>
    <row r="2349">
      <c r="A2349" s="7" t="s">
        <v>5654</v>
      </c>
      <c r="B2349" s="7" t="s">
        <v>1552</v>
      </c>
      <c r="C2349" s="7" t="s">
        <v>5242</v>
      </c>
      <c r="D2349" s="7" t="s">
        <v>8800</v>
      </c>
      <c r="E2349" s="7" t="s">
        <v>1695</v>
      </c>
      <c r="F2349" s="7" t="s">
        <v>1696</v>
      </c>
    </row>
    <row r="2350">
      <c r="A2350" s="7" t="s">
        <v>5576</v>
      </c>
      <c r="B2350" s="7" t="s">
        <v>64</v>
      </c>
      <c r="C2350" s="7" t="s">
        <v>5577</v>
      </c>
      <c r="D2350" s="7" t="s">
        <v>8801</v>
      </c>
      <c r="E2350" s="7" t="s">
        <v>1695</v>
      </c>
      <c r="F2350" s="7" t="s">
        <v>1696</v>
      </c>
    </row>
    <row r="2351">
      <c r="A2351" s="7" t="s">
        <v>5581</v>
      </c>
      <c r="B2351" s="7" t="s">
        <v>5582</v>
      </c>
      <c r="C2351" s="7" t="s">
        <v>2691</v>
      </c>
      <c r="D2351" s="7" t="s">
        <v>8802</v>
      </c>
      <c r="E2351" s="7" t="s">
        <v>1695</v>
      </c>
      <c r="F2351" s="7" t="s">
        <v>1696</v>
      </c>
    </row>
    <row r="2352">
      <c r="A2352" s="7" t="s">
        <v>2170</v>
      </c>
      <c r="B2352" s="7" t="s">
        <v>2171</v>
      </c>
      <c r="C2352" s="7" t="s">
        <v>2172</v>
      </c>
      <c r="D2352" s="7" t="s">
        <v>8803</v>
      </c>
      <c r="E2352" s="7" t="s">
        <v>1695</v>
      </c>
      <c r="F2352" s="7" t="s">
        <v>1696</v>
      </c>
    </row>
    <row r="2353">
      <c r="A2353" s="7" t="s">
        <v>4000</v>
      </c>
      <c r="B2353" s="7" t="s">
        <v>4001</v>
      </c>
      <c r="C2353" s="7" t="s">
        <v>4002</v>
      </c>
      <c r="D2353" s="7" t="s">
        <v>8804</v>
      </c>
      <c r="E2353" s="7" t="s">
        <v>1695</v>
      </c>
      <c r="F2353" s="7" t="s">
        <v>1696</v>
      </c>
    </row>
    <row r="2354">
      <c r="A2354" s="7" t="s">
        <v>1953</v>
      </c>
      <c r="B2354" s="7" t="s">
        <v>1954</v>
      </c>
      <c r="C2354" s="7" t="s">
        <v>1955</v>
      </c>
      <c r="D2354" s="7" t="s">
        <v>8805</v>
      </c>
      <c r="E2354" s="7" t="s">
        <v>1695</v>
      </c>
      <c r="F2354" s="7" t="s">
        <v>1696</v>
      </c>
    </row>
    <row r="2355">
      <c r="A2355" s="7" t="s">
        <v>5789</v>
      </c>
      <c r="B2355" s="7" t="s">
        <v>5790</v>
      </c>
      <c r="C2355" s="7" t="s">
        <v>642</v>
      </c>
      <c r="D2355" s="7" t="s">
        <v>8806</v>
      </c>
      <c r="E2355" s="7" t="s">
        <v>1695</v>
      </c>
      <c r="F2355" s="7" t="s">
        <v>1696</v>
      </c>
    </row>
    <row r="2356">
      <c r="A2356" s="7" t="s">
        <v>3257</v>
      </c>
      <c r="B2356" s="7" t="s">
        <v>3258</v>
      </c>
      <c r="C2356" s="7" t="s">
        <v>3259</v>
      </c>
      <c r="D2356" s="7" t="s">
        <v>8807</v>
      </c>
      <c r="E2356" s="7" t="s">
        <v>1695</v>
      </c>
      <c r="F2356" s="7" t="s">
        <v>1696</v>
      </c>
    </row>
    <row r="2357">
      <c r="A2357" s="7" t="s">
        <v>3598</v>
      </c>
      <c r="B2357" s="7" t="s">
        <v>3599</v>
      </c>
      <c r="C2357" s="7" t="s">
        <v>3600</v>
      </c>
      <c r="D2357" s="7" t="s">
        <v>8808</v>
      </c>
      <c r="E2357" s="7" t="s">
        <v>1695</v>
      </c>
      <c r="F2357" s="7" t="s">
        <v>1696</v>
      </c>
    </row>
    <row r="2358">
      <c r="A2358" s="7" t="s">
        <v>5313</v>
      </c>
      <c r="B2358" s="7" t="s">
        <v>5314</v>
      </c>
      <c r="C2358" s="7" t="s">
        <v>5315</v>
      </c>
      <c r="D2358" s="7" t="s">
        <v>8809</v>
      </c>
      <c r="E2358" s="7" t="s">
        <v>1695</v>
      </c>
      <c r="F2358" s="7" t="s">
        <v>1696</v>
      </c>
    </row>
    <row r="2359">
      <c r="A2359" s="7" t="s">
        <v>2632</v>
      </c>
      <c r="B2359" s="7" t="s">
        <v>2633</v>
      </c>
      <c r="C2359" s="7" t="s">
        <v>2634</v>
      </c>
      <c r="D2359" s="7" t="s">
        <v>8810</v>
      </c>
      <c r="E2359" s="7" t="s">
        <v>1695</v>
      </c>
      <c r="F2359" s="7" t="s">
        <v>1696</v>
      </c>
    </row>
    <row r="2360">
      <c r="A2360" s="7" t="s">
        <v>3568</v>
      </c>
      <c r="B2360" s="7" t="s">
        <v>817</v>
      </c>
      <c r="C2360" s="7" t="s">
        <v>3569</v>
      </c>
      <c r="D2360" s="7" t="s">
        <v>8811</v>
      </c>
      <c r="E2360" s="7" t="s">
        <v>1695</v>
      </c>
      <c r="F2360" s="7" t="s">
        <v>1696</v>
      </c>
    </row>
    <row r="2361">
      <c r="A2361" s="7" t="s">
        <v>4061</v>
      </c>
      <c r="B2361" s="7" t="s">
        <v>4062</v>
      </c>
      <c r="C2361" s="7" t="s">
        <v>1656</v>
      </c>
      <c r="D2361" s="7" t="s">
        <v>8812</v>
      </c>
      <c r="E2361" s="7" t="s">
        <v>1695</v>
      </c>
      <c r="F2361" s="7" t="s">
        <v>1696</v>
      </c>
    </row>
    <row r="2362">
      <c r="A2362" s="7" t="s">
        <v>3795</v>
      </c>
      <c r="B2362" s="7" t="s">
        <v>3686</v>
      </c>
      <c r="C2362" s="7" t="s">
        <v>2093</v>
      </c>
      <c r="D2362" s="7" t="s">
        <v>8813</v>
      </c>
      <c r="E2362" s="7" t="s">
        <v>1695</v>
      </c>
      <c r="F2362" s="7" t="s">
        <v>1696</v>
      </c>
    </row>
    <row r="2363">
      <c r="A2363" s="7" t="s">
        <v>4777</v>
      </c>
      <c r="B2363" s="7" t="s">
        <v>4778</v>
      </c>
      <c r="C2363" s="7" t="s">
        <v>3150</v>
      </c>
      <c r="D2363" s="7" t="s">
        <v>8814</v>
      </c>
      <c r="E2363" s="7" t="s">
        <v>1695</v>
      </c>
      <c r="F2363" s="7" t="s">
        <v>1696</v>
      </c>
    </row>
    <row r="2364">
      <c r="A2364" s="7" t="s">
        <v>4322</v>
      </c>
      <c r="B2364" s="7" t="s">
        <v>4127</v>
      </c>
      <c r="C2364" s="7" t="s">
        <v>314</v>
      </c>
      <c r="D2364" s="7" t="s">
        <v>8815</v>
      </c>
      <c r="E2364" s="7" t="s">
        <v>1695</v>
      </c>
      <c r="F2364" s="7" t="s">
        <v>1696</v>
      </c>
    </row>
    <row r="2365">
      <c r="A2365" s="7" t="s">
        <v>2655</v>
      </c>
      <c r="B2365" s="7" t="s">
        <v>2656</v>
      </c>
      <c r="C2365" s="7" t="s">
        <v>2657</v>
      </c>
      <c r="D2365" s="7" t="s">
        <v>8816</v>
      </c>
      <c r="E2365" s="7" t="s">
        <v>1695</v>
      </c>
      <c r="F2365" s="7" t="s">
        <v>1696</v>
      </c>
    </row>
    <row r="2366">
      <c r="A2366" s="7" t="s">
        <v>2663</v>
      </c>
      <c r="B2366" s="7" t="s">
        <v>2656</v>
      </c>
      <c r="C2366" s="7" t="s">
        <v>35</v>
      </c>
      <c r="D2366" s="7" t="s">
        <v>8816</v>
      </c>
      <c r="E2366" s="7" t="s">
        <v>1695</v>
      </c>
      <c r="F2366" s="7" t="s">
        <v>1696</v>
      </c>
    </row>
    <row r="2367">
      <c r="A2367" s="7" t="s">
        <v>3056</v>
      </c>
      <c r="B2367" s="7" t="s">
        <v>1729</v>
      </c>
      <c r="C2367" s="7" t="s">
        <v>387</v>
      </c>
      <c r="D2367" s="7" t="s">
        <v>8817</v>
      </c>
      <c r="E2367" s="7" t="s">
        <v>1695</v>
      </c>
      <c r="F2367" s="7" t="s">
        <v>1696</v>
      </c>
    </row>
    <row r="2368">
      <c r="A2368" s="7" t="s">
        <v>3526</v>
      </c>
      <c r="B2368" s="7" t="s">
        <v>1880</v>
      </c>
      <c r="C2368" s="7" t="s">
        <v>3527</v>
      </c>
      <c r="D2368" s="7" t="s">
        <v>8818</v>
      </c>
      <c r="E2368" s="7" t="s">
        <v>1695</v>
      </c>
      <c r="F2368" s="7" t="s">
        <v>1696</v>
      </c>
    </row>
    <row r="2369">
      <c r="A2369" s="7" t="s">
        <v>5268</v>
      </c>
      <c r="B2369" s="7" t="s">
        <v>5084</v>
      </c>
      <c r="C2369" s="7" t="s">
        <v>5269</v>
      </c>
      <c r="D2369" s="7" t="s">
        <v>8819</v>
      </c>
      <c r="E2369" s="7" t="s">
        <v>1695</v>
      </c>
      <c r="F2369" s="7" t="s">
        <v>1696</v>
      </c>
    </row>
    <row r="2370">
      <c r="A2370" s="7" t="s">
        <v>3146</v>
      </c>
      <c r="B2370" s="7" t="s">
        <v>3147</v>
      </c>
      <c r="C2370" s="7" t="s">
        <v>3148</v>
      </c>
      <c r="D2370" s="7" t="s">
        <v>8820</v>
      </c>
      <c r="E2370" s="7" t="s">
        <v>1695</v>
      </c>
      <c r="F2370" s="7" t="s">
        <v>1696</v>
      </c>
    </row>
    <row r="2371">
      <c r="A2371" s="7" t="s">
        <v>5563</v>
      </c>
      <c r="B2371" s="7" t="s">
        <v>322</v>
      </c>
      <c r="C2371" s="7" t="s">
        <v>4396</v>
      </c>
      <c r="D2371" s="7" t="s">
        <v>8821</v>
      </c>
      <c r="E2371" s="7" t="s">
        <v>1695</v>
      </c>
      <c r="F2371" s="7" t="s">
        <v>1696</v>
      </c>
    </row>
    <row r="2372">
      <c r="A2372" s="7" t="s">
        <v>3388</v>
      </c>
      <c r="B2372" s="7" t="s">
        <v>3389</v>
      </c>
      <c r="C2372" s="7" t="s">
        <v>3390</v>
      </c>
      <c r="D2372" s="7" t="s">
        <v>8822</v>
      </c>
      <c r="E2372" s="7" t="s">
        <v>1695</v>
      </c>
      <c r="F2372" s="7" t="s">
        <v>1696</v>
      </c>
    </row>
    <row r="2373">
      <c r="A2373" s="7" t="s">
        <v>4412</v>
      </c>
      <c r="B2373" s="7" t="s">
        <v>4413</v>
      </c>
      <c r="C2373" s="7" t="s">
        <v>4414</v>
      </c>
      <c r="D2373" s="7" t="s">
        <v>8823</v>
      </c>
      <c r="E2373" s="7" t="s">
        <v>1695</v>
      </c>
      <c r="F2373" s="7" t="s">
        <v>1696</v>
      </c>
    </row>
    <row r="2374">
      <c r="A2374" s="7" t="s">
        <v>6310</v>
      </c>
      <c r="B2374" s="7" t="s">
        <v>414</v>
      </c>
      <c r="C2374" s="7" t="s">
        <v>1898</v>
      </c>
      <c r="D2374" s="7" t="s">
        <v>8824</v>
      </c>
      <c r="E2374" s="7" t="s">
        <v>1695</v>
      </c>
      <c r="F2374" s="7" t="s">
        <v>1696</v>
      </c>
    </row>
    <row r="2375">
      <c r="A2375" s="7" t="s">
        <v>5143</v>
      </c>
      <c r="B2375" s="7" t="s">
        <v>3250</v>
      </c>
      <c r="C2375" s="7" t="s">
        <v>5144</v>
      </c>
      <c r="D2375" s="7" t="s">
        <v>8825</v>
      </c>
      <c r="E2375" s="7" t="s">
        <v>1695</v>
      </c>
      <c r="F2375" s="7" t="s">
        <v>1696</v>
      </c>
    </row>
    <row r="2376">
      <c r="A2376" s="7" t="s">
        <v>2544</v>
      </c>
      <c r="B2376" s="7" t="s">
        <v>261</v>
      </c>
      <c r="C2376" s="7" t="s">
        <v>2545</v>
      </c>
      <c r="D2376" s="7" t="s">
        <v>8826</v>
      </c>
      <c r="E2376" s="7" t="s">
        <v>1695</v>
      </c>
      <c r="F2376" s="7" t="s">
        <v>1696</v>
      </c>
    </row>
    <row r="2377">
      <c r="A2377" s="7" t="s">
        <v>2768</v>
      </c>
      <c r="B2377" s="7" t="s">
        <v>468</v>
      </c>
      <c r="C2377" s="7" t="s">
        <v>2769</v>
      </c>
      <c r="D2377" s="7" t="s">
        <v>8827</v>
      </c>
      <c r="E2377" s="7" t="s">
        <v>1695</v>
      </c>
      <c r="F2377" s="7" t="s">
        <v>1696</v>
      </c>
    </row>
    <row r="2378">
      <c r="A2378" s="7" t="s">
        <v>3702</v>
      </c>
      <c r="B2378" s="7" t="s">
        <v>880</v>
      </c>
      <c r="C2378" s="7" t="s">
        <v>168</v>
      </c>
      <c r="D2378" s="7" t="s">
        <v>8828</v>
      </c>
      <c r="E2378" s="7" t="s">
        <v>1695</v>
      </c>
      <c r="F2378" s="7" t="s">
        <v>1696</v>
      </c>
    </row>
    <row r="2379">
      <c r="A2379" s="7" t="s">
        <v>5024</v>
      </c>
      <c r="B2379" s="7" t="s">
        <v>280</v>
      </c>
      <c r="C2379" s="7" t="s">
        <v>795</v>
      </c>
      <c r="D2379" s="7" t="s">
        <v>8829</v>
      </c>
      <c r="E2379" s="7" t="s">
        <v>1695</v>
      </c>
      <c r="F2379" s="7" t="s">
        <v>1696</v>
      </c>
    </row>
    <row r="2380">
      <c r="A2380" s="7" t="s">
        <v>3780</v>
      </c>
      <c r="B2380" s="7" t="s">
        <v>3781</v>
      </c>
      <c r="C2380" s="7" t="s">
        <v>649</v>
      </c>
      <c r="D2380" s="7" t="s">
        <v>8830</v>
      </c>
      <c r="E2380" s="7" t="s">
        <v>1695</v>
      </c>
      <c r="F2380" s="7" t="s">
        <v>1696</v>
      </c>
    </row>
    <row r="2381">
      <c r="A2381" s="7" t="s">
        <v>4125</v>
      </c>
      <c r="B2381" s="7" t="s">
        <v>3767</v>
      </c>
      <c r="C2381" s="7" t="s">
        <v>261</v>
      </c>
      <c r="D2381" s="7" t="s">
        <v>8831</v>
      </c>
      <c r="E2381" s="7" t="s">
        <v>1695</v>
      </c>
      <c r="F2381" s="7" t="s">
        <v>1696</v>
      </c>
    </row>
    <row r="2382">
      <c r="A2382" s="7" t="s">
        <v>5258</v>
      </c>
      <c r="B2382" s="7" t="s">
        <v>316</v>
      </c>
      <c r="C2382" s="7" t="s">
        <v>446</v>
      </c>
      <c r="D2382" s="7" t="s">
        <v>8832</v>
      </c>
      <c r="E2382" s="7" t="s">
        <v>1695</v>
      </c>
      <c r="F2382" s="7" t="s">
        <v>1696</v>
      </c>
    </row>
    <row r="2383">
      <c r="A2383" s="7" t="s">
        <v>2591</v>
      </c>
      <c r="B2383" s="7" t="s">
        <v>2592</v>
      </c>
      <c r="C2383" s="7" t="s">
        <v>328</v>
      </c>
      <c r="D2383" s="7" t="s">
        <v>8833</v>
      </c>
      <c r="E2383" s="7" t="s">
        <v>1695</v>
      </c>
      <c r="F2383" s="7" t="s">
        <v>1696</v>
      </c>
    </row>
    <row r="2384">
      <c r="A2384" s="7" t="s">
        <v>3095</v>
      </c>
      <c r="B2384" s="7" t="s">
        <v>3096</v>
      </c>
      <c r="C2384" s="7" t="s">
        <v>55</v>
      </c>
      <c r="D2384" s="7" t="s">
        <v>8834</v>
      </c>
      <c r="E2384" s="7" t="s">
        <v>1695</v>
      </c>
      <c r="F2384" s="7" t="s">
        <v>1696</v>
      </c>
    </row>
    <row r="2385">
      <c r="A2385" s="7" t="s">
        <v>1822</v>
      </c>
      <c r="B2385" s="7" t="s">
        <v>1823</v>
      </c>
      <c r="C2385" s="7" t="s">
        <v>1824</v>
      </c>
      <c r="D2385" s="7" t="s">
        <v>8835</v>
      </c>
      <c r="E2385" s="7" t="s">
        <v>1695</v>
      </c>
      <c r="F2385" s="7" t="s">
        <v>1696</v>
      </c>
    </row>
    <row r="2386">
      <c r="A2386" s="7" t="s">
        <v>4195</v>
      </c>
      <c r="B2386" s="7" t="s">
        <v>1000</v>
      </c>
      <c r="C2386" s="7" t="s">
        <v>629</v>
      </c>
      <c r="D2386" s="7" t="s">
        <v>8458</v>
      </c>
      <c r="E2386" s="7" t="s">
        <v>1695</v>
      </c>
      <c r="F2386" s="7" t="s">
        <v>1696</v>
      </c>
    </row>
    <row r="2387">
      <c r="A2387" s="7" t="s">
        <v>3968</v>
      </c>
      <c r="B2387" s="7" t="s">
        <v>3969</v>
      </c>
      <c r="C2387" s="7" t="s">
        <v>596</v>
      </c>
      <c r="D2387" s="7" t="s">
        <v>8836</v>
      </c>
      <c r="E2387" s="7" t="s">
        <v>1695</v>
      </c>
      <c r="F2387" s="7" t="s">
        <v>1696</v>
      </c>
    </row>
    <row r="2388">
      <c r="A2388" s="7" t="s">
        <v>5928</v>
      </c>
      <c r="B2388" s="7" t="s">
        <v>4786</v>
      </c>
      <c r="C2388" s="7" t="s">
        <v>120</v>
      </c>
      <c r="D2388" s="7" t="s">
        <v>8837</v>
      </c>
      <c r="E2388" s="7" t="s">
        <v>1695</v>
      </c>
      <c r="F2388" s="7" t="s">
        <v>1696</v>
      </c>
    </row>
    <row r="2389">
      <c r="A2389" s="7" t="s">
        <v>2980</v>
      </c>
      <c r="B2389" s="7" t="s">
        <v>2981</v>
      </c>
      <c r="C2389" s="7" t="s">
        <v>2982</v>
      </c>
      <c r="D2389" s="7" t="s">
        <v>8838</v>
      </c>
      <c r="E2389" s="7" t="s">
        <v>1695</v>
      </c>
      <c r="F2389" s="7" t="s">
        <v>1696</v>
      </c>
    </row>
    <row r="2390">
      <c r="A2390" s="7" t="s">
        <v>6215</v>
      </c>
      <c r="B2390" s="7" t="s">
        <v>6216</v>
      </c>
      <c r="C2390" s="7" t="s">
        <v>6217</v>
      </c>
      <c r="D2390" s="7" t="s">
        <v>8839</v>
      </c>
      <c r="E2390" s="7" t="s">
        <v>1695</v>
      </c>
      <c r="F2390" s="7" t="s">
        <v>1696</v>
      </c>
    </row>
    <row r="2391">
      <c r="A2391" s="7" t="s">
        <v>3787</v>
      </c>
      <c r="B2391" s="7" t="s">
        <v>261</v>
      </c>
      <c r="C2391" s="7" t="s">
        <v>221</v>
      </c>
      <c r="D2391" s="7">
        <v>9.04001964E8</v>
      </c>
      <c r="E2391" s="7" t="s">
        <v>1695</v>
      </c>
      <c r="F2391" s="7" t="s">
        <v>1696</v>
      </c>
    </row>
    <row r="2392">
      <c r="A2392" s="7" t="s">
        <v>3456</v>
      </c>
      <c r="B2392" s="7" t="s">
        <v>46</v>
      </c>
      <c r="C2392" s="7" t="s">
        <v>818</v>
      </c>
      <c r="D2392" s="7">
        <v>9.11692432E8</v>
      </c>
      <c r="E2392" s="7" t="s">
        <v>1695</v>
      </c>
      <c r="F2392" s="7" t="s">
        <v>1696</v>
      </c>
    </row>
    <row r="2393">
      <c r="A2393" s="7" t="s">
        <v>2364</v>
      </c>
      <c r="B2393" s="7" t="s">
        <v>2365</v>
      </c>
      <c r="C2393" s="7" t="s">
        <v>2366</v>
      </c>
      <c r="D2393" s="7">
        <v>9.11933889E8</v>
      </c>
      <c r="E2393" s="7" t="s">
        <v>1695</v>
      </c>
      <c r="F2393" s="7" t="s">
        <v>1696</v>
      </c>
    </row>
    <row r="2394">
      <c r="A2394" s="7" t="s">
        <v>4742</v>
      </c>
      <c r="B2394" s="7" t="s">
        <v>474</v>
      </c>
      <c r="C2394" s="7" t="s">
        <v>4743</v>
      </c>
      <c r="D2394" s="7">
        <v>9.1204659E8</v>
      </c>
      <c r="E2394" s="7" t="s">
        <v>1695</v>
      </c>
      <c r="F2394" s="7" t="s">
        <v>1696</v>
      </c>
    </row>
    <row r="2395">
      <c r="A2395" s="7" t="s">
        <v>3689</v>
      </c>
      <c r="B2395" s="7" t="s">
        <v>683</v>
      </c>
      <c r="C2395" s="7" t="s">
        <v>1586</v>
      </c>
      <c r="D2395" s="7">
        <v>9.12718642E8</v>
      </c>
      <c r="E2395" s="7" t="s">
        <v>1695</v>
      </c>
      <c r="F2395" s="7" t="s">
        <v>1696</v>
      </c>
    </row>
    <row r="2396">
      <c r="A2396" s="7" t="s">
        <v>2297</v>
      </c>
      <c r="B2396" s="7" t="s">
        <v>129</v>
      </c>
      <c r="C2396" s="7" t="s">
        <v>1898</v>
      </c>
      <c r="D2396" s="7">
        <v>9.13034733E8</v>
      </c>
      <c r="E2396" s="7" t="s">
        <v>1695</v>
      </c>
      <c r="F2396" s="7" t="s">
        <v>1696</v>
      </c>
    </row>
    <row r="2397">
      <c r="A2397" s="7" t="s">
        <v>3169</v>
      </c>
      <c r="B2397" s="7" t="s">
        <v>3170</v>
      </c>
      <c r="C2397" s="7" t="s">
        <v>649</v>
      </c>
      <c r="D2397" s="7">
        <v>9.13554337E8</v>
      </c>
      <c r="E2397" s="7" t="s">
        <v>1695</v>
      </c>
      <c r="F2397" s="7" t="s">
        <v>1696</v>
      </c>
    </row>
    <row r="2398">
      <c r="A2398" s="7" t="s">
        <v>1920</v>
      </c>
      <c r="B2398" s="7" t="s">
        <v>1921</v>
      </c>
      <c r="C2398" s="7" t="s">
        <v>1584</v>
      </c>
      <c r="D2398" s="7">
        <v>9.13672485E8</v>
      </c>
      <c r="E2398" s="7" t="s">
        <v>1695</v>
      </c>
      <c r="F2398" s="7" t="s">
        <v>1696</v>
      </c>
    </row>
    <row r="2399">
      <c r="A2399" s="7" t="s">
        <v>5865</v>
      </c>
      <c r="B2399" s="7" t="s">
        <v>2680</v>
      </c>
      <c r="C2399" s="7" t="s">
        <v>5866</v>
      </c>
      <c r="D2399" s="7">
        <v>9.13772358E8</v>
      </c>
      <c r="E2399" s="7" t="s">
        <v>1695</v>
      </c>
      <c r="F2399" s="7" t="s">
        <v>1696</v>
      </c>
    </row>
    <row r="2400">
      <c r="A2400" s="7" t="s">
        <v>3636</v>
      </c>
      <c r="B2400" s="7" t="s">
        <v>353</v>
      </c>
      <c r="C2400" s="7" t="s">
        <v>3637</v>
      </c>
      <c r="D2400" s="7">
        <v>9.13987688E8</v>
      </c>
      <c r="E2400" s="7" t="s">
        <v>1695</v>
      </c>
      <c r="F2400" s="7" t="s">
        <v>1696</v>
      </c>
    </row>
    <row r="2401">
      <c r="A2401" s="7" t="s">
        <v>3641</v>
      </c>
      <c r="B2401" s="7" t="s">
        <v>3642</v>
      </c>
      <c r="C2401" s="7" t="s">
        <v>3643</v>
      </c>
      <c r="D2401" s="7">
        <v>9.14497622E8</v>
      </c>
      <c r="E2401" s="7" t="s">
        <v>1695</v>
      </c>
      <c r="F2401" s="7" t="s">
        <v>1696</v>
      </c>
    </row>
    <row r="2402">
      <c r="A2402" s="7" t="s">
        <v>1967</v>
      </c>
      <c r="B2402" s="7" t="s">
        <v>1968</v>
      </c>
      <c r="C2402" s="7" t="s">
        <v>1969</v>
      </c>
      <c r="D2402" s="7">
        <v>9.18082965E8</v>
      </c>
      <c r="E2402" s="7" t="s">
        <v>1695</v>
      </c>
      <c r="F2402" s="7" t="s">
        <v>1696</v>
      </c>
    </row>
    <row r="2403">
      <c r="A2403" s="7" t="s">
        <v>2228</v>
      </c>
      <c r="B2403" s="7" t="s">
        <v>2229</v>
      </c>
      <c r="C2403" s="7" t="s">
        <v>2230</v>
      </c>
      <c r="D2403" s="7">
        <v>9.18232918E8</v>
      </c>
      <c r="E2403" s="7" t="s">
        <v>1695</v>
      </c>
      <c r="F2403" s="7" t="s">
        <v>1696</v>
      </c>
    </row>
    <row r="2404">
      <c r="A2404" s="7" t="s">
        <v>2899</v>
      </c>
      <c r="B2404" s="7" t="s">
        <v>2900</v>
      </c>
      <c r="C2404" s="7" t="s">
        <v>540</v>
      </c>
      <c r="D2404" s="7">
        <v>9.1841323E8</v>
      </c>
      <c r="E2404" s="7" t="s">
        <v>1695</v>
      </c>
      <c r="F2404" s="7" t="s">
        <v>1696</v>
      </c>
    </row>
    <row r="2405">
      <c r="A2405" s="7" t="s">
        <v>3451</v>
      </c>
      <c r="B2405" s="7" t="s">
        <v>414</v>
      </c>
      <c r="C2405" s="7" t="s">
        <v>3452</v>
      </c>
      <c r="D2405" s="7">
        <v>9.19202342E8</v>
      </c>
      <c r="E2405" s="7" t="s">
        <v>1695</v>
      </c>
      <c r="F2405" s="7" t="s">
        <v>1696</v>
      </c>
    </row>
    <row r="2406">
      <c r="A2406" s="7" t="s">
        <v>3449</v>
      </c>
      <c r="B2406" s="7" t="s">
        <v>129</v>
      </c>
      <c r="C2406" s="7" t="s">
        <v>3450</v>
      </c>
      <c r="D2406" s="7">
        <v>9.213056E8</v>
      </c>
      <c r="E2406" s="7" t="s">
        <v>1695</v>
      </c>
      <c r="F2406" s="7" t="s">
        <v>1696</v>
      </c>
    </row>
    <row r="2407">
      <c r="A2407" s="7" t="s">
        <v>1701</v>
      </c>
      <c r="B2407" s="7" t="s">
        <v>1702</v>
      </c>
      <c r="C2407" s="7" t="s">
        <v>1703</v>
      </c>
      <c r="D2407" s="7">
        <v>9.21342638E8</v>
      </c>
      <c r="E2407" s="7" t="s">
        <v>1695</v>
      </c>
      <c r="F2407" s="7" t="s">
        <v>1696</v>
      </c>
    </row>
    <row r="2408">
      <c r="A2408" s="7" t="s">
        <v>1753</v>
      </c>
      <c r="B2408" s="7" t="s">
        <v>267</v>
      </c>
      <c r="C2408" s="7" t="s">
        <v>64</v>
      </c>
      <c r="D2408" s="7">
        <v>9.21764304E8</v>
      </c>
      <c r="E2408" s="7" t="s">
        <v>1695</v>
      </c>
      <c r="F2408" s="7" t="s">
        <v>1696</v>
      </c>
    </row>
    <row r="2409">
      <c r="A2409" s="7" t="s">
        <v>3414</v>
      </c>
      <c r="B2409" s="7" t="s">
        <v>1746</v>
      </c>
      <c r="C2409" s="7" t="s">
        <v>3415</v>
      </c>
      <c r="D2409" s="7">
        <v>9.23684875E8</v>
      </c>
      <c r="E2409" s="7" t="s">
        <v>1695</v>
      </c>
      <c r="F2409" s="7" t="s">
        <v>1696</v>
      </c>
    </row>
    <row r="2410">
      <c r="A2410" s="7" t="s">
        <v>3621</v>
      </c>
      <c r="B2410" s="7" t="s">
        <v>3622</v>
      </c>
      <c r="C2410" s="7" t="s">
        <v>3623</v>
      </c>
      <c r="D2410" s="7">
        <v>9.23781113E8</v>
      </c>
      <c r="E2410" s="7" t="s">
        <v>1695</v>
      </c>
      <c r="F2410" s="7" t="s">
        <v>1696</v>
      </c>
    </row>
    <row r="2411">
      <c r="A2411" s="7" t="s">
        <v>1851</v>
      </c>
      <c r="B2411" s="7" t="s">
        <v>304</v>
      </c>
      <c r="C2411" s="7" t="s">
        <v>1852</v>
      </c>
      <c r="D2411" s="7">
        <v>9.23833039E8</v>
      </c>
      <c r="E2411" s="7" t="s">
        <v>1695</v>
      </c>
      <c r="F2411" s="7" t="s">
        <v>1696</v>
      </c>
    </row>
    <row r="2412">
      <c r="A2412" s="7" t="s">
        <v>3141</v>
      </c>
      <c r="B2412" s="7" t="s">
        <v>386</v>
      </c>
      <c r="C2412" s="7" t="s">
        <v>918</v>
      </c>
      <c r="D2412" s="7">
        <v>9.23996965E8</v>
      </c>
      <c r="E2412" s="7" t="s">
        <v>1695</v>
      </c>
      <c r="F2412" s="7" t="s">
        <v>1696</v>
      </c>
    </row>
    <row r="2413">
      <c r="A2413" s="7" t="s">
        <v>5431</v>
      </c>
      <c r="B2413" s="7" t="s">
        <v>4407</v>
      </c>
      <c r="C2413" s="7" t="s">
        <v>5432</v>
      </c>
      <c r="D2413" s="7">
        <v>9.25094377E8</v>
      </c>
      <c r="E2413" s="7" t="s">
        <v>1695</v>
      </c>
      <c r="F2413" s="7" t="s">
        <v>1696</v>
      </c>
    </row>
    <row r="2414">
      <c r="A2414" s="7" t="s">
        <v>3372</v>
      </c>
      <c r="B2414" s="7" t="s">
        <v>3373</v>
      </c>
      <c r="C2414" s="7" t="s">
        <v>3373</v>
      </c>
      <c r="D2414" s="7">
        <v>9.25962096E8</v>
      </c>
      <c r="E2414" s="7" t="s">
        <v>1695</v>
      </c>
      <c r="F2414" s="7" t="s">
        <v>1696</v>
      </c>
    </row>
    <row r="2415">
      <c r="A2415" s="7" t="s">
        <v>2552</v>
      </c>
      <c r="B2415" s="7" t="s">
        <v>2553</v>
      </c>
      <c r="C2415" s="7" t="s">
        <v>2554</v>
      </c>
      <c r="D2415" s="7">
        <v>9.27727475E8</v>
      </c>
      <c r="E2415" s="7" t="s">
        <v>1695</v>
      </c>
      <c r="F2415" s="7" t="s">
        <v>1696</v>
      </c>
    </row>
    <row r="2416">
      <c r="A2416" s="7" t="s">
        <v>2574</v>
      </c>
      <c r="B2416" s="7" t="s">
        <v>849</v>
      </c>
      <c r="C2416" s="7" t="s">
        <v>2547</v>
      </c>
      <c r="D2416" s="7">
        <v>9.28204561E8</v>
      </c>
      <c r="E2416" s="7" t="s">
        <v>1695</v>
      </c>
      <c r="F2416" s="7" t="s">
        <v>1696</v>
      </c>
    </row>
    <row r="2417">
      <c r="A2417" s="7" t="s">
        <v>3289</v>
      </c>
      <c r="B2417" s="7" t="s">
        <v>3290</v>
      </c>
      <c r="C2417" s="7" t="s">
        <v>3291</v>
      </c>
      <c r="D2417" s="7">
        <v>9.28986345E8</v>
      </c>
      <c r="E2417" s="7" t="s">
        <v>1695</v>
      </c>
      <c r="F2417" s="7" t="s">
        <v>1696</v>
      </c>
    </row>
    <row r="2418">
      <c r="A2418" s="7" t="s">
        <v>2367</v>
      </c>
      <c r="B2418" s="7" t="s">
        <v>1226</v>
      </c>
      <c r="C2418" s="7" t="s">
        <v>649</v>
      </c>
      <c r="D2418" s="7">
        <v>9.29811396E8</v>
      </c>
      <c r="E2418" s="7" t="s">
        <v>1695</v>
      </c>
      <c r="F2418" s="7" t="s">
        <v>1696</v>
      </c>
    </row>
    <row r="2419">
      <c r="A2419" s="7" t="s">
        <v>2214</v>
      </c>
      <c r="B2419" s="7" t="s">
        <v>2215</v>
      </c>
      <c r="C2419" s="7" t="s">
        <v>1130</v>
      </c>
      <c r="D2419" s="7">
        <v>9.30496611E8</v>
      </c>
      <c r="E2419" s="7" t="s">
        <v>1695</v>
      </c>
      <c r="F2419" s="7" t="s">
        <v>1696</v>
      </c>
    </row>
    <row r="2420">
      <c r="A2420" s="7" t="s">
        <v>4640</v>
      </c>
      <c r="B2420" s="7" t="s">
        <v>414</v>
      </c>
      <c r="C2420" s="7" t="s">
        <v>2724</v>
      </c>
      <c r="D2420" s="7">
        <v>9.30589405E8</v>
      </c>
      <c r="E2420" s="7" t="s">
        <v>1695</v>
      </c>
      <c r="F2420" s="7" t="s">
        <v>1696</v>
      </c>
    </row>
    <row r="2421">
      <c r="A2421" s="7" t="s">
        <v>2445</v>
      </c>
      <c r="B2421" s="7" t="s">
        <v>2446</v>
      </c>
      <c r="C2421" s="7" t="s">
        <v>1769</v>
      </c>
      <c r="D2421" s="7">
        <v>9.36064639E8</v>
      </c>
      <c r="E2421" s="7" t="s">
        <v>1695</v>
      </c>
      <c r="F2421" s="7" t="s">
        <v>1696</v>
      </c>
    </row>
    <row r="2422">
      <c r="A2422" s="7" t="s">
        <v>2120</v>
      </c>
      <c r="B2422" s="7" t="s">
        <v>446</v>
      </c>
      <c r="C2422" s="7" t="s">
        <v>1586</v>
      </c>
      <c r="D2422" s="7">
        <v>9.37038653E8</v>
      </c>
      <c r="E2422" s="7" t="s">
        <v>1695</v>
      </c>
      <c r="F2422" s="7" t="s">
        <v>1696</v>
      </c>
    </row>
    <row r="2423">
      <c r="A2423" s="7" t="s">
        <v>2749</v>
      </c>
      <c r="B2423" s="7" t="s">
        <v>2110</v>
      </c>
      <c r="C2423" s="7" t="s">
        <v>1000</v>
      </c>
      <c r="D2423" s="7">
        <v>9.40261154E8</v>
      </c>
      <c r="E2423" s="7" t="s">
        <v>1695</v>
      </c>
      <c r="F2423" s="7" t="s">
        <v>1696</v>
      </c>
    </row>
    <row r="2424">
      <c r="A2424" s="7" t="s">
        <v>2253</v>
      </c>
      <c r="B2424" s="7" t="s">
        <v>2254</v>
      </c>
      <c r="C2424" s="7" t="s">
        <v>2255</v>
      </c>
      <c r="D2424" s="7">
        <v>9.44286611E8</v>
      </c>
      <c r="E2424" s="7" t="s">
        <v>1695</v>
      </c>
      <c r="F2424" s="7" t="s">
        <v>1696</v>
      </c>
    </row>
    <row r="2425">
      <c r="A2425" s="7" t="s">
        <v>3681</v>
      </c>
      <c r="B2425" s="7" t="s">
        <v>3682</v>
      </c>
      <c r="C2425" s="7" t="s">
        <v>292</v>
      </c>
      <c r="D2425" s="7">
        <v>9.46407383E8</v>
      </c>
      <c r="E2425" s="7" t="s">
        <v>1695</v>
      </c>
      <c r="F2425" s="7" t="s">
        <v>1696</v>
      </c>
    </row>
    <row r="2426">
      <c r="A2426" s="7" t="s">
        <v>5257</v>
      </c>
      <c r="B2426" s="7" t="s">
        <v>795</v>
      </c>
      <c r="C2426" s="7" t="s">
        <v>2931</v>
      </c>
      <c r="D2426" s="7">
        <v>9.46561459E8</v>
      </c>
      <c r="E2426" s="7" t="s">
        <v>1695</v>
      </c>
      <c r="F2426" s="7" t="s">
        <v>1696</v>
      </c>
    </row>
    <row r="2427">
      <c r="A2427" s="7" t="s">
        <v>2425</v>
      </c>
      <c r="B2427" s="7" t="s">
        <v>2426</v>
      </c>
      <c r="C2427" s="7" t="s">
        <v>916</v>
      </c>
      <c r="D2427" s="7">
        <v>9.47331893E8</v>
      </c>
      <c r="E2427" s="7" t="s">
        <v>1695</v>
      </c>
      <c r="F2427" s="7" t="s">
        <v>1696</v>
      </c>
    </row>
    <row r="2428">
      <c r="A2428" s="7" t="s">
        <v>2871</v>
      </c>
      <c r="B2428" s="7" t="s">
        <v>1502</v>
      </c>
      <c r="C2428" s="7" t="s">
        <v>1215</v>
      </c>
      <c r="D2428" s="7">
        <v>9.47721833E8</v>
      </c>
      <c r="E2428" s="7" t="s">
        <v>1695</v>
      </c>
      <c r="F2428" s="7" t="s">
        <v>1696</v>
      </c>
    </row>
    <row r="2429">
      <c r="A2429" s="7" t="s">
        <v>3647</v>
      </c>
      <c r="B2429" s="7" t="s">
        <v>3648</v>
      </c>
      <c r="C2429" s="7" t="s">
        <v>3649</v>
      </c>
      <c r="D2429" s="7">
        <v>9.47796643E8</v>
      </c>
      <c r="E2429" s="7" t="s">
        <v>1695</v>
      </c>
      <c r="F2429" s="7" t="s">
        <v>1696</v>
      </c>
    </row>
    <row r="2430">
      <c r="A2430" s="7" t="s">
        <v>4205</v>
      </c>
      <c r="B2430" s="7" t="s">
        <v>4206</v>
      </c>
      <c r="C2430" s="7" t="s">
        <v>4207</v>
      </c>
      <c r="D2430" s="7">
        <v>9.53892386E8</v>
      </c>
      <c r="E2430" s="7" t="s">
        <v>1695</v>
      </c>
      <c r="F2430" s="7" t="s">
        <v>1696</v>
      </c>
    </row>
    <row r="2431">
      <c r="A2431" s="7" t="s">
        <v>3893</v>
      </c>
      <c r="B2431" s="7" t="s">
        <v>2382</v>
      </c>
      <c r="C2431" s="7" t="s">
        <v>3894</v>
      </c>
      <c r="D2431" s="7">
        <v>9.61266525E8</v>
      </c>
      <c r="E2431" s="7" t="s">
        <v>1695</v>
      </c>
      <c r="F2431" s="7" t="s">
        <v>1696</v>
      </c>
    </row>
    <row r="2432">
      <c r="A2432" s="7" t="s">
        <v>2167</v>
      </c>
      <c r="B2432" s="7" t="s">
        <v>2168</v>
      </c>
      <c r="C2432" s="7" t="s">
        <v>2169</v>
      </c>
      <c r="D2432" s="7">
        <v>9.70453199E8</v>
      </c>
      <c r="E2432" s="7" t="s">
        <v>1695</v>
      </c>
      <c r="F2432" s="7" t="s">
        <v>1696</v>
      </c>
    </row>
    <row r="2433">
      <c r="A2433" s="7" t="s">
        <v>2360</v>
      </c>
      <c r="B2433" s="7" t="s">
        <v>192</v>
      </c>
      <c r="C2433" s="7" t="s">
        <v>2361</v>
      </c>
      <c r="D2433" s="7">
        <v>9.7399596E8</v>
      </c>
      <c r="E2433" s="7" t="s">
        <v>1695</v>
      </c>
      <c r="F2433" s="7" t="s">
        <v>1696</v>
      </c>
    </row>
    <row r="2434">
      <c r="A2434" s="7" t="s">
        <v>3559</v>
      </c>
      <c r="B2434" s="7" t="s">
        <v>3560</v>
      </c>
      <c r="C2434" s="7" t="s">
        <v>3561</v>
      </c>
      <c r="D2434" s="7">
        <v>9.74978807E8</v>
      </c>
      <c r="E2434" s="7" t="s">
        <v>1695</v>
      </c>
      <c r="F2434" s="7" t="s">
        <v>1696</v>
      </c>
    </row>
    <row r="2435">
      <c r="A2435" s="7" t="s">
        <v>1992</v>
      </c>
      <c r="B2435" s="7" t="s">
        <v>750</v>
      </c>
      <c r="C2435" s="7" t="s">
        <v>1993</v>
      </c>
      <c r="D2435" s="7">
        <v>9.7574674E8</v>
      </c>
      <c r="E2435" s="7" t="s">
        <v>1695</v>
      </c>
      <c r="F2435" s="7" t="s">
        <v>1696</v>
      </c>
    </row>
    <row r="2436">
      <c r="A2436" s="7" t="s">
        <v>3470</v>
      </c>
      <c r="B2436" s="7" t="s">
        <v>1502</v>
      </c>
      <c r="C2436" s="7" t="s">
        <v>3471</v>
      </c>
      <c r="D2436" s="7">
        <v>9.77071277E8</v>
      </c>
      <c r="E2436" s="7" t="s">
        <v>1695</v>
      </c>
      <c r="F2436" s="7" t="s">
        <v>1696</v>
      </c>
    </row>
    <row r="2437">
      <c r="A2437" s="7" t="s">
        <v>1797</v>
      </c>
      <c r="B2437" s="7" t="s">
        <v>1798</v>
      </c>
      <c r="C2437" s="7" t="s">
        <v>1799</v>
      </c>
      <c r="D2437" s="7">
        <v>9.85042445E8</v>
      </c>
      <c r="E2437" s="7" t="s">
        <v>1695</v>
      </c>
      <c r="F2437" s="7" t="s">
        <v>1696</v>
      </c>
    </row>
    <row r="2438">
      <c r="A2438" s="7" t="s">
        <v>2246</v>
      </c>
      <c r="B2438" s="7" t="s">
        <v>2247</v>
      </c>
      <c r="C2438" s="7" t="s">
        <v>443</v>
      </c>
      <c r="D2438" s="7">
        <v>9.86929229E8</v>
      </c>
      <c r="E2438" s="7" t="s">
        <v>1695</v>
      </c>
      <c r="F2438" s="7" t="s">
        <v>1696</v>
      </c>
    </row>
    <row r="2439">
      <c r="A2439" s="7" t="s">
        <v>2569</v>
      </c>
      <c r="B2439" s="7" t="s">
        <v>574</v>
      </c>
      <c r="C2439" s="7" t="s">
        <v>2570</v>
      </c>
      <c r="D2439" s="7">
        <v>9.87310231E8</v>
      </c>
      <c r="E2439" s="7" t="s">
        <v>1695</v>
      </c>
      <c r="F2439" s="7" t="s">
        <v>1696</v>
      </c>
    </row>
    <row r="2440">
      <c r="A2440" s="7" t="s">
        <v>2942</v>
      </c>
      <c r="B2440" s="7" t="s">
        <v>2943</v>
      </c>
      <c r="C2440" s="7" t="s">
        <v>2944</v>
      </c>
      <c r="D2440" s="7">
        <v>9.89857404E8</v>
      </c>
      <c r="E2440" s="7" t="s">
        <v>1695</v>
      </c>
      <c r="F2440" s="7" t="s">
        <v>1696</v>
      </c>
    </row>
    <row r="2441">
      <c r="A2441" s="7" t="s">
        <v>2238</v>
      </c>
      <c r="B2441" s="7" t="s">
        <v>2239</v>
      </c>
      <c r="C2441" s="7" t="s">
        <v>2240</v>
      </c>
      <c r="D2441" s="7">
        <v>9.14170488E8</v>
      </c>
      <c r="E2441" s="7" t="s">
        <v>1695</v>
      </c>
      <c r="F2441" s="7" t="s">
        <v>1696</v>
      </c>
    </row>
    <row r="2442">
      <c r="A2442" s="7" t="s">
        <v>2495</v>
      </c>
      <c r="B2442" s="7" t="s">
        <v>2496</v>
      </c>
      <c r="C2442" s="7" t="s">
        <v>913</v>
      </c>
      <c r="D2442" s="7">
        <v>9.62085656E8</v>
      </c>
      <c r="E2442" s="7" t="s">
        <v>1695</v>
      </c>
      <c r="F2442" s="7" t="s">
        <v>1696</v>
      </c>
    </row>
    <row r="2443">
      <c r="A2443" s="7" t="s">
        <v>2668</v>
      </c>
      <c r="B2443" s="7" t="s">
        <v>192</v>
      </c>
      <c r="C2443" s="7" t="s">
        <v>1269</v>
      </c>
      <c r="D2443" s="7">
        <v>9.02653951E8</v>
      </c>
      <c r="E2443" s="7" t="s">
        <v>1695</v>
      </c>
      <c r="F2443" s="7" t="s">
        <v>1696</v>
      </c>
    </row>
    <row r="2444">
      <c r="A2444" s="7" t="s">
        <v>5990</v>
      </c>
      <c r="B2444" s="7" t="s">
        <v>5991</v>
      </c>
      <c r="C2444" s="7" t="s">
        <v>186</v>
      </c>
      <c r="D2444" s="7" t="s">
        <v>8840</v>
      </c>
      <c r="E2444" s="7" t="s">
        <v>1695</v>
      </c>
      <c r="F2444" s="7" t="s">
        <v>1696</v>
      </c>
    </row>
    <row r="2445">
      <c r="A2445" s="7" t="s">
        <v>5782</v>
      </c>
      <c r="B2445" s="7" t="s">
        <v>5783</v>
      </c>
      <c r="C2445" s="7" t="s">
        <v>810</v>
      </c>
      <c r="D2445" s="7" t="s">
        <v>8841</v>
      </c>
      <c r="E2445" s="7" t="s">
        <v>1695</v>
      </c>
      <c r="F2445" s="7" t="s">
        <v>1696</v>
      </c>
    </row>
    <row r="2446">
      <c r="A2446" s="7" t="s">
        <v>2586</v>
      </c>
      <c r="B2446" s="7" t="s">
        <v>2587</v>
      </c>
      <c r="C2446" s="7" t="s">
        <v>446</v>
      </c>
      <c r="D2446" s="7" t="s">
        <v>8842</v>
      </c>
      <c r="E2446" s="7" t="s">
        <v>1695</v>
      </c>
      <c r="F2446" s="7" t="s">
        <v>1696</v>
      </c>
    </row>
    <row r="2447">
      <c r="A2447" s="7" t="s">
        <v>2250</v>
      </c>
      <c r="B2447" s="7" t="s">
        <v>2251</v>
      </c>
      <c r="C2447" s="7" t="s">
        <v>428</v>
      </c>
      <c r="D2447" s="7" t="s">
        <v>8843</v>
      </c>
      <c r="E2447" s="7" t="s">
        <v>1695</v>
      </c>
      <c r="F2447" s="7" t="s">
        <v>1696</v>
      </c>
    </row>
    <row r="2448">
      <c r="A2448" s="7" t="s">
        <v>5571</v>
      </c>
      <c r="B2448" s="7" t="s">
        <v>5572</v>
      </c>
      <c r="C2448" s="7" t="s">
        <v>1954</v>
      </c>
      <c r="D2448" s="7" t="s">
        <v>8844</v>
      </c>
      <c r="E2448" s="7" t="s">
        <v>1695</v>
      </c>
      <c r="F2448" s="7" t="s">
        <v>1696</v>
      </c>
    </row>
    <row r="2449">
      <c r="A2449" s="7" t="s">
        <v>3421</v>
      </c>
      <c r="B2449" s="7" t="s">
        <v>3422</v>
      </c>
      <c r="C2449" s="7" t="s">
        <v>1888</v>
      </c>
      <c r="D2449" s="7" t="s">
        <v>8845</v>
      </c>
      <c r="E2449" s="7" t="s">
        <v>1695</v>
      </c>
      <c r="F2449" s="7" t="s">
        <v>1696</v>
      </c>
    </row>
    <row r="2450">
      <c r="A2450" s="7" t="s">
        <v>2476</v>
      </c>
      <c r="B2450" s="7" t="s">
        <v>2477</v>
      </c>
      <c r="C2450" s="7" t="s">
        <v>2478</v>
      </c>
      <c r="D2450" s="7" t="s">
        <v>8846</v>
      </c>
      <c r="E2450" s="7" t="s">
        <v>1695</v>
      </c>
      <c r="F2450" s="7" t="s">
        <v>1696</v>
      </c>
    </row>
    <row r="2451">
      <c r="A2451" s="7" t="s">
        <v>3960</v>
      </c>
      <c r="B2451" s="7" t="s">
        <v>760</v>
      </c>
      <c r="C2451" s="7" t="s">
        <v>70</v>
      </c>
      <c r="D2451" s="7" t="s">
        <v>8847</v>
      </c>
      <c r="E2451" s="7" t="s">
        <v>1695</v>
      </c>
      <c r="F2451" s="7" t="s">
        <v>1696</v>
      </c>
    </row>
    <row r="2452">
      <c r="A2452" s="7" t="s">
        <v>4596</v>
      </c>
      <c r="B2452" s="7" t="s">
        <v>3877</v>
      </c>
      <c r="C2452" s="7" t="s">
        <v>4597</v>
      </c>
      <c r="D2452" s="7" t="s">
        <v>8848</v>
      </c>
      <c r="E2452" s="7" t="s">
        <v>1695</v>
      </c>
      <c r="F2452" s="7" t="s">
        <v>1696</v>
      </c>
    </row>
    <row r="2453">
      <c r="A2453" s="7" t="s">
        <v>5261</v>
      </c>
      <c r="B2453" s="7" t="s">
        <v>5262</v>
      </c>
      <c r="C2453" s="7" t="s">
        <v>795</v>
      </c>
      <c r="D2453" s="7" t="s">
        <v>8849</v>
      </c>
      <c r="E2453" s="7" t="s">
        <v>1695</v>
      </c>
      <c r="F2453" s="7" t="s">
        <v>1696</v>
      </c>
    </row>
    <row r="2454">
      <c r="A2454" s="7" t="s">
        <v>4210</v>
      </c>
      <c r="B2454" s="7" t="s">
        <v>4211</v>
      </c>
      <c r="C2454" s="7" t="s">
        <v>649</v>
      </c>
      <c r="D2454" s="7" t="s">
        <v>8850</v>
      </c>
      <c r="E2454" s="7" t="s">
        <v>1695</v>
      </c>
      <c r="F2454" s="7" t="s">
        <v>1696</v>
      </c>
    </row>
    <row r="2455">
      <c r="A2455" s="7" t="s">
        <v>4349</v>
      </c>
      <c r="B2455" s="7" t="s">
        <v>282</v>
      </c>
      <c r="C2455" s="7" t="s">
        <v>1584</v>
      </c>
      <c r="D2455" s="7" t="s">
        <v>8851</v>
      </c>
      <c r="E2455" s="7" t="s">
        <v>1695</v>
      </c>
      <c r="F2455" s="7" t="s">
        <v>1696</v>
      </c>
    </row>
    <row r="2456">
      <c r="A2456" s="7" t="s">
        <v>5448</v>
      </c>
      <c r="B2456" s="7" t="s">
        <v>5449</v>
      </c>
      <c r="C2456" s="7" t="s">
        <v>105</v>
      </c>
      <c r="D2456" s="7" t="s">
        <v>8852</v>
      </c>
      <c r="E2456" s="7" t="s">
        <v>1695</v>
      </c>
      <c r="F2456" s="7" t="s">
        <v>1696</v>
      </c>
    </row>
    <row r="2457">
      <c r="A2457" s="7" t="s">
        <v>5068</v>
      </c>
      <c r="B2457" s="7" t="s">
        <v>1054</v>
      </c>
      <c r="C2457" s="7" t="s">
        <v>5069</v>
      </c>
      <c r="D2457" s="7" t="s">
        <v>8853</v>
      </c>
      <c r="E2457" s="7" t="s">
        <v>1695</v>
      </c>
      <c r="F2457" s="7" t="s">
        <v>1696</v>
      </c>
    </row>
    <row r="2458">
      <c r="A2458" s="7" t="s">
        <v>2005</v>
      </c>
      <c r="B2458" s="7" t="s">
        <v>2006</v>
      </c>
      <c r="C2458" s="7" t="s">
        <v>2007</v>
      </c>
      <c r="D2458" s="7" t="s">
        <v>8854</v>
      </c>
      <c r="E2458" s="7" t="s">
        <v>1695</v>
      </c>
      <c r="F2458" s="7" t="s">
        <v>1696</v>
      </c>
    </row>
    <row r="2459">
      <c r="A2459" s="7" t="s">
        <v>1844</v>
      </c>
      <c r="B2459" s="7" t="s">
        <v>760</v>
      </c>
      <c r="C2459" s="7" t="s">
        <v>1845</v>
      </c>
      <c r="D2459" s="7" t="s">
        <v>8855</v>
      </c>
      <c r="E2459" s="7" t="s">
        <v>1695</v>
      </c>
      <c r="F2459" s="7" t="s">
        <v>1696</v>
      </c>
    </row>
    <row r="2460">
      <c r="A2460" s="7" t="s">
        <v>4300</v>
      </c>
      <c r="B2460" s="7" t="s">
        <v>4301</v>
      </c>
      <c r="C2460" s="7" t="s">
        <v>3150</v>
      </c>
      <c r="D2460" s="7" t="s">
        <v>8814</v>
      </c>
      <c r="E2460" s="7" t="s">
        <v>1695</v>
      </c>
      <c r="F2460" s="7" t="s">
        <v>1696</v>
      </c>
    </row>
    <row r="2461">
      <c r="A2461" s="7" t="s">
        <v>3165</v>
      </c>
      <c r="B2461" s="7" t="s">
        <v>3166</v>
      </c>
      <c r="C2461" s="7" t="s">
        <v>3167</v>
      </c>
      <c r="D2461" s="7">
        <v>9.22160964E8</v>
      </c>
      <c r="E2461" s="7" t="s">
        <v>1695</v>
      </c>
      <c r="F2461" s="7" t="s">
        <v>1696</v>
      </c>
    </row>
    <row r="2462">
      <c r="A2462" s="7" t="s">
        <v>6476</v>
      </c>
      <c r="B2462" s="7" t="s">
        <v>46</v>
      </c>
      <c r="C2462" s="7" t="s">
        <v>1368</v>
      </c>
      <c r="D2462" s="7" t="s">
        <v>8856</v>
      </c>
      <c r="E2462" s="7" t="s">
        <v>6426</v>
      </c>
      <c r="F2462" s="7"/>
    </row>
    <row r="2463">
      <c r="A2463" s="7" t="s">
        <v>6441</v>
      </c>
      <c r="B2463" s="7" t="s">
        <v>129</v>
      </c>
      <c r="C2463" s="7" t="s">
        <v>325</v>
      </c>
      <c r="D2463" s="7" t="s">
        <v>8857</v>
      </c>
      <c r="E2463" s="7" t="s">
        <v>6426</v>
      </c>
      <c r="F2463" s="7"/>
    </row>
    <row r="2464">
      <c r="A2464" s="7" t="s">
        <v>6467</v>
      </c>
      <c r="B2464" s="7" t="s">
        <v>195</v>
      </c>
      <c r="C2464" s="7" t="s">
        <v>1215</v>
      </c>
      <c r="D2464" s="7" t="s">
        <v>8858</v>
      </c>
      <c r="E2464" s="7" t="s">
        <v>6426</v>
      </c>
      <c r="F2464" s="7"/>
    </row>
    <row r="2465">
      <c r="A2465" s="7" t="s">
        <v>6492</v>
      </c>
      <c r="B2465" s="7" t="s">
        <v>6493</v>
      </c>
      <c r="C2465" s="7" t="s">
        <v>6494</v>
      </c>
      <c r="D2465" s="7" t="s">
        <v>8859</v>
      </c>
      <c r="E2465" s="7" t="s">
        <v>6426</v>
      </c>
      <c r="F2465" s="7"/>
    </row>
    <row r="2466">
      <c r="A2466" s="7" t="s">
        <v>6486</v>
      </c>
      <c r="B2466" s="7" t="s">
        <v>66</v>
      </c>
      <c r="C2466" s="7" t="s">
        <v>4296</v>
      </c>
      <c r="D2466" s="7" t="s">
        <v>8860</v>
      </c>
      <c r="E2466" s="7" t="s">
        <v>6426</v>
      </c>
      <c r="F2466" s="7"/>
    </row>
    <row r="2467">
      <c r="A2467" s="7" t="s">
        <v>6490</v>
      </c>
      <c r="B2467" s="7" t="s">
        <v>1108</v>
      </c>
      <c r="C2467" s="7" t="s">
        <v>1109</v>
      </c>
      <c r="D2467" s="7" t="s">
        <v>8861</v>
      </c>
      <c r="E2467" s="7" t="s">
        <v>6426</v>
      </c>
      <c r="F2467" s="7"/>
    </row>
    <row r="2468">
      <c r="A2468" s="7" t="s">
        <v>6453</v>
      </c>
      <c r="B2468" s="7" t="s">
        <v>344</v>
      </c>
      <c r="C2468" s="7" t="s">
        <v>1636</v>
      </c>
      <c r="D2468" s="7" t="s">
        <v>8862</v>
      </c>
      <c r="E2468" s="7" t="s">
        <v>6426</v>
      </c>
      <c r="F2468" s="7"/>
    </row>
    <row r="2469">
      <c r="A2469" s="7" t="s">
        <v>6427</v>
      </c>
      <c r="B2469" s="7" t="s">
        <v>356</v>
      </c>
      <c r="C2469" s="7" t="s">
        <v>6428</v>
      </c>
      <c r="D2469" s="7" t="s">
        <v>8863</v>
      </c>
      <c r="E2469" s="7" t="s">
        <v>6426</v>
      </c>
      <c r="F2469" s="7"/>
    </row>
    <row r="2470">
      <c r="A2470" s="7" t="s">
        <v>6498</v>
      </c>
      <c r="B2470" s="7" t="s">
        <v>6499</v>
      </c>
      <c r="C2470" s="7" t="s">
        <v>35</v>
      </c>
      <c r="D2470" s="7" t="s">
        <v>8864</v>
      </c>
      <c r="E2470" s="7" t="s">
        <v>6426</v>
      </c>
      <c r="F2470" s="7"/>
    </row>
    <row r="2471">
      <c r="A2471" s="7" t="s">
        <v>6491</v>
      </c>
      <c r="B2471" s="7" t="s">
        <v>1368</v>
      </c>
      <c r="C2471" s="7" t="s">
        <v>1561</v>
      </c>
      <c r="D2471" s="7" t="s">
        <v>8865</v>
      </c>
      <c r="E2471" s="7" t="s">
        <v>6426</v>
      </c>
      <c r="F2471" s="7"/>
    </row>
    <row r="2472">
      <c r="A2472" s="7" t="s">
        <v>6468</v>
      </c>
      <c r="B2472" s="7" t="s">
        <v>6469</v>
      </c>
      <c r="C2472" s="7" t="s">
        <v>6470</v>
      </c>
      <c r="D2472" s="7" t="s">
        <v>8866</v>
      </c>
      <c r="E2472" s="7" t="s">
        <v>6426</v>
      </c>
      <c r="F2472" s="7"/>
    </row>
    <row r="2473">
      <c r="A2473" s="7" t="s">
        <v>6433</v>
      </c>
      <c r="B2473" s="7" t="s">
        <v>1134</v>
      </c>
      <c r="C2473" s="7" t="s">
        <v>6434</v>
      </c>
      <c r="D2473" s="7" t="s">
        <v>8867</v>
      </c>
      <c r="E2473" s="7" t="s">
        <v>6426</v>
      </c>
      <c r="F2473" s="7"/>
    </row>
    <row r="2474">
      <c r="A2474" s="7" t="s">
        <v>6432</v>
      </c>
      <c r="B2474" s="7" t="s">
        <v>386</v>
      </c>
      <c r="C2474" s="7" t="s">
        <v>67</v>
      </c>
      <c r="D2474" s="7" t="s">
        <v>8868</v>
      </c>
      <c r="E2474" s="7" t="s">
        <v>6426</v>
      </c>
      <c r="F2474" s="7"/>
    </row>
    <row r="2475">
      <c r="A2475" s="7" t="s">
        <v>6445</v>
      </c>
      <c r="B2475" s="7" t="s">
        <v>5301</v>
      </c>
      <c r="C2475" s="7" t="s">
        <v>6446</v>
      </c>
      <c r="D2475" s="7" t="s">
        <v>8869</v>
      </c>
      <c r="E2475" s="7" t="s">
        <v>6426</v>
      </c>
      <c r="F2475" s="7"/>
    </row>
    <row r="2476">
      <c r="A2476" s="7" t="s">
        <v>6471</v>
      </c>
      <c r="B2476" s="7" t="s">
        <v>6472</v>
      </c>
      <c r="C2476" s="7" t="s">
        <v>46</v>
      </c>
      <c r="D2476" s="7" t="s">
        <v>8870</v>
      </c>
      <c r="E2476" s="7" t="s">
        <v>6426</v>
      </c>
      <c r="F2476" s="7"/>
    </row>
    <row r="2477">
      <c r="A2477" s="7" t="s">
        <v>6502</v>
      </c>
      <c r="B2477" s="7" t="s">
        <v>3078</v>
      </c>
      <c r="C2477" s="7" t="s">
        <v>771</v>
      </c>
      <c r="D2477" s="7" t="s">
        <v>7196</v>
      </c>
      <c r="E2477" s="7" t="s">
        <v>6426</v>
      </c>
      <c r="F2477" s="7"/>
    </row>
    <row r="2478">
      <c r="A2478" s="7" t="s">
        <v>6478</v>
      </c>
      <c r="B2478" s="7" t="s">
        <v>6479</v>
      </c>
      <c r="C2478" s="7" t="s">
        <v>6480</v>
      </c>
      <c r="D2478" s="7" t="s">
        <v>8871</v>
      </c>
      <c r="E2478" s="7" t="s">
        <v>6426</v>
      </c>
      <c r="F2478" s="7"/>
    </row>
    <row r="2479">
      <c r="A2479" s="7" t="s">
        <v>6429</v>
      </c>
      <c r="B2479" s="7" t="s">
        <v>6430</v>
      </c>
      <c r="C2479" s="7" t="s">
        <v>6431</v>
      </c>
      <c r="D2479" s="7" t="s">
        <v>8872</v>
      </c>
      <c r="E2479" s="7" t="s">
        <v>6426</v>
      </c>
      <c r="F2479" s="7"/>
    </row>
    <row r="2480">
      <c r="A2480" s="7" t="s">
        <v>6503</v>
      </c>
      <c r="B2480" s="7" t="s">
        <v>356</v>
      </c>
      <c r="C2480" s="7" t="s">
        <v>179</v>
      </c>
      <c r="D2480" s="7" t="s">
        <v>8873</v>
      </c>
      <c r="E2480" s="7" t="s">
        <v>6426</v>
      </c>
      <c r="F2480" s="7"/>
    </row>
    <row r="2481">
      <c r="A2481" s="7" t="s">
        <v>6442</v>
      </c>
      <c r="B2481" s="7" t="s">
        <v>6443</v>
      </c>
      <c r="C2481" s="7" t="s">
        <v>6444</v>
      </c>
      <c r="D2481" s="7" t="s">
        <v>8874</v>
      </c>
      <c r="E2481" s="7" t="s">
        <v>6426</v>
      </c>
      <c r="F2481" s="7"/>
    </row>
    <row r="2482">
      <c r="A2482" s="7" t="s">
        <v>6504</v>
      </c>
      <c r="B2482" s="7" t="s">
        <v>6505</v>
      </c>
      <c r="C2482" s="7" t="s">
        <v>6506</v>
      </c>
      <c r="D2482" s="7" t="s">
        <v>8875</v>
      </c>
      <c r="E2482" s="7" t="s">
        <v>6426</v>
      </c>
      <c r="F2482" s="7"/>
    </row>
    <row r="2483">
      <c r="A2483" s="7" t="s">
        <v>6510</v>
      </c>
      <c r="B2483" s="7" t="s">
        <v>6511</v>
      </c>
      <c r="C2483" s="7" t="s">
        <v>312</v>
      </c>
      <c r="D2483" s="7" t="s">
        <v>8876</v>
      </c>
      <c r="E2483" s="7" t="s">
        <v>6426</v>
      </c>
      <c r="F2483" s="7"/>
    </row>
    <row r="2484">
      <c r="A2484" s="7" t="s">
        <v>6495</v>
      </c>
      <c r="B2484" s="7" t="s">
        <v>6496</v>
      </c>
      <c r="C2484" s="7" t="s">
        <v>6497</v>
      </c>
      <c r="D2484" s="7" t="s">
        <v>8877</v>
      </c>
      <c r="E2484" s="7" t="s">
        <v>6426</v>
      </c>
      <c r="F2484" s="7"/>
    </row>
    <row r="2485">
      <c r="A2485" s="7" t="s">
        <v>6459</v>
      </c>
      <c r="B2485" s="7" t="s">
        <v>6460</v>
      </c>
      <c r="C2485" s="7" t="s">
        <v>6461</v>
      </c>
      <c r="D2485" s="7" t="s">
        <v>8878</v>
      </c>
      <c r="E2485" s="7" t="s">
        <v>6426</v>
      </c>
      <c r="F2485" s="7"/>
    </row>
    <row r="2486">
      <c r="A2486" s="7" t="s">
        <v>6474</v>
      </c>
      <c r="B2486" s="7" t="s">
        <v>1000</v>
      </c>
      <c r="C2486" s="7" t="s">
        <v>2693</v>
      </c>
      <c r="D2486" s="7" t="s">
        <v>7776</v>
      </c>
      <c r="E2486" s="7" t="s">
        <v>6426</v>
      </c>
      <c r="F2486" s="7"/>
    </row>
    <row r="2487">
      <c r="A2487" s="7" t="s">
        <v>6477</v>
      </c>
      <c r="B2487" s="7" t="s">
        <v>1000</v>
      </c>
      <c r="C2487" s="7" t="s">
        <v>2685</v>
      </c>
      <c r="D2487" s="7" t="s">
        <v>7776</v>
      </c>
      <c r="E2487" s="7" t="s">
        <v>6426</v>
      </c>
      <c r="F2487" s="7"/>
    </row>
    <row r="2488">
      <c r="A2488" s="7" t="s">
        <v>6481</v>
      </c>
      <c r="B2488" s="7" t="s">
        <v>6482</v>
      </c>
      <c r="C2488" s="7" t="s">
        <v>6483</v>
      </c>
      <c r="D2488" s="7" t="s">
        <v>7784</v>
      </c>
      <c r="E2488" s="7" t="s">
        <v>6426</v>
      </c>
      <c r="F2488" s="7"/>
    </row>
    <row r="2489">
      <c r="A2489" s="7" t="s">
        <v>6507</v>
      </c>
      <c r="B2489" s="7" t="s">
        <v>298</v>
      </c>
      <c r="C2489" s="7" t="s">
        <v>1500</v>
      </c>
      <c r="D2489" s="7" t="s">
        <v>8879</v>
      </c>
      <c r="E2489" s="7" t="s">
        <v>6426</v>
      </c>
      <c r="F2489" s="7"/>
    </row>
    <row r="2490">
      <c r="A2490" s="7" t="s">
        <v>6451</v>
      </c>
      <c r="B2490" s="7" t="s">
        <v>6452</v>
      </c>
      <c r="C2490" s="7" t="s">
        <v>404</v>
      </c>
      <c r="D2490" s="7" t="s">
        <v>8880</v>
      </c>
      <c r="E2490" s="7" t="s">
        <v>6426</v>
      </c>
      <c r="F2490" s="7"/>
    </row>
    <row r="2491">
      <c r="A2491" s="7" t="s">
        <v>6450</v>
      </c>
      <c r="B2491" s="7" t="s">
        <v>504</v>
      </c>
      <c r="C2491" s="7" t="s">
        <v>5845</v>
      </c>
      <c r="D2491" s="7" t="s">
        <v>8881</v>
      </c>
      <c r="E2491" s="7" t="s">
        <v>6426</v>
      </c>
      <c r="F2491" s="7"/>
    </row>
    <row r="2492">
      <c r="A2492" s="7" t="s">
        <v>6484</v>
      </c>
      <c r="B2492" s="7" t="s">
        <v>504</v>
      </c>
      <c r="C2492" s="7" t="s">
        <v>5845</v>
      </c>
      <c r="D2492" s="7" t="s">
        <v>8882</v>
      </c>
      <c r="E2492" s="7" t="s">
        <v>6426</v>
      </c>
      <c r="F2492" s="7"/>
    </row>
    <row r="2493">
      <c r="A2493" s="7" t="s">
        <v>6512</v>
      </c>
      <c r="B2493" s="7" t="s">
        <v>2724</v>
      </c>
      <c r="C2493" s="7" t="s">
        <v>6513</v>
      </c>
      <c r="D2493" s="7" t="s">
        <v>8067</v>
      </c>
      <c r="E2493" s="7" t="s">
        <v>6426</v>
      </c>
      <c r="F2493" s="7"/>
    </row>
    <row r="2494">
      <c r="A2494" s="7" t="s">
        <v>6437</v>
      </c>
      <c r="B2494" s="7" t="s">
        <v>6438</v>
      </c>
      <c r="C2494" s="7" t="s">
        <v>6439</v>
      </c>
      <c r="D2494" s="7" t="s">
        <v>8883</v>
      </c>
      <c r="E2494" s="7" t="s">
        <v>6426</v>
      </c>
      <c r="F2494" s="7"/>
    </row>
    <row r="2495">
      <c r="A2495" s="7" t="s">
        <v>6456</v>
      </c>
      <c r="B2495" s="7" t="s">
        <v>645</v>
      </c>
      <c r="C2495" s="7" t="s">
        <v>6457</v>
      </c>
      <c r="D2495" s="7" t="s">
        <v>8207</v>
      </c>
      <c r="E2495" s="7" t="s">
        <v>6426</v>
      </c>
      <c r="F2495" s="7"/>
    </row>
    <row r="2496">
      <c r="A2496" s="7" t="s">
        <v>6514</v>
      </c>
      <c r="B2496" s="7" t="s">
        <v>537</v>
      </c>
      <c r="C2496" s="7" t="s">
        <v>2400</v>
      </c>
      <c r="D2496" s="7" t="s">
        <v>8884</v>
      </c>
      <c r="E2496" s="7" t="s">
        <v>6426</v>
      </c>
      <c r="F2496" s="7"/>
    </row>
    <row r="2497">
      <c r="A2497" s="7" t="s">
        <v>6508</v>
      </c>
      <c r="B2497" s="7" t="s">
        <v>6509</v>
      </c>
      <c r="C2497" s="7" t="s">
        <v>5235</v>
      </c>
      <c r="D2497" s="7" t="s">
        <v>8885</v>
      </c>
      <c r="E2497" s="7" t="s">
        <v>6426</v>
      </c>
      <c r="F2497" s="7"/>
    </row>
    <row r="2498">
      <c r="A2498" s="7" t="s">
        <v>6462</v>
      </c>
      <c r="B2498" s="7" t="s">
        <v>6463</v>
      </c>
      <c r="C2498" s="7" t="s">
        <v>6464</v>
      </c>
      <c r="D2498" s="7" t="s">
        <v>8886</v>
      </c>
      <c r="E2498" s="7" t="s">
        <v>6426</v>
      </c>
      <c r="F2498" s="7"/>
    </row>
    <row r="2499">
      <c r="A2499" s="7" t="s">
        <v>6485</v>
      </c>
      <c r="B2499" s="7" t="s">
        <v>1065</v>
      </c>
      <c r="C2499" s="7" t="s">
        <v>714</v>
      </c>
      <c r="D2499" s="7" t="s">
        <v>8409</v>
      </c>
      <c r="E2499" s="7" t="s">
        <v>6426</v>
      </c>
      <c r="F2499" s="7"/>
    </row>
    <row r="2500">
      <c r="A2500" s="7" t="s">
        <v>6424</v>
      </c>
      <c r="B2500" s="7" t="s">
        <v>4121</v>
      </c>
      <c r="C2500" s="7" t="s">
        <v>6425</v>
      </c>
      <c r="D2500" s="7" t="s">
        <v>8887</v>
      </c>
      <c r="E2500" s="7" t="s">
        <v>6426</v>
      </c>
      <c r="F2500" s="7"/>
    </row>
    <row r="2501">
      <c r="A2501" s="7" t="s">
        <v>6465</v>
      </c>
      <c r="B2501" s="7" t="s">
        <v>522</v>
      </c>
      <c r="C2501" s="7" t="s">
        <v>466</v>
      </c>
      <c r="D2501" s="7" t="s">
        <v>8888</v>
      </c>
      <c r="E2501" s="7" t="s">
        <v>6426</v>
      </c>
      <c r="F2501" s="7"/>
    </row>
    <row r="2502">
      <c r="A2502" s="7" t="s">
        <v>6473</v>
      </c>
      <c r="B2502" s="7" t="s">
        <v>386</v>
      </c>
      <c r="C2502" s="7" t="s">
        <v>2680</v>
      </c>
      <c r="D2502" s="7" t="s">
        <v>8889</v>
      </c>
      <c r="E2502" s="7" t="s">
        <v>6426</v>
      </c>
      <c r="F2502" s="7"/>
    </row>
    <row r="2503">
      <c r="A2503" s="7" t="s">
        <v>6475</v>
      </c>
      <c r="B2503" s="7" t="s">
        <v>974</v>
      </c>
      <c r="C2503" s="7" t="s">
        <v>118</v>
      </c>
      <c r="D2503" s="7" t="s">
        <v>8568</v>
      </c>
      <c r="E2503" s="7" t="s">
        <v>6426</v>
      </c>
      <c r="F2503" s="7"/>
    </row>
    <row r="2504">
      <c r="A2504" s="7" t="s">
        <v>6440</v>
      </c>
      <c r="B2504" s="7" t="s">
        <v>930</v>
      </c>
      <c r="C2504" s="7" t="s">
        <v>3279</v>
      </c>
      <c r="D2504" s="7" t="s">
        <v>8890</v>
      </c>
      <c r="E2504" s="7" t="s">
        <v>6426</v>
      </c>
      <c r="F2504" s="7"/>
    </row>
    <row r="2505">
      <c r="A2505" s="7" t="s">
        <v>6515</v>
      </c>
      <c r="B2505" s="7" t="s">
        <v>6516</v>
      </c>
      <c r="C2505" s="7" t="s">
        <v>1572</v>
      </c>
      <c r="D2505" s="7" t="s">
        <v>8891</v>
      </c>
      <c r="E2505" s="7" t="s">
        <v>6426</v>
      </c>
      <c r="F2505" s="7"/>
    </row>
    <row r="2506">
      <c r="A2506" s="7" t="s">
        <v>6500</v>
      </c>
      <c r="B2506" s="7" t="s">
        <v>936</v>
      </c>
      <c r="C2506" s="7" t="s">
        <v>6501</v>
      </c>
      <c r="D2506" s="7" t="s">
        <v>8892</v>
      </c>
      <c r="E2506" s="7" t="s">
        <v>6426</v>
      </c>
      <c r="F2506" s="7"/>
    </row>
    <row r="2507">
      <c r="A2507" s="7" t="s">
        <v>6447</v>
      </c>
      <c r="B2507" s="7" t="s">
        <v>6448</v>
      </c>
      <c r="C2507" s="7" t="s">
        <v>6449</v>
      </c>
      <c r="D2507" s="7" t="s">
        <v>8893</v>
      </c>
      <c r="E2507" s="7" t="s">
        <v>6426</v>
      </c>
      <c r="F2507" s="7"/>
    </row>
    <row r="2508">
      <c r="A2508" s="7" t="s">
        <v>6458</v>
      </c>
      <c r="B2508" s="7" t="s">
        <v>766</v>
      </c>
      <c r="C2508" s="7" t="s">
        <v>767</v>
      </c>
      <c r="D2508" s="7" t="s">
        <v>8894</v>
      </c>
      <c r="E2508" s="7" t="s">
        <v>6426</v>
      </c>
      <c r="F2508" s="7"/>
    </row>
    <row r="2509">
      <c r="A2509" s="7" t="s">
        <v>6466</v>
      </c>
      <c r="B2509" s="7" t="s">
        <v>1000</v>
      </c>
      <c r="C2509" s="7" t="s">
        <v>2685</v>
      </c>
      <c r="D2509" s="7" t="s">
        <v>7776</v>
      </c>
      <c r="E2509" s="7" t="s">
        <v>6426</v>
      </c>
      <c r="F2509" s="7"/>
    </row>
    <row r="2510">
      <c r="A2510" s="7" t="s">
        <v>6435</v>
      </c>
      <c r="B2510" s="7" t="s">
        <v>325</v>
      </c>
      <c r="C2510" s="7" t="s">
        <v>6436</v>
      </c>
      <c r="D2510" s="7">
        <v>9.47161285E8</v>
      </c>
      <c r="E2510" s="7" t="s">
        <v>6426</v>
      </c>
      <c r="F2510" s="7"/>
    </row>
    <row r="2511">
      <c r="A2511" s="7" t="s">
        <v>6487</v>
      </c>
      <c r="B2511" s="7" t="s">
        <v>6488</v>
      </c>
      <c r="C2511" s="7" t="s">
        <v>6489</v>
      </c>
      <c r="D2511" s="7">
        <v>9.56238885E8</v>
      </c>
      <c r="E2511" s="7" t="s">
        <v>6426</v>
      </c>
      <c r="F2511" s="7"/>
    </row>
    <row r="2512">
      <c r="A2512" s="7" t="s">
        <v>6454</v>
      </c>
      <c r="B2512" s="7" t="s">
        <v>3150</v>
      </c>
      <c r="C2512" s="7" t="s">
        <v>6455</v>
      </c>
      <c r="D2512" s="7" t="s">
        <v>8895</v>
      </c>
      <c r="E2512" s="7" t="s">
        <v>6426</v>
      </c>
      <c r="F251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</row>
    <row r="2">
      <c r="A2" s="15" t="s">
        <v>162</v>
      </c>
      <c r="B2" s="6" t="s">
        <v>3690</v>
      </c>
      <c r="C2" s="6" t="s">
        <v>3691</v>
      </c>
      <c r="D2" s="6" t="s">
        <v>2094</v>
      </c>
      <c r="E2" s="7" t="s">
        <v>6534</v>
      </c>
      <c r="F2" s="6" t="s">
        <v>1695</v>
      </c>
      <c r="G2" s="7" t="s">
        <v>1696</v>
      </c>
      <c r="H2" s="16" t="s">
        <v>8909</v>
      </c>
      <c r="I2" s="16" t="s">
        <v>8910</v>
      </c>
      <c r="J2" s="7"/>
      <c r="K2" s="7"/>
      <c r="L2" s="7"/>
      <c r="M2" s="7"/>
    </row>
    <row r="3">
      <c r="A3" s="15" t="s">
        <v>162</v>
      </c>
      <c r="B3" s="6" t="s">
        <v>5703</v>
      </c>
      <c r="C3" s="6" t="s">
        <v>5704</v>
      </c>
      <c r="D3" s="6" t="s">
        <v>1898</v>
      </c>
      <c r="E3" s="7" t="s">
        <v>6578</v>
      </c>
      <c r="F3" s="6" t="s">
        <v>1695</v>
      </c>
      <c r="G3" s="7" t="s">
        <v>1696</v>
      </c>
      <c r="H3" s="16" t="s">
        <v>8909</v>
      </c>
      <c r="I3" s="16" t="s">
        <v>8911</v>
      </c>
      <c r="J3" s="7"/>
      <c r="K3" s="7"/>
      <c r="L3" s="7"/>
      <c r="M3" s="7"/>
    </row>
    <row r="4">
      <c r="A4" s="15" t="s">
        <v>162</v>
      </c>
      <c r="B4" s="6" t="s">
        <v>5043</v>
      </c>
      <c r="C4" s="6" t="s">
        <v>5044</v>
      </c>
      <c r="D4" s="6" t="s">
        <v>4626</v>
      </c>
      <c r="E4" s="7" t="s">
        <v>6536</v>
      </c>
      <c r="F4" s="6" t="s">
        <v>1695</v>
      </c>
      <c r="G4" s="7" t="s">
        <v>1696</v>
      </c>
      <c r="H4" s="16" t="s">
        <v>8909</v>
      </c>
      <c r="I4" s="16" t="s">
        <v>8912</v>
      </c>
      <c r="J4" s="16" t="s">
        <v>8913</v>
      </c>
      <c r="K4" s="16" t="s">
        <v>8914</v>
      </c>
      <c r="L4" s="16" t="s">
        <v>8915</v>
      </c>
      <c r="M4" s="16" t="s">
        <v>8916</v>
      </c>
      <c r="N4" s="3" t="s">
        <v>8917</v>
      </c>
    </row>
    <row r="5">
      <c r="A5" s="15" t="s">
        <v>162</v>
      </c>
      <c r="B5" s="6" t="s">
        <v>3032</v>
      </c>
      <c r="C5" s="6" t="s">
        <v>3033</v>
      </c>
      <c r="D5" s="6" t="s">
        <v>3034</v>
      </c>
      <c r="E5" s="7" t="s">
        <v>6537</v>
      </c>
      <c r="F5" s="6" t="s">
        <v>1695</v>
      </c>
      <c r="G5" s="7" t="s">
        <v>1696</v>
      </c>
      <c r="H5" s="16" t="s">
        <v>8909</v>
      </c>
      <c r="I5" s="16" t="s">
        <v>8912</v>
      </c>
      <c r="J5" s="16" t="s">
        <v>8918</v>
      </c>
      <c r="K5" s="16" t="s">
        <v>8919</v>
      </c>
      <c r="L5" s="16" t="s">
        <v>8920</v>
      </c>
      <c r="M5" s="16" t="s">
        <v>8921</v>
      </c>
      <c r="N5" s="3" t="s">
        <v>8922</v>
      </c>
    </row>
    <row r="6">
      <c r="A6" s="15" t="s">
        <v>162</v>
      </c>
      <c r="B6" s="6" t="s">
        <v>3594</v>
      </c>
      <c r="C6" s="6" t="s">
        <v>85</v>
      </c>
      <c r="D6" s="6" t="s">
        <v>3595</v>
      </c>
      <c r="E6" s="7" t="s">
        <v>6539</v>
      </c>
      <c r="F6" s="6" t="s">
        <v>1695</v>
      </c>
      <c r="G6" s="7" t="s">
        <v>1696</v>
      </c>
      <c r="H6" s="16" t="s">
        <v>8909</v>
      </c>
      <c r="I6" s="16" t="s">
        <v>8912</v>
      </c>
      <c r="J6" s="16" t="s">
        <v>8918</v>
      </c>
      <c r="K6" s="16" t="s">
        <v>8919</v>
      </c>
      <c r="L6" s="16" t="s">
        <v>8923</v>
      </c>
      <c r="M6" s="16" t="s">
        <v>8924</v>
      </c>
      <c r="N6" s="3" t="s">
        <v>8925</v>
      </c>
    </row>
    <row r="7">
      <c r="A7" s="15" t="s">
        <v>162</v>
      </c>
      <c r="B7" s="6" t="s">
        <v>5920</v>
      </c>
      <c r="C7" s="6" t="s">
        <v>5921</v>
      </c>
      <c r="D7" s="6" t="s">
        <v>5922</v>
      </c>
      <c r="E7" s="7" t="s">
        <v>6540</v>
      </c>
      <c r="F7" s="6" t="s">
        <v>1695</v>
      </c>
      <c r="G7" s="7" t="s">
        <v>1696</v>
      </c>
      <c r="H7" s="16" t="s">
        <v>8909</v>
      </c>
      <c r="I7" s="16" t="s">
        <v>8912</v>
      </c>
      <c r="J7" s="16" t="s">
        <v>8926</v>
      </c>
      <c r="K7" s="16" t="s">
        <v>8914</v>
      </c>
      <c r="L7" s="16" t="s">
        <v>8927</v>
      </c>
      <c r="M7" s="16" t="s">
        <v>8916</v>
      </c>
      <c r="N7" s="3" t="s">
        <v>8928</v>
      </c>
    </row>
    <row r="8">
      <c r="A8" s="15" t="s">
        <v>162</v>
      </c>
      <c r="B8" s="6" t="s">
        <v>4444</v>
      </c>
      <c r="C8" s="6" t="s">
        <v>4445</v>
      </c>
      <c r="D8" s="6" t="s">
        <v>274</v>
      </c>
      <c r="E8" s="7" t="s">
        <v>6542</v>
      </c>
      <c r="F8" s="6" t="s">
        <v>1695</v>
      </c>
      <c r="G8" s="7" t="s">
        <v>1696</v>
      </c>
      <c r="H8" s="16" t="s">
        <v>8909</v>
      </c>
      <c r="I8" s="16" t="s">
        <v>8912</v>
      </c>
      <c r="J8" s="16" t="s">
        <v>8918</v>
      </c>
      <c r="K8" s="16" t="s">
        <v>8919</v>
      </c>
      <c r="L8" s="16" t="s">
        <v>8927</v>
      </c>
      <c r="M8" s="16" t="s">
        <v>8916</v>
      </c>
      <c r="N8" s="3" t="s">
        <v>8929</v>
      </c>
    </row>
    <row r="9">
      <c r="A9" s="15" t="s">
        <v>162</v>
      </c>
      <c r="B9" s="6" t="s">
        <v>5606</v>
      </c>
      <c r="C9" s="6" t="s">
        <v>4445</v>
      </c>
      <c r="D9" s="6" t="s">
        <v>5607</v>
      </c>
      <c r="E9" s="7" t="s">
        <v>6542</v>
      </c>
      <c r="F9" s="6" t="s">
        <v>1695</v>
      </c>
      <c r="G9" s="7" t="s">
        <v>1696</v>
      </c>
      <c r="H9" s="16" t="s">
        <v>8909</v>
      </c>
      <c r="I9" s="16" t="s">
        <v>8912</v>
      </c>
      <c r="J9" s="16" t="s">
        <v>8918</v>
      </c>
      <c r="K9" s="16" t="s">
        <v>8919</v>
      </c>
      <c r="L9" s="16" t="s">
        <v>8927</v>
      </c>
      <c r="M9" s="16" t="s">
        <v>8916</v>
      </c>
      <c r="N9" s="3" t="s">
        <v>8930</v>
      </c>
    </row>
    <row r="10">
      <c r="A10" s="15" t="s">
        <v>162</v>
      </c>
      <c r="B10" s="6" t="s">
        <v>5767</v>
      </c>
      <c r="C10" s="6" t="s">
        <v>4445</v>
      </c>
      <c r="D10" s="6" t="s">
        <v>5607</v>
      </c>
      <c r="E10" s="7" t="s">
        <v>6542</v>
      </c>
      <c r="F10" s="6" t="s">
        <v>1695</v>
      </c>
      <c r="G10" s="7" t="s">
        <v>1696</v>
      </c>
      <c r="H10" s="16" t="s">
        <v>8909</v>
      </c>
      <c r="I10" s="16" t="s">
        <v>8912</v>
      </c>
      <c r="J10" s="16" t="s">
        <v>8918</v>
      </c>
      <c r="K10" s="16" t="s">
        <v>8919</v>
      </c>
      <c r="L10" s="16" t="s">
        <v>8927</v>
      </c>
      <c r="M10" s="16" t="s">
        <v>8916</v>
      </c>
      <c r="N10" s="3" t="s">
        <v>8930</v>
      </c>
    </row>
    <row r="11">
      <c r="A11" s="15" t="s">
        <v>162</v>
      </c>
      <c r="B11" s="6" t="s">
        <v>3992</v>
      </c>
      <c r="C11" s="6" t="s">
        <v>1801</v>
      </c>
      <c r="D11" s="6" t="s">
        <v>684</v>
      </c>
      <c r="E11" s="7" t="s">
        <v>6544</v>
      </c>
      <c r="F11" s="6" t="s">
        <v>1695</v>
      </c>
      <c r="G11" s="7" t="s">
        <v>1696</v>
      </c>
      <c r="H11" s="16" t="s">
        <v>8909</v>
      </c>
      <c r="I11" s="16" t="s">
        <v>8912</v>
      </c>
      <c r="J11" s="16" t="s">
        <v>8918</v>
      </c>
      <c r="K11" s="16" t="s">
        <v>8919</v>
      </c>
      <c r="L11" s="16" t="s">
        <v>8931</v>
      </c>
      <c r="M11" s="16" t="s">
        <v>8924</v>
      </c>
      <c r="N11" s="3" t="s">
        <v>8932</v>
      </c>
    </row>
    <row r="12">
      <c r="A12" s="15" t="s">
        <v>162</v>
      </c>
      <c r="B12" s="6" t="s">
        <v>2930</v>
      </c>
      <c r="C12" s="6" t="s">
        <v>2931</v>
      </c>
      <c r="D12" s="6" t="s">
        <v>2932</v>
      </c>
      <c r="E12" s="7" t="s">
        <v>6546</v>
      </c>
      <c r="F12" s="6" t="s">
        <v>1695</v>
      </c>
      <c r="G12" s="7" t="s">
        <v>1696</v>
      </c>
      <c r="H12" s="16" t="s">
        <v>8909</v>
      </c>
      <c r="I12" s="16" t="s">
        <v>8912</v>
      </c>
      <c r="J12" s="16" t="s">
        <v>8918</v>
      </c>
      <c r="K12" s="16" t="s">
        <v>8919</v>
      </c>
      <c r="L12" s="16" t="s">
        <v>8920</v>
      </c>
      <c r="M12" s="16" t="s">
        <v>8921</v>
      </c>
      <c r="N12" s="3" t="s">
        <v>8933</v>
      </c>
    </row>
    <row r="13">
      <c r="A13" s="15" t="s">
        <v>162</v>
      </c>
      <c r="B13" s="6" t="s">
        <v>4143</v>
      </c>
      <c r="C13" s="6" t="s">
        <v>273</v>
      </c>
      <c r="D13" s="6" t="s">
        <v>1584</v>
      </c>
      <c r="E13" s="7" t="s">
        <v>6549</v>
      </c>
      <c r="F13" s="6" t="s">
        <v>1695</v>
      </c>
      <c r="G13" s="7" t="s">
        <v>1696</v>
      </c>
      <c r="H13" s="16" t="s">
        <v>8909</v>
      </c>
      <c r="I13" s="16" t="s">
        <v>8912</v>
      </c>
      <c r="J13" s="16" t="s">
        <v>8913</v>
      </c>
      <c r="K13" s="16" t="s">
        <v>8934</v>
      </c>
      <c r="L13" s="16" t="s">
        <v>8927</v>
      </c>
      <c r="M13" s="16" t="s">
        <v>8935</v>
      </c>
      <c r="N13" s="3" t="s">
        <v>8936</v>
      </c>
    </row>
    <row r="14">
      <c r="A14" s="15" t="s">
        <v>162</v>
      </c>
      <c r="B14" s="6" t="s">
        <v>5411</v>
      </c>
      <c r="C14" s="6" t="s">
        <v>5412</v>
      </c>
      <c r="D14" s="6" t="s">
        <v>32</v>
      </c>
      <c r="E14" s="7" t="s">
        <v>6550</v>
      </c>
      <c r="F14" s="6" t="s">
        <v>1695</v>
      </c>
      <c r="G14" s="7" t="s">
        <v>1696</v>
      </c>
      <c r="H14" s="16" t="s">
        <v>8909</v>
      </c>
      <c r="I14" s="16" t="s">
        <v>8912</v>
      </c>
      <c r="J14" s="16" t="s">
        <v>8913</v>
      </c>
      <c r="K14" s="16" t="s">
        <v>8934</v>
      </c>
      <c r="L14" s="16" t="s">
        <v>8927</v>
      </c>
      <c r="M14" s="16" t="s">
        <v>8935</v>
      </c>
      <c r="N14" s="3" t="s">
        <v>8937</v>
      </c>
    </row>
    <row r="15">
      <c r="A15" s="15" t="s">
        <v>162</v>
      </c>
      <c r="B15" s="6" t="s">
        <v>6121</v>
      </c>
      <c r="C15" s="6" t="s">
        <v>2781</v>
      </c>
      <c r="D15" s="6" t="s">
        <v>6122</v>
      </c>
      <c r="E15" s="7" t="s">
        <v>6551</v>
      </c>
      <c r="F15" s="6" t="s">
        <v>1695</v>
      </c>
      <c r="G15" s="7" t="s">
        <v>1696</v>
      </c>
      <c r="H15" s="16" t="s">
        <v>8909</v>
      </c>
      <c r="I15" s="16" t="s">
        <v>8912</v>
      </c>
      <c r="J15" s="16" t="s">
        <v>8913</v>
      </c>
      <c r="K15" s="16" t="s">
        <v>8934</v>
      </c>
      <c r="L15" s="16" t="s">
        <v>8927</v>
      </c>
      <c r="M15" s="16" t="s">
        <v>8935</v>
      </c>
      <c r="N15" s="3" t="s">
        <v>8936</v>
      </c>
    </row>
    <row r="16">
      <c r="A16" s="15" t="s">
        <v>162</v>
      </c>
      <c r="B16" s="6" t="s">
        <v>5518</v>
      </c>
      <c r="C16" s="6" t="s">
        <v>5519</v>
      </c>
      <c r="D16" s="6" t="s">
        <v>5520</v>
      </c>
      <c r="E16" s="7" t="s">
        <v>6552</v>
      </c>
      <c r="F16" s="6" t="s">
        <v>1695</v>
      </c>
      <c r="G16" s="7" t="s">
        <v>1696</v>
      </c>
      <c r="H16" s="16" t="s">
        <v>8909</v>
      </c>
      <c r="I16" s="16" t="s">
        <v>8912</v>
      </c>
      <c r="J16" s="16" t="s">
        <v>8926</v>
      </c>
      <c r="K16" s="16" t="s">
        <v>8914</v>
      </c>
      <c r="L16" s="16" t="s">
        <v>8927</v>
      </c>
      <c r="M16" s="16" t="s">
        <v>8938</v>
      </c>
      <c r="N16" s="3" t="s">
        <v>8939</v>
      </c>
    </row>
    <row r="17">
      <c r="A17" s="15" t="s">
        <v>162</v>
      </c>
      <c r="B17" s="6" t="s">
        <v>3063</v>
      </c>
      <c r="C17" s="6" t="s">
        <v>3064</v>
      </c>
      <c r="D17" s="6" t="s">
        <v>46</v>
      </c>
      <c r="E17" s="7" t="s">
        <v>6553</v>
      </c>
      <c r="F17" s="6" t="s">
        <v>1695</v>
      </c>
      <c r="G17" s="7" t="s">
        <v>1696</v>
      </c>
      <c r="H17" s="16" t="s">
        <v>8909</v>
      </c>
      <c r="I17" s="16" t="s">
        <v>8912</v>
      </c>
      <c r="J17" s="16" t="s">
        <v>8918</v>
      </c>
      <c r="K17" s="16" t="s">
        <v>8919</v>
      </c>
      <c r="L17" s="16" t="s">
        <v>8931</v>
      </c>
      <c r="M17" s="16" t="s">
        <v>8924</v>
      </c>
      <c r="N17" s="3" t="s">
        <v>8940</v>
      </c>
    </row>
    <row r="18">
      <c r="A18" s="15" t="s">
        <v>162</v>
      </c>
      <c r="B18" s="6" t="s">
        <v>6218</v>
      </c>
      <c r="C18" s="6" t="s">
        <v>6219</v>
      </c>
      <c r="D18" s="6" t="s">
        <v>2158</v>
      </c>
      <c r="E18" s="7" t="s">
        <v>6554</v>
      </c>
      <c r="F18" s="6" t="s">
        <v>1695</v>
      </c>
      <c r="G18" s="7" t="s">
        <v>1696</v>
      </c>
      <c r="H18" s="16" t="s">
        <v>8909</v>
      </c>
      <c r="I18" s="16" t="s">
        <v>8912</v>
      </c>
      <c r="J18" s="16" t="s">
        <v>8913</v>
      </c>
      <c r="K18" s="16" t="s">
        <v>8919</v>
      </c>
      <c r="L18" s="16" t="s">
        <v>8920</v>
      </c>
      <c r="M18" s="16" t="s">
        <v>8921</v>
      </c>
      <c r="N18" s="3" t="s">
        <v>8941</v>
      </c>
    </row>
    <row r="19">
      <c r="A19" s="15" t="s">
        <v>162</v>
      </c>
      <c r="B19" s="6" t="s">
        <v>5568</v>
      </c>
      <c r="C19" s="6" t="s">
        <v>5569</v>
      </c>
      <c r="D19" s="6" t="s">
        <v>5570</v>
      </c>
      <c r="E19" s="7" t="s">
        <v>6555</v>
      </c>
      <c r="F19" s="6" t="s">
        <v>1695</v>
      </c>
      <c r="G19" s="7" t="s">
        <v>1696</v>
      </c>
      <c r="H19" s="16" t="s">
        <v>8909</v>
      </c>
      <c r="I19" s="16" t="s">
        <v>8912</v>
      </c>
      <c r="J19" s="16" t="s">
        <v>8913</v>
      </c>
      <c r="K19" s="16" t="s">
        <v>8934</v>
      </c>
      <c r="L19" s="16" t="s">
        <v>8927</v>
      </c>
      <c r="M19" s="16" t="s">
        <v>8935</v>
      </c>
      <c r="N19" s="3" t="s">
        <v>8936</v>
      </c>
    </row>
    <row r="20">
      <c r="A20" s="15" t="s">
        <v>162</v>
      </c>
      <c r="B20" s="6" t="s">
        <v>6372</v>
      </c>
      <c r="C20" s="6" t="s">
        <v>6373</v>
      </c>
      <c r="D20" s="6" t="s">
        <v>580</v>
      </c>
      <c r="E20" s="7" t="s">
        <v>6556</v>
      </c>
      <c r="F20" s="6" t="s">
        <v>1695</v>
      </c>
      <c r="G20" s="7" t="s">
        <v>6318</v>
      </c>
      <c r="H20" s="16" t="s">
        <v>8909</v>
      </c>
      <c r="I20" s="16" t="s">
        <v>8912</v>
      </c>
      <c r="J20" s="16" t="s">
        <v>8918</v>
      </c>
      <c r="K20" s="16" t="s">
        <v>8919</v>
      </c>
      <c r="L20" s="16" t="s">
        <v>8931</v>
      </c>
      <c r="M20" s="16" t="s">
        <v>8924</v>
      </c>
      <c r="N20" s="3" t="s">
        <v>8941</v>
      </c>
    </row>
    <row r="21">
      <c r="A21" s="15" t="s">
        <v>162</v>
      </c>
      <c r="B21" s="6" t="s">
        <v>2896</v>
      </c>
      <c r="C21" s="6" t="s">
        <v>2897</v>
      </c>
      <c r="D21" s="6" t="s">
        <v>2898</v>
      </c>
      <c r="E21" s="7" t="s">
        <v>6559</v>
      </c>
      <c r="F21" s="6" t="s">
        <v>1695</v>
      </c>
      <c r="G21" s="7" t="s">
        <v>1696</v>
      </c>
      <c r="H21" s="16" t="s">
        <v>8909</v>
      </c>
      <c r="I21" s="16" t="s">
        <v>8912</v>
      </c>
      <c r="J21" s="16" t="s">
        <v>8918</v>
      </c>
      <c r="K21" s="16" t="s">
        <v>8919</v>
      </c>
      <c r="L21" s="16" t="s">
        <v>8920</v>
      </c>
      <c r="M21" s="16" t="s">
        <v>8921</v>
      </c>
      <c r="N21" s="3" t="s">
        <v>8942</v>
      </c>
    </row>
    <row r="22">
      <c r="A22" s="15" t="s">
        <v>162</v>
      </c>
      <c r="B22" s="6" t="s">
        <v>5970</v>
      </c>
      <c r="C22" s="6" t="s">
        <v>724</v>
      </c>
      <c r="D22" s="6" t="s">
        <v>2788</v>
      </c>
      <c r="E22" s="7" t="s">
        <v>6561</v>
      </c>
      <c r="F22" s="6" t="s">
        <v>1695</v>
      </c>
      <c r="G22" s="7" t="s">
        <v>1696</v>
      </c>
      <c r="H22" s="16" t="s">
        <v>8909</v>
      </c>
      <c r="I22" s="16" t="s">
        <v>8912</v>
      </c>
      <c r="J22" s="16" t="s">
        <v>8913</v>
      </c>
      <c r="K22" s="16" t="s">
        <v>8934</v>
      </c>
      <c r="L22" s="16" t="s">
        <v>8927</v>
      </c>
      <c r="M22" s="16" t="s">
        <v>8935</v>
      </c>
      <c r="N22" s="3" t="s">
        <v>8943</v>
      </c>
    </row>
    <row r="23">
      <c r="A23" s="15" t="s">
        <v>162</v>
      </c>
      <c r="B23" s="6" t="s">
        <v>5259</v>
      </c>
      <c r="C23" s="6" t="s">
        <v>5260</v>
      </c>
      <c r="D23" s="6" t="s">
        <v>3868</v>
      </c>
      <c r="E23" s="7" t="s">
        <v>6562</v>
      </c>
      <c r="F23" s="6" t="s">
        <v>1695</v>
      </c>
      <c r="G23" s="7" t="s">
        <v>1696</v>
      </c>
      <c r="H23" s="16" t="s">
        <v>8909</v>
      </c>
      <c r="I23" s="16" t="s">
        <v>8912</v>
      </c>
      <c r="J23" s="16" t="s">
        <v>8926</v>
      </c>
      <c r="K23" s="16" t="s">
        <v>8914</v>
      </c>
      <c r="L23" s="16" t="s">
        <v>8927</v>
      </c>
      <c r="M23" s="16" t="s">
        <v>8916</v>
      </c>
      <c r="N23" s="3" t="s">
        <v>8944</v>
      </c>
    </row>
    <row r="24">
      <c r="A24" s="15" t="s">
        <v>162</v>
      </c>
      <c r="B24" s="6" t="s">
        <v>3667</v>
      </c>
      <c r="C24" s="6" t="s">
        <v>420</v>
      </c>
      <c r="D24" s="6" t="s">
        <v>1472</v>
      </c>
      <c r="E24" s="7" t="s">
        <v>6563</v>
      </c>
      <c r="F24" s="6" t="s">
        <v>1695</v>
      </c>
      <c r="G24" s="7" t="s">
        <v>1696</v>
      </c>
      <c r="H24" s="16" t="s">
        <v>8909</v>
      </c>
      <c r="I24" s="16" t="s">
        <v>8912</v>
      </c>
      <c r="J24" s="16" t="s">
        <v>8913</v>
      </c>
      <c r="K24" s="16" t="s">
        <v>8934</v>
      </c>
      <c r="L24" s="16" t="s">
        <v>8927</v>
      </c>
      <c r="M24" s="16" t="s">
        <v>8935</v>
      </c>
      <c r="N24" s="3" t="s">
        <v>8943</v>
      </c>
    </row>
    <row r="25">
      <c r="A25" s="15" t="s">
        <v>162</v>
      </c>
      <c r="B25" s="6" t="s">
        <v>5108</v>
      </c>
      <c r="C25" s="6" t="s">
        <v>5109</v>
      </c>
      <c r="D25" s="6" t="s">
        <v>342</v>
      </c>
      <c r="E25" s="7" t="s">
        <v>6565</v>
      </c>
      <c r="F25" s="6" t="s">
        <v>1695</v>
      </c>
      <c r="G25" s="7" t="s">
        <v>1696</v>
      </c>
      <c r="H25" s="16" t="s">
        <v>8909</v>
      </c>
      <c r="I25" s="16" t="s">
        <v>8912</v>
      </c>
      <c r="J25" s="16" t="s">
        <v>8918</v>
      </c>
      <c r="K25" s="16" t="s">
        <v>8919</v>
      </c>
      <c r="L25" s="16" t="s">
        <v>8931</v>
      </c>
      <c r="M25" s="16" t="s">
        <v>8924</v>
      </c>
      <c r="N25" s="3" t="s">
        <v>8945</v>
      </c>
    </row>
    <row r="26">
      <c r="A26" s="15" t="s">
        <v>162</v>
      </c>
      <c r="B26" s="6" t="s">
        <v>3035</v>
      </c>
      <c r="C26" s="6" t="s">
        <v>3036</v>
      </c>
      <c r="D26" s="6" t="s">
        <v>3037</v>
      </c>
      <c r="E26" s="7" t="s">
        <v>6566</v>
      </c>
      <c r="F26" s="6" t="s">
        <v>1695</v>
      </c>
      <c r="G26" s="7" t="s">
        <v>1696</v>
      </c>
      <c r="H26" s="16" t="s">
        <v>8909</v>
      </c>
      <c r="I26" s="16" t="s">
        <v>8912</v>
      </c>
      <c r="J26" s="16" t="s">
        <v>8918</v>
      </c>
      <c r="K26" s="16" t="s">
        <v>8919</v>
      </c>
      <c r="L26" s="16" t="s">
        <v>8920</v>
      </c>
      <c r="M26" s="16" t="s">
        <v>8921</v>
      </c>
      <c r="N26" s="3" t="s">
        <v>8946</v>
      </c>
    </row>
    <row r="27">
      <c r="A27" s="15" t="s">
        <v>162</v>
      </c>
      <c r="B27" s="6" t="s">
        <v>2211</v>
      </c>
      <c r="C27" s="6" t="s">
        <v>2212</v>
      </c>
      <c r="D27" s="6" t="s">
        <v>2213</v>
      </c>
      <c r="E27" s="7" t="s">
        <v>6568</v>
      </c>
      <c r="F27" s="6" t="s">
        <v>1695</v>
      </c>
      <c r="G27" s="7" t="s">
        <v>1696</v>
      </c>
      <c r="H27" s="16" t="s">
        <v>8909</v>
      </c>
      <c r="I27" s="16" t="s">
        <v>8912</v>
      </c>
      <c r="J27" s="16" t="s">
        <v>8913</v>
      </c>
      <c r="K27" s="16" t="s">
        <v>8934</v>
      </c>
      <c r="L27" s="16" t="s">
        <v>8927</v>
      </c>
      <c r="M27" s="16" t="s">
        <v>8935</v>
      </c>
      <c r="N27" s="3" t="s">
        <v>8947</v>
      </c>
    </row>
    <row r="28">
      <c r="A28" s="15" t="s">
        <v>162</v>
      </c>
      <c r="B28" s="6" t="s">
        <v>3232</v>
      </c>
      <c r="C28" s="6" t="s">
        <v>3233</v>
      </c>
      <c r="D28" s="6" t="s">
        <v>1814</v>
      </c>
      <c r="E28" s="7" t="s">
        <v>6570</v>
      </c>
      <c r="F28" s="6" t="s">
        <v>1695</v>
      </c>
      <c r="G28" s="7" t="s">
        <v>1696</v>
      </c>
      <c r="H28" s="16" t="s">
        <v>8909</v>
      </c>
      <c r="I28" s="16" t="s">
        <v>8912</v>
      </c>
      <c r="J28" s="16" t="s">
        <v>8918</v>
      </c>
      <c r="K28" s="16" t="s">
        <v>8919</v>
      </c>
      <c r="L28" s="16" t="s">
        <v>8931</v>
      </c>
      <c r="M28" s="16" t="s">
        <v>8924</v>
      </c>
    </row>
    <row r="29">
      <c r="A29" s="15" t="s">
        <v>162</v>
      </c>
      <c r="B29" s="6" t="s">
        <v>5323</v>
      </c>
      <c r="C29" s="6" t="s">
        <v>5324</v>
      </c>
      <c r="D29" s="6" t="s">
        <v>892</v>
      </c>
      <c r="E29" s="7" t="s">
        <v>6571</v>
      </c>
      <c r="F29" s="6" t="s">
        <v>1695</v>
      </c>
      <c r="G29" s="7" t="s">
        <v>1696</v>
      </c>
      <c r="H29" s="16" t="s">
        <v>8909</v>
      </c>
      <c r="I29" s="16" t="s">
        <v>8912</v>
      </c>
      <c r="J29" s="16" t="s">
        <v>8918</v>
      </c>
      <c r="K29" s="16" t="s">
        <v>8919</v>
      </c>
      <c r="L29" s="16" t="s">
        <v>8915</v>
      </c>
      <c r="M29" s="16" t="s">
        <v>8924</v>
      </c>
      <c r="N29" s="3" t="s">
        <v>8948</v>
      </c>
    </row>
    <row r="30">
      <c r="A30" s="15" t="s">
        <v>162</v>
      </c>
      <c r="B30" s="6" t="s">
        <v>3019</v>
      </c>
      <c r="C30" s="6" t="s">
        <v>3020</v>
      </c>
      <c r="D30" s="6" t="s">
        <v>3021</v>
      </c>
      <c r="E30" s="7" t="s">
        <v>6572</v>
      </c>
      <c r="F30" s="6" t="s">
        <v>1695</v>
      </c>
      <c r="G30" s="7" t="s">
        <v>1696</v>
      </c>
      <c r="H30" s="16" t="s">
        <v>8909</v>
      </c>
      <c r="I30" s="16" t="s">
        <v>8912</v>
      </c>
      <c r="J30" s="16" t="s">
        <v>8918</v>
      </c>
      <c r="K30" s="16" t="s">
        <v>8919</v>
      </c>
      <c r="L30" s="16" t="s">
        <v>8920</v>
      </c>
      <c r="M30" s="16" t="s">
        <v>8921</v>
      </c>
    </row>
    <row r="31">
      <c r="A31" s="15" t="s">
        <v>162</v>
      </c>
      <c r="B31" s="6" t="s">
        <v>2645</v>
      </c>
      <c r="C31" s="6" t="s">
        <v>2646</v>
      </c>
      <c r="D31" s="6" t="s">
        <v>2647</v>
      </c>
      <c r="E31" s="7" t="s">
        <v>6574</v>
      </c>
      <c r="F31" s="6" t="s">
        <v>1695</v>
      </c>
      <c r="G31" s="7" t="s">
        <v>1696</v>
      </c>
      <c r="H31" s="16" t="s">
        <v>8909</v>
      </c>
      <c r="I31" s="16" t="s">
        <v>8912</v>
      </c>
      <c r="J31" s="16" t="s">
        <v>8913</v>
      </c>
      <c r="K31" s="16" t="s">
        <v>8934</v>
      </c>
      <c r="L31" s="16" t="s">
        <v>8927</v>
      </c>
      <c r="M31" s="16" t="s">
        <v>8935</v>
      </c>
      <c r="N31" s="3" t="s">
        <v>8949</v>
      </c>
    </row>
    <row r="32">
      <c r="A32" s="15" t="s">
        <v>162</v>
      </c>
      <c r="B32" s="6" t="s">
        <v>5712</v>
      </c>
      <c r="C32" s="6" t="s">
        <v>16</v>
      </c>
      <c r="D32" s="6" t="s">
        <v>404</v>
      </c>
      <c r="E32" s="7" t="s">
        <v>6575</v>
      </c>
      <c r="F32" s="6" t="s">
        <v>1695</v>
      </c>
      <c r="G32" s="7" t="s">
        <v>1696</v>
      </c>
      <c r="H32" s="16" t="s">
        <v>8909</v>
      </c>
      <c r="I32" s="16" t="s">
        <v>8912</v>
      </c>
      <c r="J32" s="16" t="s">
        <v>8918</v>
      </c>
      <c r="K32" s="16" t="s">
        <v>8919</v>
      </c>
      <c r="L32" s="16" t="s">
        <v>8915</v>
      </c>
      <c r="M32" s="16" t="s">
        <v>8924</v>
      </c>
      <c r="N32" s="3" t="s">
        <v>8950</v>
      </c>
    </row>
    <row r="33">
      <c r="A33" s="15" t="s">
        <v>162</v>
      </c>
      <c r="B33" s="6" t="s">
        <v>1984</v>
      </c>
      <c r="C33" s="6" t="s">
        <v>513</v>
      </c>
      <c r="D33" s="6" t="s">
        <v>1271</v>
      </c>
      <c r="E33" s="7" t="s">
        <v>6576</v>
      </c>
      <c r="F33" s="6" t="s">
        <v>1695</v>
      </c>
      <c r="G33" s="7" t="s">
        <v>1696</v>
      </c>
      <c r="H33" s="16" t="s">
        <v>8909</v>
      </c>
      <c r="I33" s="16" t="s">
        <v>8912</v>
      </c>
      <c r="J33" s="16" t="s">
        <v>8926</v>
      </c>
      <c r="K33" s="16" t="s">
        <v>8914</v>
      </c>
      <c r="L33" s="16" t="s">
        <v>8915</v>
      </c>
      <c r="M33" s="16" t="s">
        <v>8938</v>
      </c>
      <c r="N33" s="3" t="s">
        <v>8951</v>
      </c>
    </row>
    <row r="34">
      <c r="A34" s="15" t="s">
        <v>162</v>
      </c>
      <c r="B34" s="6" t="s">
        <v>2755</v>
      </c>
      <c r="C34" s="6" t="s">
        <v>2756</v>
      </c>
      <c r="D34" s="6" t="s">
        <v>1271</v>
      </c>
      <c r="E34" s="7" t="s">
        <v>6577</v>
      </c>
      <c r="F34" s="6" t="s">
        <v>1695</v>
      </c>
      <c r="G34" s="7" t="s">
        <v>1696</v>
      </c>
      <c r="H34" s="16" t="s">
        <v>8909</v>
      </c>
      <c r="I34" s="16" t="s">
        <v>8912</v>
      </c>
      <c r="J34" s="16" t="s">
        <v>8913</v>
      </c>
      <c r="K34" s="16" t="s">
        <v>8934</v>
      </c>
      <c r="L34" s="16" t="s">
        <v>8952</v>
      </c>
      <c r="M34" s="16" t="s">
        <v>8935</v>
      </c>
    </row>
    <row r="35">
      <c r="A35" s="15" t="s">
        <v>162</v>
      </c>
      <c r="B35" s="6" t="s">
        <v>2578</v>
      </c>
      <c r="C35" s="6" t="s">
        <v>1114</v>
      </c>
      <c r="D35" s="6" t="s">
        <v>2579</v>
      </c>
      <c r="E35" s="7" t="s">
        <v>6579</v>
      </c>
      <c r="F35" s="6" t="s">
        <v>1695</v>
      </c>
      <c r="G35" s="7" t="s">
        <v>1696</v>
      </c>
      <c r="H35" s="16" t="s">
        <v>8909</v>
      </c>
      <c r="I35" s="16" t="s">
        <v>8912</v>
      </c>
      <c r="J35" s="16" t="s">
        <v>8913</v>
      </c>
      <c r="K35" s="16" t="s">
        <v>8934</v>
      </c>
      <c r="L35" s="16" t="s">
        <v>8927</v>
      </c>
      <c r="M35" s="16" t="s">
        <v>8935</v>
      </c>
      <c r="N35" s="3" t="s">
        <v>8949</v>
      </c>
    </row>
    <row r="36">
      <c r="A36" s="15" t="s">
        <v>162</v>
      </c>
      <c r="B36" s="6" t="s">
        <v>3130</v>
      </c>
      <c r="C36" s="6" t="s">
        <v>3131</v>
      </c>
      <c r="D36" s="6" t="s">
        <v>3132</v>
      </c>
      <c r="E36" s="7" t="s">
        <v>6580</v>
      </c>
      <c r="F36" s="6" t="s">
        <v>1695</v>
      </c>
      <c r="G36" s="7" t="s">
        <v>1696</v>
      </c>
      <c r="H36" s="16" t="s">
        <v>8909</v>
      </c>
      <c r="I36" s="16" t="s">
        <v>8912</v>
      </c>
      <c r="J36" s="16" t="s">
        <v>8918</v>
      </c>
      <c r="K36" s="16" t="s">
        <v>8919</v>
      </c>
      <c r="L36" s="16" t="s">
        <v>8931</v>
      </c>
      <c r="M36" s="16" t="s">
        <v>8924</v>
      </c>
      <c r="N36" s="3" t="s">
        <v>8953</v>
      </c>
    </row>
    <row r="37">
      <c r="A37" s="15" t="s">
        <v>162</v>
      </c>
      <c r="B37" s="6" t="s">
        <v>2256</v>
      </c>
      <c r="C37" s="6" t="s">
        <v>1924</v>
      </c>
      <c r="D37" s="6" t="s">
        <v>2257</v>
      </c>
      <c r="E37" s="7" t="s">
        <v>6538</v>
      </c>
      <c r="F37" s="6" t="s">
        <v>1695</v>
      </c>
      <c r="G37" s="7" t="s">
        <v>1696</v>
      </c>
      <c r="H37" s="16" t="s">
        <v>8909</v>
      </c>
      <c r="I37" s="16" t="s">
        <v>8954</v>
      </c>
      <c r="J37" s="7"/>
      <c r="K37" s="7"/>
      <c r="L37" s="7"/>
      <c r="M37" s="7"/>
    </row>
    <row r="38">
      <c r="A38" s="15" t="s">
        <v>162</v>
      </c>
      <c r="B38" s="6" t="s">
        <v>3405</v>
      </c>
      <c r="C38" s="6" t="s">
        <v>3406</v>
      </c>
      <c r="D38" s="6" t="s">
        <v>196</v>
      </c>
      <c r="E38" s="7" t="s">
        <v>6557</v>
      </c>
      <c r="F38" s="6" t="s">
        <v>1695</v>
      </c>
      <c r="G38" s="7" t="s">
        <v>1696</v>
      </c>
      <c r="H38" s="16" t="s">
        <v>8909</v>
      </c>
      <c r="I38" s="16" t="s">
        <v>8954</v>
      </c>
      <c r="J38" s="7"/>
      <c r="K38" s="7"/>
      <c r="L38" s="7"/>
      <c r="M38" s="7"/>
    </row>
    <row r="39">
      <c r="A39" s="15" t="s">
        <v>162</v>
      </c>
      <c r="B39" s="6" t="s">
        <v>6177</v>
      </c>
      <c r="C39" s="6" t="s">
        <v>6178</v>
      </c>
      <c r="D39" s="6" t="s">
        <v>3100</v>
      </c>
      <c r="E39" s="7" t="s">
        <v>6560</v>
      </c>
      <c r="F39" s="6" t="s">
        <v>1695</v>
      </c>
      <c r="G39" s="7" t="s">
        <v>1696</v>
      </c>
      <c r="H39" s="16" t="s">
        <v>8909</v>
      </c>
      <c r="I39" s="16" t="s">
        <v>8954</v>
      </c>
      <c r="J39" s="7"/>
      <c r="K39" s="7"/>
      <c r="L39" s="7"/>
      <c r="M39" s="7"/>
    </row>
    <row r="40">
      <c r="A40" s="15" t="s">
        <v>162</v>
      </c>
      <c r="B40" s="6" t="s">
        <v>2995</v>
      </c>
      <c r="C40" s="6" t="s">
        <v>2996</v>
      </c>
      <c r="D40" s="6" t="s">
        <v>2997</v>
      </c>
      <c r="E40" s="7" t="s">
        <v>6564</v>
      </c>
      <c r="F40" s="6" t="s">
        <v>1695</v>
      </c>
      <c r="G40" s="7" t="s">
        <v>1696</v>
      </c>
      <c r="H40" s="16" t="s">
        <v>8909</v>
      </c>
      <c r="I40" s="16" t="s">
        <v>8954</v>
      </c>
      <c r="J40" s="7"/>
      <c r="K40" s="7"/>
      <c r="L40" s="7"/>
      <c r="M40" s="7"/>
    </row>
    <row r="41">
      <c r="A41" s="15" t="s">
        <v>162</v>
      </c>
      <c r="B41" s="6" t="s">
        <v>4410</v>
      </c>
      <c r="C41" s="6" t="s">
        <v>2566</v>
      </c>
      <c r="D41" s="6" t="s">
        <v>3919</v>
      </c>
      <c r="E41" s="7" t="s">
        <v>6567</v>
      </c>
      <c r="F41" s="6" t="s">
        <v>1695</v>
      </c>
      <c r="G41" s="7" t="s">
        <v>1696</v>
      </c>
      <c r="H41" s="16" t="s">
        <v>8909</v>
      </c>
      <c r="I41" s="16" t="s">
        <v>8954</v>
      </c>
      <c r="J41" s="7"/>
      <c r="K41" s="7"/>
      <c r="L41" s="7"/>
      <c r="M41" s="7"/>
    </row>
    <row r="42">
      <c r="A42" s="15" t="s">
        <v>162</v>
      </c>
      <c r="B42" s="6" t="s">
        <v>3566</v>
      </c>
      <c r="C42" s="6" t="s">
        <v>3567</v>
      </c>
      <c r="D42" s="6" t="s">
        <v>2727</v>
      </c>
      <c r="E42" s="7" t="s">
        <v>6535</v>
      </c>
      <c r="F42" s="6" t="s">
        <v>1695</v>
      </c>
      <c r="G42" s="7" t="s">
        <v>1696</v>
      </c>
      <c r="H42" s="16" t="s">
        <v>8909</v>
      </c>
      <c r="I42" s="16" t="s">
        <v>8955</v>
      </c>
      <c r="J42" s="7"/>
      <c r="K42" s="7"/>
      <c r="L42" s="7"/>
      <c r="M42" s="7"/>
    </row>
    <row r="43">
      <c r="A43" s="15" t="s">
        <v>162</v>
      </c>
      <c r="B43" s="6" t="s">
        <v>5182</v>
      </c>
      <c r="C43" s="6" t="s">
        <v>5183</v>
      </c>
      <c r="D43" s="6" t="s">
        <v>5184</v>
      </c>
      <c r="E43" s="7" t="s">
        <v>6541</v>
      </c>
      <c r="F43" s="6" t="s">
        <v>1695</v>
      </c>
      <c r="G43" s="7" t="s">
        <v>1696</v>
      </c>
      <c r="H43" s="16" t="s">
        <v>8909</v>
      </c>
      <c r="I43" s="16" t="s">
        <v>8955</v>
      </c>
      <c r="J43" s="7"/>
      <c r="K43" s="7"/>
      <c r="L43" s="7"/>
      <c r="M43" s="7"/>
    </row>
    <row r="44">
      <c r="A44" s="15" t="s">
        <v>162</v>
      </c>
      <c r="B44" s="6" t="s">
        <v>4019</v>
      </c>
      <c r="C44" s="6" t="s">
        <v>4020</v>
      </c>
      <c r="D44" s="6" t="s">
        <v>510</v>
      </c>
      <c r="E44" s="7" t="s">
        <v>6543</v>
      </c>
      <c r="F44" s="6" t="s">
        <v>1695</v>
      </c>
      <c r="G44" s="7" t="s">
        <v>1696</v>
      </c>
      <c r="H44" s="16" t="s">
        <v>8909</v>
      </c>
      <c r="I44" s="16" t="s">
        <v>8955</v>
      </c>
      <c r="J44" s="7"/>
      <c r="K44" s="7"/>
      <c r="L44" s="7"/>
      <c r="M44" s="7"/>
    </row>
    <row r="45">
      <c r="A45" s="15" t="s">
        <v>162</v>
      </c>
      <c r="B45" s="6" t="s">
        <v>2260</v>
      </c>
      <c r="C45" s="6" t="s">
        <v>697</v>
      </c>
      <c r="D45" s="6" t="s">
        <v>2261</v>
      </c>
      <c r="E45" s="7" t="s">
        <v>6545</v>
      </c>
      <c r="F45" s="6" t="s">
        <v>1695</v>
      </c>
      <c r="G45" s="7" t="s">
        <v>1696</v>
      </c>
      <c r="H45" s="16" t="s">
        <v>8909</v>
      </c>
      <c r="I45" s="16" t="s">
        <v>8955</v>
      </c>
      <c r="J45" s="7"/>
      <c r="K45" s="7"/>
      <c r="L45" s="7"/>
      <c r="M45" s="7"/>
    </row>
    <row r="46">
      <c r="A46" s="15" t="s">
        <v>162</v>
      </c>
      <c r="B46" s="6" t="s">
        <v>1853</v>
      </c>
      <c r="C46" s="6" t="s">
        <v>104</v>
      </c>
      <c r="D46" s="6" t="s">
        <v>105</v>
      </c>
      <c r="E46" s="7" t="s">
        <v>6547</v>
      </c>
      <c r="F46" s="6" t="s">
        <v>1695</v>
      </c>
      <c r="G46" s="7" t="s">
        <v>1696</v>
      </c>
      <c r="H46" s="16" t="s">
        <v>8909</v>
      </c>
      <c r="I46" s="16" t="s">
        <v>8955</v>
      </c>
      <c r="J46" s="7"/>
      <c r="K46" s="7"/>
      <c r="L46" s="7"/>
      <c r="M46" s="7"/>
    </row>
    <row r="47">
      <c r="A47" s="15" t="s">
        <v>162</v>
      </c>
      <c r="B47" s="6" t="s">
        <v>5180</v>
      </c>
      <c r="C47" s="6" t="s">
        <v>5181</v>
      </c>
      <c r="D47" s="6" t="s">
        <v>1905</v>
      </c>
      <c r="E47" s="7" t="s">
        <v>6548</v>
      </c>
      <c r="F47" s="6" t="s">
        <v>1695</v>
      </c>
      <c r="G47" s="7" t="s">
        <v>1696</v>
      </c>
      <c r="H47" s="16" t="s">
        <v>8909</v>
      </c>
      <c r="I47" s="16" t="s">
        <v>8955</v>
      </c>
      <c r="J47" s="7"/>
      <c r="K47" s="7"/>
      <c r="L47" s="7"/>
      <c r="M47" s="7"/>
    </row>
    <row r="48">
      <c r="A48" s="15" t="s">
        <v>162</v>
      </c>
      <c r="B48" s="6" t="s">
        <v>3905</v>
      </c>
      <c r="C48" s="6" t="s">
        <v>3906</v>
      </c>
      <c r="D48" s="6" t="s">
        <v>2263</v>
      </c>
      <c r="E48" s="7" t="s">
        <v>6558</v>
      </c>
      <c r="F48" s="6" t="s">
        <v>1695</v>
      </c>
      <c r="G48" s="7" t="s">
        <v>1696</v>
      </c>
      <c r="H48" s="16" t="s">
        <v>8909</v>
      </c>
      <c r="I48" s="16" t="s">
        <v>8955</v>
      </c>
      <c r="J48" s="7"/>
      <c r="K48" s="7"/>
      <c r="L48" s="7"/>
      <c r="M48" s="7"/>
    </row>
    <row r="49">
      <c r="A49" s="15" t="s">
        <v>162</v>
      </c>
      <c r="B49" s="6" t="s">
        <v>4564</v>
      </c>
      <c r="C49" s="6" t="s">
        <v>4565</v>
      </c>
      <c r="D49" s="6" t="s">
        <v>4566</v>
      </c>
      <c r="E49" s="7" t="s">
        <v>6558</v>
      </c>
      <c r="F49" s="6" t="s">
        <v>1695</v>
      </c>
      <c r="G49" s="7" t="s">
        <v>1696</v>
      </c>
      <c r="H49" s="16" t="s">
        <v>8909</v>
      </c>
      <c r="I49" s="16" t="s">
        <v>8955</v>
      </c>
      <c r="J49" s="7"/>
      <c r="K49" s="7"/>
      <c r="L49" s="7"/>
      <c r="M49" s="7"/>
      <c r="N49" s="3" t="s">
        <v>8956</v>
      </c>
    </row>
    <row r="50">
      <c r="A50" s="15" t="s">
        <v>162</v>
      </c>
      <c r="B50" s="6" t="s">
        <v>5533</v>
      </c>
      <c r="C50" s="6" t="s">
        <v>5534</v>
      </c>
      <c r="D50" s="6" t="s">
        <v>3645</v>
      </c>
      <c r="E50" s="7" t="s">
        <v>6569</v>
      </c>
      <c r="F50" s="6" t="s">
        <v>1695</v>
      </c>
      <c r="G50" s="7" t="s">
        <v>1696</v>
      </c>
      <c r="H50" s="16" t="s">
        <v>8909</v>
      </c>
      <c r="I50" s="16" t="s">
        <v>8955</v>
      </c>
      <c r="J50" s="7"/>
      <c r="K50" s="7"/>
      <c r="L50" s="7"/>
      <c r="M50" s="7"/>
    </row>
    <row r="51">
      <c r="A51" s="15" t="s">
        <v>162</v>
      </c>
      <c r="B51" s="6" t="s">
        <v>3308</v>
      </c>
      <c r="C51" s="6" t="s">
        <v>3309</v>
      </c>
      <c r="D51" s="6" t="s">
        <v>1503</v>
      </c>
      <c r="E51" s="7" t="s">
        <v>6573</v>
      </c>
      <c r="F51" s="6" t="s">
        <v>1695</v>
      </c>
      <c r="G51" s="7" t="s">
        <v>1696</v>
      </c>
      <c r="H51" s="16" t="s">
        <v>8909</v>
      </c>
      <c r="I51" s="16" t="s">
        <v>8955</v>
      </c>
      <c r="J51" s="7"/>
      <c r="K51" s="7"/>
      <c r="L51" s="7"/>
      <c r="M51" s="7"/>
    </row>
    <row r="52">
      <c r="A52" s="15" t="s">
        <v>3184</v>
      </c>
      <c r="B52" s="6" t="s">
        <v>2204</v>
      </c>
      <c r="C52" s="6" t="s">
        <v>2205</v>
      </c>
      <c r="D52" s="6" t="s">
        <v>1164</v>
      </c>
      <c r="E52" s="7" t="s">
        <v>6581</v>
      </c>
      <c r="F52" s="6" t="s">
        <v>1695</v>
      </c>
      <c r="G52" s="7" t="s">
        <v>1696</v>
      </c>
      <c r="H52" s="16" t="s">
        <v>8909</v>
      </c>
      <c r="I52" s="16" t="s">
        <v>8912</v>
      </c>
      <c r="J52" s="16" t="s">
        <v>8918</v>
      </c>
      <c r="K52" s="16" t="s">
        <v>8919</v>
      </c>
      <c r="L52" s="16" t="s">
        <v>8920</v>
      </c>
      <c r="M52" s="16" t="s">
        <v>8921</v>
      </c>
      <c r="N52" s="3" t="s">
        <v>8957</v>
      </c>
    </row>
    <row r="53">
      <c r="A53" s="15" t="s">
        <v>3184</v>
      </c>
      <c r="B53" s="6" t="s">
        <v>2604</v>
      </c>
      <c r="C53" s="6" t="s">
        <v>2605</v>
      </c>
      <c r="D53" s="6" t="s">
        <v>404</v>
      </c>
      <c r="E53" s="7" t="s">
        <v>6582</v>
      </c>
      <c r="F53" s="6" t="s">
        <v>1695</v>
      </c>
      <c r="G53" s="7" t="s">
        <v>1696</v>
      </c>
      <c r="H53" s="16" t="s">
        <v>8909</v>
      </c>
      <c r="I53" s="16" t="s">
        <v>8912</v>
      </c>
      <c r="J53" s="16" t="s">
        <v>8913</v>
      </c>
      <c r="K53" s="16" t="s">
        <v>8934</v>
      </c>
      <c r="L53" s="16" t="s">
        <v>8927</v>
      </c>
      <c r="M53" s="16" t="s">
        <v>8935</v>
      </c>
      <c r="N53" s="3" t="s">
        <v>8958</v>
      </c>
    </row>
    <row r="54">
      <c r="A54" s="15" t="s">
        <v>3184</v>
      </c>
      <c r="B54" s="6" t="s">
        <v>1718</v>
      </c>
      <c r="C54" s="6" t="s">
        <v>270</v>
      </c>
      <c r="D54" s="6" t="s">
        <v>274</v>
      </c>
      <c r="E54" s="7" t="s">
        <v>6583</v>
      </c>
      <c r="F54" s="6" t="s">
        <v>1695</v>
      </c>
      <c r="G54" s="7" t="s">
        <v>1696</v>
      </c>
      <c r="H54" s="16" t="s">
        <v>8909</v>
      </c>
      <c r="I54" s="16" t="s">
        <v>8912</v>
      </c>
      <c r="J54" s="16" t="s">
        <v>8918</v>
      </c>
      <c r="K54" s="16" t="s">
        <v>8919</v>
      </c>
      <c r="L54" s="16" t="s">
        <v>8920</v>
      </c>
      <c r="M54" s="16" t="s">
        <v>8921</v>
      </c>
      <c r="N54" s="3" t="s">
        <v>8959</v>
      </c>
    </row>
    <row r="55">
      <c r="A55" s="15" t="s">
        <v>3184</v>
      </c>
      <c r="B55" s="6" t="s">
        <v>5202</v>
      </c>
      <c r="C55" s="6" t="s">
        <v>5203</v>
      </c>
      <c r="D55" s="6" t="s">
        <v>5204</v>
      </c>
      <c r="E55" s="7" t="s">
        <v>6584</v>
      </c>
      <c r="F55" s="6" t="s">
        <v>1695</v>
      </c>
      <c r="G55" s="7" t="s">
        <v>1696</v>
      </c>
      <c r="H55" s="16" t="s">
        <v>8909</v>
      </c>
      <c r="I55" s="16" t="s">
        <v>8912</v>
      </c>
      <c r="J55" s="16" t="s">
        <v>8918</v>
      </c>
      <c r="K55" s="16" t="s">
        <v>8919</v>
      </c>
      <c r="L55" s="16" t="s">
        <v>8915</v>
      </c>
      <c r="M55" s="16" t="s">
        <v>8921</v>
      </c>
      <c r="N55" s="3" t="s">
        <v>8960</v>
      </c>
    </row>
    <row r="56">
      <c r="A56" s="15" t="s">
        <v>3184</v>
      </c>
      <c r="B56" s="6" t="s">
        <v>5497</v>
      </c>
      <c r="C56" s="6" t="s">
        <v>5498</v>
      </c>
      <c r="D56" s="6" t="s">
        <v>5499</v>
      </c>
      <c r="E56" s="7" t="s">
        <v>6585</v>
      </c>
      <c r="F56" s="6" t="s">
        <v>1695</v>
      </c>
      <c r="G56" s="7" t="s">
        <v>1696</v>
      </c>
      <c r="H56" s="16" t="s">
        <v>8909</v>
      </c>
      <c r="I56" s="16" t="s">
        <v>8912</v>
      </c>
      <c r="J56" s="16" t="s">
        <v>8918</v>
      </c>
      <c r="K56" s="16" t="s">
        <v>8919</v>
      </c>
      <c r="L56" s="16" t="s">
        <v>8920</v>
      </c>
      <c r="M56" s="16" t="s">
        <v>8921</v>
      </c>
    </row>
    <row r="57">
      <c r="A57" s="15" t="s">
        <v>3184</v>
      </c>
      <c r="B57" s="6" t="s">
        <v>1861</v>
      </c>
      <c r="C57" s="6" t="s">
        <v>1862</v>
      </c>
      <c r="D57" s="6" t="s">
        <v>1863</v>
      </c>
      <c r="E57" s="7" t="s">
        <v>6586</v>
      </c>
      <c r="F57" s="6" t="s">
        <v>1695</v>
      </c>
      <c r="G57" s="7" t="s">
        <v>1696</v>
      </c>
      <c r="H57" s="16" t="s">
        <v>8909</v>
      </c>
      <c r="I57" s="16" t="s">
        <v>8912</v>
      </c>
      <c r="J57" s="16" t="s">
        <v>8918</v>
      </c>
      <c r="K57" s="16" t="s">
        <v>8919</v>
      </c>
      <c r="L57" s="16" t="s">
        <v>8920</v>
      </c>
      <c r="M57" s="16" t="s">
        <v>8921</v>
      </c>
      <c r="N57" s="3" t="s">
        <v>8961</v>
      </c>
    </row>
    <row r="58">
      <c r="A58" s="15" t="s">
        <v>3184</v>
      </c>
      <c r="B58" s="6" t="s">
        <v>2284</v>
      </c>
      <c r="C58" s="6" t="s">
        <v>208</v>
      </c>
      <c r="D58" s="6" t="s">
        <v>1069</v>
      </c>
      <c r="E58" s="7" t="s">
        <v>6588</v>
      </c>
      <c r="F58" s="6" t="s">
        <v>1695</v>
      </c>
      <c r="G58" s="7" t="s">
        <v>1696</v>
      </c>
      <c r="H58" s="16" t="s">
        <v>8909</v>
      </c>
      <c r="I58" s="16" t="s">
        <v>8912</v>
      </c>
      <c r="J58" s="16" t="s">
        <v>8918</v>
      </c>
      <c r="K58" s="16" t="s">
        <v>8919</v>
      </c>
      <c r="L58" s="16" t="s">
        <v>8920</v>
      </c>
      <c r="M58" s="16" t="s">
        <v>8962</v>
      </c>
    </row>
    <row r="59">
      <c r="A59" s="15" t="s">
        <v>3184</v>
      </c>
      <c r="B59" s="6" t="s">
        <v>1795</v>
      </c>
      <c r="C59" s="6" t="s">
        <v>356</v>
      </c>
      <c r="D59" s="6" t="s">
        <v>1796</v>
      </c>
      <c r="E59" s="7" t="s">
        <v>6589</v>
      </c>
      <c r="F59" s="6" t="s">
        <v>1695</v>
      </c>
      <c r="G59" s="7" t="s">
        <v>1696</v>
      </c>
      <c r="H59" s="16" t="s">
        <v>8909</v>
      </c>
      <c r="I59" s="16" t="s">
        <v>8912</v>
      </c>
      <c r="J59" s="16" t="s">
        <v>8913</v>
      </c>
      <c r="K59" s="16" t="s">
        <v>8934</v>
      </c>
      <c r="L59" s="16" t="s">
        <v>8920</v>
      </c>
      <c r="M59" s="16" t="s">
        <v>8935</v>
      </c>
      <c r="N59" s="3" t="s">
        <v>8963</v>
      </c>
    </row>
    <row r="60">
      <c r="A60" s="15" t="s">
        <v>3184</v>
      </c>
      <c r="B60" s="6" t="s">
        <v>2694</v>
      </c>
      <c r="C60" s="6" t="s">
        <v>162</v>
      </c>
      <c r="D60" s="6" t="s">
        <v>2695</v>
      </c>
      <c r="E60" s="7" t="s">
        <v>6595</v>
      </c>
      <c r="F60" s="6" t="s">
        <v>1695</v>
      </c>
      <c r="G60" s="7" t="s">
        <v>1696</v>
      </c>
      <c r="H60" s="16" t="s">
        <v>8909</v>
      </c>
      <c r="I60" s="16" t="s">
        <v>8912</v>
      </c>
      <c r="J60" s="16" t="s">
        <v>8918</v>
      </c>
      <c r="K60" s="16" t="s">
        <v>8919</v>
      </c>
      <c r="L60" s="16" t="s">
        <v>8920</v>
      </c>
      <c r="M60" s="16" t="s">
        <v>8964</v>
      </c>
      <c r="N60" s="3" t="s">
        <v>8965</v>
      </c>
    </row>
    <row r="61">
      <c r="A61" s="15" t="s">
        <v>3184</v>
      </c>
      <c r="B61" s="6" t="s">
        <v>1922</v>
      </c>
      <c r="C61" s="6" t="s">
        <v>1923</v>
      </c>
      <c r="D61" s="6" t="s">
        <v>1924</v>
      </c>
      <c r="E61" s="7" t="s">
        <v>6596</v>
      </c>
      <c r="F61" s="6" t="s">
        <v>1695</v>
      </c>
      <c r="G61" s="7" t="s">
        <v>1696</v>
      </c>
      <c r="H61" s="16" t="s">
        <v>8909</v>
      </c>
      <c r="I61" s="16" t="s">
        <v>8912</v>
      </c>
      <c r="J61" s="16" t="s">
        <v>8918</v>
      </c>
      <c r="K61" s="16" t="s">
        <v>8919</v>
      </c>
      <c r="L61" s="16" t="s">
        <v>8920</v>
      </c>
      <c r="M61" s="16" t="s">
        <v>8921</v>
      </c>
      <c r="N61" s="3" t="s">
        <v>8966</v>
      </c>
    </row>
    <row r="62">
      <c r="A62" s="15" t="s">
        <v>3184</v>
      </c>
      <c r="B62" s="6" t="s">
        <v>2380</v>
      </c>
      <c r="C62" s="6" t="s">
        <v>1215</v>
      </c>
      <c r="D62" s="6" t="s">
        <v>1561</v>
      </c>
      <c r="E62" s="7" t="s">
        <v>6598</v>
      </c>
      <c r="F62" s="6" t="s">
        <v>1695</v>
      </c>
      <c r="G62" s="7" t="s">
        <v>1696</v>
      </c>
      <c r="H62" s="16" t="s">
        <v>8909</v>
      </c>
      <c r="I62" s="16" t="s">
        <v>8912</v>
      </c>
      <c r="J62" s="16" t="s">
        <v>8913</v>
      </c>
      <c r="K62" s="16" t="s">
        <v>8934</v>
      </c>
      <c r="L62" s="16" t="s">
        <v>8927</v>
      </c>
      <c r="M62" s="16" t="s">
        <v>8935</v>
      </c>
      <c r="N62" s="3" t="s">
        <v>8967</v>
      </c>
    </row>
    <row r="63">
      <c r="A63" s="15" t="s">
        <v>3184</v>
      </c>
      <c r="B63" s="6" t="s">
        <v>6032</v>
      </c>
      <c r="C63" s="6" t="s">
        <v>6033</v>
      </c>
      <c r="D63" s="6" t="s">
        <v>320</v>
      </c>
      <c r="E63" s="7" t="s">
        <v>6599</v>
      </c>
      <c r="F63" s="6" t="s">
        <v>1695</v>
      </c>
      <c r="G63" s="7" t="s">
        <v>1696</v>
      </c>
      <c r="H63" s="16" t="s">
        <v>8909</v>
      </c>
      <c r="I63" s="16" t="s">
        <v>8912</v>
      </c>
      <c r="J63" s="16" t="s">
        <v>8926</v>
      </c>
      <c r="K63" s="16" t="s">
        <v>8914</v>
      </c>
      <c r="L63" s="16" t="s">
        <v>8915</v>
      </c>
      <c r="M63" s="16" t="s">
        <v>8938</v>
      </c>
    </row>
    <row r="64">
      <c r="A64" s="15" t="s">
        <v>3184</v>
      </c>
      <c r="B64" s="6" t="s">
        <v>6381</v>
      </c>
      <c r="C64" s="6" t="s">
        <v>6382</v>
      </c>
      <c r="D64" s="6" t="s">
        <v>218</v>
      </c>
      <c r="E64" s="7" t="s">
        <v>6602</v>
      </c>
      <c r="F64" s="6" t="s">
        <v>1695</v>
      </c>
      <c r="G64" s="7" t="s">
        <v>6318</v>
      </c>
      <c r="H64" s="16" t="s">
        <v>8909</v>
      </c>
      <c r="I64" s="16" t="s">
        <v>8912</v>
      </c>
      <c r="J64" s="16" t="s">
        <v>8913</v>
      </c>
      <c r="K64" s="16" t="s">
        <v>8934</v>
      </c>
      <c r="L64" s="16" t="s">
        <v>8915</v>
      </c>
      <c r="M64" s="16" t="s">
        <v>8935</v>
      </c>
      <c r="N64" s="3" t="s">
        <v>8968</v>
      </c>
    </row>
    <row r="65">
      <c r="A65" s="15" t="s">
        <v>3184</v>
      </c>
      <c r="B65" s="6" t="s">
        <v>4646</v>
      </c>
      <c r="C65" s="6" t="s">
        <v>1893</v>
      </c>
      <c r="D65" s="6" t="s">
        <v>4647</v>
      </c>
      <c r="E65" s="7" t="s">
        <v>6603</v>
      </c>
      <c r="F65" s="6" t="s">
        <v>1695</v>
      </c>
      <c r="G65" s="7" t="s">
        <v>1696</v>
      </c>
      <c r="H65" s="16" t="s">
        <v>8909</v>
      </c>
      <c r="I65" s="16" t="s">
        <v>8912</v>
      </c>
      <c r="J65" s="16" t="s">
        <v>8913</v>
      </c>
      <c r="K65" s="16" t="s">
        <v>8934</v>
      </c>
      <c r="L65" s="16" t="s">
        <v>8927</v>
      </c>
      <c r="M65" s="16" t="s">
        <v>8935</v>
      </c>
      <c r="N65" s="3" t="s">
        <v>8968</v>
      </c>
    </row>
    <row r="66">
      <c r="A66" s="15" t="s">
        <v>3184</v>
      </c>
      <c r="B66" s="6" t="s">
        <v>3612</v>
      </c>
      <c r="C66" s="6" t="s">
        <v>3613</v>
      </c>
      <c r="D66" s="6" t="s">
        <v>3614</v>
      </c>
      <c r="E66" s="7" t="s">
        <v>6604</v>
      </c>
      <c r="F66" s="6" t="s">
        <v>1695</v>
      </c>
      <c r="G66" s="7" t="s">
        <v>1696</v>
      </c>
      <c r="H66" s="16" t="s">
        <v>8909</v>
      </c>
      <c r="I66" s="16" t="s">
        <v>8912</v>
      </c>
      <c r="J66" s="16" t="s">
        <v>8918</v>
      </c>
      <c r="K66" s="16" t="s">
        <v>8919</v>
      </c>
      <c r="L66" s="16" t="s">
        <v>8923</v>
      </c>
      <c r="M66" s="16" t="s">
        <v>8924</v>
      </c>
    </row>
    <row r="67">
      <c r="A67" s="15" t="s">
        <v>3184</v>
      </c>
      <c r="B67" s="6" t="s">
        <v>5507</v>
      </c>
      <c r="C67" s="6" t="s">
        <v>85</v>
      </c>
      <c r="D67" s="6" t="s">
        <v>1512</v>
      </c>
      <c r="E67" s="7" t="s">
        <v>6606</v>
      </c>
      <c r="F67" s="6" t="s">
        <v>1695</v>
      </c>
      <c r="G67" s="7" t="s">
        <v>1696</v>
      </c>
      <c r="H67" s="16" t="s">
        <v>8909</v>
      </c>
      <c r="I67" s="16" t="s">
        <v>8912</v>
      </c>
      <c r="J67" s="16" t="s">
        <v>8913</v>
      </c>
      <c r="K67" s="16" t="s">
        <v>8934</v>
      </c>
      <c r="L67" s="16" t="s">
        <v>8927</v>
      </c>
      <c r="M67" s="16" t="s">
        <v>8935</v>
      </c>
      <c r="N67" s="3" t="s">
        <v>8969</v>
      </c>
    </row>
    <row r="68">
      <c r="A68" s="15" t="s">
        <v>3184</v>
      </c>
      <c r="B68" s="6" t="s">
        <v>3226</v>
      </c>
      <c r="C68" s="6" t="s">
        <v>2200</v>
      </c>
      <c r="D68" s="6" t="s">
        <v>2395</v>
      </c>
      <c r="E68" s="7" t="s">
        <v>6607</v>
      </c>
      <c r="F68" s="6" t="s">
        <v>1695</v>
      </c>
      <c r="G68" s="7" t="s">
        <v>1696</v>
      </c>
      <c r="H68" s="16" t="s">
        <v>8909</v>
      </c>
      <c r="I68" s="16" t="s">
        <v>8912</v>
      </c>
      <c r="J68" s="16" t="s">
        <v>8918</v>
      </c>
      <c r="K68" s="16" t="s">
        <v>8919</v>
      </c>
      <c r="L68" s="16" t="s">
        <v>8927</v>
      </c>
      <c r="M68" s="16" t="s">
        <v>8924</v>
      </c>
      <c r="N68" s="3" t="s">
        <v>8970</v>
      </c>
    </row>
    <row r="69">
      <c r="A69" s="15" t="s">
        <v>3184</v>
      </c>
      <c r="B69" s="6" t="s">
        <v>3653</v>
      </c>
      <c r="C69" s="6" t="s">
        <v>534</v>
      </c>
      <c r="D69" s="6" t="s">
        <v>3654</v>
      </c>
      <c r="E69" s="7" t="s">
        <v>6608</v>
      </c>
      <c r="F69" s="6" t="s">
        <v>1695</v>
      </c>
      <c r="G69" s="7" t="s">
        <v>1696</v>
      </c>
      <c r="H69" s="16" t="s">
        <v>8909</v>
      </c>
      <c r="I69" s="16" t="s">
        <v>8912</v>
      </c>
      <c r="J69" s="16" t="s">
        <v>8913</v>
      </c>
      <c r="K69" s="16" t="s">
        <v>8934</v>
      </c>
      <c r="L69" s="16" t="s">
        <v>8920</v>
      </c>
      <c r="M69" s="16" t="s">
        <v>8935</v>
      </c>
      <c r="N69" s="3" t="s">
        <v>8971</v>
      </c>
    </row>
    <row r="70">
      <c r="A70" s="15" t="s">
        <v>3184</v>
      </c>
      <c r="B70" s="6" t="s">
        <v>2030</v>
      </c>
      <c r="C70" s="6" t="s">
        <v>2031</v>
      </c>
      <c r="D70" s="6" t="s">
        <v>2032</v>
      </c>
      <c r="E70" s="7" t="s">
        <v>6610</v>
      </c>
      <c r="F70" s="6" t="s">
        <v>1695</v>
      </c>
      <c r="G70" s="7" t="s">
        <v>1696</v>
      </c>
      <c r="H70" s="16" t="s">
        <v>8909</v>
      </c>
      <c r="I70" s="16" t="s">
        <v>8912</v>
      </c>
      <c r="J70" s="16" t="s">
        <v>8918</v>
      </c>
      <c r="K70" s="16" t="s">
        <v>8919</v>
      </c>
      <c r="L70" s="16" t="s">
        <v>8915</v>
      </c>
      <c r="M70" s="16" t="s">
        <v>8920</v>
      </c>
      <c r="N70" s="3" t="s">
        <v>8972</v>
      </c>
    </row>
    <row r="71">
      <c r="A71" s="15" t="s">
        <v>3184</v>
      </c>
      <c r="B71" s="6" t="s">
        <v>6130</v>
      </c>
      <c r="C71" s="6" t="s">
        <v>291</v>
      </c>
      <c r="D71" s="6" t="s">
        <v>66</v>
      </c>
      <c r="E71" s="7" t="s">
        <v>6613</v>
      </c>
      <c r="F71" s="6" t="s">
        <v>1695</v>
      </c>
      <c r="G71" s="7" t="s">
        <v>1696</v>
      </c>
      <c r="H71" s="16" t="s">
        <v>8909</v>
      </c>
      <c r="I71" s="16" t="s">
        <v>8912</v>
      </c>
      <c r="J71" s="16" t="s">
        <v>8918</v>
      </c>
      <c r="K71" s="16" t="s">
        <v>8919</v>
      </c>
      <c r="L71" s="16" t="s">
        <v>8920</v>
      </c>
      <c r="M71" s="16" t="s">
        <v>8921</v>
      </c>
      <c r="N71" s="3" t="s">
        <v>8973</v>
      </c>
    </row>
    <row r="72">
      <c r="A72" s="15" t="s">
        <v>3184</v>
      </c>
      <c r="B72" s="6" t="s">
        <v>2189</v>
      </c>
      <c r="C72" s="6" t="s">
        <v>2190</v>
      </c>
      <c r="D72" s="6" t="s">
        <v>2191</v>
      </c>
      <c r="E72" s="7" t="s">
        <v>6614</v>
      </c>
      <c r="F72" s="6" t="s">
        <v>1695</v>
      </c>
      <c r="G72" s="7" t="s">
        <v>1696</v>
      </c>
      <c r="H72" s="16" t="s">
        <v>8909</v>
      </c>
      <c r="I72" s="16" t="s">
        <v>8912</v>
      </c>
      <c r="J72" s="16" t="s">
        <v>8926</v>
      </c>
      <c r="K72" s="16" t="s">
        <v>8914</v>
      </c>
      <c r="L72" s="16" t="s">
        <v>8920</v>
      </c>
      <c r="M72" s="16" t="s">
        <v>8974</v>
      </c>
    </row>
    <row r="73">
      <c r="A73" s="15" t="s">
        <v>3184</v>
      </c>
      <c r="B73" s="6" t="s">
        <v>5429</v>
      </c>
      <c r="C73" s="6" t="s">
        <v>5430</v>
      </c>
      <c r="D73" s="6" t="s">
        <v>5254</v>
      </c>
      <c r="E73" s="7" t="s">
        <v>6615</v>
      </c>
      <c r="F73" s="6" t="s">
        <v>1695</v>
      </c>
      <c r="G73" s="7" t="s">
        <v>1696</v>
      </c>
      <c r="H73" s="16" t="s">
        <v>8909</v>
      </c>
      <c r="I73" s="16" t="s">
        <v>8912</v>
      </c>
      <c r="J73" s="16" t="s">
        <v>8913</v>
      </c>
      <c r="K73" s="16" t="s">
        <v>8934</v>
      </c>
      <c r="L73" s="16" t="s">
        <v>8915</v>
      </c>
      <c r="M73" s="16" t="s">
        <v>8935</v>
      </c>
      <c r="N73" s="3" t="s">
        <v>8975</v>
      </c>
    </row>
    <row r="74">
      <c r="A74" s="15" t="s">
        <v>3184</v>
      </c>
      <c r="B74" s="6" t="s">
        <v>4950</v>
      </c>
      <c r="C74" s="6" t="s">
        <v>4951</v>
      </c>
      <c r="D74" s="6" t="s">
        <v>4952</v>
      </c>
      <c r="E74" s="7" t="s">
        <v>6620</v>
      </c>
      <c r="F74" s="6" t="s">
        <v>1695</v>
      </c>
      <c r="G74" s="7" t="s">
        <v>1696</v>
      </c>
      <c r="H74" s="16" t="s">
        <v>8909</v>
      </c>
      <c r="I74" s="16" t="s">
        <v>8912</v>
      </c>
      <c r="J74" s="16" t="s">
        <v>8913</v>
      </c>
      <c r="K74" s="16" t="s">
        <v>8934</v>
      </c>
      <c r="L74" s="16" t="s">
        <v>8927</v>
      </c>
      <c r="M74" s="16" t="s">
        <v>8935</v>
      </c>
      <c r="N74" s="3" t="s">
        <v>8958</v>
      </c>
    </row>
    <row r="75">
      <c r="A75" s="15" t="s">
        <v>3184</v>
      </c>
      <c r="B75" s="6" t="s">
        <v>6040</v>
      </c>
      <c r="C75" s="6" t="s">
        <v>2382</v>
      </c>
      <c r="D75" s="6" t="s">
        <v>6041</v>
      </c>
      <c r="E75" s="7" t="s">
        <v>6621</v>
      </c>
      <c r="F75" s="6" t="s">
        <v>1695</v>
      </c>
      <c r="G75" s="7" t="s">
        <v>1696</v>
      </c>
      <c r="H75" s="16" t="s">
        <v>8909</v>
      </c>
      <c r="I75" s="16" t="s">
        <v>8912</v>
      </c>
      <c r="J75" s="16" t="s">
        <v>8926</v>
      </c>
      <c r="K75" s="16" t="s">
        <v>8914</v>
      </c>
      <c r="L75" s="16" t="s">
        <v>8920</v>
      </c>
      <c r="M75" s="16" t="s">
        <v>8974</v>
      </c>
    </row>
    <row r="76">
      <c r="A76" s="15" t="s">
        <v>3184</v>
      </c>
      <c r="B76" s="6" t="s">
        <v>5248</v>
      </c>
      <c r="C76" s="6" t="s">
        <v>1522</v>
      </c>
      <c r="D76" s="6" t="s">
        <v>532</v>
      </c>
      <c r="E76" s="7" t="s">
        <v>6623</v>
      </c>
      <c r="F76" s="6" t="s">
        <v>1695</v>
      </c>
      <c r="G76" s="7" t="s">
        <v>1696</v>
      </c>
      <c r="H76" s="16" t="s">
        <v>8909</v>
      </c>
      <c r="I76" s="16" t="s">
        <v>8912</v>
      </c>
      <c r="J76" s="16" t="s">
        <v>8918</v>
      </c>
      <c r="K76" s="16" t="s">
        <v>8919</v>
      </c>
      <c r="L76" s="16" t="s">
        <v>8920</v>
      </c>
      <c r="M76" s="16" t="s">
        <v>8921</v>
      </c>
      <c r="N76" s="3" t="s">
        <v>8976</v>
      </c>
    </row>
    <row r="77">
      <c r="A77" s="15" t="s">
        <v>3184</v>
      </c>
      <c r="B77" s="6" t="s">
        <v>5347</v>
      </c>
      <c r="C77" s="6" t="s">
        <v>3651</v>
      </c>
      <c r="D77" s="6" t="s">
        <v>4114</v>
      </c>
      <c r="E77" s="7" t="s">
        <v>6625</v>
      </c>
      <c r="F77" s="6" t="s">
        <v>1695</v>
      </c>
      <c r="G77" s="7" t="s">
        <v>1696</v>
      </c>
      <c r="H77" s="16" t="s">
        <v>8909</v>
      </c>
      <c r="I77" s="16" t="s">
        <v>8912</v>
      </c>
      <c r="J77" s="16" t="s">
        <v>8918</v>
      </c>
      <c r="K77" s="16" t="s">
        <v>8919</v>
      </c>
      <c r="L77" s="16" t="s">
        <v>8920</v>
      </c>
      <c r="M77" s="16" t="s">
        <v>8921</v>
      </c>
      <c r="N77" s="3" t="s">
        <v>8977</v>
      </c>
    </row>
    <row r="78">
      <c r="A78" s="15" t="s">
        <v>3184</v>
      </c>
      <c r="B78" s="6" t="s">
        <v>5650</v>
      </c>
      <c r="C78" s="6" t="s">
        <v>522</v>
      </c>
      <c r="D78" s="6" t="s">
        <v>1304</v>
      </c>
      <c r="E78" s="7" t="s">
        <v>6626</v>
      </c>
      <c r="F78" s="6" t="s">
        <v>1695</v>
      </c>
      <c r="G78" s="7" t="s">
        <v>1696</v>
      </c>
      <c r="H78" s="16" t="s">
        <v>8909</v>
      </c>
      <c r="I78" s="16" t="s">
        <v>8912</v>
      </c>
      <c r="J78" s="16" t="s">
        <v>8918</v>
      </c>
      <c r="K78" s="16" t="s">
        <v>8919</v>
      </c>
      <c r="L78" s="16" t="s">
        <v>8923</v>
      </c>
      <c r="M78" s="16" t="s">
        <v>8924</v>
      </c>
      <c r="N78" s="3" t="s">
        <v>8978</v>
      </c>
    </row>
    <row r="79">
      <c r="A79" s="15" t="s">
        <v>3184</v>
      </c>
      <c r="B79" s="6" t="s">
        <v>5243</v>
      </c>
      <c r="C79" s="6" t="s">
        <v>2535</v>
      </c>
      <c r="D79" s="6" t="s">
        <v>168</v>
      </c>
      <c r="E79" s="7" t="s">
        <v>6627</v>
      </c>
      <c r="F79" s="6" t="s">
        <v>1695</v>
      </c>
      <c r="G79" s="7" t="s">
        <v>1696</v>
      </c>
      <c r="H79" s="16" t="s">
        <v>8909</v>
      </c>
      <c r="I79" s="16" t="s">
        <v>8912</v>
      </c>
      <c r="J79" s="16" t="s">
        <v>8913</v>
      </c>
      <c r="K79" s="16" t="s">
        <v>8934</v>
      </c>
      <c r="L79" s="16" t="s">
        <v>8915</v>
      </c>
      <c r="M79" s="16" t="s">
        <v>8935</v>
      </c>
      <c r="N79" s="3" t="s">
        <v>8979</v>
      </c>
    </row>
    <row r="80">
      <c r="A80" s="15" t="s">
        <v>3184</v>
      </c>
      <c r="B80" s="6" t="s">
        <v>6077</v>
      </c>
      <c r="C80" s="6" t="s">
        <v>6078</v>
      </c>
      <c r="D80" s="6" t="s">
        <v>1898</v>
      </c>
      <c r="E80" s="7" t="s">
        <v>6628</v>
      </c>
      <c r="F80" s="6" t="s">
        <v>1695</v>
      </c>
      <c r="G80" s="7" t="s">
        <v>1696</v>
      </c>
      <c r="H80" s="16" t="s">
        <v>8909</v>
      </c>
      <c r="I80" s="16" t="s">
        <v>8912</v>
      </c>
      <c r="J80" s="16" t="s">
        <v>8913</v>
      </c>
      <c r="K80" s="16" t="s">
        <v>8934</v>
      </c>
      <c r="L80" s="16" t="s">
        <v>8927</v>
      </c>
      <c r="M80" s="16" t="s">
        <v>8935</v>
      </c>
      <c r="N80" s="3" t="s">
        <v>8958</v>
      </c>
    </row>
    <row r="81">
      <c r="A81" s="15" t="s">
        <v>3184</v>
      </c>
      <c r="B81" s="6" t="s">
        <v>1957</v>
      </c>
      <c r="C81" s="6" t="s">
        <v>649</v>
      </c>
      <c r="D81" s="6" t="s">
        <v>610</v>
      </c>
      <c r="E81" s="7" t="s">
        <v>6629</v>
      </c>
      <c r="F81" s="6" t="s">
        <v>1695</v>
      </c>
      <c r="G81" s="7" t="s">
        <v>1696</v>
      </c>
      <c r="H81" s="16" t="s">
        <v>8909</v>
      </c>
      <c r="I81" s="16" t="s">
        <v>8912</v>
      </c>
      <c r="J81" s="16" t="s">
        <v>8918</v>
      </c>
      <c r="K81" s="16" t="s">
        <v>8919</v>
      </c>
      <c r="L81" s="16" t="s">
        <v>8920</v>
      </c>
      <c r="M81" s="16" t="s">
        <v>8921</v>
      </c>
      <c r="N81" s="3" t="s">
        <v>8980</v>
      </c>
    </row>
    <row r="82">
      <c r="A82" s="15" t="s">
        <v>3184</v>
      </c>
      <c r="B82" s="6" t="s">
        <v>2106</v>
      </c>
      <c r="C82" s="6" t="s">
        <v>2107</v>
      </c>
      <c r="D82" s="6" t="s">
        <v>2108</v>
      </c>
      <c r="E82" s="7" t="s">
        <v>6631</v>
      </c>
      <c r="F82" s="6" t="s">
        <v>1695</v>
      </c>
      <c r="G82" s="7" t="s">
        <v>1696</v>
      </c>
      <c r="H82" s="16" t="s">
        <v>8909</v>
      </c>
      <c r="I82" s="16" t="s">
        <v>8912</v>
      </c>
      <c r="J82" s="16" t="s">
        <v>8926</v>
      </c>
      <c r="K82" s="16" t="s">
        <v>8914</v>
      </c>
      <c r="L82" s="16" t="s">
        <v>8920</v>
      </c>
      <c r="M82" s="16" t="s">
        <v>8981</v>
      </c>
    </row>
    <row r="83">
      <c r="A83" s="15" t="s">
        <v>3184</v>
      </c>
      <c r="B83" s="6" t="s">
        <v>5661</v>
      </c>
      <c r="C83" s="6" t="s">
        <v>522</v>
      </c>
      <c r="D83" s="6" t="s">
        <v>1321</v>
      </c>
      <c r="E83" s="7" t="s">
        <v>6632</v>
      </c>
      <c r="F83" s="6" t="s">
        <v>1695</v>
      </c>
      <c r="G83" s="7" t="s">
        <v>1696</v>
      </c>
      <c r="H83" s="16" t="s">
        <v>8909</v>
      </c>
      <c r="I83" s="16" t="s">
        <v>8912</v>
      </c>
      <c r="J83" s="16" t="s">
        <v>8918</v>
      </c>
      <c r="K83" s="16" t="s">
        <v>8919</v>
      </c>
      <c r="L83" s="16" t="s">
        <v>8931</v>
      </c>
      <c r="M83" s="16" t="s">
        <v>8924</v>
      </c>
    </row>
    <row r="84">
      <c r="A84" s="15" t="s">
        <v>3184</v>
      </c>
      <c r="B84" s="6" t="s">
        <v>4856</v>
      </c>
      <c r="C84" s="6" t="s">
        <v>85</v>
      </c>
      <c r="D84" s="6" t="s">
        <v>134</v>
      </c>
      <c r="E84" s="7" t="s">
        <v>6633</v>
      </c>
      <c r="F84" s="6" t="s">
        <v>1695</v>
      </c>
      <c r="G84" s="7" t="s">
        <v>1696</v>
      </c>
      <c r="H84" s="16" t="s">
        <v>8909</v>
      </c>
      <c r="I84" s="16" t="s">
        <v>8912</v>
      </c>
      <c r="J84" s="16" t="s">
        <v>8926</v>
      </c>
      <c r="K84" s="16" t="s">
        <v>8914</v>
      </c>
      <c r="L84" s="16" t="s">
        <v>8920</v>
      </c>
      <c r="M84" s="16" t="s">
        <v>8974</v>
      </c>
    </row>
    <row r="85">
      <c r="A85" s="15" t="s">
        <v>3184</v>
      </c>
      <c r="B85" s="6" t="s">
        <v>2549</v>
      </c>
      <c r="C85" s="6" t="s">
        <v>1605</v>
      </c>
      <c r="D85" s="6" t="s">
        <v>2550</v>
      </c>
      <c r="E85" s="7" t="s">
        <v>6634</v>
      </c>
      <c r="F85" s="6" t="s">
        <v>1695</v>
      </c>
      <c r="G85" s="7" t="s">
        <v>1696</v>
      </c>
      <c r="H85" s="16" t="s">
        <v>8909</v>
      </c>
      <c r="I85" s="16" t="s">
        <v>8912</v>
      </c>
      <c r="J85" s="16" t="s">
        <v>8918</v>
      </c>
      <c r="K85" s="16" t="s">
        <v>8919</v>
      </c>
      <c r="L85" s="16" t="s">
        <v>8920</v>
      </c>
      <c r="M85" s="16" t="s">
        <v>8921</v>
      </c>
      <c r="N85" s="3" t="s">
        <v>8982</v>
      </c>
    </row>
    <row r="86">
      <c r="A86" s="15" t="s">
        <v>3184</v>
      </c>
      <c r="B86" s="6" t="s">
        <v>3116</v>
      </c>
      <c r="C86" s="6" t="s">
        <v>2052</v>
      </c>
      <c r="D86" s="6" t="s">
        <v>3117</v>
      </c>
      <c r="E86" s="7" t="s">
        <v>6635</v>
      </c>
      <c r="F86" s="6" t="s">
        <v>1695</v>
      </c>
      <c r="G86" s="7" t="s">
        <v>1696</v>
      </c>
      <c r="H86" s="16" t="s">
        <v>8909</v>
      </c>
      <c r="I86" s="16" t="s">
        <v>8912</v>
      </c>
      <c r="J86" s="16" t="s">
        <v>8926</v>
      </c>
      <c r="K86" s="16" t="s">
        <v>8914</v>
      </c>
      <c r="L86" s="16" t="s">
        <v>8927</v>
      </c>
      <c r="M86" s="16" t="s">
        <v>8938</v>
      </c>
      <c r="N86" s="3" t="s">
        <v>8970</v>
      </c>
    </row>
    <row r="87">
      <c r="A87" s="15" t="s">
        <v>3184</v>
      </c>
      <c r="B87" s="6" t="s">
        <v>2248</v>
      </c>
      <c r="C87" s="6" t="s">
        <v>2249</v>
      </c>
      <c r="D87" s="6" t="s">
        <v>1572</v>
      </c>
      <c r="E87" s="7" t="s">
        <v>6638</v>
      </c>
      <c r="F87" s="6" t="s">
        <v>1695</v>
      </c>
      <c r="G87" s="7" t="s">
        <v>1696</v>
      </c>
      <c r="H87" s="16" t="s">
        <v>8909</v>
      </c>
      <c r="I87" s="16" t="s">
        <v>8912</v>
      </c>
      <c r="J87" s="16" t="s">
        <v>8918</v>
      </c>
      <c r="K87" s="16" t="s">
        <v>8919</v>
      </c>
      <c r="L87" s="16" t="s">
        <v>8931</v>
      </c>
      <c r="M87" s="16" t="s">
        <v>8924</v>
      </c>
      <c r="N87" s="3" t="s">
        <v>8983</v>
      </c>
    </row>
    <row r="88">
      <c r="A88" s="15" t="s">
        <v>3184</v>
      </c>
      <c r="B88" s="6" t="s">
        <v>2044</v>
      </c>
      <c r="C88" s="6" t="s">
        <v>2045</v>
      </c>
      <c r="D88" s="6" t="s">
        <v>35</v>
      </c>
      <c r="E88" s="7" t="s">
        <v>6640</v>
      </c>
      <c r="F88" s="6" t="s">
        <v>1695</v>
      </c>
      <c r="G88" s="7" t="s">
        <v>1696</v>
      </c>
      <c r="H88" s="16" t="s">
        <v>8909</v>
      </c>
      <c r="I88" s="16" t="s">
        <v>8912</v>
      </c>
      <c r="J88" s="16" t="s">
        <v>8918</v>
      </c>
      <c r="K88" s="16" t="s">
        <v>8919</v>
      </c>
      <c r="L88" s="16" t="s">
        <v>8931</v>
      </c>
      <c r="M88" s="16" t="s">
        <v>8924</v>
      </c>
    </row>
    <row r="89">
      <c r="A89" s="15" t="s">
        <v>3184</v>
      </c>
      <c r="B89" s="6" t="s">
        <v>2731</v>
      </c>
      <c r="C89" s="6" t="s">
        <v>186</v>
      </c>
      <c r="D89" s="6" t="s">
        <v>404</v>
      </c>
      <c r="E89" s="7" t="s">
        <v>6641</v>
      </c>
      <c r="F89" s="6" t="s">
        <v>1695</v>
      </c>
      <c r="G89" s="7" t="s">
        <v>1696</v>
      </c>
      <c r="H89" s="16" t="s">
        <v>8909</v>
      </c>
      <c r="I89" s="16" t="s">
        <v>8912</v>
      </c>
      <c r="J89" s="16" t="s">
        <v>8918</v>
      </c>
      <c r="K89" s="16" t="s">
        <v>8919</v>
      </c>
      <c r="L89" s="16" t="s">
        <v>8920</v>
      </c>
      <c r="M89" s="16" t="s">
        <v>8921</v>
      </c>
      <c r="N89" s="3" t="s">
        <v>8984</v>
      </c>
    </row>
    <row r="90">
      <c r="A90" s="15" t="s">
        <v>3184</v>
      </c>
      <c r="B90" s="6" t="s">
        <v>5030</v>
      </c>
      <c r="C90" s="6" t="s">
        <v>5031</v>
      </c>
      <c r="D90" s="6" t="s">
        <v>1000</v>
      </c>
      <c r="E90" s="7" t="s">
        <v>6642</v>
      </c>
      <c r="F90" s="6" t="s">
        <v>1695</v>
      </c>
      <c r="G90" s="7" t="s">
        <v>1696</v>
      </c>
      <c r="H90" s="16" t="s">
        <v>8909</v>
      </c>
      <c r="I90" s="16" t="s">
        <v>8912</v>
      </c>
      <c r="J90" s="16" t="s">
        <v>8913</v>
      </c>
      <c r="K90" s="16" t="s">
        <v>8934</v>
      </c>
      <c r="L90" s="16" t="s">
        <v>8985</v>
      </c>
      <c r="M90" s="16" t="s">
        <v>8935</v>
      </c>
      <c r="N90" s="3" t="s">
        <v>8986</v>
      </c>
    </row>
    <row r="91">
      <c r="A91" s="15" t="s">
        <v>3184</v>
      </c>
      <c r="B91" s="6" t="s">
        <v>2121</v>
      </c>
      <c r="C91" s="6" t="s">
        <v>1157</v>
      </c>
      <c r="D91" s="6" t="s">
        <v>2122</v>
      </c>
      <c r="E91" s="7" t="s">
        <v>6643</v>
      </c>
      <c r="F91" s="6" t="s">
        <v>1695</v>
      </c>
      <c r="G91" s="7" t="s">
        <v>1696</v>
      </c>
      <c r="H91" s="16" t="s">
        <v>8909</v>
      </c>
      <c r="I91" s="16" t="s">
        <v>8912</v>
      </c>
      <c r="J91" s="16" t="s">
        <v>8913</v>
      </c>
      <c r="K91" s="16" t="s">
        <v>8934</v>
      </c>
      <c r="L91" s="16" t="s">
        <v>8915</v>
      </c>
      <c r="M91" s="16" t="s">
        <v>8935</v>
      </c>
      <c r="N91" s="3" t="s">
        <v>8987</v>
      </c>
    </row>
    <row r="92">
      <c r="A92" s="15" t="s">
        <v>3184</v>
      </c>
      <c r="B92" s="6" t="s">
        <v>5881</v>
      </c>
      <c r="C92" s="6" t="s">
        <v>58</v>
      </c>
      <c r="D92" s="6" t="s">
        <v>66</v>
      </c>
      <c r="E92" s="7" t="s">
        <v>6644</v>
      </c>
      <c r="F92" s="6" t="s">
        <v>1695</v>
      </c>
      <c r="G92" s="7" t="s">
        <v>1696</v>
      </c>
      <c r="H92" s="16" t="s">
        <v>8909</v>
      </c>
      <c r="I92" s="16" t="s">
        <v>8912</v>
      </c>
      <c r="J92" s="16" t="s">
        <v>8913</v>
      </c>
      <c r="K92" s="16" t="s">
        <v>8934</v>
      </c>
      <c r="L92" s="16" t="s">
        <v>8915</v>
      </c>
      <c r="M92" s="16" t="s">
        <v>8935</v>
      </c>
      <c r="N92" s="3" t="s">
        <v>8988</v>
      </c>
    </row>
    <row r="93">
      <c r="A93" s="15" t="s">
        <v>3184</v>
      </c>
      <c r="B93" s="6" t="s">
        <v>3946</v>
      </c>
      <c r="C93" s="6" t="s">
        <v>3947</v>
      </c>
      <c r="D93" s="6" t="s">
        <v>3868</v>
      </c>
      <c r="E93" s="7" t="s">
        <v>6645</v>
      </c>
      <c r="F93" s="6" t="s">
        <v>1695</v>
      </c>
      <c r="G93" s="7" t="s">
        <v>1696</v>
      </c>
      <c r="H93" s="16" t="s">
        <v>8909</v>
      </c>
      <c r="I93" s="16" t="s">
        <v>8912</v>
      </c>
      <c r="J93" s="16" t="s">
        <v>8913</v>
      </c>
      <c r="K93" s="16" t="s">
        <v>8934</v>
      </c>
      <c r="L93" s="16" t="s">
        <v>8927</v>
      </c>
      <c r="M93" s="16" t="s">
        <v>8935</v>
      </c>
      <c r="N93" s="3" t="s">
        <v>8989</v>
      </c>
    </row>
    <row r="94">
      <c r="A94" s="15" t="s">
        <v>3184</v>
      </c>
      <c r="B94" s="6" t="s">
        <v>5460</v>
      </c>
      <c r="C94" s="6" t="s">
        <v>4896</v>
      </c>
      <c r="D94" s="6" t="s">
        <v>5461</v>
      </c>
      <c r="E94" s="7" t="s">
        <v>6646</v>
      </c>
      <c r="F94" s="6" t="s">
        <v>1695</v>
      </c>
      <c r="G94" s="7" t="s">
        <v>1696</v>
      </c>
      <c r="H94" s="16" t="s">
        <v>8909</v>
      </c>
      <c r="I94" s="16" t="s">
        <v>8912</v>
      </c>
      <c r="J94" s="16" t="s">
        <v>8913</v>
      </c>
      <c r="K94" s="16" t="s">
        <v>8934</v>
      </c>
      <c r="L94" s="16" t="s">
        <v>8920</v>
      </c>
      <c r="M94" s="16" t="s">
        <v>8935</v>
      </c>
      <c r="N94" s="3" t="s">
        <v>8987</v>
      </c>
    </row>
    <row r="95">
      <c r="A95" s="15" t="s">
        <v>3184</v>
      </c>
      <c r="B95" s="6" t="s">
        <v>3523</v>
      </c>
      <c r="C95" s="6" t="s">
        <v>3524</v>
      </c>
      <c r="D95" s="6" t="s">
        <v>55</v>
      </c>
      <c r="E95" s="7" t="s">
        <v>6650</v>
      </c>
      <c r="F95" s="6" t="s">
        <v>1695</v>
      </c>
      <c r="G95" s="7" t="s">
        <v>1696</v>
      </c>
      <c r="H95" s="16" t="s">
        <v>8909</v>
      </c>
      <c r="I95" s="16" t="s">
        <v>8912</v>
      </c>
      <c r="J95" s="16" t="s">
        <v>8918</v>
      </c>
      <c r="K95" s="16" t="s">
        <v>8919</v>
      </c>
      <c r="L95" s="16" t="s">
        <v>8920</v>
      </c>
      <c r="M95" s="16" t="s">
        <v>8924</v>
      </c>
      <c r="N95" s="3" t="s">
        <v>8990</v>
      </c>
    </row>
    <row r="96">
      <c r="A96" s="15" t="s">
        <v>3184</v>
      </c>
      <c r="B96" s="6" t="s">
        <v>4546</v>
      </c>
      <c r="C96" s="6" t="s">
        <v>3974</v>
      </c>
      <c r="D96" s="6" t="s">
        <v>4547</v>
      </c>
      <c r="E96" s="7" t="s">
        <v>6591</v>
      </c>
      <c r="F96" s="6" t="s">
        <v>1695</v>
      </c>
      <c r="G96" s="7" t="s">
        <v>1696</v>
      </c>
      <c r="H96" s="16" t="s">
        <v>8909</v>
      </c>
      <c r="I96" s="16" t="s">
        <v>8912</v>
      </c>
      <c r="J96" s="16" t="s">
        <v>8918</v>
      </c>
      <c r="K96" s="16" t="s">
        <v>8919</v>
      </c>
      <c r="L96" s="16" t="s">
        <v>8920</v>
      </c>
      <c r="M96" s="16" t="s">
        <v>8921</v>
      </c>
    </row>
    <row r="97">
      <c r="A97" s="15" t="s">
        <v>3184</v>
      </c>
      <c r="B97" s="6" t="s">
        <v>5089</v>
      </c>
      <c r="C97" s="6" t="s">
        <v>1867</v>
      </c>
      <c r="D97" s="6" t="s">
        <v>5090</v>
      </c>
      <c r="E97" s="7" t="s">
        <v>6592</v>
      </c>
      <c r="F97" s="6" t="s">
        <v>1695</v>
      </c>
      <c r="G97" s="7" t="s">
        <v>1696</v>
      </c>
      <c r="H97" s="16" t="s">
        <v>8909</v>
      </c>
      <c r="I97" s="16" t="s">
        <v>8912</v>
      </c>
      <c r="J97" s="16" t="s">
        <v>8918</v>
      </c>
      <c r="K97" s="16" t="s">
        <v>8919</v>
      </c>
      <c r="L97" s="16" t="s">
        <v>8915</v>
      </c>
      <c r="M97" s="16" t="s">
        <v>8921</v>
      </c>
      <c r="N97" s="3" t="s">
        <v>8991</v>
      </c>
    </row>
    <row r="98">
      <c r="A98" s="15" t="s">
        <v>3184</v>
      </c>
      <c r="B98" s="6" t="s">
        <v>5083</v>
      </c>
      <c r="C98" s="6" t="s">
        <v>5084</v>
      </c>
      <c r="D98" s="6" t="s">
        <v>5085</v>
      </c>
      <c r="E98" s="7" t="s">
        <v>6639</v>
      </c>
      <c r="F98" s="6" t="s">
        <v>1695</v>
      </c>
      <c r="G98" s="7" t="s">
        <v>1696</v>
      </c>
      <c r="H98" s="16" t="s">
        <v>8909</v>
      </c>
      <c r="I98" s="16" t="s">
        <v>8912</v>
      </c>
      <c r="J98" s="16" t="s">
        <v>8913</v>
      </c>
      <c r="K98" s="16" t="s">
        <v>8934</v>
      </c>
      <c r="L98" s="16" t="s">
        <v>8927</v>
      </c>
      <c r="M98" s="16" t="s">
        <v>8935</v>
      </c>
      <c r="N98" s="3" t="s">
        <v>8965</v>
      </c>
    </row>
    <row r="99">
      <c r="A99" s="15" t="s">
        <v>3184</v>
      </c>
      <c r="B99" s="6" t="s">
        <v>1857</v>
      </c>
      <c r="C99" s="6" t="s">
        <v>1386</v>
      </c>
      <c r="D99" s="6" t="s">
        <v>328</v>
      </c>
      <c r="E99" s="7" t="s">
        <v>6647</v>
      </c>
      <c r="F99" s="6" t="s">
        <v>1695</v>
      </c>
      <c r="G99" s="7" t="s">
        <v>1696</v>
      </c>
      <c r="H99" s="16" t="s">
        <v>8909</v>
      </c>
      <c r="I99" s="16" t="s">
        <v>8912</v>
      </c>
      <c r="J99" s="16" t="s">
        <v>8918</v>
      </c>
      <c r="K99" s="16" t="s">
        <v>8919</v>
      </c>
      <c r="L99" s="16" t="s">
        <v>8931</v>
      </c>
      <c r="M99" s="16" t="s">
        <v>8924</v>
      </c>
      <c r="N99" s="3" t="s">
        <v>8992</v>
      </c>
    </row>
    <row r="100">
      <c r="A100" s="15" t="s">
        <v>3184</v>
      </c>
      <c r="B100" s="6" t="s">
        <v>4986</v>
      </c>
      <c r="C100" s="6" t="s">
        <v>3013</v>
      </c>
      <c r="D100" s="6" t="s">
        <v>4987</v>
      </c>
      <c r="E100" s="7" t="s">
        <v>6590</v>
      </c>
      <c r="F100" s="6" t="s">
        <v>1695</v>
      </c>
      <c r="G100" s="7" t="s">
        <v>1696</v>
      </c>
      <c r="H100" s="16" t="s">
        <v>8909</v>
      </c>
      <c r="I100" s="16" t="s">
        <v>8912</v>
      </c>
      <c r="J100" s="16" t="s">
        <v>8926</v>
      </c>
      <c r="K100" s="16" t="s">
        <v>8914</v>
      </c>
      <c r="L100" s="16" t="s">
        <v>8915</v>
      </c>
      <c r="M100" s="16" t="s">
        <v>8938</v>
      </c>
      <c r="N100" s="3" t="s">
        <v>8993</v>
      </c>
    </row>
    <row r="101">
      <c r="A101" s="15" t="s">
        <v>3184</v>
      </c>
      <c r="B101" s="6" t="s">
        <v>1946</v>
      </c>
      <c r="C101" s="6" t="s">
        <v>414</v>
      </c>
      <c r="D101" s="6" t="s">
        <v>1947</v>
      </c>
      <c r="E101" s="7" t="s">
        <v>6597</v>
      </c>
      <c r="F101" s="6" t="s">
        <v>1695</v>
      </c>
      <c r="G101" s="7" t="s">
        <v>1696</v>
      </c>
      <c r="H101" s="16" t="s">
        <v>8909</v>
      </c>
      <c r="I101" s="16" t="s">
        <v>8912</v>
      </c>
      <c r="J101" s="16" t="s">
        <v>8926</v>
      </c>
      <c r="K101" s="16" t="s">
        <v>8914</v>
      </c>
      <c r="L101" s="16" t="s">
        <v>8927</v>
      </c>
      <c r="M101" s="16" t="s">
        <v>8938</v>
      </c>
      <c r="N101" s="3" t="s">
        <v>8994</v>
      </c>
    </row>
    <row r="102">
      <c r="A102" s="15" t="s">
        <v>3184</v>
      </c>
      <c r="B102" s="6" t="s">
        <v>5634</v>
      </c>
      <c r="C102" s="6" t="s">
        <v>1284</v>
      </c>
      <c r="D102" s="6" t="s">
        <v>5635</v>
      </c>
      <c r="E102" s="7" t="s">
        <v>6600</v>
      </c>
      <c r="F102" s="6" t="s">
        <v>1695</v>
      </c>
      <c r="G102" s="7" t="s">
        <v>1696</v>
      </c>
      <c r="H102" s="16" t="s">
        <v>8909</v>
      </c>
      <c r="I102" s="16" t="s">
        <v>8912</v>
      </c>
      <c r="J102" s="16" t="s">
        <v>8913</v>
      </c>
      <c r="K102" s="16" t="s">
        <v>8934</v>
      </c>
      <c r="L102" s="16" t="s">
        <v>8915</v>
      </c>
      <c r="M102" s="16" t="s">
        <v>8935</v>
      </c>
      <c r="N102" s="3" t="s">
        <v>8995</v>
      </c>
    </row>
    <row r="103">
      <c r="A103" s="15" t="s">
        <v>3184</v>
      </c>
      <c r="B103" s="6" t="s">
        <v>2085</v>
      </c>
      <c r="C103" s="6" t="s">
        <v>2086</v>
      </c>
      <c r="D103" s="6" t="s">
        <v>443</v>
      </c>
      <c r="E103" s="7" t="s">
        <v>6612</v>
      </c>
      <c r="F103" s="6" t="s">
        <v>1695</v>
      </c>
      <c r="G103" s="7" t="s">
        <v>1696</v>
      </c>
      <c r="H103" s="16" t="s">
        <v>8909</v>
      </c>
      <c r="I103" s="16" t="s">
        <v>8912</v>
      </c>
      <c r="J103" s="16" t="s">
        <v>8918</v>
      </c>
      <c r="K103" s="16" t="s">
        <v>8919</v>
      </c>
      <c r="L103" s="16" t="s">
        <v>8920</v>
      </c>
      <c r="M103" s="16" t="s">
        <v>8920</v>
      </c>
      <c r="N103" s="3" t="s">
        <v>8996</v>
      </c>
    </row>
    <row r="104">
      <c r="A104" s="15" t="s">
        <v>3184</v>
      </c>
      <c r="B104" s="6" t="s">
        <v>5059</v>
      </c>
      <c r="C104" s="6" t="s">
        <v>220</v>
      </c>
      <c r="D104" s="6" t="s">
        <v>4114</v>
      </c>
      <c r="E104" s="7" t="s">
        <v>6616</v>
      </c>
      <c r="F104" s="6" t="s">
        <v>1695</v>
      </c>
      <c r="G104" s="7" t="s">
        <v>1696</v>
      </c>
      <c r="H104" s="16" t="s">
        <v>8909</v>
      </c>
      <c r="I104" s="16" t="s">
        <v>8912</v>
      </c>
      <c r="J104" s="16" t="s">
        <v>8926</v>
      </c>
      <c r="K104" s="16" t="s">
        <v>8914</v>
      </c>
      <c r="L104" s="16" t="s">
        <v>8920</v>
      </c>
      <c r="M104" s="16" t="s">
        <v>8938</v>
      </c>
    </row>
    <row r="105">
      <c r="A105" s="15" t="s">
        <v>3184</v>
      </c>
      <c r="B105" s="6" t="s">
        <v>3210</v>
      </c>
      <c r="C105" s="6" t="s">
        <v>3211</v>
      </c>
      <c r="D105" s="6" t="s">
        <v>3212</v>
      </c>
      <c r="E105" s="7" t="s">
        <v>6618</v>
      </c>
      <c r="F105" s="6" t="s">
        <v>1695</v>
      </c>
      <c r="G105" s="7" t="s">
        <v>1696</v>
      </c>
      <c r="H105" s="16" t="s">
        <v>8909</v>
      </c>
      <c r="I105" s="16" t="s">
        <v>8912</v>
      </c>
      <c r="J105" s="16" t="s">
        <v>8913</v>
      </c>
      <c r="K105" s="16" t="s">
        <v>8934</v>
      </c>
      <c r="L105" s="16" t="s">
        <v>8927</v>
      </c>
      <c r="M105" s="16" t="s">
        <v>8935</v>
      </c>
      <c r="N105" s="3" t="s">
        <v>8958</v>
      </c>
    </row>
    <row r="106">
      <c r="A106" s="15" t="s">
        <v>3184</v>
      </c>
      <c r="B106" s="6" t="s">
        <v>6006</v>
      </c>
      <c r="C106" s="6" t="s">
        <v>3954</v>
      </c>
      <c r="D106" s="6" t="s">
        <v>703</v>
      </c>
      <c r="E106" s="7" t="s">
        <v>6617</v>
      </c>
      <c r="F106" s="6" t="s">
        <v>1695</v>
      </c>
      <c r="G106" s="7" t="s">
        <v>1696</v>
      </c>
      <c r="H106" s="16" t="s">
        <v>8909</v>
      </c>
      <c r="I106" s="16" t="s">
        <v>8912</v>
      </c>
      <c r="J106" s="16" t="s">
        <v>8913</v>
      </c>
      <c r="K106" s="16" t="s">
        <v>8934</v>
      </c>
      <c r="L106" s="16" t="s">
        <v>8927</v>
      </c>
      <c r="M106" s="16" t="s">
        <v>8935</v>
      </c>
      <c r="N106" s="3" t="s">
        <v>8971</v>
      </c>
    </row>
    <row r="107">
      <c r="A107" s="15" t="s">
        <v>3184</v>
      </c>
      <c r="B107" s="6" t="s">
        <v>4985</v>
      </c>
      <c r="C107" s="6" t="s">
        <v>439</v>
      </c>
      <c r="D107" s="6" t="s">
        <v>425</v>
      </c>
      <c r="E107" s="7" t="s">
        <v>6605</v>
      </c>
      <c r="F107" s="6" t="s">
        <v>1695</v>
      </c>
      <c r="G107" s="7" t="s">
        <v>1696</v>
      </c>
      <c r="H107" s="16" t="s">
        <v>8909</v>
      </c>
      <c r="I107" s="16" t="s">
        <v>8954</v>
      </c>
      <c r="J107" s="7"/>
      <c r="K107" s="7"/>
      <c r="L107" s="7"/>
      <c r="M107" s="7"/>
    </row>
    <row r="108">
      <c r="A108" s="15" t="s">
        <v>3184</v>
      </c>
      <c r="B108" s="6" t="s">
        <v>1767</v>
      </c>
      <c r="C108" s="6" t="s">
        <v>1768</v>
      </c>
      <c r="D108" s="6" t="s">
        <v>1769</v>
      </c>
      <c r="E108" s="7" t="s">
        <v>6611</v>
      </c>
      <c r="F108" s="6" t="s">
        <v>1695</v>
      </c>
      <c r="G108" s="7" t="s">
        <v>1696</v>
      </c>
      <c r="H108" s="16" t="s">
        <v>8909</v>
      </c>
      <c r="I108" s="16" t="s">
        <v>8954</v>
      </c>
      <c r="J108" s="7"/>
      <c r="K108" s="7"/>
      <c r="L108" s="7"/>
      <c r="M108" s="7"/>
    </row>
    <row r="109">
      <c r="A109" s="15" t="s">
        <v>3184</v>
      </c>
      <c r="B109" s="6" t="s">
        <v>5871</v>
      </c>
      <c r="C109" s="6" t="s">
        <v>5872</v>
      </c>
      <c r="D109" s="6" t="s">
        <v>5873</v>
      </c>
      <c r="E109" s="7" t="s">
        <v>6630</v>
      </c>
      <c r="F109" s="6" t="s">
        <v>1695</v>
      </c>
      <c r="G109" s="7" t="s">
        <v>1696</v>
      </c>
      <c r="H109" s="16" t="s">
        <v>8909</v>
      </c>
      <c r="I109" s="16" t="s">
        <v>8954</v>
      </c>
      <c r="J109" s="7"/>
      <c r="K109" s="7"/>
      <c r="L109" s="7"/>
      <c r="M109" s="7"/>
    </row>
    <row r="110">
      <c r="A110" s="15" t="s">
        <v>3184</v>
      </c>
      <c r="B110" s="6" t="s">
        <v>5373</v>
      </c>
      <c r="C110" s="6" t="s">
        <v>5374</v>
      </c>
      <c r="D110" s="6" t="s">
        <v>5375</v>
      </c>
      <c r="E110" s="7" t="s">
        <v>6636</v>
      </c>
      <c r="F110" s="6" t="s">
        <v>1695</v>
      </c>
      <c r="G110" s="7" t="s">
        <v>1696</v>
      </c>
      <c r="H110" s="16" t="s">
        <v>8909</v>
      </c>
      <c r="I110" s="16" t="s">
        <v>8954</v>
      </c>
      <c r="J110" s="7"/>
      <c r="K110" s="7"/>
      <c r="L110" s="7"/>
      <c r="M110" s="7"/>
    </row>
    <row r="111">
      <c r="A111" s="15" t="s">
        <v>3184</v>
      </c>
      <c r="B111" s="6" t="s">
        <v>4046</v>
      </c>
      <c r="C111" s="6" t="s">
        <v>3811</v>
      </c>
      <c r="D111" s="6" t="s">
        <v>4047</v>
      </c>
      <c r="E111" s="7" t="s">
        <v>6648</v>
      </c>
      <c r="F111" s="6" t="s">
        <v>1695</v>
      </c>
      <c r="G111" s="7" t="s">
        <v>1696</v>
      </c>
      <c r="H111" s="16" t="s">
        <v>8909</v>
      </c>
      <c r="I111" s="16" t="s">
        <v>8955</v>
      </c>
      <c r="J111" s="7"/>
      <c r="K111" s="7"/>
      <c r="L111" s="7"/>
      <c r="M111" s="7"/>
    </row>
    <row r="112">
      <c r="A112" s="15" t="s">
        <v>3184</v>
      </c>
      <c r="B112" s="6" t="s">
        <v>2609</v>
      </c>
      <c r="C112" s="6" t="s">
        <v>2610</v>
      </c>
      <c r="D112" s="6" t="s">
        <v>2611</v>
      </c>
      <c r="E112" s="7" t="s">
        <v>6587</v>
      </c>
      <c r="F112" s="6" t="s">
        <v>1695</v>
      </c>
      <c r="G112" s="7" t="s">
        <v>1696</v>
      </c>
      <c r="H112" s="16" t="s">
        <v>8909</v>
      </c>
      <c r="I112" s="16" t="s">
        <v>8955</v>
      </c>
      <c r="J112" s="7"/>
      <c r="K112" s="7"/>
      <c r="L112" s="7"/>
      <c r="M112" s="7"/>
    </row>
    <row r="113">
      <c r="A113" s="15" t="s">
        <v>3184</v>
      </c>
      <c r="B113" s="6" t="s">
        <v>2588</v>
      </c>
      <c r="C113" s="6" t="s">
        <v>689</v>
      </c>
      <c r="D113" s="6" t="s">
        <v>1368</v>
      </c>
      <c r="E113" s="7" t="s">
        <v>6593</v>
      </c>
      <c r="F113" s="6" t="s">
        <v>1695</v>
      </c>
      <c r="G113" s="7" t="s">
        <v>1696</v>
      </c>
      <c r="H113" s="16" t="s">
        <v>8909</v>
      </c>
      <c r="I113" s="16" t="s">
        <v>8955</v>
      </c>
      <c r="J113" s="7"/>
      <c r="K113" s="7"/>
      <c r="L113" s="7"/>
      <c r="M113" s="7"/>
    </row>
    <row r="114">
      <c r="A114" s="15" t="s">
        <v>3184</v>
      </c>
      <c r="B114" s="6" t="s">
        <v>3717</v>
      </c>
      <c r="C114" s="6" t="s">
        <v>3718</v>
      </c>
      <c r="D114" s="6" t="s">
        <v>3719</v>
      </c>
      <c r="E114" s="7" t="s">
        <v>6594</v>
      </c>
      <c r="F114" s="6" t="s">
        <v>1695</v>
      </c>
      <c r="G114" s="7" t="s">
        <v>1696</v>
      </c>
      <c r="H114" s="16" t="s">
        <v>8909</v>
      </c>
      <c r="I114" s="16" t="s">
        <v>8955</v>
      </c>
      <c r="J114" s="7"/>
      <c r="K114" s="7"/>
      <c r="L114" s="7"/>
      <c r="M114" s="7"/>
    </row>
    <row r="115">
      <c r="A115" s="15" t="s">
        <v>3184</v>
      </c>
      <c r="B115" s="6" t="s">
        <v>1869</v>
      </c>
      <c r="C115" s="6" t="s">
        <v>1700</v>
      </c>
      <c r="D115" s="6" t="s">
        <v>795</v>
      </c>
      <c r="E115" s="7" t="s">
        <v>6601</v>
      </c>
      <c r="F115" s="6" t="s">
        <v>1695</v>
      </c>
      <c r="G115" s="7" t="s">
        <v>1696</v>
      </c>
      <c r="H115" s="16" t="s">
        <v>8909</v>
      </c>
      <c r="I115" s="16" t="s">
        <v>8955</v>
      </c>
      <c r="J115" s="7"/>
      <c r="K115" s="7"/>
      <c r="L115" s="7"/>
      <c r="M115" s="7"/>
    </row>
    <row r="116">
      <c r="A116" s="15" t="s">
        <v>3184</v>
      </c>
      <c r="B116" s="6" t="s">
        <v>2571</v>
      </c>
      <c r="C116" s="6" t="s">
        <v>978</v>
      </c>
      <c r="D116" s="6" t="s">
        <v>918</v>
      </c>
      <c r="E116" s="7" t="s">
        <v>6609</v>
      </c>
      <c r="F116" s="6" t="s">
        <v>1695</v>
      </c>
      <c r="G116" s="7" t="s">
        <v>1696</v>
      </c>
      <c r="H116" s="16" t="s">
        <v>8909</v>
      </c>
      <c r="I116" s="16" t="s">
        <v>8955</v>
      </c>
      <c r="J116" s="7"/>
      <c r="K116" s="7"/>
      <c r="L116" s="7"/>
      <c r="M116" s="7"/>
    </row>
    <row r="117">
      <c r="A117" s="15" t="s">
        <v>3184</v>
      </c>
      <c r="B117" s="6" t="s">
        <v>3638</v>
      </c>
      <c r="C117" s="6" t="s">
        <v>3639</v>
      </c>
      <c r="D117" s="6" t="s">
        <v>3352</v>
      </c>
      <c r="E117" s="7" t="s">
        <v>6619</v>
      </c>
      <c r="F117" s="6" t="s">
        <v>1695</v>
      </c>
      <c r="G117" s="7" t="s">
        <v>1696</v>
      </c>
      <c r="H117" s="16" t="s">
        <v>8909</v>
      </c>
      <c r="I117" s="16" t="s">
        <v>8955</v>
      </c>
      <c r="J117" s="7"/>
      <c r="K117" s="7"/>
      <c r="L117" s="7"/>
      <c r="M117" s="7"/>
    </row>
    <row r="118">
      <c r="A118" s="15" t="s">
        <v>3184</v>
      </c>
      <c r="B118" s="6" t="s">
        <v>5091</v>
      </c>
      <c r="C118" s="6" t="s">
        <v>5092</v>
      </c>
      <c r="D118" s="6" t="s">
        <v>5093</v>
      </c>
      <c r="E118" s="7" t="s">
        <v>6622</v>
      </c>
      <c r="F118" s="6" t="s">
        <v>1695</v>
      </c>
      <c r="G118" s="7" t="s">
        <v>1696</v>
      </c>
      <c r="H118" s="16" t="s">
        <v>8909</v>
      </c>
      <c r="I118" s="16" t="s">
        <v>8955</v>
      </c>
      <c r="J118" s="7"/>
      <c r="K118" s="7"/>
      <c r="L118" s="7"/>
      <c r="M118" s="7"/>
    </row>
    <row r="119">
      <c r="A119" s="15" t="s">
        <v>3184</v>
      </c>
      <c r="B119" s="6" t="s">
        <v>5505</v>
      </c>
      <c r="C119" s="6" t="s">
        <v>5506</v>
      </c>
      <c r="D119" s="6" t="s">
        <v>1769</v>
      </c>
      <c r="E119" s="7" t="s">
        <v>6624</v>
      </c>
      <c r="F119" s="6" t="s">
        <v>1695</v>
      </c>
      <c r="G119" s="7" t="s">
        <v>1696</v>
      </c>
      <c r="H119" s="16" t="s">
        <v>8909</v>
      </c>
      <c r="I119" s="16" t="s">
        <v>8955</v>
      </c>
      <c r="J119" s="7"/>
      <c r="K119" s="7"/>
      <c r="L119" s="7"/>
      <c r="M119" s="7"/>
    </row>
    <row r="120">
      <c r="A120" s="15" t="s">
        <v>3184</v>
      </c>
      <c r="B120" s="6" t="s">
        <v>2671</v>
      </c>
      <c r="C120" s="6" t="s">
        <v>2672</v>
      </c>
      <c r="D120" s="6" t="s">
        <v>2673</v>
      </c>
      <c r="E120" s="7" t="s">
        <v>6649</v>
      </c>
      <c r="F120" s="6" t="s">
        <v>1695</v>
      </c>
      <c r="G120" s="7" t="s">
        <v>1696</v>
      </c>
      <c r="H120" s="16" t="s">
        <v>8909</v>
      </c>
      <c r="I120" s="16" t="s">
        <v>8955</v>
      </c>
      <c r="J120" s="7"/>
      <c r="K120" s="7"/>
      <c r="L120" s="7"/>
      <c r="M120" s="7"/>
    </row>
    <row r="121">
      <c r="A121" s="15" t="s">
        <v>3184</v>
      </c>
      <c r="B121" s="6" t="s">
        <v>5294</v>
      </c>
      <c r="C121" s="6" t="s">
        <v>3505</v>
      </c>
      <c r="D121" s="6" t="s">
        <v>649</v>
      </c>
      <c r="E121" s="7" t="s">
        <v>6637</v>
      </c>
      <c r="F121" s="6" t="s">
        <v>1695</v>
      </c>
      <c r="G121" s="7" t="s">
        <v>1696</v>
      </c>
      <c r="H121" s="16" t="s">
        <v>8909</v>
      </c>
      <c r="I121" s="16" t="s">
        <v>8955</v>
      </c>
      <c r="J121" s="7"/>
      <c r="K121" s="7"/>
      <c r="L121" s="7"/>
      <c r="M121" s="7"/>
    </row>
    <row r="122">
      <c r="A122" s="15" t="s">
        <v>8997</v>
      </c>
      <c r="B122" s="6" t="s">
        <v>2681</v>
      </c>
      <c r="C122" s="6" t="s">
        <v>2682</v>
      </c>
      <c r="D122" s="6" t="s">
        <v>66</v>
      </c>
      <c r="E122" s="7" t="s">
        <v>6651</v>
      </c>
      <c r="F122" s="6" t="s">
        <v>1695</v>
      </c>
      <c r="G122" s="7" t="s">
        <v>1696</v>
      </c>
      <c r="H122" s="16" t="s">
        <v>8909</v>
      </c>
      <c r="I122" s="16" t="s">
        <v>8912</v>
      </c>
      <c r="J122" s="16" t="s">
        <v>8913</v>
      </c>
      <c r="K122" s="16" t="s">
        <v>8934</v>
      </c>
      <c r="L122" s="16" t="s">
        <v>8927</v>
      </c>
      <c r="M122" s="16" t="s">
        <v>8935</v>
      </c>
    </row>
    <row r="123">
      <c r="A123" s="15" t="s">
        <v>8997</v>
      </c>
      <c r="B123" s="6" t="s">
        <v>5794</v>
      </c>
      <c r="C123" s="6" t="s">
        <v>479</v>
      </c>
      <c r="D123" s="6" t="s">
        <v>5795</v>
      </c>
      <c r="E123" s="7" t="s">
        <v>6653</v>
      </c>
      <c r="F123" s="6" t="s">
        <v>1695</v>
      </c>
      <c r="G123" s="7" t="s">
        <v>1696</v>
      </c>
      <c r="H123" s="16" t="s">
        <v>8909</v>
      </c>
      <c r="I123" s="16" t="s">
        <v>8912</v>
      </c>
      <c r="J123" s="16" t="s">
        <v>8913</v>
      </c>
      <c r="K123" s="16" t="s">
        <v>8934</v>
      </c>
      <c r="L123" s="16" t="s">
        <v>8915</v>
      </c>
      <c r="M123" s="16" t="s">
        <v>8935</v>
      </c>
    </row>
    <row r="124">
      <c r="A124" s="15" t="s">
        <v>8997</v>
      </c>
      <c r="B124" s="6" t="s">
        <v>4100</v>
      </c>
      <c r="C124" s="6" t="s">
        <v>3906</v>
      </c>
      <c r="D124" s="6" t="s">
        <v>4101</v>
      </c>
      <c r="E124" s="7" t="s">
        <v>6657</v>
      </c>
      <c r="F124" s="6" t="s">
        <v>1695</v>
      </c>
      <c r="G124" s="7" t="s">
        <v>1696</v>
      </c>
      <c r="H124" s="16" t="s">
        <v>8909</v>
      </c>
      <c r="I124" s="16" t="s">
        <v>8912</v>
      </c>
      <c r="J124" s="16" t="s">
        <v>8913</v>
      </c>
      <c r="K124" s="16" t="s">
        <v>8934</v>
      </c>
      <c r="L124" s="16" t="s">
        <v>8927</v>
      </c>
      <c r="M124" s="16" t="s">
        <v>8935</v>
      </c>
    </row>
    <row r="125">
      <c r="A125" s="15" t="s">
        <v>8997</v>
      </c>
      <c r="B125" s="6" t="s">
        <v>2563</v>
      </c>
      <c r="C125" s="6" t="s">
        <v>394</v>
      </c>
      <c r="D125" s="6" t="s">
        <v>510</v>
      </c>
      <c r="E125" s="7" t="s">
        <v>6658</v>
      </c>
      <c r="F125" s="6" t="s">
        <v>1695</v>
      </c>
      <c r="G125" s="7" t="s">
        <v>1696</v>
      </c>
      <c r="H125" s="16" t="s">
        <v>8909</v>
      </c>
      <c r="I125" s="16" t="s">
        <v>8912</v>
      </c>
      <c r="J125" s="16" t="s">
        <v>8913</v>
      </c>
      <c r="K125" s="16" t="s">
        <v>8934</v>
      </c>
      <c r="L125" s="16" t="s">
        <v>8952</v>
      </c>
      <c r="M125" s="16" t="s">
        <v>8935</v>
      </c>
    </row>
    <row r="126">
      <c r="A126" s="15" t="s">
        <v>8997</v>
      </c>
      <c r="B126" s="6" t="s">
        <v>4240</v>
      </c>
      <c r="C126" s="6" t="s">
        <v>273</v>
      </c>
      <c r="D126" s="6" t="s">
        <v>4241</v>
      </c>
      <c r="E126" s="7" t="s">
        <v>6659</v>
      </c>
      <c r="F126" s="6" t="s">
        <v>1695</v>
      </c>
      <c r="G126" s="7" t="s">
        <v>1696</v>
      </c>
      <c r="H126" s="16" t="s">
        <v>8909</v>
      </c>
      <c r="I126" s="16" t="s">
        <v>8912</v>
      </c>
      <c r="J126" s="16" t="s">
        <v>8913</v>
      </c>
      <c r="K126" s="16" t="s">
        <v>8934</v>
      </c>
      <c r="L126" s="16" t="s">
        <v>8927</v>
      </c>
      <c r="M126" s="16" t="s">
        <v>8935</v>
      </c>
    </row>
    <row r="127">
      <c r="A127" s="15" t="s">
        <v>8997</v>
      </c>
      <c r="B127" s="6" t="s">
        <v>5542</v>
      </c>
      <c r="C127" s="6" t="s">
        <v>5012</v>
      </c>
      <c r="D127" s="6" t="s">
        <v>646</v>
      </c>
      <c r="E127" s="7" t="s">
        <v>6661</v>
      </c>
      <c r="F127" s="6" t="s">
        <v>1695</v>
      </c>
      <c r="G127" s="7" t="s">
        <v>1696</v>
      </c>
      <c r="H127" s="16" t="s">
        <v>8909</v>
      </c>
      <c r="I127" s="16" t="s">
        <v>8912</v>
      </c>
      <c r="J127" s="16" t="s">
        <v>8913</v>
      </c>
      <c r="K127" s="16" t="s">
        <v>8934</v>
      </c>
      <c r="L127" s="16" t="s">
        <v>8927</v>
      </c>
      <c r="M127" s="16" t="s">
        <v>8935</v>
      </c>
    </row>
    <row r="128">
      <c r="A128" s="15" t="s">
        <v>8997</v>
      </c>
      <c r="B128" s="6" t="s">
        <v>3255</v>
      </c>
      <c r="C128" s="6" t="s">
        <v>3099</v>
      </c>
      <c r="D128" s="6" t="s">
        <v>3256</v>
      </c>
      <c r="E128" s="7" t="s">
        <v>6663</v>
      </c>
      <c r="F128" s="6" t="s">
        <v>1695</v>
      </c>
      <c r="G128" s="7" t="s">
        <v>1696</v>
      </c>
      <c r="H128" s="16" t="s">
        <v>8909</v>
      </c>
      <c r="I128" s="16" t="s">
        <v>8912</v>
      </c>
      <c r="J128" s="16" t="s">
        <v>8913</v>
      </c>
      <c r="K128" s="16" t="s">
        <v>8934</v>
      </c>
      <c r="L128" s="16" t="s">
        <v>8927</v>
      </c>
      <c r="M128" s="16" t="s">
        <v>8935</v>
      </c>
    </row>
    <row r="129">
      <c r="A129" s="15" t="s">
        <v>8997</v>
      </c>
      <c r="B129" s="6" t="s">
        <v>2608</v>
      </c>
      <c r="C129" s="6" t="s">
        <v>131</v>
      </c>
      <c r="D129" s="6" t="s">
        <v>755</v>
      </c>
      <c r="E129" s="7" t="s">
        <v>6664</v>
      </c>
      <c r="F129" s="6" t="s">
        <v>1695</v>
      </c>
      <c r="G129" s="7" t="s">
        <v>1696</v>
      </c>
      <c r="H129" s="16" t="s">
        <v>8909</v>
      </c>
      <c r="I129" s="16" t="s">
        <v>8912</v>
      </c>
      <c r="J129" s="16" t="s">
        <v>8926</v>
      </c>
      <c r="K129" s="16" t="s">
        <v>8914</v>
      </c>
      <c r="L129" s="16" t="s">
        <v>8931</v>
      </c>
      <c r="M129" s="16" t="s">
        <v>8938</v>
      </c>
    </row>
    <row r="130">
      <c r="A130" s="15" t="s">
        <v>8997</v>
      </c>
      <c r="B130" s="6" t="s">
        <v>4399</v>
      </c>
      <c r="C130" s="6" t="s">
        <v>760</v>
      </c>
      <c r="D130" s="6" t="s">
        <v>526</v>
      </c>
      <c r="E130" s="7" t="s">
        <v>6665</v>
      </c>
      <c r="F130" s="6" t="s">
        <v>1695</v>
      </c>
      <c r="G130" s="7" t="s">
        <v>1696</v>
      </c>
      <c r="H130" s="16" t="s">
        <v>8909</v>
      </c>
      <c r="I130" s="16" t="s">
        <v>8912</v>
      </c>
      <c r="J130" s="16" t="s">
        <v>8918</v>
      </c>
      <c r="K130" s="16" t="s">
        <v>8919</v>
      </c>
      <c r="L130" s="16" t="s">
        <v>8920</v>
      </c>
      <c r="M130" s="16" t="s">
        <v>8921</v>
      </c>
    </row>
    <row r="131">
      <c r="A131" s="15" t="s">
        <v>8997</v>
      </c>
      <c r="B131" s="6" t="s">
        <v>5870</v>
      </c>
      <c r="C131" s="6" t="s">
        <v>4982</v>
      </c>
      <c r="D131" s="6" t="s">
        <v>701</v>
      </c>
      <c r="E131" s="7" t="s">
        <v>6666</v>
      </c>
      <c r="F131" s="6" t="s">
        <v>1695</v>
      </c>
      <c r="G131" s="7" t="s">
        <v>1696</v>
      </c>
      <c r="H131" s="16" t="s">
        <v>8909</v>
      </c>
      <c r="I131" s="16" t="s">
        <v>8912</v>
      </c>
      <c r="J131" s="16" t="s">
        <v>8913</v>
      </c>
      <c r="K131" s="16" t="s">
        <v>8934</v>
      </c>
      <c r="L131" s="16" t="s">
        <v>8952</v>
      </c>
      <c r="M131" s="16" t="s">
        <v>8935</v>
      </c>
    </row>
    <row r="132">
      <c r="A132" s="15" t="s">
        <v>8997</v>
      </c>
      <c r="B132" s="6" t="s">
        <v>3986</v>
      </c>
      <c r="C132" s="6" t="s">
        <v>522</v>
      </c>
      <c r="D132" s="6" t="s">
        <v>1882</v>
      </c>
      <c r="E132" s="7" t="s">
        <v>6667</v>
      </c>
      <c r="F132" s="6" t="s">
        <v>1695</v>
      </c>
      <c r="G132" s="7" t="s">
        <v>1696</v>
      </c>
      <c r="H132" s="16" t="s">
        <v>8909</v>
      </c>
      <c r="I132" s="16" t="s">
        <v>8912</v>
      </c>
      <c r="J132" s="16" t="s">
        <v>8918</v>
      </c>
      <c r="K132" s="16" t="s">
        <v>8919</v>
      </c>
      <c r="L132" s="16" t="s">
        <v>8931</v>
      </c>
      <c r="M132" s="16" t="s">
        <v>8924</v>
      </c>
    </row>
    <row r="133">
      <c r="A133" s="15" t="s">
        <v>8997</v>
      </c>
      <c r="B133" s="6" t="s">
        <v>6172</v>
      </c>
      <c r="C133" s="6" t="s">
        <v>3245</v>
      </c>
      <c r="D133" s="6" t="s">
        <v>4534</v>
      </c>
      <c r="E133" s="7" t="s">
        <v>6669</v>
      </c>
      <c r="F133" s="6" t="s">
        <v>1695</v>
      </c>
      <c r="G133" s="7" t="s">
        <v>1696</v>
      </c>
      <c r="H133" s="16" t="s">
        <v>8909</v>
      </c>
      <c r="I133" s="16" t="s">
        <v>8912</v>
      </c>
      <c r="J133" s="16" t="s">
        <v>8913</v>
      </c>
      <c r="K133" s="16" t="s">
        <v>8934</v>
      </c>
      <c r="L133" s="16" t="s">
        <v>8927</v>
      </c>
      <c r="M133" s="16" t="s">
        <v>8935</v>
      </c>
    </row>
    <row r="134">
      <c r="A134" s="15" t="s">
        <v>8997</v>
      </c>
      <c r="B134" s="6" t="s">
        <v>6230</v>
      </c>
      <c r="C134" s="6" t="s">
        <v>6231</v>
      </c>
      <c r="D134" s="6" t="s">
        <v>5708</v>
      </c>
      <c r="E134" s="7" t="s">
        <v>6671</v>
      </c>
      <c r="F134" s="6" t="s">
        <v>1695</v>
      </c>
      <c r="G134" s="7" t="s">
        <v>1696</v>
      </c>
      <c r="H134" s="16" t="s">
        <v>8909</v>
      </c>
      <c r="I134" s="16" t="s">
        <v>8912</v>
      </c>
      <c r="J134" s="16" t="s">
        <v>8913</v>
      </c>
      <c r="K134" s="16" t="s">
        <v>8934</v>
      </c>
      <c r="L134" s="16" t="s">
        <v>8927</v>
      </c>
      <c r="M134" s="16" t="s">
        <v>8935</v>
      </c>
    </row>
    <row r="135">
      <c r="A135" s="15" t="s">
        <v>8997</v>
      </c>
      <c r="B135" s="6" t="s">
        <v>4233</v>
      </c>
      <c r="C135" s="6" t="s">
        <v>540</v>
      </c>
      <c r="D135" s="6" t="s">
        <v>4234</v>
      </c>
      <c r="E135" s="7" t="s">
        <v>6672</v>
      </c>
      <c r="F135" s="6" t="s">
        <v>1695</v>
      </c>
      <c r="G135" s="7" t="s">
        <v>1696</v>
      </c>
      <c r="H135" s="16" t="s">
        <v>8909</v>
      </c>
      <c r="I135" s="16" t="s">
        <v>8912</v>
      </c>
      <c r="J135" s="16" t="s">
        <v>8913</v>
      </c>
      <c r="K135" s="16" t="s">
        <v>8934</v>
      </c>
      <c r="L135" s="16" t="s">
        <v>8931</v>
      </c>
      <c r="M135" s="16" t="s">
        <v>8935</v>
      </c>
    </row>
    <row r="136">
      <c r="A136" s="15" t="s">
        <v>8997</v>
      </c>
      <c r="B136" s="6" t="s">
        <v>3929</v>
      </c>
      <c r="C136" s="6" t="s">
        <v>3930</v>
      </c>
      <c r="D136" s="6" t="s">
        <v>3931</v>
      </c>
      <c r="E136" s="7" t="s">
        <v>6675</v>
      </c>
      <c r="F136" s="6" t="s">
        <v>1695</v>
      </c>
      <c r="G136" s="7" t="s">
        <v>1696</v>
      </c>
      <c r="H136" s="16" t="s">
        <v>8909</v>
      </c>
      <c r="I136" s="16" t="s">
        <v>8912</v>
      </c>
      <c r="J136" s="16" t="s">
        <v>8918</v>
      </c>
      <c r="K136" s="16" t="s">
        <v>8919</v>
      </c>
      <c r="L136" s="16" t="s">
        <v>8931</v>
      </c>
      <c r="M136" s="16" t="s">
        <v>8924</v>
      </c>
    </row>
    <row r="137">
      <c r="A137" s="15" t="s">
        <v>8997</v>
      </c>
      <c r="B137" s="6" t="s">
        <v>5282</v>
      </c>
      <c r="C137" s="6" t="s">
        <v>75</v>
      </c>
      <c r="D137" s="6" t="s">
        <v>5283</v>
      </c>
      <c r="E137" s="7" t="s">
        <v>6676</v>
      </c>
      <c r="F137" s="6" t="s">
        <v>1695</v>
      </c>
      <c r="G137" s="7" t="s">
        <v>1696</v>
      </c>
      <c r="H137" s="16" t="s">
        <v>8909</v>
      </c>
      <c r="I137" s="16" t="s">
        <v>8912</v>
      </c>
      <c r="J137" s="16" t="s">
        <v>8913</v>
      </c>
      <c r="K137" s="16" t="s">
        <v>8934</v>
      </c>
      <c r="L137" s="16" t="s">
        <v>8927</v>
      </c>
      <c r="M137" s="16" t="s">
        <v>8935</v>
      </c>
    </row>
    <row r="138">
      <c r="A138" s="15" t="s">
        <v>8997</v>
      </c>
      <c r="B138" s="6" t="s">
        <v>2757</v>
      </c>
      <c r="C138" s="6" t="s">
        <v>2758</v>
      </c>
      <c r="D138" s="6" t="s">
        <v>2759</v>
      </c>
      <c r="E138" s="7" t="s">
        <v>6677</v>
      </c>
      <c r="F138" s="6" t="s">
        <v>1695</v>
      </c>
      <c r="G138" s="7" t="s">
        <v>1696</v>
      </c>
      <c r="H138" s="16" t="s">
        <v>8909</v>
      </c>
      <c r="I138" s="16" t="s">
        <v>8912</v>
      </c>
      <c r="J138" s="16" t="s">
        <v>8913</v>
      </c>
      <c r="K138" s="16" t="s">
        <v>8934</v>
      </c>
      <c r="L138" s="16" t="s">
        <v>8927</v>
      </c>
      <c r="M138" s="16" t="s">
        <v>8935</v>
      </c>
    </row>
    <row r="139">
      <c r="A139" s="15" t="s">
        <v>8997</v>
      </c>
      <c r="B139" s="6" t="s">
        <v>5490</v>
      </c>
      <c r="C139" s="6" t="s">
        <v>5491</v>
      </c>
      <c r="D139" s="6" t="s">
        <v>282</v>
      </c>
      <c r="E139" s="7" t="s">
        <v>6680</v>
      </c>
      <c r="F139" s="6" t="s">
        <v>1695</v>
      </c>
      <c r="G139" s="7" t="s">
        <v>1696</v>
      </c>
      <c r="H139" s="16" t="s">
        <v>8909</v>
      </c>
      <c r="I139" s="16" t="s">
        <v>8912</v>
      </c>
      <c r="J139" s="16" t="s">
        <v>8926</v>
      </c>
      <c r="K139" s="16" t="s">
        <v>8914</v>
      </c>
      <c r="L139" s="16" t="s">
        <v>8927</v>
      </c>
      <c r="M139" s="16" t="s">
        <v>8974</v>
      </c>
    </row>
    <row r="140">
      <c r="A140" s="15" t="s">
        <v>8997</v>
      </c>
      <c r="B140" s="6" t="s">
        <v>4728</v>
      </c>
      <c r="C140" s="6" t="s">
        <v>701</v>
      </c>
      <c r="D140" s="6" t="s">
        <v>1028</v>
      </c>
      <c r="E140" s="7" t="s">
        <v>6681</v>
      </c>
      <c r="F140" s="6" t="s">
        <v>1695</v>
      </c>
      <c r="G140" s="7" t="s">
        <v>1696</v>
      </c>
      <c r="H140" s="16" t="s">
        <v>8909</v>
      </c>
      <c r="I140" s="16" t="s">
        <v>8912</v>
      </c>
      <c r="J140" s="16" t="s">
        <v>8918</v>
      </c>
      <c r="K140" s="16" t="s">
        <v>8919</v>
      </c>
      <c r="L140" s="16" t="s">
        <v>8920</v>
      </c>
      <c r="M140" s="16" t="s">
        <v>8921</v>
      </c>
    </row>
    <row r="141">
      <c r="A141" s="15" t="s">
        <v>8997</v>
      </c>
      <c r="B141" s="6" t="s">
        <v>5045</v>
      </c>
      <c r="C141" s="6" t="s">
        <v>5046</v>
      </c>
      <c r="D141" s="6" t="s">
        <v>5047</v>
      </c>
      <c r="E141" s="7" t="s">
        <v>6683</v>
      </c>
      <c r="F141" s="6" t="s">
        <v>1695</v>
      </c>
      <c r="G141" s="7" t="s">
        <v>1696</v>
      </c>
      <c r="H141" s="16" t="s">
        <v>8909</v>
      </c>
      <c r="I141" s="16" t="s">
        <v>8912</v>
      </c>
      <c r="J141" s="16" t="s">
        <v>8913</v>
      </c>
      <c r="K141" s="16" t="s">
        <v>8934</v>
      </c>
      <c r="L141" s="16" t="s">
        <v>8927</v>
      </c>
      <c r="M141" s="16" t="s">
        <v>8935</v>
      </c>
    </row>
    <row r="142">
      <c r="A142" s="15" t="s">
        <v>8997</v>
      </c>
      <c r="B142" s="6" t="s">
        <v>6153</v>
      </c>
      <c r="C142" s="6" t="s">
        <v>846</v>
      </c>
      <c r="D142" s="6" t="s">
        <v>1804</v>
      </c>
      <c r="E142" s="7" t="s">
        <v>6688</v>
      </c>
      <c r="F142" s="6" t="s">
        <v>1695</v>
      </c>
      <c r="G142" s="7" t="s">
        <v>1696</v>
      </c>
      <c r="H142" s="16" t="s">
        <v>8909</v>
      </c>
      <c r="I142" s="16" t="s">
        <v>8912</v>
      </c>
      <c r="J142" s="16" t="s">
        <v>8913</v>
      </c>
      <c r="K142" s="16" t="s">
        <v>8934</v>
      </c>
      <c r="L142" s="16" t="s">
        <v>8927</v>
      </c>
      <c r="M142" s="16" t="s">
        <v>8935</v>
      </c>
    </row>
    <row r="143">
      <c r="A143" s="15" t="s">
        <v>8997</v>
      </c>
      <c r="B143" s="6" t="s">
        <v>5247</v>
      </c>
      <c r="C143" s="6" t="s">
        <v>58</v>
      </c>
      <c r="D143" s="6" t="s">
        <v>404</v>
      </c>
      <c r="E143" s="7" t="s">
        <v>6689</v>
      </c>
      <c r="F143" s="6" t="s">
        <v>1695</v>
      </c>
      <c r="G143" s="7" t="s">
        <v>1696</v>
      </c>
      <c r="H143" s="16" t="s">
        <v>8909</v>
      </c>
      <c r="I143" s="16" t="s">
        <v>8912</v>
      </c>
      <c r="J143" s="16" t="s">
        <v>8926</v>
      </c>
      <c r="K143" s="16" t="s">
        <v>8914</v>
      </c>
      <c r="L143" s="16" t="s">
        <v>8920</v>
      </c>
      <c r="M143" s="16" t="s">
        <v>8974</v>
      </c>
    </row>
    <row r="144">
      <c r="A144" s="15" t="s">
        <v>8997</v>
      </c>
      <c r="B144" s="6" t="s">
        <v>5671</v>
      </c>
      <c r="C144" s="6" t="s">
        <v>490</v>
      </c>
      <c r="D144" s="6" t="s">
        <v>2724</v>
      </c>
      <c r="E144" s="7" t="s">
        <v>6690</v>
      </c>
      <c r="F144" s="6" t="s">
        <v>1695</v>
      </c>
      <c r="G144" s="7" t="s">
        <v>1696</v>
      </c>
      <c r="H144" s="16" t="s">
        <v>8909</v>
      </c>
      <c r="I144" s="16" t="s">
        <v>8912</v>
      </c>
      <c r="J144" s="16" t="s">
        <v>8913</v>
      </c>
      <c r="K144" s="16" t="s">
        <v>8934</v>
      </c>
      <c r="L144" s="16" t="s">
        <v>8927</v>
      </c>
      <c r="M144" s="16" t="s">
        <v>8935</v>
      </c>
    </row>
    <row r="145">
      <c r="A145" s="15" t="s">
        <v>8997</v>
      </c>
      <c r="B145" s="6" t="s">
        <v>2187</v>
      </c>
      <c r="C145" s="6" t="s">
        <v>2188</v>
      </c>
      <c r="D145" s="6" t="s">
        <v>784</v>
      </c>
      <c r="E145" s="7" t="s">
        <v>6691</v>
      </c>
      <c r="F145" s="6" t="s">
        <v>1695</v>
      </c>
      <c r="G145" s="7" t="s">
        <v>1696</v>
      </c>
      <c r="H145" s="16" t="s">
        <v>8909</v>
      </c>
      <c r="I145" s="16" t="s">
        <v>8912</v>
      </c>
      <c r="J145" s="16" t="s">
        <v>8913</v>
      </c>
      <c r="K145" s="16" t="s">
        <v>8934</v>
      </c>
      <c r="L145" s="16" t="s">
        <v>8927</v>
      </c>
      <c r="M145" s="16" t="s">
        <v>8935</v>
      </c>
    </row>
    <row r="146">
      <c r="A146" s="15" t="s">
        <v>8997</v>
      </c>
      <c r="B146" s="6" t="s">
        <v>3457</v>
      </c>
      <c r="C146" s="6" t="s">
        <v>787</v>
      </c>
      <c r="D146" s="6" t="s">
        <v>3458</v>
      </c>
      <c r="E146" s="7" t="s">
        <v>6692</v>
      </c>
      <c r="F146" s="6" t="s">
        <v>1695</v>
      </c>
      <c r="G146" s="7" t="s">
        <v>1696</v>
      </c>
      <c r="H146" s="16" t="s">
        <v>8909</v>
      </c>
      <c r="I146" s="16" t="s">
        <v>8912</v>
      </c>
      <c r="J146" s="16" t="s">
        <v>8913</v>
      </c>
      <c r="K146" s="16" t="s">
        <v>8934</v>
      </c>
      <c r="L146" s="16" t="s">
        <v>8927</v>
      </c>
      <c r="M146" s="16" t="s">
        <v>8935</v>
      </c>
    </row>
    <row r="147">
      <c r="A147" s="15" t="s">
        <v>8997</v>
      </c>
      <c r="B147" s="6" t="s">
        <v>5316</v>
      </c>
      <c r="C147" s="6" t="s">
        <v>3686</v>
      </c>
      <c r="D147" s="6" t="s">
        <v>85</v>
      </c>
      <c r="E147" s="7" t="s">
        <v>6693</v>
      </c>
      <c r="F147" s="6" t="s">
        <v>1695</v>
      </c>
      <c r="G147" s="7" t="s">
        <v>1696</v>
      </c>
      <c r="H147" s="16" t="s">
        <v>8909</v>
      </c>
      <c r="I147" s="16" t="s">
        <v>8912</v>
      </c>
      <c r="J147" s="16" t="s">
        <v>8926</v>
      </c>
      <c r="K147" s="16" t="s">
        <v>8914</v>
      </c>
      <c r="L147" s="16" t="s">
        <v>8931</v>
      </c>
      <c r="M147" s="16" t="s">
        <v>8938</v>
      </c>
    </row>
    <row r="148">
      <c r="A148" s="15" t="s">
        <v>8997</v>
      </c>
      <c r="B148" s="6" t="s">
        <v>3873</v>
      </c>
      <c r="C148" s="6" t="s">
        <v>3874</v>
      </c>
      <c r="D148" s="6" t="s">
        <v>3875</v>
      </c>
      <c r="E148" s="7" t="s">
        <v>6694</v>
      </c>
      <c r="F148" s="6" t="s">
        <v>1695</v>
      </c>
      <c r="G148" s="7" t="s">
        <v>1696</v>
      </c>
      <c r="H148" s="16" t="s">
        <v>8909</v>
      </c>
      <c r="I148" s="16" t="s">
        <v>8912</v>
      </c>
      <c r="J148" s="16" t="s">
        <v>8913</v>
      </c>
      <c r="K148" s="16" t="s">
        <v>8934</v>
      </c>
      <c r="L148" s="16" t="s">
        <v>8927</v>
      </c>
      <c r="M148" s="16" t="s">
        <v>8935</v>
      </c>
    </row>
    <row r="149">
      <c r="A149" s="15" t="s">
        <v>8997</v>
      </c>
      <c r="B149" s="6" t="s">
        <v>5215</v>
      </c>
      <c r="C149" s="6" t="s">
        <v>538</v>
      </c>
      <c r="D149" s="6" t="s">
        <v>5216</v>
      </c>
      <c r="E149" s="7" t="s">
        <v>6695</v>
      </c>
      <c r="F149" s="6" t="s">
        <v>1695</v>
      </c>
      <c r="G149" s="7" t="s">
        <v>1696</v>
      </c>
      <c r="H149" s="16" t="s">
        <v>8909</v>
      </c>
      <c r="I149" s="16" t="s">
        <v>8912</v>
      </c>
      <c r="J149" s="16" t="s">
        <v>8913</v>
      </c>
      <c r="K149" s="16" t="s">
        <v>8934</v>
      </c>
      <c r="L149" s="16" t="s">
        <v>8952</v>
      </c>
      <c r="M149" s="16" t="s">
        <v>8935</v>
      </c>
    </row>
    <row r="150">
      <c r="A150" s="15" t="s">
        <v>8997</v>
      </c>
      <c r="B150" s="6" t="s">
        <v>5686</v>
      </c>
      <c r="C150" s="6" t="s">
        <v>5687</v>
      </c>
      <c r="D150" s="6" t="s">
        <v>5688</v>
      </c>
      <c r="E150" s="7" t="s">
        <v>6696</v>
      </c>
      <c r="F150" s="6" t="s">
        <v>1695</v>
      </c>
      <c r="G150" s="7" t="s">
        <v>1696</v>
      </c>
      <c r="H150" s="16" t="s">
        <v>8909</v>
      </c>
      <c r="I150" s="16" t="s">
        <v>8912</v>
      </c>
      <c r="J150" s="16" t="s">
        <v>8913</v>
      </c>
      <c r="K150" s="16" t="s">
        <v>8934</v>
      </c>
      <c r="L150" s="16" t="s">
        <v>8927</v>
      </c>
      <c r="M150" s="16" t="s">
        <v>8935</v>
      </c>
    </row>
    <row r="151">
      <c r="A151" s="15" t="s">
        <v>8997</v>
      </c>
      <c r="B151" s="6" t="s">
        <v>3351</v>
      </c>
      <c r="C151" s="6" t="s">
        <v>3352</v>
      </c>
      <c r="D151" s="6" t="s">
        <v>3353</v>
      </c>
      <c r="E151" s="7" t="s">
        <v>6698</v>
      </c>
      <c r="F151" s="6" t="s">
        <v>1695</v>
      </c>
      <c r="G151" s="7" t="s">
        <v>1696</v>
      </c>
      <c r="H151" s="16" t="s">
        <v>8909</v>
      </c>
      <c r="I151" s="16" t="s">
        <v>8912</v>
      </c>
      <c r="J151" s="16" t="s">
        <v>8913</v>
      </c>
      <c r="K151" s="16" t="s">
        <v>8934</v>
      </c>
      <c r="L151" s="16" t="s">
        <v>8927</v>
      </c>
      <c r="M151" s="16" t="s">
        <v>8935</v>
      </c>
    </row>
    <row r="152">
      <c r="A152" s="15" t="s">
        <v>8997</v>
      </c>
      <c r="B152" s="6" t="s">
        <v>3273</v>
      </c>
      <c r="C152" s="6" t="s">
        <v>3274</v>
      </c>
      <c r="D152" s="6" t="s">
        <v>3275</v>
      </c>
      <c r="E152" s="7" t="s">
        <v>6662</v>
      </c>
      <c r="F152" s="6" t="s">
        <v>1695</v>
      </c>
      <c r="G152" s="7" t="s">
        <v>1696</v>
      </c>
      <c r="H152" s="16" t="s">
        <v>8909</v>
      </c>
      <c r="I152" s="16" t="s">
        <v>8954</v>
      </c>
      <c r="J152" s="7"/>
      <c r="K152" s="7"/>
      <c r="L152" s="7"/>
      <c r="M152" s="7"/>
    </row>
    <row r="153">
      <c r="A153" s="15" t="s">
        <v>8997</v>
      </c>
      <c r="B153" s="6" t="s">
        <v>2572</v>
      </c>
      <c r="C153" s="6" t="s">
        <v>356</v>
      </c>
      <c r="D153" s="6" t="s">
        <v>2573</v>
      </c>
      <c r="E153" s="7" t="s">
        <v>6679</v>
      </c>
      <c r="F153" s="6" t="s">
        <v>1695</v>
      </c>
      <c r="G153" s="7" t="s">
        <v>1696</v>
      </c>
      <c r="H153" s="16" t="s">
        <v>8909</v>
      </c>
      <c r="I153" s="16" t="s">
        <v>8954</v>
      </c>
      <c r="J153" s="7"/>
      <c r="K153" s="7"/>
      <c r="L153" s="7"/>
      <c r="M153" s="7"/>
    </row>
    <row r="154">
      <c r="A154" s="15" t="s">
        <v>8997</v>
      </c>
      <c r="B154" s="6" t="s">
        <v>5409</v>
      </c>
      <c r="C154" s="6" t="s">
        <v>5410</v>
      </c>
      <c r="D154" s="6" t="s">
        <v>446</v>
      </c>
      <c r="E154" s="7" t="s">
        <v>6685</v>
      </c>
      <c r="F154" s="6" t="s">
        <v>1695</v>
      </c>
      <c r="G154" s="7" t="s">
        <v>1696</v>
      </c>
      <c r="H154" s="16" t="s">
        <v>8909</v>
      </c>
      <c r="I154" s="16" t="s">
        <v>8954</v>
      </c>
      <c r="J154" s="7"/>
      <c r="K154" s="7"/>
      <c r="L154" s="7"/>
      <c r="M154" s="7"/>
    </row>
    <row r="155">
      <c r="A155" s="15" t="s">
        <v>8997</v>
      </c>
      <c r="B155" s="6" t="s">
        <v>2842</v>
      </c>
      <c r="C155" s="6" t="s">
        <v>204</v>
      </c>
      <c r="D155" s="6" t="s">
        <v>111</v>
      </c>
      <c r="E155" s="7" t="s">
        <v>6686</v>
      </c>
      <c r="F155" s="6" t="s">
        <v>1695</v>
      </c>
      <c r="G155" s="7" t="s">
        <v>1696</v>
      </c>
      <c r="H155" s="16" t="s">
        <v>8909</v>
      </c>
      <c r="I155" s="16" t="s">
        <v>8954</v>
      </c>
      <c r="J155" s="7"/>
      <c r="K155" s="7"/>
      <c r="L155" s="7"/>
      <c r="M155" s="7"/>
    </row>
    <row r="156">
      <c r="A156" s="15" t="s">
        <v>8997</v>
      </c>
      <c r="B156" s="6" t="s">
        <v>4477</v>
      </c>
      <c r="C156" s="6" t="s">
        <v>2537</v>
      </c>
      <c r="D156" s="6" t="s">
        <v>4093</v>
      </c>
      <c r="E156" s="7" t="s">
        <v>6652</v>
      </c>
      <c r="F156" s="6" t="s">
        <v>1695</v>
      </c>
      <c r="G156" s="7" t="s">
        <v>1696</v>
      </c>
      <c r="H156" s="16" t="s">
        <v>8909</v>
      </c>
      <c r="I156" s="16" t="s">
        <v>8955</v>
      </c>
      <c r="J156" s="7"/>
      <c r="K156" s="7"/>
      <c r="L156" s="7"/>
      <c r="M156" s="7"/>
    </row>
    <row r="157">
      <c r="A157" s="15" t="s">
        <v>8997</v>
      </c>
      <c r="B157" s="6" t="s">
        <v>5889</v>
      </c>
      <c r="C157" s="6" t="s">
        <v>5890</v>
      </c>
      <c r="D157" s="6" t="s">
        <v>5891</v>
      </c>
      <c r="E157" s="7" t="s">
        <v>6654</v>
      </c>
      <c r="F157" s="6" t="s">
        <v>1695</v>
      </c>
      <c r="G157" s="7" t="s">
        <v>1696</v>
      </c>
      <c r="H157" s="16" t="s">
        <v>8909</v>
      </c>
      <c r="I157" s="16" t="s">
        <v>8955</v>
      </c>
      <c r="J157" s="7"/>
      <c r="K157" s="7"/>
      <c r="L157" s="7"/>
      <c r="M157" s="7"/>
    </row>
    <row r="158">
      <c r="A158" s="15" t="s">
        <v>8997</v>
      </c>
      <c r="B158" s="6" t="s">
        <v>6180</v>
      </c>
      <c r="C158" s="6" t="s">
        <v>1005</v>
      </c>
      <c r="D158" s="6" t="s">
        <v>298</v>
      </c>
      <c r="E158" s="7" t="s">
        <v>6655</v>
      </c>
      <c r="F158" s="6" t="s">
        <v>1695</v>
      </c>
      <c r="G158" s="7" t="s">
        <v>1696</v>
      </c>
      <c r="H158" s="16" t="s">
        <v>8909</v>
      </c>
      <c r="I158" s="16" t="s">
        <v>8955</v>
      </c>
      <c r="J158" s="7"/>
      <c r="K158" s="7"/>
      <c r="L158" s="7"/>
      <c r="M158" s="7"/>
    </row>
    <row r="159">
      <c r="A159" s="15" t="s">
        <v>8997</v>
      </c>
      <c r="B159" s="6" t="s">
        <v>4297</v>
      </c>
      <c r="C159" s="6" t="s">
        <v>1208</v>
      </c>
      <c r="D159" s="6" t="s">
        <v>109</v>
      </c>
      <c r="E159" s="7" t="s">
        <v>6656</v>
      </c>
      <c r="F159" s="6" t="s">
        <v>1695</v>
      </c>
      <c r="G159" s="7" t="s">
        <v>1696</v>
      </c>
      <c r="H159" s="16" t="s">
        <v>8909</v>
      </c>
      <c r="I159" s="16" t="s">
        <v>8955</v>
      </c>
      <c r="J159" s="7"/>
      <c r="K159" s="7"/>
      <c r="L159" s="7"/>
      <c r="M159" s="7"/>
    </row>
    <row r="160">
      <c r="A160" s="15" t="s">
        <v>8997</v>
      </c>
      <c r="B160" s="6" t="s">
        <v>4612</v>
      </c>
      <c r="C160" s="6" t="s">
        <v>1208</v>
      </c>
      <c r="D160" s="6" t="s">
        <v>4613</v>
      </c>
      <c r="E160" s="7" t="s">
        <v>6656</v>
      </c>
      <c r="F160" s="6" t="s">
        <v>1695</v>
      </c>
      <c r="G160" s="7" t="s">
        <v>1696</v>
      </c>
      <c r="H160" s="16" t="s">
        <v>8909</v>
      </c>
      <c r="I160" s="16" t="s">
        <v>8955</v>
      </c>
      <c r="J160" s="7"/>
      <c r="K160" s="7"/>
      <c r="L160" s="7"/>
      <c r="M160" s="7"/>
    </row>
    <row r="161">
      <c r="A161" s="15" t="s">
        <v>8997</v>
      </c>
      <c r="B161" s="6" t="s">
        <v>6315</v>
      </c>
      <c r="C161" s="6" t="s">
        <v>6316</v>
      </c>
      <c r="D161" s="6" t="s">
        <v>6317</v>
      </c>
      <c r="E161" s="7" t="s">
        <v>6660</v>
      </c>
      <c r="F161" s="6" t="s">
        <v>1695</v>
      </c>
      <c r="G161" s="7" t="s">
        <v>6318</v>
      </c>
      <c r="H161" s="16" t="s">
        <v>8909</v>
      </c>
      <c r="I161" s="16" t="s">
        <v>8955</v>
      </c>
      <c r="J161" s="7"/>
      <c r="K161" s="7"/>
      <c r="L161" s="7"/>
      <c r="M161" s="7"/>
    </row>
    <row r="162">
      <c r="A162" s="15" t="s">
        <v>8997</v>
      </c>
      <c r="B162" s="6" t="s">
        <v>2799</v>
      </c>
      <c r="C162" s="6" t="s">
        <v>2800</v>
      </c>
      <c r="D162" s="6" t="s">
        <v>2801</v>
      </c>
      <c r="E162" s="7" t="s">
        <v>6668</v>
      </c>
      <c r="F162" s="6" t="s">
        <v>1695</v>
      </c>
      <c r="G162" s="7" t="s">
        <v>1696</v>
      </c>
      <c r="H162" s="16" t="s">
        <v>8909</v>
      </c>
      <c r="I162" s="16" t="s">
        <v>8955</v>
      </c>
      <c r="J162" s="7"/>
      <c r="K162" s="7"/>
      <c r="L162" s="7"/>
      <c r="M162" s="7"/>
    </row>
    <row r="163">
      <c r="A163" s="15" t="s">
        <v>8997</v>
      </c>
      <c r="B163" s="6" t="s">
        <v>2176</v>
      </c>
      <c r="C163" s="6" t="s">
        <v>2177</v>
      </c>
      <c r="D163" s="6" t="s">
        <v>2178</v>
      </c>
      <c r="E163" s="7" t="s">
        <v>6670</v>
      </c>
      <c r="F163" s="6" t="s">
        <v>1695</v>
      </c>
      <c r="G163" s="7" t="s">
        <v>1696</v>
      </c>
      <c r="H163" s="16" t="s">
        <v>8909</v>
      </c>
      <c r="I163" s="16" t="s">
        <v>8955</v>
      </c>
      <c r="J163" s="7"/>
      <c r="K163" s="7"/>
      <c r="L163" s="7"/>
      <c r="M163" s="7"/>
    </row>
    <row r="164">
      <c r="A164" s="15" t="s">
        <v>8997</v>
      </c>
      <c r="B164" s="6" t="s">
        <v>3714</v>
      </c>
      <c r="C164" s="6" t="s">
        <v>1561</v>
      </c>
      <c r="D164" s="6" t="s">
        <v>918</v>
      </c>
      <c r="E164" s="7" t="s">
        <v>6673</v>
      </c>
      <c r="F164" s="6" t="s">
        <v>1695</v>
      </c>
      <c r="G164" s="7" t="s">
        <v>1696</v>
      </c>
      <c r="H164" s="16" t="s">
        <v>8909</v>
      </c>
      <c r="I164" s="16" t="s">
        <v>8955</v>
      </c>
      <c r="J164" s="7"/>
      <c r="K164" s="7"/>
      <c r="L164" s="7"/>
      <c r="M164" s="7"/>
    </row>
    <row r="165">
      <c r="A165" s="15" t="s">
        <v>8997</v>
      </c>
      <c r="B165" s="6" t="s">
        <v>2126</v>
      </c>
      <c r="C165" s="6" t="s">
        <v>2127</v>
      </c>
      <c r="D165" s="6" t="s">
        <v>2128</v>
      </c>
      <c r="E165" s="7" t="s">
        <v>6674</v>
      </c>
      <c r="F165" s="6" t="s">
        <v>1695</v>
      </c>
      <c r="G165" s="7" t="s">
        <v>1696</v>
      </c>
      <c r="H165" s="16" t="s">
        <v>8909</v>
      </c>
      <c r="I165" s="16" t="s">
        <v>8955</v>
      </c>
      <c r="J165" s="7"/>
      <c r="K165" s="7"/>
      <c r="L165" s="7"/>
      <c r="M165" s="7"/>
    </row>
    <row r="166">
      <c r="A166" s="15" t="s">
        <v>8997</v>
      </c>
      <c r="B166" s="6" t="s">
        <v>2858</v>
      </c>
      <c r="C166" s="6" t="s">
        <v>2859</v>
      </c>
      <c r="D166" s="6" t="s">
        <v>559</v>
      </c>
      <c r="E166" s="7" t="s">
        <v>6678</v>
      </c>
      <c r="F166" s="6" t="s">
        <v>1695</v>
      </c>
      <c r="G166" s="7" t="s">
        <v>1696</v>
      </c>
      <c r="H166" s="16" t="s">
        <v>8909</v>
      </c>
      <c r="I166" s="16" t="s">
        <v>8955</v>
      </c>
      <c r="J166" s="7"/>
      <c r="K166" s="7"/>
      <c r="L166" s="7"/>
      <c r="M166" s="7"/>
    </row>
    <row r="167">
      <c r="A167" s="15" t="s">
        <v>8997</v>
      </c>
      <c r="B167" s="6" t="s">
        <v>4930</v>
      </c>
      <c r="C167" s="6" t="s">
        <v>4931</v>
      </c>
      <c r="D167" s="6" t="s">
        <v>4932</v>
      </c>
      <c r="E167" s="7" t="s">
        <v>6682</v>
      </c>
      <c r="F167" s="6" t="s">
        <v>1695</v>
      </c>
      <c r="G167" s="7" t="s">
        <v>1696</v>
      </c>
      <c r="H167" s="16" t="s">
        <v>8909</v>
      </c>
      <c r="I167" s="16" t="s">
        <v>8912</v>
      </c>
      <c r="J167" s="16" t="s">
        <v>8926</v>
      </c>
      <c r="K167" s="16" t="s">
        <v>8914</v>
      </c>
      <c r="L167" s="16" t="s">
        <v>8920</v>
      </c>
      <c r="M167" s="16" t="s">
        <v>8938</v>
      </c>
    </row>
    <row r="168">
      <c r="A168" s="15" t="s">
        <v>8997</v>
      </c>
      <c r="B168" s="6" t="s">
        <v>5951</v>
      </c>
      <c r="C168" s="6" t="s">
        <v>129</v>
      </c>
      <c r="D168" s="6" t="s">
        <v>5952</v>
      </c>
      <c r="E168" s="7" t="s">
        <v>6684</v>
      </c>
      <c r="F168" s="6" t="s">
        <v>1695</v>
      </c>
      <c r="G168" s="7" t="s">
        <v>1696</v>
      </c>
      <c r="H168" s="16" t="s">
        <v>8909</v>
      </c>
      <c r="I168" s="16" t="s">
        <v>8955</v>
      </c>
      <c r="J168" s="7"/>
      <c r="K168" s="7"/>
      <c r="L168" s="7"/>
      <c r="M168" s="7"/>
    </row>
    <row r="169">
      <c r="A169" s="15" t="s">
        <v>8997</v>
      </c>
      <c r="B169" s="6" t="s">
        <v>3201</v>
      </c>
      <c r="C169" s="6" t="s">
        <v>3202</v>
      </c>
      <c r="D169" s="6" t="s">
        <v>2388</v>
      </c>
      <c r="E169" s="7" t="s">
        <v>6687</v>
      </c>
      <c r="F169" s="6" t="s">
        <v>1695</v>
      </c>
      <c r="G169" s="7" t="s">
        <v>1696</v>
      </c>
      <c r="H169" s="16" t="s">
        <v>8909</v>
      </c>
      <c r="I169" s="16" t="s">
        <v>8955</v>
      </c>
      <c r="J169" s="7"/>
      <c r="K169" s="7"/>
      <c r="L169" s="7"/>
      <c r="M169" s="7"/>
    </row>
    <row r="170">
      <c r="A170" s="15" t="s">
        <v>8997</v>
      </c>
      <c r="B170" s="6" t="s">
        <v>2456</v>
      </c>
      <c r="C170" s="6" t="s">
        <v>2457</v>
      </c>
      <c r="D170" s="6" t="s">
        <v>2458</v>
      </c>
      <c r="E170" s="7" t="s">
        <v>6697</v>
      </c>
      <c r="F170" s="6" t="s">
        <v>1695</v>
      </c>
      <c r="G170" s="7" t="s">
        <v>1696</v>
      </c>
      <c r="H170" s="16" t="s">
        <v>8909</v>
      </c>
      <c r="I170" s="16" t="s">
        <v>8955</v>
      </c>
      <c r="J170" s="7"/>
      <c r="K170" s="7"/>
      <c r="L170" s="7"/>
      <c r="M170" s="7"/>
    </row>
    <row r="171">
      <c r="A171" s="15" t="s">
        <v>8997</v>
      </c>
      <c r="B171" s="6" t="s">
        <v>2988</v>
      </c>
      <c r="C171" s="6" t="s">
        <v>1959</v>
      </c>
      <c r="D171" s="6" t="s">
        <v>2989</v>
      </c>
      <c r="E171" s="7" t="s">
        <v>6699</v>
      </c>
      <c r="F171" s="6" t="s">
        <v>1695</v>
      </c>
      <c r="G171" s="7" t="s">
        <v>1696</v>
      </c>
      <c r="H171" s="16" t="s">
        <v>8909</v>
      </c>
      <c r="I171" s="16" t="s">
        <v>8955</v>
      </c>
      <c r="J171" s="7"/>
      <c r="K171" s="7"/>
      <c r="L171" s="7"/>
      <c r="M171" s="7"/>
    </row>
    <row r="172">
      <c r="A172" s="15" t="s">
        <v>8998</v>
      </c>
      <c r="B172" s="7" t="s">
        <v>5057</v>
      </c>
      <c r="C172" s="7" t="s">
        <v>504</v>
      </c>
      <c r="D172" s="7" t="s">
        <v>404</v>
      </c>
      <c r="E172" s="7" t="s">
        <v>6793</v>
      </c>
      <c r="F172" s="7" t="s">
        <v>1695</v>
      </c>
      <c r="G172" s="7" t="s">
        <v>1696</v>
      </c>
      <c r="H172" s="16" t="s">
        <v>8909</v>
      </c>
      <c r="I172" s="16" t="s">
        <v>8911</v>
      </c>
      <c r="J172" s="16" t="s">
        <v>8918</v>
      </c>
      <c r="K172" s="16" t="s">
        <v>8919</v>
      </c>
      <c r="L172" s="16" t="s">
        <v>8931</v>
      </c>
      <c r="M172" s="16" t="s">
        <v>8924</v>
      </c>
    </row>
    <row r="173">
      <c r="A173" s="15" t="s">
        <v>8998</v>
      </c>
      <c r="B173" s="7" t="s">
        <v>2291</v>
      </c>
      <c r="C173" s="7" t="s">
        <v>2292</v>
      </c>
      <c r="D173" s="7" t="s">
        <v>2292</v>
      </c>
      <c r="E173" s="7" t="s">
        <v>6741</v>
      </c>
      <c r="F173" s="7" t="s">
        <v>1695</v>
      </c>
      <c r="G173" s="7" t="s">
        <v>1696</v>
      </c>
      <c r="H173" s="16" t="s">
        <v>8909</v>
      </c>
      <c r="I173" s="16" t="s">
        <v>8999</v>
      </c>
      <c r="J173" s="16" t="s">
        <v>8918</v>
      </c>
      <c r="K173" s="16" t="s">
        <v>8919</v>
      </c>
      <c r="L173" s="16" t="s">
        <v>8931</v>
      </c>
      <c r="M173" s="16" t="s">
        <v>8924</v>
      </c>
    </row>
    <row r="174">
      <c r="A174" s="15" t="s">
        <v>8998</v>
      </c>
      <c r="B174" s="7" t="s">
        <v>2790</v>
      </c>
      <c r="C174" s="7" t="s">
        <v>930</v>
      </c>
      <c r="D174" s="7" t="s">
        <v>1584</v>
      </c>
      <c r="E174" s="7" t="s">
        <v>6703</v>
      </c>
      <c r="F174" s="7" t="s">
        <v>1695</v>
      </c>
      <c r="G174" s="7" t="s">
        <v>1696</v>
      </c>
      <c r="H174" s="16" t="s">
        <v>8909</v>
      </c>
      <c r="I174" s="16" t="s">
        <v>8912</v>
      </c>
      <c r="J174" s="16" t="s">
        <v>8918</v>
      </c>
      <c r="K174" s="16" t="s">
        <v>8919</v>
      </c>
      <c r="L174" s="16" t="s">
        <v>8931</v>
      </c>
      <c r="M174" s="16" t="s">
        <v>8924</v>
      </c>
    </row>
    <row r="175">
      <c r="A175" s="15" t="s">
        <v>8998</v>
      </c>
      <c r="B175" s="7" t="s">
        <v>4360</v>
      </c>
      <c r="C175" s="7" t="s">
        <v>4361</v>
      </c>
      <c r="D175" s="7" t="s">
        <v>1814</v>
      </c>
      <c r="E175" s="7" t="s">
        <v>6707</v>
      </c>
      <c r="F175" s="7" t="s">
        <v>1695</v>
      </c>
      <c r="G175" s="7" t="s">
        <v>1696</v>
      </c>
      <c r="H175" s="16" t="s">
        <v>8909</v>
      </c>
      <c r="I175" s="16" t="s">
        <v>8912</v>
      </c>
      <c r="J175" s="16" t="s">
        <v>8926</v>
      </c>
      <c r="K175" s="16" t="s">
        <v>8934</v>
      </c>
      <c r="L175" s="16" t="s">
        <v>8920</v>
      </c>
      <c r="M175" s="16" t="s">
        <v>9000</v>
      </c>
    </row>
    <row r="176">
      <c r="A176" s="15" t="s">
        <v>8998</v>
      </c>
      <c r="B176" s="7" t="s">
        <v>5444</v>
      </c>
      <c r="C176" s="7" t="s">
        <v>5445</v>
      </c>
      <c r="D176" s="7" t="s">
        <v>4339</v>
      </c>
      <c r="E176" s="7" t="s">
        <v>6708</v>
      </c>
      <c r="F176" s="7" t="s">
        <v>1695</v>
      </c>
      <c r="G176" s="7" t="s">
        <v>1696</v>
      </c>
      <c r="H176" s="16" t="s">
        <v>8909</v>
      </c>
      <c r="I176" s="16" t="s">
        <v>8912</v>
      </c>
      <c r="J176" s="16" t="s">
        <v>8926</v>
      </c>
      <c r="K176" s="16" t="s">
        <v>8934</v>
      </c>
      <c r="L176" s="16" t="s">
        <v>8920</v>
      </c>
      <c r="M176" s="16" t="s">
        <v>8974</v>
      </c>
    </row>
    <row r="177">
      <c r="A177" s="15" t="s">
        <v>8998</v>
      </c>
      <c r="B177" s="7" t="s">
        <v>2102</v>
      </c>
      <c r="C177" s="7" t="s">
        <v>2103</v>
      </c>
      <c r="D177" s="7" t="s">
        <v>551</v>
      </c>
      <c r="E177" s="7" t="s">
        <v>6709</v>
      </c>
      <c r="F177" s="7" t="s">
        <v>1695</v>
      </c>
      <c r="G177" s="7" t="s">
        <v>1696</v>
      </c>
      <c r="H177" s="16" t="s">
        <v>8909</v>
      </c>
      <c r="I177" s="16" t="s">
        <v>8912</v>
      </c>
      <c r="J177" s="16" t="s">
        <v>8926</v>
      </c>
      <c r="K177" s="16" t="s">
        <v>8934</v>
      </c>
      <c r="L177" s="16" t="s">
        <v>8920</v>
      </c>
      <c r="M177" s="16" t="s">
        <v>8974</v>
      </c>
    </row>
    <row r="178">
      <c r="A178" s="15" t="s">
        <v>8998</v>
      </c>
      <c r="B178" s="7" t="s">
        <v>2794</v>
      </c>
      <c r="C178" s="7" t="s">
        <v>2174</v>
      </c>
      <c r="D178" s="7" t="s">
        <v>2795</v>
      </c>
      <c r="E178" s="7" t="s">
        <v>6710</v>
      </c>
      <c r="F178" s="7" t="s">
        <v>1695</v>
      </c>
      <c r="G178" s="7" t="s">
        <v>1696</v>
      </c>
      <c r="H178" s="16" t="s">
        <v>8909</v>
      </c>
      <c r="I178" s="16" t="s">
        <v>8912</v>
      </c>
      <c r="J178" s="16" t="s">
        <v>8913</v>
      </c>
      <c r="K178" s="16" t="s">
        <v>9001</v>
      </c>
      <c r="L178" s="16" t="s">
        <v>8927</v>
      </c>
      <c r="M178" s="16" t="s">
        <v>8935</v>
      </c>
    </row>
    <row r="179">
      <c r="A179" s="15" t="s">
        <v>8998</v>
      </c>
      <c r="B179" s="7" t="s">
        <v>4749</v>
      </c>
      <c r="C179" s="7" t="s">
        <v>4750</v>
      </c>
      <c r="D179" s="7" t="s">
        <v>3940</v>
      </c>
      <c r="E179" s="7" t="s">
        <v>6711</v>
      </c>
      <c r="F179" s="7" t="s">
        <v>1695</v>
      </c>
      <c r="G179" s="7" t="s">
        <v>1696</v>
      </c>
      <c r="H179" s="16" t="s">
        <v>8909</v>
      </c>
      <c r="I179" s="16" t="s">
        <v>8912</v>
      </c>
      <c r="J179" s="16" t="s">
        <v>8913</v>
      </c>
      <c r="K179" s="16" t="s">
        <v>9001</v>
      </c>
      <c r="L179" s="16" t="s">
        <v>8927</v>
      </c>
      <c r="M179" s="16" t="s">
        <v>8935</v>
      </c>
    </row>
    <row r="180">
      <c r="A180" s="15" t="s">
        <v>8998</v>
      </c>
      <c r="B180" s="7" t="s">
        <v>2789</v>
      </c>
      <c r="C180" s="7" t="s">
        <v>1769</v>
      </c>
      <c r="D180" s="7" t="s">
        <v>1162</v>
      </c>
      <c r="E180" s="7" t="s">
        <v>6714</v>
      </c>
      <c r="F180" s="7" t="s">
        <v>1695</v>
      </c>
      <c r="G180" s="7" t="s">
        <v>1696</v>
      </c>
      <c r="H180" s="16" t="s">
        <v>8909</v>
      </c>
      <c r="I180" s="16" t="s">
        <v>8912</v>
      </c>
      <c r="J180" s="16" t="s">
        <v>8918</v>
      </c>
      <c r="K180" s="16" t="s">
        <v>8919</v>
      </c>
      <c r="L180" s="16" t="s">
        <v>8931</v>
      </c>
      <c r="M180" s="16" t="s">
        <v>8924</v>
      </c>
    </row>
    <row r="181">
      <c r="A181" s="15" t="s">
        <v>8998</v>
      </c>
      <c r="B181" s="7" t="s">
        <v>2423</v>
      </c>
      <c r="C181" s="7" t="s">
        <v>1954</v>
      </c>
      <c r="D181" s="7" t="s">
        <v>32</v>
      </c>
      <c r="E181" s="7" t="s">
        <v>6715</v>
      </c>
      <c r="F181" s="7" t="s">
        <v>1695</v>
      </c>
      <c r="G181" s="7" t="s">
        <v>1696</v>
      </c>
      <c r="H181" s="16" t="s">
        <v>8909</v>
      </c>
      <c r="I181" s="16" t="s">
        <v>8912</v>
      </c>
      <c r="J181" s="16" t="s">
        <v>8918</v>
      </c>
      <c r="K181" s="16" t="s">
        <v>8919</v>
      </c>
      <c r="L181" s="16" t="s">
        <v>8931</v>
      </c>
      <c r="M181" s="16" t="s">
        <v>8924</v>
      </c>
    </row>
    <row r="182">
      <c r="A182" s="15" t="s">
        <v>8998</v>
      </c>
      <c r="B182" s="7" t="s">
        <v>4804</v>
      </c>
      <c r="C182" s="7" t="s">
        <v>64</v>
      </c>
      <c r="D182" s="7" t="s">
        <v>4805</v>
      </c>
      <c r="E182" s="7" t="s">
        <v>6718</v>
      </c>
      <c r="F182" s="7" t="s">
        <v>1695</v>
      </c>
      <c r="G182" s="7" t="s">
        <v>1696</v>
      </c>
      <c r="H182" s="16" t="s">
        <v>8909</v>
      </c>
      <c r="I182" s="16" t="s">
        <v>8912</v>
      </c>
      <c r="J182" s="16" t="s">
        <v>8913</v>
      </c>
      <c r="K182" s="16" t="s">
        <v>9001</v>
      </c>
      <c r="L182" s="16" t="s">
        <v>8927</v>
      </c>
      <c r="M182" s="16" t="s">
        <v>8935</v>
      </c>
    </row>
    <row r="183">
      <c r="A183" s="15" t="s">
        <v>8998</v>
      </c>
      <c r="B183" s="7" t="s">
        <v>5733</v>
      </c>
      <c r="C183" s="7" t="s">
        <v>5734</v>
      </c>
      <c r="D183" s="7" t="s">
        <v>5688</v>
      </c>
      <c r="E183" s="7" t="s">
        <v>6719</v>
      </c>
      <c r="F183" s="7" t="s">
        <v>1695</v>
      </c>
      <c r="G183" s="7" t="s">
        <v>1696</v>
      </c>
      <c r="H183" s="16" t="s">
        <v>8909</v>
      </c>
      <c r="I183" s="16" t="s">
        <v>8912</v>
      </c>
      <c r="J183" s="16" t="s">
        <v>8918</v>
      </c>
      <c r="K183" s="16" t="s">
        <v>8919</v>
      </c>
      <c r="L183" s="16" t="s">
        <v>8931</v>
      </c>
      <c r="M183" s="16" t="s">
        <v>8924</v>
      </c>
    </row>
    <row r="184">
      <c r="A184" s="15" t="s">
        <v>8998</v>
      </c>
      <c r="B184" s="7" t="s">
        <v>3844</v>
      </c>
      <c r="C184" s="7" t="s">
        <v>3845</v>
      </c>
      <c r="D184" s="7" t="s">
        <v>118</v>
      </c>
      <c r="E184" s="7" t="s">
        <v>6720</v>
      </c>
      <c r="F184" s="7" t="s">
        <v>1695</v>
      </c>
      <c r="G184" s="7" t="s">
        <v>1696</v>
      </c>
      <c r="H184" s="16" t="s">
        <v>8909</v>
      </c>
      <c r="I184" s="16" t="s">
        <v>8912</v>
      </c>
      <c r="J184" s="16" t="s">
        <v>8926</v>
      </c>
      <c r="K184" s="16" t="s">
        <v>8934</v>
      </c>
      <c r="L184" s="16" t="s">
        <v>8920</v>
      </c>
      <c r="M184" s="16" t="s">
        <v>9000</v>
      </c>
    </row>
    <row r="185">
      <c r="A185" s="15" t="s">
        <v>8998</v>
      </c>
      <c r="B185" s="7" t="s">
        <v>4653</v>
      </c>
      <c r="C185" s="7" t="s">
        <v>46</v>
      </c>
      <c r="D185" s="7" t="s">
        <v>4654</v>
      </c>
      <c r="E185" s="7" t="s">
        <v>6721</v>
      </c>
      <c r="F185" s="7" t="s">
        <v>1695</v>
      </c>
      <c r="G185" s="7" t="s">
        <v>1696</v>
      </c>
      <c r="H185" s="16" t="s">
        <v>8909</v>
      </c>
      <c r="I185" s="16" t="s">
        <v>8912</v>
      </c>
      <c r="J185" s="16" t="s">
        <v>8918</v>
      </c>
      <c r="K185" s="16" t="s">
        <v>8919</v>
      </c>
      <c r="L185" s="16" t="s">
        <v>8927</v>
      </c>
      <c r="M185" s="16" t="s">
        <v>8924</v>
      </c>
    </row>
    <row r="186">
      <c r="A186" s="15" t="s">
        <v>8998</v>
      </c>
      <c r="B186" s="7" t="s">
        <v>6007</v>
      </c>
      <c r="C186" s="7" t="s">
        <v>3245</v>
      </c>
      <c r="D186" s="7" t="s">
        <v>4764</v>
      </c>
      <c r="E186" s="7" t="s">
        <v>6722</v>
      </c>
      <c r="F186" s="7" t="s">
        <v>1695</v>
      </c>
      <c r="G186" s="7" t="s">
        <v>1696</v>
      </c>
      <c r="H186" s="16" t="s">
        <v>8909</v>
      </c>
      <c r="I186" s="16" t="s">
        <v>8912</v>
      </c>
      <c r="J186" s="16" t="s">
        <v>8918</v>
      </c>
      <c r="K186" s="16" t="s">
        <v>8919</v>
      </c>
      <c r="L186" s="16" t="s">
        <v>8927</v>
      </c>
      <c r="M186" s="16" t="s">
        <v>8921</v>
      </c>
    </row>
    <row r="187">
      <c r="A187" s="15" t="s">
        <v>8998</v>
      </c>
      <c r="B187" s="7" t="s">
        <v>3136</v>
      </c>
      <c r="C187" s="7" t="s">
        <v>420</v>
      </c>
      <c r="D187" s="7" t="s">
        <v>32</v>
      </c>
      <c r="E187" s="7" t="s">
        <v>6723</v>
      </c>
      <c r="F187" s="7" t="s">
        <v>1695</v>
      </c>
      <c r="G187" s="7" t="s">
        <v>1696</v>
      </c>
      <c r="H187" s="16" t="s">
        <v>8909</v>
      </c>
      <c r="I187" s="16" t="s">
        <v>8912</v>
      </c>
      <c r="J187" s="16" t="s">
        <v>8918</v>
      </c>
      <c r="K187" s="16" t="s">
        <v>8919</v>
      </c>
      <c r="L187" s="16" t="s">
        <v>8920</v>
      </c>
      <c r="M187" s="16" t="s">
        <v>8921</v>
      </c>
      <c r="N187" s="3" t="s">
        <v>9002</v>
      </c>
    </row>
    <row r="188">
      <c r="A188" s="15" t="s">
        <v>8998</v>
      </c>
      <c r="B188" s="7" t="s">
        <v>3753</v>
      </c>
      <c r="C188" s="7" t="s">
        <v>3754</v>
      </c>
      <c r="D188" s="7" t="s">
        <v>3755</v>
      </c>
      <c r="E188" s="7" t="s">
        <v>6725</v>
      </c>
      <c r="F188" s="7" t="s">
        <v>1695</v>
      </c>
      <c r="G188" s="7" t="s">
        <v>1696</v>
      </c>
      <c r="H188" s="16" t="s">
        <v>8909</v>
      </c>
      <c r="I188" s="16" t="s">
        <v>8912</v>
      </c>
      <c r="J188" s="16" t="s">
        <v>8926</v>
      </c>
      <c r="K188" s="16" t="s">
        <v>8934</v>
      </c>
      <c r="L188" s="16" t="s">
        <v>8920</v>
      </c>
      <c r="M188" s="16" t="s">
        <v>8974</v>
      </c>
    </row>
    <row r="189">
      <c r="A189" s="15" t="s">
        <v>8998</v>
      </c>
      <c r="B189" s="7" t="s">
        <v>4572</v>
      </c>
      <c r="C189" s="7" t="s">
        <v>178</v>
      </c>
      <c r="D189" s="7" t="s">
        <v>64</v>
      </c>
      <c r="E189" s="7" t="s">
        <v>6726</v>
      </c>
      <c r="F189" s="7" t="s">
        <v>1695</v>
      </c>
      <c r="G189" s="7" t="s">
        <v>1696</v>
      </c>
      <c r="H189" s="16" t="s">
        <v>8909</v>
      </c>
      <c r="I189" s="16" t="s">
        <v>8912</v>
      </c>
      <c r="J189" s="16" t="s">
        <v>8926</v>
      </c>
      <c r="K189" s="16" t="s">
        <v>8934</v>
      </c>
      <c r="L189" s="16" t="s">
        <v>8920</v>
      </c>
      <c r="M189" s="16" t="s">
        <v>8974</v>
      </c>
    </row>
    <row r="190">
      <c r="A190" s="15" t="s">
        <v>8998</v>
      </c>
      <c r="B190" s="7" t="s">
        <v>5302</v>
      </c>
      <c r="C190" s="7" t="s">
        <v>5303</v>
      </c>
      <c r="D190" s="7" t="s">
        <v>5304</v>
      </c>
      <c r="E190" s="7" t="s">
        <v>6779</v>
      </c>
      <c r="F190" s="7" t="s">
        <v>1695</v>
      </c>
      <c r="G190" s="7" t="s">
        <v>1696</v>
      </c>
      <c r="H190" s="16" t="s">
        <v>8909</v>
      </c>
      <c r="I190" s="16" t="s">
        <v>8912</v>
      </c>
      <c r="J190" s="16" t="s">
        <v>8913</v>
      </c>
      <c r="K190" s="16" t="s">
        <v>8934</v>
      </c>
      <c r="L190" s="16" t="s">
        <v>8952</v>
      </c>
      <c r="M190" s="16" t="s">
        <v>8935</v>
      </c>
    </row>
    <row r="191">
      <c r="A191" s="15" t="s">
        <v>8998</v>
      </c>
      <c r="B191" s="7" t="s">
        <v>4063</v>
      </c>
      <c r="C191" s="7" t="s">
        <v>629</v>
      </c>
      <c r="D191" s="7" t="s">
        <v>3900</v>
      </c>
      <c r="E191" s="7" t="s">
        <v>6780</v>
      </c>
      <c r="F191" s="7" t="s">
        <v>1695</v>
      </c>
      <c r="G191" s="7" t="s">
        <v>1696</v>
      </c>
      <c r="H191" s="16" t="s">
        <v>8909</v>
      </c>
      <c r="I191" s="16" t="s">
        <v>8912</v>
      </c>
      <c r="J191" s="16" t="s">
        <v>8926</v>
      </c>
      <c r="K191" s="16" t="s">
        <v>8914</v>
      </c>
      <c r="L191" s="16" t="s">
        <v>8920</v>
      </c>
      <c r="M191" s="16" t="s">
        <v>8974</v>
      </c>
    </row>
    <row r="192">
      <c r="A192" s="15" t="s">
        <v>8998</v>
      </c>
      <c r="B192" s="7" t="s">
        <v>4993</v>
      </c>
      <c r="C192" s="7" t="s">
        <v>4994</v>
      </c>
      <c r="D192" s="7" t="s">
        <v>4995</v>
      </c>
      <c r="E192" s="7" t="s">
        <v>6781</v>
      </c>
      <c r="F192" s="7" t="s">
        <v>1695</v>
      </c>
      <c r="G192" s="7" t="s">
        <v>1696</v>
      </c>
      <c r="H192" s="16" t="s">
        <v>8909</v>
      </c>
      <c r="I192" s="16" t="s">
        <v>8912</v>
      </c>
      <c r="J192" s="16" t="s">
        <v>8918</v>
      </c>
      <c r="K192" s="16" t="s">
        <v>8919</v>
      </c>
      <c r="L192" s="16" t="s">
        <v>8915</v>
      </c>
      <c r="M192" s="16" t="s">
        <v>8924</v>
      </c>
    </row>
    <row r="193">
      <c r="A193" s="15" t="s">
        <v>8998</v>
      </c>
      <c r="B193" s="7" t="s">
        <v>5846</v>
      </c>
      <c r="C193" s="7" t="s">
        <v>724</v>
      </c>
      <c r="D193" s="7" t="s">
        <v>5847</v>
      </c>
      <c r="E193" s="7" t="s">
        <v>6782</v>
      </c>
      <c r="F193" s="7" t="s">
        <v>1695</v>
      </c>
      <c r="G193" s="7" t="s">
        <v>1696</v>
      </c>
      <c r="H193" s="16" t="s">
        <v>8909</v>
      </c>
      <c r="I193" s="16" t="s">
        <v>8912</v>
      </c>
      <c r="J193" s="16" t="s">
        <v>8918</v>
      </c>
      <c r="K193" s="16" t="s">
        <v>8919</v>
      </c>
      <c r="L193" s="16" t="s">
        <v>8915</v>
      </c>
      <c r="M193" s="16" t="s">
        <v>8916</v>
      </c>
    </row>
    <row r="194">
      <c r="A194" s="15" t="s">
        <v>8998</v>
      </c>
      <c r="B194" s="7" t="s">
        <v>6170</v>
      </c>
      <c r="C194" s="7" t="s">
        <v>689</v>
      </c>
      <c r="D194" s="7" t="s">
        <v>6171</v>
      </c>
      <c r="E194" s="7" t="s">
        <v>6788</v>
      </c>
      <c r="F194" s="7" t="s">
        <v>1695</v>
      </c>
      <c r="G194" s="7" t="s">
        <v>1696</v>
      </c>
      <c r="H194" s="16" t="s">
        <v>8909</v>
      </c>
      <c r="I194" s="16" t="s">
        <v>8912</v>
      </c>
      <c r="J194" s="16" t="s">
        <v>8918</v>
      </c>
      <c r="K194" s="16" t="s">
        <v>8919</v>
      </c>
      <c r="L194" s="16" t="s">
        <v>9003</v>
      </c>
      <c r="M194" s="16" t="s">
        <v>8924</v>
      </c>
    </row>
    <row r="195">
      <c r="A195" s="15" t="s">
        <v>8998</v>
      </c>
      <c r="B195" s="7" t="s">
        <v>3583</v>
      </c>
      <c r="C195" s="7" t="s">
        <v>1022</v>
      </c>
      <c r="D195" s="7" t="s">
        <v>1933</v>
      </c>
      <c r="E195" s="7" t="s">
        <v>6789</v>
      </c>
      <c r="F195" s="7" t="s">
        <v>1695</v>
      </c>
      <c r="G195" s="7" t="s">
        <v>1696</v>
      </c>
      <c r="H195" s="16" t="s">
        <v>8909</v>
      </c>
      <c r="I195" s="16" t="s">
        <v>8912</v>
      </c>
      <c r="J195" s="16" t="s">
        <v>8913</v>
      </c>
      <c r="K195" s="16" t="s">
        <v>8934</v>
      </c>
      <c r="L195" s="16" t="s">
        <v>8927</v>
      </c>
      <c r="M195" s="16" t="s">
        <v>8935</v>
      </c>
    </row>
    <row r="196">
      <c r="A196" s="15" t="s">
        <v>8998</v>
      </c>
      <c r="B196" s="7" t="s">
        <v>2710</v>
      </c>
      <c r="C196" s="7" t="s">
        <v>2711</v>
      </c>
      <c r="D196" s="7" t="s">
        <v>2712</v>
      </c>
      <c r="E196" s="7" t="s">
        <v>6790</v>
      </c>
      <c r="F196" s="7" t="s">
        <v>1695</v>
      </c>
      <c r="G196" s="7" t="s">
        <v>1696</v>
      </c>
      <c r="H196" s="16" t="s">
        <v>8909</v>
      </c>
      <c r="I196" s="16" t="s">
        <v>8912</v>
      </c>
      <c r="J196" s="16" t="s">
        <v>8926</v>
      </c>
      <c r="K196" s="16" t="s">
        <v>8914</v>
      </c>
      <c r="L196" s="16" t="s">
        <v>8920</v>
      </c>
      <c r="M196" s="16" t="s">
        <v>8974</v>
      </c>
    </row>
    <row r="197">
      <c r="A197" s="15" t="s">
        <v>8998</v>
      </c>
      <c r="B197" s="7" t="s">
        <v>4499</v>
      </c>
      <c r="C197" s="7" t="s">
        <v>853</v>
      </c>
      <c r="D197" s="7" t="s">
        <v>120</v>
      </c>
      <c r="E197" s="7" t="s">
        <v>6794</v>
      </c>
      <c r="F197" s="7" t="s">
        <v>1695</v>
      </c>
      <c r="G197" s="7" t="s">
        <v>1696</v>
      </c>
      <c r="H197" s="16" t="s">
        <v>8909</v>
      </c>
      <c r="I197" s="16" t="s">
        <v>8912</v>
      </c>
      <c r="J197" s="16" t="s">
        <v>8913</v>
      </c>
      <c r="K197" s="16" t="s">
        <v>8934</v>
      </c>
      <c r="L197" s="16" t="s">
        <v>8915</v>
      </c>
      <c r="M197" s="16" t="s">
        <v>8935</v>
      </c>
    </row>
    <row r="198">
      <c r="A198" s="15" t="s">
        <v>8998</v>
      </c>
      <c r="B198" s="7" t="s">
        <v>5600</v>
      </c>
      <c r="C198" s="7" t="s">
        <v>5601</v>
      </c>
      <c r="D198" s="7" t="s">
        <v>1814</v>
      </c>
      <c r="E198" s="7" t="s">
        <v>6727</v>
      </c>
      <c r="F198" s="7" t="s">
        <v>1695</v>
      </c>
      <c r="G198" s="7" t="s">
        <v>1696</v>
      </c>
      <c r="H198" s="16" t="s">
        <v>8909</v>
      </c>
      <c r="I198" s="16" t="s">
        <v>8912</v>
      </c>
      <c r="J198" s="16" t="s">
        <v>8913</v>
      </c>
      <c r="K198" s="16" t="s">
        <v>9001</v>
      </c>
      <c r="L198" s="16" t="s">
        <v>8920</v>
      </c>
      <c r="M198" s="16" t="s">
        <v>8935</v>
      </c>
    </row>
    <row r="199">
      <c r="A199" s="15" t="s">
        <v>8998</v>
      </c>
      <c r="B199" s="7" t="s">
        <v>1913</v>
      </c>
      <c r="C199" s="7" t="s">
        <v>1502</v>
      </c>
      <c r="D199" s="7" t="s">
        <v>1271</v>
      </c>
      <c r="E199" s="7" t="s">
        <v>6736</v>
      </c>
      <c r="F199" s="7" t="s">
        <v>1695</v>
      </c>
      <c r="G199" s="7" t="s">
        <v>1696</v>
      </c>
      <c r="H199" s="16" t="s">
        <v>8909</v>
      </c>
      <c r="I199" s="16" t="s">
        <v>8912</v>
      </c>
      <c r="J199" s="16" t="s">
        <v>8913</v>
      </c>
      <c r="K199" s="16" t="s">
        <v>8934</v>
      </c>
      <c r="L199" s="16" t="s">
        <v>8927</v>
      </c>
      <c r="M199" s="16" t="s">
        <v>8935</v>
      </c>
    </row>
    <row r="200">
      <c r="A200" s="15" t="s">
        <v>8998</v>
      </c>
      <c r="B200" s="7" t="s">
        <v>6152</v>
      </c>
      <c r="C200" s="7" t="s">
        <v>420</v>
      </c>
      <c r="D200" s="7" t="s">
        <v>6095</v>
      </c>
      <c r="E200" s="7" t="s">
        <v>6731</v>
      </c>
      <c r="F200" s="7" t="s">
        <v>1695</v>
      </c>
      <c r="G200" s="7" t="s">
        <v>1696</v>
      </c>
      <c r="H200" s="16" t="s">
        <v>8909</v>
      </c>
      <c r="I200" s="16" t="s">
        <v>8912</v>
      </c>
      <c r="J200" s="16" t="s">
        <v>8918</v>
      </c>
      <c r="K200" s="16" t="s">
        <v>8919</v>
      </c>
      <c r="L200" s="16" t="s">
        <v>8920</v>
      </c>
      <c r="M200" s="16" t="s">
        <v>8964</v>
      </c>
    </row>
    <row r="201">
      <c r="A201" s="15" t="s">
        <v>8998</v>
      </c>
      <c r="B201" s="7" t="s">
        <v>4094</v>
      </c>
      <c r="C201" s="7" t="s">
        <v>787</v>
      </c>
      <c r="D201" s="7" t="s">
        <v>414</v>
      </c>
      <c r="E201" s="7" t="s">
        <v>6734</v>
      </c>
      <c r="F201" s="7" t="s">
        <v>1695</v>
      </c>
      <c r="G201" s="7" t="s">
        <v>1696</v>
      </c>
      <c r="H201" s="16" t="s">
        <v>8909</v>
      </c>
      <c r="I201" s="16" t="s">
        <v>8912</v>
      </c>
      <c r="J201" s="16" t="s">
        <v>8926</v>
      </c>
      <c r="K201" s="16" t="s">
        <v>8934</v>
      </c>
      <c r="L201" s="16" t="s">
        <v>8920</v>
      </c>
      <c r="M201" s="16" t="s">
        <v>8938</v>
      </c>
    </row>
    <row r="202">
      <c r="A202" s="15" t="s">
        <v>8998</v>
      </c>
      <c r="B202" s="7" t="s">
        <v>2003</v>
      </c>
      <c r="C202" s="7" t="s">
        <v>328</v>
      </c>
      <c r="D202" s="7" t="s">
        <v>2004</v>
      </c>
      <c r="E202" s="7" t="s">
        <v>6735</v>
      </c>
      <c r="F202" s="7" t="s">
        <v>1695</v>
      </c>
      <c r="G202" s="7" t="s">
        <v>1696</v>
      </c>
      <c r="H202" s="16" t="s">
        <v>8909</v>
      </c>
      <c r="I202" s="16" t="s">
        <v>8912</v>
      </c>
      <c r="J202" s="16" t="s">
        <v>8913</v>
      </c>
      <c r="K202" s="16" t="s">
        <v>9004</v>
      </c>
      <c r="L202" s="16" t="s">
        <v>8920</v>
      </c>
      <c r="M202" s="16" t="s">
        <v>9005</v>
      </c>
    </row>
    <row r="203">
      <c r="A203" s="15" t="s">
        <v>8998</v>
      </c>
      <c r="B203" s="7" t="s">
        <v>4012</v>
      </c>
      <c r="C203" s="7" t="s">
        <v>4013</v>
      </c>
      <c r="D203" s="7" t="s">
        <v>4014</v>
      </c>
      <c r="E203" s="7" t="s">
        <v>6737</v>
      </c>
      <c r="F203" s="7" t="s">
        <v>1695</v>
      </c>
      <c r="G203" s="7" t="s">
        <v>1696</v>
      </c>
      <c r="H203" s="16" t="s">
        <v>8909</v>
      </c>
      <c r="I203" s="16" t="s">
        <v>8912</v>
      </c>
      <c r="J203" s="16" t="s">
        <v>8926</v>
      </c>
      <c r="K203" s="16" t="s">
        <v>8934</v>
      </c>
      <c r="L203" s="16" t="s">
        <v>8920</v>
      </c>
      <c r="M203" s="16" t="s">
        <v>8938</v>
      </c>
    </row>
    <row r="204">
      <c r="A204" s="15" t="s">
        <v>8998</v>
      </c>
      <c r="B204" s="7" t="s">
        <v>2635</v>
      </c>
      <c r="C204" s="7" t="s">
        <v>2153</v>
      </c>
      <c r="D204" s="7" t="s">
        <v>292</v>
      </c>
      <c r="E204" s="7" t="s">
        <v>6738</v>
      </c>
      <c r="F204" s="7" t="s">
        <v>1695</v>
      </c>
      <c r="G204" s="7" t="s">
        <v>1696</v>
      </c>
      <c r="H204" s="16" t="s">
        <v>8909</v>
      </c>
      <c r="I204" s="16" t="s">
        <v>8912</v>
      </c>
      <c r="J204" s="16" t="s">
        <v>8918</v>
      </c>
      <c r="K204" s="16" t="s">
        <v>8919</v>
      </c>
      <c r="L204" s="16" t="s">
        <v>8931</v>
      </c>
      <c r="M204" s="16" t="s">
        <v>8924</v>
      </c>
    </row>
    <row r="205">
      <c r="A205" s="15" t="s">
        <v>8998</v>
      </c>
      <c r="B205" s="7" t="s">
        <v>2531</v>
      </c>
      <c r="C205" s="7" t="s">
        <v>85</v>
      </c>
      <c r="D205" s="7" t="s">
        <v>2532</v>
      </c>
      <c r="E205" s="7" t="s">
        <v>6739</v>
      </c>
      <c r="F205" s="7" t="s">
        <v>1695</v>
      </c>
      <c r="G205" s="7" t="s">
        <v>1696</v>
      </c>
      <c r="H205" s="16" t="s">
        <v>8909</v>
      </c>
      <c r="I205" s="16" t="s">
        <v>8912</v>
      </c>
      <c r="J205" s="16" t="s">
        <v>8918</v>
      </c>
      <c r="K205" s="16" t="s">
        <v>8919</v>
      </c>
      <c r="L205" s="16" t="s">
        <v>8931</v>
      </c>
      <c r="M205" s="16" t="s">
        <v>8924</v>
      </c>
    </row>
    <row r="206">
      <c r="A206" s="15" t="s">
        <v>8998</v>
      </c>
      <c r="B206" s="7" t="s">
        <v>5855</v>
      </c>
      <c r="C206" s="7" t="s">
        <v>328</v>
      </c>
      <c r="D206" s="7" t="s">
        <v>5856</v>
      </c>
      <c r="E206" s="7" t="s">
        <v>6742</v>
      </c>
      <c r="F206" s="7" t="s">
        <v>1695</v>
      </c>
      <c r="G206" s="7" t="s">
        <v>1696</v>
      </c>
      <c r="H206" s="16" t="s">
        <v>8909</v>
      </c>
      <c r="I206" s="16" t="s">
        <v>8912</v>
      </c>
      <c r="J206" s="16" t="s">
        <v>8926</v>
      </c>
      <c r="K206" s="16" t="s">
        <v>8934</v>
      </c>
      <c r="L206" s="16" t="s">
        <v>8920</v>
      </c>
      <c r="M206" s="16" t="s">
        <v>8938</v>
      </c>
    </row>
    <row r="207">
      <c r="A207" s="15" t="s">
        <v>8998</v>
      </c>
      <c r="B207" s="7" t="s">
        <v>3503</v>
      </c>
      <c r="C207" s="7" t="s">
        <v>3504</v>
      </c>
      <c r="D207" s="7" t="s">
        <v>3505</v>
      </c>
      <c r="E207" s="7" t="s">
        <v>6744</v>
      </c>
      <c r="F207" s="7" t="s">
        <v>1695</v>
      </c>
      <c r="G207" s="7" t="s">
        <v>1696</v>
      </c>
      <c r="H207" s="16" t="s">
        <v>8909</v>
      </c>
      <c r="I207" s="16" t="s">
        <v>8912</v>
      </c>
      <c r="J207" s="16" t="s">
        <v>8918</v>
      </c>
      <c r="K207" s="16" t="s">
        <v>8919</v>
      </c>
      <c r="L207" s="16" t="s">
        <v>8927</v>
      </c>
      <c r="M207" s="16" t="s">
        <v>8924</v>
      </c>
    </row>
    <row r="208">
      <c r="A208" s="15" t="s">
        <v>8998</v>
      </c>
      <c r="B208" s="7" t="s">
        <v>2983</v>
      </c>
      <c r="C208" s="7" t="s">
        <v>2984</v>
      </c>
      <c r="D208" s="7" t="s">
        <v>2985</v>
      </c>
      <c r="E208" s="7" t="s">
        <v>6765</v>
      </c>
      <c r="F208" s="7" t="s">
        <v>1695</v>
      </c>
      <c r="G208" s="7" t="s">
        <v>1696</v>
      </c>
      <c r="H208" s="16" t="s">
        <v>8909</v>
      </c>
      <c r="I208" s="16" t="s">
        <v>8912</v>
      </c>
      <c r="J208" s="16" t="s">
        <v>8926</v>
      </c>
      <c r="K208" s="16" t="s">
        <v>8934</v>
      </c>
      <c r="L208" s="16" t="s">
        <v>8920</v>
      </c>
      <c r="M208" s="16" t="s">
        <v>8974</v>
      </c>
    </row>
    <row r="209">
      <c r="A209" s="15" t="s">
        <v>8998</v>
      </c>
      <c r="B209" s="7" t="s">
        <v>6113</v>
      </c>
      <c r="C209" s="7" t="s">
        <v>946</v>
      </c>
      <c r="D209" s="7" t="s">
        <v>6114</v>
      </c>
      <c r="E209" s="7" t="s">
        <v>6772</v>
      </c>
      <c r="F209" s="7" t="s">
        <v>1695</v>
      </c>
      <c r="G209" s="7" t="s">
        <v>1696</v>
      </c>
      <c r="H209" s="16" t="s">
        <v>8909</v>
      </c>
      <c r="I209" s="16" t="s">
        <v>8912</v>
      </c>
      <c r="J209" s="16" t="s">
        <v>8918</v>
      </c>
      <c r="K209" s="16" t="s">
        <v>8919</v>
      </c>
      <c r="L209" s="16" t="s">
        <v>8920</v>
      </c>
      <c r="M209" s="16" t="s">
        <v>8921</v>
      </c>
    </row>
    <row r="210">
      <c r="A210" s="15" t="s">
        <v>8998</v>
      </c>
      <c r="B210" s="7" t="s">
        <v>6115</v>
      </c>
      <c r="C210" s="7" t="s">
        <v>798</v>
      </c>
      <c r="D210" s="7" t="s">
        <v>6116</v>
      </c>
      <c r="E210" s="7" t="s">
        <v>6774</v>
      </c>
      <c r="F210" s="7" t="s">
        <v>1695</v>
      </c>
      <c r="G210" s="7" t="s">
        <v>1696</v>
      </c>
      <c r="H210" s="16" t="s">
        <v>8909</v>
      </c>
      <c r="I210" s="16" t="s">
        <v>8912</v>
      </c>
      <c r="J210" s="16" t="s">
        <v>8926</v>
      </c>
      <c r="K210" s="16" t="s">
        <v>8934</v>
      </c>
      <c r="L210" s="16" t="s">
        <v>8920</v>
      </c>
      <c r="M210" s="16" t="s">
        <v>8938</v>
      </c>
    </row>
    <row r="211">
      <c r="A211" s="15" t="s">
        <v>8998</v>
      </c>
      <c r="B211" s="7" t="s">
        <v>2865</v>
      </c>
      <c r="C211" s="7" t="s">
        <v>2866</v>
      </c>
      <c r="D211" s="7" t="s">
        <v>292</v>
      </c>
      <c r="E211" s="7" t="s">
        <v>6777</v>
      </c>
      <c r="F211" s="7" t="s">
        <v>1695</v>
      </c>
      <c r="G211" s="7" t="s">
        <v>1696</v>
      </c>
      <c r="H211" s="16" t="s">
        <v>8909</v>
      </c>
      <c r="I211" s="16" t="s">
        <v>8912</v>
      </c>
      <c r="J211" s="16" t="s">
        <v>8918</v>
      </c>
      <c r="K211" s="16" t="s">
        <v>8919</v>
      </c>
      <c r="L211" s="16" t="s">
        <v>8931</v>
      </c>
      <c r="M211" s="16" t="s">
        <v>8924</v>
      </c>
    </row>
    <row r="212">
      <c r="A212" s="15" t="s">
        <v>8998</v>
      </c>
      <c r="B212" s="7" t="s">
        <v>3297</v>
      </c>
      <c r="C212" s="7" t="s">
        <v>1988</v>
      </c>
      <c r="D212" s="7" t="s">
        <v>596</v>
      </c>
      <c r="E212" s="7" t="s">
        <v>6778</v>
      </c>
      <c r="F212" s="7" t="s">
        <v>1695</v>
      </c>
      <c r="G212" s="7" t="s">
        <v>1696</v>
      </c>
      <c r="H212" s="16" t="s">
        <v>8909</v>
      </c>
      <c r="I212" s="16" t="s">
        <v>8912</v>
      </c>
      <c r="J212" s="16" t="s">
        <v>8918</v>
      </c>
      <c r="K212" s="16" t="s">
        <v>8919</v>
      </c>
      <c r="L212" s="16" t="s">
        <v>8931</v>
      </c>
      <c r="M212" s="16" t="s">
        <v>8924</v>
      </c>
    </row>
    <row r="213">
      <c r="A213" s="15" t="s">
        <v>8998</v>
      </c>
      <c r="B213" s="7" t="s">
        <v>1757</v>
      </c>
      <c r="C213" s="7" t="s">
        <v>1758</v>
      </c>
      <c r="D213" s="7" t="s">
        <v>70</v>
      </c>
      <c r="E213" s="7" t="s">
        <v>6700</v>
      </c>
      <c r="F213" s="7" t="s">
        <v>1695</v>
      </c>
      <c r="G213" s="7" t="s">
        <v>1696</v>
      </c>
      <c r="H213" s="16" t="s">
        <v>8909</v>
      </c>
      <c r="I213" s="16" t="s">
        <v>8954</v>
      </c>
      <c r="J213" s="7"/>
      <c r="K213" s="7"/>
      <c r="L213" s="7"/>
      <c r="M213" s="7"/>
    </row>
    <row r="214">
      <c r="A214" s="15" t="s">
        <v>8998</v>
      </c>
      <c r="B214" s="7" t="s">
        <v>2909</v>
      </c>
      <c r="C214" s="7" t="s">
        <v>2910</v>
      </c>
      <c r="D214" s="7" t="s">
        <v>2911</v>
      </c>
      <c r="E214" s="7" t="s">
        <v>6701</v>
      </c>
      <c r="F214" s="7" t="s">
        <v>1695</v>
      </c>
      <c r="G214" s="7" t="s">
        <v>1696</v>
      </c>
      <c r="H214" s="16" t="s">
        <v>8909</v>
      </c>
      <c r="I214" s="16" t="s">
        <v>8954</v>
      </c>
      <c r="J214" s="7"/>
      <c r="K214" s="7"/>
      <c r="L214" s="7"/>
      <c r="M214" s="7"/>
    </row>
    <row r="215">
      <c r="A215" s="15" t="s">
        <v>8998</v>
      </c>
      <c r="B215" s="7" t="s">
        <v>5954</v>
      </c>
      <c r="C215" s="7" t="s">
        <v>273</v>
      </c>
      <c r="D215" s="7" t="s">
        <v>5955</v>
      </c>
      <c r="E215" s="7" t="s">
        <v>6702</v>
      </c>
      <c r="F215" s="7" t="s">
        <v>1695</v>
      </c>
      <c r="G215" s="7" t="s">
        <v>1696</v>
      </c>
      <c r="H215" s="16" t="s">
        <v>8909</v>
      </c>
      <c r="I215" s="16" t="s">
        <v>8954</v>
      </c>
      <c r="J215" s="7"/>
      <c r="K215" s="7"/>
      <c r="L215" s="7"/>
      <c r="M215" s="7"/>
    </row>
    <row r="216">
      <c r="A216" s="15" t="s">
        <v>8998</v>
      </c>
      <c r="B216" s="7" t="s">
        <v>1881</v>
      </c>
      <c r="C216" s="7" t="s">
        <v>1882</v>
      </c>
      <c r="D216" s="7" t="s">
        <v>1883</v>
      </c>
      <c r="E216" s="7" t="s">
        <v>6716</v>
      </c>
      <c r="F216" s="7" t="s">
        <v>1695</v>
      </c>
      <c r="G216" s="7" t="s">
        <v>1696</v>
      </c>
      <c r="H216" s="16" t="s">
        <v>8909</v>
      </c>
      <c r="I216" s="16" t="s">
        <v>8954</v>
      </c>
      <c r="J216" s="7"/>
      <c r="K216" s="7"/>
      <c r="L216" s="7"/>
      <c r="M216" s="7"/>
    </row>
    <row r="217">
      <c r="A217" s="15" t="s">
        <v>8998</v>
      </c>
      <c r="B217" s="7" t="s">
        <v>3220</v>
      </c>
      <c r="C217" s="7" t="s">
        <v>3221</v>
      </c>
      <c r="D217" s="7" t="s">
        <v>3222</v>
      </c>
      <c r="E217" s="7" t="s">
        <v>6717</v>
      </c>
      <c r="F217" s="7" t="s">
        <v>1695</v>
      </c>
      <c r="G217" s="7" t="s">
        <v>1696</v>
      </c>
      <c r="H217" s="16" t="s">
        <v>8909</v>
      </c>
      <c r="I217" s="16" t="s">
        <v>8954</v>
      </c>
      <c r="J217" s="7"/>
      <c r="K217" s="7"/>
      <c r="L217" s="7"/>
      <c r="M217" s="7"/>
    </row>
    <row r="218">
      <c r="A218" s="15" t="s">
        <v>8998</v>
      </c>
      <c r="B218" s="7" t="s">
        <v>4132</v>
      </c>
      <c r="C218" s="7" t="s">
        <v>4133</v>
      </c>
      <c r="D218" s="7" t="s">
        <v>4134</v>
      </c>
      <c r="E218" s="7" t="s">
        <v>6724</v>
      </c>
      <c r="F218" s="7" t="s">
        <v>1695</v>
      </c>
      <c r="G218" s="7" t="s">
        <v>1696</v>
      </c>
      <c r="H218" s="16" t="s">
        <v>8909</v>
      </c>
      <c r="I218" s="16" t="s">
        <v>8954</v>
      </c>
      <c r="J218" s="7"/>
      <c r="K218" s="7"/>
      <c r="L218" s="7"/>
      <c r="M218" s="7"/>
    </row>
    <row r="219">
      <c r="A219" s="15" t="s">
        <v>8998</v>
      </c>
      <c r="B219" s="7" t="s">
        <v>4867</v>
      </c>
      <c r="C219" s="7" t="s">
        <v>46</v>
      </c>
      <c r="D219" s="7" t="s">
        <v>4868</v>
      </c>
      <c r="E219" s="7" t="s">
        <v>6784</v>
      </c>
      <c r="F219" s="7" t="s">
        <v>1695</v>
      </c>
      <c r="G219" s="7" t="s">
        <v>1696</v>
      </c>
      <c r="H219" s="16" t="s">
        <v>8909</v>
      </c>
      <c r="I219" s="16" t="s">
        <v>8954</v>
      </c>
      <c r="J219" s="7"/>
      <c r="K219" s="7"/>
      <c r="L219" s="7"/>
      <c r="M219" s="7"/>
    </row>
    <row r="220">
      <c r="A220" s="15" t="s">
        <v>8998</v>
      </c>
      <c r="B220" s="7" t="s">
        <v>5971</v>
      </c>
      <c r="C220" s="7" t="s">
        <v>5972</v>
      </c>
      <c r="D220" s="7" t="s">
        <v>5973</v>
      </c>
      <c r="E220" s="7" t="s">
        <v>6786</v>
      </c>
      <c r="F220" s="7" t="s">
        <v>1695</v>
      </c>
      <c r="G220" s="7" t="s">
        <v>1696</v>
      </c>
      <c r="H220" s="16" t="s">
        <v>8909</v>
      </c>
      <c r="I220" s="16" t="s">
        <v>8954</v>
      </c>
      <c r="J220" s="7"/>
      <c r="K220" s="7"/>
      <c r="L220" s="7"/>
      <c r="M220" s="7"/>
    </row>
    <row r="221">
      <c r="A221" s="15" t="s">
        <v>8998</v>
      </c>
      <c r="B221" s="7" t="s">
        <v>2839</v>
      </c>
      <c r="C221" s="7" t="s">
        <v>2840</v>
      </c>
      <c r="D221" s="7" t="s">
        <v>2841</v>
      </c>
      <c r="E221" s="7" t="s">
        <v>6795</v>
      </c>
      <c r="F221" s="7" t="s">
        <v>1695</v>
      </c>
      <c r="G221" s="7" t="s">
        <v>1696</v>
      </c>
      <c r="H221" s="16" t="s">
        <v>8909</v>
      </c>
      <c r="I221" s="16" t="s">
        <v>8954</v>
      </c>
      <c r="J221" s="7"/>
      <c r="K221" s="7"/>
      <c r="L221" s="7"/>
      <c r="M221" s="7"/>
    </row>
    <row r="222">
      <c r="A222" s="15" t="s">
        <v>8998</v>
      </c>
      <c r="B222" s="7" t="s">
        <v>5888</v>
      </c>
      <c r="C222" s="7" t="s">
        <v>271</v>
      </c>
      <c r="D222" s="7" t="s">
        <v>3089</v>
      </c>
      <c r="E222" s="7" t="s">
        <v>6728</v>
      </c>
      <c r="F222" s="7" t="s">
        <v>1695</v>
      </c>
      <c r="G222" s="7" t="s">
        <v>1696</v>
      </c>
      <c r="H222" s="16" t="s">
        <v>8909</v>
      </c>
      <c r="I222" s="16" t="s">
        <v>8954</v>
      </c>
      <c r="J222" s="7"/>
      <c r="K222" s="7"/>
      <c r="L222" s="7"/>
      <c r="M222" s="7"/>
    </row>
    <row r="223">
      <c r="A223" s="15" t="s">
        <v>8998</v>
      </c>
      <c r="B223" s="7" t="s">
        <v>4102</v>
      </c>
      <c r="C223" s="7" t="s">
        <v>1865</v>
      </c>
      <c r="D223" s="7" t="s">
        <v>4103</v>
      </c>
      <c r="E223" s="7" t="s">
        <v>6730</v>
      </c>
      <c r="F223" s="7" t="s">
        <v>1695</v>
      </c>
      <c r="G223" s="7" t="s">
        <v>1696</v>
      </c>
      <c r="H223" s="16" t="s">
        <v>8909</v>
      </c>
      <c r="I223" s="16" t="s">
        <v>8954</v>
      </c>
      <c r="J223" s="7"/>
      <c r="K223" s="7"/>
      <c r="L223" s="7"/>
      <c r="M223" s="7"/>
    </row>
    <row r="224">
      <c r="A224" s="15" t="s">
        <v>8998</v>
      </c>
      <c r="B224" s="7" t="s">
        <v>4506</v>
      </c>
      <c r="C224" s="7" t="s">
        <v>798</v>
      </c>
      <c r="D224" s="7" t="s">
        <v>3606</v>
      </c>
      <c r="E224" s="7" t="s">
        <v>6732</v>
      </c>
      <c r="F224" s="7" t="s">
        <v>1695</v>
      </c>
      <c r="G224" s="7" t="s">
        <v>1696</v>
      </c>
      <c r="H224" s="16" t="s">
        <v>8909</v>
      </c>
      <c r="I224" s="16" t="s">
        <v>8954</v>
      </c>
      <c r="J224" s="7"/>
      <c r="K224" s="7"/>
      <c r="L224" s="7"/>
      <c r="M224" s="7"/>
    </row>
    <row r="225">
      <c r="A225" s="15" t="s">
        <v>8998</v>
      </c>
      <c r="B225" s="7" t="s">
        <v>2140</v>
      </c>
      <c r="C225" s="7" t="s">
        <v>1221</v>
      </c>
      <c r="D225" s="7" t="s">
        <v>2141</v>
      </c>
      <c r="E225" s="7" t="s">
        <v>6743</v>
      </c>
      <c r="F225" s="7" t="s">
        <v>1695</v>
      </c>
      <c r="G225" s="7" t="s">
        <v>1696</v>
      </c>
      <c r="H225" s="16" t="s">
        <v>8909</v>
      </c>
      <c r="I225" s="16" t="s">
        <v>8954</v>
      </c>
      <c r="J225" s="7"/>
      <c r="K225" s="7"/>
      <c r="L225" s="7"/>
      <c r="M225" s="7"/>
    </row>
    <row r="226">
      <c r="A226" s="15" t="s">
        <v>8998</v>
      </c>
      <c r="B226" s="7" t="s">
        <v>3914</v>
      </c>
      <c r="C226" s="7" t="s">
        <v>3915</v>
      </c>
      <c r="D226" s="7" t="s">
        <v>3916</v>
      </c>
      <c r="E226" s="7" t="s">
        <v>6747</v>
      </c>
      <c r="F226" s="7" t="s">
        <v>1695</v>
      </c>
      <c r="G226" s="7" t="s">
        <v>1696</v>
      </c>
      <c r="H226" s="16" t="s">
        <v>8909</v>
      </c>
      <c r="I226" s="16" t="s">
        <v>8954</v>
      </c>
      <c r="J226" s="7"/>
      <c r="K226" s="7"/>
      <c r="L226" s="7"/>
      <c r="M226" s="7"/>
    </row>
    <row r="227">
      <c r="A227" s="15" t="s">
        <v>8998</v>
      </c>
      <c r="B227" s="7" t="s">
        <v>1802</v>
      </c>
      <c r="C227" s="7" t="s">
        <v>1803</v>
      </c>
      <c r="D227" s="7" t="s">
        <v>1804</v>
      </c>
      <c r="E227" s="7" t="s">
        <v>6767</v>
      </c>
      <c r="F227" s="7" t="s">
        <v>1695</v>
      </c>
      <c r="G227" s="7" t="s">
        <v>1696</v>
      </c>
      <c r="H227" s="16" t="s">
        <v>8909</v>
      </c>
      <c r="I227" s="16" t="s">
        <v>8954</v>
      </c>
      <c r="J227" s="7"/>
      <c r="K227" s="7"/>
      <c r="L227" s="7"/>
      <c r="M227" s="7"/>
    </row>
    <row r="228">
      <c r="A228" s="15" t="s">
        <v>8998</v>
      </c>
      <c r="B228" s="7" t="s">
        <v>2061</v>
      </c>
      <c r="C228" s="7" t="s">
        <v>58</v>
      </c>
      <c r="D228" s="7" t="s">
        <v>2062</v>
      </c>
      <c r="E228" s="7" t="s">
        <v>6769</v>
      </c>
      <c r="F228" s="7" t="s">
        <v>1695</v>
      </c>
      <c r="G228" s="7" t="s">
        <v>1696</v>
      </c>
      <c r="H228" s="16" t="s">
        <v>8909</v>
      </c>
      <c r="I228" s="16" t="s">
        <v>8954</v>
      </c>
      <c r="J228" s="7"/>
      <c r="K228" s="7"/>
      <c r="L228" s="7"/>
      <c r="M228" s="7"/>
    </row>
    <row r="229">
      <c r="A229" s="15" t="s">
        <v>8998</v>
      </c>
      <c r="B229" s="7" t="s">
        <v>4844</v>
      </c>
      <c r="C229" s="7" t="s">
        <v>823</v>
      </c>
      <c r="D229" s="7" t="s">
        <v>4845</v>
      </c>
      <c r="E229" s="7" t="s">
        <v>6770</v>
      </c>
      <c r="F229" s="7" t="s">
        <v>1695</v>
      </c>
      <c r="G229" s="7" t="s">
        <v>1696</v>
      </c>
      <c r="H229" s="16" t="s">
        <v>8909</v>
      </c>
      <c r="I229" s="16" t="s">
        <v>8954</v>
      </c>
      <c r="J229" s="7"/>
      <c r="K229" s="7"/>
      <c r="L229" s="7"/>
      <c r="M229" s="7"/>
    </row>
    <row r="230">
      <c r="A230" s="15" t="s">
        <v>8998</v>
      </c>
      <c r="B230" s="7" t="s">
        <v>4208</v>
      </c>
      <c r="C230" s="7" t="s">
        <v>2537</v>
      </c>
      <c r="D230" s="7" t="s">
        <v>4209</v>
      </c>
      <c r="E230" s="7" t="s">
        <v>6773</v>
      </c>
      <c r="F230" s="7" t="s">
        <v>1695</v>
      </c>
      <c r="G230" s="7" t="s">
        <v>1696</v>
      </c>
      <c r="H230" s="16" t="s">
        <v>8909</v>
      </c>
      <c r="I230" s="16" t="s">
        <v>8954</v>
      </c>
      <c r="J230" s="7"/>
      <c r="K230" s="7"/>
      <c r="L230" s="7"/>
      <c r="M230" s="7"/>
    </row>
    <row r="231">
      <c r="A231" s="15" t="s">
        <v>8998</v>
      </c>
      <c r="B231" s="7" t="s">
        <v>4484</v>
      </c>
      <c r="C231" s="7" t="s">
        <v>2537</v>
      </c>
      <c r="D231" s="7" t="s">
        <v>2467</v>
      </c>
      <c r="E231" s="7" t="s">
        <v>6773</v>
      </c>
      <c r="F231" s="7" t="s">
        <v>1695</v>
      </c>
      <c r="G231" s="7" t="s">
        <v>1696</v>
      </c>
      <c r="H231" s="16" t="s">
        <v>8909</v>
      </c>
      <c r="I231" s="16" t="s">
        <v>8954</v>
      </c>
      <c r="J231" s="7"/>
      <c r="K231" s="7"/>
      <c r="L231" s="7"/>
      <c r="M231" s="7"/>
    </row>
    <row r="232">
      <c r="A232" s="15" t="s">
        <v>8998</v>
      </c>
      <c r="B232" s="7" t="s">
        <v>2483</v>
      </c>
      <c r="C232" s="7" t="s">
        <v>120</v>
      </c>
      <c r="D232" s="7" t="s">
        <v>2484</v>
      </c>
      <c r="E232" s="7" t="s">
        <v>6775</v>
      </c>
      <c r="F232" s="7" t="s">
        <v>1695</v>
      </c>
      <c r="G232" s="7" t="s">
        <v>1696</v>
      </c>
      <c r="H232" s="16" t="s">
        <v>8909</v>
      </c>
      <c r="I232" s="16" t="s">
        <v>8954</v>
      </c>
      <c r="J232" s="7"/>
      <c r="K232" s="7"/>
      <c r="L232" s="7"/>
      <c r="M232" s="7"/>
    </row>
    <row r="233">
      <c r="A233" s="15" t="s">
        <v>8998</v>
      </c>
      <c r="B233" s="7" t="s">
        <v>5815</v>
      </c>
      <c r="C233" s="7" t="s">
        <v>280</v>
      </c>
      <c r="D233" s="7" t="s">
        <v>1232</v>
      </c>
      <c r="E233" s="7" t="s">
        <v>6704</v>
      </c>
      <c r="F233" s="7" t="s">
        <v>1695</v>
      </c>
      <c r="G233" s="7" t="s">
        <v>1696</v>
      </c>
      <c r="H233" s="16" t="s">
        <v>8909</v>
      </c>
      <c r="I233" s="16" t="s">
        <v>8955</v>
      </c>
      <c r="J233" s="7"/>
      <c r="K233" s="7"/>
      <c r="L233" s="7"/>
      <c r="M233" s="7"/>
    </row>
    <row r="234">
      <c r="A234" s="15" t="s">
        <v>8998</v>
      </c>
      <c r="B234" s="7" t="s">
        <v>6350</v>
      </c>
      <c r="C234" s="7" t="s">
        <v>6351</v>
      </c>
      <c r="D234" s="7" t="s">
        <v>596</v>
      </c>
      <c r="E234" s="7" t="s">
        <v>6706</v>
      </c>
      <c r="F234" s="7" t="s">
        <v>1695</v>
      </c>
      <c r="G234" s="7" t="s">
        <v>6318</v>
      </c>
      <c r="H234" s="16" t="s">
        <v>8909</v>
      </c>
      <c r="I234" s="16" t="s">
        <v>8955</v>
      </c>
      <c r="J234" s="7"/>
      <c r="K234" s="7"/>
      <c r="L234" s="7"/>
      <c r="M234" s="7"/>
    </row>
    <row r="235">
      <c r="A235" s="15" t="s">
        <v>8998</v>
      </c>
      <c r="B235" s="7" t="s">
        <v>2920</v>
      </c>
      <c r="C235" s="7" t="s">
        <v>2817</v>
      </c>
      <c r="D235" s="7" t="s">
        <v>2921</v>
      </c>
      <c r="E235" s="7" t="s">
        <v>6712</v>
      </c>
      <c r="F235" s="7" t="s">
        <v>1695</v>
      </c>
      <c r="G235" s="7" t="s">
        <v>1696</v>
      </c>
      <c r="H235" s="16" t="s">
        <v>8909</v>
      </c>
      <c r="I235" s="16" t="s">
        <v>8955</v>
      </c>
      <c r="J235" s="7"/>
      <c r="K235" s="7"/>
      <c r="L235" s="7"/>
      <c r="M235" s="7"/>
    </row>
    <row r="236">
      <c r="A236" s="15" t="s">
        <v>8998</v>
      </c>
      <c r="B236" s="7" t="s">
        <v>3839</v>
      </c>
      <c r="C236" s="7" t="s">
        <v>3626</v>
      </c>
      <c r="D236" s="7" t="s">
        <v>3815</v>
      </c>
      <c r="E236" s="7" t="s">
        <v>6713</v>
      </c>
      <c r="F236" s="7" t="s">
        <v>1695</v>
      </c>
      <c r="G236" s="7" t="s">
        <v>1696</v>
      </c>
      <c r="H236" s="16" t="s">
        <v>8909</v>
      </c>
      <c r="I236" s="16" t="s">
        <v>8955</v>
      </c>
      <c r="J236" s="7"/>
      <c r="K236" s="7"/>
      <c r="L236" s="7"/>
      <c r="M236" s="7"/>
    </row>
    <row r="237">
      <c r="A237" s="15" t="s">
        <v>8998</v>
      </c>
      <c r="B237" s="7" t="s">
        <v>3177</v>
      </c>
      <c r="C237" s="7" t="s">
        <v>328</v>
      </c>
      <c r="D237" s="7" t="s">
        <v>532</v>
      </c>
      <c r="E237" s="7" t="s">
        <v>6783</v>
      </c>
      <c r="F237" s="7" t="s">
        <v>1695</v>
      </c>
      <c r="G237" s="7" t="s">
        <v>1696</v>
      </c>
      <c r="H237" s="16" t="s">
        <v>8909</v>
      </c>
      <c r="I237" s="16" t="s">
        <v>8955</v>
      </c>
      <c r="J237" s="7"/>
      <c r="K237" s="7"/>
      <c r="L237" s="7"/>
      <c r="M237" s="7"/>
    </row>
    <row r="238">
      <c r="A238" s="15" t="s">
        <v>8998</v>
      </c>
      <c r="B238" s="7" t="s">
        <v>6194</v>
      </c>
      <c r="C238" s="7" t="s">
        <v>111</v>
      </c>
      <c r="D238" s="7" t="s">
        <v>2172</v>
      </c>
      <c r="E238" s="7" t="s">
        <v>6785</v>
      </c>
      <c r="F238" s="7" t="s">
        <v>1695</v>
      </c>
      <c r="G238" s="7" t="s">
        <v>1696</v>
      </c>
      <c r="H238" s="16" t="s">
        <v>8909</v>
      </c>
      <c r="I238" s="16" t="s">
        <v>8955</v>
      </c>
      <c r="J238" s="7"/>
      <c r="K238" s="7"/>
      <c r="L238" s="7"/>
      <c r="M238" s="7"/>
    </row>
    <row r="239">
      <c r="A239" s="15" t="s">
        <v>8998</v>
      </c>
      <c r="B239" s="7" t="s">
        <v>2565</v>
      </c>
      <c r="C239" s="7" t="s">
        <v>2566</v>
      </c>
      <c r="D239" s="7" t="s">
        <v>404</v>
      </c>
      <c r="E239" s="7" t="s">
        <v>6787</v>
      </c>
      <c r="F239" s="7" t="s">
        <v>1695</v>
      </c>
      <c r="G239" s="7" t="s">
        <v>1696</v>
      </c>
      <c r="H239" s="16" t="s">
        <v>8909</v>
      </c>
      <c r="I239" s="16" t="s">
        <v>8955</v>
      </c>
      <c r="J239" s="7"/>
      <c r="K239" s="7"/>
      <c r="L239" s="7"/>
      <c r="M239" s="7"/>
    </row>
    <row r="240">
      <c r="A240" s="15" t="s">
        <v>8998</v>
      </c>
      <c r="B240" s="7" t="s">
        <v>4359</v>
      </c>
      <c r="C240" s="7" t="s">
        <v>656</v>
      </c>
      <c r="D240" s="7" t="s">
        <v>529</v>
      </c>
      <c r="E240" s="7" t="s">
        <v>6791</v>
      </c>
      <c r="F240" s="7" t="s">
        <v>1695</v>
      </c>
      <c r="G240" s="7" t="s">
        <v>1696</v>
      </c>
      <c r="H240" s="16" t="s">
        <v>8909</v>
      </c>
      <c r="I240" s="16" t="s">
        <v>8955</v>
      </c>
      <c r="J240" s="7"/>
      <c r="K240" s="7"/>
      <c r="L240" s="7"/>
      <c r="M240" s="7"/>
    </row>
    <row r="241">
      <c r="A241" s="15" t="s">
        <v>8998</v>
      </c>
      <c r="B241" s="7" t="s">
        <v>5930</v>
      </c>
      <c r="C241" s="7" t="s">
        <v>58</v>
      </c>
      <c r="D241" s="7" t="s">
        <v>5931</v>
      </c>
      <c r="E241" s="7" t="s">
        <v>6792</v>
      </c>
      <c r="F241" s="7" t="s">
        <v>1695</v>
      </c>
      <c r="G241" s="7" t="s">
        <v>1696</v>
      </c>
      <c r="H241" s="16" t="s">
        <v>8909</v>
      </c>
      <c r="I241" s="16" t="s">
        <v>8955</v>
      </c>
      <c r="J241" s="7"/>
      <c r="K241" s="7"/>
      <c r="L241" s="7"/>
      <c r="M241" s="7"/>
    </row>
    <row r="242">
      <c r="A242" s="15" t="s">
        <v>8998</v>
      </c>
      <c r="B242" s="7" t="s">
        <v>5525</v>
      </c>
      <c r="C242" s="7" t="s">
        <v>2999</v>
      </c>
      <c r="D242" s="7" t="s">
        <v>916</v>
      </c>
      <c r="E242" s="7" t="s">
        <v>6796</v>
      </c>
      <c r="F242" s="7" t="s">
        <v>1695</v>
      </c>
      <c r="G242" s="7" t="s">
        <v>1696</v>
      </c>
      <c r="H242" s="16" t="s">
        <v>8909</v>
      </c>
      <c r="I242" s="16" t="s">
        <v>8955</v>
      </c>
      <c r="J242" s="7"/>
      <c r="K242" s="7"/>
      <c r="L242" s="7"/>
      <c r="M242" s="7"/>
    </row>
    <row r="243">
      <c r="A243" s="15" t="s">
        <v>8998</v>
      </c>
      <c r="B243" s="7" t="s">
        <v>5659</v>
      </c>
      <c r="C243" s="7" t="s">
        <v>1368</v>
      </c>
      <c r="D243" s="7" t="s">
        <v>5660</v>
      </c>
      <c r="E243" s="7" t="s">
        <v>6797</v>
      </c>
      <c r="F243" s="7" t="s">
        <v>1695</v>
      </c>
      <c r="G243" s="7" t="s">
        <v>1696</v>
      </c>
      <c r="H243" s="16" t="s">
        <v>8909</v>
      </c>
      <c r="I243" s="16" t="s">
        <v>8955</v>
      </c>
      <c r="J243" s="7"/>
      <c r="K243" s="7"/>
      <c r="L243" s="7"/>
      <c r="M243" s="7"/>
    </row>
    <row r="244">
      <c r="A244" s="15" t="s">
        <v>8998</v>
      </c>
      <c r="B244" s="7" t="s">
        <v>3725</v>
      </c>
      <c r="C244" s="7" t="s">
        <v>3726</v>
      </c>
      <c r="D244" s="7" t="s">
        <v>280</v>
      </c>
      <c r="E244" s="7" t="s">
        <v>6729</v>
      </c>
      <c r="F244" s="7" t="s">
        <v>1695</v>
      </c>
      <c r="G244" s="7" t="s">
        <v>1696</v>
      </c>
      <c r="H244" s="16" t="s">
        <v>8909</v>
      </c>
      <c r="I244" s="16" t="s">
        <v>8955</v>
      </c>
      <c r="J244" s="7"/>
      <c r="K244" s="7"/>
      <c r="L244" s="7"/>
      <c r="M244" s="7"/>
    </row>
    <row r="245">
      <c r="A245" s="15" t="s">
        <v>8998</v>
      </c>
      <c r="B245" s="7" t="s">
        <v>2986</v>
      </c>
      <c r="C245" s="7" t="s">
        <v>2987</v>
      </c>
      <c r="D245" s="7" t="s">
        <v>1028</v>
      </c>
      <c r="E245" s="7" t="s">
        <v>6733</v>
      </c>
      <c r="F245" s="7" t="s">
        <v>1695</v>
      </c>
      <c r="G245" s="7" t="s">
        <v>1696</v>
      </c>
      <c r="H245" s="16" t="s">
        <v>8909</v>
      </c>
      <c r="I245" s="16" t="s">
        <v>8955</v>
      </c>
      <c r="J245" s="7"/>
      <c r="K245" s="7"/>
      <c r="L245" s="7"/>
      <c r="M245" s="7"/>
    </row>
    <row r="246">
      <c r="A246" s="15" t="s">
        <v>8998</v>
      </c>
      <c r="B246" s="7" t="s">
        <v>5335</v>
      </c>
      <c r="C246" s="7" t="s">
        <v>1532</v>
      </c>
      <c r="D246" s="7" t="s">
        <v>1177</v>
      </c>
      <c r="E246" s="7" t="s">
        <v>6740</v>
      </c>
      <c r="F246" s="7" t="s">
        <v>1695</v>
      </c>
      <c r="G246" s="7" t="s">
        <v>1696</v>
      </c>
      <c r="H246" s="16" t="s">
        <v>8909</v>
      </c>
      <c r="I246" s="16" t="s">
        <v>8955</v>
      </c>
      <c r="J246" s="7"/>
      <c r="K246" s="7"/>
      <c r="L246" s="7"/>
      <c r="M246" s="7"/>
    </row>
    <row r="247">
      <c r="A247" s="15" t="s">
        <v>8998</v>
      </c>
      <c r="B247" s="7" t="s">
        <v>2262</v>
      </c>
      <c r="C247" s="7" t="s">
        <v>2263</v>
      </c>
      <c r="D247" s="7" t="s">
        <v>2264</v>
      </c>
      <c r="E247" s="7" t="s">
        <v>6745</v>
      </c>
      <c r="F247" s="7" t="s">
        <v>1695</v>
      </c>
      <c r="G247" s="7" t="s">
        <v>1696</v>
      </c>
      <c r="H247" s="16" t="s">
        <v>8909</v>
      </c>
      <c r="I247" s="16" t="s">
        <v>8955</v>
      </c>
      <c r="J247" s="7"/>
      <c r="K247" s="7"/>
      <c r="L247" s="7"/>
      <c r="M247" s="7"/>
    </row>
    <row r="248">
      <c r="A248" s="15" t="s">
        <v>8998</v>
      </c>
      <c r="B248" s="7" t="s">
        <v>2358</v>
      </c>
      <c r="C248" s="7" t="s">
        <v>2263</v>
      </c>
      <c r="D248" s="7" t="s">
        <v>2264</v>
      </c>
      <c r="E248" s="7" t="s">
        <v>6745</v>
      </c>
      <c r="F248" s="7" t="s">
        <v>1695</v>
      </c>
      <c r="G248" s="7" t="s">
        <v>1696</v>
      </c>
      <c r="H248" s="16" t="s">
        <v>8909</v>
      </c>
      <c r="I248" s="16" t="s">
        <v>8955</v>
      </c>
      <c r="J248" s="7"/>
      <c r="K248" s="7"/>
      <c r="L248" s="7"/>
      <c r="M248" s="7"/>
    </row>
    <row r="249">
      <c r="A249" s="15" t="s">
        <v>8998</v>
      </c>
      <c r="B249" s="7" t="s">
        <v>3543</v>
      </c>
      <c r="C249" s="7" t="s">
        <v>58</v>
      </c>
      <c r="D249" s="7" t="s">
        <v>3544</v>
      </c>
      <c r="E249" s="7" t="s">
        <v>6746</v>
      </c>
      <c r="F249" s="7" t="s">
        <v>1695</v>
      </c>
      <c r="G249" s="7" t="s">
        <v>1696</v>
      </c>
      <c r="H249" s="16" t="s">
        <v>8909</v>
      </c>
      <c r="I249" s="16" t="s">
        <v>8955</v>
      </c>
      <c r="J249" s="7"/>
      <c r="K249" s="7"/>
      <c r="L249" s="7"/>
      <c r="M249" s="7"/>
    </row>
    <row r="250">
      <c r="A250" s="15" t="s">
        <v>8998</v>
      </c>
      <c r="B250" s="7" t="s">
        <v>2315</v>
      </c>
      <c r="C250" s="7" t="s">
        <v>209</v>
      </c>
      <c r="D250" s="7" t="s">
        <v>2316</v>
      </c>
      <c r="E250" s="7" t="s">
        <v>6766</v>
      </c>
      <c r="F250" s="7" t="s">
        <v>1695</v>
      </c>
      <c r="G250" s="7" t="s">
        <v>1696</v>
      </c>
      <c r="H250" s="16" t="s">
        <v>8909</v>
      </c>
      <c r="I250" s="16" t="s">
        <v>8955</v>
      </c>
      <c r="J250" s="7"/>
      <c r="K250" s="7"/>
      <c r="L250" s="7"/>
      <c r="M250" s="7"/>
    </row>
    <row r="251">
      <c r="A251" s="15" t="s">
        <v>8998</v>
      </c>
      <c r="B251" s="7" t="s">
        <v>4350</v>
      </c>
      <c r="C251" s="7" t="s">
        <v>4351</v>
      </c>
      <c r="D251" s="7" t="s">
        <v>968</v>
      </c>
      <c r="E251" s="7" t="s">
        <v>6768</v>
      </c>
      <c r="F251" s="7" t="s">
        <v>1695</v>
      </c>
      <c r="G251" s="7" t="s">
        <v>1696</v>
      </c>
      <c r="H251" s="16" t="s">
        <v>8909</v>
      </c>
      <c r="I251" s="16" t="s">
        <v>8955</v>
      </c>
      <c r="J251" s="7"/>
      <c r="K251" s="7"/>
      <c r="L251" s="7"/>
      <c r="M251" s="7"/>
    </row>
    <row r="252">
      <c r="A252" s="15" t="s">
        <v>8998</v>
      </c>
      <c r="B252" s="7" t="s">
        <v>3407</v>
      </c>
      <c r="C252" s="7" t="s">
        <v>35</v>
      </c>
      <c r="D252" s="7" t="s">
        <v>443</v>
      </c>
      <c r="E252" s="7" t="s">
        <v>6771</v>
      </c>
      <c r="F252" s="7" t="s">
        <v>1695</v>
      </c>
      <c r="G252" s="7" t="s">
        <v>1696</v>
      </c>
      <c r="H252" s="16" t="s">
        <v>8909</v>
      </c>
      <c r="I252" s="16" t="s">
        <v>8955</v>
      </c>
      <c r="J252" s="7"/>
      <c r="K252" s="7"/>
      <c r="L252" s="7"/>
      <c r="M252" s="7"/>
    </row>
    <row r="253">
      <c r="A253" s="15" t="s">
        <v>8998</v>
      </c>
      <c r="B253" s="7" t="s">
        <v>2318</v>
      </c>
      <c r="C253" s="7" t="s">
        <v>2319</v>
      </c>
      <c r="D253" s="7" t="s">
        <v>406</v>
      </c>
      <c r="E253" s="7" t="s">
        <v>6776</v>
      </c>
      <c r="F253" s="7" t="s">
        <v>1695</v>
      </c>
      <c r="G253" s="7" t="s">
        <v>1696</v>
      </c>
      <c r="H253" s="16" t="s">
        <v>8909</v>
      </c>
      <c r="I253" s="16" t="s">
        <v>8955</v>
      </c>
      <c r="J253" s="7"/>
      <c r="K253" s="7"/>
      <c r="L253" s="7"/>
      <c r="M253" s="7"/>
    </row>
    <row r="254">
      <c r="A254" s="15" t="s">
        <v>8998</v>
      </c>
      <c r="B254" s="7" t="s">
        <v>5000</v>
      </c>
      <c r="C254" s="7" t="s">
        <v>422</v>
      </c>
      <c r="D254" s="7" t="s">
        <v>5001</v>
      </c>
      <c r="E254" s="7" t="s">
        <v>6705</v>
      </c>
      <c r="F254" s="7" t="s">
        <v>1695</v>
      </c>
      <c r="G254" s="7" t="s">
        <v>1696</v>
      </c>
      <c r="H254" s="16" t="s">
        <v>8909</v>
      </c>
      <c r="I254" s="16" t="s">
        <v>8910</v>
      </c>
      <c r="J254" s="7"/>
      <c r="K254" s="7"/>
      <c r="L254" s="7"/>
      <c r="M254" s="7"/>
    </row>
  </sheetData>
  <dataValidations>
    <dataValidation type="list" allowBlank="1" showErrorMessage="1" sqref="H2:H254">
      <formula1>"Data Analytics,Front-end,Back-end,AWS ,Salesforce,AiCE,Pathway,Profetional Foundation"</formula1>
    </dataValidation>
    <dataValidation type="list" allowBlank="1" showErrorMessage="1" sqref="J2:J254">
      <formula1>"YES,NO,MAYBE"</formula1>
    </dataValidation>
    <dataValidation type="list" allowBlank="1" showErrorMessage="1" sqref="K2:K254">
      <formula1>"Will immediatly finish,Will finish later,Maybe will finish,Will not finish,Done"</formula1>
    </dataValidation>
    <dataValidation type="list" allowBlank="1" showErrorMessage="1" sqref="M2:M254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254">
      <formula1>"Busy Schedule ,Forgot about it ,Internet Access ,Not interested,Personal/ Family Issues ,Other,No Pc,Lost Link,By Mistake"</formula1>
    </dataValidation>
    <dataValidation type="list" allowBlank="1" showErrorMessage="1" sqref="I2:I254">
      <formula1>"Reached,Not Picking Up,Phone Not Working,Wrong Person,Not Yet Called,Wrong Number,Busy "</formula1>
    </dataValidation>
    <dataValidation type="list" allowBlank="1" showErrorMessage="1" sqref="A2:A254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39.88"/>
    <col customWidth="1" min="14" max="14" width="52.88"/>
  </cols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>
      <c r="A2" s="15" t="s">
        <v>162</v>
      </c>
      <c r="B2" s="6" t="s">
        <v>3690</v>
      </c>
      <c r="C2" s="6" t="s">
        <v>3691</v>
      </c>
      <c r="D2" s="6" t="s">
        <v>2094</v>
      </c>
      <c r="E2" s="7" t="s">
        <v>6534</v>
      </c>
      <c r="F2" s="6" t="s">
        <v>1695</v>
      </c>
      <c r="G2" s="7" t="s">
        <v>1696</v>
      </c>
      <c r="H2" s="16" t="s">
        <v>8909</v>
      </c>
      <c r="I2" s="16" t="s">
        <v>8910</v>
      </c>
      <c r="J2" s="7"/>
      <c r="K2" s="7"/>
      <c r="L2" s="7"/>
      <c r="M2" s="7"/>
    </row>
    <row r="3">
      <c r="A3" s="15" t="s">
        <v>162</v>
      </c>
      <c r="B3" s="6" t="s">
        <v>5703</v>
      </c>
      <c r="C3" s="6" t="s">
        <v>5704</v>
      </c>
      <c r="D3" s="6" t="s">
        <v>1898</v>
      </c>
      <c r="E3" s="7" t="s">
        <v>6578</v>
      </c>
      <c r="F3" s="6" t="s">
        <v>1695</v>
      </c>
      <c r="G3" s="7" t="s">
        <v>1696</v>
      </c>
      <c r="H3" s="16" t="s">
        <v>8909</v>
      </c>
      <c r="I3" s="16" t="s">
        <v>8911</v>
      </c>
      <c r="J3" s="7"/>
      <c r="K3" s="7"/>
      <c r="L3" s="7"/>
      <c r="M3" s="7"/>
    </row>
    <row r="4">
      <c r="A4" s="15" t="s">
        <v>162</v>
      </c>
      <c r="B4" s="6" t="s">
        <v>5043</v>
      </c>
      <c r="C4" s="6" t="s">
        <v>5044</v>
      </c>
      <c r="D4" s="6" t="s">
        <v>4626</v>
      </c>
      <c r="E4" s="7" t="s">
        <v>6536</v>
      </c>
      <c r="F4" s="6" t="s">
        <v>1695</v>
      </c>
      <c r="G4" s="7" t="s">
        <v>1696</v>
      </c>
      <c r="H4" s="16" t="s">
        <v>8909</v>
      </c>
      <c r="I4" s="16" t="s">
        <v>8912</v>
      </c>
      <c r="J4" s="16" t="s">
        <v>8913</v>
      </c>
      <c r="K4" s="16" t="s">
        <v>8914</v>
      </c>
      <c r="L4" s="16" t="s">
        <v>8915</v>
      </c>
      <c r="M4" s="16" t="s">
        <v>8916</v>
      </c>
      <c r="N4" s="3" t="s">
        <v>8917</v>
      </c>
    </row>
    <row r="5">
      <c r="A5" s="15" t="s">
        <v>162</v>
      </c>
      <c r="B5" s="6" t="s">
        <v>3032</v>
      </c>
      <c r="C5" s="6" t="s">
        <v>3033</v>
      </c>
      <c r="D5" s="6" t="s">
        <v>3034</v>
      </c>
      <c r="E5" s="7" t="s">
        <v>6537</v>
      </c>
      <c r="F5" s="6" t="s">
        <v>1695</v>
      </c>
      <c r="G5" s="7" t="s">
        <v>1696</v>
      </c>
      <c r="H5" s="16" t="s">
        <v>8909</v>
      </c>
      <c r="I5" s="16" t="s">
        <v>8912</v>
      </c>
      <c r="J5" s="16" t="s">
        <v>8918</v>
      </c>
      <c r="K5" s="16" t="s">
        <v>8919</v>
      </c>
      <c r="L5" s="16" t="s">
        <v>8920</v>
      </c>
      <c r="M5" s="16" t="s">
        <v>8921</v>
      </c>
      <c r="N5" s="3" t="s">
        <v>8922</v>
      </c>
    </row>
    <row r="6">
      <c r="A6" s="15" t="s">
        <v>162</v>
      </c>
      <c r="B6" s="6" t="s">
        <v>3594</v>
      </c>
      <c r="C6" s="6" t="s">
        <v>85</v>
      </c>
      <c r="D6" s="6" t="s">
        <v>3595</v>
      </c>
      <c r="E6" s="7" t="s">
        <v>6539</v>
      </c>
      <c r="F6" s="6" t="s">
        <v>1695</v>
      </c>
      <c r="G6" s="7" t="s">
        <v>1696</v>
      </c>
      <c r="H6" s="16" t="s">
        <v>8909</v>
      </c>
      <c r="I6" s="16" t="s">
        <v>8912</v>
      </c>
      <c r="J6" s="16" t="s">
        <v>8918</v>
      </c>
      <c r="K6" s="16" t="s">
        <v>8919</v>
      </c>
      <c r="L6" s="16" t="s">
        <v>8923</v>
      </c>
      <c r="M6" s="16" t="s">
        <v>8924</v>
      </c>
      <c r="N6" s="3" t="s">
        <v>8925</v>
      </c>
    </row>
    <row r="7">
      <c r="A7" s="15" t="s">
        <v>162</v>
      </c>
      <c r="B7" s="6" t="s">
        <v>5920</v>
      </c>
      <c r="C7" s="6" t="s">
        <v>5921</v>
      </c>
      <c r="D7" s="6" t="s">
        <v>5922</v>
      </c>
      <c r="E7" s="7" t="s">
        <v>6540</v>
      </c>
      <c r="F7" s="6" t="s">
        <v>1695</v>
      </c>
      <c r="G7" s="7" t="s">
        <v>1696</v>
      </c>
      <c r="H7" s="16" t="s">
        <v>8909</v>
      </c>
      <c r="I7" s="16" t="s">
        <v>8912</v>
      </c>
      <c r="J7" s="16" t="s">
        <v>8926</v>
      </c>
      <c r="K7" s="16" t="s">
        <v>8914</v>
      </c>
      <c r="L7" s="16" t="s">
        <v>8927</v>
      </c>
      <c r="M7" s="16" t="s">
        <v>8916</v>
      </c>
      <c r="N7" s="3" t="s">
        <v>8928</v>
      </c>
    </row>
    <row r="8">
      <c r="A8" s="15" t="s">
        <v>162</v>
      </c>
      <c r="B8" s="6" t="s">
        <v>4444</v>
      </c>
      <c r="C8" s="6" t="s">
        <v>4445</v>
      </c>
      <c r="D8" s="6" t="s">
        <v>274</v>
      </c>
      <c r="E8" s="7" t="s">
        <v>6542</v>
      </c>
      <c r="F8" s="6" t="s">
        <v>1695</v>
      </c>
      <c r="G8" s="7" t="s">
        <v>1696</v>
      </c>
      <c r="H8" s="16" t="s">
        <v>8909</v>
      </c>
      <c r="I8" s="16" t="s">
        <v>8912</v>
      </c>
      <c r="J8" s="16" t="s">
        <v>8918</v>
      </c>
      <c r="K8" s="16" t="s">
        <v>8919</v>
      </c>
      <c r="L8" s="16" t="s">
        <v>8927</v>
      </c>
      <c r="M8" s="16" t="s">
        <v>8916</v>
      </c>
      <c r="N8" s="3" t="s">
        <v>8929</v>
      </c>
    </row>
    <row r="9">
      <c r="A9" s="15" t="s">
        <v>162</v>
      </c>
      <c r="B9" s="6" t="s">
        <v>5606</v>
      </c>
      <c r="C9" s="6" t="s">
        <v>4445</v>
      </c>
      <c r="D9" s="6" t="s">
        <v>5607</v>
      </c>
      <c r="E9" s="7" t="s">
        <v>6542</v>
      </c>
      <c r="F9" s="6" t="s">
        <v>1695</v>
      </c>
      <c r="G9" s="7" t="s">
        <v>1696</v>
      </c>
      <c r="H9" s="16" t="s">
        <v>8909</v>
      </c>
      <c r="I9" s="16" t="s">
        <v>8912</v>
      </c>
      <c r="J9" s="16" t="s">
        <v>8918</v>
      </c>
      <c r="K9" s="16" t="s">
        <v>8919</v>
      </c>
      <c r="L9" s="16" t="s">
        <v>8927</v>
      </c>
      <c r="M9" s="16" t="s">
        <v>8916</v>
      </c>
      <c r="N9" s="3" t="s">
        <v>8930</v>
      </c>
    </row>
    <row r="10">
      <c r="A10" s="15" t="s">
        <v>162</v>
      </c>
      <c r="B10" s="6" t="s">
        <v>5767</v>
      </c>
      <c r="C10" s="6" t="s">
        <v>4445</v>
      </c>
      <c r="D10" s="6" t="s">
        <v>5607</v>
      </c>
      <c r="E10" s="7" t="s">
        <v>6542</v>
      </c>
      <c r="F10" s="6" t="s">
        <v>1695</v>
      </c>
      <c r="G10" s="7" t="s">
        <v>1696</v>
      </c>
      <c r="H10" s="16" t="s">
        <v>8909</v>
      </c>
      <c r="I10" s="16" t="s">
        <v>8912</v>
      </c>
      <c r="J10" s="16" t="s">
        <v>8918</v>
      </c>
      <c r="K10" s="16" t="s">
        <v>8919</v>
      </c>
      <c r="L10" s="16" t="s">
        <v>8927</v>
      </c>
      <c r="M10" s="16" t="s">
        <v>8916</v>
      </c>
      <c r="N10" s="3" t="s">
        <v>8930</v>
      </c>
    </row>
    <row r="11">
      <c r="A11" s="15" t="s">
        <v>162</v>
      </c>
      <c r="B11" s="6" t="s">
        <v>3992</v>
      </c>
      <c r="C11" s="6" t="s">
        <v>1801</v>
      </c>
      <c r="D11" s="6" t="s">
        <v>684</v>
      </c>
      <c r="E11" s="7" t="s">
        <v>6544</v>
      </c>
      <c r="F11" s="6" t="s">
        <v>1695</v>
      </c>
      <c r="G11" s="7" t="s">
        <v>1696</v>
      </c>
      <c r="H11" s="16" t="s">
        <v>8909</v>
      </c>
      <c r="I11" s="16" t="s">
        <v>8912</v>
      </c>
      <c r="J11" s="16" t="s">
        <v>8918</v>
      </c>
      <c r="K11" s="16" t="s">
        <v>8919</v>
      </c>
      <c r="L11" s="16" t="s">
        <v>8931</v>
      </c>
      <c r="M11" s="16" t="s">
        <v>8924</v>
      </c>
      <c r="N11" s="3" t="s">
        <v>8932</v>
      </c>
    </row>
    <row r="12">
      <c r="A12" s="15" t="s">
        <v>162</v>
      </c>
      <c r="B12" s="6" t="s">
        <v>2930</v>
      </c>
      <c r="C12" s="6" t="s">
        <v>2931</v>
      </c>
      <c r="D12" s="6" t="s">
        <v>2932</v>
      </c>
      <c r="E12" s="7" t="s">
        <v>6546</v>
      </c>
      <c r="F12" s="6" t="s">
        <v>1695</v>
      </c>
      <c r="G12" s="7" t="s">
        <v>1696</v>
      </c>
      <c r="H12" s="16" t="s">
        <v>8909</v>
      </c>
      <c r="I12" s="16" t="s">
        <v>8912</v>
      </c>
      <c r="J12" s="16" t="s">
        <v>8918</v>
      </c>
      <c r="K12" s="16" t="s">
        <v>8919</v>
      </c>
      <c r="L12" s="16" t="s">
        <v>8920</v>
      </c>
      <c r="M12" s="16" t="s">
        <v>8921</v>
      </c>
      <c r="N12" s="3" t="s">
        <v>8933</v>
      </c>
    </row>
    <row r="13">
      <c r="A13" s="15" t="s">
        <v>162</v>
      </c>
      <c r="B13" s="6" t="s">
        <v>4143</v>
      </c>
      <c r="C13" s="6" t="s">
        <v>273</v>
      </c>
      <c r="D13" s="6" t="s">
        <v>1584</v>
      </c>
      <c r="E13" s="7" t="s">
        <v>6549</v>
      </c>
      <c r="F13" s="6" t="s">
        <v>1695</v>
      </c>
      <c r="G13" s="7" t="s">
        <v>1696</v>
      </c>
      <c r="H13" s="16" t="s">
        <v>8909</v>
      </c>
      <c r="I13" s="16" t="s">
        <v>8912</v>
      </c>
      <c r="J13" s="16" t="s">
        <v>8913</v>
      </c>
      <c r="K13" s="16" t="s">
        <v>8934</v>
      </c>
      <c r="L13" s="16" t="s">
        <v>8927</v>
      </c>
      <c r="M13" s="16" t="s">
        <v>8935</v>
      </c>
      <c r="N13" s="3" t="s">
        <v>8936</v>
      </c>
    </row>
    <row r="14">
      <c r="A14" s="15" t="s">
        <v>162</v>
      </c>
      <c r="B14" s="6" t="s">
        <v>5411</v>
      </c>
      <c r="C14" s="6" t="s">
        <v>5412</v>
      </c>
      <c r="D14" s="6" t="s">
        <v>32</v>
      </c>
      <c r="E14" s="7" t="s">
        <v>6550</v>
      </c>
      <c r="F14" s="6" t="s">
        <v>1695</v>
      </c>
      <c r="G14" s="7" t="s">
        <v>1696</v>
      </c>
      <c r="H14" s="16" t="s">
        <v>8909</v>
      </c>
      <c r="I14" s="16" t="s">
        <v>8912</v>
      </c>
      <c r="J14" s="16" t="s">
        <v>8913</v>
      </c>
      <c r="K14" s="16" t="s">
        <v>8934</v>
      </c>
      <c r="L14" s="16" t="s">
        <v>8927</v>
      </c>
      <c r="M14" s="16" t="s">
        <v>8935</v>
      </c>
      <c r="N14" s="3" t="s">
        <v>8937</v>
      </c>
    </row>
    <row r="15">
      <c r="A15" s="15" t="s">
        <v>162</v>
      </c>
      <c r="B15" s="6" t="s">
        <v>6121</v>
      </c>
      <c r="C15" s="6" t="s">
        <v>2781</v>
      </c>
      <c r="D15" s="6" t="s">
        <v>6122</v>
      </c>
      <c r="E15" s="7" t="s">
        <v>6551</v>
      </c>
      <c r="F15" s="6" t="s">
        <v>1695</v>
      </c>
      <c r="G15" s="7" t="s">
        <v>1696</v>
      </c>
      <c r="H15" s="16" t="s">
        <v>8909</v>
      </c>
      <c r="I15" s="16" t="s">
        <v>8912</v>
      </c>
      <c r="J15" s="16" t="s">
        <v>8913</v>
      </c>
      <c r="K15" s="16" t="s">
        <v>8934</v>
      </c>
      <c r="L15" s="16" t="s">
        <v>8927</v>
      </c>
      <c r="M15" s="16" t="s">
        <v>8935</v>
      </c>
      <c r="N15" s="3" t="s">
        <v>8936</v>
      </c>
    </row>
    <row r="16">
      <c r="A16" s="15" t="s">
        <v>162</v>
      </c>
      <c r="B16" s="6" t="s">
        <v>5518</v>
      </c>
      <c r="C16" s="6" t="s">
        <v>5519</v>
      </c>
      <c r="D16" s="6" t="s">
        <v>5520</v>
      </c>
      <c r="E16" s="7" t="s">
        <v>6552</v>
      </c>
      <c r="F16" s="6" t="s">
        <v>1695</v>
      </c>
      <c r="G16" s="7" t="s">
        <v>1696</v>
      </c>
      <c r="H16" s="16" t="s">
        <v>8909</v>
      </c>
      <c r="I16" s="16" t="s">
        <v>8912</v>
      </c>
      <c r="J16" s="16" t="s">
        <v>8926</v>
      </c>
      <c r="K16" s="16" t="s">
        <v>8914</v>
      </c>
      <c r="L16" s="16" t="s">
        <v>8927</v>
      </c>
      <c r="M16" s="16" t="s">
        <v>8938</v>
      </c>
      <c r="N16" s="3" t="s">
        <v>8939</v>
      </c>
    </row>
    <row r="17">
      <c r="A17" s="15" t="s">
        <v>162</v>
      </c>
      <c r="B17" s="6" t="s">
        <v>3063</v>
      </c>
      <c r="C17" s="6" t="s">
        <v>3064</v>
      </c>
      <c r="D17" s="6" t="s">
        <v>46</v>
      </c>
      <c r="E17" s="7" t="s">
        <v>6553</v>
      </c>
      <c r="F17" s="6" t="s">
        <v>1695</v>
      </c>
      <c r="G17" s="7" t="s">
        <v>1696</v>
      </c>
      <c r="H17" s="16" t="s">
        <v>8909</v>
      </c>
      <c r="I17" s="16" t="s">
        <v>8912</v>
      </c>
      <c r="J17" s="16" t="s">
        <v>8918</v>
      </c>
      <c r="K17" s="16" t="s">
        <v>8919</v>
      </c>
      <c r="L17" s="16" t="s">
        <v>8931</v>
      </c>
      <c r="M17" s="16" t="s">
        <v>8924</v>
      </c>
      <c r="N17" s="3" t="s">
        <v>8940</v>
      </c>
    </row>
    <row r="18">
      <c r="A18" s="15" t="s">
        <v>162</v>
      </c>
      <c r="B18" s="6" t="s">
        <v>6218</v>
      </c>
      <c r="C18" s="6" t="s">
        <v>6219</v>
      </c>
      <c r="D18" s="6" t="s">
        <v>2158</v>
      </c>
      <c r="E18" s="7" t="s">
        <v>6554</v>
      </c>
      <c r="F18" s="6" t="s">
        <v>1695</v>
      </c>
      <c r="G18" s="7" t="s">
        <v>1696</v>
      </c>
      <c r="H18" s="16" t="s">
        <v>8909</v>
      </c>
      <c r="I18" s="16" t="s">
        <v>8912</v>
      </c>
      <c r="J18" s="16" t="s">
        <v>8913</v>
      </c>
      <c r="K18" s="16" t="s">
        <v>8919</v>
      </c>
      <c r="L18" s="16" t="s">
        <v>8920</v>
      </c>
      <c r="M18" s="16" t="s">
        <v>8921</v>
      </c>
      <c r="N18" s="3" t="s">
        <v>8941</v>
      </c>
    </row>
    <row r="19">
      <c r="A19" s="15" t="s">
        <v>162</v>
      </c>
      <c r="B19" s="6" t="s">
        <v>5568</v>
      </c>
      <c r="C19" s="6" t="s">
        <v>5569</v>
      </c>
      <c r="D19" s="6" t="s">
        <v>5570</v>
      </c>
      <c r="E19" s="7" t="s">
        <v>6555</v>
      </c>
      <c r="F19" s="6" t="s">
        <v>1695</v>
      </c>
      <c r="G19" s="7" t="s">
        <v>1696</v>
      </c>
      <c r="H19" s="16" t="s">
        <v>8909</v>
      </c>
      <c r="I19" s="16" t="s">
        <v>8912</v>
      </c>
      <c r="J19" s="16" t="s">
        <v>8913</v>
      </c>
      <c r="K19" s="16" t="s">
        <v>8934</v>
      </c>
      <c r="L19" s="16" t="s">
        <v>8927</v>
      </c>
      <c r="M19" s="16" t="s">
        <v>8935</v>
      </c>
      <c r="N19" s="3" t="s">
        <v>8936</v>
      </c>
    </row>
    <row r="20">
      <c r="A20" s="15" t="s">
        <v>162</v>
      </c>
      <c r="B20" s="6" t="s">
        <v>6372</v>
      </c>
      <c r="C20" s="6" t="s">
        <v>6373</v>
      </c>
      <c r="D20" s="6" t="s">
        <v>580</v>
      </c>
      <c r="E20" s="7" t="s">
        <v>6556</v>
      </c>
      <c r="F20" s="6" t="s">
        <v>1695</v>
      </c>
      <c r="G20" s="7" t="s">
        <v>6318</v>
      </c>
      <c r="H20" s="16" t="s">
        <v>8909</v>
      </c>
      <c r="I20" s="16" t="s">
        <v>8912</v>
      </c>
      <c r="J20" s="16" t="s">
        <v>8918</v>
      </c>
      <c r="K20" s="16" t="s">
        <v>8919</v>
      </c>
      <c r="L20" s="16" t="s">
        <v>8931</v>
      </c>
      <c r="M20" s="16" t="s">
        <v>8924</v>
      </c>
      <c r="N20" s="3" t="s">
        <v>8941</v>
      </c>
    </row>
    <row r="21">
      <c r="A21" s="15" t="s">
        <v>162</v>
      </c>
      <c r="B21" s="6" t="s">
        <v>2896</v>
      </c>
      <c r="C21" s="6" t="s">
        <v>2897</v>
      </c>
      <c r="D21" s="6" t="s">
        <v>2898</v>
      </c>
      <c r="E21" s="7" t="s">
        <v>6559</v>
      </c>
      <c r="F21" s="6" t="s">
        <v>1695</v>
      </c>
      <c r="G21" s="7" t="s">
        <v>1696</v>
      </c>
      <c r="H21" s="16" t="s">
        <v>8909</v>
      </c>
      <c r="I21" s="16" t="s">
        <v>8912</v>
      </c>
      <c r="J21" s="16" t="s">
        <v>8918</v>
      </c>
      <c r="K21" s="16" t="s">
        <v>8919</v>
      </c>
      <c r="L21" s="16" t="s">
        <v>8920</v>
      </c>
      <c r="M21" s="16" t="s">
        <v>8921</v>
      </c>
      <c r="N21" s="3" t="s">
        <v>8942</v>
      </c>
    </row>
    <row r="22">
      <c r="A22" s="15" t="s">
        <v>162</v>
      </c>
      <c r="B22" s="6" t="s">
        <v>5970</v>
      </c>
      <c r="C22" s="6" t="s">
        <v>724</v>
      </c>
      <c r="D22" s="6" t="s">
        <v>2788</v>
      </c>
      <c r="E22" s="7" t="s">
        <v>6561</v>
      </c>
      <c r="F22" s="6" t="s">
        <v>1695</v>
      </c>
      <c r="G22" s="7" t="s">
        <v>1696</v>
      </c>
      <c r="H22" s="16" t="s">
        <v>8909</v>
      </c>
      <c r="I22" s="16" t="s">
        <v>8912</v>
      </c>
      <c r="J22" s="16" t="s">
        <v>8913</v>
      </c>
      <c r="K22" s="16" t="s">
        <v>8934</v>
      </c>
      <c r="L22" s="16" t="s">
        <v>8927</v>
      </c>
      <c r="M22" s="16" t="s">
        <v>8935</v>
      </c>
      <c r="N22" s="3" t="s">
        <v>8943</v>
      </c>
    </row>
    <row r="23">
      <c r="A23" s="15" t="s">
        <v>162</v>
      </c>
      <c r="B23" s="6" t="s">
        <v>5259</v>
      </c>
      <c r="C23" s="6" t="s">
        <v>5260</v>
      </c>
      <c r="D23" s="6" t="s">
        <v>3868</v>
      </c>
      <c r="E23" s="7" t="s">
        <v>6562</v>
      </c>
      <c r="F23" s="6" t="s">
        <v>1695</v>
      </c>
      <c r="G23" s="7" t="s">
        <v>1696</v>
      </c>
      <c r="H23" s="16" t="s">
        <v>8909</v>
      </c>
      <c r="I23" s="16" t="s">
        <v>8912</v>
      </c>
      <c r="J23" s="16" t="s">
        <v>8926</v>
      </c>
      <c r="K23" s="16" t="s">
        <v>8914</v>
      </c>
      <c r="L23" s="16" t="s">
        <v>8927</v>
      </c>
      <c r="M23" s="16" t="s">
        <v>8916</v>
      </c>
      <c r="N23" s="3" t="s">
        <v>8944</v>
      </c>
    </row>
    <row r="24">
      <c r="A24" s="15" t="s">
        <v>162</v>
      </c>
      <c r="B24" s="6" t="s">
        <v>3667</v>
      </c>
      <c r="C24" s="6" t="s">
        <v>420</v>
      </c>
      <c r="D24" s="6" t="s">
        <v>1472</v>
      </c>
      <c r="E24" s="7" t="s">
        <v>6563</v>
      </c>
      <c r="F24" s="6" t="s">
        <v>1695</v>
      </c>
      <c r="G24" s="7" t="s">
        <v>1696</v>
      </c>
      <c r="H24" s="16" t="s">
        <v>8909</v>
      </c>
      <c r="I24" s="16" t="s">
        <v>8912</v>
      </c>
      <c r="J24" s="16" t="s">
        <v>8913</v>
      </c>
      <c r="K24" s="16" t="s">
        <v>8934</v>
      </c>
      <c r="L24" s="16" t="s">
        <v>8927</v>
      </c>
      <c r="M24" s="16" t="s">
        <v>8935</v>
      </c>
      <c r="N24" s="3" t="s">
        <v>8943</v>
      </c>
    </row>
    <row r="25">
      <c r="A25" s="15" t="s">
        <v>162</v>
      </c>
      <c r="B25" s="6" t="s">
        <v>5108</v>
      </c>
      <c r="C25" s="6" t="s">
        <v>5109</v>
      </c>
      <c r="D25" s="6" t="s">
        <v>342</v>
      </c>
      <c r="E25" s="7" t="s">
        <v>6565</v>
      </c>
      <c r="F25" s="6" t="s">
        <v>1695</v>
      </c>
      <c r="G25" s="7" t="s">
        <v>1696</v>
      </c>
      <c r="H25" s="16" t="s">
        <v>8909</v>
      </c>
      <c r="I25" s="16" t="s">
        <v>8912</v>
      </c>
      <c r="J25" s="16" t="s">
        <v>8918</v>
      </c>
      <c r="K25" s="16" t="s">
        <v>8919</v>
      </c>
      <c r="L25" s="16" t="s">
        <v>8931</v>
      </c>
      <c r="M25" s="16" t="s">
        <v>8924</v>
      </c>
      <c r="N25" s="3" t="s">
        <v>8945</v>
      </c>
    </row>
    <row r="26">
      <c r="A26" s="15" t="s">
        <v>162</v>
      </c>
      <c r="B26" s="6" t="s">
        <v>3035</v>
      </c>
      <c r="C26" s="6" t="s">
        <v>3036</v>
      </c>
      <c r="D26" s="6" t="s">
        <v>3037</v>
      </c>
      <c r="E26" s="7" t="s">
        <v>6566</v>
      </c>
      <c r="F26" s="6" t="s">
        <v>1695</v>
      </c>
      <c r="G26" s="7" t="s">
        <v>1696</v>
      </c>
      <c r="H26" s="16" t="s">
        <v>8909</v>
      </c>
      <c r="I26" s="16" t="s">
        <v>8912</v>
      </c>
      <c r="J26" s="16" t="s">
        <v>8918</v>
      </c>
      <c r="K26" s="16" t="s">
        <v>8919</v>
      </c>
      <c r="L26" s="16" t="s">
        <v>8920</v>
      </c>
      <c r="M26" s="16" t="s">
        <v>8921</v>
      </c>
      <c r="N26" s="3" t="s">
        <v>8946</v>
      </c>
    </row>
    <row r="27">
      <c r="A27" s="15" t="s">
        <v>162</v>
      </c>
      <c r="B27" s="6" t="s">
        <v>2211</v>
      </c>
      <c r="C27" s="6" t="s">
        <v>2212</v>
      </c>
      <c r="D27" s="6" t="s">
        <v>2213</v>
      </c>
      <c r="E27" s="7" t="s">
        <v>6568</v>
      </c>
      <c r="F27" s="6" t="s">
        <v>1695</v>
      </c>
      <c r="G27" s="7" t="s">
        <v>1696</v>
      </c>
      <c r="H27" s="16" t="s">
        <v>8909</v>
      </c>
      <c r="I27" s="16" t="s">
        <v>8912</v>
      </c>
      <c r="J27" s="16" t="s">
        <v>8913</v>
      </c>
      <c r="K27" s="16" t="s">
        <v>8934</v>
      </c>
      <c r="L27" s="16" t="s">
        <v>8927</v>
      </c>
      <c r="M27" s="16" t="s">
        <v>8935</v>
      </c>
      <c r="N27" s="3" t="s">
        <v>8947</v>
      </c>
    </row>
    <row r="28">
      <c r="A28" s="15" t="s">
        <v>162</v>
      </c>
      <c r="B28" s="6" t="s">
        <v>3232</v>
      </c>
      <c r="C28" s="6" t="s">
        <v>3233</v>
      </c>
      <c r="D28" s="6" t="s">
        <v>1814</v>
      </c>
      <c r="E28" s="7" t="s">
        <v>6570</v>
      </c>
      <c r="F28" s="6" t="s">
        <v>1695</v>
      </c>
      <c r="G28" s="7" t="s">
        <v>1696</v>
      </c>
      <c r="H28" s="16" t="s">
        <v>8909</v>
      </c>
      <c r="I28" s="16" t="s">
        <v>8912</v>
      </c>
      <c r="J28" s="16" t="s">
        <v>8918</v>
      </c>
      <c r="K28" s="16" t="s">
        <v>8919</v>
      </c>
      <c r="L28" s="16" t="s">
        <v>8931</v>
      </c>
      <c r="M28" s="16" t="s">
        <v>8924</v>
      </c>
    </row>
    <row r="29">
      <c r="A29" s="15" t="s">
        <v>162</v>
      </c>
      <c r="B29" s="6" t="s">
        <v>5323</v>
      </c>
      <c r="C29" s="6" t="s">
        <v>5324</v>
      </c>
      <c r="D29" s="6" t="s">
        <v>892</v>
      </c>
      <c r="E29" s="7" t="s">
        <v>6571</v>
      </c>
      <c r="F29" s="6" t="s">
        <v>1695</v>
      </c>
      <c r="G29" s="7" t="s">
        <v>1696</v>
      </c>
      <c r="H29" s="16" t="s">
        <v>8909</v>
      </c>
      <c r="I29" s="16" t="s">
        <v>8912</v>
      </c>
      <c r="J29" s="16" t="s">
        <v>8918</v>
      </c>
      <c r="K29" s="16" t="s">
        <v>8919</v>
      </c>
      <c r="L29" s="16" t="s">
        <v>8915</v>
      </c>
      <c r="M29" s="16" t="s">
        <v>8924</v>
      </c>
      <c r="N29" s="3" t="s">
        <v>8948</v>
      </c>
    </row>
    <row r="30">
      <c r="A30" s="15" t="s">
        <v>162</v>
      </c>
      <c r="B30" s="6" t="s">
        <v>3019</v>
      </c>
      <c r="C30" s="6" t="s">
        <v>3020</v>
      </c>
      <c r="D30" s="6" t="s">
        <v>3021</v>
      </c>
      <c r="E30" s="7" t="s">
        <v>6572</v>
      </c>
      <c r="F30" s="6" t="s">
        <v>1695</v>
      </c>
      <c r="G30" s="7" t="s">
        <v>1696</v>
      </c>
      <c r="H30" s="16" t="s">
        <v>8909</v>
      </c>
      <c r="I30" s="16" t="s">
        <v>8912</v>
      </c>
      <c r="J30" s="16" t="s">
        <v>8918</v>
      </c>
      <c r="K30" s="16" t="s">
        <v>8919</v>
      </c>
      <c r="L30" s="16" t="s">
        <v>8920</v>
      </c>
      <c r="M30" s="16" t="s">
        <v>8921</v>
      </c>
    </row>
    <row r="31">
      <c r="A31" s="15" t="s">
        <v>162</v>
      </c>
      <c r="B31" s="6" t="s">
        <v>2645</v>
      </c>
      <c r="C31" s="6" t="s">
        <v>2646</v>
      </c>
      <c r="D31" s="6" t="s">
        <v>2647</v>
      </c>
      <c r="E31" s="7" t="s">
        <v>6574</v>
      </c>
      <c r="F31" s="6" t="s">
        <v>1695</v>
      </c>
      <c r="G31" s="7" t="s">
        <v>1696</v>
      </c>
      <c r="H31" s="16" t="s">
        <v>8909</v>
      </c>
      <c r="I31" s="16" t="s">
        <v>8912</v>
      </c>
      <c r="J31" s="16" t="s">
        <v>8913</v>
      </c>
      <c r="K31" s="16" t="s">
        <v>8934</v>
      </c>
      <c r="L31" s="16" t="s">
        <v>8927</v>
      </c>
      <c r="M31" s="16" t="s">
        <v>8935</v>
      </c>
      <c r="N31" s="3" t="s">
        <v>8949</v>
      </c>
    </row>
    <row r="32">
      <c r="A32" s="15" t="s">
        <v>162</v>
      </c>
      <c r="B32" s="6" t="s">
        <v>5712</v>
      </c>
      <c r="C32" s="6" t="s">
        <v>16</v>
      </c>
      <c r="D32" s="6" t="s">
        <v>404</v>
      </c>
      <c r="E32" s="7" t="s">
        <v>6575</v>
      </c>
      <c r="F32" s="6" t="s">
        <v>1695</v>
      </c>
      <c r="G32" s="7" t="s">
        <v>1696</v>
      </c>
      <c r="H32" s="16" t="s">
        <v>8909</v>
      </c>
      <c r="I32" s="16" t="s">
        <v>8912</v>
      </c>
      <c r="J32" s="16" t="s">
        <v>8918</v>
      </c>
      <c r="K32" s="16" t="s">
        <v>8919</v>
      </c>
      <c r="L32" s="16" t="s">
        <v>8915</v>
      </c>
      <c r="M32" s="16" t="s">
        <v>8924</v>
      </c>
      <c r="N32" s="3" t="s">
        <v>8950</v>
      </c>
    </row>
    <row r="33">
      <c r="A33" s="15" t="s">
        <v>162</v>
      </c>
      <c r="B33" s="6" t="s">
        <v>1984</v>
      </c>
      <c r="C33" s="6" t="s">
        <v>513</v>
      </c>
      <c r="D33" s="6" t="s">
        <v>1271</v>
      </c>
      <c r="E33" s="7" t="s">
        <v>6576</v>
      </c>
      <c r="F33" s="6" t="s">
        <v>1695</v>
      </c>
      <c r="G33" s="7" t="s">
        <v>1696</v>
      </c>
      <c r="H33" s="16" t="s">
        <v>8909</v>
      </c>
      <c r="I33" s="16" t="s">
        <v>8912</v>
      </c>
      <c r="J33" s="16" t="s">
        <v>8926</v>
      </c>
      <c r="K33" s="16" t="s">
        <v>8914</v>
      </c>
      <c r="L33" s="16" t="s">
        <v>8915</v>
      </c>
      <c r="M33" s="16" t="s">
        <v>8938</v>
      </c>
      <c r="N33" s="3" t="s">
        <v>8951</v>
      </c>
    </row>
    <row r="34">
      <c r="A34" s="15" t="s">
        <v>162</v>
      </c>
      <c r="B34" s="6" t="s">
        <v>2755</v>
      </c>
      <c r="C34" s="6" t="s">
        <v>2756</v>
      </c>
      <c r="D34" s="6" t="s">
        <v>1271</v>
      </c>
      <c r="E34" s="7" t="s">
        <v>6577</v>
      </c>
      <c r="F34" s="6" t="s">
        <v>1695</v>
      </c>
      <c r="G34" s="7" t="s">
        <v>1696</v>
      </c>
      <c r="H34" s="16" t="s">
        <v>8909</v>
      </c>
      <c r="I34" s="16" t="s">
        <v>8912</v>
      </c>
      <c r="J34" s="16" t="s">
        <v>8913</v>
      </c>
      <c r="K34" s="16" t="s">
        <v>8934</v>
      </c>
      <c r="L34" s="16" t="s">
        <v>8952</v>
      </c>
      <c r="M34" s="16" t="s">
        <v>8935</v>
      </c>
    </row>
    <row r="35">
      <c r="A35" s="15" t="s">
        <v>162</v>
      </c>
      <c r="B35" s="6" t="s">
        <v>2578</v>
      </c>
      <c r="C35" s="6" t="s">
        <v>1114</v>
      </c>
      <c r="D35" s="6" t="s">
        <v>2579</v>
      </c>
      <c r="E35" s="7" t="s">
        <v>6579</v>
      </c>
      <c r="F35" s="6" t="s">
        <v>1695</v>
      </c>
      <c r="G35" s="7" t="s">
        <v>1696</v>
      </c>
      <c r="H35" s="16" t="s">
        <v>8909</v>
      </c>
      <c r="I35" s="16" t="s">
        <v>8912</v>
      </c>
      <c r="J35" s="16" t="s">
        <v>8913</v>
      </c>
      <c r="K35" s="16" t="s">
        <v>8934</v>
      </c>
      <c r="L35" s="16" t="s">
        <v>8927</v>
      </c>
      <c r="M35" s="16" t="s">
        <v>8935</v>
      </c>
      <c r="N35" s="3" t="s">
        <v>8949</v>
      </c>
    </row>
    <row r="36">
      <c r="A36" s="15" t="s">
        <v>162</v>
      </c>
      <c r="B36" s="6" t="s">
        <v>3130</v>
      </c>
      <c r="C36" s="6" t="s">
        <v>3131</v>
      </c>
      <c r="D36" s="6" t="s">
        <v>3132</v>
      </c>
      <c r="E36" s="7" t="s">
        <v>6580</v>
      </c>
      <c r="F36" s="6" t="s">
        <v>1695</v>
      </c>
      <c r="G36" s="7" t="s">
        <v>1696</v>
      </c>
      <c r="H36" s="16" t="s">
        <v>8909</v>
      </c>
      <c r="I36" s="16" t="s">
        <v>8912</v>
      </c>
      <c r="J36" s="16" t="s">
        <v>8918</v>
      </c>
      <c r="K36" s="16" t="s">
        <v>8919</v>
      </c>
      <c r="L36" s="16" t="s">
        <v>8931</v>
      </c>
      <c r="M36" s="16" t="s">
        <v>8924</v>
      </c>
      <c r="N36" s="3" t="s">
        <v>8953</v>
      </c>
    </row>
    <row r="37">
      <c r="A37" s="15" t="s">
        <v>162</v>
      </c>
      <c r="B37" s="6" t="s">
        <v>2256</v>
      </c>
      <c r="C37" s="6" t="s">
        <v>1924</v>
      </c>
      <c r="D37" s="6" t="s">
        <v>2257</v>
      </c>
      <c r="E37" s="7" t="s">
        <v>6538</v>
      </c>
      <c r="F37" s="6" t="s">
        <v>1695</v>
      </c>
      <c r="G37" s="7" t="s">
        <v>1696</v>
      </c>
      <c r="H37" s="16" t="s">
        <v>8909</v>
      </c>
      <c r="I37" s="16" t="s">
        <v>8954</v>
      </c>
      <c r="J37" s="7"/>
      <c r="K37" s="7"/>
      <c r="L37" s="7"/>
      <c r="M37" s="7"/>
    </row>
    <row r="38">
      <c r="A38" s="15" t="s">
        <v>162</v>
      </c>
      <c r="B38" s="6" t="s">
        <v>3405</v>
      </c>
      <c r="C38" s="6" t="s">
        <v>3406</v>
      </c>
      <c r="D38" s="6" t="s">
        <v>196</v>
      </c>
      <c r="E38" s="7" t="s">
        <v>6557</v>
      </c>
      <c r="F38" s="6" t="s">
        <v>1695</v>
      </c>
      <c r="G38" s="7" t="s">
        <v>1696</v>
      </c>
      <c r="H38" s="16" t="s">
        <v>8909</v>
      </c>
      <c r="I38" s="16" t="s">
        <v>8954</v>
      </c>
      <c r="J38" s="7"/>
      <c r="K38" s="7"/>
      <c r="L38" s="7"/>
      <c r="M38" s="7"/>
    </row>
    <row r="39">
      <c r="A39" s="15" t="s">
        <v>162</v>
      </c>
      <c r="B39" s="6" t="s">
        <v>6177</v>
      </c>
      <c r="C39" s="6" t="s">
        <v>6178</v>
      </c>
      <c r="D39" s="6" t="s">
        <v>3100</v>
      </c>
      <c r="E39" s="7" t="s">
        <v>6560</v>
      </c>
      <c r="F39" s="6" t="s">
        <v>1695</v>
      </c>
      <c r="G39" s="7" t="s">
        <v>1696</v>
      </c>
      <c r="H39" s="16" t="s">
        <v>8909</v>
      </c>
      <c r="I39" s="16" t="s">
        <v>8954</v>
      </c>
      <c r="J39" s="7"/>
      <c r="K39" s="7"/>
      <c r="L39" s="7"/>
      <c r="M39" s="7"/>
    </row>
    <row r="40">
      <c r="A40" s="15" t="s">
        <v>162</v>
      </c>
      <c r="B40" s="6" t="s">
        <v>2995</v>
      </c>
      <c r="C40" s="6" t="s">
        <v>2996</v>
      </c>
      <c r="D40" s="6" t="s">
        <v>2997</v>
      </c>
      <c r="E40" s="7" t="s">
        <v>6564</v>
      </c>
      <c r="F40" s="6" t="s">
        <v>1695</v>
      </c>
      <c r="G40" s="7" t="s">
        <v>1696</v>
      </c>
      <c r="H40" s="16" t="s">
        <v>8909</v>
      </c>
      <c r="I40" s="16" t="s">
        <v>8954</v>
      </c>
      <c r="J40" s="7"/>
      <c r="K40" s="7"/>
      <c r="L40" s="7"/>
      <c r="M40" s="7"/>
    </row>
    <row r="41">
      <c r="A41" s="15" t="s">
        <v>162</v>
      </c>
      <c r="B41" s="6" t="s">
        <v>4410</v>
      </c>
      <c r="C41" s="6" t="s">
        <v>2566</v>
      </c>
      <c r="D41" s="6" t="s">
        <v>3919</v>
      </c>
      <c r="E41" s="7" t="s">
        <v>6567</v>
      </c>
      <c r="F41" s="6" t="s">
        <v>1695</v>
      </c>
      <c r="G41" s="7" t="s">
        <v>1696</v>
      </c>
      <c r="H41" s="16" t="s">
        <v>8909</v>
      </c>
      <c r="I41" s="16" t="s">
        <v>8954</v>
      </c>
      <c r="J41" s="7"/>
      <c r="K41" s="7"/>
      <c r="L41" s="7"/>
      <c r="M41" s="7"/>
    </row>
    <row r="42">
      <c r="A42" s="15" t="s">
        <v>162</v>
      </c>
      <c r="B42" s="6" t="s">
        <v>3566</v>
      </c>
      <c r="C42" s="6" t="s">
        <v>3567</v>
      </c>
      <c r="D42" s="6" t="s">
        <v>2727</v>
      </c>
      <c r="E42" s="7" t="s">
        <v>6535</v>
      </c>
      <c r="F42" s="6" t="s">
        <v>1695</v>
      </c>
      <c r="G42" s="7" t="s">
        <v>1696</v>
      </c>
      <c r="H42" s="16" t="s">
        <v>8909</v>
      </c>
      <c r="I42" s="16" t="s">
        <v>8955</v>
      </c>
      <c r="J42" s="7"/>
      <c r="K42" s="7"/>
      <c r="L42" s="7"/>
      <c r="M42" s="7"/>
    </row>
    <row r="43">
      <c r="A43" s="15" t="s">
        <v>162</v>
      </c>
      <c r="B43" s="6" t="s">
        <v>5182</v>
      </c>
      <c r="C43" s="6" t="s">
        <v>5183</v>
      </c>
      <c r="D43" s="6" t="s">
        <v>5184</v>
      </c>
      <c r="E43" s="7" t="s">
        <v>6541</v>
      </c>
      <c r="F43" s="6" t="s">
        <v>1695</v>
      </c>
      <c r="G43" s="7" t="s">
        <v>1696</v>
      </c>
      <c r="H43" s="16" t="s">
        <v>8909</v>
      </c>
      <c r="I43" s="16" t="s">
        <v>8955</v>
      </c>
      <c r="J43" s="7"/>
      <c r="K43" s="7"/>
      <c r="L43" s="7"/>
      <c r="M43" s="7"/>
    </row>
    <row r="44">
      <c r="A44" s="15" t="s">
        <v>162</v>
      </c>
      <c r="B44" s="6" t="s">
        <v>4019</v>
      </c>
      <c r="C44" s="6" t="s">
        <v>4020</v>
      </c>
      <c r="D44" s="6" t="s">
        <v>510</v>
      </c>
      <c r="E44" s="7" t="s">
        <v>6543</v>
      </c>
      <c r="F44" s="6" t="s">
        <v>1695</v>
      </c>
      <c r="G44" s="7" t="s">
        <v>1696</v>
      </c>
      <c r="H44" s="16" t="s">
        <v>8909</v>
      </c>
      <c r="I44" s="16" t="s">
        <v>8955</v>
      </c>
      <c r="J44" s="7"/>
      <c r="K44" s="7"/>
      <c r="L44" s="7"/>
      <c r="M44" s="7"/>
    </row>
    <row r="45">
      <c r="A45" s="15" t="s">
        <v>162</v>
      </c>
      <c r="B45" s="6" t="s">
        <v>2260</v>
      </c>
      <c r="C45" s="6" t="s">
        <v>697</v>
      </c>
      <c r="D45" s="6" t="s">
        <v>2261</v>
      </c>
      <c r="E45" s="7" t="s">
        <v>6545</v>
      </c>
      <c r="F45" s="6" t="s">
        <v>1695</v>
      </c>
      <c r="G45" s="7" t="s">
        <v>1696</v>
      </c>
      <c r="H45" s="16" t="s">
        <v>8909</v>
      </c>
      <c r="I45" s="16" t="s">
        <v>8955</v>
      </c>
      <c r="J45" s="7"/>
      <c r="K45" s="7"/>
      <c r="L45" s="7"/>
      <c r="M45" s="7"/>
    </row>
    <row r="46">
      <c r="A46" s="15" t="s">
        <v>162</v>
      </c>
      <c r="B46" s="6" t="s">
        <v>1853</v>
      </c>
      <c r="C46" s="6" t="s">
        <v>104</v>
      </c>
      <c r="D46" s="6" t="s">
        <v>105</v>
      </c>
      <c r="E46" s="7" t="s">
        <v>6547</v>
      </c>
      <c r="F46" s="6" t="s">
        <v>1695</v>
      </c>
      <c r="G46" s="7" t="s">
        <v>1696</v>
      </c>
      <c r="H46" s="16" t="s">
        <v>8909</v>
      </c>
      <c r="I46" s="16" t="s">
        <v>8955</v>
      </c>
      <c r="J46" s="7"/>
      <c r="K46" s="7"/>
      <c r="L46" s="7"/>
      <c r="M46" s="7"/>
    </row>
    <row r="47">
      <c r="A47" s="15" t="s">
        <v>162</v>
      </c>
      <c r="B47" s="6" t="s">
        <v>5180</v>
      </c>
      <c r="C47" s="6" t="s">
        <v>5181</v>
      </c>
      <c r="D47" s="6" t="s">
        <v>1905</v>
      </c>
      <c r="E47" s="7" t="s">
        <v>6548</v>
      </c>
      <c r="F47" s="6" t="s">
        <v>1695</v>
      </c>
      <c r="G47" s="7" t="s">
        <v>1696</v>
      </c>
      <c r="H47" s="16" t="s">
        <v>8909</v>
      </c>
      <c r="I47" s="16" t="s">
        <v>8955</v>
      </c>
      <c r="J47" s="7"/>
      <c r="K47" s="7"/>
      <c r="L47" s="7"/>
      <c r="M47" s="7"/>
    </row>
    <row r="48">
      <c r="A48" s="15" t="s">
        <v>162</v>
      </c>
      <c r="B48" s="6" t="s">
        <v>3905</v>
      </c>
      <c r="C48" s="6" t="s">
        <v>3906</v>
      </c>
      <c r="D48" s="6" t="s">
        <v>2263</v>
      </c>
      <c r="E48" s="7" t="s">
        <v>6558</v>
      </c>
      <c r="F48" s="6" t="s">
        <v>1695</v>
      </c>
      <c r="G48" s="7" t="s">
        <v>1696</v>
      </c>
      <c r="H48" s="16" t="s">
        <v>8909</v>
      </c>
      <c r="I48" s="16" t="s">
        <v>8955</v>
      </c>
      <c r="J48" s="7"/>
      <c r="K48" s="7"/>
      <c r="L48" s="7"/>
      <c r="M48" s="7"/>
    </row>
    <row r="49">
      <c r="A49" s="15" t="s">
        <v>162</v>
      </c>
      <c r="B49" s="6" t="s">
        <v>4564</v>
      </c>
      <c r="C49" s="6" t="s">
        <v>4565</v>
      </c>
      <c r="D49" s="6" t="s">
        <v>4566</v>
      </c>
      <c r="E49" s="7" t="s">
        <v>6558</v>
      </c>
      <c r="F49" s="6" t="s">
        <v>1695</v>
      </c>
      <c r="G49" s="7" t="s">
        <v>1696</v>
      </c>
      <c r="H49" s="16" t="s">
        <v>8909</v>
      </c>
      <c r="I49" s="16" t="s">
        <v>8955</v>
      </c>
      <c r="J49" s="7"/>
      <c r="K49" s="7"/>
      <c r="L49" s="7"/>
      <c r="M49" s="7"/>
      <c r="N49" s="3" t="s">
        <v>8956</v>
      </c>
    </row>
    <row r="50">
      <c r="A50" s="15" t="s">
        <v>162</v>
      </c>
      <c r="B50" s="6" t="s">
        <v>5533</v>
      </c>
      <c r="C50" s="6" t="s">
        <v>5534</v>
      </c>
      <c r="D50" s="6" t="s">
        <v>3645</v>
      </c>
      <c r="E50" s="7" t="s">
        <v>6569</v>
      </c>
      <c r="F50" s="6" t="s">
        <v>1695</v>
      </c>
      <c r="G50" s="7" t="s">
        <v>1696</v>
      </c>
      <c r="H50" s="16" t="s">
        <v>8909</v>
      </c>
      <c r="I50" s="16" t="s">
        <v>8955</v>
      </c>
      <c r="J50" s="7"/>
      <c r="K50" s="7"/>
      <c r="L50" s="7"/>
      <c r="M50" s="7"/>
    </row>
    <row r="51">
      <c r="A51" s="15" t="s">
        <v>162</v>
      </c>
      <c r="B51" s="6" t="s">
        <v>3308</v>
      </c>
      <c r="C51" s="6" t="s">
        <v>3309</v>
      </c>
      <c r="D51" s="6" t="s">
        <v>1503</v>
      </c>
      <c r="E51" s="7" t="s">
        <v>6573</v>
      </c>
      <c r="F51" s="6" t="s">
        <v>1695</v>
      </c>
      <c r="G51" s="7" t="s">
        <v>1696</v>
      </c>
      <c r="H51" s="16" t="s">
        <v>8909</v>
      </c>
      <c r="I51" s="16" t="s">
        <v>8955</v>
      </c>
      <c r="J51" s="7"/>
      <c r="K51" s="7"/>
      <c r="L51" s="7"/>
      <c r="M51" s="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0"/>
    <col customWidth="1" min="7" max="7" width="25.75"/>
    <col customWidth="1" min="9" max="9" width="18.5"/>
  </cols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>
      <c r="A2" s="15" t="s">
        <v>3184</v>
      </c>
      <c r="B2" s="6" t="s">
        <v>2204</v>
      </c>
      <c r="C2" s="6" t="s">
        <v>2205</v>
      </c>
      <c r="D2" s="6" t="s">
        <v>1164</v>
      </c>
      <c r="E2" s="7" t="s">
        <v>6581</v>
      </c>
      <c r="F2" s="6" t="s">
        <v>1695</v>
      </c>
      <c r="G2" s="7" t="s">
        <v>1696</v>
      </c>
      <c r="H2" s="16" t="s">
        <v>8909</v>
      </c>
      <c r="I2" s="16" t="s">
        <v>8912</v>
      </c>
      <c r="J2" s="16" t="s">
        <v>8918</v>
      </c>
      <c r="K2" s="16" t="s">
        <v>8919</v>
      </c>
      <c r="L2" s="16" t="s">
        <v>8920</v>
      </c>
      <c r="M2" s="16" t="s">
        <v>8921</v>
      </c>
      <c r="N2" s="3" t="s">
        <v>8957</v>
      </c>
    </row>
    <row r="3">
      <c r="A3" s="15" t="s">
        <v>3184</v>
      </c>
      <c r="B3" s="6" t="s">
        <v>2604</v>
      </c>
      <c r="C3" s="6" t="s">
        <v>2605</v>
      </c>
      <c r="D3" s="6" t="s">
        <v>404</v>
      </c>
      <c r="E3" s="7" t="s">
        <v>6582</v>
      </c>
      <c r="F3" s="6" t="s">
        <v>1695</v>
      </c>
      <c r="G3" s="7" t="s">
        <v>1696</v>
      </c>
      <c r="H3" s="16" t="s">
        <v>8909</v>
      </c>
      <c r="I3" s="16" t="s">
        <v>8912</v>
      </c>
      <c r="J3" s="16" t="s">
        <v>8913</v>
      </c>
      <c r="K3" s="16" t="s">
        <v>8934</v>
      </c>
      <c r="L3" s="16" t="s">
        <v>8927</v>
      </c>
      <c r="M3" s="16" t="s">
        <v>8935</v>
      </c>
      <c r="N3" s="3" t="s">
        <v>8958</v>
      </c>
    </row>
    <row r="4">
      <c r="A4" s="15" t="s">
        <v>3184</v>
      </c>
      <c r="B4" s="6" t="s">
        <v>1718</v>
      </c>
      <c r="C4" s="6" t="s">
        <v>270</v>
      </c>
      <c r="D4" s="6" t="s">
        <v>274</v>
      </c>
      <c r="E4" s="7" t="s">
        <v>6583</v>
      </c>
      <c r="F4" s="6" t="s">
        <v>1695</v>
      </c>
      <c r="G4" s="7" t="s">
        <v>1696</v>
      </c>
      <c r="H4" s="16" t="s">
        <v>8909</v>
      </c>
      <c r="I4" s="16" t="s">
        <v>8912</v>
      </c>
      <c r="J4" s="16" t="s">
        <v>8918</v>
      </c>
      <c r="K4" s="16" t="s">
        <v>8919</v>
      </c>
      <c r="L4" s="16" t="s">
        <v>8920</v>
      </c>
      <c r="M4" s="16" t="s">
        <v>8921</v>
      </c>
      <c r="N4" s="3" t="s">
        <v>8959</v>
      </c>
    </row>
    <row r="5">
      <c r="A5" s="15" t="s">
        <v>3184</v>
      </c>
      <c r="B5" s="6" t="s">
        <v>5202</v>
      </c>
      <c r="C5" s="6" t="s">
        <v>5203</v>
      </c>
      <c r="D5" s="6" t="s">
        <v>5204</v>
      </c>
      <c r="E5" s="7" t="s">
        <v>6584</v>
      </c>
      <c r="F5" s="6" t="s">
        <v>1695</v>
      </c>
      <c r="G5" s="7" t="s">
        <v>1696</v>
      </c>
      <c r="H5" s="16" t="s">
        <v>8909</v>
      </c>
      <c r="I5" s="16" t="s">
        <v>8912</v>
      </c>
      <c r="J5" s="16" t="s">
        <v>8918</v>
      </c>
      <c r="K5" s="16" t="s">
        <v>8919</v>
      </c>
      <c r="L5" s="16" t="s">
        <v>8915</v>
      </c>
      <c r="M5" s="16" t="s">
        <v>8921</v>
      </c>
      <c r="N5" s="3" t="s">
        <v>8960</v>
      </c>
    </row>
    <row r="6">
      <c r="A6" s="15" t="s">
        <v>3184</v>
      </c>
      <c r="B6" s="6" t="s">
        <v>5497</v>
      </c>
      <c r="C6" s="6" t="s">
        <v>5498</v>
      </c>
      <c r="D6" s="6" t="s">
        <v>5499</v>
      </c>
      <c r="E6" s="7" t="s">
        <v>6585</v>
      </c>
      <c r="F6" s="6" t="s">
        <v>1695</v>
      </c>
      <c r="G6" s="7" t="s">
        <v>1696</v>
      </c>
      <c r="H6" s="16" t="s">
        <v>8909</v>
      </c>
      <c r="I6" s="16" t="s">
        <v>8912</v>
      </c>
      <c r="J6" s="16" t="s">
        <v>8918</v>
      </c>
      <c r="K6" s="16" t="s">
        <v>8919</v>
      </c>
      <c r="L6" s="16" t="s">
        <v>8920</v>
      </c>
      <c r="M6" s="16" t="s">
        <v>8921</v>
      </c>
    </row>
    <row r="7">
      <c r="A7" s="15" t="s">
        <v>3184</v>
      </c>
      <c r="B7" s="6" t="s">
        <v>1861</v>
      </c>
      <c r="C7" s="6" t="s">
        <v>1862</v>
      </c>
      <c r="D7" s="6" t="s">
        <v>1863</v>
      </c>
      <c r="E7" s="7" t="s">
        <v>6586</v>
      </c>
      <c r="F7" s="6" t="s">
        <v>1695</v>
      </c>
      <c r="G7" s="7" t="s">
        <v>1696</v>
      </c>
      <c r="H7" s="16" t="s">
        <v>8909</v>
      </c>
      <c r="I7" s="16" t="s">
        <v>8912</v>
      </c>
      <c r="J7" s="16" t="s">
        <v>8918</v>
      </c>
      <c r="K7" s="16" t="s">
        <v>8919</v>
      </c>
      <c r="L7" s="16" t="s">
        <v>8920</v>
      </c>
      <c r="M7" s="16" t="s">
        <v>8921</v>
      </c>
      <c r="N7" s="3" t="s">
        <v>8961</v>
      </c>
    </row>
    <row r="8">
      <c r="A8" s="15" t="s">
        <v>3184</v>
      </c>
      <c r="B8" s="6" t="s">
        <v>2284</v>
      </c>
      <c r="C8" s="6" t="s">
        <v>208</v>
      </c>
      <c r="D8" s="6" t="s">
        <v>1069</v>
      </c>
      <c r="E8" s="7" t="s">
        <v>6588</v>
      </c>
      <c r="F8" s="6" t="s">
        <v>1695</v>
      </c>
      <c r="G8" s="7" t="s">
        <v>1696</v>
      </c>
      <c r="H8" s="16" t="s">
        <v>8909</v>
      </c>
      <c r="I8" s="16" t="s">
        <v>8912</v>
      </c>
      <c r="J8" s="16" t="s">
        <v>8918</v>
      </c>
      <c r="K8" s="16" t="s">
        <v>8919</v>
      </c>
      <c r="L8" s="16" t="s">
        <v>8920</v>
      </c>
      <c r="M8" s="16" t="s">
        <v>8962</v>
      </c>
    </row>
    <row r="9">
      <c r="A9" s="15" t="s">
        <v>3184</v>
      </c>
      <c r="B9" s="6" t="s">
        <v>1795</v>
      </c>
      <c r="C9" s="6" t="s">
        <v>356</v>
      </c>
      <c r="D9" s="6" t="s">
        <v>1796</v>
      </c>
      <c r="E9" s="7" t="s">
        <v>6589</v>
      </c>
      <c r="F9" s="6" t="s">
        <v>1695</v>
      </c>
      <c r="G9" s="7" t="s">
        <v>1696</v>
      </c>
      <c r="H9" s="16" t="s">
        <v>8909</v>
      </c>
      <c r="I9" s="16" t="s">
        <v>8912</v>
      </c>
      <c r="J9" s="16" t="s">
        <v>8913</v>
      </c>
      <c r="K9" s="16" t="s">
        <v>8934</v>
      </c>
      <c r="L9" s="16" t="s">
        <v>8920</v>
      </c>
      <c r="M9" s="16" t="s">
        <v>8935</v>
      </c>
      <c r="N9" s="3" t="s">
        <v>8963</v>
      </c>
    </row>
    <row r="10">
      <c r="A10" s="15" t="s">
        <v>3184</v>
      </c>
      <c r="B10" s="6" t="s">
        <v>2694</v>
      </c>
      <c r="C10" s="6" t="s">
        <v>162</v>
      </c>
      <c r="D10" s="6" t="s">
        <v>2695</v>
      </c>
      <c r="E10" s="7" t="s">
        <v>6595</v>
      </c>
      <c r="F10" s="6" t="s">
        <v>1695</v>
      </c>
      <c r="G10" s="7" t="s">
        <v>1696</v>
      </c>
      <c r="H10" s="16" t="s">
        <v>8909</v>
      </c>
      <c r="I10" s="16" t="s">
        <v>8912</v>
      </c>
      <c r="J10" s="16" t="s">
        <v>8918</v>
      </c>
      <c r="K10" s="16" t="s">
        <v>8919</v>
      </c>
      <c r="L10" s="16" t="s">
        <v>8920</v>
      </c>
      <c r="M10" s="16" t="s">
        <v>8964</v>
      </c>
      <c r="N10" s="3" t="s">
        <v>8965</v>
      </c>
    </row>
    <row r="11">
      <c r="A11" s="15" t="s">
        <v>3184</v>
      </c>
      <c r="B11" s="6" t="s">
        <v>1922</v>
      </c>
      <c r="C11" s="6" t="s">
        <v>1923</v>
      </c>
      <c r="D11" s="6" t="s">
        <v>1924</v>
      </c>
      <c r="E11" s="7" t="s">
        <v>6596</v>
      </c>
      <c r="F11" s="6" t="s">
        <v>1695</v>
      </c>
      <c r="G11" s="7" t="s">
        <v>1696</v>
      </c>
      <c r="H11" s="16" t="s">
        <v>8909</v>
      </c>
      <c r="I11" s="16" t="s">
        <v>8912</v>
      </c>
      <c r="J11" s="16" t="s">
        <v>8918</v>
      </c>
      <c r="K11" s="16" t="s">
        <v>8919</v>
      </c>
      <c r="L11" s="16" t="s">
        <v>8920</v>
      </c>
      <c r="M11" s="16" t="s">
        <v>8921</v>
      </c>
      <c r="N11" s="3" t="s">
        <v>8966</v>
      </c>
    </row>
    <row r="12">
      <c r="A12" s="15" t="s">
        <v>3184</v>
      </c>
      <c r="B12" s="6" t="s">
        <v>2380</v>
      </c>
      <c r="C12" s="6" t="s">
        <v>1215</v>
      </c>
      <c r="D12" s="6" t="s">
        <v>1561</v>
      </c>
      <c r="E12" s="7" t="s">
        <v>6598</v>
      </c>
      <c r="F12" s="6" t="s">
        <v>1695</v>
      </c>
      <c r="G12" s="7" t="s">
        <v>1696</v>
      </c>
      <c r="H12" s="16" t="s">
        <v>8909</v>
      </c>
      <c r="I12" s="16" t="s">
        <v>8912</v>
      </c>
      <c r="J12" s="16" t="s">
        <v>8913</v>
      </c>
      <c r="K12" s="16" t="s">
        <v>8934</v>
      </c>
      <c r="L12" s="16" t="s">
        <v>8927</v>
      </c>
      <c r="M12" s="16" t="s">
        <v>8935</v>
      </c>
      <c r="N12" s="3" t="s">
        <v>8967</v>
      </c>
    </row>
    <row r="13">
      <c r="A13" s="15" t="s">
        <v>3184</v>
      </c>
      <c r="B13" s="6" t="s">
        <v>6032</v>
      </c>
      <c r="C13" s="6" t="s">
        <v>6033</v>
      </c>
      <c r="D13" s="6" t="s">
        <v>320</v>
      </c>
      <c r="E13" s="7" t="s">
        <v>6599</v>
      </c>
      <c r="F13" s="6" t="s">
        <v>1695</v>
      </c>
      <c r="G13" s="7" t="s">
        <v>1696</v>
      </c>
      <c r="H13" s="16" t="s">
        <v>8909</v>
      </c>
      <c r="I13" s="16" t="s">
        <v>8912</v>
      </c>
      <c r="J13" s="16" t="s">
        <v>8926</v>
      </c>
      <c r="K13" s="16" t="s">
        <v>8914</v>
      </c>
      <c r="L13" s="16" t="s">
        <v>8915</v>
      </c>
      <c r="M13" s="16" t="s">
        <v>8938</v>
      </c>
    </row>
    <row r="14">
      <c r="A14" s="15" t="s">
        <v>3184</v>
      </c>
      <c r="B14" s="6" t="s">
        <v>6381</v>
      </c>
      <c r="C14" s="6" t="s">
        <v>6382</v>
      </c>
      <c r="D14" s="6" t="s">
        <v>218</v>
      </c>
      <c r="E14" s="7" t="s">
        <v>6602</v>
      </c>
      <c r="F14" s="6" t="s">
        <v>1695</v>
      </c>
      <c r="G14" s="7" t="s">
        <v>6318</v>
      </c>
      <c r="H14" s="16" t="s">
        <v>8909</v>
      </c>
      <c r="I14" s="16" t="s">
        <v>8912</v>
      </c>
      <c r="J14" s="16" t="s">
        <v>8913</v>
      </c>
      <c r="K14" s="16" t="s">
        <v>8934</v>
      </c>
      <c r="L14" s="16" t="s">
        <v>8915</v>
      </c>
      <c r="M14" s="16" t="s">
        <v>8935</v>
      </c>
      <c r="N14" s="3" t="s">
        <v>8968</v>
      </c>
    </row>
    <row r="15">
      <c r="A15" s="15" t="s">
        <v>3184</v>
      </c>
      <c r="B15" s="6" t="s">
        <v>4646</v>
      </c>
      <c r="C15" s="6" t="s">
        <v>1893</v>
      </c>
      <c r="D15" s="6" t="s">
        <v>4647</v>
      </c>
      <c r="E15" s="7" t="s">
        <v>6603</v>
      </c>
      <c r="F15" s="6" t="s">
        <v>1695</v>
      </c>
      <c r="G15" s="7" t="s">
        <v>1696</v>
      </c>
      <c r="H15" s="16" t="s">
        <v>8909</v>
      </c>
      <c r="I15" s="16" t="s">
        <v>8912</v>
      </c>
      <c r="J15" s="16" t="s">
        <v>8913</v>
      </c>
      <c r="K15" s="16" t="s">
        <v>8934</v>
      </c>
      <c r="L15" s="16" t="s">
        <v>8927</v>
      </c>
      <c r="M15" s="16" t="s">
        <v>8935</v>
      </c>
      <c r="N15" s="3" t="s">
        <v>8968</v>
      </c>
    </row>
    <row r="16">
      <c r="A16" s="15" t="s">
        <v>3184</v>
      </c>
      <c r="B16" s="6" t="s">
        <v>3612</v>
      </c>
      <c r="C16" s="6" t="s">
        <v>3613</v>
      </c>
      <c r="D16" s="6" t="s">
        <v>3614</v>
      </c>
      <c r="E16" s="7" t="s">
        <v>6604</v>
      </c>
      <c r="F16" s="6" t="s">
        <v>1695</v>
      </c>
      <c r="G16" s="7" t="s">
        <v>1696</v>
      </c>
      <c r="H16" s="16" t="s">
        <v>8909</v>
      </c>
      <c r="I16" s="16" t="s">
        <v>8912</v>
      </c>
      <c r="J16" s="16" t="s">
        <v>8918</v>
      </c>
      <c r="K16" s="16" t="s">
        <v>8919</v>
      </c>
      <c r="L16" s="16" t="s">
        <v>8923</v>
      </c>
      <c r="M16" s="16" t="s">
        <v>8924</v>
      </c>
    </row>
    <row r="17">
      <c r="A17" s="15" t="s">
        <v>3184</v>
      </c>
      <c r="B17" s="6" t="s">
        <v>5507</v>
      </c>
      <c r="C17" s="6" t="s">
        <v>85</v>
      </c>
      <c r="D17" s="6" t="s">
        <v>1512</v>
      </c>
      <c r="E17" s="7" t="s">
        <v>6606</v>
      </c>
      <c r="F17" s="6" t="s">
        <v>1695</v>
      </c>
      <c r="G17" s="7" t="s">
        <v>1696</v>
      </c>
      <c r="H17" s="16" t="s">
        <v>8909</v>
      </c>
      <c r="I17" s="16" t="s">
        <v>8912</v>
      </c>
      <c r="J17" s="16" t="s">
        <v>8913</v>
      </c>
      <c r="K17" s="16" t="s">
        <v>8934</v>
      </c>
      <c r="L17" s="16" t="s">
        <v>8927</v>
      </c>
      <c r="M17" s="16" t="s">
        <v>8935</v>
      </c>
      <c r="N17" s="3" t="s">
        <v>8969</v>
      </c>
    </row>
    <row r="18">
      <c r="A18" s="15" t="s">
        <v>3184</v>
      </c>
      <c r="B18" s="6" t="s">
        <v>3226</v>
      </c>
      <c r="C18" s="6" t="s">
        <v>2200</v>
      </c>
      <c r="D18" s="6" t="s">
        <v>2395</v>
      </c>
      <c r="E18" s="7" t="s">
        <v>6607</v>
      </c>
      <c r="F18" s="6" t="s">
        <v>1695</v>
      </c>
      <c r="G18" s="7" t="s">
        <v>1696</v>
      </c>
      <c r="H18" s="16" t="s">
        <v>8909</v>
      </c>
      <c r="I18" s="16" t="s">
        <v>8912</v>
      </c>
      <c r="J18" s="16" t="s">
        <v>8918</v>
      </c>
      <c r="K18" s="16" t="s">
        <v>8919</v>
      </c>
      <c r="L18" s="16" t="s">
        <v>8927</v>
      </c>
      <c r="M18" s="16" t="s">
        <v>8924</v>
      </c>
      <c r="N18" s="3" t="s">
        <v>8970</v>
      </c>
    </row>
    <row r="19">
      <c r="A19" s="15" t="s">
        <v>3184</v>
      </c>
      <c r="B19" s="6" t="s">
        <v>3653</v>
      </c>
      <c r="C19" s="6" t="s">
        <v>534</v>
      </c>
      <c r="D19" s="6" t="s">
        <v>3654</v>
      </c>
      <c r="E19" s="7" t="s">
        <v>6608</v>
      </c>
      <c r="F19" s="6" t="s">
        <v>1695</v>
      </c>
      <c r="G19" s="7" t="s">
        <v>1696</v>
      </c>
      <c r="H19" s="16" t="s">
        <v>8909</v>
      </c>
      <c r="I19" s="16" t="s">
        <v>8912</v>
      </c>
      <c r="J19" s="16" t="s">
        <v>8913</v>
      </c>
      <c r="K19" s="16" t="s">
        <v>8934</v>
      </c>
      <c r="L19" s="16" t="s">
        <v>8920</v>
      </c>
      <c r="M19" s="16" t="s">
        <v>8935</v>
      </c>
      <c r="N19" s="3" t="s">
        <v>8971</v>
      </c>
    </row>
    <row r="20">
      <c r="A20" s="15" t="s">
        <v>3184</v>
      </c>
      <c r="B20" s="6" t="s">
        <v>2030</v>
      </c>
      <c r="C20" s="6" t="s">
        <v>2031</v>
      </c>
      <c r="D20" s="6" t="s">
        <v>2032</v>
      </c>
      <c r="E20" s="7" t="s">
        <v>6610</v>
      </c>
      <c r="F20" s="6" t="s">
        <v>1695</v>
      </c>
      <c r="G20" s="7" t="s">
        <v>1696</v>
      </c>
      <c r="H20" s="16" t="s">
        <v>8909</v>
      </c>
      <c r="I20" s="16" t="s">
        <v>8912</v>
      </c>
      <c r="J20" s="16" t="s">
        <v>8918</v>
      </c>
      <c r="K20" s="16" t="s">
        <v>8919</v>
      </c>
      <c r="L20" s="16" t="s">
        <v>8915</v>
      </c>
      <c r="M20" s="16" t="s">
        <v>8920</v>
      </c>
      <c r="N20" s="3" t="s">
        <v>8972</v>
      </c>
    </row>
    <row r="21">
      <c r="A21" s="15" t="s">
        <v>3184</v>
      </c>
      <c r="B21" s="6" t="s">
        <v>6130</v>
      </c>
      <c r="C21" s="6" t="s">
        <v>291</v>
      </c>
      <c r="D21" s="6" t="s">
        <v>66</v>
      </c>
      <c r="E21" s="7" t="s">
        <v>6613</v>
      </c>
      <c r="F21" s="6" t="s">
        <v>1695</v>
      </c>
      <c r="G21" s="7" t="s">
        <v>1696</v>
      </c>
      <c r="H21" s="16" t="s">
        <v>8909</v>
      </c>
      <c r="I21" s="16" t="s">
        <v>8912</v>
      </c>
      <c r="J21" s="16" t="s">
        <v>8918</v>
      </c>
      <c r="K21" s="16" t="s">
        <v>8919</v>
      </c>
      <c r="L21" s="16" t="s">
        <v>8920</v>
      </c>
      <c r="M21" s="16" t="s">
        <v>8921</v>
      </c>
      <c r="N21" s="3" t="s">
        <v>8973</v>
      </c>
    </row>
    <row r="22">
      <c r="A22" s="15" t="s">
        <v>3184</v>
      </c>
      <c r="B22" s="6" t="s">
        <v>2189</v>
      </c>
      <c r="C22" s="6" t="s">
        <v>2190</v>
      </c>
      <c r="D22" s="6" t="s">
        <v>2191</v>
      </c>
      <c r="E22" s="7" t="s">
        <v>6614</v>
      </c>
      <c r="F22" s="6" t="s">
        <v>1695</v>
      </c>
      <c r="G22" s="7" t="s">
        <v>1696</v>
      </c>
      <c r="H22" s="16" t="s">
        <v>8909</v>
      </c>
      <c r="I22" s="16" t="s">
        <v>8912</v>
      </c>
      <c r="J22" s="16" t="s">
        <v>8926</v>
      </c>
      <c r="K22" s="16" t="s">
        <v>8914</v>
      </c>
      <c r="L22" s="16" t="s">
        <v>8920</v>
      </c>
      <c r="M22" s="16" t="s">
        <v>8974</v>
      </c>
    </row>
    <row r="23">
      <c r="A23" s="15" t="s">
        <v>3184</v>
      </c>
      <c r="B23" s="6" t="s">
        <v>5429</v>
      </c>
      <c r="C23" s="6" t="s">
        <v>5430</v>
      </c>
      <c r="D23" s="6" t="s">
        <v>5254</v>
      </c>
      <c r="E23" s="7" t="s">
        <v>6615</v>
      </c>
      <c r="F23" s="6" t="s">
        <v>1695</v>
      </c>
      <c r="G23" s="7" t="s">
        <v>1696</v>
      </c>
      <c r="H23" s="16" t="s">
        <v>8909</v>
      </c>
      <c r="I23" s="16" t="s">
        <v>8912</v>
      </c>
      <c r="J23" s="16" t="s">
        <v>8913</v>
      </c>
      <c r="K23" s="16" t="s">
        <v>8934</v>
      </c>
      <c r="L23" s="16" t="s">
        <v>8915</v>
      </c>
      <c r="M23" s="16" t="s">
        <v>8935</v>
      </c>
      <c r="N23" s="3" t="s">
        <v>8975</v>
      </c>
    </row>
    <row r="24">
      <c r="A24" s="15" t="s">
        <v>3184</v>
      </c>
      <c r="B24" s="6" t="s">
        <v>4950</v>
      </c>
      <c r="C24" s="6" t="s">
        <v>4951</v>
      </c>
      <c r="D24" s="6" t="s">
        <v>4952</v>
      </c>
      <c r="E24" s="7" t="s">
        <v>6620</v>
      </c>
      <c r="F24" s="6" t="s">
        <v>1695</v>
      </c>
      <c r="G24" s="7" t="s">
        <v>1696</v>
      </c>
      <c r="H24" s="16" t="s">
        <v>8909</v>
      </c>
      <c r="I24" s="16" t="s">
        <v>8912</v>
      </c>
      <c r="J24" s="16" t="s">
        <v>8913</v>
      </c>
      <c r="K24" s="16" t="s">
        <v>8934</v>
      </c>
      <c r="L24" s="16" t="s">
        <v>8927</v>
      </c>
      <c r="M24" s="16" t="s">
        <v>8935</v>
      </c>
      <c r="N24" s="3" t="s">
        <v>8958</v>
      </c>
    </row>
    <row r="25">
      <c r="A25" s="15" t="s">
        <v>3184</v>
      </c>
      <c r="B25" s="6" t="s">
        <v>6040</v>
      </c>
      <c r="C25" s="6" t="s">
        <v>2382</v>
      </c>
      <c r="D25" s="6" t="s">
        <v>6041</v>
      </c>
      <c r="E25" s="7" t="s">
        <v>6621</v>
      </c>
      <c r="F25" s="6" t="s">
        <v>1695</v>
      </c>
      <c r="G25" s="7" t="s">
        <v>1696</v>
      </c>
      <c r="H25" s="16" t="s">
        <v>8909</v>
      </c>
      <c r="I25" s="16" t="s">
        <v>8912</v>
      </c>
      <c r="J25" s="16" t="s">
        <v>8926</v>
      </c>
      <c r="K25" s="16" t="s">
        <v>8914</v>
      </c>
      <c r="L25" s="16" t="s">
        <v>8920</v>
      </c>
      <c r="M25" s="16" t="s">
        <v>8974</v>
      </c>
    </row>
    <row r="26">
      <c r="A26" s="15" t="s">
        <v>3184</v>
      </c>
      <c r="B26" s="6" t="s">
        <v>5248</v>
      </c>
      <c r="C26" s="6" t="s">
        <v>1522</v>
      </c>
      <c r="D26" s="6" t="s">
        <v>532</v>
      </c>
      <c r="E26" s="7" t="s">
        <v>6623</v>
      </c>
      <c r="F26" s="6" t="s">
        <v>1695</v>
      </c>
      <c r="G26" s="7" t="s">
        <v>1696</v>
      </c>
      <c r="H26" s="16" t="s">
        <v>8909</v>
      </c>
      <c r="I26" s="16" t="s">
        <v>8912</v>
      </c>
      <c r="J26" s="16" t="s">
        <v>8918</v>
      </c>
      <c r="K26" s="16" t="s">
        <v>8919</v>
      </c>
      <c r="L26" s="16" t="s">
        <v>8920</v>
      </c>
      <c r="M26" s="16" t="s">
        <v>8921</v>
      </c>
      <c r="N26" s="3" t="s">
        <v>8976</v>
      </c>
    </row>
    <row r="27">
      <c r="A27" s="15" t="s">
        <v>3184</v>
      </c>
      <c r="B27" s="6" t="s">
        <v>5347</v>
      </c>
      <c r="C27" s="6" t="s">
        <v>3651</v>
      </c>
      <c r="D27" s="6" t="s">
        <v>4114</v>
      </c>
      <c r="E27" s="7" t="s">
        <v>6625</v>
      </c>
      <c r="F27" s="6" t="s">
        <v>1695</v>
      </c>
      <c r="G27" s="7" t="s">
        <v>1696</v>
      </c>
      <c r="H27" s="16" t="s">
        <v>8909</v>
      </c>
      <c r="I27" s="16" t="s">
        <v>8912</v>
      </c>
      <c r="J27" s="16" t="s">
        <v>8918</v>
      </c>
      <c r="K27" s="16" t="s">
        <v>8919</v>
      </c>
      <c r="L27" s="16" t="s">
        <v>8920</v>
      </c>
      <c r="M27" s="16" t="s">
        <v>8921</v>
      </c>
      <c r="N27" s="3" t="s">
        <v>8977</v>
      </c>
    </row>
    <row r="28">
      <c r="A28" s="15" t="s">
        <v>3184</v>
      </c>
      <c r="B28" s="6" t="s">
        <v>5650</v>
      </c>
      <c r="C28" s="6" t="s">
        <v>522</v>
      </c>
      <c r="D28" s="6" t="s">
        <v>1304</v>
      </c>
      <c r="E28" s="7" t="s">
        <v>6626</v>
      </c>
      <c r="F28" s="6" t="s">
        <v>1695</v>
      </c>
      <c r="G28" s="7" t="s">
        <v>1696</v>
      </c>
      <c r="H28" s="16" t="s">
        <v>8909</v>
      </c>
      <c r="I28" s="16" t="s">
        <v>8912</v>
      </c>
      <c r="J28" s="16" t="s">
        <v>8918</v>
      </c>
      <c r="K28" s="16" t="s">
        <v>8919</v>
      </c>
      <c r="L28" s="16" t="s">
        <v>8923</v>
      </c>
      <c r="M28" s="16" t="s">
        <v>8924</v>
      </c>
      <c r="N28" s="3" t="s">
        <v>8978</v>
      </c>
    </row>
    <row r="29">
      <c r="A29" s="15" t="s">
        <v>3184</v>
      </c>
      <c r="B29" s="6" t="s">
        <v>5243</v>
      </c>
      <c r="C29" s="6" t="s">
        <v>2535</v>
      </c>
      <c r="D29" s="6" t="s">
        <v>168</v>
      </c>
      <c r="E29" s="7" t="s">
        <v>6627</v>
      </c>
      <c r="F29" s="6" t="s">
        <v>1695</v>
      </c>
      <c r="G29" s="7" t="s">
        <v>1696</v>
      </c>
      <c r="H29" s="16" t="s">
        <v>8909</v>
      </c>
      <c r="I29" s="16" t="s">
        <v>8912</v>
      </c>
      <c r="J29" s="16" t="s">
        <v>8913</v>
      </c>
      <c r="K29" s="16" t="s">
        <v>8934</v>
      </c>
      <c r="L29" s="16" t="s">
        <v>8915</v>
      </c>
      <c r="M29" s="16" t="s">
        <v>8935</v>
      </c>
      <c r="N29" s="3" t="s">
        <v>8979</v>
      </c>
    </row>
    <row r="30">
      <c r="A30" s="15" t="s">
        <v>3184</v>
      </c>
      <c r="B30" s="6" t="s">
        <v>6077</v>
      </c>
      <c r="C30" s="6" t="s">
        <v>6078</v>
      </c>
      <c r="D30" s="6" t="s">
        <v>1898</v>
      </c>
      <c r="E30" s="7" t="s">
        <v>6628</v>
      </c>
      <c r="F30" s="6" t="s">
        <v>1695</v>
      </c>
      <c r="G30" s="7" t="s">
        <v>1696</v>
      </c>
      <c r="H30" s="16" t="s">
        <v>8909</v>
      </c>
      <c r="I30" s="16" t="s">
        <v>8912</v>
      </c>
      <c r="J30" s="16" t="s">
        <v>8913</v>
      </c>
      <c r="K30" s="16" t="s">
        <v>8934</v>
      </c>
      <c r="L30" s="16" t="s">
        <v>8927</v>
      </c>
      <c r="M30" s="16" t="s">
        <v>8935</v>
      </c>
      <c r="N30" s="3" t="s">
        <v>8958</v>
      </c>
    </row>
    <row r="31">
      <c r="A31" s="15" t="s">
        <v>3184</v>
      </c>
      <c r="B31" s="6" t="s">
        <v>1957</v>
      </c>
      <c r="C31" s="6" t="s">
        <v>649</v>
      </c>
      <c r="D31" s="6" t="s">
        <v>610</v>
      </c>
      <c r="E31" s="7" t="s">
        <v>6629</v>
      </c>
      <c r="F31" s="6" t="s">
        <v>1695</v>
      </c>
      <c r="G31" s="7" t="s">
        <v>1696</v>
      </c>
      <c r="H31" s="16" t="s">
        <v>8909</v>
      </c>
      <c r="I31" s="16" t="s">
        <v>8912</v>
      </c>
      <c r="J31" s="16" t="s">
        <v>8918</v>
      </c>
      <c r="K31" s="16" t="s">
        <v>8919</v>
      </c>
      <c r="L31" s="16" t="s">
        <v>8920</v>
      </c>
      <c r="M31" s="16" t="s">
        <v>8921</v>
      </c>
      <c r="N31" s="3" t="s">
        <v>8980</v>
      </c>
    </row>
    <row r="32">
      <c r="A32" s="15" t="s">
        <v>3184</v>
      </c>
      <c r="B32" s="6" t="s">
        <v>2106</v>
      </c>
      <c r="C32" s="6" t="s">
        <v>2107</v>
      </c>
      <c r="D32" s="6" t="s">
        <v>2108</v>
      </c>
      <c r="E32" s="7" t="s">
        <v>6631</v>
      </c>
      <c r="F32" s="6" t="s">
        <v>1695</v>
      </c>
      <c r="G32" s="7" t="s">
        <v>1696</v>
      </c>
      <c r="H32" s="16" t="s">
        <v>8909</v>
      </c>
      <c r="I32" s="16" t="s">
        <v>8912</v>
      </c>
      <c r="J32" s="16" t="s">
        <v>8926</v>
      </c>
      <c r="K32" s="16" t="s">
        <v>8914</v>
      </c>
      <c r="L32" s="16" t="s">
        <v>8920</v>
      </c>
      <c r="M32" s="16" t="s">
        <v>8981</v>
      </c>
    </row>
    <row r="33">
      <c r="A33" s="15" t="s">
        <v>3184</v>
      </c>
      <c r="B33" s="6" t="s">
        <v>5661</v>
      </c>
      <c r="C33" s="6" t="s">
        <v>522</v>
      </c>
      <c r="D33" s="6" t="s">
        <v>1321</v>
      </c>
      <c r="E33" s="7" t="s">
        <v>6632</v>
      </c>
      <c r="F33" s="6" t="s">
        <v>1695</v>
      </c>
      <c r="G33" s="7" t="s">
        <v>1696</v>
      </c>
      <c r="H33" s="16" t="s">
        <v>8909</v>
      </c>
      <c r="I33" s="16" t="s">
        <v>8912</v>
      </c>
      <c r="J33" s="16" t="s">
        <v>8918</v>
      </c>
      <c r="K33" s="16" t="s">
        <v>8919</v>
      </c>
      <c r="L33" s="16" t="s">
        <v>8931</v>
      </c>
      <c r="M33" s="16" t="s">
        <v>8924</v>
      </c>
    </row>
    <row r="34">
      <c r="A34" s="15" t="s">
        <v>3184</v>
      </c>
      <c r="B34" s="6" t="s">
        <v>4856</v>
      </c>
      <c r="C34" s="6" t="s">
        <v>85</v>
      </c>
      <c r="D34" s="6" t="s">
        <v>134</v>
      </c>
      <c r="E34" s="7" t="s">
        <v>6633</v>
      </c>
      <c r="F34" s="6" t="s">
        <v>1695</v>
      </c>
      <c r="G34" s="7" t="s">
        <v>1696</v>
      </c>
      <c r="H34" s="16" t="s">
        <v>8909</v>
      </c>
      <c r="I34" s="16" t="s">
        <v>8912</v>
      </c>
      <c r="J34" s="16" t="s">
        <v>8926</v>
      </c>
      <c r="K34" s="16" t="s">
        <v>8914</v>
      </c>
      <c r="L34" s="16" t="s">
        <v>8920</v>
      </c>
      <c r="M34" s="16" t="s">
        <v>8974</v>
      </c>
    </row>
    <row r="35">
      <c r="A35" s="15" t="s">
        <v>3184</v>
      </c>
      <c r="B35" s="6" t="s">
        <v>2549</v>
      </c>
      <c r="C35" s="6" t="s">
        <v>1605</v>
      </c>
      <c r="D35" s="6" t="s">
        <v>2550</v>
      </c>
      <c r="E35" s="7" t="s">
        <v>6634</v>
      </c>
      <c r="F35" s="6" t="s">
        <v>1695</v>
      </c>
      <c r="G35" s="7" t="s">
        <v>1696</v>
      </c>
      <c r="H35" s="16" t="s">
        <v>8909</v>
      </c>
      <c r="I35" s="16" t="s">
        <v>8912</v>
      </c>
      <c r="J35" s="16" t="s">
        <v>8918</v>
      </c>
      <c r="K35" s="16" t="s">
        <v>8919</v>
      </c>
      <c r="L35" s="16" t="s">
        <v>8920</v>
      </c>
      <c r="M35" s="16" t="s">
        <v>8921</v>
      </c>
      <c r="N35" s="3" t="s">
        <v>8982</v>
      </c>
    </row>
    <row r="36">
      <c r="A36" s="15" t="s">
        <v>3184</v>
      </c>
      <c r="B36" s="6" t="s">
        <v>3116</v>
      </c>
      <c r="C36" s="6" t="s">
        <v>2052</v>
      </c>
      <c r="D36" s="6" t="s">
        <v>3117</v>
      </c>
      <c r="E36" s="7" t="s">
        <v>6635</v>
      </c>
      <c r="F36" s="6" t="s">
        <v>1695</v>
      </c>
      <c r="G36" s="7" t="s">
        <v>1696</v>
      </c>
      <c r="H36" s="16" t="s">
        <v>8909</v>
      </c>
      <c r="I36" s="16" t="s">
        <v>8912</v>
      </c>
      <c r="J36" s="16" t="s">
        <v>8926</v>
      </c>
      <c r="K36" s="16" t="s">
        <v>8914</v>
      </c>
      <c r="L36" s="16" t="s">
        <v>8927</v>
      </c>
      <c r="M36" s="16" t="s">
        <v>8938</v>
      </c>
      <c r="N36" s="3" t="s">
        <v>8970</v>
      </c>
    </row>
    <row r="37">
      <c r="A37" s="15" t="s">
        <v>3184</v>
      </c>
      <c r="B37" s="6" t="s">
        <v>2248</v>
      </c>
      <c r="C37" s="6" t="s">
        <v>2249</v>
      </c>
      <c r="D37" s="6" t="s">
        <v>1572</v>
      </c>
      <c r="E37" s="7" t="s">
        <v>6638</v>
      </c>
      <c r="F37" s="6" t="s">
        <v>1695</v>
      </c>
      <c r="G37" s="7" t="s">
        <v>1696</v>
      </c>
      <c r="H37" s="16" t="s">
        <v>8909</v>
      </c>
      <c r="I37" s="16" t="s">
        <v>8912</v>
      </c>
      <c r="J37" s="16" t="s">
        <v>8918</v>
      </c>
      <c r="K37" s="16" t="s">
        <v>8919</v>
      </c>
      <c r="L37" s="16" t="s">
        <v>8931</v>
      </c>
      <c r="M37" s="16" t="s">
        <v>8924</v>
      </c>
      <c r="N37" s="3" t="s">
        <v>8983</v>
      </c>
    </row>
    <row r="38">
      <c r="A38" s="15" t="s">
        <v>3184</v>
      </c>
      <c r="B38" s="6" t="s">
        <v>2044</v>
      </c>
      <c r="C38" s="6" t="s">
        <v>2045</v>
      </c>
      <c r="D38" s="6" t="s">
        <v>35</v>
      </c>
      <c r="E38" s="7" t="s">
        <v>6640</v>
      </c>
      <c r="F38" s="6" t="s">
        <v>1695</v>
      </c>
      <c r="G38" s="7" t="s">
        <v>1696</v>
      </c>
      <c r="H38" s="16" t="s">
        <v>8909</v>
      </c>
      <c r="I38" s="16" t="s">
        <v>8912</v>
      </c>
      <c r="J38" s="16" t="s">
        <v>8918</v>
      </c>
      <c r="K38" s="16" t="s">
        <v>8919</v>
      </c>
      <c r="L38" s="16" t="s">
        <v>8931</v>
      </c>
      <c r="M38" s="16" t="s">
        <v>8924</v>
      </c>
    </row>
    <row r="39">
      <c r="A39" s="15" t="s">
        <v>3184</v>
      </c>
      <c r="B39" s="6" t="s">
        <v>2731</v>
      </c>
      <c r="C39" s="6" t="s">
        <v>186</v>
      </c>
      <c r="D39" s="6" t="s">
        <v>404</v>
      </c>
      <c r="E39" s="7" t="s">
        <v>6641</v>
      </c>
      <c r="F39" s="6" t="s">
        <v>1695</v>
      </c>
      <c r="G39" s="7" t="s">
        <v>1696</v>
      </c>
      <c r="H39" s="16" t="s">
        <v>8909</v>
      </c>
      <c r="I39" s="16" t="s">
        <v>8912</v>
      </c>
      <c r="J39" s="16" t="s">
        <v>8918</v>
      </c>
      <c r="K39" s="16" t="s">
        <v>8919</v>
      </c>
      <c r="L39" s="16" t="s">
        <v>8920</v>
      </c>
      <c r="M39" s="16" t="s">
        <v>8921</v>
      </c>
      <c r="N39" s="3" t="s">
        <v>8984</v>
      </c>
    </row>
    <row r="40">
      <c r="A40" s="15" t="s">
        <v>3184</v>
      </c>
      <c r="B40" s="6" t="s">
        <v>5030</v>
      </c>
      <c r="C40" s="6" t="s">
        <v>5031</v>
      </c>
      <c r="D40" s="6" t="s">
        <v>1000</v>
      </c>
      <c r="E40" s="7" t="s">
        <v>6642</v>
      </c>
      <c r="F40" s="6" t="s">
        <v>1695</v>
      </c>
      <c r="G40" s="7" t="s">
        <v>1696</v>
      </c>
      <c r="H40" s="16" t="s">
        <v>8909</v>
      </c>
      <c r="I40" s="16" t="s">
        <v>8912</v>
      </c>
      <c r="J40" s="16" t="s">
        <v>8913</v>
      </c>
      <c r="K40" s="16" t="s">
        <v>8934</v>
      </c>
      <c r="L40" s="16" t="s">
        <v>8985</v>
      </c>
      <c r="M40" s="16" t="s">
        <v>8935</v>
      </c>
      <c r="N40" s="3" t="s">
        <v>8986</v>
      </c>
    </row>
    <row r="41">
      <c r="A41" s="15" t="s">
        <v>3184</v>
      </c>
      <c r="B41" s="6" t="s">
        <v>2121</v>
      </c>
      <c r="C41" s="6" t="s">
        <v>1157</v>
      </c>
      <c r="D41" s="6" t="s">
        <v>2122</v>
      </c>
      <c r="E41" s="7" t="s">
        <v>6643</v>
      </c>
      <c r="F41" s="6" t="s">
        <v>1695</v>
      </c>
      <c r="G41" s="7" t="s">
        <v>1696</v>
      </c>
      <c r="H41" s="16" t="s">
        <v>8909</v>
      </c>
      <c r="I41" s="16" t="s">
        <v>8912</v>
      </c>
      <c r="J41" s="16" t="s">
        <v>8913</v>
      </c>
      <c r="K41" s="16" t="s">
        <v>8934</v>
      </c>
      <c r="L41" s="16" t="s">
        <v>8915</v>
      </c>
      <c r="M41" s="16" t="s">
        <v>8935</v>
      </c>
      <c r="N41" s="3" t="s">
        <v>8987</v>
      </c>
    </row>
    <row r="42">
      <c r="A42" s="15" t="s">
        <v>3184</v>
      </c>
      <c r="B42" s="6" t="s">
        <v>5881</v>
      </c>
      <c r="C42" s="6" t="s">
        <v>58</v>
      </c>
      <c r="D42" s="6" t="s">
        <v>66</v>
      </c>
      <c r="E42" s="7" t="s">
        <v>6644</v>
      </c>
      <c r="F42" s="6" t="s">
        <v>1695</v>
      </c>
      <c r="G42" s="7" t="s">
        <v>1696</v>
      </c>
      <c r="H42" s="16" t="s">
        <v>8909</v>
      </c>
      <c r="I42" s="16" t="s">
        <v>8912</v>
      </c>
      <c r="J42" s="16" t="s">
        <v>8913</v>
      </c>
      <c r="K42" s="16" t="s">
        <v>8934</v>
      </c>
      <c r="L42" s="16" t="s">
        <v>8915</v>
      </c>
      <c r="M42" s="16" t="s">
        <v>8935</v>
      </c>
      <c r="N42" s="3" t="s">
        <v>8988</v>
      </c>
    </row>
    <row r="43">
      <c r="A43" s="15" t="s">
        <v>3184</v>
      </c>
      <c r="B43" s="6" t="s">
        <v>3946</v>
      </c>
      <c r="C43" s="6" t="s">
        <v>3947</v>
      </c>
      <c r="D43" s="6" t="s">
        <v>3868</v>
      </c>
      <c r="E43" s="7" t="s">
        <v>6645</v>
      </c>
      <c r="F43" s="6" t="s">
        <v>1695</v>
      </c>
      <c r="G43" s="7" t="s">
        <v>1696</v>
      </c>
      <c r="H43" s="16" t="s">
        <v>8909</v>
      </c>
      <c r="I43" s="16" t="s">
        <v>8912</v>
      </c>
      <c r="J43" s="16" t="s">
        <v>8913</v>
      </c>
      <c r="K43" s="16" t="s">
        <v>8934</v>
      </c>
      <c r="L43" s="16" t="s">
        <v>8927</v>
      </c>
      <c r="M43" s="16" t="s">
        <v>8935</v>
      </c>
      <c r="N43" s="3" t="s">
        <v>8989</v>
      </c>
    </row>
    <row r="44">
      <c r="A44" s="15" t="s">
        <v>3184</v>
      </c>
      <c r="B44" s="6" t="s">
        <v>5460</v>
      </c>
      <c r="C44" s="6" t="s">
        <v>4896</v>
      </c>
      <c r="D44" s="6" t="s">
        <v>5461</v>
      </c>
      <c r="E44" s="7" t="s">
        <v>6646</v>
      </c>
      <c r="F44" s="6" t="s">
        <v>1695</v>
      </c>
      <c r="G44" s="7" t="s">
        <v>1696</v>
      </c>
      <c r="H44" s="16" t="s">
        <v>8909</v>
      </c>
      <c r="I44" s="16" t="s">
        <v>8912</v>
      </c>
      <c r="J44" s="16" t="s">
        <v>8913</v>
      </c>
      <c r="K44" s="16" t="s">
        <v>8934</v>
      </c>
      <c r="L44" s="16" t="s">
        <v>8920</v>
      </c>
      <c r="M44" s="16" t="s">
        <v>8935</v>
      </c>
      <c r="N44" s="3" t="s">
        <v>8987</v>
      </c>
    </row>
    <row r="45">
      <c r="A45" s="15" t="s">
        <v>3184</v>
      </c>
      <c r="B45" s="6" t="s">
        <v>3523</v>
      </c>
      <c r="C45" s="6" t="s">
        <v>3524</v>
      </c>
      <c r="D45" s="6" t="s">
        <v>55</v>
      </c>
      <c r="E45" s="7" t="s">
        <v>6650</v>
      </c>
      <c r="F45" s="6" t="s">
        <v>1695</v>
      </c>
      <c r="G45" s="7" t="s">
        <v>1696</v>
      </c>
      <c r="H45" s="16" t="s">
        <v>8909</v>
      </c>
      <c r="I45" s="16" t="s">
        <v>8912</v>
      </c>
      <c r="J45" s="16" t="s">
        <v>8918</v>
      </c>
      <c r="K45" s="16" t="s">
        <v>8919</v>
      </c>
      <c r="L45" s="16" t="s">
        <v>8920</v>
      </c>
      <c r="M45" s="16" t="s">
        <v>8924</v>
      </c>
      <c r="N45" s="3" t="s">
        <v>8990</v>
      </c>
    </row>
    <row r="46">
      <c r="A46" s="15" t="s">
        <v>3184</v>
      </c>
      <c r="B46" s="6" t="s">
        <v>4546</v>
      </c>
      <c r="C46" s="6" t="s">
        <v>3974</v>
      </c>
      <c r="D46" s="6" t="s">
        <v>4547</v>
      </c>
      <c r="E46" s="7" t="s">
        <v>6591</v>
      </c>
      <c r="F46" s="6" t="s">
        <v>1695</v>
      </c>
      <c r="G46" s="7" t="s">
        <v>1696</v>
      </c>
      <c r="H46" s="16" t="s">
        <v>8909</v>
      </c>
      <c r="I46" s="16" t="s">
        <v>8912</v>
      </c>
      <c r="J46" s="16" t="s">
        <v>8918</v>
      </c>
      <c r="K46" s="16" t="s">
        <v>8919</v>
      </c>
      <c r="L46" s="16" t="s">
        <v>8920</v>
      </c>
      <c r="M46" s="16" t="s">
        <v>8921</v>
      </c>
    </row>
    <row r="47">
      <c r="A47" s="15" t="s">
        <v>3184</v>
      </c>
      <c r="B47" s="6" t="s">
        <v>5089</v>
      </c>
      <c r="C47" s="6" t="s">
        <v>1867</v>
      </c>
      <c r="D47" s="6" t="s">
        <v>5090</v>
      </c>
      <c r="E47" s="7" t="s">
        <v>6592</v>
      </c>
      <c r="F47" s="6" t="s">
        <v>1695</v>
      </c>
      <c r="G47" s="7" t="s">
        <v>1696</v>
      </c>
      <c r="H47" s="16" t="s">
        <v>8909</v>
      </c>
      <c r="I47" s="16" t="s">
        <v>8912</v>
      </c>
      <c r="J47" s="16" t="s">
        <v>8918</v>
      </c>
      <c r="K47" s="16" t="s">
        <v>8919</v>
      </c>
      <c r="L47" s="16" t="s">
        <v>8915</v>
      </c>
      <c r="M47" s="16" t="s">
        <v>8921</v>
      </c>
      <c r="N47" s="3" t="s">
        <v>8991</v>
      </c>
    </row>
    <row r="48">
      <c r="A48" s="15" t="s">
        <v>3184</v>
      </c>
      <c r="B48" s="6" t="s">
        <v>5083</v>
      </c>
      <c r="C48" s="6" t="s">
        <v>5084</v>
      </c>
      <c r="D48" s="6" t="s">
        <v>5085</v>
      </c>
      <c r="E48" s="7" t="s">
        <v>6639</v>
      </c>
      <c r="F48" s="6" t="s">
        <v>1695</v>
      </c>
      <c r="G48" s="7" t="s">
        <v>1696</v>
      </c>
      <c r="H48" s="16" t="s">
        <v>8909</v>
      </c>
      <c r="I48" s="16" t="s">
        <v>8912</v>
      </c>
      <c r="J48" s="16" t="s">
        <v>8913</v>
      </c>
      <c r="K48" s="16" t="s">
        <v>8934</v>
      </c>
      <c r="L48" s="16" t="s">
        <v>8927</v>
      </c>
      <c r="M48" s="16" t="s">
        <v>8935</v>
      </c>
      <c r="N48" s="3" t="s">
        <v>8965</v>
      </c>
    </row>
    <row r="49">
      <c r="A49" s="15" t="s">
        <v>3184</v>
      </c>
      <c r="B49" s="6" t="s">
        <v>1857</v>
      </c>
      <c r="C49" s="6" t="s">
        <v>1386</v>
      </c>
      <c r="D49" s="6" t="s">
        <v>328</v>
      </c>
      <c r="E49" s="7" t="s">
        <v>6647</v>
      </c>
      <c r="F49" s="6" t="s">
        <v>1695</v>
      </c>
      <c r="G49" s="7" t="s">
        <v>1696</v>
      </c>
      <c r="H49" s="16" t="s">
        <v>8909</v>
      </c>
      <c r="I49" s="16" t="s">
        <v>8912</v>
      </c>
      <c r="J49" s="16" t="s">
        <v>8918</v>
      </c>
      <c r="K49" s="16" t="s">
        <v>8919</v>
      </c>
      <c r="L49" s="16" t="s">
        <v>8931</v>
      </c>
      <c r="M49" s="16" t="s">
        <v>8924</v>
      </c>
      <c r="N49" s="3" t="s">
        <v>8992</v>
      </c>
    </row>
    <row r="50">
      <c r="A50" s="15" t="s">
        <v>3184</v>
      </c>
      <c r="B50" s="6" t="s">
        <v>4986</v>
      </c>
      <c r="C50" s="6" t="s">
        <v>3013</v>
      </c>
      <c r="D50" s="6" t="s">
        <v>4987</v>
      </c>
      <c r="E50" s="7" t="s">
        <v>6590</v>
      </c>
      <c r="F50" s="6" t="s">
        <v>1695</v>
      </c>
      <c r="G50" s="7" t="s">
        <v>1696</v>
      </c>
      <c r="H50" s="16" t="s">
        <v>8909</v>
      </c>
      <c r="I50" s="16" t="s">
        <v>8912</v>
      </c>
      <c r="J50" s="16" t="s">
        <v>8926</v>
      </c>
      <c r="K50" s="16" t="s">
        <v>8914</v>
      </c>
      <c r="L50" s="16" t="s">
        <v>8915</v>
      </c>
      <c r="M50" s="16" t="s">
        <v>8938</v>
      </c>
      <c r="N50" s="3" t="s">
        <v>8993</v>
      </c>
    </row>
    <row r="51">
      <c r="A51" s="15" t="s">
        <v>3184</v>
      </c>
      <c r="B51" s="6" t="s">
        <v>1946</v>
      </c>
      <c r="C51" s="6" t="s">
        <v>414</v>
      </c>
      <c r="D51" s="6" t="s">
        <v>1947</v>
      </c>
      <c r="E51" s="7" t="s">
        <v>6597</v>
      </c>
      <c r="F51" s="6" t="s">
        <v>1695</v>
      </c>
      <c r="G51" s="7" t="s">
        <v>1696</v>
      </c>
      <c r="H51" s="16" t="s">
        <v>8909</v>
      </c>
      <c r="I51" s="16" t="s">
        <v>8912</v>
      </c>
      <c r="J51" s="16" t="s">
        <v>8926</v>
      </c>
      <c r="K51" s="16" t="s">
        <v>8914</v>
      </c>
      <c r="L51" s="16" t="s">
        <v>8927</v>
      </c>
      <c r="M51" s="16" t="s">
        <v>8938</v>
      </c>
      <c r="N51" s="3" t="s">
        <v>8994</v>
      </c>
    </row>
    <row r="52">
      <c r="A52" s="15" t="s">
        <v>3184</v>
      </c>
      <c r="B52" s="6" t="s">
        <v>5634</v>
      </c>
      <c r="C52" s="6" t="s">
        <v>1284</v>
      </c>
      <c r="D52" s="6" t="s">
        <v>5635</v>
      </c>
      <c r="E52" s="7" t="s">
        <v>6600</v>
      </c>
      <c r="F52" s="6" t="s">
        <v>1695</v>
      </c>
      <c r="G52" s="7" t="s">
        <v>1696</v>
      </c>
      <c r="H52" s="16" t="s">
        <v>8909</v>
      </c>
      <c r="I52" s="16" t="s">
        <v>8912</v>
      </c>
      <c r="J52" s="16" t="s">
        <v>8913</v>
      </c>
      <c r="K52" s="16" t="s">
        <v>8934</v>
      </c>
      <c r="L52" s="16" t="s">
        <v>8915</v>
      </c>
      <c r="M52" s="16" t="s">
        <v>8935</v>
      </c>
      <c r="N52" s="3" t="s">
        <v>8995</v>
      </c>
    </row>
    <row r="53">
      <c r="A53" s="15" t="s">
        <v>3184</v>
      </c>
      <c r="B53" s="6" t="s">
        <v>2085</v>
      </c>
      <c r="C53" s="6" t="s">
        <v>2086</v>
      </c>
      <c r="D53" s="6" t="s">
        <v>443</v>
      </c>
      <c r="E53" s="7" t="s">
        <v>6612</v>
      </c>
      <c r="F53" s="6" t="s">
        <v>1695</v>
      </c>
      <c r="G53" s="7" t="s">
        <v>1696</v>
      </c>
      <c r="H53" s="16" t="s">
        <v>8909</v>
      </c>
      <c r="I53" s="16" t="s">
        <v>8912</v>
      </c>
      <c r="J53" s="16" t="s">
        <v>8918</v>
      </c>
      <c r="K53" s="16" t="s">
        <v>8919</v>
      </c>
      <c r="L53" s="16" t="s">
        <v>8920</v>
      </c>
      <c r="M53" s="16" t="s">
        <v>8920</v>
      </c>
      <c r="N53" s="3" t="s">
        <v>8996</v>
      </c>
    </row>
    <row r="54">
      <c r="A54" s="15" t="s">
        <v>3184</v>
      </c>
      <c r="B54" s="6" t="s">
        <v>5059</v>
      </c>
      <c r="C54" s="6" t="s">
        <v>220</v>
      </c>
      <c r="D54" s="6" t="s">
        <v>4114</v>
      </c>
      <c r="E54" s="7" t="s">
        <v>6616</v>
      </c>
      <c r="F54" s="6" t="s">
        <v>1695</v>
      </c>
      <c r="G54" s="7" t="s">
        <v>1696</v>
      </c>
      <c r="H54" s="16" t="s">
        <v>8909</v>
      </c>
      <c r="I54" s="16" t="s">
        <v>8912</v>
      </c>
      <c r="J54" s="16" t="s">
        <v>8926</v>
      </c>
      <c r="K54" s="16" t="s">
        <v>8914</v>
      </c>
      <c r="L54" s="16" t="s">
        <v>8920</v>
      </c>
      <c r="M54" s="16" t="s">
        <v>8938</v>
      </c>
    </row>
    <row r="55">
      <c r="A55" s="15" t="s">
        <v>3184</v>
      </c>
      <c r="B55" s="6" t="s">
        <v>3210</v>
      </c>
      <c r="C55" s="6" t="s">
        <v>3211</v>
      </c>
      <c r="D55" s="6" t="s">
        <v>3212</v>
      </c>
      <c r="E55" s="7" t="s">
        <v>6618</v>
      </c>
      <c r="F55" s="6" t="s">
        <v>1695</v>
      </c>
      <c r="G55" s="7" t="s">
        <v>1696</v>
      </c>
      <c r="H55" s="16" t="s">
        <v>8909</v>
      </c>
      <c r="I55" s="16" t="s">
        <v>8912</v>
      </c>
      <c r="J55" s="16" t="s">
        <v>8913</v>
      </c>
      <c r="K55" s="16" t="s">
        <v>8934</v>
      </c>
      <c r="L55" s="16" t="s">
        <v>8927</v>
      </c>
      <c r="M55" s="16" t="s">
        <v>8935</v>
      </c>
      <c r="N55" s="3" t="s">
        <v>8958</v>
      </c>
    </row>
    <row r="56">
      <c r="A56" s="15" t="s">
        <v>3184</v>
      </c>
      <c r="B56" s="6" t="s">
        <v>6006</v>
      </c>
      <c r="C56" s="6" t="s">
        <v>3954</v>
      </c>
      <c r="D56" s="6" t="s">
        <v>703</v>
      </c>
      <c r="E56" s="7" t="s">
        <v>6617</v>
      </c>
      <c r="F56" s="6" t="s">
        <v>1695</v>
      </c>
      <c r="G56" s="7" t="s">
        <v>1696</v>
      </c>
      <c r="H56" s="16" t="s">
        <v>8909</v>
      </c>
      <c r="I56" s="16" t="s">
        <v>8912</v>
      </c>
      <c r="J56" s="16" t="s">
        <v>8913</v>
      </c>
      <c r="K56" s="16" t="s">
        <v>8934</v>
      </c>
      <c r="L56" s="16" t="s">
        <v>8927</v>
      </c>
      <c r="M56" s="16" t="s">
        <v>8935</v>
      </c>
      <c r="N56" s="3" t="s">
        <v>8971</v>
      </c>
    </row>
    <row r="57">
      <c r="A57" s="15" t="s">
        <v>3184</v>
      </c>
      <c r="B57" s="6" t="s">
        <v>4985</v>
      </c>
      <c r="C57" s="6" t="s">
        <v>439</v>
      </c>
      <c r="D57" s="6" t="s">
        <v>425</v>
      </c>
      <c r="E57" s="7" t="s">
        <v>6605</v>
      </c>
      <c r="F57" s="6" t="s">
        <v>1695</v>
      </c>
      <c r="G57" s="7" t="s">
        <v>1696</v>
      </c>
      <c r="H57" s="16" t="s">
        <v>8909</v>
      </c>
      <c r="I57" s="16" t="s">
        <v>8954</v>
      </c>
      <c r="J57" s="7"/>
      <c r="K57" s="7"/>
      <c r="L57" s="7"/>
      <c r="M57" s="7"/>
    </row>
    <row r="58">
      <c r="A58" s="15" t="s">
        <v>3184</v>
      </c>
      <c r="B58" s="6" t="s">
        <v>1767</v>
      </c>
      <c r="C58" s="6" t="s">
        <v>1768</v>
      </c>
      <c r="D58" s="6" t="s">
        <v>1769</v>
      </c>
      <c r="E58" s="7" t="s">
        <v>6611</v>
      </c>
      <c r="F58" s="6" t="s">
        <v>1695</v>
      </c>
      <c r="G58" s="7" t="s">
        <v>1696</v>
      </c>
      <c r="H58" s="16" t="s">
        <v>8909</v>
      </c>
      <c r="I58" s="16" t="s">
        <v>8954</v>
      </c>
      <c r="J58" s="7"/>
      <c r="K58" s="7"/>
      <c r="L58" s="7"/>
      <c r="M58" s="7"/>
    </row>
    <row r="59">
      <c r="A59" s="15" t="s">
        <v>3184</v>
      </c>
      <c r="B59" s="6" t="s">
        <v>5871</v>
      </c>
      <c r="C59" s="6" t="s">
        <v>5872</v>
      </c>
      <c r="D59" s="6" t="s">
        <v>5873</v>
      </c>
      <c r="E59" s="7" t="s">
        <v>6630</v>
      </c>
      <c r="F59" s="6" t="s">
        <v>1695</v>
      </c>
      <c r="G59" s="7" t="s">
        <v>1696</v>
      </c>
      <c r="H59" s="16" t="s">
        <v>8909</v>
      </c>
      <c r="I59" s="16" t="s">
        <v>8954</v>
      </c>
      <c r="J59" s="7"/>
      <c r="K59" s="7"/>
      <c r="L59" s="7"/>
      <c r="M59" s="7"/>
    </row>
    <row r="60">
      <c r="A60" s="15" t="s">
        <v>3184</v>
      </c>
      <c r="B60" s="6" t="s">
        <v>5373</v>
      </c>
      <c r="C60" s="6" t="s">
        <v>5374</v>
      </c>
      <c r="D60" s="6" t="s">
        <v>5375</v>
      </c>
      <c r="E60" s="7" t="s">
        <v>6636</v>
      </c>
      <c r="F60" s="6" t="s">
        <v>1695</v>
      </c>
      <c r="G60" s="7" t="s">
        <v>1696</v>
      </c>
      <c r="H60" s="16" t="s">
        <v>8909</v>
      </c>
      <c r="I60" s="16" t="s">
        <v>8954</v>
      </c>
      <c r="J60" s="7"/>
      <c r="K60" s="7"/>
      <c r="L60" s="7"/>
      <c r="M60" s="7"/>
    </row>
    <row r="61">
      <c r="A61" s="15" t="s">
        <v>3184</v>
      </c>
      <c r="B61" s="6" t="s">
        <v>4046</v>
      </c>
      <c r="C61" s="6" t="s">
        <v>3811</v>
      </c>
      <c r="D61" s="6" t="s">
        <v>4047</v>
      </c>
      <c r="E61" s="7" t="s">
        <v>6648</v>
      </c>
      <c r="F61" s="6" t="s">
        <v>1695</v>
      </c>
      <c r="G61" s="7" t="s">
        <v>1696</v>
      </c>
      <c r="H61" s="16" t="s">
        <v>8909</v>
      </c>
      <c r="I61" s="16" t="s">
        <v>8955</v>
      </c>
      <c r="J61" s="7"/>
      <c r="K61" s="7"/>
      <c r="L61" s="7"/>
      <c r="M61" s="7"/>
    </row>
    <row r="62">
      <c r="A62" s="15" t="s">
        <v>3184</v>
      </c>
      <c r="B62" s="6" t="s">
        <v>2609</v>
      </c>
      <c r="C62" s="6" t="s">
        <v>2610</v>
      </c>
      <c r="D62" s="6" t="s">
        <v>2611</v>
      </c>
      <c r="E62" s="7" t="s">
        <v>6587</v>
      </c>
      <c r="F62" s="6" t="s">
        <v>1695</v>
      </c>
      <c r="G62" s="7" t="s">
        <v>1696</v>
      </c>
      <c r="H62" s="16" t="s">
        <v>8909</v>
      </c>
      <c r="I62" s="16" t="s">
        <v>8955</v>
      </c>
      <c r="J62" s="7"/>
      <c r="K62" s="7"/>
      <c r="L62" s="7"/>
      <c r="M62" s="7"/>
    </row>
    <row r="63">
      <c r="A63" s="15" t="s">
        <v>3184</v>
      </c>
      <c r="B63" s="6" t="s">
        <v>2588</v>
      </c>
      <c r="C63" s="6" t="s">
        <v>689</v>
      </c>
      <c r="D63" s="6" t="s">
        <v>1368</v>
      </c>
      <c r="E63" s="7" t="s">
        <v>6593</v>
      </c>
      <c r="F63" s="6" t="s">
        <v>1695</v>
      </c>
      <c r="G63" s="7" t="s">
        <v>1696</v>
      </c>
      <c r="H63" s="16" t="s">
        <v>8909</v>
      </c>
      <c r="I63" s="16" t="s">
        <v>8955</v>
      </c>
      <c r="J63" s="7"/>
      <c r="K63" s="7"/>
      <c r="L63" s="7"/>
      <c r="M63" s="7"/>
    </row>
    <row r="64">
      <c r="A64" s="15" t="s">
        <v>3184</v>
      </c>
      <c r="B64" s="6" t="s">
        <v>3717</v>
      </c>
      <c r="C64" s="6" t="s">
        <v>3718</v>
      </c>
      <c r="D64" s="6" t="s">
        <v>3719</v>
      </c>
      <c r="E64" s="7" t="s">
        <v>6594</v>
      </c>
      <c r="F64" s="6" t="s">
        <v>1695</v>
      </c>
      <c r="G64" s="7" t="s">
        <v>1696</v>
      </c>
      <c r="H64" s="16" t="s">
        <v>8909</v>
      </c>
      <c r="I64" s="16" t="s">
        <v>8955</v>
      </c>
      <c r="J64" s="7"/>
      <c r="K64" s="7"/>
      <c r="L64" s="7"/>
      <c r="M64" s="7"/>
    </row>
    <row r="65">
      <c r="A65" s="15" t="s">
        <v>3184</v>
      </c>
      <c r="B65" s="6" t="s">
        <v>1869</v>
      </c>
      <c r="C65" s="6" t="s">
        <v>1700</v>
      </c>
      <c r="D65" s="6" t="s">
        <v>795</v>
      </c>
      <c r="E65" s="7" t="s">
        <v>6601</v>
      </c>
      <c r="F65" s="6" t="s">
        <v>1695</v>
      </c>
      <c r="G65" s="7" t="s">
        <v>1696</v>
      </c>
      <c r="H65" s="16" t="s">
        <v>8909</v>
      </c>
      <c r="I65" s="16" t="s">
        <v>8955</v>
      </c>
      <c r="J65" s="7"/>
      <c r="K65" s="7"/>
      <c r="L65" s="7"/>
      <c r="M65" s="7"/>
    </row>
    <row r="66">
      <c r="A66" s="15" t="s">
        <v>3184</v>
      </c>
      <c r="B66" s="6" t="s">
        <v>2571</v>
      </c>
      <c r="C66" s="6" t="s">
        <v>978</v>
      </c>
      <c r="D66" s="6" t="s">
        <v>918</v>
      </c>
      <c r="E66" s="7" t="s">
        <v>6609</v>
      </c>
      <c r="F66" s="6" t="s">
        <v>1695</v>
      </c>
      <c r="G66" s="7" t="s">
        <v>1696</v>
      </c>
      <c r="H66" s="16" t="s">
        <v>8909</v>
      </c>
      <c r="I66" s="16" t="s">
        <v>8955</v>
      </c>
      <c r="J66" s="7"/>
      <c r="K66" s="7"/>
      <c r="L66" s="7"/>
      <c r="M66" s="7"/>
    </row>
    <row r="67">
      <c r="A67" s="15" t="s">
        <v>3184</v>
      </c>
      <c r="B67" s="6" t="s">
        <v>3638</v>
      </c>
      <c r="C67" s="6" t="s">
        <v>3639</v>
      </c>
      <c r="D67" s="6" t="s">
        <v>3352</v>
      </c>
      <c r="E67" s="7" t="s">
        <v>6619</v>
      </c>
      <c r="F67" s="6" t="s">
        <v>1695</v>
      </c>
      <c r="G67" s="7" t="s">
        <v>1696</v>
      </c>
      <c r="H67" s="16" t="s">
        <v>8909</v>
      </c>
      <c r="I67" s="16" t="s">
        <v>8955</v>
      </c>
      <c r="J67" s="7"/>
      <c r="K67" s="7"/>
      <c r="L67" s="7"/>
      <c r="M67" s="7"/>
    </row>
    <row r="68">
      <c r="A68" s="15" t="s">
        <v>3184</v>
      </c>
      <c r="B68" s="6" t="s">
        <v>5091</v>
      </c>
      <c r="C68" s="6" t="s">
        <v>5092</v>
      </c>
      <c r="D68" s="6" t="s">
        <v>5093</v>
      </c>
      <c r="E68" s="7" t="s">
        <v>6622</v>
      </c>
      <c r="F68" s="6" t="s">
        <v>1695</v>
      </c>
      <c r="G68" s="7" t="s">
        <v>1696</v>
      </c>
      <c r="H68" s="16" t="s">
        <v>8909</v>
      </c>
      <c r="I68" s="16" t="s">
        <v>8955</v>
      </c>
      <c r="J68" s="7"/>
      <c r="K68" s="7"/>
      <c r="L68" s="7"/>
      <c r="M68" s="7"/>
    </row>
    <row r="69">
      <c r="A69" s="15" t="s">
        <v>3184</v>
      </c>
      <c r="B69" s="6" t="s">
        <v>5505</v>
      </c>
      <c r="C69" s="6" t="s">
        <v>5506</v>
      </c>
      <c r="D69" s="6" t="s">
        <v>1769</v>
      </c>
      <c r="E69" s="7" t="s">
        <v>6624</v>
      </c>
      <c r="F69" s="6" t="s">
        <v>1695</v>
      </c>
      <c r="G69" s="7" t="s">
        <v>1696</v>
      </c>
      <c r="H69" s="16" t="s">
        <v>8909</v>
      </c>
      <c r="I69" s="16" t="s">
        <v>8955</v>
      </c>
      <c r="J69" s="7"/>
      <c r="K69" s="7"/>
      <c r="L69" s="7"/>
      <c r="M69" s="7"/>
    </row>
    <row r="70">
      <c r="A70" s="15" t="s">
        <v>3184</v>
      </c>
      <c r="B70" s="6" t="s">
        <v>2671</v>
      </c>
      <c r="C70" s="6" t="s">
        <v>2672</v>
      </c>
      <c r="D70" s="6" t="s">
        <v>2673</v>
      </c>
      <c r="E70" s="7" t="s">
        <v>6649</v>
      </c>
      <c r="F70" s="6" t="s">
        <v>1695</v>
      </c>
      <c r="G70" s="7" t="s">
        <v>1696</v>
      </c>
      <c r="H70" s="16" t="s">
        <v>8909</v>
      </c>
      <c r="I70" s="16" t="s">
        <v>8955</v>
      </c>
      <c r="J70" s="7"/>
      <c r="K70" s="7"/>
      <c r="L70" s="7"/>
      <c r="M70" s="7"/>
    </row>
    <row r="71">
      <c r="A71" s="15" t="s">
        <v>3184</v>
      </c>
      <c r="B71" s="6" t="s">
        <v>5294</v>
      </c>
      <c r="C71" s="6" t="s">
        <v>3505</v>
      </c>
      <c r="D71" s="6" t="s">
        <v>649</v>
      </c>
      <c r="E71" s="7" t="s">
        <v>6637</v>
      </c>
      <c r="F71" s="6" t="s">
        <v>1695</v>
      </c>
      <c r="G71" s="7" t="s">
        <v>1696</v>
      </c>
      <c r="H71" s="16" t="s">
        <v>8909</v>
      </c>
      <c r="I71" s="16" t="s">
        <v>8955</v>
      </c>
      <c r="J71" s="7"/>
      <c r="K71" s="7"/>
      <c r="L71" s="7"/>
      <c r="M71" s="7"/>
    </row>
  </sheetData>
  <dataValidations>
    <dataValidation type="list" allowBlank="1" showErrorMessage="1" sqref="H2:H71">
      <formula1>"Data Analytics,Front-end,Back-end,AWS ,Salesforce,AiCE,Pathway,Profetional Foundation"</formula1>
    </dataValidation>
    <dataValidation type="list" allowBlank="1" showErrorMessage="1" sqref="J2:J71">
      <formula1>"YES,NO,MAYBE"</formula1>
    </dataValidation>
    <dataValidation type="list" allowBlank="1" showErrorMessage="1" sqref="K2:K71">
      <formula1>"Will immediatly finish,Will finish later,Maybe will finish,Will not finish,Done"</formula1>
    </dataValidation>
    <dataValidation type="list" allowBlank="1" showErrorMessage="1" sqref="M2:M7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71">
      <formula1>"Busy Schedule ,Forgot about it ,Internet Access ,Not interested,Personal/ Family Issues ,Other,No Pc,Lost Link,By Mistake"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7" max="7" width="39.88"/>
    <col customWidth="1" min="8" max="8" width="12.25"/>
  </cols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>
      <c r="A2" s="15" t="s">
        <v>8997</v>
      </c>
      <c r="B2" s="6" t="s">
        <v>2681</v>
      </c>
      <c r="C2" s="6" t="s">
        <v>2682</v>
      </c>
      <c r="D2" s="6" t="s">
        <v>66</v>
      </c>
      <c r="E2" s="7" t="s">
        <v>6651</v>
      </c>
      <c r="F2" s="6" t="s">
        <v>1695</v>
      </c>
      <c r="G2" s="7" t="s">
        <v>1696</v>
      </c>
      <c r="H2" s="16" t="s">
        <v>8909</v>
      </c>
      <c r="I2" s="16" t="s">
        <v>8912</v>
      </c>
      <c r="J2" s="16" t="s">
        <v>8913</v>
      </c>
      <c r="K2" s="16" t="s">
        <v>8934</v>
      </c>
      <c r="L2" s="16" t="s">
        <v>8927</v>
      </c>
      <c r="M2" s="16" t="s">
        <v>8935</v>
      </c>
    </row>
    <row r="3">
      <c r="A3" s="15" t="s">
        <v>8997</v>
      </c>
      <c r="B3" s="6" t="s">
        <v>5794</v>
      </c>
      <c r="C3" s="6" t="s">
        <v>479</v>
      </c>
      <c r="D3" s="6" t="s">
        <v>5795</v>
      </c>
      <c r="E3" s="7" t="s">
        <v>6653</v>
      </c>
      <c r="F3" s="6" t="s">
        <v>1695</v>
      </c>
      <c r="G3" s="7" t="s">
        <v>1696</v>
      </c>
      <c r="H3" s="16" t="s">
        <v>8909</v>
      </c>
      <c r="I3" s="16" t="s">
        <v>8912</v>
      </c>
      <c r="J3" s="16" t="s">
        <v>8913</v>
      </c>
      <c r="K3" s="16" t="s">
        <v>8934</v>
      </c>
      <c r="L3" s="16" t="s">
        <v>8915</v>
      </c>
      <c r="M3" s="16" t="s">
        <v>8935</v>
      </c>
    </row>
    <row r="4">
      <c r="A4" s="15" t="s">
        <v>8997</v>
      </c>
      <c r="B4" s="6" t="s">
        <v>4100</v>
      </c>
      <c r="C4" s="6" t="s">
        <v>3906</v>
      </c>
      <c r="D4" s="6" t="s">
        <v>4101</v>
      </c>
      <c r="E4" s="7" t="s">
        <v>6657</v>
      </c>
      <c r="F4" s="6" t="s">
        <v>1695</v>
      </c>
      <c r="G4" s="7" t="s">
        <v>1696</v>
      </c>
      <c r="H4" s="16" t="s">
        <v>8909</v>
      </c>
      <c r="I4" s="16" t="s">
        <v>8912</v>
      </c>
      <c r="J4" s="16" t="s">
        <v>8913</v>
      </c>
      <c r="K4" s="16" t="s">
        <v>8934</v>
      </c>
      <c r="L4" s="16" t="s">
        <v>8927</v>
      </c>
      <c r="M4" s="16" t="s">
        <v>8935</v>
      </c>
    </row>
    <row r="5">
      <c r="A5" s="15" t="s">
        <v>8997</v>
      </c>
      <c r="B5" s="6" t="s">
        <v>2563</v>
      </c>
      <c r="C5" s="6" t="s">
        <v>394</v>
      </c>
      <c r="D5" s="6" t="s">
        <v>510</v>
      </c>
      <c r="E5" s="7" t="s">
        <v>6658</v>
      </c>
      <c r="F5" s="6" t="s">
        <v>1695</v>
      </c>
      <c r="G5" s="7" t="s">
        <v>1696</v>
      </c>
      <c r="H5" s="16" t="s">
        <v>8909</v>
      </c>
      <c r="I5" s="16" t="s">
        <v>8912</v>
      </c>
      <c r="J5" s="16" t="s">
        <v>8913</v>
      </c>
      <c r="K5" s="16" t="s">
        <v>8934</v>
      </c>
      <c r="L5" s="16" t="s">
        <v>8952</v>
      </c>
      <c r="M5" s="16" t="s">
        <v>8935</v>
      </c>
    </row>
    <row r="6">
      <c r="A6" s="15" t="s">
        <v>8997</v>
      </c>
      <c r="B6" s="6" t="s">
        <v>4240</v>
      </c>
      <c r="C6" s="6" t="s">
        <v>273</v>
      </c>
      <c r="D6" s="6" t="s">
        <v>4241</v>
      </c>
      <c r="E6" s="7" t="s">
        <v>6659</v>
      </c>
      <c r="F6" s="6" t="s">
        <v>1695</v>
      </c>
      <c r="G6" s="7" t="s">
        <v>1696</v>
      </c>
      <c r="H6" s="16" t="s">
        <v>8909</v>
      </c>
      <c r="I6" s="16" t="s">
        <v>8912</v>
      </c>
      <c r="J6" s="16" t="s">
        <v>8913</v>
      </c>
      <c r="K6" s="16" t="s">
        <v>8934</v>
      </c>
      <c r="L6" s="16" t="s">
        <v>8927</v>
      </c>
      <c r="M6" s="16" t="s">
        <v>8935</v>
      </c>
    </row>
    <row r="7">
      <c r="A7" s="15" t="s">
        <v>8997</v>
      </c>
      <c r="B7" s="6" t="s">
        <v>5542</v>
      </c>
      <c r="C7" s="6" t="s">
        <v>5012</v>
      </c>
      <c r="D7" s="6" t="s">
        <v>646</v>
      </c>
      <c r="E7" s="7" t="s">
        <v>6661</v>
      </c>
      <c r="F7" s="6" t="s">
        <v>1695</v>
      </c>
      <c r="G7" s="7" t="s">
        <v>1696</v>
      </c>
      <c r="H7" s="16" t="s">
        <v>8909</v>
      </c>
      <c r="I7" s="16" t="s">
        <v>8912</v>
      </c>
      <c r="J7" s="16" t="s">
        <v>8913</v>
      </c>
      <c r="K7" s="16" t="s">
        <v>8934</v>
      </c>
      <c r="L7" s="16" t="s">
        <v>8927</v>
      </c>
      <c r="M7" s="16" t="s">
        <v>8935</v>
      </c>
    </row>
    <row r="8">
      <c r="A8" s="15" t="s">
        <v>8997</v>
      </c>
      <c r="B8" s="6" t="s">
        <v>3255</v>
      </c>
      <c r="C8" s="6" t="s">
        <v>3099</v>
      </c>
      <c r="D8" s="6" t="s">
        <v>3256</v>
      </c>
      <c r="E8" s="7" t="s">
        <v>6663</v>
      </c>
      <c r="F8" s="6" t="s">
        <v>1695</v>
      </c>
      <c r="G8" s="7" t="s">
        <v>1696</v>
      </c>
      <c r="H8" s="16" t="s">
        <v>8909</v>
      </c>
      <c r="I8" s="16" t="s">
        <v>8912</v>
      </c>
      <c r="J8" s="16" t="s">
        <v>8913</v>
      </c>
      <c r="K8" s="16" t="s">
        <v>8934</v>
      </c>
      <c r="L8" s="16" t="s">
        <v>8927</v>
      </c>
      <c r="M8" s="16" t="s">
        <v>8935</v>
      </c>
    </row>
    <row r="9">
      <c r="A9" s="15" t="s">
        <v>8997</v>
      </c>
      <c r="B9" s="6" t="s">
        <v>2608</v>
      </c>
      <c r="C9" s="6" t="s">
        <v>131</v>
      </c>
      <c r="D9" s="6" t="s">
        <v>755</v>
      </c>
      <c r="E9" s="7" t="s">
        <v>6664</v>
      </c>
      <c r="F9" s="6" t="s">
        <v>1695</v>
      </c>
      <c r="G9" s="7" t="s">
        <v>1696</v>
      </c>
      <c r="H9" s="16" t="s">
        <v>8909</v>
      </c>
      <c r="I9" s="16" t="s">
        <v>8912</v>
      </c>
      <c r="J9" s="16" t="s">
        <v>8926</v>
      </c>
      <c r="K9" s="16" t="s">
        <v>8914</v>
      </c>
      <c r="L9" s="16" t="s">
        <v>8931</v>
      </c>
      <c r="M9" s="16" t="s">
        <v>8938</v>
      </c>
    </row>
    <row r="10">
      <c r="A10" s="15" t="s">
        <v>8997</v>
      </c>
      <c r="B10" s="6" t="s">
        <v>4399</v>
      </c>
      <c r="C10" s="6" t="s">
        <v>760</v>
      </c>
      <c r="D10" s="6" t="s">
        <v>526</v>
      </c>
      <c r="E10" s="7" t="s">
        <v>6665</v>
      </c>
      <c r="F10" s="6" t="s">
        <v>1695</v>
      </c>
      <c r="G10" s="7" t="s">
        <v>1696</v>
      </c>
      <c r="H10" s="16" t="s">
        <v>8909</v>
      </c>
      <c r="I10" s="16" t="s">
        <v>8912</v>
      </c>
      <c r="J10" s="16" t="s">
        <v>8918</v>
      </c>
      <c r="K10" s="16" t="s">
        <v>8919</v>
      </c>
      <c r="L10" s="16" t="s">
        <v>8920</v>
      </c>
      <c r="M10" s="16" t="s">
        <v>8921</v>
      </c>
    </row>
    <row r="11">
      <c r="A11" s="15" t="s">
        <v>8997</v>
      </c>
      <c r="B11" s="6" t="s">
        <v>5870</v>
      </c>
      <c r="C11" s="6" t="s">
        <v>4982</v>
      </c>
      <c r="D11" s="6" t="s">
        <v>701</v>
      </c>
      <c r="E11" s="7" t="s">
        <v>6666</v>
      </c>
      <c r="F11" s="6" t="s">
        <v>1695</v>
      </c>
      <c r="G11" s="7" t="s">
        <v>1696</v>
      </c>
      <c r="H11" s="16" t="s">
        <v>8909</v>
      </c>
      <c r="I11" s="16" t="s">
        <v>8912</v>
      </c>
      <c r="J11" s="16" t="s">
        <v>8913</v>
      </c>
      <c r="K11" s="16" t="s">
        <v>8934</v>
      </c>
      <c r="L11" s="16" t="s">
        <v>8952</v>
      </c>
      <c r="M11" s="16" t="s">
        <v>8935</v>
      </c>
    </row>
    <row r="12">
      <c r="A12" s="15" t="s">
        <v>8997</v>
      </c>
      <c r="B12" s="6" t="s">
        <v>3986</v>
      </c>
      <c r="C12" s="6" t="s">
        <v>522</v>
      </c>
      <c r="D12" s="6" t="s">
        <v>1882</v>
      </c>
      <c r="E12" s="7" t="s">
        <v>6667</v>
      </c>
      <c r="F12" s="6" t="s">
        <v>1695</v>
      </c>
      <c r="G12" s="7" t="s">
        <v>1696</v>
      </c>
      <c r="H12" s="16" t="s">
        <v>8909</v>
      </c>
      <c r="I12" s="16" t="s">
        <v>8912</v>
      </c>
      <c r="J12" s="16" t="s">
        <v>8918</v>
      </c>
      <c r="K12" s="16" t="s">
        <v>8919</v>
      </c>
      <c r="L12" s="16" t="s">
        <v>8931</v>
      </c>
      <c r="M12" s="16" t="s">
        <v>8924</v>
      </c>
    </row>
    <row r="13">
      <c r="A13" s="15" t="s">
        <v>8997</v>
      </c>
      <c r="B13" s="6" t="s">
        <v>6172</v>
      </c>
      <c r="C13" s="6" t="s">
        <v>3245</v>
      </c>
      <c r="D13" s="6" t="s">
        <v>4534</v>
      </c>
      <c r="E13" s="7" t="s">
        <v>6669</v>
      </c>
      <c r="F13" s="6" t="s">
        <v>1695</v>
      </c>
      <c r="G13" s="7" t="s">
        <v>1696</v>
      </c>
      <c r="H13" s="16" t="s">
        <v>8909</v>
      </c>
      <c r="I13" s="16" t="s">
        <v>8912</v>
      </c>
      <c r="J13" s="16" t="s">
        <v>8913</v>
      </c>
      <c r="K13" s="16" t="s">
        <v>8934</v>
      </c>
      <c r="L13" s="16" t="s">
        <v>8927</v>
      </c>
      <c r="M13" s="16" t="s">
        <v>8935</v>
      </c>
    </row>
    <row r="14">
      <c r="A14" s="15" t="s">
        <v>8997</v>
      </c>
      <c r="B14" s="6" t="s">
        <v>6230</v>
      </c>
      <c r="C14" s="6" t="s">
        <v>6231</v>
      </c>
      <c r="D14" s="6" t="s">
        <v>5708</v>
      </c>
      <c r="E14" s="7" t="s">
        <v>6671</v>
      </c>
      <c r="F14" s="6" t="s">
        <v>1695</v>
      </c>
      <c r="G14" s="7" t="s">
        <v>1696</v>
      </c>
      <c r="H14" s="16" t="s">
        <v>8909</v>
      </c>
      <c r="I14" s="16" t="s">
        <v>8912</v>
      </c>
      <c r="J14" s="16" t="s">
        <v>8913</v>
      </c>
      <c r="K14" s="16" t="s">
        <v>8934</v>
      </c>
      <c r="L14" s="16" t="s">
        <v>8927</v>
      </c>
      <c r="M14" s="16" t="s">
        <v>8935</v>
      </c>
    </row>
    <row r="15">
      <c r="A15" s="15" t="s">
        <v>8997</v>
      </c>
      <c r="B15" s="6" t="s">
        <v>4233</v>
      </c>
      <c r="C15" s="6" t="s">
        <v>540</v>
      </c>
      <c r="D15" s="6" t="s">
        <v>4234</v>
      </c>
      <c r="E15" s="7" t="s">
        <v>6672</v>
      </c>
      <c r="F15" s="6" t="s">
        <v>1695</v>
      </c>
      <c r="G15" s="7" t="s">
        <v>1696</v>
      </c>
      <c r="H15" s="16" t="s">
        <v>8909</v>
      </c>
      <c r="I15" s="16" t="s">
        <v>8912</v>
      </c>
      <c r="J15" s="16" t="s">
        <v>8913</v>
      </c>
      <c r="K15" s="16" t="s">
        <v>8934</v>
      </c>
      <c r="L15" s="16" t="s">
        <v>8931</v>
      </c>
      <c r="M15" s="16" t="s">
        <v>8935</v>
      </c>
    </row>
    <row r="16">
      <c r="A16" s="15" t="s">
        <v>8997</v>
      </c>
      <c r="B16" s="6" t="s">
        <v>3929</v>
      </c>
      <c r="C16" s="6" t="s">
        <v>3930</v>
      </c>
      <c r="D16" s="6" t="s">
        <v>3931</v>
      </c>
      <c r="E16" s="7" t="s">
        <v>6675</v>
      </c>
      <c r="F16" s="6" t="s">
        <v>1695</v>
      </c>
      <c r="G16" s="7" t="s">
        <v>1696</v>
      </c>
      <c r="H16" s="16" t="s">
        <v>8909</v>
      </c>
      <c r="I16" s="16" t="s">
        <v>8912</v>
      </c>
      <c r="J16" s="16" t="s">
        <v>8918</v>
      </c>
      <c r="K16" s="16" t="s">
        <v>8919</v>
      </c>
      <c r="L16" s="16" t="s">
        <v>8931</v>
      </c>
      <c r="M16" s="16" t="s">
        <v>8924</v>
      </c>
    </row>
    <row r="17">
      <c r="A17" s="15" t="s">
        <v>8997</v>
      </c>
      <c r="B17" s="6" t="s">
        <v>5282</v>
      </c>
      <c r="C17" s="6" t="s">
        <v>75</v>
      </c>
      <c r="D17" s="6" t="s">
        <v>5283</v>
      </c>
      <c r="E17" s="7" t="s">
        <v>6676</v>
      </c>
      <c r="F17" s="6" t="s">
        <v>1695</v>
      </c>
      <c r="G17" s="7" t="s">
        <v>1696</v>
      </c>
      <c r="H17" s="16" t="s">
        <v>8909</v>
      </c>
      <c r="I17" s="16" t="s">
        <v>8912</v>
      </c>
      <c r="J17" s="16" t="s">
        <v>8913</v>
      </c>
      <c r="K17" s="16" t="s">
        <v>8934</v>
      </c>
      <c r="L17" s="16" t="s">
        <v>8927</v>
      </c>
      <c r="M17" s="16" t="s">
        <v>8935</v>
      </c>
    </row>
    <row r="18">
      <c r="A18" s="15" t="s">
        <v>8997</v>
      </c>
      <c r="B18" s="6" t="s">
        <v>2757</v>
      </c>
      <c r="C18" s="6" t="s">
        <v>2758</v>
      </c>
      <c r="D18" s="6" t="s">
        <v>2759</v>
      </c>
      <c r="E18" s="7" t="s">
        <v>6677</v>
      </c>
      <c r="F18" s="6" t="s">
        <v>1695</v>
      </c>
      <c r="G18" s="7" t="s">
        <v>1696</v>
      </c>
      <c r="H18" s="16" t="s">
        <v>8909</v>
      </c>
      <c r="I18" s="16" t="s">
        <v>8912</v>
      </c>
      <c r="J18" s="16" t="s">
        <v>8913</v>
      </c>
      <c r="K18" s="16" t="s">
        <v>8934</v>
      </c>
      <c r="L18" s="16" t="s">
        <v>8927</v>
      </c>
      <c r="M18" s="16" t="s">
        <v>8935</v>
      </c>
    </row>
    <row r="19">
      <c r="A19" s="15" t="s">
        <v>8997</v>
      </c>
      <c r="B19" s="6" t="s">
        <v>5490</v>
      </c>
      <c r="C19" s="6" t="s">
        <v>5491</v>
      </c>
      <c r="D19" s="6" t="s">
        <v>282</v>
      </c>
      <c r="E19" s="7" t="s">
        <v>6680</v>
      </c>
      <c r="F19" s="6" t="s">
        <v>1695</v>
      </c>
      <c r="G19" s="7" t="s">
        <v>1696</v>
      </c>
      <c r="H19" s="16" t="s">
        <v>8909</v>
      </c>
      <c r="I19" s="16" t="s">
        <v>8912</v>
      </c>
      <c r="J19" s="16" t="s">
        <v>8926</v>
      </c>
      <c r="K19" s="16" t="s">
        <v>8914</v>
      </c>
      <c r="L19" s="16" t="s">
        <v>8927</v>
      </c>
      <c r="M19" s="16" t="s">
        <v>8974</v>
      </c>
    </row>
    <row r="20">
      <c r="A20" s="15" t="s">
        <v>8997</v>
      </c>
      <c r="B20" s="6" t="s">
        <v>4728</v>
      </c>
      <c r="C20" s="6" t="s">
        <v>701</v>
      </c>
      <c r="D20" s="6" t="s">
        <v>1028</v>
      </c>
      <c r="E20" s="7" t="s">
        <v>6681</v>
      </c>
      <c r="F20" s="6" t="s">
        <v>1695</v>
      </c>
      <c r="G20" s="7" t="s">
        <v>1696</v>
      </c>
      <c r="H20" s="16" t="s">
        <v>8909</v>
      </c>
      <c r="I20" s="16" t="s">
        <v>8912</v>
      </c>
      <c r="J20" s="16" t="s">
        <v>8918</v>
      </c>
      <c r="K20" s="16" t="s">
        <v>8919</v>
      </c>
      <c r="L20" s="16" t="s">
        <v>8920</v>
      </c>
      <c r="M20" s="16" t="s">
        <v>8921</v>
      </c>
    </row>
    <row r="21">
      <c r="A21" s="15" t="s">
        <v>8997</v>
      </c>
      <c r="B21" s="6" t="s">
        <v>5045</v>
      </c>
      <c r="C21" s="6" t="s">
        <v>5046</v>
      </c>
      <c r="D21" s="6" t="s">
        <v>5047</v>
      </c>
      <c r="E21" s="7" t="s">
        <v>6683</v>
      </c>
      <c r="F21" s="6" t="s">
        <v>1695</v>
      </c>
      <c r="G21" s="7" t="s">
        <v>1696</v>
      </c>
      <c r="H21" s="16" t="s">
        <v>8909</v>
      </c>
      <c r="I21" s="16" t="s">
        <v>8912</v>
      </c>
      <c r="J21" s="16" t="s">
        <v>8913</v>
      </c>
      <c r="K21" s="16" t="s">
        <v>8934</v>
      </c>
      <c r="L21" s="16" t="s">
        <v>8927</v>
      </c>
      <c r="M21" s="16" t="s">
        <v>8935</v>
      </c>
    </row>
    <row r="22">
      <c r="A22" s="15" t="s">
        <v>8997</v>
      </c>
      <c r="B22" s="6" t="s">
        <v>6153</v>
      </c>
      <c r="C22" s="6" t="s">
        <v>846</v>
      </c>
      <c r="D22" s="6" t="s">
        <v>1804</v>
      </c>
      <c r="E22" s="7" t="s">
        <v>6688</v>
      </c>
      <c r="F22" s="6" t="s">
        <v>1695</v>
      </c>
      <c r="G22" s="7" t="s">
        <v>1696</v>
      </c>
      <c r="H22" s="16" t="s">
        <v>8909</v>
      </c>
      <c r="I22" s="16" t="s">
        <v>8912</v>
      </c>
      <c r="J22" s="16" t="s">
        <v>8913</v>
      </c>
      <c r="K22" s="16" t="s">
        <v>8934</v>
      </c>
      <c r="L22" s="16" t="s">
        <v>8927</v>
      </c>
      <c r="M22" s="16" t="s">
        <v>8935</v>
      </c>
    </row>
    <row r="23">
      <c r="A23" s="15" t="s">
        <v>8997</v>
      </c>
      <c r="B23" s="6" t="s">
        <v>5247</v>
      </c>
      <c r="C23" s="6" t="s">
        <v>58</v>
      </c>
      <c r="D23" s="6" t="s">
        <v>404</v>
      </c>
      <c r="E23" s="7" t="s">
        <v>6689</v>
      </c>
      <c r="F23" s="6" t="s">
        <v>1695</v>
      </c>
      <c r="G23" s="7" t="s">
        <v>1696</v>
      </c>
      <c r="H23" s="16" t="s">
        <v>8909</v>
      </c>
      <c r="I23" s="16" t="s">
        <v>8912</v>
      </c>
      <c r="J23" s="16" t="s">
        <v>8926</v>
      </c>
      <c r="K23" s="16" t="s">
        <v>8914</v>
      </c>
      <c r="L23" s="16" t="s">
        <v>8920</v>
      </c>
      <c r="M23" s="16" t="s">
        <v>8974</v>
      </c>
    </row>
    <row r="24">
      <c r="A24" s="15" t="s">
        <v>8997</v>
      </c>
      <c r="B24" s="6" t="s">
        <v>5671</v>
      </c>
      <c r="C24" s="6" t="s">
        <v>490</v>
      </c>
      <c r="D24" s="6" t="s">
        <v>2724</v>
      </c>
      <c r="E24" s="7" t="s">
        <v>6690</v>
      </c>
      <c r="F24" s="6" t="s">
        <v>1695</v>
      </c>
      <c r="G24" s="7" t="s">
        <v>1696</v>
      </c>
      <c r="H24" s="16" t="s">
        <v>8909</v>
      </c>
      <c r="I24" s="16" t="s">
        <v>8912</v>
      </c>
      <c r="J24" s="16" t="s">
        <v>8913</v>
      </c>
      <c r="K24" s="16" t="s">
        <v>8934</v>
      </c>
      <c r="L24" s="16" t="s">
        <v>8927</v>
      </c>
      <c r="M24" s="16" t="s">
        <v>8935</v>
      </c>
    </row>
    <row r="25">
      <c r="A25" s="15" t="s">
        <v>8997</v>
      </c>
      <c r="B25" s="6" t="s">
        <v>2187</v>
      </c>
      <c r="C25" s="6" t="s">
        <v>2188</v>
      </c>
      <c r="D25" s="6" t="s">
        <v>784</v>
      </c>
      <c r="E25" s="7" t="s">
        <v>6691</v>
      </c>
      <c r="F25" s="6" t="s">
        <v>1695</v>
      </c>
      <c r="G25" s="7" t="s">
        <v>1696</v>
      </c>
      <c r="H25" s="16" t="s">
        <v>8909</v>
      </c>
      <c r="I25" s="16" t="s">
        <v>8912</v>
      </c>
      <c r="J25" s="16" t="s">
        <v>8913</v>
      </c>
      <c r="K25" s="16" t="s">
        <v>8934</v>
      </c>
      <c r="L25" s="16" t="s">
        <v>8927</v>
      </c>
      <c r="M25" s="16" t="s">
        <v>8935</v>
      </c>
    </row>
    <row r="26">
      <c r="A26" s="15" t="s">
        <v>8997</v>
      </c>
      <c r="B26" s="6" t="s">
        <v>3457</v>
      </c>
      <c r="C26" s="6" t="s">
        <v>787</v>
      </c>
      <c r="D26" s="6" t="s">
        <v>3458</v>
      </c>
      <c r="E26" s="7" t="s">
        <v>6692</v>
      </c>
      <c r="F26" s="6" t="s">
        <v>1695</v>
      </c>
      <c r="G26" s="7" t="s">
        <v>1696</v>
      </c>
      <c r="H26" s="16" t="s">
        <v>8909</v>
      </c>
      <c r="I26" s="16" t="s">
        <v>8912</v>
      </c>
      <c r="J26" s="16" t="s">
        <v>8913</v>
      </c>
      <c r="K26" s="16" t="s">
        <v>8934</v>
      </c>
      <c r="L26" s="16" t="s">
        <v>8927</v>
      </c>
      <c r="M26" s="16" t="s">
        <v>8935</v>
      </c>
    </row>
    <row r="27">
      <c r="A27" s="15" t="s">
        <v>8997</v>
      </c>
      <c r="B27" s="6" t="s">
        <v>5316</v>
      </c>
      <c r="C27" s="6" t="s">
        <v>3686</v>
      </c>
      <c r="D27" s="6" t="s">
        <v>85</v>
      </c>
      <c r="E27" s="7" t="s">
        <v>6693</v>
      </c>
      <c r="F27" s="6" t="s">
        <v>1695</v>
      </c>
      <c r="G27" s="7" t="s">
        <v>1696</v>
      </c>
      <c r="H27" s="16" t="s">
        <v>8909</v>
      </c>
      <c r="I27" s="16" t="s">
        <v>8912</v>
      </c>
      <c r="J27" s="16" t="s">
        <v>8926</v>
      </c>
      <c r="K27" s="16" t="s">
        <v>8914</v>
      </c>
      <c r="L27" s="16" t="s">
        <v>8931</v>
      </c>
      <c r="M27" s="16" t="s">
        <v>8938</v>
      </c>
    </row>
    <row r="28">
      <c r="A28" s="15" t="s">
        <v>8997</v>
      </c>
      <c r="B28" s="6" t="s">
        <v>3873</v>
      </c>
      <c r="C28" s="6" t="s">
        <v>3874</v>
      </c>
      <c r="D28" s="6" t="s">
        <v>3875</v>
      </c>
      <c r="E28" s="7" t="s">
        <v>6694</v>
      </c>
      <c r="F28" s="6" t="s">
        <v>1695</v>
      </c>
      <c r="G28" s="7" t="s">
        <v>1696</v>
      </c>
      <c r="H28" s="16" t="s">
        <v>8909</v>
      </c>
      <c r="I28" s="16" t="s">
        <v>8912</v>
      </c>
      <c r="J28" s="16" t="s">
        <v>8913</v>
      </c>
      <c r="K28" s="16" t="s">
        <v>8934</v>
      </c>
      <c r="L28" s="16" t="s">
        <v>8927</v>
      </c>
      <c r="M28" s="16" t="s">
        <v>8935</v>
      </c>
    </row>
    <row r="29">
      <c r="A29" s="15" t="s">
        <v>8997</v>
      </c>
      <c r="B29" s="6" t="s">
        <v>5215</v>
      </c>
      <c r="C29" s="6" t="s">
        <v>538</v>
      </c>
      <c r="D29" s="6" t="s">
        <v>5216</v>
      </c>
      <c r="E29" s="7" t="s">
        <v>6695</v>
      </c>
      <c r="F29" s="6" t="s">
        <v>1695</v>
      </c>
      <c r="G29" s="7" t="s">
        <v>1696</v>
      </c>
      <c r="H29" s="16" t="s">
        <v>8909</v>
      </c>
      <c r="I29" s="16" t="s">
        <v>8912</v>
      </c>
      <c r="J29" s="16" t="s">
        <v>8913</v>
      </c>
      <c r="K29" s="16" t="s">
        <v>8934</v>
      </c>
      <c r="L29" s="16" t="s">
        <v>8952</v>
      </c>
      <c r="M29" s="16" t="s">
        <v>8935</v>
      </c>
    </row>
    <row r="30">
      <c r="A30" s="15" t="s">
        <v>8997</v>
      </c>
      <c r="B30" s="6" t="s">
        <v>5686</v>
      </c>
      <c r="C30" s="6" t="s">
        <v>5687</v>
      </c>
      <c r="D30" s="6" t="s">
        <v>5688</v>
      </c>
      <c r="E30" s="7" t="s">
        <v>6696</v>
      </c>
      <c r="F30" s="6" t="s">
        <v>1695</v>
      </c>
      <c r="G30" s="7" t="s">
        <v>1696</v>
      </c>
      <c r="H30" s="16" t="s">
        <v>8909</v>
      </c>
      <c r="I30" s="16" t="s">
        <v>8912</v>
      </c>
      <c r="J30" s="16" t="s">
        <v>8913</v>
      </c>
      <c r="K30" s="16" t="s">
        <v>8934</v>
      </c>
      <c r="L30" s="16" t="s">
        <v>8927</v>
      </c>
      <c r="M30" s="16" t="s">
        <v>8935</v>
      </c>
    </row>
    <row r="31">
      <c r="A31" s="15" t="s">
        <v>8997</v>
      </c>
      <c r="B31" s="6" t="s">
        <v>3351</v>
      </c>
      <c r="C31" s="6" t="s">
        <v>3352</v>
      </c>
      <c r="D31" s="6" t="s">
        <v>3353</v>
      </c>
      <c r="E31" s="7" t="s">
        <v>6698</v>
      </c>
      <c r="F31" s="6" t="s">
        <v>1695</v>
      </c>
      <c r="G31" s="7" t="s">
        <v>1696</v>
      </c>
      <c r="H31" s="16" t="s">
        <v>8909</v>
      </c>
      <c r="I31" s="16" t="s">
        <v>8912</v>
      </c>
      <c r="J31" s="16" t="s">
        <v>8913</v>
      </c>
      <c r="K31" s="16" t="s">
        <v>8934</v>
      </c>
      <c r="L31" s="16" t="s">
        <v>8927</v>
      </c>
      <c r="M31" s="16" t="s">
        <v>8935</v>
      </c>
    </row>
    <row r="32">
      <c r="A32" s="15" t="s">
        <v>8997</v>
      </c>
      <c r="B32" s="6" t="s">
        <v>3273</v>
      </c>
      <c r="C32" s="6" t="s">
        <v>3274</v>
      </c>
      <c r="D32" s="6" t="s">
        <v>3275</v>
      </c>
      <c r="E32" s="7" t="s">
        <v>6662</v>
      </c>
      <c r="F32" s="6" t="s">
        <v>1695</v>
      </c>
      <c r="G32" s="7" t="s">
        <v>1696</v>
      </c>
      <c r="H32" s="16" t="s">
        <v>8909</v>
      </c>
      <c r="I32" s="16" t="s">
        <v>8954</v>
      </c>
      <c r="J32" s="7"/>
      <c r="K32" s="7"/>
      <c r="L32" s="7"/>
      <c r="M32" s="7"/>
    </row>
    <row r="33">
      <c r="A33" s="15" t="s">
        <v>8997</v>
      </c>
      <c r="B33" s="6" t="s">
        <v>2572</v>
      </c>
      <c r="C33" s="6" t="s">
        <v>356</v>
      </c>
      <c r="D33" s="6" t="s">
        <v>2573</v>
      </c>
      <c r="E33" s="7" t="s">
        <v>6679</v>
      </c>
      <c r="F33" s="6" t="s">
        <v>1695</v>
      </c>
      <c r="G33" s="7" t="s">
        <v>1696</v>
      </c>
      <c r="H33" s="16" t="s">
        <v>8909</v>
      </c>
      <c r="I33" s="16" t="s">
        <v>8954</v>
      </c>
      <c r="J33" s="7"/>
      <c r="K33" s="7"/>
      <c r="L33" s="7"/>
      <c r="M33" s="7"/>
    </row>
    <row r="34">
      <c r="A34" s="15" t="s">
        <v>8997</v>
      </c>
      <c r="B34" s="6" t="s">
        <v>5409</v>
      </c>
      <c r="C34" s="6" t="s">
        <v>5410</v>
      </c>
      <c r="D34" s="6" t="s">
        <v>446</v>
      </c>
      <c r="E34" s="7" t="s">
        <v>6685</v>
      </c>
      <c r="F34" s="6" t="s">
        <v>1695</v>
      </c>
      <c r="G34" s="7" t="s">
        <v>1696</v>
      </c>
      <c r="H34" s="16" t="s">
        <v>8909</v>
      </c>
      <c r="I34" s="16" t="s">
        <v>8954</v>
      </c>
      <c r="J34" s="7"/>
      <c r="K34" s="7"/>
      <c r="L34" s="7"/>
      <c r="M34" s="7"/>
    </row>
    <row r="35">
      <c r="A35" s="15" t="s">
        <v>8997</v>
      </c>
      <c r="B35" s="6" t="s">
        <v>2842</v>
      </c>
      <c r="C35" s="6" t="s">
        <v>204</v>
      </c>
      <c r="D35" s="6" t="s">
        <v>111</v>
      </c>
      <c r="E35" s="7" t="s">
        <v>6686</v>
      </c>
      <c r="F35" s="6" t="s">
        <v>1695</v>
      </c>
      <c r="G35" s="7" t="s">
        <v>1696</v>
      </c>
      <c r="H35" s="16" t="s">
        <v>8909</v>
      </c>
      <c r="I35" s="16" t="s">
        <v>8954</v>
      </c>
      <c r="J35" s="7"/>
      <c r="K35" s="7"/>
      <c r="L35" s="7"/>
      <c r="M35" s="7"/>
    </row>
    <row r="36">
      <c r="A36" s="15" t="s">
        <v>8997</v>
      </c>
      <c r="B36" s="6" t="s">
        <v>4477</v>
      </c>
      <c r="C36" s="6" t="s">
        <v>2537</v>
      </c>
      <c r="D36" s="6" t="s">
        <v>4093</v>
      </c>
      <c r="E36" s="7" t="s">
        <v>6652</v>
      </c>
      <c r="F36" s="6" t="s">
        <v>1695</v>
      </c>
      <c r="G36" s="7" t="s">
        <v>1696</v>
      </c>
      <c r="H36" s="16" t="s">
        <v>8909</v>
      </c>
      <c r="I36" s="16" t="s">
        <v>8955</v>
      </c>
      <c r="J36" s="7"/>
      <c r="K36" s="7"/>
      <c r="L36" s="7"/>
      <c r="M36" s="7"/>
    </row>
    <row r="37">
      <c r="A37" s="15" t="s">
        <v>8997</v>
      </c>
      <c r="B37" s="6" t="s">
        <v>5889</v>
      </c>
      <c r="C37" s="6" t="s">
        <v>5890</v>
      </c>
      <c r="D37" s="6" t="s">
        <v>5891</v>
      </c>
      <c r="E37" s="7" t="s">
        <v>6654</v>
      </c>
      <c r="F37" s="6" t="s">
        <v>1695</v>
      </c>
      <c r="G37" s="7" t="s">
        <v>1696</v>
      </c>
      <c r="H37" s="16" t="s">
        <v>8909</v>
      </c>
      <c r="I37" s="16" t="s">
        <v>8955</v>
      </c>
      <c r="J37" s="7"/>
      <c r="K37" s="7"/>
      <c r="L37" s="7"/>
      <c r="M37" s="7"/>
    </row>
    <row r="38">
      <c r="A38" s="15" t="s">
        <v>8997</v>
      </c>
      <c r="B38" s="6" t="s">
        <v>6180</v>
      </c>
      <c r="C38" s="6" t="s">
        <v>1005</v>
      </c>
      <c r="D38" s="6" t="s">
        <v>298</v>
      </c>
      <c r="E38" s="7" t="s">
        <v>6655</v>
      </c>
      <c r="F38" s="6" t="s">
        <v>1695</v>
      </c>
      <c r="G38" s="7" t="s">
        <v>1696</v>
      </c>
      <c r="H38" s="16" t="s">
        <v>8909</v>
      </c>
      <c r="I38" s="16" t="s">
        <v>8955</v>
      </c>
      <c r="J38" s="7"/>
      <c r="K38" s="7"/>
      <c r="L38" s="7"/>
      <c r="M38" s="7"/>
    </row>
    <row r="39">
      <c r="A39" s="15" t="s">
        <v>8997</v>
      </c>
      <c r="B39" s="6" t="s">
        <v>4297</v>
      </c>
      <c r="C39" s="6" t="s">
        <v>1208</v>
      </c>
      <c r="D39" s="6" t="s">
        <v>109</v>
      </c>
      <c r="E39" s="7" t="s">
        <v>6656</v>
      </c>
      <c r="F39" s="6" t="s">
        <v>1695</v>
      </c>
      <c r="G39" s="7" t="s">
        <v>1696</v>
      </c>
      <c r="H39" s="16" t="s">
        <v>8909</v>
      </c>
      <c r="I39" s="16" t="s">
        <v>8955</v>
      </c>
      <c r="J39" s="7"/>
      <c r="K39" s="7"/>
      <c r="L39" s="7"/>
      <c r="M39" s="7"/>
    </row>
    <row r="40">
      <c r="A40" s="15" t="s">
        <v>8997</v>
      </c>
      <c r="B40" s="6" t="s">
        <v>4612</v>
      </c>
      <c r="C40" s="6" t="s">
        <v>1208</v>
      </c>
      <c r="D40" s="6" t="s">
        <v>4613</v>
      </c>
      <c r="E40" s="7" t="s">
        <v>6656</v>
      </c>
      <c r="F40" s="6" t="s">
        <v>1695</v>
      </c>
      <c r="G40" s="7" t="s">
        <v>1696</v>
      </c>
      <c r="H40" s="16" t="s">
        <v>8909</v>
      </c>
      <c r="I40" s="16" t="s">
        <v>8955</v>
      </c>
      <c r="J40" s="7"/>
      <c r="K40" s="7"/>
      <c r="L40" s="7"/>
      <c r="M40" s="7"/>
    </row>
    <row r="41">
      <c r="A41" s="15" t="s">
        <v>8997</v>
      </c>
      <c r="B41" s="6" t="s">
        <v>6315</v>
      </c>
      <c r="C41" s="6" t="s">
        <v>6316</v>
      </c>
      <c r="D41" s="6" t="s">
        <v>6317</v>
      </c>
      <c r="E41" s="7" t="s">
        <v>6660</v>
      </c>
      <c r="F41" s="6" t="s">
        <v>1695</v>
      </c>
      <c r="G41" s="7" t="s">
        <v>6318</v>
      </c>
      <c r="H41" s="16" t="s">
        <v>8909</v>
      </c>
      <c r="I41" s="16" t="s">
        <v>8955</v>
      </c>
      <c r="J41" s="7"/>
      <c r="K41" s="7"/>
      <c r="L41" s="7"/>
      <c r="M41" s="7"/>
    </row>
    <row r="42">
      <c r="A42" s="15" t="s">
        <v>8997</v>
      </c>
      <c r="B42" s="6" t="s">
        <v>2799</v>
      </c>
      <c r="C42" s="6" t="s">
        <v>2800</v>
      </c>
      <c r="D42" s="6" t="s">
        <v>2801</v>
      </c>
      <c r="E42" s="7" t="s">
        <v>6668</v>
      </c>
      <c r="F42" s="6" t="s">
        <v>1695</v>
      </c>
      <c r="G42" s="7" t="s">
        <v>1696</v>
      </c>
      <c r="H42" s="16" t="s">
        <v>8909</v>
      </c>
      <c r="I42" s="16" t="s">
        <v>8955</v>
      </c>
      <c r="J42" s="7"/>
      <c r="K42" s="7"/>
      <c r="L42" s="7"/>
      <c r="M42" s="7"/>
    </row>
    <row r="43">
      <c r="A43" s="15" t="s">
        <v>8997</v>
      </c>
      <c r="B43" s="6" t="s">
        <v>2176</v>
      </c>
      <c r="C43" s="6" t="s">
        <v>2177</v>
      </c>
      <c r="D43" s="6" t="s">
        <v>2178</v>
      </c>
      <c r="E43" s="7" t="s">
        <v>6670</v>
      </c>
      <c r="F43" s="6" t="s">
        <v>1695</v>
      </c>
      <c r="G43" s="7" t="s">
        <v>1696</v>
      </c>
      <c r="H43" s="16" t="s">
        <v>8909</v>
      </c>
      <c r="I43" s="16" t="s">
        <v>8955</v>
      </c>
      <c r="J43" s="7"/>
      <c r="K43" s="7"/>
      <c r="L43" s="7"/>
      <c r="M43" s="7"/>
    </row>
    <row r="44">
      <c r="A44" s="15" t="s">
        <v>8997</v>
      </c>
      <c r="B44" s="6" t="s">
        <v>3714</v>
      </c>
      <c r="C44" s="6" t="s">
        <v>1561</v>
      </c>
      <c r="D44" s="6" t="s">
        <v>918</v>
      </c>
      <c r="E44" s="7" t="s">
        <v>6673</v>
      </c>
      <c r="F44" s="6" t="s">
        <v>1695</v>
      </c>
      <c r="G44" s="7" t="s">
        <v>1696</v>
      </c>
      <c r="H44" s="16" t="s">
        <v>8909</v>
      </c>
      <c r="I44" s="16" t="s">
        <v>8955</v>
      </c>
      <c r="J44" s="7"/>
      <c r="K44" s="7"/>
      <c r="L44" s="7"/>
      <c r="M44" s="7"/>
    </row>
    <row r="45">
      <c r="A45" s="15" t="s">
        <v>8997</v>
      </c>
      <c r="B45" s="6" t="s">
        <v>2126</v>
      </c>
      <c r="C45" s="6" t="s">
        <v>2127</v>
      </c>
      <c r="D45" s="6" t="s">
        <v>2128</v>
      </c>
      <c r="E45" s="7" t="s">
        <v>6674</v>
      </c>
      <c r="F45" s="6" t="s">
        <v>1695</v>
      </c>
      <c r="G45" s="7" t="s">
        <v>1696</v>
      </c>
      <c r="H45" s="16" t="s">
        <v>8909</v>
      </c>
      <c r="I45" s="16" t="s">
        <v>8955</v>
      </c>
      <c r="J45" s="7"/>
      <c r="K45" s="7"/>
      <c r="L45" s="7"/>
      <c r="M45" s="7"/>
    </row>
    <row r="46">
      <c r="A46" s="15" t="s">
        <v>8997</v>
      </c>
      <c r="B46" s="6" t="s">
        <v>2858</v>
      </c>
      <c r="C46" s="6" t="s">
        <v>2859</v>
      </c>
      <c r="D46" s="6" t="s">
        <v>559</v>
      </c>
      <c r="E46" s="7" t="s">
        <v>6678</v>
      </c>
      <c r="F46" s="6" t="s">
        <v>1695</v>
      </c>
      <c r="G46" s="7" t="s">
        <v>1696</v>
      </c>
      <c r="H46" s="16" t="s">
        <v>8909</v>
      </c>
      <c r="I46" s="16" t="s">
        <v>8955</v>
      </c>
      <c r="J46" s="7"/>
      <c r="K46" s="7"/>
      <c r="L46" s="7"/>
      <c r="M46" s="7"/>
    </row>
    <row r="47">
      <c r="A47" s="15" t="s">
        <v>8997</v>
      </c>
      <c r="B47" s="6" t="s">
        <v>4930</v>
      </c>
      <c r="C47" s="6" t="s">
        <v>4931</v>
      </c>
      <c r="D47" s="6" t="s">
        <v>4932</v>
      </c>
      <c r="E47" s="7" t="s">
        <v>6682</v>
      </c>
      <c r="F47" s="6" t="s">
        <v>1695</v>
      </c>
      <c r="G47" s="7" t="s">
        <v>1696</v>
      </c>
      <c r="H47" s="16" t="s">
        <v>8909</v>
      </c>
      <c r="I47" s="16" t="s">
        <v>8912</v>
      </c>
      <c r="J47" s="16" t="s">
        <v>8926</v>
      </c>
      <c r="K47" s="16" t="s">
        <v>8914</v>
      </c>
      <c r="L47" s="16" t="s">
        <v>8920</v>
      </c>
      <c r="M47" s="16" t="s">
        <v>8938</v>
      </c>
    </row>
    <row r="48">
      <c r="A48" s="15" t="s">
        <v>8997</v>
      </c>
      <c r="B48" s="6" t="s">
        <v>5951</v>
      </c>
      <c r="C48" s="6" t="s">
        <v>129</v>
      </c>
      <c r="D48" s="6" t="s">
        <v>5952</v>
      </c>
      <c r="E48" s="7" t="s">
        <v>6684</v>
      </c>
      <c r="F48" s="6" t="s">
        <v>1695</v>
      </c>
      <c r="G48" s="7" t="s">
        <v>1696</v>
      </c>
      <c r="H48" s="16" t="s">
        <v>8909</v>
      </c>
      <c r="I48" s="16" t="s">
        <v>8955</v>
      </c>
      <c r="J48" s="7"/>
      <c r="K48" s="7"/>
      <c r="L48" s="7"/>
      <c r="M48" s="7"/>
    </row>
    <row r="49">
      <c r="A49" s="15" t="s">
        <v>8997</v>
      </c>
      <c r="B49" s="6" t="s">
        <v>3201</v>
      </c>
      <c r="C49" s="6" t="s">
        <v>3202</v>
      </c>
      <c r="D49" s="6" t="s">
        <v>2388</v>
      </c>
      <c r="E49" s="7" t="s">
        <v>6687</v>
      </c>
      <c r="F49" s="6" t="s">
        <v>1695</v>
      </c>
      <c r="G49" s="7" t="s">
        <v>1696</v>
      </c>
      <c r="H49" s="16" t="s">
        <v>8909</v>
      </c>
      <c r="I49" s="16" t="s">
        <v>8955</v>
      </c>
      <c r="J49" s="7"/>
      <c r="K49" s="7"/>
      <c r="L49" s="7"/>
      <c r="M49" s="7"/>
    </row>
    <row r="50">
      <c r="A50" s="15" t="s">
        <v>8997</v>
      </c>
      <c r="B50" s="6" t="s">
        <v>2456</v>
      </c>
      <c r="C50" s="6" t="s">
        <v>2457</v>
      </c>
      <c r="D50" s="6" t="s">
        <v>2458</v>
      </c>
      <c r="E50" s="7" t="s">
        <v>6697</v>
      </c>
      <c r="F50" s="6" t="s">
        <v>1695</v>
      </c>
      <c r="G50" s="7" t="s">
        <v>1696</v>
      </c>
      <c r="H50" s="16" t="s">
        <v>8909</v>
      </c>
      <c r="I50" s="16" t="s">
        <v>8955</v>
      </c>
      <c r="J50" s="7"/>
      <c r="K50" s="7"/>
      <c r="L50" s="7"/>
      <c r="M50" s="7"/>
    </row>
    <row r="51">
      <c r="A51" s="15" t="s">
        <v>8997</v>
      </c>
      <c r="B51" s="6" t="s">
        <v>2988</v>
      </c>
      <c r="C51" s="6" t="s">
        <v>1959</v>
      </c>
      <c r="D51" s="6" t="s">
        <v>2989</v>
      </c>
      <c r="E51" s="7" t="s">
        <v>6699</v>
      </c>
      <c r="F51" s="6" t="s">
        <v>1695</v>
      </c>
      <c r="G51" s="7" t="s">
        <v>1696</v>
      </c>
      <c r="H51" s="16" t="s">
        <v>8909</v>
      </c>
      <c r="I51" s="16" t="s">
        <v>8955</v>
      </c>
      <c r="J51" s="7"/>
      <c r="K51" s="7"/>
      <c r="L51" s="7"/>
      <c r="M51" s="7"/>
    </row>
    <row r="52">
      <c r="I52" s="16"/>
      <c r="J52" s="16"/>
      <c r="K52" s="16"/>
      <c r="L52" s="16"/>
      <c r="M52" s="1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38"/>
    <col customWidth="1" min="3" max="4" width="8.38"/>
    <col customWidth="1" min="6" max="6" width="3.75"/>
    <col customWidth="1" min="7" max="7" width="8.38"/>
    <col customWidth="1" min="8" max="8" width="12.25"/>
    <col customWidth="1" min="11" max="11" width="9.75"/>
    <col customWidth="1" min="12" max="12" width="9.63"/>
    <col customWidth="1" min="13" max="13" width="10.5"/>
  </cols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>
      <c r="A2" s="15" t="s">
        <v>8998</v>
      </c>
      <c r="B2" s="7" t="s">
        <v>5057</v>
      </c>
      <c r="C2" s="7" t="s">
        <v>504</v>
      </c>
      <c r="D2" s="7" t="s">
        <v>404</v>
      </c>
      <c r="E2" s="7" t="s">
        <v>6793</v>
      </c>
      <c r="F2" s="7" t="s">
        <v>1695</v>
      </c>
      <c r="G2" s="7" t="s">
        <v>1696</v>
      </c>
      <c r="H2" s="16" t="s">
        <v>8909</v>
      </c>
      <c r="I2" s="16" t="s">
        <v>8911</v>
      </c>
      <c r="J2" s="16" t="s">
        <v>8918</v>
      </c>
      <c r="K2" s="16" t="s">
        <v>8919</v>
      </c>
      <c r="L2" s="16" t="s">
        <v>8931</v>
      </c>
      <c r="M2" s="16" t="s">
        <v>8924</v>
      </c>
    </row>
    <row r="3">
      <c r="A3" s="15" t="s">
        <v>8998</v>
      </c>
      <c r="B3" s="7" t="s">
        <v>2291</v>
      </c>
      <c r="C3" s="7" t="s">
        <v>2292</v>
      </c>
      <c r="D3" s="7" t="s">
        <v>2292</v>
      </c>
      <c r="E3" s="7" t="s">
        <v>6741</v>
      </c>
      <c r="F3" s="7" t="s">
        <v>1695</v>
      </c>
      <c r="G3" s="7" t="s">
        <v>1696</v>
      </c>
      <c r="H3" s="16" t="s">
        <v>8909</v>
      </c>
      <c r="I3" s="16" t="s">
        <v>8999</v>
      </c>
      <c r="J3" s="16" t="s">
        <v>8918</v>
      </c>
      <c r="K3" s="16" t="s">
        <v>8919</v>
      </c>
      <c r="L3" s="16" t="s">
        <v>8931</v>
      </c>
      <c r="M3" s="16" t="s">
        <v>8924</v>
      </c>
    </row>
    <row r="4">
      <c r="A4" s="15" t="s">
        <v>8998</v>
      </c>
      <c r="B4" s="7" t="s">
        <v>2790</v>
      </c>
      <c r="C4" s="7" t="s">
        <v>930</v>
      </c>
      <c r="D4" s="7" t="s">
        <v>1584</v>
      </c>
      <c r="E4" s="7" t="s">
        <v>6703</v>
      </c>
      <c r="F4" s="7" t="s">
        <v>1695</v>
      </c>
      <c r="G4" s="7" t="s">
        <v>1696</v>
      </c>
      <c r="H4" s="16" t="s">
        <v>8909</v>
      </c>
      <c r="I4" s="16" t="s">
        <v>8912</v>
      </c>
      <c r="J4" s="16" t="s">
        <v>8918</v>
      </c>
      <c r="K4" s="16" t="s">
        <v>8919</v>
      </c>
      <c r="L4" s="16" t="s">
        <v>8931</v>
      </c>
      <c r="M4" s="16" t="s">
        <v>8924</v>
      </c>
    </row>
    <row r="5">
      <c r="A5" s="15" t="s">
        <v>8998</v>
      </c>
      <c r="B5" s="7" t="s">
        <v>4360</v>
      </c>
      <c r="C5" s="7" t="s">
        <v>4361</v>
      </c>
      <c r="D5" s="7" t="s">
        <v>1814</v>
      </c>
      <c r="E5" s="7" t="s">
        <v>6707</v>
      </c>
      <c r="F5" s="7" t="s">
        <v>1695</v>
      </c>
      <c r="G5" s="7" t="s">
        <v>1696</v>
      </c>
      <c r="H5" s="16" t="s">
        <v>8909</v>
      </c>
      <c r="I5" s="16" t="s">
        <v>8912</v>
      </c>
      <c r="J5" s="16" t="s">
        <v>8926</v>
      </c>
      <c r="K5" s="16" t="s">
        <v>8934</v>
      </c>
      <c r="L5" s="16" t="s">
        <v>8920</v>
      </c>
      <c r="M5" s="16" t="s">
        <v>9000</v>
      </c>
    </row>
    <row r="6">
      <c r="A6" s="15" t="s">
        <v>8998</v>
      </c>
      <c r="B6" s="7" t="s">
        <v>5444</v>
      </c>
      <c r="C6" s="7" t="s">
        <v>5445</v>
      </c>
      <c r="D6" s="7" t="s">
        <v>4339</v>
      </c>
      <c r="E6" s="7" t="s">
        <v>6708</v>
      </c>
      <c r="F6" s="7" t="s">
        <v>1695</v>
      </c>
      <c r="G6" s="7" t="s">
        <v>1696</v>
      </c>
      <c r="H6" s="16" t="s">
        <v>8909</v>
      </c>
      <c r="I6" s="16" t="s">
        <v>8912</v>
      </c>
      <c r="J6" s="16" t="s">
        <v>8926</v>
      </c>
      <c r="K6" s="16" t="s">
        <v>8934</v>
      </c>
      <c r="L6" s="16" t="s">
        <v>8920</v>
      </c>
      <c r="M6" s="16" t="s">
        <v>8974</v>
      </c>
    </row>
    <row r="7">
      <c r="A7" s="15" t="s">
        <v>8998</v>
      </c>
      <c r="B7" s="7" t="s">
        <v>2102</v>
      </c>
      <c r="C7" s="7" t="s">
        <v>2103</v>
      </c>
      <c r="D7" s="7" t="s">
        <v>551</v>
      </c>
      <c r="E7" s="7" t="s">
        <v>6709</v>
      </c>
      <c r="F7" s="7" t="s">
        <v>1695</v>
      </c>
      <c r="G7" s="7" t="s">
        <v>1696</v>
      </c>
      <c r="H7" s="16" t="s">
        <v>8909</v>
      </c>
      <c r="I7" s="16" t="s">
        <v>8912</v>
      </c>
      <c r="J7" s="16" t="s">
        <v>8926</v>
      </c>
      <c r="K7" s="16" t="s">
        <v>8934</v>
      </c>
      <c r="L7" s="16" t="s">
        <v>8920</v>
      </c>
      <c r="M7" s="16" t="s">
        <v>8974</v>
      </c>
    </row>
    <row r="8">
      <c r="A8" s="15" t="s">
        <v>8998</v>
      </c>
      <c r="B8" s="7" t="s">
        <v>2794</v>
      </c>
      <c r="C8" s="7" t="s">
        <v>2174</v>
      </c>
      <c r="D8" s="7" t="s">
        <v>2795</v>
      </c>
      <c r="E8" s="7" t="s">
        <v>6710</v>
      </c>
      <c r="F8" s="7" t="s">
        <v>1695</v>
      </c>
      <c r="G8" s="7" t="s">
        <v>1696</v>
      </c>
      <c r="H8" s="16" t="s">
        <v>8909</v>
      </c>
      <c r="I8" s="16" t="s">
        <v>8912</v>
      </c>
      <c r="J8" s="16" t="s">
        <v>8913</v>
      </c>
      <c r="K8" s="16" t="s">
        <v>9001</v>
      </c>
      <c r="L8" s="16" t="s">
        <v>8927</v>
      </c>
      <c r="M8" s="16" t="s">
        <v>8935</v>
      </c>
    </row>
    <row r="9">
      <c r="A9" s="15" t="s">
        <v>8998</v>
      </c>
      <c r="B9" s="7" t="s">
        <v>4749</v>
      </c>
      <c r="C9" s="7" t="s">
        <v>4750</v>
      </c>
      <c r="D9" s="7" t="s">
        <v>3940</v>
      </c>
      <c r="E9" s="7" t="s">
        <v>6711</v>
      </c>
      <c r="F9" s="7" t="s">
        <v>1695</v>
      </c>
      <c r="G9" s="7" t="s">
        <v>1696</v>
      </c>
      <c r="H9" s="16" t="s">
        <v>8909</v>
      </c>
      <c r="I9" s="16" t="s">
        <v>8912</v>
      </c>
      <c r="J9" s="16" t="s">
        <v>8913</v>
      </c>
      <c r="K9" s="16" t="s">
        <v>9001</v>
      </c>
      <c r="L9" s="16" t="s">
        <v>8927</v>
      </c>
      <c r="M9" s="16" t="s">
        <v>8935</v>
      </c>
    </row>
    <row r="10">
      <c r="A10" s="15" t="s">
        <v>8998</v>
      </c>
      <c r="B10" s="7" t="s">
        <v>2789</v>
      </c>
      <c r="C10" s="7" t="s">
        <v>1769</v>
      </c>
      <c r="D10" s="7" t="s">
        <v>1162</v>
      </c>
      <c r="E10" s="7" t="s">
        <v>6714</v>
      </c>
      <c r="F10" s="7" t="s">
        <v>1695</v>
      </c>
      <c r="G10" s="7" t="s">
        <v>1696</v>
      </c>
      <c r="H10" s="16" t="s">
        <v>8909</v>
      </c>
      <c r="I10" s="16" t="s">
        <v>8912</v>
      </c>
      <c r="J10" s="16" t="s">
        <v>8918</v>
      </c>
      <c r="K10" s="16" t="s">
        <v>8919</v>
      </c>
      <c r="L10" s="16" t="s">
        <v>8931</v>
      </c>
      <c r="M10" s="16" t="s">
        <v>8924</v>
      </c>
    </row>
    <row r="11">
      <c r="A11" s="15" t="s">
        <v>8998</v>
      </c>
      <c r="B11" s="7" t="s">
        <v>2423</v>
      </c>
      <c r="C11" s="7" t="s">
        <v>1954</v>
      </c>
      <c r="D11" s="7" t="s">
        <v>32</v>
      </c>
      <c r="E11" s="7" t="s">
        <v>6715</v>
      </c>
      <c r="F11" s="7" t="s">
        <v>1695</v>
      </c>
      <c r="G11" s="7" t="s">
        <v>1696</v>
      </c>
      <c r="H11" s="16" t="s">
        <v>8909</v>
      </c>
      <c r="I11" s="16" t="s">
        <v>8912</v>
      </c>
      <c r="J11" s="16" t="s">
        <v>8918</v>
      </c>
      <c r="K11" s="16" t="s">
        <v>8919</v>
      </c>
      <c r="L11" s="16" t="s">
        <v>8931</v>
      </c>
      <c r="M11" s="16" t="s">
        <v>8924</v>
      </c>
    </row>
    <row r="12">
      <c r="A12" s="15" t="s">
        <v>8998</v>
      </c>
      <c r="B12" s="7" t="s">
        <v>4804</v>
      </c>
      <c r="C12" s="7" t="s">
        <v>64</v>
      </c>
      <c r="D12" s="7" t="s">
        <v>4805</v>
      </c>
      <c r="E12" s="7" t="s">
        <v>6718</v>
      </c>
      <c r="F12" s="7" t="s">
        <v>1695</v>
      </c>
      <c r="G12" s="7" t="s">
        <v>1696</v>
      </c>
      <c r="H12" s="16" t="s">
        <v>8909</v>
      </c>
      <c r="I12" s="16" t="s">
        <v>8912</v>
      </c>
      <c r="J12" s="16" t="s">
        <v>8913</v>
      </c>
      <c r="K12" s="16" t="s">
        <v>9001</v>
      </c>
      <c r="L12" s="16" t="s">
        <v>8927</v>
      </c>
      <c r="M12" s="16" t="s">
        <v>8935</v>
      </c>
    </row>
    <row r="13">
      <c r="A13" s="15" t="s">
        <v>8998</v>
      </c>
      <c r="B13" s="7" t="s">
        <v>5733</v>
      </c>
      <c r="C13" s="7" t="s">
        <v>5734</v>
      </c>
      <c r="D13" s="7" t="s">
        <v>5688</v>
      </c>
      <c r="E13" s="7" t="s">
        <v>6719</v>
      </c>
      <c r="F13" s="7" t="s">
        <v>1695</v>
      </c>
      <c r="G13" s="7" t="s">
        <v>1696</v>
      </c>
      <c r="H13" s="16" t="s">
        <v>8909</v>
      </c>
      <c r="I13" s="16" t="s">
        <v>8912</v>
      </c>
      <c r="J13" s="16" t="s">
        <v>8918</v>
      </c>
      <c r="K13" s="16" t="s">
        <v>8919</v>
      </c>
      <c r="L13" s="16" t="s">
        <v>8931</v>
      </c>
      <c r="M13" s="16" t="s">
        <v>8924</v>
      </c>
    </row>
    <row r="14">
      <c r="A14" s="15" t="s">
        <v>8998</v>
      </c>
      <c r="B14" s="7" t="s">
        <v>3844</v>
      </c>
      <c r="C14" s="7" t="s">
        <v>3845</v>
      </c>
      <c r="D14" s="7" t="s">
        <v>118</v>
      </c>
      <c r="E14" s="7" t="s">
        <v>6720</v>
      </c>
      <c r="F14" s="7" t="s">
        <v>1695</v>
      </c>
      <c r="G14" s="7" t="s">
        <v>1696</v>
      </c>
      <c r="H14" s="16" t="s">
        <v>8909</v>
      </c>
      <c r="I14" s="16" t="s">
        <v>8912</v>
      </c>
      <c r="J14" s="16" t="s">
        <v>8926</v>
      </c>
      <c r="K14" s="16" t="s">
        <v>8934</v>
      </c>
      <c r="L14" s="16" t="s">
        <v>8920</v>
      </c>
      <c r="M14" s="16" t="s">
        <v>9000</v>
      </c>
    </row>
    <row r="15">
      <c r="A15" s="15" t="s">
        <v>8998</v>
      </c>
      <c r="B15" s="7" t="s">
        <v>4653</v>
      </c>
      <c r="C15" s="7" t="s">
        <v>46</v>
      </c>
      <c r="D15" s="7" t="s">
        <v>4654</v>
      </c>
      <c r="E15" s="7" t="s">
        <v>6721</v>
      </c>
      <c r="F15" s="7" t="s">
        <v>1695</v>
      </c>
      <c r="G15" s="7" t="s">
        <v>1696</v>
      </c>
      <c r="H15" s="16" t="s">
        <v>8909</v>
      </c>
      <c r="I15" s="16" t="s">
        <v>8912</v>
      </c>
      <c r="J15" s="16" t="s">
        <v>8918</v>
      </c>
      <c r="K15" s="16" t="s">
        <v>8919</v>
      </c>
      <c r="L15" s="16" t="s">
        <v>8927</v>
      </c>
      <c r="M15" s="16" t="s">
        <v>8924</v>
      </c>
    </row>
    <row r="16">
      <c r="A16" s="15" t="s">
        <v>8998</v>
      </c>
      <c r="B16" s="7" t="s">
        <v>6007</v>
      </c>
      <c r="C16" s="7" t="s">
        <v>3245</v>
      </c>
      <c r="D16" s="7" t="s">
        <v>4764</v>
      </c>
      <c r="E16" s="7" t="s">
        <v>6722</v>
      </c>
      <c r="F16" s="7" t="s">
        <v>1695</v>
      </c>
      <c r="G16" s="7" t="s">
        <v>1696</v>
      </c>
      <c r="H16" s="16" t="s">
        <v>8909</v>
      </c>
      <c r="I16" s="16" t="s">
        <v>8912</v>
      </c>
      <c r="J16" s="16" t="s">
        <v>8918</v>
      </c>
      <c r="K16" s="16" t="s">
        <v>8919</v>
      </c>
      <c r="L16" s="16" t="s">
        <v>8927</v>
      </c>
      <c r="M16" s="16" t="s">
        <v>8921</v>
      </c>
    </row>
    <row r="17">
      <c r="A17" s="15" t="s">
        <v>8998</v>
      </c>
      <c r="B17" s="7" t="s">
        <v>3136</v>
      </c>
      <c r="C17" s="7" t="s">
        <v>420</v>
      </c>
      <c r="D17" s="7" t="s">
        <v>32</v>
      </c>
      <c r="E17" s="7" t="s">
        <v>6723</v>
      </c>
      <c r="F17" s="7" t="s">
        <v>1695</v>
      </c>
      <c r="G17" s="7" t="s">
        <v>1696</v>
      </c>
      <c r="H17" s="16" t="s">
        <v>8909</v>
      </c>
      <c r="I17" s="16" t="s">
        <v>8912</v>
      </c>
      <c r="J17" s="16" t="s">
        <v>8918</v>
      </c>
      <c r="K17" s="16" t="s">
        <v>8919</v>
      </c>
      <c r="L17" s="16" t="s">
        <v>8920</v>
      </c>
      <c r="M17" s="16" t="s">
        <v>8921</v>
      </c>
      <c r="N17" s="3" t="s">
        <v>9002</v>
      </c>
    </row>
    <row r="18">
      <c r="A18" s="15" t="s">
        <v>8998</v>
      </c>
      <c r="B18" s="7" t="s">
        <v>3753</v>
      </c>
      <c r="C18" s="7" t="s">
        <v>3754</v>
      </c>
      <c r="D18" s="7" t="s">
        <v>3755</v>
      </c>
      <c r="E18" s="7" t="s">
        <v>6725</v>
      </c>
      <c r="F18" s="7" t="s">
        <v>1695</v>
      </c>
      <c r="G18" s="7" t="s">
        <v>1696</v>
      </c>
      <c r="H18" s="16" t="s">
        <v>8909</v>
      </c>
      <c r="I18" s="16" t="s">
        <v>8912</v>
      </c>
      <c r="J18" s="16" t="s">
        <v>8926</v>
      </c>
      <c r="K18" s="16" t="s">
        <v>8934</v>
      </c>
      <c r="L18" s="16" t="s">
        <v>8920</v>
      </c>
      <c r="M18" s="16" t="s">
        <v>8974</v>
      </c>
    </row>
    <row r="19">
      <c r="A19" s="15" t="s">
        <v>8998</v>
      </c>
      <c r="B19" s="7" t="s">
        <v>4572</v>
      </c>
      <c r="C19" s="7" t="s">
        <v>178</v>
      </c>
      <c r="D19" s="7" t="s">
        <v>64</v>
      </c>
      <c r="E19" s="7" t="s">
        <v>6726</v>
      </c>
      <c r="F19" s="7" t="s">
        <v>1695</v>
      </c>
      <c r="G19" s="7" t="s">
        <v>1696</v>
      </c>
      <c r="H19" s="16" t="s">
        <v>8909</v>
      </c>
      <c r="I19" s="16" t="s">
        <v>8912</v>
      </c>
      <c r="J19" s="16" t="s">
        <v>8926</v>
      </c>
      <c r="K19" s="16" t="s">
        <v>8934</v>
      </c>
      <c r="L19" s="16" t="s">
        <v>8920</v>
      </c>
      <c r="M19" s="16" t="s">
        <v>8974</v>
      </c>
    </row>
    <row r="20">
      <c r="A20" s="15" t="s">
        <v>8998</v>
      </c>
      <c r="B20" s="7" t="s">
        <v>5302</v>
      </c>
      <c r="C20" s="7" t="s">
        <v>5303</v>
      </c>
      <c r="D20" s="7" t="s">
        <v>5304</v>
      </c>
      <c r="E20" s="7" t="s">
        <v>6779</v>
      </c>
      <c r="F20" s="7" t="s">
        <v>1695</v>
      </c>
      <c r="G20" s="7" t="s">
        <v>1696</v>
      </c>
      <c r="H20" s="16" t="s">
        <v>8909</v>
      </c>
      <c r="I20" s="16" t="s">
        <v>8912</v>
      </c>
      <c r="J20" s="16" t="s">
        <v>8913</v>
      </c>
      <c r="K20" s="16" t="s">
        <v>8934</v>
      </c>
      <c r="L20" s="16" t="s">
        <v>8952</v>
      </c>
      <c r="M20" s="16" t="s">
        <v>8935</v>
      </c>
    </row>
    <row r="21">
      <c r="A21" s="15" t="s">
        <v>8998</v>
      </c>
      <c r="B21" s="7" t="s">
        <v>4063</v>
      </c>
      <c r="C21" s="7" t="s">
        <v>629</v>
      </c>
      <c r="D21" s="7" t="s">
        <v>3900</v>
      </c>
      <c r="E21" s="7" t="s">
        <v>6780</v>
      </c>
      <c r="F21" s="7" t="s">
        <v>1695</v>
      </c>
      <c r="G21" s="7" t="s">
        <v>1696</v>
      </c>
      <c r="H21" s="16" t="s">
        <v>8909</v>
      </c>
      <c r="I21" s="16" t="s">
        <v>8912</v>
      </c>
      <c r="J21" s="16" t="s">
        <v>8926</v>
      </c>
      <c r="K21" s="16" t="s">
        <v>8914</v>
      </c>
      <c r="L21" s="16" t="s">
        <v>8920</v>
      </c>
      <c r="M21" s="16" t="s">
        <v>8974</v>
      </c>
    </row>
    <row r="22">
      <c r="A22" s="15" t="s">
        <v>8998</v>
      </c>
      <c r="B22" s="7" t="s">
        <v>4993</v>
      </c>
      <c r="C22" s="7" t="s">
        <v>4994</v>
      </c>
      <c r="D22" s="7" t="s">
        <v>4995</v>
      </c>
      <c r="E22" s="7" t="s">
        <v>6781</v>
      </c>
      <c r="F22" s="7" t="s">
        <v>1695</v>
      </c>
      <c r="G22" s="7" t="s">
        <v>1696</v>
      </c>
      <c r="H22" s="16" t="s">
        <v>8909</v>
      </c>
      <c r="I22" s="16" t="s">
        <v>8912</v>
      </c>
      <c r="J22" s="16" t="s">
        <v>8918</v>
      </c>
      <c r="K22" s="16" t="s">
        <v>8919</v>
      </c>
      <c r="L22" s="16" t="s">
        <v>8915</v>
      </c>
      <c r="M22" s="16" t="s">
        <v>8924</v>
      </c>
    </row>
    <row r="23">
      <c r="A23" s="15" t="s">
        <v>8998</v>
      </c>
      <c r="B23" s="7" t="s">
        <v>5846</v>
      </c>
      <c r="C23" s="7" t="s">
        <v>724</v>
      </c>
      <c r="D23" s="7" t="s">
        <v>5847</v>
      </c>
      <c r="E23" s="7" t="s">
        <v>6782</v>
      </c>
      <c r="F23" s="7" t="s">
        <v>1695</v>
      </c>
      <c r="G23" s="7" t="s">
        <v>1696</v>
      </c>
      <c r="H23" s="16" t="s">
        <v>8909</v>
      </c>
      <c r="I23" s="16" t="s">
        <v>8912</v>
      </c>
      <c r="J23" s="16" t="s">
        <v>8918</v>
      </c>
      <c r="K23" s="16" t="s">
        <v>8919</v>
      </c>
      <c r="L23" s="16" t="s">
        <v>8915</v>
      </c>
      <c r="M23" s="16" t="s">
        <v>8916</v>
      </c>
    </row>
    <row r="24">
      <c r="A24" s="15" t="s">
        <v>8998</v>
      </c>
      <c r="B24" s="7" t="s">
        <v>6170</v>
      </c>
      <c r="C24" s="7" t="s">
        <v>689</v>
      </c>
      <c r="D24" s="7" t="s">
        <v>6171</v>
      </c>
      <c r="E24" s="7" t="s">
        <v>6788</v>
      </c>
      <c r="F24" s="7" t="s">
        <v>1695</v>
      </c>
      <c r="G24" s="7" t="s">
        <v>1696</v>
      </c>
      <c r="H24" s="16" t="s">
        <v>8909</v>
      </c>
      <c r="I24" s="16" t="s">
        <v>8912</v>
      </c>
      <c r="J24" s="16" t="s">
        <v>8918</v>
      </c>
      <c r="K24" s="16" t="s">
        <v>8919</v>
      </c>
      <c r="L24" s="16" t="s">
        <v>9003</v>
      </c>
      <c r="M24" s="16" t="s">
        <v>8924</v>
      </c>
    </row>
    <row r="25">
      <c r="A25" s="15" t="s">
        <v>8998</v>
      </c>
      <c r="B25" s="7" t="s">
        <v>3583</v>
      </c>
      <c r="C25" s="7" t="s">
        <v>1022</v>
      </c>
      <c r="D25" s="7" t="s">
        <v>1933</v>
      </c>
      <c r="E25" s="7" t="s">
        <v>6789</v>
      </c>
      <c r="F25" s="7" t="s">
        <v>1695</v>
      </c>
      <c r="G25" s="7" t="s">
        <v>1696</v>
      </c>
      <c r="H25" s="16" t="s">
        <v>8909</v>
      </c>
      <c r="I25" s="16" t="s">
        <v>8912</v>
      </c>
      <c r="J25" s="16" t="s">
        <v>8913</v>
      </c>
      <c r="K25" s="16" t="s">
        <v>8934</v>
      </c>
      <c r="L25" s="16" t="s">
        <v>8927</v>
      </c>
      <c r="M25" s="16" t="s">
        <v>8935</v>
      </c>
    </row>
    <row r="26">
      <c r="A26" s="15" t="s">
        <v>8998</v>
      </c>
      <c r="B26" s="7" t="s">
        <v>2710</v>
      </c>
      <c r="C26" s="7" t="s">
        <v>2711</v>
      </c>
      <c r="D26" s="7" t="s">
        <v>2712</v>
      </c>
      <c r="E26" s="7" t="s">
        <v>6790</v>
      </c>
      <c r="F26" s="7" t="s">
        <v>1695</v>
      </c>
      <c r="G26" s="7" t="s">
        <v>1696</v>
      </c>
      <c r="H26" s="16" t="s">
        <v>8909</v>
      </c>
      <c r="I26" s="16" t="s">
        <v>8912</v>
      </c>
      <c r="J26" s="16" t="s">
        <v>8926</v>
      </c>
      <c r="K26" s="16" t="s">
        <v>8914</v>
      </c>
      <c r="L26" s="16" t="s">
        <v>8920</v>
      </c>
      <c r="M26" s="16" t="s">
        <v>8974</v>
      </c>
    </row>
    <row r="27">
      <c r="A27" s="15" t="s">
        <v>8998</v>
      </c>
      <c r="B27" s="7" t="s">
        <v>4499</v>
      </c>
      <c r="C27" s="7" t="s">
        <v>853</v>
      </c>
      <c r="D27" s="7" t="s">
        <v>120</v>
      </c>
      <c r="E27" s="7" t="s">
        <v>6794</v>
      </c>
      <c r="F27" s="7" t="s">
        <v>1695</v>
      </c>
      <c r="G27" s="7" t="s">
        <v>1696</v>
      </c>
      <c r="H27" s="16" t="s">
        <v>8909</v>
      </c>
      <c r="I27" s="16" t="s">
        <v>8912</v>
      </c>
      <c r="J27" s="16" t="s">
        <v>8913</v>
      </c>
      <c r="K27" s="16" t="s">
        <v>8934</v>
      </c>
      <c r="L27" s="16" t="s">
        <v>8915</v>
      </c>
      <c r="M27" s="16" t="s">
        <v>8935</v>
      </c>
    </row>
    <row r="28">
      <c r="A28" s="15" t="s">
        <v>8998</v>
      </c>
      <c r="B28" s="7" t="s">
        <v>5600</v>
      </c>
      <c r="C28" s="7" t="s">
        <v>5601</v>
      </c>
      <c r="D28" s="7" t="s">
        <v>1814</v>
      </c>
      <c r="E28" s="7" t="s">
        <v>6727</v>
      </c>
      <c r="F28" s="7" t="s">
        <v>1695</v>
      </c>
      <c r="G28" s="7" t="s">
        <v>1696</v>
      </c>
      <c r="H28" s="16" t="s">
        <v>8909</v>
      </c>
      <c r="I28" s="16" t="s">
        <v>8912</v>
      </c>
      <c r="J28" s="16" t="s">
        <v>8913</v>
      </c>
      <c r="K28" s="16" t="s">
        <v>9001</v>
      </c>
      <c r="L28" s="16" t="s">
        <v>8920</v>
      </c>
      <c r="M28" s="16" t="s">
        <v>8935</v>
      </c>
    </row>
    <row r="29">
      <c r="A29" s="15" t="s">
        <v>8998</v>
      </c>
      <c r="B29" s="7" t="s">
        <v>1913</v>
      </c>
      <c r="C29" s="7" t="s">
        <v>1502</v>
      </c>
      <c r="D29" s="7" t="s">
        <v>1271</v>
      </c>
      <c r="E29" s="7" t="s">
        <v>6736</v>
      </c>
      <c r="F29" s="7" t="s">
        <v>1695</v>
      </c>
      <c r="G29" s="7" t="s">
        <v>1696</v>
      </c>
      <c r="H29" s="16" t="s">
        <v>8909</v>
      </c>
      <c r="I29" s="16" t="s">
        <v>8912</v>
      </c>
      <c r="J29" s="16" t="s">
        <v>8913</v>
      </c>
      <c r="K29" s="16" t="s">
        <v>8934</v>
      </c>
      <c r="L29" s="16" t="s">
        <v>8927</v>
      </c>
      <c r="M29" s="16" t="s">
        <v>8935</v>
      </c>
    </row>
    <row r="30">
      <c r="A30" s="15" t="s">
        <v>8998</v>
      </c>
      <c r="B30" s="7" t="s">
        <v>6152</v>
      </c>
      <c r="C30" s="7" t="s">
        <v>420</v>
      </c>
      <c r="D30" s="7" t="s">
        <v>6095</v>
      </c>
      <c r="E30" s="7" t="s">
        <v>6731</v>
      </c>
      <c r="F30" s="7" t="s">
        <v>1695</v>
      </c>
      <c r="G30" s="7" t="s">
        <v>1696</v>
      </c>
      <c r="H30" s="16" t="s">
        <v>8909</v>
      </c>
      <c r="I30" s="16" t="s">
        <v>8912</v>
      </c>
      <c r="J30" s="16" t="s">
        <v>8918</v>
      </c>
      <c r="K30" s="16" t="s">
        <v>8919</v>
      </c>
      <c r="L30" s="16" t="s">
        <v>8920</v>
      </c>
      <c r="M30" s="16" t="s">
        <v>8964</v>
      </c>
    </row>
    <row r="31">
      <c r="A31" s="15" t="s">
        <v>8998</v>
      </c>
      <c r="B31" s="7" t="s">
        <v>4094</v>
      </c>
      <c r="C31" s="7" t="s">
        <v>787</v>
      </c>
      <c r="D31" s="7" t="s">
        <v>414</v>
      </c>
      <c r="E31" s="7" t="s">
        <v>6734</v>
      </c>
      <c r="F31" s="7" t="s">
        <v>1695</v>
      </c>
      <c r="G31" s="7" t="s">
        <v>1696</v>
      </c>
      <c r="H31" s="16" t="s">
        <v>8909</v>
      </c>
      <c r="I31" s="16" t="s">
        <v>8912</v>
      </c>
      <c r="J31" s="16" t="s">
        <v>8926</v>
      </c>
      <c r="K31" s="16" t="s">
        <v>8934</v>
      </c>
      <c r="L31" s="16" t="s">
        <v>8920</v>
      </c>
      <c r="M31" s="16" t="s">
        <v>8938</v>
      </c>
    </row>
    <row r="32">
      <c r="A32" s="15" t="s">
        <v>8998</v>
      </c>
      <c r="B32" s="7" t="s">
        <v>2003</v>
      </c>
      <c r="C32" s="7" t="s">
        <v>328</v>
      </c>
      <c r="D32" s="7" t="s">
        <v>2004</v>
      </c>
      <c r="E32" s="7" t="s">
        <v>6735</v>
      </c>
      <c r="F32" s="7" t="s">
        <v>1695</v>
      </c>
      <c r="G32" s="7" t="s">
        <v>1696</v>
      </c>
      <c r="H32" s="16" t="s">
        <v>8909</v>
      </c>
      <c r="I32" s="16" t="s">
        <v>8912</v>
      </c>
      <c r="J32" s="16" t="s">
        <v>8913</v>
      </c>
      <c r="K32" s="16" t="s">
        <v>9004</v>
      </c>
      <c r="L32" s="16" t="s">
        <v>8920</v>
      </c>
      <c r="M32" s="16" t="s">
        <v>9005</v>
      </c>
    </row>
    <row r="33">
      <c r="A33" s="15" t="s">
        <v>8998</v>
      </c>
      <c r="B33" s="7" t="s">
        <v>4012</v>
      </c>
      <c r="C33" s="7" t="s">
        <v>4013</v>
      </c>
      <c r="D33" s="7" t="s">
        <v>4014</v>
      </c>
      <c r="E33" s="7" t="s">
        <v>6737</v>
      </c>
      <c r="F33" s="7" t="s">
        <v>1695</v>
      </c>
      <c r="G33" s="7" t="s">
        <v>1696</v>
      </c>
      <c r="H33" s="16" t="s">
        <v>8909</v>
      </c>
      <c r="I33" s="16" t="s">
        <v>8912</v>
      </c>
      <c r="J33" s="16" t="s">
        <v>8926</v>
      </c>
      <c r="K33" s="16" t="s">
        <v>8934</v>
      </c>
      <c r="L33" s="16" t="s">
        <v>8920</v>
      </c>
      <c r="M33" s="16" t="s">
        <v>8938</v>
      </c>
    </row>
    <row r="34">
      <c r="A34" s="15" t="s">
        <v>8998</v>
      </c>
      <c r="B34" s="7" t="s">
        <v>2635</v>
      </c>
      <c r="C34" s="7" t="s">
        <v>2153</v>
      </c>
      <c r="D34" s="7" t="s">
        <v>292</v>
      </c>
      <c r="E34" s="7" t="s">
        <v>6738</v>
      </c>
      <c r="F34" s="7" t="s">
        <v>1695</v>
      </c>
      <c r="G34" s="7" t="s">
        <v>1696</v>
      </c>
      <c r="H34" s="16" t="s">
        <v>8909</v>
      </c>
      <c r="I34" s="16" t="s">
        <v>8912</v>
      </c>
      <c r="J34" s="16" t="s">
        <v>8918</v>
      </c>
      <c r="K34" s="16" t="s">
        <v>8919</v>
      </c>
      <c r="L34" s="16" t="s">
        <v>8931</v>
      </c>
      <c r="M34" s="16" t="s">
        <v>8924</v>
      </c>
    </row>
    <row r="35">
      <c r="A35" s="15" t="s">
        <v>8998</v>
      </c>
      <c r="B35" s="7" t="s">
        <v>2531</v>
      </c>
      <c r="C35" s="7" t="s">
        <v>85</v>
      </c>
      <c r="D35" s="7" t="s">
        <v>2532</v>
      </c>
      <c r="E35" s="7" t="s">
        <v>6739</v>
      </c>
      <c r="F35" s="7" t="s">
        <v>1695</v>
      </c>
      <c r="G35" s="7" t="s">
        <v>1696</v>
      </c>
      <c r="H35" s="16" t="s">
        <v>8909</v>
      </c>
      <c r="I35" s="16" t="s">
        <v>8912</v>
      </c>
      <c r="J35" s="16" t="s">
        <v>8918</v>
      </c>
      <c r="K35" s="16" t="s">
        <v>8919</v>
      </c>
      <c r="L35" s="16" t="s">
        <v>8931</v>
      </c>
      <c r="M35" s="16" t="s">
        <v>8924</v>
      </c>
    </row>
    <row r="36">
      <c r="A36" s="15" t="s">
        <v>8998</v>
      </c>
      <c r="B36" s="7" t="s">
        <v>5855</v>
      </c>
      <c r="C36" s="7" t="s">
        <v>328</v>
      </c>
      <c r="D36" s="7" t="s">
        <v>5856</v>
      </c>
      <c r="E36" s="7" t="s">
        <v>6742</v>
      </c>
      <c r="F36" s="7" t="s">
        <v>1695</v>
      </c>
      <c r="G36" s="7" t="s">
        <v>1696</v>
      </c>
      <c r="H36" s="16" t="s">
        <v>8909</v>
      </c>
      <c r="I36" s="16" t="s">
        <v>8912</v>
      </c>
      <c r="J36" s="16" t="s">
        <v>8926</v>
      </c>
      <c r="K36" s="16" t="s">
        <v>8934</v>
      </c>
      <c r="L36" s="16" t="s">
        <v>8920</v>
      </c>
      <c r="M36" s="16" t="s">
        <v>8938</v>
      </c>
    </row>
    <row r="37">
      <c r="A37" s="15" t="s">
        <v>8998</v>
      </c>
      <c r="B37" s="7" t="s">
        <v>3503</v>
      </c>
      <c r="C37" s="7" t="s">
        <v>3504</v>
      </c>
      <c r="D37" s="7" t="s">
        <v>3505</v>
      </c>
      <c r="E37" s="7" t="s">
        <v>6744</v>
      </c>
      <c r="F37" s="7" t="s">
        <v>1695</v>
      </c>
      <c r="G37" s="7" t="s">
        <v>1696</v>
      </c>
      <c r="H37" s="16" t="s">
        <v>8909</v>
      </c>
      <c r="I37" s="16" t="s">
        <v>8912</v>
      </c>
      <c r="J37" s="16" t="s">
        <v>8918</v>
      </c>
      <c r="K37" s="16" t="s">
        <v>8919</v>
      </c>
      <c r="L37" s="16" t="s">
        <v>8927</v>
      </c>
      <c r="M37" s="16" t="s">
        <v>8924</v>
      </c>
    </row>
    <row r="38">
      <c r="A38" s="15" t="s">
        <v>8998</v>
      </c>
      <c r="B38" s="7" t="s">
        <v>2983</v>
      </c>
      <c r="C38" s="7" t="s">
        <v>2984</v>
      </c>
      <c r="D38" s="7" t="s">
        <v>2985</v>
      </c>
      <c r="E38" s="7" t="s">
        <v>6765</v>
      </c>
      <c r="F38" s="7" t="s">
        <v>1695</v>
      </c>
      <c r="G38" s="7" t="s">
        <v>1696</v>
      </c>
      <c r="H38" s="16" t="s">
        <v>8909</v>
      </c>
      <c r="I38" s="16" t="s">
        <v>8912</v>
      </c>
      <c r="J38" s="16" t="s">
        <v>8926</v>
      </c>
      <c r="K38" s="16" t="s">
        <v>8934</v>
      </c>
      <c r="L38" s="16" t="s">
        <v>8920</v>
      </c>
      <c r="M38" s="16" t="s">
        <v>8974</v>
      </c>
    </row>
    <row r="39">
      <c r="A39" s="15" t="s">
        <v>8998</v>
      </c>
      <c r="B39" s="7" t="s">
        <v>6113</v>
      </c>
      <c r="C39" s="7" t="s">
        <v>946</v>
      </c>
      <c r="D39" s="7" t="s">
        <v>6114</v>
      </c>
      <c r="E39" s="7" t="s">
        <v>6772</v>
      </c>
      <c r="F39" s="7" t="s">
        <v>1695</v>
      </c>
      <c r="G39" s="7" t="s">
        <v>1696</v>
      </c>
      <c r="H39" s="16" t="s">
        <v>8909</v>
      </c>
      <c r="I39" s="16" t="s">
        <v>8912</v>
      </c>
      <c r="J39" s="16" t="s">
        <v>8918</v>
      </c>
      <c r="K39" s="16" t="s">
        <v>8919</v>
      </c>
      <c r="L39" s="16" t="s">
        <v>8920</v>
      </c>
      <c r="M39" s="16" t="s">
        <v>8921</v>
      </c>
    </row>
    <row r="40">
      <c r="A40" s="15" t="s">
        <v>8998</v>
      </c>
      <c r="B40" s="7" t="s">
        <v>6115</v>
      </c>
      <c r="C40" s="7" t="s">
        <v>798</v>
      </c>
      <c r="D40" s="7" t="s">
        <v>6116</v>
      </c>
      <c r="E40" s="7" t="s">
        <v>6774</v>
      </c>
      <c r="F40" s="7" t="s">
        <v>1695</v>
      </c>
      <c r="G40" s="7" t="s">
        <v>1696</v>
      </c>
      <c r="H40" s="16" t="s">
        <v>8909</v>
      </c>
      <c r="I40" s="16" t="s">
        <v>8912</v>
      </c>
      <c r="J40" s="16" t="s">
        <v>8926</v>
      </c>
      <c r="K40" s="16" t="s">
        <v>8934</v>
      </c>
      <c r="L40" s="16" t="s">
        <v>8920</v>
      </c>
      <c r="M40" s="16" t="s">
        <v>8938</v>
      </c>
    </row>
    <row r="41">
      <c r="A41" s="15" t="s">
        <v>8998</v>
      </c>
      <c r="B41" s="7" t="s">
        <v>2865</v>
      </c>
      <c r="C41" s="7" t="s">
        <v>2866</v>
      </c>
      <c r="D41" s="7" t="s">
        <v>292</v>
      </c>
      <c r="E41" s="7" t="s">
        <v>6777</v>
      </c>
      <c r="F41" s="7" t="s">
        <v>1695</v>
      </c>
      <c r="G41" s="7" t="s">
        <v>1696</v>
      </c>
      <c r="H41" s="16" t="s">
        <v>8909</v>
      </c>
      <c r="I41" s="16" t="s">
        <v>8912</v>
      </c>
      <c r="J41" s="16" t="s">
        <v>8918</v>
      </c>
      <c r="K41" s="16" t="s">
        <v>8919</v>
      </c>
      <c r="L41" s="16" t="s">
        <v>8931</v>
      </c>
      <c r="M41" s="16" t="s">
        <v>8924</v>
      </c>
    </row>
    <row r="42">
      <c r="A42" s="15" t="s">
        <v>8998</v>
      </c>
      <c r="B42" s="7" t="s">
        <v>3297</v>
      </c>
      <c r="C42" s="7" t="s">
        <v>1988</v>
      </c>
      <c r="D42" s="7" t="s">
        <v>596</v>
      </c>
      <c r="E42" s="7" t="s">
        <v>6778</v>
      </c>
      <c r="F42" s="7" t="s">
        <v>1695</v>
      </c>
      <c r="G42" s="7" t="s">
        <v>1696</v>
      </c>
      <c r="H42" s="16" t="s">
        <v>8909</v>
      </c>
      <c r="I42" s="16" t="s">
        <v>8912</v>
      </c>
      <c r="J42" s="16" t="s">
        <v>8918</v>
      </c>
      <c r="K42" s="16" t="s">
        <v>8919</v>
      </c>
      <c r="L42" s="16" t="s">
        <v>8931</v>
      </c>
      <c r="M42" s="16" t="s">
        <v>8924</v>
      </c>
    </row>
    <row r="43">
      <c r="A43" s="15" t="s">
        <v>8998</v>
      </c>
      <c r="B43" s="7" t="s">
        <v>1757</v>
      </c>
      <c r="C43" s="7" t="s">
        <v>1758</v>
      </c>
      <c r="D43" s="7" t="s">
        <v>70</v>
      </c>
      <c r="E43" s="7" t="s">
        <v>6700</v>
      </c>
      <c r="F43" s="7" t="s">
        <v>1695</v>
      </c>
      <c r="G43" s="7" t="s">
        <v>1696</v>
      </c>
      <c r="H43" s="16" t="s">
        <v>8909</v>
      </c>
      <c r="I43" s="16" t="s">
        <v>8954</v>
      </c>
      <c r="J43" s="7"/>
      <c r="K43" s="7"/>
      <c r="L43" s="7"/>
      <c r="M43" s="7"/>
    </row>
    <row r="44">
      <c r="A44" s="15" t="s">
        <v>8998</v>
      </c>
      <c r="B44" s="7" t="s">
        <v>2909</v>
      </c>
      <c r="C44" s="7" t="s">
        <v>2910</v>
      </c>
      <c r="D44" s="7" t="s">
        <v>2911</v>
      </c>
      <c r="E44" s="7" t="s">
        <v>6701</v>
      </c>
      <c r="F44" s="7" t="s">
        <v>1695</v>
      </c>
      <c r="G44" s="7" t="s">
        <v>1696</v>
      </c>
      <c r="H44" s="16" t="s">
        <v>8909</v>
      </c>
      <c r="I44" s="16" t="s">
        <v>8954</v>
      </c>
      <c r="J44" s="7"/>
      <c r="K44" s="7"/>
      <c r="L44" s="7"/>
      <c r="M44" s="7"/>
    </row>
    <row r="45">
      <c r="A45" s="15" t="s">
        <v>8998</v>
      </c>
      <c r="B45" s="7" t="s">
        <v>5954</v>
      </c>
      <c r="C45" s="7" t="s">
        <v>273</v>
      </c>
      <c r="D45" s="7" t="s">
        <v>5955</v>
      </c>
      <c r="E45" s="7" t="s">
        <v>6702</v>
      </c>
      <c r="F45" s="7" t="s">
        <v>1695</v>
      </c>
      <c r="G45" s="7" t="s">
        <v>1696</v>
      </c>
      <c r="H45" s="16" t="s">
        <v>8909</v>
      </c>
      <c r="I45" s="16" t="s">
        <v>8954</v>
      </c>
      <c r="J45" s="7"/>
      <c r="K45" s="7"/>
      <c r="L45" s="7"/>
      <c r="M45" s="7"/>
    </row>
    <row r="46">
      <c r="A46" s="15" t="s">
        <v>8998</v>
      </c>
      <c r="B46" s="7" t="s">
        <v>1881</v>
      </c>
      <c r="C46" s="7" t="s">
        <v>1882</v>
      </c>
      <c r="D46" s="7" t="s">
        <v>1883</v>
      </c>
      <c r="E46" s="7" t="s">
        <v>6716</v>
      </c>
      <c r="F46" s="7" t="s">
        <v>1695</v>
      </c>
      <c r="G46" s="7" t="s">
        <v>1696</v>
      </c>
      <c r="H46" s="16" t="s">
        <v>8909</v>
      </c>
      <c r="I46" s="16" t="s">
        <v>8954</v>
      </c>
      <c r="J46" s="7"/>
      <c r="K46" s="7"/>
      <c r="L46" s="7"/>
      <c r="M46" s="7"/>
    </row>
    <row r="47">
      <c r="A47" s="15" t="s">
        <v>8998</v>
      </c>
      <c r="B47" s="7" t="s">
        <v>3220</v>
      </c>
      <c r="C47" s="7" t="s">
        <v>3221</v>
      </c>
      <c r="D47" s="7" t="s">
        <v>3222</v>
      </c>
      <c r="E47" s="7" t="s">
        <v>6717</v>
      </c>
      <c r="F47" s="7" t="s">
        <v>1695</v>
      </c>
      <c r="G47" s="7" t="s">
        <v>1696</v>
      </c>
      <c r="H47" s="16" t="s">
        <v>8909</v>
      </c>
      <c r="I47" s="16" t="s">
        <v>8954</v>
      </c>
      <c r="J47" s="7"/>
      <c r="K47" s="7"/>
      <c r="L47" s="7"/>
      <c r="M47" s="7"/>
    </row>
    <row r="48">
      <c r="A48" s="15" t="s">
        <v>8998</v>
      </c>
      <c r="B48" s="7" t="s">
        <v>4132</v>
      </c>
      <c r="C48" s="7" t="s">
        <v>4133</v>
      </c>
      <c r="D48" s="7" t="s">
        <v>4134</v>
      </c>
      <c r="E48" s="7" t="s">
        <v>6724</v>
      </c>
      <c r="F48" s="7" t="s">
        <v>1695</v>
      </c>
      <c r="G48" s="7" t="s">
        <v>1696</v>
      </c>
      <c r="H48" s="16" t="s">
        <v>8909</v>
      </c>
      <c r="I48" s="16" t="s">
        <v>8954</v>
      </c>
      <c r="J48" s="7"/>
      <c r="K48" s="7"/>
      <c r="L48" s="7"/>
      <c r="M48" s="7"/>
    </row>
    <row r="49">
      <c r="A49" s="15" t="s">
        <v>8998</v>
      </c>
      <c r="B49" s="7" t="s">
        <v>4867</v>
      </c>
      <c r="C49" s="7" t="s">
        <v>46</v>
      </c>
      <c r="D49" s="7" t="s">
        <v>4868</v>
      </c>
      <c r="E49" s="7" t="s">
        <v>6784</v>
      </c>
      <c r="F49" s="7" t="s">
        <v>1695</v>
      </c>
      <c r="G49" s="7" t="s">
        <v>1696</v>
      </c>
      <c r="H49" s="16" t="s">
        <v>8909</v>
      </c>
      <c r="I49" s="16" t="s">
        <v>8954</v>
      </c>
      <c r="J49" s="7"/>
      <c r="K49" s="7"/>
      <c r="L49" s="7"/>
      <c r="M49" s="7"/>
    </row>
    <row r="50">
      <c r="A50" s="15" t="s">
        <v>8998</v>
      </c>
      <c r="B50" s="7" t="s">
        <v>5971</v>
      </c>
      <c r="C50" s="7" t="s">
        <v>5972</v>
      </c>
      <c r="D50" s="7" t="s">
        <v>5973</v>
      </c>
      <c r="E50" s="7" t="s">
        <v>6786</v>
      </c>
      <c r="F50" s="7" t="s">
        <v>1695</v>
      </c>
      <c r="G50" s="7" t="s">
        <v>1696</v>
      </c>
      <c r="H50" s="16" t="s">
        <v>8909</v>
      </c>
      <c r="I50" s="16" t="s">
        <v>8954</v>
      </c>
      <c r="J50" s="7"/>
      <c r="K50" s="7"/>
      <c r="L50" s="7"/>
      <c r="M50" s="7"/>
    </row>
    <row r="51">
      <c r="A51" s="15" t="s">
        <v>8998</v>
      </c>
      <c r="B51" s="7" t="s">
        <v>2839</v>
      </c>
      <c r="C51" s="7" t="s">
        <v>2840</v>
      </c>
      <c r="D51" s="7" t="s">
        <v>2841</v>
      </c>
      <c r="E51" s="7" t="s">
        <v>6795</v>
      </c>
      <c r="F51" s="7" t="s">
        <v>1695</v>
      </c>
      <c r="G51" s="7" t="s">
        <v>1696</v>
      </c>
      <c r="H51" s="16" t="s">
        <v>8909</v>
      </c>
      <c r="I51" s="16" t="s">
        <v>8954</v>
      </c>
      <c r="J51" s="7"/>
      <c r="K51" s="7"/>
      <c r="L51" s="7"/>
      <c r="M51" s="7"/>
    </row>
    <row r="52">
      <c r="A52" s="15" t="s">
        <v>8998</v>
      </c>
      <c r="B52" s="7" t="s">
        <v>5888</v>
      </c>
      <c r="C52" s="7" t="s">
        <v>271</v>
      </c>
      <c r="D52" s="7" t="s">
        <v>3089</v>
      </c>
      <c r="E52" s="7" t="s">
        <v>6728</v>
      </c>
      <c r="F52" s="7" t="s">
        <v>1695</v>
      </c>
      <c r="G52" s="7" t="s">
        <v>1696</v>
      </c>
      <c r="H52" s="16" t="s">
        <v>8909</v>
      </c>
      <c r="I52" s="16" t="s">
        <v>8954</v>
      </c>
      <c r="J52" s="7"/>
      <c r="K52" s="7"/>
      <c r="L52" s="7"/>
      <c r="M52" s="7"/>
    </row>
    <row r="53">
      <c r="A53" s="15" t="s">
        <v>8998</v>
      </c>
      <c r="B53" s="7" t="s">
        <v>4102</v>
      </c>
      <c r="C53" s="7" t="s">
        <v>1865</v>
      </c>
      <c r="D53" s="7" t="s">
        <v>4103</v>
      </c>
      <c r="E53" s="7" t="s">
        <v>6730</v>
      </c>
      <c r="F53" s="7" t="s">
        <v>1695</v>
      </c>
      <c r="G53" s="7" t="s">
        <v>1696</v>
      </c>
      <c r="H53" s="16" t="s">
        <v>8909</v>
      </c>
      <c r="I53" s="16" t="s">
        <v>8954</v>
      </c>
      <c r="J53" s="7"/>
      <c r="K53" s="7"/>
      <c r="L53" s="7"/>
      <c r="M53" s="7"/>
    </row>
    <row r="54">
      <c r="A54" s="15" t="s">
        <v>8998</v>
      </c>
      <c r="B54" s="7" t="s">
        <v>4506</v>
      </c>
      <c r="C54" s="7" t="s">
        <v>798</v>
      </c>
      <c r="D54" s="7" t="s">
        <v>3606</v>
      </c>
      <c r="E54" s="7" t="s">
        <v>6732</v>
      </c>
      <c r="F54" s="7" t="s">
        <v>1695</v>
      </c>
      <c r="G54" s="7" t="s">
        <v>1696</v>
      </c>
      <c r="H54" s="16" t="s">
        <v>8909</v>
      </c>
      <c r="I54" s="16" t="s">
        <v>8954</v>
      </c>
      <c r="J54" s="7"/>
      <c r="K54" s="7"/>
      <c r="L54" s="7"/>
      <c r="M54" s="7"/>
    </row>
    <row r="55">
      <c r="A55" s="15" t="s">
        <v>8998</v>
      </c>
      <c r="B55" s="7" t="s">
        <v>2140</v>
      </c>
      <c r="C55" s="7" t="s">
        <v>1221</v>
      </c>
      <c r="D55" s="7" t="s">
        <v>2141</v>
      </c>
      <c r="E55" s="7" t="s">
        <v>6743</v>
      </c>
      <c r="F55" s="7" t="s">
        <v>1695</v>
      </c>
      <c r="G55" s="7" t="s">
        <v>1696</v>
      </c>
      <c r="H55" s="16" t="s">
        <v>8909</v>
      </c>
      <c r="I55" s="16" t="s">
        <v>8954</v>
      </c>
      <c r="J55" s="7"/>
      <c r="K55" s="7"/>
      <c r="L55" s="7"/>
      <c r="M55" s="7"/>
    </row>
    <row r="56">
      <c r="A56" s="15" t="s">
        <v>8998</v>
      </c>
      <c r="B56" s="7" t="s">
        <v>3914</v>
      </c>
      <c r="C56" s="7" t="s">
        <v>3915</v>
      </c>
      <c r="D56" s="7" t="s">
        <v>3916</v>
      </c>
      <c r="E56" s="7" t="s">
        <v>6747</v>
      </c>
      <c r="F56" s="7" t="s">
        <v>1695</v>
      </c>
      <c r="G56" s="7" t="s">
        <v>1696</v>
      </c>
      <c r="H56" s="16" t="s">
        <v>8909</v>
      </c>
      <c r="I56" s="16" t="s">
        <v>8954</v>
      </c>
      <c r="J56" s="7"/>
      <c r="K56" s="7"/>
      <c r="L56" s="7"/>
      <c r="M56" s="7"/>
    </row>
    <row r="57">
      <c r="A57" s="15" t="s">
        <v>8998</v>
      </c>
      <c r="B57" s="7" t="s">
        <v>1802</v>
      </c>
      <c r="C57" s="7" t="s">
        <v>1803</v>
      </c>
      <c r="D57" s="7" t="s">
        <v>1804</v>
      </c>
      <c r="E57" s="7" t="s">
        <v>6767</v>
      </c>
      <c r="F57" s="7" t="s">
        <v>1695</v>
      </c>
      <c r="G57" s="7" t="s">
        <v>1696</v>
      </c>
      <c r="H57" s="16" t="s">
        <v>8909</v>
      </c>
      <c r="I57" s="16" t="s">
        <v>8954</v>
      </c>
      <c r="J57" s="7"/>
      <c r="K57" s="7"/>
      <c r="L57" s="7"/>
      <c r="M57" s="7"/>
    </row>
    <row r="58">
      <c r="A58" s="15" t="s">
        <v>8998</v>
      </c>
      <c r="B58" s="7" t="s">
        <v>2061</v>
      </c>
      <c r="C58" s="7" t="s">
        <v>58</v>
      </c>
      <c r="D58" s="7" t="s">
        <v>2062</v>
      </c>
      <c r="E58" s="7" t="s">
        <v>6769</v>
      </c>
      <c r="F58" s="7" t="s">
        <v>1695</v>
      </c>
      <c r="G58" s="7" t="s">
        <v>1696</v>
      </c>
      <c r="H58" s="16" t="s">
        <v>8909</v>
      </c>
      <c r="I58" s="16" t="s">
        <v>8954</v>
      </c>
      <c r="J58" s="7"/>
      <c r="K58" s="7"/>
      <c r="L58" s="7"/>
      <c r="M58" s="7"/>
    </row>
    <row r="59">
      <c r="A59" s="15" t="s">
        <v>8998</v>
      </c>
      <c r="B59" s="7" t="s">
        <v>4844</v>
      </c>
      <c r="C59" s="7" t="s">
        <v>823</v>
      </c>
      <c r="D59" s="7" t="s">
        <v>4845</v>
      </c>
      <c r="E59" s="7" t="s">
        <v>6770</v>
      </c>
      <c r="F59" s="7" t="s">
        <v>1695</v>
      </c>
      <c r="G59" s="7" t="s">
        <v>1696</v>
      </c>
      <c r="H59" s="16" t="s">
        <v>8909</v>
      </c>
      <c r="I59" s="16" t="s">
        <v>8954</v>
      </c>
      <c r="J59" s="7"/>
      <c r="K59" s="7"/>
      <c r="L59" s="7"/>
      <c r="M59" s="7"/>
    </row>
    <row r="60">
      <c r="A60" s="15" t="s">
        <v>8998</v>
      </c>
      <c r="B60" s="7" t="s">
        <v>4208</v>
      </c>
      <c r="C60" s="7" t="s">
        <v>2537</v>
      </c>
      <c r="D60" s="7" t="s">
        <v>4209</v>
      </c>
      <c r="E60" s="7" t="s">
        <v>6773</v>
      </c>
      <c r="F60" s="7" t="s">
        <v>1695</v>
      </c>
      <c r="G60" s="7" t="s">
        <v>1696</v>
      </c>
      <c r="H60" s="16" t="s">
        <v>8909</v>
      </c>
      <c r="I60" s="16" t="s">
        <v>8954</v>
      </c>
      <c r="J60" s="7"/>
      <c r="K60" s="7"/>
      <c r="L60" s="7"/>
      <c r="M60" s="7"/>
    </row>
    <row r="61">
      <c r="A61" s="15" t="s">
        <v>8998</v>
      </c>
      <c r="B61" s="7" t="s">
        <v>4484</v>
      </c>
      <c r="C61" s="7" t="s">
        <v>2537</v>
      </c>
      <c r="D61" s="7" t="s">
        <v>2467</v>
      </c>
      <c r="E61" s="7" t="s">
        <v>6773</v>
      </c>
      <c r="F61" s="7" t="s">
        <v>1695</v>
      </c>
      <c r="G61" s="7" t="s">
        <v>1696</v>
      </c>
      <c r="H61" s="16" t="s">
        <v>8909</v>
      </c>
      <c r="I61" s="16" t="s">
        <v>8954</v>
      </c>
      <c r="J61" s="7"/>
      <c r="K61" s="7"/>
      <c r="L61" s="7"/>
      <c r="M61" s="7"/>
    </row>
    <row r="62">
      <c r="A62" s="15" t="s">
        <v>8998</v>
      </c>
      <c r="B62" s="7" t="s">
        <v>2483</v>
      </c>
      <c r="C62" s="7" t="s">
        <v>120</v>
      </c>
      <c r="D62" s="7" t="s">
        <v>2484</v>
      </c>
      <c r="E62" s="7" t="s">
        <v>6775</v>
      </c>
      <c r="F62" s="7" t="s">
        <v>1695</v>
      </c>
      <c r="G62" s="7" t="s">
        <v>1696</v>
      </c>
      <c r="H62" s="16" t="s">
        <v>8909</v>
      </c>
      <c r="I62" s="16" t="s">
        <v>8954</v>
      </c>
      <c r="J62" s="7"/>
      <c r="K62" s="7"/>
      <c r="L62" s="7"/>
      <c r="M62" s="7"/>
    </row>
    <row r="63">
      <c r="A63" s="15" t="s">
        <v>8998</v>
      </c>
      <c r="B63" s="7" t="s">
        <v>5815</v>
      </c>
      <c r="C63" s="7" t="s">
        <v>280</v>
      </c>
      <c r="D63" s="7" t="s">
        <v>1232</v>
      </c>
      <c r="E63" s="7" t="s">
        <v>6704</v>
      </c>
      <c r="F63" s="7" t="s">
        <v>1695</v>
      </c>
      <c r="G63" s="7" t="s">
        <v>1696</v>
      </c>
      <c r="H63" s="16" t="s">
        <v>8909</v>
      </c>
      <c r="I63" s="16" t="s">
        <v>8955</v>
      </c>
      <c r="J63" s="7"/>
      <c r="K63" s="7"/>
      <c r="L63" s="7"/>
      <c r="M63" s="7"/>
    </row>
    <row r="64">
      <c r="A64" s="15" t="s">
        <v>8998</v>
      </c>
      <c r="B64" s="7" t="s">
        <v>6350</v>
      </c>
      <c r="C64" s="7" t="s">
        <v>6351</v>
      </c>
      <c r="D64" s="7" t="s">
        <v>596</v>
      </c>
      <c r="E64" s="7" t="s">
        <v>6706</v>
      </c>
      <c r="F64" s="7" t="s">
        <v>1695</v>
      </c>
      <c r="G64" s="7" t="s">
        <v>6318</v>
      </c>
      <c r="H64" s="16" t="s">
        <v>8909</v>
      </c>
      <c r="I64" s="16" t="s">
        <v>8955</v>
      </c>
      <c r="J64" s="7"/>
      <c r="K64" s="7"/>
      <c r="L64" s="7"/>
      <c r="M64" s="7"/>
    </row>
    <row r="65">
      <c r="A65" s="15" t="s">
        <v>8998</v>
      </c>
      <c r="B65" s="7" t="s">
        <v>2920</v>
      </c>
      <c r="C65" s="7" t="s">
        <v>2817</v>
      </c>
      <c r="D65" s="7" t="s">
        <v>2921</v>
      </c>
      <c r="E65" s="7" t="s">
        <v>6712</v>
      </c>
      <c r="F65" s="7" t="s">
        <v>1695</v>
      </c>
      <c r="G65" s="7" t="s">
        <v>1696</v>
      </c>
      <c r="H65" s="16" t="s">
        <v>8909</v>
      </c>
      <c r="I65" s="16" t="s">
        <v>8955</v>
      </c>
      <c r="J65" s="7"/>
      <c r="K65" s="7"/>
      <c r="L65" s="7"/>
      <c r="M65" s="7"/>
    </row>
    <row r="66">
      <c r="A66" s="15" t="s">
        <v>8998</v>
      </c>
      <c r="B66" s="7" t="s">
        <v>3839</v>
      </c>
      <c r="C66" s="7" t="s">
        <v>3626</v>
      </c>
      <c r="D66" s="7" t="s">
        <v>3815</v>
      </c>
      <c r="E66" s="7" t="s">
        <v>6713</v>
      </c>
      <c r="F66" s="7" t="s">
        <v>1695</v>
      </c>
      <c r="G66" s="7" t="s">
        <v>1696</v>
      </c>
      <c r="H66" s="16" t="s">
        <v>8909</v>
      </c>
      <c r="I66" s="16" t="s">
        <v>8955</v>
      </c>
      <c r="J66" s="7"/>
      <c r="K66" s="7"/>
      <c r="L66" s="7"/>
      <c r="M66" s="7"/>
    </row>
    <row r="67">
      <c r="A67" s="15" t="s">
        <v>8998</v>
      </c>
      <c r="B67" s="7" t="s">
        <v>3177</v>
      </c>
      <c r="C67" s="7" t="s">
        <v>328</v>
      </c>
      <c r="D67" s="7" t="s">
        <v>532</v>
      </c>
      <c r="E67" s="7" t="s">
        <v>6783</v>
      </c>
      <c r="F67" s="7" t="s">
        <v>1695</v>
      </c>
      <c r="G67" s="7" t="s">
        <v>1696</v>
      </c>
      <c r="H67" s="16" t="s">
        <v>8909</v>
      </c>
      <c r="I67" s="16" t="s">
        <v>8955</v>
      </c>
      <c r="J67" s="7"/>
      <c r="K67" s="7"/>
      <c r="L67" s="7"/>
      <c r="M67" s="7"/>
    </row>
    <row r="68">
      <c r="A68" s="15" t="s">
        <v>8998</v>
      </c>
      <c r="B68" s="7" t="s">
        <v>6194</v>
      </c>
      <c r="C68" s="7" t="s">
        <v>111</v>
      </c>
      <c r="D68" s="7" t="s">
        <v>2172</v>
      </c>
      <c r="E68" s="7" t="s">
        <v>6785</v>
      </c>
      <c r="F68" s="7" t="s">
        <v>1695</v>
      </c>
      <c r="G68" s="7" t="s">
        <v>1696</v>
      </c>
      <c r="H68" s="16" t="s">
        <v>8909</v>
      </c>
      <c r="I68" s="16" t="s">
        <v>8955</v>
      </c>
      <c r="J68" s="7"/>
      <c r="K68" s="7"/>
      <c r="L68" s="7"/>
      <c r="M68" s="7"/>
    </row>
    <row r="69">
      <c r="A69" s="15" t="s">
        <v>8998</v>
      </c>
      <c r="B69" s="7" t="s">
        <v>2565</v>
      </c>
      <c r="C69" s="7" t="s">
        <v>2566</v>
      </c>
      <c r="D69" s="7" t="s">
        <v>404</v>
      </c>
      <c r="E69" s="7" t="s">
        <v>6787</v>
      </c>
      <c r="F69" s="7" t="s">
        <v>1695</v>
      </c>
      <c r="G69" s="7" t="s">
        <v>1696</v>
      </c>
      <c r="H69" s="16" t="s">
        <v>8909</v>
      </c>
      <c r="I69" s="16" t="s">
        <v>8955</v>
      </c>
      <c r="J69" s="7"/>
      <c r="K69" s="7"/>
      <c r="L69" s="7"/>
      <c r="M69" s="7"/>
    </row>
    <row r="70">
      <c r="A70" s="15" t="s">
        <v>8998</v>
      </c>
      <c r="B70" s="7" t="s">
        <v>4359</v>
      </c>
      <c r="C70" s="7" t="s">
        <v>656</v>
      </c>
      <c r="D70" s="7" t="s">
        <v>529</v>
      </c>
      <c r="E70" s="7" t="s">
        <v>6791</v>
      </c>
      <c r="F70" s="7" t="s">
        <v>1695</v>
      </c>
      <c r="G70" s="7" t="s">
        <v>1696</v>
      </c>
      <c r="H70" s="16" t="s">
        <v>8909</v>
      </c>
      <c r="I70" s="16" t="s">
        <v>8955</v>
      </c>
      <c r="J70" s="7"/>
      <c r="K70" s="7"/>
      <c r="L70" s="7"/>
      <c r="M70" s="7"/>
    </row>
    <row r="71">
      <c r="A71" s="15" t="s">
        <v>8998</v>
      </c>
      <c r="B71" s="7" t="s">
        <v>5930</v>
      </c>
      <c r="C71" s="7" t="s">
        <v>58</v>
      </c>
      <c r="D71" s="7" t="s">
        <v>5931</v>
      </c>
      <c r="E71" s="7" t="s">
        <v>6792</v>
      </c>
      <c r="F71" s="7" t="s">
        <v>1695</v>
      </c>
      <c r="G71" s="7" t="s">
        <v>1696</v>
      </c>
      <c r="H71" s="16" t="s">
        <v>8909</v>
      </c>
      <c r="I71" s="16" t="s">
        <v>8955</v>
      </c>
      <c r="J71" s="7"/>
      <c r="K71" s="7"/>
      <c r="L71" s="7"/>
      <c r="M71" s="7"/>
    </row>
    <row r="72">
      <c r="A72" s="15" t="s">
        <v>8998</v>
      </c>
      <c r="B72" s="7" t="s">
        <v>5525</v>
      </c>
      <c r="C72" s="7" t="s">
        <v>2999</v>
      </c>
      <c r="D72" s="7" t="s">
        <v>916</v>
      </c>
      <c r="E72" s="7" t="s">
        <v>6796</v>
      </c>
      <c r="F72" s="7" t="s">
        <v>1695</v>
      </c>
      <c r="G72" s="7" t="s">
        <v>1696</v>
      </c>
      <c r="H72" s="16" t="s">
        <v>8909</v>
      </c>
      <c r="I72" s="16" t="s">
        <v>8955</v>
      </c>
      <c r="J72" s="7"/>
      <c r="K72" s="7"/>
      <c r="L72" s="7"/>
      <c r="M72" s="7"/>
    </row>
    <row r="73">
      <c r="A73" s="15" t="s">
        <v>8998</v>
      </c>
      <c r="B73" s="7" t="s">
        <v>5659</v>
      </c>
      <c r="C73" s="7" t="s">
        <v>1368</v>
      </c>
      <c r="D73" s="7" t="s">
        <v>5660</v>
      </c>
      <c r="E73" s="7" t="s">
        <v>6797</v>
      </c>
      <c r="F73" s="7" t="s">
        <v>1695</v>
      </c>
      <c r="G73" s="7" t="s">
        <v>1696</v>
      </c>
      <c r="H73" s="16" t="s">
        <v>8909</v>
      </c>
      <c r="I73" s="16" t="s">
        <v>8955</v>
      </c>
      <c r="J73" s="7"/>
      <c r="K73" s="7"/>
      <c r="L73" s="7"/>
      <c r="M73" s="7"/>
    </row>
    <row r="74">
      <c r="A74" s="15" t="s">
        <v>8998</v>
      </c>
      <c r="B74" s="7" t="s">
        <v>3725</v>
      </c>
      <c r="C74" s="7" t="s">
        <v>3726</v>
      </c>
      <c r="D74" s="7" t="s">
        <v>280</v>
      </c>
      <c r="E74" s="7" t="s">
        <v>6729</v>
      </c>
      <c r="F74" s="7" t="s">
        <v>1695</v>
      </c>
      <c r="G74" s="7" t="s">
        <v>1696</v>
      </c>
      <c r="H74" s="16" t="s">
        <v>8909</v>
      </c>
      <c r="I74" s="16" t="s">
        <v>8955</v>
      </c>
      <c r="J74" s="7"/>
      <c r="K74" s="7"/>
      <c r="L74" s="7"/>
      <c r="M74" s="7"/>
    </row>
    <row r="75">
      <c r="A75" s="15" t="s">
        <v>8998</v>
      </c>
      <c r="B75" s="7" t="s">
        <v>2986</v>
      </c>
      <c r="C75" s="7" t="s">
        <v>2987</v>
      </c>
      <c r="D75" s="7" t="s">
        <v>1028</v>
      </c>
      <c r="E75" s="7" t="s">
        <v>6733</v>
      </c>
      <c r="F75" s="7" t="s">
        <v>1695</v>
      </c>
      <c r="G75" s="7" t="s">
        <v>1696</v>
      </c>
      <c r="H75" s="16" t="s">
        <v>8909</v>
      </c>
      <c r="I75" s="16" t="s">
        <v>8955</v>
      </c>
      <c r="J75" s="7"/>
      <c r="K75" s="7"/>
      <c r="L75" s="7"/>
      <c r="M75" s="7"/>
    </row>
    <row r="76">
      <c r="A76" s="15" t="s">
        <v>8998</v>
      </c>
      <c r="B76" s="7" t="s">
        <v>5335</v>
      </c>
      <c r="C76" s="7" t="s">
        <v>1532</v>
      </c>
      <c r="D76" s="7" t="s">
        <v>1177</v>
      </c>
      <c r="E76" s="7" t="s">
        <v>6740</v>
      </c>
      <c r="F76" s="7" t="s">
        <v>1695</v>
      </c>
      <c r="G76" s="7" t="s">
        <v>1696</v>
      </c>
      <c r="H76" s="16" t="s">
        <v>8909</v>
      </c>
      <c r="I76" s="16" t="s">
        <v>8955</v>
      </c>
      <c r="J76" s="7"/>
      <c r="K76" s="7"/>
      <c r="L76" s="7"/>
      <c r="M76" s="7"/>
    </row>
    <row r="77">
      <c r="A77" s="15" t="s">
        <v>8998</v>
      </c>
      <c r="B77" s="7" t="s">
        <v>2262</v>
      </c>
      <c r="C77" s="7" t="s">
        <v>2263</v>
      </c>
      <c r="D77" s="7" t="s">
        <v>2264</v>
      </c>
      <c r="E77" s="7" t="s">
        <v>6745</v>
      </c>
      <c r="F77" s="7" t="s">
        <v>1695</v>
      </c>
      <c r="G77" s="7" t="s">
        <v>1696</v>
      </c>
      <c r="H77" s="16" t="s">
        <v>8909</v>
      </c>
      <c r="I77" s="16" t="s">
        <v>8955</v>
      </c>
      <c r="J77" s="7"/>
      <c r="K77" s="7"/>
      <c r="L77" s="7"/>
      <c r="M77" s="7"/>
    </row>
    <row r="78">
      <c r="A78" s="15" t="s">
        <v>8998</v>
      </c>
      <c r="B78" s="7" t="s">
        <v>2358</v>
      </c>
      <c r="C78" s="7" t="s">
        <v>2263</v>
      </c>
      <c r="D78" s="7" t="s">
        <v>2264</v>
      </c>
      <c r="E78" s="7" t="s">
        <v>6745</v>
      </c>
      <c r="F78" s="7" t="s">
        <v>1695</v>
      </c>
      <c r="G78" s="7" t="s">
        <v>1696</v>
      </c>
      <c r="H78" s="16" t="s">
        <v>8909</v>
      </c>
      <c r="I78" s="16" t="s">
        <v>8955</v>
      </c>
      <c r="J78" s="7"/>
      <c r="K78" s="7"/>
      <c r="L78" s="7"/>
      <c r="M78" s="7"/>
    </row>
    <row r="79">
      <c r="A79" s="15" t="s">
        <v>8998</v>
      </c>
      <c r="B79" s="7" t="s">
        <v>3543</v>
      </c>
      <c r="C79" s="7" t="s">
        <v>58</v>
      </c>
      <c r="D79" s="7" t="s">
        <v>3544</v>
      </c>
      <c r="E79" s="7" t="s">
        <v>6746</v>
      </c>
      <c r="F79" s="7" t="s">
        <v>1695</v>
      </c>
      <c r="G79" s="7" t="s">
        <v>1696</v>
      </c>
      <c r="H79" s="16" t="s">
        <v>8909</v>
      </c>
      <c r="I79" s="16" t="s">
        <v>8955</v>
      </c>
      <c r="J79" s="7"/>
      <c r="K79" s="7"/>
      <c r="L79" s="7"/>
      <c r="M79" s="7"/>
    </row>
    <row r="80">
      <c r="A80" s="15" t="s">
        <v>8998</v>
      </c>
      <c r="B80" s="7" t="s">
        <v>2315</v>
      </c>
      <c r="C80" s="7" t="s">
        <v>209</v>
      </c>
      <c r="D80" s="7" t="s">
        <v>2316</v>
      </c>
      <c r="E80" s="7" t="s">
        <v>6766</v>
      </c>
      <c r="F80" s="7" t="s">
        <v>1695</v>
      </c>
      <c r="G80" s="7" t="s">
        <v>1696</v>
      </c>
      <c r="H80" s="16" t="s">
        <v>8909</v>
      </c>
      <c r="I80" s="16" t="s">
        <v>8955</v>
      </c>
      <c r="J80" s="7"/>
      <c r="K80" s="7"/>
      <c r="L80" s="7"/>
      <c r="M80" s="7"/>
    </row>
    <row r="81">
      <c r="A81" s="15" t="s">
        <v>8998</v>
      </c>
      <c r="B81" s="7" t="s">
        <v>4350</v>
      </c>
      <c r="C81" s="7" t="s">
        <v>4351</v>
      </c>
      <c r="D81" s="7" t="s">
        <v>968</v>
      </c>
      <c r="E81" s="7" t="s">
        <v>6768</v>
      </c>
      <c r="F81" s="7" t="s">
        <v>1695</v>
      </c>
      <c r="G81" s="7" t="s">
        <v>1696</v>
      </c>
      <c r="H81" s="16" t="s">
        <v>8909</v>
      </c>
      <c r="I81" s="16" t="s">
        <v>8955</v>
      </c>
      <c r="J81" s="7"/>
      <c r="K81" s="7"/>
      <c r="L81" s="7"/>
      <c r="M81" s="7"/>
    </row>
    <row r="82">
      <c r="A82" s="15" t="s">
        <v>8998</v>
      </c>
      <c r="B82" s="7" t="s">
        <v>3407</v>
      </c>
      <c r="C82" s="7" t="s">
        <v>35</v>
      </c>
      <c r="D82" s="7" t="s">
        <v>443</v>
      </c>
      <c r="E82" s="7" t="s">
        <v>6771</v>
      </c>
      <c r="F82" s="7" t="s">
        <v>1695</v>
      </c>
      <c r="G82" s="7" t="s">
        <v>1696</v>
      </c>
      <c r="H82" s="16" t="s">
        <v>8909</v>
      </c>
      <c r="I82" s="16" t="s">
        <v>8955</v>
      </c>
      <c r="J82" s="7"/>
      <c r="K82" s="7"/>
      <c r="L82" s="7"/>
      <c r="M82" s="7"/>
    </row>
    <row r="83">
      <c r="A83" s="15" t="s">
        <v>8998</v>
      </c>
      <c r="B83" s="7" t="s">
        <v>2318</v>
      </c>
      <c r="C83" s="7" t="s">
        <v>2319</v>
      </c>
      <c r="D83" s="7" t="s">
        <v>406</v>
      </c>
      <c r="E83" s="7" t="s">
        <v>6776</v>
      </c>
      <c r="F83" s="7" t="s">
        <v>1695</v>
      </c>
      <c r="G83" s="7" t="s">
        <v>1696</v>
      </c>
      <c r="H83" s="16" t="s">
        <v>8909</v>
      </c>
      <c r="I83" s="16" t="s">
        <v>8955</v>
      </c>
      <c r="J83" s="7"/>
      <c r="K83" s="7"/>
      <c r="L83" s="7"/>
      <c r="M83" s="7"/>
    </row>
    <row r="84">
      <c r="A84" s="15" t="s">
        <v>8998</v>
      </c>
      <c r="B84" s="7" t="s">
        <v>5000</v>
      </c>
      <c r="C84" s="7" t="s">
        <v>422</v>
      </c>
      <c r="D84" s="7" t="s">
        <v>5001</v>
      </c>
      <c r="E84" s="7" t="s">
        <v>6705</v>
      </c>
      <c r="F84" s="7" t="s">
        <v>1695</v>
      </c>
      <c r="G84" s="7" t="s">
        <v>1696</v>
      </c>
      <c r="H84" s="16" t="s">
        <v>8909</v>
      </c>
      <c r="I84" s="16" t="s">
        <v>8910</v>
      </c>
      <c r="J84" s="7"/>
      <c r="K84" s="7"/>
      <c r="L84" s="7"/>
      <c r="M84" s="7"/>
    </row>
  </sheetData>
  <dataValidations>
    <dataValidation type="list" allowBlank="1" showErrorMessage="1" sqref="H2:H84">
      <formula1>"Data Analytics,Front-end,Back-end,AWS ,Salesforce,AiCE,Pathway,Profetional Foundation"</formula1>
    </dataValidation>
    <dataValidation type="list" allowBlank="1" showErrorMessage="1" sqref="J2:J84">
      <formula1>"YES,NO,MAYBE"</formula1>
    </dataValidation>
    <dataValidation type="list" allowBlank="1" showErrorMessage="1" sqref="K2:K84">
      <formula1>"Will immediatly finish,Will finish later,Maybe will finish,Will not finish,Done"</formula1>
    </dataValidation>
    <dataValidation type="list" allowBlank="1" showErrorMessage="1" sqref="M2:M84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84">
      <formula1>"Busy Schedule ,Forgot about it ,Internet Access ,Not interested,Personal/ Family Issues ,Other,No Pc,Lost Link,By Mistake"</formula1>
    </dataValidation>
    <dataValidation type="list" allowBlank="1" showErrorMessage="1" sqref="I2:I84">
      <formula1>"Reached,Not Picking Up,Phone Not Working,Wrong Person,Not Yet Called,Wrong Number,Busy "</formula1>
    </dataValidation>
    <dataValidation type="list" allowBlank="1" showErrorMessage="1" sqref="A2:A84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8896</v>
      </c>
      <c r="B1" s="12" t="s">
        <v>8897</v>
      </c>
      <c r="C1" s="12" t="s">
        <v>8898</v>
      </c>
      <c r="D1" s="12" t="s">
        <v>8899</v>
      </c>
      <c r="E1" s="13" t="s">
        <v>8900</v>
      </c>
      <c r="F1" s="12" t="s">
        <v>8901</v>
      </c>
      <c r="G1" s="12" t="s">
        <v>13</v>
      </c>
      <c r="H1" s="12" t="s">
        <v>8902</v>
      </c>
      <c r="I1" s="14" t="s">
        <v>8903</v>
      </c>
      <c r="J1" s="12" t="s">
        <v>8904</v>
      </c>
      <c r="K1" s="12" t="s">
        <v>8905</v>
      </c>
      <c r="L1" s="12" t="s">
        <v>8906</v>
      </c>
      <c r="M1" s="12" t="s">
        <v>8907</v>
      </c>
      <c r="N1" s="12" t="s">
        <v>8908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>
      <c r="A2" s="15" t="s">
        <v>8998</v>
      </c>
      <c r="B2" s="7" t="s">
        <v>6331</v>
      </c>
      <c r="C2" s="7" t="s">
        <v>6332</v>
      </c>
      <c r="D2" s="7" t="s">
        <v>2510</v>
      </c>
      <c r="E2" s="7" t="s">
        <v>6748</v>
      </c>
      <c r="F2" s="7" t="s">
        <v>1695</v>
      </c>
      <c r="G2" s="7" t="s">
        <v>6318</v>
      </c>
      <c r="H2" s="16" t="s">
        <v>8909</v>
      </c>
      <c r="I2" s="7"/>
      <c r="J2" s="7"/>
      <c r="K2" s="7"/>
      <c r="L2" s="7"/>
      <c r="M2" s="7"/>
    </row>
    <row r="3">
      <c r="A3" s="15" t="s">
        <v>8998</v>
      </c>
      <c r="B3" s="7" t="s">
        <v>4686</v>
      </c>
      <c r="C3" s="7" t="s">
        <v>826</v>
      </c>
      <c r="D3" s="7" t="s">
        <v>3841</v>
      </c>
      <c r="E3" s="7" t="s">
        <v>6749</v>
      </c>
      <c r="F3" s="7" t="s">
        <v>1695</v>
      </c>
      <c r="G3" s="7" t="s">
        <v>1696</v>
      </c>
      <c r="H3" s="16" t="s">
        <v>8909</v>
      </c>
      <c r="I3" s="7"/>
      <c r="J3" s="7"/>
      <c r="K3" s="7"/>
      <c r="L3" s="7"/>
      <c r="M3" s="7"/>
    </row>
    <row r="4">
      <c r="A4" s="15" t="s">
        <v>8998</v>
      </c>
      <c r="B4" s="7" t="s">
        <v>5812</v>
      </c>
      <c r="C4" s="7" t="s">
        <v>98</v>
      </c>
      <c r="D4" s="7" t="s">
        <v>58</v>
      </c>
      <c r="E4" s="7" t="s">
        <v>6750</v>
      </c>
      <c r="F4" s="7" t="s">
        <v>1695</v>
      </c>
      <c r="G4" s="7" t="s">
        <v>1696</v>
      </c>
      <c r="H4" s="16" t="s">
        <v>8909</v>
      </c>
      <c r="I4" s="7"/>
      <c r="J4" s="7"/>
      <c r="K4" s="7"/>
      <c r="L4" s="7"/>
      <c r="M4" s="7"/>
    </row>
    <row r="5">
      <c r="A5" s="15" t="s">
        <v>8998</v>
      </c>
      <c r="B5" s="7" t="s">
        <v>6328</v>
      </c>
      <c r="C5" s="7" t="s">
        <v>522</v>
      </c>
      <c r="D5" s="7" t="s">
        <v>744</v>
      </c>
      <c r="E5" s="7" t="s">
        <v>6751</v>
      </c>
      <c r="F5" s="7" t="s">
        <v>1695</v>
      </c>
      <c r="G5" s="7" t="s">
        <v>6318</v>
      </c>
      <c r="H5" s="16" t="s">
        <v>8909</v>
      </c>
      <c r="I5" s="7"/>
      <c r="J5" s="7"/>
      <c r="K5" s="7"/>
      <c r="L5" s="7"/>
      <c r="M5" s="7"/>
    </row>
    <row r="6">
      <c r="A6" s="15" t="s">
        <v>8998</v>
      </c>
      <c r="B6" s="7" t="s">
        <v>4385</v>
      </c>
      <c r="C6" s="7" t="s">
        <v>3874</v>
      </c>
      <c r="D6" s="7" t="s">
        <v>529</v>
      </c>
      <c r="E6" s="7" t="s">
        <v>6752</v>
      </c>
      <c r="F6" s="7" t="s">
        <v>1695</v>
      </c>
      <c r="G6" s="7" t="s">
        <v>1696</v>
      </c>
      <c r="H6" s="16" t="s">
        <v>8909</v>
      </c>
      <c r="I6" s="7"/>
      <c r="J6" s="7"/>
      <c r="K6" s="7"/>
      <c r="L6" s="7"/>
      <c r="M6" s="7"/>
    </row>
    <row r="7">
      <c r="A7" s="15" t="s">
        <v>8998</v>
      </c>
      <c r="B7" s="7" t="s">
        <v>1727</v>
      </c>
      <c r="C7" s="7" t="s">
        <v>1728</v>
      </c>
      <c r="D7" s="7" t="s">
        <v>1729</v>
      </c>
      <c r="E7" s="7" t="s">
        <v>6753</v>
      </c>
      <c r="F7" s="7" t="s">
        <v>1695</v>
      </c>
      <c r="G7" s="7" t="s">
        <v>1696</v>
      </c>
      <c r="H7" s="16" t="s">
        <v>8909</v>
      </c>
      <c r="I7" s="7"/>
      <c r="J7" s="7"/>
      <c r="K7" s="7"/>
      <c r="L7" s="7"/>
      <c r="M7" s="7"/>
    </row>
    <row r="8">
      <c r="A8" s="15" t="s">
        <v>8998</v>
      </c>
      <c r="B8" s="7" t="s">
        <v>3871</v>
      </c>
      <c r="C8" s="7" t="s">
        <v>3872</v>
      </c>
      <c r="D8" s="7" t="s">
        <v>2093</v>
      </c>
      <c r="E8" s="7" t="s">
        <v>6754</v>
      </c>
      <c r="F8" s="7" t="s">
        <v>1695</v>
      </c>
      <c r="G8" s="7" t="s">
        <v>1696</v>
      </c>
      <c r="H8" s="16" t="s">
        <v>8909</v>
      </c>
      <c r="I8" s="7"/>
      <c r="J8" s="7"/>
      <c r="K8" s="7"/>
      <c r="L8" s="7"/>
      <c r="M8" s="7"/>
    </row>
    <row r="9">
      <c r="A9" s="15" t="s">
        <v>8998</v>
      </c>
      <c r="B9" s="7" t="s">
        <v>3155</v>
      </c>
      <c r="C9" s="7" t="s">
        <v>443</v>
      </c>
      <c r="D9" s="7" t="s">
        <v>865</v>
      </c>
      <c r="E9" s="7" t="s">
        <v>6755</v>
      </c>
      <c r="F9" s="7" t="s">
        <v>1695</v>
      </c>
      <c r="G9" s="7" t="s">
        <v>1696</v>
      </c>
      <c r="H9" s="16" t="s">
        <v>8909</v>
      </c>
      <c r="I9" s="7"/>
      <c r="J9" s="7"/>
      <c r="K9" s="7"/>
      <c r="L9" s="7"/>
      <c r="M9" s="7"/>
    </row>
    <row r="10">
      <c r="A10" s="15" t="s">
        <v>8998</v>
      </c>
      <c r="B10" s="7" t="s">
        <v>2157</v>
      </c>
      <c r="C10" s="7" t="s">
        <v>267</v>
      </c>
      <c r="D10" s="7" t="s">
        <v>2158</v>
      </c>
      <c r="E10" s="7" t="s">
        <v>6756</v>
      </c>
      <c r="F10" s="7" t="s">
        <v>1695</v>
      </c>
      <c r="G10" s="7" t="s">
        <v>1696</v>
      </c>
      <c r="H10" s="16" t="s">
        <v>8909</v>
      </c>
      <c r="I10" s="7"/>
      <c r="J10" s="7"/>
      <c r="K10" s="7"/>
      <c r="L10" s="7"/>
      <c r="M10" s="7"/>
    </row>
    <row r="11">
      <c r="A11" s="15" t="s">
        <v>8998</v>
      </c>
      <c r="B11" s="7" t="s">
        <v>4707</v>
      </c>
      <c r="C11" s="7" t="s">
        <v>1321</v>
      </c>
      <c r="D11" s="7" t="s">
        <v>4708</v>
      </c>
      <c r="E11" s="7" t="s">
        <v>6757</v>
      </c>
      <c r="F11" s="7" t="s">
        <v>1695</v>
      </c>
      <c r="G11" s="7" t="s">
        <v>1696</v>
      </c>
      <c r="H11" s="16" t="s">
        <v>8909</v>
      </c>
      <c r="I11" s="7"/>
      <c r="J11" s="7"/>
      <c r="K11" s="7"/>
      <c r="L11" s="7"/>
      <c r="M11" s="7"/>
    </row>
    <row r="12">
      <c r="A12" s="15" t="s">
        <v>8998</v>
      </c>
      <c r="B12" s="7" t="s">
        <v>3980</v>
      </c>
      <c r="C12" s="7" t="s">
        <v>3981</v>
      </c>
      <c r="D12" s="7" t="s">
        <v>755</v>
      </c>
      <c r="E12" s="7" t="s">
        <v>6758</v>
      </c>
      <c r="F12" s="7" t="s">
        <v>1695</v>
      </c>
      <c r="G12" s="7" t="s">
        <v>1696</v>
      </c>
      <c r="H12" s="16" t="s">
        <v>8909</v>
      </c>
      <c r="I12" s="7"/>
      <c r="J12" s="7"/>
      <c r="K12" s="7"/>
      <c r="L12" s="7"/>
      <c r="M12" s="7"/>
    </row>
    <row r="13">
      <c r="A13" s="15" t="s">
        <v>8998</v>
      </c>
      <c r="B13" s="7" t="s">
        <v>3113</v>
      </c>
      <c r="C13" s="7" t="s">
        <v>3114</v>
      </c>
      <c r="D13" s="7" t="s">
        <v>3115</v>
      </c>
      <c r="E13" s="7" t="s">
        <v>6759</v>
      </c>
      <c r="F13" s="7" t="s">
        <v>1695</v>
      </c>
      <c r="G13" s="7" t="s">
        <v>1696</v>
      </c>
      <c r="H13" s="16" t="s">
        <v>8909</v>
      </c>
      <c r="I13" s="7"/>
      <c r="J13" s="7"/>
      <c r="K13" s="7"/>
      <c r="L13" s="7"/>
      <c r="M13" s="7"/>
    </row>
    <row r="14">
      <c r="A14" s="15" t="s">
        <v>8998</v>
      </c>
      <c r="B14" s="7" t="s">
        <v>3764</v>
      </c>
      <c r="C14" s="7" t="s">
        <v>261</v>
      </c>
      <c r="D14" s="7" t="s">
        <v>3765</v>
      </c>
      <c r="E14" s="7" t="s">
        <v>6760</v>
      </c>
      <c r="F14" s="7" t="s">
        <v>1695</v>
      </c>
      <c r="G14" s="7" t="s">
        <v>1696</v>
      </c>
      <c r="H14" s="16" t="s">
        <v>8909</v>
      </c>
      <c r="I14" s="7"/>
      <c r="J14" s="7"/>
      <c r="K14" s="7"/>
      <c r="L14" s="7"/>
      <c r="M14" s="7"/>
    </row>
    <row r="15">
      <c r="A15" s="15" t="s">
        <v>8998</v>
      </c>
      <c r="B15" s="7" t="s">
        <v>3427</v>
      </c>
      <c r="C15" s="7" t="s">
        <v>3428</v>
      </c>
      <c r="D15" s="7" t="s">
        <v>3429</v>
      </c>
      <c r="E15" s="7" t="s">
        <v>6761</v>
      </c>
      <c r="F15" s="7" t="s">
        <v>1695</v>
      </c>
      <c r="G15" s="7" t="s">
        <v>1696</v>
      </c>
      <c r="H15" s="16" t="s">
        <v>8909</v>
      </c>
      <c r="I15" s="7"/>
      <c r="J15" s="7"/>
      <c r="K15" s="7"/>
      <c r="L15" s="7"/>
      <c r="M15" s="7"/>
    </row>
    <row r="16">
      <c r="A16" s="15" t="s">
        <v>8998</v>
      </c>
      <c r="B16" s="7" t="s">
        <v>4122</v>
      </c>
      <c r="C16" s="7" t="s">
        <v>4123</v>
      </c>
      <c r="D16" s="7" t="s">
        <v>4124</v>
      </c>
      <c r="E16" s="7" t="s">
        <v>6762</v>
      </c>
      <c r="F16" s="7" t="s">
        <v>1695</v>
      </c>
      <c r="G16" s="7" t="s">
        <v>1696</v>
      </c>
      <c r="H16" s="16" t="s">
        <v>8909</v>
      </c>
      <c r="I16" s="7"/>
      <c r="J16" s="7"/>
      <c r="K16" s="7"/>
      <c r="L16" s="7"/>
      <c r="M16" s="7"/>
    </row>
    <row r="17">
      <c r="A17" s="15" t="s">
        <v>8998</v>
      </c>
      <c r="B17" s="7" t="s">
        <v>4265</v>
      </c>
      <c r="C17" s="7" t="s">
        <v>4266</v>
      </c>
      <c r="D17" s="7" t="s">
        <v>4267</v>
      </c>
      <c r="E17" s="7" t="s">
        <v>6763</v>
      </c>
      <c r="F17" s="7" t="s">
        <v>1695</v>
      </c>
      <c r="G17" s="7" t="s">
        <v>1696</v>
      </c>
      <c r="H17" s="16" t="s">
        <v>8909</v>
      </c>
      <c r="I17" s="7"/>
      <c r="J17" s="7"/>
      <c r="K17" s="7"/>
      <c r="L17" s="7"/>
      <c r="M17" s="7"/>
    </row>
    <row r="18">
      <c r="A18" s="15" t="s">
        <v>8998</v>
      </c>
      <c r="B18" s="7" t="s">
        <v>4045</v>
      </c>
      <c r="C18" s="7" t="s">
        <v>540</v>
      </c>
      <c r="D18" s="7" t="s">
        <v>1261</v>
      </c>
      <c r="E18" s="7" t="s">
        <v>6764</v>
      </c>
      <c r="F18" s="7" t="s">
        <v>1695</v>
      </c>
      <c r="G18" s="7" t="s">
        <v>1696</v>
      </c>
      <c r="H18" s="16" t="s">
        <v>8909</v>
      </c>
      <c r="I18" s="7"/>
      <c r="J18" s="7"/>
      <c r="K18" s="7"/>
      <c r="L18" s="7"/>
      <c r="M18" s="7"/>
    </row>
  </sheetData>
  <dataValidations>
    <dataValidation type="list" allowBlank="1" showErrorMessage="1" sqref="H2:H18">
      <formula1>"Data Analytics,Front-end,Back-end,AWS ,Salesforce,AiCE,Pathway,Profetional Foundation"</formula1>
    </dataValidation>
    <dataValidation type="list" allowBlank="1" showErrorMessage="1" sqref="J2:J18">
      <formula1>"YES,NO,MAYBE"</formula1>
    </dataValidation>
    <dataValidation type="list" allowBlank="1" showErrorMessage="1" sqref="K2:K18">
      <formula1>"Will immediatly finish,Will finish later,Maybe will finish,Will not finish,Done"</formula1>
    </dataValidation>
    <dataValidation type="list" allowBlank="1" showErrorMessage="1" sqref="M2:M18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8">
      <formula1>"Busy Schedule ,Forgot about it ,Internet Access ,Not interested,Personal/ Family Issues ,Other,No Pc,Lost Link,By Mistake"</formula1>
    </dataValidation>
    <dataValidation type="list" allowBlank="1" showErrorMessage="1" sqref="I2:I18">
      <formula1>"Reached,Not Picking Up,Phone Not Working,Wrong Person,Not Yet Called,Wrong Number,Busy "</formula1>
    </dataValidation>
    <dataValidation type="list" allowBlank="1" showErrorMessage="1" sqref="A2:A18">
      <formula1>"Abeba,Dagmawi,Eyerusalem,Girumsew,Tsedenia,Yosef,Nati,Haemnen"</formula1>
    </dataValidation>
  </dataValidations>
  <drawing r:id="rId1"/>
</worksheet>
</file>